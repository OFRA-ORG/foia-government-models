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purl.oclc.org/ooxml/officeDocument/relationships/officeDocument" Target="xl/workbook.xml"/><Relationship Id="rId5" Type="http://purl.oclc.org/ooxml/officeDocument/relationships/customProperties" Target="docProps/custom.xml"/><Relationship Id="rId4" Type="http://purl.oclc.org/ooxml/officeDocument/relationships/extendedProperties" Target="docProps/app.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426"/>
  <workbookPr dateCompatibility="0" codeName="ThisWorkbook" defaultThemeVersion="124226"/>
  <mc:AlternateContent xmlns:mc="http://schemas.openxmlformats.org/markup-compatibility/2006">
    <mc:Choice Requires="x15">
      <x15ac:absPath xmlns:x15ac="http://schemas.microsoft.com/office/spreadsheetml/2010/11/ac" url="https://usps365.sharepoint.com/sites/CostAttribution/Shared Documents/ACR 2025/FY25 ACR Revision CHIR No.2 Q30/USPS-FY25-11 MODS Update/"/>
    </mc:Choice>
  </mc:AlternateContent>
  <xr:revisionPtr revIDLastSave="0" documentId="10_ncr:8_{68734968-BEC1-4739-9A2E-374B34E9C5EE}" xr6:coauthVersionLast="47" xr6:coauthVersionMax="47" xr10:uidLastSave="{00000000-0000-0000-0000-000000000000}"/>
  <bookViews>
    <workbookView xWindow="-14505" yWindow="0" windowWidth="14610" windowHeight="15585" tabRatio="697" firstSheet="4" activeTab="5" xr2:uid="{00000000-000D-0000-FFFF-FFFF00000000}"/>
  </bookViews>
  <sheets>
    <sheet name="CRA ADJ UNIT COSTS-hardcoded" sheetId="122" r:id="rId1"/>
    <sheet name="CRA ADJ UNIT COSTS" sheetId="1" r:id="rId2"/>
    <sheet name="CR CRA ADJ UNIT COSTS-Hardcoded" sheetId="124" r:id="rId3"/>
    <sheet name="CR CRA ADJ UNIT COSTS" sheetId="106" r:id="rId4"/>
    <sheet name="PRESORT LEVELS HELD CONST" sheetId="2" r:id="rId5"/>
    <sheet name="CR AVOIDED COST CALC" sheetId="108" r:id="rId6"/>
    <sheet name="CRA FLATS" sheetId="3" r:id="rId7"/>
    <sheet name="CRA CR" sheetId="105" r:id="rId8"/>
    <sheet name="MADC NONAUTO COST" sheetId="4" r:id="rId9"/>
    <sheet name="MADC NONAUTO MODEL" sheetId="71" r:id="rId10"/>
    <sheet name="ADC NONAUTO COST" sheetId="55" r:id="rId11"/>
    <sheet name="ADC NONAUTO MODEL" sheetId="72" r:id="rId12"/>
    <sheet name="3D NONAUTO COST" sheetId="39" r:id="rId13"/>
    <sheet name="3D NONAUTO MODEL" sheetId="73" r:id="rId14"/>
    <sheet name="3D NONAUTO COST FSS" sheetId="115" r:id="rId15"/>
    <sheet name="3D NONAUTO MODEL FSS" sheetId="114" r:id="rId16"/>
    <sheet name="3D NONAUTO COST NONFSS" sheetId="117" r:id="rId17"/>
    <sheet name="3D NONAUTO MODEL NONFSS" sheetId="116" r:id="rId18"/>
    <sheet name="5D NONAUTO COST" sheetId="57" r:id="rId19"/>
    <sheet name="5D NONAUTO MODEL" sheetId="74" r:id="rId20"/>
    <sheet name="FSS OTHER NONAUTO COST" sheetId="89" r:id="rId21"/>
    <sheet name="FSS OTHER NONAUTO MODEL" sheetId="88" r:id="rId22"/>
    <sheet name="FSS SCHEME NONAUTO COST" sheetId="97" r:id="rId23"/>
    <sheet name="FSS SCHEME NONAUTO MODEL" sheetId="96" r:id="rId24"/>
    <sheet name="MADC AUTO COST" sheetId="59" r:id="rId25"/>
    <sheet name="MADC AUTO MODEL" sheetId="67" r:id="rId26"/>
    <sheet name="ADC AUTO COST" sheetId="42" r:id="rId27"/>
    <sheet name="ADC AUTO MODEL" sheetId="68" r:id="rId28"/>
    <sheet name="3D AUTO COST" sheetId="61" r:id="rId29"/>
    <sheet name="3D AUTO MODEL" sheetId="69" r:id="rId30"/>
    <sheet name="3D AUTO COST FSS" sheetId="110" r:id="rId31"/>
    <sheet name="3D AUTO MODEL FSS" sheetId="109" r:id="rId32"/>
    <sheet name="3D AUTO COST NONFSS" sheetId="113" r:id="rId33"/>
    <sheet name="3D AUTO MODEL NONFSS" sheetId="112" r:id="rId34"/>
    <sheet name="5D AUTO COST" sheetId="46" r:id="rId35"/>
    <sheet name="5D AUTO MODEL" sheetId="70" r:id="rId36"/>
    <sheet name="FSS AUTO OTHER COST" sheetId="86" r:id="rId37"/>
    <sheet name="FSS AUTO OTHER MODEL" sheetId="85" r:id="rId38"/>
    <sheet name="FSS AUTO SCHEME COST" sheetId="94" r:id="rId39"/>
    <sheet name="FSS AUTO SCHEME MODEL" sheetId="95" r:id="rId40"/>
    <sheet name="MADC AUTO COST REV" sheetId="44" r:id="rId41"/>
    <sheet name="MADC AUTO MODEL REV" sheetId="76" r:id="rId42"/>
    <sheet name="ADC AUTO COST REV" sheetId="63" r:id="rId43"/>
    <sheet name="ADC AUTO MODEL REV" sheetId="77" r:id="rId44"/>
    <sheet name="3D AUTO COST REV" sheetId="65" r:id="rId45"/>
    <sheet name="3D AUTO MODEL REV" sheetId="78" r:id="rId46"/>
    <sheet name="3D AUTO COST REV FSS" sheetId="119" r:id="rId47"/>
    <sheet name="3D AUTO MODEL REV FSS" sheetId="118" r:id="rId48"/>
    <sheet name="3D AUTO COST REV NONFSS" sheetId="121" r:id="rId49"/>
    <sheet name="3D AUTO MODEL REV NONFSS" sheetId="120" r:id="rId50"/>
    <sheet name="FSS AUTO OTHER COST REV" sheetId="91" r:id="rId51"/>
    <sheet name="FSS AUTO OTHER MODEL REV" sheetId="90" r:id="rId52"/>
    <sheet name="5D AUTO COST REV" sheetId="48" r:id="rId53"/>
    <sheet name=" 5D AUTO MODEL REV" sheetId="79" r:id="rId54"/>
    <sheet name="PRODUCTIVITIES" sheetId="19" r:id="rId55"/>
    <sheet name="WAGE RATES" sheetId="20" r:id="rId56"/>
    <sheet name="PIGGYBACKS" sheetId="21" r:id="rId57"/>
    <sheet name="PIECE DENSITIES" sheetId="17" r:id="rId58"/>
    <sheet name="BUNDLE DATA" sheetId="26" r:id="rId59"/>
    <sheet name="BUNDLE SORT" sheetId="52" r:id="rId60"/>
    <sheet name="ENTRY PROFILE" sheetId="87" r:id="rId61"/>
    <sheet name="FY VOLUME NONAUTO" sheetId="83" r:id="rId62"/>
    <sheet name="FY VOLUME AUTO" sheetId="84" r:id="rId63"/>
    <sheet name="ACCEPT RATES" sheetId="16" r:id="rId64"/>
    <sheet name="CR COST" sheetId="101" r:id="rId65"/>
    <sheet name="CR MODEL" sheetId="125" r:id="rId66"/>
    <sheet name="CR PALLET COST" sheetId="103" r:id="rId67"/>
    <sheet name="CR PALLET MODEL" sheetId="104" r:id="rId68"/>
    <sheet name="BUNDLE SORT CR" sheetId="102" r:id="rId69"/>
    <sheet name="ENTRY PROFILE CR" sheetId="99" r:id="rId70"/>
    <sheet name="COVERAGE FACTORS" sheetId="18" r:id="rId71"/>
    <sheet name="BUNDLE DENSITIES" sheetId="27" r:id="rId72"/>
    <sheet name="FY VOLUME CR" sheetId="98" r:id="rId73"/>
  </sheets>
  <externalReferences>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s>
  <definedNames>
    <definedName name="e">'COVERAGE FACTORS'!#REF!</definedName>
    <definedName name="_xlnm.Print_Area" localSheetId="3">'CR CRA ADJ UNIT COSTS'!$A$1:$G$53</definedName>
    <definedName name="_xlnm.Print_Area" localSheetId="66">'CR PALLET COST'!$A$1:$K$87</definedName>
    <definedName name="_xlnm.Print_Area" localSheetId="1">'CRA ADJ UNIT COSTS'!$A$1:$I$83</definedName>
    <definedName name="_xlnm.Print_Area" localSheetId="60">'ENTRY PROFILE'!$A$1:$AA$89</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purl.oclc.org/ooxml/spreadsheetml/main">
  <c r="B12" i="21" l="1"/>
  <c r="B9" i="21"/>
  <c r="B8" i="21"/>
  <c r="B7" i="21"/>
  <c r="B6" i="21"/>
  <c r="B5" i="21"/>
  <c r="E65" i="19"/>
  <c r="D65" i="19"/>
  <c r="C65" i="19"/>
  <c r="B65" i="19"/>
  <c r="E64" i="19"/>
  <c r="D64" i="19"/>
  <c r="C64" i="19"/>
  <c r="B64" i="19"/>
  <c r="C22" i="19"/>
  <c r="C21" i="19"/>
  <c r="C20" i="19"/>
  <c r="C19" i="19"/>
  <c r="C18" i="19"/>
  <c r="C17" i="19"/>
  <c r="C16" i="19"/>
  <c r="E79" i="105" l="1"/>
  <c r="E78" i="105"/>
  <c r="E77" i="105"/>
  <c r="E76" i="105"/>
  <c r="E75" i="105"/>
  <c r="E74" i="105"/>
  <c r="E73" i="105"/>
  <c r="E72" i="105"/>
  <c r="E71" i="105"/>
  <c r="E70" i="105"/>
  <c r="E69" i="105"/>
  <c r="E68" i="105"/>
  <c r="E67" i="105"/>
  <c r="E66" i="105"/>
  <c r="E65" i="105"/>
  <c r="E64" i="105"/>
  <c r="E63" i="105"/>
  <c r="E62" i="105"/>
  <c r="E61" i="105"/>
  <c r="E59" i="105"/>
  <c r="E46" i="105"/>
  <c r="E45" i="105"/>
  <c r="E44" i="105"/>
  <c r="E43" i="105"/>
  <c r="E42" i="105"/>
  <c r="E41" i="105"/>
  <c r="E39" i="105"/>
  <c r="E38" i="105"/>
  <c r="E37" i="105"/>
  <c r="E36" i="105"/>
  <c r="E35" i="105"/>
  <c r="E34" i="105"/>
  <c r="E33" i="105"/>
  <c r="E32" i="105"/>
  <c r="E31" i="105"/>
  <c r="E30" i="105"/>
  <c r="E27" i="105"/>
  <c r="E26" i="105"/>
  <c r="E25" i="105"/>
  <c r="E24" i="105"/>
  <c r="E23" i="105"/>
  <c r="E22" i="105"/>
  <c r="E21" i="105"/>
  <c r="E20" i="105"/>
  <c r="E19" i="105"/>
  <c r="E18" i="105"/>
  <c r="E17" i="105"/>
  <c r="E13" i="105"/>
  <c r="E81" i="105" s="1"/>
  <c r="E11" i="105"/>
  <c r="E81" i="3"/>
  <c r="E79" i="3"/>
  <c r="E78" i="3"/>
  <c r="E77" i="3"/>
  <c r="E76" i="3"/>
  <c r="E75" i="3"/>
  <c r="E74" i="3"/>
  <c r="E73" i="3"/>
  <c r="E72" i="3"/>
  <c r="E71" i="3"/>
  <c r="E70" i="3"/>
  <c r="E69" i="3"/>
  <c r="E68" i="3"/>
  <c r="E67" i="3"/>
  <c r="E66" i="3"/>
  <c r="E65" i="3"/>
  <c r="E64" i="3"/>
  <c r="E63" i="3"/>
  <c r="E62" i="3"/>
  <c r="E61" i="3"/>
  <c r="E59" i="3"/>
  <c r="E46" i="3"/>
  <c r="E45" i="3"/>
  <c r="E44" i="3"/>
  <c r="E43" i="3"/>
  <c r="E42" i="3"/>
  <c r="E41" i="3"/>
  <c r="E39" i="3"/>
  <c r="E38" i="3"/>
  <c r="E37" i="3"/>
  <c r="E36" i="3"/>
  <c r="E35" i="3"/>
  <c r="E34" i="3"/>
  <c r="E33" i="3"/>
  <c r="E32" i="3"/>
  <c r="E31" i="3"/>
  <c r="E30" i="3"/>
  <c r="E29" i="3"/>
  <c r="E27" i="3"/>
  <c r="E26" i="3"/>
  <c r="E25" i="3"/>
  <c r="E24" i="3"/>
  <c r="E23" i="3"/>
  <c r="E22" i="3"/>
  <c r="E21" i="3"/>
  <c r="E20" i="3"/>
  <c r="E19" i="3"/>
  <c r="E18" i="3"/>
  <c r="E17" i="3"/>
  <c r="E13" i="3"/>
  <c r="E11" i="3"/>
  <c r="D73" i="19"/>
  <c r="C73" i="19"/>
  <c r="D72" i="19"/>
  <c r="C72" i="19"/>
  <c r="E72" i="19" s="1"/>
  <c r="C12" i="19" s="1"/>
  <c r="E73" i="19" l="1"/>
  <c r="C15" i="19" s="1"/>
  <c r="B47" i="19" l="1"/>
  <c r="M19" i="27" l="1"/>
  <c r="M12" i="27"/>
  <c r="G72" i="3"/>
  <c r="G72" i="105"/>
  <c r="C9" i="20" l="1"/>
  <c r="C6" i="20"/>
  <c r="C5" i="20"/>
  <c r="B42" i="19"/>
  <c r="B17" i="19"/>
  <c r="B50" i="19" s="1"/>
  <c r="B16" i="19"/>
  <c r="B12" i="19"/>
  <c r="B8" i="19"/>
  <c r="B46" i="19" l="1"/>
  <c r="G15" i="16"/>
  <c r="G16" i="16"/>
  <c r="G17" i="16"/>
  <c r="G14" i="16"/>
  <c r="E107" i="18" l="1"/>
  <c r="B1" i="98" l="1"/>
  <c r="G18" i="98"/>
  <c r="H18" i="98"/>
  <c r="I18" i="98"/>
  <c r="J18" i="98"/>
  <c r="K18" i="98"/>
  <c r="L18" i="98"/>
  <c r="M18" i="98"/>
  <c r="F18" i="98"/>
  <c r="F9" i="98"/>
  <c r="G9" i="98"/>
  <c r="H9" i="98"/>
  <c r="I9" i="98"/>
  <c r="J9" i="98"/>
  <c r="K9" i="98"/>
  <c r="L9" i="98"/>
  <c r="M9" i="98"/>
  <c r="F10" i="98"/>
  <c r="G10" i="98"/>
  <c r="H10" i="98"/>
  <c r="I10" i="98"/>
  <c r="J10" i="98"/>
  <c r="K10" i="98"/>
  <c r="L10" i="98"/>
  <c r="M10" i="98"/>
  <c r="F11" i="98"/>
  <c r="G11" i="98"/>
  <c r="H11" i="98"/>
  <c r="I11" i="98"/>
  <c r="J11" i="98"/>
  <c r="K11" i="98"/>
  <c r="L11" i="98"/>
  <c r="M11" i="98"/>
  <c r="F12" i="98"/>
  <c r="G12" i="98"/>
  <c r="H12" i="98"/>
  <c r="I12" i="98"/>
  <c r="J12" i="98"/>
  <c r="K12" i="98"/>
  <c r="L12" i="98"/>
  <c r="M12" i="98"/>
  <c r="G8" i="98"/>
  <c r="H8" i="98"/>
  <c r="I8" i="98"/>
  <c r="J8" i="98"/>
  <c r="K8" i="98"/>
  <c r="L8" i="98"/>
  <c r="M8" i="98"/>
  <c r="F8" i="98"/>
  <c r="O31" i="27"/>
  <c r="M31" i="27"/>
  <c r="K31" i="27"/>
  <c r="M29" i="27"/>
  <c r="M24" i="27"/>
  <c r="O23" i="27"/>
  <c r="O26" i="27" s="1"/>
  <c r="M23" i="27"/>
  <c r="K23" i="27"/>
  <c r="K26" i="27" s="1"/>
  <c r="M22" i="27"/>
  <c r="M26" i="27" s="1"/>
  <c r="I22" i="27"/>
  <c r="I26" i="27" s="1"/>
  <c r="K17" i="27"/>
  <c r="O16" i="27"/>
  <c r="O19" i="27" s="1"/>
  <c r="K16" i="27"/>
  <c r="I16" i="27"/>
  <c r="I15" i="27"/>
  <c r="I19" i="27" s="1"/>
  <c r="G15" i="27"/>
  <c r="G19" i="27" s="1"/>
  <c r="O10" i="27"/>
  <c r="K10" i="27"/>
  <c r="O9" i="27"/>
  <c r="K9" i="27"/>
  <c r="I9" i="27"/>
  <c r="O8" i="27"/>
  <c r="O12" i="27" s="1"/>
  <c r="K8" i="27"/>
  <c r="K12" i="27" s="1"/>
  <c r="I8" i="27"/>
  <c r="G8" i="27"/>
  <c r="I7" i="27"/>
  <c r="G7" i="27"/>
  <c r="G12" i="27" s="1"/>
  <c r="E7" i="27"/>
  <c r="E12" i="27" s="1"/>
  <c r="A4" i="27"/>
  <c r="A3" i="27"/>
  <c r="I12" i="27" l="1"/>
  <c r="K19" i="27"/>
  <c r="A2" i="18"/>
  <c r="E32" i="18"/>
  <c r="E34" i="18"/>
  <c r="E38" i="18"/>
  <c r="E40" i="18"/>
  <c r="E42" i="18"/>
  <c r="E44" i="18"/>
  <c r="E48" i="18"/>
  <c r="E30" i="18"/>
  <c r="E12" i="18"/>
  <c r="E14" i="18"/>
  <c r="E16" i="18"/>
  <c r="E18" i="18"/>
  <c r="E20" i="18"/>
  <c r="E24" i="18"/>
  <c r="E8" i="18"/>
  <c r="E10" i="18"/>
  <c r="E6" i="18"/>
  <c r="V80" i="52" l="1"/>
  <c r="U80" i="52"/>
  <c r="E22" i="18"/>
  <c r="E46" i="18"/>
  <c r="E36" i="18"/>
  <c r="K15" i="16"/>
  <c r="K16" i="16"/>
  <c r="K17" i="16"/>
  <c r="K14" i="16"/>
  <c r="F15" i="16"/>
  <c r="F16" i="16"/>
  <c r="F17" i="16"/>
  <c r="F14" i="16"/>
  <c r="K11" i="16"/>
  <c r="K8" i="16"/>
  <c r="F32" i="84" l="1"/>
  <c r="G32" i="84"/>
  <c r="I32" i="84"/>
  <c r="J32" i="84"/>
  <c r="F33" i="84"/>
  <c r="G33" i="84"/>
  <c r="I33" i="84"/>
  <c r="J33" i="84"/>
  <c r="F34" i="84"/>
  <c r="G34" i="84"/>
  <c r="I34" i="84"/>
  <c r="J34" i="84"/>
  <c r="G31" i="84"/>
  <c r="I31" i="84"/>
  <c r="J31" i="84"/>
  <c r="F31" i="84"/>
  <c r="F24" i="84"/>
  <c r="G24" i="84"/>
  <c r="I24" i="84"/>
  <c r="J24" i="84"/>
  <c r="F25" i="84"/>
  <c r="G25" i="84"/>
  <c r="I25" i="84"/>
  <c r="J25" i="84"/>
  <c r="G23" i="84"/>
  <c r="I23" i="84"/>
  <c r="J23" i="84"/>
  <c r="F23" i="84"/>
  <c r="F16" i="84"/>
  <c r="G16" i="84"/>
  <c r="I16" i="84"/>
  <c r="J16" i="84"/>
  <c r="F17" i="84"/>
  <c r="G17" i="84"/>
  <c r="I17" i="84"/>
  <c r="J17" i="84"/>
  <c r="G15" i="84"/>
  <c r="I15" i="84"/>
  <c r="J15" i="84"/>
  <c r="F15" i="84"/>
  <c r="F9" i="84"/>
  <c r="G9" i="84"/>
  <c r="I9" i="84"/>
  <c r="J9" i="84"/>
  <c r="G8" i="84"/>
  <c r="I8" i="84"/>
  <c r="J8" i="84"/>
  <c r="F8" i="84"/>
  <c r="F40" i="83"/>
  <c r="G40" i="83"/>
  <c r="I40" i="83"/>
  <c r="J40" i="83"/>
  <c r="F41" i="83"/>
  <c r="G41" i="83"/>
  <c r="I41" i="83"/>
  <c r="J41" i="83"/>
  <c r="F42" i="83"/>
  <c r="G42" i="83"/>
  <c r="I42" i="83"/>
  <c r="J42" i="83"/>
  <c r="G39" i="83"/>
  <c r="I39" i="83"/>
  <c r="J39" i="83"/>
  <c r="F39" i="83"/>
  <c r="F31" i="83"/>
  <c r="G31" i="83"/>
  <c r="I31" i="83"/>
  <c r="J31" i="83"/>
  <c r="F32" i="83"/>
  <c r="G32" i="83"/>
  <c r="I32" i="83"/>
  <c r="J32" i="83"/>
  <c r="F33" i="83"/>
  <c r="G33" i="83"/>
  <c r="I33" i="83"/>
  <c r="J33" i="83"/>
  <c r="G30" i="83"/>
  <c r="I30" i="83"/>
  <c r="J30" i="83"/>
  <c r="F30" i="83"/>
  <c r="F19" i="83"/>
  <c r="G19" i="83"/>
  <c r="I19" i="83"/>
  <c r="J19" i="83"/>
  <c r="F20" i="83"/>
  <c r="G20" i="83"/>
  <c r="I20" i="83"/>
  <c r="J20" i="83"/>
  <c r="F21" i="83"/>
  <c r="G21" i="83"/>
  <c r="I21" i="83"/>
  <c r="J21" i="83"/>
  <c r="F22" i="83"/>
  <c r="G22" i="83"/>
  <c r="I22" i="83"/>
  <c r="J22" i="83"/>
  <c r="F23" i="83"/>
  <c r="G23" i="83"/>
  <c r="I23" i="83"/>
  <c r="J23" i="83"/>
  <c r="F24" i="83"/>
  <c r="G24" i="83"/>
  <c r="I24" i="83"/>
  <c r="J24" i="83"/>
  <c r="G18" i="83"/>
  <c r="I18" i="83"/>
  <c r="J18" i="83"/>
  <c r="F18" i="83"/>
  <c r="I9" i="83"/>
  <c r="J9" i="83"/>
  <c r="I10" i="83"/>
  <c r="J10" i="83"/>
  <c r="I11" i="83"/>
  <c r="J11" i="83"/>
  <c r="I12" i="83"/>
  <c r="J12" i="83"/>
  <c r="J8" i="83"/>
  <c r="I8" i="83"/>
  <c r="F9" i="83"/>
  <c r="G9" i="83"/>
  <c r="F10" i="83"/>
  <c r="G10" i="83"/>
  <c r="F11" i="83"/>
  <c r="G11" i="83"/>
  <c r="F12" i="83"/>
  <c r="G12" i="83"/>
  <c r="G8" i="83"/>
  <c r="F8" i="83"/>
  <c r="B55" i="19"/>
  <c r="H24" i="83" l="1"/>
  <c r="H23" i="83"/>
  <c r="H40" i="83"/>
  <c r="H32" i="84"/>
  <c r="H17" i="84"/>
  <c r="H31" i="83"/>
  <c r="H41" i="83"/>
  <c r="H9" i="84"/>
  <c r="H16" i="84"/>
  <c r="H39" i="83"/>
  <c r="H15" i="84"/>
  <c r="H23" i="84"/>
  <c r="H32" i="83"/>
  <c r="H25" i="84"/>
  <c r="H30" i="83"/>
  <c r="H31" i="84"/>
  <c r="H18" i="83"/>
  <c r="H22" i="83"/>
  <c r="H8" i="84"/>
  <c r="H19" i="83"/>
  <c r="H12" i="83"/>
  <c r="H21" i="83"/>
  <c r="H42" i="83"/>
  <c r="H33" i="83"/>
  <c r="H34" i="84"/>
  <c r="H33" i="84"/>
  <c r="H24" i="84"/>
  <c r="H20" i="83"/>
  <c r="C47" i="19" l="1"/>
  <c r="C23" i="1" l="1"/>
  <c r="C22" i="1"/>
  <c r="I26" i="98" l="1"/>
  <c r="J26" i="98"/>
  <c r="I27" i="98"/>
  <c r="J27" i="98"/>
  <c r="I28" i="98"/>
  <c r="J28" i="98"/>
  <c r="I29" i="98"/>
  <c r="J29" i="98"/>
  <c r="J25" i="98"/>
  <c r="I25" i="98"/>
  <c r="Z46" i="52"/>
  <c r="S47" i="87"/>
  <c r="Y47" i="87" s="1"/>
  <c r="Y46" i="87"/>
  <c r="S46" i="87"/>
  <c r="S45" i="87"/>
  <c r="Y45" i="87" s="1"/>
  <c r="S88" i="87"/>
  <c r="S87" i="87"/>
  <c r="Y87" i="87" s="1"/>
  <c r="S86" i="87"/>
  <c r="Y86" i="87" s="1"/>
  <c r="S85" i="87"/>
  <c r="Y85" i="87" s="1"/>
  <c r="S48" i="52"/>
  <c r="Y48" i="52" s="1"/>
  <c r="S47" i="52"/>
  <c r="Y47" i="52" s="1"/>
  <c r="S46" i="52"/>
  <c r="Y46" i="52" s="1"/>
  <c r="S45" i="52"/>
  <c r="Y45" i="52" s="1"/>
  <c r="S88" i="52"/>
  <c r="Y88" i="52" s="1"/>
  <c r="S87" i="52"/>
  <c r="Y87" i="52" s="1"/>
  <c r="S86" i="52"/>
  <c r="Y86" i="52" s="1"/>
  <c r="S90" i="52"/>
  <c r="Y90" i="52" s="1"/>
  <c r="G48" i="83"/>
  <c r="G49" i="83"/>
  <c r="G50" i="83"/>
  <c r="F49" i="83"/>
  <c r="F50" i="83"/>
  <c r="F48" i="83"/>
  <c r="E28" i="18"/>
  <c r="K20" i="16"/>
  <c r="K24" i="16"/>
  <c r="Z46" i="87" l="1"/>
  <c r="AA46" i="87" s="1"/>
  <c r="Z88" i="87"/>
  <c r="G13" i="98"/>
  <c r="F13" i="98"/>
  <c r="G10" i="84"/>
  <c r="F10" i="84"/>
  <c r="AA46" i="52"/>
  <c r="Z47" i="87"/>
  <c r="AA47" i="87" s="1"/>
  <c r="Z45" i="87"/>
  <c r="AA45" i="87" s="1"/>
  <c r="Y88" i="87"/>
  <c r="Z87" i="87"/>
  <c r="AA87" i="87" s="1"/>
  <c r="Z86" i="87"/>
  <c r="AA86" i="87" s="1"/>
  <c r="Z85" i="87"/>
  <c r="AA85" i="87" s="1"/>
  <c r="Z48" i="52"/>
  <c r="AA48" i="52" s="1"/>
  <c r="Z47" i="52"/>
  <c r="AA47" i="52" s="1"/>
  <c r="Z45" i="52"/>
  <c r="AA45" i="52" s="1"/>
  <c r="Z88" i="52"/>
  <c r="AA88" i="52" s="1"/>
  <c r="Z87" i="52"/>
  <c r="AA87" i="52" s="1"/>
  <c r="Z86" i="52"/>
  <c r="AA86" i="52" s="1"/>
  <c r="Z90" i="52"/>
  <c r="AA90" i="52" s="1"/>
  <c r="F26" i="84"/>
  <c r="G26" i="84"/>
  <c r="G18" i="84"/>
  <c r="F18" i="84"/>
  <c r="B10" i="19"/>
  <c r="AA88" i="87" l="1"/>
  <c r="C69" i="101"/>
  <c r="I65" i="125" l="1"/>
  <c r="N67" i="125"/>
  <c r="M67" i="125" s="1"/>
  <c r="I77" i="125"/>
  <c r="H77" i="125" s="1"/>
  <c r="G77" i="125" s="1"/>
  <c r="N56" i="125"/>
  <c r="M56" i="125" s="1"/>
  <c r="N55" i="125"/>
  <c r="M55" i="125" s="1"/>
  <c r="I76" i="125"/>
  <c r="H76" i="125" s="1"/>
  <c r="G76" i="125" s="1"/>
  <c r="I67" i="125"/>
  <c r="I75" i="125"/>
  <c r="H75" i="125" s="1"/>
  <c r="G75" i="125" s="1"/>
  <c r="I74" i="125"/>
  <c r="H74" i="125" s="1"/>
  <c r="N66" i="125"/>
  <c r="M66" i="125" s="1"/>
  <c r="I66" i="125"/>
  <c r="N77" i="125"/>
  <c r="M77" i="125" s="1"/>
  <c r="I55" i="125"/>
  <c r="I54" i="125"/>
  <c r="N76" i="125"/>
  <c r="M76" i="125" s="1"/>
  <c r="I56" i="125"/>
  <c r="N41" i="125"/>
  <c r="M41" i="125" s="1"/>
  <c r="N40" i="125"/>
  <c r="M40" i="125" s="1"/>
  <c r="N28" i="125"/>
  <c r="M28" i="125" s="1"/>
  <c r="I39" i="125"/>
  <c r="I38" i="125"/>
  <c r="N27" i="125"/>
  <c r="M27" i="125" s="1"/>
  <c r="I26" i="125"/>
  <c r="H26" i="125" s="1"/>
  <c r="G26" i="125" s="1"/>
  <c r="I41" i="125"/>
  <c r="I28" i="125"/>
  <c r="H28" i="125" s="1"/>
  <c r="G28" i="125" s="1"/>
  <c r="I27" i="125"/>
  <c r="H27" i="125" s="1"/>
  <c r="G27" i="125" s="1"/>
  <c r="I40" i="125"/>
  <c r="G74" i="125" l="1"/>
  <c r="B59" i="19"/>
  <c r="A1" i="90" l="1"/>
  <c r="A1" i="95"/>
  <c r="A1" i="109"/>
  <c r="L35" i="98" l="1"/>
  <c r="L29" i="98"/>
  <c r="L28" i="98"/>
  <c r="L27" i="98"/>
  <c r="K29" i="98"/>
  <c r="K27" i="98"/>
  <c r="K28" i="98" l="1"/>
  <c r="L25" i="98"/>
  <c r="L26" i="98"/>
  <c r="K25" i="98"/>
  <c r="K35" i="98"/>
  <c r="K26" i="98"/>
  <c r="E18" i="102"/>
  <c r="J44" i="84"/>
  <c r="I44" i="84"/>
  <c r="G44" i="84"/>
  <c r="F44" i="84"/>
  <c r="E11" i="102" l="1"/>
  <c r="U64" i="52"/>
  <c r="V64" i="52"/>
  <c r="W64" i="52"/>
  <c r="X64" i="52"/>
  <c r="U63" i="87"/>
  <c r="V63" i="87"/>
  <c r="W63" i="87"/>
  <c r="X63" i="87"/>
  <c r="J50" i="83"/>
  <c r="J49" i="83"/>
  <c r="J48" i="83"/>
  <c r="I50" i="83"/>
  <c r="I49" i="83"/>
  <c r="I48" i="83"/>
  <c r="A1" i="116"/>
  <c r="A1" i="114"/>
  <c r="L39" i="83" l="1"/>
  <c r="L30" i="83"/>
  <c r="K30" i="83"/>
  <c r="L17" i="84"/>
  <c r="S89" i="52"/>
  <c r="Y89" i="52" s="1"/>
  <c r="K17" i="84"/>
  <c r="F43" i="83"/>
  <c r="K39" i="83"/>
  <c r="F34" i="83"/>
  <c r="G43" i="83"/>
  <c r="G34" i="83"/>
  <c r="L18" i="83"/>
  <c r="M39" i="83" l="1"/>
  <c r="M30" i="83"/>
  <c r="M17" i="84"/>
  <c r="Z89" i="52"/>
  <c r="AA89" i="52" s="1"/>
  <c r="K22" i="83"/>
  <c r="L22" i="83"/>
  <c r="K18" i="83"/>
  <c r="M18" i="83" s="1"/>
  <c r="M22" i="83" l="1"/>
  <c r="M25" i="98"/>
  <c r="H35" i="98"/>
  <c r="H27" i="98"/>
  <c r="M29" i="98"/>
  <c r="H25" i="98"/>
  <c r="M27" i="98"/>
  <c r="H29" i="98"/>
  <c r="H26" i="98"/>
  <c r="M28" i="98"/>
  <c r="M26" i="98"/>
  <c r="H28" i="98"/>
  <c r="M35" i="98"/>
  <c r="K41" i="84" l="1"/>
  <c r="K31" i="84"/>
  <c r="K23" i="84"/>
  <c r="K15" i="84"/>
  <c r="L9" i="84"/>
  <c r="K8" i="84"/>
  <c r="K48" i="83"/>
  <c r="L41" i="83"/>
  <c r="L40" i="83"/>
  <c r="K33" i="83"/>
  <c r="L31" i="83"/>
  <c r="K24" i="83"/>
  <c r="K23" i="83"/>
  <c r="K21" i="83"/>
  <c r="K20" i="83"/>
  <c r="L12" i="83"/>
  <c r="K11" i="83"/>
  <c r="K10" i="83"/>
  <c r="K9" i="83"/>
  <c r="K8" i="83"/>
  <c r="E14" i="26"/>
  <c r="D14" i="26"/>
  <c r="E12" i="26"/>
  <c r="D12" i="26"/>
  <c r="E10" i="26"/>
  <c r="D10" i="26"/>
  <c r="E8" i="26"/>
  <c r="D8" i="26"/>
  <c r="B10" i="21"/>
  <c r="B6" i="20"/>
  <c r="B58" i="19"/>
  <c r="C51" i="19"/>
  <c r="C46" i="19"/>
  <c r="C45" i="19"/>
  <c r="C44" i="19"/>
  <c r="C43" i="19"/>
  <c r="C42" i="19"/>
  <c r="D28" i="19"/>
  <c r="D27" i="19"/>
  <c r="D26" i="19"/>
  <c r="D25" i="19"/>
  <c r="D24" i="19"/>
  <c r="D23" i="19"/>
  <c r="D22" i="19"/>
  <c r="D21" i="19"/>
  <c r="D20" i="19"/>
  <c r="D19" i="19"/>
  <c r="D18" i="19"/>
  <c r="D17" i="19"/>
  <c r="B23" i="19"/>
  <c r="B15" i="19"/>
  <c r="B11" i="19"/>
  <c r="A30" i="1"/>
  <c r="A87" i="1"/>
  <c r="B86" i="1"/>
  <c r="A86" i="1"/>
  <c r="A84" i="1"/>
  <c r="A83" i="1"/>
  <c r="A82" i="1"/>
  <c r="A81" i="1"/>
  <c r="A80" i="1"/>
  <c r="A79" i="1"/>
  <c r="A78" i="1"/>
  <c r="A77" i="1"/>
  <c r="A76" i="1"/>
  <c r="A75" i="1"/>
  <c r="A74" i="1"/>
  <c r="A73" i="1"/>
  <c r="G36" i="1"/>
  <c r="F36" i="1"/>
  <c r="E36" i="1"/>
  <c r="D36" i="1"/>
  <c r="G32" i="1"/>
  <c r="I14" i="1"/>
  <c r="H14" i="1"/>
  <c r="S10" i="99" l="1"/>
  <c r="T10" i="99" s="1"/>
  <c r="O10" i="99"/>
  <c r="P10" i="99" s="1"/>
  <c r="F25" i="83"/>
  <c r="G25" i="83"/>
  <c r="H44" i="84"/>
  <c r="H8" i="83"/>
  <c r="H10" i="83"/>
  <c r="H50" i="83"/>
  <c r="L25" i="84"/>
  <c r="L32" i="84"/>
  <c r="L44" i="84"/>
  <c r="K31" i="83"/>
  <c r="M31" i="83" s="1"/>
  <c r="K41" i="83"/>
  <c r="M41" i="83" s="1"/>
  <c r="K56" i="83"/>
  <c r="L8" i="83"/>
  <c r="M8" i="83" s="1"/>
  <c r="L10" i="83"/>
  <c r="M10" i="83" s="1"/>
  <c r="L20" i="83"/>
  <c r="M20" i="83" s="1"/>
  <c r="L33" i="83"/>
  <c r="M33" i="83" s="1"/>
  <c r="L50" i="83"/>
  <c r="L42" i="84"/>
  <c r="L43" i="84"/>
  <c r="H9" i="83"/>
  <c r="H11" i="83"/>
  <c r="H49" i="83"/>
  <c r="L9" i="83"/>
  <c r="M9" i="83" s="1"/>
  <c r="L11" i="83"/>
  <c r="M11" i="83" s="1"/>
  <c r="L19" i="83"/>
  <c r="L21" i="83"/>
  <c r="M21" i="83" s="1"/>
  <c r="L24" i="83"/>
  <c r="M24" i="83" s="1"/>
  <c r="L32" i="83"/>
  <c r="L42" i="83"/>
  <c r="L49" i="83"/>
  <c r="L23" i="84"/>
  <c r="M23" i="84" s="1"/>
  <c r="K32" i="84"/>
  <c r="K42" i="84"/>
  <c r="L24" i="84"/>
  <c r="B13" i="19"/>
  <c r="K32" i="83"/>
  <c r="K40" i="83"/>
  <c r="M40" i="83" s="1"/>
  <c r="K42" i="83"/>
  <c r="K49" i="83"/>
  <c r="L31" i="84"/>
  <c r="M31" i="84" s="1"/>
  <c r="L41" i="84"/>
  <c r="M41" i="84" s="1"/>
  <c r="L50" i="84"/>
  <c r="L8" i="84"/>
  <c r="M8" i="84" s="1"/>
  <c r="K50" i="83"/>
  <c r="H41" i="84"/>
  <c r="H50" i="84"/>
  <c r="K16" i="84"/>
  <c r="K24" i="84"/>
  <c r="L33" i="84"/>
  <c r="L48" i="83"/>
  <c r="M48" i="83" s="1"/>
  <c r="K43" i="84"/>
  <c r="L34" i="84"/>
  <c r="H56" i="83"/>
  <c r="K34" i="84"/>
  <c r="H42" i="84"/>
  <c r="K19" i="83"/>
  <c r="K50" i="84"/>
  <c r="B13" i="21"/>
  <c r="L23" i="83"/>
  <c r="M23" i="83" s="1"/>
  <c r="H48" i="83"/>
  <c r="L56" i="83"/>
  <c r="K33" i="84"/>
  <c r="K25" i="84"/>
  <c r="K44" i="84"/>
  <c r="K12" i="83"/>
  <c r="M12" i="83" s="1"/>
  <c r="K9" i="84"/>
  <c r="M9" i="84" s="1"/>
  <c r="L16" i="84"/>
  <c r="H43" i="84"/>
  <c r="L15" i="84"/>
  <c r="M15" i="84" s="1"/>
  <c r="B9" i="19"/>
  <c r="B24" i="19"/>
  <c r="B18" i="19"/>
  <c r="B26" i="19"/>
  <c r="B19" i="19"/>
  <c r="B27" i="19"/>
  <c r="B43" i="19"/>
  <c r="B20" i="19"/>
  <c r="B28" i="19"/>
  <c r="B44" i="19"/>
  <c r="B21" i="19"/>
  <c r="B45" i="19"/>
  <c r="B14" i="19"/>
  <c r="B22" i="19"/>
  <c r="B30" i="19"/>
  <c r="B25" i="19"/>
  <c r="G76" i="97" l="1"/>
  <c r="G76" i="86"/>
  <c r="G76" i="89"/>
  <c r="G76" i="94"/>
  <c r="H18" i="84"/>
  <c r="H34" i="83"/>
  <c r="H43" i="83"/>
  <c r="H25" i="83"/>
  <c r="M32" i="83"/>
  <c r="M42" i="83"/>
  <c r="M44" i="84"/>
  <c r="M50" i="83"/>
  <c r="M25" i="84"/>
  <c r="M34" i="84"/>
  <c r="M50" i="84"/>
  <c r="M32" i="84"/>
  <c r="M49" i="83"/>
  <c r="M42" i="84"/>
  <c r="M19" i="83"/>
  <c r="M56" i="83"/>
  <c r="M24" i="84"/>
  <c r="M16" i="84"/>
  <c r="M43" i="84"/>
  <c r="M33" i="84"/>
  <c r="B39" i="19"/>
  <c r="B31" i="19"/>
  <c r="B38" i="19"/>
  <c r="B37" i="19"/>
  <c r="B36" i="19"/>
  <c r="B35" i="19"/>
  <c r="B41" i="19"/>
  <c r="B34" i="19"/>
  <c r="B40" i="19"/>
  <c r="B32" i="19"/>
  <c r="B33" i="19"/>
  <c r="F17" i="87" l="1"/>
  <c r="S17" i="87" s="1"/>
  <c r="E27" i="87"/>
  <c r="M34" i="83"/>
  <c r="F27" i="52"/>
  <c r="M43" i="83"/>
  <c r="F27" i="87"/>
  <c r="E27" i="52"/>
  <c r="E63" i="52"/>
  <c r="M18" i="84"/>
  <c r="F63" i="52"/>
  <c r="F62" i="87"/>
  <c r="E62" i="87"/>
  <c r="E19" i="87"/>
  <c r="F19" i="87"/>
  <c r="M25" i="83"/>
  <c r="E18" i="87"/>
  <c r="F16" i="87"/>
  <c r="F36" i="87"/>
  <c r="F36" i="52"/>
  <c r="E36" i="52"/>
  <c r="E36" i="87"/>
  <c r="E15" i="87"/>
  <c r="F18" i="87"/>
  <c r="E17" i="87"/>
  <c r="E16" i="87"/>
  <c r="F15" i="87"/>
  <c r="E19" i="52"/>
  <c r="F15" i="52"/>
  <c r="F19" i="52"/>
  <c r="E15" i="52"/>
  <c r="G27" i="87" l="1"/>
  <c r="G27" i="52"/>
  <c r="H27" i="52" s="1"/>
  <c r="T17" i="87"/>
  <c r="P17" i="87"/>
  <c r="P16" i="87"/>
  <c r="T62" i="87"/>
  <c r="T63" i="52"/>
  <c r="T19" i="87"/>
  <c r="H27" i="87"/>
  <c r="G17" i="87"/>
  <c r="G19" i="87"/>
  <c r="G62" i="87"/>
  <c r="G63" i="52"/>
  <c r="G18" i="87"/>
  <c r="E22" i="87"/>
  <c r="G36" i="87"/>
  <c r="G36" i="52"/>
  <c r="G16" i="87"/>
  <c r="G15" i="87"/>
  <c r="F22" i="87"/>
  <c r="G19" i="52"/>
  <c r="G15" i="52"/>
  <c r="O27" i="52" l="1"/>
  <c r="S27" i="52"/>
  <c r="T27" i="52"/>
  <c r="K27" i="52"/>
  <c r="K31" i="52" s="1"/>
  <c r="L27" i="52"/>
  <c r="L31" i="52" s="1"/>
  <c r="S27" i="87"/>
  <c r="T27" i="87"/>
  <c r="O27" i="87"/>
  <c r="P27" i="87"/>
  <c r="H62" i="87"/>
  <c r="S62" i="87" s="1"/>
  <c r="C15" i="68" s="1"/>
  <c r="K27" i="87"/>
  <c r="H15" i="52"/>
  <c r="K15" i="52" s="1"/>
  <c r="H19" i="87"/>
  <c r="S19" i="87" s="1"/>
  <c r="H17" i="87"/>
  <c r="O17" i="87" s="1"/>
  <c r="H15" i="87"/>
  <c r="M15" i="87" s="1"/>
  <c r="N15" i="87"/>
  <c r="H36" i="52"/>
  <c r="L27" i="87"/>
  <c r="H16" i="87"/>
  <c r="O16" i="87" s="1"/>
  <c r="N16" i="87"/>
  <c r="M16" i="87"/>
  <c r="H18" i="87"/>
  <c r="H63" i="52"/>
  <c r="S63" i="52" s="1"/>
  <c r="H36" i="87"/>
  <c r="G22" i="87"/>
  <c r="H19" i="52"/>
  <c r="S19" i="52" s="1"/>
  <c r="G36" i="98"/>
  <c r="H36" i="98"/>
  <c r="F36" i="98"/>
  <c r="G30" i="98"/>
  <c r="H30" i="98"/>
  <c r="F30" i="98"/>
  <c r="G19" i="98"/>
  <c r="H19" i="98"/>
  <c r="F19" i="98"/>
  <c r="G51" i="84"/>
  <c r="H51" i="84"/>
  <c r="F51" i="84"/>
  <c r="G45" i="84"/>
  <c r="H45" i="84"/>
  <c r="F45" i="84"/>
  <c r="G35" i="84"/>
  <c r="H35" i="84"/>
  <c r="F35" i="84"/>
  <c r="H26" i="84"/>
  <c r="E25" i="1"/>
  <c r="H10" i="84"/>
  <c r="G57" i="83"/>
  <c r="H57" i="83"/>
  <c r="F57" i="83"/>
  <c r="G51" i="83"/>
  <c r="H51" i="83"/>
  <c r="F51" i="83"/>
  <c r="E21" i="1"/>
  <c r="E20" i="1"/>
  <c r="E19" i="1"/>
  <c r="G13" i="83"/>
  <c r="F13" i="83"/>
  <c r="H13" i="83" l="1"/>
  <c r="E8" i="52" s="1"/>
  <c r="E79" i="87"/>
  <c r="F79" i="87"/>
  <c r="P15" i="52"/>
  <c r="O15" i="52"/>
  <c r="P15" i="87"/>
  <c r="K15" i="87"/>
  <c r="G11" i="72" s="1"/>
  <c r="O15" i="87"/>
  <c r="G11" i="73"/>
  <c r="G11" i="116"/>
  <c r="G11" i="114"/>
  <c r="L15" i="87"/>
  <c r="Y19" i="87"/>
  <c r="Y19" i="52"/>
  <c r="K31" i="87"/>
  <c r="M19" i="98"/>
  <c r="E27" i="1"/>
  <c r="M35" i="84"/>
  <c r="E26" i="1"/>
  <c r="M26" i="84"/>
  <c r="E24" i="1"/>
  <c r="M10" i="84"/>
  <c r="L31" i="87"/>
  <c r="K22" i="52"/>
  <c r="A1" i="118"/>
  <c r="A1" i="120"/>
  <c r="M13" i="83" l="1"/>
  <c r="E18" i="1"/>
  <c r="E5" i="87"/>
  <c r="E7" i="87"/>
  <c r="E8" i="87"/>
  <c r="E9" i="87"/>
  <c r="E6" i="52"/>
  <c r="E7" i="52"/>
  <c r="E6" i="87"/>
  <c r="G79" i="87"/>
  <c r="H79" i="87" s="1"/>
  <c r="K22" i="87"/>
  <c r="L22" i="87"/>
  <c r="Y27" i="52"/>
  <c r="Y27" i="87"/>
  <c r="Y15" i="87"/>
  <c r="Z15" i="87"/>
  <c r="Z27" i="87" l="1"/>
  <c r="Y15" i="52"/>
  <c r="AA15" i="87"/>
  <c r="AA27" i="87" l="1"/>
  <c r="M34" i="27"/>
  <c r="G125" i="18"/>
  <c r="G129" i="18" s="1"/>
  <c r="E38" i="87"/>
  <c r="F37" i="87"/>
  <c r="F28" i="87"/>
  <c r="F7" i="87"/>
  <c r="B1" i="84"/>
  <c r="O34" i="27"/>
  <c r="C34" i="19"/>
  <c r="C38" i="19"/>
  <c r="C41" i="19"/>
  <c r="E32" i="19"/>
  <c r="E42" i="19"/>
  <c r="D35" i="97" s="1"/>
  <c r="E22" i="16"/>
  <c r="C69" i="121"/>
  <c r="F87" i="121"/>
  <c r="A87" i="121"/>
  <c r="F86" i="121"/>
  <c r="A86" i="121"/>
  <c r="F85" i="121"/>
  <c r="A85" i="121"/>
  <c r="F84" i="121"/>
  <c r="A84" i="121"/>
  <c r="F83" i="121"/>
  <c r="A83" i="121"/>
  <c r="K78" i="121"/>
  <c r="D77" i="121"/>
  <c r="K4" i="121"/>
  <c r="J4" i="121"/>
  <c r="I4" i="121"/>
  <c r="H4" i="121"/>
  <c r="G4" i="121"/>
  <c r="F4" i="121"/>
  <c r="D4" i="121"/>
  <c r="C4" i="121"/>
  <c r="C15" i="120"/>
  <c r="C12" i="120"/>
  <c r="C11" i="120"/>
  <c r="C69" i="119"/>
  <c r="F87" i="119"/>
  <c r="A87" i="119"/>
  <c r="F86" i="119"/>
  <c r="A86" i="119"/>
  <c r="F85" i="119"/>
  <c r="A85" i="119"/>
  <c r="F84" i="119"/>
  <c r="A84" i="119"/>
  <c r="F83" i="119"/>
  <c r="A83" i="119"/>
  <c r="K78" i="119"/>
  <c r="D77" i="119"/>
  <c r="K4" i="119"/>
  <c r="J4" i="119"/>
  <c r="I4" i="119"/>
  <c r="H4" i="119"/>
  <c r="G4" i="119"/>
  <c r="F4" i="119"/>
  <c r="D4" i="119"/>
  <c r="C4" i="119"/>
  <c r="C15" i="118"/>
  <c r="C12" i="118"/>
  <c r="C11" i="118"/>
  <c r="C69" i="117"/>
  <c r="F87" i="117"/>
  <c r="A87" i="117"/>
  <c r="F86" i="117"/>
  <c r="A86" i="117"/>
  <c r="F85" i="117"/>
  <c r="A85" i="117"/>
  <c r="F84" i="117"/>
  <c r="A84" i="117"/>
  <c r="F83" i="117"/>
  <c r="A83" i="117"/>
  <c r="K78" i="117"/>
  <c r="D77" i="117"/>
  <c r="K4" i="117"/>
  <c r="J4" i="117"/>
  <c r="I4" i="117"/>
  <c r="H4" i="117"/>
  <c r="G4" i="117"/>
  <c r="F4" i="117"/>
  <c r="D4" i="117"/>
  <c r="C4" i="117"/>
  <c r="C69" i="115"/>
  <c r="F87" i="115"/>
  <c r="A87" i="115"/>
  <c r="F86" i="115"/>
  <c r="A86" i="115"/>
  <c r="F85" i="115"/>
  <c r="A85" i="115"/>
  <c r="F84" i="115"/>
  <c r="A84" i="115"/>
  <c r="F83" i="115"/>
  <c r="A83" i="115"/>
  <c r="K78" i="115"/>
  <c r="D77" i="115"/>
  <c r="K4" i="115"/>
  <c r="J4" i="115"/>
  <c r="I4" i="115"/>
  <c r="H4" i="115"/>
  <c r="G4" i="115"/>
  <c r="F4" i="115"/>
  <c r="D4" i="115"/>
  <c r="C4" i="115"/>
  <c r="H84" i="114"/>
  <c r="C69" i="113"/>
  <c r="F87" i="113"/>
  <c r="A87" i="113"/>
  <c r="F86" i="113"/>
  <c r="A86" i="113"/>
  <c r="F85" i="113"/>
  <c r="A85" i="113"/>
  <c r="F84" i="113"/>
  <c r="A84" i="113"/>
  <c r="F83" i="113"/>
  <c r="A83" i="113"/>
  <c r="D77" i="113"/>
  <c r="K4" i="113"/>
  <c r="J4" i="113"/>
  <c r="I4" i="113"/>
  <c r="H4" i="113"/>
  <c r="G4" i="113"/>
  <c r="F4" i="113"/>
  <c r="D4" i="113"/>
  <c r="C4" i="113"/>
  <c r="A1" i="112"/>
  <c r="C69" i="110"/>
  <c r="F87" i="110"/>
  <c r="A87" i="110"/>
  <c r="F86" i="110"/>
  <c r="A86" i="110"/>
  <c r="F85" i="110"/>
  <c r="A85" i="110"/>
  <c r="F84" i="110"/>
  <c r="A84" i="110"/>
  <c r="F83" i="110"/>
  <c r="A83" i="110"/>
  <c r="D77" i="110"/>
  <c r="K4" i="110"/>
  <c r="J4" i="110"/>
  <c r="I4" i="110"/>
  <c r="H4" i="110"/>
  <c r="G4" i="110"/>
  <c r="F4" i="110"/>
  <c r="D4" i="110"/>
  <c r="C4" i="110"/>
  <c r="G69" i="119"/>
  <c r="H69" i="119"/>
  <c r="G68" i="119"/>
  <c r="G40" i="119"/>
  <c r="G54" i="121"/>
  <c r="G34" i="121"/>
  <c r="G61" i="119"/>
  <c r="G47" i="121"/>
  <c r="G55" i="119"/>
  <c r="G68" i="121"/>
  <c r="G61" i="117"/>
  <c r="G48" i="117"/>
  <c r="G33" i="117"/>
  <c r="G34" i="117"/>
  <c r="G62" i="115"/>
  <c r="G61" i="115"/>
  <c r="G41" i="115"/>
  <c r="G68" i="115"/>
  <c r="G40" i="115"/>
  <c r="G41" i="110"/>
  <c r="G40" i="110"/>
  <c r="G48" i="113"/>
  <c r="G55" i="113"/>
  <c r="G33" i="113"/>
  <c r="G48" i="110"/>
  <c r="G54" i="113"/>
  <c r="G41" i="113"/>
  <c r="G33" i="110"/>
  <c r="G23" i="119"/>
  <c r="G23" i="121"/>
  <c r="G18" i="121"/>
  <c r="G13" i="121"/>
  <c r="G28" i="119"/>
  <c r="G28" i="121"/>
  <c r="G13" i="119"/>
  <c r="G18" i="119"/>
  <c r="G28" i="117"/>
  <c r="G23" i="117"/>
  <c r="G18" i="117"/>
  <c r="G13" i="117"/>
  <c r="G23" i="115"/>
  <c r="H23" i="115"/>
  <c r="G28" i="115"/>
  <c r="G18" i="115"/>
  <c r="G13" i="115"/>
  <c r="G23" i="113"/>
  <c r="G28" i="110"/>
  <c r="G18" i="113"/>
  <c r="G13" i="113"/>
  <c r="G23" i="110"/>
  <c r="G18" i="110"/>
  <c r="G13" i="110"/>
  <c r="G28" i="113"/>
  <c r="G22" i="119"/>
  <c r="G17" i="121"/>
  <c r="G22" i="121"/>
  <c r="G17" i="117"/>
  <c r="G27" i="117"/>
  <c r="G17" i="115"/>
  <c r="G27" i="113"/>
  <c r="G22" i="113"/>
  <c r="G22" i="110"/>
  <c r="G59" i="121"/>
  <c r="G38" i="121"/>
  <c r="G66" i="119"/>
  <c r="G45" i="119"/>
  <c r="G38" i="119"/>
  <c r="G77" i="121"/>
  <c r="G31" i="121"/>
  <c r="G31" i="119"/>
  <c r="G52" i="121"/>
  <c r="G59" i="119"/>
  <c r="G66" i="121"/>
  <c r="G45" i="121"/>
  <c r="G77" i="119"/>
  <c r="G52" i="119"/>
  <c r="G77" i="117"/>
  <c r="G66" i="117"/>
  <c r="G52" i="117"/>
  <c r="G38" i="117"/>
  <c r="G31" i="117"/>
  <c r="G59" i="117"/>
  <c r="G45" i="117"/>
  <c r="G52" i="115"/>
  <c r="G31" i="115"/>
  <c r="G77" i="115"/>
  <c r="G59" i="115"/>
  <c r="G45" i="115"/>
  <c r="G66" i="115"/>
  <c r="G38" i="115"/>
  <c r="G77" i="113"/>
  <c r="G77" i="110"/>
  <c r="G66" i="110"/>
  <c r="G52" i="110"/>
  <c r="G31" i="110"/>
  <c r="G59" i="113"/>
  <c r="G38" i="113"/>
  <c r="G45" i="113"/>
  <c r="G59" i="110"/>
  <c r="G38" i="110"/>
  <c r="G66" i="113"/>
  <c r="G52" i="113"/>
  <c r="G31" i="113"/>
  <c r="G45" i="110"/>
  <c r="G35" i="121"/>
  <c r="G42" i="119"/>
  <c r="G35" i="119"/>
  <c r="G63" i="117"/>
  <c r="G56" i="121"/>
  <c r="G63" i="119"/>
  <c r="G70" i="121"/>
  <c r="G49" i="121"/>
  <c r="G56" i="119"/>
  <c r="G70" i="117"/>
  <c r="G63" i="121"/>
  <c r="G42" i="121"/>
  <c r="G70" i="119"/>
  <c r="G49" i="119"/>
  <c r="G49" i="117"/>
  <c r="G42" i="117"/>
  <c r="G35" i="117"/>
  <c r="G56" i="117"/>
  <c r="G49" i="115"/>
  <c r="G70" i="115"/>
  <c r="G56" i="115"/>
  <c r="G42" i="115"/>
  <c r="G63" i="115"/>
  <c r="G35" i="115"/>
  <c r="G49" i="113"/>
  <c r="G63" i="110"/>
  <c r="G42" i="110"/>
  <c r="G70" i="113"/>
  <c r="G56" i="113"/>
  <c r="G35" i="113"/>
  <c r="G49" i="110"/>
  <c r="G70" i="110"/>
  <c r="G56" i="110"/>
  <c r="G35" i="110"/>
  <c r="G63" i="113"/>
  <c r="G42" i="113"/>
  <c r="G21" i="115"/>
  <c r="G32" i="121"/>
  <c r="G76" i="110"/>
  <c r="H55" i="121"/>
  <c r="H54" i="121"/>
  <c r="H33" i="121"/>
  <c r="H18" i="121"/>
  <c r="H13" i="121"/>
  <c r="H61" i="119"/>
  <c r="H22" i="119"/>
  <c r="H16" i="119"/>
  <c r="H62" i="117"/>
  <c r="H69" i="121"/>
  <c r="H52" i="121"/>
  <c r="H47" i="121"/>
  <c r="H59" i="119"/>
  <c r="H56" i="119"/>
  <c r="H27" i="119"/>
  <c r="H70" i="117"/>
  <c r="H69" i="117"/>
  <c r="H68" i="121"/>
  <c r="H66" i="121"/>
  <c r="H63" i="121"/>
  <c r="H46" i="121"/>
  <c r="H42" i="121"/>
  <c r="H41" i="121"/>
  <c r="H27" i="121"/>
  <c r="H11" i="121"/>
  <c r="H77" i="119"/>
  <c r="H76" i="119"/>
  <c r="H70" i="119"/>
  <c r="H53" i="119"/>
  <c r="H49" i="119"/>
  <c r="H48" i="119"/>
  <c r="H26" i="119"/>
  <c r="H12" i="119"/>
  <c r="H77" i="117"/>
  <c r="H68" i="117"/>
  <c r="H66" i="117"/>
  <c r="H62" i="121"/>
  <c r="H61" i="121"/>
  <c r="H59" i="121"/>
  <c r="H40" i="121"/>
  <c r="H39" i="121"/>
  <c r="H35" i="121"/>
  <c r="H26" i="121"/>
  <c r="H21" i="121"/>
  <c r="H68" i="119"/>
  <c r="H67" i="119"/>
  <c r="H47" i="119"/>
  <c r="H46" i="119"/>
  <c r="H45" i="119"/>
  <c r="H41" i="119"/>
  <c r="H40" i="119"/>
  <c r="H39" i="119"/>
  <c r="H35" i="119"/>
  <c r="H34" i="119"/>
  <c r="H33" i="119"/>
  <c r="H23" i="119"/>
  <c r="H17" i="119"/>
  <c r="H11" i="119"/>
  <c r="H63" i="117"/>
  <c r="H61" i="117"/>
  <c r="H52" i="117"/>
  <c r="H48" i="117"/>
  <c r="H40" i="117"/>
  <c r="H38" i="117"/>
  <c r="H60" i="117"/>
  <c r="H59" i="117"/>
  <c r="H47" i="117"/>
  <c r="H27" i="117"/>
  <c r="H13" i="117"/>
  <c r="H53" i="117"/>
  <c r="H39" i="117"/>
  <c r="H23" i="117"/>
  <c r="H18" i="117"/>
  <c r="H55" i="117"/>
  <c r="H54" i="117"/>
  <c r="H46" i="117"/>
  <c r="H42" i="117"/>
  <c r="H34" i="117"/>
  <c r="H33" i="117"/>
  <c r="H26" i="117"/>
  <c r="H22" i="117"/>
  <c r="H17" i="117"/>
  <c r="H41" i="117"/>
  <c r="H21" i="117"/>
  <c r="H16" i="117"/>
  <c r="H77" i="115"/>
  <c r="H76" i="115"/>
  <c r="H61" i="115"/>
  <c r="H59" i="115"/>
  <c r="H49" i="115"/>
  <c r="H48" i="115"/>
  <c r="H28" i="115"/>
  <c r="H18" i="115"/>
  <c r="H74" i="115"/>
  <c r="H70" i="115"/>
  <c r="H69" i="115"/>
  <c r="H56" i="115"/>
  <c r="H45" i="115"/>
  <c r="H42" i="115"/>
  <c r="H41" i="115"/>
  <c r="H22" i="115"/>
  <c r="H17" i="115"/>
  <c r="H13" i="115"/>
  <c r="H67" i="115"/>
  <c r="H66" i="115"/>
  <c r="H63" i="115"/>
  <c r="H54" i="115"/>
  <c r="H53" i="115"/>
  <c r="H40" i="115"/>
  <c r="H38" i="115"/>
  <c r="H35" i="115"/>
  <c r="H26" i="115"/>
  <c r="H62" i="115"/>
  <c r="H52" i="115"/>
  <c r="H34" i="115"/>
  <c r="H32" i="115"/>
  <c r="H31" i="115"/>
  <c r="H16" i="115"/>
  <c r="H11" i="115"/>
  <c r="H69" i="113"/>
  <c r="H68" i="113"/>
  <c r="H60" i="113"/>
  <c r="H56" i="113"/>
  <c r="H48" i="113"/>
  <c r="H47" i="113"/>
  <c r="H38" i="113"/>
  <c r="H35" i="113"/>
  <c r="H34" i="113"/>
  <c r="H22" i="113"/>
  <c r="H18" i="113"/>
  <c r="H13" i="113"/>
  <c r="H61" i="110"/>
  <c r="H49" i="110"/>
  <c r="H39" i="110"/>
  <c r="H11" i="110"/>
  <c r="H67" i="113"/>
  <c r="H55" i="113"/>
  <c r="H33" i="113"/>
  <c r="H17" i="113"/>
  <c r="H12" i="113"/>
  <c r="H69" i="110"/>
  <c r="H68" i="110"/>
  <c r="H60" i="110"/>
  <c r="H56" i="110"/>
  <c r="H48" i="110"/>
  <c r="H47" i="110"/>
  <c r="H38" i="110"/>
  <c r="H35" i="110"/>
  <c r="H34" i="110"/>
  <c r="H22" i="110"/>
  <c r="H18" i="110"/>
  <c r="H13" i="110"/>
  <c r="H63" i="113"/>
  <c r="H62" i="113"/>
  <c r="H54" i="113"/>
  <c r="H52" i="113"/>
  <c r="H42" i="113"/>
  <c r="H41" i="113"/>
  <c r="H40" i="113"/>
  <c r="H32" i="113"/>
  <c r="H31" i="113"/>
  <c r="H28" i="113"/>
  <c r="H26" i="113"/>
  <c r="H21" i="113"/>
  <c r="H16" i="113"/>
  <c r="H11" i="113"/>
  <c r="H67" i="110"/>
  <c r="H55" i="110"/>
  <c r="H45" i="110"/>
  <c r="H33" i="110"/>
  <c r="H17" i="110"/>
  <c r="H77" i="113"/>
  <c r="H76" i="113"/>
  <c r="H74" i="113"/>
  <c r="H61" i="113"/>
  <c r="H49" i="113"/>
  <c r="H39" i="113"/>
  <c r="H23" i="113"/>
  <c r="H77" i="110"/>
  <c r="H76" i="110"/>
  <c r="H74" i="110"/>
  <c r="H66" i="110"/>
  <c r="H63" i="110"/>
  <c r="H62" i="110"/>
  <c r="H54" i="110"/>
  <c r="H53" i="110"/>
  <c r="H52" i="110"/>
  <c r="H42" i="110"/>
  <c r="H41" i="110"/>
  <c r="H40" i="110"/>
  <c r="H32" i="110"/>
  <c r="H31" i="110"/>
  <c r="H28" i="110"/>
  <c r="H26" i="110"/>
  <c r="H21" i="110"/>
  <c r="H16" i="110"/>
  <c r="H12" i="110"/>
  <c r="I39" i="120"/>
  <c r="I39" i="116"/>
  <c r="I38" i="116"/>
  <c r="I39" i="118"/>
  <c r="I26" i="118"/>
  <c r="H26" i="118" s="1"/>
  <c r="I26" i="116"/>
  <c r="H26" i="116" s="1"/>
  <c r="G26" i="116" s="1"/>
  <c r="I25" i="116"/>
  <c r="H25" i="116" s="1"/>
  <c r="I26" i="120"/>
  <c r="H26" i="120" s="1"/>
  <c r="G26" i="120" s="1"/>
  <c r="I26" i="114"/>
  <c r="H26" i="114" s="1"/>
  <c r="I25" i="114"/>
  <c r="H25" i="114" s="1"/>
  <c r="G25" i="114" s="1"/>
  <c r="I38" i="114"/>
  <c r="I39" i="114"/>
  <c r="I39" i="112"/>
  <c r="I26" i="112"/>
  <c r="H26" i="112" s="1"/>
  <c r="G26" i="112" s="1"/>
  <c r="I38" i="112"/>
  <c r="I39" i="109"/>
  <c r="I38" i="109"/>
  <c r="I26" i="109"/>
  <c r="H26" i="109" s="1"/>
  <c r="G26" i="109" s="1"/>
  <c r="I54" i="120"/>
  <c r="I54" i="118"/>
  <c r="I75" i="120"/>
  <c r="H75" i="120" s="1"/>
  <c r="G75" i="120" s="1"/>
  <c r="I75" i="118"/>
  <c r="H75" i="118" s="1"/>
  <c r="G75" i="118" s="1"/>
  <c r="I64" i="116"/>
  <c r="I53" i="116"/>
  <c r="I65" i="120"/>
  <c r="I65" i="118"/>
  <c r="I75" i="116"/>
  <c r="H75" i="116" s="1"/>
  <c r="G75" i="116" s="1"/>
  <c r="I74" i="116"/>
  <c r="H74" i="116" s="1"/>
  <c r="G74" i="116" s="1"/>
  <c r="I64" i="114"/>
  <c r="I75" i="114"/>
  <c r="H75" i="114" s="1"/>
  <c r="G75" i="114" s="1"/>
  <c r="I74" i="114"/>
  <c r="H74" i="114" s="1"/>
  <c r="G74" i="114" s="1"/>
  <c r="I53" i="114"/>
  <c r="I74" i="112"/>
  <c r="H74" i="112" s="1"/>
  <c r="G74" i="112" s="1"/>
  <c r="I75" i="109"/>
  <c r="H75" i="109" s="1"/>
  <c r="G75" i="109" s="1"/>
  <c r="I65" i="109"/>
  <c r="I75" i="112"/>
  <c r="H75" i="112" s="1"/>
  <c r="G75" i="112" s="1"/>
  <c r="I65" i="112"/>
  <c r="I54" i="109"/>
  <c r="I54" i="112"/>
  <c r="I74" i="109"/>
  <c r="H74" i="109" s="1"/>
  <c r="G74" i="109" s="1"/>
  <c r="B35" i="106"/>
  <c r="B33" i="106"/>
  <c r="G28" i="106"/>
  <c r="F28" i="106"/>
  <c r="E28" i="106"/>
  <c r="D28" i="106"/>
  <c r="G24" i="106"/>
  <c r="A22" i="106"/>
  <c r="F14" i="106"/>
  <c r="E14" i="106"/>
  <c r="D14" i="106"/>
  <c r="G10" i="106"/>
  <c r="G8" i="106"/>
  <c r="G7" i="106"/>
  <c r="D79" i="105"/>
  <c r="D76" i="105"/>
  <c r="D75" i="105"/>
  <c r="D73" i="105"/>
  <c r="D66" i="105"/>
  <c r="D65" i="105"/>
  <c r="D64" i="105"/>
  <c r="D63" i="105"/>
  <c r="D62" i="105"/>
  <c r="D61" i="105"/>
  <c r="D59" i="105"/>
  <c r="D46" i="105"/>
  <c r="D25" i="105"/>
  <c r="D24" i="105"/>
  <c r="D23" i="105"/>
  <c r="D22" i="105"/>
  <c r="K12" i="105"/>
  <c r="D11" i="105"/>
  <c r="C69" i="103"/>
  <c r="F87" i="103"/>
  <c r="A87" i="103"/>
  <c r="F86" i="103"/>
  <c r="A86" i="103"/>
  <c r="F85" i="103"/>
  <c r="A85" i="103"/>
  <c r="F84" i="103"/>
  <c r="A84" i="103"/>
  <c r="F83" i="103"/>
  <c r="A83" i="103"/>
  <c r="D77" i="103"/>
  <c r="K4" i="103"/>
  <c r="J4" i="103"/>
  <c r="I4" i="103"/>
  <c r="H4" i="103"/>
  <c r="G4" i="103"/>
  <c r="F4" i="103"/>
  <c r="D4" i="103"/>
  <c r="C4" i="103"/>
  <c r="A1" i="104"/>
  <c r="T19" i="102"/>
  <c r="P19" i="102"/>
  <c r="L19" i="102"/>
  <c r="F19" i="102"/>
  <c r="T18" i="99"/>
  <c r="P18" i="99"/>
  <c r="L18" i="99"/>
  <c r="E18" i="99"/>
  <c r="F87" i="101"/>
  <c r="A87" i="101"/>
  <c r="F86" i="101"/>
  <c r="A86" i="101"/>
  <c r="F85" i="101"/>
  <c r="A85" i="101"/>
  <c r="F84" i="101"/>
  <c r="A84" i="101"/>
  <c r="F83" i="101"/>
  <c r="A83" i="101"/>
  <c r="D77" i="101"/>
  <c r="K4" i="101"/>
  <c r="J4" i="101"/>
  <c r="I4" i="101"/>
  <c r="H4" i="101"/>
  <c r="G4" i="101"/>
  <c r="F4" i="101"/>
  <c r="D4" i="101"/>
  <c r="C4" i="101"/>
  <c r="I19" i="102"/>
  <c r="J19" i="102"/>
  <c r="C13" i="103" s="1"/>
  <c r="H83" i="104"/>
  <c r="N19" i="102"/>
  <c r="C18" i="103" s="1"/>
  <c r="J18" i="99"/>
  <c r="K19" i="102"/>
  <c r="I18" i="99"/>
  <c r="M19" i="102"/>
  <c r="M18" i="99"/>
  <c r="O18" i="99"/>
  <c r="C13" i="104" s="1"/>
  <c r="N18" i="99"/>
  <c r="K18" i="99"/>
  <c r="C11" i="104" s="1"/>
  <c r="O19" i="102"/>
  <c r="R19" i="102"/>
  <c r="C23" i="103" s="1"/>
  <c r="S18" i="99"/>
  <c r="C14" i="104" s="1"/>
  <c r="Q18" i="99"/>
  <c r="Q19" i="102"/>
  <c r="R18" i="99"/>
  <c r="S19" i="102"/>
  <c r="C15" i="90"/>
  <c r="C12" i="90"/>
  <c r="C69" i="97"/>
  <c r="F87" i="97"/>
  <c r="A87" i="97"/>
  <c r="F86" i="97"/>
  <c r="A86" i="97"/>
  <c r="F85" i="97"/>
  <c r="A85" i="97"/>
  <c r="F84" i="97"/>
  <c r="A84" i="97"/>
  <c r="F83" i="97"/>
  <c r="A83" i="97"/>
  <c r="K78" i="97"/>
  <c r="D77" i="97"/>
  <c r="K4" i="97"/>
  <c r="J4" i="97"/>
  <c r="I4" i="97"/>
  <c r="H4" i="97"/>
  <c r="G4" i="97"/>
  <c r="F4" i="97"/>
  <c r="D4" i="97"/>
  <c r="C4" i="97"/>
  <c r="A1" i="96"/>
  <c r="M84" i="96"/>
  <c r="H84" i="96"/>
  <c r="C6" i="96"/>
  <c r="A1" i="88"/>
  <c r="C69" i="94"/>
  <c r="F87" i="94"/>
  <c r="A87" i="94"/>
  <c r="F86" i="94"/>
  <c r="A86" i="94"/>
  <c r="F85" i="94"/>
  <c r="A85" i="94"/>
  <c r="F84" i="94"/>
  <c r="A84" i="94"/>
  <c r="F83" i="94"/>
  <c r="A83" i="94"/>
  <c r="D77" i="94"/>
  <c r="H77" i="94"/>
  <c r="K4" i="94"/>
  <c r="J4" i="94"/>
  <c r="I4" i="94"/>
  <c r="H4" i="94"/>
  <c r="G4" i="94"/>
  <c r="F4" i="94"/>
  <c r="D4" i="94"/>
  <c r="C4" i="94"/>
  <c r="M83" i="95"/>
  <c r="H83" i="95"/>
  <c r="G76" i="103"/>
  <c r="G76" i="61"/>
  <c r="G76" i="65"/>
  <c r="G76" i="4"/>
  <c r="G76" i="55"/>
  <c r="G76" i="42"/>
  <c r="D77" i="48"/>
  <c r="D77" i="65"/>
  <c r="D77" i="63"/>
  <c r="D77" i="44"/>
  <c r="D77" i="89"/>
  <c r="D77" i="57"/>
  <c r="D77" i="39"/>
  <c r="D77" i="55"/>
  <c r="D77" i="4"/>
  <c r="D77" i="59"/>
  <c r="D77" i="42"/>
  <c r="D77" i="61"/>
  <c r="D77" i="46"/>
  <c r="D77" i="86"/>
  <c r="C69" i="91"/>
  <c r="F85" i="91"/>
  <c r="A85" i="91"/>
  <c r="F84" i="91"/>
  <c r="A84" i="91"/>
  <c r="F83" i="91"/>
  <c r="A83" i="91"/>
  <c r="F82" i="91"/>
  <c r="A82" i="91"/>
  <c r="F81" i="91"/>
  <c r="A81" i="91"/>
  <c r="K76" i="91"/>
  <c r="K4" i="91"/>
  <c r="J4" i="91"/>
  <c r="I4" i="91"/>
  <c r="H4" i="91"/>
  <c r="G4" i="91"/>
  <c r="F4" i="91"/>
  <c r="D4" i="91"/>
  <c r="C4" i="91"/>
  <c r="C69" i="89"/>
  <c r="F87" i="89"/>
  <c r="A87" i="89"/>
  <c r="F86" i="89"/>
  <c r="A86" i="89"/>
  <c r="F85" i="89"/>
  <c r="A85" i="89"/>
  <c r="F84" i="89"/>
  <c r="A84" i="89"/>
  <c r="F83" i="89"/>
  <c r="A83" i="89"/>
  <c r="K78" i="89"/>
  <c r="K4" i="89"/>
  <c r="J4" i="89"/>
  <c r="I4" i="89"/>
  <c r="H4" i="89"/>
  <c r="G4" i="89"/>
  <c r="F4" i="89"/>
  <c r="D4" i="89"/>
  <c r="C4" i="89"/>
  <c r="M84" i="88"/>
  <c r="H84" i="88"/>
  <c r="C69" i="86"/>
  <c r="X71" i="87"/>
  <c r="W71" i="87"/>
  <c r="V71" i="87"/>
  <c r="U71" i="87"/>
  <c r="X55" i="87"/>
  <c r="W55" i="87"/>
  <c r="V55" i="87"/>
  <c r="U55" i="87"/>
  <c r="T55" i="87"/>
  <c r="S55" i="87"/>
  <c r="R55" i="87"/>
  <c r="Q55" i="87"/>
  <c r="P55" i="87"/>
  <c r="O55" i="87"/>
  <c r="N55" i="87"/>
  <c r="M55" i="87"/>
  <c r="W48" i="87"/>
  <c r="V48" i="87"/>
  <c r="U48" i="87"/>
  <c r="H83" i="90"/>
  <c r="M83" i="90"/>
  <c r="F87" i="86"/>
  <c r="A87" i="86"/>
  <c r="F86" i="86"/>
  <c r="A86" i="86"/>
  <c r="F85" i="86"/>
  <c r="A85" i="86"/>
  <c r="F84" i="86"/>
  <c r="A84" i="86"/>
  <c r="F83" i="86"/>
  <c r="A83" i="86"/>
  <c r="K4" i="86"/>
  <c r="J4" i="86"/>
  <c r="I4" i="86"/>
  <c r="H4" i="86"/>
  <c r="G4" i="86"/>
  <c r="F4" i="86"/>
  <c r="D4" i="86"/>
  <c r="C4" i="86"/>
  <c r="G67" i="103"/>
  <c r="G39" i="101"/>
  <c r="G46" i="103"/>
  <c r="G32" i="101"/>
  <c r="G53" i="101"/>
  <c r="G74" i="103"/>
  <c r="G53" i="94"/>
  <c r="G46" i="94"/>
  <c r="G32" i="94"/>
  <c r="G39" i="94"/>
  <c r="G39" i="97"/>
  <c r="G61" i="103"/>
  <c r="G55" i="103"/>
  <c r="G61" i="101"/>
  <c r="G55" i="101"/>
  <c r="G33" i="101"/>
  <c r="G68" i="103"/>
  <c r="G54" i="103"/>
  <c r="G48" i="103"/>
  <c r="G33" i="103"/>
  <c r="G54" i="101"/>
  <c r="G48" i="101"/>
  <c r="G62" i="103"/>
  <c r="G34" i="103"/>
  <c r="G68" i="101"/>
  <c r="G62" i="101"/>
  <c r="G40" i="101"/>
  <c r="G69" i="103"/>
  <c r="G47" i="103"/>
  <c r="G41" i="103"/>
  <c r="G69" i="101"/>
  <c r="G47" i="101"/>
  <c r="G41" i="101"/>
  <c r="G40" i="103"/>
  <c r="G34" i="101"/>
  <c r="G54" i="97"/>
  <c r="G48" i="97"/>
  <c r="G69" i="94"/>
  <c r="G47" i="94"/>
  <c r="G41" i="94"/>
  <c r="G69" i="97"/>
  <c r="G47" i="97"/>
  <c r="G41" i="97"/>
  <c r="G68" i="94"/>
  <c r="G62" i="94"/>
  <c r="G40" i="94"/>
  <c r="G34" i="94"/>
  <c r="G54" i="94"/>
  <c r="G68" i="97"/>
  <c r="G62" i="97"/>
  <c r="G40" i="97"/>
  <c r="G34" i="97"/>
  <c r="G61" i="94"/>
  <c r="G55" i="94"/>
  <c r="G33" i="94"/>
  <c r="G48" i="94"/>
  <c r="G61" i="97"/>
  <c r="G55" i="97"/>
  <c r="G33" i="97"/>
  <c r="G11" i="103"/>
  <c r="G21" i="101"/>
  <c r="G21" i="103"/>
  <c r="G26" i="97"/>
  <c r="G11" i="94"/>
  <c r="G21" i="94"/>
  <c r="G17" i="103"/>
  <c r="G27" i="101"/>
  <c r="G12" i="103"/>
  <c r="G22" i="103"/>
  <c r="G12" i="101"/>
  <c r="G27" i="103"/>
  <c r="G17" i="101"/>
  <c r="G22" i="101"/>
  <c r="G12" i="97"/>
  <c r="G17" i="94"/>
  <c r="G17" i="97"/>
  <c r="G22" i="94"/>
  <c r="G12" i="94"/>
  <c r="G22" i="97"/>
  <c r="G27" i="94"/>
  <c r="G27" i="97"/>
  <c r="G23" i="103"/>
  <c r="G13" i="101"/>
  <c r="G28" i="103"/>
  <c r="G18" i="101"/>
  <c r="G18" i="103"/>
  <c r="G28" i="101"/>
  <c r="G13" i="103"/>
  <c r="G23" i="101"/>
  <c r="G18" i="97"/>
  <c r="G23" i="94"/>
  <c r="G23" i="97"/>
  <c r="G28" i="94"/>
  <c r="G28" i="97"/>
  <c r="G13" i="94"/>
  <c r="G13" i="97"/>
  <c r="G18" i="94"/>
  <c r="G77" i="103"/>
  <c r="G45" i="103"/>
  <c r="G31" i="103"/>
  <c r="G77" i="101"/>
  <c r="G45" i="101"/>
  <c r="G66" i="103"/>
  <c r="G38" i="103"/>
  <c r="G66" i="101"/>
  <c r="G38" i="101"/>
  <c r="G52" i="101"/>
  <c r="G59" i="103"/>
  <c r="G59" i="101"/>
  <c r="G31" i="101"/>
  <c r="G52" i="103"/>
  <c r="G66" i="97"/>
  <c r="G38" i="97"/>
  <c r="G59" i="94"/>
  <c r="G31" i="94"/>
  <c r="G59" i="97"/>
  <c r="G31" i="97"/>
  <c r="G52" i="94"/>
  <c r="G52" i="97"/>
  <c r="G77" i="94"/>
  <c r="G45" i="94"/>
  <c r="G77" i="97"/>
  <c r="G66" i="94"/>
  <c r="G38" i="94"/>
  <c r="G45" i="97"/>
  <c r="G49" i="103"/>
  <c r="G49" i="101"/>
  <c r="G56" i="103"/>
  <c r="G70" i="103"/>
  <c r="G42" i="103"/>
  <c r="G70" i="101"/>
  <c r="G42" i="101"/>
  <c r="G63" i="103"/>
  <c r="G35" i="103"/>
  <c r="G63" i="101"/>
  <c r="G35" i="101"/>
  <c r="G56" i="101"/>
  <c r="G70" i="97"/>
  <c r="G42" i="97"/>
  <c r="G63" i="94"/>
  <c r="G35" i="94"/>
  <c r="G63" i="97"/>
  <c r="G35" i="97"/>
  <c r="G56" i="94"/>
  <c r="G70" i="94"/>
  <c r="G42" i="94"/>
  <c r="G56" i="97"/>
  <c r="G49" i="94"/>
  <c r="G49" i="97"/>
  <c r="G77" i="48"/>
  <c r="G77" i="55"/>
  <c r="G77" i="59"/>
  <c r="G77" i="61"/>
  <c r="G77" i="86"/>
  <c r="G77" i="63"/>
  <c r="G77" i="89"/>
  <c r="H77" i="89"/>
  <c r="G77" i="4"/>
  <c r="G77" i="44"/>
  <c r="G77" i="42"/>
  <c r="G77" i="46"/>
  <c r="G77" i="65"/>
  <c r="G77" i="57"/>
  <c r="G77" i="39"/>
  <c r="G26" i="91"/>
  <c r="G16" i="91"/>
  <c r="G26" i="89"/>
  <c r="G60" i="91"/>
  <c r="G74" i="89"/>
  <c r="G46" i="91"/>
  <c r="G67" i="89"/>
  <c r="G60" i="89"/>
  <c r="G54" i="91"/>
  <c r="G48" i="91"/>
  <c r="G69" i="89"/>
  <c r="G47" i="89"/>
  <c r="G41" i="89"/>
  <c r="G69" i="91"/>
  <c r="H69" i="91"/>
  <c r="G47" i="91"/>
  <c r="G41" i="91"/>
  <c r="G68" i="89"/>
  <c r="G62" i="89"/>
  <c r="G40" i="89"/>
  <c r="G34" i="89"/>
  <c r="G68" i="91"/>
  <c r="G62" i="91"/>
  <c r="G40" i="91"/>
  <c r="G34" i="91"/>
  <c r="G61" i="89"/>
  <c r="G55" i="89"/>
  <c r="G33" i="89"/>
  <c r="G61" i="91"/>
  <c r="G55" i="91"/>
  <c r="G33" i="91"/>
  <c r="G54" i="89"/>
  <c r="G48" i="89"/>
  <c r="G12" i="91"/>
  <c r="G17" i="89"/>
  <c r="G17" i="91"/>
  <c r="G22" i="89"/>
  <c r="G22" i="91"/>
  <c r="G27" i="89"/>
  <c r="G27" i="91"/>
  <c r="G12" i="89"/>
  <c r="G18" i="91"/>
  <c r="G23" i="89"/>
  <c r="G23" i="91"/>
  <c r="G28" i="89"/>
  <c r="G28" i="91"/>
  <c r="G13" i="89"/>
  <c r="G13" i="91"/>
  <c r="G18" i="89"/>
  <c r="G66" i="91"/>
  <c r="G38" i="91"/>
  <c r="G59" i="89"/>
  <c r="G31" i="89"/>
  <c r="G59" i="91"/>
  <c r="G31" i="91"/>
  <c r="G52" i="89"/>
  <c r="G52" i="91"/>
  <c r="G45" i="89"/>
  <c r="G45" i="91"/>
  <c r="G66" i="89"/>
  <c r="G38" i="89"/>
  <c r="G70" i="91"/>
  <c r="G42" i="91"/>
  <c r="G63" i="89"/>
  <c r="G35" i="89"/>
  <c r="G63" i="91"/>
  <c r="G35" i="91"/>
  <c r="G56" i="89"/>
  <c r="G56" i="91"/>
  <c r="G49" i="89"/>
  <c r="G49" i="91"/>
  <c r="G70" i="89"/>
  <c r="G42" i="89"/>
  <c r="G21" i="86"/>
  <c r="G11" i="86"/>
  <c r="G39" i="86"/>
  <c r="G74" i="86"/>
  <c r="G67" i="86"/>
  <c r="G27" i="86"/>
  <c r="G22" i="86"/>
  <c r="G17" i="86"/>
  <c r="G12" i="86"/>
  <c r="G62" i="86"/>
  <c r="G61" i="86"/>
  <c r="G41" i="86"/>
  <c r="G40" i="86"/>
  <c r="G55" i="86"/>
  <c r="G69" i="86"/>
  <c r="G54" i="86"/>
  <c r="G33" i="86"/>
  <c r="G68" i="86"/>
  <c r="G48" i="86"/>
  <c r="G47" i="86"/>
  <c r="H47" i="86"/>
  <c r="G34" i="86"/>
  <c r="G28" i="86"/>
  <c r="G23" i="86"/>
  <c r="G18" i="86"/>
  <c r="G13" i="86"/>
  <c r="G66" i="86"/>
  <c r="G59" i="86"/>
  <c r="G52" i="86"/>
  <c r="H52" i="86"/>
  <c r="G31" i="86"/>
  <c r="G38" i="86"/>
  <c r="G45" i="86"/>
  <c r="G63" i="86"/>
  <c r="G42" i="86"/>
  <c r="G35" i="86"/>
  <c r="G70" i="86"/>
  <c r="G49" i="86"/>
  <c r="G56" i="86"/>
  <c r="H77" i="103"/>
  <c r="H59" i="103"/>
  <c r="H56" i="103"/>
  <c r="H55" i="103"/>
  <c r="H54" i="103"/>
  <c r="H35" i="103"/>
  <c r="H27" i="103"/>
  <c r="H26" i="103"/>
  <c r="H17" i="103"/>
  <c r="H16" i="103"/>
  <c r="H68" i="101"/>
  <c r="H67" i="101"/>
  <c r="H66" i="101"/>
  <c r="H63" i="101"/>
  <c r="H46" i="101"/>
  <c r="H45" i="101"/>
  <c r="H42" i="101"/>
  <c r="H41" i="101"/>
  <c r="H22" i="101"/>
  <c r="H68" i="103"/>
  <c r="H46" i="103"/>
  <c r="H42" i="103"/>
  <c r="H33" i="103"/>
  <c r="H56" i="101"/>
  <c r="H55" i="101"/>
  <c r="H53" i="101"/>
  <c r="H33" i="101"/>
  <c r="H31" i="101"/>
  <c r="H63" i="103"/>
  <c r="H62" i="103"/>
  <c r="H61" i="103"/>
  <c r="H41" i="103"/>
  <c r="H39" i="103"/>
  <c r="H74" i="101"/>
  <c r="H70" i="101"/>
  <c r="H69" i="101"/>
  <c r="H52" i="101"/>
  <c r="H49" i="101"/>
  <c r="H47" i="101"/>
  <c r="H13" i="101"/>
  <c r="H12" i="101"/>
  <c r="H76" i="103"/>
  <c r="H74" i="103"/>
  <c r="H70" i="103"/>
  <c r="H53" i="103"/>
  <c r="H52" i="103"/>
  <c r="H49" i="103"/>
  <c r="H48" i="103"/>
  <c r="H34" i="103"/>
  <c r="H31" i="103"/>
  <c r="H23" i="103"/>
  <c r="H22" i="103"/>
  <c r="H62" i="101"/>
  <c r="H61" i="101"/>
  <c r="H60" i="101"/>
  <c r="H59" i="101"/>
  <c r="H40" i="101"/>
  <c r="H39" i="101"/>
  <c r="H38" i="101"/>
  <c r="H35" i="101"/>
  <c r="H21" i="101"/>
  <c r="H18" i="101"/>
  <c r="H17" i="101"/>
  <c r="H69" i="103"/>
  <c r="H67" i="103"/>
  <c r="H66" i="103"/>
  <c r="H47" i="103"/>
  <c r="H45" i="103"/>
  <c r="H28" i="103"/>
  <c r="H13" i="103"/>
  <c r="H12" i="103"/>
  <c r="H77" i="101"/>
  <c r="H76" i="101"/>
  <c r="H54" i="101"/>
  <c r="H34" i="101"/>
  <c r="H32" i="101"/>
  <c r="H16" i="101"/>
  <c r="H60" i="103"/>
  <c r="H40" i="103"/>
  <c r="H38" i="103"/>
  <c r="H32" i="103"/>
  <c r="H21" i="103"/>
  <c r="H18" i="103"/>
  <c r="H11" i="103"/>
  <c r="H48" i="101"/>
  <c r="H28" i="101"/>
  <c r="H27" i="101"/>
  <c r="H26" i="101"/>
  <c r="H23" i="101"/>
  <c r="H11" i="101"/>
  <c r="H63" i="97"/>
  <c r="H62" i="97"/>
  <c r="H61" i="97"/>
  <c r="H60" i="97"/>
  <c r="H41" i="97"/>
  <c r="H40" i="97"/>
  <c r="H23" i="97"/>
  <c r="H22" i="97"/>
  <c r="H21" i="97"/>
  <c r="H18" i="97"/>
  <c r="H76" i="94"/>
  <c r="H74" i="94"/>
  <c r="H70" i="94"/>
  <c r="H69" i="94"/>
  <c r="H46" i="94"/>
  <c r="H45" i="94"/>
  <c r="H42" i="94"/>
  <c r="H41" i="94"/>
  <c r="H32" i="94"/>
  <c r="H31" i="94"/>
  <c r="H22" i="94"/>
  <c r="H21" i="94"/>
  <c r="H55" i="97"/>
  <c r="H38" i="97"/>
  <c r="H16" i="97"/>
  <c r="H67" i="94"/>
  <c r="H39" i="94"/>
  <c r="H12" i="94"/>
  <c r="H77" i="97"/>
  <c r="H76" i="97"/>
  <c r="H74" i="97"/>
  <c r="H70" i="97"/>
  <c r="H53" i="97"/>
  <c r="H52" i="97"/>
  <c r="H49" i="97"/>
  <c r="H48" i="97"/>
  <c r="H35" i="97"/>
  <c r="H34" i="97"/>
  <c r="H33" i="97"/>
  <c r="H32" i="97"/>
  <c r="H11" i="97"/>
  <c r="H62" i="94"/>
  <c r="H61" i="94"/>
  <c r="H60" i="94"/>
  <c r="H59" i="94"/>
  <c r="H56" i="94"/>
  <c r="H55" i="94"/>
  <c r="H54" i="94"/>
  <c r="H53" i="94"/>
  <c r="H34" i="94"/>
  <c r="H33" i="94"/>
  <c r="H18" i="94"/>
  <c r="H17" i="94"/>
  <c r="H59" i="97"/>
  <c r="H54" i="97"/>
  <c r="H39" i="97"/>
  <c r="H17" i="97"/>
  <c r="H12" i="97"/>
  <c r="H68" i="94"/>
  <c r="H63" i="94"/>
  <c r="H38" i="94"/>
  <c r="H28" i="94"/>
  <c r="H11" i="94"/>
  <c r="H69" i="97"/>
  <c r="H68" i="97"/>
  <c r="H67" i="97"/>
  <c r="H66" i="97"/>
  <c r="H47" i="97"/>
  <c r="H46" i="97"/>
  <c r="H45" i="97"/>
  <c r="H42" i="97"/>
  <c r="H31" i="97"/>
  <c r="H28" i="97"/>
  <c r="H27" i="97"/>
  <c r="H26" i="97"/>
  <c r="H52" i="94"/>
  <c r="H49" i="94"/>
  <c r="H48" i="94"/>
  <c r="H47" i="94"/>
  <c r="H26" i="94"/>
  <c r="H23" i="94"/>
  <c r="H16" i="94"/>
  <c r="H13" i="94"/>
  <c r="H56" i="97"/>
  <c r="H13" i="97"/>
  <c r="H66" i="94"/>
  <c r="H40" i="94"/>
  <c r="H35" i="94"/>
  <c r="H27" i="94"/>
  <c r="H77" i="48"/>
  <c r="H76" i="48"/>
  <c r="H77" i="65"/>
  <c r="H76" i="89"/>
  <c r="H77" i="57"/>
  <c r="H76" i="57"/>
  <c r="H76" i="65"/>
  <c r="H77" i="39"/>
  <c r="H76" i="39"/>
  <c r="H77" i="55"/>
  <c r="H77" i="63"/>
  <c r="H76" i="44"/>
  <c r="H77" i="61"/>
  <c r="H77" i="86"/>
  <c r="H76" i="55"/>
  <c r="H76" i="4"/>
  <c r="H76" i="86"/>
  <c r="H76" i="42"/>
  <c r="H77" i="44"/>
  <c r="H77" i="4"/>
  <c r="H76" i="61"/>
  <c r="H76" i="59"/>
  <c r="H77" i="59"/>
  <c r="H77" i="46"/>
  <c r="H76" i="46"/>
  <c r="H76" i="63"/>
  <c r="H77" i="42"/>
  <c r="H59" i="91"/>
  <c r="H56" i="91"/>
  <c r="H55" i="91"/>
  <c r="H54" i="91"/>
  <c r="H35" i="91"/>
  <c r="H34" i="91"/>
  <c r="H33" i="91"/>
  <c r="H32" i="91"/>
  <c r="H13" i="91"/>
  <c r="H12" i="91"/>
  <c r="H11" i="91"/>
  <c r="H70" i="89"/>
  <c r="H69" i="89"/>
  <c r="H62" i="89"/>
  <c r="H61" i="89"/>
  <c r="H53" i="89"/>
  <c r="H46" i="89"/>
  <c r="H45" i="89"/>
  <c r="H38" i="89"/>
  <c r="H31" i="89"/>
  <c r="H22" i="89"/>
  <c r="H21" i="89"/>
  <c r="H12" i="89"/>
  <c r="H74" i="91"/>
  <c r="H70" i="91"/>
  <c r="H53" i="91"/>
  <c r="H52" i="91"/>
  <c r="H49" i="91"/>
  <c r="H48" i="91"/>
  <c r="H31" i="91"/>
  <c r="H28" i="91"/>
  <c r="H27" i="91"/>
  <c r="H26" i="91"/>
  <c r="H68" i="89"/>
  <c r="H67" i="89"/>
  <c r="H60" i="89"/>
  <c r="H59" i="89"/>
  <c r="H52" i="89"/>
  <c r="H49" i="89"/>
  <c r="H42" i="89"/>
  <c r="H35" i="89"/>
  <c r="H28" i="89"/>
  <c r="H27" i="89"/>
  <c r="H18" i="89"/>
  <c r="H11" i="89"/>
  <c r="H67" i="91"/>
  <c r="H66" i="91"/>
  <c r="H46" i="91"/>
  <c r="H42" i="91"/>
  <c r="H22" i="91"/>
  <c r="H21" i="91"/>
  <c r="H56" i="89"/>
  <c r="H48" i="89"/>
  <c r="H41" i="89"/>
  <c r="H33" i="89"/>
  <c r="H26" i="89"/>
  <c r="H63" i="91"/>
  <c r="H62" i="91"/>
  <c r="H61" i="91"/>
  <c r="H60" i="91"/>
  <c r="H41" i="91"/>
  <c r="H40" i="91"/>
  <c r="H39" i="91"/>
  <c r="H38" i="91"/>
  <c r="H17" i="91"/>
  <c r="H16" i="91"/>
  <c r="H74" i="89"/>
  <c r="H63" i="89"/>
  <c r="H54" i="89"/>
  <c r="H47" i="89"/>
  <c r="H40" i="89"/>
  <c r="H39" i="89"/>
  <c r="H32" i="89"/>
  <c r="H23" i="89"/>
  <c r="H16" i="89"/>
  <c r="H13" i="89"/>
  <c r="H68" i="91"/>
  <c r="H47" i="91"/>
  <c r="H45" i="91"/>
  <c r="H23" i="91"/>
  <c r="H18" i="91"/>
  <c r="H66" i="89"/>
  <c r="H55" i="89"/>
  <c r="H34" i="89"/>
  <c r="H17" i="89"/>
  <c r="H74" i="86"/>
  <c r="H60" i="86"/>
  <c r="H59" i="86"/>
  <c r="H56" i="86"/>
  <c r="H55" i="86"/>
  <c r="H38" i="86"/>
  <c r="H35" i="86"/>
  <c r="H34" i="86"/>
  <c r="H33" i="86"/>
  <c r="H21" i="86"/>
  <c r="H12" i="86"/>
  <c r="H70" i="86"/>
  <c r="H49" i="86"/>
  <c r="H32" i="86"/>
  <c r="H11" i="86"/>
  <c r="H68" i="86"/>
  <c r="H67" i="86"/>
  <c r="H48" i="86"/>
  <c r="H46" i="86"/>
  <c r="H45" i="86"/>
  <c r="H23" i="86"/>
  <c r="H18" i="86"/>
  <c r="H13" i="86"/>
  <c r="H53" i="86"/>
  <c r="H28" i="86"/>
  <c r="H26" i="86"/>
  <c r="H16" i="86"/>
  <c r="H66" i="86"/>
  <c r="H63" i="86"/>
  <c r="H62" i="86"/>
  <c r="H61" i="86"/>
  <c r="H42" i="86"/>
  <c r="H41" i="86"/>
  <c r="H40" i="86"/>
  <c r="H39" i="86"/>
  <c r="H27" i="86"/>
  <c r="H22" i="86"/>
  <c r="H17" i="86"/>
  <c r="H69" i="86"/>
  <c r="H54" i="86"/>
  <c r="H31" i="86"/>
  <c r="I65" i="104"/>
  <c r="I54" i="104"/>
  <c r="I75" i="104"/>
  <c r="H75" i="104" s="1"/>
  <c r="G75" i="104" s="1"/>
  <c r="I74" i="104"/>
  <c r="H74" i="104" s="1"/>
  <c r="G74" i="104" s="1"/>
  <c r="I65" i="95"/>
  <c r="I53" i="95"/>
  <c r="I64" i="96"/>
  <c r="I54" i="95"/>
  <c r="I74" i="95"/>
  <c r="H74" i="95" s="1"/>
  <c r="G74" i="95" s="1"/>
  <c r="I53" i="96"/>
  <c r="I75" i="96"/>
  <c r="H75" i="96" s="1"/>
  <c r="G75" i="96" s="1"/>
  <c r="I74" i="96"/>
  <c r="H74" i="96" s="1"/>
  <c r="G74" i="96" s="1"/>
  <c r="I54" i="96"/>
  <c r="I75" i="95"/>
  <c r="H75" i="95" s="1"/>
  <c r="G75" i="95" s="1"/>
  <c r="I64" i="95"/>
  <c r="I65" i="96"/>
  <c r="I26" i="104"/>
  <c r="H26" i="104" s="1"/>
  <c r="G26" i="104" s="1"/>
  <c r="I38" i="104"/>
  <c r="I39" i="104"/>
  <c r="I25" i="95"/>
  <c r="H25" i="95" s="1"/>
  <c r="G25" i="95" s="1"/>
  <c r="I39" i="96"/>
  <c r="I38" i="96"/>
  <c r="I39" i="95"/>
  <c r="I38" i="95"/>
  <c r="I26" i="95"/>
  <c r="H26" i="95" s="1"/>
  <c r="G26" i="95" s="1"/>
  <c r="I25" i="96"/>
  <c r="H25" i="96" s="1"/>
  <c r="G25" i="96" s="1"/>
  <c r="I26" i="96"/>
  <c r="H26" i="96" s="1"/>
  <c r="I38" i="88"/>
  <c r="I25" i="88"/>
  <c r="H25" i="88" s="1"/>
  <c r="G25" i="88" s="1"/>
  <c r="I39" i="88"/>
  <c r="I26" i="90"/>
  <c r="H26" i="90" s="1"/>
  <c r="G26" i="90" s="1"/>
  <c r="I39" i="90"/>
  <c r="I38" i="90"/>
  <c r="I54" i="90"/>
  <c r="I53" i="88"/>
  <c r="I75" i="90"/>
  <c r="H75" i="90" s="1"/>
  <c r="G75" i="90" s="1"/>
  <c r="I74" i="88"/>
  <c r="H74" i="88" s="1"/>
  <c r="G74" i="88" s="1"/>
  <c r="I65" i="90"/>
  <c r="I75" i="88"/>
  <c r="H75" i="88" s="1"/>
  <c r="G75" i="88" s="1"/>
  <c r="I64" i="88"/>
  <c r="I26" i="85"/>
  <c r="H26" i="85" s="1"/>
  <c r="G26" i="85" s="1"/>
  <c r="I38" i="85"/>
  <c r="I39" i="85"/>
  <c r="I75" i="85"/>
  <c r="H75" i="85" s="1"/>
  <c r="G75" i="85" s="1"/>
  <c r="I54" i="85"/>
  <c r="I74" i="85"/>
  <c r="H74" i="85" s="1"/>
  <c r="G74" i="85" s="1"/>
  <c r="I65" i="85"/>
  <c r="C12" i="79"/>
  <c r="C15" i="79"/>
  <c r="C69" i="48"/>
  <c r="H12" i="48"/>
  <c r="C11" i="77"/>
  <c r="C12" i="77"/>
  <c r="I38" i="77" s="1"/>
  <c r="C15" i="77"/>
  <c r="C69" i="63"/>
  <c r="C4" i="46"/>
  <c r="K4" i="46"/>
  <c r="C4" i="61"/>
  <c r="K4" i="61"/>
  <c r="K4" i="42"/>
  <c r="C4" i="42"/>
  <c r="C4" i="59"/>
  <c r="C15" i="76"/>
  <c r="C12" i="76"/>
  <c r="C15" i="78"/>
  <c r="C12" i="78"/>
  <c r="C11" i="78"/>
  <c r="I25" i="78" s="1"/>
  <c r="H25" i="78" s="1"/>
  <c r="G25" i="78" s="1"/>
  <c r="C7" i="17"/>
  <c r="G7" i="17"/>
  <c r="D7" i="17"/>
  <c r="D8" i="17"/>
  <c r="G8" i="17"/>
  <c r="E7" i="17"/>
  <c r="E8" i="17"/>
  <c r="E9" i="17"/>
  <c r="G9" i="17"/>
  <c r="F7" i="17"/>
  <c r="F8" i="17"/>
  <c r="F9" i="17"/>
  <c r="G40" i="63"/>
  <c r="G32" i="63"/>
  <c r="G52" i="63"/>
  <c r="G13" i="65"/>
  <c r="G12" i="63"/>
  <c r="G16" i="44"/>
  <c r="H49" i="63"/>
  <c r="K4" i="4"/>
  <c r="C4" i="4"/>
  <c r="K78" i="48"/>
  <c r="E56" i="18"/>
  <c r="C12" i="17"/>
  <c r="D12" i="17"/>
  <c r="D17" i="17" s="1"/>
  <c r="D13" i="17"/>
  <c r="G13" i="17"/>
  <c r="G18" i="17" s="1"/>
  <c r="E13" i="17"/>
  <c r="E18" i="17" s="1"/>
  <c r="E12" i="17"/>
  <c r="E17" i="17" s="1"/>
  <c r="E14" i="17"/>
  <c r="G14" i="17"/>
  <c r="G19" i="17" s="1"/>
  <c r="F13" i="17"/>
  <c r="F18" i="17" s="1"/>
  <c r="F14" i="17"/>
  <c r="F19" i="17" s="1"/>
  <c r="F12" i="17"/>
  <c r="F17" i="17" s="1"/>
  <c r="G12" i="17"/>
  <c r="G17" i="17" s="1"/>
  <c r="I26" i="79"/>
  <c r="H26" i="79" s="1"/>
  <c r="G26" i="79" s="1"/>
  <c r="I39" i="79"/>
  <c r="I54" i="79"/>
  <c r="I65" i="79"/>
  <c r="I75" i="79"/>
  <c r="H75" i="79" s="1"/>
  <c r="G75" i="79" s="1"/>
  <c r="K4" i="48"/>
  <c r="J4" i="48"/>
  <c r="I4" i="48"/>
  <c r="H4" i="48"/>
  <c r="G4" i="48"/>
  <c r="F4" i="48"/>
  <c r="D4" i="48"/>
  <c r="C4" i="48"/>
  <c r="A1" i="79"/>
  <c r="K78" i="65"/>
  <c r="G69" i="65"/>
  <c r="H69" i="65"/>
  <c r="C69" i="65"/>
  <c r="I26" i="78"/>
  <c r="H26" i="78" s="1"/>
  <c r="G26" i="78" s="1"/>
  <c r="I39" i="78"/>
  <c r="I54" i="78"/>
  <c r="I65" i="78"/>
  <c r="I75" i="78"/>
  <c r="H75" i="78" s="1"/>
  <c r="G75" i="78" s="1"/>
  <c r="G68" i="65"/>
  <c r="H68" i="65"/>
  <c r="G62" i="65"/>
  <c r="H62" i="65"/>
  <c r="G61" i="65"/>
  <c r="H61" i="65"/>
  <c r="G56" i="65"/>
  <c r="H56" i="65"/>
  <c r="G55" i="65"/>
  <c r="H55" i="65"/>
  <c r="G54" i="65"/>
  <c r="H54" i="65"/>
  <c r="H53" i="65"/>
  <c r="G52" i="65"/>
  <c r="H52" i="65"/>
  <c r="G49" i="65"/>
  <c r="H49" i="65"/>
  <c r="G48" i="65"/>
  <c r="H48" i="65"/>
  <c r="G47" i="65"/>
  <c r="H47" i="65"/>
  <c r="G46" i="65"/>
  <c r="H46" i="65"/>
  <c r="G45" i="65"/>
  <c r="H45" i="65"/>
  <c r="G42" i="65"/>
  <c r="H42" i="65"/>
  <c r="G41" i="65"/>
  <c r="H41" i="65"/>
  <c r="G40" i="65"/>
  <c r="H40" i="65"/>
  <c r="H39" i="65"/>
  <c r="G38" i="65"/>
  <c r="H38" i="65"/>
  <c r="G35" i="65"/>
  <c r="H35" i="65"/>
  <c r="G34" i="65"/>
  <c r="H34" i="65"/>
  <c r="G33" i="65"/>
  <c r="H33" i="65"/>
  <c r="H32" i="65"/>
  <c r="G31" i="65"/>
  <c r="H31" i="65"/>
  <c r="H28" i="65"/>
  <c r="G27" i="65"/>
  <c r="H27" i="65"/>
  <c r="H26" i="65"/>
  <c r="H23" i="65"/>
  <c r="G22" i="65"/>
  <c r="H22" i="65"/>
  <c r="H21" i="65"/>
  <c r="H18" i="65"/>
  <c r="G17" i="65"/>
  <c r="H17" i="65"/>
  <c r="H16" i="65"/>
  <c r="H13" i="65"/>
  <c r="G12" i="65"/>
  <c r="H12" i="65"/>
  <c r="H11" i="65"/>
  <c r="K4" i="65"/>
  <c r="J4" i="65"/>
  <c r="I4" i="65"/>
  <c r="H4" i="65"/>
  <c r="G4" i="65"/>
  <c r="F4" i="65"/>
  <c r="D4" i="65"/>
  <c r="C4" i="65"/>
  <c r="A1" i="78"/>
  <c r="K78" i="63"/>
  <c r="I26" i="77"/>
  <c r="H26" i="77" s="1"/>
  <c r="G26" i="77" s="1"/>
  <c r="I39" i="77"/>
  <c r="I54" i="77"/>
  <c r="I65" i="77"/>
  <c r="I75" i="77"/>
  <c r="H75" i="77" s="1"/>
  <c r="G75" i="77" s="1"/>
  <c r="K4" i="63"/>
  <c r="J4" i="63"/>
  <c r="I4" i="63"/>
  <c r="H4" i="63"/>
  <c r="G4" i="63"/>
  <c r="F4" i="63"/>
  <c r="D4" i="63"/>
  <c r="C4" i="63"/>
  <c r="A1" i="77"/>
  <c r="K78" i="44"/>
  <c r="G69" i="44"/>
  <c r="H69" i="44"/>
  <c r="C69" i="44"/>
  <c r="I26" i="76"/>
  <c r="H26" i="76" s="1"/>
  <c r="G26" i="76" s="1"/>
  <c r="I39" i="76"/>
  <c r="I54" i="76"/>
  <c r="I65" i="76"/>
  <c r="I75" i="76"/>
  <c r="H75" i="76" s="1"/>
  <c r="G75" i="76" s="1"/>
  <c r="G68" i="44"/>
  <c r="H68" i="44"/>
  <c r="G62" i="44"/>
  <c r="H62" i="44"/>
  <c r="G61" i="44"/>
  <c r="H61" i="44"/>
  <c r="G56" i="44"/>
  <c r="H56" i="44"/>
  <c r="G55" i="44"/>
  <c r="H55" i="44"/>
  <c r="G54" i="44"/>
  <c r="H54" i="44"/>
  <c r="G53" i="44"/>
  <c r="H53" i="44"/>
  <c r="G52" i="44"/>
  <c r="H52" i="44"/>
  <c r="G49" i="44"/>
  <c r="H49" i="44"/>
  <c r="G48" i="44"/>
  <c r="H48" i="44"/>
  <c r="G47" i="44"/>
  <c r="H47" i="44"/>
  <c r="H46" i="44"/>
  <c r="G45" i="44"/>
  <c r="H45" i="44"/>
  <c r="G42" i="44"/>
  <c r="H42" i="44"/>
  <c r="G41" i="44"/>
  <c r="H41" i="44"/>
  <c r="G40" i="44"/>
  <c r="H40" i="44"/>
  <c r="H39" i="44"/>
  <c r="G38" i="44"/>
  <c r="H38" i="44"/>
  <c r="G35" i="44"/>
  <c r="H35" i="44"/>
  <c r="G34" i="44"/>
  <c r="H34" i="44"/>
  <c r="G33" i="44"/>
  <c r="H33" i="44"/>
  <c r="H32" i="44"/>
  <c r="G31" i="44"/>
  <c r="H31" i="44"/>
  <c r="H28" i="44"/>
  <c r="G27" i="44"/>
  <c r="H27" i="44"/>
  <c r="H26" i="44"/>
  <c r="H23" i="44"/>
  <c r="G22" i="44"/>
  <c r="H22" i="44"/>
  <c r="G21" i="44"/>
  <c r="H21" i="44"/>
  <c r="H18" i="44"/>
  <c r="G17" i="44"/>
  <c r="H17" i="44"/>
  <c r="H16" i="44"/>
  <c r="H13" i="44"/>
  <c r="G12" i="44"/>
  <c r="H12" i="44"/>
  <c r="H11" i="44"/>
  <c r="K4" i="44"/>
  <c r="J4" i="44"/>
  <c r="I4" i="44"/>
  <c r="H4" i="44"/>
  <c r="G4" i="44"/>
  <c r="F4" i="44"/>
  <c r="D4" i="44"/>
  <c r="C4" i="44"/>
  <c r="A1" i="76"/>
  <c r="H11" i="46"/>
  <c r="G12" i="46"/>
  <c r="H12" i="46"/>
  <c r="H13" i="46"/>
  <c r="H16" i="46"/>
  <c r="G17" i="46"/>
  <c r="H17" i="46"/>
  <c r="G18" i="46"/>
  <c r="H18" i="46"/>
  <c r="H21" i="46"/>
  <c r="G22" i="46"/>
  <c r="H22" i="46"/>
  <c r="H23" i="46"/>
  <c r="H26" i="46"/>
  <c r="G27" i="46"/>
  <c r="H27" i="46"/>
  <c r="H28" i="46"/>
  <c r="G31" i="46"/>
  <c r="H31" i="46"/>
  <c r="G32" i="46"/>
  <c r="H32" i="46"/>
  <c r="G33" i="46"/>
  <c r="H33" i="46"/>
  <c r="G34" i="46"/>
  <c r="H34" i="46"/>
  <c r="G35" i="46"/>
  <c r="H35" i="46"/>
  <c r="G38" i="46"/>
  <c r="H38" i="46"/>
  <c r="H39" i="46"/>
  <c r="G40" i="46"/>
  <c r="H40" i="46"/>
  <c r="G41" i="46"/>
  <c r="H41" i="46"/>
  <c r="G42" i="46"/>
  <c r="H42" i="46"/>
  <c r="G45" i="46"/>
  <c r="H45" i="46"/>
  <c r="H46" i="46"/>
  <c r="G47" i="46"/>
  <c r="H47" i="46"/>
  <c r="G48" i="46"/>
  <c r="H48" i="46"/>
  <c r="G49" i="46"/>
  <c r="H49" i="46"/>
  <c r="G52" i="46"/>
  <c r="H52" i="46"/>
  <c r="H53" i="46"/>
  <c r="G54" i="46"/>
  <c r="H54" i="46"/>
  <c r="G55" i="46"/>
  <c r="H55" i="46"/>
  <c r="G56" i="46"/>
  <c r="H56" i="46"/>
  <c r="G59" i="46"/>
  <c r="H59" i="46"/>
  <c r="G60" i="46"/>
  <c r="H60" i="46"/>
  <c r="G61" i="46"/>
  <c r="H61" i="46"/>
  <c r="G62" i="46"/>
  <c r="H62" i="46"/>
  <c r="G63" i="46"/>
  <c r="H63" i="46"/>
  <c r="G66" i="46"/>
  <c r="H66" i="46"/>
  <c r="H67" i="46"/>
  <c r="G68" i="46"/>
  <c r="H68" i="46"/>
  <c r="G69" i="46"/>
  <c r="H69" i="46"/>
  <c r="G70" i="46"/>
  <c r="H70" i="46"/>
  <c r="H74" i="46"/>
  <c r="H11" i="61"/>
  <c r="G12" i="61"/>
  <c r="H12" i="61"/>
  <c r="H13" i="61"/>
  <c r="H16" i="61"/>
  <c r="G17" i="61"/>
  <c r="H17" i="61"/>
  <c r="H18" i="61"/>
  <c r="G21" i="61"/>
  <c r="H21" i="61"/>
  <c r="G22" i="61"/>
  <c r="H22" i="61"/>
  <c r="H23" i="61"/>
  <c r="U72" i="52"/>
  <c r="H26" i="61"/>
  <c r="G27" i="61"/>
  <c r="H27" i="61"/>
  <c r="H28" i="61"/>
  <c r="V72" i="52"/>
  <c r="G31" i="61"/>
  <c r="H31" i="61"/>
  <c r="H32" i="61"/>
  <c r="G33" i="61"/>
  <c r="H33" i="61"/>
  <c r="G34" i="61"/>
  <c r="H34" i="61"/>
  <c r="G35" i="61"/>
  <c r="H35" i="61"/>
  <c r="G38" i="61"/>
  <c r="H38" i="61"/>
  <c r="H39" i="61"/>
  <c r="G40" i="61"/>
  <c r="H40" i="61"/>
  <c r="G41" i="61"/>
  <c r="H41" i="61"/>
  <c r="G42" i="61"/>
  <c r="H42" i="61"/>
  <c r="G45" i="61"/>
  <c r="H45" i="61"/>
  <c r="G46" i="61"/>
  <c r="H46" i="61"/>
  <c r="G47" i="61"/>
  <c r="H47" i="61"/>
  <c r="G48" i="61"/>
  <c r="H48" i="61"/>
  <c r="G49" i="61"/>
  <c r="H49" i="61"/>
  <c r="G52" i="61"/>
  <c r="H52" i="61"/>
  <c r="H53" i="61"/>
  <c r="G54" i="61"/>
  <c r="H54" i="61"/>
  <c r="G55" i="61"/>
  <c r="H55" i="61"/>
  <c r="G56" i="61"/>
  <c r="H56" i="61"/>
  <c r="G59" i="61"/>
  <c r="H59" i="61"/>
  <c r="H60" i="61"/>
  <c r="G61" i="61"/>
  <c r="H61" i="61"/>
  <c r="G62" i="61"/>
  <c r="H62" i="61"/>
  <c r="G63" i="61"/>
  <c r="H63" i="61"/>
  <c r="G66" i="61"/>
  <c r="H66" i="61"/>
  <c r="H67" i="61"/>
  <c r="G68" i="61"/>
  <c r="H68" i="61"/>
  <c r="G69" i="61"/>
  <c r="H69" i="61"/>
  <c r="G70" i="61"/>
  <c r="H70" i="61"/>
  <c r="G74" i="61"/>
  <c r="H74" i="61"/>
  <c r="H11" i="42"/>
  <c r="G12" i="42"/>
  <c r="H12" i="42"/>
  <c r="H13" i="42"/>
  <c r="H16" i="42"/>
  <c r="G17" i="42"/>
  <c r="H17" i="42"/>
  <c r="H18" i="42"/>
  <c r="H21" i="42"/>
  <c r="G22" i="42"/>
  <c r="H22" i="42"/>
  <c r="H23" i="42"/>
  <c r="H26" i="42"/>
  <c r="G27" i="42"/>
  <c r="H27" i="42"/>
  <c r="H28" i="42"/>
  <c r="C28" i="42"/>
  <c r="G31" i="42"/>
  <c r="H31" i="42"/>
  <c r="H32" i="42"/>
  <c r="G33" i="42"/>
  <c r="H33" i="42"/>
  <c r="G34" i="42"/>
  <c r="H34" i="42"/>
  <c r="G35" i="42"/>
  <c r="H35" i="42"/>
  <c r="G38" i="42"/>
  <c r="H38" i="42"/>
  <c r="H39" i="42"/>
  <c r="G40" i="42"/>
  <c r="H40" i="42"/>
  <c r="G41" i="42"/>
  <c r="H41" i="42"/>
  <c r="G42" i="42"/>
  <c r="H42" i="42"/>
  <c r="G45" i="42"/>
  <c r="H45" i="42"/>
  <c r="H46" i="42"/>
  <c r="G47" i="42"/>
  <c r="H47" i="42"/>
  <c r="G48" i="42"/>
  <c r="H48" i="42"/>
  <c r="G49" i="42"/>
  <c r="H49" i="42"/>
  <c r="G52" i="42"/>
  <c r="H52" i="42"/>
  <c r="G53" i="42"/>
  <c r="H53" i="42"/>
  <c r="G54" i="42"/>
  <c r="H54" i="42"/>
  <c r="G55" i="42"/>
  <c r="H55" i="42"/>
  <c r="G56" i="42"/>
  <c r="H56" i="42"/>
  <c r="G59" i="42"/>
  <c r="H59" i="42"/>
  <c r="G60" i="42"/>
  <c r="H60" i="42"/>
  <c r="G61" i="42"/>
  <c r="H61" i="42"/>
  <c r="G62" i="42"/>
  <c r="H62" i="42"/>
  <c r="G63" i="42"/>
  <c r="H63" i="42"/>
  <c r="G66" i="42"/>
  <c r="H66" i="42"/>
  <c r="H67" i="42"/>
  <c r="G68" i="42"/>
  <c r="H68" i="42"/>
  <c r="G69" i="42"/>
  <c r="H69" i="42"/>
  <c r="G70" i="42"/>
  <c r="H70" i="42"/>
  <c r="H74" i="42"/>
  <c r="G11" i="59"/>
  <c r="H11" i="59"/>
  <c r="G12" i="59"/>
  <c r="H12" i="59"/>
  <c r="H13" i="59"/>
  <c r="G16" i="59"/>
  <c r="H16" i="59"/>
  <c r="G17" i="59"/>
  <c r="H17" i="59"/>
  <c r="H18" i="59"/>
  <c r="G21" i="59"/>
  <c r="H21" i="59"/>
  <c r="G22" i="59"/>
  <c r="H22" i="59"/>
  <c r="H23" i="59"/>
  <c r="G26" i="59"/>
  <c r="H26" i="59"/>
  <c r="G27" i="59"/>
  <c r="H27" i="59"/>
  <c r="H28" i="59"/>
  <c r="G31" i="59"/>
  <c r="H31" i="59"/>
  <c r="H32" i="59"/>
  <c r="G33" i="59"/>
  <c r="H33" i="59"/>
  <c r="G34" i="59"/>
  <c r="H34" i="59"/>
  <c r="G35" i="59"/>
  <c r="H35" i="59"/>
  <c r="G38" i="59"/>
  <c r="H38" i="59"/>
  <c r="H39" i="59"/>
  <c r="G40" i="59"/>
  <c r="H40" i="59"/>
  <c r="G41" i="59"/>
  <c r="H41" i="59"/>
  <c r="G42" i="59"/>
  <c r="H42" i="59"/>
  <c r="G45" i="59"/>
  <c r="H45" i="59"/>
  <c r="H46" i="59"/>
  <c r="G47" i="59"/>
  <c r="H47" i="59"/>
  <c r="G48" i="59"/>
  <c r="H48" i="59"/>
  <c r="G49" i="59"/>
  <c r="H49" i="59"/>
  <c r="G52" i="59"/>
  <c r="H52" i="59"/>
  <c r="G53" i="59"/>
  <c r="H53" i="59"/>
  <c r="G54" i="59"/>
  <c r="H54" i="59"/>
  <c r="G55" i="59"/>
  <c r="H55" i="59"/>
  <c r="G56" i="59"/>
  <c r="H56" i="59"/>
  <c r="G59" i="59"/>
  <c r="H59" i="59"/>
  <c r="G60" i="59"/>
  <c r="H60" i="59"/>
  <c r="G61" i="59"/>
  <c r="H61" i="59"/>
  <c r="G62" i="59"/>
  <c r="H62" i="59"/>
  <c r="G63" i="59"/>
  <c r="H63" i="59"/>
  <c r="G66" i="59"/>
  <c r="H66" i="59"/>
  <c r="H67" i="59"/>
  <c r="G68" i="59"/>
  <c r="H68" i="59"/>
  <c r="G69" i="59"/>
  <c r="H69" i="59"/>
  <c r="G70" i="59"/>
  <c r="H70" i="59"/>
  <c r="H74" i="59"/>
  <c r="G11" i="57"/>
  <c r="H11" i="57"/>
  <c r="G12" i="57"/>
  <c r="H12" i="57"/>
  <c r="H13" i="57"/>
  <c r="G16" i="57"/>
  <c r="H16" i="57"/>
  <c r="G17" i="57"/>
  <c r="H17" i="57"/>
  <c r="H18" i="57"/>
  <c r="H21" i="57"/>
  <c r="G22" i="57"/>
  <c r="H22" i="57"/>
  <c r="H23" i="57"/>
  <c r="H26" i="57"/>
  <c r="G27" i="57"/>
  <c r="H27" i="57"/>
  <c r="H28" i="57"/>
  <c r="G31" i="57"/>
  <c r="H31" i="57"/>
  <c r="G32" i="57"/>
  <c r="H32" i="57"/>
  <c r="G33" i="57"/>
  <c r="H33" i="57"/>
  <c r="G34" i="57"/>
  <c r="H34" i="57"/>
  <c r="G35" i="57"/>
  <c r="H35" i="57"/>
  <c r="G38" i="57"/>
  <c r="H38" i="57"/>
  <c r="H39" i="57"/>
  <c r="G40" i="57"/>
  <c r="H40" i="57"/>
  <c r="G41" i="57"/>
  <c r="H41" i="57"/>
  <c r="G42" i="57"/>
  <c r="H42" i="57"/>
  <c r="G45" i="57"/>
  <c r="H45" i="57"/>
  <c r="H46" i="57"/>
  <c r="G47" i="57"/>
  <c r="H47" i="57"/>
  <c r="G48" i="57"/>
  <c r="H48" i="57"/>
  <c r="G49" i="57"/>
  <c r="H49" i="57"/>
  <c r="G52" i="57"/>
  <c r="H52" i="57"/>
  <c r="H53" i="57"/>
  <c r="G54" i="57"/>
  <c r="H54" i="57"/>
  <c r="G55" i="57"/>
  <c r="H55" i="57"/>
  <c r="G56" i="57"/>
  <c r="H56" i="57"/>
  <c r="G59" i="57"/>
  <c r="H59" i="57"/>
  <c r="H60" i="57"/>
  <c r="G61" i="57"/>
  <c r="H61" i="57"/>
  <c r="G62" i="57"/>
  <c r="H62" i="57"/>
  <c r="G63" i="57"/>
  <c r="H63" i="57"/>
  <c r="G66" i="57"/>
  <c r="H66" i="57"/>
  <c r="G67" i="57"/>
  <c r="H67" i="57"/>
  <c r="G68" i="57"/>
  <c r="H68" i="57"/>
  <c r="G69" i="57"/>
  <c r="H69" i="57"/>
  <c r="G70" i="57"/>
  <c r="H70" i="57"/>
  <c r="H74" i="57"/>
  <c r="H11" i="39"/>
  <c r="G12" i="39"/>
  <c r="H12" i="39"/>
  <c r="H13" i="39"/>
  <c r="H16" i="39"/>
  <c r="G17" i="39"/>
  <c r="H17" i="39"/>
  <c r="H18" i="39"/>
  <c r="H21" i="39"/>
  <c r="G22" i="39"/>
  <c r="H22" i="39"/>
  <c r="H23" i="39"/>
  <c r="H26" i="39"/>
  <c r="G27" i="39"/>
  <c r="H27" i="39"/>
  <c r="H28" i="39"/>
  <c r="G31" i="39"/>
  <c r="H31" i="39"/>
  <c r="G32" i="39"/>
  <c r="H32" i="39"/>
  <c r="G33" i="39"/>
  <c r="H33" i="39"/>
  <c r="G34" i="39"/>
  <c r="H34" i="39"/>
  <c r="G35" i="39"/>
  <c r="H35" i="39"/>
  <c r="G38" i="39"/>
  <c r="H38" i="39"/>
  <c r="H39" i="39"/>
  <c r="G40" i="39"/>
  <c r="H40" i="39"/>
  <c r="G41" i="39"/>
  <c r="H41" i="39"/>
  <c r="G42" i="39"/>
  <c r="H42" i="39"/>
  <c r="G45" i="39"/>
  <c r="H45" i="39"/>
  <c r="H46" i="39"/>
  <c r="G47" i="39"/>
  <c r="H47" i="39"/>
  <c r="G48" i="39"/>
  <c r="H48" i="39"/>
  <c r="G49" i="39"/>
  <c r="H49" i="39"/>
  <c r="G52" i="39"/>
  <c r="H52" i="39"/>
  <c r="H53" i="39"/>
  <c r="G54" i="39"/>
  <c r="H54" i="39"/>
  <c r="G55" i="39"/>
  <c r="H55" i="39"/>
  <c r="G56" i="39"/>
  <c r="H56" i="39"/>
  <c r="G59" i="39"/>
  <c r="H59" i="39"/>
  <c r="H60" i="39"/>
  <c r="G61" i="39"/>
  <c r="H61" i="39"/>
  <c r="G62" i="39"/>
  <c r="H62" i="39"/>
  <c r="G63" i="39"/>
  <c r="H63" i="39"/>
  <c r="G66" i="39"/>
  <c r="H66" i="39"/>
  <c r="G67" i="39"/>
  <c r="H67" i="39"/>
  <c r="G68" i="39"/>
  <c r="H68" i="39"/>
  <c r="G69" i="39"/>
  <c r="H69" i="39"/>
  <c r="G70" i="39"/>
  <c r="H70" i="39"/>
  <c r="H74" i="39"/>
  <c r="H11" i="55"/>
  <c r="G12" i="55"/>
  <c r="H12" i="55"/>
  <c r="H13" i="55"/>
  <c r="H16" i="55"/>
  <c r="G17" i="55"/>
  <c r="H17" i="55"/>
  <c r="H18" i="55"/>
  <c r="H21" i="55"/>
  <c r="G22" i="55"/>
  <c r="H22" i="55"/>
  <c r="H23" i="55"/>
  <c r="H26" i="55"/>
  <c r="G27" i="55"/>
  <c r="H27" i="55"/>
  <c r="H28" i="55"/>
  <c r="G31" i="55"/>
  <c r="H31" i="55"/>
  <c r="G32" i="55"/>
  <c r="H32" i="55"/>
  <c r="G33" i="55"/>
  <c r="H33" i="55"/>
  <c r="G34" i="55"/>
  <c r="H34" i="55"/>
  <c r="G35" i="55"/>
  <c r="H35" i="55"/>
  <c r="G38" i="55"/>
  <c r="H38" i="55"/>
  <c r="H39" i="55"/>
  <c r="G40" i="55"/>
  <c r="H40" i="55"/>
  <c r="G41" i="55"/>
  <c r="H41" i="55"/>
  <c r="G42" i="55"/>
  <c r="H42" i="55"/>
  <c r="G45" i="55"/>
  <c r="H45" i="55"/>
  <c r="H46" i="55"/>
  <c r="G47" i="55"/>
  <c r="H47" i="55"/>
  <c r="G48" i="55"/>
  <c r="H48" i="55"/>
  <c r="G49" i="55"/>
  <c r="H49" i="55"/>
  <c r="G52" i="55"/>
  <c r="H52" i="55"/>
  <c r="H53" i="55"/>
  <c r="G54" i="55"/>
  <c r="H54" i="55"/>
  <c r="G55" i="55"/>
  <c r="H55" i="55"/>
  <c r="G56" i="55"/>
  <c r="H56" i="55"/>
  <c r="G59" i="55"/>
  <c r="H59" i="55"/>
  <c r="H60" i="55"/>
  <c r="G61" i="55"/>
  <c r="H61" i="55"/>
  <c r="G62" i="55"/>
  <c r="H62" i="55"/>
  <c r="G63" i="55"/>
  <c r="H63" i="55"/>
  <c r="G66" i="55"/>
  <c r="H66" i="55"/>
  <c r="G67" i="55"/>
  <c r="H67" i="55"/>
  <c r="G68" i="55"/>
  <c r="H68" i="55"/>
  <c r="G69" i="55"/>
  <c r="H69" i="55"/>
  <c r="G70" i="55"/>
  <c r="H70" i="55"/>
  <c r="H74" i="55"/>
  <c r="H11" i="4"/>
  <c r="G12" i="4"/>
  <c r="H12" i="4"/>
  <c r="H13" i="4"/>
  <c r="H16" i="4"/>
  <c r="G17" i="4"/>
  <c r="H17" i="4"/>
  <c r="H18" i="4"/>
  <c r="H21" i="4"/>
  <c r="G22" i="4"/>
  <c r="H22" i="4"/>
  <c r="H23" i="4"/>
  <c r="H26" i="4"/>
  <c r="G27" i="4"/>
  <c r="H27" i="4"/>
  <c r="H28" i="4"/>
  <c r="G31" i="4"/>
  <c r="H31" i="4"/>
  <c r="H32" i="4"/>
  <c r="G33" i="4"/>
  <c r="H33" i="4"/>
  <c r="G34" i="4"/>
  <c r="H34" i="4"/>
  <c r="G35" i="4"/>
  <c r="H35" i="4"/>
  <c r="G38" i="4"/>
  <c r="H38" i="4"/>
  <c r="G39" i="4"/>
  <c r="H39" i="4"/>
  <c r="G40" i="4"/>
  <c r="H40" i="4"/>
  <c r="G41" i="4"/>
  <c r="H41" i="4"/>
  <c r="G42" i="4"/>
  <c r="H42" i="4"/>
  <c r="G45" i="4"/>
  <c r="H45" i="4"/>
  <c r="H46" i="4"/>
  <c r="G47" i="4"/>
  <c r="H47" i="4"/>
  <c r="G48" i="4"/>
  <c r="H48" i="4"/>
  <c r="G49" i="4"/>
  <c r="H49" i="4"/>
  <c r="G52" i="4"/>
  <c r="H52" i="4"/>
  <c r="H53" i="4"/>
  <c r="G54" i="4"/>
  <c r="H54" i="4"/>
  <c r="G55" i="4"/>
  <c r="H55" i="4"/>
  <c r="G56" i="4"/>
  <c r="H56" i="4"/>
  <c r="G59" i="4"/>
  <c r="H59" i="4"/>
  <c r="H60" i="4"/>
  <c r="G61" i="4"/>
  <c r="H61" i="4"/>
  <c r="G62" i="4"/>
  <c r="H62" i="4"/>
  <c r="G63" i="4"/>
  <c r="H63" i="4"/>
  <c r="G66" i="4"/>
  <c r="H66" i="4"/>
  <c r="H67" i="4"/>
  <c r="G68" i="4"/>
  <c r="H68" i="4"/>
  <c r="G69" i="4"/>
  <c r="H69" i="4"/>
  <c r="G70" i="4"/>
  <c r="H70" i="4"/>
  <c r="H74" i="4"/>
  <c r="K78" i="57"/>
  <c r="C69" i="57"/>
  <c r="I25" i="74"/>
  <c r="H25" i="74" s="1"/>
  <c r="G25" i="74" s="1"/>
  <c r="I38" i="74"/>
  <c r="I39" i="74"/>
  <c r="I53" i="74"/>
  <c r="I64" i="74"/>
  <c r="I74" i="74"/>
  <c r="H74" i="74" s="1"/>
  <c r="G74" i="74" s="1"/>
  <c r="I75" i="74"/>
  <c r="H75" i="74" s="1"/>
  <c r="K4" i="57"/>
  <c r="J4" i="57"/>
  <c r="I4" i="57"/>
  <c r="H4" i="57"/>
  <c r="G4" i="57"/>
  <c r="F4" i="57"/>
  <c r="D4" i="57"/>
  <c r="C4" i="57"/>
  <c r="A1" i="74"/>
  <c r="K78" i="39"/>
  <c r="C69" i="39"/>
  <c r="I25" i="73"/>
  <c r="H25" i="73" s="1"/>
  <c r="G25" i="73" s="1"/>
  <c r="I26" i="73"/>
  <c r="H26" i="73" s="1"/>
  <c r="G26" i="73" s="1"/>
  <c r="I38" i="73"/>
  <c r="I39" i="73"/>
  <c r="I53" i="73"/>
  <c r="I64" i="73"/>
  <c r="I74" i="73"/>
  <c r="H74" i="73" s="1"/>
  <c r="G74" i="73" s="1"/>
  <c r="I75" i="73"/>
  <c r="H75" i="73" s="1"/>
  <c r="G75" i="73" s="1"/>
  <c r="K4" i="39"/>
  <c r="J4" i="39"/>
  <c r="I4" i="39"/>
  <c r="H4" i="39"/>
  <c r="G4" i="39"/>
  <c r="F4" i="39"/>
  <c r="D4" i="39"/>
  <c r="C4" i="39"/>
  <c r="K4" i="55"/>
  <c r="C4" i="55"/>
  <c r="A1" i="73"/>
  <c r="K78" i="55"/>
  <c r="C69" i="55"/>
  <c r="I25" i="72"/>
  <c r="H25" i="72" s="1"/>
  <c r="G25" i="72" s="1"/>
  <c r="I26" i="72"/>
  <c r="H26" i="72" s="1"/>
  <c r="G26" i="72" s="1"/>
  <c r="I38" i="72"/>
  <c r="I39" i="72"/>
  <c r="I53" i="72"/>
  <c r="I64" i="72"/>
  <c r="I74" i="72"/>
  <c r="H74" i="72" s="1"/>
  <c r="G74" i="72" s="1"/>
  <c r="I75" i="72"/>
  <c r="H75" i="72" s="1"/>
  <c r="G75" i="72" s="1"/>
  <c r="J4" i="55"/>
  <c r="I4" i="55"/>
  <c r="H4" i="55"/>
  <c r="G4" i="55"/>
  <c r="F4" i="55"/>
  <c r="D4" i="55"/>
  <c r="A1" i="72"/>
  <c r="K78" i="4"/>
  <c r="C69" i="4"/>
  <c r="I25" i="71"/>
  <c r="H25" i="71" s="1"/>
  <c r="G25" i="71" s="1"/>
  <c r="I38" i="71"/>
  <c r="I39" i="71"/>
  <c r="I53" i="71"/>
  <c r="I64" i="71"/>
  <c r="I74" i="71"/>
  <c r="H74" i="71" s="1"/>
  <c r="G74" i="71" s="1"/>
  <c r="I75" i="71"/>
  <c r="H75" i="71" s="1"/>
  <c r="G75" i="71" s="1"/>
  <c r="A1" i="71"/>
  <c r="C69" i="46"/>
  <c r="I26" i="70"/>
  <c r="H26" i="70" s="1"/>
  <c r="G26" i="70" s="1"/>
  <c r="I38" i="70"/>
  <c r="I39" i="70"/>
  <c r="I54" i="70"/>
  <c r="I65" i="70"/>
  <c r="I74" i="70"/>
  <c r="H74" i="70" s="1"/>
  <c r="G74" i="70" s="1"/>
  <c r="I75" i="70"/>
  <c r="H75" i="70" s="1"/>
  <c r="G75" i="70" s="1"/>
  <c r="A1" i="70"/>
  <c r="C69" i="61"/>
  <c r="I26" i="69"/>
  <c r="H26" i="69" s="1"/>
  <c r="G26" i="69" s="1"/>
  <c r="I38" i="69"/>
  <c r="I39" i="69"/>
  <c r="I54" i="69"/>
  <c r="I65" i="69"/>
  <c r="I74" i="69"/>
  <c r="H74" i="69" s="1"/>
  <c r="G74" i="69" s="1"/>
  <c r="I75" i="69"/>
  <c r="H75" i="69" s="1"/>
  <c r="G75" i="69" s="1"/>
  <c r="A1" i="69"/>
  <c r="K78" i="42"/>
  <c r="C69" i="42"/>
  <c r="I26" i="68"/>
  <c r="H26" i="68" s="1"/>
  <c r="G26" i="68" s="1"/>
  <c r="I38" i="68"/>
  <c r="I39" i="68"/>
  <c r="I54" i="68"/>
  <c r="I64" i="68"/>
  <c r="I65" i="68"/>
  <c r="I75" i="68"/>
  <c r="H75" i="68" s="1"/>
  <c r="G75" i="68" s="1"/>
  <c r="A1" i="68"/>
  <c r="C69" i="59"/>
  <c r="I26" i="67"/>
  <c r="H26" i="67" s="1"/>
  <c r="G26" i="67" s="1"/>
  <c r="I38" i="67"/>
  <c r="I39" i="67"/>
  <c r="I53" i="67"/>
  <c r="I54" i="67"/>
  <c r="I64" i="67"/>
  <c r="I65" i="67"/>
  <c r="I74" i="67"/>
  <c r="H74" i="67" s="1"/>
  <c r="G74" i="67" s="1"/>
  <c r="I75" i="67"/>
  <c r="H75" i="67" s="1"/>
  <c r="G75" i="67" s="1"/>
  <c r="A1" i="67"/>
  <c r="G16" i="17"/>
  <c r="F16" i="17"/>
  <c r="E16" i="17"/>
  <c r="D16" i="17"/>
  <c r="C16" i="17"/>
  <c r="G11" i="17"/>
  <c r="F11" i="17"/>
  <c r="E11" i="17"/>
  <c r="D11" i="17"/>
  <c r="C11" i="17"/>
  <c r="G6" i="17"/>
  <c r="F6" i="17"/>
  <c r="E6" i="17"/>
  <c r="D6" i="17"/>
  <c r="C6" i="17"/>
  <c r="D79" i="3"/>
  <c r="D76" i="3"/>
  <c r="D75" i="3"/>
  <c r="D73" i="3"/>
  <c r="D66" i="3"/>
  <c r="D65" i="3"/>
  <c r="D64" i="3"/>
  <c r="D63" i="3"/>
  <c r="D62" i="3"/>
  <c r="D61" i="3"/>
  <c r="D59" i="3"/>
  <c r="D46" i="3"/>
  <c r="D25" i="3"/>
  <c r="D24" i="3"/>
  <c r="D23" i="3"/>
  <c r="D22" i="3"/>
  <c r="D11" i="3"/>
  <c r="C14" i="17"/>
  <c r="C19" i="17" s="1"/>
  <c r="C13" i="17"/>
  <c r="C18" i="17" s="1"/>
  <c r="D14" i="17"/>
  <c r="D9" i="17"/>
  <c r="C9" i="17"/>
  <c r="C8" i="17"/>
  <c r="X72" i="52"/>
  <c r="W72" i="52"/>
  <c r="X56" i="52"/>
  <c r="W56" i="52"/>
  <c r="V56" i="52"/>
  <c r="C28" i="59" s="1"/>
  <c r="U56" i="52"/>
  <c r="T56" i="52"/>
  <c r="S56" i="52"/>
  <c r="R56" i="52"/>
  <c r="C23" i="59" s="1"/>
  <c r="Q56" i="52"/>
  <c r="P56" i="52"/>
  <c r="O56" i="52"/>
  <c r="N56" i="52"/>
  <c r="C18" i="59" s="1"/>
  <c r="M56" i="52"/>
  <c r="B60" i="18"/>
  <c r="B73" i="18" s="1"/>
  <c r="A60" i="18"/>
  <c r="A73" i="18" s="1"/>
  <c r="B58" i="18"/>
  <c r="B71" i="18" s="1"/>
  <c r="A58" i="18"/>
  <c r="A71" i="18" s="1"/>
  <c r="B56" i="18"/>
  <c r="B69" i="18" s="1"/>
  <c r="A56" i="18"/>
  <c r="A69" i="18" s="1"/>
  <c r="B54" i="18"/>
  <c r="B67" i="18" s="1"/>
  <c r="A54" i="18"/>
  <c r="A67" i="18" s="1"/>
  <c r="H59" i="44"/>
  <c r="G59" i="44"/>
  <c r="H66" i="44"/>
  <c r="G66" i="44"/>
  <c r="H60" i="44"/>
  <c r="H63" i="44"/>
  <c r="G63" i="44"/>
  <c r="H67" i="44"/>
  <c r="G67" i="44"/>
  <c r="H70" i="44"/>
  <c r="G70" i="44"/>
  <c r="H74" i="44"/>
  <c r="G74" i="44"/>
  <c r="H59" i="65"/>
  <c r="G59" i="65"/>
  <c r="H66" i="65"/>
  <c r="G66" i="65"/>
  <c r="H60" i="65"/>
  <c r="H63" i="65"/>
  <c r="G63" i="65"/>
  <c r="H67" i="65"/>
  <c r="H70" i="65"/>
  <c r="G70" i="65"/>
  <c r="H74" i="65"/>
  <c r="D17" i="26"/>
  <c r="E40" i="26"/>
  <c r="D36" i="26"/>
  <c r="D34" i="26"/>
  <c r="D32" i="26"/>
  <c r="D22" i="26"/>
  <c r="D24" i="26"/>
  <c r="D26" i="26"/>
  <c r="F87" i="61"/>
  <c r="A87" i="61"/>
  <c r="F86" i="61"/>
  <c r="A86" i="61"/>
  <c r="F85" i="61"/>
  <c r="A85" i="61"/>
  <c r="F84" i="61"/>
  <c r="A84" i="61"/>
  <c r="F83" i="61"/>
  <c r="A83" i="61"/>
  <c r="J4" i="61"/>
  <c r="I4" i="61"/>
  <c r="H4" i="61"/>
  <c r="G4" i="61"/>
  <c r="F4" i="61"/>
  <c r="D4" i="61"/>
  <c r="F87" i="65"/>
  <c r="A87" i="65"/>
  <c r="F86" i="65"/>
  <c r="A86" i="65"/>
  <c r="F85" i="65"/>
  <c r="A85" i="65"/>
  <c r="F84" i="65"/>
  <c r="A84" i="65"/>
  <c r="F83" i="65"/>
  <c r="A83" i="65"/>
  <c r="F87" i="39"/>
  <c r="A87" i="39"/>
  <c r="F86" i="39"/>
  <c r="A86" i="39"/>
  <c r="F85" i="39"/>
  <c r="A85" i="39"/>
  <c r="F84" i="39"/>
  <c r="A84" i="39"/>
  <c r="F83" i="39"/>
  <c r="A83" i="39"/>
  <c r="F87" i="46"/>
  <c r="A87" i="46"/>
  <c r="F86" i="46"/>
  <c r="A86" i="46"/>
  <c r="F85" i="46"/>
  <c r="A85" i="46"/>
  <c r="F84" i="46"/>
  <c r="A84" i="46"/>
  <c r="F83" i="46"/>
  <c r="A83" i="46"/>
  <c r="J4" i="46"/>
  <c r="I4" i="46"/>
  <c r="H4" i="46"/>
  <c r="G4" i="46"/>
  <c r="F4" i="46"/>
  <c r="D4" i="46"/>
  <c r="F87" i="48"/>
  <c r="A87" i="48"/>
  <c r="F86" i="48"/>
  <c r="A86" i="48"/>
  <c r="F85" i="48"/>
  <c r="A85" i="48"/>
  <c r="F84" i="48"/>
  <c r="A84" i="48"/>
  <c r="F83" i="48"/>
  <c r="A83" i="48"/>
  <c r="F87" i="57"/>
  <c r="A87" i="57"/>
  <c r="F86" i="57"/>
  <c r="A86" i="57"/>
  <c r="F85" i="57"/>
  <c r="A85" i="57"/>
  <c r="F84" i="57"/>
  <c r="A84" i="57"/>
  <c r="F83" i="57"/>
  <c r="A83" i="57"/>
  <c r="F87" i="42"/>
  <c r="A87" i="42"/>
  <c r="F86" i="42"/>
  <c r="A86" i="42"/>
  <c r="F85" i="42"/>
  <c r="A85" i="42"/>
  <c r="F84" i="42"/>
  <c r="A84" i="42"/>
  <c r="F83" i="42"/>
  <c r="A83" i="42"/>
  <c r="J4" i="42"/>
  <c r="I4" i="42"/>
  <c r="H4" i="42"/>
  <c r="G4" i="42"/>
  <c r="F4" i="42"/>
  <c r="D4" i="42"/>
  <c r="F87" i="63"/>
  <c r="A87" i="63"/>
  <c r="F86" i="63"/>
  <c r="A86" i="63"/>
  <c r="F85" i="63"/>
  <c r="A85" i="63"/>
  <c r="F84" i="63"/>
  <c r="A84" i="63"/>
  <c r="F83" i="63"/>
  <c r="A83" i="63"/>
  <c r="F87" i="55"/>
  <c r="A87" i="55"/>
  <c r="F86" i="55"/>
  <c r="A86" i="55"/>
  <c r="F85" i="55"/>
  <c r="A85" i="55"/>
  <c r="F84" i="55"/>
  <c r="A84" i="55"/>
  <c r="F83" i="55"/>
  <c r="A83" i="55"/>
  <c r="A54" i="26"/>
  <c r="A53" i="26"/>
  <c r="A52" i="26"/>
  <c r="A51" i="26"/>
  <c r="A50" i="26"/>
  <c r="A49" i="26"/>
  <c r="C17" i="26"/>
  <c r="E3" i="26"/>
  <c r="D3" i="26"/>
  <c r="C3" i="26"/>
  <c r="D28" i="26"/>
  <c r="B65" i="1"/>
  <c r="B60" i="1"/>
  <c r="B58" i="1"/>
  <c r="B56" i="1"/>
  <c r="B50" i="1"/>
  <c r="B45" i="1"/>
  <c r="B43" i="1"/>
  <c r="B41" i="1"/>
  <c r="F14" i="1"/>
  <c r="E14" i="1"/>
  <c r="D14" i="1"/>
  <c r="G10" i="1"/>
  <c r="G8" i="1"/>
  <c r="G7" i="1"/>
  <c r="K12" i="3"/>
  <c r="F87" i="59"/>
  <c r="A87" i="59"/>
  <c r="F86" i="59"/>
  <c r="A86" i="59"/>
  <c r="F85" i="59"/>
  <c r="A85" i="59"/>
  <c r="F84" i="59"/>
  <c r="A84" i="59"/>
  <c r="F83" i="59"/>
  <c r="A83" i="59"/>
  <c r="J4" i="59"/>
  <c r="I4" i="59"/>
  <c r="H4" i="59"/>
  <c r="G4" i="59"/>
  <c r="F4" i="59"/>
  <c r="D4" i="59"/>
  <c r="F87" i="44"/>
  <c r="A87" i="44"/>
  <c r="F86" i="44"/>
  <c r="A86" i="44"/>
  <c r="F85" i="44"/>
  <c r="A85" i="44"/>
  <c r="F84" i="44"/>
  <c r="A84" i="44"/>
  <c r="F83" i="44"/>
  <c r="A83" i="44"/>
  <c r="F83" i="4"/>
  <c r="A87" i="4"/>
  <c r="F87" i="4"/>
  <c r="A86" i="4"/>
  <c r="F86" i="4"/>
  <c r="A85" i="4"/>
  <c r="F85" i="4"/>
  <c r="A84" i="4"/>
  <c r="F84" i="4"/>
  <c r="A83" i="4"/>
  <c r="J4" i="4"/>
  <c r="I4" i="4"/>
  <c r="H4" i="4"/>
  <c r="G4" i="4"/>
  <c r="F4" i="4"/>
  <c r="D4" i="4"/>
  <c r="B18" i="2"/>
  <c r="B16" i="2"/>
  <c r="B14" i="2"/>
  <c r="B12" i="2"/>
  <c r="G7" i="2"/>
  <c r="F7" i="2"/>
  <c r="E7" i="2"/>
  <c r="D7" i="2"/>
  <c r="A43" i="2"/>
  <c r="A42" i="2"/>
  <c r="A41" i="2"/>
  <c r="A40" i="2"/>
  <c r="C4" i="19"/>
  <c r="B4" i="19"/>
  <c r="G18" i="57"/>
  <c r="G28" i="4"/>
  <c r="G60" i="65"/>
  <c r="G67" i="4"/>
  <c r="G32" i="4"/>
  <c r="G26" i="4"/>
  <c r="G21" i="4"/>
  <c r="G16" i="4"/>
  <c r="G11" i="4"/>
  <c r="G60" i="55"/>
  <c r="G53" i="55"/>
  <c r="G26" i="55"/>
  <c r="G21" i="55"/>
  <c r="G16" i="55"/>
  <c r="G11" i="55"/>
  <c r="G60" i="39"/>
  <c r="G53" i="39"/>
  <c r="G26" i="39"/>
  <c r="G21" i="39"/>
  <c r="G16" i="39"/>
  <c r="G11" i="39"/>
  <c r="G60" i="57"/>
  <c r="G53" i="57"/>
  <c r="G26" i="57"/>
  <c r="G21" i="57"/>
  <c r="G74" i="59"/>
  <c r="G46" i="59"/>
  <c r="G74" i="42"/>
  <c r="G46" i="42"/>
  <c r="G21" i="42"/>
  <c r="G11" i="42"/>
  <c r="G39" i="61"/>
  <c r="G11" i="61"/>
  <c r="G74" i="46"/>
  <c r="G53" i="46"/>
  <c r="G11" i="65"/>
  <c r="G74" i="65"/>
  <c r="G67" i="65"/>
  <c r="G74" i="4"/>
  <c r="G46" i="4"/>
  <c r="G39" i="55"/>
  <c r="G39" i="39"/>
  <c r="G39" i="57"/>
  <c r="G67" i="59"/>
  <c r="G32" i="59"/>
  <c r="G67" i="42"/>
  <c r="G32" i="42"/>
  <c r="G26" i="42"/>
  <c r="G16" i="42"/>
  <c r="G60" i="61"/>
  <c r="G53" i="61"/>
  <c r="G39" i="46"/>
  <c r="G26" i="46"/>
  <c r="G21" i="46"/>
  <c r="G26" i="44"/>
  <c r="G39" i="44"/>
  <c r="G46" i="44"/>
  <c r="G16" i="65"/>
  <c r="G21" i="65"/>
  <c r="G26" i="65"/>
  <c r="G39" i="65"/>
  <c r="G53" i="65"/>
  <c r="G60" i="44"/>
  <c r="G60" i="4"/>
  <c r="G53" i="4"/>
  <c r="G74" i="55"/>
  <c r="G46" i="55"/>
  <c r="G74" i="39"/>
  <c r="G46" i="39"/>
  <c r="G74" i="57"/>
  <c r="G46" i="57"/>
  <c r="G39" i="59"/>
  <c r="G39" i="42"/>
  <c r="G67" i="61"/>
  <c r="G32" i="61"/>
  <c r="G26" i="61"/>
  <c r="G16" i="61"/>
  <c r="G67" i="46"/>
  <c r="G46" i="46"/>
  <c r="G16" i="46"/>
  <c r="G11" i="46"/>
  <c r="G11" i="44"/>
  <c r="G32" i="44"/>
  <c r="G32" i="65"/>
  <c r="G28" i="39"/>
  <c r="G23" i="61"/>
  <c r="G18" i="61"/>
  <c r="G23" i="65"/>
  <c r="G13" i="59"/>
  <c r="G18" i="55"/>
  <c r="G18" i="42"/>
  <c r="G13" i="4"/>
  <c r="G23" i="55"/>
  <c r="G13" i="39"/>
  <c r="G23" i="57"/>
  <c r="G18" i="59"/>
  <c r="G28" i="42"/>
  <c r="G28" i="46"/>
  <c r="G13" i="44"/>
  <c r="G23" i="44"/>
  <c r="G18" i="65"/>
  <c r="G28" i="65"/>
  <c r="H45" i="63"/>
  <c r="G23" i="4"/>
  <c r="G13" i="55"/>
  <c r="G23" i="39"/>
  <c r="G13" i="57"/>
  <c r="G28" i="59"/>
  <c r="G13" i="42"/>
  <c r="G23" i="46"/>
  <c r="G18" i="44"/>
  <c r="G28" i="44"/>
  <c r="H27" i="63"/>
  <c r="H61" i="63"/>
  <c r="G23" i="48"/>
  <c r="G18" i="4"/>
  <c r="G28" i="55"/>
  <c r="G18" i="39"/>
  <c r="G28" i="57"/>
  <c r="G23" i="59"/>
  <c r="G23" i="42"/>
  <c r="G28" i="61"/>
  <c r="G13" i="61"/>
  <c r="G13" i="46"/>
  <c r="G68" i="63"/>
  <c r="G59" i="48"/>
  <c r="G66" i="48"/>
  <c r="G45" i="48"/>
  <c r="G38" i="48"/>
  <c r="G66" i="63"/>
  <c r="G38" i="63"/>
  <c r="G31" i="48"/>
  <c r="G45" i="63"/>
  <c r="G52" i="48"/>
  <c r="H52" i="48"/>
  <c r="G59" i="63"/>
  <c r="G31" i="63"/>
  <c r="G63" i="48"/>
  <c r="G49" i="48"/>
  <c r="G70" i="48"/>
  <c r="G56" i="48"/>
  <c r="G42" i="48"/>
  <c r="G35" i="48"/>
  <c r="G42" i="63"/>
  <c r="G49" i="63"/>
  <c r="G63" i="63"/>
  <c r="G35" i="63"/>
  <c r="G70" i="63"/>
  <c r="G56" i="63"/>
  <c r="G13" i="48"/>
  <c r="G18" i="48"/>
  <c r="G28" i="48"/>
  <c r="G28" i="63"/>
  <c r="G13" i="63"/>
  <c r="G23" i="63"/>
  <c r="H21" i="63"/>
  <c r="H41" i="63"/>
  <c r="G48" i="63"/>
  <c r="G21" i="48"/>
  <c r="G26" i="48"/>
  <c r="G16" i="48"/>
  <c r="G11" i="48"/>
  <c r="G16" i="63"/>
  <c r="G21" i="63"/>
  <c r="G11" i="63"/>
  <c r="G74" i="48"/>
  <c r="G67" i="48"/>
  <c r="G53" i="48"/>
  <c r="G60" i="48"/>
  <c r="G32" i="48"/>
  <c r="G46" i="48"/>
  <c r="G46" i="63"/>
  <c r="G53" i="63"/>
  <c r="G39" i="48"/>
  <c r="G74" i="63"/>
  <c r="H74" i="63"/>
  <c r="G67" i="63"/>
  <c r="G39" i="63"/>
  <c r="G18" i="63"/>
  <c r="H33" i="63"/>
  <c r="H70" i="48"/>
  <c r="H68" i="48"/>
  <c r="H60" i="48"/>
  <c r="H56" i="48"/>
  <c r="H48" i="48"/>
  <c r="H74" i="48"/>
  <c r="H69" i="48"/>
  <c r="H67" i="48"/>
  <c r="H63" i="48"/>
  <c r="H59" i="48"/>
  <c r="H55" i="48"/>
  <c r="H66" i="48"/>
  <c r="H62" i="48"/>
  <c r="H54" i="48"/>
  <c r="H53" i="48"/>
  <c r="H46" i="48"/>
  <c r="H42" i="48"/>
  <c r="H38" i="48"/>
  <c r="H34" i="48"/>
  <c r="H28" i="48"/>
  <c r="H22" i="48"/>
  <c r="H16" i="48"/>
  <c r="H49" i="48"/>
  <c r="H45" i="48"/>
  <c r="H41" i="48"/>
  <c r="H33" i="48"/>
  <c r="H27" i="48"/>
  <c r="H21" i="48"/>
  <c r="H13" i="48"/>
  <c r="H47" i="48"/>
  <c r="H39" i="48"/>
  <c r="H35" i="48"/>
  <c r="H31" i="48"/>
  <c r="H23" i="48"/>
  <c r="H17" i="48"/>
  <c r="H11" i="48"/>
  <c r="H26" i="48"/>
  <c r="H69" i="63"/>
  <c r="H67" i="63"/>
  <c r="H63" i="63"/>
  <c r="H59" i="63"/>
  <c r="H55" i="63"/>
  <c r="H47" i="63"/>
  <c r="H39" i="63"/>
  <c r="H35" i="63"/>
  <c r="H31" i="63"/>
  <c r="H23" i="63"/>
  <c r="H17" i="63"/>
  <c r="H11" i="63"/>
  <c r="H40" i="48"/>
  <c r="H18" i="48"/>
  <c r="H66" i="63"/>
  <c r="H62" i="63"/>
  <c r="H54" i="63"/>
  <c r="H46" i="63"/>
  <c r="H42" i="63"/>
  <c r="H38" i="63"/>
  <c r="H34" i="63"/>
  <c r="H28" i="63"/>
  <c r="H22" i="63"/>
  <c r="H16" i="63"/>
  <c r="H61" i="48"/>
  <c r="H32" i="48"/>
  <c r="H70" i="63"/>
  <c r="H68" i="63"/>
  <c r="H60" i="63"/>
  <c r="H56" i="63"/>
  <c r="H52" i="63"/>
  <c r="H48" i="63"/>
  <c r="H40" i="63"/>
  <c r="H32" i="63"/>
  <c r="H26" i="63"/>
  <c r="H18" i="63"/>
  <c r="H12" i="63"/>
  <c r="G27" i="48"/>
  <c r="G12" i="48"/>
  <c r="G22" i="48"/>
  <c r="G22" i="63"/>
  <c r="G27" i="63"/>
  <c r="G17" i="48"/>
  <c r="G17" i="63"/>
  <c r="G69" i="48"/>
  <c r="G55" i="48"/>
  <c r="G62" i="48"/>
  <c r="G54" i="48"/>
  <c r="G61" i="48"/>
  <c r="G41" i="48"/>
  <c r="G33" i="48"/>
  <c r="G40" i="48"/>
  <c r="G48" i="48"/>
  <c r="G34" i="48"/>
  <c r="G68" i="48"/>
  <c r="G62" i="63"/>
  <c r="G54" i="63"/>
  <c r="G34" i="63"/>
  <c r="G47" i="48"/>
  <c r="G61" i="63"/>
  <c r="G41" i="63"/>
  <c r="G33" i="63"/>
  <c r="G69" i="63"/>
  <c r="G55" i="63"/>
  <c r="G47" i="63"/>
  <c r="H13" i="63"/>
  <c r="G26" i="63"/>
  <c r="H53" i="63"/>
  <c r="G60" i="63"/>
  <c r="I27" i="72"/>
  <c r="H27" i="72" s="1"/>
  <c r="N27" i="78"/>
  <c r="M27" i="78" s="1"/>
  <c r="I27" i="71"/>
  <c r="H27" i="71" s="1"/>
  <c r="G27" i="71" s="1"/>
  <c r="I27" i="79"/>
  <c r="H27" i="79" s="1"/>
  <c r="G27" i="79" s="1"/>
  <c r="I27" i="67"/>
  <c r="H27" i="67" s="1"/>
  <c r="G27" i="67" s="1"/>
  <c r="I27" i="77"/>
  <c r="H27" i="77" s="1"/>
  <c r="G27" i="77" s="1"/>
  <c r="I27" i="69"/>
  <c r="H27" i="69" s="1"/>
  <c r="G27" i="69" s="1"/>
  <c r="I27" i="70"/>
  <c r="H27" i="70" s="1"/>
  <c r="G27" i="70" s="1"/>
  <c r="M83" i="85"/>
  <c r="H83" i="85"/>
  <c r="C6" i="95"/>
  <c r="X48" i="87"/>
  <c r="H63" i="119"/>
  <c r="H28" i="119"/>
  <c r="N40" i="118"/>
  <c r="I27" i="120"/>
  <c r="H27" i="120" s="1"/>
  <c r="N27" i="116"/>
  <c r="M27" i="116" s="1"/>
  <c r="I40" i="118"/>
  <c r="N28" i="116"/>
  <c r="N40" i="116"/>
  <c r="M40" i="116" s="1"/>
  <c r="N41" i="114"/>
  <c r="M41" i="114" s="1"/>
  <c r="N40" i="114"/>
  <c r="M40" i="114" s="1"/>
  <c r="N27" i="112"/>
  <c r="M27" i="112" s="1"/>
  <c r="N41" i="112"/>
  <c r="M41" i="112" s="1"/>
  <c r="I41" i="109"/>
  <c r="N40" i="109"/>
  <c r="M40" i="109" s="1"/>
  <c r="N27" i="109"/>
  <c r="M27" i="109" s="1"/>
  <c r="N41" i="120"/>
  <c r="M41" i="120" s="1"/>
  <c r="I41" i="116"/>
  <c r="I41" i="120"/>
  <c r="I27" i="118"/>
  <c r="H27" i="118" s="1"/>
  <c r="G27" i="118" s="1"/>
  <c r="N27" i="114"/>
  <c r="M27" i="114" s="1"/>
  <c r="I41" i="114"/>
  <c r="I40" i="109"/>
  <c r="I27" i="112"/>
  <c r="H27" i="112" s="1"/>
  <c r="G27" i="112" s="1"/>
  <c r="I28" i="112"/>
  <c r="H28" i="112" s="1"/>
  <c r="G28" i="112" s="1"/>
  <c r="N40" i="112"/>
  <c r="M40" i="112" s="1"/>
  <c r="I40" i="116"/>
  <c r="I40" i="120"/>
  <c r="N41" i="118"/>
  <c r="M41" i="118" s="1"/>
  <c r="N27" i="118"/>
  <c r="M27" i="118" s="1"/>
  <c r="I28" i="116"/>
  <c r="H28" i="116" s="1"/>
  <c r="G28" i="116" s="1"/>
  <c r="I27" i="114"/>
  <c r="H27" i="114" s="1"/>
  <c r="G27" i="114" s="1"/>
  <c r="I27" i="109"/>
  <c r="H27" i="109" s="1"/>
  <c r="G27" i="109" s="1"/>
  <c r="I28" i="118"/>
  <c r="H28" i="118" s="1"/>
  <c r="G28" i="118" s="1"/>
  <c r="I28" i="120"/>
  <c r="H28" i="120" s="1"/>
  <c r="G28" i="120" s="1"/>
  <c r="I40" i="114"/>
  <c r="N28" i="112"/>
  <c r="M28" i="112" s="1"/>
  <c r="I41" i="112"/>
  <c r="N28" i="120"/>
  <c r="M28" i="120" s="1"/>
  <c r="N40" i="120"/>
  <c r="M40" i="120" s="1"/>
  <c r="I41" i="118"/>
  <c r="I27" i="116"/>
  <c r="H27" i="116" s="1"/>
  <c r="G27" i="116" s="1"/>
  <c r="N28" i="114"/>
  <c r="N41" i="109"/>
  <c r="M41" i="109" s="1"/>
  <c r="I28" i="109"/>
  <c r="H28" i="109" s="1"/>
  <c r="G28" i="109" s="1"/>
  <c r="I27" i="104"/>
  <c r="H27" i="104" s="1"/>
  <c r="G27" i="104" s="1"/>
  <c r="N27" i="120"/>
  <c r="M27" i="120" s="1"/>
  <c r="I41" i="104"/>
  <c r="N28" i="104"/>
  <c r="M28" i="104" s="1"/>
  <c r="N41" i="96"/>
  <c r="M41" i="96" s="1"/>
  <c r="I28" i="96"/>
  <c r="H28" i="96" s="1"/>
  <c r="G28" i="96" s="1"/>
  <c r="N28" i="95"/>
  <c r="M28" i="95" s="1"/>
  <c r="I40" i="95"/>
  <c r="N40" i="90"/>
  <c r="M40" i="90" s="1"/>
  <c r="I41" i="88"/>
  <c r="N27" i="88"/>
  <c r="M27" i="88" s="1"/>
  <c r="N28" i="85"/>
  <c r="M28" i="85" s="1"/>
  <c r="I41" i="85"/>
  <c r="I28" i="79"/>
  <c r="H28" i="79" s="1"/>
  <c r="G28" i="79" s="1"/>
  <c r="I40" i="79"/>
  <c r="I41" i="78"/>
  <c r="N41" i="78"/>
  <c r="M41" i="78" s="1"/>
  <c r="N28" i="118"/>
  <c r="M28" i="118" s="1"/>
  <c r="I40" i="112"/>
  <c r="N40" i="104"/>
  <c r="M40" i="104" s="1"/>
  <c r="I40" i="104"/>
  <c r="I27" i="95"/>
  <c r="H27" i="95" s="1"/>
  <c r="G27" i="95" s="1"/>
  <c r="I28" i="114"/>
  <c r="H28" i="114" s="1"/>
  <c r="G28" i="114" s="1"/>
  <c r="N41" i="104"/>
  <c r="M41" i="104" s="1"/>
  <c r="N27" i="95"/>
  <c r="M27" i="95" s="1"/>
  <c r="I41" i="96"/>
  <c r="N41" i="95"/>
  <c r="M41" i="95" s="1"/>
  <c r="I28" i="95"/>
  <c r="H28" i="95" s="1"/>
  <c r="G28" i="95" s="1"/>
  <c r="N28" i="96"/>
  <c r="M28" i="96" s="1"/>
  <c r="N27" i="90"/>
  <c r="I40" i="90"/>
  <c r="I40" i="88"/>
  <c r="I41" i="77"/>
  <c r="N41" i="77"/>
  <c r="I41" i="76"/>
  <c r="I40" i="74"/>
  <c r="I28" i="73"/>
  <c r="H28" i="73" s="1"/>
  <c r="N28" i="73"/>
  <c r="M28" i="73" s="1"/>
  <c r="I40" i="72"/>
  <c r="N40" i="72"/>
  <c r="M40" i="72" s="1"/>
  <c r="N28" i="71"/>
  <c r="M28" i="71" s="1"/>
  <c r="N41" i="71"/>
  <c r="M41" i="71" s="1"/>
  <c r="I28" i="70"/>
  <c r="H28" i="70" s="1"/>
  <c r="G28" i="70" s="1"/>
  <c r="I40" i="69"/>
  <c r="I28" i="68"/>
  <c r="H28" i="68" s="1"/>
  <c r="G28" i="68" s="1"/>
  <c r="N40" i="68"/>
  <c r="M40" i="68" s="1"/>
  <c r="I28" i="67"/>
  <c r="H28" i="67" s="1"/>
  <c r="G28" i="67" s="1"/>
  <c r="N41" i="67"/>
  <c r="M41" i="67" s="1"/>
  <c r="N28" i="109"/>
  <c r="M28" i="109" s="1"/>
  <c r="I27" i="96"/>
  <c r="H27" i="96" s="1"/>
  <c r="G27" i="96" s="1"/>
  <c r="I40" i="96"/>
  <c r="I41" i="95"/>
  <c r="I41" i="90"/>
  <c r="N40" i="88"/>
  <c r="M40" i="88" s="1"/>
  <c r="I28" i="90"/>
  <c r="H28" i="90" s="1"/>
  <c r="G28" i="90" s="1"/>
  <c r="N41" i="85"/>
  <c r="M41" i="85" s="1"/>
  <c r="I28" i="85"/>
  <c r="H28" i="85" s="1"/>
  <c r="G28" i="85" s="1"/>
  <c r="N40" i="79"/>
  <c r="M40" i="79" s="1"/>
  <c r="N28" i="76"/>
  <c r="M28" i="76" s="1"/>
  <c r="N40" i="76"/>
  <c r="I41" i="74"/>
  <c r="N40" i="74"/>
  <c r="M40" i="74" s="1"/>
  <c r="I40" i="73"/>
  <c r="I41" i="72"/>
  <c r="I28" i="71"/>
  <c r="H28" i="71" s="1"/>
  <c r="G28" i="71" s="1"/>
  <c r="I40" i="70"/>
  <c r="N41" i="70"/>
  <c r="M41" i="70" s="1"/>
  <c r="I41" i="69"/>
  <c r="N41" i="69"/>
  <c r="M41" i="69" s="1"/>
  <c r="I40" i="68"/>
  <c r="I40" i="67"/>
  <c r="N28" i="67"/>
  <c r="M28" i="67" s="1"/>
  <c r="I28" i="104"/>
  <c r="H28" i="104" s="1"/>
  <c r="G28" i="104" s="1"/>
  <c r="N41" i="88"/>
  <c r="M41" i="88" s="1"/>
  <c r="I41" i="79"/>
  <c r="N41" i="79"/>
  <c r="M41" i="79" s="1"/>
  <c r="N40" i="78"/>
  <c r="I28" i="77"/>
  <c r="H28" i="77" s="1"/>
  <c r="G28" i="77" s="1"/>
  <c r="I40" i="76"/>
  <c r="N41" i="73"/>
  <c r="M41" i="73" s="1"/>
  <c r="I41" i="71"/>
  <c r="N40" i="71"/>
  <c r="M40" i="71" s="1"/>
  <c r="I41" i="70"/>
  <c r="N40" i="69"/>
  <c r="I41" i="68"/>
  <c r="I41" i="67"/>
  <c r="N40" i="96"/>
  <c r="M40" i="96" s="1"/>
  <c r="N28" i="88"/>
  <c r="M28" i="88" s="1"/>
  <c r="I28" i="88"/>
  <c r="H28" i="88" s="1"/>
  <c r="G28" i="88" s="1"/>
  <c r="N28" i="78"/>
  <c r="M28" i="78" s="1"/>
  <c r="N40" i="77"/>
  <c r="M40" i="77" s="1"/>
  <c r="N41" i="76"/>
  <c r="M41" i="76" s="1"/>
  <c r="I28" i="74"/>
  <c r="H28" i="74" s="1"/>
  <c r="G28" i="74" s="1"/>
  <c r="N40" i="67"/>
  <c r="M40" i="67" s="1"/>
  <c r="I27" i="88"/>
  <c r="H27" i="88" s="1"/>
  <c r="G27" i="88" s="1"/>
  <c r="I27" i="90"/>
  <c r="H27" i="90" s="1"/>
  <c r="G27" i="90" s="1"/>
  <c r="N28" i="74"/>
  <c r="M28" i="74" s="1"/>
  <c r="N41" i="74"/>
  <c r="M41" i="74" s="1"/>
  <c r="N27" i="104"/>
  <c r="M27" i="104" s="1"/>
  <c r="I28" i="76"/>
  <c r="H28" i="76" s="1"/>
  <c r="G28" i="76" s="1"/>
  <c r="N40" i="73"/>
  <c r="M40" i="73" s="1"/>
  <c r="I28" i="72"/>
  <c r="H28" i="72" s="1"/>
  <c r="G28" i="72" s="1"/>
  <c r="I40" i="71"/>
  <c r="N28" i="70"/>
  <c r="M28" i="70" s="1"/>
  <c r="I28" i="69"/>
  <c r="H28" i="69" s="1"/>
  <c r="G28" i="69" s="1"/>
  <c r="N28" i="68"/>
  <c r="N41" i="68"/>
  <c r="M41" i="68" s="1"/>
  <c r="N41" i="116"/>
  <c r="M41" i="116" s="1"/>
  <c r="N27" i="96"/>
  <c r="M27" i="96" s="1"/>
  <c r="N41" i="90"/>
  <c r="M41" i="90" s="1"/>
  <c r="N40" i="85"/>
  <c r="M40" i="85" s="1"/>
  <c r="I40" i="85"/>
  <c r="N28" i="79"/>
  <c r="M28" i="79" s="1"/>
  <c r="I40" i="78"/>
  <c r="N40" i="70"/>
  <c r="M40" i="70" s="1"/>
  <c r="N28" i="69"/>
  <c r="M28" i="69" s="1"/>
  <c r="I41" i="73"/>
  <c r="N28" i="72"/>
  <c r="M28" i="72" s="1"/>
  <c r="N41" i="72"/>
  <c r="M41" i="72" s="1"/>
  <c r="N28" i="90"/>
  <c r="M28" i="90" s="1"/>
  <c r="I40" i="77"/>
  <c r="N40" i="95"/>
  <c r="M40" i="95" s="1"/>
  <c r="N28" i="77"/>
  <c r="M28" i="77" s="1"/>
  <c r="I28" i="78"/>
  <c r="H28" i="78" s="1"/>
  <c r="G28" i="78" s="1"/>
  <c r="I67" i="118"/>
  <c r="N56" i="116"/>
  <c r="M56" i="116" s="1"/>
  <c r="I76" i="120"/>
  <c r="H76" i="120" s="1"/>
  <c r="G76" i="120" s="1"/>
  <c r="I55" i="120"/>
  <c r="N56" i="118"/>
  <c r="M56" i="118" s="1"/>
  <c r="I55" i="116"/>
  <c r="I66" i="120"/>
  <c r="N76" i="116"/>
  <c r="M76" i="116" s="1"/>
  <c r="N55" i="120"/>
  <c r="M55" i="120" s="1"/>
  <c r="N55" i="118"/>
  <c r="M55" i="118" s="1"/>
  <c r="N77" i="120"/>
  <c r="M77" i="120" s="1"/>
  <c r="I56" i="120"/>
  <c r="N67" i="116"/>
  <c r="M67" i="116" s="1"/>
  <c r="N77" i="114"/>
  <c r="M77" i="114" s="1"/>
  <c r="I56" i="114"/>
  <c r="N67" i="114"/>
  <c r="M67" i="114" s="1"/>
  <c r="I56" i="112"/>
  <c r="N66" i="112"/>
  <c r="M66" i="112" s="1"/>
  <c r="N67" i="109"/>
  <c r="M67" i="109" s="1"/>
  <c r="I76" i="112"/>
  <c r="H76" i="112" s="1"/>
  <c r="G76" i="112" s="1"/>
  <c r="I67" i="109"/>
  <c r="I77" i="112"/>
  <c r="H77" i="112" s="1"/>
  <c r="G77" i="112" s="1"/>
  <c r="N56" i="120"/>
  <c r="M56" i="120" s="1"/>
  <c r="N55" i="116"/>
  <c r="M55" i="116" s="1"/>
  <c r="N77" i="118"/>
  <c r="M77" i="118" s="1"/>
  <c r="I66" i="116"/>
  <c r="I77" i="120"/>
  <c r="H77" i="120" s="1"/>
  <c r="G77" i="120" s="1"/>
  <c r="I77" i="118"/>
  <c r="H77" i="118" s="1"/>
  <c r="G77" i="118" s="1"/>
  <c r="I66" i="118"/>
  <c r="N66" i="114"/>
  <c r="M66" i="114" s="1"/>
  <c r="I77" i="114"/>
  <c r="H77" i="114" s="1"/>
  <c r="G77" i="114" s="1"/>
  <c r="N76" i="114"/>
  <c r="M76" i="114" s="1"/>
  <c r="I55" i="114"/>
  <c r="I76" i="109"/>
  <c r="H76" i="109" s="1"/>
  <c r="G76" i="109" s="1"/>
  <c r="I66" i="112"/>
  <c r="I77" i="109"/>
  <c r="H77" i="109" s="1"/>
  <c r="G77" i="109" s="1"/>
  <c r="N56" i="109"/>
  <c r="M56" i="109" s="1"/>
  <c r="I55" i="112"/>
  <c r="I56" i="109"/>
  <c r="N67" i="120"/>
  <c r="M67" i="120" s="1"/>
  <c r="I56" i="116"/>
  <c r="N77" i="116"/>
  <c r="M77" i="116" s="1"/>
  <c r="N67" i="118"/>
  <c r="M67" i="118" s="1"/>
  <c r="I76" i="114"/>
  <c r="H76" i="114" s="1"/>
  <c r="G76" i="114" s="1"/>
  <c r="N55" i="114"/>
  <c r="M55" i="114" s="1"/>
  <c r="N77" i="109"/>
  <c r="M77" i="109" s="1"/>
  <c r="N55" i="109"/>
  <c r="M55" i="109" s="1"/>
  <c r="I55" i="109"/>
  <c r="N66" i="109"/>
  <c r="M66" i="109" s="1"/>
  <c r="N56" i="104"/>
  <c r="M56" i="104" s="1"/>
  <c r="I55" i="104"/>
  <c r="N66" i="96"/>
  <c r="M66" i="96" s="1"/>
  <c r="N55" i="96"/>
  <c r="M55" i="96" s="1"/>
  <c r="I77" i="96"/>
  <c r="H77" i="96" s="1"/>
  <c r="G77" i="96" s="1"/>
  <c r="I55" i="96"/>
  <c r="N76" i="95"/>
  <c r="M76" i="95" s="1"/>
  <c r="I67" i="95"/>
  <c r="I56" i="95"/>
  <c r="N66" i="120"/>
  <c r="M66" i="120" s="1"/>
  <c r="N66" i="116"/>
  <c r="M66" i="116" s="1"/>
  <c r="I76" i="118"/>
  <c r="H76" i="118" s="1"/>
  <c r="G76" i="118" s="1"/>
  <c r="N66" i="118"/>
  <c r="M66" i="118" s="1"/>
  <c r="N76" i="120"/>
  <c r="M76" i="120" s="1"/>
  <c r="N56" i="114"/>
  <c r="M56" i="114" s="1"/>
  <c r="N67" i="112"/>
  <c r="M67" i="112" s="1"/>
  <c r="N76" i="104"/>
  <c r="M76" i="104" s="1"/>
  <c r="N66" i="104"/>
  <c r="M66" i="104" s="1"/>
  <c r="I56" i="104"/>
  <c r="I76" i="96"/>
  <c r="H76" i="96" s="1"/>
  <c r="G76" i="96" s="1"/>
  <c r="N55" i="95"/>
  <c r="M55" i="95" s="1"/>
  <c r="I66" i="96"/>
  <c r="N67" i="95"/>
  <c r="M67" i="95" s="1"/>
  <c r="I55" i="95"/>
  <c r="I76" i="95"/>
  <c r="H76" i="95" s="1"/>
  <c r="G76" i="95" s="1"/>
  <c r="N76" i="118"/>
  <c r="M76" i="118" s="1"/>
  <c r="I77" i="116"/>
  <c r="H77" i="116" s="1"/>
  <c r="G77" i="116" s="1"/>
  <c r="I67" i="116"/>
  <c r="I66" i="109"/>
  <c r="N55" i="112"/>
  <c r="M55" i="112" s="1"/>
  <c r="I56" i="118"/>
  <c r="I76" i="116"/>
  <c r="H76" i="116" s="1"/>
  <c r="G76" i="116" s="1"/>
  <c r="N76" i="112"/>
  <c r="M76" i="112" s="1"/>
  <c r="N56" i="112"/>
  <c r="M56" i="112" s="1"/>
  <c r="N77" i="104"/>
  <c r="M77" i="104" s="1"/>
  <c r="N56" i="96"/>
  <c r="M56" i="96" s="1"/>
  <c r="N67" i="96"/>
  <c r="M67" i="96" s="1"/>
  <c r="N56" i="95"/>
  <c r="M56" i="95" s="1"/>
  <c r="I66" i="95"/>
  <c r="N77" i="90"/>
  <c r="M77" i="90" s="1"/>
  <c r="I55" i="90"/>
  <c r="I56" i="88"/>
  <c r="I77" i="90"/>
  <c r="H77" i="90" s="1"/>
  <c r="G77" i="90" s="1"/>
  <c r="I66" i="90"/>
  <c r="N67" i="88"/>
  <c r="M67" i="88" s="1"/>
  <c r="I56" i="90"/>
  <c r="I77" i="85"/>
  <c r="H77" i="85" s="1"/>
  <c r="G77" i="85" s="1"/>
  <c r="I66" i="85"/>
  <c r="N77" i="85"/>
  <c r="M77" i="85" s="1"/>
  <c r="N66" i="85"/>
  <c r="M66" i="85" s="1"/>
  <c r="I55" i="85"/>
  <c r="I56" i="79"/>
  <c r="N76" i="79"/>
  <c r="N55" i="78"/>
  <c r="M55" i="78" s="1"/>
  <c r="N67" i="78"/>
  <c r="M67" i="78" s="1"/>
  <c r="I67" i="120"/>
  <c r="I55" i="118"/>
  <c r="I66" i="114"/>
  <c r="I67" i="112"/>
  <c r="N77" i="112"/>
  <c r="M77" i="112" s="1"/>
  <c r="N76" i="109"/>
  <c r="M76" i="109" s="1"/>
  <c r="I77" i="104"/>
  <c r="H77" i="104" s="1"/>
  <c r="G77" i="104" s="1"/>
  <c r="N77" i="96"/>
  <c r="M77" i="96" s="1"/>
  <c r="N76" i="96"/>
  <c r="M76" i="96" s="1"/>
  <c r="N67" i="104"/>
  <c r="M67" i="104" s="1"/>
  <c r="I67" i="104"/>
  <c r="I76" i="90"/>
  <c r="H76" i="90" s="1"/>
  <c r="G76" i="90" s="1"/>
  <c r="I56" i="85"/>
  <c r="I67" i="79"/>
  <c r="I76" i="79"/>
  <c r="H76" i="79" s="1"/>
  <c r="G76" i="79" s="1"/>
  <c r="I66" i="78"/>
  <c r="I76" i="78"/>
  <c r="H76" i="78" s="1"/>
  <c r="G76" i="78" s="1"/>
  <c r="N55" i="77"/>
  <c r="M55" i="77" s="1"/>
  <c r="N67" i="77"/>
  <c r="M67" i="77" s="1"/>
  <c r="N76" i="77"/>
  <c r="M76" i="77" s="1"/>
  <c r="I56" i="74"/>
  <c r="I77" i="74"/>
  <c r="H77" i="74" s="1"/>
  <c r="G77" i="74" s="1"/>
  <c r="N56" i="74"/>
  <c r="M56" i="74" s="1"/>
  <c r="N66" i="74"/>
  <c r="M66" i="74" s="1"/>
  <c r="N77" i="74"/>
  <c r="M77" i="74" s="1"/>
  <c r="I55" i="73"/>
  <c r="I67" i="73"/>
  <c r="I56" i="72"/>
  <c r="I77" i="72"/>
  <c r="H77" i="72" s="1"/>
  <c r="G77" i="72" s="1"/>
  <c r="N56" i="72"/>
  <c r="M56" i="72" s="1"/>
  <c r="N66" i="72"/>
  <c r="M66" i="72" s="1"/>
  <c r="N76" i="72"/>
  <c r="M76" i="72" s="1"/>
  <c r="I66" i="71"/>
  <c r="I76" i="71"/>
  <c r="H76" i="71" s="1"/>
  <c r="G76" i="71" s="1"/>
  <c r="N66" i="71"/>
  <c r="M66" i="71" s="1"/>
  <c r="I55" i="70"/>
  <c r="I67" i="70"/>
  <c r="N76" i="70"/>
  <c r="M76" i="70" s="1"/>
  <c r="I56" i="69"/>
  <c r="N76" i="69"/>
  <c r="M76" i="69" s="1"/>
  <c r="I55" i="68"/>
  <c r="I66" i="68"/>
  <c r="N56" i="68"/>
  <c r="M56" i="68" s="1"/>
  <c r="N67" i="68"/>
  <c r="M67" i="68" s="1"/>
  <c r="N77" i="68"/>
  <c r="M77" i="68" s="1"/>
  <c r="I77" i="67"/>
  <c r="H77" i="67" s="1"/>
  <c r="G77" i="67" s="1"/>
  <c r="N66" i="67"/>
  <c r="M66" i="67" s="1"/>
  <c r="N76" i="67"/>
  <c r="M76" i="67" s="1"/>
  <c r="I67" i="114"/>
  <c r="I66" i="104"/>
  <c r="I76" i="104"/>
  <c r="H76" i="104" s="1"/>
  <c r="G76" i="104" s="1"/>
  <c r="N66" i="95"/>
  <c r="M66" i="95" s="1"/>
  <c r="N77" i="95"/>
  <c r="M77" i="95" s="1"/>
  <c r="N56" i="90"/>
  <c r="M56" i="90" s="1"/>
  <c r="I67" i="88"/>
  <c r="N66" i="90"/>
  <c r="M66" i="90" s="1"/>
  <c r="I55" i="88"/>
  <c r="N77" i="88"/>
  <c r="M77" i="88" s="1"/>
  <c r="I76" i="85"/>
  <c r="H76" i="85" s="1"/>
  <c r="N67" i="85"/>
  <c r="M67" i="85" s="1"/>
  <c r="I67" i="85"/>
  <c r="I55" i="79"/>
  <c r="N55" i="79"/>
  <c r="M55" i="79" s="1"/>
  <c r="N77" i="79"/>
  <c r="M77" i="79" s="1"/>
  <c r="I55" i="78"/>
  <c r="I67" i="78"/>
  <c r="N56" i="78"/>
  <c r="M56" i="78" s="1"/>
  <c r="N66" i="78"/>
  <c r="M66" i="78" s="1"/>
  <c r="N77" i="78"/>
  <c r="M77" i="78" s="1"/>
  <c r="I66" i="77"/>
  <c r="I77" i="77"/>
  <c r="H77" i="77" s="1"/>
  <c r="G77" i="77" s="1"/>
  <c r="I66" i="76"/>
  <c r="I77" i="76"/>
  <c r="H77" i="76" s="1"/>
  <c r="N56" i="76"/>
  <c r="M56" i="76" s="1"/>
  <c r="N66" i="76"/>
  <c r="M66" i="76" s="1"/>
  <c r="N76" i="76"/>
  <c r="M76" i="76" s="1"/>
  <c r="I76" i="74"/>
  <c r="H76" i="74" s="1"/>
  <c r="G76" i="74" s="1"/>
  <c r="I56" i="73"/>
  <c r="I77" i="73"/>
  <c r="H77" i="73" s="1"/>
  <c r="G77" i="73" s="1"/>
  <c r="N56" i="73"/>
  <c r="M56" i="73" s="1"/>
  <c r="N66" i="73"/>
  <c r="N76" i="73"/>
  <c r="M76" i="73" s="1"/>
  <c r="I76" i="72"/>
  <c r="H76" i="72" s="1"/>
  <c r="G76" i="72" s="1"/>
  <c r="I55" i="71"/>
  <c r="I67" i="71"/>
  <c r="N56" i="71"/>
  <c r="M56" i="71" s="1"/>
  <c r="N76" i="71"/>
  <c r="M76" i="71" s="1"/>
  <c r="I56" i="70"/>
  <c r="I77" i="70"/>
  <c r="H77" i="70" s="1"/>
  <c r="G77" i="70" s="1"/>
  <c r="N55" i="70"/>
  <c r="M55" i="70" s="1"/>
  <c r="N67" i="70"/>
  <c r="M67" i="70" s="1"/>
  <c r="I77" i="69"/>
  <c r="H77" i="69" s="1"/>
  <c r="G77" i="69" s="1"/>
  <c r="N55" i="69"/>
  <c r="M55" i="69" s="1"/>
  <c r="N67" i="69"/>
  <c r="M67" i="69" s="1"/>
  <c r="I56" i="68"/>
  <c r="I67" i="68"/>
  <c r="I55" i="67"/>
  <c r="I66" i="67"/>
  <c r="I76" i="67"/>
  <c r="H76" i="67" s="1"/>
  <c r="G76" i="67" s="1"/>
  <c r="N55" i="67"/>
  <c r="N77" i="67"/>
  <c r="M77" i="67" s="1"/>
  <c r="I67" i="96"/>
  <c r="N66" i="88"/>
  <c r="M66" i="88" s="1"/>
  <c r="N55" i="90"/>
  <c r="M55" i="90" s="1"/>
  <c r="N55" i="88"/>
  <c r="M55" i="88" s="1"/>
  <c r="N56" i="79"/>
  <c r="M56" i="79" s="1"/>
  <c r="I56" i="78"/>
  <c r="I77" i="78"/>
  <c r="H77" i="78" s="1"/>
  <c r="G77" i="78" s="1"/>
  <c r="I55" i="77"/>
  <c r="N66" i="77"/>
  <c r="M66" i="77" s="1"/>
  <c r="N55" i="76"/>
  <c r="M55" i="76" s="1"/>
  <c r="N67" i="76"/>
  <c r="M67" i="76" s="1"/>
  <c r="I67" i="74"/>
  <c r="N76" i="74"/>
  <c r="M76" i="74" s="1"/>
  <c r="N77" i="73"/>
  <c r="M77" i="73" s="1"/>
  <c r="I66" i="72"/>
  <c r="N55" i="71"/>
  <c r="M55" i="71" s="1"/>
  <c r="N77" i="70"/>
  <c r="M77" i="70" s="1"/>
  <c r="I66" i="69"/>
  <c r="N56" i="69"/>
  <c r="M56" i="69" s="1"/>
  <c r="N55" i="104"/>
  <c r="M55" i="104" s="1"/>
  <c r="I77" i="95"/>
  <c r="H77" i="95" s="1"/>
  <c r="G77" i="95" s="1"/>
  <c r="I77" i="88"/>
  <c r="H77" i="88" s="1"/>
  <c r="G77" i="88" s="1"/>
  <c r="N76" i="88"/>
  <c r="M76" i="88" s="1"/>
  <c r="N67" i="90"/>
  <c r="M67" i="90" s="1"/>
  <c r="I76" i="88"/>
  <c r="H76" i="88" s="1"/>
  <c r="G76" i="88" s="1"/>
  <c r="I56" i="77"/>
  <c r="I76" i="77"/>
  <c r="H76" i="77" s="1"/>
  <c r="N56" i="77"/>
  <c r="M56" i="77" s="1"/>
  <c r="I67" i="76"/>
  <c r="N77" i="76"/>
  <c r="M77" i="76" s="1"/>
  <c r="I55" i="74"/>
  <c r="N55" i="74"/>
  <c r="M55" i="74" s="1"/>
  <c r="N67" i="74"/>
  <c r="M67" i="74" s="1"/>
  <c r="I66" i="73"/>
  <c r="I76" i="73"/>
  <c r="H76" i="73" s="1"/>
  <c r="G76" i="73" s="1"/>
  <c r="I67" i="72"/>
  <c r="I76" i="70"/>
  <c r="H76" i="70" s="1"/>
  <c r="I67" i="69"/>
  <c r="I76" i="69"/>
  <c r="H76" i="69" s="1"/>
  <c r="G76" i="69" s="1"/>
  <c r="I76" i="68"/>
  <c r="H76" i="68" s="1"/>
  <c r="G76" i="68" s="1"/>
  <c r="N55" i="68"/>
  <c r="N76" i="68"/>
  <c r="M76" i="68" s="1"/>
  <c r="N56" i="88"/>
  <c r="M56" i="88" s="1"/>
  <c r="N55" i="85"/>
  <c r="M55" i="85" s="1"/>
  <c r="I66" i="79"/>
  <c r="I77" i="79"/>
  <c r="H77" i="79" s="1"/>
  <c r="G77" i="79" s="1"/>
  <c r="N67" i="79"/>
  <c r="M67" i="79" s="1"/>
  <c r="I55" i="76"/>
  <c r="I76" i="76"/>
  <c r="H76" i="76" s="1"/>
  <c r="G76" i="76" s="1"/>
  <c r="I66" i="74"/>
  <c r="N55" i="73"/>
  <c r="M55" i="73" s="1"/>
  <c r="I66" i="70"/>
  <c r="N66" i="70"/>
  <c r="M66" i="70" s="1"/>
  <c r="N77" i="69"/>
  <c r="M77" i="69" s="1"/>
  <c r="N66" i="68"/>
  <c r="M66" i="68" s="1"/>
  <c r="N56" i="67"/>
  <c r="M56" i="67" s="1"/>
  <c r="N67" i="67"/>
  <c r="M67" i="67" s="1"/>
  <c r="I67" i="90"/>
  <c r="I56" i="76"/>
  <c r="I55" i="72"/>
  <c r="N55" i="72"/>
  <c r="M55" i="72" s="1"/>
  <c r="N67" i="72"/>
  <c r="M67" i="72" s="1"/>
  <c r="I77" i="71"/>
  <c r="H77" i="71" s="1"/>
  <c r="G77" i="71" s="1"/>
  <c r="N67" i="71"/>
  <c r="M67" i="71" s="1"/>
  <c r="N56" i="70"/>
  <c r="M56" i="70" s="1"/>
  <c r="I55" i="69"/>
  <c r="I77" i="68"/>
  <c r="H77" i="68" s="1"/>
  <c r="G77" i="68" s="1"/>
  <c r="N76" i="90"/>
  <c r="M76" i="90" s="1"/>
  <c r="N76" i="85"/>
  <c r="M76" i="85" s="1"/>
  <c r="N76" i="78"/>
  <c r="M76" i="78" s="1"/>
  <c r="I67" i="77"/>
  <c r="N77" i="77"/>
  <c r="M77" i="77" s="1"/>
  <c r="N77" i="72"/>
  <c r="M77" i="72" s="1"/>
  <c r="N77" i="71"/>
  <c r="M77" i="71" s="1"/>
  <c r="N66" i="69"/>
  <c r="M66" i="69" s="1"/>
  <c r="I67" i="67"/>
  <c r="I56" i="71"/>
  <c r="I56" i="96"/>
  <c r="N66" i="79"/>
  <c r="M66" i="79" s="1"/>
  <c r="I56" i="67"/>
  <c r="N56" i="85"/>
  <c r="M56" i="85" s="1"/>
  <c r="N67" i="73"/>
  <c r="M67" i="73" s="1"/>
  <c r="I66" i="88"/>
  <c r="N27" i="70"/>
  <c r="M27" i="70" s="1"/>
  <c r="N27" i="77"/>
  <c r="M27" i="77" s="1"/>
  <c r="I27" i="73"/>
  <c r="H27" i="73" s="1"/>
  <c r="G27" i="73" s="1"/>
  <c r="N27" i="74"/>
  <c r="M27" i="74" s="1"/>
  <c r="N27" i="71"/>
  <c r="M27" i="71" s="1"/>
  <c r="N27" i="72"/>
  <c r="M27" i="72" s="1"/>
  <c r="I27" i="76"/>
  <c r="H27" i="76" s="1"/>
  <c r="G27" i="76" s="1"/>
  <c r="N27" i="69"/>
  <c r="N27" i="67"/>
  <c r="M27" i="67" s="1"/>
  <c r="N27" i="79"/>
  <c r="M27" i="79" s="1"/>
  <c r="I27" i="68"/>
  <c r="H27" i="68" s="1"/>
  <c r="G27" i="68" s="1"/>
  <c r="I27" i="78"/>
  <c r="H27" i="78" s="1"/>
  <c r="G27" i="78" s="1"/>
  <c r="I27" i="85"/>
  <c r="H27" i="85" s="1"/>
  <c r="G27" i="85" s="1"/>
  <c r="N27" i="76"/>
  <c r="M27" i="76" s="1"/>
  <c r="N27" i="73"/>
  <c r="M27" i="73" s="1"/>
  <c r="I27" i="74"/>
  <c r="H27" i="74" s="1"/>
  <c r="G27" i="74" s="1"/>
  <c r="N27" i="68"/>
  <c r="M27" i="68" s="1"/>
  <c r="N27" i="85"/>
  <c r="M27" i="85" s="1"/>
  <c r="G21" i="121"/>
  <c r="G21" i="119"/>
  <c r="G11" i="117"/>
  <c r="G16" i="115"/>
  <c r="G21" i="110"/>
  <c r="G21" i="113"/>
  <c r="G16" i="121"/>
  <c r="G11" i="121"/>
  <c r="G26" i="117"/>
  <c r="G11" i="115"/>
  <c r="G16" i="110"/>
  <c r="G16" i="113"/>
  <c r="G26" i="121"/>
  <c r="G16" i="117"/>
  <c r="G26" i="110"/>
  <c r="G16" i="119"/>
  <c r="G26" i="115"/>
  <c r="G26" i="119"/>
  <c r="G26" i="113"/>
  <c r="G21" i="117"/>
  <c r="G11" i="113"/>
  <c r="G11" i="110"/>
  <c r="G16" i="103"/>
  <c r="G11" i="101"/>
  <c r="G11" i="97"/>
  <c r="G26" i="94"/>
  <c r="G11" i="89"/>
  <c r="G21" i="89"/>
  <c r="G26" i="86"/>
  <c r="G26" i="101"/>
  <c r="G26" i="103"/>
  <c r="G16" i="94"/>
  <c r="G21" i="97"/>
  <c r="G11" i="91"/>
  <c r="G21" i="91"/>
  <c r="G16" i="86"/>
  <c r="G39" i="121"/>
  <c r="G32" i="119"/>
  <c r="H32" i="119"/>
  <c r="G74" i="117"/>
  <c r="G74" i="119"/>
  <c r="G39" i="117"/>
  <c r="G32" i="115"/>
  <c r="G67" i="115"/>
  <c r="G39" i="113"/>
  <c r="G60" i="113"/>
  <c r="G60" i="110"/>
  <c r="G67" i="110"/>
  <c r="G67" i="119"/>
  <c r="G53" i="121"/>
  <c r="G74" i="121"/>
  <c r="H74" i="121"/>
  <c r="G53" i="119"/>
  <c r="G60" i="117"/>
  <c r="G60" i="115"/>
  <c r="G53" i="115"/>
  <c r="G74" i="110"/>
  <c r="G46" i="113"/>
  <c r="G46" i="110"/>
  <c r="G60" i="121"/>
  <c r="H60" i="121"/>
  <c r="G60" i="119"/>
  <c r="G53" i="117"/>
  <c r="G46" i="115"/>
  <c r="G32" i="110"/>
  <c r="G32" i="113"/>
  <c r="G46" i="119"/>
  <c r="G46" i="121"/>
  <c r="G74" i="115"/>
  <c r="G39" i="110"/>
  <c r="G67" i="121"/>
  <c r="G39" i="115"/>
  <c r="G53" i="113"/>
  <c r="H53" i="113"/>
  <c r="G67" i="117"/>
  <c r="H67" i="117"/>
  <c r="G74" i="113"/>
  <c r="G32" i="117"/>
  <c r="G39" i="103"/>
  <c r="G32" i="103"/>
  <c r="G74" i="101"/>
  <c r="G46" i="101"/>
  <c r="G53" i="97"/>
  <c r="G74" i="97"/>
  <c r="G67" i="97"/>
  <c r="G32" i="91"/>
  <c r="G46" i="89"/>
  <c r="G39" i="89"/>
  <c r="G32" i="89"/>
  <c r="G53" i="86"/>
  <c r="G46" i="86"/>
  <c r="G39" i="119"/>
  <c r="G53" i="110"/>
  <c r="G67" i="101"/>
  <c r="G60" i="103"/>
  <c r="G53" i="103"/>
  <c r="G60" i="97"/>
  <c r="G74" i="94"/>
  <c r="G46" i="97"/>
  <c r="G60" i="94"/>
  <c r="G53" i="89"/>
  <c r="G74" i="91"/>
  <c r="G67" i="91"/>
  <c r="G32" i="86"/>
  <c r="G60" i="86"/>
  <c r="G76" i="115"/>
  <c r="G76" i="117"/>
  <c r="G76" i="113"/>
  <c r="G76" i="119"/>
  <c r="G76" i="121"/>
  <c r="G76" i="101"/>
  <c r="G76" i="57"/>
  <c r="G76" i="59"/>
  <c r="G76" i="39"/>
  <c r="G76" i="46"/>
  <c r="G76" i="44"/>
  <c r="I53" i="104"/>
  <c r="G39" i="91"/>
  <c r="G53" i="91"/>
  <c r="G16" i="89"/>
  <c r="G16" i="97"/>
  <c r="G16" i="101"/>
  <c r="G67" i="94"/>
  <c r="G32" i="97"/>
  <c r="G60" i="101"/>
  <c r="G76" i="48"/>
  <c r="G76" i="63"/>
  <c r="G67" i="113"/>
  <c r="G11" i="119"/>
  <c r="G46" i="117"/>
  <c r="C35" i="19"/>
  <c r="C39" i="19"/>
  <c r="C31" i="19"/>
  <c r="C36" i="19"/>
  <c r="C40" i="19"/>
  <c r="E30" i="19"/>
  <c r="D33" i="101" s="1"/>
  <c r="C37" i="19"/>
  <c r="C33" i="19"/>
  <c r="H56" i="121"/>
  <c r="G12" i="121"/>
  <c r="G12" i="119"/>
  <c r="G12" i="117"/>
  <c r="H12" i="117"/>
  <c r="G12" i="115"/>
  <c r="H12" i="115"/>
  <c r="G17" i="113"/>
  <c r="G17" i="110"/>
  <c r="G17" i="119"/>
  <c r="G27" i="119"/>
  <c r="G22" i="117"/>
  <c r="G27" i="115"/>
  <c r="G12" i="110"/>
  <c r="G12" i="113"/>
  <c r="G27" i="121"/>
  <c r="G22" i="115"/>
  <c r="G27" i="110"/>
  <c r="G61" i="121"/>
  <c r="G47" i="119"/>
  <c r="G33" i="119"/>
  <c r="G33" i="121"/>
  <c r="G69" i="121"/>
  <c r="G54" i="119"/>
  <c r="G48" i="119"/>
  <c r="G40" i="117"/>
  <c r="G47" i="117"/>
  <c r="G34" i="115"/>
  <c r="G47" i="115"/>
  <c r="H47" i="115"/>
  <c r="G55" i="115"/>
  <c r="G62" i="110"/>
  <c r="G69" i="113"/>
  <c r="G34" i="113"/>
  <c r="G69" i="110"/>
  <c r="G34" i="110"/>
  <c r="G40" i="113"/>
  <c r="G40" i="121"/>
  <c r="G41" i="119"/>
  <c r="G55" i="121"/>
  <c r="G62" i="119"/>
  <c r="G48" i="121"/>
  <c r="G69" i="117"/>
  <c r="G68" i="117"/>
  <c r="G55" i="117"/>
  <c r="G54" i="117"/>
  <c r="G33" i="115"/>
  <c r="G69" i="115"/>
  <c r="G54" i="115"/>
  <c r="G54" i="110"/>
  <c r="G68" i="113"/>
  <c r="G61" i="110"/>
  <c r="G68" i="110"/>
  <c r="G62" i="113"/>
  <c r="G55" i="110"/>
  <c r="G62" i="121"/>
  <c r="G34" i="119"/>
  <c r="G62" i="117"/>
  <c r="G41" i="121"/>
  <c r="G41" i="117"/>
  <c r="G48" i="115"/>
  <c r="G61" i="113"/>
  <c r="G47" i="113"/>
  <c r="G47" i="110"/>
  <c r="H76" i="121"/>
  <c r="H53" i="121"/>
  <c r="H31" i="121"/>
  <c r="H31" i="119"/>
  <c r="H74" i="117"/>
  <c r="H49" i="121"/>
  <c r="H17" i="121"/>
  <c r="H55" i="119"/>
  <c r="H13" i="119"/>
  <c r="H34" i="121"/>
  <c r="H23" i="121"/>
  <c r="H62" i="119"/>
  <c r="H70" i="121"/>
  <c r="H48" i="121"/>
  <c r="H12" i="121"/>
  <c r="H54" i="119"/>
  <c r="H77" i="121"/>
  <c r="H32" i="121"/>
  <c r="H60" i="119"/>
  <c r="H28" i="121"/>
  <c r="H21" i="119"/>
  <c r="H67" i="121"/>
  <c r="H45" i="121"/>
  <c r="H22" i="121"/>
  <c r="H74" i="119"/>
  <c r="H52" i="119"/>
  <c r="H18" i="119"/>
  <c r="H38" i="121"/>
  <c r="H16" i="121"/>
  <c r="H66" i="119"/>
  <c r="H42" i="119"/>
  <c r="H38" i="119"/>
  <c r="H76" i="117"/>
  <c r="H49" i="117"/>
  <c r="H28" i="117"/>
  <c r="H35" i="117"/>
  <c r="H31" i="117"/>
  <c r="H56" i="117"/>
  <c r="H45" i="117"/>
  <c r="H32" i="117"/>
  <c r="H11" i="117"/>
  <c r="H60" i="115"/>
  <c r="H46" i="115"/>
  <c r="H27" i="115"/>
  <c r="H68" i="115"/>
  <c r="H55" i="115"/>
  <c r="H39" i="115"/>
  <c r="H33" i="115"/>
  <c r="H21" i="115"/>
  <c r="H70" i="113"/>
  <c r="H59" i="113"/>
  <c r="H46" i="113"/>
  <c r="H27" i="113"/>
  <c r="H23" i="110"/>
  <c r="H45" i="113"/>
  <c r="H70" i="110"/>
  <c r="H59" i="110"/>
  <c r="H46" i="110"/>
  <c r="H27" i="110"/>
  <c r="H66" i="113"/>
  <c r="B49" i="19"/>
  <c r="I15" i="52" l="1"/>
  <c r="J15" i="87"/>
  <c r="J22" i="87" s="1"/>
  <c r="I15" i="87"/>
  <c r="I22" i="87" s="1"/>
  <c r="J15" i="52"/>
  <c r="J22" i="52" s="1"/>
  <c r="C13" i="55" s="1"/>
  <c r="C13" i="63" s="1"/>
  <c r="M27" i="87"/>
  <c r="M27" i="52"/>
  <c r="N27" i="87"/>
  <c r="N17" i="87"/>
  <c r="M17" i="87"/>
  <c r="N27" i="52"/>
  <c r="M18" i="87"/>
  <c r="N18" i="87"/>
  <c r="J36" i="52"/>
  <c r="J40" i="52" s="1"/>
  <c r="C13" i="57" s="1"/>
  <c r="C13" i="48" s="1"/>
  <c r="I36" i="52"/>
  <c r="I36" i="87"/>
  <c r="I40" i="87" s="1"/>
  <c r="J36" i="87"/>
  <c r="J40" i="87" s="1"/>
  <c r="J27" i="52"/>
  <c r="J31" i="52" s="1"/>
  <c r="C13" i="115" s="1"/>
  <c r="I27" i="52"/>
  <c r="I31" i="52" s="1"/>
  <c r="I27" i="87"/>
  <c r="I31" i="87" s="1"/>
  <c r="J27" i="87"/>
  <c r="J31" i="87" s="1"/>
  <c r="H65" i="125"/>
  <c r="G65" i="125" s="1"/>
  <c r="H67" i="125"/>
  <c r="G67" i="125" s="1"/>
  <c r="H66" i="125"/>
  <c r="G66" i="125" s="1"/>
  <c r="H54" i="125"/>
  <c r="G54" i="125" s="1"/>
  <c r="H55" i="125"/>
  <c r="G55" i="125" s="1"/>
  <c r="H56" i="125"/>
  <c r="G56" i="125" s="1"/>
  <c r="H38" i="125"/>
  <c r="G38" i="125" s="1"/>
  <c r="H41" i="125"/>
  <c r="G41" i="125" s="1"/>
  <c r="H40" i="125"/>
  <c r="G40" i="125" s="1"/>
  <c r="H39" i="125"/>
  <c r="G39" i="125" s="1"/>
  <c r="I84" i="125"/>
  <c r="H84" i="125" s="1"/>
  <c r="H39" i="69"/>
  <c r="G39" i="69" s="1"/>
  <c r="H40" i="95"/>
  <c r="G40" i="95" s="1"/>
  <c r="H41" i="73"/>
  <c r="G41" i="73" s="1"/>
  <c r="H39" i="78"/>
  <c r="G39" i="78" s="1"/>
  <c r="H41" i="67"/>
  <c r="G41" i="67" s="1"/>
  <c r="H41" i="69"/>
  <c r="G41" i="69" s="1"/>
  <c r="I25" i="77"/>
  <c r="H25" i="77" s="1"/>
  <c r="C33" i="63" s="1"/>
  <c r="I25" i="120"/>
  <c r="H25" i="120" s="1"/>
  <c r="G25" i="120" s="1"/>
  <c r="I25" i="118"/>
  <c r="H25" i="118" s="1"/>
  <c r="G25" i="118" s="1"/>
  <c r="H66" i="79"/>
  <c r="G66" i="79" s="1"/>
  <c r="H64" i="95"/>
  <c r="G64" i="95" s="1"/>
  <c r="D33" i="91"/>
  <c r="D33" i="110"/>
  <c r="D33" i="94"/>
  <c r="D33" i="115"/>
  <c r="D33" i="59"/>
  <c r="D33" i="65"/>
  <c r="D33" i="42"/>
  <c r="D33" i="57"/>
  <c r="H38" i="95"/>
  <c r="G38" i="95" s="1"/>
  <c r="H41" i="112"/>
  <c r="G41" i="112" s="1"/>
  <c r="H39" i="90"/>
  <c r="G39" i="90" s="1"/>
  <c r="H40" i="71"/>
  <c r="G40" i="71" s="1"/>
  <c r="H41" i="68"/>
  <c r="G41" i="68" s="1"/>
  <c r="H40" i="70"/>
  <c r="G40" i="70" s="1"/>
  <c r="H41" i="95"/>
  <c r="G41" i="95" s="1"/>
  <c r="H40" i="90"/>
  <c r="G40" i="90" s="1"/>
  <c r="H41" i="118"/>
  <c r="G41" i="118" s="1"/>
  <c r="H39" i="76"/>
  <c r="G39" i="76" s="1"/>
  <c r="C17" i="17"/>
  <c r="H40" i="77"/>
  <c r="G40" i="77" s="1"/>
  <c r="H40" i="67"/>
  <c r="G40" i="67" s="1"/>
  <c r="H40" i="96"/>
  <c r="G40" i="96" s="1"/>
  <c r="H41" i="76"/>
  <c r="G41" i="76" s="1"/>
  <c r="H40" i="112"/>
  <c r="G40" i="112" s="1"/>
  <c r="H41" i="116"/>
  <c r="G41" i="116" s="1"/>
  <c r="H38" i="88"/>
  <c r="G38" i="88" s="1"/>
  <c r="H41" i="70"/>
  <c r="G41" i="70" s="1"/>
  <c r="H40" i="68"/>
  <c r="G40" i="68" s="1"/>
  <c r="H41" i="74"/>
  <c r="G41" i="74" s="1"/>
  <c r="H40" i="69"/>
  <c r="G40" i="69" s="1"/>
  <c r="H40" i="72"/>
  <c r="G40" i="72" s="1"/>
  <c r="H40" i="79"/>
  <c r="G40" i="79" s="1"/>
  <c r="H40" i="120"/>
  <c r="G40" i="120" s="1"/>
  <c r="H40" i="118"/>
  <c r="G40" i="118" s="1"/>
  <c r="H39" i="77"/>
  <c r="G39" i="77" s="1"/>
  <c r="H41" i="104"/>
  <c r="G41" i="104" s="1"/>
  <c r="H40" i="116"/>
  <c r="G40" i="116" s="1"/>
  <c r="H41" i="109"/>
  <c r="G41" i="109" s="1"/>
  <c r="H41" i="72"/>
  <c r="G41" i="72" s="1"/>
  <c r="H41" i="77"/>
  <c r="G41" i="77" s="1"/>
  <c r="H38" i="68"/>
  <c r="G38" i="68" s="1"/>
  <c r="H39" i="70"/>
  <c r="G39" i="70" s="1"/>
  <c r="H39" i="71"/>
  <c r="G39" i="71" s="1"/>
  <c r="H39" i="72"/>
  <c r="G39" i="72" s="1"/>
  <c r="H39" i="74"/>
  <c r="G39" i="74" s="1"/>
  <c r="H38" i="112"/>
  <c r="G38" i="112" s="1"/>
  <c r="H40" i="85"/>
  <c r="G40" i="85" s="1"/>
  <c r="H41" i="71"/>
  <c r="G41" i="71" s="1"/>
  <c r="H41" i="114"/>
  <c r="G41" i="114" s="1"/>
  <c r="H38" i="74"/>
  <c r="G38" i="74" s="1"/>
  <c r="H39" i="85"/>
  <c r="G39" i="85" s="1"/>
  <c r="H13" i="17"/>
  <c r="H18" i="17" s="1"/>
  <c r="H65" i="76"/>
  <c r="G65" i="76" s="1"/>
  <c r="D33" i="86"/>
  <c r="H38" i="77"/>
  <c r="G38" i="77" s="1"/>
  <c r="H38" i="85"/>
  <c r="G38" i="85" s="1"/>
  <c r="H64" i="72"/>
  <c r="G64" i="72" s="1"/>
  <c r="H64" i="116"/>
  <c r="G64" i="116" s="1"/>
  <c r="H53" i="104"/>
  <c r="G53" i="104" s="1"/>
  <c r="H64" i="68"/>
  <c r="G64" i="68" s="1"/>
  <c r="H66" i="69"/>
  <c r="G66" i="69" s="1"/>
  <c r="H67" i="70"/>
  <c r="G67" i="70" s="1"/>
  <c r="H67" i="112"/>
  <c r="G67" i="112" s="1"/>
  <c r="H64" i="73"/>
  <c r="G64" i="73" s="1"/>
  <c r="E34" i="19"/>
  <c r="D61" i="63" s="1"/>
  <c r="I38" i="76"/>
  <c r="H38" i="76" s="1"/>
  <c r="G38" i="76" s="1"/>
  <c r="I38" i="120"/>
  <c r="H38" i="120" s="1"/>
  <c r="G38" i="120" s="1"/>
  <c r="I38" i="118"/>
  <c r="H38" i="118" s="1"/>
  <c r="G38" i="118" s="1"/>
  <c r="I74" i="79"/>
  <c r="H74" i="79" s="1"/>
  <c r="G74" i="79" s="1"/>
  <c r="I25" i="104"/>
  <c r="H25" i="104" s="1"/>
  <c r="G25" i="104" s="1"/>
  <c r="J23" i="104" s="1"/>
  <c r="D33" i="113"/>
  <c r="D33" i="44"/>
  <c r="D33" i="39"/>
  <c r="I38" i="79"/>
  <c r="H38" i="79" s="1"/>
  <c r="G38" i="79" s="1"/>
  <c r="I74" i="76"/>
  <c r="H74" i="76" s="1"/>
  <c r="G74" i="76" s="1"/>
  <c r="H38" i="67"/>
  <c r="G38" i="67" s="1"/>
  <c r="H38" i="70"/>
  <c r="G38" i="70" s="1"/>
  <c r="H38" i="72"/>
  <c r="G38" i="72" s="1"/>
  <c r="E40" i="19"/>
  <c r="D62" i="48" s="1"/>
  <c r="H40" i="78"/>
  <c r="G40" i="78" s="1"/>
  <c r="H40" i="76"/>
  <c r="G40" i="76" s="1"/>
  <c r="H41" i="79"/>
  <c r="G41" i="79" s="1"/>
  <c r="H40" i="73"/>
  <c r="G40" i="73" s="1"/>
  <c r="H41" i="90"/>
  <c r="G41" i="90" s="1"/>
  <c r="H40" i="74"/>
  <c r="G40" i="74" s="1"/>
  <c r="H40" i="88"/>
  <c r="G40" i="88" s="1"/>
  <c r="H41" i="96"/>
  <c r="G41" i="96" s="1"/>
  <c r="H40" i="104"/>
  <c r="G40" i="104" s="1"/>
  <c r="H41" i="78"/>
  <c r="G41" i="78" s="1"/>
  <c r="H41" i="85"/>
  <c r="G41" i="85" s="1"/>
  <c r="H41" i="88"/>
  <c r="G41" i="88" s="1"/>
  <c r="H40" i="114"/>
  <c r="G40" i="114" s="1"/>
  <c r="H40" i="109"/>
  <c r="G40" i="109" s="1"/>
  <c r="H41" i="120"/>
  <c r="G41" i="120" s="1"/>
  <c r="H39" i="68"/>
  <c r="G39" i="68" s="1"/>
  <c r="H39" i="79"/>
  <c r="G39" i="79" s="1"/>
  <c r="H7" i="17"/>
  <c r="E41" i="19"/>
  <c r="D69" i="101" s="1"/>
  <c r="H39" i="96"/>
  <c r="G39" i="96" s="1"/>
  <c r="H39" i="95"/>
  <c r="G39" i="95" s="1"/>
  <c r="H39" i="104"/>
  <c r="G39" i="104" s="1"/>
  <c r="H38" i="116"/>
  <c r="G38" i="116" s="1"/>
  <c r="H38" i="96"/>
  <c r="G38" i="96" s="1"/>
  <c r="H38" i="104"/>
  <c r="G38" i="104" s="1"/>
  <c r="H64" i="71"/>
  <c r="G64" i="71" s="1"/>
  <c r="J23" i="78"/>
  <c r="J34" i="78" s="1"/>
  <c r="D47" i="86"/>
  <c r="D47" i="115"/>
  <c r="D47" i="94"/>
  <c r="D47" i="63"/>
  <c r="D47" i="61"/>
  <c r="D47" i="55"/>
  <c r="D47" i="110"/>
  <c r="D47" i="103"/>
  <c r="D47" i="4"/>
  <c r="D47" i="117"/>
  <c r="D47" i="48"/>
  <c r="D47" i="39"/>
  <c r="D47" i="121"/>
  <c r="D47" i="101"/>
  <c r="D47" i="91"/>
  <c r="D47" i="65"/>
  <c r="D47" i="59"/>
  <c r="D47" i="44"/>
  <c r="D47" i="42"/>
  <c r="D47" i="97"/>
  <c r="D47" i="119"/>
  <c r="D47" i="89"/>
  <c r="D47" i="57"/>
  <c r="D47" i="113"/>
  <c r="D47" i="46"/>
  <c r="H14" i="17"/>
  <c r="H19" i="17" s="1"/>
  <c r="H38" i="71"/>
  <c r="G38" i="71" s="1"/>
  <c r="H39" i="73"/>
  <c r="G39" i="73" s="1"/>
  <c r="E46" i="19"/>
  <c r="D63" i="55" s="1"/>
  <c r="E44" i="19"/>
  <c r="D49" i="103" s="1"/>
  <c r="H65" i="85"/>
  <c r="G65" i="85" s="1"/>
  <c r="H38" i="109"/>
  <c r="G38" i="109" s="1"/>
  <c r="H39" i="118"/>
  <c r="G39" i="118" s="1"/>
  <c r="H39" i="120"/>
  <c r="G39" i="120" s="1"/>
  <c r="H54" i="69"/>
  <c r="G54" i="69" s="1"/>
  <c r="H54" i="85"/>
  <c r="G54" i="85" s="1"/>
  <c r="H54" i="104"/>
  <c r="G54" i="104" s="1"/>
  <c r="H54" i="79"/>
  <c r="G54" i="79" s="1"/>
  <c r="H56" i="71"/>
  <c r="G56" i="71" s="1"/>
  <c r="H66" i="90"/>
  <c r="G66" i="90" s="1"/>
  <c r="H66" i="71"/>
  <c r="G66" i="71" s="1"/>
  <c r="E39" i="19"/>
  <c r="D55" i="101" s="1"/>
  <c r="G27" i="120"/>
  <c r="H65" i="118"/>
  <c r="G65" i="118" s="1"/>
  <c r="H64" i="96"/>
  <c r="G64" i="96" s="1"/>
  <c r="H65" i="70"/>
  <c r="G65" i="70" s="1"/>
  <c r="H65" i="109"/>
  <c r="G65" i="109" s="1"/>
  <c r="H65" i="95"/>
  <c r="G65" i="95" s="1"/>
  <c r="H64" i="67"/>
  <c r="G64" i="67" s="1"/>
  <c r="H66" i="116"/>
  <c r="G66" i="116" s="1"/>
  <c r="H67" i="96"/>
  <c r="G67" i="96" s="1"/>
  <c r="H66" i="88"/>
  <c r="G66" i="88" s="1"/>
  <c r="H66" i="104"/>
  <c r="G66" i="104" s="1"/>
  <c r="H66" i="77"/>
  <c r="G66" i="77" s="1"/>
  <c r="H65" i="69"/>
  <c r="G65" i="69" s="1"/>
  <c r="H67" i="76"/>
  <c r="G67" i="76" s="1"/>
  <c r="I74" i="78"/>
  <c r="H74" i="78" s="1"/>
  <c r="G74" i="78" s="1"/>
  <c r="I74" i="120"/>
  <c r="H74" i="120" s="1"/>
  <c r="G74" i="120" s="1"/>
  <c r="D35" i="94"/>
  <c r="D35" i="91"/>
  <c r="D35" i="103"/>
  <c r="D35" i="57"/>
  <c r="D35" i="101"/>
  <c r="D35" i="65"/>
  <c r="D35" i="39"/>
  <c r="D35" i="63"/>
  <c r="D35" i="46"/>
  <c r="D35" i="119"/>
  <c r="D35" i="110"/>
  <c r="H67" i="68"/>
  <c r="G67" i="68" s="1"/>
  <c r="H67" i="71"/>
  <c r="G67" i="71" s="1"/>
  <c r="H65" i="77"/>
  <c r="G65" i="77" s="1"/>
  <c r="H65" i="112"/>
  <c r="G65" i="112" s="1"/>
  <c r="H67" i="109"/>
  <c r="G67" i="109" s="1"/>
  <c r="H66" i="96"/>
  <c r="G66" i="96" s="1"/>
  <c r="H66" i="73"/>
  <c r="G66" i="73" s="1"/>
  <c r="H67" i="120"/>
  <c r="G67" i="120" s="1"/>
  <c r="H67" i="67"/>
  <c r="G67" i="67" s="1"/>
  <c r="H67" i="88"/>
  <c r="G67" i="88" s="1"/>
  <c r="H66" i="109"/>
  <c r="G66" i="109" s="1"/>
  <c r="H65" i="78"/>
  <c r="G65" i="78" s="1"/>
  <c r="H65" i="120"/>
  <c r="G65" i="120" s="1"/>
  <c r="H65" i="68"/>
  <c r="G65" i="68" s="1"/>
  <c r="H65" i="96"/>
  <c r="G65" i="96" s="1"/>
  <c r="E36" i="19"/>
  <c r="D34" i="55" s="1"/>
  <c r="H67" i="78"/>
  <c r="G67" i="78" s="1"/>
  <c r="H66" i="85"/>
  <c r="G66" i="85" s="1"/>
  <c r="I74" i="77"/>
  <c r="H74" i="77" s="1"/>
  <c r="G74" i="77" s="1"/>
  <c r="H67" i="72"/>
  <c r="G67" i="72" s="1"/>
  <c r="H65" i="67"/>
  <c r="G65" i="67" s="1"/>
  <c r="H64" i="74"/>
  <c r="G64" i="74" s="1"/>
  <c r="H67" i="90"/>
  <c r="G67" i="90" s="1"/>
  <c r="H67" i="95"/>
  <c r="G67" i="95" s="1"/>
  <c r="H67" i="116"/>
  <c r="G67" i="116" s="1"/>
  <c r="H66" i="74"/>
  <c r="G66" i="74" s="1"/>
  <c r="H66" i="78"/>
  <c r="G66" i="78" s="1"/>
  <c r="H67" i="118"/>
  <c r="G67" i="118" s="1"/>
  <c r="H65" i="90"/>
  <c r="G65" i="90" s="1"/>
  <c r="H64" i="114"/>
  <c r="G64" i="114" s="1"/>
  <c r="H65" i="79"/>
  <c r="G65" i="79" s="1"/>
  <c r="D33" i="119"/>
  <c r="D33" i="97"/>
  <c r="D33" i="63"/>
  <c r="D33" i="55"/>
  <c r="D33" i="89"/>
  <c r="D33" i="4"/>
  <c r="D33" i="121"/>
  <c r="D33" i="117"/>
  <c r="D33" i="103"/>
  <c r="D33" i="46"/>
  <c r="D33" i="48"/>
  <c r="D33" i="61"/>
  <c r="E31" i="19"/>
  <c r="D40" i="89" s="1"/>
  <c r="E35" i="19"/>
  <c r="D68" i="121" s="1"/>
  <c r="H55" i="69"/>
  <c r="G55" i="69" s="1"/>
  <c r="H67" i="69"/>
  <c r="G67" i="69" s="1"/>
  <c r="H55" i="85"/>
  <c r="G55" i="85" s="1"/>
  <c r="H55" i="96"/>
  <c r="G55" i="96" s="1"/>
  <c r="H55" i="104"/>
  <c r="G55" i="104" s="1"/>
  <c r="H56" i="116"/>
  <c r="G56" i="116" s="1"/>
  <c r="H56" i="109"/>
  <c r="G56" i="109" s="1"/>
  <c r="H66" i="112"/>
  <c r="G66" i="112" s="1"/>
  <c r="H65" i="104"/>
  <c r="G65" i="104" s="1"/>
  <c r="E38" i="19"/>
  <c r="D48" i="42" s="1"/>
  <c r="E33" i="19"/>
  <c r="D54" i="65" s="1"/>
  <c r="H56" i="76"/>
  <c r="G56" i="76" s="1"/>
  <c r="H66" i="67"/>
  <c r="G66" i="67" s="1"/>
  <c r="H67" i="114"/>
  <c r="G67" i="114" s="1"/>
  <c r="H67" i="73"/>
  <c r="G67" i="73" s="1"/>
  <c r="H56" i="95"/>
  <c r="G56" i="95" s="1"/>
  <c r="H56" i="78"/>
  <c r="G56" i="78" s="1"/>
  <c r="H67" i="85"/>
  <c r="G67" i="85" s="1"/>
  <c r="H55" i="95"/>
  <c r="G55" i="95" s="1"/>
  <c r="H66" i="120"/>
  <c r="G66" i="120" s="1"/>
  <c r="H55" i="76"/>
  <c r="G55" i="76" s="1"/>
  <c r="H55" i="77"/>
  <c r="G55" i="77" s="1"/>
  <c r="H55" i="67"/>
  <c r="G55" i="67" s="1"/>
  <c r="H55" i="78"/>
  <c r="G55" i="78" s="1"/>
  <c r="H55" i="79"/>
  <c r="G55" i="79" s="1"/>
  <c r="H55" i="88"/>
  <c r="G55" i="88" s="1"/>
  <c r="H67" i="79"/>
  <c r="G67" i="79" s="1"/>
  <c r="H67" i="104"/>
  <c r="G67" i="104" s="1"/>
  <c r="H55" i="109"/>
  <c r="G55" i="109" s="1"/>
  <c r="H6" i="17"/>
  <c r="H11" i="17"/>
  <c r="H16" i="17"/>
  <c r="H56" i="96"/>
  <c r="G56" i="96" s="1"/>
  <c r="H66" i="68"/>
  <c r="G66" i="68" s="1"/>
  <c r="H54" i="77"/>
  <c r="G54" i="77" s="1"/>
  <c r="H67" i="77"/>
  <c r="G67" i="77" s="1"/>
  <c r="H66" i="70"/>
  <c r="G66" i="70" s="1"/>
  <c r="H55" i="74"/>
  <c r="G55" i="74" s="1"/>
  <c r="H56" i="77"/>
  <c r="G56" i="77" s="1"/>
  <c r="H66" i="72"/>
  <c r="G66" i="72" s="1"/>
  <c r="H67" i="74"/>
  <c r="G67" i="74" s="1"/>
  <c r="H66" i="76"/>
  <c r="G66" i="76" s="1"/>
  <c r="H56" i="74"/>
  <c r="G56" i="74" s="1"/>
  <c r="H66" i="114"/>
  <c r="G66" i="114" s="1"/>
  <c r="H55" i="90"/>
  <c r="G55" i="90" s="1"/>
  <c r="H66" i="95"/>
  <c r="G66" i="95" s="1"/>
  <c r="H56" i="104"/>
  <c r="G56" i="104" s="1"/>
  <c r="H66" i="118"/>
  <c r="G66" i="118" s="1"/>
  <c r="H8" i="17"/>
  <c r="F9" i="52"/>
  <c r="T20" i="52"/>
  <c r="E18" i="52"/>
  <c r="C33" i="65"/>
  <c r="H54" i="118"/>
  <c r="G54" i="118" s="1"/>
  <c r="H53" i="71"/>
  <c r="G53" i="71" s="1"/>
  <c r="H53" i="73"/>
  <c r="G53" i="73" s="1"/>
  <c r="H54" i="78"/>
  <c r="G54" i="78" s="1"/>
  <c r="H53" i="74"/>
  <c r="G53" i="74" s="1"/>
  <c r="H53" i="72"/>
  <c r="G53" i="72" s="1"/>
  <c r="H53" i="67"/>
  <c r="G53" i="67" s="1"/>
  <c r="H53" i="95"/>
  <c r="G53" i="95" s="1"/>
  <c r="H54" i="70"/>
  <c r="G54" i="70" s="1"/>
  <c r="H56" i="79"/>
  <c r="G56" i="79" s="1"/>
  <c r="H55" i="73"/>
  <c r="G55" i="73" s="1"/>
  <c r="H53" i="116"/>
  <c r="G53" i="116" s="1"/>
  <c r="H54" i="76"/>
  <c r="G54" i="76" s="1"/>
  <c r="D18" i="17"/>
  <c r="H55" i="70"/>
  <c r="G55" i="70" s="1"/>
  <c r="H55" i="112"/>
  <c r="G55" i="112" s="1"/>
  <c r="H56" i="120"/>
  <c r="G56" i="120" s="1"/>
  <c r="H54" i="95"/>
  <c r="G54" i="95" s="1"/>
  <c r="I64" i="104"/>
  <c r="H64" i="104" s="1"/>
  <c r="G64" i="104" s="1"/>
  <c r="H56" i="68"/>
  <c r="G56" i="68" s="1"/>
  <c r="H56" i="70"/>
  <c r="G56" i="70" s="1"/>
  <c r="H55" i="71"/>
  <c r="G55" i="71" s="1"/>
  <c r="H56" i="73"/>
  <c r="G56" i="73" s="1"/>
  <c r="H55" i="68"/>
  <c r="G55" i="68" s="1"/>
  <c r="H56" i="69"/>
  <c r="G56" i="69" s="1"/>
  <c r="H56" i="72"/>
  <c r="G56" i="72" s="1"/>
  <c r="H56" i="90"/>
  <c r="G56" i="90" s="1"/>
  <c r="H56" i="118"/>
  <c r="G56" i="118" s="1"/>
  <c r="H56" i="114"/>
  <c r="G56" i="114" s="1"/>
  <c r="H55" i="120"/>
  <c r="G55" i="120" s="1"/>
  <c r="C28" i="61"/>
  <c r="C28" i="113"/>
  <c r="C28" i="110"/>
  <c r="I74" i="90"/>
  <c r="H74" i="90" s="1"/>
  <c r="G74" i="90" s="1"/>
  <c r="I74" i="118"/>
  <c r="H74" i="118" s="1"/>
  <c r="G74" i="118" s="1"/>
  <c r="H56" i="67"/>
  <c r="G56" i="67" s="1"/>
  <c r="H55" i="72"/>
  <c r="G55" i="72" s="1"/>
  <c r="H56" i="85"/>
  <c r="G56" i="85" s="1"/>
  <c r="H55" i="118"/>
  <c r="G55" i="118" s="1"/>
  <c r="H56" i="88"/>
  <c r="G56" i="88" s="1"/>
  <c r="H55" i="114"/>
  <c r="G55" i="114" s="1"/>
  <c r="H56" i="112"/>
  <c r="G56" i="112" s="1"/>
  <c r="H55" i="116"/>
  <c r="G55" i="116" s="1"/>
  <c r="H54" i="67"/>
  <c r="G54" i="67" s="1"/>
  <c r="I38" i="78"/>
  <c r="H38" i="78" s="1"/>
  <c r="G38" i="78" s="1"/>
  <c r="H54" i="68"/>
  <c r="G54" i="68" s="1"/>
  <c r="H9" i="17"/>
  <c r="E37" i="19"/>
  <c r="D41" i="91" s="1"/>
  <c r="H38" i="114"/>
  <c r="G38" i="114" s="1"/>
  <c r="H38" i="90"/>
  <c r="G38" i="90" s="1"/>
  <c r="H38" i="73"/>
  <c r="G38" i="73" s="1"/>
  <c r="H38" i="69"/>
  <c r="G38" i="69" s="1"/>
  <c r="H53" i="96"/>
  <c r="G53" i="96" s="1"/>
  <c r="H54" i="112"/>
  <c r="G54" i="112" s="1"/>
  <c r="H53" i="114"/>
  <c r="G53" i="114" s="1"/>
  <c r="E47" i="19"/>
  <c r="D70" i="121" s="1"/>
  <c r="H12" i="17"/>
  <c r="H17" i="17" s="1"/>
  <c r="H39" i="67"/>
  <c r="G39" i="67" s="1"/>
  <c r="H53" i="88"/>
  <c r="G53" i="88" s="1"/>
  <c r="H54" i="96"/>
  <c r="G54" i="96" s="1"/>
  <c r="H54" i="109"/>
  <c r="G54" i="109" s="1"/>
  <c r="H39" i="112"/>
  <c r="G39" i="112" s="1"/>
  <c r="H39" i="116"/>
  <c r="G39" i="116" s="1"/>
  <c r="H64" i="88"/>
  <c r="G64" i="88" s="1"/>
  <c r="H54" i="90"/>
  <c r="G54" i="90" s="1"/>
  <c r="H39" i="88"/>
  <c r="G39" i="88" s="1"/>
  <c r="H54" i="120"/>
  <c r="G54" i="120" s="1"/>
  <c r="H39" i="109"/>
  <c r="G39" i="109" s="1"/>
  <c r="H39" i="114"/>
  <c r="G39" i="114" s="1"/>
  <c r="E39" i="52"/>
  <c r="E21" i="52"/>
  <c r="E9" i="52"/>
  <c r="F9" i="87"/>
  <c r="L9" i="87" s="1"/>
  <c r="E17" i="52"/>
  <c r="F6" i="87"/>
  <c r="E37" i="87"/>
  <c r="C44" i="98"/>
  <c r="E45" i="19"/>
  <c r="E43" i="19"/>
  <c r="D42" i="63" s="1"/>
  <c r="G18" i="102"/>
  <c r="E19" i="102"/>
  <c r="D35" i="89"/>
  <c r="D35" i="117"/>
  <c r="D35" i="86"/>
  <c r="D35" i="61"/>
  <c r="D35" i="121"/>
  <c r="D35" i="55"/>
  <c r="D35" i="42"/>
  <c r="D35" i="48"/>
  <c r="D35" i="115"/>
  <c r="D35" i="44"/>
  <c r="D35" i="113"/>
  <c r="D35" i="59"/>
  <c r="D35" i="4"/>
  <c r="C59" i="19"/>
  <c r="D59" i="19" s="1"/>
  <c r="C58" i="19"/>
  <c r="D58" i="19" s="1"/>
  <c r="C56" i="84"/>
  <c r="D76" i="42" s="1"/>
  <c r="F5" i="87"/>
  <c r="C61" i="83"/>
  <c r="F6" i="52"/>
  <c r="E29" i="87"/>
  <c r="F39" i="87"/>
  <c r="C55" i="84"/>
  <c r="D76" i="59" s="1"/>
  <c r="F54" i="87"/>
  <c r="F69" i="87"/>
  <c r="E29" i="52"/>
  <c r="F28" i="52"/>
  <c r="E30" i="52"/>
  <c r="F29" i="52"/>
  <c r="E28" i="87"/>
  <c r="F30" i="52"/>
  <c r="E28" i="52"/>
  <c r="E37" i="52"/>
  <c r="F78" i="87"/>
  <c r="F7" i="52"/>
  <c r="F29" i="87"/>
  <c r="E30" i="87"/>
  <c r="I127" i="18"/>
  <c r="I129" i="18" s="1"/>
  <c r="E19" i="106"/>
  <c r="F5" i="52"/>
  <c r="F16" i="52"/>
  <c r="E20" i="52"/>
  <c r="F18" i="52"/>
  <c r="F30" i="87"/>
  <c r="F38" i="52"/>
  <c r="E38" i="52"/>
  <c r="E39" i="87"/>
  <c r="F39" i="52"/>
  <c r="E61" i="87"/>
  <c r="E53" i="87"/>
  <c r="F37" i="52"/>
  <c r="F38" i="87"/>
  <c r="F17" i="52"/>
  <c r="E16" i="52"/>
  <c r="F8" i="52"/>
  <c r="E5" i="52"/>
  <c r="F8" i="87"/>
  <c r="G8" i="87" s="1"/>
  <c r="I83" i="88"/>
  <c r="H83" i="88" s="1"/>
  <c r="I84" i="78"/>
  <c r="H84" i="78" s="1"/>
  <c r="I83" i="72"/>
  <c r="H83" i="72" s="1"/>
  <c r="I84" i="85"/>
  <c r="H84" i="85" s="1"/>
  <c r="I84" i="67"/>
  <c r="H84" i="67" s="1"/>
  <c r="I84" i="95"/>
  <c r="H84" i="95" s="1"/>
  <c r="I83" i="73"/>
  <c r="H83" i="73" s="1"/>
  <c r="I84" i="79"/>
  <c r="H84" i="79" s="1"/>
  <c r="I84" i="120"/>
  <c r="H84" i="120" s="1"/>
  <c r="G26" i="96"/>
  <c r="J23" i="96" s="1"/>
  <c r="J31" i="96" s="1"/>
  <c r="C33" i="97"/>
  <c r="C33" i="117"/>
  <c r="G25" i="116"/>
  <c r="C34" i="117" s="1"/>
  <c r="C34" i="65"/>
  <c r="G76" i="70"/>
  <c r="M66" i="73"/>
  <c r="G76" i="85"/>
  <c r="M28" i="68"/>
  <c r="G26" i="114"/>
  <c r="C34" i="115" s="1"/>
  <c r="C33" i="115"/>
  <c r="G26" i="118"/>
  <c r="J23" i="95"/>
  <c r="C34" i="94"/>
  <c r="M40" i="69"/>
  <c r="M40" i="78"/>
  <c r="G28" i="73"/>
  <c r="C34" i="39" s="1"/>
  <c r="C33" i="39"/>
  <c r="M27" i="90"/>
  <c r="M55" i="68"/>
  <c r="M55" i="67"/>
  <c r="M76" i="79"/>
  <c r="M28" i="114"/>
  <c r="M27" i="69"/>
  <c r="G76" i="77"/>
  <c r="M40" i="118"/>
  <c r="G75" i="74"/>
  <c r="G77" i="76"/>
  <c r="M40" i="76"/>
  <c r="M41" i="77"/>
  <c r="C33" i="94"/>
  <c r="I84" i="76"/>
  <c r="H84" i="76" s="1"/>
  <c r="I83" i="71"/>
  <c r="H83" i="71" s="1"/>
  <c r="I83" i="68"/>
  <c r="H83" i="68" s="1"/>
  <c r="I83" i="67"/>
  <c r="I83" i="116"/>
  <c r="I83" i="114"/>
  <c r="H83" i="114" s="1"/>
  <c r="I83" i="112"/>
  <c r="I84" i="109"/>
  <c r="H84" i="109" s="1"/>
  <c r="I83" i="96"/>
  <c r="H83" i="96" s="1"/>
  <c r="I84" i="90"/>
  <c r="H84" i="90" s="1"/>
  <c r="I84" i="118"/>
  <c r="H84" i="118" s="1"/>
  <c r="I83" i="109"/>
  <c r="H83" i="109" s="1"/>
  <c r="I84" i="68"/>
  <c r="H84" i="68" s="1"/>
  <c r="I83" i="74"/>
  <c r="H83" i="74" s="1"/>
  <c r="I84" i="69"/>
  <c r="H84" i="69" s="1"/>
  <c r="I83" i="69"/>
  <c r="I84" i="70"/>
  <c r="H84" i="70" s="1"/>
  <c r="I84" i="77"/>
  <c r="H84" i="77" s="1"/>
  <c r="M28" i="116"/>
  <c r="G27" i="72"/>
  <c r="J23" i="72" s="1"/>
  <c r="C33" i="55"/>
  <c r="I84" i="104"/>
  <c r="I84" i="112"/>
  <c r="H84" i="112" s="1"/>
  <c r="L9" i="52" l="1"/>
  <c r="C13" i="117"/>
  <c r="O18" i="87"/>
  <c r="G13" i="72" s="1"/>
  <c r="C13" i="39"/>
  <c r="C13" i="121" s="1"/>
  <c r="K36" i="52"/>
  <c r="N36" i="52" s="1"/>
  <c r="I40" i="52"/>
  <c r="I22" i="52"/>
  <c r="L15" i="52"/>
  <c r="N15" i="52"/>
  <c r="M15" i="52"/>
  <c r="D69" i="46"/>
  <c r="T29" i="52"/>
  <c r="Z29" i="52" s="1"/>
  <c r="P16" i="52"/>
  <c r="T17" i="52"/>
  <c r="S17" i="52"/>
  <c r="P17" i="52"/>
  <c r="T28" i="52"/>
  <c r="P28" i="52"/>
  <c r="S28" i="52"/>
  <c r="K9" i="87"/>
  <c r="L5" i="52"/>
  <c r="Z5" i="52" s="1"/>
  <c r="I8" i="87"/>
  <c r="J8" i="87"/>
  <c r="S28" i="87"/>
  <c r="T28" i="87"/>
  <c r="P28" i="87"/>
  <c r="T29" i="87"/>
  <c r="Z29" i="87" s="1"/>
  <c r="Z20" i="52"/>
  <c r="D69" i="65"/>
  <c r="D69" i="97"/>
  <c r="D69" i="117"/>
  <c r="D69" i="89"/>
  <c r="L5" i="87"/>
  <c r="K5" i="87"/>
  <c r="D63" i="94"/>
  <c r="G19" i="102"/>
  <c r="U18" i="102"/>
  <c r="V18" i="102"/>
  <c r="H18" i="102"/>
  <c r="G7" i="87"/>
  <c r="H7" i="87" s="1"/>
  <c r="H8" i="87"/>
  <c r="G25" i="77"/>
  <c r="J23" i="77" s="1"/>
  <c r="Z19" i="87"/>
  <c r="AA19" i="87" s="1"/>
  <c r="D63" i="59"/>
  <c r="C33" i="119"/>
  <c r="J23" i="118"/>
  <c r="J30" i="118" s="1"/>
  <c r="I42" i="118" s="1"/>
  <c r="H42" i="118" s="1"/>
  <c r="C40" i="119" s="1"/>
  <c r="C33" i="121"/>
  <c r="C34" i="121"/>
  <c r="E40" i="52"/>
  <c r="F40" i="87"/>
  <c r="F31" i="87"/>
  <c r="G37" i="87"/>
  <c r="E40" i="87"/>
  <c r="F40" i="52"/>
  <c r="F31" i="52"/>
  <c r="E22" i="52"/>
  <c r="E31" i="52"/>
  <c r="E31" i="87"/>
  <c r="F22" i="52"/>
  <c r="D69" i="61"/>
  <c r="D69" i="103"/>
  <c r="D69" i="94"/>
  <c r="D69" i="115"/>
  <c r="D69" i="59"/>
  <c r="D69" i="113"/>
  <c r="D69" i="4"/>
  <c r="D69" i="44"/>
  <c r="D69" i="110"/>
  <c r="D69" i="39"/>
  <c r="D69" i="63"/>
  <c r="D69" i="121"/>
  <c r="D69" i="48"/>
  <c r="D69" i="55"/>
  <c r="D69" i="91"/>
  <c r="D69" i="86"/>
  <c r="D69" i="57"/>
  <c r="D69" i="119"/>
  <c r="D63" i="119"/>
  <c r="D63" i="63"/>
  <c r="D63" i="97"/>
  <c r="D61" i="57"/>
  <c r="D69" i="42"/>
  <c r="G21" i="52"/>
  <c r="D41" i="94"/>
  <c r="D49" i="57"/>
  <c r="D41" i="42"/>
  <c r="G6" i="52"/>
  <c r="I6" i="52" s="1"/>
  <c r="D41" i="89"/>
  <c r="D34" i="46"/>
  <c r="D34" i="91"/>
  <c r="D68" i="89"/>
  <c r="D68" i="94"/>
  <c r="D68" i="119"/>
  <c r="D68" i="65"/>
  <c r="D54" i="101"/>
  <c r="D54" i="115"/>
  <c r="D54" i="63"/>
  <c r="D49" i="65"/>
  <c r="D49" i="94"/>
  <c r="D49" i="39"/>
  <c r="D49" i="59"/>
  <c r="D49" i="119"/>
  <c r="D49" i="63"/>
  <c r="D49" i="44"/>
  <c r="D49" i="110"/>
  <c r="D54" i="42"/>
  <c r="D49" i="121"/>
  <c r="D49" i="89"/>
  <c r="D49" i="42"/>
  <c r="D49" i="97"/>
  <c r="D49" i="4"/>
  <c r="D49" i="86"/>
  <c r="D49" i="115"/>
  <c r="D49" i="61"/>
  <c r="D49" i="117"/>
  <c r="D49" i="91"/>
  <c r="D62" i="113"/>
  <c r="D68" i="63"/>
  <c r="D55" i="113"/>
  <c r="D55" i="115"/>
  <c r="D68" i="101"/>
  <c r="D55" i="55"/>
  <c r="D68" i="44"/>
  <c r="D62" i="65"/>
  <c r="D54" i="119"/>
  <c r="D54" i="121"/>
  <c r="D61" i="39"/>
  <c r="D34" i="39"/>
  <c r="D61" i="115"/>
  <c r="D40" i="117"/>
  <c r="D68" i="103"/>
  <c r="D68" i="39"/>
  <c r="D54" i="4"/>
  <c r="D54" i="89"/>
  <c r="D34" i="59"/>
  <c r="D34" i="44"/>
  <c r="D54" i="48"/>
  <c r="D61" i="119"/>
  <c r="D40" i="94"/>
  <c r="D34" i="121"/>
  <c r="D61" i="89"/>
  <c r="D55" i="59"/>
  <c r="D61" i="91"/>
  <c r="D61" i="113"/>
  <c r="D55" i="121"/>
  <c r="D55" i="63"/>
  <c r="D61" i="65"/>
  <c r="D61" i="59"/>
  <c r="D61" i="103"/>
  <c r="D55" i="46"/>
  <c r="D61" i="48"/>
  <c r="D61" i="97"/>
  <c r="D61" i="101"/>
  <c r="D55" i="89"/>
  <c r="D55" i="119"/>
  <c r="D61" i="86"/>
  <c r="D61" i="4"/>
  <c r="D61" i="117"/>
  <c r="D61" i="55"/>
  <c r="D42" i="97"/>
  <c r="D41" i="65"/>
  <c r="D55" i="91"/>
  <c r="D61" i="44"/>
  <c r="D55" i="117"/>
  <c r="D61" i="46"/>
  <c r="D54" i="44"/>
  <c r="D61" i="94"/>
  <c r="D55" i="48"/>
  <c r="D54" i="61"/>
  <c r="D61" i="61"/>
  <c r="D61" i="110"/>
  <c r="D61" i="42"/>
  <c r="D61" i="121"/>
  <c r="J32" i="104"/>
  <c r="J30" i="104"/>
  <c r="I42" i="104" s="1"/>
  <c r="H42" i="104" s="1"/>
  <c r="C40" i="103" s="1"/>
  <c r="J23" i="120"/>
  <c r="J34" i="120" s="1"/>
  <c r="J32" i="78"/>
  <c r="C34" i="103"/>
  <c r="C33" i="103"/>
  <c r="D48" i="94"/>
  <c r="D34" i="4"/>
  <c r="D34" i="86"/>
  <c r="D41" i="115"/>
  <c r="D68" i="42"/>
  <c r="D68" i="57"/>
  <c r="D54" i="91"/>
  <c r="D34" i="103"/>
  <c r="D54" i="97"/>
  <c r="D55" i="44"/>
  <c r="D34" i="113"/>
  <c r="D34" i="61"/>
  <c r="D34" i="89"/>
  <c r="D34" i="115"/>
  <c r="D54" i="117"/>
  <c r="D55" i="103"/>
  <c r="D55" i="57"/>
  <c r="D55" i="110"/>
  <c r="D55" i="39"/>
  <c r="D54" i="55"/>
  <c r="D54" i="86"/>
  <c r="D34" i="117"/>
  <c r="D34" i="63"/>
  <c r="D34" i="101"/>
  <c r="D55" i="94"/>
  <c r="D34" i="94"/>
  <c r="D55" i="42"/>
  <c r="D34" i="65"/>
  <c r="D34" i="48"/>
  <c r="D34" i="97"/>
  <c r="D55" i="65"/>
  <c r="D55" i="61"/>
  <c r="D55" i="4"/>
  <c r="D42" i="94"/>
  <c r="D70" i="61"/>
  <c r="D70" i="94"/>
  <c r="D42" i="4"/>
  <c r="D48" i="39"/>
  <c r="D48" i="4"/>
  <c r="D48" i="97"/>
  <c r="D48" i="91"/>
  <c r="D48" i="103"/>
  <c r="D48" i="86"/>
  <c r="D48" i="55"/>
  <c r="D48" i="59"/>
  <c r="D48" i="121"/>
  <c r="D48" i="63"/>
  <c r="D48" i="119"/>
  <c r="D48" i="115"/>
  <c r="D48" i="44"/>
  <c r="D48" i="110"/>
  <c r="D48" i="57"/>
  <c r="D63" i="121"/>
  <c r="D63" i="113"/>
  <c r="D63" i="42"/>
  <c r="D63" i="44"/>
  <c r="D63" i="110"/>
  <c r="D63" i="115"/>
  <c r="D63" i="65"/>
  <c r="D63" i="86"/>
  <c r="D63" i="39"/>
  <c r="D63" i="89"/>
  <c r="D63" i="91"/>
  <c r="D63" i="117"/>
  <c r="D63" i="101"/>
  <c r="D63" i="103"/>
  <c r="D63" i="46"/>
  <c r="D63" i="57"/>
  <c r="D63" i="61"/>
  <c r="D63" i="4"/>
  <c r="D63" i="48"/>
  <c r="D62" i="101"/>
  <c r="D62" i="59"/>
  <c r="D62" i="55"/>
  <c r="D62" i="94"/>
  <c r="D62" i="91"/>
  <c r="D62" i="103"/>
  <c r="D62" i="119"/>
  <c r="D62" i="89"/>
  <c r="D62" i="44"/>
  <c r="D62" i="115"/>
  <c r="D62" i="42"/>
  <c r="D62" i="61"/>
  <c r="D62" i="63"/>
  <c r="D62" i="39"/>
  <c r="D62" i="110"/>
  <c r="D62" i="57"/>
  <c r="D62" i="117"/>
  <c r="D62" i="46"/>
  <c r="D62" i="86"/>
  <c r="D62" i="97"/>
  <c r="D62" i="121"/>
  <c r="D62" i="4"/>
  <c r="D56" i="110"/>
  <c r="D56" i="94"/>
  <c r="D56" i="115"/>
  <c r="D48" i="117"/>
  <c r="D48" i="113"/>
  <c r="D41" i="4"/>
  <c r="D41" i="55"/>
  <c r="D41" i="103"/>
  <c r="D41" i="110"/>
  <c r="D41" i="59"/>
  <c r="D41" i="61"/>
  <c r="D41" i="117"/>
  <c r="J33" i="78"/>
  <c r="J31" i="78"/>
  <c r="J30" i="78"/>
  <c r="I42" i="78" s="1"/>
  <c r="H42" i="78" s="1"/>
  <c r="C40" i="65" s="1"/>
  <c r="D48" i="61"/>
  <c r="D48" i="89"/>
  <c r="D48" i="65"/>
  <c r="Z17" i="87"/>
  <c r="D70" i="57"/>
  <c r="D70" i="39"/>
  <c r="D42" i="113"/>
  <c r="D42" i="101"/>
  <c r="D70" i="101"/>
  <c r="D70" i="89"/>
  <c r="G9" i="52"/>
  <c r="D56" i="91"/>
  <c r="D56" i="48"/>
  <c r="D42" i="57"/>
  <c r="D42" i="61"/>
  <c r="D42" i="55"/>
  <c r="D42" i="39"/>
  <c r="D56" i="117"/>
  <c r="D56" i="97"/>
  <c r="D56" i="101"/>
  <c r="D56" i="113"/>
  <c r="D56" i="103"/>
  <c r="D56" i="46"/>
  <c r="D56" i="4"/>
  <c r="D56" i="55"/>
  <c r="D56" i="61"/>
  <c r="G18" i="52"/>
  <c r="D42" i="42"/>
  <c r="D42" i="48"/>
  <c r="D42" i="44"/>
  <c r="D42" i="115"/>
  <c r="D42" i="65"/>
  <c r="D56" i="65"/>
  <c r="D56" i="59"/>
  <c r="D56" i="119"/>
  <c r="D56" i="39"/>
  <c r="D56" i="121"/>
  <c r="D56" i="86"/>
  <c r="D54" i="103"/>
  <c r="D54" i="46"/>
  <c r="D54" i="113"/>
  <c r="D42" i="103"/>
  <c r="D42" i="117"/>
  <c r="D42" i="86"/>
  <c r="D42" i="59"/>
  <c r="D42" i="121"/>
  <c r="D56" i="57"/>
  <c r="D56" i="89"/>
  <c r="D56" i="44"/>
  <c r="D56" i="42"/>
  <c r="D56" i="63"/>
  <c r="D54" i="39"/>
  <c r="D54" i="110"/>
  <c r="J23" i="114"/>
  <c r="J34" i="114" s="1"/>
  <c r="D49" i="46"/>
  <c r="D49" i="48"/>
  <c r="D49" i="55"/>
  <c r="D49" i="101"/>
  <c r="D49" i="113"/>
  <c r="D40" i="101"/>
  <c r="D40" i="4"/>
  <c r="D40" i="55"/>
  <c r="D40" i="91"/>
  <c r="D40" i="97"/>
  <c r="D40" i="39"/>
  <c r="D40" i="115"/>
  <c r="D40" i="44"/>
  <c r="D40" i="42"/>
  <c r="D40" i="48"/>
  <c r="C34" i="97"/>
  <c r="D70" i="63"/>
  <c r="D70" i="91"/>
  <c r="D70" i="48"/>
  <c r="D70" i="110"/>
  <c r="D70" i="115"/>
  <c r="D70" i="103"/>
  <c r="D40" i="113"/>
  <c r="D40" i="86"/>
  <c r="D40" i="61"/>
  <c r="D40" i="57"/>
  <c r="D40" i="103"/>
  <c r="D54" i="59"/>
  <c r="D54" i="57"/>
  <c r="D54" i="94"/>
  <c r="J32" i="96"/>
  <c r="D70" i="119"/>
  <c r="D70" i="86"/>
  <c r="D70" i="97"/>
  <c r="D70" i="55"/>
  <c r="D70" i="42"/>
  <c r="D70" i="117"/>
  <c r="D70" i="65"/>
  <c r="D40" i="121"/>
  <c r="D40" i="46"/>
  <c r="D40" i="65"/>
  <c r="D40" i="119"/>
  <c r="D55" i="86"/>
  <c r="D55" i="97"/>
  <c r="J30" i="96"/>
  <c r="I42" i="96" s="1"/>
  <c r="H42" i="96" s="1"/>
  <c r="G42" i="96" s="1"/>
  <c r="J36" i="96" s="1"/>
  <c r="J23" i="73"/>
  <c r="J32" i="73" s="1"/>
  <c r="E76" i="87"/>
  <c r="F70" i="87"/>
  <c r="C57" i="84"/>
  <c r="D76" i="113" s="1"/>
  <c r="D70" i="113"/>
  <c r="D70" i="46"/>
  <c r="D70" i="59"/>
  <c r="D70" i="44"/>
  <c r="D70" i="4"/>
  <c r="D42" i="89"/>
  <c r="D42" i="46"/>
  <c r="D42" i="110"/>
  <c r="D42" i="91"/>
  <c r="D42" i="119"/>
  <c r="D40" i="110"/>
  <c r="D40" i="63"/>
  <c r="D40" i="59"/>
  <c r="D48" i="48"/>
  <c r="D48" i="46"/>
  <c r="D48" i="101"/>
  <c r="D68" i="97"/>
  <c r="D68" i="59"/>
  <c r="D68" i="46"/>
  <c r="D68" i="115"/>
  <c r="D68" i="4"/>
  <c r="D68" i="113"/>
  <c r="D68" i="91"/>
  <c r="D68" i="48"/>
  <c r="D68" i="61"/>
  <c r="D68" i="110"/>
  <c r="D68" i="55"/>
  <c r="D68" i="86"/>
  <c r="D68" i="117"/>
  <c r="D34" i="119"/>
  <c r="D34" i="110"/>
  <c r="D34" i="57"/>
  <c r="D34" i="42"/>
  <c r="D41" i="119"/>
  <c r="D41" i="113"/>
  <c r="D41" i="57"/>
  <c r="D41" i="39"/>
  <c r="D41" i="97"/>
  <c r="D41" i="86"/>
  <c r="D41" i="44"/>
  <c r="D41" i="101"/>
  <c r="D41" i="48"/>
  <c r="D41" i="63"/>
  <c r="D41" i="121"/>
  <c r="D41" i="46"/>
  <c r="J34" i="96"/>
  <c r="C34" i="119"/>
  <c r="F48" i="87"/>
  <c r="J33" i="96"/>
  <c r="C63" i="83"/>
  <c r="D76" i="86"/>
  <c r="G6" i="87"/>
  <c r="F49" i="52"/>
  <c r="C64" i="83"/>
  <c r="D76" i="97" s="1"/>
  <c r="G38" i="52"/>
  <c r="Z16" i="87"/>
  <c r="E48" i="87"/>
  <c r="G8" i="52"/>
  <c r="G7" i="52"/>
  <c r="G9" i="87"/>
  <c r="G20" i="52"/>
  <c r="F60" i="87"/>
  <c r="E77" i="52"/>
  <c r="F77" i="52"/>
  <c r="F79" i="52"/>
  <c r="F125" i="18"/>
  <c r="F129" i="18" s="1"/>
  <c r="F76" i="87"/>
  <c r="F78" i="52"/>
  <c r="F77" i="87"/>
  <c r="E78" i="87"/>
  <c r="E79" i="52"/>
  <c r="E77" i="87"/>
  <c r="G28" i="87"/>
  <c r="G29" i="52"/>
  <c r="G5" i="52"/>
  <c r="E10" i="52"/>
  <c r="F10" i="52"/>
  <c r="G30" i="52"/>
  <c r="G17" i="52"/>
  <c r="G30" i="87"/>
  <c r="G37" i="52"/>
  <c r="G39" i="52"/>
  <c r="E71" i="52"/>
  <c r="F70" i="52"/>
  <c r="F71" i="52"/>
  <c r="E69" i="52"/>
  <c r="F68" i="87"/>
  <c r="E70" i="52"/>
  <c r="E69" i="87"/>
  <c r="F69" i="52"/>
  <c r="E68" i="87"/>
  <c r="G29" i="87"/>
  <c r="G16" i="52"/>
  <c r="G38" i="87"/>
  <c r="E62" i="52"/>
  <c r="F62" i="52"/>
  <c r="E61" i="52"/>
  <c r="F61" i="87"/>
  <c r="P61" i="87" s="1"/>
  <c r="F61" i="52"/>
  <c r="G39" i="87"/>
  <c r="H39" i="87" s="1"/>
  <c r="E10" i="87"/>
  <c r="G5" i="87"/>
  <c r="E49" i="52"/>
  <c r="D76" i="44"/>
  <c r="D76" i="4"/>
  <c r="G28" i="52"/>
  <c r="E70" i="87"/>
  <c r="E60" i="87"/>
  <c r="E55" i="52"/>
  <c r="F55" i="52"/>
  <c r="F54" i="52"/>
  <c r="E54" i="52"/>
  <c r="F53" i="87"/>
  <c r="G53" i="87" s="1"/>
  <c r="E54" i="87"/>
  <c r="C62" i="83"/>
  <c r="F10" i="87"/>
  <c r="J34" i="104"/>
  <c r="J31" i="104"/>
  <c r="J33" i="104"/>
  <c r="C34" i="55"/>
  <c r="J23" i="116"/>
  <c r="J30" i="116" s="1"/>
  <c r="I42" i="116" s="1"/>
  <c r="H42" i="116" s="1"/>
  <c r="J30" i="72"/>
  <c r="I42" i="72" s="1"/>
  <c r="H42" i="72" s="1"/>
  <c r="J34" i="72"/>
  <c r="J33" i="72"/>
  <c r="J31" i="72"/>
  <c r="J32" i="72"/>
  <c r="H84" i="104"/>
  <c r="H83" i="116"/>
  <c r="J33" i="95"/>
  <c r="J32" i="95"/>
  <c r="J34" i="95"/>
  <c r="J31" i="95"/>
  <c r="J30" i="95"/>
  <c r="I42" i="95" s="1"/>
  <c r="H42" i="95" s="1"/>
  <c r="H83" i="112"/>
  <c r="H83" i="69"/>
  <c r="H83" i="67"/>
  <c r="C13" i="65" l="1"/>
  <c r="C13" i="119"/>
  <c r="I7" i="52"/>
  <c r="J7" i="52"/>
  <c r="J8" i="52"/>
  <c r="I8" i="52"/>
  <c r="I6" i="87"/>
  <c r="N6" i="87"/>
  <c r="O7" i="87"/>
  <c r="N7" i="87"/>
  <c r="M7" i="87"/>
  <c r="P7" i="87"/>
  <c r="T7" i="87"/>
  <c r="S7" i="87"/>
  <c r="L7" i="87"/>
  <c r="M36" i="52"/>
  <c r="L22" i="52"/>
  <c r="Z15" i="52"/>
  <c r="AA15" i="52" s="1"/>
  <c r="S70" i="52"/>
  <c r="P70" i="52"/>
  <c r="T70" i="52"/>
  <c r="T71" i="52"/>
  <c r="P62" i="52"/>
  <c r="J49" i="52"/>
  <c r="C13" i="89" s="1"/>
  <c r="C13" i="91" s="1"/>
  <c r="M28" i="52"/>
  <c r="M31" i="52" s="1"/>
  <c r="N28" i="52"/>
  <c r="N31" i="52" s="1"/>
  <c r="N18" i="52"/>
  <c r="M18" i="52"/>
  <c r="N16" i="52"/>
  <c r="M16" i="52"/>
  <c r="N17" i="52"/>
  <c r="M17" i="52"/>
  <c r="C34" i="63"/>
  <c r="J6" i="52"/>
  <c r="T69" i="87"/>
  <c r="P69" i="87"/>
  <c r="S69" i="87"/>
  <c r="T70" i="87"/>
  <c r="H8" i="52"/>
  <c r="H37" i="87"/>
  <c r="N37" i="87"/>
  <c r="M37" i="87"/>
  <c r="H30" i="52"/>
  <c r="S30" i="52" s="1"/>
  <c r="J48" i="87"/>
  <c r="H38" i="87"/>
  <c r="S38" i="87" s="1"/>
  <c r="H38" i="52"/>
  <c r="S38" i="52" s="1"/>
  <c r="H9" i="52"/>
  <c r="K9" i="52" s="1"/>
  <c r="Y9" i="52" s="1"/>
  <c r="J9" i="52"/>
  <c r="I9" i="52"/>
  <c r="H29" i="87"/>
  <c r="S29" i="87" s="1"/>
  <c r="N37" i="52"/>
  <c r="M37" i="52"/>
  <c r="J9" i="87"/>
  <c r="I9" i="87"/>
  <c r="H5" i="52"/>
  <c r="K5" i="52" s="1"/>
  <c r="Y5" i="52" s="1"/>
  <c r="J5" i="52"/>
  <c r="I5" i="52"/>
  <c r="H7" i="52"/>
  <c r="J53" i="87"/>
  <c r="I53" i="87"/>
  <c r="H30" i="87"/>
  <c r="S30" i="87" s="1"/>
  <c r="H28" i="87"/>
  <c r="O28" i="87" s="1"/>
  <c r="M28" i="87"/>
  <c r="M31" i="87" s="1"/>
  <c r="N28" i="87"/>
  <c r="N31" i="87" s="1"/>
  <c r="H5" i="87"/>
  <c r="J5" i="87"/>
  <c r="I5" i="87"/>
  <c r="K7" i="87"/>
  <c r="I7" i="87"/>
  <c r="J7" i="87"/>
  <c r="K8" i="87"/>
  <c r="N8" i="87" s="1"/>
  <c r="H6" i="87"/>
  <c r="J6" i="87"/>
  <c r="H9" i="87"/>
  <c r="W18" i="102"/>
  <c r="X18" i="102" s="1"/>
  <c r="H53" i="87"/>
  <c r="K53" i="87" s="1"/>
  <c r="E63" i="87"/>
  <c r="J31" i="118"/>
  <c r="J32" i="118"/>
  <c r="Z63" i="52"/>
  <c r="T64" i="52"/>
  <c r="Y62" i="87"/>
  <c r="S63" i="87"/>
  <c r="Y63" i="52"/>
  <c r="S64" i="52"/>
  <c r="J34" i="118"/>
  <c r="J33" i="118"/>
  <c r="F63" i="87"/>
  <c r="F64" i="52"/>
  <c r="E64" i="52"/>
  <c r="G40" i="87"/>
  <c r="H40" i="87" s="1"/>
  <c r="G40" i="52"/>
  <c r="H6" i="52"/>
  <c r="P31" i="87"/>
  <c r="H28" i="52"/>
  <c r="P27" i="52" s="1"/>
  <c r="G31" i="52"/>
  <c r="G31" i="87"/>
  <c r="G22" i="52"/>
  <c r="J32" i="120"/>
  <c r="J31" i="120"/>
  <c r="J30" i="120"/>
  <c r="I42" i="120" s="1"/>
  <c r="H42" i="120" s="1"/>
  <c r="C40" i="121" s="1"/>
  <c r="J33" i="120"/>
  <c r="H18" i="52"/>
  <c r="O18" i="52" s="1"/>
  <c r="J32" i="114"/>
  <c r="J31" i="114"/>
  <c r="J30" i="114"/>
  <c r="I42" i="114" s="1"/>
  <c r="H42" i="114" s="1"/>
  <c r="C40" i="115" s="1"/>
  <c r="J33" i="114"/>
  <c r="J33" i="73"/>
  <c r="C40" i="97"/>
  <c r="C41" i="97"/>
  <c r="J34" i="73"/>
  <c r="J30" i="73"/>
  <c r="I42" i="73" s="1"/>
  <c r="H42" i="73" s="1"/>
  <c r="C40" i="39" s="1"/>
  <c r="J31" i="73"/>
  <c r="G76" i="87"/>
  <c r="D76" i="94"/>
  <c r="D76" i="103"/>
  <c r="D76" i="61"/>
  <c r="D76" i="101"/>
  <c r="D76" i="110"/>
  <c r="D76" i="115"/>
  <c r="D76" i="117"/>
  <c r="D76" i="119"/>
  <c r="D76" i="65"/>
  <c r="D76" i="39"/>
  <c r="Y17" i="87"/>
  <c r="AA17" i="87" s="1"/>
  <c r="D76" i="121"/>
  <c r="J32" i="116"/>
  <c r="E80" i="87"/>
  <c r="D76" i="48"/>
  <c r="D76" i="57"/>
  <c r="F89" i="87"/>
  <c r="D76" i="89"/>
  <c r="F81" i="52"/>
  <c r="G61" i="87"/>
  <c r="G54" i="87"/>
  <c r="G70" i="87"/>
  <c r="G78" i="87"/>
  <c r="H78" i="87" s="1"/>
  <c r="E89" i="87"/>
  <c r="F91" i="52"/>
  <c r="Z16" i="52"/>
  <c r="E91" i="52"/>
  <c r="M22" i="87"/>
  <c r="F55" i="87"/>
  <c r="G55" i="52"/>
  <c r="G49" i="52"/>
  <c r="G10" i="87"/>
  <c r="G61" i="52"/>
  <c r="E55" i="87"/>
  <c r="E71" i="87"/>
  <c r="G68" i="87"/>
  <c r="F71" i="87"/>
  <c r="G10" i="52"/>
  <c r="H29" i="52"/>
  <c r="S29" i="52" s="1"/>
  <c r="G77" i="87"/>
  <c r="H77" i="87" s="1"/>
  <c r="K36" i="87" s="1"/>
  <c r="G11" i="74" s="1"/>
  <c r="F56" i="52"/>
  <c r="G69" i="87"/>
  <c r="H39" i="52"/>
  <c r="Z28" i="87"/>
  <c r="G62" i="52"/>
  <c r="G70" i="52"/>
  <c r="G77" i="52"/>
  <c r="D76" i="63"/>
  <c r="D76" i="55"/>
  <c r="E56" i="52"/>
  <c r="G54" i="52"/>
  <c r="G60" i="87"/>
  <c r="Z28" i="52"/>
  <c r="H16" i="52"/>
  <c r="O16" i="52" s="1"/>
  <c r="F72" i="52"/>
  <c r="G69" i="52"/>
  <c r="E72" i="52"/>
  <c r="G71" i="52"/>
  <c r="H37" i="52"/>
  <c r="G79" i="52"/>
  <c r="F80" i="87"/>
  <c r="H17" i="52"/>
  <c r="O17" i="52" s="1"/>
  <c r="E30" i="1"/>
  <c r="Z17" i="52"/>
  <c r="G48" i="87"/>
  <c r="J31" i="116"/>
  <c r="J34" i="116"/>
  <c r="J33" i="116"/>
  <c r="J46" i="96"/>
  <c r="J45" i="96"/>
  <c r="J44" i="96"/>
  <c r="J43" i="96"/>
  <c r="G42" i="95"/>
  <c r="C40" i="94"/>
  <c r="G42" i="116"/>
  <c r="C40" i="117"/>
  <c r="J33" i="77"/>
  <c r="J31" i="77"/>
  <c r="J30" i="77"/>
  <c r="I42" i="77" s="1"/>
  <c r="H42" i="77" s="1"/>
  <c r="C40" i="63" s="1"/>
  <c r="J34" i="77"/>
  <c r="J32" i="77"/>
  <c r="G42" i="72"/>
  <c r="C40" i="55"/>
  <c r="K8" i="52" l="1"/>
  <c r="N8" i="52" s="1"/>
  <c r="O6" i="87"/>
  <c r="P6" i="87"/>
  <c r="L6" i="87"/>
  <c r="K6" i="87"/>
  <c r="M6" i="87"/>
  <c r="N7" i="52"/>
  <c r="M7" i="52"/>
  <c r="L7" i="52"/>
  <c r="K7" i="52"/>
  <c r="T7" i="52"/>
  <c r="S7" i="52"/>
  <c r="P7" i="52"/>
  <c r="O7" i="52"/>
  <c r="K6" i="52"/>
  <c r="P6" i="52"/>
  <c r="M6" i="52"/>
  <c r="L6" i="52"/>
  <c r="O6" i="52"/>
  <c r="N6" i="52"/>
  <c r="O37" i="52"/>
  <c r="I77" i="52"/>
  <c r="J77" i="52"/>
  <c r="J81" i="52" s="1"/>
  <c r="C13" i="46" s="1"/>
  <c r="I69" i="52"/>
  <c r="I72" i="52" s="1"/>
  <c r="J69" i="52"/>
  <c r="J72" i="52" s="1"/>
  <c r="N70" i="52"/>
  <c r="M70" i="52"/>
  <c r="J55" i="52"/>
  <c r="I55" i="52"/>
  <c r="J54" i="52"/>
  <c r="I54" i="52"/>
  <c r="N49" i="52"/>
  <c r="C18" i="89" s="1"/>
  <c r="C18" i="91" s="1"/>
  <c r="L49" i="52"/>
  <c r="S20" i="52"/>
  <c r="Y20" i="52" s="1"/>
  <c r="AA20" i="52" s="1"/>
  <c r="Z27" i="52"/>
  <c r="AA27" i="52" s="1"/>
  <c r="P31" i="52"/>
  <c r="O28" i="52"/>
  <c r="O31" i="52" s="1"/>
  <c r="L53" i="87"/>
  <c r="Z53" i="87" s="1"/>
  <c r="N69" i="87"/>
  <c r="M69" i="87"/>
  <c r="H76" i="87"/>
  <c r="K76" i="87" s="1"/>
  <c r="I76" i="87"/>
  <c r="J76" i="87"/>
  <c r="J80" i="87" s="1"/>
  <c r="J68" i="87"/>
  <c r="J71" i="87" s="1"/>
  <c r="I68" i="87"/>
  <c r="L48" i="87"/>
  <c r="N48" i="87"/>
  <c r="K48" i="87"/>
  <c r="G11" i="88" s="1"/>
  <c r="G13" i="116"/>
  <c r="G13" i="73"/>
  <c r="G13" i="114"/>
  <c r="G14" i="73"/>
  <c r="G55" i="87"/>
  <c r="I54" i="87"/>
  <c r="J54" i="87"/>
  <c r="J55" i="87" s="1"/>
  <c r="N61" i="87"/>
  <c r="M61" i="87"/>
  <c r="Y29" i="87"/>
  <c r="AA29" i="87" s="1"/>
  <c r="K49" i="52"/>
  <c r="O37" i="87"/>
  <c r="N62" i="52"/>
  <c r="M62" i="52"/>
  <c r="G14" i="114"/>
  <c r="K40" i="87"/>
  <c r="M36" i="87"/>
  <c r="N36" i="87"/>
  <c r="N40" i="87" s="1"/>
  <c r="H55" i="52"/>
  <c r="M8" i="87"/>
  <c r="G14" i="116"/>
  <c r="Y29" i="52"/>
  <c r="AA29" i="52" s="1"/>
  <c r="J61" i="52"/>
  <c r="J64" i="52" s="1"/>
  <c r="C13" i="42" s="1"/>
  <c r="I61" i="52"/>
  <c r="Y17" i="52"/>
  <c r="AA17" i="52" s="1"/>
  <c r="H60" i="87"/>
  <c r="M60" i="87" s="1"/>
  <c r="J60" i="87"/>
  <c r="J63" i="87" s="1"/>
  <c r="H69" i="87"/>
  <c r="O69" i="87" s="1"/>
  <c r="H54" i="52"/>
  <c r="K54" i="52" s="1"/>
  <c r="H68" i="87"/>
  <c r="P68" i="87" s="1"/>
  <c r="H70" i="87"/>
  <c r="S70" i="87" s="1"/>
  <c r="H61" i="87"/>
  <c r="H54" i="87"/>
  <c r="K54" i="87" s="1"/>
  <c r="Z62" i="87"/>
  <c r="AA62" i="87" s="1"/>
  <c r="T63" i="87"/>
  <c r="AA63" i="52"/>
  <c r="J91" i="52"/>
  <c r="C13" i="86" s="1"/>
  <c r="J89" i="87"/>
  <c r="H79" i="52"/>
  <c r="S79" i="52" s="1"/>
  <c r="N77" i="87"/>
  <c r="M77" i="87"/>
  <c r="S78" i="87"/>
  <c r="H70" i="52"/>
  <c r="O70" i="52" s="1"/>
  <c r="H71" i="52"/>
  <c r="S71" i="52" s="1"/>
  <c r="G64" i="52"/>
  <c r="G63" i="87"/>
  <c r="H62" i="52"/>
  <c r="H61" i="52"/>
  <c r="K61" i="52" s="1"/>
  <c r="G42" i="114"/>
  <c r="C41" i="115" s="1"/>
  <c r="I49" i="52"/>
  <c r="S31" i="87"/>
  <c r="O31" i="87"/>
  <c r="M22" i="52"/>
  <c r="N22" i="52"/>
  <c r="C18" i="55" s="1"/>
  <c r="C18" i="63" s="1"/>
  <c r="Y16" i="52"/>
  <c r="H22" i="52"/>
  <c r="Y16" i="87"/>
  <c r="N22" i="87"/>
  <c r="Z5" i="87"/>
  <c r="G42" i="73"/>
  <c r="C41" i="39" s="1"/>
  <c r="F24" i="1"/>
  <c r="F26" i="1"/>
  <c r="F19" i="1"/>
  <c r="F21" i="1"/>
  <c r="F25" i="1"/>
  <c r="F20" i="1"/>
  <c r="F27" i="1"/>
  <c r="F18" i="1"/>
  <c r="Y53" i="87"/>
  <c r="Y28" i="87"/>
  <c r="C18" i="39"/>
  <c r="C18" i="115"/>
  <c r="C18" i="117"/>
  <c r="G89" i="87"/>
  <c r="G56" i="52"/>
  <c r="J10" i="87"/>
  <c r="G91" i="52"/>
  <c r="J10" i="52"/>
  <c r="C13" i="4" s="1"/>
  <c r="C13" i="44" s="1"/>
  <c r="G72" i="52"/>
  <c r="G71" i="87"/>
  <c r="Y5" i="87"/>
  <c r="I48" i="87"/>
  <c r="H69" i="52"/>
  <c r="T69" i="52" s="1"/>
  <c r="H77" i="52"/>
  <c r="I10" i="52"/>
  <c r="G80" i="87"/>
  <c r="J36" i="116"/>
  <c r="C41" i="117"/>
  <c r="C41" i="55"/>
  <c r="J36" i="72"/>
  <c r="C41" i="94"/>
  <c r="J36" i="95"/>
  <c r="L8" i="52" l="1"/>
  <c r="M8" i="52"/>
  <c r="K77" i="52"/>
  <c r="Y7" i="52"/>
  <c r="Y6" i="52"/>
  <c r="Z7" i="52"/>
  <c r="Z6" i="52"/>
  <c r="O8" i="52"/>
  <c r="I80" i="87"/>
  <c r="M77" i="52"/>
  <c r="N77" i="52"/>
  <c r="N91" i="52"/>
  <c r="C18" i="86" s="1"/>
  <c r="L91" i="52"/>
  <c r="M69" i="52"/>
  <c r="Y28" i="52"/>
  <c r="AA28" i="52" s="1"/>
  <c r="N69" i="52"/>
  <c r="N72" i="52" s="1"/>
  <c r="C18" i="110" s="1"/>
  <c r="O69" i="52"/>
  <c r="P69" i="52"/>
  <c r="K69" i="52"/>
  <c r="K72" i="52" s="1"/>
  <c r="S69" i="52"/>
  <c r="L69" i="52"/>
  <c r="L72" i="52" s="1"/>
  <c r="L54" i="52"/>
  <c r="K55" i="52"/>
  <c r="Y55" i="52" s="1"/>
  <c r="K40" i="52"/>
  <c r="K60" i="87"/>
  <c r="L60" i="87"/>
  <c r="S31" i="52"/>
  <c r="N89" i="87"/>
  <c r="O60" i="87"/>
  <c r="L54" i="87"/>
  <c r="C11" i="67" s="1"/>
  <c r="I26" i="88"/>
  <c r="H26" i="88" s="1"/>
  <c r="C11" i="90"/>
  <c r="I25" i="90" s="1"/>
  <c r="P60" i="87"/>
  <c r="K68" i="87"/>
  <c r="C11" i="112" s="1"/>
  <c r="S68" i="87"/>
  <c r="M76" i="87"/>
  <c r="N76" i="87"/>
  <c r="N80" i="87" s="1"/>
  <c r="T68" i="87"/>
  <c r="N68" i="87"/>
  <c r="N71" i="87" s="1"/>
  <c r="M68" i="87"/>
  <c r="M71" i="87" s="1"/>
  <c r="L61" i="52"/>
  <c r="O68" i="87"/>
  <c r="L68" i="87"/>
  <c r="N60" i="87"/>
  <c r="N63" i="87" s="1"/>
  <c r="O61" i="87"/>
  <c r="Y61" i="87" s="1"/>
  <c r="N61" i="52"/>
  <c r="N10" i="52"/>
  <c r="C18" i="4" s="1"/>
  <c r="C18" i="44" s="1"/>
  <c r="O61" i="52"/>
  <c r="P61" i="52"/>
  <c r="O8" i="87"/>
  <c r="O36" i="87"/>
  <c r="G13" i="74" s="1"/>
  <c r="M40" i="87"/>
  <c r="O62" i="52"/>
  <c r="Y62" i="52" s="1"/>
  <c r="M61" i="52"/>
  <c r="P48" i="87"/>
  <c r="C11" i="85"/>
  <c r="I91" i="52"/>
  <c r="M91" i="52"/>
  <c r="O77" i="87"/>
  <c r="Z71" i="52"/>
  <c r="Y71" i="52"/>
  <c r="Z70" i="87"/>
  <c r="I71" i="87"/>
  <c r="J36" i="114"/>
  <c r="J46" i="114" s="1"/>
  <c r="I64" i="52"/>
  <c r="K64" i="52"/>
  <c r="Z61" i="87"/>
  <c r="Z62" i="52"/>
  <c r="AA5" i="52"/>
  <c r="I55" i="87"/>
  <c r="M49" i="52"/>
  <c r="J36" i="73"/>
  <c r="J46" i="73" s="1"/>
  <c r="AA5" i="87"/>
  <c r="AA28" i="87"/>
  <c r="O22" i="87"/>
  <c r="C13" i="77"/>
  <c r="O22" i="52"/>
  <c r="AA16" i="52"/>
  <c r="AA16" i="87"/>
  <c r="M10" i="87"/>
  <c r="M10" i="52"/>
  <c r="I56" i="52"/>
  <c r="Y70" i="87"/>
  <c r="Y54" i="87"/>
  <c r="K55" i="87"/>
  <c r="C14" i="120"/>
  <c r="I65" i="116"/>
  <c r="H65" i="116" s="1"/>
  <c r="G65" i="116" s="1"/>
  <c r="K10" i="52"/>
  <c r="J56" i="52"/>
  <c r="C13" i="59" s="1"/>
  <c r="C13" i="113"/>
  <c r="C13" i="61"/>
  <c r="C13" i="110"/>
  <c r="K89" i="87"/>
  <c r="M48" i="87"/>
  <c r="I54" i="114"/>
  <c r="H54" i="114" s="1"/>
  <c r="G54" i="114" s="1"/>
  <c r="C13" i="118"/>
  <c r="F30" i="1"/>
  <c r="I54" i="73"/>
  <c r="H54" i="73" s="1"/>
  <c r="G54" i="73" s="1"/>
  <c r="C13" i="78"/>
  <c r="C14" i="78"/>
  <c r="I65" i="73"/>
  <c r="H65" i="73" s="1"/>
  <c r="G65" i="73" s="1"/>
  <c r="K91" i="52"/>
  <c r="C18" i="121"/>
  <c r="C18" i="65"/>
  <c r="C18" i="119"/>
  <c r="Y54" i="52"/>
  <c r="I89" i="87"/>
  <c r="I81" i="52"/>
  <c r="I54" i="116"/>
  <c r="H54" i="116" s="1"/>
  <c r="G54" i="116" s="1"/>
  <c r="C13" i="120"/>
  <c r="C14" i="118"/>
  <c r="I65" i="114"/>
  <c r="H65" i="114" s="1"/>
  <c r="G65" i="114" s="1"/>
  <c r="AA53" i="87"/>
  <c r="J46" i="72"/>
  <c r="J44" i="72"/>
  <c r="J43" i="72"/>
  <c r="J45" i="72"/>
  <c r="J43" i="116"/>
  <c r="J44" i="116"/>
  <c r="J45" i="116"/>
  <c r="J46" i="116"/>
  <c r="J45" i="95"/>
  <c r="J44" i="95"/>
  <c r="J43" i="95"/>
  <c r="J46" i="95"/>
  <c r="AA7" i="52" l="1"/>
  <c r="AA6" i="52"/>
  <c r="P8" i="52"/>
  <c r="C13" i="68"/>
  <c r="K63" i="87"/>
  <c r="C11" i="68"/>
  <c r="I25" i="68" s="1"/>
  <c r="O77" i="52"/>
  <c r="N40" i="52"/>
  <c r="C18" i="57" s="1"/>
  <c r="C18" i="48" s="1"/>
  <c r="M40" i="52"/>
  <c r="K56" i="52"/>
  <c r="L55" i="52"/>
  <c r="Z55" i="52" s="1"/>
  <c r="AA55" i="52" s="1"/>
  <c r="C11" i="109"/>
  <c r="K71" i="87"/>
  <c r="C11" i="69"/>
  <c r="I25" i="69" s="1"/>
  <c r="O40" i="87"/>
  <c r="AA62" i="52"/>
  <c r="O36" i="52"/>
  <c r="AA61" i="87"/>
  <c r="P49" i="52"/>
  <c r="Z7" i="87"/>
  <c r="Y7" i="87"/>
  <c r="J43" i="114"/>
  <c r="J44" i="114"/>
  <c r="J43" i="73"/>
  <c r="J44" i="73"/>
  <c r="AA70" i="87"/>
  <c r="J45" i="114"/>
  <c r="N64" i="52"/>
  <c r="C18" i="42" s="1"/>
  <c r="O76" i="87"/>
  <c r="Y70" i="52"/>
  <c r="Y69" i="87"/>
  <c r="L71" i="87"/>
  <c r="M72" i="52"/>
  <c r="AA71" i="52"/>
  <c r="L63" i="87"/>
  <c r="M63" i="87"/>
  <c r="P63" i="87"/>
  <c r="Z54" i="52"/>
  <c r="Z54" i="87"/>
  <c r="Z55" i="87" s="1"/>
  <c r="L55" i="87"/>
  <c r="J45" i="73"/>
  <c r="O49" i="52"/>
  <c r="I54" i="72"/>
  <c r="H54" i="72" s="1"/>
  <c r="G54" i="72" s="1"/>
  <c r="C11" i="70"/>
  <c r="I25" i="70" s="1"/>
  <c r="K80" i="87"/>
  <c r="M80" i="87"/>
  <c r="C18" i="113"/>
  <c r="M89" i="87"/>
  <c r="C18" i="61"/>
  <c r="Y55" i="87"/>
  <c r="P42" i="87"/>
  <c r="I64" i="118"/>
  <c r="H64" i="118" s="1"/>
  <c r="G64" i="118" s="1"/>
  <c r="I25" i="85"/>
  <c r="I25" i="67"/>
  <c r="C6" i="67"/>
  <c r="I53" i="120"/>
  <c r="H53" i="120" s="1"/>
  <c r="G53" i="120" s="1"/>
  <c r="I53" i="78"/>
  <c r="H53" i="78" s="1"/>
  <c r="G53" i="78" s="1"/>
  <c r="I53" i="118"/>
  <c r="H53" i="118" s="1"/>
  <c r="G53" i="118" s="1"/>
  <c r="Y56" i="52"/>
  <c r="L89" i="87"/>
  <c r="I25" i="112"/>
  <c r="I64" i="78"/>
  <c r="H64" i="78" s="1"/>
  <c r="G64" i="78" s="1"/>
  <c r="C33" i="89"/>
  <c r="G26" i="88"/>
  <c r="K81" i="52"/>
  <c r="H25" i="90"/>
  <c r="O48" i="87"/>
  <c r="G13" i="88" s="1"/>
  <c r="I64" i="120"/>
  <c r="H64" i="120" s="1"/>
  <c r="G64" i="120" s="1"/>
  <c r="I53" i="77"/>
  <c r="H53" i="77" s="1"/>
  <c r="G53" i="77" s="1"/>
  <c r="Z56" i="52" l="1"/>
  <c r="L56" i="52"/>
  <c r="P91" i="52"/>
  <c r="I25" i="109"/>
  <c r="H25" i="109" s="1"/>
  <c r="O40" i="52"/>
  <c r="AA7" i="87"/>
  <c r="Z70" i="52"/>
  <c r="AA70" i="52" s="1"/>
  <c r="Z69" i="87"/>
  <c r="AA69" i="87" s="1"/>
  <c r="P89" i="87"/>
  <c r="C13" i="85"/>
  <c r="I53" i="85" s="1"/>
  <c r="H53" i="85" s="1"/>
  <c r="G53" i="85" s="1"/>
  <c r="O89" i="87"/>
  <c r="O71" i="87"/>
  <c r="C13" i="69"/>
  <c r="C13" i="109"/>
  <c r="C13" i="112"/>
  <c r="AA54" i="52"/>
  <c r="O63" i="87"/>
  <c r="Y60" i="87"/>
  <c r="Z60" i="87"/>
  <c r="Z63" i="87" s="1"/>
  <c r="L64" i="52"/>
  <c r="M64" i="52"/>
  <c r="AA54" i="87"/>
  <c r="C13" i="70"/>
  <c r="O91" i="52"/>
  <c r="O10" i="52"/>
  <c r="G25" i="90"/>
  <c r="C33" i="91"/>
  <c r="H25" i="70"/>
  <c r="H25" i="112"/>
  <c r="H25" i="69"/>
  <c r="H25" i="67"/>
  <c r="H25" i="85"/>
  <c r="I54" i="88"/>
  <c r="H54" i="88" s="1"/>
  <c r="G54" i="88" s="1"/>
  <c r="C13" i="90"/>
  <c r="J23" i="88"/>
  <c r="C34" i="89"/>
  <c r="H25" i="68"/>
  <c r="AA55" i="87" l="1"/>
  <c r="AA56" i="52"/>
  <c r="P71" i="87"/>
  <c r="I53" i="112"/>
  <c r="H53" i="112" s="1"/>
  <c r="G53" i="112" s="1"/>
  <c r="I53" i="109"/>
  <c r="H53" i="109" s="1"/>
  <c r="G53" i="109" s="1"/>
  <c r="I53" i="69"/>
  <c r="H53" i="69" s="1"/>
  <c r="G53" i="69" s="1"/>
  <c r="P64" i="52"/>
  <c r="Z61" i="52"/>
  <c r="Z64" i="52" s="1"/>
  <c r="O64" i="52"/>
  <c r="Y61" i="52"/>
  <c r="Y63" i="87"/>
  <c r="AA60" i="87"/>
  <c r="AA63" i="87" s="1"/>
  <c r="I53" i="68"/>
  <c r="H53" i="68" s="1"/>
  <c r="G53" i="68" s="1"/>
  <c r="I53" i="70"/>
  <c r="H53" i="70" s="1"/>
  <c r="G53" i="70" s="1"/>
  <c r="O80" i="87"/>
  <c r="V49" i="52"/>
  <c r="C28" i="89" s="1"/>
  <c r="C28" i="91" s="1"/>
  <c r="C33" i="42"/>
  <c r="G25" i="68"/>
  <c r="J33" i="88"/>
  <c r="J32" i="88"/>
  <c r="J31" i="88"/>
  <c r="J34" i="88"/>
  <c r="J30" i="88"/>
  <c r="I42" i="88" s="1"/>
  <c r="G25" i="112"/>
  <c r="C33" i="113"/>
  <c r="C34" i="91"/>
  <c r="J23" i="90"/>
  <c r="G25" i="70"/>
  <c r="C33" i="46"/>
  <c r="G25" i="69"/>
  <c r="C33" i="61"/>
  <c r="G25" i="109"/>
  <c r="C33" i="110"/>
  <c r="I53" i="90"/>
  <c r="H53" i="90" s="1"/>
  <c r="G53" i="90" s="1"/>
  <c r="C33" i="86"/>
  <c r="G25" i="85"/>
  <c r="C33" i="59"/>
  <c r="G25" i="67"/>
  <c r="V89" i="87" l="1"/>
  <c r="U91" i="52"/>
  <c r="C14" i="112"/>
  <c r="S71" i="87"/>
  <c r="Y68" i="87"/>
  <c r="Y64" i="52"/>
  <c r="AA61" i="52"/>
  <c r="U49" i="52"/>
  <c r="J23" i="69"/>
  <c r="C34" i="61"/>
  <c r="C34" i="86"/>
  <c r="J23" i="85"/>
  <c r="J23" i="109"/>
  <c r="C34" i="110"/>
  <c r="J31" i="90"/>
  <c r="J32" i="90"/>
  <c r="J33" i="90"/>
  <c r="J34" i="90"/>
  <c r="J30" i="90"/>
  <c r="I42" i="90" s="1"/>
  <c r="J23" i="112"/>
  <c r="C34" i="113"/>
  <c r="H42" i="88"/>
  <c r="C34" i="46"/>
  <c r="J23" i="70"/>
  <c r="C34" i="42"/>
  <c r="J23" i="68"/>
  <c r="C34" i="59"/>
  <c r="J23" i="67"/>
  <c r="AA64" i="52" l="1"/>
  <c r="C14" i="109"/>
  <c r="C14" i="69"/>
  <c r="V91" i="52"/>
  <c r="C28" i="86" s="1"/>
  <c r="W91" i="52"/>
  <c r="U89" i="87"/>
  <c r="C6" i="112"/>
  <c r="I64" i="112"/>
  <c r="H64" i="112" s="1"/>
  <c r="G64" i="112" s="1"/>
  <c r="T71" i="87"/>
  <c r="Z68" i="87"/>
  <c r="Z71" i="87" s="1"/>
  <c r="Y71" i="87"/>
  <c r="W49" i="52"/>
  <c r="J34" i="67"/>
  <c r="J33" i="67"/>
  <c r="J32" i="67"/>
  <c r="J30" i="67"/>
  <c r="I42" i="67" s="1"/>
  <c r="J31" i="67"/>
  <c r="J32" i="68"/>
  <c r="J30" i="68"/>
  <c r="I42" i="68" s="1"/>
  <c r="J34" i="68"/>
  <c r="J33" i="68"/>
  <c r="J31" i="68"/>
  <c r="J30" i="70"/>
  <c r="I42" i="70" s="1"/>
  <c r="J31" i="70"/>
  <c r="J32" i="70"/>
  <c r="J33" i="70"/>
  <c r="J34" i="70"/>
  <c r="H42" i="90"/>
  <c r="C40" i="91" s="1"/>
  <c r="J32" i="112"/>
  <c r="J31" i="112"/>
  <c r="J34" i="112"/>
  <c r="J30" i="112"/>
  <c r="I42" i="112" s="1"/>
  <c r="J33" i="112"/>
  <c r="J31" i="85"/>
  <c r="J33" i="85"/>
  <c r="J32" i="85"/>
  <c r="J34" i="85"/>
  <c r="J30" i="85"/>
  <c r="I42" i="85" s="1"/>
  <c r="G42" i="88"/>
  <c r="C40" i="89"/>
  <c r="J31" i="109"/>
  <c r="J32" i="109"/>
  <c r="J30" i="109"/>
  <c r="I42" i="109" s="1"/>
  <c r="J34" i="109"/>
  <c r="J33" i="109"/>
  <c r="J33" i="69"/>
  <c r="J34" i="69"/>
  <c r="J31" i="69"/>
  <c r="J30" i="69"/>
  <c r="I42" i="69" s="1"/>
  <c r="J32" i="69"/>
  <c r="I64" i="109" l="1"/>
  <c r="H64" i="109" s="1"/>
  <c r="G64" i="109" s="1"/>
  <c r="C6" i="109"/>
  <c r="AA68" i="87"/>
  <c r="AA71" i="87" s="1"/>
  <c r="C6" i="69"/>
  <c r="I64" i="69"/>
  <c r="H64" i="69" s="1"/>
  <c r="G64" i="69" s="1"/>
  <c r="X91" i="52"/>
  <c r="W89" i="87"/>
  <c r="X49" i="52"/>
  <c r="H42" i="112"/>
  <c r="H42" i="70"/>
  <c r="C40" i="46" s="1"/>
  <c r="H42" i="109"/>
  <c r="H42" i="68"/>
  <c r="H42" i="69"/>
  <c r="H42" i="67"/>
  <c r="J36" i="88"/>
  <c r="C41" i="89"/>
  <c r="H42" i="85"/>
  <c r="X89" i="87" l="1"/>
  <c r="C40" i="59"/>
  <c r="G42" i="67"/>
  <c r="C40" i="110"/>
  <c r="G42" i="109"/>
  <c r="C40" i="42"/>
  <c r="C40" i="113"/>
  <c r="G42" i="112"/>
  <c r="C40" i="86"/>
  <c r="J46" i="88"/>
  <c r="J43" i="88"/>
  <c r="J44" i="88"/>
  <c r="J45" i="88"/>
  <c r="C40" i="61"/>
  <c r="G42" i="69"/>
  <c r="C41" i="110" l="1"/>
  <c r="J36" i="109"/>
  <c r="J36" i="112"/>
  <c r="C41" i="113"/>
  <c r="C41" i="59"/>
  <c r="J36" i="67"/>
  <c r="C41" i="61"/>
  <c r="J36" i="69"/>
  <c r="J45" i="69" l="1"/>
  <c r="J44" i="69"/>
  <c r="J46" i="69"/>
  <c r="J43" i="69"/>
  <c r="J45" i="112"/>
  <c r="J44" i="112"/>
  <c r="J43" i="112"/>
  <c r="J46" i="112"/>
  <c r="J43" i="109"/>
  <c r="J45" i="109"/>
  <c r="J46" i="109"/>
  <c r="J44" i="109"/>
  <c r="J46" i="67"/>
  <c r="J44" i="67"/>
  <c r="J43" i="67"/>
  <c r="J45" i="67"/>
  <c r="E78" i="52" l="1"/>
  <c r="G78" i="52" s="1"/>
  <c r="C58" i="84"/>
  <c r="D76" i="46" s="1"/>
  <c r="M78" i="52" l="1"/>
  <c r="N78" i="52"/>
  <c r="N81" i="52" s="1"/>
  <c r="C18" i="46" s="1"/>
  <c r="G81" i="52"/>
  <c r="H78" i="52"/>
  <c r="E81" i="52"/>
  <c r="O78" i="52" l="1"/>
  <c r="M81" i="52"/>
  <c r="O81" i="52" l="1"/>
  <c r="V19" i="102" l="1"/>
  <c r="C28" i="103" s="1"/>
  <c r="U19" i="102" l="1"/>
  <c r="W19" i="102" l="1"/>
  <c r="Y18" i="102"/>
  <c r="Y19" i="102" l="1"/>
  <c r="X19" i="102"/>
  <c r="Z18" i="102"/>
  <c r="Z19" i="102" s="1"/>
  <c r="AA18" i="102" l="1"/>
  <c r="AA19" i="102" s="1"/>
  <c r="P72" i="52" l="1"/>
  <c r="O72" i="52"/>
  <c r="S72" i="52" l="1"/>
  <c r="Y69" i="52"/>
  <c r="Y72" i="52" s="1"/>
  <c r="T72" i="52"/>
  <c r="Z69" i="52"/>
  <c r="Z72" i="52" s="1"/>
  <c r="AA69" i="52" l="1"/>
  <c r="AA72" i="52" l="1"/>
  <c r="N10" i="87"/>
  <c r="Y6" i="87" l="1"/>
  <c r="Z6" i="87" l="1"/>
  <c r="AA6" i="87" l="1"/>
  <c r="O10" i="87" l="1"/>
  <c r="G13" i="71"/>
  <c r="Y9" i="87"/>
  <c r="K10" i="87"/>
  <c r="I54" i="71" l="1"/>
  <c r="H54" i="71" s="1"/>
  <c r="C13" i="76"/>
  <c r="I53" i="76" l="1"/>
  <c r="H53" i="76" s="1"/>
  <c r="G54" i="71"/>
  <c r="G53" i="76" l="1"/>
  <c r="Z9" i="52" l="1"/>
  <c r="AA9" i="52" l="1"/>
  <c r="H13" i="98" l="1"/>
  <c r="C43" i="98"/>
  <c r="M13" i="98" l="1"/>
  <c r="E18" i="106"/>
  <c r="F8" i="99"/>
  <c r="F10" i="102"/>
  <c r="F7" i="102"/>
  <c r="F7" i="99"/>
  <c r="F17" i="99"/>
  <c r="F8" i="102"/>
  <c r="F9" i="99"/>
  <c r="H127" i="18"/>
  <c r="H129" i="18" s="1"/>
  <c r="F9" i="102"/>
  <c r="F10" i="99"/>
  <c r="F11" i="99"/>
  <c r="F11" i="102"/>
  <c r="E9" i="102"/>
  <c r="E7" i="102"/>
  <c r="E10" i="102"/>
  <c r="E7" i="99"/>
  <c r="E10" i="99"/>
  <c r="E11" i="99"/>
  <c r="E8" i="102"/>
  <c r="E9" i="99"/>
  <c r="E8" i="99"/>
  <c r="N9" i="99" l="1"/>
  <c r="N8" i="99"/>
  <c r="M8" i="99"/>
  <c r="F12" i="99"/>
  <c r="G11" i="99"/>
  <c r="Z11" i="99" s="1"/>
  <c r="AA11" i="99" s="1"/>
  <c r="G10" i="99"/>
  <c r="F18" i="99"/>
  <c r="G17" i="99"/>
  <c r="H17" i="99" s="1"/>
  <c r="G8" i="102"/>
  <c r="H8" i="102" s="1"/>
  <c r="G7" i="99"/>
  <c r="H7" i="99" s="1"/>
  <c r="E12" i="99"/>
  <c r="G10" i="102"/>
  <c r="H10" i="102" s="1"/>
  <c r="G7" i="102"/>
  <c r="H7" i="102" s="1"/>
  <c r="F12" i="102"/>
  <c r="G9" i="99"/>
  <c r="G9" i="102"/>
  <c r="G11" i="102"/>
  <c r="Z11" i="102" s="1"/>
  <c r="AA11" i="102" s="1"/>
  <c r="E22" i="106"/>
  <c r="F18" i="106" s="1"/>
  <c r="G8" i="99"/>
  <c r="H8" i="99" s="1"/>
  <c r="E12" i="102"/>
  <c r="U10" i="99" l="1"/>
  <c r="V10" i="99"/>
  <c r="O8" i="99"/>
  <c r="H10" i="99"/>
  <c r="H9" i="99"/>
  <c r="H11" i="99"/>
  <c r="H11" i="102"/>
  <c r="G12" i="99"/>
  <c r="J7" i="99"/>
  <c r="J12" i="99" s="1"/>
  <c r="I7" i="99"/>
  <c r="M8" i="102"/>
  <c r="N8" i="102"/>
  <c r="V17" i="99"/>
  <c r="V18" i="99" s="1"/>
  <c r="U17" i="99"/>
  <c r="G18" i="99"/>
  <c r="H9" i="102"/>
  <c r="F18" i="108"/>
  <c r="F19" i="108" s="1"/>
  <c r="J7" i="102"/>
  <c r="J12" i="102" s="1"/>
  <c r="C13" i="101" s="1"/>
  <c r="I7" i="102"/>
  <c r="G12" i="102"/>
  <c r="F19" i="106"/>
  <c r="V10" i="102"/>
  <c r="U10" i="102"/>
  <c r="K10" i="99"/>
  <c r="L10" i="99" s="1"/>
  <c r="K9" i="99"/>
  <c r="F22" i="106" l="1"/>
  <c r="W10" i="99"/>
  <c r="W10" i="102"/>
  <c r="X10" i="102" s="1"/>
  <c r="Z10" i="102" s="1"/>
  <c r="I12" i="102"/>
  <c r="K7" i="102"/>
  <c r="N7" i="102" s="1"/>
  <c r="N12" i="102" s="1"/>
  <c r="C18" i="101" s="1"/>
  <c r="O8" i="102"/>
  <c r="P8" i="102" s="1"/>
  <c r="I12" i="99"/>
  <c r="K7" i="99"/>
  <c r="M7" i="99" s="1"/>
  <c r="W17" i="99"/>
  <c r="X17" i="99" s="1"/>
  <c r="U18" i="99"/>
  <c r="Y10" i="102" l="1"/>
  <c r="M7" i="102"/>
  <c r="M12" i="102" s="1"/>
  <c r="M12" i="99"/>
  <c r="Y17" i="99"/>
  <c r="W18" i="99"/>
  <c r="C16" i="104" s="1"/>
  <c r="N7" i="99"/>
  <c r="N12" i="99" s="1"/>
  <c r="K12" i="99"/>
  <c r="C11" i="125" s="1"/>
  <c r="AA10" i="102"/>
  <c r="L7" i="102"/>
  <c r="K12" i="102"/>
  <c r="O7" i="102" l="1"/>
  <c r="I25" i="125"/>
  <c r="H25" i="125" s="1"/>
  <c r="O7" i="99"/>
  <c r="N83" i="104"/>
  <c r="M83" i="104" s="1"/>
  <c r="C6" i="104"/>
  <c r="G42" i="104"/>
  <c r="Y18" i="99"/>
  <c r="X18" i="99"/>
  <c r="Z17" i="99"/>
  <c r="Z18" i="99" s="1"/>
  <c r="P7" i="102"/>
  <c r="P12" i="102" s="1"/>
  <c r="O12" i="102"/>
  <c r="L12" i="102"/>
  <c r="C33" i="101" l="1"/>
  <c r="G25" i="125"/>
  <c r="C41" i="103"/>
  <c r="J36" i="104"/>
  <c r="AA17" i="99"/>
  <c r="AA18" i="99" s="1"/>
  <c r="J23" i="125" l="1"/>
  <c r="C34" i="101"/>
  <c r="J43" i="104"/>
  <c r="J46" i="104"/>
  <c r="J45" i="104"/>
  <c r="J44" i="104"/>
  <c r="J34" i="125" l="1"/>
  <c r="J33" i="125"/>
  <c r="J32" i="125"/>
  <c r="J31" i="125"/>
  <c r="J30" i="125"/>
  <c r="I42" i="125" s="1"/>
  <c r="H42" i="125" s="1"/>
  <c r="C40" i="101" l="1"/>
  <c r="C13" i="19" l="1"/>
  <c r="E13" i="19" s="1"/>
  <c r="E12" i="19"/>
  <c r="C14" i="19"/>
  <c r="E14" i="19" s="1"/>
  <c r="E15" i="19"/>
  <c r="D28" i="89" l="1"/>
  <c r="D28" i="42"/>
  <c r="D28" i="48"/>
  <c r="D28" i="57"/>
  <c r="D28" i="110"/>
  <c r="D28" i="4"/>
  <c r="D28" i="39"/>
  <c r="D28" i="46"/>
  <c r="D28" i="94"/>
  <c r="D28" i="44"/>
  <c r="D28" i="55"/>
  <c r="D28" i="97"/>
  <c r="D28" i="115"/>
  <c r="D28" i="63"/>
  <c r="D28" i="91"/>
  <c r="D28" i="65"/>
  <c r="D28" i="61"/>
  <c r="D28" i="121"/>
  <c r="D28" i="119"/>
  <c r="D28" i="113"/>
  <c r="D28" i="86"/>
  <c r="D28" i="103"/>
  <c r="D28" i="101"/>
  <c r="D28" i="59"/>
  <c r="D28" i="117"/>
  <c r="D23" i="55"/>
  <c r="D23" i="61"/>
  <c r="D23" i="57"/>
  <c r="D23" i="103"/>
  <c r="D23" i="89"/>
  <c r="D23" i="94"/>
  <c r="D23" i="115"/>
  <c r="D23" i="39"/>
  <c r="D23" i="113"/>
  <c r="D23" i="65"/>
  <c r="D23" i="42"/>
  <c r="D23" i="91"/>
  <c r="D23" i="110"/>
  <c r="D23" i="97"/>
  <c r="D23" i="48"/>
  <c r="D23" i="46"/>
  <c r="D23" i="63"/>
  <c r="D23" i="117"/>
  <c r="D23" i="121"/>
  <c r="D23" i="86"/>
  <c r="D23" i="119"/>
  <c r="D23" i="59"/>
  <c r="D23" i="101"/>
  <c r="D23" i="44"/>
  <c r="D23" i="4"/>
  <c r="D13" i="103"/>
  <c r="D13" i="61"/>
  <c r="D13" i="4"/>
  <c r="D13" i="113"/>
  <c r="D13" i="65"/>
  <c r="D13" i="44"/>
  <c r="D13" i="121"/>
  <c r="D13" i="97"/>
  <c r="D13" i="110"/>
  <c r="D13" i="119"/>
  <c r="D13" i="63"/>
  <c r="D13" i="89"/>
  <c r="D13" i="59"/>
  <c r="D13" i="101"/>
  <c r="D13" i="55"/>
  <c r="D13" i="46"/>
  <c r="D13" i="57"/>
  <c r="D13" i="48"/>
  <c r="D13" i="94"/>
  <c r="D13" i="42"/>
  <c r="D13" i="91"/>
  <c r="D13" i="39"/>
  <c r="D13" i="117"/>
  <c r="D13" i="115"/>
  <c r="D13" i="86"/>
  <c r="D18" i="121"/>
  <c r="D18" i="65"/>
  <c r="D18" i="57"/>
  <c r="D18" i="42"/>
  <c r="D18" i="94"/>
  <c r="D18" i="86"/>
  <c r="D18" i="63"/>
  <c r="D18" i="59"/>
  <c r="D18" i="119"/>
  <c r="D18" i="101"/>
  <c r="D18" i="97"/>
  <c r="D18" i="91"/>
  <c r="D18" i="115"/>
  <c r="D18" i="4"/>
  <c r="D18" i="48"/>
  <c r="D18" i="110"/>
  <c r="D18" i="46"/>
  <c r="D18" i="113"/>
  <c r="D18" i="55"/>
  <c r="D18" i="44"/>
  <c r="D18" i="103"/>
  <c r="D18" i="61"/>
  <c r="D18" i="117"/>
  <c r="D18" i="89"/>
  <c r="D18" i="39"/>
  <c r="E10" i="19" l="1"/>
  <c r="D66" i="19"/>
  <c r="C10" i="19" s="1"/>
  <c r="E11" i="19"/>
  <c r="E66" i="19"/>
  <c r="C11" i="19" s="1"/>
  <c r="D27" i="101" l="1"/>
  <c r="D22" i="65"/>
  <c r="D22" i="97"/>
  <c r="D22" i="55"/>
  <c r="D27" i="57"/>
  <c r="D27" i="46"/>
  <c r="D17" i="86"/>
  <c r="D27" i="110"/>
  <c r="D22" i="46"/>
  <c r="D27" i="59"/>
  <c r="D27" i="55"/>
  <c r="D17" i="61"/>
  <c r="D22" i="91"/>
  <c r="D17" i="44"/>
  <c r="D22" i="59"/>
  <c r="D27" i="42"/>
  <c r="D22" i="117"/>
  <c r="D22" i="57"/>
  <c r="D17" i="110"/>
  <c r="D17" i="55"/>
  <c r="D22" i="42"/>
  <c r="D17" i="46"/>
  <c r="D27" i="91"/>
  <c r="D17" i="115"/>
  <c r="D22" i="113"/>
  <c r="D22" i="94"/>
  <c r="D27" i="44"/>
  <c r="D22" i="4"/>
  <c r="D17" i="48"/>
  <c r="D17" i="63"/>
  <c r="D17" i="57"/>
  <c r="D27" i="121"/>
  <c r="D22" i="61"/>
  <c r="D17" i="121"/>
  <c r="D17" i="39"/>
  <c r="D27" i="65"/>
  <c r="D27" i="103"/>
  <c r="D22" i="103"/>
  <c r="D27" i="94"/>
  <c r="D22" i="110"/>
  <c r="D27" i="97"/>
  <c r="D27" i="119"/>
  <c r="D17" i="117"/>
  <c r="D22" i="119"/>
  <c r="D27" i="117"/>
  <c r="D17" i="113"/>
  <c r="D17" i="101"/>
  <c r="D27" i="89"/>
  <c r="D22" i="89"/>
  <c r="D17" i="4"/>
  <c r="D17" i="97"/>
  <c r="D22" i="121"/>
  <c r="D27" i="4"/>
  <c r="D27" i="63"/>
  <c r="D17" i="65"/>
  <c r="D22" i="101"/>
  <c r="D27" i="61"/>
  <c r="D27" i="113"/>
  <c r="D22" i="63"/>
  <c r="D22" i="39"/>
  <c r="D27" i="115"/>
  <c r="D27" i="86"/>
  <c r="D17" i="119"/>
  <c r="D22" i="48"/>
  <c r="D17" i="89"/>
  <c r="D17" i="103"/>
  <c r="D22" i="86"/>
  <c r="D22" i="44"/>
  <c r="D17" i="91"/>
  <c r="D17" i="94"/>
  <c r="D27" i="39"/>
  <c r="D17" i="59"/>
  <c r="D22" i="115"/>
  <c r="D17" i="42"/>
  <c r="D27" i="48"/>
  <c r="D12" i="119"/>
  <c r="D12" i="61"/>
  <c r="D12" i="63"/>
  <c r="D12" i="86"/>
  <c r="D12" i="113"/>
  <c r="D12" i="46"/>
  <c r="D12" i="110"/>
  <c r="D12" i="121"/>
  <c r="D12" i="42"/>
  <c r="D12" i="39"/>
  <c r="D12" i="115"/>
  <c r="D12" i="101"/>
  <c r="D12" i="59"/>
  <c r="D12" i="55"/>
  <c r="D12" i="117"/>
  <c r="D12" i="89"/>
  <c r="D12" i="65"/>
  <c r="D12" i="103"/>
  <c r="D12" i="48"/>
  <c r="D12" i="97"/>
  <c r="D12" i="44"/>
  <c r="D12" i="94"/>
  <c r="D12" i="57"/>
  <c r="D12" i="4"/>
  <c r="D12" i="91"/>
  <c r="C95" i="125" l="1"/>
  <c r="Z9" i="87" l="1"/>
  <c r="G11" i="71" l="1"/>
  <c r="I26" i="71" s="1"/>
  <c r="H26" i="71" s="1"/>
  <c r="O12" i="99"/>
  <c r="C13" i="125" s="1"/>
  <c r="AA9" i="87"/>
  <c r="C11" i="76" l="1"/>
  <c r="G26" i="71"/>
  <c r="C33" i="4"/>
  <c r="I53" i="125"/>
  <c r="H53" i="125" s="1"/>
  <c r="I25" i="76"/>
  <c r="H25" i="76" s="1"/>
  <c r="G53" i="125" l="1"/>
  <c r="G25" i="76"/>
  <c r="C33" i="44"/>
  <c r="C34" i="4"/>
  <c r="J23" i="71"/>
  <c r="J31" i="71" l="1"/>
  <c r="J34" i="71"/>
  <c r="J33" i="71"/>
  <c r="J32" i="71"/>
  <c r="J30" i="71"/>
  <c r="I42" i="71" s="1"/>
  <c r="H42" i="71" s="1"/>
  <c r="C34" i="44"/>
  <c r="J23" i="76"/>
  <c r="C40" i="4" l="1"/>
  <c r="G42" i="71"/>
  <c r="J33" i="76"/>
  <c r="J30" i="76"/>
  <c r="I42" i="76" s="1"/>
  <c r="H42" i="76" s="1"/>
  <c r="J34" i="76"/>
  <c r="J32" i="76"/>
  <c r="J31" i="76"/>
  <c r="J36" i="71" l="1"/>
  <c r="C41" i="4"/>
  <c r="C40" i="44"/>
  <c r="J45" i="71" l="1"/>
  <c r="J44" i="71"/>
  <c r="J46" i="71"/>
  <c r="J43" i="71"/>
  <c r="I10" i="87" l="1"/>
  <c r="I60" i="87"/>
  <c r="I63" i="87" s="1"/>
  <c r="X10" i="99" l="1"/>
  <c r="Z10" i="99" s="1"/>
  <c r="Y10" i="99"/>
  <c r="AA10" i="99" l="1"/>
  <c r="B95" i="18" l="1"/>
  <c r="E79" i="18" s="1"/>
  <c r="E52" i="18" s="1"/>
  <c r="C97" i="125" l="1"/>
  <c r="C96" i="90"/>
  <c r="C98" i="104"/>
  <c r="C96" i="70"/>
  <c r="C97" i="95"/>
  <c r="C95" i="72"/>
  <c r="C96" i="109"/>
  <c r="C98" i="88"/>
  <c r="C97" i="120"/>
  <c r="C95" i="88"/>
  <c r="C96" i="120"/>
  <c r="C96" i="76"/>
  <c r="C96" i="85"/>
  <c r="C96" i="77"/>
  <c r="C98" i="69"/>
  <c r="C97" i="85"/>
  <c r="C96" i="125"/>
  <c r="C98" i="67"/>
  <c r="C95" i="96"/>
  <c r="C97" i="104"/>
  <c r="C95" i="67"/>
  <c r="C97" i="96"/>
  <c r="C98" i="85"/>
  <c r="C98" i="120"/>
  <c r="C96" i="68"/>
  <c r="C95" i="71"/>
  <c r="C95" i="73"/>
  <c r="C97" i="78"/>
  <c r="C98" i="116"/>
  <c r="C96" i="78"/>
  <c r="C95" i="112"/>
  <c r="C98" i="76"/>
  <c r="C95" i="68"/>
  <c r="C97" i="114"/>
  <c r="C97" i="68"/>
  <c r="C98" i="73"/>
  <c r="C97" i="79"/>
  <c r="C95" i="114"/>
  <c r="C98" i="68"/>
  <c r="C95" i="109"/>
  <c r="C97" i="74"/>
  <c r="C98" i="79"/>
  <c r="C96" i="69"/>
  <c r="C98" i="70"/>
  <c r="C97" i="90"/>
  <c r="C95" i="74"/>
  <c r="C98" i="78"/>
  <c r="C98" i="109"/>
  <c r="C95" i="116"/>
  <c r="C97" i="67"/>
  <c r="C96" i="79"/>
  <c r="C97" i="88"/>
  <c r="C96" i="118"/>
  <c r="C97" i="70"/>
  <c r="C96" i="67"/>
  <c r="C98" i="95"/>
  <c r="C97" i="116"/>
  <c r="C98" i="71"/>
  <c r="C98" i="74"/>
  <c r="C98" i="112"/>
  <c r="C98" i="90"/>
  <c r="C97" i="76"/>
  <c r="C98" i="77"/>
  <c r="C97" i="69"/>
  <c r="C97" i="118"/>
  <c r="C96" i="95"/>
  <c r="C97" i="72"/>
  <c r="C98" i="114"/>
  <c r="C98" i="72"/>
  <c r="C96" i="104"/>
  <c r="C97" i="109"/>
  <c r="C98" i="96"/>
  <c r="C97" i="73"/>
  <c r="C98" i="118"/>
  <c r="C97" i="112"/>
  <c r="C96" i="112"/>
  <c r="C98" i="125"/>
  <c r="C95" i="69"/>
  <c r="C97" i="71"/>
  <c r="C97" i="77"/>
  <c r="P9" i="99" l="1"/>
  <c r="P8" i="99"/>
  <c r="P7" i="99"/>
  <c r="C84" i="96"/>
  <c r="C96" i="96"/>
  <c r="C83" i="95"/>
  <c r="C95" i="95"/>
  <c r="L7" i="99"/>
  <c r="P12" i="99" l="1"/>
  <c r="L12" i="99"/>
  <c r="C54" i="125" l="1"/>
  <c r="C75" i="125"/>
  <c r="C65" i="125"/>
  <c r="C74" i="125"/>
  <c r="C75" i="118"/>
  <c r="C64" i="114"/>
  <c r="C75" i="88"/>
  <c r="C64" i="88"/>
  <c r="C53" i="67"/>
  <c r="C75" i="79"/>
  <c r="C65" i="70"/>
  <c r="C53" i="71"/>
  <c r="C53" i="72"/>
  <c r="C75" i="104"/>
  <c r="C54" i="112"/>
  <c r="C74" i="88"/>
  <c r="C74" i="72"/>
  <c r="C74" i="67"/>
  <c r="C75" i="90"/>
  <c r="C74" i="71"/>
  <c r="C53" i="74"/>
  <c r="C65" i="67"/>
  <c r="C64" i="67"/>
  <c r="C75" i="112"/>
  <c r="C74" i="104"/>
  <c r="C75" i="85"/>
  <c r="C65" i="76"/>
  <c r="C54" i="90"/>
  <c r="C75" i="71"/>
  <c r="C75" i="69"/>
  <c r="C65" i="77"/>
  <c r="C65" i="78"/>
  <c r="C64" i="95"/>
  <c r="C64" i="68"/>
  <c r="C54" i="96"/>
  <c r="C54" i="85"/>
  <c r="C74" i="74"/>
  <c r="C54" i="120"/>
  <c r="C74" i="116"/>
  <c r="C54" i="67"/>
  <c r="C74" i="90"/>
  <c r="C64" i="116"/>
  <c r="C74" i="95"/>
  <c r="C54" i="79"/>
  <c r="C65" i="68"/>
  <c r="C75" i="116"/>
  <c r="C65" i="69"/>
  <c r="C75" i="78"/>
  <c r="C54" i="77"/>
  <c r="C74" i="76"/>
  <c r="C53" i="114"/>
  <c r="C74" i="114"/>
  <c r="C75" i="68"/>
  <c r="C74" i="73"/>
  <c r="C65" i="85"/>
  <c r="C54" i="78"/>
  <c r="C64" i="72"/>
  <c r="C65" i="79"/>
  <c r="C53" i="104"/>
  <c r="C54" i="109"/>
  <c r="C53" i="116"/>
  <c r="C54" i="95"/>
  <c r="C75" i="95"/>
  <c r="C75" i="96"/>
  <c r="C53" i="96"/>
  <c r="C65" i="118"/>
  <c r="C75" i="109"/>
  <c r="C54" i="118"/>
  <c r="C65" i="96"/>
  <c r="C65" i="112"/>
  <c r="C65" i="104"/>
  <c r="C64" i="71"/>
  <c r="C54" i="104"/>
  <c r="C75" i="72"/>
  <c r="C64" i="96"/>
  <c r="C54" i="70"/>
  <c r="C53" i="88"/>
  <c r="C75" i="114"/>
  <c r="C74" i="109"/>
  <c r="C74" i="96"/>
  <c r="C65" i="120"/>
  <c r="C64" i="73"/>
  <c r="C75" i="74"/>
  <c r="C75" i="67"/>
  <c r="C75" i="70"/>
  <c r="C74" i="85"/>
  <c r="C54" i="69"/>
  <c r="C74" i="79"/>
  <c r="C54" i="76"/>
  <c r="C53" i="73"/>
  <c r="C53" i="95"/>
  <c r="C74" i="70"/>
  <c r="C75" i="76"/>
  <c r="C64" i="104"/>
  <c r="C74" i="69"/>
  <c r="C54" i="68"/>
  <c r="C64" i="74"/>
  <c r="C65" i="109"/>
  <c r="C65" i="95"/>
  <c r="C74" i="112"/>
  <c r="C75" i="73"/>
  <c r="C75" i="120"/>
  <c r="C65" i="90"/>
  <c r="C75" i="77"/>
  <c r="C74" i="118"/>
  <c r="C74" i="120"/>
  <c r="C74" i="77"/>
  <c r="E58" i="18"/>
  <c r="E54" i="18"/>
  <c r="C74" i="78"/>
  <c r="C54" i="73"/>
  <c r="C65" i="73"/>
  <c r="C54" i="114"/>
  <c r="C54" i="116"/>
  <c r="C65" i="116"/>
  <c r="C65" i="114"/>
  <c r="C64" i="118"/>
  <c r="C53" i="78"/>
  <c r="C64" i="78"/>
  <c r="C54" i="72"/>
  <c r="C53" i="118"/>
  <c r="C64" i="120"/>
  <c r="C53" i="120"/>
  <c r="C53" i="77"/>
  <c r="C54" i="88"/>
  <c r="C53" i="70"/>
  <c r="C53" i="69"/>
  <c r="C53" i="68"/>
  <c r="C53" i="90"/>
  <c r="C53" i="112"/>
  <c r="C53" i="85"/>
  <c r="C53" i="109"/>
  <c r="C64" i="112"/>
  <c r="C64" i="109"/>
  <c r="C64" i="69"/>
  <c r="C54" i="71"/>
  <c r="C53" i="76"/>
  <c r="C53" i="125"/>
  <c r="N65" i="125"/>
  <c r="M65" i="125" s="1"/>
  <c r="N74" i="125"/>
  <c r="M74" i="125" s="1"/>
  <c r="N54" i="125"/>
  <c r="M54" i="125" s="1"/>
  <c r="N75" i="125"/>
  <c r="M75" i="125" s="1"/>
  <c r="N74" i="114"/>
  <c r="M74" i="114" s="1"/>
  <c r="N64" i="95"/>
  <c r="N53" i="114"/>
  <c r="N75" i="120"/>
  <c r="M75" i="120" s="1"/>
  <c r="N64" i="114"/>
  <c r="N65" i="120"/>
  <c r="M65" i="120" s="1"/>
  <c r="N75" i="114"/>
  <c r="M75" i="114" s="1"/>
  <c r="N75" i="118"/>
  <c r="M75" i="118" s="1"/>
  <c r="N75" i="112"/>
  <c r="M75" i="112" s="1"/>
  <c r="N65" i="118"/>
  <c r="M65" i="118" s="1"/>
  <c r="N65" i="112"/>
  <c r="M65" i="112" s="1"/>
  <c r="N64" i="116"/>
  <c r="N54" i="112"/>
  <c r="M54" i="112" s="1"/>
  <c r="N74" i="104"/>
  <c r="M74" i="104" s="1"/>
  <c r="N65" i="95"/>
  <c r="M65" i="95" s="1"/>
  <c r="N65" i="90"/>
  <c r="M65" i="90" s="1"/>
  <c r="N54" i="85"/>
  <c r="M54" i="85" s="1"/>
  <c r="N54" i="76"/>
  <c r="M54" i="76" s="1"/>
  <c r="N75" i="116"/>
  <c r="M75" i="116" s="1"/>
  <c r="N74" i="109"/>
  <c r="M74" i="109" s="1"/>
  <c r="N54" i="120"/>
  <c r="M54" i="120" s="1"/>
  <c r="N75" i="109"/>
  <c r="M75" i="109" s="1"/>
  <c r="N53" i="95"/>
  <c r="N64" i="88"/>
  <c r="N54" i="79"/>
  <c r="M54" i="79" s="1"/>
  <c r="N75" i="79"/>
  <c r="M75" i="79" s="1"/>
  <c r="N75" i="76"/>
  <c r="M75" i="76" s="1"/>
  <c r="N64" i="72"/>
  <c r="N64" i="68"/>
  <c r="N65" i="104"/>
  <c r="M65" i="104" s="1"/>
  <c r="N65" i="96"/>
  <c r="M65" i="96" s="1"/>
  <c r="N53" i="88"/>
  <c r="N65" i="79"/>
  <c r="M65" i="79" s="1"/>
  <c r="N65" i="76"/>
  <c r="M65" i="76" s="1"/>
  <c r="N74" i="71"/>
  <c r="M74" i="71" s="1"/>
  <c r="N65" i="68"/>
  <c r="M65" i="68" s="1"/>
  <c r="N74" i="116"/>
  <c r="N54" i="104"/>
  <c r="M54" i="104" s="1"/>
  <c r="N74" i="74"/>
  <c r="M74" i="74" s="1"/>
  <c r="N75" i="71"/>
  <c r="M75" i="71" s="1"/>
  <c r="N54" i="70"/>
  <c r="M54" i="70" s="1"/>
  <c r="N54" i="118"/>
  <c r="M54" i="118" s="1"/>
  <c r="N75" i="104"/>
  <c r="M75" i="104" s="1"/>
  <c r="N54" i="77"/>
  <c r="M54" i="77" s="1"/>
  <c r="N75" i="77"/>
  <c r="M75" i="77" s="1"/>
  <c r="N53" i="74"/>
  <c r="M53" i="74" s="1"/>
  <c r="N75" i="74"/>
  <c r="M75" i="74" s="1"/>
  <c r="N65" i="70"/>
  <c r="M65" i="70" s="1"/>
  <c r="N75" i="68"/>
  <c r="M75" i="68" s="1"/>
  <c r="N53" i="116"/>
  <c r="N74" i="112"/>
  <c r="N53" i="96"/>
  <c r="N65" i="85"/>
  <c r="M65" i="85" s="1"/>
  <c r="N54" i="109"/>
  <c r="M54" i="109" s="1"/>
  <c r="N75" i="96"/>
  <c r="M75" i="96" s="1"/>
  <c r="N74" i="85"/>
  <c r="M74" i="85" s="1"/>
  <c r="N75" i="78"/>
  <c r="M75" i="78" s="1"/>
  <c r="N64" i="73"/>
  <c r="N74" i="73"/>
  <c r="M74" i="73" s="1"/>
  <c r="N65" i="69"/>
  <c r="M65" i="69" s="1"/>
  <c r="N64" i="67"/>
  <c r="N74" i="96"/>
  <c r="M74" i="96" s="1"/>
  <c r="N74" i="88"/>
  <c r="M74" i="88" s="1"/>
  <c r="N75" i="73"/>
  <c r="M75" i="73" s="1"/>
  <c r="N74" i="72"/>
  <c r="M74" i="72" s="1"/>
  <c r="N75" i="95"/>
  <c r="M75" i="95" s="1"/>
  <c r="N54" i="90"/>
  <c r="M54" i="90" s="1"/>
  <c r="N75" i="72"/>
  <c r="M75" i="72" s="1"/>
  <c r="N74" i="69"/>
  <c r="M74" i="69" s="1"/>
  <c r="N74" i="67"/>
  <c r="M74" i="67" s="1"/>
  <c r="N65" i="67"/>
  <c r="M65" i="67" s="1"/>
  <c r="N54" i="78"/>
  <c r="M54" i="78" s="1"/>
  <c r="N53" i="72"/>
  <c r="N75" i="67"/>
  <c r="M75" i="67" s="1"/>
  <c r="N65" i="78"/>
  <c r="M65" i="78" s="1"/>
  <c r="N53" i="73"/>
  <c r="E60" i="18"/>
  <c r="N64" i="74"/>
  <c r="M64" i="74" s="1"/>
  <c r="N65" i="109"/>
  <c r="M65" i="109" s="1"/>
  <c r="N64" i="96"/>
  <c r="N54" i="95"/>
  <c r="M54" i="95" s="1"/>
  <c r="N53" i="71"/>
  <c r="N74" i="95"/>
  <c r="M74" i="95" s="1"/>
  <c r="N64" i="71"/>
  <c r="N74" i="70"/>
  <c r="M74" i="70" s="1"/>
  <c r="N54" i="69"/>
  <c r="M54" i="69" s="1"/>
  <c r="N53" i="104"/>
  <c r="N54" i="96"/>
  <c r="M54" i="96" s="1"/>
  <c r="N65" i="77"/>
  <c r="M65" i="77" s="1"/>
  <c r="N75" i="70"/>
  <c r="M75" i="70" s="1"/>
  <c r="N75" i="90"/>
  <c r="M75" i="90" s="1"/>
  <c r="N75" i="69"/>
  <c r="M75" i="69" s="1"/>
  <c r="N54" i="68"/>
  <c r="M54" i="68" s="1"/>
  <c r="N54" i="67"/>
  <c r="M54" i="67" s="1"/>
  <c r="N75" i="88"/>
  <c r="M75" i="88" s="1"/>
  <c r="N53" i="67"/>
  <c r="N75" i="85"/>
  <c r="M75" i="85" s="1"/>
  <c r="N74" i="120"/>
  <c r="M74" i="120" s="1"/>
  <c r="N64" i="104"/>
  <c r="N74" i="79"/>
  <c r="M74" i="79" s="1"/>
  <c r="N74" i="77"/>
  <c r="M74" i="77" s="1"/>
  <c r="N74" i="76"/>
  <c r="M74" i="76" s="1"/>
  <c r="N74" i="118"/>
  <c r="M74" i="118" s="1"/>
  <c r="N74" i="90"/>
  <c r="N74" i="78"/>
  <c r="M74" i="78" s="1"/>
  <c r="U39" i="52"/>
  <c r="L36" i="87"/>
  <c r="P37" i="52"/>
  <c r="P18" i="52"/>
  <c r="L8" i="87"/>
  <c r="N54" i="73"/>
  <c r="M54" i="73" s="1"/>
  <c r="N65" i="73"/>
  <c r="M65" i="73" s="1"/>
  <c r="L77" i="52"/>
  <c r="L76" i="87"/>
  <c r="N54" i="116"/>
  <c r="M54" i="116" s="1"/>
  <c r="N54" i="114"/>
  <c r="M54" i="114" s="1"/>
  <c r="N65" i="114"/>
  <c r="M65" i="114" s="1"/>
  <c r="N65" i="116"/>
  <c r="M65" i="116" s="1"/>
  <c r="N53" i="118"/>
  <c r="M53" i="118" s="1"/>
  <c r="N64" i="118"/>
  <c r="M64" i="118" s="1"/>
  <c r="N53" i="78"/>
  <c r="M53" i="78" s="1"/>
  <c r="L36" i="52"/>
  <c r="N54" i="72"/>
  <c r="M54" i="72" s="1"/>
  <c r="N64" i="78"/>
  <c r="M64" i="78" s="1"/>
  <c r="N64" i="120"/>
  <c r="M64" i="120" s="1"/>
  <c r="N53" i="120"/>
  <c r="M53" i="120" s="1"/>
  <c r="N53" i="77"/>
  <c r="M53" i="77" s="1"/>
  <c r="P77" i="52"/>
  <c r="P36" i="52"/>
  <c r="N54" i="88"/>
  <c r="M54" i="88" s="1"/>
  <c r="P76" i="87"/>
  <c r="N53" i="109"/>
  <c r="N53" i="85"/>
  <c r="N53" i="69"/>
  <c r="N53" i="68"/>
  <c r="N53" i="112"/>
  <c r="N53" i="70"/>
  <c r="M53" i="70" s="1"/>
  <c r="N53" i="90"/>
  <c r="N64" i="112"/>
  <c r="N64" i="109"/>
  <c r="N64" i="69"/>
  <c r="P78" i="52"/>
  <c r="N54" i="71"/>
  <c r="M54" i="71" s="1"/>
  <c r="N53" i="76"/>
  <c r="M53" i="76" s="1"/>
  <c r="N53" i="125"/>
  <c r="M53" i="125" s="1"/>
  <c r="P81" i="52" l="1"/>
  <c r="M64" i="95"/>
  <c r="I85" i="109"/>
  <c r="N86" i="114"/>
  <c r="M86" i="114" s="1"/>
  <c r="E71" i="18"/>
  <c r="I85" i="104"/>
  <c r="I85" i="116"/>
  <c r="N86" i="118"/>
  <c r="M86" i="118" s="1"/>
  <c r="N85" i="76"/>
  <c r="M85" i="76" s="1"/>
  <c r="I85" i="88"/>
  <c r="I85" i="69"/>
  <c r="I86" i="71"/>
  <c r="H86" i="71" s="1"/>
  <c r="I85" i="114"/>
  <c r="I85" i="85"/>
  <c r="I86" i="96"/>
  <c r="H86" i="96" s="1"/>
  <c r="I85" i="95"/>
  <c r="N86" i="71"/>
  <c r="M86" i="71" s="1"/>
  <c r="I85" i="74"/>
  <c r="I85" i="67"/>
  <c r="N85" i="125"/>
  <c r="M85" i="125" s="1"/>
  <c r="I86" i="118"/>
  <c r="H86" i="118" s="1"/>
  <c r="N85" i="104"/>
  <c r="M85" i="104" s="1"/>
  <c r="I86" i="90"/>
  <c r="H86" i="90" s="1"/>
  <c r="I86" i="109"/>
  <c r="H86" i="109" s="1"/>
  <c r="I86" i="78"/>
  <c r="H86" i="78" s="1"/>
  <c r="N85" i="77"/>
  <c r="M85" i="77" s="1"/>
  <c r="I86" i="67"/>
  <c r="H86" i="67" s="1"/>
  <c r="I85" i="112"/>
  <c r="N86" i="120"/>
  <c r="M86" i="120" s="1"/>
  <c r="N86" i="68"/>
  <c r="M86" i="68" s="1"/>
  <c r="I86" i="125"/>
  <c r="H86" i="125" s="1"/>
  <c r="N85" i="109"/>
  <c r="M85" i="109" s="1"/>
  <c r="N85" i="72"/>
  <c r="M85" i="72" s="1"/>
  <c r="N86" i="79"/>
  <c r="M86" i="79" s="1"/>
  <c r="I85" i="77"/>
  <c r="N85" i="88"/>
  <c r="M85" i="88" s="1"/>
  <c r="N86" i="90"/>
  <c r="M86" i="90" s="1"/>
  <c r="I86" i="79"/>
  <c r="H86" i="79" s="1"/>
  <c r="N86" i="104"/>
  <c r="M86" i="104" s="1"/>
  <c r="I86" i="76"/>
  <c r="H86" i="76" s="1"/>
  <c r="I86" i="114"/>
  <c r="H86" i="114" s="1"/>
  <c r="I85" i="72"/>
  <c r="N86" i="125"/>
  <c r="M86" i="125" s="1"/>
  <c r="N85" i="114"/>
  <c r="M85" i="114" s="1"/>
  <c r="N86" i="76"/>
  <c r="M86" i="76" s="1"/>
  <c r="N85" i="67"/>
  <c r="M85" i="67" s="1"/>
  <c r="I86" i="104"/>
  <c r="H86" i="104" s="1"/>
  <c r="N85" i="116"/>
  <c r="M85" i="116" s="1"/>
  <c r="I86" i="85"/>
  <c r="H86" i="85" s="1"/>
  <c r="I85" i="68"/>
  <c r="N85" i="73"/>
  <c r="M85" i="73" s="1"/>
  <c r="I85" i="125"/>
  <c r="N85" i="74"/>
  <c r="M85" i="74" s="1"/>
  <c r="I86" i="120"/>
  <c r="H86" i="120" s="1"/>
  <c r="N85" i="68"/>
  <c r="M85" i="68" s="1"/>
  <c r="N86" i="88"/>
  <c r="M86" i="88" s="1"/>
  <c r="N86" i="70"/>
  <c r="M86" i="70" s="1"/>
  <c r="I85" i="73"/>
  <c r="I86" i="68"/>
  <c r="H86" i="68" s="1"/>
  <c r="I86" i="95"/>
  <c r="H86" i="95" s="1"/>
  <c r="N86" i="67"/>
  <c r="M86" i="67" s="1"/>
  <c r="N85" i="70"/>
  <c r="M85" i="70" s="1"/>
  <c r="N85" i="69"/>
  <c r="M85" i="69" s="1"/>
  <c r="I85" i="79"/>
  <c r="I85" i="76"/>
  <c r="I86" i="70"/>
  <c r="H86" i="70" s="1"/>
  <c r="I85" i="120"/>
  <c r="N85" i="96"/>
  <c r="M85" i="96" s="1"/>
  <c r="I86" i="116"/>
  <c r="H86" i="116" s="1"/>
  <c r="N85" i="90"/>
  <c r="M85" i="90" s="1"/>
  <c r="N85" i="71"/>
  <c r="M85" i="71" s="1"/>
  <c r="I86" i="112"/>
  <c r="H86" i="112" s="1"/>
  <c r="N85" i="95"/>
  <c r="M85" i="95" s="1"/>
  <c r="I86" i="73"/>
  <c r="H86" i="73" s="1"/>
  <c r="N85" i="112"/>
  <c r="M85" i="112" s="1"/>
  <c r="N86" i="69"/>
  <c r="M86" i="69" s="1"/>
  <c r="I85" i="90"/>
  <c r="N85" i="85"/>
  <c r="M85" i="85" s="1"/>
  <c r="N85" i="79"/>
  <c r="M85" i="79" s="1"/>
  <c r="I86" i="69"/>
  <c r="H86" i="69" s="1"/>
  <c r="N86" i="73"/>
  <c r="M86" i="73" s="1"/>
  <c r="I86" i="74"/>
  <c r="H86" i="74" s="1"/>
  <c r="N86" i="78"/>
  <c r="M86" i="78" s="1"/>
  <c r="I85" i="96"/>
  <c r="N86" i="74"/>
  <c r="M86" i="74" s="1"/>
  <c r="I86" i="72"/>
  <c r="H86" i="72" s="1"/>
  <c r="N85" i="118"/>
  <c r="M85" i="118" s="1"/>
  <c r="N86" i="116"/>
  <c r="M86" i="116" s="1"/>
  <c r="N86" i="112"/>
  <c r="M86" i="112" s="1"/>
  <c r="N85" i="120"/>
  <c r="M85" i="120" s="1"/>
  <c r="N86" i="85"/>
  <c r="M86" i="85" s="1"/>
  <c r="N86" i="72"/>
  <c r="M86" i="72" s="1"/>
  <c r="I86" i="88"/>
  <c r="H86" i="88" s="1"/>
  <c r="I85" i="78"/>
  <c r="N86" i="109"/>
  <c r="M86" i="109" s="1"/>
  <c r="I85" i="118"/>
  <c r="I86" i="77"/>
  <c r="H86" i="77" s="1"/>
  <c r="N86" i="95"/>
  <c r="M86" i="95" s="1"/>
  <c r="N86" i="77"/>
  <c r="M86" i="77" s="1"/>
  <c r="I85" i="70"/>
  <c r="N85" i="78"/>
  <c r="M85" i="78" s="1"/>
  <c r="N86" i="96"/>
  <c r="M86" i="96" s="1"/>
  <c r="I85" i="71"/>
  <c r="P40" i="52"/>
  <c r="P22" i="52"/>
  <c r="M53" i="72"/>
  <c r="M64" i="67"/>
  <c r="M74" i="116"/>
  <c r="C76" i="103"/>
  <c r="M64" i="88"/>
  <c r="M53" i="90"/>
  <c r="L40" i="87"/>
  <c r="M53" i="71"/>
  <c r="C76" i="42"/>
  <c r="L10" i="87"/>
  <c r="M53" i="95"/>
  <c r="M53" i="112"/>
  <c r="L80" i="87"/>
  <c r="M64" i="73"/>
  <c r="M53" i="68"/>
  <c r="M74" i="90"/>
  <c r="M64" i="96"/>
  <c r="M53" i="88"/>
  <c r="M64" i="116"/>
  <c r="M53" i="69"/>
  <c r="C16" i="103"/>
  <c r="D38" i="26"/>
  <c r="C21" i="103"/>
  <c r="C26" i="59"/>
  <c r="C21" i="59"/>
  <c r="C26" i="61"/>
  <c r="C26" i="42"/>
  <c r="C16" i="59"/>
  <c r="C26" i="113"/>
  <c r="C26" i="110"/>
  <c r="C16" i="117"/>
  <c r="C16" i="39"/>
  <c r="C16" i="115"/>
  <c r="C16" i="55"/>
  <c r="C16" i="63" s="1"/>
  <c r="C16" i="89"/>
  <c r="C16" i="91" s="1"/>
  <c r="C16" i="4"/>
  <c r="C16" i="44" s="1"/>
  <c r="C16" i="86"/>
  <c r="C16" i="110"/>
  <c r="C16" i="57"/>
  <c r="C16" i="48" s="1"/>
  <c r="C16" i="113"/>
  <c r="C16" i="61"/>
  <c r="C16" i="42"/>
  <c r="C26" i="86"/>
  <c r="C26" i="89"/>
  <c r="C26" i="91" s="1"/>
  <c r="C16" i="46"/>
  <c r="C26" i="103"/>
  <c r="C16" i="101"/>
  <c r="M53" i="85"/>
  <c r="L40" i="52"/>
  <c r="M53" i="116"/>
  <c r="M64" i="71"/>
  <c r="C27" i="42"/>
  <c r="C22" i="103"/>
  <c r="C27" i="59"/>
  <c r="C17" i="103"/>
  <c r="C22" i="59"/>
  <c r="C27" i="110"/>
  <c r="C27" i="113"/>
  <c r="C17" i="59"/>
  <c r="C27" i="61"/>
  <c r="C17" i="39"/>
  <c r="C17" i="115"/>
  <c r="C17" i="117"/>
  <c r="C17" i="55"/>
  <c r="C17" i="63" s="1"/>
  <c r="C17" i="89"/>
  <c r="C17" i="91" s="1"/>
  <c r="C17" i="4"/>
  <c r="C17" i="44" s="1"/>
  <c r="C17" i="86"/>
  <c r="C17" i="113"/>
  <c r="C17" i="110"/>
  <c r="C17" i="57"/>
  <c r="C17" i="48" s="1"/>
  <c r="C17" i="61"/>
  <c r="C17" i="42"/>
  <c r="C27" i="86"/>
  <c r="C27" i="89"/>
  <c r="C27" i="91" s="1"/>
  <c r="C17" i="46"/>
  <c r="C27" i="103"/>
  <c r="C17" i="101"/>
  <c r="M64" i="69"/>
  <c r="L81" i="52"/>
  <c r="N83" i="74"/>
  <c r="M83" i="74" s="1"/>
  <c r="N84" i="95"/>
  <c r="M84" i="95" s="1"/>
  <c r="N84" i="79"/>
  <c r="M84" i="79" s="1"/>
  <c r="N83" i="88"/>
  <c r="M83" i="88" s="1"/>
  <c r="N83" i="67"/>
  <c r="M83" i="67" s="1"/>
  <c r="N84" i="118"/>
  <c r="M84" i="118" s="1"/>
  <c r="N84" i="104"/>
  <c r="M84" i="104" s="1"/>
  <c r="N83" i="114"/>
  <c r="M83" i="114" s="1"/>
  <c r="N84" i="112"/>
  <c r="M84" i="112" s="1"/>
  <c r="N84" i="67"/>
  <c r="M84" i="67" s="1"/>
  <c r="N83" i="109"/>
  <c r="M83" i="109" s="1"/>
  <c r="N84" i="125"/>
  <c r="M84" i="125" s="1"/>
  <c r="N84" i="109"/>
  <c r="M84" i="109" s="1"/>
  <c r="N84" i="120"/>
  <c r="M84" i="120" s="1"/>
  <c r="N83" i="116"/>
  <c r="M83" i="116" s="1"/>
  <c r="N83" i="73"/>
  <c r="M83" i="73" s="1"/>
  <c r="N83" i="112"/>
  <c r="N84" i="76"/>
  <c r="M84" i="76" s="1"/>
  <c r="N84" i="78"/>
  <c r="M84" i="78" s="1"/>
  <c r="N83" i="96"/>
  <c r="M83" i="96" s="1"/>
  <c r="N84" i="85"/>
  <c r="M84" i="85" s="1"/>
  <c r="N83" i="69"/>
  <c r="M83" i="69" s="1"/>
  <c r="N84" i="90"/>
  <c r="N84" i="69"/>
  <c r="M84" i="69" s="1"/>
  <c r="N84" i="68"/>
  <c r="M84" i="68" s="1"/>
  <c r="N83" i="68"/>
  <c r="M83" i="68" s="1"/>
  <c r="N83" i="71"/>
  <c r="M83" i="71" s="1"/>
  <c r="N84" i="77"/>
  <c r="M84" i="77" s="1"/>
  <c r="N83" i="72"/>
  <c r="M83" i="72" s="1"/>
  <c r="N84" i="70"/>
  <c r="M84" i="70" s="1"/>
  <c r="E73" i="18"/>
  <c r="M64" i="68"/>
  <c r="M64" i="114"/>
  <c r="C76" i="61"/>
  <c r="M53" i="67"/>
  <c r="L10" i="52"/>
  <c r="M64" i="109"/>
  <c r="M53" i="109"/>
  <c r="M53" i="73"/>
  <c r="M53" i="96"/>
  <c r="M64" i="72"/>
  <c r="C76" i="110"/>
  <c r="M64" i="112"/>
  <c r="M64" i="104"/>
  <c r="M53" i="104"/>
  <c r="M74" i="112"/>
  <c r="M53" i="114"/>
  <c r="C76" i="113"/>
  <c r="E69" i="18"/>
  <c r="C84" i="70"/>
  <c r="C84" i="69"/>
  <c r="E67" i="18"/>
  <c r="C84" i="120"/>
  <c r="C83" i="68"/>
  <c r="C83" i="71"/>
  <c r="C84" i="104"/>
  <c r="C84" i="78"/>
  <c r="C83" i="112"/>
  <c r="C83" i="73"/>
  <c r="C83" i="116"/>
  <c r="C83" i="74"/>
  <c r="C84" i="109"/>
  <c r="C83" i="67"/>
  <c r="C84" i="125"/>
  <c r="E113" i="18"/>
  <c r="C84" i="90"/>
  <c r="C84" i="77"/>
  <c r="C84" i="85"/>
  <c r="C83" i="88"/>
  <c r="C84" i="76"/>
  <c r="C84" i="67"/>
  <c r="C83" i="72"/>
  <c r="C83" i="114"/>
  <c r="C84" i="118"/>
  <c r="C83" i="69"/>
  <c r="C84" i="68"/>
  <c r="C84" i="79"/>
  <c r="C83" i="96"/>
  <c r="C83" i="109"/>
  <c r="C84" i="112"/>
  <c r="C84" i="95"/>
  <c r="E62" i="18"/>
  <c r="E105" i="18"/>
  <c r="E104" i="18" s="1"/>
  <c r="E106" i="18" s="1"/>
  <c r="E114" i="18" s="1"/>
  <c r="E115" i="18" s="1"/>
  <c r="Q7" i="87" l="1"/>
  <c r="R7" i="87"/>
  <c r="Q7" i="52"/>
  <c r="R7" i="52"/>
  <c r="V79" i="87"/>
  <c r="U79" i="87"/>
  <c r="J81" i="90"/>
  <c r="H85" i="90"/>
  <c r="J81" i="76"/>
  <c r="H85" i="76"/>
  <c r="J81" i="70"/>
  <c r="H85" i="70"/>
  <c r="H85" i="79"/>
  <c r="J81" i="79"/>
  <c r="H85" i="125"/>
  <c r="J81" i="125"/>
  <c r="H85" i="112"/>
  <c r="J81" i="112"/>
  <c r="H85" i="95"/>
  <c r="J81" i="95"/>
  <c r="E75" i="18"/>
  <c r="C17" i="65"/>
  <c r="C17" i="121"/>
  <c r="C17" i="119"/>
  <c r="J81" i="109"/>
  <c r="H85" i="109"/>
  <c r="J81" i="68"/>
  <c r="H85" i="68"/>
  <c r="H85" i="85"/>
  <c r="J81" i="85"/>
  <c r="H85" i="114"/>
  <c r="J81" i="114"/>
  <c r="H85" i="118"/>
  <c r="J81" i="118"/>
  <c r="J81" i="96"/>
  <c r="H85" i="96"/>
  <c r="H85" i="77"/>
  <c r="J81" i="77"/>
  <c r="J81" i="69"/>
  <c r="H85" i="69"/>
  <c r="C26" i="125"/>
  <c r="C39" i="125"/>
  <c r="B39" i="125" s="1"/>
  <c r="C38" i="125"/>
  <c r="B38" i="125" s="1"/>
  <c r="C39" i="109"/>
  <c r="C38" i="109"/>
  <c r="C26" i="118"/>
  <c r="C26" i="114"/>
  <c r="C39" i="112"/>
  <c r="C38" i="85"/>
  <c r="C25" i="88"/>
  <c r="C26" i="67"/>
  <c r="C26" i="78"/>
  <c r="C26" i="77"/>
  <c r="C26" i="120"/>
  <c r="C39" i="90"/>
  <c r="C38" i="74"/>
  <c r="C26" i="69"/>
  <c r="C39" i="74"/>
  <c r="C38" i="67"/>
  <c r="C26" i="73"/>
  <c r="C38" i="77"/>
  <c r="C38" i="112"/>
  <c r="C39" i="69"/>
  <c r="C39" i="71"/>
  <c r="C25" i="74"/>
  <c r="C39" i="96"/>
  <c r="C26" i="95"/>
  <c r="C25" i="73"/>
  <c r="C26" i="79"/>
  <c r="C39" i="67"/>
  <c r="C39" i="73"/>
  <c r="C38" i="90"/>
  <c r="C39" i="85"/>
  <c r="C39" i="116"/>
  <c r="C39" i="79"/>
  <c r="C38" i="68"/>
  <c r="C38" i="73"/>
  <c r="C26" i="68"/>
  <c r="C38" i="88"/>
  <c r="C39" i="77"/>
  <c r="C39" i="68"/>
  <c r="C38" i="95"/>
  <c r="C26" i="72"/>
  <c r="C39" i="120"/>
  <c r="C38" i="96"/>
  <c r="C25" i="114"/>
  <c r="C39" i="104"/>
  <c r="C26" i="90"/>
  <c r="C26" i="109"/>
  <c r="C39" i="95"/>
  <c r="C38" i="72"/>
  <c r="C39" i="88"/>
  <c r="C25" i="71"/>
  <c r="C38" i="116"/>
  <c r="C25" i="96"/>
  <c r="C39" i="78"/>
  <c r="C26" i="96"/>
  <c r="C26" i="85"/>
  <c r="C39" i="72"/>
  <c r="C39" i="118"/>
  <c r="C25" i="95"/>
  <c r="C25" i="116"/>
  <c r="C38" i="71"/>
  <c r="C26" i="70"/>
  <c r="C38" i="69"/>
  <c r="C25" i="72"/>
  <c r="C39" i="114"/>
  <c r="C26" i="76"/>
  <c r="C26" i="104"/>
  <c r="C38" i="114"/>
  <c r="C26" i="116"/>
  <c r="C26" i="112"/>
  <c r="C39" i="76"/>
  <c r="C38" i="70"/>
  <c r="C39" i="70"/>
  <c r="C38" i="104"/>
  <c r="C38" i="79"/>
  <c r="C38" i="76"/>
  <c r="C38" i="118"/>
  <c r="C25" i="78"/>
  <c r="C38" i="120"/>
  <c r="C25" i="77"/>
  <c r="C25" i="104"/>
  <c r="C25" i="118"/>
  <c r="C38" i="78"/>
  <c r="C25" i="120"/>
  <c r="C26" i="88"/>
  <c r="C25" i="112"/>
  <c r="C25" i="67"/>
  <c r="C25" i="85"/>
  <c r="C25" i="68"/>
  <c r="C25" i="90"/>
  <c r="C25" i="109"/>
  <c r="C25" i="69"/>
  <c r="C25" i="70"/>
  <c r="C25" i="125"/>
  <c r="C26" i="71"/>
  <c r="C25" i="76"/>
  <c r="P8" i="87"/>
  <c r="E112" i="18"/>
  <c r="P77" i="87"/>
  <c r="P37" i="87"/>
  <c r="P18" i="87"/>
  <c r="P36" i="87"/>
  <c r="U39" i="87"/>
  <c r="V39" i="52"/>
  <c r="W39" i="52" s="1"/>
  <c r="V39" i="87"/>
  <c r="H85" i="78"/>
  <c r="J81" i="78"/>
  <c r="H85" i="73"/>
  <c r="J81" i="73"/>
  <c r="J81" i="88"/>
  <c r="H85" i="88"/>
  <c r="N38" i="125"/>
  <c r="M38" i="125" s="1"/>
  <c r="N39" i="125"/>
  <c r="M39" i="125" s="1"/>
  <c r="N26" i="125"/>
  <c r="M26" i="125" s="1"/>
  <c r="N39" i="118"/>
  <c r="M39" i="118" s="1"/>
  <c r="N39" i="109"/>
  <c r="M39" i="109" s="1"/>
  <c r="N26" i="104"/>
  <c r="M26" i="104" s="1"/>
  <c r="N26" i="118"/>
  <c r="M26" i="118" s="1"/>
  <c r="N38" i="109"/>
  <c r="N26" i="116"/>
  <c r="M26" i="116" s="1"/>
  <c r="N38" i="112"/>
  <c r="N25" i="116"/>
  <c r="N26" i="112"/>
  <c r="M26" i="112" s="1"/>
  <c r="N39" i="120"/>
  <c r="M39" i="120" s="1"/>
  <c r="N26" i="109"/>
  <c r="M26" i="109" s="1"/>
  <c r="N39" i="116"/>
  <c r="M39" i="116" s="1"/>
  <c r="N39" i="96"/>
  <c r="M39" i="96" s="1"/>
  <c r="N26" i="77"/>
  <c r="M26" i="77" s="1"/>
  <c r="N38" i="116"/>
  <c r="N39" i="114"/>
  <c r="M39" i="114" s="1"/>
  <c r="N39" i="112"/>
  <c r="M39" i="112" s="1"/>
  <c r="N39" i="76"/>
  <c r="M39" i="76" s="1"/>
  <c r="N25" i="74"/>
  <c r="N38" i="70"/>
  <c r="N38" i="74"/>
  <c r="N39" i="70"/>
  <c r="M39" i="70" s="1"/>
  <c r="N39" i="104"/>
  <c r="M39" i="104" s="1"/>
  <c r="N39" i="88"/>
  <c r="M39" i="88" s="1"/>
  <c r="N39" i="77"/>
  <c r="M39" i="77" s="1"/>
  <c r="N39" i="74"/>
  <c r="M39" i="74" s="1"/>
  <c r="N25" i="73"/>
  <c r="N26" i="67"/>
  <c r="M26" i="67" s="1"/>
  <c r="N38" i="104"/>
  <c r="N38" i="88"/>
  <c r="N26" i="73"/>
  <c r="M26" i="73" s="1"/>
  <c r="N26" i="69"/>
  <c r="M26" i="69" s="1"/>
  <c r="N38" i="67"/>
  <c r="N38" i="95"/>
  <c r="N39" i="90"/>
  <c r="M39" i="90" s="1"/>
  <c r="N25" i="96"/>
  <c r="N25" i="72"/>
  <c r="N25" i="71"/>
  <c r="N26" i="120"/>
  <c r="M26" i="120" s="1"/>
  <c r="N38" i="96"/>
  <c r="N39" i="85"/>
  <c r="M39" i="85" s="1"/>
  <c r="N26" i="78"/>
  <c r="M26" i="78" s="1"/>
  <c r="N26" i="72"/>
  <c r="M26" i="72" s="1"/>
  <c r="N38" i="71"/>
  <c r="N38" i="114"/>
  <c r="N25" i="95"/>
  <c r="N26" i="85"/>
  <c r="M26" i="85" s="1"/>
  <c r="N39" i="78"/>
  <c r="M39" i="78" s="1"/>
  <c r="N38" i="72"/>
  <c r="N39" i="71"/>
  <c r="M39" i="71" s="1"/>
  <c r="N38" i="68"/>
  <c r="N26" i="114"/>
  <c r="M26" i="114" s="1"/>
  <c r="N26" i="90"/>
  <c r="M26" i="90" s="1"/>
  <c r="N38" i="85"/>
  <c r="N38" i="73"/>
  <c r="N39" i="72"/>
  <c r="M39" i="72" s="1"/>
  <c r="N39" i="73"/>
  <c r="M39" i="73" s="1"/>
  <c r="N38" i="90"/>
  <c r="N26" i="70"/>
  <c r="M26" i="70" s="1"/>
  <c r="N38" i="69"/>
  <c r="N25" i="114"/>
  <c r="N39" i="69"/>
  <c r="M39" i="69" s="1"/>
  <c r="N26" i="68"/>
  <c r="M26" i="68" s="1"/>
  <c r="N39" i="68"/>
  <c r="M39" i="68" s="1"/>
  <c r="N39" i="95"/>
  <c r="M39" i="95" s="1"/>
  <c r="N26" i="76"/>
  <c r="M26" i="76" s="1"/>
  <c r="N39" i="67"/>
  <c r="M39" i="67" s="1"/>
  <c r="N26" i="96"/>
  <c r="M26" i="96" s="1"/>
  <c r="N25" i="88"/>
  <c r="N39" i="79"/>
  <c r="M39" i="79" s="1"/>
  <c r="N26" i="95"/>
  <c r="M26" i="95" s="1"/>
  <c r="N26" i="79"/>
  <c r="M26" i="79" s="1"/>
  <c r="N38" i="78"/>
  <c r="M38" i="78" s="1"/>
  <c r="N25" i="78"/>
  <c r="N38" i="76"/>
  <c r="M38" i="76" s="1"/>
  <c r="N38" i="77"/>
  <c r="M38" i="77" s="1"/>
  <c r="N25" i="104"/>
  <c r="N25" i="77"/>
  <c r="N25" i="120"/>
  <c r="N25" i="118"/>
  <c r="N38" i="79"/>
  <c r="M38" i="79" s="1"/>
  <c r="N38" i="118"/>
  <c r="M38" i="118" s="1"/>
  <c r="N38" i="120"/>
  <c r="M38" i="120" s="1"/>
  <c r="N26" i="88"/>
  <c r="M26" i="88" s="1"/>
  <c r="N25" i="90"/>
  <c r="N25" i="112"/>
  <c r="N25" i="85"/>
  <c r="N25" i="68"/>
  <c r="N25" i="67"/>
  <c r="N25" i="109"/>
  <c r="N25" i="70"/>
  <c r="N25" i="69"/>
  <c r="N25" i="125"/>
  <c r="N26" i="71"/>
  <c r="M26" i="71" s="1"/>
  <c r="N25" i="76"/>
  <c r="Q17" i="87"/>
  <c r="R17" i="87"/>
  <c r="Q27" i="87"/>
  <c r="R63" i="52"/>
  <c r="R64" i="52" s="1"/>
  <c r="C23" i="42" s="1"/>
  <c r="Q63" i="52"/>
  <c r="Q64" i="52" s="1"/>
  <c r="D42" i="26"/>
  <c r="R62" i="87"/>
  <c r="R63" i="87" s="1"/>
  <c r="R27" i="52"/>
  <c r="Q19" i="87"/>
  <c r="Q27" i="52"/>
  <c r="Q62" i="87"/>
  <c r="Q19" i="52"/>
  <c r="R19" i="87"/>
  <c r="R19" i="52"/>
  <c r="D40" i="26"/>
  <c r="R27" i="87"/>
  <c r="Q17" i="52"/>
  <c r="Q28" i="52"/>
  <c r="R28" i="52"/>
  <c r="R28" i="87"/>
  <c r="Q28" i="87"/>
  <c r="R17" i="52"/>
  <c r="Q29" i="52"/>
  <c r="R29" i="52"/>
  <c r="R70" i="52"/>
  <c r="Q69" i="87"/>
  <c r="Q70" i="52"/>
  <c r="R69" i="87"/>
  <c r="Q20" i="52"/>
  <c r="R20" i="52"/>
  <c r="R29" i="87"/>
  <c r="Q29" i="87"/>
  <c r="Q70" i="87"/>
  <c r="R71" i="52"/>
  <c r="R70" i="87"/>
  <c r="Q71" i="52"/>
  <c r="R68" i="87"/>
  <c r="Q69" i="52"/>
  <c r="Q68" i="87"/>
  <c r="R69" i="52"/>
  <c r="I26" i="74"/>
  <c r="C26" i="74"/>
  <c r="C11" i="79"/>
  <c r="N26" i="74"/>
  <c r="M26" i="74" s="1"/>
  <c r="M84" i="90"/>
  <c r="C16" i="121"/>
  <c r="C16" i="65"/>
  <c r="C16" i="119"/>
  <c r="H85" i="71"/>
  <c r="J81" i="71"/>
  <c r="H85" i="120"/>
  <c r="J81" i="120"/>
  <c r="J81" i="67"/>
  <c r="H85" i="67"/>
  <c r="H85" i="116"/>
  <c r="J81" i="116"/>
  <c r="M83" i="112"/>
  <c r="J81" i="72"/>
  <c r="H85" i="72"/>
  <c r="J81" i="74"/>
  <c r="H85" i="74"/>
  <c r="J81" i="104"/>
  <c r="H85" i="104"/>
  <c r="W79" i="87" l="1"/>
  <c r="X79" i="87"/>
  <c r="Z79" i="87" s="1"/>
  <c r="Y79" i="87"/>
  <c r="R8" i="52"/>
  <c r="R10" i="52" s="1"/>
  <c r="C23" i="4" s="1"/>
  <c r="C23" i="44" s="1"/>
  <c r="Q8" i="52"/>
  <c r="Q10" i="52" s="1"/>
  <c r="Q71" i="87"/>
  <c r="T19" i="52"/>
  <c r="Z19" i="52" s="1"/>
  <c r="AA19" i="52" s="1"/>
  <c r="R72" i="52"/>
  <c r="C23" i="61" s="1"/>
  <c r="M25" i="114"/>
  <c r="M25" i="88"/>
  <c r="M25" i="116"/>
  <c r="M25" i="125"/>
  <c r="Q72" i="52"/>
  <c r="C21" i="42"/>
  <c r="C22" i="42"/>
  <c r="M25" i="70"/>
  <c r="M25" i="120"/>
  <c r="M38" i="73"/>
  <c r="M25" i="74"/>
  <c r="M38" i="112"/>
  <c r="P22" i="87"/>
  <c r="R9" i="102"/>
  <c r="Q9" i="102"/>
  <c r="Q8" i="102"/>
  <c r="R8" i="102"/>
  <c r="R7" i="102"/>
  <c r="Q7" i="102"/>
  <c r="M25" i="118"/>
  <c r="M38" i="71"/>
  <c r="M25" i="76"/>
  <c r="P10" i="52"/>
  <c r="M25" i="109"/>
  <c r="M38" i="85"/>
  <c r="M38" i="88"/>
  <c r="M25" i="67"/>
  <c r="M38" i="72"/>
  <c r="M38" i="114"/>
  <c r="M25" i="69"/>
  <c r="M38" i="70"/>
  <c r="R71" i="87"/>
  <c r="Q18" i="87"/>
  <c r="R18" i="87"/>
  <c r="Q30" i="52"/>
  <c r="Q31" i="52" s="1"/>
  <c r="R30" i="52"/>
  <c r="R31" i="52" s="1"/>
  <c r="R38" i="52"/>
  <c r="Q38" i="52"/>
  <c r="Q30" i="87"/>
  <c r="Q31" i="87" s="1"/>
  <c r="R30" i="87"/>
  <c r="R31" i="87" s="1"/>
  <c r="R21" i="52"/>
  <c r="Q38" i="87"/>
  <c r="Q21" i="52"/>
  <c r="R38" i="87"/>
  <c r="R37" i="52"/>
  <c r="R79" i="52"/>
  <c r="Q79" i="52"/>
  <c r="R18" i="52"/>
  <c r="Q18" i="52"/>
  <c r="Q37" i="52"/>
  <c r="R78" i="87"/>
  <c r="Q78" i="87"/>
  <c r="Q37" i="87"/>
  <c r="R37" i="87"/>
  <c r="Q8" i="87"/>
  <c r="Q10" i="87" s="1"/>
  <c r="R77" i="87"/>
  <c r="Q77" i="87"/>
  <c r="Q36" i="87"/>
  <c r="R36" i="87"/>
  <c r="Q77" i="52"/>
  <c r="R8" i="87"/>
  <c r="Q36" i="52"/>
  <c r="R76" i="87"/>
  <c r="Q76" i="87"/>
  <c r="R36" i="52"/>
  <c r="R77" i="52"/>
  <c r="R78" i="52"/>
  <c r="Q78" i="52"/>
  <c r="Q8" i="99"/>
  <c r="Q9" i="99"/>
  <c r="R9" i="99"/>
  <c r="R8" i="99"/>
  <c r="R7" i="99"/>
  <c r="Q7" i="99"/>
  <c r="M25" i="77"/>
  <c r="M25" i="104"/>
  <c r="M38" i="104"/>
  <c r="M38" i="109"/>
  <c r="M25" i="68"/>
  <c r="M38" i="96"/>
  <c r="P80" i="87"/>
  <c r="C11" i="103"/>
  <c r="C11" i="115"/>
  <c r="C11" i="39"/>
  <c r="C11" i="117"/>
  <c r="C11" i="55"/>
  <c r="C11" i="63" s="1"/>
  <c r="C11" i="57"/>
  <c r="C11" i="48" s="1"/>
  <c r="C11" i="4"/>
  <c r="C11" i="44" s="1"/>
  <c r="C11" i="89"/>
  <c r="C11" i="91" s="1"/>
  <c r="C11" i="113"/>
  <c r="C11" i="61"/>
  <c r="C11" i="110"/>
  <c r="C11" i="86"/>
  <c r="C11" i="46"/>
  <c r="C11" i="42"/>
  <c r="C11" i="59"/>
  <c r="C11" i="101"/>
  <c r="M25" i="85"/>
  <c r="M38" i="68"/>
  <c r="M25" i="73"/>
  <c r="M38" i="116"/>
  <c r="M25" i="90"/>
  <c r="C12" i="103"/>
  <c r="C12" i="39"/>
  <c r="C12" i="117"/>
  <c r="C12" i="115"/>
  <c r="C12" i="55"/>
  <c r="C12" i="63" s="1"/>
  <c r="C12" i="57"/>
  <c r="C12" i="48" s="1"/>
  <c r="C12" i="4"/>
  <c r="C12" i="44" s="1"/>
  <c r="C12" i="110"/>
  <c r="C12" i="113"/>
  <c r="C12" i="89"/>
  <c r="C12" i="91" s="1"/>
  <c r="C12" i="61"/>
  <c r="C12" i="46"/>
  <c r="C12" i="86"/>
  <c r="C12" i="42"/>
  <c r="C12" i="59"/>
  <c r="C12" i="101"/>
  <c r="M25" i="112"/>
  <c r="M25" i="78"/>
  <c r="M25" i="71"/>
  <c r="C76" i="59"/>
  <c r="Y39" i="52"/>
  <c r="X39" i="52"/>
  <c r="Z39" i="52" s="1"/>
  <c r="P10" i="87"/>
  <c r="Q63" i="87"/>
  <c r="M25" i="72"/>
  <c r="M38" i="69"/>
  <c r="H26" i="74"/>
  <c r="M38" i="90"/>
  <c r="M25" i="95"/>
  <c r="M38" i="95"/>
  <c r="W39" i="87"/>
  <c r="N25" i="79"/>
  <c r="I25" i="79"/>
  <c r="C25" i="79"/>
  <c r="M25" i="96"/>
  <c r="M38" i="67"/>
  <c r="M38" i="74"/>
  <c r="P40" i="87"/>
  <c r="C23" i="113" l="1"/>
  <c r="AA79" i="87"/>
  <c r="C23" i="110"/>
  <c r="S8" i="52"/>
  <c r="V8" i="52" s="1"/>
  <c r="T78" i="87"/>
  <c r="U78" i="87" s="1"/>
  <c r="R80" i="87"/>
  <c r="T38" i="87"/>
  <c r="U38" i="87" s="1"/>
  <c r="R22" i="87"/>
  <c r="R22" i="52"/>
  <c r="C23" i="55" s="1"/>
  <c r="C23" i="63" s="1"/>
  <c r="R40" i="52"/>
  <c r="C23" i="57" s="1"/>
  <c r="C23" i="48" s="1"/>
  <c r="T21" i="52"/>
  <c r="V21" i="52" s="1"/>
  <c r="R49" i="52"/>
  <c r="C23" i="89" s="1"/>
  <c r="C23" i="91" s="1"/>
  <c r="T30" i="87"/>
  <c r="V30" i="87" s="1"/>
  <c r="V31" i="87" s="1"/>
  <c r="S37" i="87"/>
  <c r="T37" i="87" s="1"/>
  <c r="T38" i="52"/>
  <c r="U38" i="52" s="1"/>
  <c r="C23" i="39"/>
  <c r="C23" i="115"/>
  <c r="C23" i="117"/>
  <c r="M25" i="79"/>
  <c r="S8" i="87"/>
  <c r="U8" i="87" s="1"/>
  <c r="R10" i="87"/>
  <c r="S18" i="87"/>
  <c r="T18" i="87" s="1"/>
  <c r="Q22" i="87"/>
  <c r="H25" i="79"/>
  <c r="Q91" i="52"/>
  <c r="C22" i="113"/>
  <c r="C22" i="61"/>
  <c r="C22" i="110"/>
  <c r="C21" i="110"/>
  <c r="C21" i="61"/>
  <c r="C21" i="113"/>
  <c r="C22" i="4"/>
  <c r="C22" i="44" s="1"/>
  <c r="C21" i="4"/>
  <c r="C21" i="44" s="1"/>
  <c r="C12" i="119"/>
  <c r="C12" i="121"/>
  <c r="C12" i="65"/>
  <c r="R89" i="87"/>
  <c r="R40" i="87"/>
  <c r="S18" i="52"/>
  <c r="V18" i="52" s="1"/>
  <c r="S8" i="102"/>
  <c r="U8" i="102" s="1"/>
  <c r="R91" i="52"/>
  <c r="C23" i="86" s="1"/>
  <c r="Q40" i="87"/>
  <c r="S36" i="87"/>
  <c r="U36" i="87" s="1"/>
  <c r="S9" i="102"/>
  <c r="U9" i="102" s="1"/>
  <c r="AA39" i="52"/>
  <c r="S7" i="99"/>
  <c r="T7" i="99" s="1"/>
  <c r="Q12" i="99"/>
  <c r="R81" i="52"/>
  <c r="C23" i="46" s="1"/>
  <c r="Q48" i="87"/>
  <c r="T79" i="52"/>
  <c r="S77" i="52"/>
  <c r="T77" i="52" s="1"/>
  <c r="Q81" i="52"/>
  <c r="Q89" i="87"/>
  <c r="R48" i="87"/>
  <c r="C33" i="57"/>
  <c r="G26" i="74"/>
  <c r="R12" i="99"/>
  <c r="S77" i="87"/>
  <c r="V77" i="87" s="1"/>
  <c r="C21" i="117"/>
  <c r="C22" i="39"/>
  <c r="C21" i="39"/>
  <c r="C21" i="115"/>
  <c r="C22" i="117"/>
  <c r="C22" i="115"/>
  <c r="T30" i="52"/>
  <c r="X39" i="87"/>
  <c r="Z39" i="87" s="1"/>
  <c r="Y39" i="87"/>
  <c r="S9" i="99"/>
  <c r="T9" i="99" s="1"/>
  <c r="S76" i="87"/>
  <c r="V76" i="87" s="1"/>
  <c r="Q80" i="87"/>
  <c r="C11" i="65"/>
  <c r="C11" i="119"/>
  <c r="C11" i="121"/>
  <c r="N54" i="74"/>
  <c r="I54" i="74"/>
  <c r="C54" i="74"/>
  <c r="C13" i="79"/>
  <c r="C74" i="68"/>
  <c r="N74" i="68"/>
  <c r="M74" i="68" s="1"/>
  <c r="I74" i="68"/>
  <c r="H74" i="68" s="1"/>
  <c r="C6" i="68"/>
  <c r="G42" i="68"/>
  <c r="S8" i="99"/>
  <c r="Q22" i="52"/>
  <c r="S78" i="52"/>
  <c r="U78" i="52" s="1"/>
  <c r="Q40" i="52"/>
  <c r="S36" i="52"/>
  <c r="V36" i="52" s="1"/>
  <c r="Q49" i="52"/>
  <c r="S37" i="52"/>
  <c r="U37" i="52" s="1"/>
  <c r="S7" i="102"/>
  <c r="T7" i="102" s="1"/>
  <c r="Q12" i="102"/>
  <c r="R12" i="102"/>
  <c r="C23" i="101" s="1"/>
  <c r="U8" i="52" l="1"/>
  <c r="V38" i="87"/>
  <c r="T8" i="52"/>
  <c r="T10" i="52" s="1"/>
  <c r="V78" i="87"/>
  <c r="W78" i="87" s="1"/>
  <c r="Y78" i="87" s="1"/>
  <c r="W8" i="52"/>
  <c r="X8" i="52" s="1"/>
  <c r="U21" i="52"/>
  <c r="W21" i="52" s="1"/>
  <c r="T8" i="87"/>
  <c r="T10" i="87" s="1"/>
  <c r="T78" i="52"/>
  <c r="T81" i="52" s="1"/>
  <c r="AA39" i="87"/>
  <c r="T31" i="87"/>
  <c r="U30" i="87"/>
  <c r="W30" i="87" s="1"/>
  <c r="V18" i="87"/>
  <c r="V22" i="87" s="1"/>
  <c r="U18" i="52"/>
  <c r="W18" i="52" s="1"/>
  <c r="V37" i="87"/>
  <c r="U37" i="87"/>
  <c r="U40" i="87" s="1"/>
  <c r="U7" i="102"/>
  <c r="U12" i="102" s="1"/>
  <c r="U77" i="87"/>
  <c r="W77" i="87" s="1"/>
  <c r="Y77" i="87" s="1"/>
  <c r="T77" i="87"/>
  <c r="U18" i="87"/>
  <c r="V38" i="52"/>
  <c r="W38" i="52" s="1"/>
  <c r="Y38" i="52" s="1"/>
  <c r="S10" i="52"/>
  <c r="T8" i="102"/>
  <c r="V78" i="52"/>
  <c r="W78" i="52" s="1"/>
  <c r="V9" i="102"/>
  <c r="W9" i="102" s="1"/>
  <c r="T36" i="87"/>
  <c r="G14" i="74"/>
  <c r="V37" i="52"/>
  <c r="T37" i="52"/>
  <c r="V10" i="52"/>
  <c r="C28" i="4" s="1"/>
  <c r="C28" i="44" s="1"/>
  <c r="V77" i="52"/>
  <c r="U77" i="52"/>
  <c r="U76" i="87"/>
  <c r="W76" i="87" s="1"/>
  <c r="X76" i="87" s="1"/>
  <c r="U36" i="52"/>
  <c r="W36" i="52" s="1"/>
  <c r="C22" i="57"/>
  <c r="C22" i="48" s="1"/>
  <c r="C21" i="57"/>
  <c r="C21" i="48" s="1"/>
  <c r="G74" i="68"/>
  <c r="V79" i="52"/>
  <c r="U79" i="52"/>
  <c r="S48" i="87"/>
  <c r="G14" i="88" s="1"/>
  <c r="T22" i="87"/>
  <c r="N53" i="79"/>
  <c r="M53" i="79" s="1"/>
  <c r="C53" i="79"/>
  <c r="I53" i="79"/>
  <c r="H53" i="79" s="1"/>
  <c r="C14" i="85"/>
  <c r="S89" i="87"/>
  <c r="T9" i="102"/>
  <c r="V8" i="102"/>
  <c r="W8" i="102" s="1"/>
  <c r="C21" i="86"/>
  <c r="C22" i="86"/>
  <c r="G14" i="72"/>
  <c r="S22" i="87"/>
  <c r="S91" i="52"/>
  <c r="W38" i="87"/>
  <c r="Y38" i="87" s="1"/>
  <c r="C22" i="55"/>
  <c r="C22" i="63" s="1"/>
  <c r="C21" i="55"/>
  <c r="C21" i="63" s="1"/>
  <c r="T8" i="99"/>
  <c r="U8" i="99" s="1"/>
  <c r="H54" i="74"/>
  <c r="T76" i="87"/>
  <c r="S80" i="87"/>
  <c r="C14" i="70"/>
  <c r="S12" i="99"/>
  <c r="C14" i="125" s="1"/>
  <c r="U7" i="99"/>
  <c r="V7" i="99"/>
  <c r="S49" i="52"/>
  <c r="M54" i="74"/>
  <c r="C21" i="46"/>
  <c r="C22" i="46"/>
  <c r="C22" i="89"/>
  <c r="C22" i="91" s="1"/>
  <c r="C21" i="89"/>
  <c r="C21" i="91" s="1"/>
  <c r="U9" i="99"/>
  <c r="V9" i="99"/>
  <c r="V36" i="87"/>
  <c r="V22" i="52"/>
  <c r="C28" i="55" s="1"/>
  <c r="C28" i="63" s="1"/>
  <c r="G14" i="71"/>
  <c r="S10" i="87"/>
  <c r="C21" i="101"/>
  <c r="C22" i="101"/>
  <c r="S81" i="52"/>
  <c r="T18" i="52"/>
  <c r="S22" i="52"/>
  <c r="C21" i="121"/>
  <c r="C21" i="119"/>
  <c r="C21" i="65"/>
  <c r="V7" i="102"/>
  <c r="S12" i="102"/>
  <c r="C41" i="42"/>
  <c r="J36" i="68"/>
  <c r="C22" i="119"/>
  <c r="C22" i="121"/>
  <c r="C22" i="65"/>
  <c r="C34" i="57"/>
  <c r="J23" i="74"/>
  <c r="S40" i="87"/>
  <c r="U10" i="87"/>
  <c r="T36" i="52"/>
  <c r="S40" i="52"/>
  <c r="V30" i="52"/>
  <c r="U30" i="52"/>
  <c r="T31" i="52"/>
  <c r="V8" i="87"/>
  <c r="V10" i="87" s="1"/>
  <c r="C33" i="48"/>
  <c r="G25" i="79"/>
  <c r="C23" i="121"/>
  <c r="C23" i="65"/>
  <c r="C23" i="119"/>
  <c r="V80" i="87" l="1"/>
  <c r="U22" i="87"/>
  <c r="Y21" i="52"/>
  <c r="X21" i="52"/>
  <c r="Z21" i="52" s="1"/>
  <c r="V40" i="52"/>
  <c r="C28" i="57" s="1"/>
  <c r="C28" i="48" s="1"/>
  <c r="U40" i="52"/>
  <c r="C27" i="57" s="1"/>
  <c r="C27" i="48" s="1"/>
  <c r="W18" i="87"/>
  <c r="Y18" i="87" s="1"/>
  <c r="Y22" i="87" s="1"/>
  <c r="U31" i="87"/>
  <c r="U22" i="52"/>
  <c r="C26" i="55" s="1"/>
  <c r="C26" i="63" s="1"/>
  <c r="T12" i="102"/>
  <c r="X10" i="52"/>
  <c r="W37" i="87"/>
  <c r="Y37" i="87" s="1"/>
  <c r="X78" i="52"/>
  <c r="Z78" i="52" s="1"/>
  <c r="Y78" i="52"/>
  <c r="W37" i="52"/>
  <c r="Y37" i="52" s="1"/>
  <c r="X38" i="52"/>
  <c r="Z38" i="52" s="1"/>
  <c r="AA38" i="52" s="1"/>
  <c r="U80" i="87"/>
  <c r="W77" i="52"/>
  <c r="Y77" i="52" s="1"/>
  <c r="X9" i="102"/>
  <c r="Z9" i="102" s="1"/>
  <c r="Y9" i="102"/>
  <c r="T12" i="99"/>
  <c r="Y36" i="52"/>
  <c r="T40" i="87"/>
  <c r="X77" i="87"/>
  <c r="V12" i="102"/>
  <c r="C28" i="101" s="1"/>
  <c r="U10" i="52"/>
  <c r="C27" i="4" s="1"/>
  <c r="C27" i="44" s="1"/>
  <c r="X36" i="52"/>
  <c r="Z36" i="52" s="1"/>
  <c r="W7" i="102"/>
  <c r="Y7" i="102" s="1"/>
  <c r="Y76" i="87"/>
  <c r="Y80" i="87" s="1"/>
  <c r="X8" i="102"/>
  <c r="Z8" i="102" s="1"/>
  <c r="Y8" i="102"/>
  <c r="J46" i="68"/>
  <c r="J43" i="68"/>
  <c r="J44" i="68"/>
  <c r="J45" i="68"/>
  <c r="I64" i="85"/>
  <c r="C64" i="85"/>
  <c r="N64" i="85"/>
  <c r="X30" i="87"/>
  <c r="G16" i="116" s="1"/>
  <c r="W31" i="87"/>
  <c r="Y30" i="87"/>
  <c r="Z89" i="87"/>
  <c r="C16" i="85"/>
  <c r="I65" i="88"/>
  <c r="C65" i="88"/>
  <c r="N65" i="88"/>
  <c r="C14" i="90"/>
  <c r="V40" i="87"/>
  <c r="G54" i="74"/>
  <c r="I65" i="72"/>
  <c r="C65" i="72"/>
  <c r="C14" i="77"/>
  <c r="N65" i="72"/>
  <c r="Y48" i="87"/>
  <c r="X18" i="52"/>
  <c r="X22" i="52" s="1"/>
  <c r="W22" i="52"/>
  <c r="W8" i="87"/>
  <c r="C65" i="74"/>
  <c r="N65" i="74"/>
  <c r="M65" i="74" s="1"/>
  <c r="I65" i="74"/>
  <c r="C14" i="79"/>
  <c r="W7" i="99"/>
  <c r="U12" i="99"/>
  <c r="V8" i="99"/>
  <c r="W8" i="99" s="1"/>
  <c r="Y8" i="99" s="1"/>
  <c r="G16" i="88"/>
  <c r="C6" i="88" s="1"/>
  <c r="Z48" i="87"/>
  <c r="T22" i="52"/>
  <c r="W30" i="52"/>
  <c r="U31" i="52"/>
  <c r="W36" i="87"/>
  <c r="Y49" i="52"/>
  <c r="I64" i="125"/>
  <c r="H64" i="125" s="1"/>
  <c r="G64" i="125" s="1"/>
  <c r="C64" i="125"/>
  <c r="N64" i="125"/>
  <c r="M64" i="125" s="1"/>
  <c r="W79" i="52"/>
  <c r="Y79" i="52" s="1"/>
  <c r="W9" i="99"/>
  <c r="Y9" i="99" s="1"/>
  <c r="V31" i="52"/>
  <c r="J23" i="79"/>
  <c r="C34" i="48"/>
  <c r="J32" i="74"/>
  <c r="J34" i="74"/>
  <c r="J31" i="74"/>
  <c r="J30" i="74"/>
  <c r="I42" i="74" s="1"/>
  <c r="J33" i="74"/>
  <c r="Y18" i="52"/>
  <c r="C14" i="76"/>
  <c r="I65" i="71"/>
  <c r="C65" i="71"/>
  <c r="N65" i="71"/>
  <c r="Z49" i="52"/>
  <c r="Y91" i="52"/>
  <c r="G53" i="79"/>
  <c r="W80" i="87"/>
  <c r="C26" i="101"/>
  <c r="C27" i="101"/>
  <c r="I64" i="70"/>
  <c r="H64" i="70" s="1"/>
  <c r="C64" i="70"/>
  <c r="N64" i="70"/>
  <c r="M64" i="70" s="1"/>
  <c r="Z91" i="52"/>
  <c r="X78" i="87"/>
  <c r="T40" i="52"/>
  <c r="X38" i="87"/>
  <c r="Z38" i="87" s="1"/>
  <c r="AA38" i="87" s="1"/>
  <c r="T80" i="87"/>
  <c r="Z76" i="87"/>
  <c r="Y89" i="87"/>
  <c r="Z77" i="87" l="1"/>
  <c r="Z78" i="87"/>
  <c r="C26" i="57"/>
  <c r="C26" i="48" s="1"/>
  <c r="X37" i="87"/>
  <c r="Z37" i="87" s="1"/>
  <c r="AA37" i="87" s="1"/>
  <c r="AA21" i="52"/>
  <c r="C27" i="55"/>
  <c r="C27" i="63" s="1"/>
  <c r="X18" i="87"/>
  <c r="W22" i="87"/>
  <c r="Y40" i="52"/>
  <c r="AA78" i="52"/>
  <c r="W10" i="52"/>
  <c r="Y8" i="52"/>
  <c r="Y10" i="52" s="1"/>
  <c r="X37" i="52"/>
  <c r="Z37" i="52" s="1"/>
  <c r="AA37" i="52" s="1"/>
  <c r="AA9" i="102"/>
  <c r="W40" i="52"/>
  <c r="AA89" i="87"/>
  <c r="Z8" i="52"/>
  <c r="Z10" i="52" s="1"/>
  <c r="X79" i="52"/>
  <c r="Z79" i="52" s="1"/>
  <c r="AA79" i="52" s="1"/>
  <c r="X77" i="52"/>
  <c r="Z77" i="52" s="1"/>
  <c r="AA77" i="52" s="1"/>
  <c r="X9" i="99"/>
  <c r="Z9" i="99" s="1"/>
  <c r="AA9" i="99" s="1"/>
  <c r="W12" i="102"/>
  <c r="X7" i="102"/>
  <c r="X12" i="102" s="1"/>
  <c r="Z80" i="87"/>
  <c r="AA48" i="87"/>
  <c r="Z18" i="52"/>
  <c r="Z22" i="52" s="1"/>
  <c r="G16" i="114"/>
  <c r="C6" i="114" s="1"/>
  <c r="G16" i="73"/>
  <c r="C96" i="73" s="1"/>
  <c r="AA8" i="102"/>
  <c r="C16" i="70"/>
  <c r="G42" i="70" s="1"/>
  <c r="J36" i="70" s="1"/>
  <c r="C26" i="4"/>
  <c r="C26" i="44" s="1"/>
  <c r="W40" i="87"/>
  <c r="Y36" i="87"/>
  <c r="W12" i="99"/>
  <c r="Y7" i="99"/>
  <c r="C26" i="117"/>
  <c r="C27" i="39"/>
  <c r="C27" i="115"/>
  <c r="C26" i="115"/>
  <c r="C27" i="117"/>
  <c r="C26" i="39"/>
  <c r="H64" i="85"/>
  <c r="Y30" i="52"/>
  <c r="W31" i="52"/>
  <c r="C64" i="79"/>
  <c r="I64" i="79"/>
  <c r="H64" i="79" s="1"/>
  <c r="G64" i="79" s="1"/>
  <c r="N64" i="79"/>
  <c r="M64" i="79" s="1"/>
  <c r="Y12" i="102"/>
  <c r="AA76" i="87"/>
  <c r="H65" i="74"/>
  <c r="M65" i="72"/>
  <c r="C84" i="116"/>
  <c r="N84" i="116"/>
  <c r="I84" i="116"/>
  <c r="C6" i="116"/>
  <c r="C16" i="120"/>
  <c r="C64" i="77"/>
  <c r="N64" i="77"/>
  <c r="M64" i="77" s="1"/>
  <c r="I64" i="77"/>
  <c r="H64" i="77" s="1"/>
  <c r="G64" i="77" s="1"/>
  <c r="C64" i="90"/>
  <c r="N64" i="90"/>
  <c r="I64" i="90"/>
  <c r="Y31" i="87"/>
  <c r="M65" i="71"/>
  <c r="M65" i="88"/>
  <c r="J30" i="79"/>
  <c r="I42" i="79" s="1"/>
  <c r="J33" i="79"/>
  <c r="J31" i="79"/>
  <c r="J32" i="79"/>
  <c r="J34" i="79"/>
  <c r="V12" i="99"/>
  <c r="H65" i="72"/>
  <c r="X31" i="87"/>
  <c r="Z30" i="87"/>
  <c r="Z31" i="87" s="1"/>
  <c r="H65" i="71"/>
  <c r="C16" i="90"/>
  <c r="C95" i="90" s="1"/>
  <c r="C96" i="88"/>
  <c r="C84" i="88"/>
  <c r="W10" i="87"/>
  <c r="Y8" i="87"/>
  <c r="X8" i="87"/>
  <c r="G16" i="71" s="1"/>
  <c r="H65" i="88"/>
  <c r="N64" i="76"/>
  <c r="M64" i="76" s="1"/>
  <c r="I64" i="76"/>
  <c r="H64" i="76" s="1"/>
  <c r="G64" i="76" s="1"/>
  <c r="C64" i="76"/>
  <c r="X8" i="99"/>
  <c r="Z8" i="99" s="1"/>
  <c r="AA8" i="99" s="1"/>
  <c r="C76" i="101"/>
  <c r="C6" i="85"/>
  <c r="C83" i="85"/>
  <c r="C95" i="85"/>
  <c r="X36" i="87"/>
  <c r="G16" i="74" s="1"/>
  <c r="G64" i="70"/>
  <c r="X22" i="87"/>
  <c r="Z18" i="87"/>
  <c r="G16" i="72"/>
  <c r="Y22" i="52"/>
  <c r="C28" i="115"/>
  <c r="C28" i="117"/>
  <c r="C28" i="39"/>
  <c r="X80" i="87"/>
  <c r="AA91" i="52"/>
  <c r="X30" i="52"/>
  <c r="AA49" i="52"/>
  <c r="X7" i="99"/>
  <c r="AA36" i="52"/>
  <c r="G42" i="85"/>
  <c r="H42" i="74"/>
  <c r="M64" i="85"/>
  <c r="AA78" i="87" l="1"/>
  <c r="AA77" i="87"/>
  <c r="X40" i="52"/>
  <c r="AA40" i="52"/>
  <c r="Z40" i="52"/>
  <c r="AA8" i="52"/>
  <c r="Z7" i="102"/>
  <c r="Z12" i="102" s="1"/>
  <c r="AA18" i="52"/>
  <c r="C16" i="78"/>
  <c r="N83" i="78" s="1"/>
  <c r="M83" i="78" s="1"/>
  <c r="C96" i="114"/>
  <c r="C84" i="114"/>
  <c r="C76" i="115" s="1"/>
  <c r="C84" i="73"/>
  <c r="C16" i="118"/>
  <c r="N83" i="118" s="1"/>
  <c r="M83" i="118" s="1"/>
  <c r="N84" i="73"/>
  <c r="M84" i="73" s="1"/>
  <c r="N84" i="114"/>
  <c r="M84" i="114" s="1"/>
  <c r="C6" i="90"/>
  <c r="I84" i="73"/>
  <c r="H84" i="73" s="1"/>
  <c r="G42" i="90"/>
  <c r="J36" i="90" s="1"/>
  <c r="C6" i="73"/>
  <c r="C41" i="46"/>
  <c r="C6" i="70"/>
  <c r="C95" i="70"/>
  <c r="N83" i="70" s="1"/>
  <c r="M83" i="70" s="1"/>
  <c r="C96" i="74"/>
  <c r="I84" i="74" s="1"/>
  <c r="H84" i="74" s="1"/>
  <c r="C16" i="79"/>
  <c r="C6" i="74"/>
  <c r="N84" i="71"/>
  <c r="M84" i="71" s="1"/>
  <c r="C16" i="76"/>
  <c r="I84" i="71"/>
  <c r="C96" i="71"/>
  <c r="C84" i="71"/>
  <c r="C6" i="71"/>
  <c r="Y12" i="99"/>
  <c r="H64" i="90"/>
  <c r="H84" i="116"/>
  <c r="M64" i="90"/>
  <c r="M84" i="116"/>
  <c r="G65" i="72"/>
  <c r="C76" i="117"/>
  <c r="C26" i="121"/>
  <c r="C26" i="119"/>
  <c r="C26" i="65"/>
  <c r="Y40" i="87"/>
  <c r="X12" i="99"/>
  <c r="Z7" i="99"/>
  <c r="Z12" i="99" s="1"/>
  <c r="C16" i="125" s="1"/>
  <c r="Z22" i="87"/>
  <c r="AA18" i="87"/>
  <c r="Y31" i="52"/>
  <c r="X10" i="87"/>
  <c r="Z8" i="87"/>
  <c r="Z10" i="87" s="1"/>
  <c r="G42" i="120"/>
  <c r="I83" i="120"/>
  <c r="H83" i="120" s="1"/>
  <c r="N83" i="120"/>
  <c r="M83" i="120" s="1"/>
  <c r="C6" i="120"/>
  <c r="C83" i="120"/>
  <c r="Z36" i="87"/>
  <c r="Z40" i="87" s="1"/>
  <c r="X40" i="87"/>
  <c r="C28" i="119"/>
  <c r="C28" i="65"/>
  <c r="C28" i="121"/>
  <c r="AA30" i="87"/>
  <c r="C84" i="72"/>
  <c r="C16" i="77"/>
  <c r="N84" i="72"/>
  <c r="M84" i="72" s="1"/>
  <c r="C96" i="72"/>
  <c r="I84" i="72"/>
  <c r="C6" i="72"/>
  <c r="C27" i="119"/>
  <c r="C27" i="65"/>
  <c r="C27" i="121"/>
  <c r="X31" i="52"/>
  <c r="Z30" i="52"/>
  <c r="Z31" i="52" s="1"/>
  <c r="Y10" i="87"/>
  <c r="G65" i="88"/>
  <c r="J36" i="85"/>
  <c r="C41" i="86"/>
  <c r="C40" i="57"/>
  <c r="G42" i="74"/>
  <c r="G65" i="71"/>
  <c r="H42" i="79"/>
  <c r="C40" i="48" s="1"/>
  <c r="G65" i="74"/>
  <c r="G64" i="85"/>
  <c r="J46" i="70"/>
  <c r="J45" i="70"/>
  <c r="J44" i="70"/>
  <c r="J43" i="70"/>
  <c r="C95" i="78" l="1"/>
  <c r="AA31" i="87"/>
  <c r="AA22" i="87"/>
  <c r="AA22" i="52"/>
  <c r="AA10" i="52"/>
  <c r="AA80" i="87"/>
  <c r="AA7" i="102"/>
  <c r="AA12" i="102" s="1"/>
  <c r="C6" i="78"/>
  <c r="I83" i="78"/>
  <c r="H83" i="78" s="1"/>
  <c r="G42" i="78"/>
  <c r="C41" i="65" s="1"/>
  <c r="C83" i="118"/>
  <c r="C83" i="78"/>
  <c r="I83" i="118"/>
  <c r="H83" i="118" s="1"/>
  <c r="C6" i="118"/>
  <c r="C95" i="118"/>
  <c r="G42" i="118"/>
  <c r="J36" i="118" s="1"/>
  <c r="C76" i="39"/>
  <c r="C41" i="91"/>
  <c r="I83" i="70"/>
  <c r="H83" i="70" s="1"/>
  <c r="C83" i="70"/>
  <c r="AA7" i="99"/>
  <c r="AA12" i="99" s="1"/>
  <c r="AA30" i="52"/>
  <c r="C84" i="74"/>
  <c r="C76" i="57" s="1"/>
  <c r="N83" i="125"/>
  <c r="M83" i="125" s="1"/>
  <c r="I83" i="125"/>
  <c r="H83" i="125" s="1"/>
  <c r="C83" i="125"/>
  <c r="C6" i="125"/>
  <c r="G42" i="125"/>
  <c r="G64" i="90"/>
  <c r="C76" i="4"/>
  <c r="J43" i="85"/>
  <c r="J44" i="85"/>
  <c r="J45" i="85"/>
  <c r="J46" i="85"/>
  <c r="H84" i="71"/>
  <c r="C95" i="76"/>
  <c r="C83" i="76"/>
  <c r="N83" i="76"/>
  <c r="M83" i="76" s="1"/>
  <c r="I83" i="76"/>
  <c r="H83" i="76" s="1"/>
  <c r="C6" i="76"/>
  <c r="G42" i="76"/>
  <c r="C76" i="121"/>
  <c r="AA8" i="87"/>
  <c r="J45" i="90"/>
  <c r="J43" i="90"/>
  <c r="J46" i="90"/>
  <c r="J44" i="90"/>
  <c r="H84" i="72"/>
  <c r="AA36" i="87"/>
  <c r="C95" i="77"/>
  <c r="C83" i="77"/>
  <c r="N83" i="77"/>
  <c r="M83" i="77" s="1"/>
  <c r="I83" i="77"/>
  <c r="H83" i="77" s="1"/>
  <c r="G42" i="77"/>
  <c r="C6" i="77"/>
  <c r="C76" i="55"/>
  <c r="J36" i="120"/>
  <c r="C41" i="121"/>
  <c r="J36" i="74"/>
  <c r="C41" i="57"/>
  <c r="C95" i="79"/>
  <c r="N83" i="79" s="1"/>
  <c r="M83" i="79" s="1"/>
  <c r="C6" i="79"/>
  <c r="G42" i="79"/>
  <c r="N84" i="74"/>
  <c r="M84" i="74" s="1"/>
  <c r="C76" i="65" l="1"/>
  <c r="AA40" i="87"/>
  <c r="AA31" i="52"/>
  <c r="AA10" i="87"/>
  <c r="C76" i="119"/>
  <c r="J36" i="78"/>
  <c r="J45" i="78" s="1"/>
  <c r="C76" i="46"/>
  <c r="C41" i="119"/>
  <c r="C83" i="79"/>
  <c r="J36" i="77"/>
  <c r="C41" i="63"/>
  <c r="C76" i="63"/>
  <c r="I83" i="79"/>
  <c r="H83" i="79" s="1"/>
  <c r="J43" i="74"/>
  <c r="J44" i="74"/>
  <c r="J45" i="74"/>
  <c r="J46" i="74"/>
  <c r="C76" i="44"/>
  <c r="J36" i="79"/>
  <c r="C41" i="48"/>
  <c r="C41" i="101"/>
  <c r="J36" i="125"/>
  <c r="J44" i="118"/>
  <c r="J46" i="118"/>
  <c r="J43" i="118"/>
  <c r="J45" i="118"/>
  <c r="C41" i="44"/>
  <c r="J36" i="76"/>
  <c r="J43" i="120"/>
  <c r="J46" i="120"/>
  <c r="J45" i="120"/>
  <c r="J44" i="120"/>
  <c r="J43" i="78" l="1"/>
  <c r="J46" i="78"/>
  <c r="J44" i="78"/>
  <c r="J5" i="16"/>
  <c r="J46" i="79"/>
  <c r="J45" i="79"/>
  <c r="J43" i="79"/>
  <c r="J44" i="79"/>
  <c r="J45" i="76"/>
  <c r="J44" i="76"/>
  <c r="J43" i="76"/>
  <c r="J46" i="76"/>
  <c r="C76" i="48"/>
  <c r="J46" i="125"/>
  <c r="J45" i="125"/>
  <c r="J44" i="125"/>
  <c r="J43" i="125"/>
  <c r="J43" i="77"/>
  <c r="J44" i="77"/>
  <c r="J45" i="77"/>
  <c r="J46" i="77"/>
  <c r="E16" i="19" l="1"/>
  <c r="D74" i="59" s="1"/>
  <c r="D32" i="110" l="1"/>
  <c r="D46" i="115"/>
  <c r="D39" i="110"/>
  <c r="D60" i="89"/>
  <c r="D46" i="57"/>
  <c r="D74" i="42"/>
  <c r="D74" i="89"/>
  <c r="D39" i="121"/>
  <c r="D67" i="94"/>
  <c r="D67" i="55"/>
  <c r="D39" i="46"/>
  <c r="D32" i="91"/>
  <c r="D32" i="57"/>
  <c r="D46" i="55"/>
  <c r="D39" i="86"/>
  <c r="D46" i="89"/>
  <c r="D32" i="117"/>
  <c r="D67" i="42"/>
  <c r="D67" i="48"/>
  <c r="D46" i="65"/>
  <c r="D46" i="110"/>
  <c r="D46" i="91"/>
  <c r="D53" i="55"/>
  <c r="D32" i="42"/>
  <c r="D60" i="86"/>
  <c r="D32" i="121"/>
  <c r="D46" i="97"/>
  <c r="D74" i="65"/>
  <c r="D60" i="42"/>
  <c r="D32" i="89"/>
  <c r="D39" i="39"/>
  <c r="D60" i="4"/>
  <c r="D60" i="91"/>
  <c r="D67" i="110"/>
  <c r="D74" i="57"/>
  <c r="D32" i="94"/>
  <c r="D39" i="61"/>
  <c r="D74" i="113"/>
  <c r="D67" i="86"/>
  <c r="D53" i="57"/>
  <c r="D53" i="119"/>
  <c r="D46" i="39"/>
  <c r="D53" i="117"/>
  <c r="D74" i="94"/>
  <c r="D46" i="61"/>
  <c r="D67" i="65"/>
  <c r="D53" i="86"/>
  <c r="D67" i="89"/>
  <c r="D60" i="94"/>
  <c r="D60" i="97"/>
  <c r="D67" i="117"/>
  <c r="D53" i="59"/>
  <c r="D74" i="110"/>
  <c r="D60" i="65"/>
  <c r="D46" i="4"/>
  <c r="D32" i="119"/>
  <c r="D60" i="57"/>
  <c r="D39" i="115"/>
  <c r="D53" i="91"/>
  <c r="D46" i="46"/>
  <c r="D60" i="119"/>
  <c r="D46" i="59"/>
  <c r="D53" i="94"/>
  <c r="D60" i="101"/>
  <c r="D32" i="115"/>
  <c r="D60" i="48"/>
  <c r="D39" i="44"/>
  <c r="D74" i="121"/>
  <c r="D39" i="101"/>
  <c r="D32" i="4"/>
  <c r="D39" i="4"/>
  <c r="D74" i="115"/>
  <c r="D74" i="61"/>
  <c r="D46" i="113"/>
  <c r="D53" i="89"/>
  <c r="D60" i="55"/>
  <c r="D67" i="119"/>
  <c r="D74" i="55"/>
  <c r="D32" i="103"/>
  <c r="D74" i="117"/>
  <c r="D46" i="119"/>
  <c r="D46" i="121"/>
  <c r="D67" i="103"/>
  <c r="D39" i="42"/>
  <c r="D53" i="48"/>
  <c r="D60" i="110"/>
  <c r="D67" i="113"/>
  <c r="D39" i="91"/>
  <c r="D53" i="4"/>
  <c r="D46" i="117"/>
  <c r="D74" i="39"/>
  <c r="D32" i="113"/>
  <c r="D67" i="46"/>
  <c r="D53" i="115"/>
  <c r="D67" i="4"/>
  <c r="D60" i="121"/>
  <c r="D74" i="101"/>
  <c r="D32" i="65"/>
  <c r="D39" i="48"/>
  <c r="D53" i="110"/>
  <c r="D53" i="44"/>
  <c r="D32" i="61"/>
  <c r="D39" i="103"/>
  <c r="D53" i="61"/>
  <c r="D39" i="119"/>
  <c r="D39" i="97"/>
  <c r="D67" i="57"/>
  <c r="D32" i="63"/>
  <c r="D53" i="103"/>
  <c r="D46" i="42"/>
  <c r="D60" i="113"/>
  <c r="D74" i="86"/>
  <c r="D46" i="48"/>
  <c r="D53" i="113"/>
  <c r="D32" i="59"/>
  <c r="D67" i="121"/>
  <c r="D39" i="65"/>
  <c r="D32" i="55"/>
  <c r="D32" i="86"/>
  <c r="D60" i="117"/>
  <c r="D67" i="97"/>
  <c r="D39" i="55"/>
  <c r="D74" i="63"/>
  <c r="D46" i="101"/>
  <c r="D74" i="4"/>
  <c r="D74" i="103"/>
  <c r="D46" i="86"/>
  <c r="D67" i="63"/>
  <c r="D39" i="113"/>
  <c r="D74" i="46"/>
  <c r="D67" i="61"/>
  <c r="D32" i="48"/>
  <c r="D53" i="63"/>
  <c r="D39" i="117"/>
  <c r="D74" i="97"/>
  <c r="D67" i="44"/>
  <c r="D53" i="65"/>
  <c r="D39" i="94"/>
  <c r="D60" i="44"/>
  <c r="D53" i="101"/>
  <c r="D53" i="39"/>
  <c r="D46" i="63"/>
  <c r="D60" i="103"/>
  <c r="D32" i="46"/>
  <c r="D53" i="46"/>
  <c r="D39" i="59"/>
  <c r="D39" i="57"/>
  <c r="D53" i="121"/>
  <c r="D60" i="63"/>
  <c r="D74" i="119"/>
  <c r="D67" i="59"/>
  <c r="D67" i="91"/>
  <c r="D67" i="115"/>
  <c r="D46" i="103"/>
  <c r="D60" i="59"/>
  <c r="D60" i="115"/>
  <c r="D67" i="101"/>
  <c r="D67" i="39"/>
  <c r="D53" i="97"/>
  <c r="D32" i="44"/>
  <c r="D74" i="91"/>
  <c r="D32" i="39"/>
  <c r="D60" i="39"/>
  <c r="D46" i="44"/>
  <c r="D74" i="44"/>
  <c r="D53" i="42"/>
  <c r="D74" i="48"/>
  <c r="D60" i="61"/>
  <c r="D32" i="101"/>
  <c r="D39" i="63"/>
  <c r="D60" i="46"/>
  <c r="D32" i="97"/>
  <c r="D46" i="94"/>
  <c r="D39" i="89"/>
  <c r="E32" i="121" l="1"/>
  <c r="F32" i="121" s="1"/>
  <c r="I32" i="121" s="1"/>
  <c r="J32" i="121" s="1"/>
  <c r="E39" i="115"/>
  <c r="F39" i="115" s="1"/>
  <c r="I39" i="115" s="1"/>
  <c r="J39" i="115" s="1"/>
  <c r="E32" i="110"/>
  <c r="F32" i="110" s="1"/>
  <c r="I32" i="110" s="1"/>
  <c r="J32" i="110" s="1"/>
  <c r="E39" i="103"/>
  <c r="F39" i="103" s="1"/>
  <c r="I39" i="103" s="1"/>
  <c r="J39" i="103" s="1"/>
  <c r="E46" i="94"/>
  <c r="F46" i="94" s="1"/>
  <c r="I46" i="94" s="1"/>
  <c r="J46" i="94" s="1"/>
  <c r="E67" i="89"/>
  <c r="F67" i="89" s="1"/>
  <c r="I67" i="89" s="1"/>
  <c r="J67" i="89" s="1"/>
  <c r="E32" i="119"/>
  <c r="F32" i="119" s="1"/>
  <c r="E53" i="115"/>
  <c r="F53" i="115" s="1"/>
  <c r="I53" i="115" s="1"/>
  <c r="J53" i="115" s="1"/>
  <c r="E74" i="113"/>
  <c r="F74" i="113" s="1"/>
  <c r="E74" i="101"/>
  <c r="F74" i="101" s="1"/>
  <c r="E32" i="94"/>
  <c r="F32" i="94" s="1"/>
  <c r="I32" i="94" s="1"/>
  <c r="J32" i="94" s="1"/>
  <c r="E67" i="121"/>
  <c r="F67" i="121" s="1"/>
  <c r="I67" i="121" s="1"/>
  <c r="J67" i="121" s="1"/>
  <c r="E74" i="117"/>
  <c r="F74" i="117" s="1"/>
  <c r="I74" i="117" s="1"/>
  <c r="J74" i="117" s="1"/>
  <c r="E32" i="115"/>
  <c r="F32" i="115" s="1"/>
  <c r="I32" i="115" s="1"/>
  <c r="J32" i="115" s="1"/>
  <c r="E60" i="113"/>
  <c r="F60" i="113" s="1"/>
  <c r="I60" i="113" s="1"/>
  <c r="J60" i="113" s="1"/>
  <c r="E53" i="101"/>
  <c r="F53" i="101" s="1"/>
  <c r="I53" i="101" s="1"/>
  <c r="J53" i="101" s="1"/>
  <c r="E46" i="97"/>
  <c r="F46" i="97" s="1"/>
  <c r="I46" i="97" s="1"/>
  <c r="J46" i="97" s="1"/>
  <c r="E67" i="91"/>
  <c r="F67" i="91" s="1"/>
  <c r="I67" i="91" s="1"/>
  <c r="J67" i="91" s="1"/>
  <c r="E53" i="89"/>
  <c r="F53" i="89" s="1"/>
  <c r="I53" i="89" s="1"/>
  <c r="J53" i="89" s="1"/>
  <c r="E46" i="121"/>
  <c r="F46" i="121" s="1"/>
  <c r="E74" i="121"/>
  <c r="F74" i="121" s="1"/>
  <c r="I74" i="121" s="1"/>
  <c r="J74" i="121" s="1"/>
  <c r="E60" i="115"/>
  <c r="F60" i="115" s="1"/>
  <c r="I60" i="115" s="1"/>
  <c r="J60" i="115" s="1"/>
  <c r="E39" i="113"/>
  <c r="F39" i="113" s="1"/>
  <c r="I39" i="113" s="1"/>
  <c r="J39" i="113" s="1"/>
  <c r="E60" i="103"/>
  <c r="F60" i="103" s="1"/>
  <c r="I60" i="103" s="1"/>
  <c r="J60" i="103" s="1"/>
  <c r="E32" i="97"/>
  <c r="F32" i="97" s="1"/>
  <c r="E46" i="91"/>
  <c r="F46" i="91" s="1"/>
  <c r="I46" i="91" s="1"/>
  <c r="J46" i="91" s="1"/>
  <c r="E60" i="91"/>
  <c r="F60" i="91" s="1"/>
  <c r="I60" i="91" s="1"/>
  <c r="J60" i="91" s="1"/>
  <c r="E74" i="119"/>
  <c r="F74" i="119" s="1"/>
  <c r="I74" i="119" s="1"/>
  <c r="J74" i="119" s="1"/>
  <c r="E53" i="121"/>
  <c r="F53" i="121" s="1"/>
  <c r="I53" i="121" s="1"/>
  <c r="J53" i="121" s="1"/>
  <c r="E74" i="115"/>
  <c r="F74" i="115" s="1"/>
  <c r="I74" i="115" s="1"/>
  <c r="J74" i="115" s="1"/>
  <c r="E74" i="110"/>
  <c r="F74" i="110" s="1"/>
  <c r="I74" i="110" s="1"/>
  <c r="J74" i="110" s="1"/>
  <c r="E53" i="119"/>
  <c r="F53" i="119" s="1"/>
  <c r="I53" i="119" s="1"/>
  <c r="J53" i="119" s="1"/>
  <c r="E60" i="119"/>
  <c r="F60" i="119" s="1"/>
  <c r="I60" i="119" s="1"/>
  <c r="J60" i="119" s="1"/>
  <c r="E46" i="115"/>
  <c r="F46" i="115" s="1"/>
  <c r="I46" i="115" s="1"/>
  <c r="J46" i="115" s="1"/>
  <c r="E46" i="113"/>
  <c r="F46" i="113" s="1"/>
  <c r="I46" i="113" s="1"/>
  <c r="J46" i="113" s="1"/>
  <c r="E67" i="117"/>
  <c r="F67" i="117" s="1"/>
  <c r="I67" i="117" s="1"/>
  <c r="J67" i="117" s="1"/>
  <c r="E46" i="117"/>
  <c r="F46" i="117" s="1"/>
  <c r="I46" i="117" s="1"/>
  <c r="J46" i="117" s="1"/>
  <c r="E67" i="113"/>
  <c r="F67" i="113" s="1"/>
  <c r="I67" i="113" s="1"/>
  <c r="J67" i="113" s="1"/>
  <c r="E60" i="110"/>
  <c r="F60" i="110" s="1"/>
  <c r="E46" i="103"/>
  <c r="F46" i="103" s="1"/>
  <c r="I46" i="103" s="1"/>
  <c r="J46" i="103" s="1"/>
  <c r="E46" i="101"/>
  <c r="F46" i="101" s="1"/>
  <c r="I46" i="101" s="1"/>
  <c r="J46" i="101" s="1"/>
  <c r="E39" i="97"/>
  <c r="F39" i="97" s="1"/>
  <c r="I39" i="97" s="1"/>
  <c r="J39" i="97" s="1"/>
  <c r="E74" i="89"/>
  <c r="F74" i="89" s="1"/>
  <c r="I74" i="89" s="1"/>
  <c r="J74" i="89" s="1"/>
  <c r="E46" i="86"/>
  <c r="F46" i="86" s="1"/>
  <c r="E74" i="42"/>
  <c r="F74" i="42" s="1"/>
  <c r="I74" i="42" s="1"/>
  <c r="J74" i="42" s="1"/>
  <c r="E67" i="57"/>
  <c r="F67" i="57" s="1"/>
  <c r="I67" i="57" s="1"/>
  <c r="J67" i="57" s="1"/>
  <c r="E60" i="121"/>
  <c r="F60" i="121" s="1"/>
  <c r="I60" i="121" s="1"/>
  <c r="J60" i="121" s="1"/>
  <c r="E53" i="117"/>
  <c r="F53" i="117" s="1"/>
  <c r="E53" i="113"/>
  <c r="F53" i="113" s="1"/>
  <c r="E39" i="110"/>
  <c r="F39" i="110" s="1"/>
  <c r="E67" i="119"/>
  <c r="F67" i="119" s="1"/>
  <c r="E60" i="117"/>
  <c r="F60" i="117" s="1"/>
  <c r="E46" i="110"/>
  <c r="F46" i="110" s="1"/>
  <c r="I46" i="110" s="1"/>
  <c r="J46" i="110" s="1"/>
  <c r="E46" i="119"/>
  <c r="F46" i="119" s="1"/>
  <c r="I46" i="119" s="1"/>
  <c r="J46" i="119" s="1"/>
  <c r="E53" i="97"/>
  <c r="F53" i="97" s="1"/>
  <c r="I53" i="97" s="1"/>
  <c r="J53" i="97" s="1"/>
  <c r="E32" i="89"/>
  <c r="F32" i="89" s="1"/>
  <c r="E46" i="46"/>
  <c r="F46" i="46" s="1"/>
  <c r="I46" i="46" s="1"/>
  <c r="J46" i="46" s="1"/>
  <c r="E67" i="59"/>
  <c r="F67" i="59" s="1"/>
  <c r="I67" i="59" s="1"/>
  <c r="J67" i="59" s="1"/>
  <c r="E74" i="59"/>
  <c r="F74" i="59" s="1"/>
  <c r="I74" i="59" s="1"/>
  <c r="J74" i="59" s="1"/>
  <c r="E53" i="39"/>
  <c r="F53" i="39" s="1"/>
  <c r="I53" i="39" s="1"/>
  <c r="J53" i="39" s="1"/>
  <c r="E60" i="55"/>
  <c r="F60" i="55" s="1"/>
  <c r="I60" i="55" s="1"/>
  <c r="J60" i="55" s="1"/>
  <c r="E67" i="4"/>
  <c r="F67" i="4" s="1"/>
  <c r="I67" i="4" s="1"/>
  <c r="J67" i="4" s="1"/>
  <c r="E39" i="119"/>
  <c r="F39" i="119" s="1"/>
  <c r="E60" i="94"/>
  <c r="F60" i="94" s="1"/>
  <c r="E74" i="91"/>
  <c r="F74" i="91" s="1"/>
  <c r="I74" i="91" s="1"/>
  <c r="J74" i="91" s="1"/>
  <c r="E74" i="86"/>
  <c r="F74" i="86" s="1"/>
  <c r="I74" i="86" s="1"/>
  <c r="J74" i="86" s="1"/>
  <c r="E39" i="65"/>
  <c r="F39" i="65" s="1"/>
  <c r="I39" i="65" s="1"/>
  <c r="J39" i="65" s="1"/>
  <c r="E60" i="61"/>
  <c r="F60" i="61" s="1"/>
  <c r="I60" i="61" s="1"/>
  <c r="J60" i="61" s="1"/>
  <c r="E67" i="42"/>
  <c r="F67" i="42" s="1"/>
  <c r="E32" i="59"/>
  <c r="F32" i="59" s="1"/>
  <c r="I32" i="59" s="1"/>
  <c r="J32" i="59" s="1"/>
  <c r="E39" i="57"/>
  <c r="F39" i="57" s="1"/>
  <c r="I39" i="57" s="1"/>
  <c r="J39" i="57" s="1"/>
  <c r="E32" i="4"/>
  <c r="F32" i="4" s="1"/>
  <c r="I32" i="4" s="1"/>
  <c r="J32" i="4" s="1"/>
  <c r="E74" i="4"/>
  <c r="F74" i="4" s="1"/>
  <c r="I74" i="4" s="1"/>
  <c r="J74" i="4" s="1"/>
  <c r="E60" i="48"/>
  <c r="F60" i="48" s="1"/>
  <c r="I60" i="48" s="1"/>
  <c r="J60" i="48" s="1"/>
  <c r="E39" i="117"/>
  <c r="F39" i="117" s="1"/>
  <c r="I39" i="117" s="1"/>
  <c r="J39" i="117" s="1"/>
  <c r="E67" i="97"/>
  <c r="F67" i="97" s="1"/>
  <c r="I67" i="97" s="1"/>
  <c r="J67" i="97" s="1"/>
  <c r="E53" i="91"/>
  <c r="F53" i="91" s="1"/>
  <c r="E67" i="86"/>
  <c r="F67" i="86" s="1"/>
  <c r="I67" i="86" s="1"/>
  <c r="J67" i="86" s="1"/>
  <c r="E46" i="44"/>
  <c r="F46" i="44" s="1"/>
  <c r="E53" i="46"/>
  <c r="F53" i="46" s="1"/>
  <c r="I53" i="46" s="1"/>
  <c r="J53" i="46" s="1"/>
  <c r="E32" i="42"/>
  <c r="F32" i="42" s="1"/>
  <c r="I32" i="42" s="1"/>
  <c r="J32" i="42" s="1"/>
  <c r="E39" i="59"/>
  <c r="F39" i="59" s="1"/>
  <c r="I39" i="59" s="1"/>
  <c r="J39" i="59" s="1"/>
  <c r="E46" i="57"/>
  <c r="F46" i="57" s="1"/>
  <c r="E60" i="39"/>
  <c r="F60" i="39" s="1"/>
  <c r="I60" i="39" s="1"/>
  <c r="J60" i="39" s="1"/>
  <c r="E67" i="55"/>
  <c r="F67" i="55" s="1"/>
  <c r="I67" i="55" s="1"/>
  <c r="J67" i="55" s="1"/>
  <c r="E74" i="48"/>
  <c r="F74" i="48" s="1"/>
  <c r="I74" i="48" s="1"/>
  <c r="J74" i="48" s="1"/>
  <c r="E32" i="117"/>
  <c r="F32" i="117" s="1"/>
  <c r="I32" i="117" s="1"/>
  <c r="J32" i="117" s="1"/>
  <c r="E67" i="103"/>
  <c r="F67" i="103" s="1"/>
  <c r="I67" i="103" s="1"/>
  <c r="J67" i="103" s="1"/>
  <c r="E74" i="94"/>
  <c r="F74" i="94" s="1"/>
  <c r="I74" i="94" s="1"/>
  <c r="J74" i="94" s="1"/>
  <c r="E32" i="91"/>
  <c r="F32" i="91" s="1"/>
  <c r="I32" i="91" s="1"/>
  <c r="J32" i="91" s="1"/>
  <c r="E60" i="86"/>
  <c r="F60" i="86" s="1"/>
  <c r="I60" i="86" s="1"/>
  <c r="J60" i="86" s="1"/>
  <c r="E32" i="65"/>
  <c r="F32" i="65" s="1"/>
  <c r="I32" i="65" s="1"/>
  <c r="J32" i="65" s="1"/>
  <c r="E67" i="61"/>
  <c r="F67" i="61" s="1"/>
  <c r="I67" i="61" s="1"/>
  <c r="J67" i="61" s="1"/>
  <c r="E74" i="61"/>
  <c r="F74" i="61" s="1"/>
  <c r="I74" i="61" s="1"/>
  <c r="J74" i="61" s="1"/>
  <c r="E32" i="55"/>
  <c r="F32" i="55" s="1"/>
  <c r="I32" i="55" s="1"/>
  <c r="J32" i="55" s="1"/>
  <c r="E39" i="4"/>
  <c r="F39" i="4" s="1"/>
  <c r="I39" i="4" s="1"/>
  <c r="J39" i="4" s="1"/>
  <c r="E67" i="48"/>
  <c r="F67" i="48" s="1"/>
  <c r="I67" i="48" s="1"/>
  <c r="J67" i="48" s="1"/>
  <c r="E67" i="115"/>
  <c r="F67" i="115" s="1"/>
  <c r="I67" i="115" s="1"/>
  <c r="J67" i="115" s="1"/>
  <c r="E32" i="101"/>
  <c r="F32" i="101" s="1"/>
  <c r="I32" i="101" s="1"/>
  <c r="J32" i="101" s="1"/>
  <c r="E53" i="94"/>
  <c r="F53" i="94" s="1"/>
  <c r="I53" i="94" s="1"/>
  <c r="J53" i="94" s="1"/>
  <c r="E32" i="113"/>
  <c r="F32" i="113" s="1"/>
  <c r="I32" i="113" s="1"/>
  <c r="J32" i="113" s="1"/>
  <c r="E74" i="103"/>
  <c r="F74" i="103" s="1"/>
  <c r="I74" i="103" s="1"/>
  <c r="J74" i="103" s="1"/>
  <c r="E60" i="97"/>
  <c r="F60" i="97" s="1"/>
  <c r="I60" i="97" s="1"/>
  <c r="J60" i="97" s="1"/>
  <c r="E53" i="86"/>
  <c r="F53" i="86" s="1"/>
  <c r="I53" i="86" s="1"/>
  <c r="J53" i="86" s="1"/>
  <c r="E32" i="44"/>
  <c r="F32" i="44" s="1"/>
  <c r="I32" i="44" s="1"/>
  <c r="J32" i="44" s="1"/>
  <c r="E46" i="42"/>
  <c r="F46" i="42" s="1"/>
  <c r="I46" i="42" s="1"/>
  <c r="J46" i="42" s="1"/>
  <c r="E32" i="39"/>
  <c r="F32" i="39" s="1"/>
  <c r="I32" i="39" s="1"/>
  <c r="J32" i="39" s="1"/>
  <c r="E53" i="110"/>
  <c r="F53" i="110" s="1"/>
  <c r="I53" i="110" s="1"/>
  <c r="J53" i="110" s="1"/>
  <c r="E60" i="101"/>
  <c r="F60" i="101" s="1"/>
  <c r="E39" i="94"/>
  <c r="F39" i="94" s="1"/>
  <c r="E67" i="46"/>
  <c r="F67" i="46" s="1"/>
  <c r="E74" i="46"/>
  <c r="F74" i="46" s="1"/>
  <c r="I74" i="46" s="1"/>
  <c r="J74" i="46" s="1"/>
  <c r="E53" i="42"/>
  <c r="F53" i="42" s="1"/>
  <c r="I53" i="42" s="1"/>
  <c r="J53" i="42" s="1"/>
  <c r="E39" i="101"/>
  <c r="F39" i="101" s="1"/>
  <c r="I39" i="101" s="1"/>
  <c r="J39" i="101" s="1"/>
  <c r="E53" i="65"/>
  <c r="F53" i="65" s="1"/>
  <c r="E32" i="46"/>
  <c r="F32" i="46" s="1"/>
  <c r="E39" i="61"/>
  <c r="F39" i="61" s="1"/>
  <c r="I39" i="61" s="1"/>
  <c r="J39" i="61" s="1"/>
  <c r="E74" i="57"/>
  <c r="F74" i="57" s="1"/>
  <c r="E39" i="39"/>
  <c r="F39" i="39" s="1"/>
  <c r="I39" i="39" s="1"/>
  <c r="J39" i="39" s="1"/>
  <c r="E46" i="55"/>
  <c r="F46" i="55" s="1"/>
  <c r="I46" i="55" s="1"/>
  <c r="J46" i="55" s="1"/>
  <c r="E53" i="4"/>
  <c r="F53" i="4" s="1"/>
  <c r="I53" i="4" s="1"/>
  <c r="J53" i="4" s="1"/>
  <c r="E32" i="103"/>
  <c r="F32" i="103" s="1"/>
  <c r="I32" i="103" s="1"/>
  <c r="J32" i="103" s="1"/>
  <c r="E46" i="89"/>
  <c r="F46" i="89" s="1"/>
  <c r="I46" i="89" s="1"/>
  <c r="J46" i="89" s="1"/>
  <c r="E46" i="61"/>
  <c r="F46" i="61" s="1"/>
  <c r="I46" i="61" s="1"/>
  <c r="J46" i="61" s="1"/>
  <c r="E60" i="59"/>
  <c r="F60" i="59" s="1"/>
  <c r="I60" i="59" s="1"/>
  <c r="J60" i="59" s="1"/>
  <c r="E67" i="65"/>
  <c r="F67" i="65" s="1"/>
  <c r="I67" i="65" s="1"/>
  <c r="J67" i="65" s="1"/>
  <c r="E67" i="101"/>
  <c r="F67" i="101" s="1"/>
  <c r="I67" i="101" s="1"/>
  <c r="J67" i="101" s="1"/>
  <c r="E39" i="91"/>
  <c r="F39" i="91" s="1"/>
  <c r="I39" i="91" s="1"/>
  <c r="J39" i="91" s="1"/>
  <c r="E46" i="39"/>
  <c r="F46" i="39" s="1"/>
  <c r="I46" i="39" s="1"/>
  <c r="J46" i="39" s="1"/>
  <c r="E67" i="44"/>
  <c r="F67" i="44" s="1"/>
  <c r="I67" i="44" s="1"/>
  <c r="J67" i="44" s="1"/>
  <c r="E32" i="63"/>
  <c r="F32" i="63" s="1"/>
  <c r="E53" i="61"/>
  <c r="F53" i="61" s="1"/>
  <c r="I53" i="61" s="1"/>
  <c r="J53" i="61" s="1"/>
  <c r="E74" i="65"/>
  <c r="F74" i="65" s="1"/>
  <c r="I74" i="65" s="1"/>
  <c r="J74" i="65" s="1"/>
  <c r="E53" i="63"/>
  <c r="F53" i="63" s="1"/>
  <c r="I53" i="63" s="1"/>
  <c r="J53" i="63" s="1"/>
  <c r="E67" i="63"/>
  <c r="F67" i="63" s="1"/>
  <c r="I67" i="63" s="1"/>
  <c r="J67" i="63" s="1"/>
  <c r="E39" i="44"/>
  <c r="F39" i="44" s="1"/>
  <c r="I39" i="44" s="1"/>
  <c r="J39" i="44" s="1"/>
  <c r="E60" i="65"/>
  <c r="F60" i="65" s="1"/>
  <c r="E53" i="44"/>
  <c r="F53" i="44" s="1"/>
  <c r="I53" i="44" s="1"/>
  <c r="J53" i="44" s="1"/>
  <c r="E53" i="59"/>
  <c r="F53" i="59" s="1"/>
  <c r="I53" i="59" s="1"/>
  <c r="J53" i="59" s="1"/>
  <c r="E53" i="55"/>
  <c r="F53" i="55" s="1"/>
  <c r="I53" i="55" s="1"/>
  <c r="J53" i="55" s="1"/>
  <c r="E74" i="63"/>
  <c r="F74" i="63" s="1"/>
  <c r="I74" i="63" s="1"/>
  <c r="J74" i="63" s="1"/>
  <c r="E60" i="46"/>
  <c r="F60" i="46" s="1"/>
  <c r="I60" i="46" s="1"/>
  <c r="J60" i="46" s="1"/>
  <c r="E32" i="61"/>
  <c r="F32" i="61" s="1"/>
  <c r="I32" i="61" s="1"/>
  <c r="J32" i="61" s="1"/>
  <c r="E46" i="59"/>
  <c r="F46" i="59" s="1"/>
  <c r="E46" i="48"/>
  <c r="F46" i="48" s="1"/>
  <c r="I46" i="48" s="1"/>
  <c r="J46" i="48" s="1"/>
  <c r="E39" i="55"/>
  <c r="F39" i="55" s="1"/>
  <c r="I39" i="55" s="1"/>
  <c r="J39" i="55" s="1"/>
  <c r="E53" i="48"/>
  <c r="F53" i="48" s="1"/>
  <c r="E39" i="89"/>
  <c r="F39" i="89" s="1"/>
  <c r="I39" i="89" s="1"/>
  <c r="J39" i="89" s="1"/>
  <c r="E60" i="42"/>
  <c r="F60" i="42" s="1"/>
  <c r="I60" i="42" s="1"/>
  <c r="J60" i="42" s="1"/>
  <c r="E60" i="57"/>
  <c r="F60" i="57" s="1"/>
  <c r="I60" i="57" s="1"/>
  <c r="J60" i="57" s="1"/>
  <c r="E60" i="44"/>
  <c r="F60" i="44" s="1"/>
  <c r="E74" i="44"/>
  <c r="F74" i="44" s="1"/>
  <c r="I74" i="44" s="1"/>
  <c r="J74" i="44" s="1"/>
  <c r="E39" i="48"/>
  <c r="F39" i="48" s="1"/>
  <c r="I39" i="48" s="1"/>
  <c r="J39" i="48" s="1"/>
  <c r="E60" i="89"/>
  <c r="F60" i="89" s="1"/>
  <c r="E46" i="65"/>
  <c r="F46" i="65" s="1"/>
  <c r="I46" i="65" s="1"/>
  <c r="J46" i="65" s="1"/>
  <c r="E53" i="57"/>
  <c r="F53" i="57" s="1"/>
  <c r="I53" i="57" s="1"/>
  <c r="J53" i="57" s="1"/>
  <c r="E67" i="39"/>
  <c r="F67" i="39" s="1"/>
  <c r="E74" i="39"/>
  <c r="F74" i="39" s="1"/>
  <c r="E39" i="121"/>
  <c r="F39" i="121" s="1"/>
  <c r="I39" i="121" s="1"/>
  <c r="J39" i="121" s="1"/>
  <c r="E53" i="103"/>
  <c r="F53" i="103" s="1"/>
  <c r="E39" i="86"/>
  <c r="F39" i="86" s="1"/>
  <c r="I39" i="86" s="1"/>
  <c r="J39" i="86" s="1"/>
  <c r="E39" i="46"/>
  <c r="F39" i="46" s="1"/>
  <c r="E39" i="42"/>
  <c r="F39" i="42" s="1"/>
  <c r="E32" i="57"/>
  <c r="F32" i="57" s="1"/>
  <c r="I32" i="57" s="1"/>
  <c r="J32" i="57" s="1"/>
  <c r="E60" i="4"/>
  <c r="F60" i="4" s="1"/>
  <c r="I60" i="4" s="1"/>
  <c r="J60" i="4" s="1"/>
  <c r="E39" i="63"/>
  <c r="F39" i="63" s="1"/>
  <c r="I39" i="63" s="1"/>
  <c r="J39" i="63" s="1"/>
  <c r="E74" i="55"/>
  <c r="F74" i="55" s="1"/>
  <c r="I74" i="55" s="1"/>
  <c r="J74" i="55" s="1"/>
  <c r="E67" i="110"/>
  <c r="F67" i="110" s="1"/>
  <c r="E74" i="97"/>
  <c r="F74" i="97" s="1"/>
  <c r="E32" i="86"/>
  <c r="F32" i="86" s="1"/>
  <c r="I32" i="86" s="1"/>
  <c r="J32" i="86" s="1"/>
  <c r="E46" i="4"/>
  <c r="F46" i="4" s="1"/>
  <c r="I46" i="4" s="1"/>
  <c r="J46" i="4" s="1"/>
  <c r="E46" i="63"/>
  <c r="F46" i="63" s="1"/>
  <c r="E67" i="94"/>
  <c r="F67" i="94" s="1"/>
  <c r="I67" i="94" s="1"/>
  <c r="J67" i="94" s="1"/>
  <c r="E32" i="48"/>
  <c r="F32" i="48" s="1"/>
  <c r="I32" i="48" s="1"/>
  <c r="J32" i="48" s="1"/>
  <c r="E60" i="63"/>
  <c r="F60" i="63" s="1"/>
  <c r="E47" i="121"/>
  <c r="F47" i="121" s="1"/>
  <c r="I47" i="121" s="1"/>
  <c r="J47" i="121" s="1"/>
  <c r="E68" i="117"/>
  <c r="F68" i="117" s="1"/>
  <c r="I68" i="117" s="1"/>
  <c r="J68" i="117" s="1"/>
  <c r="E45" i="119"/>
  <c r="E35" i="121"/>
  <c r="F35" i="121" s="1"/>
  <c r="I35" i="121" s="1"/>
  <c r="J35" i="121" s="1"/>
  <c r="E76" i="121"/>
  <c r="F76" i="121" s="1"/>
  <c r="I76" i="121" s="1"/>
  <c r="J76" i="121" s="1"/>
  <c r="E70" i="117"/>
  <c r="F70" i="117" s="1"/>
  <c r="I70" i="117" s="1"/>
  <c r="J70" i="117" s="1"/>
  <c r="E62" i="117"/>
  <c r="F62" i="117" s="1"/>
  <c r="I62" i="117" s="1"/>
  <c r="J62" i="117" s="1"/>
  <c r="E69" i="115"/>
  <c r="F69" i="115" s="1"/>
  <c r="E33" i="115"/>
  <c r="F33" i="115" s="1"/>
  <c r="I33" i="115" s="1"/>
  <c r="J33" i="115" s="1"/>
  <c r="E45" i="115"/>
  <c r="E56" i="110"/>
  <c r="F56" i="110" s="1"/>
  <c r="I56" i="110" s="1"/>
  <c r="J56" i="110" s="1"/>
  <c r="E76" i="110"/>
  <c r="F76" i="110" s="1"/>
  <c r="I76" i="110" s="1"/>
  <c r="J76" i="110" s="1"/>
  <c r="E59" i="113"/>
  <c r="E68" i="113"/>
  <c r="F68" i="113" s="1"/>
  <c r="I68" i="113" s="1"/>
  <c r="J68" i="113" s="1"/>
  <c r="E35" i="110"/>
  <c r="F35" i="110" s="1"/>
  <c r="I35" i="110" s="1"/>
  <c r="J35" i="110" s="1"/>
  <c r="E70" i="103"/>
  <c r="F70" i="103" s="1"/>
  <c r="I70" i="103" s="1"/>
  <c r="J70" i="103" s="1"/>
  <c r="E55" i="101"/>
  <c r="F55" i="101" s="1"/>
  <c r="E47" i="101"/>
  <c r="F47" i="101" s="1"/>
  <c r="E21" i="101"/>
  <c r="E76" i="101"/>
  <c r="F76" i="101" s="1"/>
  <c r="I76" i="101" s="1"/>
  <c r="J76" i="101" s="1"/>
  <c r="E12" i="101"/>
  <c r="F12" i="101" s="1"/>
  <c r="I12" i="101" s="1"/>
  <c r="J12" i="101" s="1"/>
  <c r="E40" i="101"/>
  <c r="F40" i="101" s="1"/>
  <c r="I40" i="101" s="1"/>
  <c r="J40" i="101" s="1"/>
  <c r="E34" i="97"/>
  <c r="F34" i="97" s="1"/>
  <c r="I34" i="97" s="1"/>
  <c r="J34" i="97" s="1"/>
  <c r="E34" i="94"/>
  <c r="F34" i="94" s="1"/>
  <c r="I34" i="94" s="1"/>
  <c r="J34" i="94" s="1"/>
  <c r="E63" i="97"/>
  <c r="F63" i="97" s="1"/>
  <c r="E47" i="94"/>
  <c r="F47" i="94" s="1"/>
  <c r="I47" i="94" s="1"/>
  <c r="J47" i="94" s="1"/>
  <c r="E59" i="97"/>
  <c r="E38" i="94"/>
  <c r="E77" i="44"/>
  <c r="F77" i="44" s="1"/>
  <c r="I77" i="44" s="1"/>
  <c r="J77" i="44" s="1"/>
  <c r="E77" i="59"/>
  <c r="F77" i="59" s="1"/>
  <c r="I77" i="59" s="1"/>
  <c r="J77" i="59" s="1"/>
  <c r="E56" i="89"/>
  <c r="F56" i="89" s="1"/>
  <c r="I56" i="89" s="1"/>
  <c r="J56" i="89" s="1"/>
  <c r="E63" i="91"/>
  <c r="F63" i="91" s="1"/>
  <c r="I63" i="91" s="1"/>
  <c r="J63" i="91" s="1"/>
  <c r="E17" i="89"/>
  <c r="F17" i="89" s="1"/>
  <c r="I17" i="89" s="1"/>
  <c r="J17" i="89" s="1"/>
  <c r="E31" i="89"/>
  <c r="E45" i="89"/>
  <c r="E13" i="86"/>
  <c r="F13" i="86" s="1"/>
  <c r="I13" i="86" s="1"/>
  <c r="J13" i="86" s="1"/>
  <c r="E27" i="86"/>
  <c r="F27" i="86" s="1"/>
  <c r="I27" i="86" s="1"/>
  <c r="J27" i="86" s="1"/>
  <c r="E31" i="86"/>
  <c r="E23" i="115"/>
  <c r="F23" i="115" s="1"/>
  <c r="I23" i="115" s="1"/>
  <c r="J23" i="115" s="1"/>
  <c r="E45" i="121"/>
  <c r="E66" i="117"/>
  <c r="E42" i="119"/>
  <c r="F42" i="119" s="1"/>
  <c r="I42" i="119" s="1"/>
  <c r="J42" i="119" s="1"/>
  <c r="E33" i="121"/>
  <c r="F33" i="121" s="1"/>
  <c r="I33" i="121" s="1"/>
  <c r="J33" i="121" s="1"/>
  <c r="E70" i="121"/>
  <c r="F70" i="121" s="1"/>
  <c r="I70" i="121" s="1"/>
  <c r="J70" i="121" s="1"/>
  <c r="E56" i="117"/>
  <c r="F56" i="117" s="1"/>
  <c r="I56" i="117" s="1"/>
  <c r="J56" i="117" s="1"/>
  <c r="E52" i="117"/>
  <c r="E66" i="115"/>
  <c r="E62" i="115"/>
  <c r="F62" i="115" s="1"/>
  <c r="E27" i="115"/>
  <c r="F27" i="115" s="1"/>
  <c r="I27" i="115" s="1"/>
  <c r="J27" i="115" s="1"/>
  <c r="E27" i="110"/>
  <c r="F27" i="110" s="1"/>
  <c r="I27" i="110" s="1"/>
  <c r="J27" i="110" s="1"/>
  <c r="E66" i="110"/>
  <c r="E49" i="113"/>
  <c r="F49" i="113" s="1"/>
  <c r="I49" i="113" s="1"/>
  <c r="J49" i="113" s="1"/>
  <c r="E56" i="113"/>
  <c r="F56" i="113" s="1"/>
  <c r="I56" i="113" s="1"/>
  <c r="J56" i="113" s="1"/>
  <c r="E18" i="110"/>
  <c r="F18" i="110" s="1"/>
  <c r="I18" i="110" s="1"/>
  <c r="J18" i="110" s="1"/>
  <c r="E69" i="103"/>
  <c r="F69" i="103" s="1"/>
  <c r="I69" i="103" s="1"/>
  <c r="J69" i="103" s="1"/>
  <c r="E54" i="101"/>
  <c r="F54" i="101" s="1"/>
  <c r="I54" i="101" s="1"/>
  <c r="J54" i="101" s="1"/>
  <c r="E45" i="101"/>
  <c r="E66" i="103"/>
  <c r="E56" i="103"/>
  <c r="F56" i="103" s="1"/>
  <c r="I56" i="103" s="1"/>
  <c r="J56" i="103" s="1"/>
  <c r="E38" i="101"/>
  <c r="E33" i="97"/>
  <c r="F33" i="97" s="1"/>
  <c r="I33" i="97" s="1"/>
  <c r="J33" i="97" s="1"/>
  <c r="E27" i="94"/>
  <c r="F27" i="94" s="1"/>
  <c r="I27" i="94" s="1"/>
  <c r="J27" i="94" s="1"/>
  <c r="E62" i="97"/>
  <c r="F62" i="97" s="1"/>
  <c r="I62" i="97" s="1"/>
  <c r="J62" i="97" s="1"/>
  <c r="E45" i="94"/>
  <c r="E56" i="97"/>
  <c r="F56" i="97" s="1"/>
  <c r="I56" i="97" s="1"/>
  <c r="J56" i="97" s="1"/>
  <c r="E28" i="94"/>
  <c r="F28" i="94" s="1"/>
  <c r="I28" i="94" s="1"/>
  <c r="J28" i="94" s="1"/>
  <c r="E76" i="44"/>
  <c r="F76" i="44" s="1"/>
  <c r="I76" i="44" s="1"/>
  <c r="J76" i="44" s="1"/>
  <c r="E76" i="59"/>
  <c r="F76" i="59" s="1"/>
  <c r="I76" i="59" s="1"/>
  <c r="J76" i="59" s="1"/>
  <c r="E70" i="91"/>
  <c r="F70" i="91" s="1"/>
  <c r="I70" i="91" s="1"/>
  <c r="J70" i="91" s="1"/>
  <c r="E27" i="121"/>
  <c r="F27" i="121" s="1"/>
  <c r="I27" i="121" s="1"/>
  <c r="J27" i="121" s="1"/>
  <c r="E63" i="121"/>
  <c r="F63" i="121" s="1"/>
  <c r="E40" i="119"/>
  <c r="F40" i="119" s="1"/>
  <c r="I40" i="119" s="1"/>
  <c r="J40" i="119" s="1"/>
  <c r="E18" i="121"/>
  <c r="F18" i="121" s="1"/>
  <c r="I18" i="121" s="1"/>
  <c r="J18" i="121" s="1"/>
  <c r="E52" i="121"/>
  <c r="E55" i="117"/>
  <c r="F55" i="117" s="1"/>
  <c r="E49" i="117"/>
  <c r="F49" i="117" s="1"/>
  <c r="I49" i="117" s="1"/>
  <c r="J49" i="117" s="1"/>
  <c r="E56" i="115"/>
  <c r="F56" i="115" s="1"/>
  <c r="I56" i="115" s="1"/>
  <c r="J56" i="115" s="1"/>
  <c r="E52" i="115"/>
  <c r="E13" i="115"/>
  <c r="F13" i="115" s="1"/>
  <c r="I13" i="115" s="1"/>
  <c r="J13" i="115" s="1"/>
  <c r="E22" i="110"/>
  <c r="F22" i="110" s="1"/>
  <c r="I22" i="110" s="1"/>
  <c r="J22" i="110" s="1"/>
  <c r="E63" i="110"/>
  <c r="F63" i="110" s="1"/>
  <c r="I63" i="110" s="1"/>
  <c r="J63" i="110" s="1"/>
  <c r="E48" i="113"/>
  <c r="F48" i="113" s="1"/>
  <c r="I48" i="113" s="1"/>
  <c r="J48" i="113" s="1"/>
  <c r="E34" i="113"/>
  <c r="F34" i="113" s="1"/>
  <c r="I34" i="113" s="1"/>
  <c r="J34" i="113" s="1"/>
  <c r="E77" i="94"/>
  <c r="F77" i="94" s="1"/>
  <c r="I77" i="94" s="1"/>
  <c r="J77" i="94" s="1"/>
  <c r="E68" i="103"/>
  <c r="F68" i="103" s="1"/>
  <c r="E35" i="101"/>
  <c r="F35" i="101" s="1"/>
  <c r="E76" i="103"/>
  <c r="F76" i="103" s="1"/>
  <c r="I76" i="103" s="1"/>
  <c r="J76" i="103" s="1"/>
  <c r="E63" i="103"/>
  <c r="F63" i="103" s="1"/>
  <c r="E70" i="101"/>
  <c r="F70" i="101" s="1"/>
  <c r="I70" i="101" s="1"/>
  <c r="J70" i="101" s="1"/>
  <c r="E35" i="103"/>
  <c r="F35" i="103" s="1"/>
  <c r="I35" i="103" s="1"/>
  <c r="J35" i="103" s="1"/>
  <c r="E22" i="101"/>
  <c r="F22" i="101" s="1"/>
  <c r="I22" i="101" s="1"/>
  <c r="J22" i="101" s="1"/>
  <c r="E12" i="97"/>
  <c r="F12" i="97" s="1"/>
  <c r="I12" i="97" s="1"/>
  <c r="J12" i="97" s="1"/>
  <c r="E18" i="94"/>
  <c r="F18" i="94" s="1"/>
  <c r="I18" i="94" s="1"/>
  <c r="J18" i="94" s="1"/>
  <c r="E61" i="97"/>
  <c r="F61" i="97" s="1"/>
  <c r="E42" i="94"/>
  <c r="F42" i="94" s="1"/>
  <c r="I42" i="94" s="1"/>
  <c r="J42" i="94" s="1"/>
  <c r="E55" i="97"/>
  <c r="F55" i="97" s="1"/>
  <c r="I55" i="97" s="1"/>
  <c r="J55" i="97" s="1"/>
  <c r="E21" i="94"/>
  <c r="E77" i="48"/>
  <c r="F77" i="48" s="1"/>
  <c r="I77" i="48" s="1"/>
  <c r="J77" i="48" s="1"/>
  <c r="E76" i="42"/>
  <c r="F76" i="42" s="1"/>
  <c r="I76" i="42" s="1"/>
  <c r="J76" i="42" s="1"/>
  <c r="E68" i="91"/>
  <c r="F68" i="91" s="1"/>
  <c r="I68" i="91" s="1"/>
  <c r="J68" i="91" s="1"/>
  <c r="E48" i="89"/>
  <c r="F48" i="89" s="1"/>
  <c r="I48" i="89" s="1"/>
  <c r="J48" i="89" s="1"/>
  <c r="E61" i="91"/>
  <c r="F61" i="91" s="1"/>
  <c r="I61" i="91" s="1"/>
  <c r="J61" i="91" s="1"/>
  <c r="E13" i="89"/>
  <c r="F13" i="89" s="1"/>
  <c r="I13" i="89" s="1"/>
  <c r="J13" i="89" s="1"/>
  <c r="E52" i="91"/>
  <c r="E27" i="89"/>
  <c r="F27" i="89" s="1"/>
  <c r="I27" i="89" s="1"/>
  <c r="J27" i="89" s="1"/>
  <c r="E22" i="121"/>
  <c r="F22" i="121" s="1"/>
  <c r="I22" i="121" s="1"/>
  <c r="J22" i="121" s="1"/>
  <c r="E61" i="121"/>
  <c r="F61" i="121" s="1"/>
  <c r="I61" i="121" s="1"/>
  <c r="J61" i="121" s="1"/>
  <c r="E38" i="119"/>
  <c r="E13" i="121"/>
  <c r="F13" i="121" s="1"/>
  <c r="I13" i="121" s="1"/>
  <c r="J13" i="121" s="1"/>
  <c r="E49" i="121"/>
  <c r="F49" i="121" s="1"/>
  <c r="I49" i="121" s="1"/>
  <c r="J49" i="121" s="1"/>
  <c r="E54" i="117"/>
  <c r="F54" i="117" s="1"/>
  <c r="I54" i="117" s="1"/>
  <c r="J54" i="117" s="1"/>
  <c r="E48" i="117"/>
  <c r="F48" i="117" s="1"/>
  <c r="I48" i="117" s="1"/>
  <c r="J48" i="117" s="1"/>
  <c r="E55" i="115"/>
  <c r="F55" i="115" s="1"/>
  <c r="E49" i="115"/>
  <c r="F49" i="115" s="1"/>
  <c r="I49" i="115" s="1"/>
  <c r="J49" i="115" s="1"/>
  <c r="E66" i="113"/>
  <c r="E17" i="110"/>
  <c r="F17" i="110" s="1"/>
  <c r="I17" i="110" s="1"/>
  <c r="J17" i="110" s="1"/>
  <c r="E54" i="110"/>
  <c r="F54" i="110" s="1"/>
  <c r="I54" i="110" s="1"/>
  <c r="J54" i="110" s="1"/>
  <c r="E38" i="113"/>
  <c r="E22" i="113"/>
  <c r="F22" i="113" s="1"/>
  <c r="I22" i="113" s="1"/>
  <c r="J22" i="113" s="1"/>
  <c r="E77" i="39"/>
  <c r="F77" i="39" s="1"/>
  <c r="I77" i="39" s="1"/>
  <c r="J77" i="39" s="1"/>
  <c r="E48" i="103"/>
  <c r="F48" i="103" s="1"/>
  <c r="I48" i="103" s="1"/>
  <c r="J48" i="103" s="1"/>
  <c r="E34" i="101"/>
  <c r="F34" i="101" s="1"/>
  <c r="I34" i="101" s="1"/>
  <c r="J34" i="101" s="1"/>
  <c r="E62" i="103"/>
  <c r="F62" i="103" s="1"/>
  <c r="I62" i="103" s="1"/>
  <c r="J62" i="103" s="1"/>
  <c r="E52" i="101"/>
  <c r="E27" i="103"/>
  <c r="F27" i="103" s="1"/>
  <c r="I27" i="103" s="1"/>
  <c r="J27" i="103" s="1"/>
  <c r="E18" i="101"/>
  <c r="F18" i="101" s="1"/>
  <c r="I18" i="101" s="1"/>
  <c r="J18" i="101" s="1"/>
  <c r="E11" i="97"/>
  <c r="E17" i="94"/>
  <c r="F17" i="94" s="1"/>
  <c r="I17" i="94" s="1"/>
  <c r="J17" i="94" s="1"/>
  <c r="E42" i="97"/>
  <c r="F42" i="97" s="1"/>
  <c r="I42" i="97" s="1"/>
  <c r="J42" i="97" s="1"/>
  <c r="E31" i="94"/>
  <c r="E18" i="97"/>
  <c r="F18" i="97" s="1"/>
  <c r="I18" i="97" s="1"/>
  <c r="J18" i="97" s="1"/>
  <c r="E12" i="94"/>
  <c r="F12" i="94" s="1"/>
  <c r="I12" i="94" s="1"/>
  <c r="J12" i="94" s="1"/>
  <c r="E76" i="48"/>
  <c r="F76" i="48" s="1"/>
  <c r="I76" i="48" s="1"/>
  <c r="J76" i="48" s="1"/>
  <c r="E48" i="91"/>
  <c r="F48" i="91" s="1"/>
  <c r="I48" i="91" s="1"/>
  <c r="J48" i="91" s="1"/>
  <c r="E35" i="89"/>
  <c r="F35" i="89" s="1"/>
  <c r="I35" i="89" s="1"/>
  <c r="J35" i="89" s="1"/>
  <c r="E42" i="91"/>
  <c r="F42" i="91" s="1"/>
  <c r="I42" i="91" s="1"/>
  <c r="J42" i="91" s="1"/>
  <c r="E59" i="91"/>
  <c r="E49" i="91"/>
  <c r="F49" i="91" s="1"/>
  <c r="I49" i="91" s="1"/>
  <c r="J49" i="91" s="1"/>
  <c r="E18" i="89"/>
  <c r="F18" i="89" s="1"/>
  <c r="I18" i="89" s="1"/>
  <c r="J18" i="89" s="1"/>
  <c r="E17" i="121"/>
  <c r="F17" i="121" s="1"/>
  <c r="I17" i="121" s="1"/>
  <c r="J17" i="121" s="1"/>
  <c r="E41" i="121"/>
  <c r="F41" i="121" s="1"/>
  <c r="I41" i="121" s="1"/>
  <c r="J41" i="121" s="1"/>
  <c r="E35" i="119"/>
  <c r="F35" i="119" s="1"/>
  <c r="E63" i="119"/>
  <c r="F63" i="119" s="1"/>
  <c r="I63" i="119" s="1"/>
  <c r="J63" i="119" s="1"/>
  <c r="E31" i="121"/>
  <c r="E33" i="117"/>
  <c r="F33" i="117" s="1"/>
  <c r="E40" i="117"/>
  <c r="F40" i="117" s="1"/>
  <c r="E41" i="115"/>
  <c r="F41" i="115" s="1"/>
  <c r="I41" i="115" s="1"/>
  <c r="J41" i="115" s="1"/>
  <c r="E48" i="115"/>
  <c r="F48" i="115" s="1"/>
  <c r="E55" i="113"/>
  <c r="F55" i="113" s="1"/>
  <c r="I55" i="113" s="1"/>
  <c r="J55" i="113" s="1"/>
  <c r="E77" i="113"/>
  <c r="F77" i="113" s="1"/>
  <c r="I77" i="113" s="1"/>
  <c r="J77" i="113" s="1"/>
  <c r="E45" i="110"/>
  <c r="E35" i="113"/>
  <c r="F35" i="113" s="1"/>
  <c r="I35" i="113" s="1"/>
  <c r="J35" i="113" s="1"/>
  <c r="E17" i="113"/>
  <c r="F17" i="113" s="1"/>
  <c r="I17" i="113" s="1"/>
  <c r="J17" i="113" s="1"/>
  <c r="E77" i="115"/>
  <c r="F77" i="115" s="1"/>
  <c r="I77" i="115" s="1"/>
  <c r="J77" i="115" s="1"/>
  <c r="E76" i="119"/>
  <c r="F76" i="119" s="1"/>
  <c r="I76" i="119" s="1"/>
  <c r="J76" i="119" s="1"/>
  <c r="E40" i="121"/>
  <c r="F40" i="121" s="1"/>
  <c r="E33" i="119"/>
  <c r="F33" i="119" s="1"/>
  <c r="I33" i="119" s="1"/>
  <c r="J33" i="119" s="1"/>
  <c r="E62" i="119"/>
  <c r="F62" i="119" s="1"/>
  <c r="I62" i="119" s="1"/>
  <c r="J62" i="119" s="1"/>
  <c r="E28" i="121"/>
  <c r="F28" i="121" s="1"/>
  <c r="I28" i="121" s="1"/>
  <c r="J28" i="121" s="1"/>
  <c r="E26" i="117"/>
  <c r="E38" i="117"/>
  <c r="E40" i="115"/>
  <c r="F40" i="115" s="1"/>
  <c r="I40" i="115" s="1"/>
  <c r="J40" i="115" s="1"/>
  <c r="E28" i="115"/>
  <c r="F28" i="115" s="1"/>
  <c r="I28" i="115" s="1"/>
  <c r="J28" i="115" s="1"/>
  <c r="E54" i="113"/>
  <c r="F54" i="113" s="1"/>
  <c r="I54" i="113" s="1"/>
  <c r="J54" i="113" s="1"/>
  <c r="E76" i="113"/>
  <c r="F76" i="113" s="1"/>
  <c r="I76" i="113" s="1"/>
  <c r="J76" i="113" s="1"/>
  <c r="E42" i="110"/>
  <c r="F42" i="110" s="1"/>
  <c r="I42" i="110" s="1"/>
  <c r="J42" i="110" s="1"/>
  <c r="E18" i="113"/>
  <c r="F18" i="113" s="1"/>
  <c r="I18" i="113" s="1"/>
  <c r="J18" i="113" s="1"/>
  <c r="E12" i="113"/>
  <c r="F12" i="113" s="1"/>
  <c r="I12" i="113" s="1"/>
  <c r="J12" i="113" s="1"/>
  <c r="E26" i="121"/>
  <c r="E23" i="119"/>
  <c r="F23" i="119" s="1"/>
  <c r="I23" i="119" s="1"/>
  <c r="J23" i="119" s="1"/>
  <c r="E61" i="119"/>
  <c r="F61" i="119" s="1"/>
  <c r="I61" i="119" s="1"/>
  <c r="J61" i="119" s="1"/>
  <c r="E23" i="121"/>
  <c r="F23" i="121" s="1"/>
  <c r="I23" i="121" s="1"/>
  <c r="J23" i="121" s="1"/>
  <c r="E21" i="117"/>
  <c r="E31" i="117"/>
  <c r="E38" i="115"/>
  <c r="E18" i="115"/>
  <c r="F18" i="115" s="1"/>
  <c r="I18" i="115" s="1"/>
  <c r="J18" i="115" s="1"/>
  <c r="E45" i="113"/>
  <c r="E52" i="113"/>
  <c r="E33" i="110"/>
  <c r="F33" i="110" s="1"/>
  <c r="E62" i="110"/>
  <c r="F62" i="110" s="1"/>
  <c r="I62" i="110" s="1"/>
  <c r="J62" i="110" s="1"/>
  <c r="E70" i="110"/>
  <c r="F70" i="110" s="1"/>
  <c r="I70" i="110" s="1"/>
  <c r="J70" i="110" s="1"/>
  <c r="E77" i="101"/>
  <c r="F77" i="101" s="1"/>
  <c r="I77" i="101" s="1"/>
  <c r="J77" i="101" s="1"/>
  <c r="E52" i="86"/>
  <c r="E33" i="103"/>
  <c r="F33" i="103" s="1"/>
  <c r="I33" i="103" s="1"/>
  <c r="J33" i="103" s="1"/>
  <c r="E59" i="103"/>
  <c r="E31" i="103"/>
  <c r="E41" i="103"/>
  <c r="F41" i="103" s="1"/>
  <c r="I41" i="103" s="1"/>
  <c r="J41" i="103" s="1"/>
  <c r="E31" i="101"/>
  <c r="E42" i="101"/>
  <c r="F42" i="101" s="1"/>
  <c r="I42" i="101" s="1"/>
  <c r="J42" i="101" s="1"/>
  <c r="E61" i="94"/>
  <c r="F61" i="94" s="1"/>
  <c r="I61" i="94" s="1"/>
  <c r="J61" i="94" s="1"/>
  <c r="E31" i="97"/>
  <c r="E26" i="97"/>
  <c r="E70" i="97"/>
  <c r="F70" i="97" s="1"/>
  <c r="I70" i="97" s="1"/>
  <c r="J70" i="97" s="1"/>
  <c r="E13" i="97"/>
  <c r="F13" i="97" s="1"/>
  <c r="I13" i="97" s="1"/>
  <c r="J13" i="97" s="1"/>
  <c r="E28" i="97"/>
  <c r="F28" i="97" s="1"/>
  <c r="I28" i="97" s="1"/>
  <c r="J28" i="97" s="1"/>
  <c r="E76" i="39"/>
  <c r="F76" i="39" s="1"/>
  <c r="I76" i="39" s="1"/>
  <c r="J76" i="39" s="1"/>
  <c r="E77" i="55"/>
  <c r="F77" i="55" s="1"/>
  <c r="I77" i="55" s="1"/>
  <c r="J77" i="55" s="1"/>
  <c r="E26" i="91"/>
  <c r="E26" i="89"/>
  <c r="E18" i="91"/>
  <c r="F18" i="91" s="1"/>
  <c r="I18" i="91" s="1"/>
  <c r="J18" i="91" s="1"/>
  <c r="E33" i="91"/>
  <c r="F33" i="91" s="1"/>
  <c r="I33" i="91" s="1"/>
  <c r="J33" i="91" s="1"/>
  <c r="E27" i="91"/>
  <c r="F27" i="91" s="1"/>
  <c r="I27" i="91" s="1"/>
  <c r="J27" i="91" s="1"/>
  <c r="E34" i="91"/>
  <c r="F34" i="91" s="1"/>
  <c r="I34" i="91" s="1"/>
  <c r="J34" i="91" s="1"/>
  <c r="E61" i="86"/>
  <c r="F61" i="86" s="1"/>
  <c r="I61" i="86" s="1"/>
  <c r="J61" i="86" s="1"/>
  <c r="E41" i="86"/>
  <c r="F41" i="86" s="1"/>
  <c r="I41" i="86" s="1"/>
  <c r="J41" i="86" s="1"/>
  <c r="E54" i="65"/>
  <c r="F54" i="65" s="1"/>
  <c r="I54" i="65" s="1"/>
  <c r="J54" i="65" s="1"/>
  <c r="E31" i="65"/>
  <c r="E22" i="65"/>
  <c r="F22" i="65" s="1"/>
  <c r="I22" i="65" s="1"/>
  <c r="J22" i="65" s="1"/>
  <c r="E13" i="65"/>
  <c r="F13" i="65" s="1"/>
  <c r="I13" i="65" s="1"/>
  <c r="J13" i="65" s="1"/>
  <c r="E34" i="44"/>
  <c r="F34" i="44" s="1"/>
  <c r="I34" i="44" s="1"/>
  <c r="J34" i="44" s="1"/>
  <c r="E26" i="46"/>
  <c r="E45" i="46"/>
  <c r="E68" i="46"/>
  <c r="F68" i="46" s="1"/>
  <c r="I68" i="46" s="1"/>
  <c r="J68" i="46" s="1"/>
  <c r="E26" i="61"/>
  <c r="E45" i="61"/>
  <c r="E49" i="61"/>
  <c r="F49" i="61" s="1"/>
  <c r="I49" i="61" s="1"/>
  <c r="J49" i="61" s="1"/>
  <c r="E68" i="61"/>
  <c r="F68" i="61" s="1"/>
  <c r="I68" i="61" s="1"/>
  <c r="J68" i="61" s="1"/>
  <c r="E26" i="42"/>
  <c r="E45" i="42"/>
  <c r="E23" i="59"/>
  <c r="F23" i="59" s="1"/>
  <c r="I23" i="59" s="1"/>
  <c r="J23" i="59" s="1"/>
  <c r="E38" i="59"/>
  <c r="E16" i="57"/>
  <c r="E42" i="57"/>
  <c r="F42" i="57" s="1"/>
  <c r="I42" i="57" s="1"/>
  <c r="J42" i="57" s="1"/>
  <c r="E61" i="57"/>
  <c r="F61" i="57" s="1"/>
  <c r="I61" i="57" s="1"/>
  <c r="J61" i="57" s="1"/>
  <c r="E52" i="119"/>
  <c r="E21" i="121"/>
  <c r="E17" i="119"/>
  <c r="F17" i="119" s="1"/>
  <c r="I17" i="119" s="1"/>
  <c r="J17" i="119" s="1"/>
  <c r="E28" i="119"/>
  <c r="F28" i="119" s="1"/>
  <c r="I28" i="119" s="1"/>
  <c r="J28" i="119" s="1"/>
  <c r="E59" i="119"/>
  <c r="E23" i="117"/>
  <c r="F23" i="117" s="1"/>
  <c r="I23" i="117" s="1"/>
  <c r="J23" i="117" s="1"/>
  <c r="E18" i="117"/>
  <c r="F18" i="117" s="1"/>
  <c r="I18" i="117" s="1"/>
  <c r="J18" i="117" s="1"/>
  <c r="E22" i="115"/>
  <c r="F22" i="115" s="1"/>
  <c r="I22" i="115" s="1"/>
  <c r="J22" i="115" s="1"/>
  <c r="E11" i="115"/>
  <c r="E41" i="113"/>
  <c r="F41" i="113" s="1"/>
  <c r="I41" i="113" s="1"/>
  <c r="J41" i="113" s="1"/>
  <c r="E40" i="113"/>
  <c r="F40" i="113" s="1"/>
  <c r="I40" i="113" s="1"/>
  <c r="J40" i="113" s="1"/>
  <c r="E31" i="110"/>
  <c r="E52" i="110"/>
  <c r="E69" i="110"/>
  <c r="F69" i="110" s="1"/>
  <c r="E69" i="119"/>
  <c r="F69" i="119" s="1"/>
  <c r="I69" i="119" s="1"/>
  <c r="J69" i="119" s="1"/>
  <c r="E26" i="119"/>
  <c r="E70" i="119"/>
  <c r="F70" i="119" s="1"/>
  <c r="I70" i="119" s="1"/>
  <c r="J70" i="119" s="1"/>
  <c r="E59" i="121"/>
  <c r="E16" i="119"/>
  <c r="E55" i="119"/>
  <c r="F55" i="119" s="1"/>
  <c r="E47" i="117"/>
  <c r="F47" i="117" s="1"/>
  <c r="E27" i="117"/>
  <c r="F27" i="117" s="1"/>
  <c r="I27" i="117" s="1"/>
  <c r="J27" i="117" s="1"/>
  <c r="E12" i="115"/>
  <c r="F12" i="115" s="1"/>
  <c r="I12" i="115" s="1"/>
  <c r="J12" i="115" s="1"/>
  <c r="E31" i="113"/>
  <c r="E21" i="113"/>
  <c r="E23" i="110"/>
  <c r="F23" i="110" s="1"/>
  <c r="I23" i="110" s="1"/>
  <c r="J23" i="110" s="1"/>
  <c r="E49" i="110"/>
  <c r="F49" i="110" s="1"/>
  <c r="I49" i="110" s="1"/>
  <c r="J49" i="110" s="1"/>
  <c r="E55" i="121"/>
  <c r="F55" i="121" s="1"/>
  <c r="I55" i="121" s="1"/>
  <c r="J55" i="121" s="1"/>
  <c r="E42" i="117"/>
  <c r="F42" i="117" s="1"/>
  <c r="I42" i="117" s="1"/>
  <c r="J42" i="117" s="1"/>
  <c r="E16" i="113"/>
  <c r="E45" i="103"/>
  <c r="E66" i="101"/>
  <c r="E21" i="103"/>
  <c r="E23" i="101"/>
  <c r="F23" i="101" s="1"/>
  <c r="I23" i="101" s="1"/>
  <c r="J23" i="101" s="1"/>
  <c r="E63" i="94"/>
  <c r="F63" i="94" s="1"/>
  <c r="I63" i="94" s="1"/>
  <c r="J63" i="94" s="1"/>
  <c r="E23" i="94"/>
  <c r="F23" i="94" s="1"/>
  <c r="I23" i="94" s="1"/>
  <c r="J23" i="94" s="1"/>
  <c r="E48" i="97"/>
  <c r="F48" i="97" s="1"/>
  <c r="I48" i="97" s="1"/>
  <c r="J48" i="97" s="1"/>
  <c r="E47" i="97"/>
  <c r="F47" i="97" s="1"/>
  <c r="I47" i="97" s="1"/>
  <c r="J47" i="97" s="1"/>
  <c r="E77" i="86"/>
  <c r="F77" i="86" s="1"/>
  <c r="I77" i="86" s="1"/>
  <c r="J77" i="86" s="1"/>
  <c r="E22" i="91"/>
  <c r="F22" i="91" s="1"/>
  <c r="I22" i="91" s="1"/>
  <c r="J22" i="91" s="1"/>
  <c r="E62" i="91"/>
  <c r="F62" i="91" s="1"/>
  <c r="I62" i="91" s="1"/>
  <c r="J62" i="91" s="1"/>
  <c r="E47" i="89"/>
  <c r="F47" i="89" s="1"/>
  <c r="E28" i="89"/>
  <c r="F28" i="89" s="1"/>
  <c r="I28" i="89" s="1"/>
  <c r="J28" i="89" s="1"/>
  <c r="E18" i="86"/>
  <c r="F18" i="86" s="1"/>
  <c r="I18" i="86" s="1"/>
  <c r="J18" i="86" s="1"/>
  <c r="E17" i="86"/>
  <c r="F17" i="86" s="1"/>
  <c r="I17" i="86" s="1"/>
  <c r="J17" i="86" s="1"/>
  <c r="E42" i="86"/>
  <c r="F42" i="86" s="1"/>
  <c r="I42" i="86" s="1"/>
  <c r="J42" i="86" s="1"/>
  <c r="E56" i="65"/>
  <c r="F56" i="65" s="1"/>
  <c r="I56" i="65" s="1"/>
  <c r="J56" i="65" s="1"/>
  <c r="E33" i="65"/>
  <c r="F33" i="65" s="1"/>
  <c r="E26" i="65"/>
  <c r="E27" i="44"/>
  <c r="F27" i="44" s="1"/>
  <c r="I27" i="44" s="1"/>
  <c r="J27" i="44" s="1"/>
  <c r="E27" i="46"/>
  <c r="F27" i="46" s="1"/>
  <c r="I27" i="46" s="1"/>
  <c r="J27" i="46" s="1"/>
  <c r="E28" i="61"/>
  <c r="F28" i="61" s="1"/>
  <c r="I28" i="61" s="1"/>
  <c r="J28" i="61" s="1"/>
  <c r="E47" i="61"/>
  <c r="F47" i="61" s="1"/>
  <c r="I47" i="61" s="1"/>
  <c r="J47" i="61" s="1"/>
  <c r="E66" i="61"/>
  <c r="E42" i="42"/>
  <c r="F42" i="42" s="1"/>
  <c r="I42" i="42" s="1"/>
  <c r="J42" i="42" s="1"/>
  <c r="E49" i="59"/>
  <c r="F49" i="59" s="1"/>
  <c r="E55" i="59"/>
  <c r="F55" i="59" s="1"/>
  <c r="I55" i="59" s="1"/>
  <c r="J55" i="59" s="1"/>
  <c r="E61" i="59"/>
  <c r="F61" i="59" s="1"/>
  <c r="I61" i="59" s="1"/>
  <c r="J61" i="59" s="1"/>
  <c r="E17" i="57"/>
  <c r="F17" i="57" s="1"/>
  <c r="I17" i="57" s="1"/>
  <c r="J17" i="57" s="1"/>
  <c r="E26" i="57"/>
  <c r="E56" i="57"/>
  <c r="F56" i="57" s="1"/>
  <c r="I56" i="57" s="1"/>
  <c r="J56" i="57" s="1"/>
  <c r="E69" i="57"/>
  <c r="F69" i="57" s="1"/>
  <c r="I69" i="57" s="1"/>
  <c r="J69" i="57" s="1"/>
  <c r="E12" i="39"/>
  <c r="F12" i="39" s="1"/>
  <c r="I12" i="39" s="1"/>
  <c r="J12" i="39" s="1"/>
  <c r="E21" i="39"/>
  <c r="E28" i="39"/>
  <c r="F28" i="39" s="1"/>
  <c r="I28" i="39" s="1"/>
  <c r="J28" i="39" s="1"/>
  <c r="E47" i="39"/>
  <c r="F47" i="39" s="1"/>
  <c r="I47" i="39" s="1"/>
  <c r="J47" i="39" s="1"/>
  <c r="E22" i="55"/>
  <c r="F22" i="55" s="1"/>
  <c r="I22" i="55" s="1"/>
  <c r="J22" i="55" s="1"/>
  <c r="E31" i="55"/>
  <c r="E35" i="55"/>
  <c r="F35" i="55" s="1"/>
  <c r="I35" i="55" s="1"/>
  <c r="J35" i="55" s="1"/>
  <c r="E54" i="55"/>
  <c r="F54" i="55" s="1"/>
  <c r="E38" i="4"/>
  <c r="E42" i="4"/>
  <c r="F42" i="4" s="1"/>
  <c r="I42" i="4" s="1"/>
  <c r="J42" i="4" s="1"/>
  <c r="E61" i="4"/>
  <c r="F61" i="4" s="1"/>
  <c r="I61" i="4" s="1"/>
  <c r="J61" i="4" s="1"/>
  <c r="E59" i="44"/>
  <c r="E54" i="121"/>
  <c r="F54" i="121" s="1"/>
  <c r="I54" i="121" s="1"/>
  <c r="J54" i="121" s="1"/>
  <c r="E35" i="117"/>
  <c r="F35" i="117" s="1"/>
  <c r="I35" i="117" s="1"/>
  <c r="J35" i="117" s="1"/>
  <c r="E77" i="110"/>
  <c r="F77" i="110" s="1"/>
  <c r="I77" i="110" s="1"/>
  <c r="J77" i="110" s="1"/>
  <c r="E22" i="103"/>
  <c r="F22" i="103" s="1"/>
  <c r="I22" i="103" s="1"/>
  <c r="J22" i="103" s="1"/>
  <c r="E49" i="103"/>
  <c r="F49" i="103" s="1"/>
  <c r="I49" i="103" s="1"/>
  <c r="J49" i="103" s="1"/>
  <c r="E18" i="103"/>
  <c r="F18" i="103" s="1"/>
  <c r="I18" i="103" s="1"/>
  <c r="J18" i="103" s="1"/>
  <c r="E11" i="101"/>
  <c r="E62" i="94"/>
  <c r="F62" i="94" s="1"/>
  <c r="I62" i="94" s="1"/>
  <c r="J62" i="94" s="1"/>
  <c r="E66" i="97"/>
  <c r="E27" i="97"/>
  <c r="F27" i="97" s="1"/>
  <c r="I27" i="97" s="1"/>
  <c r="J27" i="97" s="1"/>
  <c r="E49" i="94"/>
  <c r="F49" i="94" s="1"/>
  <c r="E76" i="57"/>
  <c r="F76" i="57" s="1"/>
  <c r="I76" i="57" s="1"/>
  <c r="J76" i="57" s="1"/>
  <c r="E21" i="91"/>
  <c r="E41" i="91"/>
  <c r="F41" i="91" s="1"/>
  <c r="I41" i="91" s="1"/>
  <c r="J41" i="91" s="1"/>
  <c r="E38" i="89"/>
  <c r="E55" i="91"/>
  <c r="F55" i="91" s="1"/>
  <c r="I55" i="91" s="1"/>
  <c r="J55" i="91" s="1"/>
  <c r="E11" i="86"/>
  <c r="E12" i="86"/>
  <c r="F12" i="86" s="1"/>
  <c r="I12" i="86" s="1"/>
  <c r="J12" i="86" s="1"/>
  <c r="E49" i="65"/>
  <c r="F49" i="65" s="1"/>
  <c r="I49" i="65" s="1"/>
  <c r="J49" i="65" s="1"/>
  <c r="E45" i="65"/>
  <c r="E16" i="65"/>
  <c r="E40" i="44"/>
  <c r="F40" i="44" s="1"/>
  <c r="I40" i="44" s="1"/>
  <c r="J40" i="44" s="1"/>
  <c r="E18" i="44"/>
  <c r="F18" i="44" s="1"/>
  <c r="I18" i="44" s="1"/>
  <c r="J18" i="44" s="1"/>
  <c r="E11" i="44"/>
  <c r="E11" i="46"/>
  <c r="E18" i="46"/>
  <c r="F18" i="46" s="1"/>
  <c r="I18" i="46" s="1"/>
  <c r="J18" i="46" s="1"/>
  <c r="E40" i="46"/>
  <c r="F40" i="46" s="1"/>
  <c r="I40" i="46" s="1"/>
  <c r="J40" i="46" s="1"/>
  <c r="E59" i="46"/>
  <c r="E63" i="46"/>
  <c r="F63" i="46" s="1"/>
  <c r="I63" i="46" s="1"/>
  <c r="J63" i="46" s="1"/>
  <c r="E41" i="61"/>
  <c r="F41" i="61" s="1"/>
  <c r="I41" i="61" s="1"/>
  <c r="J41" i="61" s="1"/>
  <c r="E54" i="61"/>
  <c r="F54" i="61" s="1"/>
  <c r="E16" i="42"/>
  <c r="E23" i="42"/>
  <c r="F23" i="42" s="1"/>
  <c r="I23" i="42" s="1"/>
  <c r="J23" i="42" s="1"/>
  <c r="E38" i="42"/>
  <c r="E49" i="42"/>
  <c r="F49" i="42" s="1"/>
  <c r="E55" i="42"/>
  <c r="F55" i="42" s="1"/>
  <c r="E61" i="42"/>
  <c r="F61" i="42" s="1"/>
  <c r="I61" i="42" s="1"/>
  <c r="J61" i="42" s="1"/>
  <c r="E45" i="59"/>
  <c r="E33" i="57"/>
  <c r="F33" i="57" s="1"/>
  <c r="E52" i="57"/>
  <c r="E63" i="57"/>
  <c r="F63" i="57" s="1"/>
  <c r="I63" i="57" s="1"/>
  <c r="J63" i="57" s="1"/>
  <c r="E41" i="39"/>
  <c r="F41" i="39" s="1"/>
  <c r="I41" i="39" s="1"/>
  <c r="J41" i="39" s="1"/>
  <c r="E66" i="39"/>
  <c r="E70" i="39"/>
  <c r="F70" i="39" s="1"/>
  <c r="I70" i="39" s="1"/>
  <c r="J70" i="39" s="1"/>
  <c r="E13" i="55"/>
  <c r="F13" i="55" s="1"/>
  <c r="I13" i="55" s="1"/>
  <c r="J13" i="55" s="1"/>
  <c r="E48" i="55"/>
  <c r="F48" i="55" s="1"/>
  <c r="E16" i="4"/>
  <c r="E23" i="4"/>
  <c r="F23" i="4" s="1"/>
  <c r="I23" i="4" s="1"/>
  <c r="J23" i="4" s="1"/>
  <c r="E55" i="4"/>
  <c r="F55" i="4" s="1"/>
  <c r="E66" i="65"/>
  <c r="E55" i="48"/>
  <c r="F55" i="48" s="1"/>
  <c r="I55" i="48" s="1"/>
  <c r="J55" i="48" s="1"/>
  <c r="E61" i="48"/>
  <c r="F61" i="48" s="1"/>
  <c r="I61" i="48" s="1"/>
  <c r="J61" i="48" s="1"/>
  <c r="E40" i="48"/>
  <c r="F40" i="48" s="1"/>
  <c r="I40" i="48" s="1"/>
  <c r="J40" i="48" s="1"/>
  <c r="E11" i="63"/>
  <c r="E70" i="63"/>
  <c r="F70" i="63" s="1"/>
  <c r="I70" i="63" s="1"/>
  <c r="J70" i="63" s="1"/>
  <c r="E22" i="119"/>
  <c r="F22" i="119" s="1"/>
  <c r="I22" i="119" s="1"/>
  <c r="J22" i="119" s="1"/>
  <c r="E17" i="115"/>
  <c r="F17" i="115" s="1"/>
  <c r="I17" i="115" s="1"/>
  <c r="J17" i="115" s="1"/>
  <c r="E26" i="110"/>
  <c r="E13" i="103"/>
  <c r="F13" i="103" s="1"/>
  <c r="I13" i="103" s="1"/>
  <c r="J13" i="103" s="1"/>
  <c r="E34" i="103"/>
  <c r="F34" i="103" s="1"/>
  <c r="I34" i="103" s="1"/>
  <c r="J34" i="103" s="1"/>
  <c r="E11" i="103"/>
  <c r="E54" i="103"/>
  <c r="F54" i="103" s="1"/>
  <c r="I54" i="103" s="1"/>
  <c r="J54" i="103" s="1"/>
  <c r="E59" i="94"/>
  <c r="E41" i="97"/>
  <c r="F41" i="97" s="1"/>
  <c r="I41" i="97" s="1"/>
  <c r="J41" i="97" s="1"/>
  <c r="E26" i="94"/>
  <c r="E77" i="65"/>
  <c r="F77" i="65" s="1"/>
  <c r="I77" i="65" s="1"/>
  <c r="J77" i="65" s="1"/>
  <c r="E76" i="55"/>
  <c r="F76" i="55" s="1"/>
  <c r="I76" i="55" s="1"/>
  <c r="J76" i="55" s="1"/>
  <c r="E66" i="89"/>
  <c r="E40" i="91"/>
  <c r="F40" i="91" s="1"/>
  <c r="I40" i="91" s="1"/>
  <c r="J40" i="91" s="1"/>
  <c r="E21" i="89"/>
  <c r="E38" i="91"/>
  <c r="E63" i="86"/>
  <c r="F63" i="86" s="1"/>
  <c r="I63" i="86" s="1"/>
  <c r="J63" i="86" s="1"/>
  <c r="E66" i="86"/>
  <c r="E69" i="65"/>
  <c r="F69" i="65" s="1"/>
  <c r="I69" i="65" s="1"/>
  <c r="J69" i="65" s="1"/>
  <c r="E62" i="65"/>
  <c r="F62" i="65" s="1"/>
  <c r="I62" i="65" s="1"/>
  <c r="J62" i="65" s="1"/>
  <c r="E23" i="65"/>
  <c r="F23" i="65" s="1"/>
  <c r="I23" i="65" s="1"/>
  <c r="J23" i="65" s="1"/>
  <c r="E68" i="44"/>
  <c r="F68" i="44" s="1"/>
  <c r="E56" i="44"/>
  <c r="F56" i="44" s="1"/>
  <c r="I56" i="44" s="1"/>
  <c r="J56" i="44" s="1"/>
  <c r="E52" i="44"/>
  <c r="E33" i="44"/>
  <c r="F33" i="44" s="1"/>
  <c r="I33" i="44" s="1"/>
  <c r="J33" i="44" s="1"/>
  <c r="E34" i="46"/>
  <c r="F34" i="46" s="1"/>
  <c r="I34" i="46" s="1"/>
  <c r="J34" i="46" s="1"/>
  <c r="E47" i="46"/>
  <c r="F47" i="46" s="1"/>
  <c r="I47" i="46" s="1"/>
  <c r="J47" i="46" s="1"/>
  <c r="E70" i="46"/>
  <c r="F70" i="46" s="1"/>
  <c r="I70" i="46" s="1"/>
  <c r="J70" i="46" s="1"/>
  <c r="E13" i="61"/>
  <c r="F13" i="61" s="1"/>
  <c r="I13" i="61" s="1"/>
  <c r="J13" i="61" s="1"/>
  <c r="E22" i="61"/>
  <c r="F22" i="61" s="1"/>
  <c r="I22" i="61" s="1"/>
  <c r="J22" i="61" s="1"/>
  <c r="E35" i="61"/>
  <c r="F35" i="61" s="1"/>
  <c r="I35" i="61" s="1"/>
  <c r="J35" i="61" s="1"/>
  <c r="E17" i="59"/>
  <c r="F17" i="59" s="1"/>
  <c r="I17" i="59" s="1"/>
  <c r="J17" i="59" s="1"/>
  <c r="E26" i="59"/>
  <c r="E68" i="59"/>
  <c r="F68" i="59" s="1"/>
  <c r="I68" i="59" s="1"/>
  <c r="J68" i="59" s="1"/>
  <c r="E11" i="57"/>
  <c r="E27" i="57"/>
  <c r="F27" i="57" s="1"/>
  <c r="I27" i="57" s="1"/>
  <c r="J27" i="57" s="1"/>
  <c r="E22" i="39"/>
  <c r="F22" i="39" s="1"/>
  <c r="I22" i="39" s="1"/>
  <c r="J22" i="39" s="1"/>
  <c r="E31" i="39"/>
  <c r="E35" i="39"/>
  <c r="F35" i="39" s="1"/>
  <c r="I35" i="39" s="1"/>
  <c r="J35" i="39" s="1"/>
  <c r="E54" i="39"/>
  <c r="F54" i="39" s="1"/>
  <c r="I54" i="39" s="1"/>
  <c r="J54" i="39" s="1"/>
  <c r="E42" i="55"/>
  <c r="F42" i="55" s="1"/>
  <c r="I42" i="55" s="1"/>
  <c r="J42" i="55" s="1"/>
  <c r="E61" i="55"/>
  <c r="F61" i="55" s="1"/>
  <c r="E49" i="4"/>
  <c r="F49" i="4" s="1"/>
  <c r="I49" i="4" s="1"/>
  <c r="J49" i="4" s="1"/>
  <c r="E68" i="4"/>
  <c r="F68" i="4" s="1"/>
  <c r="I68" i="4" s="1"/>
  <c r="J68" i="4" s="1"/>
  <c r="E70" i="44"/>
  <c r="F70" i="44" s="1"/>
  <c r="I70" i="44" s="1"/>
  <c r="J70" i="44" s="1"/>
  <c r="E47" i="48"/>
  <c r="F47" i="48" s="1"/>
  <c r="I47" i="48" s="1"/>
  <c r="J47" i="48" s="1"/>
  <c r="E45" i="48"/>
  <c r="E18" i="48"/>
  <c r="F18" i="48" s="1"/>
  <c r="I18" i="48" s="1"/>
  <c r="J18" i="48" s="1"/>
  <c r="E12" i="48"/>
  <c r="F12" i="48" s="1"/>
  <c r="I12" i="48" s="1"/>
  <c r="J12" i="48" s="1"/>
  <c r="E68" i="63"/>
  <c r="F68" i="63" s="1"/>
  <c r="E69" i="121"/>
  <c r="F69" i="121" s="1"/>
  <c r="I69" i="121" s="1"/>
  <c r="J69" i="121" s="1"/>
  <c r="E35" i="115"/>
  <c r="F35" i="115" s="1"/>
  <c r="I35" i="115" s="1"/>
  <c r="J35" i="115" s="1"/>
  <c r="E70" i="113"/>
  <c r="F70" i="113" s="1"/>
  <c r="I70" i="113" s="1"/>
  <c r="J70" i="113" s="1"/>
  <c r="E12" i="103"/>
  <c r="F12" i="103" s="1"/>
  <c r="I12" i="103" s="1"/>
  <c r="J12" i="103" s="1"/>
  <c r="E16" i="103"/>
  <c r="E49" i="101"/>
  <c r="F49" i="101" s="1"/>
  <c r="I49" i="101" s="1"/>
  <c r="J49" i="101" s="1"/>
  <c r="E52" i="103"/>
  <c r="E56" i="94"/>
  <c r="F56" i="94" s="1"/>
  <c r="I56" i="94" s="1"/>
  <c r="J56" i="94" s="1"/>
  <c r="E40" i="97"/>
  <c r="F40" i="97" s="1"/>
  <c r="I40" i="97" s="1"/>
  <c r="J40" i="97" s="1"/>
  <c r="E16" i="94"/>
  <c r="E76" i="65"/>
  <c r="F76" i="65" s="1"/>
  <c r="I76" i="65" s="1"/>
  <c r="J76" i="65" s="1"/>
  <c r="E77" i="4"/>
  <c r="F77" i="4" s="1"/>
  <c r="I77" i="4" s="1"/>
  <c r="J77" i="4" s="1"/>
  <c r="E59" i="89"/>
  <c r="E17" i="91"/>
  <c r="F17" i="91" s="1"/>
  <c r="I17" i="91" s="1"/>
  <c r="J17" i="91" s="1"/>
  <c r="E12" i="89"/>
  <c r="F12" i="89" s="1"/>
  <c r="I12" i="89" s="1"/>
  <c r="J12" i="89" s="1"/>
  <c r="E16" i="91"/>
  <c r="E45" i="86"/>
  <c r="E62" i="86"/>
  <c r="F62" i="86" s="1"/>
  <c r="I62" i="86" s="1"/>
  <c r="J62" i="86" s="1"/>
  <c r="E55" i="65"/>
  <c r="F55" i="65" s="1"/>
  <c r="I55" i="65" s="1"/>
  <c r="J55" i="65" s="1"/>
  <c r="E38" i="65"/>
  <c r="E26" i="44"/>
  <c r="E17" i="44"/>
  <c r="F17" i="44" s="1"/>
  <c r="I17" i="44" s="1"/>
  <c r="J17" i="44" s="1"/>
  <c r="E12" i="46"/>
  <c r="F12" i="46" s="1"/>
  <c r="I12" i="46" s="1"/>
  <c r="J12" i="46" s="1"/>
  <c r="E28" i="46"/>
  <c r="F28" i="46" s="1"/>
  <c r="I28" i="46" s="1"/>
  <c r="J28" i="46" s="1"/>
  <c r="E31" i="61"/>
  <c r="E48" i="61"/>
  <c r="F48" i="61" s="1"/>
  <c r="E61" i="61"/>
  <c r="F61" i="61" s="1"/>
  <c r="E17" i="42"/>
  <c r="F17" i="42" s="1"/>
  <c r="I17" i="42" s="1"/>
  <c r="J17" i="42" s="1"/>
  <c r="E68" i="42"/>
  <c r="F68" i="42" s="1"/>
  <c r="I68" i="42" s="1"/>
  <c r="J68" i="42" s="1"/>
  <c r="E11" i="59"/>
  <c r="E33" i="59"/>
  <c r="F33" i="59" s="1"/>
  <c r="I33" i="59" s="1"/>
  <c r="J33" i="59" s="1"/>
  <c r="E52" i="59"/>
  <c r="E56" i="59"/>
  <c r="F56" i="59" s="1"/>
  <c r="I56" i="59" s="1"/>
  <c r="J56" i="59" s="1"/>
  <c r="E62" i="59"/>
  <c r="F62" i="59" s="1"/>
  <c r="I62" i="59" s="1"/>
  <c r="J62" i="59" s="1"/>
  <c r="E18" i="57"/>
  <c r="F18" i="57" s="1"/>
  <c r="I18" i="57" s="1"/>
  <c r="J18" i="57" s="1"/>
  <c r="E40" i="57"/>
  <c r="F40" i="57" s="1"/>
  <c r="I40" i="57" s="1"/>
  <c r="J40" i="57" s="1"/>
  <c r="E59" i="57"/>
  <c r="E70" i="57"/>
  <c r="F70" i="57" s="1"/>
  <c r="I70" i="57" s="1"/>
  <c r="J70" i="57" s="1"/>
  <c r="E13" i="39"/>
  <c r="F13" i="39" s="1"/>
  <c r="I13" i="39" s="1"/>
  <c r="J13" i="39" s="1"/>
  <c r="E48" i="39"/>
  <c r="F48" i="39" s="1"/>
  <c r="I48" i="39" s="1"/>
  <c r="J48" i="39" s="1"/>
  <c r="E16" i="55"/>
  <c r="E23" i="55"/>
  <c r="F23" i="55" s="1"/>
  <c r="I23" i="55" s="1"/>
  <c r="J23" i="55" s="1"/>
  <c r="E38" i="55"/>
  <c r="E55" i="55"/>
  <c r="F55" i="55" s="1"/>
  <c r="I55" i="55" s="1"/>
  <c r="J55" i="55" s="1"/>
  <c r="E17" i="4"/>
  <c r="F17" i="4" s="1"/>
  <c r="I17" i="4" s="1"/>
  <c r="J17" i="4" s="1"/>
  <c r="E26" i="4"/>
  <c r="E33" i="4"/>
  <c r="F33" i="4" s="1"/>
  <c r="I33" i="4" s="1"/>
  <c r="J33" i="4" s="1"/>
  <c r="E45" i="4"/>
  <c r="E62" i="4"/>
  <c r="F62" i="4" s="1"/>
  <c r="I62" i="4" s="1"/>
  <c r="J62" i="4" s="1"/>
  <c r="E66" i="44"/>
  <c r="E66" i="48"/>
  <c r="E41" i="48"/>
  <c r="F41" i="48" s="1"/>
  <c r="I41" i="48" s="1"/>
  <c r="J41" i="48" s="1"/>
  <c r="E66" i="63"/>
  <c r="E56" i="63"/>
  <c r="F56" i="63" s="1"/>
  <c r="I56" i="63" s="1"/>
  <c r="J56" i="63" s="1"/>
  <c r="E66" i="121"/>
  <c r="E63" i="117"/>
  <c r="F63" i="117" s="1"/>
  <c r="I63" i="117" s="1"/>
  <c r="J63" i="117" s="1"/>
  <c r="E34" i="115"/>
  <c r="F34" i="115" s="1"/>
  <c r="I34" i="115" s="1"/>
  <c r="J34" i="115" s="1"/>
  <c r="E69" i="113"/>
  <c r="F69" i="113" s="1"/>
  <c r="I69" i="113" s="1"/>
  <c r="J69" i="113" s="1"/>
  <c r="E49" i="119"/>
  <c r="F49" i="119" s="1"/>
  <c r="I49" i="119" s="1"/>
  <c r="J49" i="119" s="1"/>
  <c r="E56" i="119"/>
  <c r="F56" i="119" s="1"/>
  <c r="I56" i="119" s="1"/>
  <c r="J56" i="119" s="1"/>
  <c r="E76" i="115"/>
  <c r="F76" i="115" s="1"/>
  <c r="I76" i="115" s="1"/>
  <c r="J76" i="115" s="1"/>
  <c r="E40" i="110"/>
  <c r="F40" i="110" s="1"/>
  <c r="I40" i="110" s="1"/>
  <c r="J40" i="110" s="1"/>
  <c r="E56" i="101"/>
  <c r="F56" i="101" s="1"/>
  <c r="I56" i="101" s="1"/>
  <c r="J56" i="101" s="1"/>
  <c r="E62" i="101"/>
  <c r="F62" i="101" s="1"/>
  <c r="I62" i="101" s="1"/>
  <c r="J62" i="101" s="1"/>
  <c r="E28" i="101"/>
  <c r="F28" i="101" s="1"/>
  <c r="I28" i="101" s="1"/>
  <c r="J28" i="101" s="1"/>
  <c r="E77" i="97"/>
  <c r="F77" i="97" s="1"/>
  <c r="E54" i="94"/>
  <c r="F54" i="94" s="1"/>
  <c r="I54" i="94" s="1"/>
  <c r="J54" i="94" s="1"/>
  <c r="E22" i="97"/>
  <c r="F22" i="97" s="1"/>
  <c r="I22" i="97" s="1"/>
  <c r="J22" i="97" s="1"/>
  <c r="E16" i="97"/>
  <c r="E76" i="63"/>
  <c r="F76" i="63" s="1"/>
  <c r="I76" i="63" s="1"/>
  <c r="J76" i="63" s="1"/>
  <c r="E77" i="61"/>
  <c r="F77" i="61" s="1"/>
  <c r="I77" i="61" s="1"/>
  <c r="J77" i="61" s="1"/>
  <c r="E34" i="89"/>
  <c r="F34" i="89" s="1"/>
  <c r="I34" i="89" s="1"/>
  <c r="J34" i="89" s="1"/>
  <c r="E54" i="89"/>
  <c r="F54" i="89" s="1"/>
  <c r="E31" i="91"/>
  <c r="E70" i="89"/>
  <c r="F70" i="89" s="1"/>
  <c r="I70" i="89" s="1"/>
  <c r="J70" i="89" s="1"/>
  <c r="E22" i="86"/>
  <c r="F22" i="86" s="1"/>
  <c r="I22" i="86" s="1"/>
  <c r="J22" i="86" s="1"/>
  <c r="E69" i="86"/>
  <c r="F69" i="86" s="1"/>
  <c r="I69" i="86" s="1"/>
  <c r="J69" i="86" s="1"/>
  <c r="E61" i="65"/>
  <c r="F61" i="65" s="1"/>
  <c r="E12" i="65"/>
  <c r="F12" i="65" s="1"/>
  <c r="I12" i="65" s="1"/>
  <c r="J12" i="65" s="1"/>
  <c r="E69" i="44"/>
  <c r="F69" i="44" s="1"/>
  <c r="I69" i="44" s="1"/>
  <c r="J69" i="44" s="1"/>
  <c r="E62" i="44"/>
  <c r="F62" i="44" s="1"/>
  <c r="I62" i="44" s="1"/>
  <c r="J62" i="44" s="1"/>
  <c r="E55" i="44"/>
  <c r="F55" i="44" s="1"/>
  <c r="I55" i="44" s="1"/>
  <c r="J55" i="44" s="1"/>
  <c r="E49" i="44"/>
  <c r="F49" i="44" s="1"/>
  <c r="I49" i="44" s="1"/>
  <c r="J49" i="44" s="1"/>
  <c r="E23" i="44"/>
  <c r="F23" i="44" s="1"/>
  <c r="I23" i="44" s="1"/>
  <c r="J23" i="44" s="1"/>
  <c r="E31" i="46"/>
  <c r="E35" i="46"/>
  <c r="F35" i="46" s="1"/>
  <c r="E48" i="46"/>
  <c r="F48" i="46" s="1"/>
  <c r="I48" i="46" s="1"/>
  <c r="J48" i="46" s="1"/>
  <c r="E23" i="61"/>
  <c r="F23" i="61" s="1"/>
  <c r="I23" i="61" s="1"/>
  <c r="J23" i="61" s="1"/>
  <c r="E38" i="61"/>
  <c r="E27" i="42"/>
  <c r="F27" i="42" s="1"/>
  <c r="I27" i="42" s="1"/>
  <c r="J27" i="42" s="1"/>
  <c r="E18" i="59"/>
  <c r="F18" i="59" s="1"/>
  <c r="I18" i="59" s="1"/>
  <c r="J18" i="59" s="1"/>
  <c r="E27" i="59"/>
  <c r="F27" i="59" s="1"/>
  <c r="I27" i="59" s="1"/>
  <c r="J27" i="59" s="1"/>
  <c r="E69" i="59"/>
  <c r="F69" i="59" s="1"/>
  <c r="E12" i="57"/>
  <c r="F12" i="57" s="1"/>
  <c r="I12" i="57" s="1"/>
  <c r="J12" i="57" s="1"/>
  <c r="E21" i="57"/>
  <c r="E28" i="57"/>
  <c r="F28" i="57" s="1"/>
  <c r="I28" i="57" s="1"/>
  <c r="J28" i="57" s="1"/>
  <c r="E16" i="39"/>
  <c r="E23" i="39"/>
  <c r="F23" i="39" s="1"/>
  <c r="I23" i="39" s="1"/>
  <c r="J23" i="39" s="1"/>
  <c r="E38" i="39"/>
  <c r="E55" i="39"/>
  <c r="F55" i="39" s="1"/>
  <c r="I55" i="39" s="1"/>
  <c r="J55" i="39" s="1"/>
  <c r="E17" i="55"/>
  <c r="F17" i="55" s="1"/>
  <c r="I17" i="55" s="1"/>
  <c r="J17" i="55" s="1"/>
  <c r="E26" i="55"/>
  <c r="E45" i="55"/>
  <c r="E62" i="55"/>
  <c r="F62" i="55" s="1"/>
  <c r="I62" i="55" s="1"/>
  <c r="J62" i="55" s="1"/>
  <c r="E68" i="55"/>
  <c r="F68" i="55" s="1"/>
  <c r="I68" i="55" s="1"/>
  <c r="J68" i="55" s="1"/>
  <c r="E12" i="119"/>
  <c r="F12" i="119" s="1"/>
  <c r="I12" i="119" s="1"/>
  <c r="J12" i="119" s="1"/>
  <c r="E77" i="117"/>
  <c r="F77" i="117" s="1"/>
  <c r="E13" i="119"/>
  <c r="F13" i="119" s="1"/>
  <c r="I13" i="119" s="1"/>
  <c r="J13" i="119" s="1"/>
  <c r="E47" i="115"/>
  <c r="F47" i="115" s="1"/>
  <c r="I47" i="115" s="1"/>
  <c r="J47" i="115" s="1"/>
  <c r="E16" i="110"/>
  <c r="E47" i="86"/>
  <c r="F47" i="86" s="1"/>
  <c r="E17" i="101"/>
  <c r="F17" i="101" s="1"/>
  <c r="I17" i="101" s="1"/>
  <c r="J17" i="101" s="1"/>
  <c r="E41" i="101"/>
  <c r="F41" i="101" s="1"/>
  <c r="I41" i="101" s="1"/>
  <c r="J41" i="101" s="1"/>
  <c r="E26" i="101"/>
  <c r="E54" i="97"/>
  <c r="F54" i="97" s="1"/>
  <c r="I54" i="97" s="1"/>
  <c r="J54" i="97" s="1"/>
  <c r="E69" i="97"/>
  <c r="F69" i="97" s="1"/>
  <c r="I69" i="97" s="1"/>
  <c r="J69" i="97" s="1"/>
  <c r="E76" i="94"/>
  <c r="F76" i="94" s="1"/>
  <c r="I76" i="94" s="1"/>
  <c r="J76" i="94" s="1"/>
  <c r="E68" i="94"/>
  <c r="F68" i="94" s="1"/>
  <c r="I68" i="94" s="1"/>
  <c r="J68" i="94" s="1"/>
  <c r="E77" i="57"/>
  <c r="F77" i="57" s="1"/>
  <c r="I77" i="57" s="1"/>
  <c r="J77" i="57" s="1"/>
  <c r="E11" i="89"/>
  <c r="E40" i="89"/>
  <c r="F40" i="89" s="1"/>
  <c r="E69" i="89"/>
  <c r="F69" i="89" s="1"/>
  <c r="I69" i="89" s="1"/>
  <c r="J69" i="89" s="1"/>
  <c r="E62" i="89"/>
  <c r="F62" i="89" s="1"/>
  <c r="I62" i="89" s="1"/>
  <c r="J62" i="89" s="1"/>
  <c r="E56" i="86"/>
  <c r="F56" i="86" s="1"/>
  <c r="I56" i="86" s="1"/>
  <c r="J56" i="86" s="1"/>
  <c r="E54" i="86"/>
  <c r="F54" i="86" s="1"/>
  <c r="I54" i="86" s="1"/>
  <c r="J54" i="86" s="1"/>
  <c r="E47" i="65"/>
  <c r="F47" i="65" s="1"/>
  <c r="E41" i="65"/>
  <c r="F41" i="65" s="1"/>
  <c r="I41" i="65" s="1"/>
  <c r="J41" i="65" s="1"/>
  <c r="E28" i="65"/>
  <c r="F28" i="65" s="1"/>
  <c r="I28" i="65" s="1"/>
  <c r="J28" i="65" s="1"/>
  <c r="E42" i="44"/>
  <c r="F42" i="44" s="1"/>
  <c r="I42" i="44" s="1"/>
  <c r="J42" i="44" s="1"/>
  <c r="E31" i="44"/>
  <c r="E22" i="44"/>
  <c r="F22" i="44" s="1"/>
  <c r="I22" i="44" s="1"/>
  <c r="J22" i="44" s="1"/>
  <c r="E42" i="46"/>
  <c r="F42" i="46" s="1"/>
  <c r="I42" i="46" s="1"/>
  <c r="J42" i="46" s="1"/>
  <c r="E55" i="46"/>
  <c r="F55" i="46" s="1"/>
  <c r="I55" i="46" s="1"/>
  <c r="J55" i="46" s="1"/>
  <c r="E61" i="46"/>
  <c r="F61" i="46" s="1"/>
  <c r="I61" i="46" s="1"/>
  <c r="J61" i="46" s="1"/>
  <c r="E56" i="61"/>
  <c r="F56" i="61" s="1"/>
  <c r="I56" i="61" s="1"/>
  <c r="J56" i="61" s="1"/>
  <c r="E69" i="61"/>
  <c r="F69" i="61" s="1"/>
  <c r="I69" i="61" s="1"/>
  <c r="J69" i="61" s="1"/>
  <c r="E34" i="42"/>
  <c r="F34" i="42" s="1"/>
  <c r="I34" i="42" s="1"/>
  <c r="J34" i="42" s="1"/>
  <c r="E47" i="42"/>
  <c r="F47" i="42" s="1"/>
  <c r="I47" i="42" s="1"/>
  <c r="J47" i="42" s="1"/>
  <c r="E59" i="42"/>
  <c r="E63" i="42"/>
  <c r="F63" i="42" s="1"/>
  <c r="I63" i="42" s="1"/>
  <c r="J63" i="42" s="1"/>
  <c r="E21" i="59"/>
  <c r="E41" i="59"/>
  <c r="F41" i="59" s="1"/>
  <c r="I41" i="59" s="1"/>
  <c r="J41" i="59" s="1"/>
  <c r="E22" i="57"/>
  <c r="F22" i="57" s="1"/>
  <c r="I22" i="57" s="1"/>
  <c r="J22" i="57" s="1"/>
  <c r="E31" i="57"/>
  <c r="E35" i="57"/>
  <c r="F35" i="57" s="1"/>
  <c r="E48" i="57"/>
  <c r="F48" i="57" s="1"/>
  <c r="E17" i="39"/>
  <c r="F17" i="39" s="1"/>
  <c r="I17" i="39" s="1"/>
  <c r="J17" i="39" s="1"/>
  <c r="E26" i="39"/>
  <c r="E45" i="39"/>
  <c r="E62" i="39"/>
  <c r="F62" i="39" s="1"/>
  <c r="I62" i="39" s="1"/>
  <c r="J62" i="39" s="1"/>
  <c r="E68" i="39"/>
  <c r="F68" i="39" s="1"/>
  <c r="I68" i="39" s="1"/>
  <c r="J68" i="39" s="1"/>
  <c r="E27" i="55"/>
  <c r="F27" i="55" s="1"/>
  <c r="I27" i="55" s="1"/>
  <c r="J27" i="55" s="1"/>
  <c r="E52" i="55"/>
  <c r="E59" i="4"/>
  <c r="E16" i="121"/>
  <c r="E13" i="117"/>
  <c r="F13" i="117" s="1"/>
  <c r="I13" i="117" s="1"/>
  <c r="J13" i="117" s="1"/>
  <c r="E33" i="113"/>
  <c r="F33" i="113" s="1"/>
  <c r="I33" i="113" s="1"/>
  <c r="J33" i="113" s="1"/>
  <c r="E61" i="110"/>
  <c r="F61" i="110" s="1"/>
  <c r="I61" i="110" s="1"/>
  <c r="J61" i="110" s="1"/>
  <c r="E55" i="103"/>
  <c r="F55" i="103" s="1"/>
  <c r="I55" i="103" s="1"/>
  <c r="J55" i="103" s="1"/>
  <c r="E61" i="103"/>
  <c r="F61" i="103" s="1"/>
  <c r="I61" i="103" s="1"/>
  <c r="J61" i="103" s="1"/>
  <c r="E16" i="101"/>
  <c r="E52" i="97"/>
  <c r="E45" i="97"/>
  <c r="E70" i="94"/>
  <c r="F70" i="94" s="1"/>
  <c r="I70" i="94" s="1"/>
  <c r="J70" i="94" s="1"/>
  <c r="E66" i="94"/>
  <c r="E77" i="46"/>
  <c r="F77" i="46" s="1"/>
  <c r="I77" i="46" s="1"/>
  <c r="J77" i="46" s="1"/>
  <c r="E11" i="91"/>
  <c r="E16" i="89"/>
  <c r="E68" i="89"/>
  <c r="F68" i="89" s="1"/>
  <c r="I68" i="89" s="1"/>
  <c r="J68" i="89" s="1"/>
  <c r="E23" i="89"/>
  <c r="F23" i="89" s="1"/>
  <c r="I23" i="89" s="1"/>
  <c r="J23" i="89" s="1"/>
  <c r="E68" i="86"/>
  <c r="F68" i="86" s="1"/>
  <c r="I68" i="86" s="1"/>
  <c r="J68" i="86" s="1"/>
  <c r="E38" i="86"/>
  <c r="E33" i="86"/>
  <c r="F33" i="86" s="1"/>
  <c r="E18" i="65"/>
  <c r="F18" i="65" s="1"/>
  <c r="I18" i="65" s="1"/>
  <c r="J18" i="65" s="1"/>
  <c r="E11" i="65"/>
  <c r="E61" i="44"/>
  <c r="F61" i="44" s="1"/>
  <c r="I61" i="44" s="1"/>
  <c r="J61" i="44" s="1"/>
  <c r="E54" i="44"/>
  <c r="F54" i="44" s="1"/>
  <c r="E48" i="44"/>
  <c r="F48" i="44" s="1"/>
  <c r="I48" i="44" s="1"/>
  <c r="J48" i="44" s="1"/>
  <c r="E13" i="44"/>
  <c r="F13" i="44" s="1"/>
  <c r="I13" i="44" s="1"/>
  <c r="J13" i="44" s="1"/>
  <c r="E16" i="46"/>
  <c r="E38" i="46"/>
  <c r="E49" i="46"/>
  <c r="F49" i="46" s="1"/>
  <c r="I49" i="46" s="1"/>
  <c r="J49" i="46" s="1"/>
  <c r="E33" i="61"/>
  <c r="F33" i="61" s="1"/>
  <c r="I33" i="61" s="1"/>
  <c r="J33" i="61" s="1"/>
  <c r="E52" i="61"/>
  <c r="E12" i="42"/>
  <c r="F12" i="42" s="1"/>
  <c r="I12" i="42" s="1"/>
  <c r="J12" i="42" s="1"/>
  <c r="E21" i="42"/>
  <c r="E28" i="42"/>
  <c r="F28" i="42" s="1"/>
  <c r="I28" i="42" s="1"/>
  <c r="J28" i="42" s="1"/>
  <c r="E28" i="59"/>
  <c r="F28" i="59" s="1"/>
  <c r="I28" i="59" s="1"/>
  <c r="J28" i="59" s="1"/>
  <c r="E70" i="59"/>
  <c r="F70" i="59" s="1"/>
  <c r="I70" i="59" s="1"/>
  <c r="J70" i="59" s="1"/>
  <c r="E13" i="57"/>
  <c r="F13" i="57" s="1"/>
  <c r="I13" i="57" s="1"/>
  <c r="J13" i="57" s="1"/>
  <c r="E33" i="39"/>
  <c r="F33" i="39" s="1"/>
  <c r="E56" i="39"/>
  <c r="F56" i="39" s="1"/>
  <c r="I56" i="39" s="1"/>
  <c r="J56" i="39" s="1"/>
  <c r="E11" i="55"/>
  <c r="E18" i="55"/>
  <c r="F18" i="55" s="1"/>
  <c r="I18" i="55" s="1"/>
  <c r="J18" i="55" s="1"/>
  <c r="E40" i="55"/>
  <c r="F40" i="55" s="1"/>
  <c r="I40" i="55" s="1"/>
  <c r="J40" i="55" s="1"/>
  <c r="E63" i="55"/>
  <c r="F63" i="55" s="1"/>
  <c r="I63" i="55" s="1"/>
  <c r="J63" i="55" s="1"/>
  <c r="E69" i="55"/>
  <c r="F69" i="55" s="1"/>
  <c r="E12" i="4"/>
  <c r="F12" i="4" s="1"/>
  <c r="I12" i="4" s="1"/>
  <c r="J12" i="4" s="1"/>
  <c r="E21" i="4"/>
  <c r="E28" i="4"/>
  <c r="F28" i="4" s="1"/>
  <c r="I28" i="4" s="1"/>
  <c r="J28" i="4" s="1"/>
  <c r="E47" i="4"/>
  <c r="F47" i="4" s="1"/>
  <c r="I47" i="4" s="1"/>
  <c r="J47" i="4" s="1"/>
  <c r="E70" i="4"/>
  <c r="F70" i="4" s="1"/>
  <c r="I70" i="4" s="1"/>
  <c r="J70" i="4" s="1"/>
  <c r="E68" i="119"/>
  <c r="F68" i="119" s="1"/>
  <c r="I68" i="119" s="1"/>
  <c r="J68" i="119" s="1"/>
  <c r="E22" i="117"/>
  <c r="F22" i="117" s="1"/>
  <c r="I22" i="117" s="1"/>
  <c r="J22" i="117" s="1"/>
  <c r="E11" i="113"/>
  <c r="E48" i="110"/>
  <c r="F48" i="110" s="1"/>
  <c r="E77" i="42"/>
  <c r="F77" i="42" s="1"/>
  <c r="I77" i="42" s="1"/>
  <c r="J77" i="42" s="1"/>
  <c r="E69" i="91"/>
  <c r="F69" i="91" s="1"/>
  <c r="I69" i="91" s="1"/>
  <c r="J69" i="91" s="1"/>
  <c r="E77" i="103"/>
  <c r="F77" i="103" s="1"/>
  <c r="I77" i="103" s="1"/>
  <c r="J77" i="103" s="1"/>
  <c r="E38" i="103"/>
  <c r="E42" i="103"/>
  <c r="F42" i="103" s="1"/>
  <c r="I42" i="103" s="1"/>
  <c r="J42" i="103" s="1"/>
  <c r="E13" i="101"/>
  <c r="F13" i="101" s="1"/>
  <c r="I13" i="101" s="1"/>
  <c r="J13" i="101" s="1"/>
  <c r="E49" i="97"/>
  <c r="F49" i="97" s="1"/>
  <c r="I49" i="97" s="1"/>
  <c r="J49" i="97" s="1"/>
  <c r="E52" i="94"/>
  <c r="E22" i="94"/>
  <c r="F22" i="94" s="1"/>
  <c r="I22" i="94" s="1"/>
  <c r="J22" i="94" s="1"/>
  <c r="E41" i="94"/>
  <c r="F41" i="94" s="1"/>
  <c r="I41" i="94" s="1"/>
  <c r="J41" i="94" s="1"/>
  <c r="E76" i="46"/>
  <c r="F76" i="46" s="1"/>
  <c r="I76" i="46" s="1"/>
  <c r="J76" i="46" s="1"/>
  <c r="E47" i="91"/>
  <c r="F47" i="91" s="1"/>
  <c r="I47" i="91" s="1"/>
  <c r="J47" i="91" s="1"/>
  <c r="E61" i="89"/>
  <c r="F61" i="89" s="1"/>
  <c r="I61" i="89" s="1"/>
  <c r="J61" i="89" s="1"/>
  <c r="E56" i="91"/>
  <c r="F56" i="91" s="1"/>
  <c r="I56" i="91" s="1"/>
  <c r="J56" i="91" s="1"/>
  <c r="E52" i="89"/>
  <c r="E49" i="86"/>
  <c r="F49" i="86" s="1"/>
  <c r="E35" i="86"/>
  <c r="F35" i="86" s="1"/>
  <c r="I35" i="86" s="1"/>
  <c r="J35" i="86" s="1"/>
  <c r="E28" i="86"/>
  <c r="F28" i="86" s="1"/>
  <c r="I28" i="86" s="1"/>
  <c r="J28" i="86" s="1"/>
  <c r="E34" i="65"/>
  <c r="F34" i="65" s="1"/>
  <c r="E27" i="65"/>
  <c r="F27" i="65" s="1"/>
  <c r="I27" i="65" s="1"/>
  <c r="J27" i="65" s="1"/>
  <c r="E35" i="44"/>
  <c r="F35" i="44" s="1"/>
  <c r="I35" i="44" s="1"/>
  <c r="J35" i="44" s="1"/>
  <c r="E23" i="46"/>
  <c r="F23" i="46" s="1"/>
  <c r="I23" i="46" s="1"/>
  <c r="J23" i="46" s="1"/>
  <c r="E11" i="61"/>
  <c r="E18" i="61"/>
  <c r="F18" i="61" s="1"/>
  <c r="I18" i="61" s="1"/>
  <c r="J18" i="61" s="1"/>
  <c r="E27" i="61"/>
  <c r="F27" i="61" s="1"/>
  <c r="I27" i="61" s="1"/>
  <c r="J27" i="61" s="1"/>
  <c r="E63" i="61"/>
  <c r="F63" i="61" s="1"/>
  <c r="E41" i="42"/>
  <c r="F41" i="42" s="1"/>
  <c r="I41" i="42" s="1"/>
  <c r="J41" i="42" s="1"/>
  <c r="E70" i="42"/>
  <c r="F70" i="42" s="1"/>
  <c r="I70" i="42" s="1"/>
  <c r="J70" i="42" s="1"/>
  <c r="E13" i="59"/>
  <c r="F13" i="59" s="1"/>
  <c r="I13" i="59" s="1"/>
  <c r="J13" i="59" s="1"/>
  <c r="E35" i="59"/>
  <c r="F35" i="59" s="1"/>
  <c r="I35" i="59" s="1"/>
  <c r="J35" i="59" s="1"/>
  <c r="E48" i="59"/>
  <c r="F48" i="59" s="1"/>
  <c r="I48" i="59" s="1"/>
  <c r="J48" i="59" s="1"/>
  <c r="E54" i="59"/>
  <c r="F54" i="59" s="1"/>
  <c r="I54" i="59" s="1"/>
  <c r="J54" i="59" s="1"/>
  <c r="E66" i="59"/>
  <c r="E55" i="57"/>
  <c r="F55" i="57" s="1"/>
  <c r="I55" i="57" s="1"/>
  <c r="J55" i="57" s="1"/>
  <c r="E68" i="57"/>
  <c r="F68" i="57" s="1"/>
  <c r="I68" i="57" s="1"/>
  <c r="J68" i="57" s="1"/>
  <c r="E27" i="39"/>
  <c r="F27" i="39" s="1"/>
  <c r="I27" i="39" s="1"/>
  <c r="J27" i="39" s="1"/>
  <c r="E52" i="39"/>
  <c r="E34" i="55"/>
  <c r="F34" i="55" s="1"/>
  <c r="E59" i="55"/>
  <c r="E35" i="4"/>
  <c r="F35" i="4" s="1"/>
  <c r="I35" i="4" s="1"/>
  <c r="J35" i="4" s="1"/>
  <c r="E41" i="4"/>
  <c r="F41" i="4" s="1"/>
  <c r="E66" i="4"/>
  <c r="E47" i="119"/>
  <c r="F47" i="119" s="1"/>
  <c r="I47" i="119" s="1"/>
  <c r="J47" i="119" s="1"/>
  <c r="E12" i="117"/>
  <c r="F12" i="117" s="1"/>
  <c r="I12" i="117" s="1"/>
  <c r="J12" i="117" s="1"/>
  <c r="E68" i="110"/>
  <c r="F68" i="110" s="1"/>
  <c r="I68" i="110" s="1"/>
  <c r="J68" i="110" s="1"/>
  <c r="E47" i="110"/>
  <c r="F47" i="110" s="1"/>
  <c r="I47" i="110" s="1"/>
  <c r="J47" i="110" s="1"/>
  <c r="E77" i="89"/>
  <c r="F77" i="89" s="1"/>
  <c r="I77" i="89" s="1"/>
  <c r="J77" i="89" s="1"/>
  <c r="E69" i="101"/>
  <c r="F69" i="101" s="1"/>
  <c r="E40" i="103"/>
  <c r="F40" i="103" s="1"/>
  <c r="I40" i="103" s="1"/>
  <c r="J40" i="103" s="1"/>
  <c r="E26" i="103"/>
  <c r="E38" i="97"/>
  <c r="E48" i="94"/>
  <c r="F48" i="94" s="1"/>
  <c r="I48" i="94" s="1"/>
  <c r="J48" i="94" s="1"/>
  <c r="E13" i="94"/>
  <c r="F13" i="94" s="1"/>
  <c r="I13" i="94" s="1"/>
  <c r="J13" i="94" s="1"/>
  <c r="E40" i="94"/>
  <c r="F40" i="94" s="1"/>
  <c r="E76" i="86"/>
  <c r="F76" i="86" s="1"/>
  <c r="I76" i="86" s="1"/>
  <c r="J76" i="86" s="1"/>
  <c r="E45" i="91"/>
  <c r="E22" i="89"/>
  <c r="F22" i="89" s="1"/>
  <c r="I22" i="89" s="1"/>
  <c r="J22" i="89" s="1"/>
  <c r="E35" i="91"/>
  <c r="F35" i="91" s="1"/>
  <c r="I35" i="91" s="1"/>
  <c r="J35" i="91" s="1"/>
  <c r="E49" i="89"/>
  <c r="F49" i="89" s="1"/>
  <c r="E48" i="86"/>
  <c r="F48" i="86" s="1"/>
  <c r="I48" i="86" s="1"/>
  <c r="J48" i="86" s="1"/>
  <c r="E23" i="103"/>
  <c r="F23" i="103" s="1"/>
  <c r="I23" i="103" s="1"/>
  <c r="J23" i="103" s="1"/>
  <c r="E77" i="63"/>
  <c r="F77" i="63" s="1"/>
  <c r="I77" i="63" s="1"/>
  <c r="J77" i="63" s="1"/>
  <c r="E41" i="89"/>
  <c r="F41" i="89" s="1"/>
  <c r="I41" i="89" s="1"/>
  <c r="J41" i="89" s="1"/>
  <c r="E23" i="86"/>
  <c r="F23" i="86" s="1"/>
  <c r="I23" i="86" s="1"/>
  <c r="J23" i="86" s="1"/>
  <c r="E35" i="65"/>
  <c r="F35" i="65" s="1"/>
  <c r="I35" i="65" s="1"/>
  <c r="J35" i="65" s="1"/>
  <c r="E22" i="46"/>
  <c r="F22" i="46" s="1"/>
  <c r="I22" i="46" s="1"/>
  <c r="J22" i="46" s="1"/>
  <c r="E33" i="46"/>
  <c r="F33" i="46" s="1"/>
  <c r="I33" i="46" s="1"/>
  <c r="J33" i="46" s="1"/>
  <c r="E56" i="46"/>
  <c r="F56" i="46" s="1"/>
  <c r="I56" i="46" s="1"/>
  <c r="J56" i="46" s="1"/>
  <c r="E62" i="42"/>
  <c r="F62" i="42" s="1"/>
  <c r="I62" i="42" s="1"/>
  <c r="J62" i="42" s="1"/>
  <c r="E16" i="59"/>
  <c r="E42" i="59"/>
  <c r="F42" i="59" s="1"/>
  <c r="I42" i="59" s="1"/>
  <c r="J42" i="59" s="1"/>
  <c r="E70" i="48"/>
  <c r="F70" i="48" s="1"/>
  <c r="I70" i="48" s="1"/>
  <c r="J70" i="48" s="1"/>
  <c r="E38" i="48"/>
  <c r="E17" i="48"/>
  <c r="F17" i="48" s="1"/>
  <c r="I17" i="48" s="1"/>
  <c r="J17" i="48" s="1"/>
  <c r="E54" i="63"/>
  <c r="F54" i="63" s="1"/>
  <c r="I54" i="63" s="1"/>
  <c r="J54" i="63" s="1"/>
  <c r="E18" i="63"/>
  <c r="F18" i="63" s="1"/>
  <c r="I18" i="63" s="1"/>
  <c r="J18" i="63" s="1"/>
  <c r="E49" i="63"/>
  <c r="F49" i="63" s="1"/>
  <c r="I49" i="63" s="1"/>
  <c r="J49" i="63" s="1"/>
  <c r="E41" i="119"/>
  <c r="F41" i="119" s="1"/>
  <c r="I41" i="119" s="1"/>
  <c r="J41" i="119" s="1"/>
  <c r="E27" i="119"/>
  <c r="F27" i="119" s="1"/>
  <c r="I27" i="119" s="1"/>
  <c r="J27" i="119" s="1"/>
  <c r="E63" i="115"/>
  <c r="F63" i="115" s="1"/>
  <c r="I63" i="115" s="1"/>
  <c r="J63" i="115" s="1"/>
  <c r="E62" i="113"/>
  <c r="F62" i="113" s="1"/>
  <c r="E59" i="110"/>
  <c r="E68" i="48"/>
  <c r="F68" i="48" s="1"/>
  <c r="I68" i="48" s="1"/>
  <c r="J68" i="48" s="1"/>
  <c r="E34" i="48"/>
  <c r="F34" i="48" s="1"/>
  <c r="I34" i="48" s="1"/>
  <c r="J34" i="48" s="1"/>
  <c r="E11" i="48"/>
  <c r="E42" i="63"/>
  <c r="F42" i="63" s="1"/>
  <c r="I42" i="63" s="1"/>
  <c r="J42" i="63" s="1"/>
  <c r="E27" i="63"/>
  <c r="F27" i="63" s="1"/>
  <c r="I27" i="63" s="1"/>
  <c r="J27" i="63" s="1"/>
  <c r="E76" i="117"/>
  <c r="F76" i="117" s="1"/>
  <c r="I76" i="117" s="1"/>
  <c r="J76" i="117" s="1"/>
  <c r="E42" i="113"/>
  <c r="F42" i="113" s="1"/>
  <c r="I42" i="113" s="1"/>
  <c r="J42" i="113" s="1"/>
  <c r="E48" i="119"/>
  <c r="F48" i="119" s="1"/>
  <c r="I48" i="119" s="1"/>
  <c r="J48" i="119" s="1"/>
  <c r="E76" i="97"/>
  <c r="F76" i="97" s="1"/>
  <c r="I76" i="97" s="1"/>
  <c r="J76" i="97" s="1"/>
  <c r="E76" i="89"/>
  <c r="F76" i="89" s="1"/>
  <c r="I76" i="89" s="1"/>
  <c r="J76" i="89" s="1"/>
  <c r="E13" i="91"/>
  <c r="F13" i="91" s="1"/>
  <c r="I13" i="91" s="1"/>
  <c r="J13" i="91" s="1"/>
  <c r="E40" i="86"/>
  <c r="F40" i="86" s="1"/>
  <c r="I40" i="86" s="1"/>
  <c r="J40" i="86" s="1"/>
  <c r="E21" i="63"/>
  <c r="E42" i="65"/>
  <c r="F42" i="65" s="1"/>
  <c r="I42" i="65" s="1"/>
  <c r="J42" i="65" s="1"/>
  <c r="E47" i="44"/>
  <c r="F47" i="44" s="1"/>
  <c r="I47" i="44" s="1"/>
  <c r="J47" i="44" s="1"/>
  <c r="E21" i="44"/>
  <c r="E41" i="46"/>
  <c r="F41" i="46" s="1"/>
  <c r="I41" i="46" s="1"/>
  <c r="J41" i="46" s="1"/>
  <c r="E59" i="59"/>
  <c r="E23" i="57"/>
  <c r="F23" i="57" s="1"/>
  <c r="I23" i="57" s="1"/>
  <c r="J23" i="57" s="1"/>
  <c r="E41" i="57"/>
  <c r="F41" i="57" s="1"/>
  <c r="I41" i="57" s="1"/>
  <c r="J41" i="57" s="1"/>
  <c r="E69" i="39"/>
  <c r="F69" i="39" s="1"/>
  <c r="I69" i="39" s="1"/>
  <c r="J69" i="39" s="1"/>
  <c r="E11" i="4"/>
  <c r="E22" i="4"/>
  <c r="F22" i="4" s="1"/>
  <c r="I22" i="4" s="1"/>
  <c r="J22" i="4" s="1"/>
  <c r="E40" i="4"/>
  <c r="F40" i="4" s="1"/>
  <c r="I40" i="4" s="1"/>
  <c r="J40" i="4" s="1"/>
  <c r="E12" i="63"/>
  <c r="F12" i="63" s="1"/>
  <c r="I12" i="63" s="1"/>
  <c r="J12" i="63" s="1"/>
  <c r="E34" i="119"/>
  <c r="F34" i="119" s="1"/>
  <c r="I34" i="119" s="1"/>
  <c r="J34" i="119" s="1"/>
  <c r="E59" i="117"/>
  <c r="E21" i="115"/>
  <c r="E23" i="113"/>
  <c r="F23" i="113" s="1"/>
  <c r="I23" i="113" s="1"/>
  <c r="J23" i="113" s="1"/>
  <c r="E38" i="110"/>
  <c r="E13" i="48"/>
  <c r="F13" i="48" s="1"/>
  <c r="I13" i="48" s="1"/>
  <c r="J13" i="48" s="1"/>
  <c r="E47" i="103"/>
  <c r="F47" i="103" s="1"/>
  <c r="E35" i="97"/>
  <c r="F35" i="97" s="1"/>
  <c r="I35" i="97" s="1"/>
  <c r="J35" i="97" s="1"/>
  <c r="E76" i="61"/>
  <c r="F76" i="61" s="1"/>
  <c r="I76" i="61" s="1"/>
  <c r="J76" i="61" s="1"/>
  <c r="E54" i="91"/>
  <c r="F54" i="91" s="1"/>
  <c r="I54" i="91" s="1"/>
  <c r="J54" i="91" s="1"/>
  <c r="E59" i="86"/>
  <c r="E13" i="46"/>
  <c r="F13" i="46" s="1"/>
  <c r="I13" i="46" s="1"/>
  <c r="J13" i="46" s="1"/>
  <c r="E13" i="42"/>
  <c r="F13" i="42" s="1"/>
  <c r="I13" i="42" s="1"/>
  <c r="J13" i="42" s="1"/>
  <c r="E56" i="42"/>
  <c r="F56" i="42" s="1"/>
  <c r="I56" i="42" s="1"/>
  <c r="J56" i="42" s="1"/>
  <c r="E34" i="57"/>
  <c r="F34" i="57" s="1"/>
  <c r="I34" i="57" s="1"/>
  <c r="J34" i="57" s="1"/>
  <c r="E18" i="39"/>
  <c r="F18" i="39" s="1"/>
  <c r="I18" i="39" s="1"/>
  <c r="J18" i="39" s="1"/>
  <c r="E40" i="39"/>
  <c r="F40" i="39" s="1"/>
  <c r="I40" i="39" s="1"/>
  <c r="J40" i="39" s="1"/>
  <c r="E48" i="4"/>
  <c r="F48" i="4" s="1"/>
  <c r="I48" i="4" s="1"/>
  <c r="J48" i="4" s="1"/>
  <c r="E56" i="48"/>
  <c r="F56" i="48" s="1"/>
  <c r="I56" i="48" s="1"/>
  <c r="J56" i="48" s="1"/>
  <c r="E28" i="48"/>
  <c r="F28" i="48" s="1"/>
  <c r="I28" i="48" s="1"/>
  <c r="J28" i="48" s="1"/>
  <c r="E69" i="63"/>
  <c r="F69" i="63" s="1"/>
  <c r="E38" i="63"/>
  <c r="E68" i="121"/>
  <c r="F68" i="121" s="1"/>
  <c r="I68" i="121" s="1"/>
  <c r="J68" i="121" s="1"/>
  <c r="E11" i="119"/>
  <c r="E45" i="117"/>
  <c r="E61" i="115"/>
  <c r="F61" i="115" s="1"/>
  <c r="E55" i="110"/>
  <c r="F55" i="110" s="1"/>
  <c r="I55" i="110" s="1"/>
  <c r="J55" i="110" s="1"/>
  <c r="E47" i="113"/>
  <c r="F47" i="113" s="1"/>
  <c r="I47" i="113" s="1"/>
  <c r="J47" i="113" s="1"/>
  <c r="E31" i="119"/>
  <c r="E63" i="113"/>
  <c r="F63" i="113" s="1"/>
  <c r="I63" i="113" s="1"/>
  <c r="J63" i="113" s="1"/>
  <c r="E31" i="63"/>
  <c r="E62" i="121"/>
  <c r="F62" i="121" s="1"/>
  <c r="I62" i="121" s="1"/>
  <c r="J62" i="121" s="1"/>
  <c r="E11" i="117"/>
  <c r="E28" i="110"/>
  <c r="F28" i="110" s="1"/>
  <c r="I28" i="110" s="1"/>
  <c r="J28" i="110" s="1"/>
  <c r="E12" i="121"/>
  <c r="F12" i="121" s="1"/>
  <c r="I12" i="121" s="1"/>
  <c r="J12" i="121" s="1"/>
  <c r="E13" i="110"/>
  <c r="F13" i="110" s="1"/>
  <c r="I13" i="110" s="1"/>
  <c r="J13" i="110" s="1"/>
  <c r="E77" i="121"/>
  <c r="F77" i="121" s="1"/>
  <c r="I77" i="121" s="1"/>
  <c r="J77" i="121" s="1"/>
  <c r="E59" i="101"/>
  <c r="E55" i="94"/>
  <c r="F55" i="94" s="1"/>
  <c r="I55" i="94" s="1"/>
  <c r="J55" i="94" s="1"/>
  <c r="E76" i="4"/>
  <c r="F76" i="4" s="1"/>
  <c r="I76" i="4" s="1"/>
  <c r="J76" i="4" s="1"/>
  <c r="E28" i="91"/>
  <c r="F28" i="91" s="1"/>
  <c r="I28" i="91" s="1"/>
  <c r="J28" i="91" s="1"/>
  <c r="E34" i="86"/>
  <c r="F34" i="86" s="1"/>
  <c r="I34" i="86" s="1"/>
  <c r="J34" i="86" s="1"/>
  <c r="E48" i="65"/>
  <c r="F48" i="65" s="1"/>
  <c r="I48" i="65" s="1"/>
  <c r="J48" i="65" s="1"/>
  <c r="E52" i="46"/>
  <c r="E66" i="46"/>
  <c r="E21" i="61"/>
  <c r="E49" i="57"/>
  <c r="F49" i="57" s="1"/>
  <c r="E63" i="39"/>
  <c r="F63" i="39" s="1"/>
  <c r="E28" i="55"/>
  <c r="F28" i="55" s="1"/>
  <c r="I28" i="55" s="1"/>
  <c r="J28" i="55" s="1"/>
  <c r="E63" i="4"/>
  <c r="F63" i="4" s="1"/>
  <c r="I63" i="4" s="1"/>
  <c r="J63" i="4" s="1"/>
  <c r="E48" i="48"/>
  <c r="F48" i="48" s="1"/>
  <c r="I48" i="48" s="1"/>
  <c r="J48" i="48" s="1"/>
  <c r="E22" i="48"/>
  <c r="F22" i="48" s="1"/>
  <c r="I22" i="48" s="1"/>
  <c r="J22" i="48" s="1"/>
  <c r="E63" i="63"/>
  <c r="F63" i="63" s="1"/>
  <c r="E34" i="63"/>
  <c r="F34" i="63" s="1"/>
  <c r="I34" i="63" s="1"/>
  <c r="J34" i="63" s="1"/>
  <c r="E45" i="63"/>
  <c r="E42" i="121"/>
  <c r="F42" i="121" s="1"/>
  <c r="I42" i="121" s="1"/>
  <c r="J42" i="121" s="1"/>
  <c r="E56" i="121"/>
  <c r="F56" i="121" s="1"/>
  <c r="I56" i="121" s="1"/>
  <c r="J56" i="121" s="1"/>
  <c r="E17" i="117"/>
  <c r="F17" i="117" s="1"/>
  <c r="I17" i="117" s="1"/>
  <c r="J17" i="117" s="1"/>
  <c r="E31" i="115"/>
  <c r="E41" i="110"/>
  <c r="F41" i="110" s="1"/>
  <c r="E18" i="119"/>
  <c r="F18" i="119" s="1"/>
  <c r="I18" i="119" s="1"/>
  <c r="J18" i="119" s="1"/>
  <c r="E42" i="115"/>
  <c r="F42" i="115" s="1"/>
  <c r="I42" i="115" s="1"/>
  <c r="J42" i="115" s="1"/>
  <c r="E69" i="117"/>
  <c r="F69" i="117" s="1"/>
  <c r="I69" i="117" s="1"/>
  <c r="J69" i="117" s="1"/>
  <c r="E28" i="117"/>
  <c r="F28" i="117" s="1"/>
  <c r="I28" i="117" s="1"/>
  <c r="J28" i="117" s="1"/>
  <c r="E13" i="113"/>
  <c r="F13" i="113" s="1"/>
  <c r="I13" i="113" s="1"/>
  <c r="J13" i="113" s="1"/>
  <c r="E52" i="63"/>
  <c r="E21" i="119"/>
  <c r="E33" i="101"/>
  <c r="F33" i="101" s="1"/>
  <c r="I33" i="101" s="1"/>
  <c r="J33" i="101" s="1"/>
  <c r="E35" i="94"/>
  <c r="F35" i="94" s="1"/>
  <c r="E42" i="89"/>
  <c r="F42" i="89" s="1"/>
  <c r="I42" i="89" s="1"/>
  <c r="J42" i="89" s="1"/>
  <c r="E21" i="86"/>
  <c r="E62" i="61"/>
  <c r="F62" i="61" s="1"/>
  <c r="I62" i="61" s="1"/>
  <c r="J62" i="61" s="1"/>
  <c r="E70" i="61"/>
  <c r="F70" i="61" s="1"/>
  <c r="I70" i="61" s="1"/>
  <c r="J70" i="61" s="1"/>
  <c r="E35" i="42"/>
  <c r="F35" i="42" s="1"/>
  <c r="I35" i="42" s="1"/>
  <c r="J35" i="42" s="1"/>
  <c r="E52" i="42"/>
  <c r="E66" i="57"/>
  <c r="E34" i="4"/>
  <c r="F34" i="4" s="1"/>
  <c r="I34" i="4" s="1"/>
  <c r="J34" i="4" s="1"/>
  <c r="E56" i="4"/>
  <c r="F56" i="4" s="1"/>
  <c r="I56" i="4" s="1"/>
  <c r="J56" i="4" s="1"/>
  <c r="E16" i="48"/>
  <c r="E59" i="63"/>
  <c r="E28" i="63"/>
  <c r="F28" i="63" s="1"/>
  <c r="I28" i="63" s="1"/>
  <c r="J28" i="63" s="1"/>
  <c r="E61" i="63"/>
  <c r="F61" i="63" s="1"/>
  <c r="I61" i="63" s="1"/>
  <c r="J61" i="63" s="1"/>
  <c r="E77" i="119"/>
  <c r="F77" i="119" s="1"/>
  <c r="I77" i="119" s="1"/>
  <c r="J77" i="119" s="1"/>
  <c r="E34" i="117"/>
  <c r="F34" i="117" s="1"/>
  <c r="I34" i="117" s="1"/>
  <c r="J34" i="117" s="1"/>
  <c r="E16" i="115"/>
  <c r="E12" i="110"/>
  <c r="F12" i="110" s="1"/>
  <c r="I12" i="110" s="1"/>
  <c r="J12" i="110" s="1"/>
  <c r="E54" i="119"/>
  <c r="F54" i="119" s="1"/>
  <c r="I54" i="119" s="1"/>
  <c r="J54" i="119" s="1"/>
  <c r="E34" i="121"/>
  <c r="F34" i="121" s="1"/>
  <c r="I34" i="121" s="1"/>
  <c r="J34" i="121" s="1"/>
  <c r="E61" i="117"/>
  <c r="F61" i="117" s="1"/>
  <c r="I61" i="117" s="1"/>
  <c r="J61" i="117" s="1"/>
  <c r="E70" i="115"/>
  <c r="F70" i="115" s="1"/>
  <c r="I70" i="115" s="1"/>
  <c r="J70" i="115" s="1"/>
  <c r="E66" i="119"/>
  <c r="E41" i="117"/>
  <c r="F41" i="117" s="1"/>
  <c r="E62" i="48"/>
  <c r="F62" i="48" s="1"/>
  <c r="I62" i="48" s="1"/>
  <c r="J62" i="48" s="1"/>
  <c r="E16" i="117"/>
  <c r="E68" i="101"/>
  <c r="F68" i="101" s="1"/>
  <c r="I68" i="101" s="1"/>
  <c r="J68" i="101" s="1"/>
  <c r="E33" i="94"/>
  <c r="F33" i="94" s="1"/>
  <c r="E12" i="91"/>
  <c r="F12" i="91" s="1"/>
  <c r="I12" i="91" s="1"/>
  <c r="J12" i="91" s="1"/>
  <c r="E70" i="86"/>
  <c r="F70" i="86" s="1"/>
  <c r="I70" i="86" s="1"/>
  <c r="J70" i="86" s="1"/>
  <c r="E21" i="65"/>
  <c r="E45" i="44"/>
  <c r="E38" i="44"/>
  <c r="E28" i="44"/>
  <c r="F28" i="44" s="1"/>
  <c r="I28" i="44" s="1"/>
  <c r="J28" i="44" s="1"/>
  <c r="E17" i="46"/>
  <c r="F17" i="46" s="1"/>
  <c r="I17" i="46" s="1"/>
  <c r="J17" i="46" s="1"/>
  <c r="E12" i="61"/>
  <c r="F12" i="61" s="1"/>
  <c r="I12" i="61" s="1"/>
  <c r="J12" i="61" s="1"/>
  <c r="E40" i="61"/>
  <c r="F40" i="61" s="1"/>
  <c r="I40" i="61" s="1"/>
  <c r="J40" i="61" s="1"/>
  <c r="E55" i="61"/>
  <c r="F55" i="61" s="1"/>
  <c r="I55" i="61" s="1"/>
  <c r="J55" i="61" s="1"/>
  <c r="E66" i="42"/>
  <c r="E31" i="59"/>
  <c r="E13" i="4"/>
  <c r="F13" i="4" s="1"/>
  <c r="I13" i="4" s="1"/>
  <c r="J13" i="4" s="1"/>
  <c r="E63" i="65"/>
  <c r="F63" i="65" s="1"/>
  <c r="I63" i="65" s="1"/>
  <c r="J63" i="65" s="1"/>
  <c r="E69" i="48"/>
  <c r="F69" i="48" s="1"/>
  <c r="E33" i="48"/>
  <c r="F33" i="48" s="1"/>
  <c r="E55" i="63"/>
  <c r="F55" i="63" s="1"/>
  <c r="I55" i="63" s="1"/>
  <c r="J55" i="63" s="1"/>
  <c r="E22" i="63"/>
  <c r="F22" i="63" s="1"/>
  <c r="I22" i="63" s="1"/>
  <c r="J22" i="63" s="1"/>
  <c r="E61" i="113"/>
  <c r="F61" i="113" s="1"/>
  <c r="I61" i="113" s="1"/>
  <c r="J61" i="113" s="1"/>
  <c r="E59" i="115"/>
  <c r="E63" i="101"/>
  <c r="F63" i="101" s="1"/>
  <c r="I63" i="101" s="1"/>
  <c r="J63" i="101" s="1"/>
  <c r="E23" i="97"/>
  <c r="F23" i="97" s="1"/>
  <c r="I23" i="97" s="1"/>
  <c r="J23" i="97" s="1"/>
  <c r="E63" i="89"/>
  <c r="F63" i="89" s="1"/>
  <c r="I63" i="89" s="1"/>
  <c r="J63" i="89" s="1"/>
  <c r="E55" i="86"/>
  <c r="F55" i="86" s="1"/>
  <c r="I55" i="86" s="1"/>
  <c r="J55" i="86" s="1"/>
  <c r="E68" i="65"/>
  <c r="F68" i="65" s="1"/>
  <c r="I68" i="65" s="1"/>
  <c r="J68" i="65" s="1"/>
  <c r="E40" i="65"/>
  <c r="F40" i="65" s="1"/>
  <c r="I40" i="65" s="1"/>
  <c r="J40" i="65" s="1"/>
  <c r="E45" i="57"/>
  <c r="E11" i="39"/>
  <c r="E34" i="39"/>
  <c r="F34" i="39" s="1"/>
  <c r="I34" i="39" s="1"/>
  <c r="J34" i="39" s="1"/>
  <c r="E49" i="39"/>
  <c r="F49" i="39" s="1"/>
  <c r="I49" i="39" s="1"/>
  <c r="J49" i="39" s="1"/>
  <c r="E59" i="39"/>
  <c r="E47" i="55"/>
  <c r="F47" i="55" s="1"/>
  <c r="I47" i="55" s="1"/>
  <c r="J47" i="55" s="1"/>
  <c r="E27" i="4"/>
  <c r="F27" i="4" s="1"/>
  <c r="I27" i="4" s="1"/>
  <c r="J27" i="4" s="1"/>
  <c r="E63" i="48"/>
  <c r="F63" i="48" s="1"/>
  <c r="I63" i="48" s="1"/>
  <c r="J63" i="48" s="1"/>
  <c r="E27" i="48"/>
  <c r="F27" i="48" s="1"/>
  <c r="I27" i="48" s="1"/>
  <c r="J27" i="48" s="1"/>
  <c r="E47" i="63"/>
  <c r="F47" i="63" s="1"/>
  <c r="I47" i="63" s="1"/>
  <c r="J47" i="63" s="1"/>
  <c r="E16" i="63"/>
  <c r="E26" i="115"/>
  <c r="E28" i="113"/>
  <c r="F28" i="113" s="1"/>
  <c r="I28" i="113" s="1"/>
  <c r="J28" i="113" s="1"/>
  <c r="E61" i="101"/>
  <c r="F61" i="101" s="1"/>
  <c r="E21" i="97"/>
  <c r="E23" i="91"/>
  <c r="F23" i="91" s="1"/>
  <c r="I23" i="91" s="1"/>
  <c r="J23" i="91" s="1"/>
  <c r="E26" i="86"/>
  <c r="E16" i="44"/>
  <c r="E54" i="46"/>
  <c r="F54" i="46" s="1"/>
  <c r="I54" i="46" s="1"/>
  <c r="J54" i="46" s="1"/>
  <c r="E18" i="42"/>
  <c r="F18" i="42" s="1"/>
  <c r="I18" i="42" s="1"/>
  <c r="J18" i="42" s="1"/>
  <c r="E31" i="42"/>
  <c r="E40" i="59"/>
  <c r="F40" i="59" s="1"/>
  <c r="I40" i="59" s="1"/>
  <c r="J40" i="59" s="1"/>
  <c r="E47" i="59"/>
  <c r="F47" i="59" s="1"/>
  <c r="I47" i="59" s="1"/>
  <c r="J47" i="59" s="1"/>
  <c r="E38" i="57"/>
  <c r="E42" i="39"/>
  <c r="F42" i="39" s="1"/>
  <c r="I42" i="39" s="1"/>
  <c r="J42" i="39" s="1"/>
  <c r="E21" i="55"/>
  <c r="E70" i="55"/>
  <c r="F70" i="55" s="1"/>
  <c r="I70" i="55" s="1"/>
  <c r="J70" i="55" s="1"/>
  <c r="E52" i="4"/>
  <c r="E52" i="48"/>
  <c r="E59" i="48"/>
  <c r="E21" i="48"/>
  <c r="E35" i="63"/>
  <c r="F35" i="63" s="1"/>
  <c r="I35" i="63" s="1"/>
  <c r="J35" i="63" s="1"/>
  <c r="E26" i="48"/>
  <c r="E21" i="110"/>
  <c r="E28" i="103"/>
  <c r="F28" i="103" s="1"/>
  <c r="I28" i="103" s="1"/>
  <c r="J28" i="103" s="1"/>
  <c r="E68" i="97"/>
  <c r="F68" i="97" s="1"/>
  <c r="I68" i="97" s="1"/>
  <c r="J68" i="97" s="1"/>
  <c r="E55" i="89"/>
  <c r="F55" i="89" s="1"/>
  <c r="I55" i="89" s="1"/>
  <c r="J55" i="89" s="1"/>
  <c r="E16" i="86"/>
  <c r="E17" i="65"/>
  <c r="F17" i="65" s="1"/>
  <c r="I17" i="65" s="1"/>
  <c r="J17" i="65" s="1"/>
  <c r="E12" i="59"/>
  <c r="F12" i="59" s="1"/>
  <c r="I12" i="59" s="1"/>
  <c r="J12" i="59" s="1"/>
  <c r="E22" i="59"/>
  <c r="F22" i="59" s="1"/>
  <c r="I22" i="59" s="1"/>
  <c r="J22" i="59" s="1"/>
  <c r="E48" i="101"/>
  <c r="F48" i="101" s="1"/>
  <c r="I48" i="101" s="1"/>
  <c r="J48" i="101" s="1"/>
  <c r="E17" i="97"/>
  <c r="F17" i="97" s="1"/>
  <c r="I17" i="97" s="1"/>
  <c r="J17" i="97" s="1"/>
  <c r="E33" i="89"/>
  <c r="F33" i="89" s="1"/>
  <c r="E69" i="46"/>
  <c r="F69" i="46" s="1"/>
  <c r="I69" i="46" s="1"/>
  <c r="J69" i="46" s="1"/>
  <c r="E16" i="61"/>
  <c r="E34" i="61"/>
  <c r="F34" i="61" s="1"/>
  <c r="I34" i="61" s="1"/>
  <c r="J34" i="61" s="1"/>
  <c r="E54" i="42"/>
  <c r="F54" i="42" s="1"/>
  <c r="I54" i="42" s="1"/>
  <c r="J54" i="42" s="1"/>
  <c r="E33" i="55"/>
  <c r="F33" i="55" s="1"/>
  <c r="I33" i="55" s="1"/>
  <c r="J33" i="55" s="1"/>
  <c r="E63" i="44"/>
  <c r="F63" i="44" s="1"/>
  <c r="I63" i="44" s="1"/>
  <c r="J63" i="44" s="1"/>
  <c r="E70" i="65"/>
  <c r="F70" i="65" s="1"/>
  <c r="I70" i="65" s="1"/>
  <c r="J70" i="65" s="1"/>
  <c r="E54" i="48"/>
  <c r="F54" i="48" s="1"/>
  <c r="I54" i="48" s="1"/>
  <c r="J54" i="48" s="1"/>
  <c r="E35" i="48"/>
  <c r="F35" i="48" s="1"/>
  <c r="I35" i="48" s="1"/>
  <c r="J35" i="48" s="1"/>
  <c r="E23" i="63"/>
  <c r="F23" i="63" s="1"/>
  <c r="I23" i="63" s="1"/>
  <c r="J23" i="63" s="1"/>
  <c r="E48" i="63"/>
  <c r="F48" i="63" s="1"/>
  <c r="E38" i="121"/>
  <c r="E68" i="115"/>
  <c r="F68" i="115" s="1"/>
  <c r="I68" i="115" s="1"/>
  <c r="J68" i="115" s="1"/>
  <c r="E26" i="113"/>
  <c r="E11" i="110"/>
  <c r="E34" i="110"/>
  <c r="F34" i="110" s="1"/>
  <c r="I34" i="110" s="1"/>
  <c r="J34" i="110" s="1"/>
  <c r="E27" i="113"/>
  <c r="F27" i="113" s="1"/>
  <c r="I27" i="113" s="1"/>
  <c r="J27" i="113" s="1"/>
  <c r="E17" i="103"/>
  <c r="F17" i="103" s="1"/>
  <c r="I17" i="103" s="1"/>
  <c r="J17" i="103" s="1"/>
  <c r="E17" i="61"/>
  <c r="F17" i="61" s="1"/>
  <c r="I17" i="61" s="1"/>
  <c r="J17" i="61" s="1"/>
  <c r="E34" i="59"/>
  <c r="F34" i="59" s="1"/>
  <c r="I34" i="59" s="1"/>
  <c r="J34" i="59" s="1"/>
  <c r="E62" i="57"/>
  <c r="F62" i="57" s="1"/>
  <c r="I62" i="57" s="1"/>
  <c r="J62" i="57" s="1"/>
  <c r="E12" i="55"/>
  <c r="F12" i="55" s="1"/>
  <c r="I12" i="55" s="1"/>
  <c r="J12" i="55" s="1"/>
  <c r="E49" i="55"/>
  <c r="F49" i="55" s="1"/>
  <c r="I49" i="55" s="1"/>
  <c r="J49" i="55" s="1"/>
  <c r="E54" i="4"/>
  <c r="F54" i="4" s="1"/>
  <c r="I54" i="4" s="1"/>
  <c r="J54" i="4" s="1"/>
  <c r="E69" i="4"/>
  <c r="F69" i="4" s="1"/>
  <c r="E27" i="101"/>
  <c r="F27" i="101" s="1"/>
  <c r="I27" i="101" s="1"/>
  <c r="J27" i="101" s="1"/>
  <c r="E69" i="94"/>
  <c r="F69" i="94" s="1"/>
  <c r="E66" i="91"/>
  <c r="E41" i="63"/>
  <c r="F41" i="63" s="1"/>
  <c r="I41" i="63" s="1"/>
  <c r="J41" i="63" s="1"/>
  <c r="E52" i="65"/>
  <c r="E41" i="44"/>
  <c r="F41" i="44" s="1"/>
  <c r="I41" i="44" s="1"/>
  <c r="J41" i="44" s="1"/>
  <c r="E12" i="44"/>
  <c r="F12" i="44" s="1"/>
  <c r="I12" i="44" s="1"/>
  <c r="J12" i="44" s="1"/>
  <c r="E21" i="46"/>
  <c r="E62" i="46"/>
  <c r="F62" i="46" s="1"/>
  <c r="I62" i="46" s="1"/>
  <c r="J62" i="46" s="1"/>
  <c r="E42" i="61"/>
  <c r="F42" i="61" s="1"/>
  <c r="I42" i="61" s="1"/>
  <c r="J42" i="61" s="1"/>
  <c r="E59" i="61"/>
  <c r="E11" i="42"/>
  <c r="E22" i="42"/>
  <c r="F22" i="42" s="1"/>
  <c r="I22" i="42" s="1"/>
  <c r="J22" i="42" s="1"/>
  <c r="E63" i="59"/>
  <c r="F63" i="59" s="1"/>
  <c r="E47" i="57"/>
  <c r="F47" i="57" s="1"/>
  <c r="I47" i="57" s="1"/>
  <c r="J47" i="57" s="1"/>
  <c r="E54" i="57"/>
  <c r="F54" i="57" s="1"/>
  <c r="I54" i="57" s="1"/>
  <c r="J54" i="57" s="1"/>
  <c r="E61" i="39"/>
  <c r="F61" i="39" s="1"/>
  <c r="I61" i="39" s="1"/>
  <c r="J61" i="39" s="1"/>
  <c r="E41" i="55"/>
  <c r="F41" i="55" s="1"/>
  <c r="I41" i="55" s="1"/>
  <c r="J41" i="55" s="1"/>
  <c r="E56" i="55"/>
  <c r="F56" i="55" s="1"/>
  <c r="I56" i="55" s="1"/>
  <c r="J56" i="55" s="1"/>
  <c r="E66" i="55"/>
  <c r="E18" i="4"/>
  <c r="F18" i="4" s="1"/>
  <c r="I18" i="4" s="1"/>
  <c r="J18" i="4" s="1"/>
  <c r="E31" i="4"/>
  <c r="E59" i="65"/>
  <c r="E49" i="48"/>
  <c r="F49" i="48" s="1"/>
  <c r="I49" i="48" s="1"/>
  <c r="J49" i="48" s="1"/>
  <c r="E31" i="48"/>
  <c r="E17" i="63"/>
  <c r="F17" i="63" s="1"/>
  <c r="I17" i="63" s="1"/>
  <c r="J17" i="63" s="1"/>
  <c r="E40" i="63"/>
  <c r="F40" i="63" s="1"/>
  <c r="I40" i="63" s="1"/>
  <c r="J40" i="63" s="1"/>
  <c r="E13" i="63"/>
  <c r="F13" i="63" s="1"/>
  <c r="I13" i="63" s="1"/>
  <c r="J13" i="63" s="1"/>
  <c r="E11" i="121"/>
  <c r="E48" i="121"/>
  <c r="F48" i="121" s="1"/>
  <c r="E54" i="115"/>
  <c r="F54" i="115" s="1"/>
  <c r="I54" i="115" s="1"/>
  <c r="J54" i="115" s="1"/>
  <c r="E11" i="94"/>
  <c r="E33" i="42"/>
  <c r="F33" i="42" s="1"/>
  <c r="I33" i="42" s="1"/>
  <c r="J33" i="42" s="1"/>
  <c r="E40" i="42"/>
  <c r="F40" i="42" s="1"/>
  <c r="I40" i="42" s="1"/>
  <c r="J40" i="42" s="1"/>
  <c r="E48" i="42"/>
  <c r="F48" i="42" s="1"/>
  <c r="I48" i="42" s="1"/>
  <c r="J48" i="42" s="1"/>
  <c r="E69" i="42"/>
  <c r="F69" i="42" s="1"/>
  <c r="I69" i="42" s="1"/>
  <c r="J69" i="42" s="1"/>
  <c r="E42" i="48"/>
  <c r="F42" i="48" s="1"/>
  <c r="I42" i="48" s="1"/>
  <c r="J42" i="48" s="1"/>
  <c r="E23" i="48"/>
  <c r="F23" i="48" s="1"/>
  <c r="I23" i="48" s="1"/>
  <c r="J23" i="48" s="1"/>
  <c r="E62" i="63"/>
  <c r="F62" i="63" s="1"/>
  <c r="I62" i="63" s="1"/>
  <c r="J62" i="63" s="1"/>
  <c r="E26" i="63"/>
  <c r="E33" i="63"/>
  <c r="F33" i="63" s="1"/>
  <c r="I33" i="94" l="1"/>
  <c r="J33" i="94" s="1"/>
  <c r="I69" i="55"/>
  <c r="J69" i="55" s="1"/>
  <c r="I55" i="117"/>
  <c r="J55" i="117" s="1"/>
  <c r="I67" i="110"/>
  <c r="J67" i="110" s="1"/>
  <c r="I53" i="117"/>
  <c r="J53" i="117" s="1"/>
  <c r="I48" i="63"/>
  <c r="J48" i="63" s="1"/>
  <c r="I61" i="115"/>
  <c r="J61" i="115" s="1"/>
  <c r="I34" i="55"/>
  <c r="J34" i="55" s="1"/>
  <c r="I63" i="61"/>
  <c r="J63" i="61" s="1"/>
  <c r="I54" i="61"/>
  <c r="J54" i="61" s="1"/>
  <c r="I35" i="101"/>
  <c r="J35" i="101" s="1"/>
  <c r="I32" i="63"/>
  <c r="J32" i="63" s="1"/>
  <c r="I46" i="57"/>
  <c r="J46" i="57" s="1"/>
  <c r="I61" i="65"/>
  <c r="J61" i="65" s="1"/>
  <c r="I47" i="86"/>
  <c r="J47" i="86" s="1"/>
  <c r="I49" i="59"/>
  <c r="J49" i="59" s="1"/>
  <c r="I35" i="119"/>
  <c r="J35" i="119" s="1"/>
  <c r="I68" i="103"/>
  <c r="J68" i="103" s="1"/>
  <c r="I60" i="89"/>
  <c r="J60" i="89" s="1"/>
  <c r="I74" i="57"/>
  <c r="J74" i="57" s="1"/>
  <c r="I74" i="101"/>
  <c r="J74" i="101" s="1"/>
  <c r="I54" i="55"/>
  <c r="J54" i="55" s="1"/>
  <c r="I33" i="110"/>
  <c r="J33" i="110" s="1"/>
  <c r="I41" i="110"/>
  <c r="J41" i="110" s="1"/>
  <c r="I69" i="101"/>
  <c r="J69" i="101" s="1"/>
  <c r="I48" i="110"/>
  <c r="J48" i="110" s="1"/>
  <c r="I48" i="57"/>
  <c r="J48" i="57" s="1"/>
  <c r="I67" i="42"/>
  <c r="J67" i="42" s="1"/>
  <c r="I74" i="113"/>
  <c r="J74" i="113" s="1"/>
  <c r="I48" i="121"/>
  <c r="J48" i="121" s="1"/>
  <c r="I41" i="117"/>
  <c r="J41" i="117" s="1"/>
  <c r="I49" i="57"/>
  <c r="J49" i="57" s="1"/>
  <c r="I49" i="89"/>
  <c r="J49" i="89" s="1"/>
  <c r="I35" i="57"/>
  <c r="J35" i="57" s="1"/>
  <c r="I40" i="89"/>
  <c r="J40" i="89" s="1"/>
  <c r="I35" i="46"/>
  <c r="J35" i="46" s="1"/>
  <c r="I61" i="61"/>
  <c r="J61" i="61" s="1"/>
  <c r="I33" i="57"/>
  <c r="J33" i="57" s="1"/>
  <c r="I47" i="117"/>
  <c r="J47" i="117" s="1"/>
  <c r="I63" i="121"/>
  <c r="J63" i="121" s="1"/>
  <c r="I62" i="115"/>
  <c r="J62" i="115" s="1"/>
  <c r="I63" i="97"/>
  <c r="J63" i="97" s="1"/>
  <c r="I32" i="46"/>
  <c r="J32" i="46" s="1"/>
  <c r="I32" i="89"/>
  <c r="J32" i="89" s="1"/>
  <c r="I46" i="86"/>
  <c r="J46" i="86" s="1"/>
  <c r="I46" i="121"/>
  <c r="J46" i="121" s="1"/>
  <c r="I69" i="4"/>
  <c r="J69" i="4" s="1"/>
  <c r="I41" i="4"/>
  <c r="J41" i="4" s="1"/>
  <c r="I40" i="121"/>
  <c r="J40" i="121" s="1"/>
  <c r="I55" i="101"/>
  <c r="J55" i="101" s="1"/>
  <c r="I46" i="59"/>
  <c r="J46" i="59" s="1"/>
  <c r="I35" i="94"/>
  <c r="J35" i="94" s="1"/>
  <c r="I54" i="89"/>
  <c r="J54" i="89" s="1"/>
  <c r="I48" i="61"/>
  <c r="J48" i="61" s="1"/>
  <c r="I47" i="89"/>
  <c r="J47" i="89" s="1"/>
  <c r="I55" i="119"/>
  <c r="J55" i="119" s="1"/>
  <c r="I61" i="97"/>
  <c r="J61" i="97" s="1"/>
  <c r="I60" i="63"/>
  <c r="J60" i="63" s="1"/>
  <c r="I39" i="42"/>
  <c r="J39" i="42" s="1"/>
  <c r="I60" i="44"/>
  <c r="J60" i="44" s="1"/>
  <c r="I53" i="65"/>
  <c r="J53" i="65" s="1"/>
  <c r="I46" i="44"/>
  <c r="J46" i="44" s="1"/>
  <c r="I32" i="119"/>
  <c r="J32" i="119" s="1"/>
  <c r="I33" i="86"/>
  <c r="J33" i="86" s="1"/>
  <c r="I77" i="97"/>
  <c r="J77" i="97" s="1"/>
  <c r="I63" i="39"/>
  <c r="J63" i="39" s="1"/>
  <c r="I68" i="44"/>
  <c r="J68" i="44" s="1"/>
  <c r="I33" i="63"/>
  <c r="J33" i="63" s="1"/>
  <c r="I61" i="101"/>
  <c r="J61" i="101" s="1"/>
  <c r="I69" i="63"/>
  <c r="J69" i="63" s="1"/>
  <c r="I62" i="113"/>
  <c r="J62" i="113" s="1"/>
  <c r="I33" i="39"/>
  <c r="J33" i="39" s="1"/>
  <c r="I77" i="117"/>
  <c r="J77" i="117" s="1"/>
  <c r="I61" i="55"/>
  <c r="J61" i="55" s="1"/>
  <c r="I55" i="4"/>
  <c r="J55" i="4" s="1"/>
  <c r="I39" i="46"/>
  <c r="J39" i="46" s="1"/>
  <c r="I33" i="89"/>
  <c r="J33" i="89" s="1"/>
  <c r="I33" i="48"/>
  <c r="J33" i="48" s="1"/>
  <c r="I55" i="42"/>
  <c r="J55" i="42" s="1"/>
  <c r="I60" i="65"/>
  <c r="J60" i="65" s="1"/>
  <c r="I53" i="91"/>
  <c r="J53" i="91" s="1"/>
  <c r="I69" i="94"/>
  <c r="J69" i="94" s="1"/>
  <c r="I69" i="48"/>
  <c r="J69" i="48" s="1"/>
  <c r="I47" i="103"/>
  <c r="J47" i="103" s="1"/>
  <c r="I34" i="65"/>
  <c r="J34" i="65" s="1"/>
  <c r="I54" i="44"/>
  <c r="J54" i="44" s="1"/>
  <c r="I46" i="63"/>
  <c r="J46" i="63" s="1"/>
  <c r="I53" i="103"/>
  <c r="J53" i="103" s="1"/>
  <c r="I60" i="94"/>
  <c r="J60" i="94" s="1"/>
  <c r="I60" i="117"/>
  <c r="J60" i="117" s="1"/>
  <c r="I63" i="59"/>
  <c r="J63" i="59" s="1"/>
  <c r="I69" i="59"/>
  <c r="J69" i="59" s="1"/>
  <c r="I68" i="63"/>
  <c r="J68" i="63" s="1"/>
  <c r="I49" i="42"/>
  <c r="J49" i="42" s="1"/>
  <c r="I48" i="115"/>
  <c r="J48" i="115" s="1"/>
  <c r="I63" i="63"/>
  <c r="J63" i="63" s="1"/>
  <c r="I40" i="94"/>
  <c r="J40" i="94" s="1"/>
  <c r="I48" i="55"/>
  <c r="J48" i="55" s="1"/>
  <c r="I49" i="94"/>
  <c r="J49" i="94" s="1"/>
  <c r="I69" i="115"/>
  <c r="J69" i="115" s="1"/>
  <c r="I53" i="48"/>
  <c r="J53" i="48" s="1"/>
  <c r="I67" i="46"/>
  <c r="J67" i="46" s="1"/>
  <c r="I39" i="119"/>
  <c r="J39" i="119" s="1"/>
  <c r="I67" i="119"/>
  <c r="J67" i="119" s="1"/>
  <c r="I60" i="110"/>
  <c r="J60" i="110" s="1"/>
  <c r="I40" i="117"/>
  <c r="J40" i="117" s="1"/>
  <c r="I55" i="115"/>
  <c r="J55" i="115" s="1"/>
  <c r="I74" i="39"/>
  <c r="J74" i="39" s="1"/>
  <c r="I39" i="94"/>
  <c r="J39" i="94" s="1"/>
  <c r="I39" i="110"/>
  <c r="J39" i="110" s="1"/>
  <c r="I49" i="86"/>
  <c r="J49" i="86" s="1"/>
  <c r="I47" i="65"/>
  <c r="J47" i="65" s="1"/>
  <c r="I33" i="65"/>
  <c r="J33" i="65" s="1"/>
  <c r="I69" i="110"/>
  <c r="J69" i="110" s="1"/>
  <c r="I33" i="117"/>
  <c r="J33" i="117" s="1"/>
  <c r="I63" i="103"/>
  <c r="J63" i="103" s="1"/>
  <c r="I47" i="101"/>
  <c r="J47" i="101" s="1"/>
  <c r="I74" i="97"/>
  <c r="J74" i="97" s="1"/>
  <c r="I67" i="39"/>
  <c r="J67" i="39" s="1"/>
  <c r="I60" i="101"/>
  <c r="J60" i="101" s="1"/>
  <c r="I53" i="113"/>
  <c r="J53" i="113" s="1"/>
  <c r="I32" i="97"/>
  <c r="J32" i="97" s="1"/>
  <c r="H17" i="16" l="1"/>
  <c r="H14" i="16" l="1"/>
  <c r="H15" i="16"/>
  <c r="H16" i="16" l="1"/>
  <c r="B25" i="109" l="1"/>
  <c r="B25" i="104"/>
  <c r="B26" i="85"/>
  <c r="A26" i="85" s="1"/>
  <c r="B25" i="114"/>
  <c r="B25" i="88"/>
  <c r="B25" i="90"/>
  <c r="B26" i="76"/>
  <c r="A26" i="76" s="1"/>
  <c r="B25" i="73"/>
  <c r="B25" i="76"/>
  <c r="B25" i="116"/>
  <c r="B25" i="95"/>
  <c r="B25" i="74"/>
  <c r="B26" i="112"/>
  <c r="A26" i="112" s="1"/>
  <c r="B25" i="125"/>
  <c r="B25" i="71"/>
  <c r="B26" i="95"/>
  <c r="A26" i="95" s="1"/>
  <c r="B25" i="68"/>
  <c r="B25" i="77"/>
  <c r="B26" i="72"/>
  <c r="A26" i="72" s="1"/>
  <c r="B26" i="90"/>
  <c r="A26" i="90" s="1"/>
  <c r="B26" i="118"/>
  <c r="A26" i="118" s="1"/>
  <c r="B26" i="70"/>
  <c r="A26" i="70" s="1"/>
  <c r="B26" i="109"/>
  <c r="A26" i="109" s="1"/>
  <c r="B25" i="72"/>
  <c r="B26" i="71"/>
  <c r="A26" i="71" s="1"/>
  <c r="B25" i="120"/>
  <c r="B26" i="68"/>
  <c r="A26" i="68" s="1"/>
  <c r="B25" i="118"/>
  <c r="B25" i="70"/>
  <c r="B26" i="116"/>
  <c r="A26" i="116" s="1"/>
  <c r="B26" i="88"/>
  <c r="A26" i="88" s="1"/>
  <c r="B25" i="85"/>
  <c r="B25" i="78"/>
  <c r="B26" i="77"/>
  <c r="A26" i="77" s="1"/>
  <c r="B26" i="114"/>
  <c r="A26" i="114" s="1"/>
  <c r="B25" i="69"/>
  <c r="B26" i="67"/>
  <c r="A26" i="67" s="1"/>
  <c r="B26" i="104"/>
  <c r="A26" i="104" s="1"/>
  <c r="B26" i="73"/>
  <c r="A26" i="73" s="1"/>
  <c r="B26" i="120"/>
  <c r="A26" i="120" s="1"/>
  <c r="B26" i="96"/>
  <c r="A26" i="96" s="1"/>
  <c r="B25" i="96"/>
  <c r="B25" i="112"/>
  <c r="B26" i="74"/>
  <c r="A26" i="74" s="1"/>
  <c r="B25" i="67"/>
  <c r="B26" i="78"/>
  <c r="A26" i="78" s="1"/>
  <c r="B26" i="79"/>
  <c r="A26" i="79" s="1"/>
  <c r="B26" i="69"/>
  <c r="A26" i="69" s="1"/>
  <c r="B26" i="125"/>
  <c r="A26" i="125" s="1"/>
  <c r="B25" i="79"/>
  <c r="B38" i="96"/>
  <c r="B38" i="76"/>
  <c r="B38" i="109"/>
  <c r="B39" i="85"/>
  <c r="A39" i="85" s="1"/>
  <c r="B39" i="90"/>
  <c r="A39" i="90" s="1"/>
  <c r="B38" i="70"/>
  <c r="B39" i="96"/>
  <c r="A39" i="96" s="1"/>
  <c r="B38" i="73"/>
  <c r="A39" i="125"/>
  <c r="B38" i="71"/>
  <c r="B39" i="70"/>
  <c r="A39" i="70" s="1"/>
  <c r="B39" i="78"/>
  <c r="A39" i="78" s="1"/>
  <c r="B38" i="88"/>
  <c r="B39" i="118"/>
  <c r="A39" i="118" s="1"/>
  <c r="B38" i="118"/>
  <c r="B38" i="68"/>
  <c r="B38" i="72"/>
  <c r="A38" i="72" s="1"/>
  <c r="B39" i="120"/>
  <c r="A39" i="120" s="1"/>
  <c r="B38" i="95"/>
  <c r="B38" i="90"/>
  <c r="B39" i="73"/>
  <c r="A39" i="73" s="1"/>
  <c r="B39" i="67"/>
  <c r="A39" i="67" s="1"/>
  <c r="B39" i="72"/>
  <c r="A39" i="72" s="1"/>
  <c r="B38" i="120"/>
  <c r="A38" i="120" s="1"/>
  <c r="B38" i="77"/>
  <c r="A38" i="77" s="1"/>
  <c r="B38" i="67"/>
  <c r="B38" i="104"/>
  <c r="B38" i="116"/>
  <c r="B39" i="68"/>
  <c r="A39" i="68" s="1"/>
  <c r="B39" i="69"/>
  <c r="A39" i="69" s="1"/>
  <c r="B38" i="79"/>
  <c r="B38" i="74"/>
  <c r="B39" i="95"/>
  <c r="A39" i="95" s="1"/>
  <c r="B38" i="78"/>
  <c r="B39" i="104"/>
  <c r="A39" i="104" s="1"/>
  <c r="B38" i="114"/>
  <c r="B39" i="116"/>
  <c r="A39" i="116" s="1"/>
  <c r="B39" i="79"/>
  <c r="A39" i="79" s="1"/>
  <c r="B38" i="112"/>
  <c r="B38" i="85"/>
  <c r="B39" i="114"/>
  <c r="A39" i="114" s="1"/>
  <c r="B39" i="74"/>
  <c r="A39" i="74" s="1"/>
  <c r="B39" i="71"/>
  <c r="A39" i="71" s="1"/>
  <c r="B39" i="112"/>
  <c r="A39" i="112" s="1"/>
  <c r="B39" i="88"/>
  <c r="A39" i="88" s="1"/>
  <c r="B39" i="109"/>
  <c r="A39" i="109" s="1"/>
  <c r="B38" i="69"/>
  <c r="B39" i="76"/>
  <c r="A39" i="76" s="1"/>
  <c r="B39" i="77"/>
  <c r="A39" i="77" s="1"/>
  <c r="A25" i="95" l="1"/>
  <c r="C31" i="94"/>
  <c r="C31" i="117"/>
  <c r="A25" i="116"/>
  <c r="A25" i="67"/>
  <c r="C31" i="59"/>
  <c r="A25" i="78"/>
  <c r="C31" i="65"/>
  <c r="C31" i="44"/>
  <c r="A25" i="76"/>
  <c r="A38" i="70"/>
  <c r="C31" i="86"/>
  <c r="A25" i="85"/>
  <c r="A25" i="73"/>
  <c r="C31" i="39"/>
  <c r="A38" i="90"/>
  <c r="C31" i="113"/>
  <c r="A25" i="112"/>
  <c r="C31" i="61"/>
  <c r="A25" i="69"/>
  <c r="J15" i="16"/>
  <c r="I15" i="16"/>
  <c r="A38" i="79"/>
  <c r="A38" i="85"/>
  <c r="A38" i="116"/>
  <c r="A38" i="68"/>
  <c r="C31" i="97"/>
  <c r="A25" i="96"/>
  <c r="A25" i="77"/>
  <c r="C31" i="63"/>
  <c r="A25" i="90"/>
  <c r="C31" i="91"/>
  <c r="A25" i="88"/>
  <c r="C31" i="89"/>
  <c r="A38" i="71"/>
  <c r="A38" i="74"/>
  <c r="A38" i="67"/>
  <c r="A38" i="76"/>
  <c r="A25" i="118"/>
  <c r="C31" i="119"/>
  <c r="A25" i="114"/>
  <c r="C31" i="115"/>
  <c r="A38" i="88"/>
  <c r="A38" i="96"/>
  <c r="A25" i="71"/>
  <c r="C31" i="4"/>
  <c r="A38" i="78"/>
  <c r="A25" i="74"/>
  <c r="C31" i="57"/>
  <c r="A38" i="112"/>
  <c r="A38" i="104"/>
  <c r="A38" i="118"/>
  <c r="A38" i="109"/>
  <c r="C31" i="42"/>
  <c r="A25" i="68"/>
  <c r="I14" i="16"/>
  <c r="J14" i="16"/>
  <c r="A38" i="69"/>
  <c r="A38" i="114"/>
  <c r="A25" i="79"/>
  <c r="C31" i="48"/>
  <c r="C31" i="121"/>
  <c r="A25" i="120"/>
  <c r="A25" i="125"/>
  <c r="C31" i="101"/>
  <c r="A25" i="104"/>
  <c r="C31" i="103"/>
  <c r="A25" i="72"/>
  <c r="C31" i="55"/>
  <c r="A38" i="73"/>
  <c r="B53" i="69"/>
  <c r="B54" i="114"/>
  <c r="A54" i="114" s="1"/>
  <c r="B54" i="71"/>
  <c r="A54" i="71" s="1"/>
  <c r="B53" i="114"/>
  <c r="B54" i="77"/>
  <c r="A54" i="77" s="1"/>
  <c r="B53" i="71"/>
  <c r="B54" i="96"/>
  <c r="A54" i="96" s="1"/>
  <c r="B54" i="116"/>
  <c r="A54" i="116" s="1"/>
  <c r="B53" i="77"/>
  <c r="B53" i="120"/>
  <c r="B54" i="120"/>
  <c r="A54" i="120" s="1"/>
  <c r="B54" i="73"/>
  <c r="A54" i="73" s="1"/>
  <c r="B54" i="68"/>
  <c r="A54" i="68" s="1"/>
  <c r="B53" i="74"/>
  <c r="B54" i="76"/>
  <c r="A54" i="76" s="1"/>
  <c r="B54" i="67"/>
  <c r="A54" i="67" s="1"/>
  <c r="B53" i="118"/>
  <c r="B53" i="109"/>
  <c r="B53" i="67"/>
  <c r="B53" i="73"/>
  <c r="B53" i="88"/>
  <c r="B54" i="90"/>
  <c r="A54" i="90" s="1"/>
  <c r="B53" i="72"/>
  <c r="B54" i="125"/>
  <c r="A54" i="125" s="1"/>
  <c r="B53" i="125"/>
  <c r="B54" i="79"/>
  <c r="A54" i="79" s="1"/>
  <c r="B54" i="88"/>
  <c r="A54" i="88" s="1"/>
  <c r="B53" i="112"/>
  <c r="B53" i="90"/>
  <c r="B54" i="72"/>
  <c r="A54" i="72" s="1"/>
  <c r="B54" i="109"/>
  <c r="A54" i="109" s="1"/>
  <c r="B53" i="95"/>
  <c r="B53" i="76"/>
  <c r="B53" i="96"/>
  <c r="B54" i="69"/>
  <c r="A54" i="69" s="1"/>
  <c r="B54" i="112"/>
  <c r="A54" i="112" s="1"/>
  <c r="B54" i="104"/>
  <c r="A54" i="104" s="1"/>
  <c r="B53" i="85"/>
  <c r="B53" i="104"/>
  <c r="B53" i="116"/>
  <c r="B54" i="118"/>
  <c r="A54" i="118" s="1"/>
  <c r="B53" i="70"/>
  <c r="B54" i="78"/>
  <c r="A54" i="78" s="1"/>
  <c r="B54" i="70"/>
  <c r="A54" i="70" s="1"/>
  <c r="B54" i="95"/>
  <c r="A54" i="95" s="1"/>
  <c r="B54" i="85"/>
  <c r="A54" i="85" s="1"/>
  <c r="B53" i="78"/>
  <c r="A53" i="78" s="1"/>
  <c r="B53" i="68"/>
  <c r="B54" i="74"/>
  <c r="A54" i="74" s="1"/>
  <c r="B53" i="79"/>
  <c r="A38" i="95"/>
  <c r="C31" i="46"/>
  <c r="A25" i="70"/>
  <c r="J16" i="16"/>
  <c r="I16" i="16"/>
  <c r="A38" i="125"/>
  <c r="A25" i="109"/>
  <c r="C31" i="110"/>
  <c r="A53" i="118" l="1"/>
  <c r="A53" i="112"/>
  <c r="A53" i="85"/>
  <c r="C32" i="4"/>
  <c r="D23" i="71"/>
  <c r="C32" i="97"/>
  <c r="D23" i="96"/>
  <c r="D23" i="69"/>
  <c r="C32" i="61"/>
  <c r="I17" i="16"/>
  <c r="J17" i="16"/>
  <c r="A53" i="125"/>
  <c r="A53" i="69"/>
  <c r="C32" i="48"/>
  <c r="D23" i="79"/>
  <c r="D23" i="76"/>
  <c r="C32" i="44"/>
  <c r="D23" i="68"/>
  <c r="C32" i="42"/>
  <c r="C32" i="113"/>
  <c r="D23" i="112"/>
  <c r="A53" i="90"/>
  <c r="A53" i="116"/>
  <c r="A53" i="104"/>
  <c r="C32" i="63"/>
  <c r="D23" i="77"/>
  <c r="A53" i="68"/>
  <c r="D23" i="109"/>
  <c r="C32" i="110"/>
  <c r="A53" i="72"/>
  <c r="A53" i="96"/>
  <c r="A53" i="120"/>
  <c r="C32" i="65"/>
  <c r="D23" i="78"/>
  <c r="B99" i="120"/>
  <c r="A99" i="120" s="1"/>
  <c r="B83" i="90"/>
  <c r="B95" i="104"/>
  <c r="A95" i="104" s="1"/>
  <c r="B83" i="104"/>
  <c r="A83" i="104" s="1"/>
  <c r="B96" i="116"/>
  <c r="A96" i="116" s="1"/>
  <c r="B99" i="112"/>
  <c r="A99" i="112" s="1"/>
  <c r="B95" i="120"/>
  <c r="B99" i="116"/>
  <c r="A99" i="116" s="1"/>
  <c r="B95" i="125"/>
  <c r="A95" i="125" s="1"/>
  <c r="B95" i="68"/>
  <c r="A95" i="68" s="1"/>
  <c r="B98" i="96"/>
  <c r="A98" i="96" s="1"/>
  <c r="B98" i="120"/>
  <c r="A98" i="120" s="1"/>
  <c r="B97" i="95"/>
  <c r="A97" i="95" s="1"/>
  <c r="B97" i="118"/>
  <c r="A97" i="118" s="1"/>
  <c r="B97" i="74"/>
  <c r="A97" i="74" s="1"/>
  <c r="B97" i="116"/>
  <c r="A97" i="116" s="1"/>
  <c r="B98" i="74"/>
  <c r="A98" i="74" s="1"/>
  <c r="B98" i="112"/>
  <c r="A98" i="112" s="1"/>
  <c r="B97" i="69"/>
  <c r="A97" i="69" s="1"/>
  <c r="B97" i="88"/>
  <c r="A97" i="88" s="1"/>
  <c r="B96" i="118"/>
  <c r="A96" i="118" s="1"/>
  <c r="B98" i="77"/>
  <c r="A98" i="77" s="1"/>
  <c r="B95" i="69"/>
  <c r="A95" i="69" s="1"/>
  <c r="B96" i="79"/>
  <c r="A96" i="79" s="1"/>
  <c r="B98" i="90"/>
  <c r="A98" i="90" s="1"/>
  <c r="B95" i="67"/>
  <c r="A95" i="67" s="1"/>
  <c r="B96" i="76"/>
  <c r="A96" i="76" s="1"/>
  <c r="B97" i="120"/>
  <c r="A97" i="120" s="1"/>
  <c r="B98" i="78"/>
  <c r="A98" i="78" s="1"/>
  <c r="B98" i="71"/>
  <c r="A98" i="71" s="1"/>
  <c r="B96" i="104"/>
  <c r="A96" i="104" s="1"/>
  <c r="B97" i="112"/>
  <c r="A97" i="112" s="1"/>
  <c r="B98" i="118"/>
  <c r="A98" i="118" s="1"/>
  <c r="B96" i="112"/>
  <c r="A96" i="112" s="1"/>
  <c r="B98" i="114"/>
  <c r="A98" i="114" s="1"/>
  <c r="B95" i="88"/>
  <c r="A95" i="88" s="1"/>
  <c r="B98" i="125"/>
  <c r="A98" i="125" s="1"/>
  <c r="B97" i="76"/>
  <c r="A97" i="76" s="1"/>
  <c r="B97" i="73"/>
  <c r="A97" i="73" s="1"/>
  <c r="B98" i="116"/>
  <c r="A98" i="116" s="1"/>
  <c r="B97" i="67"/>
  <c r="A97" i="67" s="1"/>
  <c r="B95" i="109"/>
  <c r="A95" i="109" s="1"/>
  <c r="B95" i="114"/>
  <c r="A95" i="114" s="1"/>
  <c r="B98" i="109"/>
  <c r="A98" i="109" s="1"/>
  <c r="B97" i="68"/>
  <c r="A97" i="68" s="1"/>
  <c r="B97" i="71"/>
  <c r="A97" i="71" s="1"/>
  <c r="B97" i="90"/>
  <c r="A97" i="90" s="1"/>
  <c r="B97" i="72"/>
  <c r="A97" i="72" s="1"/>
  <c r="B96" i="95"/>
  <c r="A96" i="95" s="1"/>
  <c r="B97" i="77"/>
  <c r="A97" i="77" s="1"/>
  <c r="B96" i="67"/>
  <c r="A96" i="67" s="1"/>
  <c r="B97" i="70"/>
  <c r="A97" i="70" s="1"/>
  <c r="B97" i="78"/>
  <c r="A97" i="78" s="1"/>
  <c r="B95" i="73"/>
  <c r="A95" i="73" s="1"/>
  <c r="B95" i="71"/>
  <c r="A95" i="71" s="1"/>
  <c r="B98" i="85"/>
  <c r="A98" i="85" s="1"/>
  <c r="B96" i="109"/>
  <c r="A96" i="109" s="1"/>
  <c r="B95" i="74"/>
  <c r="A95" i="74" s="1"/>
  <c r="B98" i="95"/>
  <c r="A98" i="95" s="1"/>
  <c r="B96" i="69"/>
  <c r="A96" i="69" s="1"/>
  <c r="B98" i="79"/>
  <c r="A98" i="79" s="1"/>
  <c r="B97" i="85"/>
  <c r="A97" i="85" s="1"/>
  <c r="B98" i="69"/>
  <c r="A98" i="69" s="1"/>
  <c r="B96" i="77"/>
  <c r="A96" i="77" s="1"/>
  <c r="B97" i="79"/>
  <c r="A97" i="79" s="1"/>
  <c r="B96" i="68"/>
  <c r="A96" i="68" s="1"/>
  <c r="B98" i="88"/>
  <c r="A98" i="88" s="1"/>
  <c r="B96" i="125"/>
  <c r="A96" i="125" s="1"/>
  <c r="B97" i="96"/>
  <c r="A97" i="96" s="1"/>
  <c r="B98" i="70"/>
  <c r="A98" i="70" s="1"/>
  <c r="B95" i="112"/>
  <c r="B96" i="78"/>
  <c r="A96" i="78" s="1"/>
  <c r="B96" i="70"/>
  <c r="A96" i="70" s="1"/>
  <c r="B98" i="104"/>
  <c r="A98" i="104" s="1"/>
  <c r="B96" i="90"/>
  <c r="A96" i="90" s="1"/>
  <c r="B98" i="76"/>
  <c r="A98" i="76" s="1"/>
  <c r="B98" i="67"/>
  <c r="A98" i="67" s="1"/>
  <c r="B96" i="120"/>
  <c r="A96" i="120" s="1"/>
  <c r="B98" i="73"/>
  <c r="A98" i="73" s="1"/>
  <c r="B97" i="109"/>
  <c r="A97" i="109" s="1"/>
  <c r="B96" i="85"/>
  <c r="A96" i="85" s="1"/>
  <c r="B97" i="104"/>
  <c r="A97" i="104" s="1"/>
  <c r="B95" i="96"/>
  <c r="A95" i="96" s="1"/>
  <c r="B95" i="72"/>
  <c r="A95" i="72" s="1"/>
  <c r="B97" i="114"/>
  <c r="A97" i="114" s="1"/>
  <c r="B97" i="125"/>
  <c r="A97" i="125" s="1"/>
  <c r="B98" i="72"/>
  <c r="A98" i="72" s="1"/>
  <c r="B98" i="68"/>
  <c r="A98" i="68" s="1"/>
  <c r="B95" i="116"/>
  <c r="B95" i="95"/>
  <c r="A95" i="95" s="1"/>
  <c r="B83" i="95"/>
  <c r="A83" i="95" s="1"/>
  <c r="B96" i="96"/>
  <c r="A96" i="96" s="1"/>
  <c r="B84" i="96"/>
  <c r="A84" i="96" s="1"/>
  <c r="B64" i="78"/>
  <c r="B65" i="69"/>
  <c r="A65" i="69" s="1"/>
  <c r="B75" i="116"/>
  <c r="A75" i="116" s="1"/>
  <c r="B65" i="78"/>
  <c r="A65" i="78" s="1"/>
  <c r="B75" i="109"/>
  <c r="A75" i="109" s="1"/>
  <c r="B74" i="90"/>
  <c r="B74" i="114"/>
  <c r="A74" i="114" s="1"/>
  <c r="B74" i="120"/>
  <c r="B64" i="68"/>
  <c r="B74" i="71"/>
  <c r="A74" i="71" s="1"/>
  <c r="B64" i="118"/>
  <c r="B65" i="85"/>
  <c r="A65" i="85" s="1"/>
  <c r="B75" i="73"/>
  <c r="A75" i="73" s="1"/>
  <c r="B74" i="74"/>
  <c r="A74" i="74" s="1"/>
  <c r="B64" i="74"/>
  <c r="B64" i="67"/>
  <c r="B74" i="95"/>
  <c r="A74" i="95" s="1"/>
  <c r="B75" i="120"/>
  <c r="A75" i="120" s="1"/>
  <c r="B75" i="69"/>
  <c r="A75" i="69" s="1"/>
  <c r="B75" i="71"/>
  <c r="A75" i="71" s="1"/>
  <c r="B64" i="120"/>
  <c r="B75" i="85"/>
  <c r="A75" i="85" s="1"/>
  <c r="B74" i="104"/>
  <c r="A74" i="104" s="1"/>
  <c r="B65" i="76"/>
  <c r="A65" i="76" s="1"/>
  <c r="B75" i="70"/>
  <c r="A75" i="70" s="1"/>
  <c r="B64" i="109"/>
  <c r="B75" i="95"/>
  <c r="A75" i="95" s="1"/>
  <c r="B75" i="67"/>
  <c r="A75" i="67" s="1"/>
  <c r="B74" i="77"/>
  <c r="B64" i="104"/>
  <c r="B65" i="114"/>
  <c r="A65" i="114" s="1"/>
  <c r="B64" i="88"/>
  <c r="B65" i="77"/>
  <c r="A65" i="77" s="1"/>
  <c r="B74" i="67"/>
  <c r="A74" i="67" s="1"/>
  <c r="B74" i="72"/>
  <c r="A74" i="72" s="1"/>
  <c r="B75" i="104"/>
  <c r="A75" i="104" s="1"/>
  <c r="B64" i="112"/>
  <c r="B64" i="71"/>
  <c r="B65" i="67"/>
  <c r="A65" i="67" s="1"/>
  <c r="B74" i="118"/>
  <c r="A74" i="118" s="1"/>
  <c r="B65" i="120"/>
  <c r="A65" i="120" s="1"/>
  <c r="B65" i="116"/>
  <c r="A65" i="116" s="1"/>
  <c r="B75" i="90"/>
  <c r="A75" i="90" s="1"/>
  <c r="B64" i="114"/>
  <c r="B74" i="88"/>
  <c r="A74" i="88" s="1"/>
  <c r="B74" i="116"/>
  <c r="B65" i="125"/>
  <c r="A65" i="125" s="1"/>
  <c r="B74" i="78"/>
  <c r="A74" i="78" s="1"/>
  <c r="B65" i="95"/>
  <c r="A65" i="95" s="1"/>
  <c r="B74" i="109"/>
  <c r="A74" i="109" s="1"/>
  <c r="B74" i="69"/>
  <c r="A74" i="69" s="1"/>
  <c r="B65" i="70"/>
  <c r="A65" i="70" s="1"/>
  <c r="B75" i="79"/>
  <c r="A75" i="79" s="1"/>
  <c r="B75" i="77"/>
  <c r="A75" i="77" s="1"/>
  <c r="B75" i="88"/>
  <c r="A75" i="88" s="1"/>
  <c r="B75" i="118"/>
  <c r="A75" i="118" s="1"/>
  <c r="B65" i="73"/>
  <c r="A65" i="73" s="1"/>
  <c r="B75" i="112"/>
  <c r="A75" i="112" s="1"/>
  <c r="B75" i="74"/>
  <c r="A75" i="74" s="1"/>
  <c r="B65" i="96"/>
  <c r="A65" i="96" s="1"/>
  <c r="B74" i="70"/>
  <c r="A74" i="70" s="1"/>
  <c r="B65" i="90"/>
  <c r="A65" i="90" s="1"/>
  <c r="B65" i="104"/>
  <c r="A65" i="104" s="1"/>
  <c r="B64" i="73"/>
  <c r="B64" i="72"/>
  <c r="B74" i="96"/>
  <c r="A74" i="96" s="1"/>
  <c r="B75" i="114"/>
  <c r="A75" i="114" s="1"/>
  <c r="B74" i="112"/>
  <c r="B65" i="109"/>
  <c r="A65" i="109" s="1"/>
  <c r="B64" i="96"/>
  <c r="B74" i="85"/>
  <c r="A74" i="85" s="1"/>
  <c r="B75" i="68"/>
  <c r="A75" i="68" s="1"/>
  <c r="B75" i="96"/>
  <c r="A75" i="96" s="1"/>
  <c r="B65" i="118"/>
  <c r="A65" i="118" s="1"/>
  <c r="B74" i="125"/>
  <c r="A74" i="125" s="1"/>
  <c r="B75" i="125"/>
  <c r="A75" i="125" s="1"/>
  <c r="B74" i="73"/>
  <c r="A74" i="73" s="1"/>
  <c r="B74" i="79"/>
  <c r="B64" i="69"/>
  <c r="B75" i="72"/>
  <c r="A75" i="72" s="1"/>
  <c r="B75" i="78"/>
  <c r="A75" i="78" s="1"/>
  <c r="B75" i="76"/>
  <c r="A75" i="76" s="1"/>
  <c r="B65" i="112"/>
  <c r="A65" i="112" s="1"/>
  <c r="B65" i="68"/>
  <c r="A65" i="68" s="1"/>
  <c r="B65" i="79"/>
  <c r="A65" i="79" s="1"/>
  <c r="B64" i="95"/>
  <c r="B64" i="116"/>
  <c r="B74" i="76"/>
  <c r="A74" i="76" s="1"/>
  <c r="B84" i="78"/>
  <c r="A84" i="78" s="1"/>
  <c r="B84" i="67"/>
  <c r="A84" i="67" s="1"/>
  <c r="B83" i="72"/>
  <c r="A83" i="72" s="1"/>
  <c r="B83" i="116"/>
  <c r="B83" i="96"/>
  <c r="A83" i="96" s="1"/>
  <c r="B84" i="85"/>
  <c r="A84" i="85" s="1"/>
  <c r="B83" i="68"/>
  <c r="A83" i="68" s="1"/>
  <c r="B84" i="90"/>
  <c r="A84" i="90" s="1"/>
  <c r="B83" i="73"/>
  <c r="A83" i="73" s="1"/>
  <c r="B84" i="79"/>
  <c r="A84" i="79" s="1"/>
  <c r="B84" i="118"/>
  <c r="A84" i="118" s="1"/>
  <c r="B84" i="104"/>
  <c r="A84" i="104" s="1"/>
  <c r="B84" i="120"/>
  <c r="A84" i="120" s="1"/>
  <c r="B83" i="69"/>
  <c r="A83" i="69" s="1"/>
  <c r="B84" i="109"/>
  <c r="A84" i="109" s="1"/>
  <c r="B83" i="74"/>
  <c r="A83" i="74" s="1"/>
  <c r="B83" i="71"/>
  <c r="A83" i="71" s="1"/>
  <c r="B83" i="67"/>
  <c r="A83" i="67" s="1"/>
  <c r="B84" i="70"/>
  <c r="A84" i="70" s="1"/>
  <c r="B83" i="112"/>
  <c r="B84" i="68"/>
  <c r="A84" i="68" s="1"/>
  <c r="B84" i="69"/>
  <c r="A84" i="69" s="1"/>
  <c r="B83" i="109"/>
  <c r="A83" i="109" s="1"/>
  <c r="B84" i="76"/>
  <c r="A84" i="76" s="1"/>
  <c r="B84" i="125"/>
  <c r="A84" i="125" s="1"/>
  <c r="B84" i="95"/>
  <c r="A84" i="95" s="1"/>
  <c r="B84" i="77"/>
  <c r="A84" i="77" s="1"/>
  <c r="B83" i="114"/>
  <c r="A83" i="114" s="1"/>
  <c r="B83" i="88"/>
  <c r="A83" i="88" s="1"/>
  <c r="B84" i="112"/>
  <c r="A84" i="112" s="1"/>
  <c r="B74" i="68"/>
  <c r="A74" i="68" s="1"/>
  <c r="B64" i="85"/>
  <c r="B64" i="70"/>
  <c r="B64" i="125"/>
  <c r="B65" i="88"/>
  <c r="A65" i="88" s="1"/>
  <c r="B65" i="72"/>
  <c r="A65" i="72" s="1"/>
  <c r="B65" i="74"/>
  <c r="A65" i="74" s="1"/>
  <c r="B65" i="71"/>
  <c r="A65" i="71" s="1"/>
  <c r="B84" i="116"/>
  <c r="A84" i="116" s="1"/>
  <c r="B64" i="76"/>
  <c r="B64" i="79"/>
  <c r="B83" i="70"/>
  <c r="A83" i="70" s="1"/>
  <c r="B95" i="70"/>
  <c r="A95" i="70" s="1"/>
  <c r="B95" i="85"/>
  <c r="A95" i="85" s="1"/>
  <c r="B96" i="114"/>
  <c r="A96" i="114" s="1"/>
  <c r="B84" i="88"/>
  <c r="A84" i="88" s="1"/>
  <c r="B95" i="90"/>
  <c r="B96" i="73"/>
  <c r="A96" i="73" s="1"/>
  <c r="B64" i="77"/>
  <c r="B96" i="88"/>
  <c r="A96" i="88" s="1"/>
  <c r="B83" i="85"/>
  <c r="A83" i="85" s="1"/>
  <c r="B84" i="73"/>
  <c r="A84" i="73" s="1"/>
  <c r="B84" i="114"/>
  <c r="A84" i="114" s="1"/>
  <c r="B64" i="90"/>
  <c r="B96" i="74"/>
  <c r="A96" i="74" s="1"/>
  <c r="B83" i="118"/>
  <c r="A83" i="118" s="1"/>
  <c r="B96" i="71"/>
  <c r="A96" i="71" s="1"/>
  <c r="B84" i="74"/>
  <c r="A84" i="74" s="1"/>
  <c r="B95" i="78"/>
  <c r="A95" i="78" s="1"/>
  <c r="B95" i="118"/>
  <c r="A95" i="118" s="1"/>
  <c r="B83" i="120"/>
  <c r="B84" i="72"/>
  <c r="A84" i="72" s="1"/>
  <c r="B96" i="72"/>
  <c r="A96" i="72" s="1"/>
  <c r="B84" i="71"/>
  <c r="A84" i="71" s="1"/>
  <c r="B83" i="78"/>
  <c r="A83" i="78" s="1"/>
  <c r="B95" i="76"/>
  <c r="A95" i="76" s="1"/>
  <c r="B83" i="77"/>
  <c r="B95" i="77"/>
  <c r="B83" i="76"/>
  <c r="A83" i="76" s="1"/>
  <c r="B83" i="79"/>
  <c r="B95" i="79"/>
  <c r="B83" i="125"/>
  <c r="A83" i="125" s="1"/>
  <c r="A53" i="76"/>
  <c r="A53" i="88"/>
  <c r="A53" i="77"/>
  <c r="C32" i="55"/>
  <c r="D23" i="72"/>
  <c r="C32" i="101"/>
  <c r="D23" i="125"/>
  <c r="C32" i="59"/>
  <c r="D23" i="67"/>
  <c r="A53" i="74"/>
  <c r="A53" i="95"/>
  <c r="A53" i="73"/>
  <c r="A53" i="67"/>
  <c r="C32" i="103"/>
  <c r="D23" i="104"/>
  <c r="C32" i="115"/>
  <c r="D23" i="114"/>
  <c r="C32" i="89"/>
  <c r="D23" i="88"/>
  <c r="C32" i="117"/>
  <c r="D23" i="116"/>
  <c r="A53" i="79"/>
  <c r="C32" i="46"/>
  <c r="D23" i="70"/>
  <c r="A53" i="70"/>
  <c r="A53" i="109"/>
  <c r="A53" i="71"/>
  <c r="C32" i="57"/>
  <c r="D23" i="74"/>
  <c r="C32" i="39"/>
  <c r="D23" i="73"/>
  <c r="C32" i="119"/>
  <c r="D23" i="118"/>
  <c r="D23" i="90"/>
  <c r="C32" i="91"/>
  <c r="C32" i="86"/>
  <c r="D23" i="85"/>
  <c r="A53" i="114"/>
  <c r="C32" i="121"/>
  <c r="D23" i="120"/>
  <c r="C32" i="94"/>
  <c r="D23" i="95"/>
  <c r="A64" i="96" l="1"/>
  <c r="A74" i="116"/>
  <c r="A95" i="120"/>
  <c r="D93" i="120" s="1"/>
  <c r="E93" i="120"/>
  <c r="C112" i="120" s="1"/>
  <c r="A64" i="120"/>
  <c r="A64" i="68"/>
  <c r="D34" i="116"/>
  <c r="N29" i="116"/>
  <c r="D30" i="116"/>
  <c r="C42" i="116" s="1"/>
  <c r="D31" i="116"/>
  <c r="D32" i="116"/>
  <c r="D33" i="116"/>
  <c r="E93" i="77"/>
  <c r="C112" i="77" s="1"/>
  <c r="A95" i="77"/>
  <c r="N29" i="88"/>
  <c r="D30" i="88"/>
  <c r="C42" i="88" s="1"/>
  <c r="D31" i="88"/>
  <c r="D32" i="88"/>
  <c r="D34" i="88"/>
  <c r="D33" i="88"/>
  <c r="N29" i="125"/>
  <c r="D30" i="125"/>
  <c r="C42" i="125" s="1"/>
  <c r="B42" i="125" s="1"/>
  <c r="D34" i="125"/>
  <c r="D33" i="125"/>
  <c r="D32" i="125"/>
  <c r="D31" i="125"/>
  <c r="A64" i="76"/>
  <c r="A83" i="116"/>
  <c r="A74" i="112"/>
  <c r="A64" i="114"/>
  <c r="A64" i="88"/>
  <c r="A74" i="120"/>
  <c r="A95" i="116"/>
  <c r="D93" i="116" s="1"/>
  <c r="E93" i="116"/>
  <c r="C112" i="116" s="1"/>
  <c r="D31" i="77"/>
  <c r="N29" i="77"/>
  <c r="D33" i="77"/>
  <c r="D34" i="77"/>
  <c r="D32" i="77"/>
  <c r="D30" i="77"/>
  <c r="C42" i="77" s="1"/>
  <c r="A83" i="77"/>
  <c r="A64" i="118"/>
  <c r="A64" i="90"/>
  <c r="A64" i="69"/>
  <c r="N29" i="68"/>
  <c r="D30" i="68"/>
  <c r="C42" i="68" s="1"/>
  <c r="D33" i="68"/>
  <c r="D31" i="68"/>
  <c r="D32" i="68"/>
  <c r="D34" i="68"/>
  <c r="A83" i="112"/>
  <c r="N29" i="90"/>
  <c r="D32" i="90"/>
  <c r="D30" i="90"/>
  <c r="C42" i="90" s="1"/>
  <c r="D33" i="90"/>
  <c r="D31" i="90"/>
  <c r="D34" i="90"/>
  <c r="D31" i="120"/>
  <c r="N29" i="120"/>
  <c r="D30" i="120"/>
  <c r="C42" i="120" s="1"/>
  <c r="D33" i="120"/>
  <c r="D34" i="120"/>
  <c r="D32" i="120"/>
  <c r="N29" i="70"/>
  <c r="D33" i="70"/>
  <c r="D32" i="70"/>
  <c r="D31" i="70"/>
  <c r="D30" i="70"/>
  <c r="C42" i="70" s="1"/>
  <c r="D34" i="70"/>
  <c r="N29" i="114"/>
  <c r="D30" i="114"/>
  <c r="C42" i="114" s="1"/>
  <c r="D34" i="114"/>
  <c r="D33" i="114"/>
  <c r="D32" i="114"/>
  <c r="D31" i="114"/>
  <c r="A74" i="79"/>
  <c r="A64" i="104"/>
  <c r="A74" i="90"/>
  <c r="A83" i="120"/>
  <c r="A64" i="77"/>
  <c r="A64" i="72"/>
  <c r="A74" i="77"/>
  <c r="A83" i="90"/>
  <c r="N29" i="76"/>
  <c r="D33" i="76"/>
  <c r="D32" i="76"/>
  <c r="D31" i="76"/>
  <c r="D34" i="76"/>
  <c r="D30" i="76"/>
  <c r="C42" i="76" s="1"/>
  <c r="A64" i="85"/>
  <c r="N29" i="109"/>
  <c r="D32" i="109"/>
  <c r="D33" i="109"/>
  <c r="D30" i="109"/>
  <c r="C42" i="109" s="1"/>
  <c r="D31" i="109"/>
  <c r="D34" i="109"/>
  <c r="D32" i="118"/>
  <c r="N29" i="118"/>
  <c r="D30" i="118"/>
  <c r="C42" i="118" s="1"/>
  <c r="D31" i="118"/>
  <c r="D34" i="118"/>
  <c r="D33" i="118"/>
  <c r="A64" i="79"/>
  <c r="D31" i="73"/>
  <c r="N29" i="73"/>
  <c r="D33" i="73"/>
  <c r="D30" i="73"/>
  <c r="C42" i="73" s="1"/>
  <c r="D34" i="73"/>
  <c r="D32" i="73"/>
  <c r="N29" i="104"/>
  <c r="D30" i="104"/>
  <c r="C42" i="104" s="1"/>
  <c r="D32" i="104"/>
  <c r="D33" i="104"/>
  <c r="D31" i="104"/>
  <c r="D34" i="104"/>
  <c r="N29" i="67"/>
  <c r="D32" i="67"/>
  <c r="D30" i="67"/>
  <c r="C42" i="67" s="1"/>
  <c r="D34" i="67"/>
  <c r="D31" i="67"/>
  <c r="D33" i="67"/>
  <c r="A64" i="73"/>
  <c r="A64" i="67"/>
  <c r="N29" i="71"/>
  <c r="D34" i="71"/>
  <c r="D31" i="71"/>
  <c r="D30" i="71"/>
  <c r="C42" i="71" s="1"/>
  <c r="D33" i="71"/>
  <c r="D32" i="71"/>
  <c r="A95" i="79"/>
  <c r="E93" i="79"/>
  <c r="C112" i="79" s="1"/>
  <c r="A95" i="90"/>
  <c r="E93" i="90"/>
  <c r="C112" i="90" s="1"/>
  <c r="A64" i="116"/>
  <c r="A64" i="74"/>
  <c r="N29" i="78"/>
  <c r="D32" i="78"/>
  <c r="D34" i="78"/>
  <c r="D30" i="78"/>
  <c r="C42" i="78" s="1"/>
  <c r="D33" i="78"/>
  <c r="D31" i="78"/>
  <c r="N29" i="69"/>
  <c r="D34" i="69"/>
  <c r="D33" i="69"/>
  <c r="D31" i="69"/>
  <c r="D32" i="69"/>
  <c r="D30" i="69"/>
  <c r="C42" i="69" s="1"/>
  <c r="A64" i="109"/>
  <c r="A95" i="112"/>
  <c r="E93" i="112"/>
  <c r="C112" i="112" s="1"/>
  <c r="N29" i="112"/>
  <c r="D30" i="112"/>
  <c r="C42" i="112" s="1"/>
  <c r="D32" i="112"/>
  <c r="D31" i="112"/>
  <c r="D34" i="112"/>
  <c r="D33" i="112"/>
  <c r="N29" i="79"/>
  <c r="D30" i="79"/>
  <c r="C42" i="79" s="1"/>
  <c r="D34" i="79"/>
  <c r="D32" i="79"/>
  <c r="D33" i="79"/>
  <c r="D31" i="79"/>
  <c r="D31" i="96"/>
  <c r="N29" i="96"/>
  <c r="D34" i="96"/>
  <c r="D33" i="96"/>
  <c r="D32" i="96"/>
  <c r="D30" i="96"/>
  <c r="C42" i="96" s="1"/>
  <c r="N29" i="85"/>
  <c r="D31" i="85"/>
  <c r="D33" i="85"/>
  <c r="D32" i="85"/>
  <c r="D30" i="85"/>
  <c r="C42" i="85" s="1"/>
  <c r="D34" i="85"/>
  <c r="N29" i="74"/>
  <c r="D34" i="74"/>
  <c r="D32" i="74"/>
  <c r="D31" i="74"/>
  <c r="D30" i="74"/>
  <c r="C42" i="74" s="1"/>
  <c r="D33" i="74"/>
  <c r="D32" i="72"/>
  <c r="N29" i="72"/>
  <c r="D30" i="72"/>
  <c r="C42" i="72" s="1"/>
  <c r="D31" i="72"/>
  <c r="D34" i="72"/>
  <c r="D33" i="72"/>
  <c r="A83" i="79"/>
  <c r="A64" i="125"/>
  <c r="A64" i="95"/>
  <c r="A64" i="71"/>
  <c r="N29" i="95"/>
  <c r="D34" i="95"/>
  <c r="D31" i="95"/>
  <c r="D32" i="95"/>
  <c r="D33" i="95"/>
  <c r="D30" i="95"/>
  <c r="C42" i="95" s="1"/>
  <c r="A64" i="70"/>
  <c r="A64" i="112"/>
  <c r="A64" i="78"/>
  <c r="D100" i="120" l="1"/>
  <c r="B42" i="85"/>
  <c r="B42" i="78"/>
  <c r="B42" i="73"/>
  <c r="B112" i="116"/>
  <c r="A112" i="116" s="1"/>
  <c r="D106" i="116" s="1"/>
  <c r="D113" i="116" s="1"/>
  <c r="C126" i="116" s="1"/>
  <c r="B126" i="116" s="1"/>
  <c r="A126" i="116" s="1"/>
  <c r="D120" i="116" s="1"/>
  <c r="D127" i="116" s="1"/>
  <c r="B112" i="79"/>
  <c r="A112" i="79" s="1"/>
  <c r="D106" i="79" s="1"/>
  <c r="D113" i="79" s="1"/>
  <c r="M29" i="67"/>
  <c r="C35" i="59" s="1"/>
  <c r="O34" i="67"/>
  <c r="O32" i="67"/>
  <c r="O33" i="67"/>
  <c r="O31" i="67"/>
  <c r="O30" i="67"/>
  <c r="B42" i="90"/>
  <c r="B42" i="116"/>
  <c r="B42" i="68"/>
  <c r="B42" i="114"/>
  <c r="B42" i="120"/>
  <c r="M29" i="90"/>
  <c r="C35" i="91" s="1"/>
  <c r="O33" i="90"/>
  <c r="O34" i="90"/>
  <c r="O32" i="90"/>
  <c r="O31" i="90"/>
  <c r="O30" i="90"/>
  <c r="M29" i="68"/>
  <c r="C35" i="42" s="1"/>
  <c r="O31" i="68"/>
  <c r="O34" i="68"/>
  <c r="O32" i="68"/>
  <c r="O33" i="68"/>
  <c r="O30" i="68"/>
  <c r="B42" i="88"/>
  <c r="O32" i="116"/>
  <c r="M29" i="116"/>
  <c r="C35" i="117" s="1"/>
  <c r="O30" i="116"/>
  <c r="O34" i="116"/>
  <c r="O33" i="116"/>
  <c r="O31" i="116"/>
  <c r="B112" i="120"/>
  <c r="A112" i="120" s="1"/>
  <c r="D106" i="120" s="1"/>
  <c r="D114" i="120" s="1"/>
  <c r="O31" i="73"/>
  <c r="M29" i="73"/>
  <c r="C35" i="39" s="1"/>
  <c r="O34" i="73"/>
  <c r="O30" i="73"/>
  <c r="O33" i="73"/>
  <c r="O32" i="73"/>
  <c r="M29" i="88"/>
  <c r="C35" i="89" s="1"/>
  <c r="O32" i="88"/>
  <c r="O30" i="88"/>
  <c r="O34" i="88"/>
  <c r="O33" i="88"/>
  <c r="O31" i="88"/>
  <c r="M29" i="79"/>
  <c r="C35" i="48" s="1"/>
  <c r="O32" i="79"/>
  <c r="O31" i="79"/>
  <c r="O33" i="79"/>
  <c r="O34" i="79"/>
  <c r="O30" i="79"/>
  <c r="M29" i="69"/>
  <c r="C35" i="61" s="1"/>
  <c r="O33" i="69"/>
  <c r="O31" i="69"/>
  <c r="O30" i="69"/>
  <c r="O34" i="69"/>
  <c r="O32" i="69"/>
  <c r="O33" i="118"/>
  <c r="M29" i="118"/>
  <c r="C35" i="119" s="1"/>
  <c r="O34" i="118"/>
  <c r="O30" i="118"/>
  <c r="O31" i="118"/>
  <c r="O32" i="118"/>
  <c r="C74" i="117"/>
  <c r="B42" i="104"/>
  <c r="B42" i="76"/>
  <c r="B42" i="70"/>
  <c r="B42" i="77"/>
  <c r="M29" i="112"/>
  <c r="C35" i="113" s="1"/>
  <c r="O31" i="112"/>
  <c r="O30" i="112"/>
  <c r="O34" i="112"/>
  <c r="O32" i="112"/>
  <c r="O33" i="112"/>
  <c r="M29" i="76"/>
  <c r="C35" i="44" s="1"/>
  <c r="O30" i="76"/>
  <c r="O31" i="76"/>
  <c r="O34" i="76"/>
  <c r="O32" i="76"/>
  <c r="O33" i="76"/>
  <c r="B42" i="74"/>
  <c r="C74" i="113"/>
  <c r="D93" i="112"/>
  <c r="D100" i="112" s="1"/>
  <c r="B42" i="95"/>
  <c r="B42" i="96"/>
  <c r="B42" i="71"/>
  <c r="M29" i="104"/>
  <c r="C35" i="103" s="1"/>
  <c r="O32" i="104"/>
  <c r="O33" i="104"/>
  <c r="O31" i="104"/>
  <c r="O34" i="104"/>
  <c r="O30" i="104"/>
  <c r="B42" i="69"/>
  <c r="M29" i="109"/>
  <c r="C35" i="110" s="1"/>
  <c r="O31" i="109"/>
  <c r="O33" i="109"/>
  <c r="O30" i="109"/>
  <c r="O34" i="109"/>
  <c r="O32" i="109"/>
  <c r="B112" i="112"/>
  <c r="A112" i="112" s="1"/>
  <c r="D106" i="112" s="1"/>
  <c r="D114" i="112" s="1"/>
  <c r="D100" i="116"/>
  <c r="M29" i="78"/>
  <c r="C35" i="65" s="1"/>
  <c r="O31" i="78"/>
  <c r="O33" i="78"/>
  <c r="O34" i="78"/>
  <c r="O32" i="78"/>
  <c r="O30" i="78"/>
  <c r="B42" i="79"/>
  <c r="B42" i="118"/>
  <c r="M29" i="114"/>
  <c r="C35" i="115" s="1"/>
  <c r="O33" i="114"/>
  <c r="O32" i="114"/>
  <c r="O34" i="114"/>
  <c r="O30" i="114"/>
  <c r="O31" i="114"/>
  <c r="B42" i="109"/>
  <c r="C74" i="121"/>
  <c r="B42" i="72"/>
  <c r="B42" i="67"/>
  <c r="O30" i="72"/>
  <c r="M29" i="72"/>
  <c r="C35" i="55" s="1"/>
  <c r="O32" i="72"/>
  <c r="O34" i="72"/>
  <c r="O33" i="72"/>
  <c r="O31" i="72"/>
  <c r="M29" i="85"/>
  <c r="C35" i="86" s="1"/>
  <c r="O31" i="85"/>
  <c r="O32" i="85"/>
  <c r="O30" i="85"/>
  <c r="O33" i="85"/>
  <c r="O34" i="85"/>
  <c r="O34" i="120"/>
  <c r="M29" i="120"/>
  <c r="C35" i="121" s="1"/>
  <c r="O33" i="120"/>
  <c r="O30" i="120"/>
  <c r="O31" i="120"/>
  <c r="O32" i="120"/>
  <c r="M29" i="74"/>
  <c r="C35" i="57" s="1"/>
  <c r="O34" i="74"/>
  <c r="O32" i="74"/>
  <c r="O31" i="74"/>
  <c r="O30" i="74"/>
  <c r="O33" i="74"/>
  <c r="M29" i="95"/>
  <c r="C35" i="94" s="1"/>
  <c r="O30" i="95"/>
  <c r="O34" i="95"/>
  <c r="O32" i="95"/>
  <c r="O33" i="95"/>
  <c r="O31" i="95"/>
  <c r="O31" i="96"/>
  <c r="M29" i="96"/>
  <c r="C35" i="97" s="1"/>
  <c r="O32" i="96"/>
  <c r="O30" i="96"/>
  <c r="O34" i="96"/>
  <c r="O33" i="96"/>
  <c r="B42" i="112"/>
  <c r="B112" i="90"/>
  <c r="A112" i="90" s="1"/>
  <c r="D106" i="90" s="1"/>
  <c r="D113" i="90" s="1"/>
  <c r="M29" i="71"/>
  <c r="C35" i="4" s="1"/>
  <c r="O32" i="71"/>
  <c r="O34" i="71"/>
  <c r="O33" i="71"/>
  <c r="O30" i="71"/>
  <c r="O31" i="71"/>
  <c r="M29" i="70"/>
  <c r="C35" i="46" s="1"/>
  <c r="O30" i="70"/>
  <c r="O34" i="70"/>
  <c r="O33" i="70"/>
  <c r="O31" i="70"/>
  <c r="O32" i="70"/>
  <c r="O31" i="77"/>
  <c r="M29" i="77"/>
  <c r="C35" i="63" s="1"/>
  <c r="O33" i="77"/>
  <c r="O34" i="77"/>
  <c r="O30" i="77"/>
  <c r="O32" i="77"/>
  <c r="M29" i="125"/>
  <c r="C35" i="101" s="1"/>
  <c r="O32" i="125"/>
  <c r="O33" i="125"/>
  <c r="O30" i="125"/>
  <c r="O31" i="125"/>
  <c r="O34" i="125"/>
  <c r="B112" i="77"/>
  <c r="A112" i="77" s="1"/>
  <c r="D106" i="77" s="1"/>
  <c r="D113" i="77" s="1"/>
  <c r="D114" i="116" l="1"/>
  <c r="D114" i="90"/>
  <c r="D113" i="112"/>
  <c r="C126" i="112" s="1"/>
  <c r="B126" i="112" s="1"/>
  <c r="A126" i="112" s="1"/>
  <c r="D120" i="112" s="1"/>
  <c r="D127" i="112" s="1"/>
  <c r="D113" i="120"/>
  <c r="C126" i="120" s="1"/>
  <c r="B126" i="120" s="1"/>
  <c r="A126" i="120" s="1"/>
  <c r="D120" i="120" s="1"/>
  <c r="D127" i="120" s="1"/>
  <c r="D114" i="77"/>
  <c r="A42" i="116"/>
  <c r="C38" i="117"/>
  <c r="A42" i="90"/>
  <c r="C38" i="91"/>
  <c r="D114" i="79"/>
  <c r="C99" i="79" s="1"/>
  <c r="A42" i="74"/>
  <c r="C38" i="57"/>
  <c r="A42" i="114"/>
  <c r="C38" i="115"/>
  <c r="A42" i="68"/>
  <c r="C38" i="42"/>
  <c r="A42" i="76"/>
  <c r="C38" i="44"/>
  <c r="A42" i="95"/>
  <c r="C38" i="94"/>
  <c r="A42" i="73"/>
  <c r="C38" i="39"/>
  <c r="A42" i="67"/>
  <c r="C38" i="59"/>
  <c r="A42" i="118"/>
  <c r="C38" i="119"/>
  <c r="A42" i="71"/>
  <c r="C38" i="4"/>
  <c r="A42" i="69"/>
  <c r="C38" i="61"/>
  <c r="A42" i="104"/>
  <c r="C38" i="103"/>
  <c r="C38" i="63"/>
  <c r="A42" i="77"/>
  <c r="A42" i="70"/>
  <c r="C38" i="46"/>
  <c r="A42" i="88"/>
  <c r="C38" i="89"/>
  <c r="A42" i="109"/>
  <c r="C38" i="110"/>
  <c r="A42" i="112"/>
  <c r="C38" i="113"/>
  <c r="A42" i="125"/>
  <c r="C38" i="101"/>
  <c r="C38" i="121"/>
  <c r="A42" i="120"/>
  <c r="C38" i="55"/>
  <c r="A42" i="72"/>
  <c r="A42" i="79"/>
  <c r="C38" i="48"/>
  <c r="A42" i="96"/>
  <c r="C38" i="97"/>
  <c r="A42" i="78"/>
  <c r="C38" i="65"/>
  <c r="A42" i="85"/>
  <c r="C38" i="86"/>
  <c r="D36" i="109" l="1"/>
  <c r="C39" i="110"/>
  <c r="C39" i="121"/>
  <c r="D36" i="120"/>
  <c r="D36" i="85"/>
  <c r="C39" i="86"/>
  <c r="C39" i="42"/>
  <c r="D36" i="68"/>
  <c r="D36" i="70"/>
  <c r="C39" i="46"/>
  <c r="D36" i="118"/>
  <c r="C39" i="119"/>
  <c r="D36" i="114"/>
  <c r="C39" i="115"/>
  <c r="D36" i="67"/>
  <c r="C39" i="59"/>
  <c r="D36" i="112"/>
  <c r="C39" i="113"/>
  <c r="C39" i="101"/>
  <c r="D36" i="125"/>
  <c r="C39" i="97"/>
  <c r="D36" i="96"/>
  <c r="C39" i="63"/>
  <c r="D36" i="77"/>
  <c r="C39" i="39"/>
  <c r="D36" i="73"/>
  <c r="C39" i="57"/>
  <c r="D36" i="74"/>
  <c r="D36" i="78"/>
  <c r="C39" i="65"/>
  <c r="D36" i="79"/>
  <c r="C39" i="48"/>
  <c r="B99" i="79"/>
  <c r="D36" i="72"/>
  <c r="C39" i="55"/>
  <c r="D36" i="104"/>
  <c r="C39" i="103"/>
  <c r="D36" i="95"/>
  <c r="C39" i="94"/>
  <c r="C39" i="91"/>
  <c r="D36" i="90"/>
  <c r="C39" i="61"/>
  <c r="D36" i="69"/>
  <c r="D36" i="76"/>
  <c r="C39" i="44"/>
  <c r="C39" i="117"/>
  <c r="D36" i="116"/>
  <c r="C39" i="89"/>
  <c r="D36" i="88"/>
  <c r="C39" i="4"/>
  <c r="D36" i="71"/>
  <c r="N42" i="90" l="1"/>
  <c r="D43" i="90"/>
  <c r="D45" i="90"/>
  <c r="D46" i="90"/>
  <c r="D44" i="90"/>
  <c r="N42" i="96"/>
  <c r="D43" i="96"/>
  <c r="D45" i="96"/>
  <c r="D46" i="96"/>
  <c r="D44" i="96"/>
  <c r="N42" i="118"/>
  <c r="D43" i="118"/>
  <c r="D44" i="118"/>
  <c r="D46" i="118"/>
  <c r="D45" i="118"/>
  <c r="N42" i="95"/>
  <c r="D45" i="95"/>
  <c r="D44" i="95"/>
  <c r="D43" i="95"/>
  <c r="D46" i="95"/>
  <c r="N42" i="74"/>
  <c r="D44" i="74"/>
  <c r="D46" i="74"/>
  <c r="D45" i="74"/>
  <c r="D43" i="74"/>
  <c r="N42" i="125"/>
  <c r="D44" i="125"/>
  <c r="D43" i="125"/>
  <c r="D46" i="125"/>
  <c r="D45" i="125"/>
  <c r="N42" i="116"/>
  <c r="D45" i="116"/>
  <c r="D44" i="116"/>
  <c r="D46" i="116"/>
  <c r="D43" i="116"/>
  <c r="N42" i="70"/>
  <c r="D46" i="70"/>
  <c r="D45" i="70"/>
  <c r="D43" i="70"/>
  <c r="D44" i="70"/>
  <c r="N42" i="78"/>
  <c r="D44" i="78"/>
  <c r="D43" i="78"/>
  <c r="D46" i="78"/>
  <c r="D45" i="78"/>
  <c r="N42" i="68"/>
  <c r="D43" i="68"/>
  <c r="D44" i="68"/>
  <c r="D46" i="68"/>
  <c r="D45" i="68"/>
  <c r="N42" i="73"/>
  <c r="D46" i="73"/>
  <c r="D45" i="73"/>
  <c r="D44" i="73"/>
  <c r="D43" i="73"/>
  <c r="N42" i="76"/>
  <c r="D45" i="76"/>
  <c r="D46" i="76"/>
  <c r="D43" i="76"/>
  <c r="D44" i="76"/>
  <c r="N42" i="104"/>
  <c r="D45" i="104"/>
  <c r="D43" i="104"/>
  <c r="D46" i="104"/>
  <c r="D44" i="104"/>
  <c r="N42" i="112"/>
  <c r="D46" i="112"/>
  <c r="D44" i="112"/>
  <c r="D43" i="112"/>
  <c r="D45" i="112"/>
  <c r="N42" i="67"/>
  <c r="D46" i="67"/>
  <c r="D43" i="67"/>
  <c r="D44" i="67"/>
  <c r="D45" i="67"/>
  <c r="N42" i="85"/>
  <c r="D43" i="85"/>
  <c r="D45" i="85"/>
  <c r="D44" i="85"/>
  <c r="D46" i="85"/>
  <c r="N42" i="71"/>
  <c r="D44" i="71"/>
  <c r="D43" i="71"/>
  <c r="D46" i="71"/>
  <c r="D45" i="71"/>
  <c r="D46" i="120"/>
  <c r="N42" i="120"/>
  <c r="D43" i="120"/>
  <c r="D44" i="120"/>
  <c r="D45" i="120"/>
  <c r="N42" i="72"/>
  <c r="D46" i="72"/>
  <c r="D45" i="72"/>
  <c r="D44" i="72"/>
  <c r="D43" i="72"/>
  <c r="N42" i="69"/>
  <c r="D46" i="69"/>
  <c r="D45" i="69"/>
  <c r="D43" i="69"/>
  <c r="D44" i="69"/>
  <c r="A99" i="79"/>
  <c r="N42" i="88"/>
  <c r="D45" i="88"/>
  <c r="D46" i="88"/>
  <c r="D44" i="88"/>
  <c r="D43" i="88"/>
  <c r="D46" i="77"/>
  <c r="N42" i="77"/>
  <c r="D45" i="77"/>
  <c r="D43" i="77"/>
  <c r="D44" i="77"/>
  <c r="N42" i="79"/>
  <c r="D44" i="79"/>
  <c r="D46" i="79"/>
  <c r="D45" i="79"/>
  <c r="D43" i="79"/>
  <c r="N42" i="114"/>
  <c r="D45" i="114"/>
  <c r="D43" i="114"/>
  <c r="D46" i="114"/>
  <c r="D44" i="114"/>
  <c r="N42" i="109"/>
  <c r="D44" i="109"/>
  <c r="D46" i="109"/>
  <c r="D45" i="109"/>
  <c r="D43" i="109"/>
  <c r="M42" i="71" l="1"/>
  <c r="C42" i="4" s="1"/>
  <c r="O43" i="71"/>
  <c r="O46" i="71"/>
  <c r="O45" i="71"/>
  <c r="O44" i="71"/>
  <c r="I57" i="112"/>
  <c r="C57" i="112"/>
  <c r="M42" i="68"/>
  <c r="C42" i="42" s="1"/>
  <c r="O45" i="68"/>
  <c r="O44" i="68"/>
  <c r="O43" i="68"/>
  <c r="O46" i="68"/>
  <c r="C57" i="116"/>
  <c r="I57" i="116"/>
  <c r="M42" i="118"/>
  <c r="C42" i="119" s="1"/>
  <c r="O43" i="118"/>
  <c r="O44" i="118"/>
  <c r="O45" i="118"/>
  <c r="O46" i="118"/>
  <c r="I57" i="109"/>
  <c r="C57" i="109"/>
  <c r="M42" i="88"/>
  <c r="C42" i="89" s="1"/>
  <c r="O43" i="88"/>
  <c r="O46" i="88"/>
  <c r="O44" i="88"/>
  <c r="O45" i="88"/>
  <c r="M42" i="76"/>
  <c r="C42" i="44" s="1"/>
  <c r="O43" i="76"/>
  <c r="O46" i="76"/>
  <c r="O44" i="76"/>
  <c r="O45" i="76"/>
  <c r="M42" i="74"/>
  <c r="C42" i="57" s="1"/>
  <c r="O46" i="74"/>
  <c r="O43" i="74"/>
  <c r="O44" i="74"/>
  <c r="O45" i="74"/>
  <c r="M42" i="109"/>
  <c r="C42" i="110" s="1"/>
  <c r="O45" i="109"/>
  <c r="O44" i="109"/>
  <c r="O43" i="109"/>
  <c r="O46" i="109"/>
  <c r="M42" i="112"/>
  <c r="C42" i="113" s="1"/>
  <c r="O46" i="112"/>
  <c r="O44" i="112"/>
  <c r="O45" i="112"/>
  <c r="O43" i="112"/>
  <c r="I57" i="73"/>
  <c r="C57" i="73"/>
  <c r="C57" i="78"/>
  <c r="I57" i="78"/>
  <c r="C57" i="77"/>
  <c r="I57" i="77"/>
  <c r="C74" i="48"/>
  <c r="D93" i="79"/>
  <c r="I57" i="85"/>
  <c r="C57" i="85"/>
  <c r="M42" i="116"/>
  <c r="C42" i="117" s="1"/>
  <c r="O46" i="116"/>
  <c r="O43" i="116"/>
  <c r="O45" i="116"/>
  <c r="O44" i="116"/>
  <c r="C57" i="95"/>
  <c r="I57" i="95"/>
  <c r="I57" i="96"/>
  <c r="C57" i="96"/>
  <c r="C57" i="120"/>
  <c r="I57" i="120"/>
  <c r="M42" i="85"/>
  <c r="C42" i="86" s="1"/>
  <c r="O46" i="85"/>
  <c r="O44" i="85"/>
  <c r="O45" i="85"/>
  <c r="O43" i="85"/>
  <c r="M42" i="78"/>
  <c r="C42" i="65" s="1"/>
  <c r="O43" i="78"/>
  <c r="O45" i="78"/>
  <c r="O44" i="78"/>
  <c r="O46" i="78"/>
  <c r="M42" i="96"/>
  <c r="C42" i="97" s="1"/>
  <c r="O43" i="96"/>
  <c r="O46" i="96"/>
  <c r="O45" i="96"/>
  <c r="O44" i="96"/>
  <c r="O45" i="79"/>
  <c r="M42" i="79"/>
  <c r="C42" i="48" s="1"/>
  <c r="O43" i="79"/>
  <c r="O44" i="79"/>
  <c r="O46" i="79"/>
  <c r="C57" i="114"/>
  <c r="I57" i="114"/>
  <c r="M42" i="77"/>
  <c r="C42" i="63" s="1"/>
  <c r="O44" i="77"/>
  <c r="O43" i="77"/>
  <c r="O46" i="77"/>
  <c r="O45" i="77"/>
  <c r="I57" i="69"/>
  <c r="C57" i="69"/>
  <c r="M42" i="120"/>
  <c r="C42" i="121" s="1"/>
  <c r="O44" i="120"/>
  <c r="O46" i="120"/>
  <c r="O45" i="120"/>
  <c r="O43" i="120"/>
  <c r="C57" i="104"/>
  <c r="I57" i="104"/>
  <c r="M42" i="73"/>
  <c r="C42" i="39" s="1"/>
  <c r="O43" i="73"/>
  <c r="O46" i="73"/>
  <c r="O45" i="73"/>
  <c r="O44" i="73"/>
  <c r="C57" i="70"/>
  <c r="I57" i="70"/>
  <c r="C57" i="125"/>
  <c r="I57" i="125"/>
  <c r="M42" i="95"/>
  <c r="C42" i="94" s="1"/>
  <c r="O43" i="95"/>
  <c r="O44" i="95"/>
  <c r="O45" i="95"/>
  <c r="O46" i="95"/>
  <c r="M42" i="72"/>
  <c r="C42" i="55" s="1"/>
  <c r="O45" i="72"/>
  <c r="O46" i="72"/>
  <c r="O44" i="72"/>
  <c r="O43" i="72"/>
  <c r="M42" i="114"/>
  <c r="C42" i="115" s="1"/>
  <c r="O45" i="114"/>
  <c r="O43" i="114"/>
  <c r="O46" i="114"/>
  <c r="O44" i="114"/>
  <c r="C57" i="67"/>
  <c r="I57" i="67"/>
  <c r="M42" i="104"/>
  <c r="C42" i="103" s="1"/>
  <c r="O45" i="104"/>
  <c r="O43" i="104"/>
  <c r="O46" i="104"/>
  <c r="O44" i="104"/>
  <c r="M42" i="69"/>
  <c r="C42" i="61" s="1"/>
  <c r="O44" i="69"/>
  <c r="O46" i="69"/>
  <c r="O43" i="69"/>
  <c r="O45" i="69"/>
  <c r="M42" i="125"/>
  <c r="C42" i="101" s="1"/>
  <c r="O46" i="125"/>
  <c r="O45" i="125"/>
  <c r="O44" i="125"/>
  <c r="O43" i="125"/>
  <c r="C57" i="88"/>
  <c r="I57" i="88"/>
  <c r="C57" i="79"/>
  <c r="I57" i="79"/>
  <c r="C57" i="72"/>
  <c r="I57" i="72"/>
  <c r="I57" i="71"/>
  <c r="C57" i="71"/>
  <c r="M42" i="67"/>
  <c r="C42" i="59" s="1"/>
  <c r="O44" i="67"/>
  <c r="O45" i="67"/>
  <c r="O43" i="67"/>
  <c r="O46" i="67"/>
  <c r="C57" i="76"/>
  <c r="I57" i="76"/>
  <c r="M42" i="70"/>
  <c r="C42" i="46" s="1"/>
  <c r="O45" i="70"/>
  <c r="O46" i="70"/>
  <c r="O43" i="70"/>
  <c r="O44" i="70"/>
  <c r="C57" i="74"/>
  <c r="I57" i="74"/>
  <c r="C57" i="90"/>
  <c r="I57" i="90"/>
  <c r="I57" i="68"/>
  <c r="C57" i="68"/>
  <c r="C57" i="118"/>
  <c r="I57" i="118"/>
  <c r="M42" i="90"/>
  <c r="C42" i="91" s="1"/>
  <c r="O43" i="90"/>
  <c r="O44" i="90"/>
  <c r="O45" i="90"/>
  <c r="O46" i="90"/>
  <c r="B57" i="73" l="1"/>
  <c r="H57" i="120"/>
  <c r="H57" i="77"/>
  <c r="H57" i="73"/>
  <c r="B57" i="120"/>
  <c r="B57" i="77"/>
  <c r="B57" i="109"/>
  <c r="H57" i="109"/>
  <c r="B57" i="90"/>
  <c r="H57" i="118"/>
  <c r="H57" i="88"/>
  <c r="H57" i="104"/>
  <c r="H57" i="74"/>
  <c r="B57" i="95"/>
  <c r="B57" i="74"/>
  <c r="B57" i="88"/>
  <c r="H57" i="125"/>
  <c r="B57" i="112"/>
  <c r="B57" i="72"/>
  <c r="H57" i="67"/>
  <c r="B57" i="125"/>
  <c r="H57" i="112"/>
  <c r="B57" i="69"/>
  <c r="H57" i="72"/>
  <c r="B57" i="67"/>
  <c r="H57" i="70"/>
  <c r="H57" i="114"/>
  <c r="B57" i="79"/>
  <c r="B57" i="71"/>
  <c r="B57" i="68"/>
  <c r="H57" i="68"/>
  <c r="H57" i="76"/>
  <c r="B57" i="70"/>
  <c r="B57" i="114"/>
  <c r="H57" i="69"/>
  <c r="B57" i="118"/>
  <c r="H57" i="71"/>
  <c r="B57" i="104"/>
  <c r="H57" i="90"/>
  <c r="B57" i="76"/>
  <c r="H57" i="79"/>
  <c r="B57" i="96"/>
  <c r="B57" i="85"/>
  <c r="H57" i="96"/>
  <c r="H57" i="85"/>
  <c r="H57" i="116"/>
  <c r="H57" i="95"/>
  <c r="H57" i="78"/>
  <c r="B57" i="116"/>
  <c r="C126" i="79"/>
  <c r="B126" i="79" s="1"/>
  <c r="A126" i="79" s="1"/>
  <c r="D120" i="79" s="1"/>
  <c r="D127" i="79" s="1"/>
  <c r="D100" i="79"/>
  <c r="B57" i="78"/>
  <c r="A57" i="125" l="1"/>
  <c r="C45" i="101"/>
  <c r="A57" i="112"/>
  <c r="C45" i="113"/>
  <c r="A57" i="74"/>
  <c r="C45" i="57"/>
  <c r="C47" i="103"/>
  <c r="G57" i="104"/>
  <c r="A57" i="90"/>
  <c r="C45" i="91"/>
  <c r="A57" i="77"/>
  <c r="C45" i="63"/>
  <c r="C47" i="63"/>
  <c r="G57" i="77"/>
  <c r="C47" i="94"/>
  <c r="G57" i="95"/>
  <c r="G57" i="96"/>
  <c r="C47" i="97"/>
  <c r="C47" i="61"/>
  <c r="G57" i="69"/>
  <c r="A57" i="71"/>
  <c r="C45" i="4"/>
  <c r="C47" i="48"/>
  <c r="G57" i="79"/>
  <c r="C47" i="46"/>
  <c r="G57" i="70"/>
  <c r="A57" i="69"/>
  <c r="C45" i="61"/>
  <c r="A57" i="96"/>
  <c r="C45" i="97"/>
  <c r="G57" i="67"/>
  <c r="C47" i="59"/>
  <c r="C47" i="101"/>
  <c r="G57" i="125"/>
  <c r="A57" i="95"/>
  <c r="C45" i="94"/>
  <c r="C47" i="89"/>
  <c r="G57" i="88"/>
  <c r="G57" i="109"/>
  <c r="C47" i="110"/>
  <c r="A57" i="120"/>
  <c r="C45" i="121"/>
  <c r="C47" i="121"/>
  <c r="G57" i="120"/>
  <c r="C47" i="44"/>
  <c r="G57" i="76"/>
  <c r="C47" i="117"/>
  <c r="G57" i="116"/>
  <c r="A57" i="76"/>
  <c r="C45" i="44"/>
  <c r="A57" i="116"/>
  <c r="C45" i="117"/>
  <c r="A57" i="114"/>
  <c r="C45" i="115"/>
  <c r="A57" i="79"/>
  <c r="C45" i="48"/>
  <c r="A57" i="67"/>
  <c r="C45" i="59"/>
  <c r="C47" i="113"/>
  <c r="G57" i="112"/>
  <c r="C47" i="86"/>
  <c r="G57" i="85"/>
  <c r="C47" i="91"/>
  <c r="G57" i="90"/>
  <c r="A57" i="104"/>
  <c r="C45" i="103"/>
  <c r="A57" i="85"/>
  <c r="C45" i="86"/>
  <c r="G57" i="71"/>
  <c r="C47" i="4"/>
  <c r="C47" i="42"/>
  <c r="G57" i="68"/>
  <c r="C47" i="65"/>
  <c r="G57" i="78"/>
  <c r="A57" i="72"/>
  <c r="C45" i="55"/>
  <c r="A57" i="88"/>
  <c r="C45" i="89"/>
  <c r="G57" i="74"/>
  <c r="C47" i="57"/>
  <c r="C47" i="119"/>
  <c r="G57" i="118"/>
  <c r="A57" i="109"/>
  <c r="C45" i="110"/>
  <c r="G57" i="73"/>
  <c r="C47" i="39"/>
  <c r="A57" i="118"/>
  <c r="C45" i="119"/>
  <c r="A57" i="70"/>
  <c r="C45" i="46"/>
  <c r="A57" i="68"/>
  <c r="C45" i="42"/>
  <c r="A57" i="73"/>
  <c r="C45" i="39"/>
  <c r="C45" i="65"/>
  <c r="A57" i="78"/>
  <c r="G57" i="114"/>
  <c r="C47" i="115"/>
  <c r="C47" i="55"/>
  <c r="G57" i="72"/>
  <c r="C48" i="119" l="1"/>
  <c r="J51" i="118"/>
  <c r="J51" i="109"/>
  <c r="C48" i="110"/>
  <c r="C46" i="65"/>
  <c r="D51" i="78"/>
  <c r="C48" i="113"/>
  <c r="J51" i="112"/>
  <c r="C48" i="117"/>
  <c r="J51" i="116"/>
  <c r="J51" i="79"/>
  <c r="C48" i="48"/>
  <c r="C48" i="55"/>
  <c r="J51" i="72"/>
  <c r="C48" i="91"/>
  <c r="J51" i="90"/>
  <c r="C46" i="119"/>
  <c r="D51" i="118"/>
  <c r="D51" i="116"/>
  <c r="C46" i="117"/>
  <c r="D51" i="69"/>
  <c r="C46" i="61"/>
  <c r="J51" i="68"/>
  <c r="C48" i="42"/>
  <c r="D51" i="109"/>
  <c r="C46" i="110"/>
  <c r="C46" i="94"/>
  <c r="D51" i="95"/>
  <c r="D51" i="77"/>
  <c r="C46" i="63"/>
  <c r="J51" i="76"/>
  <c r="C48" i="44"/>
  <c r="J51" i="125"/>
  <c r="C48" i="101"/>
  <c r="C46" i="59"/>
  <c r="D51" i="67"/>
  <c r="C46" i="4"/>
  <c r="D51" i="71"/>
  <c r="C46" i="91"/>
  <c r="D51" i="90"/>
  <c r="C48" i="121"/>
  <c r="J51" i="120"/>
  <c r="C48" i="61"/>
  <c r="J51" i="69"/>
  <c r="J51" i="104"/>
  <c r="C48" i="103"/>
  <c r="D51" i="73"/>
  <c r="C46" i="39"/>
  <c r="C48" i="4"/>
  <c r="J51" i="71"/>
  <c r="D51" i="68"/>
  <c r="C46" i="42"/>
  <c r="C46" i="86"/>
  <c r="D51" i="85"/>
  <c r="C46" i="48"/>
  <c r="D51" i="79"/>
  <c r="C48" i="59"/>
  <c r="J51" i="67"/>
  <c r="C48" i="57"/>
  <c r="J51" i="74"/>
  <c r="C46" i="46"/>
  <c r="D51" i="70"/>
  <c r="D51" i="88"/>
  <c r="C46" i="89"/>
  <c r="D51" i="104"/>
  <c r="C46" i="103"/>
  <c r="C46" i="115"/>
  <c r="D51" i="114"/>
  <c r="C46" i="121"/>
  <c r="D51" i="120"/>
  <c r="C46" i="97"/>
  <c r="D51" i="96"/>
  <c r="J51" i="96"/>
  <c r="C48" i="97"/>
  <c r="D51" i="74"/>
  <c r="C46" i="57"/>
  <c r="C48" i="94"/>
  <c r="J51" i="95"/>
  <c r="C46" i="113"/>
  <c r="D51" i="112"/>
  <c r="D51" i="72"/>
  <c r="C46" i="55"/>
  <c r="J51" i="78"/>
  <c r="C48" i="65"/>
  <c r="C48" i="86"/>
  <c r="J51" i="85"/>
  <c r="C48" i="89"/>
  <c r="J51" i="88"/>
  <c r="C48" i="46"/>
  <c r="J51" i="70"/>
  <c r="J51" i="77"/>
  <c r="C48" i="63"/>
  <c r="C48" i="115"/>
  <c r="J51" i="114"/>
  <c r="J51" i="73"/>
  <c r="C48" i="39"/>
  <c r="C46" i="44"/>
  <c r="D51" i="76"/>
  <c r="C46" i="101"/>
  <c r="D51" i="125"/>
  <c r="E29" i="19"/>
  <c r="J60" i="125" l="1"/>
  <c r="J58" i="125"/>
  <c r="J59" i="125"/>
  <c r="N57" i="96"/>
  <c r="D58" i="96"/>
  <c r="D60" i="96"/>
  <c r="D59" i="96"/>
  <c r="N57" i="69"/>
  <c r="D60" i="69"/>
  <c r="D58" i="69"/>
  <c r="D59" i="69"/>
  <c r="N57" i="74"/>
  <c r="D60" i="74"/>
  <c r="D58" i="74"/>
  <c r="D59" i="74"/>
  <c r="J58" i="77"/>
  <c r="J60" i="77"/>
  <c r="J59" i="77"/>
  <c r="D59" i="90"/>
  <c r="D58" i="90"/>
  <c r="C68" i="90" s="1"/>
  <c r="D60" i="90"/>
  <c r="N57" i="77"/>
  <c r="D60" i="77"/>
  <c r="D59" i="77"/>
  <c r="D58" i="77"/>
  <c r="C68" i="77" s="1"/>
  <c r="J60" i="79"/>
  <c r="J59" i="79"/>
  <c r="J58" i="79"/>
  <c r="N57" i="88"/>
  <c r="D60" i="88"/>
  <c r="D59" i="88"/>
  <c r="D58" i="88"/>
  <c r="J60" i="70"/>
  <c r="J59" i="70"/>
  <c r="J58" i="70"/>
  <c r="N57" i="112"/>
  <c r="D58" i="112"/>
  <c r="D59" i="112"/>
  <c r="D60" i="112"/>
  <c r="N57" i="120"/>
  <c r="D58" i="120"/>
  <c r="C68" i="120" s="1"/>
  <c r="D60" i="120"/>
  <c r="D59" i="120"/>
  <c r="J58" i="74"/>
  <c r="J60" i="74"/>
  <c r="J59" i="74"/>
  <c r="N57" i="68"/>
  <c r="D60" i="68"/>
  <c r="D59" i="68"/>
  <c r="D58" i="68"/>
  <c r="N57" i="116"/>
  <c r="D59" i="116"/>
  <c r="D60" i="116"/>
  <c r="D58" i="116"/>
  <c r="J59" i="116"/>
  <c r="J60" i="116"/>
  <c r="J58" i="116"/>
  <c r="J59" i="69"/>
  <c r="J58" i="69"/>
  <c r="J60" i="69"/>
  <c r="N57" i="125"/>
  <c r="D58" i="125"/>
  <c r="C68" i="125" s="1"/>
  <c r="D59" i="125"/>
  <c r="D60" i="125"/>
  <c r="J59" i="71"/>
  <c r="J60" i="71"/>
  <c r="J58" i="71"/>
  <c r="N57" i="71"/>
  <c r="D59" i="71"/>
  <c r="D58" i="71"/>
  <c r="D60" i="71"/>
  <c r="N57" i="95"/>
  <c r="D59" i="95"/>
  <c r="D58" i="95"/>
  <c r="D60" i="95"/>
  <c r="N57" i="79"/>
  <c r="D58" i="79"/>
  <c r="C68" i="79" s="1"/>
  <c r="D60" i="79"/>
  <c r="D59" i="79"/>
  <c r="J60" i="88"/>
  <c r="J58" i="88"/>
  <c r="J59" i="88"/>
  <c r="N57" i="114"/>
  <c r="D59" i="114"/>
  <c r="D58" i="114"/>
  <c r="D60" i="114"/>
  <c r="N57" i="118"/>
  <c r="D59" i="118"/>
  <c r="D58" i="118"/>
  <c r="C68" i="118" s="1"/>
  <c r="D60" i="118"/>
  <c r="J59" i="112"/>
  <c r="J60" i="112"/>
  <c r="J58" i="112"/>
  <c r="N57" i="67"/>
  <c r="D59" i="67"/>
  <c r="D60" i="67"/>
  <c r="D58" i="67"/>
  <c r="E8" i="19"/>
  <c r="B66" i="19"/>
  <c r="C8" i="19" s="1"/>
  <c r="N57" i="76"/>
  <c r="D58" i="76"/>
  <c r="C68" i="76" s="1"/>
  <c r="D59" i="76"/>
  <c r="D60" i="76"/>
  <c r="J59" i="85"/>
  <c r="J60" i="85"/>
  <c r="J58" i="85"/>
  <c r="J59" i="95"/>
  <c r="J60" i="95"/>
  <c r="J58" i="95"/>
  <c r="J58" i="67"/>
  <c r="J59" i="67"/>
  <c r="J60" i="67"/>
  <c r="N57" i="73"/>
  <c r="D58" i="73"/>
  <c r="D59" i="73"/>
  <c r="D60" i="73"/>
  <c r="N57" i="90"/>
  <c r="J59" i="90"/>
  <c r="J60" i="90"/>
  <c r="J58" i="90"/>
  <c r="D58" i="78"/>
  <c r="C68" i="78" s="1"/>
  <c r="N57" i="78"/>
  <c r="D60" i="78"/>
  <c r="D59" i="78"/>
  <c r="N57" i="104"/>
  <c r="D58" i="104"/>
  <c r="C68" i="104" s="1"/>
  <c r="D60" i="104"/>
  <c r="D59" i="104"/>
  <c r="J58" i="104"/>
  <c r="J59" i="104"/>
  <c r="J60" i="104"/>
  <c r="N57" i="109"/>
  <c r="D59" i="109"/>
  <c r="D58" i="109"/>
  <c r="D60" i="109"/>
  <c r="J58" i="72"/>
  <c r="J59" i="72"/>
  <c r="J60" i="72"/>
  <c r="J60" i="109"/>
  <c r="J58" i="109"/>
  <c r="J59" i="109"/>
  <c r="J60" i="78"/>
  <c r="J58" i="78"/>
  <c r="J59" i="78"/>
  <c r="J59" i="114"/>
  <c r="J58" i="114"/>
  <c r="J60" i="114"/>
  <c r="N57" i="70"/>
  <c r="D60" i="70"/>
  <c r="D59" i="70"/>
  <c r="D58" i="70"/>
  <c r="C68" i="70" s="1"/>
  <c r="J59" i="68"/>
  <c r="J58" i="68"/>
  <c r="J60" i="68"/>
  <c r="J60" i="118"/>
  <c r="J59" i="118"/>
  <c r="J58" i="118"/>
  <c r="J59" i="73"/>
  <c r="J58" i="73"/>
  <c r="J60" i="73"/>
  <c r="E9" i="19"/>
  <c r="C66" i="19"/>
  <c r="C9" i="19" s="1"/>
  <c r="N57" i="72"/>
  <c r="D59" i="72"/>
  <c r="D58" i="72"/>
  <c r="D60" i="72"/>
  <c r="J59" i="96"/>
  <c r="J60" i="96"/>
  <c r="J58" i="96"/>
  <c r="N57" i="85"/>
  <c r="D58" i="85"/>
  <c r="D59" i="85"/>
  <c r="D60" i="85"/>
  <c r="J59" i="120"/>
  <c r="J60" i="120"/>
  <c r="J58" i="120"/>
  <c r="J58" i="76"/>
  <c r="J59" i="76"/>
  <c r="J60" i="76"/>
  <c r="I68" i="120" l="1"/>
  <c r="H68" i="120" s="1"/>
  <c r="I68" i="78"/>
  <c r="H68" i="78" s="1"/>
  <c r="I68" i="76"/>
  <c r="H68" i="76" s="1"/>
  <c r="I68" i="77"/>
  <c r="H68" i="77" s="1"/>
  <c r="I68" i="104"/>
  <c r="H68" i="104" s="1"/>
  <c r="I68" i="118"/>
  <c r="H68" i="118" s="1"/>
  <c r="I68" i="90"/>
  <c r="H68" i="90" s="1"/>
  <c r="C68" i="114"/>
  <c r="I68" i="114"/>
  <c r="C68" i="95"/>
  <c r="I68" i="95"/>
  <c r="B68" i="120"/>
  <c r="M57" i="88"/>
  <c r="C49" i="89" s="1"/>
  <c r="O60" i="88"/>
  <c r="O58" i="88"/>
  <c r="O59" i="88"/>
  <c r="M57" i="69"/>
  <c r="C49" i="61" s="1"/>
  <c r="O58" i="69"/>
  <c r="O59" i="69"/>
  <c r="O60" i="69"/>
  <c r="M57" i="116"/>
  <c r="C49" i="117" s="1"/>
  <c r="O59" i="116"/>
  <c r="O60" i="116"/>
  <c r="O58" i="116"/>
  <c r="O60" i="120"/>
  <c r="O58" i="120"/>
  <c r="M57" i="120"/>
  <c r="C49" i="121" s="1"/>
  <c r="O59" i="120"/>
  <c r="I68" i="79"/>
  <c r="M57" i="90"/>
  <c r="C49" i="91" s="1"/>
  <c r="O58" i="90"/>
  <c r="O59" i="90"/>
  <c r="O60" i="90"/>
  <c r="M57" i="95"/>
  <c r="C49" i="94" s="1"/>
  <c r="O59" i="95"/>
  <c r="O58" i="95"/>
  <c r="O60" i="95"/>
  <c r="D26" i="115"/>
  <c r="F26" i="115" s="1"/>
  <c r="I26" i="115" s="1"/>
  <c r="J26" i="115" s="1"/>
  <c r="D21" i="65"/>
  <c r="F21" i="65" s="1"/>
  <c r="I21" i="65" s="1"/>
  <c r="J21" i="65" s="1"/>
  <c r="D16" i="59"/>
  <c r="F16" i="59" s="1"/>
  <c r="I16" i="59" s="1"/>
  <c r="J16" i="59" s="1"/>
  <c r="D26" i="89"/>
  <c r="F26" i="89" s="1"/>
  <c r="I26" i="89" s="1"/>
  <c r="J26" i="89" s="1"/>
  <c r="D21" i="115"/>
  <c r="F21" i="115" s="1"/>
  <c r="I21" i="115" s="1"/>
  <c r="J21" i="115" s="1"/>
  <c r="D26" i="103"/>
  <c r="F26" i="103" s="1"/>
  <c r="I26" i="103" s="1"/>
  <c r="J26" i="103" s="1"/>
  <c r="D16" i="63"/>
  <c r="F16" i="63" s="1"/>
  <c r="I16" i="63" s="1"/>
  <c r="J16" i="63" s="1"/>
  <c r="D16" i="57"/>
  <c r="F16" i="57" s="1"/>
  <c r="I16" i="57" s="1"/>
  <c r="J16" i="57" s="1"/>
  <c r="D21" i="121"/>
  <c r="F21" i="121" s="1"/>
  <c r="I21" i="121" s="1"/>
  <c r="J21" i="121" s="1"/>
  <c r="D21" i="101"/>
  <c r="F21" i="101" s="1"/>
  <c r="I21" i="101" s="1"/>
  <c r="J21" i="101" s="1"/>
  <c r="D26" i="4"/>
  <c r="F26" i="4" s="1"/>
  <c r="I26" i="4" s="1"/>
  <c r="J26" i="4" s="1"/>
  <c r="D16" i="42"/>
  <c r="F16" i="42" s="1"/>
  <c r="I16" i="42" s="1"/>
  <c r="J16" i="42" s="1"/>
  <c r="D26" i="86"/>
  <c r="F26" i="86" s="1"/>
  <c r="I26" i="86" s="1"/>
  <c r="J26" i="86" s="1"/>
  <c r="D21" i="59"/>
  <c r="F21" i="59" s="1"/>
  <c r="I21" i="59" s="1"/>
  <c r="J21" i="59" s="1"/>
  <c r="D16" i="44"/>
  <c r="F16" i="44" s="1"/>
  <c r="I16" i="44" s="1"/>
  <c r="J16" i="44" s="1"/>
  <c r="D21" i="46"/>
  <c r="F21" i="46" s="1"/>
  <c r="I21" i="46" s="1"/>
  <c r="J21" i="46" s="1"/>
  <c r="D21" i="91"/>
  <c r="F21" i="91" s="1"/>
  <c r="I21" i="91" s="1"/>
  <c r="J21" i="91" s="1"/>
  <c r="D21" i="89"/>
  <c r="F21" i="89" s="1"/>
  <c r="I21" i="89" s="1"/>
  <c r="J21" i="89" s="1"/>
  <c r="D26" i="113"/>
  <c r="F26" i="113" s="1"/>
  <c r="I26" i="113" s="1"/>
  <c r="J26" i="113" s="1"/>
  <c r="D21" i="97"/>
  <c r="F21" i="97" s="1"/>
  <c r="I21" i="97" s="1"/>
  <c r="J21" i="97" s="1"/>
  <c r="D21" i="86"/>
  <c r="F21" i="86" s="1"/>
  <c r="I21" i="86" s="1"/>
  <c r="J21" i="86" s="1"/>
  <c r="D16" i="101"/>
  <c r="F16" i="101" s="1"/>
  <c r="I16" i="101" s="1"/>
  <c r="J16" i="101" s="1"/>
  <c r="D16" i="110"/>
  <c r="F16" i="110" s="1"/>
  <c r="I16" i="110" s="1"/>
  <c r="J16" i="110" s="1"/>
  <c r="D16" i="4"/>
  <c r="F16" i="4" s="1"/>
  <c r="I16" i="4" s="1"/>
  <c r="J16" i="4" s="1"/>
  <c r="D21" i="4"/>
  <c r="F21" i="4" s="1"/>
  <c r="I21" i="4" s="1"/>
  <c r="J21" i="4" s="1"/>
  <c r="D16" i="48"/>
  <c r="F16" i="48" s="1"/>
  <c r="I16" i="48" s="1"/>
  <c r="J16" i="48" s="1"/>
  <c r="D16" i="39"/>
  <c r="F16" i="39" s="1"/>
  <c r="I16" i="39" s="1"/>
  <c r="J16" i="39" s="1"/>
  <c r="D26" i="46"/>
  <c r="F26" i="46" s="1"/>
  <c r="I26" i="46" s="1"/>
  <c r="J26" i="46" s="1"/>
  <c r="D16" i="46"/>
  <c r="F16" i="46" s="1"/>
  <c r="I16" i="46" s="1"/>
  <c r="J16" i="46" s="1"/>
  <c r="D26" i="55"/>
  <c r="F26" i="55" s="1"/>
  <c r="I26" i="55" s="1"/>
  <c r="J26" i="55" s="1"/>
  <c r="D26" i="44"/>
  <c r="F26" i="44" s="1"/>
  <c r="I26" i="44" s="1"/>
  <c r="J26" i="44" s="1"/>
  <c r="D16" i="55"/>
  <c r="F16" i="55" s="1"/>
  <c r="I16" i="55" s="1"/>
  <c r="J16" i="55" s="1"/>
  <c r="D26" i="121"/>
  <c r="F26" i="121" s="1"/>
  <c r="I26" i="121" s="1"/>
  <c r="J26" i="121" s="1"/>
  <c r="D16" i="103"/>
  <c r="F16" i="103" s="1"/>
  <c r="I16" i="103" s="1"/>
  <c r="J16" i="103" s="1"/>
  <c r="D21" i="44"/>
  <c r="F21" i="44" s="1"/>
  <c r="I21" i="44" s="1"/>
  <c r="J21" i="44" s="1"/>
  <c r="D26" i="59"/>
  <c r="F26" i="59" s="1"/>
  <c r="I26" i="59" s="1"/>
  <c r="J26" i="59" s="1"/>
  <c r="D16" i="115"/>
  <c r="F16" i="115" s="1"/>
  <c r="I16" i="115" s="1"/>
  <c r="J16" i="115" s="1"/>
  <c r="D16" i="94"/>
  <c r="F16" i="94" s="1"/>
  <c r="I16" i="94" s="1"/>
  <c r="J16" i="94" s="1"/>
  <c r="D26" i="48"/>
  <c r="F26" i="48" s="1"/>
  <c r="I26" i="48" s="1"/>
  <c r="J26" i="48" s="1"/>
  <c r="D16" i="89"/>
  <c r="F16" i="89" s="1"/>
  <c r="I16" i="89" s="1"/>
  <c r="J16" i="89" s="1"/>
  <c r="D16" i="97"/>
  <c r="F16" i="97" s="1"/>
  <c r="I16" i="97" s="1"/>
  <c r="J16" i="97" s="1"/>
  <c r="D26" i="61"/>
  <c r="F26" i="61" s="1"/>
  <c r="I26" i="61" s="1"/>
  <c r="J26" i="61" s="1"/>
  <c r="D26" i="65"/>
  <c r="F26" i="65" s="1"/>
  <c r="I26" i="65" s="1"/>
  <c r="J26" i="65" s="1"/>
  <c r="D21" i="103"/>
  <c r="F21" i="103" s="1"/>
  <c r="I21" i="103" s="1"/>
  <c r="J21" i="103" s="1"/>
  <c r="D26" i="63"/>
  <c r="F26" i="63" s="1"/>
  <c r="I26" i="63" s="1"/>
  <c r="J26" i="63" s="1"/>
  <c r="D16" i="121"/>
  <c r="F16" i="121" s="1"/>
  <c r="I16" i="121" s="1"/>
  <c r="J16" i="121" s="1"/>
  <c r="D21" i="42"/>
  <c r="F21" i="42" s="1"/>
  <c r="I21" i="42" s="1"/>
  <c r="J21" i="42" s="1"/>
  <c r="D26" i="39"/>
  <c r="F26" i="39" s="1"/>
  <c r="I26" i="39" s="1"/>
  <c r="J26" i="39" s="1"/>
  <c r="D26" i="57"/>
  <c r="F26" i="57" s="1"/>
  <c r="I26" i="57" s="1"/>
  <c r="J26" i="57" s="1"/>
  <c r="D16" i="86"/>
  <c r="F16" i="86" s="1"/>
  <c r="I16" i="86" s="1"/>
  <c r="J16" i="86" s="1"/>
  <c r="D21" i="57"/>
  <c r="F21" i="57" s="1"/>
  <c r="I21" i="57" s="1"/>
  <c r="J21" i="57" s="1"/>
  <c r="D21" i="110"/>
  <c r="F21" i="110" s="1"/>
  <c r="I21" i="110" s="1"/>
  <c r="J21" i="110" s="1"/>
  <c r="D21" i="113"/>
  <c r="F21" i="113" s="1"/>
  <c r="I21" i="113" s="1"/>
  <c r="J21" i="113" s="1"/>
  <c r="D16" i="61"/>
  <c r="F16" i="61" s="1"/>
  <c r="I16" i="61" s="1"/>
  <c r="J16" i="61" s="1"/>
  <c r="D26" i="42"/>
  <c r="F26" i="42" s="1"/>
  <c r="I26" i="42" s="1"/>
  <c r="J26" i="42" s="1"/>
  <c r="D26" i="94"/>
  <c r="F26" i="94" s="1"/>
  <c r="I26" i="94" s="1"/>
  <c r="J26" i="94" s="1"/>
  <c r="D26" i="101"/>
  <c r="F26" i="101" s="1"/>
  <c r="I26" i="101" s="1"/>
  <c r="J26" i="101" s="1"/>
  <c r="D26" i="119"/>
  <c r="F26" i="119" s="1"/>
  <c r="I26" i="119" s="1"/>
  <c r="J26" i="119" s="1"/>
  <c r="D21" i="63"/>
  <c r="F21" i="63" s="1"/>
  <c r="I21" i="63" s="1"/>
  <c r="J21" i="63" s="1"/>
  <c r="D16" i="65"/>
  <c r="F16" i="65" s="1"/>
  <c r="I16" i="65" s="1"/>
  <c r="J16" i="65" s="1"/>
  <c r="D16" i="117"/>
  <c r="F16" i="117" s="1"/>
  <c r="I16" i="117" s="1"/>
  <c r="J16" i="117" s="1"/>
  <c r="D21" i="94"/>
  <c r="F21" i="94" s="1"/>
  <c r="I21" i="94" s="1"/>
  <c r="J21" i="94" s="1"/>
  <c r="D21" i="55"/>
  <c r="F21" i="55" s="1"/>
  <c r="I21" i="55" s="1"/>
  <c r="J21" i="55" s="1"/>
  <c r="D16" i="91"/>
  <c r="F16" i="91" s="1"/>
  <c r="I16" i="91" s="1"/>
  <c r="J16" i="91" s="1"/>
  <c r="D21" i="119"/>
  <c r="F21" i="119" s="1"/>
  <c r="I21" i="119" s="1"/>
  <c r="J21" i="119" s="1"/>
  <c r="D16" i="119"/>
  <c r="F16" i="119" s="1"/>
  <c r="I16" i="119" s="1"/>
  <c r="J16" i="119" s="1"/>
  <c r="D26" i="91"/>
  <c r="F26" i="91" s="1"/>
  <c r="I26" i="91" s="1"/>
  <c r="J26" i="91" s="1"/>
  <c r="D16" i="113"/>
  <c r="F16" i="113" s="1"/>
  <c r="I16" i="113" s="1"/>
  <c r="J16" i="113" s="1"/>
  <c r="D26" i="97"/>
  <c r="F26" i="97" s="1"/>
  <c r="I26" i="97" s="1"/>
  <c r="J26" i="97" s="1"/>
  <c r="D21" i="117"/>
  <c r="F21" i="117" s="1"/>
  <c r="I21" i="117" s="1"/>
  <c r="J21" i="117" s="1"/>
  <c r="D26" i="110"/>
  <c r="F26" i="110" s="1"/>
  <c r="I26" i="110" s="1"/>
  <c r="J26" i="110" s="1"/>
  <c r="D21" i="39"/>
  <c r="F21" i="39" s="1"/>
  <c r="I21" i="39" s="1"/>
  <c r="J21" i="39" s="1"/>
  <c r="D21" i="48"/>
  <c r="F21" i="48" s="1"/>
  <c r="I21" i="48" s="1"/>
  <c r="J21" i="48" s="1"/>
  <c r="D26" i="117"/>
  <c r="F26" i="117" s="1"/>
  <c r="I26" i="117" s="1"/>
  <c r="J26" i="117" s="1"/>
  <c r="D21" i="61"/>
  <c r="F21" i="61" s="1"/>
  <c r="I21" i="61" s="1"/>
  <c r="J21" i="61" s="1"/>
  <c r="O60" i="125"/>
  <c r="M57" i="125"/>
  <c r="C49" i="101" s="1"/>
  <c r="O59" i="125"/>
  <c r="O58" i="125"/>
  <c r="C68" i="68"/>
  <c r="I68" i="68"/>
  <c r="M57" i="67"/>
  <c r="C49" i="59" s="1"/>
  <c r="O60" i="67"/>
  <c r="O58" i="67"/>
  <c r="O59" i="67"/>
  <c r="M57" i="114"/>
  <c r="C49" i="115" s="1"/>
  <c r="O59" i="114"/>
  <c r="O60" i="114"/>
  <c r="O58" i="114"/>
  <c r="B68" i="125"/>
  <c r="B68" i="70"/>
  <c r="C68" i="71"/>
  <c r="I68" i="71"/>
  <c r="C68" i="112"/>
  <c r="I68" i="112"/>
  <c r="B68" i="77"/>
  <c r="C68" i="74"/>
  <c r="I68" i="74"/>
  <c r="I68" i="96"/>
  <c r="C68" i="96"/>
  <c r="M57" i="72"/>
  <c r="C49" i="55" s="1"/>
  <c r="O60" i="72"/>
  <c r="O59" i="72"/>
  <c r="O58" i="72"/>
  <c r="M57" i="112"/>
  <c r="C49" i="113" s="1"/>
  <c r="O58" i="112"/>
  <c r="O59" i="112"/>
  <c r="O60" i="112"/>
  <c r="M57" i="85"/>
  <c r="C49" i="86" s="1"/>
  <c r="O60" i="85"/>
  <c r="O58" i="85"/>
  <c r="O59" i="85"/>
  <c r="M57" i="104"/>
  <c r="C49" i="103" s="1"/>
  <c r="O60" i="104"/>
  <c r="O58" i="104"/>
  <c r="O59" i="104"/>
  <c r="M57" i="73"/>
  <c r="C49" i="39" s="1"/>
  <c r="O58" i="73"/>
  <c r="O60" i="73"/>
  <c r="O59" i="73"/>
  <c r="B68" i="76"/>
  <c r="M57" i="71"/>
  <c r="C49" i="4" s="1"/>
  <c r="O58" i="71"/>
  <c r="O59" i="71"/>
  <c r="O60" i="71"/>
  <c r="M57" i="68"/>
  <c r="C49" i="42" s="1"/>
  <c r="O60" i="68"/>
  <c r="O59" i="68"/>
  <c r="O58" i="68"/>
  <c r="I68" i="70"/>
  <c r="M57" i="96"/>
  <c r="C49" i="97" s="1"/>
  <c r="O58" i="96"/>
  <c r="O59" i="96"/>
  <c r="O60" i="96"/>
  <c r="O60" i="70"/>
  <c r="O59" i="70"/>
  <c r="M57" i="70"/>
  <c r="C49" i="46" s="1"/>
  <c r="O58" i="70"/>
  <c r="M57" i="76"/>
  <c r="C49" i="44" s="1"/>
  <c r="O58" i="76"/>
  <c r="O59" i="76"/>
  <c r="O60" i="76"/>
  <c r="B68" i="118"/>
  <c r="M57" i="74"/>
  <c r="C49" i="57" s="1"/>
  <c r="O58" i="74"/>
  <c r="O59" i="74"/>
  <c r="O60" i="74"/>
  <c r="B68" i="104"/>
  <c r="B68" i="79"/>
  <c r="O59" i="77"/>
  <c r="O58" i="77"/>
  <c r="O60" i="77"/>
  <c r="M57" i="77"/>
  <c r="C49" i="63" s="1"/>
  <c r="M57" i="78"/>
  <c r="C49" i="65" s="1"/>
  <c r="O60" i="78"/>
  <c r="O59" i="78"/>
  <c r="O58" i="78"/>
  <c r="D11" i="113"/>
  <c r="F11" i="113" s="1"/>
  <c r="I11" i="113" s="1"/>
  <c r="J11" i="113" s="1"/>
  <c r="D11" i="121"/>
  <c r="F11" i="121" s="1"/>
  <c r="I11" i="121" s="1"/>
  <c r="J11" i="121" s="1"/>
  <c r="D11" i="59"/>
  <c r="F11" i="59" s="1"/>
  <c r="I11" i="59" s="1"/>
  <c r="J11" i="59" s="1"/>
  <c r="D11" i="115"/>
  <c r="F11" i="115" s="1"/>
  <c r="I11" i="115" s="1"/>
  <c r="J11" i="115" s="1"/>
  <c r="D11" i="94"/>
  <c r="F11" i="94" s="1"/>
  <c r="I11" i="94" s="1"/>
  <c r="J11" i="94" s="1"/>
  <c r="D11" i="55"/>
  <c r="F11" i="55" s="1"/>
  <c r="I11" i="55" s="1"/>
  <c r="J11" i="55" s="1"/>
  <c r="D11" i="103"/>
  <c r="F11" i="103" s="1"/>
  <c r="I11" i="103" s="1"/>
  <c r="J11" i="103" s="1"/>
  <c r="D11" i="42"/>
  <c r="F11" i="42" s="1"/>
  <c r="I11" i="42" s="1"/>
  <c r="J11" i="42" s="1"/>
  <c r="D11" i="4"/>
  <c r="F11" i="4" s="1"/>
  <c r="I11" i="4" s="1"/>
  <c r="J11" i="4" s="1"/>
  <c r="D11" i="91"/>
  <c r="F11" i="91" s="1"/>
  <c r="I11" i="91" s="1"/>
  <c r="J11" i="91" s="1"/>
  <c r="D11" i="101"/>
  <c r="F11" i="101" s="1"/>
  <c r="I11" i="101" s="1"/>
  <c r="J11" i="101" s="1"/>
  <c r="D11" i="97"/>
  <c r="F11" i="97" s="1"/>
  <c r="I11" i="97" s="1"/>
  <c r="J11" i="97" s="1"/>
  <c r="D11" i="63"/>
  <c r="F11" i="63" s="1"/>
  <c r="I11" i="63" s="1"/>
  <c r="J11" i="63" s="1"/>
  <c r="D11" i="65"/>
  <c r="F11" i="65" s="1"/>
  <c r="I11" i="65" s="1"/>
  <c r="J11" i="65" s="1"/>
  <c r="D11" i="46"/>
  <c r="F11" i="46" s="1"/>
  <c r="I11" i="46" s="1"/>
  <c r="J11" i="46" s="1"/>
  <c r="D11" i="119"/>
  <c r="F11" i="119" s="1"/>
  <c r="I11" i="119" s="1"/>
  <c r="J11" i="119" s="1"/>
  <c r="D11" i="86"/>
  <c r="F11" i="86" s="1"/>
  <c r="I11" i="86" s="1"/>
  <c r="J11" i="86" s="1"/>
  <c r="D11" i="110"/>
  <c r="F11" i="110" s="1"/>
  <c r="I11" i="110" s="1"/>
  <c r="J11" i="110" s="1"/>
  <c r="D11" i="61"/>
  <c r="F11" i="61" s="1"/>
  <c r="I11" i="61" s="1"/>
  <c r="J11" i="61" s="1"/>
  <c r="D11" i="89"/>
  <c r="F11" i="89" s="1"/>
  <c r="I11" i="89" s="1"/>
  <c r="J11" i="89" s="1"/>
  <c r="D11" i="57"/>
  <c r="F11" i="57" s="1"/>
  <c r="I11" i="57" s="1"/>
  <c r="J11" i="57" s="1"/>
  <c r="D11" i="44"/>
  <c r="F11" i="44" s="1"/>
  <c r="I11" i="44" s="1"/>
  <c r="J11" i="44" s="1"/>
  <c r="D11" i="39"/>
  <c r="F11" i="39" s="1"/>
  <c r="I11" i="39" s="1"/>
  <c r="J11" i="39" s="1"/>
  <c r="D11" i="117"/>
  <c r="F11" i="117" s="1"/>
  <c r="I11" i="117" s="1"/>
  <c r="J11" i="117" s="1"/>
  <c r="D11" i="48"/>
  <c r="F11" i="48" s="1"/>
  <c r="I11" i="48" s="1"/>
  <c r="J11" i="48" s="1"/>
  <c r="O60" i="118"/>
  <c r="M57" i="118"/>
  <c r="C49" i="119" s="1"/>
  <c r="O59" i="118"/>
  <c r="O58" i="118"/>
  <c r="M57" i="79"/>
  <c r="C49" i="48" s="1"/>
  <c r="O60" i="79"/>
  <c r="O59" i="79"/>
  <c r="O58" i="79"/>
  <c r="C68" i="88"/>
  <c r="I68" i="88"/>
  <c r="I68" i="125"/>
  <c r="I68" i="85"/>
  <c r="C68" i="85"/>
  <c r="I68" i="73"/>
  <c r="C68" i="73"/>
  <c r="I68" i="109"/>
  <c r="C68" i="109"/>
  <c r="M57" i="109"/>
  <c r="C49" i="110" s="1"/>
  <c r="O60" i="109"/>
  <c r="O59" i="109"/>
  <c r="O58" i="109"/>
  <c r="B68" i="78"/>
  <c r="I68" i="116"/>
  <c r="C68" i="116"/>
  <c r="B68" i="90"/>
  <c r="I68" i="69"/>
  <c r="C68" i="69"/>
  <c r="C68" i="72"/>
  <c r="I68" i="72"/>
  <c r="I68" i="67"/>
  <c r="C68" i="67"/>
  <c r="H68" i="67" l="1"/>
  <c r="C54" i="121"/>
  <c r="G68" i="120"/>
  <c r="B68" i="112"/>
  <c r="C54" i="103"/>
  <c r="G68" i="104"/>
  <c r="B68" i="71"/>
  <c r="A68" i="70"/>
  <c r="C52" i="46"/>
  <c r="A68" i="120"/>
  <c r="C52" i="121"/>
  <c r="C54" i="44"/>
  <c r="G68" i="76"/>
  <c r="B68" i="109"/>
  <c r="H68" i="88"/>
  <c r="A68" i="77"/>
  <c r="C52" i="63"/>
  <c r="B68" i="116"/>
  <c r="H68" i="109"/>
  <c r="B68" i="88"/>
  <c r="G68" i="90"/>
  <c r="C54" i="91"/>
  <c r="C54" i="63"/>
  <c r="G68" i="77"/>
  <c r="H68" i="68"/>
  <c r="H68" i="79"/>
  <c r="H68" i="95"/>
  <c r="H68" i="70"/>
  <c r="A68" i="76"/>
  <c r="C52" i="44"/>
  <c r="B68" i="68"/>
  <c r="B68" i="95"/>
  <c r="G68" i="78"/>
  <c r="C54" i="65"/>
  <c r="H68" i="116"/>
  <c r="B68" i="73"/>
  <c r="H68" i="72"/>
  <c r="H68" i="73"/>
  <c r="B68" i="72"/>
  <c r="B68" i="85"/>
  <c r="C54" i="119"/>
  <c r="G68" i="118"/>
  <c r="B68" i="96"/>
  <c r="H68" i="114"/>
  <c r="A68" i="79"/>
  <c r="C52" i="48"/>
  <c r="B68" i="69"/>
  <c r="A68" i="78"/>
  <c r="C52" i="65"/>
  <c r="H68" i="85"/>
  <c r="A68" i="104"/>
  <c r="C52" i="103"/>
  <c r="C24" i="19"/>
  <c r="E24" i="19" s="1"/>
  <c r="E18" i="19"/>
  <c r="H68" i="96"/>
  <c r="B68" i="114"/>
  <c r="A68" i="90"/>
  <c r="C52" i="91"/>
  <c r="C23" i="19"/>
  <c r="E23" i="19" s="1"/>
  <c r="E17" i="19"/>
  <c r="H68" i="125"/>
  <c r="A68" i="118"/>
  <c r="C52" i="119"/>
  <c r="H68" i="74"/>
  <c r="H68" i="71"/>
  <c r="H68" i="69"/>
  <c r="B68" i="67"/>
  <c r="B68" i="74"/>
  <c r="H68" i="112"/>
  <c r="A68" i="125"/>
  <c r="C52" i="101"/>
  <c r="C53" i="101" l="1"/>
  <c r="D62" i="125"/>
  <c r="C54" i="61"/>
  <c r="G68" i="69"/>
  <c r="C25" i="19"/>
  <c r="E25" i="19" s="1"/>
  <c r="E19" i="19"/>
  <c r="G68" i="116"/>
  <c r="C54" i="117"/>
  <c r="A68" i="74"/>
  <c r="C52" i="57"/>
  <c r="G68" i="85"/>
  <c r="C54" i="86"/>
  <c r="C53" i="121"/>
  <c r="D62" i="120"/>
  <c r="C53" i="119"/>
  <c r="D62" i="118"/>
  <c r="D62" i="78"/>
  <c r="C53" i="65"/>
  <c r="G68" i="71"/>
  <c r="C54" i="4"/>
  <c r="C54" i="97"/>
  <c r="G68" i="96"/>
  <c r="C54" i="42"/>
  <c r="G68" i="68"/>
  <c r="A68" i="96"/>
  <c r="C52" i="97"/>
  <c r="J62" i="78"/>
  <c r="C55" i="65"/>
  <c r="G68" i="70"/>
  <c r="C54" i="46"/>
  <c r="C55" i="63"/>
  <c r="J62" i="77"/>
  <c r="A68" i="88"/>
  <c r="C52" i="89"/>
  <c r="G68" i="88"/>
  <c r="C54" i="89"/>
  <c r="A68" i="72"/>
  <c r="C52" i="55"/>
  <c r="D62" i="76"/>
  <c r="C53" i="44"/>
  <c r="G68" i="112"/>
  <c r="C54" i="113"/>
  <c r="C54" i="101"/>
  <c r="G68" i="125"/>
  <c r="D31" i="89"/>
  <c r="F31" i="89" s="1"/>
  <c r="D31" i="48"/>
  <c r="F31" i="48" s="1"/>
  <c r="I31" i="48" s="1"/>
  <c r="J31" i="48" s="1"/>
  <c r="D31" i="97"/>
  <c r="F31" i="97" s="1"/>
  <c r="D31" i="117"/>
  <c r="F31" i="117" s="1"/>
  <c r="I31" i="117" s="1"/>
  <c r="J31" i="117" s="1"/>
  <c r="D31" i="46"/>
  <c r="F31" i="46" s="1"/>
  <c r="I31" i="46" s="1"/>
  <c r="J31" i="46" s="1"/>
  <c r="D31" i="91"/>
  <c r="F31" i="91" s="1"/>
  <c r="I31" i="91" s="1"/>
  <c r="J31" i="91" s="1"/>
  <c r="D31" i="115"/>
  <c r="F31" i="115" s="1"/>
  <c r="I31" i="115" s="1"/>
  <c r="J31" i="115" s="1"/>
  <c r="D31" i="55"/>
  <c r="F31" i="55" s="1"/>
  <c r="I31" i="55" s="1"/>
  <c r="J31" i="55" s="1"/>
  <c r="D31" i="44"/>
  <c r="F31" i="44" s="1"/>
  <c r="I31" i="44" s="1"/>
  <c r="J31" i="44" s="1"/>
  <c r="D31" i="39"/>
  <c r="F31" i="39" s="1"/>
  <c r="D31" i="63"/>
  <c r="F31" i="63" s="1"/>
  <c r="I31" i="63" s="1"/>
  <c r="J31" i="63" s="1"/>
  <c r="D31" i="57"/>
  <c r="F31" i="57" s="1"/>
  <c r="I31" i="57" s="1"/>
  <c r="J31" i="57" s="1"/>
  <c r="D31" i="110"/>
  <c r="F31" i="110" s="1"/>
  <c r="I31" i="110" s="1"/>
  <c r="J31" i="110" s="1"/>
  <c r="D31" i="101"/>
  <c r="F31" i="101" s="1"/>
  <c r="I31" i="101" s="1"/>
  <c r="J31" i="101" s="1"/>
  <c r="D31" i="86"/>
  <c r="F31" i="86" s="1"/>
  <c r="I31" i="86" s="1"/>
  <c r="J31" i="86" s="1"/>
  <c r="D31" i="59"/>
  <c r="F31" i="59" s="1"/>
  <c r="I31" i="59" s="1"/>
  <c r="J31" i="59" s="1"/>
  <c r="D31" i="119"/>
  <c r="F31" i="119" s="1"/>
  <c r="I31" i="119" s="1"/>
  <c r="J31" i="119" s="1"/>
  <c r="D31" i="65"/>
  <c r="F31" i="65" s="1"/>
  <c r="I31" i="65" s="1"/>
  <c r="J31" i="65" s="1"/>
  <c r="D31" i="121"/>
  <c r="F31" i="121" s="1"/>
  <c r="I31" i="121" s="1"/>
  <c r="J31" i="121" s="1"/>
  <c r="D31" i="4"/>
  <c r="F31" i="4" s="1"/>
  <c r="I31" i="4" s="1"/>
  <c r="J31" i="4" s="1"/>
  <c r="D31" i="113"/>
  <c r="F31" i="113" s="1"/>
  <c r="I31" i="113" s="1"/>
  <c r="J31" i="113" s="1"/>
  <c r="D31" i="94"/>
  <c r="F31" i="94" s="1"/>
  <c r="I31" i="94" s="1"/>
  <c r="J31" i="94" s="1"/>
  <c r="D31" i="42"/>
  <c r="F31" i="42" s="1"/>
  <c r="D31" i="61"/>
  <c r="F31" i="61" s="1"/>
  <c r="I31" i="61" s="1"/>
  <c r="J31" i="61" s="1"/>
  <c r="D31" i="103"/>
  <c r="F31" i="103" s="1"/>
  <c r="D38" i="121"/>
  <c r="F38" i="121" s="1"/>
  <c r="I38" i="121" s="1"/>
  <c r="J38" i="121" s="1"/>
  <c r="D38" i="86"/>
  <c r="F38" i="86" s="1"/>
  <c r="I38" i="86" s="1"/>
  <c r="J38" i="86" s="1"/>
  <c r="D38" i="103"/>
  <c r="F38" i="103" s="1"/>
  <c r="I38" i="103" s="1"/>
  <c r="J38" i="103" s="1"/>
  <c r="D38" i="117"/>
  <c r="F38" i="117" s="1"/>
  <c r="D38" i="39"/>
  <c r="F38" i="39" s="1"/>
  <c r="I38" i="39" s="1"/>
  <c r="J38" i="39" s="1"/>
  <c r="D38" i="46"/>
  <c r="F38" i="46" s="1"/>
  <c r="D38" i="97"/>
  <c r="F38" i="97" s="1"/>
  <c r="I38" i="97" s="1"/>
  <c r="J38" i="97" s="1"/>
  <c r="D38" i="4"/>
  <c r="F38" i="4" s="1"/>
  <c r="I38" i="4" s="1"/>
  <c r="J38" i="4" s="1"/>
  <c r="D38" i="119"/>
  <c r="F38" i="119" s="1"/>
  <c r="I38" i="119" s="1"/>
  <c r="J38" i="119" s="1"/>
  <c r="D38" i="101"/>
  <c r="F38" i="101" s="1"/>
  <c r="I38" i="101" s="1"/>
  <c r="J38" i="101" s="1"/>
  <c r="D38" i="110"/>
  <c r="F38" i="110" s="1"/>
  <c r="D38" i="48"/>
  <c r="F38" i="48" s="1"/>
  <c r="I38" i="48" s="1"/>
  <c r="J38" i="48" s="1"/>
  <c r="D38" i="44"/>
  <c r="F38" i="44" s="1"/>
  <c r="I38" i="44" s="1"/>
  <c r="J38" i="44" s="1"/>
  <c r="D38" i="94"/>
  <c r="F38" i="94" s="1"/>
  <c r="I38" i="94" s="1"/>
  <c r="J38" i="94" s="1"/>
  <c r="D38" i="113"/>
  <c r="F38" i="113" s="1"/>
  <c r="I38" i="113" s="1"/>
  <c r="J38" i="113" s="1"/>
  <c r="D38" i="63"/>
  <c r="F38" i="63" s="1"/>
  <c r="D38" i="42"/>
  <c r="F38" i="42" s="1"/>
  <c r="I38" i="42" s="1"/>
  <c r="J38" i="42" s="1"/>
  <c r="D38" i="61"/>
  <c r="F38" i="61" s="1"/>
  <c r="I38" i="61" s="1"/>
  <c r="J38" i="61" s="1"/>
  <c r="D38" i="91"/>
  <c r="F38" i="91" s="1"/>
  <c r="I38" i="91" s="1"/>
  <c r="J38" i="91" s="1"/>
  <c r="D38" i="115"/>
  <c r="F38" i="115" s="1"/>
  <c r="I38" i="115" s="1"/>
  <c r="J38" i="115" s="1"/>
  <c r="D38" i="65"/>
  <c r="F38" i="65" s="1"/>
  <c r="I38" i="65" s="1"/>
  <c r="J38" i="65" s="1"/>
  <c r="D38" i="59"/>
  <c r="F38" i="59" s="1"/>
  <c r="I38" i="59" s="1"/>
  <c r="J38" i="59" s="1"/>
  <c r="D38" i="55"/>
  <c r="F38" i="55" s="1"/>
  <c r="I38" i="55" s="1"/>
  <c r="J38" i="55" s="1"/>
  <c r="D38" i="57"/>
  <c r="F38" i="57" s="1"/>
  <c r="I38" i="57" s="1"/>
  <c r="J38" i="57" s="1"/>
  <c r="D38" i="89"/>
  <c r="F38" i="89" s="1"/>
  <c r="I38" i="89" s="1"/>
  <c r="J38" i="89" s="1"/>
  <c r="A68" i="69"/>
  <c r="C52" i="61"/>
  <c r="C28" i="19"/>
  <c r="E28" i="19" s="1"/>
  <c r="E22" i="19"/>
  <c r="G68" i="73"/>
  <c r="C54" i="39"/>
  <c r="C26" i="19"/>
  <c r="E26" i="19" s="1"/>
  <c r="E20" i="19"/>
  <c r="D62" i="90"/>
  <c r="C53" i="91"/>
  <c r="D62" i="104"/>
  <c r="C53" i="103"/>
  <c r="D62" i="79"/>
  <c r="C53" i="48"/>
  <c r="G68" i="95"/>
  <c r="C54" i="94"/>
  <c r="C54" i="110"/>
  <c r="G68" i="109"/>
  <c r="A68" i="109"/>
  <c r="C52" i="110"/>
  <c r="A68" i="112"/>
  <c r="C52" i="113"/>
  <c r="G68" i="72"/>
  <c r="C54" i="55"/>
  <c r="A68" i="95"/>
  <c r="C52" i="94"/>
  <c r="C55" i="91"/>
  <c r="J62" i="90"/>
  <c r="D62" i="70"/>
  <c r="C53" i="46"/>
  <c r="C55" i="121"/>
  <c r="J62" i="120"/>
  <c r="C55" i="119"/>
  <c r="J62" i="118"/>
  <c r="G68" i="74"/>
  <c r="C54" i="57"/>
  <c r="A68" i="114"/>
  <c r="C52" i="115"/>
  <c r="A68" i="85"/>
  <c r="C52" i="86"/>
  <c r="C54" i="48"/>
  <c r="G68" i="79"/>
  <c r="A68" i="116"/>
  <c r="C52" i="117"/>
  <c r="A68" i="67"/>
  <c r="C52" i="59"/>
  <c r="G68" i="114"/>
  <c r="C54" i="115"/>
  <c r="A68" i="73"/>
  <c r="C52" i="39"/>
  <c r="A68" i="68"/>
  <c r="C52" i="42"/>
  <c r="C27" i="19"/>
  <c r="E27" i="19" s="1"/>
  <c r="E21" i="19"/>
  <c r="C55" i="44"/>
  <c r="J62" i="76"/>
  <c r="A68" i="71"/>
  <c r="C52" i="4"/>
  <c r="J62" i="104"/>
  <c r="C55" i="103"/>
  <c r="C53" i="63"/>
  <c r="D62" i="77"/>
  <c r="G68" i="67"/>
  <c r="C54" i="59"/>
  <c r="D62" i="116" l="1"/>
  <c r="C53" i="117"/>
  <c r="D62" i="112"/>
  <c r="C53" i="113"/>
  <c r="C55" i="97"/>
  <c r="J62" i="96"/>
  <c r="J62" i="72"/>
  <c r="C55" i="55"/>
  <c r="C55" i="59"/>
  <c r="J62" i="67"/>
  <c r="D59" i="113"/>
  <c r="F59" i="113" s="1"/>
  <c r="I59" i="113" s="1"/>
  <c r="J59" i="113" s="1"/>
  <c r="D59" i="121"/>
  <c r="F59" i="121" s="1"/>
  <c r="I59" i="121" s="1"/>
  <c r="J59" i="121" s="1"/>
  <c r="D59" i="42"/>
  <c r="F59" i="42" s="1"/>
  <c r="I59" i="42" s="1"/>
  <c r="J59" i="42" s="1"/>
  <c r="D59" i="59"/>
  <c r="F59" i="59" s="1"/>
  <c r="I59" i="59" s="1"/>
  <c r="J59" i="59" s="1"/>
  <c r="D59" i="119"/>
  <c r="F59" i="119" s="1"/>
  <c r="I59" i="119" s="1"/>
  <c r="J59" i="119" s="1"/>
  <c r="D59" i="57"/>
  <c r="F59" i="57" s="1"/>
  <c r="I59" i="57" s="1"/>
  <c r="J59" i="57" s="1"/>
  <c r="D59" i="39"/>
  <c r="F59" i="39" s="1"/>
  <c r="I59" i="39" s="1"/>
  <c r="J59" i="39" s="1"/>
  <c r="D59" i="97"/>
  <c r="F59" i="97" s="1"/>
  <c r="I59" i="97" s="1"/>
  <c r="J59" i="97" s="1"/>
  <c r="D59" i="103"/>
  <c r="F59" i="103" s="1"/>
  <c r="I59" i="103" s="1"/>
  <c r="J59" i="103" s="1"/>
  <c r="D59" i="44"/>
  <c r="F59" i="44" s="1"/>
  <c r="I59" i="44" s="1"/>
  <c r="J59" i="44" s="1"/>
  <c r="D59" i="91"/>
  <c r="F59" i="91" s="1"/>
  <c r="I59" i="91" s="1"/>
  <c r="J59" i="91" s="1"/>
  <c r="D59" i="63"/>
  <c r="F59" i="63" s="1"/>
  <c r="I59" i="63" s="1"/>
  <c r="J59" i="63" s="1"/>
  <c r="D59" i="110"/>
  <c r="F59" i="110" s="1"/>
  <c r="I59" i="110" s="1"/>
  <c r="J59" i="110" s="1"/>
  <c r="D59" i="115"/>
  <c r="F59" i="115" s="1"/>
  <c r="I59" i="115" s="1"/>
  <c r="J59" i="115" s="1"/>
  <c r="D59" i="48"/>
  <c r="F59" i="48" s="1"/>
  <c r="I59" i="48" s="1"/>
  <c r="J59" i="48" s="1"/>
  <c r="D59" i="101"/>
  <c r="F59" i="101" s="1"/>
  <c r="D59" i="55"/>
  <c r="F59" i="55" s="1"/>
  <c r="I59" i="55" s="1"/>
  <c r="J59" i="55" s="1"/>
  <c r="D59" i="94"/>
  <c r="F59" i="94" s="1"/>
  <c r="I59" i="94" s="1"/>
  <c r="J59" i="94" s="1"/>
  <c r="D59" i="4"/>
  <c r="F59" i="4" s="1"/>
  <c r="I59" i="4" s="1"/>
  <c r="J59" i="4" s="1"/>
  <c r="D59" i="89"/>
  <c r="F59" i="89" s="1"/>
  <c r="I59" i="89" s="1"/>
  <c r="J59" i="89" s="1"/>
  <c r="D59" i="65"/>
  <c r="F59" i="65" s="1"/>
  <c r="I59" i="65" s="1"/>
  <c r="J59" i="65" s="1"/>
  <c r="D59" i="46"/>
  <c r="F59" i="46" s="1"/>
  <c r="I59" i="46" s="1"/>
  <c r="J59" i="46" s="1"/>
  <c r="D59" i="61"/>
  <c r="F59" i="61" s="1"/>
  <c r="D59" i="86"/>
  <c r="F59" i="86" s="1"/>
  <c r="I59" i="86" s="1"/>
  <c r="J59" i="86" s="1"/>
  <c r="D59" i="117"/>
  <c r="F59" i="117" s="1"/>
  <c r="I59" i="117" s="1"/>
  <c r="J59" i="117" s="1"/>
  <c r="C55" i="48"/>
  <c r="J62" i="79"/>
  <c r="J70" i="120"/>
  <c r="J69" i="120"/>
  <c r="D69" i="90"/>
  <c r="C78" i="90" s="1"/>
  <c r="D70" i="90"/>
  <c r="I31" i="103"/>
  <c r="J31" i="103" s="1"/>
  <c r="I31" i="89"/>
  <c r="J31" i="89" s="1"/>
  <c r="D62" i="88"/>
  <c r="C53" i="89"/>
  <c r="D62" i="74"/>
  <c r="C53" i="57"/>
  <c r="J69" i="76"/>
  <c r="J70" i="76"/>
  <c r="I38" i="110"/>
  <c r="J38" i="110" s="1"/>
  <c r="C55" i="101"/>
  <c r="J62" i="125"/>
  <c r="N68" i="125" s="1"/>
  <c r="J70" i="77"/>
  <c r="J69" i="77"/>
  <c r="D62" i="109"/>
  <c r="C53" i="110"/>
  <c r="D62" i="68"/>
  <c r="C53" i="42"/>
  <c r="J62" i="109"/>
  <c r="C55" i="110"/>
  <c r="C55" i="4"/>
  <c r="J62" i="71"/>
  <c r="C53" i="86"/>
  <c r="D62" i="85"/>
  <c r="D70" i="70"/>
  <c r="D69" i="70"/>
  <c r="C78" i="70" s="1"/>
  <c r="B78" i="70" s="1"/>
  <c r="A78" i="70" s="1"/>
  <c r="D72" i="70" s="1"/>
  <c r="D79" i="70" s="1"/>
  <c r="I31" i="39"/>
  <c r="J31" i="39" s="1"/>
  <c r="C55" i="117"/>
  <c r="J62" i="116"/>
  <c r="C55" i="113"/>
  <c r="J62" i="112"/>
  <c r="C53" i="115"/>
  <c r="D62" i="114"/>
  <c r="N68" i="118"/>
  <c r="D70" i="118"/>
  <c r="D69" i="118"/>
  <c r="C78" i="118" s="1"/>
  <c r="N68" i="104"/>
  <c r="J69" i="104"/>
  <c r="J70" i="104"/>
  <c r="C55" i="46"/>
  <c r="J62" i="70"/>
  <c r="N68" i="78"/>
  <c r="D69" i="78"/>
  <c r="C78" i="78" s="1"/>
  <c r="D70" i="78"/>
  <c r="J62" i="114"/>
  <c r="C55" i="115"/>
  <c r="C55" i="94"/>
  <c r="J62" i="95"/>
  <c r="C55" i="39"/>
  <c r="J62" i="73"/>
  <c r="I38" i="46"/>
  <c r="J38" i="46" s="1"/>
  <c r="N68" i="76"/>
  <c r="D70" i="76"/>
  <c r="D69" i="76"/>
  <c r="C78" i="76" s="1"/>
  <c r="J69" i="78"/>
  <c r="J70" i="78"/>
  <c r="D45" i="57"/>
  <c r="F45" i="57" s="1"/>
  <c r="I45" i="57" s="1"/>
  <c r="J45" i="57" s="1"/>
  <c r="D45" i="86"/>
  <c r="F45" i="86" s="1"/>
  <c r="D45" i="101"/>
  <c r="F45" i="101" s="1"/>
  <c r="I45" i="101" s="1"/>
  <c r="J45" i="101" s="1"/>
  <c r="D45" i="42"/>
  <c r="F45" i="42" s="1"/>
  <c r="I45" i="42" s="1"/>
  <c r="J45" i="42" s="1"/>
  <c r="D45" i="65"/>
  <c r="F45" i="65" s="1"/>
  <c r="D45" i="46"/>
  <c r="F45" i="46" s="1"/>
  <c r="D45" i="4"/>
  <c r="F45" i="4" s="1"/>
  <c r="I45" i="4" s="1"/>
  <c r="J45" i="4" s="1"/>
  <c r="D45" i="110"/>
  <c r="F45" i="110" s="1"/>
  <c r="I45" i="110" s="1"/>
  <c r="J45" i="110" s="1"/>
  <c r="D45" i="94"/>
  <c r="F45" i="94" s="1"/>
  <c r="I45" i="94" s="1"/>
  <c r="J45" i="94" s="1"/>
  <c r="D45" i="97"/>
  <c r="F45" i="97" s="1"/>
  <c r="I45" i="97" s="1"/>
  <c r="J45" i="97" s="1"/>
  <c r="D45" i="59"/>
  <c r="F45" i="59" s="1"/>
  <c r="I45" i="59" s="1"/>
  <c r="J45" i="59" s="1"/>
  <c r="D45" i="61"/>
  <c r="F45" i="61" s="1"/>
  <c r="I45" i="61" s="1"/>
  <c r="J45" i="61" s="1"/>
  <c r="D45" i="113"/>
  <c r="F45" i="113" s="1"/>
  <c r="I45" i="113" s="1"/>
  <c r="J45" i="113" s="1"/>
  <c r="D45" i="44"/>
  <c r="F45" i="44" s="1"/>
  <c r="D45" i="55"/>
  <c r="F45" i="55" s="1"/>
  <c r="I45" i="55" s="1"/>
  <c r="J45" i="55" s="1"/>
  <c r="D45" i="117"/>
  <c r="F45" i="117" s="1"/>
  <c r="I45" i="117" s="1"/>
  <c r="J45" i="117" s="1"/>
  <c r="D45" i="103"/>
  <c r="F45" i="103" s="1"/>
  <c r="I45" i="103" s="1"/>
  <c r="J45" i="103" s="1"/>
  <c r="D45" i="115"/>
  <c r="F45" i="115" s="1"/>
  <c r="I45" i="115" s="1"/>
  <c r="J45" i="115" s="1"/>
  <c r="D45" i="121"/>
  <c r="F45" i="121" s="1"/>
  <c r="I45" i="121" s="1"/>
  <c r="J45" i="121" s="1"/>
  <c r="D45" i="89"/>
  <c r="F45" i="89" s="1"/>
  <c r="I45" i="89" s="1"/>
  <c r="J45" i="89" s="1"/>
  <c r="D45" i="119"/>
  <c r="F45" i="119" s="1"/>
  <c r="I45" i="119" s="1"/>
  <c r="J45" i="119" s="1"/>
  <c r="D45" i="39"/>
  <c r="F45" i="39" s="1"/>
  <c r="D45" i="63"/>
  <c r="F45" i="63" s="1"/>
  <c r="I45" i="63" s="1"/>
  <c r="J45" i="63" s="1"/>
  <c r="D45" i="48"/>
  <c r="F45" i="48" s="1"/>
  <c r="I45" i="48" s="1"/>
  <c r="J45" i="48" s="1"/>
  <c r="D45" i="91"/>
  <c r="F45" i="91" s="1"/>
  <c r="I45" i="91" s="1"/>
  <c r="J45" i="91" s="1"/>
  <c r="N68" i="77"/>
  <c r="D70" i="77"/>
  <c r="D69" i="77"/>
  <c r="C78" i="77" s="1"/>
  <c r="D52" i="61"/>
  <c r="F52" i="61" s="1"/>
  <c r="I52" i="61" s="1"/>
  <c r="J52" i="61" s="1"/>
  <c r="D52" i="65"/>
  <c r="F52" i="65" s="1"/>
  <c r="I52" i="65" s="1"/>
  <c r="J52" i="65" s="1"/>
  <c r="D52" i="59"/>
  <c r="F52" i="59" s="1"/>
  <c r="I52" i="59" s="1"/>
  <c r="J52" i="59" s="1"/>
  <c r="D52" i="48"/>
  <c r="F52" i="48" s="1"/>
  <c r="I52" i="48" s="1"/>
  <c r="J52" i="48" s="1"/>
  <c r="D52" i="63"/>
  <c r="F52" i="63" s="1"/>
  <c r="I52" i="63" s="1"/>
  <c r="J52" i="63" s="1"/>
  <c r="D52" i="117"/>
  <c r="F52" i="117" s="1"/>
  <c r="I52" i="117" s="1"/>
  <c r="J52" i="117" s="1"/>
  <c r="D52" i="4"/>
  <c r="F52" i="4" s="1"/>
  <c r="I52" i="4" s="1"/>
  <c r="J52" i="4" s="1"/>
  <c r="D52" i="57"/>
  <c r="F52" i="57" s="1"/>
  <c r="I52" i="57" s="1"/>
  <c r="J52" i="57" s="1"/>
  <c r="D52" i="44"/>
  <c r="F52" i="44" s="1"/>
  <c r="I52" i="44" s="1"/>
  <c r="J52" i="44" s="1"/>
  <c r="D52" i="121"/>
  <c r="F52" i="121" s="1"/>
  <c r="I52" i="121" s="1"/>
  <c r="J52" i="121" s="1"/>
  <c r="D52" i="86"/>
  <c r="F52" i="86" s="1"/>
  <c r="I52" i="86" s="1"/>
  <c r="J52" i="86" s="1"/>
  <c r="D52" i="103"/>
  <c r="F52" i="103" s="1"/>
  <c r="I52" i="103" s="1"/>
  <c r="J52" i="103" s="1"/>
  <c r="D52" i="97"/>
  <c r="F52" i="97" s="1"/>
  <c r="I52" i="97" s="1"/>
  <c r="J52" i="97" s="1"/>
  <c r="D52" i="110"/>
  <c r="F52" i="110" s="1"/>
  <c r="I52" i="110" s="1"/>
  <c r="J52" i="110" s="1"/>
  <c r="D52" i="91"/>
  <c r="F52" i="91" s="1"/>
  <c r="I52" i="91" s="1"/>
  <c r="J52" i="91" s="1"/>
  <c r="D52" i="39"/>
  <c r="F52" i="39" s="1"/>
  <c r="I52" i="39" s="1"/>
  <c r="J52" i="39" s="1"/>
  <c r="D52" i="115"/>
  <c r="F52" i="115" s="1"/>
  <c r="I52" i="115" s="1"/>
  <c r="J52" i="115" s="1"/>
  <c r="D52" i="101"/>
  <c r="F52" i="101" s="1"/>
  <c r="I52" i="101" s="1"/>
  <c r="J52" i="101" s="1"/>
  <c r="D52" i="46"/>
  <c r="F52" i="46" s="1"/>
  <c r="I52" i="46" s="1"/>
  <c r="J52" i="46" s="1"/>
  <c r="D52" i="119"/>
  <c r="F52" i="119" s="1"/>
  <c r="I52" i="119" s="1"/>
  <c r="J52" i="119" s="1"/>
  <c r="D52" i="42"/>
  <c r="F52" i="42" s="1"/>
  <c r="I52" i="42" s="1"/>
  <c r="J52" i="42" s="1"/>
  <c r="D52" i="94"/>
  <c r="F52" i="94" s="1"/>
  <c r="I52" i="94" s="1"/>
  <c r="J52" i="94" s="1"/>
  <c r="D52" i="55"/>
  <c r="F52" i="55" s="1"/>
  <c r="I52" i="55" s="1"/>
  <c r="J52" i="55" s="1"/>
  <c r="D52" i="89"/>
  <c r="F52" i="89" s="1"/>
  <c r="I52" i="89" s="1"/>
  <c r="J52" i="89" s="1"/>
  <c r="D52" i="113"/>
  <c r="F52" i="113" s="1"/>
  <c r="I52" i="113" s="1"/>
  <c r="J52" i="113" s="1"/>
  <c r="C55" i="57"/>
  <c r="J62" i="74"/>
  <c r="C53" i="94"/>
  <c r="D62" i="95"/>
  <c r="N68" i="120"/>
  <c r="D70" i="120"/>
  <c r="D69" i="120"/>
  <c r="C78" i="120" s="1"/>
  <c r="C55" i="61"/>
  <c r="J62" i="69"/>
  <c r="I31" i="42"/>
  <c r="J31" i="42" s="1"/>
  <c r="D62" i="73"/>
  <c r="C53" i="39"/>
  <c r="N68" i="90"/>
  <c r="J69" i="90"/>
  <c r="J70" i="90"/>
  <c r="C53" i="4"/>
  <c r="D62" i="71"/>
  <c r="D62" i="67"/>
  <c r="C53" i="59"/>
  <c r="J70" i="118"/>
  <c r="J69" i="118"/>
  <c r="N68" i="79"/>
  <c r="D70" i="79"/>
  <c r="D69" i="79"/>
  <c r="C78" i="79" s="1"/>
  <c r="D66" i="103"/>
  <c r="F66" i="103" s="1"/>
  <c r="I66" i="103" s="1"/>
  <c r="J66" i="103" s="1"/>
  <c r="D66" i="101"/>
  <c r="F66" i="101" s="1"/>
  <c r="D66" i="59"/>
  <c r="F66" i="59" s="1"/>
  <c r="I66" i="59" s="1"/>
  <c r="J66" i="59" s="1"/>
  <c r="D66" i="63"/>
  <c r="F66" i="63" s="1"/>
  <c r="D66" i="44"/>
  <c r="F66" i="44" s="1"/>
  <c r="I66" i="44" s="1"/>
  <c r="J66" i="44" s="1"/>
  <c r="D66" i="57"/>
  <c r="F66" i="57" s="1"/>
  <c r="I66" i="57" s="1"/>
  <c r="J66" i="57" s="1"/>
  <c r="D66" i="94"/>
  <c r="F66" i="94" s="1"/>
  <c r="D66" i="86"/>
  <c r="F66" i="86" s="1"/>
  <c r="I66" i="86" s="1"/>
  <c r="J66" i="86" s="1"/>
  <c r="D66" i="113"/>
  <c r="F66" i="113" s="1"/>
  <c r="I66" i="113" s="1"/>
  <c r="J66" i="113" s="1"/>
  <c r="D66" i="89"/>
  <c r="F66" i="89" s="1"/>
  <c r="I66" i="89" s="1"/>
  <c r="J66" i="89" s="1"/>
  <c r="D66" i="110"/>
  <c r="F66" i="110" s="1"/>
  <c r="I66" i="110" s="1"/>
  <c r="J66" i="110" s="1"/>
  <c r="D66" i="39"/>
  <c r="F66" i="39" s="1"/>
  <c r="D66" i="42"/>
  <c r="F66" i="42" s="1"/>
  <c r="I66" i="42" s="1"/>
  <c r="J66" i="42" s="1"/>
  <c r="D66" i="91"/>
  <c r="F66" i="91" s="1"/>
  <c r="I66" i="91" s="1"/>
  <c r="J66" i="91" s="1"/>
  <c r="D66" i="48"/>
  <c r="F66" i="48" s="1"/>
  <c r="I66" i="48" s="1"/>
  <c r="J66" i="48" s="1"/>
  <c r="D66" i="55"/>
  <c r="F66" i="55" s="1"/>
  <c r="D66" i="4"/>
  <c r="F66" i="4" s="1"/>
  <c r="I66" i="4" s="1"/>
  <c r="J66" i="4" s="1"/>
  <c r="D66" i="119"/>
  <c r="F66" i="119" s="1"/>
  <c r="I66" i="119" s="1"/>
  <c r="J66" i="119" s="1"/>
  <c r="D66" i="61"/>
  <c r="F66" i="61" s="1"/>
  <c r="I66" i="61" s="1"/>
  <c r="J66" i="61" s="1"/>
  <c r="D66" i="97"/>
  <c r="F66" i="97" s="1"/>
  <c r="I66" i="97" s="1"/>
  <c r="J66" i="97" s="1"/>
  <c r="D66" i="117"/>
  <c r="F66" i="117" s="1"/>
  <c r="I66" i="117" s="1"/>
  <c r="J66" i="117" s="1"/>
  <c r="D66" i="121"/>
  <c r="F66" i="121" s="1"/>
  <c r="I66" i="121" s="1"/>
  <c r="J66" i="121" s="1"/>
  <c r="D66" i="115"/>
  <c r="F66" i="115" s="1"/>
  <c r="I66" i="115" s="1"/>
  <c r="J66" i="115" s="1"/>
  <c r="D66" i="46"/>
  <c r="F66" i="46" s="1"/>
  <c r="I66" i="46" s="1"/>
  <c r="J66" i="46" s="1"/>
  <c r="D66" i="65"/>
  <c r="F66" i="65" s="1"/>
  <c r="I38" i="63"/>
  <c r="J38" i="63" s="1"/>
  <c r="I38" i="117"/>
  <c r="J38" i="117" s="1"/>
  <c r="D62" i="72"/>
  <c r="C53" i="55"/>
  <c r="C53" i="97"/>
  <c r="D62" i="96"/>
  <c r="J62" i="68"/>
  <c r="C55" i="42"/>
  <c r="D69" i="125"/>
  <c r="C78" i="125" s="1"/>
  <c r="D70" i="125"/>
  <c r="D69" i="104"/>
  <c r="C78" i="104" s="1"/>
  <c r="D70" i="104"/>
  <c r="C53" i="61"/>
  <c r="D62" i="69"/>
  <c r="I31" i="97"/>
  <c r="J31" i="97" s="1"/>
  <c r="J62" i="88"/>
  <c r="C55" i="89"/>
  <c r="C55" i="86"/>
  <c r="J62" i="85"/>
  <c r="I78" i="90" l="1"/>
  <c r="H78" i="90" s="1"/>
  <c r="I78" i="78"/>
  <c r="H78" i="78" s="1"/>
  <c r="G78" i="78" s="1"/>
  <c r="C87" i="70"/>
  <c r="B87" i="70" s="1"/>
  <c r="A87" i="70" s="1"/>
  <c r="D81" i="70" s="1"/>
  <c r="D88" i="70" s="1"/>
  <c r="J69" i="114"/>
  <c r="J70" i="114"/>
  <c r="B78" i="118"/>
  <c r="A78" i="118" s="1"/>
  <c r="D72" i="118" s="1"/>
  <c r="D79" i="118" s="1"/>
  <c r="C87" i="118" s="1"/>
  <c r="B87" i="118" s="1"/>
  <c r="A87" i="118" s="1"/>
  <c r="D81" i="118" s="1"/>
  <c r="D88" i="118" s="1"/>
  <c r="I59" i="101"/>
  <c r="J59" i="101" s="1"/>
  <c r="J70" i="96"/>
  <c r="J69" i="96"/>
  <c r="N68" i="68"/>
  <c r="D70" i="68"/>
  <c r="D69" i="68"/>
  <c r="C78" i="68" s="1"/>
  <c r="B78" i="68" s="1"/>
  <c r="A78" i="68" s="1"/>
  <c r="D72" i="68" s="1"/>
  <c r="D79" i="68" s="1"/>
  <c r="N68" i="74"/>
  <c r="D70" i="74"/>
  <c r="D69" i="74"/>
  <c r="J70" i="79"/>
  <c r="J69" i="79"/>
  <c r="I78" i="79" s="1"/>
  <c r="J69" i="88"/>
  <c r="J70" i="88"/>
  <c r="J70" i="68"/>
  <c r="J69" i="68"/>
  <c r="B78" i="76"/>
  <c r="A78" i="76" s="1"/>
  <c r="D72" i="76" s="1"/>
  <c r="D79" i="76" s="1"/>
  <c r="C87" i="76" s="1"/>
  <c r="B87" i="76" s="1"/>
  <c r="A87" i="76" s="1"/>
  <c r="D81" i="76" s="1"/>
  <c r="D88" i="76" s="1"/>
  <c r="M68" i="79"/>
  <c r="C56" i="48" s="1"/>
  <c r="O70" i="79"/>
  <c r="O69" i="79"/>
  <c r="I66" i="65"/>
  <c r="J66" i="65" s="1"/>
  <c r="N68" i="95"/>
  <c r="D70" i="95"/>
  <c r="D69" i="95"/>
  <c r="B78" i="78"/>
  <c r="A78" i="78" s="1"/>
  <c r="D72" i="78" s="1"/>
  <c r="D79" i="78" s="1"/>
  <c r="C87" i="78" s="1"/>
  <c r="B87" i="78" s="1"/>
  <c r="A87" i="78" s="1"/>
  <c r="D81" i="78" s="1"/>
  <c r="D88" i="78" s="1"/>
  <c r="I78" i="118"/>
  <c r="H78" i="118" s="1"/>
  <c r="M68" i="76"/>
  <c r="C56" i="44" s="1"/>
  <c r="O69" i="76"/>
  <c r="O70" i="76"/>
  <c r="M68" i="78"/>
  <c r="C56" i="65" s="1"/>
  <c r="O70" i="78"/>
  <c r="O69" i="78"/>
  <c r="N68" i="109"/>
  <c r="D70" i="109"/>
  <c r="D69" i="109"/>
  <c r="N68" i="88"/>
  <c r="D70" i="88"/>
  <c r="D69" i="88"/>
  <c r="O70" i="118"/>
  <c r="O69" i="118"/>
  <c r="M68" i="118"/>
  <c r="C56" i="119" s="1"/>
  <c r="N68" i="96"/>
  <c r="D70" i="96"/>
  <c r="D69" i="96"/>
  <c r="J69" i="74"/>
  <c r="J70" i="74"/>
  <c r="J69" i="70"/>
  <c r="I78" i="70" s="1"/>
  <c r="H78" i="70" s="1"/>
  <c r="J70" i="70"/>
  <c r="I78" i="77"/>
  <c r="J69" i="67"/>
  <c r="J70" i="67"/>
  <c r="N68" i="69"/>
  <c r="D70" i="69"/>
  <c r="D69" i="69"/>
  <c r="I66" i="94"/>
  <c r="J66" i="94" s="1"/>
  <c r="I45" i="46"/>
  <c r="J45" i="46" s="1"/>
  <c r="N68" i="114"/>
  <c r="D70" i="114"/>
  <c r="D69" i="114"/>
  <c r="N68" i="70"/>
  <c r="I59" i="61"/>
  <c r="J59" i="61" s="1"/>
  <c r="M68" i="125"/>
  <c r="C56" i="101" s="1"/>
  <c r="O70" i="125"/>
  <c r="O69" i="125"/>
  <c r="B78" i="79"/>
  <c r="I45" i="65"/>
  <c r="J45" i="65" s="1"/>
  <c r="N68" i="85"/>
  <c r="D69" i="85"/>
  <c r="D70" i="85"/>
  <c r="J69" i="125"/>
  <c r="I78" i="125" s="1"/>
  <c r="H78" i="125" s="1"/>
  <c r="J70" i="125"/>
  <c r="N68" i="112"/>
  <c r="D70" i="112"/>
  <c r="D69" i="112"/>
  <c r="B78" i="104"/>
  <c r="A78" i="104" s="1"/>
  <c r="D72" i="104" s="1"/>
  <c r="D79" i="104" s="1"/>
  <c r="N68" i="71"/>
  <c r="D69" i="71"/>
  <c r="D70" i="71"/>
  <c r="J70" i="69"/>
  <c r="J69" i="69"/>
  <c r="B78" i="77"/>
  <c r="J69" i="73"/>
  <c r="J70" i="73"/>
  <c r="J69" i="112"/>
  <c r="J70" i="112"/>
  <c r="I78" i="104"/>
  <c r="H78" i="104" s="1"/>
  <c r="J69" i="71"/>
  <c r="J70" i="71"/>
  <c r="N68" i="116"/>
  <c r="D69" i="116"/>
  <c r="D70" i="116"/>
  <c r="M68" i="120"/>
  <c r="C56" i="121" s="1"/>
  <c r="O69" i="120"/>
  <c r="O70" i="120"/>
  <c r="I66" i="39"/>
  <c r="J66" i="39" s="1"/>
  <c r="C61" i="65"/>
  <c r="N68" i="73"/>
  <c r="D69" i="73"/>
  <c r="D70" i="73"/>
  <c r="N68" i="72"/>
  <c r="D70" i="72"/>
  <c r="D69" i="72"/>
  <c r="N68" i="67"/>
  <c r="D69" i="67"/>
  <c r="D70" i="67"/>
  <c r="I66" i="55"/>
  <c r="J66" i="55" s="1"/>
  <c r="J70" i="85"/>
  <c r="J69" i="85"/>
  <c r="B78" i="120"/>
  <c r="O70" i="77"/>
  <c r="M68" i="77"/>
  <c r="C56" i="63" s="1"/>
  <c r="O69" i="77"/>
  <c r="I45" i="44"/>
  <c r="J45" i="44" s="1"/>
  <c r="I45" i="86"/>
  <c r="J45" i="86" s="1"/>
  <c r="J70" i="95"/>
  <c r="J69" i="95"/>
  <c r="M68" i="104"/>
  <c r="C56" i="103" s="1"/>
  <c r="O70" i="104"/>
  <c r="O69" i="104"/>
  <c r="J70" i="116"/>
  <c r="J69" i="116"/>
  <c r="M68" i="90"/>
  <c r="C56" i="91" s="1"/>
  <c r="O69" i="90"/>
  <c r="O70" i="90"/>
  <c r="I45" i="39"/>
  <c r="J45" i="39" s="1"/>
  <c r="I66" i="63"/>
  <c r="J66" i="63" s="1"/>
  <c r="B78" i="125"/>
  <c r="A78" i="125" s="1"/>
  <c r="D72" i="125" s="1"/>
  <c r="D79" i="125" s="1"/>
  <c r="C87" i="125" s="1"/>
  <c r="B87" i="125" s="1"/>
  <c r="A87" i="125" s="1"/>
  <c r="D81" i="125" s="1"/>
  <c r="D88" i="125" s="1"/>
  <c r="I66" i="101"/>
  <c r="J66" i="101" s="1"/>
  <c r="C61" i="91"/>
  <c r="G78" i="90"/>
  <c r="B78" i="90"/>
  <c r="J69" i="109"/>
  <c r="J70" i="109"/>
  <c r="I78" i="76"/>
  <c r="H78" i="76" s="1"/>
  <c r="I78" i="120"/>
  <c r="J70" i="72"/>
  <c r="J69" i="72"/>
  <c r="I78" i="73" l="1"/>
  <c r="H78" i="73" s="1"/>
  <c r="C78" i="73"/>
  <c r="C78" i="69"/>
  <c r="B78" i="69" s="1"/>
  <c r="A78" i="69" s="1"/>
  <c r="D72" i="69" s="1"/>
  <c r="D79" i="69" s="1"/>
  <c r="C87" i="69" s="1"/>
  <c r="B87" i="69" s="1"/>
  <c r="A87" i="69" s="1"/>
  <c r="D81" i="69" s="1"/>
  <c r="D88" i="69" s="1"/>
  <c r="I78" i="69"/>
  <c r="H78" i="69" s="1"/>
  <c r="C78" i="96"/>
  <c r="I78" i="96"/>
  <c r="H78" i="96" s="1"/>
  <c r="M68" i="109"/>
  <c r="C56" i="110" s="1"/>
  <c r="O69" i="109"/>
  <c r="O70" i="109"/>
  <c r="C78" i="95"/>
  <c r="B78" i="95" s="1"/>
  <c r="A78" i="95" s="1"/>
  <c r="D72" i="95" s="1"/>
  <c r="D79" i="95" s="1"/>
  <c r="C87" i="95" s="1"/>
  <c r="B87" i="95" s="1"/>
  <c r="A87" i="95" s="1"/>
  <c r="D81" i="95" s="1"/>
  <c r="D88" i="95" s="1"/>
  <c r="I78" i="95"/>
  <c r="H78" i="95" s="1"/>
  <c r="M68" i="85"/>
  <c r="C56" i="86" s="1"/>
  <c r="O69" i="85"/>
  <c r="O70" i="85"/>
  <c r="O70" i="70"/>
  <c r="M68" i="70"/>
  <c r="C56" i="46" s="1"/>
  <c r="O69" i="70"/>
  <c r="M68" i="69"/>
  <c r="C56" i="61" s="1"/>
  <c r="O69" i="69"/>
  <c r="O70" i="69"/>
  <c r="M68" i="96"/>
  <c r="C56" i="97" s="1"/>
  <c r="O70" i="96"/>
  <c r="O69" i="96"/>
  <c r="M68" i="95"/>
  <c r="C56" i="94" s="1"/>
  <c r="O69" i="95"/>
  <c r="O70" i="95"/>
  <c r="A78" i="120"/>
  <c r="C59" i="121"/>
  <c r="M68" i="73"/>
  <c r="C56" i="39" s="1"/>
  <c r="O69" i="73"/>
  <c r="O70" i="73"/>
  <c r="C78" i="85"/>
  <c r="B78" i="85" s="1"/>
  <c r="A78" i="85" s="1"/>
  <c r="D72" i="85" s="1"/>
  <c r="D79" i="85" s="1"/>
  <c r="C87" i="85" s="1"/>
  <c r="B87" i="85" s="1"/>
  <c r="A87" i="85" s="1"/>
  <c r="D81" i="85" s="1"/>
  <c r="D88" i="85" s="1"/>
  <c r="I78" i="85"/>
  <c r="H78" i="85" s="1"/>
  <c r="C62" i="65"/>
  <c r="J72" i="78"/>
  <c r="J79" i="78" s="1"/>
  <c r="I87" i="78" s="1"/>
  <c r="C61" i="103"/>
  <c r="G78" i="104"/>
  <c r="C78" i="71"/>
  <c r="I78" i="71"/>
  <c r="H78" i="71" s="1"/>
  <c r="I78" i="114"/>
  <c r="H78" i="114" s="1"/>
  <c r="C78" i="114"/>
  <c r="M68" i="71"/>
  <c r="C56" i="4" s="1"/>
  <c r="O70" i="71"/>
  <c r="O69" i="71"/>
  <c r="H78" i="79"/>
  <c r="H78" i="77"/>
  <c r="A78" i="90"/>
  <c r="C59" i="91"/>
  <c r="I78" i="74"/>
  <c r="H78" i="74" s="1"/>
  <c r="C78" i="74"/>
  <c r="B78" i="74" s="1"/>
  <c r="A78" i="74" s="1"/>
  <c r="D72" i="74" s="1"/>
  <c r="D79" i="74" s="1"/>
  <c r="C87" i="74" s="1"/>
  <c r="B87" i="74" s="1"/>
  <c r="A87" i="74" s="1"/>
  <c r="D81" i="74" s="1"/>
  <c r="D88" i="74" s="1"/>
  <c r="H78" i="120"/>
  <c r="M68" i="114"/>
  <c r="C56" i="115" s="1"/>
  <c r="O70" i="114"/>
  <c r="O69" i="114"/>
  <c r="I78" i="67"/>
  <c r="H78" i="67" s="1"/>
  <c r="C78" i="67"/>
  <c r="B78" i="67" s="1"/>
  <c r="A78" i="67" s="1"/>
  <c r="D72" i="67" s="1"/>
  <c r="D79" i="67" s="1"/>
  <c r="M68" i="67"/>
  <c r="C56" i="59" s="1"/>
  <c r="O69" i="67"/>
  <c r="O70" i="67"/>
  <c r="C78" i="112"/>
  <c r="I78" i="112"/>
  <c r="H78" i="112" s="1"/>
  <c r="A78" i="79"/>
  <c r="C59" i="48"/>
  <c r="C61" i="46"/>
  <c r="G78" i="70"/>
  <c r="I78" i="88"/>
  <c r="H78" i="88" s="1"/>
  <c r="C78" i="88"/>
  <c r="B78" i="88" s="1"/>
  <c r="A78" i="88" s="1"/>
  <c r="D72" i="88" s="1"/>
  <c r="D79" i="88" s="1"/>
  <c r="C87" i="88" s="1"/>
  <c r="B87" i="88" s="1"/>
  <c r="A87" i="88" s="1"/>
  <c r="D81" i="88" s="1"/>
  <c r="D88" i="88" s="1"/>
  <c r="C61" i="44"/>
  <c r="G78" i="76"/>
  <c r="C78" i="72"/>
  <c r="I78" i="72"/>
  <c r="H78" i="72" s="1"/>
  <c r="C61" i="119"/>
  <c r="G78" i="118"/>
  <c r="M68" i="74"/>
  <c r="C56" i="57" s="1"/>
  <c r="O70" i="74"/>
  <c r="O69" i="74"/>
  <c r="M68" i="112"/>
  <c r="C56" i="113" s="1"/>
  <c r="O70" i="112"/>
  <c r="O69" i="112"/>
  <c r="M68" i="88"/>
  <c r="C56" i="89" s="1"/>
  <c r="O69" i="88"/>
  <c r="O70" i="88"/>
  <c r="I78" i="109"/>
  <c r="H78" i="109" s="1"/>
  <c r="C78" i="109"/>
  <c r="B78" i="109" s="1"/>
  <c r="A78" i="109" s="1"/>
  <c r="D72" i="109" s="1"/>
  <c r="D79" i="109" s="1"/>
  <c r="C87" i="109" s="1"/>
  <c r="B87" i="109" s="1"/>
  <c r="A87" i="109" s="1"/>
  <c r="D81" i="109" s="1"/>
  <c r="D88" i="109" s="1"/>
  <c r="C87" i="68"/>
  <c r="B87" i="68" s="1"/>
  <c r="A87" i="68" s="1"/>
  <c r="D81" i="68" s="1"/>
  <c r="D88" i="68" s="1"/>
  <c r="M68" i="72"/>
  <c r="C56" i="55" s="1"/>
  <c r="O70" i="72"/>
  <c r="O69" i="72"/>
  <c r="I78" i="116"/>
  <c r="H78" i="116" s="1"/>
  <c r="C78" i="116"/>
  <c r="C87" i="104"/>
  <c r="B87" i="104" s="1"/>
  <c r="A87" i="104" s="1"/>
  <c r="D81" i="104" s="1"/>
  <c r="D88" i="104" s="1"/>
  <c r="C62" i="91"/>
  <c r="J72" i="90"/>
  <c r="J79" i="90" s="1"/>
  <c r="M68" i="116"/>
  <c r="C56" i="117" s="1"/>
  <c r="O70" i="116"/>
  <c r="O69" i="116"/>
  <c r="A78" i="77"/>
  <c r="C59" i="63"/>
  <c r="C61" i="101"/>
  <c r="G78" i="125"/>
  <c r="I78" i="68"/>
  <c r="H78" i="68" s="1"/>
  <c r="M68" i="68"/>
  <c r="C56" i="42" s="1"/>
  <c r="O69" i="68"/>
  <c r="O70" i="68"/>
  <c r="J72" i="118" l="1"/>
  <c r="J79" i="118" s="1"/>
  <c r="I87" i="118" s="1"/>
  <c r="C62" i="119"/>
  <c r="B78" i="71"/>
  <c r="A78" i="71" s="1"/>
  <c r="D72" i="71" s="1"/>
  <c r="D79" i="71" s="1"/>
  <c r="J72" i="125"/>
  <c r="J79" i="125" s="1"/>
  <c r="I87" i="125" s="1"/>
  <c r="C62" i="101"/>
  <c r="B78" i="116"/>
  <c r="C61" i="89"/>
  <c r="G78" i="88"/>
  <c r="C62" i="103"/>
  <c r="J72" i="104"/>
  <c r="J79" i="104" s="1"/>
  <c r="I87" i="104" s="1"/>
  <c r="C61" i="86"/>
  <c r="G78" i="85"/>
  <c r="G78" i="68"/>
  <c r="C61" i="42"/>
  <c r="G78" i="116"/>
  <c r="C61" i="117"/>
  <c r="C62" i="46"/>
  <c r="J72" i="70"/>
  <c r="J79" i="70" s="1"/>
  <c r="I87" i="70" s="1"/>
  <c r="G78" i="79"/>
  <c r="C61" i="48"/>
  <c r="G78" i="114"/>
  <c r="C61" i="115"/>
  <c r="C61" i="110"/>
  <c r="G78" i="109"/>
  <c r="G78" i="71"/>
  <c r="C61" i="4"/>
  <c r="G78" i="96"/>
  <c r="C61" i="97"/>
  <c r="B78" i="72"/>
  <c r="A78" i="72" s="1"/>
  <c r="D72" i="72" s="1"/>
  <c r="D79" i="72" s="1"/>
  <c r="C60" i="48"/>
  <c r="D72" i="79"/>
  <c r="C61" i="121"/>
  <c r="G78" i="120"/>
  <c r="B78" i="96"/>
  <c r="A78" i="96" s="1"/>
  <c r="D72" i="96" s="1"/>
  <c r="D79" i="96" s="1"/>
  <c r="C62" i="44"/>
  <c r="J72" i="76"/>
  <c r="J79" i="76" s="1"/>
  <c r="I87" i="76" s="1"/>
  <c r="J88" i="78"/>
  <c r="H87" i="78"/>
  <c r="C68" i="65" s="1"/>
  <c r="G78" i="72"/>
  <c r="C61" i="55"/>
  <c r="C87" i="67"/>
  <c r="B87" i="67" s="1"/>
  <c r="A87" i="67" s="1"/>
  <c r="D81" i="67" s="1"/>
  <c r="D88" i="67" s="1"/>
  <c r="C61" i="113"/>
  <c r="G78" i="112"/>
  <c r="C61" i="61"/>
  <c r="G78" i="69"/>
  <c r="C61" i="63"/>
  <c r="G78" i="77"/>
  <c r="C60" i="63"/>
  <c r="D72" i="77"/>
  <c r="B78" i="112"/>
  <c r="G78" i="74"/>
  <c r="C61" i="57"/>
  <c r="D72" i="120"/>
  <c r="C60" i="121"/>
  <c r="D72" i="90"/>
  <c r="C60" i="91"/>
  <c r="B78" i="114"/>
  <c r="A78" i="114" s="1"/>
  <c r="D72" i="114" s="1"/>
  <c r="D79" i="114" s="1"/>
  <c r="C87" i="114" s="1"/>
  <c r="B87" i="114" s="1"/>
  <c r="A87" i="114" s="1"/>
  <c r="D81" i="114" s="1"/>
  <c r="D88" i="114" s="1"/>
  <c r="B78" i="73"/>
  <c r="A78" i="73" s="1"/>
  <c r="D72" i="73" s="1"/>
  <c r="D79" i="73" s="1"/>
  <c r="C61" i="39"/>
  <c r="G78" i="73"/>
  <c r="G78" i="95"/>
  <c r="C61" i="94"/>
  <c r="C61" i="59"/>
  <c r="G78" i="67"/>
  <c r="C87" i="71" l="1"/>
  <c r="B87" i="71" s="1"/>
  <c r="A87" i="71" s="1"/>
  <c r="D81" i="71" s="1"/>
  <c r="D88" i="71" s="1"/>
  <c r="C87" i="73"/>
  <c r="B87" i="73" s="1"/>
  <c r="A87" i="73" s="1"/>
  <c r="D81" i="73" s="1"/>
  <c r="D88" i="73" s="1"/>
  <c r="C87" i="72"/>
  <c r="B87" i="72" s="1"/>
  <c r="A87" i="72" s="1"/>
  <c r="D81" i="72" s="1"/>
  <c r="D88" i="72" s="1"/>
  <c r="C62" i="115"/>
  <c r="J72" i="114"/>
  <c r="J79" i="114" s="1"/>
  <c r="I87" i="114" s="1"/>
  <c r="J72" i="72"/>
  <c r="J79" i="72" s="1"/>
  <c r="I87" i="72" s="1"/>
  <c r="C62" i="55"/>
  <c r="J72" i="88"/>
  <c r="J79" i="88" s="1"/>
  <c r="I87" i="88" s="1"/>
  <c r="C62" i="89"/>
  <c r="J72" i="67"/>
  <c r="J79" i="67" s="1"/>
  <c r="I87" i="67" s="1"/>
  <c r="C62" i="59"/>
  <c r="N78" i="90"/>
  <c r="D79" i="90"/>
  <c r="C62" i="48"/>
  <c r="J72" i="79"/>
  <c r="J79" i="79" s="1"/>
  <c r="C62" i="63"/>
  <c r="J72" i="77"/>
  <c r="J79" i="77" s="1"/>
  <c r="H87" i="70"/>
  <c r="C68" i="46" s="1"/>
  <c r="J88" i="70"/>
  <c r="H87" i="76"/>
  <c r="C68" i="44" s="1"/>
  <c r="J88" i="76"/>
  <c r="A78" i="116"/>
  <c r="C59" i="117"/>
  <c r="D79" i="120"/>
  <c r="C87" i="120" s="1"/>
  <c r="B87" i="120" s="1"/>
  <c r="C62" i="61"/>
  <c r="J72" i="69"/>
  <c r="J79" i="69" s="1"/>
  <c r="I87" i="69" s="1"/>
  <c r="J72" i="95"/>
  <c r="J79" i="95" s="1"/>
  <c r="I87" i="95" s="1"/>
  <c r="C62" i="94"/>
  <c r="C87" i="96"/>
  <c r="B87" i="96" s="1"/>
  <c r="A87" i="96" s="1"/>
  <c r="D81" i="96" s="1"/>
  <c r="D88" i="96" s="1"/>
  <c r="C62" i="97"/>
  <c r="J72" i="96"/>
  <c r="J79" i="96" s="1"/>
  <c r="I87" i="96" s="1"/>
  <c r="J72" i="116"/>
  <c r="J79" i="116" s="1"/>
  <c r="C62" i="117"/>
  <c r="H87" i="125"/>
  <c r="C68" i="101" s="1"/>
  <c r="J88" i="125"/>
  <c r="J72" i="73"/>
  <c r="J79" i="73" s="1"/>
  <c r="I87" i="73" s="1"/>
  <c r="C62" i="39"/>
  <c r="J72" i="74"/>
  <c r="J79" i="74" s="1"/>
  <c r="I87" i="74" s="1"/>
  <c r="C62" i="57"/>
  <c r="C62" i="121"/>
  <c r="J72" i="120"/>
  <c r="J79" i="120" s="1"/>
  <c r="J72" i="71"/>
  <c r="J79" i="71" s="1"/>
  <c r="I87" i="71" s="1"/>
  <c r="C62" i="4"/>
  <c r="C62" i="42"/>
  <c r="J72" i="68"/>
  <c r="J79" i="68" s="1"/>
  <c r="I87" i="68" s="1"/>
  <c r="A78" i="112"/>
  <c r="C59" i="113"/>
  <c r="C62" i="113"/>
  <c r="J72" i="112"/>
  <c r="J79" i="112" s="1"/>
  <c r="C62" i="110"/>
  <c r="J72" i="109"/>
  <c r="J79" i="109" s="1"/>
  <c r="I87" i="109" s="1"/>
  <c r="J72" i="85"/>
  <c r="J79" i="85" s="1"/>
  <c r="I87" i="85" s="1"/>
  <c r="C62" i="86"/>
  <c r="D79" i="79"/>
  <c r="C87" i="79" s="1"/>
  <c r="B87" i="79" s="1"/>
  <c r="H87" i="118"/>
  <c r="C68" i="119" s="1"/>
  <c r="J88" i="118"/>
  <c r="D79" i="77"/>
  <c r="H87" i="104"/>
  <c r="C68" i="103" s="1"/>
  <c r="J88" i="104"/>
  <c r="N78" i="77" l="1"/>
  <c r="N78" i="79"/>
  <c r="N78" i="120"/>
  <c r="O79" i="120" s="1"/>
  <c r="H87" i="71"/>
  <c r="C68" i="4" s="1"/>
  <c r="J88" i="71"/>
  <c r="H87" i="73"/>
  <c r="C68" i="39" s="1"/>
  <c r="J88" i="73"/>
  <c r="C60" i="113"/>
  <c r="D72" i="112"/>
  <c r="A87" i="120"/>
  <c r="C66" i="121"/>
  <c r="I87" i="79"/>
  <c r="H87" i="114"/>
  <c r="C68" i="115" s="1"/>
  <c r="J88" i="114"/>
  <c r="A87" i="79"/>
  <c r="C66" i="48"/>
  <c r="H87" i="68"/>
  <c r="C68" i="42" s="1"/>
  <c r="J88" i="68"/>
  <c r="M78" i="79"/>
  <c r="C63" i="48" s="1"/>
  <c r="O79" i="79"/>
  <c r="C87" i="90"/>
  <c r="I87" i="90"/>
  <c r="C99" i="90"/>
  <c r="H87" i="72"/>
  <c r="C68" i="55" s="1"/>
  <c r="J88" i="72"/>
  <c r="C60" i="117"/>
  <c r="D72" i="116"/>
  <c r="M78" i="90"/>
  <c r="C63" i="91" s="1"/>
  <c r="O79" i="90"/>
  <c r="H87" i="85"/>
  <c r="C68" i="86" s="1"/>
  <c r="J88" i="85"/>
  <c r="I87" i="120"/>
  <c r="H87" i="67"/>
  <c r="C68" i="59" s="1"/>
  <c r="J88" i="67"/>
  <c r="H87" i="109"/>
  <c r="C68" i="110" s="1"/>
  <c r="J88" i="109"/>
  <c r="H87" i="96"/>
  <c r="C68" i="97" s="1"/>
  <c r="J88" i="96"/>
  <c r="H87" i="88"/>
  <c r="C68" i="89" s="1"/>
  <c r="J88" i="88"/>
  <c r="H87" i="74"/>
  <c r="C68" i="57" s="1"/>
  <c r="J88" i="74"/>
  <c r="H87" i="95"/>
  <c r="C68" i="94" s="1"/>
  <c r="J88" i="95"/>
  <c r="C99" i="77"/>
  <c r="C87" i="77"/>
  <c r="B87" i="77" s="1"/>
  <c r="O79" i="77"/>
  <c r="M78" i="77"/>
  <c r="C63" i="63" s="1"/>
  <c r="H87" i="69"/>
  <c r="C68" i="61" s="1"/>
  <c r="J88" i="69"/>
  <c r="I87" i="77"/>
  <c r="M78" i="120" l="1"/>
  <c r="C63" i="121" s="1"/>
  <c r="H87" i="77"/>
  <c r="C68" i="63" s="1"/>
  <c r="J88" i="77"/>
  <c r="H87" i="79"/>
  <c r="C68" i="48" s="1"/>
  <c r="C77" i="48" s="1"/>
  <c r="J88" i="79"/>
  <c r="C67" i="121"/>
  <c r="D81" i="120"/>
  <c r="D88" i="120" s="1"/>
  <c r="N78" i="112"/>
  <c r="D79" i="112"/>
  <c r="N78" i="116"/>
  <c r="D79" i="116"/>
  <c r="A87" i="77"/>
  <c r="B99" i="90"/>
  <c r="B99" i="77"/>
  <c r="H87" i="90"/>
  <c r="C68" i="91" s="1"/>
  <c r="J88" i="90"/>
  <c r="B87" i="90"/>
  <c r="J88" i="120"/>
  <c r="H87" i="120"/>
  <c r="C68" i="121" s="1"/>
  <c r="C77" i="121" s="1"/>
  <c r="D81" i="79"/>
  <c r="D88" i="79" s="1"/>
  <c r="C67" i="48"/>
  <c r="N87" i="120" l="1"/>
  <c r="O88" i="120" s="1"/>
  <c r="G6" i="120" s="1"/>
  <c r="K67" i="121" s="1"/>
  <c r="N87" i="79"/>
  <c r="O88" i="79" s="1"/>
  <c r="G6" i="79" s="1"/>
  <c r="K68" i="91" s="1"/>
  <c r="M78" i="112"/>
  <c r="C63" i="113" s="1"/>
  <c r="O79" i="112"/>
  <c r="A99" i="90"/>
  <c r="D81" i="77"/>
  <c r="A87" i="90"/>
  <c r="I87" i="116"/>
  <c r="C87" i="116"/>
  <c r="M78" i="116"/>
  <c r="C63" i="117" s="1"/>
  <c r="O79" i="116"/>
  <c r="A99" i="77"/>
  <c r="I87" i="112"/>
  <c r="C87" i="112"/>
  <c r="M87" i="120" l="1"/>
  <c r="C70" i="121" s="1"/>
  <c r="K70" i="121" s="1"/>
  <c r="M87" i="79"/>
  <c r="C70" i="48" s="1"/>
  <c r="K70" i="48" s="1"/>
  <c r="H87" i="112"/>
  <c r="C68" i="113" s="1"/>
  <c r="J88" i="112"/>
  <c r="D88" i="77"/>
  <c r="K17" i="121"/>
  <c r="K28" i="121"/>
  <c r="K41" i="121"/>
  <c r="K22" i="121"/>
  <c r="K33" i="121"/>
  <c r="K12" i="121"/>
  <c r="K34" i="121"/>
  <c r="K23" i="121"/>
  <c r="K18" i="121"/>
  <c r="K69" i="121"/>
  <c r="K27" i="121"/>
  <c r="K13" i="121"/>
  <c r="K40" i="121"/>
  <c r="K32" i="121"/>
  <c r="K35" i="121"/>
  <c r="K74" i="121"/>
  <c r="K39" i="121"/>
  <c r="K42" i="121"/>
  <c r="K47" i="121"/>
  <c r="K46" i="121"/>
  <c r="K48" i="121"/>
  <c r="K16" i="121"/>
  <c r="K26" i="121"/>
  <c r="K21" i="121"/>
  <c r="K11" i="121"/>
  <c r="K49" i="121"/>
  <c r="K54" i="121"/>
  <c r="K55" i="121"/>
  <c r="K31" i="121"/>
  <c r="K38" i="121"/>
  <c r="K53" i="121"/>
  <c r="K45" i="121"/>
  <c r="K52" i="121"/>
  <c r="K56" i="121"/>
  <c r="K59" i="121"/>
  <c r="K61" i="121"/>
  <c r="K60" i="121"/>
  <c r="K62" i="121"/>
  <c r="K66" i="121"/>
  <c r="K63" i="121"/>
  <c r="K68" i="121"/>
  <c r="B87" i="112"/>
  <c r="C74" i="91"/>
  <c r="K74" i="91" s="1"/>
  <c r="D93" i="90"/>
  <c r="K68" i="48"/>
  <c r="K40" i="48"/>
  <c r="K34" i="48"/>
  <c r="K41" i="91"/>
  <c r="K13" i="48"/>
  <c r="K12" i="91"/>
  <c r="K28" i="48"/>
  <c r="K33" i="91"/>
  <c r="K17" i="48"/>
  <c r="K34" i="91"/>
  <c r="K18" i="91"/>
  <c r="K13" i="91"/>
  <c r="K40" i="91"/>
  <c r="K27" i="91"/>
  <c r="K12" i="48"/>
  <c r="K22" i="48"/>
  <c r="K28" i="91"/>
  <c r="K22" i="91"/>
  <c r="K18" i="48"/>
  <c r="K69" i="91"/>
  <c r="K41" i="48"/>
  <c r="K27" i="48"/>
  <c r="K23" i="91"/>
  <c r="K17" i="91"/>
  <c r="K23" i="48"/>
  <c r="K69" i="48"/>
  <c r="K33" i="48"/>
  <c r="K32" i="48"/>
  <c r="K32" i="91"/>
  <c r="K35" i="91"/>
  <c r="K35" i="48"/>
  <c r="K39" i="48"/>
  <c r="K39" i="91"/>
  <c r="K74" i="48"/>
  <c r="K42" i="91"/>
  <c r="K42" i="48"/>
  <c r="K47" i="91"/>
  <c r="K47" i="48"/>
  <c r="K48" i="48"/>
  <c r="K46" i="48"/>
  <c r="K48" i="91"/>
  <c r="K46" i="91"/>
  <c r="K49" i="91"/>
  <c r="K21" i="48"/>
  <c r="K16" i="48"/>
  <c r="K26" i="48"/>
  <c r="K11" i="48"/>
  <c r="K49" i="48"/>
  <c r="K21" i="91"/>
  <c r="K16" i="91"/>
  <c r="K11" i="91"/>
  <c r="K26" i="91"/>
  <c r="K54" i="91"/>
  <c r="K54" i="48"/>
  <c r="K31" i="91"/>
  <c r="K38" i="48"/>
  <c r="K53" i="48"/>
  <c r="K53" i="91"/>
  <c r="K55" i="91"/>
  <c r="K38" i="91"/>
  <c r="K31" i="48"/>
  <c r="K52" i="91"/>
  <c r="K52" i="48"/>
  <c r="K55" i="48"/>
  <c r="K45" i="91"/>
  <c r="K45" i="48"/>
  <c r="K56" i="91"/>
  <c r="K56" i="48"/>
  <c r="K61" i="91"/>
  <c r="K59" i="48"/>
  <c r="K62" i="91"/>
  <c r="K59" i="91"/>
  <c r="K61" i="48"/>
  <c r="K60" i="48"/>
  <c r="K60" i="91"/>
  <c r="K62" i="48"/>
  <c r="K63" i="48"/>
  <c r="K66" i="48"/>
  <c r="K63" i="91"/>
  <c r="B87" i="116"/>
  <c r="C74" i="63"/>
  <c r="D93" i="77"/>
  <c r="H87" i="116"/>
  <c r="C68" i="117" s="1"/>
  <c r="J88" i="116"/>
  <c r="K67" i="48"/>
  <c r="D81" i="90"/>
  <c r="A87" i="116" l="1"/>
  <c r="C66" i="117"/>
  <c r="A87" i="112"/>
  <c r="C66" i="113"/>
  <c r="D88" i="90"/>
  <c r="C126" i="77"/>
  <c r="B126" i="77" s="1"/>
  <c r="D100" i="77"/>
  <c r="C126" i="90"/>
  <c r="D100" i="90"/>
  <c r="A126" i="77" l="1"/>
  <c r="C66" i="63"/>
  <c r="C77" i="113"/>
  <c r="D81" i="112"/>
  <c r="C67" i="113"/>
  <c r="C77" i="117"/>
  <c r="B126" i="90"/>
  <c r="C67" i="117"/>
  <c r="D81" i="116"/>
  <c r="N87" i="116" l="1"/>
  <c r="D88" i="116"/>
  <c r="A126" i="90"/>
  <c r="C66" i="91"/>
  <c r="K66" i="91" s="1"/>
  <c r="N87" i="112"/>
  <c r="D88" i="112"/>
  <c r="C77" i="63"/>
  <c r="D120" i="77"/>
  <c r="C67" i="63"/>
  <c r="M87" i="112" l="1"/>
  <c r="C70" i="113" s="1"/>
  <c r="O88" i="112"/>
  <c r="G6" i="112" s="1"/>
  <c r="D120" i="90"/>
  <c r="C67" i="91"/>
  <c r="K67" i="91" s="1"/>
  <c r="K78" i="91" s="1"/>
  <c r="D127" i="77"/>
  <c r="N87" i="77"/>
  <c r="M87" i="116"/>
  <c r="C70" i="117" s="1"/>
  <c r="O88" i="116"/>
  <c r="G6" i="116" s="1"/>
  <c r="K70" i="117" l="1"/>
  <c r="K17" i="117"/>
  <c r="K34" i="117"/>
  <c r="K18" i="117"/>
  <c r="K69" i="117"/>
  <c r="K28" i="117"/>
  <c r="K12" i="117"/>
  <c r="K22" i="117"/>
  <c r="K13" i="117"/>
  <c r="K23" i="117"/>
  <c r="K27" i="117"/>
  <c r="K40" i="117"/>
  <c r="K41" i="117"/>
  <c r="K33" i="117"/>
  <c r="K32" i="117"/>
  <c r="K35" i="117"/>
  <c r="K74" i="117"/>
  <c r="K39" i="117"/>
  <c r="K42" i="117"/>
  <c r="K47" i="117"/>
  <c r="K48" i="117"/>
  <c r="K46" i="117"/>
  <c r="K26" i="117"/>
  <c r="K16" i="117"/>
  <c r="K11" i="117"/>
  <c r="K21" i="117"/>
  <c r="K49" i="117"/>
  <c r="K54" i="117"/>
  <c r="K31" i="117"/>
  <c r="K52" i="117"/>
  <c r="K45" i="117"/>
  <c r="K38" i="117"/>
  <c r="K55" i="117"/>
  <c r="K53" i="117"/>
  <c r="K56" i="117"/>
  <c r="K61" i="117"/>
  <c r="K59" i="117"/>
  <c r="K62" i="117"/>
  <c r="K60" i="117"/>
  <c r="K63" i="117"/>
  <c r="K68" i="117"/>
  <c r="K66" i="117"/>
  <c r="K67" i="117"/>
  <c r="M87" i="77"/>
  <c r="C70" i="63" s="1"/>
  <c r="O88" i="77"/>
  <c r="G6" i="77" s="1"/>
  <c r="N87" i="90"/>
  <c r="D127" i="90"/>
  <c r="K18" i="113"/>
  <c r="K41" i="113"/>
  <c r="K76" i="113"/>
  <c r="K17" i="113"/>
  <c r="K27" i="113"/>
  <c r="K40" i="113"/>
  <c r="K13" i="113"/>
  <c r="K28" i="113"/>
  <c r="K69" i="113"/>
  <c r="K23" i="113"/>
  <c r="K76" i="117"/>
  <c r="K12" i="113"/>
  <c r="K33" i="113"/>
  <c r="K22" i="113"/>
  <c r="K34" i="113"/>
  <c r="K32" i="113"/>
  <c r="K35" i="113"/>
  <c r="K74" i="113"/>
  <c r="K39" i="113"/>
  <c r="K42" i="113"/>
  <c r="K47" i="113"/>
  <c r="K46" i="113"/>
  <c r="K48" i="113"/>
  <c r="K16" i="113"/>
  <c r="K49" i="113"/>
  <c r="K11" i="113"/>
  <c r="K21" i="113"/>
  <c r="K26" i="113"/>
  <c r="K38" i="113"/>
  <c r="K31" i="113"/>
  <c r="K54" i="113"/>
  <c r="K53" i="113"/>
  <c r="K52" i="113"/>
  <c r="K45" i="113"/>
  <c r="K55" i="113"/>
  <c r="K56" i="113"/>
  <c r="K61" i="113"/>
  <c r="K59" i="113"/>
  <c r="K62" i="113"/>
  <c r="K60" i="113"/>
  <c r="K63" i="113"/>
  <c r="K68" i="113"/>
  <c r="K66" i="113"/>
  <c r="K77" i="117"/>
  <c r="K67" i="113"/>
  <c r="K77" i="113"/>
  <c r="K70" i="113"/>
  <c r="H33" i="3"/>
  <c r="G18" i="3"/>
  <c r="H31" i="3"/>
  <c r="H30" i="3"/>
  <c r="H38" i="3"/>
  <c r="H69" i="3"/>
  <c r="G70" i="3"/>
  <c r="H42" i="3"/>
  <c r="G68" i="3"/>
  <c r="H27" i="3"/>
  <c r="H34" i="3"/>
  <c r="G58" i="3"/>
  <c r="H67" i="3"/>
  <c r="G21" i="3"/>
  <c r="G17" i="3"/>
  <c r="G74" i="3"/>
  <c r="H78" i="3"/>
  <c r="H29" i="3"/>
  <c r="G14" i="3"/>
  <c r="H71" i="3"/>
  <c r="H37" i="3"/>
  <c r="G13" i="3" l="1"/>
  <c r="G83" i="3"/>
  <c r="M87" i="90"/>
  <c r="C70" i="91" s="1"/>
  <c r="K70" i="91" s="1"/>
  <c r="K77" i="91" s="1"/>
  <c r="O88" i="90"/>
  <c r="G6" i="90" s="1"/>
  <c r="H26" i="3"/>
  <c r="H83" i="3"/>
  <c r="K68" i="63"/>
  <c r="K12" i="63"/>
  <c r="K28" i="63"/>
  <c r="K17" i="63"/>
  <c r="K18" i="63"/>
  <c r="K22" i="63"/>
  <c r="K40" i="63"/>
  <c r="K13" i="63"/>
  <c r="K27" i="63"/>
  <c r="K34" i="63"/>
  <c r="K41" i="63"/>
  <c r="K23" i="63"/>
  <c r="K33" i="63"/>
  <c r="K69" i="63"/>
  <c r="K32" i="63"/>
  <c r="K35" i="63"/>
  <c r="K39" i="63"/>
  <c r="K42" i="63"/>
  <c r="K47" i="63"/>
  <c r="K48" i="63"/>
  <c r="K46" i="63"/>
  <c r="K21" i="63"/>
  <c r="K11" i="63"/>
  <c r="K49" i="63"/>
  <c r="K26" i="63"/>
  <c r="K16" i="63"/>
  <c r="K54" i="63"/>
  <c r="K31" i="63"/>
  <c r="K53" i="63"/>
  <c r="K55" i="63"/>
  <c r="K38" i="63"/>
  <c r="K52" i="63"/>
  <c r="K45" i="63"/>
  <c r="K56" i="63"/>
  <c r="K59" i="63"/>
  <c r="K61" i="63"/>
  <c r="K60" i="63"/>
  <c r="K62" i="63"/>
  <c r="K63" i="63"/>
  <c r="K74" i="63"/>
  <c r="K66" i="63"/>
  <c r="K67" i="63"/>
  <c r="K70" i="63"/>
  <c r="K80" i="113"/>
  <c r="K80" i="117"/>
  <c r="K79" i="113"/>
  <c r="D63" i="1" s="1"/>
  <c r="K79" i="117"/>
  <c r="D48" i="1" s="1"/>
  <c r="E83" i="3" l="1"/>
  <c r="H84" i="3" s="1"/>
  <c r="G84" i="3" l="1"/>
  <c r="G35" i="3" s="1"/>
  <c r="G73" i="3"/>
  <c r="H35" i="3"/>
  <c r="H75" i="3"/>
  <c r="H64" i="3"/>
  <c r="H73" i="3"/>
  <c r="H77" i="3"/>
  <c r="H25" i="3"/>
  <c r="H41" i="3"/>
  <c r="H61" i="3"/>
  <c r="H11" i="3"/>
  <c r="H65" i="3"/>
  <c r="H66" i="3"/>
  <c r="H36" i="3"/>
  <c r="H63" i="3"/>
  <c r="H23" i="3"/>
  <c r="H22" i="3"/>
  <c r="H45" i="3"/>
  <c r="H20" i="3"/>
  <c r="H19" i="3"/>
  <c r="H76" i="3"/>
  <c r="H62" i="3"/>
  <c r="H32" i="3"/>
  <c r="H43" i="3"/>
  <c r="H44" i="3"/>
  <c r="H79" i="3"/>
  <c r="H46" i="3"/>
  <c r="H59" i="3"/>
  <c r="H39" i="3"/>
  <c r="H24" i="3"/>
  <c r="G19" i="3" l="1"/>
  <c r="G63" i="3"/>
  <c r="G36" i="3"/>
  <c r="G65" i="3"/>
  <c r="G32" i="3"/>
  <c r="G61" i="3"/>
  <c r="G45" i="3"/>
  <c r="G20" i="3"/>
  <c r="G22" i="3"/>
  <c r="G39" i="3"/>
  <c r="G46" i="3"/>
  <c r="G79" i="3"/>
  <c r="G66" i="3"/>
  <c r="G44" i="3"/>
  <c r="G43" i="3"/>
  <c r="G11" i="3"/>
  <c r="G62" i="3"/>
  <c r="G41" i="3"/>
  <c r="G76" i="3"/>
  <c r="G25" i="3"/>
  <c r="G77" i="3"/>
  <c r="G64" i="3"/>
  <c r="G59" i="3"/>
  <c r="G23" i="3"/>
  <c r="G75" i="3"/>
  <c r="G24" i="3"/>
  <c r="H81" i="3"/>
  <c r="G17" i="105"/>
  <c r="H78" i="105"/>
  <c r="G68" i="105"/>
  <c r="G14" i="105"/>
  <c r="H29" i="105"/>
  <c r="G70" i="105"/>
  <c r="H42" i="105"/>
  <c r="G58" i="105"/>
  <c r="H34" i="105"/>
  <c r="G21" i="105"/>
  <c r="H38" i="105"/>
  <c r="H71" i="105"/>
  <c r="H69" i="105"/>
  <c r="H33" i="105"/>
  <c r="H27" i="105"/>
  <c r="G74" i="105"/>
  <c r="H31" i="105"/>
  <c r="H37" i="105"/>
  <c r="G18" i="105"/>
  <c r="H30" i="105"/>
  <c r="H67" i="105"/>
  <c r="G81" i="3" l="1"/>
  <c r="G82" i="3" s="1"/>
  <c r="F7" i="1"/>
  <c r="H26" i="105"/>
  <c r="H83" i="105"/>
  <c r="H82" i="3"/>
  <c r="F8" i="1"/>
  <c r="G13" i="105"/>
  <c r="G83" i="105"/>
  <c r="F10" i="1" l="1"/>
  <c r="F33" i="2"/>
  <c r="F48" i="1"/>
  <c r="F63" i="1"/>
  <c r="F31" i="2"/>
  <c r="F41" i="1"/>
  <c r="F58" i="1"/>
  <c r="F45" i="1"/>
  <c r="F50" i="1"/>
  <c r="F14" i="2"/>
  <c r="F16" i="2"/>
  <c r="F18" i="2"/>
  <c r="F65" i="1"/>
  <c r="F28" i="2"/>
  <c r="F43" i="1"/>
  <c r="F24" i="2"/>
  <c r="F56" i="1"/>
  <c r="F60" i="1"/>
  <c r="F26" i="2"/>
  <c r="F12" i="2"/>
  <c r="E83" i="105"/>
  <c r="G84" i="105" s="1"/>
  <c r="G44" i="105" l="1"/>
  <c r="G19" i="105"/>
  <c r="G79" i="105"/>
  <c r="G59" i="105"/>
  <c r="G23" i="105"/>
  <c r="G11" i="105"/>
  <c r="G62" i="105"/>
  <c r="G46" i="105"/>
  <c r="G24" i="105"/>
  <c r="G65" i="105"/>
  <c r="G25" i="105"/>
  <c r="G61" i="105"/>
  <c r="G43" i="105"/>
  <c r="G76" i="105"/>
  <c r="G73" i="105"/>
  <c r="G77" i="105"/>
  <c r="G64" i="105"/>
  <c r="G36" i="105"/>
  <c r="G39" i="105"/>
  <c r="G22" i="105"/>
  <c r="G45" i="105"/>
  <c r="G63" i="105"/>
  <c r="G32" i="105"/>
  <c r="G41" i="105"/>
  <c r="G75" i="105"/>
  <c r="G66" i="105"/>
  <c r="G20" i="105"/>
  <c r="G35" i="105"/>
  <c r="H84" i="105"/>
  <c r="H25" i="105" l="1"/>
  <c r="H32" i="105"/>
  <c r="H19" i="105"/>
  <c r="H23" i="105"/>
  <c r="H11" i="105"/>
  <c r="H44" i="105"/>
  <c r="H79" i="105"/>
  <c r="H59" i="105"/>
  <c r="H61" i="105"/>
  <c r="H65" i="105"/>
  <c r="H66" i="105"/>
  <c r="H20" i="105"/>
  <c r="H46" i="105"/>
  <c r="H24" i="105"/>
  <c r="H73" i="105"/>
  <c r="H36" i="105"/>
  <c r="H63" i="105"/>
  <c r="H39" i="105"/>
  <c r="H64" i="105"/>
  <c r="H43" i="105"/>
  <c r="H76" i="105"/>
  <c r="H45" i="105"/>
  <c r="H22" i="105"/>
  <c r="H62" i="105"/>
  <c r="H75" i="105"/>
  <c r="H35" i="105"/>
  <c r="H41" i="105"/>
  <c r="H77" i="105"/>
  <c r="G81" i="105"/>
  <c r="F7" i="106" l="1"/>
  <c r="G82" i="105"/>
  <c r="H81" i="105"/>
  <c r="F8" i="106" l="1"/>
  <c r="F10" i="106" s="1"/>
  <c r="H82" i="105"/>
  <c r="F35" i="106" l="1"/>
  <c r="F33" i="106"/>
  <c r="V81" i="52" l="1"/>
  <c r="C28" i="46" s="1"/>
  <c r="W80" i="52" l="1"/>
  <c r="U81" i="52"/>
  <c r="C26" i="46" l="1"/>
  <c r="C27" i="46"/>
  <c r="X80" i="52"/>
  <c r="Y80" i="52"/>
  <c r="W81" i="52"/>
  <c r="Y81" i="52" l="1"/>
  <c r="Z80" i="52"/>
  <c r="Z81" i="52" s="1"/>
  <c r="X81" i="52"/>
  <c r="AA80" i="52" l="1"/>
  <c r="AA81" i="52" l="1"/>
  <c r="E14" i="108" l="1"/>
  <c r="C63" i="86"/>
  <c r="O79" i="85"/>
  <c r="C70" i="86"/>
  <c r="O88" i="85"/>
  <c r="C74" i="86"/>
  <c r="D93" i="85"/>
  <c r="E93" i="85"/>
  <c r="C112" i="85" s="1"/>
  <c r="B112" i="85" l="1"/>
  <c r="C59" i="86" l="1"/>
  <c r="A112" i="85"/>
  <c r="D106" i="85" l="1"/>
  <c r="C60" i="86"/>
  <c r="D114" i="85" l="1"/>
  <c r="D100" i="85" s="1"/>
  <c r="D113" i="85"/>
  <c r="C126" i="85" s="1"/>
  <c r="B126" i="85" l="1"/>
  <c r="A126" i="85" l="1"/>
  <c r="C66" i="86"/>
  <c r="C77" i="86" l="1"/>
  <c r="C67" i="86"/>
  <c r="D120" i="85"/>
  <c r="D127" i="85" s="1"/>
  <c r="G6" i="85" s="1"/>
  <c r="K12" i="94" l="1"/>
  <c r="K13" i="94"/>
  <c r="K16" i="94"/>
  <c r="K17" i="94"/>
  <c r="K18" i="94"/>
  <c r="K28" i="94"/>
  <c r="K22" i="94"/>
  <c r="K23" i="94"/>
  <c r="K26" i="94"/>
  <c r="K27" i="94"/>
  <c r="K11" i="94"/>
  <c r="K21" i="94"/>
  <c r="G24" i="2" l="1"/>
  <c r="E24" i="2"/>
  <c r="D24" i="2"/>
  <c r="K79" i="44"/>
  <c r="K11" i="44"/>
  <c r="K80" i="103"/>
  <c r="K31" i="103"/>
  <c r="D100" i="76"/>
  <c r="K74" i="119"/>
  <c r="C74" i="119"/>
  <c r="K67" i="57"/>
  <c r="C67" i="57"/>
  <c r="A126" i="74"/>
  <c r="D120" i="74"/>
  <c r="D100" i="78"/>
  <c r="K80" i="39"/>
  <c r="K31" i="39"/>
  <c r="K66" i="101"/>
  <c r="C66" i="101"/>
  <c r="K66" i="42"/>
  <c r="C66" i="42"/>
  <c r="K66" i="59"/>
  <c r="C66" i="59"/>
  <c r="K80" i="57"/>
  <c r="K31" i="57"/>
  <c r="K60" i="4"/>
  <c r="C60" i="4"/>
  <c r="G16" i="2"/>
  <c r="E16" i="2"/>
  <c r="D16" i="2"/>
  <c r="D100" i="68"/>
  <c r="K80" i="115"/>
  <c r="K31" i="115"/>
  <c r="K60" i="61"/>
  <c r="C60" i="61"/>
  <c r="D113" i="74"/>
  <c r="K60" i="115"/>
  <c r="C60" i="115"/>
  <c r="K67" i="59"/>
  <c r="C67" i="59"/>
  <c r="K18" i="39"/>
  <c r="K41" i="39"/>
  <c r="K69" i="39"/>
  <c r="K62" i="39"/>
  <c r="K54" i="39"/>
  <c r="K12" i="39"/>
  <c r="K56" i="39"/>
  <c r="K34" i="39"/>
  <c r="K48" i="39"/>
  <c r="K17" i="39"/>
  <c r="K23" i="39"/>
  <c r="K21" i="39"/>
  <c r="K49" i="39"/>
  <c r="K52" i="39"/>
  <c r="K27" i="39"/>
  <c r="K39" i="39"/>
  <c r="K28" i="39"/>
  <c r="K33" i="39"/>
  <c r="K35" i="39"/>
  <c r="K53" i="39"/>
  <c r="K40" i="39"/>
  <c r="K26" i="39"/>
  <c r="K47" i="39"/>
  <c r="K13" i="39"/>
  <c r="K61" i="39"/>
  <c r="K16" i="39"/>
  <c r="K46" i="39"/>
  <c r="K55" i="39"/>
  <c r="K32" i="39"/>
  <c r="K68" i="39"/>
  <c r="K38" i="39"/>
  <c r="K42" i="39"/>
  <c r="K45" i="39"/>
  <c r="K22" i="39"/>
  <c r="K77" i="94"/>
  <c r="C77" i="94"/>
  <c r="K77" i="101"/>
  <c r="C77" i="101"/>
  <c r="K67" i="89"/>
  <c r="C67" i="89"/>
  <c r="K67" i="101"/>
  <c r="C67" i="101"/>
  <c r="K63" i="55"/>
  <c r="C63" i="55"/>
  <c r="M78" i="72"/>
  <c r="K60" i="103"/>
  <c r="C60" i="103"/>
  <c r="D100" i="73"/>
  <c r="D100" i="109"/>
  <c r="D127" i="69"/>
  <c r="D127" i="68"/>
  <c r="K70" i="110"/>
  <c r="C70" i="110"/>
  <c r="M87" i="109"/>
  <c r="D100" i="125"/>
  <c r="D127" i="88"/>
  <c r="D113" i="88"/>
  <c r="A126" i="88"/>
  <c r="D120" i="88"/>
  <c r="K67" i="39"/>
  <c r="C67" i="39"/>
  <c r="B126" i="125"/>
  <c r="A126" i="125"/>
  <c r="D120" i="125"/>
  <c r="K70" i="89"/>
  <c r="C70" i="89"/>
  <c r="M87" i="88"/>
  <c r="D113" i="125"/>
  <c r="K77" i="59"/>
  <c r="C77" i="59"/>
  <c r="K60" i="65"/>
  <c r="C60" i="65"/>
  <c r="D100" i="118"/>
  <c r="K74" i="65"/>
  <c r="C74" i="65"/>
  <c r="C59" i="94"/>
  <c r="K59" i="94"/>
  <c r="C59" i="101"/>
  <c r="K59" i="101"/>
  <c r="K67" i="44"/>
  <c r="C67" i="44"/>
  <c r="D127" i="72"/>
  <c r="K60" i="39"/>
  <c r="C60" i="39"/>
  <c r="K66" i="39"/>
  <c r="C66" i="39"/>
  <c r="B126" i="67"/>
  <c r="A126" i="67"/>
  <c r="D120" i="67"/>
  <c r="D113" i="104"/>
  <c r="K70" i="59"/>
  <c r="C70" i="59"/>
  <c r="M87" i="67"/>
  <c r="D127" i="73"/>
  <c r="D93" i="125"/>
  <c r="C126" i="125"/>
  <c r="D127" i="125"/>
  <c r="M87" i="69"/>
  <c r="C70" i="61"/>
  <c r="K70" i="61"/>
  <c r="K67" i="46"/>
  <c r="C67" i="46"/>
  <c r="G65" i="1"/>
  <c r="E65" i="1"/>
  <c r="D65" i="1"/>
  <c r="K70" i="119"/>
  <c r="C70" i="119"/>
  <c r="M87" i="118"/>
  <c r="K63" i="103"/>
  <c r="C63" i="103"/>
  <c r="M78" i="104"/>
  <c r="D100" i="70"/>
  <c r="K74" i="101"/>
  <c r="A99" i="125"/>
  <c r="C74" i="101"/>
  <c r="K66" i="65"/>
  <c r="C66" i="65"/>
  <c r="D100" i="88"/>
  <c r="K70" i="101"/>
  <c r="C70" i="101"/>
  <c r="M87" i="125"/>
  <c r="D100" i="71"/>
  <c r="O79" i="88"/>
  <c r="N87" i="88"/>
  <c r="O88" i="88"/>
  <c r="D127" i="74"/>
  <c r="K60" i="101"/>
  <c r="C60" i="101"/>
  <c r="D93" i="74"/>
  <c r="C126" i="74"/>
  <c r="B126" i="74"/>
  <c r="C66" i="57"/>
  <c r="K66" i="57"/>
  <c r="K63" i="57"/>
  <c r="C63" i="57"/>
  <c r="M78" i="74"/>
  <c r="M87" i="104"/>
  <c r="C70" i="103"/>
  <c r="K70" i="103"/>
  <c r="K77" i="65"/>
  <c r="C77" i="65"/>
  <c r="D127" i="78"/>
  <c r="D127" i="70"/>
  <c r="K70" i="4"/>
  <c r="C70" i="4"/>
  <c r="M87" i="71"/>
  <c r="G6" i="96"/>
  <c r="O88" i="96"/>
  <c r="K77" i="115"/>
  <c r="C77" i="115"/>
  <c r="A126" i="76"/>
  <c r="D120" i="76"/>
  <c r="K67" i="61"/>
  <c r="C67" i="61"/>
  <c r="D113" i="95"/>
  <c r="K77" i="61"/>
  <c r="C77" i="61"/>
  <c r="K80" i="61"/>
  <c r="K31" i="61"/>
  <c r="K59" i="44"/>
  <c r="K63" i="110"/>
  <c r="C63" i="110"/>
  <c r="M78" i="109"/>
  <c r="A126" i="69"/>
  <c r="D120" i="69"/>
  <c r="D113" i="69"/>
  <c r="C74" i="46"/>
  <c r="K74" i="46"/>
  <c r="C59" i="61"/>
  <c r="K59" i="61"/>
  <c r="K66" i="61"/>
  <c r="D93" i="69"/>
  <c r="C126" i="69"/>
  <c r="B126" i="69"/>
  <c r="C66" i="61"/>
  <c r="K74" i="110"/>
  <c r="C74" i="110"/>
  <c r="C59" i="44"/>
  <c r="C77" i="44"/>
  <c r="K77" i="44"/>
  <c r="D120" i="68"/>
  <c r="D127" i="104"/>
  <c r="K3" i="99"/>
  <c r="K11" i="103"/>
  <c r="K79" i="103"/>
  <c r="D19" i="106"/>
  <c r="D35" i="106"/>
  <c r="E35" i="106"/>
  <c r="G35" i="106"/>
  <c r="E13" i="108"/>
  <c r="D113" i="78"/>
  <c r="D100" i="69"/>
  <c r="K63" i="46"/>
  <c r="C63" i="46"/>
  <c r="M78" i="70"/>
  <c r="D93" i="73"/>
  <c r="C126" i="73"/>
  <c r="B126" i="73"/>
  <c r="A126" i="73"/>
  <c r="D120" i="73"/>
  <c r="C74" i="4"/>
  <c r="K74" i="4"/>
  <c r="C74" i="89"/>
  <c r="K74" i="89"/>
  <c r="F24" i="106"/>
  <c r="D22" i="106"/>
  <c r="A112" i="104"/>
  <c r="D106" i="104"/>
  <c r="N78" i="104"/>
  <c r="O79" i="104"/>
  <c r="N87" i="104"/>
  <c r="O88" i="104"/>
  <c r="G6" i="104"/>
  <c r="K70" i="65"/>
  <c r="C70" i="65"/>
  <c r="M87" i="78"/>
  <c r="C74" i="97"/>
  <c r="K74" i="97"/>
  <c r="K66" i="4"/>
  <c r="C66" i="4"/>
  <c r="K59" i="46"/>
  <c r="D113" i="71"/>
  <c r="A126" i="70"/>
  <c r="D120" i="70"/>
  <c r="D14" i="2"/>
  <c r="E14" i="2"/>
  <c r="G14" i="2"/>
  <c r="K80" i="97"/>
  <c r="K31" i="97"/>
  <c r="C59" i="46"/>
  <c r="C77" i="46"/>
  <c r="K77" i="46"/>
  <c r="C60" i="57"/>
  <c r="K60" i="57"/>
  <c r="D12" i="2"/>
  <c r="E12" i="2"/>
  <c r="G12" i="2"/>
  <c r="K77" i="42"/>
  <c r="C77" i="42"/>
  <c r="H25" i="1"/>
  <c r="C59" i="59"/>
  <c r="K59" i="59"/>
  <c r="D127" i="71"/>
  <c r="C59" i="65"/>
  <c r="K59" i="65"/>
  <c r="D93" i="68"/>
  <c r="C126" i="68"/>
  <c r="B126" i="68"/>
  <c r="A126" i="68"/>
  <c r="C67" i="42"/>
  <c r="K67" i="42"/>
  <c r="K79" i="110"/>
  <c r="K11" i="110"/>
  <c r="K77" i="39"/>
  <c r="C77" i="39"/>
  <c r="D113" i="70"/>
  <c r="K60" i="110"/>
  <c r="C60" i="110"/>
  <c r="K11" i="42"/>
  <c r="K79" i="42"/>
  <c r="D25" i="1"/>
  <c r="D58" i="1"/>
  <c r="E58" i="1"/>
  <c r="G58" i="1"/>
  <c r="M78" i="118"/>
  <c r="C63" i="119"/>
  <c r="K63" i="119"/>
  <c r="H20" i="1"/>
  <c r="K80" i="121"/>
  <c r="C66" i="55"/>
  <c r="K66" i="55"/>
  <c r="K80" i="59"/>
  <c r="K31" i="59"/>
  <c r="K63" i="42"/>
  <c r="M78" i="68"/>
  <c r="C63" i="42"/>
  <c r="D127" i="95"/>
  <c r="K70" i="115"/>
  <c r="C70" i="115"/>
  <c r="M87" i="114"/>
  <c r="K67" i="110"/>
  <c r="C67" i="110"/>
  <c r="K70" i="55"/>
  <c r="M87" i="72"/>
  <c r="C70" i="55"/>
  <c r="K66" i="94"/>
  <c r="C66" i="94"/>
  <c r="D41" i="1"/>
  <c r="E41" i="1"/>
  <c r="G41" i="1"/>
  <c r="O88" i="73"/>
  <c r="G6" i="73"/>
  <c r="K11" i="39"/>
  <c r="K79" i="39"/>
  <c r="D20" i="1"/>
  <c r="D45" i="1"/>
  <c r="E45" i="1"/>
  <c r="G45" i="1"/>
  <c r="K76" i="121"/>
  <c r="K79" i="121"/>
  <c r="D31" i="2"/>
  <c r="E31" i="2"/>
  <c r="G31" i="2"/>
  <c r="J32" i="2"/>
  <c r="J34" i="2"/>
  <c r="K63" i="59"/>
  <c r="C63" i="59"/>
  <c r="M78" i="67"/>
  <c r="C66" i="103"/>
  <c r="K66" i="103"/>
  <c r="K60" i="94"/>
  <c r="C60" i="94"/>
  <c r="D113" i="118"/>
  <c r="K66" i="46"/>
  <c r="A99" i="70"/>
  <c r="D93" i="70"/>
  <c r="C126" i="70"/>
  <c r="B126" i="70"/>
  <c r="C66" i="46"/>
  <c r="K61" i="115"/>
  <c r="K23" i="115"/>
  <c r="K28" i="115"/>
  <c r="K16" i="115"/>
  <c r="K22" i="115"/>
  <c r="K38" i="115"/>
  <c r="K13" i="115"/>
  <c r="K55" i="115"/>
  <c r="K34" i="115"/>
  <c r="K26" i="115"/>
  <c r="K12" i="115"/>
  <c r="K17" i="115"/>
  <c r="K40" i="115"/>
  <c r="K45" i="115"/>
  <c r="K46" i="115"/>
  <c r="K54" i="115"/>
  <c r="K56" i="115"/>
  <c r="K39" i="115"/>
  <c r="K62" i="115"/>
  <c r="K21" i="115"/>
  <c r="K53" i="115"/>
  <c r="K33" i="115"/>
  <c r="K41" i="115"/>
  <c r="K35" i="115"/>
  <c r="K68" i="115"/>
  <c r="K27" i="115"/>
  <c r="K48" i="115"/>
  <c r="K69" i="115"/>
  <c r="K42" i="115"/>
  <c r="K18" i="115"/>
  <c r="K52" i="115"/>
  <c r="K32" i="115"/>
  <c r="K49" i="115"/>
  <c r="K47" i="115"/>
  <c r="M87" i="74"/>
  <c r="C70" i="57"/>
  <c r="K70" i="57"/>
  <c r="K60" i="46"/>
  <c r="C60" i="46"/>
  <c r="K61" i="110"/>
  <c r="K21" i="110"/>
  <c r="K48" i="110"/>
  <c r="K39" i="110"/>
  <c r="K35" i="110"/>
  <c r="K45" i="110"/>
  <c r="K52" i="110"/>
  <c r="K22" i="110"/>
  <c r="K40" i="110"/>
  <c r="K55" i="110"/>
  <c r="K46" i="110"/>
  <c r="K27" i="110"/>
  <c r="K53" i="110"/>
  <c r="K68" i="110"/>
  <c r="K42" i="110"/>
  <c r="K12" i="110"/>
  <c r="K17" i="110"/>
  <c r="K41" i="110"/>
  <c r="K38" i="110"/>
  <c r="K26" i="110"/>
  <c r="K13" i="110"/>
  <c r="K18" i="110"/>
  <c r="K28" i="110"/>
  <c r="K69" i="110"/>
  <c r="K32" i="110"/>
  <c r="K23" i="110"/>
  <c r="K47" i="110"/>
  <c r="K56" i="110"/>
  <c r="K62" i="110"/>
  <c r="K16" i="110"/>
  <c r="K76" i="115"/>
  <c r="K34" i="110"/>
  <c r="K33" i="110"/>
  <c r="K54" i="110"/>
  <c r="K49" i="110"/>
  <c r="G50" i="1"/>
  <c r="E50" i="1"/>
  <c r="D50" i="1"/>
  <c r="K59" i="97"/>
  <c r="C59" i="42"/>
  <c r="K59" i="42"/>
  <c r="C59" i="115"/>
  <c r="K59" i="115"/>
  <c r="D120" i="104"/>
  <c r="O79" i="114"/>
  <c r="N87" i="114"/>
  <c r="O88" i="114"/>
  <c r="G6" i="114"/>
  <c r="K11" i="115"/>
  <c r="K79" i="115"/>
  <c r="A112" i="109"/>
  <c r="D106" i="109"/>
  <c r="N78" i="109"/>
  <c r="O79" i="109"/>
  <c r="N87" i="109"/>
  <c r="O88" i="109"/>
  <c r="G6" i="109"/>
  <c r="K31" i="110"/>
  <c r="K80" i="110"/>
  <c r="M78" i="78"/>
  <c r="C63" i="65"/>
  <c r="K63" i="65"/>
  <c r="M78" i="69"/>
  <c r="C63" i="61"/>
  <c r="K63" i="61"/>
  <c r="K77" i="57"/>
  <c r="C77" i="57"/>
  <c r="D93" i="104"/>
  <c r="C126" i="104"/>
  <c r="B126" i="104"/>
  <c r="A126" i="104"/>
  <c r="C67" i="103"/>
  <c r="K67" i="103"/>
  <c r="D120" i="118"/>
  <c r="K59" i="103"/>
  <c r="D113" i="109"/>
  <c r="D120" i="72"/>
  <c r="K67" i="115"/>
  <c r="C67" i="115"/>
  <c r="D127" i="118"/>
  <c r="K80" i="65"/>
  <c r="K31" i="65"/>
  <c r="A126" i="118"/>
  <c r="C67" i="119"/>
  <c r="K67" i="119"/>
  <c r="D113" i="96"/>
  <c r="B112" i="104"/>
  <c r="C59" i="103"/>
  <c r="C77" i="103"/>
  <c r="K77" i="103"/>
  <c r="K77" i="119"/>
  <c r="C77" i="119"/>
  <c r="D93" i="72"/>
  <c r="C126" i="72"/>
  <c r="B126" i="72"/>
  <c r="A126" i="72"/>
  <c r="C67" i="55"/>
  <c r="K67" i="55"/>
  <c r="K80" i="46"/>
  <c r="K31" i="46"/>
  <c r="M78" i="71"/>
  <c r="C63" i="4"/>
  <c r="K63" i="4"/>
  <c r="M87" i="95"/>
  <c r="C70" i="94"/>
  <c r="K70" i="94"/>
  <c r="D100" i="67"/>
  <c r="D60" i="1"/>
  <c r="E60" i="1"/>
  <c r="G60" i="1"/>
  <c r="K63" i="94"/>
  <c r="C63" i="94"/>
  <c r="M78" i="95"/>
  <c r="K11" i="46"/>
  <c r="K79" i="46"/>
  <c r="D27" i="1"/>
  <c r="H27" i="1"/>
  <c r="C59" i="97"/>
  <c r="C77" i="97"/>
  <c r="K77" i="97"/>
  <c r="D100" i="72"/>
  <c r="K59" i="55"/>
  <c r="K60" i="42"/>
  <c r="C60" i="42"/>
  <c r="D100" i="114"/>
  <c r="D106" i="88"/>
  <c r="N78" i="88"/>
  <c r="M78" i="88"/>
  <c r="C63" i="89"/>
  <c r="K63" i="89"/>
  <c r="C59" i="57"/>
  <c r="K59" i="57"/>
  <c r="D120" i="78"/>
  <c r="D127" i="114"/>
  <c r="A99" i="78"/>
  <c r="D93" i="78"/>
  <c r="C126" i="78"/>
  <c r="B126" i="78"/>
  <c r="A126" i="78"/>
  <c r="C67" i="65"/>
  <c r="K67" i="65"/>
  <c r="M78" i="125"/>
  <c r="C63" i="101"/>
  <c r="K63" i="101"/>
  <c r="D93" i="67"/>
  <c r="C126" i="67"/>
  <c r="D127" i="67"/>
  <c r="D113" i="67"/>
  <c r="C59" i="55"/>
  <c r="C77" i="55"/>
  <c r="K77" i="55"/>
  <c r="D113" i="72"/>
  <c r="C59" i="39"/>
  <c r="K59" i="39"/>
  <c r="C59" i="119"/>
  <c r="K59" i="119"/>
  <c r="C74" i="94"/>
  <c r="K74" i="94"/>
  <c r="D100" i="74"/>
  <c r="D113" i="114"/>
  <c r="C60" i="59"/>
  <c r="K60" i="59"/>
  <c r="A126" i="114"/>
  <c r="D120" i="114"/>
  <c r="K56" i="59"/>
  <c r="K17" i="59"/>
  <c r="K13" i="59"/>
  <c r="K48" i="59"/>
  <c r="K38" i="59"/>
  <c r="K46" i="59"/>
  <c r="K39" i="59"/>
  <c r="K16" i="59"/>
  <c r="K33" i="59"/>
  <c r="K26" i="59"/>
  <c r="K27" i="59"/>
  <c r="K52" i="59"/>
  <c r="K62" i="59"/>
  <c r="K42" i="59"/>
  <c r="K49" i="59"/>
  <c r="K69" i="59"/>
  <c r="K22" i="59"/>
  <c r="K45" i="59"/>
  <c r="K41" i="59"/>
  <c r="K35" i="59"/>
  <c r="K23" i="59"/>
  <c r="K28" i="59"/>
  <c r="K34" i="59"/>
  <c r="K55" i="59"/>
  <c r="K12" i="59"/>
  <c r="K40" i="59"/>
  <c r="K54" i="59"/>
  <c r="K21" i="59"/>
  <c r="K32" i="59"/>
  <c r="K47" i="59"/>
  <c r="K18" i="59"/>
  <c r="K61" i="59"/>
  <c r="K68" i="59"/>
  <c r="K53" i="59"/>
  <c r="D100" i="96"/>
  <c r="A126" i="109"/>
  <c r="D120" i="109"/>
  <c r="K66" i="97"/>
  <c r="C66" i="97"/>
  <c r="K80" i="42"/>
  <c r="K31" i="42"/>
  <c r="K80" i="48"/>
  <c r="K66" i="89"/>
  <c r="A99" i="88"/>
  <c r="D93" i="88"/>
  <c r="C126" i="88"/>
  <c r="B126" i="88"/>
  <c r="C66" i="89"/>
  <c r="K66" i="44"/>
  <c r="B126" i="76"/>
  <c r="C66" i="44"/>
  <c r="G43" i="1"/>
  <c r="E43" i="1"/>
  <c r="D43" i="1"/>
  <c r="K1" i="99"/>
  <c r="K39" i="44"/>
  <c r="K33" i="44"/>
  <c r="K23" i="44"/>
  <c r="K48" i="44"/>
  <c r="K56" i="44"/>
  <c r="K40" i="44"/>
  <c r="K17" i="44"/>
  <c r="K54" i="44"/>
  <c r="K34" i="44"/>
  <c r="K49" i="44"/>
  <c r="K46" i="44"/>
  <c r="K62" i="44"/>
  <c r="K61" i="44"/>
  <c r="K35" i="44"/>
  <c r="K53" i="44"/>
  <c r="K52" i="44"/>
  <c r="K42" i="44"/>
  <c r="K16" i="44"/>
  <c r="K38" i="44"/>
  <c r="K27" i="44"/>
  <c r="K41" i="44"/>
  <c r="K18" i="44"/>
  <c r="K45" i="44"/>
  <c r="K55" i="44"/>
  <c r="K69" i="44"/>
  <c r="K26" i="44"/>
  <c r="K28" i="44"/>
  <c r="K12" i="44"/>
  <c r="K13" i="44"/>
  <c r="K47" i="44"/>
  <c r="K22" i="44"/>
  <c r="K21" i="44"/>
  <c r="K32" i="44"/>
  <c r="K68" i="44"/>
  <c r="H18" i="1"/>
  <c r="A99" i="118"/>
  <c r="D93" i="118"/>
  <c r="C126" i="118"/>
  <c r="B126" i="118"/>
  <c r="C66" i="119"/>
  <c r="K66" i="119"/>
  <c r="M87" i="68"/>
  <c r="C70" i="42"/>
  <c r="K70" i="42"/>
  <c r="K22" i="101"/>
  <c r="K45" i="101"/>
  <c r="K32" i="61"/>
  <c r="K68" i="101"/>
  <c r="K62" i="101"/>
  <c r="K77" i="121"/>
  <c r="K39" i="101"/>
  <c r="K49" i="103"/>
  <c r="K17" i="101"/>
  <c r="K69" i="61"/>
  <c r="K38" i="101"/>
  <c r="K48" i="61"/>
  <c r="K33" i="101"/>
  <c r="K69" i="103"/>
  <c r="K39" i="103"/>
  <c r="K54" i="103"/>
  <c r="K61" i="103"/>
  <c r="K35" i="101"/>
  <c r="K68" i="103"/>
  <c r="K62" i="103"/>
  <c r="K46" i="103"/>
  <c r="K54" i="61"/>
  <c r="K49" i="61"/>
  <c r="K76" i="119"/>
  <c r="K13" i="103"/>
  <c r="K28" i="101"/>
  <c r="K61" i="101"/>
  <c r="K21" i="61"/>
  <c r="K16" i="103"/>
  <c r="K56" i="101"/>
  <c r="K40" i="61"/>
  <c r="K27" i="103"/>
  <c r="K41" i="101"/>
  <c r="K34" i="101"/>
  <c r="K45" i="103"/>
  <c r="K68" i="61"/>
  <c r="K40" i="103"/>
  <c r="K49" i="101"/>
  <c r="K27" i="101"/>
  <c r="K55" i="103"/>
  <c r="K35" i="61"/>
  <c r="K28" i="103"/>
  <c r="K42" i="101"/>
  <c r="K27" i="61"/>
  <c r="K12" i="101"/>
  <c r="K47" i="61"/>
  <c r="K52" i="101"/>
  <c r="K55" i="61"/>
  <c r="K53" i="101"/>
  <c r="K13" i="61"/>
  <c r="K38" i="103"/>
  <c r="K12" i="103"/>
  <c r="K18" i="61"/>
  <c r="K62" i="61"/>
  <c r="K32" i="101"/>
  <c r="K41" i="103"/>
  <c r="K17" i="103"/>
  <c r="K33" i="103"/>
  <c r="K40" i="101"/>
  <c r="K13" i="101"/>
  <c r="K18" i="103"/>
  <c r="K17" i="61"/>
  <c r="K34" i="61"/>
  <c r="K22" i="61"/>
  <c r="K47" i="103"/>
  <c r="K34" i="103"/>
  <c r="K52" i="103"/>
  <c r="K42" i="61"/>
  <c r="K12" i="61"/>
  <c r="K35" i="103"/>
  <c r="K56" i="103"/>
  <c r="K38" i="61"/>
  <c r="K32" i="103"/>
  <c r="K53" i="103"/>
  <c r="K22" i="103"/>
  <c r="K41" i="61"/>
  <c r="K47" i="101"/>
  <c r="K21" i="103"/>
  <c r="K28" i="61"/>
  <c r="K54" i="101"/>
  <c r="K45" i="61"/>
  <c r="K52" i="61"/>
  <c r="K56" i="61"/>
  <c r="K16" i="101"/>
  <c r="K23" i="61"/>
  <c r="K53" i="61"/>
  <c r="K39" i="61"/>
  <c r="K61" i="61"/>
  <c r="K16" i="61"/>
  <c r="K26" i="61"/>
  <c r="K42" i="103"/>
  <c r="K26" i="101"/>
  <c r="K76" i="61"/>
  <c r="K55" i="101"/>
  <c r="K23" i="101"/>
  <c r="K23" i="103"/>
  <c r="K69" i="101"/>
  <c r="K48" i="103"/>
  <c r="K26" i="103"/>
  <c r="K33" i="61"/>
  <c r="K46" i="101"/>
  <c r="K48" i="101"/>
  <c r="K21" i="101"/>
  <c r="K46" i="61"/>
  <c r="K18" i="101"/>
  <c r="C74" i="115"/>
  <c r="K74" i="115"/>
  <c r="D56" i="1"/>
  <c r="E56" i="1"/>
  <c r="G56" i="1"/>
  <c r="K11" i="61"/>
  <c r="K79" i="61"/>
  <c r="D26" i="1"/>
  <c r="H26" i="1"/>
  <c r="O88" i="76"/>
  <c r="G6" i="76"/>
  <c r="K31" i="44"/>
  <c r="K80" i="44"/>
  <c r="D113" i="68"/>
  <c r="D113" i="76"/>
  <c r="G63" i="1"/>
  <c r="E63" i="1"/>
  <c r="A112" i="88"/>
  <c r="C60" i="89"/>
  <c r="K60" i="89"/>
  <c r="K61" i="46"/>
  <c r="K76" i="101"/>
  <c r="K76" i="89"/>
  <c r="K61" i="94"/>
  <c r="K53" i="86"/>
  <c r="K34" i="46"/>
  <c r="K67" i="86"/>
  <c r="K49" i="46"/>
  <c r="K68" i="46"/>
  <c r="K53" i="46"/>
  <c r="K68" i="94"/>
  <c r="K77" i="63"/>
  <c r="K76" i="42"/>
  <c r="K16" i="46"/>
  <c r="K73" i="44"/>
  <c r="K76" i="94"/>
  <c r="K39" i="94"/>
  <c r="K12" i="46"/>
  <c r="K55" i="86"/>
  <c r="K42" i="94"/>
  <c r="K42" i="46"/>
  <c r="K33" i="46"/>
  <c r="K54" i="86"/>
  <c r="K40" i="94"/>
  <c r="K41" i="46"/>
  <c r="K62" i="86"/>
  <c r="K49" i="94"/>
  <c r="K41" i="86"/>
  <c r="K76" i="44"/>
  <c r="K77" i="48"/>
  <c r="K32" i="86"/>
  <c r="K41" i="94"/>
  <c r="K33" i="86"/>
  <c r="K35" i="86"/>
  <c r="K13" i="46"/>
  <c r="K52" i="94"/>
  <c r="K54" i="94"/>
  <c r="K56" i="94"/>
  <c r="K52" i="86"/>
  <c r="K17" i="46"/>
  <c r="K74" i="86"/>
  <c r="K31" i="86"/>
  <c r="K76" i="97"/>
  <c r="K48" i="94"/>
  <c r="K35" i="94"/>
  <c r="K62" i="46"/>
  <c r="K76" i="46"/>
  <c r="K76" i="39"/>
  <c r="K76" i="55"/>
  <c r="K40" i="46"/>
  <c r="K54" i="46"/>
  <c r="K76" i="103"/>
  <c r="K35" i="46"/>
  <c r="K73" i="94"/>
  <c r="K76" i="57"/>
  <c r="K53" i="94"/>
  <c r="K56" i="46"/>
  <c r="K47" i="46"/>
  <c r="K76" i="110"/>
  <c r="K66" i="86"/>
  <c r="K42" i="86"/>
  <c r="K59" i="86"/>
  <c r="K48" i="86"/>
  <c r="K69" i="94"/>
  <c r="K55" i="94"/>
  <c r="K52" i="46"/>
  <c r="K47" i="86"/>
  <c r="K32" i="46"/>
  <c r="K23" i="46"/>
  <c r="K21" i="46"/>
  <c r="K40" i="86"/>
  <c r="K62" i="94"/>
  <c r="K38" i="94"/>
  <c r="K69" i="86"/>
  <c r="K18" i="46"/>
  <c r="K46" i="94"/>
  <c r="K76" i="65"/>
  <c r="K28" i="46"/>
  <c r="K45" i="86"/>
  <c r="K33" i="94"/>
  <c r="K76" i="59"/>
  <c r="K45" i="46"/>
  <c r="K46" i="46"/>
  <c r="K70" i="86"/>
  <c r="K68" i="86"/>
  <c r="K69" i="46"/>
  <c r="K73" i="65"/>
  <c r="K32" i="94"/>
  <c r="K49" i="86"/>
  <c r="K26" i="46"/>
  <c r="K48" i="46"/>
  <c r="K38" i="86"/>
  <c r="K39" i="46"/>
  <c r="K63" i="86"/>
  <c r="K27" i="46"/>
  <c r="K34" i="94"/>
  <c r="K31" i="94"/>
  <c r="K60" i="86"/>
  <c r="K77" i="86"/>
  <c r="K22" i="46"/>
  <c r="K76" i="4"/>
  <c r="K47" i="94"/>
  <c r="K39" i="86"/>
  <c r="K34" i="86"/>
  <c r="K55" i="46"/>
  <c r="K46" i="86"/>
  <c r="K61" i="86"/>
  <c r="K38" i="46"/>
  <c r="K45" i="94"/>
  <c r="K56" i="86"/>
  <c r="K76" i="86"/>
  <c r="A99" i="72"/>
  <c r="C74" i="55"/>
  <c r="K74" i="55"/>
  <c r="A99" i="67"/>
  <c r="C74" i="59"/>
  <c r="K74" i="59"/>
  <c r="K31" i="101"/>
  <c r="K80" i="101"/>
  <c r="B112" i="69"/>
  <c r="A112" i="69"/>
  <c r="D106" i="69"/>
  <c r="N78" i="69"/>
  <c r="O79" i="69"/>
  <c r="N87" i="69"/>
  <c r="O88" i="69"/>
  <c r="G6" i="69"/>
  <c r="K11" i="101"/>
  <c r="K79" i="101"/>
  <c r="D18" i="106"/>
  <c r="D33" i="106"/>
  <c r="E33" i="106"/>
  <c r="G33" i="106"/>
  <c r="E9" i="108"/>
  <c r="E18" i="108"/>
  <c r="E21" i="108"/>
  <c r="C74" i="44"/>
  <c r="K74" i="44"/>
  <c r="D100" i="95"/>
  <c r="D114" i="125"/>
  <c r="C99" i="125"/>
  <c r="B99" i="125"/>
  <c r="E93" i="125"/>
  <c r="C112" i="125"/>
  <c r="B112" i="125"/>
  <c r="A112" i="125"/>
  <c r="D106" i="125"/>
  <c r="N78" i="125"/>
  <c r="O79" i="125"/>
  <c r="N87" i="125"/>
  <c r="O88" i="125"/>
  <c r="G6" i="125"/>
  <c r="K59" i="110"/>
  <c r="K67" i="4"/>
  <c r="C67" i="4"/>
  <c r="K76" i="63"/>
  <c r="K80" i="63"/>
  <c r="K79" i="119"/>
  <c r="K11" i="119"/>
  <c r="K76" i="48"/>
  <c r="K79" i="48"/>
  <c r="D33" i="2"/>
  <c r="E33" i="2"/>
  <c r="G33" i="2"/>
  <c r="B112" i="109"/>
  <c r="C59" i="110"/>
  <c r="C77" i="110"/>
  <c r="K77" i="110"/>
  <c r="K69" i="57"/>
  <c r="K17" i="97"/>
  <c r="K69" i="89"/>
  <c r="K40" i="89"/>
  <c r="K11" i="89"/>
  <c r="K62" i="89"/>
  <c r="K41" i="89"/>
  <c r="K54" i="89"/>
  <c r="K55" i="89"/>
  <c r="K12" i="97"/>
  <c r="K28" i="97"/>
  <c r="K53" i="89"/>
  <c r="K38" i="97"/>
  <c r="K23" i="57"/>
  <c r="K48" i="97"/>
  <c r="K28" i="57"/>
  <c r="K48" i="57"/>
  <c r="K52" i="57"/>
  <c r="K69" i="97"/>
  <c r="K17" i="89"/>
  <c r="K45" i="97"/>
  <c r="K34" i="97"/>
  <c r="K22" i="89"/>
  <c r="K16" i="57"/>
  <c r="K54" i="97"/>
  <c r="K33" i="57"/>
  <c r="K46" i="89"/>
  <c r="K68" i="89"/>
  <c r="K31" i="89"/>
  <c r="K17" i="57"/>
  <c r="K34" i="89"/>
  <c r="K41" i="57"/>
  <c r="K47" i="89"/>
  <c r="K56" i="57"/>
  <c r="K21" i="89"/>
  <c r="K48" i="89"/>
  <c r="K26" i="57"/>
  <c r="K13" i="57"/>
  <c r="K12" i="57"/>
  <c r="K47" i="97"/>
  <c r="K39" i="89"/>
  <c r="K21" i="57"/>
  <c r="K49" i="57"/>
  <c r="K62" i="57"/>
  <c r="K13" i="97"/>
  <c r="K27" i="57"/>
  <c r="K40" i="97"/>
  <c r="K46" i="57"/>
  <c r="K52" i="89"/>
  <c r="K23" i="89"/>
  <c r="K38" i="57"/>
  <c r="K52" i="97"/>
  <c r="K56" i="97"/>
  <c r="K16" i="97"/>
  <c r="K35" i="89"/>
  <c r="K39" i="97"/>
  <c r="K22" i="57"/>
  <c r="K12" i="89"/>
  <c r="K54" i="57"/>
  <c r="K55" i="97"/>
  <c r="K18" i="57"/>
  <c r="K35" i="97"/>
  <c r="K21" i="97"/>
  <c r="K53" i="97"/>
  <c r="K42" i="97"/>
  <c r="K49" i="89"/>
  <c r="K41" i="97"/>
  <c r="K61" i="89"/>
  <c r="K32" i="57"/>
  <c r="K42" i="57"/>
  <c r="K28" i="89"/>
  <c r="K47" i="57"/>
  <c r="K27" i="97"/>
  <c r="K27" i="89"/>
  <c r="K38" i="89"/>
  <c r="K61" i="57"/>
  <c r="K45" i="89"/>
  <c r="K42" i="89"/>
  <c r="K16" i="89"/>
  <c r="K68" i="97"/>
  <c r="K22" i="97"/>
  <c r="K62" i="97"/>
  <c r="K32" i="89"/>
  <c r="K46" i="97"/>
  <c r="K61" i="97"/>
  <c r="K33" i="97"/>
  <c r="K26" i="89"/>
  <c r="K18" i="97"/>
  <c r="K35" i="57"/>
  <c r="K45" i="57"/>
  <c r="K53" i="57"/>
  <c r="K34" i="57"/>
  <c r="K55" i="57"/>
  <c r="K23" i="97"/>
  <c r="K26" i="97"/>
  <c r="K56" i="89"/>
  <c r="K68" i="57"/>
  <c r="K18" i="89"/>
  <c r="K49" i="97"/>
  <c r="K32" i="97"/>
  <c r="K13" i="89"/>
  <c r="K33" i="89"/>
  <c r="K40" i="57"/>
  <c r="K39" i="57"/>
  <c r="C60" i="97"/>
  <c r="K60" i="97"/>
  <c r="K77" i="4"/>
  <c r="C77" i="4"/>
  <c r="A99" i="71"/>
  <c r="D93" i="71"/>
  <c r="C126" i="71"/>
  <c r="B126" i="71"/>
  <c r="A126" i="71"/>
  <c r="D120" i="71"/>
  <c r="D113" i="73"/>
  <c r="A99" i="104"/>
  <c r="C74" i="103"/>
  <c r="K74" i="103"/>
  <c r="O88" i="70"/>
  <c r="G6" i="70"/>
  <c r="K73" i="63"/>
  <c r="K79" i="63"/>
  <c r="D26" i="2"/>
  <c r="E26" i="2"/>
  <c r="G26" i="2"/>
  <c r="K80" i="4"/>
  <c r="K31" i="4"/>
  <c r="K63" i="39"/>
  <c r="C63" i="39"/>
  <c r="M78" i="73"/>
  <c r="K11" i="97"/>
  <c r="K79" i="97"/>
  <c r="C59" i="4"/>
  <c r="K59" i="4"/>
  <c r="A99" i="76"/>
  <c r="D93" i="76"/>
  <c r="C126" i="76"/>
  <c r="D127" i="76"/>
  <c r="K67" i="94"/>
  <c r="C67" i="94"/>
  <c r="M78" i="96"/>
  <c r="C63" i="97"/>
  <c r="K63" i="97"/>
  <c r="C60" i="44"/>
  <c r="K60" i="44"/>
  <c r="A99" i="74"/>
  <c r="C74" i="57"/>
  <c r="K74" i="57"/>
  <c r="D120" i="96"/>
  <c r="K70" i="44"/>
  <c r="C70" i="44"/>
  <c r="O79" i="76"/>
  <c r="N87" i="76"/>
  <c r="M87" i="76"/>
  <c r="K62" i="65"/>
  <c r="K49" i="65"/>
  <c r="K69" i="65"/>
  <c r="K48" i="65"/>
  <c r="K26" i="65"/>
  <c r="K41" i="65"/>
  <c r="K52" i="65"/>
  <c r="K46" i="65"/>
  <c r="K17" i="65"/>
  <c r="K68" i="65"/>
  <c r="K40" i="65"/>
  <c r="K38" i="65"/>
  <c r="K28" i="65"/>
  <c r="K53" i="65"/>
  <c r="K13" i="65"/>
  <c r="K61" i="65"/>
  <c r="K23" i="65"/>
  <c r="K54" i="65"/>
  <c r="K32" i="65"/>
  <c r="K42" i="65"/>
  <c r="K47" i="65"/>
  <c r="K18" i="65"/>
  <c r="K45" i="65"/>
  <c r="K21" i="65"/>
  <c r="K12" i="65"/>
  <c r="K34" i="65"/>
  <c r="K22" i="65"/>
  <c r="K16" i="65"/>
  <c r="K33" i="65"/>
  <c r="K35" i="65"/>
  <c r="K27" i="65"/>
  <c r="K56" i="65"/>
  <c r="K39" i="65"/>
  <c r="K55" i="65"/>
  <c r="K80" i="55"/>
  <c r="K31" i="55"/>
  <c r="K59" i="89"/>
  <c r="A99" i="68"/>
  <c r="C74" i="42"/>
  <c r="K74" i="42"/>
  <c r="B126" i="96"/>
  <c r="A126" i="96"/>
  <c r="C67" i="97"/>
  <c r="K67" i="97"/>
  <c r="C60" i="119"/>
  <c r="K60" i="119"/>
  <c r="B99" i="104"/>
  <c r="E93" i="104"/>
  <c r="C112" i="104"/>
  <c r="D114" i="104"/>
  <c r="C99" i="104"/>
  <c r="D100" i="104"/>
  <c r="K63" i="44"/>
  <c r="C63" i="44"/>
  <c r="D114" i="76"/>
  <c r="C99" i="76"/>
  <c r="B99" i="76"/>
  <c r="E93" i="76"/>
  <c r="C112" i="76"/>
  <c r="B112" i="76"/>
  <c r="A112" i="76"/>
  <c r="D106" i="76"/>
  <c r="N78" i="76"/>
  <c r="M78" i="76"/>
  <c r="D114" i="88"/>
  <c r="C99" i="88"/>
  <c r="B99" i="88"/>
  <c r="E93" i="88"/>
  <c r="C112" i="88"/>
  <c r="B112" i="88"/>
  <c r="C59" i="89"/>
  <c r="C77" i="89"/>
  <c r="K77" i="89"/>
  <c r="E93" i="69"/>
  <c r="C112" i="69"/>
  <c r="D114" i="69"/>
  <c r="C99" i="69"/>
  <c r="B99" i="69"/>
  <c r="A99" i="69"/>
  <c r="C74" i="61"/>
  <c r="K74" i="61"/>
  <c r="K70" i="39"/>
  <c r="C70" i="39"/>
  <c r="B112" i="73"/>
  <c r="A112" i="73"/>
  <c r="D106" i="73"/>
  <c r="N78" i="73"/>
  <c r="O79" i="73"/>
  <c r="N87" i="73"/>
  <c r="M87" i="73"/>
  <c r="H21" i="1"/>
  <c r="K28" i="119"/>
  <c r="K17" i="119"/>
  <c r="K40" i="119"/>
  <c r="K45" i="119"/>
  <c r="K23" i="119"/>
  <c r="K55" i="119"/>
  <c r="K22" i="119"/>
  <c r="K34" i="119"/>
  <c r="K16" i="119"/>
  <c r="K27" i="119"/>
  <c r="K38" i="119"/>
  <c r="K13" i="119"/>
  <c r="K56" i="119"/>
  <c r="K42" i="119"/>
  <c r="K39" i="119"/>
  <c r="K54" i="119"/>
  <c r="K53" i="119"/>
  <c r="K33" i="119"/>
  <c r="K18" i="119"/>
  <c r="K26" i="119"/>
  <c r="K48" i="119"/>
  <c r="K52" i="119"/>
  <c r="K35" i="119"/>
  <c r="K69" i="119"/>
  <c r="K49" i="119"/>
  <c r="K21" i="119"/>
  <c r="K62" i="119"/>
  <c r="K61" i="119"/>
  <c r="K47" i="119"/>
  <c r="K68" i="119"/>
  <c r="K41" i="119"/>
  <c r="K12" i="119"/>
  <c r="K46" i="119"/>
  <c r="K32" i="119"/>
  <c r="D127" i="109"/>
  <c r="B112" i="96"/>
  <c r="A112" i="96"/>
  <c r="D106" i="96"/>
  <c r="N78" i="96"/>
  <c r="O79" i="96"/>
  <c r="N87" i="96"/>
  <c r="M87" i="96"/>
  <c r="C70" i="97"/>
  <c r="K70" i="97"/>
  <c r="E93" i="73"/>
  <c r="C112" i="73"/>
  <c r="D114" i="73"/>
  <c r="C99" i="73"/>
  <c r="B99" i="73"/>
  <c r="A99" i="73"/>
  <c r="C74" i="39"/>
  <c r="K74" i="39"/>
  <c r="A99" i="95"/>
  <c r="D93" i="95"/>
  <c r="C126" i="95"/>
  <c r="B126" i="95"/>
  <c r="A126" i="95"/>
  <c r="D120" i="95"/>
  <c r="E93" i="109"/>
  <c r="C112" i="109"/>
  <c r="D114" i="109"/>
  <c r="C99" i="109"/>
  <c r="B99" i="109"/>
  <c r="A99" i="109"/>
  <c r="D93" i="109"/>
  <c r="C126" i="109"/>
  <c r="B126" i="109"/>
  <c r="C66" i="110"/>
  <c r="K66" i="110"/>
  <c r="C60" i="55"/>
  <c r="K60" i="55"/>
  <c r="G48" i="1"/>
  <c r="K11" i="4"/>
  <c r="K79" i="4"/>
  <c r="D18" i="1"/>
  <c r="D30" i="1"/>
  <c r="F32" i="1"/>
  <c r="E48" i="1"/>
  <c r="K11" i="55"/>
  <c r="K79" i="55"/>
  <c r="D19" i="1"/>
  <c r="H19" i="1"/>
  <c r="D114" i="118"/>
  <c r="C99" i="118"/>
  <c r="B99" i="118"/>
  <c r="E93" i="118"/>
  <c r="C112" i="118"/>
  <c r="B112" i="118"/>
  <c r="A112" i="118"/>
  <c r="D106" i="118"/>
  <c r="N78" i="118"/>
  <c r="O79" i="118"/>
  <c r="N87" i="118"/>
  <c r="O88" i="118"/>
  <c r="G6" i="118"/>
  <c r="K31" i="119"/>
  <c r="K80" i="119"/>
  <c r="D114" i="70"/>
  <c r="C99" i="70"/>
  <c r="B99" i="70"/>
  <c r="E93" i="70"/>
  <c r="C112" i="70"/>
  <c r="B112" i="70"/>
  <c r="A112" i="70"/>
  <c r="D106" i="70"/>
  <c r="N78" i="70"/>
  <c r="O79" i="70"/>
  <c r="N87" i="70"/>
  <c r="M87" i="70"/>
  <c r="C70" i="46"/>
  <c r="K70" i="46"/>
  <c r="D114" i="95"/>
  <c r="C99" i="95"/>
  <c r="B99" i="95"/>
  <c r="E93" i="95"/>
  <c r="C112" i="95"/>
  <c r="B112" i="95"/>
  <c r="A112" i="95"/>
  <c r="D106" i="95"/>
  <c r="N78" i="95"/>
  <c r="O79" i="95"/>
  <c r="N87" i="95"/>
  <c r="O88" i="95"/>
  <c r="G6" i="95"/>
  <c r="K46" i="4"/>
  <c r="K62" i="4"/>
  <c r="K55" i="4"/>
  <c r="K40" i="4"/>
  <c r="K34" i="4"/>
  <c r="K42" i="4"/>
  <c r="K56" i="4"/>
  <c r="K61" i="4"/>
  <c r="K17" i="4"/>
  <c r="K47" i="4"/>
  <c r="K33" i="4"/>
  <c r="K54" i="4"/>
  <c r="K22" i="4"/>
  <c r="K45" i="4"/>
  <c r="K28" i="4"/>
  <c r="K53" i="4"/>
  <c r="K13" i="4"/>
  <c r="K38" i="4"/>
  <c r="K12" i="4"/>
  <c r="K32" i="4"/>
  <c r="K52" i="4"/>
  <c r="K39" i="4"/>
  <c r="K26" i="4"/>
  <c r="K35" i="4"/>
  <c r="K69" i="4"/>
  <c r="K21" i="4"/>
  <c r="K68" i="4"/>
  <c r="K48" i="4"/>
  <c r="K41" i="4"/>
  <c r="K18" i="4"/>
  <c r="K49" i="4"/>
  <c r="K23" i="4"/>
  <c r="K27" i="4"/>
  <c r="D114" i="71"/>
  <c r="C99" i="71"/>
  <c r="B99" i="71"/>
  <c r="E93" i="71"/>
  <c r="C112" i="71"/>
  <c r="B112" i="71"/>
  <c r="A112" i="71"/>
  <c r="D106" i="71"/>
  <c r="N78" i="71"/>
  <c r="O79" i="71"/>
  <c r="N87" i="71"/>
  <c r="O88" i="71"/>
  <c r="G6" i="71"/>
  <c r="K16" i="4"/>
  <c r="K23" i="55"/>
  <c r="K45" i="55"/>
  <c r="K13" i="55"/>
  <c r="K61" i="55"/>
  <c r="K17" i="55"/>
  <c r="K48" i="55"/>
  <c r="K39" i="55"/>
  <c r="K12" i="55"/>
  <c r="K26" i="55"/>
  <c r="K56" i="55"/>
  <c r="K46" i="55"/>
  <c r="K69" i="55"/>
  <c r="K68" i="55"/>
  <c r="K42" i="55"/>
  <c r="K28" i="55"/>
  <c r="K54" i="55"/>
  <c r="K49" i="55"/>
  <c r="K52" i="55"/>
  <c r="K18" i="55"/>
  <c r="K33" i="55"/>
  <c r="K35" i="55"/>
  <c r="K47" i="55"/>
  <c r="K27" i="55"/>
  <c r="K16" i="55"/>
  <c r="K53" i="55"/>
  <c r="K22" i="55"/>
  <c r="K34" i="55"/>
  <c r="K38" i="55"/>
  <c r="K62" i="55"/>
  <c r="K55" i="55"/>
  <c r="K40" i="55"/>
  <c r="K21" i="55"/>
  <c r="K41" i="55"/>
  <c r="D114" i="72"/>
  <c r="C99" i="72"/>
  <c r="B99" i="72"/>
  <c r="E93" i="72"/>
  <c r="C112" i="72"/>
  <c r="B112" i="72"/>
  <c r="A112" i="72"/>
  <c r="D106" i="72"/>
  <c r="N78" i="72"/>
  <c r="O79" i="72"/>
  <c r="N87" i="72"/>
  <c r="O88" i="72"/>
  <c r="G6" i="72"/>
  <c r="K32" i="55"/>
  <c r="E93" i="96"/>
  <c r="C112" i="96"/>
  <c r="D114" i="96"/>
  <c r="C99" i="96"/>
  <c r="B99" i="96"/>
  <c r="A99" i="96"/>
  <c r="D93" i="96"/>
  <c r="C126" i="96"/>
  <c r="D127" i="96"/>
  <c r="K39" i="42"/>
  <c r="K54" i="42"/>
  <c r="K26" i="42"/>
  <c r="K32" i="42"/>
  <c r="K40" i="42"/>
  <c r="K47" i="42"/>
  <c r="K21" i="42"/>
  <c r="K69" i="42"/>
  <c r="K42" i="42"/>
  <c r="K56" i="42"/>
  <c r="K53" i="42"/>
  <c r="K61" i="42"/>
  <c r="K18" i="42"/>
  <c r="K45" i="42"/>
  <c r="K41" i="42"/>
  <c r="K55" i="42"/>
  <c r="K27" i="42"/>
  <c r="K52" i="42"/>
  <c r="K22" i="42"/>
  <c r="K28" i="42"/>
  <c r="K48" i="42"/>
  <c r="K49" i="42"/>
  <c r="K33" i="42"/>
  <c r="K46" i="42"/>
  <c r="K23" i="42"/>
  <c r="K13" i="42"/>
  <c r="K35" i="42"/>
  <c r="K68" i="42"/>
  <c r="K16" i="42"/>
  <c r="K12" i="42"/>
  <c r="K17" i="42"/>
  <c r="K38" i="42"/>
  <c r="K34" i="42"/>
  <c r="D114" i="68"/>
  <c r="C99" i="68"/>
  <c r="B99" i="68"/>
  <c r="E93" i="68"/>
  <c r="C112" i="68"/>
  <c r="B112" i="68"/>
  <c r="A112" i="68"/>
  <c r="D106" i="68"/>
  <c r="N78" i="68"/>
  <c r="O79" i="68"/>
  <c r="N87" i="68"/>
  <c r="O88" i="68"/>
  <c r="G6" i="68"/>
  <c r="K62" i="42"/>
  <c r="B112" i="114"/>
  <c r="A112" i="114"/>
  <c r="D106" i="114"/>
  <c r="N78" i="114"/>
  <c r="M78" i="114"/>
  <c r="C63" i="115"/>
  <c r="K63" i="115"/>
  <c r="D114" i="78"/>
  <c r="C99" i="78"/>
  <c r="B99" i="78"/>
  <c r="E93" i="78"/>
  <c r="C112" i="78"/>
  <c r="B112" i="78"/>
  <c r="A112" i="78"/>
  <c r="D106" i="78"/>
  <c r="N78" i="78"/>
  <c r="O79" i="78"/>
  <c r="N87" i="78"/>
  <c r="O88" i="78"/>
  <c r="G6" i="78"/>
  <c r="K11" i="65"/>
  <c r="K79" i="65"/>
  <c r="D28" i="2"/>
  <c r="E28" i="2"/>
  <c r="G28" i="2"/>
  <c r="D114" i="74"/>
  <c r="C99" i="74"/>
  <c r="B99" i="74"/>
  <c r="E93" i="74"/>
  <c r="C112" i="74"/>
  <c r="B112" i="74"/>
  <c r="A112" i="74"/>
  <c r="D106" i="74"/>
  <c r="N78" i="74"/>
  <c r="O79" i="74"/>
  <c r="N87" i="74"/>
  <c r="O88" i="74"/>
  <c r="G6" i="74"/>
  <c r="K11" i="57"/>
  <c r="K79" i="57"/>
  <c r="D21" i="1"/>
  <c r="D18" i="2"/>
  <c r="E18" i="2"/>
  <c r="G18" i="2"/>
  <c r="D114" i="67"/>
  <c r="C99" i="67"/>
  <c r="B99" i="67"/>
  <c r="E93" i="67"/>
  <c r="C112" i="67"/>
  <c r="B112" i="67"/>
  <c r="A112" i="67"/>
  <c r="D106" i="67"/>
  <c r="N78" i="67"/>
  <c r="O79" i="67"/>
  <c r="N87" i="67"/>
  <c r="O88" i="67"/>
  <c r="G6" i="67"/>
  <c r="K11" i="59"/>
  <c r="K79" i="59"/>
  <c r="D24" i="1"/>
  <c r="H24" i="1"/>
  <c r="E93" i="114"/>
  <c r="C112" i="114"/>
  <c r="D114" i="114"/>
  <c r="C99" i="114"/>
  <c r="B99" i="114"/>
  <c r="A99" i="114"/>
  <c r="D93" i="114"/>
  <c r="C126" i="114"/>
  <c r="B126" i="114"/>
  <c r="C66" i="115"/>
  <c r="K66" i="115"/>
</calcChain>
</file>

<file path=xl/sharedStrings.xml><?xml version="1.0" encoding="utf-8"?>
<sst xmlns="http://purl.oclc.org/ooxml/spreadsheetml/main" count="9899" uniqueCount="658">
  <si>
    <t>CRA FLATS MAIL PROCESSING UNIT COSTS</t>
  </si>
  <si>
    <t>Modeled Worksharing Related (Proportional) Cost Pools</t>
  </si>
  <si>
    <t>Non-Worksharing Related (Fixed) Cost Pools</t>
  </si>
  <si>
    <t>Total</t>
  </si>
  <si>
    <t>CRA PROPORTIONAL ADJUSTMENT FACTOR</t>
  </si>
  <si>
    <t>Base Model Costs</t>
  </si>
  <si>
    <t>Model Cost</t>
  </si>
  <si>
    <t>Volume</t>
  </si>
  <si>
    <t>Volume %</t>
  </si>
  <si>
    <t>Total Weighted Model Cost</t>
  </si>
  <si>
    <t>CRA Proportional Adjustment</t>
  </si>
  <si>
    <t>.</t>
  </si>
  <si>
    <t>Model</t>
  </si>
  <si>
    <t>Mail Proc</t>
  </si>
  <si>
    <t>Rate Category</t>
  </si>
  <si>
    <t>Unit Cost</t>
  </si>
  <si>
    <t xml:space="preserve"> </t>
  </si>
  <si>
    <t>Model costs from respective rate category "COST" spreadsheets</t>
  </si>
  <si>
    <t>(2) + (3)</t>
  </si>
  <si>
    <t>MP</t>
  </si>
  <si>
    <t>Cost Pool</t>
  </si>
  <si>
    <t>Unit</t>
  </si>
  <si>
    <t>Source</t>
  </si>
  <si>
    <t>Abbreviation</t>
  </si>
  <si>
    <t>Costs</t>
  </si>
  <si>
    <t>OTHR</t>
  </si>
  <si>
    <t>PLA</t>
  </si>
  <si>
    <t>PSM</t>
  </si>
  <si>
    <t>SSM</t>
  </si>
  <si>
    <t>MODS 11</t>
  </si>
  <si>
    <t>MODS 12</t>
  </si>
  <si>
    <t>MODS 13</t>
  </si>
  <si>
    <t>MODS 14</t>
  </si>
  <si>
    <t>MANF</t>
  </si>
  <si>
    <t>MANL</t>
  </si>
  <si>
    <t>MANP</t>
  </si>
  <si>
    <t>PRIORITY</t>
  </si>
  <si>
    <t>MODS 15</t>
  </si>
  <si>
    <t>LD15</t>
  </si>
  <si>
    <t>MODS 17</t>
  </si>
  <si>
    <t>1OPBULK</t>
  </si>
  <si>
    <t>1OPPREF</t>
  </si>
  <si>
    <t>1PLATFRM</t>
  </si>
  <si>
    <t>1POUCHNG</t>
  </si>
  <si>
    <t>1SACKS_H</t>
  </si>
  <si>
    <t>1SCAN</t>
  </si>
  <si>
    <t>MODS 18</t>
  </si>
  <si>
    <t>BUSREPLY</t>
  </si>
  <si>
    <t>EXPRESS</t>
  </si>
  <si>
    <t>REGISTRY</t>
  </si>
  <si>
    <t>REWRAP</t>
  </si>
  <si>
    <t>1EEQMT</t>
  </si>
  <si>
    <t>MODS 19</t>
  </si>
  <si>
    <t>ALLIED</t>
  </si>
  <si>
    <t>MISC</t>
  </si>
  <si>
    <t>COST SHEET</t>
  </si>
  <si>
    <t>Direct</t>
  </si>
  <si>
    <t>Premium</t>
  </si>
  <si>
    <t>Weighted</t>
  </si>
  <si>
    <t>or Pieces</t>
  </si>
  <si>
    <t>Wage</t>
  </si>
  <si>
    <t>Cents</t>
  </si>
  <si>
    <t>Piggyback</t>
  </si>
  <si>
    <t>Pay</t>
  </si>
  <si>
    <t>Operation</t>
  </si>
  <si>
    <t>Per Hour</t>
  </si>
  <si>
    <t>Rate</t>
  </si>
  <si>
    <t>Per Piece</t>
  </si>
  <si>
    <t>Factor</t>
  </si>
  <si>
    <t>Adjust</t>
  </si>
  <si>
    <t>Manual</t>
  </si>
  <si>
    <t>Outgoing Primary (Piece)</t>
  </si>
  <si>
    <t>AFSM100 Auto</t>
  </si>
  <si>
    <t>Outgoing Secondary (Piece)</t>
  </si>
  <si>
    <t>Incoming MMP (Piece)</t>
  </si>
  <si>
    <t>Incoming SCF (Piece)</t>
  </si>
  <si>
    <t>Incoming Primary (Piece)</t>
  </si>
  <si>
    <t>Incoming Secondary (Piece)</t>
  </si>
  <si>
    <t xml:space="preserve">MODEL COST = </t>
  </si>
  <si>
    <t>[ (6) - 1 ] * (4)</t>
  </si>
  <si>
    <t>(4) * (5) + (7)</t>
  </si>
  <si>
    <t xml:space="preserve">[ (3) * (100 cents/dollar) ] / (2) </t>
  </si>
  <si>
    <t>(1) * (8) / 10,000 Pieces</t>
  </si>
  <si>
    <t>Sum (9)</t>
  </si>
  <si>
    <t>MAIL FLOW MODEL</t>
  </si>
  <si>
    <t>PCS IN =</t>
  </si>
  <si>
    <t>PCS OUT =</t>
  </si>
  <si>
    <t>PIECE ENTRY POINTS:</t>
  </si>
  <si>
    <t>BC Mach Out Prim</t>
  </si>
  <si>
    <t>Non-BC Mach Out Prim</t>
  </si>
  <si>
    <t>BC Nonmach Out Prim</t>
  </si>
  <si>
    <t>Non-BC Nonmach Out Prim</t>
  </si>
  <si>
    <t>BC Mach Out Sec</t>
  </si>
  <si>
    <t>Non-BC Mach Out Sec</t>
  </si>
  <si>
    <t>BC Nonmach Out Sec</t>
  </si>
  <si>
    <t>Non-BC Nonmach Out Sec</t>
  </si>
  <si>
    <t>BC Mach Inc MMP</t>
  </si>
  <si>
    <t>Non-BC Mach Inc MMP</t>
  </si>
  <si>
    <t>BC Nonmach Inc MMP</t>
  </si>
  <si>
    <t>Non-BC Nonmach Inc MMP</t>
  </si>
  <si>
    <t>BC Mach Inc SCF</t>
  </si>
  <si>
    <t>Non-BC Mach Inc SCF</t>
  </si>
  <si>
    <t>BC Nonmach Inc SCF</t>
  </si>
  <si>
    <t>Non-BC Nonmach Inc SCF</t>
  </si>
  <si>
    <t>BC Mach Inc Prim</t>
  </si>
  <si>
    <t>Non-BC Mach Inc Prim</t>
  </si>
  <si>
    <t>BC Nonmach Inc Prim</t>
  </si>
  <si>
    <t>Non-BC Nonmach Inc Prim</t>
  </si>
  <si>
    <t>BC Mach Inc Sec</t>
  </si>
  <si>
    <t>Non-BC Mach Inc sec</t>
  </si>
  <si>
    <t>BC Nonmach Inc Sec</t>
  </si>
  <si>
    <t>Non-BC Nonmach Inc sec</t>
  </si>
  <si>
    <t>MACHINABLE OUTGOING</t>
  </si>
  <si>
    <t>NONMACHINABLE OUTGOING</t>
  </si>
  <si>
    <t>Rejects</t>
  </si>
  <si>
    <t>Out Prim AFSM100</t>
  </si>
  <si>
    <t>Out Prim</t>
  </si>
  <si>
    <t>Out Prim Manual</t>
  </si>
  <si>
    <t>Keyed</t>
  </si>
  <si>
    <t>Out Sec AFSM100</t>
  </si>
  <si>
    <t>Out Sec Manual</t>
  </si>
  <si>
    <t>Inc MMP Mach</t>
  </si>
  <si>
    <t>Inc MMP Nonmach</t>
  </si>
  <si>
    <t>Inc MMP Manual</t>
  </si>
  <si>
    <t>Inc SCF Mach</t>
  </si>
  <si>
    <t>Inc SCF Nonmach</t>
  </si>
  <si>
    <t>Inc SCF Manual</t>
  </si>
  <si>
    <t>Inc Prim Mach</t>
  </si>
  <si>
    <t>Inc Prim Nonmach</t>
  </si>
  <si>
    <t>Inc Prim Manual</t>
  </si>
  <si>
    <t>Inc Sec Mach</t>
  </si>
  <si>
    <t>Inc Sec Manual</t>
  </si>
  <si>
    <t>Out Sec</t>
  </si>
  <si>
    <t>NONMACHINABLE INCOMING</t>
  </si>
  <si>
    <t>Inc MMP AFSM100</t>
  </si>
  <si>
    <t>Inc MMP</t>
  </si>
  <si>
    <t>Inc SCF AFSM100</t>
  </si>
  <si>
    <t>Inc Prim AFSM100</t>
  </si>
  <si>
    <t>Inc SCF</t>
  </si>
  <si>
    <t>Inc Prim</t>
  </si>
  <si>
    <t>Inc Sec AFSM100</t>
  </si>
  <si>
    <t>Inc Sec</t>
  </si>
  <si>
    <t>Finalized to Carrier Route</t>
  </si>
  <si>
    <t>(BARCODE)</t>
  </si>
  <si>
    <t>(NO BARCODE)</t>
  </si>
  <si>
    <t>REFED</t>
  </si>
  <si>
    <t>TOTAL</t>
  </si>
  <si>
    <t>OP</t>
  </si>
  <si>
    <t>BCR</t>
  </si>
  <si>
    <t>OCR</t>
  </si>
  <si>
    <t>KEYING</t>
  </si>
  <si>
    <t>MISFACED/</t>
  </si>
  <si>
    <t>FINALIZATION</t>
  </si>
  <si>
    <t>ACCEPT</t>
  </si>
  <si>
    <t>EQUIPMENT</t>
  </si>
  <si>
    <t>RATE</t>
  </si>
  <si>
    <t>All</t>
  </si>
  <si>
    <t>Outgoing</t>
  </si>
  <si>
    <t>Incoming</t>
  </si>
  <si>
    <t>AFSM100</t>
  </si>
  <si>
    <t>---</t>
  </si>
  <si>
    <t>(1) Engineering Estimates</t>
  </si>
  <si>
    <t>PIECE DISTRIBUTION MAIL FLOW DENSITY TABLES SUMMARY</t>
  </si>
  <si>
    <t>OS</t>
  </si>
  <si>
    <t>MMP</t>
  </si>
  <si>
    <t>SCF</t>
  </si>
  <si>
    <t>IP</t>
  </si>
  <si>
    <t>IS</t>
  </si>
  <si>
    <t>FLATS COVERAGE FACTORS</t>
  </si>
  <si>
    <t>FLATS OPERATION PRODUCTIVITIES</t>
  </si>
  <si>
    <t>Variability</t>
  </si>
  <si>
    <t>Marginal</t>
  </si>
  <si>
    <t>Description</t>
  </si>
  <si>
    <t>Productivity</t>
  </si>
  <si>
    <t>Productivity Source</t>
  </si>
  <si>
    <t>AFSM100 Outgoing Primary</t>
  </si>
  <si>
    <t>AFSM100 Outgoing Secondary</t>
  </si>
  <si>
    <t>AFSM100 Incoming MMP</t>
  </si>
  <si>
    <t>AFSM100 Incoming SCF</t>
  </si>
  <si>
    <t>AFSM100 Incoming Primary</t>
  </si>
  <si>
    <t>AFSM100 Incoming Secondary</t>
  </si>
  <si>
    <t>(3)  (2) / (1)</t>
  </si>
  <si>
    <t>FLATS WAGE RATES</t>
  </si>
  <si>
    <t>LDC 15 (Remote Encoding Centers/Video Coding System)</t>
  </si>
  <si>
    <t>FLATS PIGGYBACK FACTORS</t>
  </si>
  <si>
    <t>Manual Bundles (MODS 17 POUCHING)</t>
  </si>
  <si>
    <t>Manual (MODS 14 MANF)</t>
  </si>
  <si>
    <t>Pallet</t>
  </si>
  <si>
    <t>Sack</t>
  </si>
  <si>
    <t>Container</t>
  </si>
  <si>
    <t>Presort</t>
  </si>
  <si>
    <t>Machinability</t>
  </si>
  <si>
    <t>Mech</t>
  </si>
  <si>
    <t>Man</t>
  </si>
  <si>
    <t>Broken</t>
  </si>
  <si>
    <t>Finalized</t>
  </si>
  <si>
    <t>Processed</t>
  </si>
  <si>
    <t>MADC</t>
  </si>
  <si>
    <t>ADC</t>
  </si>
  <si>
    <t>3-Digit</t>
  </si>
  <si>
    <t>5-Digit</t>
  </si>
  <si>
    <t>Initial</t>
  </si>
  <si>
    <t>Subsequent</t>
  </si>
  <si>
    <t>Breakage</t>
  </si>
  <si>
    <t>Machinable Flats - Pallets</t>
  </si>
  <si>
    <t>Nonmachinable Flats - Pallets</t>
  </si>
  <si>
    <t>Machinable Flats - Sacks</t>
  </si>
  <si>
    <t>Nonmachinable Flats - Sacks</t>
  </si>
  <si>
    <t>Handlings</t>
  </si>
  <si>
    <t>%Mech</t>
  </si>
  <si>
    <t>MADC / MADC</t>
  </si>
  <si>
    <t>MADC / ADC</t>
  </si>
  <si>
    <t>MADC / 3D</t>
  </si>
  <si>
    <t>MADC / 5D</t>
  </si>
  <si>
    <t>MADC / CR</t>
  </si>
  <si>
    <t>ADC / 3D</t>
  </si>
  <si>
    <t>ADC / 5D</t>
  </si>
  <si>
    <t>ADC / CR</t>
  </si>
  <si>
    <t>3D / 3D</t>
  </si>
  <si>
    <t>3D / 5D</t>
  </si>
  <si>
    <t>3D / CR</t>
  </si>
  <si>
    <t>5D / 5D</t>
  </si>
  <si>
    <t>5D / CR</t>
  </si>
  <si>
    <t>MADC Container to:</t>
  </si>
  <si>
    <t>3D</t>
  </si>
  <si>
    <t>5D</t>
  </si>
  <si>
    <t>CR</t>
  </si>
  <si>
    <t>Piece</t>
  </si>
  <si>
    <t>ADC Container to:</t>
  </si>
  <si>
    <t>3D Container to:</t>
  </si>
  <si>
    <t>5D Container to:</t>
  </si>
  <si>
    <t>CR Container to:</t>
  </si>
  <si>
    <t>UFSM1000</t>
  </si>
  <si>
    <t>ATHS</t>
  </si>
  <si>
    <t>APPS</t>
  </si>
  <si>
    <t>MANUAL</t>
  </si>
  <si>
    <t>Originating</t>
  </si>
  <si>
    <t>Activity</t>
  </si>
  <si>
    <t>Method</t>
  </si>
  <si>
    <t>Bundle Sorting</t>
  </si>
  <si>
    <t>Piece Distribution</t>
  </si>
  <si>
    <t>Destinating</t>
  </si>
  <si>
    <t>APPS Outgoing</t>
  </si>
  <si>
    <t>APPS Incoming</t>
  </si>
  <si>
    <t>REC Keying</t>
  </si>
  <si>
    <t>Out Prim UFSM1000</t>
  </si>
  <si>
    <t>Out Sec UFSM1000</t>
  </si>
  <si>
    <t>Inc MMP UFSM1000</t>
  </si>
  <si>
    <t>Inc SCF UFSM1000</t>
  </si>
  <si>
    <t>Inc Prim UFSM1000</t>
  </si>
  <si>
    <t>Inc Sec UFSM1000</t>
  </si>
  <si>
    <t>Bundles</t>
  </si>
  <si>
    <t>Outgoing Primary (Bundles)</t>
  </si>
  <si>
    <t>Incoming MMP (Bundles)</t>
  </si>
  <si>
    <t>Incoming Primary (Bundles)</t>
  </si>
  <si>
    <t>Incoming Secondary (Bundles)</t>
  </si>
  <si>
    <t>REC</t>
  </si>
  <si>
    <t>REC IMAGE</t>
  </si>
  <si>
    <t>REC TIME OUT</t>
  </si>
  <si>
    <t>FLATS ACCEPT / FINALIZATION RATES</t>
  </si>
  <si>
    <t>AFSM100 ATHS Outgoing Primary</t>
  </si>
  <si>
    <t>AFSM100 ATHS Outgoing Secondary</t>
  </si>
  <si>
    <t>AFSM100 ATHS Incoming MMP</t>
  </si>
  <si>
    <t>AFSM100 ATHS Incoming SCF</t>
  </si>
  <si>
    <t>AFSM100 ATHS Incoming Primary</t>
  </si>
  <si>
    <t>AFSM100 ATHS Incoming Secondary</t>
  </si>
  <si>
    <t>Manual Bundle Sort Out MADC</t>
  </si>
  <si>
    <t>Manual Bundle Sort Inc ADC</t>
  </si>
  <si>
    <t>Manual Bundle Sort Inc Primary</t>
  </si>
  <si>
    <t>Manual Bundle Sort Inc Secondary</t>
  </si>
  <si>
    <t>BUNDLE DATA</t>
  </si>
  <si>
    <t>Container / Bundle</t>
  </si>
  <si>
    <t>MADC Bundle</t>
  </si>
  <si>
    <t>ADC Bundle</t>
  </si>
  <si>
    <t>3D Bundle</t>
  </si>
  <si>
    <t>5D Bundle</t>
  </si>
  <si>
    <t>CR Bundle</t>
  </si>
  <si>
    <t>1TRAYSRT</t>
  </si>
  <si>
    <t>1CANCEL</t>
  </si>
  <si>
    <t>1DSPATCH</t>
  </si>
  <si>
    <t>1MTRPREP</t>
  </si>
  <si>
    <t>1OPTRANS</t>
  </si>
  <si>
    <t>1PRESORT</t>
  </si>
  <si>
    <t>1MISC</t>
  </si>
  <si>
    <t>1SUPPORT</t>
  </si>
  <si>
    <t>INTL ISC</t>
  </si>
  <si>
    <t>OPER</t>
  </si>
  <si>
    <t>LEVEL</t>
  </si>
  <si>
    <t>Inc Sec Nonmach</t>
  </si>
  <si>
    <t>Out Sec Nonmach</t>
  </si>
  <si>
    <t>Out Sec Mach</t>
  </si>
  <si>
    <t>UFSM1000 Auto</t>
  </si>
  <si>
    <t>UFSM1000 Keying</t>
  </si>
  <si>
    <t>MACHINABLE INCOMING</t>
  </si>
  <si>
    <t>AFSM100 Only</t>
  </si>
  <si>
    <t>UFSM1000 Only</t>
  </si>
  <si>
    <t>AFSM100 / UFSM1000</t>
  </si>
  <si>
    <t>(2) Productivity values from sources as indicated</t>
  </si>
  <si>
    <t>PALLET</t>
  </si>
  <si>
    <t>SACK</t>
  </si>
  <si>
    <t>AVERAGE</t>
  </si>
  <si>
    <t>PCS PER</t>
  </si>
  <si>
    <t>RATE CATEGORY</t>
  </si>
  <si>
    <t>MACHINABILITY</t>
  </si>
  <si>
    <t>CONTAINER PRESORT</t>
  </si>
  <si>
    <t>VOLUME</t>
  </si>
  <si>
    <t>Nonauto MADC Presort Flats</t>
  </si>
  <si>
    <t>Mixed ADC</t>
  </si>
  <si>
    <t>Nonauto ADC Presort Flats</t>
  </si>
  <si>
    <t>Nonauto 3 Digit Presort Flats</t>
  </si>
  <si>
    <t>Nonauto 5 Digit Presort Flats</t>
  </si>
  <si>
    <t>Auto MADC Presort Flats</t>
  </si>
  <si>
    <t>Auto ADC Presort Flats</t>
  </si>
  <si>
    <t>Auto 3 Digit Presort Flats</t>
  </si>
  <si>
    <t>Auto 5 Digit Presort Flats</t>
  </si>
  <si>
    <t>Out</t>
  </si>
  <si>
    <t>Inc</t>
  </si>
  <si>
    <t>Prim</t>
  </si>
  <si>
    <t>Sec</t>
  </si>
  <si>
    <t>Bundle Presort</t>
  </si>
  <si>
    <t>Nonauto MADC</t>
  </si>
  <si>
    <t>Nonauto ADC</t>
  </si>
  <si>
    <t>Nonauto 3-Digit</t>
  </si>
  <si>
    <t>Nonauto 5-Digit</t>
  </si>
  <si>
    <t>Auto MADC</t>
  </si>
  <si>
    <t>Auto ADC</t>
  </si>
  <si>
    <t>Auto 3-Digit</t>
  </si>
  <si>
    <t>Auto 5-Digit</t>
  </si>
  <si>
    <t>Proportional</t>
  </si>
  <si>
    <t>Fixed</t>
  </si>
  <si>
    <t>(1) + (2)</t>
  </si>
  <si>
    <t>Sum [ Rate Category (4) * (6) ]</t>
  </si>
  <si>
    <t>(1) / (7)</t>
  </si>
  <si>
    <t>(9) * (8)</t>
  </si>
  <si>
    <t>(10) + (11)</t>
  </si>
  <si>
    <t>Auto MADC Rev</t>
  </si>
  <si>
    <t>Auto ADC Rev</t>
  </si>
  <si>
    <t>Auto 3-Digit Rev</t>
  </si>
  <si>
    <t>MADC NONAUTO PRESORT</t>
  </si>
  <si>
    <t>ADC NONAUTO PRESORT</t>
  </si>
  <si>
    <t>3-DIGIT NONAUTO PRESORT</t>
  </si>
  <si>
    <t>5-DIGIT NONAUTO PRESORT</t>
  </si>
  <si>
    <t>ADC AUTO PRESORT</t>
  </si>
  <si>
    <t>3-DIGIT AUTO PRESORT</t>
  </si>
  <si>
    <t>5-DIGIT AUTO PRESORT</t>
  </si>
  <si>
    <t>MADC AUTO PRESORT (PRESORT LEVELS HELD CONSTANT)</t>
  </si>
  <si>
    <t>ADC AUTO PRESORT (PRESORT LEVELS HELD CONSTANT)</t>
  </si>
  <si>
    <t>5-DIGIT AUTO PRESORT (PRESORT LEVELS HELD CONSTANT)</t>
  </si>
  <si>
    <t>3-DIGIT AUTO PRESORT (PRESORT LEVELS HELD CONSTANT)</t>
  </si>
  <si>
    <t>AFSM100 (MODS 12 AFSM100)</t>
  </si>
  <si>
    <t>UFSM1000 (MODS 12 FSM/1000)</t>
  </si>
  <si>
    <t>Workshaing-Related</t>
  </si>
  <si>
    <t>Proportional (Cents)</t>
  </si>
  <si>
    <t>Fixed (Cents)</t>
  </si>
  <si>
    <t>Key</t>
  </si>
  <si>
    <t>Treatment</t>
  </si>
  <si>
    <t>Piece Sorting</t>
  </si>
  <si>
    <t>Non-WS</t>
  </si>
  <si>
    <t>Unexpected</t>
  </si>
  <si>
    <t>Allied/Support</t>
  </si>
  <si>
    <t>Piggybacked</t>
  </si>
  <si>
    <t>Note: OPBULK, OPPREF and Pouching</t>
  </si>
  <si>
    <t xml:space="preserve">were WS related fixed in 3 column system, </t>
  </si>
  <si>
    <t>are grouped with prep and accept</t>
  </si>
  <si>
    <t>Total Assigned</t>
  </si>
  <si>
    <t>(piggyback basis)</t>
  </si>
  <si>
    <t>FSS</t>
  </si>
  <si>
    <t>PRESORT LEVELS HELD CONSTANT</t>
  </si>
  <si>
    <t xml:space="preserve">FSS </t>
  </si>
  <si>
    <t>Finalized to DPS</t>
  </si>
  <si>
    <t>Data Source: WebEOR</t>
  </si>
  <si>
    <t>TRAYSORT</t>
  </si>
  <si>
    <t>D/BCS</t>
  </si>
  <si>
    <t>AUTO/MEC</t>
  </si>
  <si>
    <t>Intentionally blank</t>
  </si>
  <si>
    <t>FSS and Other Coverage factors</t>
  </si>
  <si>
    <t>PACKAGE PRESORT</t>
  </si>
  <si>
    <t>PACKAGE</t>
  </si>
  <si>
    <t>FY</t>
  </si>
  <si>
    <t xml:space="preserve">Intentionally </t>
  </si>
  <si>
    <t>Blank</t>
  </si>
  <si>
    <t>Intentionally Blank</t>
  </si>
  <si>
    <t>Data Source: WebROADS</t>
  </si>
  <si>
    <t>(1) * [ (8) from 'CRA ADJ UNIT COSTS' ]</t>
  </si>
  <si>
    <t>(2) from 'CRA ADJ UNIT COSTS'</t>
  </si>
  <si>
    <t>Single Piece sorts as a proportion of TPH</t>
  </si>
  <si>
    <t xml:space="preserve"> Proportion SP Sorts</t>
  </si>
  <si>
    <t>Implied Breakage</t>
  </si>
  <si>
    <t>TPF Conversion to Bundles</t>
  </si>
  <si>
    <t>Modification 13 of Proposal 12 filed under Docket No. RM2009-1</t>
  </si>
  <si>
    <t>APPS Out</t>
  </si>
  <si>
    <t>APPS In</t>
  </si>
  <si>
    <t>Reject Rate</t>
  </si>
  <si>
    <t xml:space="preserve"> Mail Rejects Adjustment and Single Piece Sort adjustment</t>
  </si>
  <si>
    <t>Modification 11 of Proposal 12 filed under Docket No. RM2009-1</t>
  </si>
  <si>
    <t>(4)</t>
  </si>
  <si>
    <t>(5)</t>
  </si>
  <si>
    <t>(6)</t>
  </si>
  <si>
    <t>(7)</t>
  </si>
  <si>
    <t>Values From Page 5 and 35</t>
  </si>
  <si>
    <t>Values From Page 31</t>
  </si>
  <si>
    <t>Values From Page 32</t>
  </si>
  <si>
    <t>Values From Page 33</t>
  </si>
  <si>
    <t>Values From Page 7 and 35</t>
  </si>
  <si>
    <t>Values From Page 9 and 35</t>
  </si>
  <si>
    <t>Values From Page 11 and 35</t>
  </si>
  <si>
    <t>Values From Page 13 and 35</t>
  </si>
  <si>
    <t>Values From Page 15 and 35</t>
  </si>
  <si>
    <t>Values From Page 17 and 35</t>
  </si>
  <si>
    <t>Values From Page 19 and 35</t>
  </si>
  <si>
    <t>Values From Page 21 and 35</t>
  </si>
  <si>
    <t>Values From Page 23 and 35</t>
  </si>
  <si>
    <t>Values From Page 25 and 35</t>
  </si>
  <si>
    <t>Values From Page 27 and 35</t>
  </si>
  <si>
    <t>(5) Adjusted APPS Incoming Productivity; Modifications 11 &amp; 13-Proposal 12 in Docket No. RM2009-1</t>
  </si>
  <si>
    <t>(4) Adjusted APPS Outgoing Productivity; Modifications 11 &amp; 13-Proposal 12 in Docket No. RM2009-1</t>
  </si>
  <si>
    <t>Modification 5 - Proposal 12 in Docket No. RM2009-1</t>
  </si>
  <si>
    <t>Modification 7 &amp; 10 - Proposal 12 in Docket No. RM2009-1</t>
  </si>
  <si>
    <t>(2)</t>
  </si>
  <si>
    <t>Rate Category (5) / sum of (5)</t>
  </si>
  <si>
    <t>Other Mail Processing (excludes REC)</t>
  </si>
  <si>
    <t>For use in the model these densities need to be adjusted for Incoming secondary piece</t>
  </si>
  <si>
    <t>sortation that occurs in the plant.</t>
  </si>
  <si>
    <t>ADJUSTED FLATS MAIL PROCESSING UNIT COSTS (CENTS)</t>
  </si>
  <si>
    <t>(1)</t>
  </si>
  <si>
    <t>(3)</t>
  </si>
  <si>
    <t>Development Based on Mail.dat files</t>
  </si>
  <si>
    <t>Proportion of mail worked on FSS</t>
  </si>
  <si>
    <t>FSS Processed Flats Volume</t>
  </si>
  <si>
    <t>Proportion of non-HighDensity and Saturation flat-shaped volume processed on the FSS</t>
  </si>
  <si>
    <t>NDCS</t>
  </si>
  <si>
    <t>NON MODS</t>
  </si>
  <si>
    <t>BULK ACCP</t>
  </si>
  <si>
    <t>CFS</t>
  </si>
  <si>
    <t>D.PO BOX</t>
  </si>
  <si>
    <t>OTH ACCT</t>
  </si>
  <si>
    <t>Proportion of non-HD and Saturation flat-shaped volume processed on the FSS</t>
  </si>
  <si>
    <t>(8)</t>
  </si>
  <si>
    <t xml:space="preserve">REC </t>
  </si>
  <si>
    <t>OUT OF</t>
  </si>
  <si>
    <t xml:space="preserve">OTHER </t>
  </si>
  <si>
    <t>REJECTION</t>
  </si>
  <si>
    <t>SCHEME</t>
  </si>
  <si>
    <t>Reject</t>
  </si>
  <si>
    <t>Inc Prim AFSM100 - FSS Reject</t>
  </si>
  <si>
    <t>Inc Sec AFSM100 - FSS Reject</t>
  </si>
  <si>
    <t>FSS Site Coverage factor</t>
  </si>
  <si>
    <t>Volume Variable</t>
  </si>
  <si>
    <t>of VV Costs</t>
  </si>
  <si>
    <t>Implied Pieces</t>
  </si>
  <si>
    <t>Coverage Rate</t>
  </si>
  <si>
    <t>FSS Costs</t>
  </si>
  <si>
    <t>NOTE:</t>
  </si>
  <si>
    <t xml:space="preserve">5-Digit bundles are assumed to be placed in 5-Digit containers in the development of the bundle densities.  </t>
  </si>
  <si>
    <t>BUNDLE DISTRIBUTION MAIL FLOW DENSITY TABLES SUMMARY</t>
  </si>
  <si>
    <t>(9)</t>
  </si>
  <si>
    <t>(8) MODS Out-of-Scheme Rejects/TPF Op 538</t>
  </si>
  <si>
    <t>(9) 1-(8)</t>
  </si>
  <si>
    <t>This section of the model requires the iterative calculation within Excel to be enabled.  An iterative process is used to account for the flow of FSS out-of-scheme rejects.  FSS out-of-scheme rejects flow to back to Incoming Primary (IP) operations where they are sorted to the correct scheme.  If the correct scheme is worked on the FSS the piece will flow back to the FSS operation, this creates the iterative flow within the model.</t>
  </si>
  <si>
    <t>UFSM1000 Outgoing</t>
  </si>
  <si>
    <t>UFSM1000 Incoming</t>
  </si>
  <si>
    <t>Manual Outgoing Primary</t>
  </si>
  <si>
    <t>Manual Outgoing Secondary</t>
  </si>
  <si>
    <t>Manual Incoming MMP</t>
  </si>
  <si>
    <t>Manual Incoming SCF</t>
  </si>
  <si>
    <t>Manual Incoming Primary</t>
  </si>
  <si>
    <t>Proportion of flats destinating at a FSS site that destinate in a FSS zone.  Source: Analysis of Mail.dat PDR files.</t>
  </si>
  <si>
    <t>Table MCS - 6</t>
  </si>
  <si>
    <t>(Includes flats mailed at NSA rates and excludes letter-shaped pieces mailed at flat rates)</t>
  </si>
  <si>
    <t>Nonauto FSS Presort Flats</t>
  </si>
  <si>
    <t>FSS Facility</t>
  </si>
  <si>
    <t>FSS Scheme</t>
  </si>
  <si>
    <t>Auto FSS Presort Flats</t>
  </si>
  <si>
    <t>FSS Bundle</t>
  </si>
  <si>
    <t xml:space="preserve">Weighted </t>
  </si>
  <si>
    <t>Total Modeled Cost</t>
  </si>
  <si>
    <t>FSS Volume @ 5D Cost</t>
  </si>
  <si>
    <t>In Auto/Mec facilities</t>
  </si>
  <si>
    <t>Auto / Mech</t>
  </si>
  <si>
    <t>FSM in incoming facilities</t>
  </si>
  <si>
    <t>Manual coverage</t>
  </si>
  <si>
    <t>In-plant IS coverage factor</t>
  </si>
  <si>
    <t>IS Coverage for 5 Digit</t>
  </si>
  <si>
    <t>Incoming Secondary Machinable Flats - Non-5-Digit</t>
  </si>
  <si>
    <t>Incoming Secondary Machinable Flats - 5-Digit</t>
  </si>
  <si>
    <t xml:space="preserve">FSM MODEL COST = </t>
  </si>
  <si>
    <t>Bundle Prep</t>
  </si>
  <si>
    <t>AFSM 100 OP 140 Tub Prep</t>
  </si>
  <si>
    <t>Pieces per Tub</t>
  </si>
  <si>
    <t>BUNDLES</t>
  </si>
  <si>
    <t>AVERAGE BUNDLE SIZE</t>
  </si>
  <si>
    <t>Tub Prep</t>
  </si>
  <si>
    <t>Flats Preparation</t>
  </si>
  <si>
    <t>Auto FSS Other Presort Flats</t>
  </si>
  <si>
    <t>Auto FSS Scheme Presort Flats</t>
  </si>
  <si>
    <t>FSS AUTO OTHER AUTO PRESORT</t>
  </si>
  <si>
    <t>Nonauto FSS Scheme Presort Flats</t>
  </si>
  <si>
    <t>FSS OTHER NONAUTO PRESORT</t>
  </si>
  <si>
    <t>FSS SCHEME NONAUTO PRESORT</t>
  </si>
  <si>
    <t>Nonauto FSS Other</t>
  </si>
  <si>
    <t>Nonauto FSS Scheme</t>
  </si>
  <si>
    <t>Auto FSS Other</t>
  </si>
  <si>
    <t>Auto FSS Scheme</t>
  </si>
  <si>
    <t>FSS OTHER AUTO PRESORT (PRESORT LEVELS HELD CONSTANT)</t>
  </si>
  <si>
    <t>Auto FSS Other Rev</t>
  </si>
  <si>
    <t>Auto FSS Scheme Rev</t>
  </si>
  <si>
    <t>Carrier Route Basic</t>
  </si>
  <si>
    <t>Carrier Route</t>
  </si>
  <si>
    <t>Carrier Route Basic on CRTS Pallet</t>
  </si>
  <si>
    <t>CRTS</t>
  </si>
  <si>
    <t>CARRIER ROUTE</t>
  </si>
  <si>
    <t>CARRIER ROUTE/ CR PALLET</t>
  </si>
  <si>
    <t>Carrier Route - CRTS Pallet</t>
  </si>
  <si>
    <t>Sum of proportional cost pools on 'CRA CARRIER ROUTE' sheet</t>
  </si>
  <si>
    <t>Sum of fixed cost pools on 'CRA CARRIER ROUTE' sheet</t>
  </si>
  <si>
    <t>FY volumes from tab 'FY VOLUME CARRIER ROUTE'</t>
  </si>
  <si>
    <t>FSS Realization Factor</t>
  </si>
  <si>
    <t>5-Digit Bundle</t>
  </si>
  <si>
    <t>Carrier Route Bundle</t>
  </si>
  <si>
    <t>5-Digit Auto</t>
  </si>
  <si>
    <t>5-Digit NonAuto</t>
  </si>
  <si>
    <t>CR/CRRTS</t>
  </si>
  <si>
    <t>BC Mach FSS</t>
  </si>
  <si>
    <t>Calculations replaced RM2015-16 PRC Order 2839</t>
  </si>
  <si>
    <t>USPS-FY15-23</t>
  </si>
  <si>
    <t>This section of the model requires the iterative calculation function within Excel to be enabled.  An iterative process is used to account for the flow of FSS out-of-scheme rejects.  FSS out-of-scheme rejects flow upstream to Incoming Primary (IP) operations where they are sorted to the correct scheme.  If the correct scheme is worked on the FSS the piece will flow downstream to the FSS operation, this creates the iterative flow within the model.</t>
  </si>
  <si>
    <t xml:space="preserve">This section of the model requires the iterative calculation function within Excel to be enabled.  An iterative process is used to account for the flow of FSS out-of-scheme rejects.  FSS out-of-scheme rejects flow upstream to Incoming Primary (IP) operations where they are sorted to the correct scheme.  If the correct scheme is worked on the FSS the piece will flow downstream to the FSS operation, this creates the iterative flow within the model.  
</t>
  </si>
  <si>
    <t xml:space="preserve">This section of the model requires the iterative calculation function within Excel to be enabled.  An iterative process is used to account for the flow of FSS out-of-scheme rejects.  FSS out-of-scheme rejects flow upstream to Incoming Primary (IP) operations where they are sorted to the correct scheme.  If the correct scheme is worked on the FSS the piece will flow downstream to the FSS operation, this creates the iterative flow within the model.    
 </t>
  </si>
  <si>
    <t xml:space="preserve">This section of the model requires the iterative calculation function within Excel to be enabled.  An iterative process is used to account for the flow of FSS out-of-scheme rejects.  FSS out-of-scheme rejects flow upstream to Incoming Primary (IP) operations where they are sorted to the correct scheme.  If the correct scheme is worked on the FSS the piece will flow downstream to the FSS operation, this creates the iterative flow within the model.    
</t>
  </si>
  <si>
    <t>APBS / LIPS</t>
  </si>
  <si>
    <t>APBS OTH</t>
  </si>
  <si>
    <t>APBSPRIO</t>
  </si>
  <si>
    <t>APBS</t>
  </si>
  <si>
    <t>APPS / APBS / LIPS</t>
  </si>
  <si>
    <t>Summary of APPS and APBS / LIPS Coverage Factors</t>
  </si>
  <si>
    <t>APBS / LIPS Outgoing</t>
  </si>
  <si>
    <t>APBS / LIPS Incoming</t>
  </si>
  <si>
    <t>Acknowledge reject rates on APBS and APPS.  Assume rejected pieces are re-fed.</t>
  </si>
  <si>
    <t>APBS Out</t>
  </si>
  <si>
    <t>APBS In</t>
  </si>
  <si>
    <t>(6) Adjusted APBS/LIPS Outgoing Productivity; Modifications 11 &amp; 13-Proposal 12 in Docket No. RM2009-1</t>
  </si>
  <si>
    <t>(7) Adjusted APBS/LIPS Incoming Productivity; Modifications 11 &amp; 13-Proposal 12 in Docket No. RM2009-1</t>
  </si>
  <si>
    <t>Percent FSS</t>
  </si>
  <si>
    <t>In Auto/Mech facilities</t>
  </si>
  <si>
    <t>Work-sharing-Related</t>
  </si>
  <si>
    <t>FSS Other</t>
  </si>
  <si>
    <t>Non-FSS</t>
  </si>
  <si>
    <t>Modeled</t>
  </si>
  <si>
    <t>Non FSS</t>
  </si>
  <si>
    <t>3-DIGIT AUTO NONFSS</t>
  </si>
  <si>
    <t>FSS Zone</t>
  </si>
  <si>
    <t>FSS Share of 3D</t>
  </si>
  <si>
    <t>FSS Cost</t>
  </si>
  <si>
    <t>3D Avoided FSS</t>
  </si>
  <si>
    <t>3D Avoided NonFSS</t>
  </si>
  <si>
    <t>Weighted Avoided 3D Cost</t>
  </si>
  <si>
    <t>Non-FSS Zone</t>
  </si>
  <si>
    <t xml:space="preserve">MODEL FSS COST = </t>
  </si>
  <si>
    <t xml:space="preserve">FSM MODEL FSS COST = </t>
  </si>
  <si>
    <t xml:space="preserve">MODEL NONFSS COST = </t>
  </si>
  <si>
    <t xml:space="preserve">FSM MODEL NONFSS COST = </t>
  </si>
  <si>
    <t>Auto 5-Digit Rev</t>
  </si>
  <si>
    <t>FSS Zones</t>
  </si>
  <si>
    <t>Non-FSS Zones</t>
  </si>
  <si>
    <t>Avioded Costs Calculation</t>
  </si>
  <si>
    <t>Avoided Cost</t>
  </si>
  <si>
    <t>Weight</t>
  </si>
  <si>
    <t>ADC/NDC</t>
  </si>
  <si>
    <t>5-Digit/CRTS</t>
  </si>
  <si>
    <t>Carrier Route - FSS Other</t>
  </si>
  <si>
    <t>Carrier Route FSS Scheme</t>
  </si>
  <si>
    <t>USPS Marketing Mail PRESORT FLATS MAIL CHARACTERISTICS DATA</t>
  </si>
  <si>
    <t>Nonauto FSS Other Presort Flats</t>
  </si>
  <si>
    <t>USPS MARKETING MAIL PRESORT FLATS MAIL CHARACTERISTICS DATA</t>
  </si>
  <si>
    <t>USPS MARKETING MAIL CARRIER ROUTE MAIL CHARACTERISTICS DATA</t>
  </si>
  <si>
    <t>ADC/ADC</t>
  </si>
  <si>
    <t>CRA MARKETING MAIL FLATS PROCESSING UNIT COSTS</t>
  </si>
  <si>
    <t>MARKETING MAILFlats Share</t>
  </si>
  <si>
    <t>MARKETING MAILFlats</t>
  </si>
  <si>
    <t>MARKETING MAIL PRESORT FLATS BUNDLE SORTATION</t>
  </si>
  <si>
    <t xml:space="preserve">Average pieces per bundle for non-5-Digit MARKETING MAIL &amp; Periodicals </t>
  </si>
  <si>
    <t>MADC AUTO COST</t>
  </si>
  <si>
    <t>APBS BUNDLE</t>
  </si>
  <si>
    <t>MODS 16</t>
  </si>
  <si>
    <t>LCUS-SSM</t>
  </si>
  <si>
    <t>Pieces</t>
  </si>
  <si>
    <t>USPS Marketing Mail</t>
  </si>
  <si>
    <t>PROPOSAL 18 - DOCKET No. RM 2012-2</t>
  </si>
  <si>
    <t xml:space="preserve">Manual flats operations use UFSM1000 operations data as proxy - Order No. 399 </t>
  </si>
  <si>
    <t>Piece Density Study - AFSM100 and UFSM1000</t>
  </si>
  <si>
    <t>ENTRY PROFILE CARRIER ROUTE</t>
  </si>
  <si>
    <t>MARKETING MAIL BUNDLE SORT - CARRIER ROUTE SORTATION</t>
  </si>
  <si>
    <t>NDC/ADC</t>
  </si>
  <si>
    <t>(10)</t>
  </si>
  <si>
    <t>(11)</t>
  </si>
  <si>
    <t>(12)</t>
  </si>
  <si>
    <t>MARKETING MAIL FLATS MAIL PROCESSING UNIT COST SUMMARY</t>
  </si>
  <si>
    <t>Source:</t>
  </si>
  <si>
    <t>Sum of proportional costs in 'CRA FLATS' worksheet</t>
  </si>
  <si>
    <t>Sum of fixed costs in 'CRA FLATS' worksheet</t>
  </si>
  <si>
    <t>Model costs from respective rate category 'COST' worksheets</t>
  </si>
  <si>
    <t>FY volumes from 'FY VOLUME NONAUTO NEW' and 'FY VOLUME AUTO NEW' worksheets</t>
  </si>
  <si>
    <t>(4) * (5) for all line items</t>
  </si>
  <si>
    <t>(4) * 5-Digit (5) for FSS line items only</t>
  </si>
  <si>
    <t>Sumproduct [ Rate Category (4) * (6) ]</t>
  </si>
  <si>
    <t xml:space="preserve">[ Total (5) * (1) - (7) for FSS line items + (8) for FSS line items ] / [ Sum (7) for non-FSS line items + Sum (8) for FSS line items ] </t>
  </si>
  <si>
    <t>(11) * (10) for all line items except FSS Other and FSS Scheme</t>
  </si>
  <si>
    <t>(11) + [ 5-Digit (12) - 5-Digit (11) ] for FSS Other and FSS Scheme</t>
  </si>
  <si>
    <t>(12) + (13)</t>
  </si>
  <si>
    <t>MARKETING MAIL CARRIER ROUTE FLATS MAIL PROCESSING UNIT COST SUMMARY</t>
  </si>
  <si>
    <t>MARKETING MAIL FLATS  MAIL PROCESSING UNIT COST SUMMARY</t>
  </si>
  <si>
    <t>Docket No. RM2009-1, Proposal Twelve</t>
  </si>
  <si>
    <t>(2) UFSM key mode sort rates</t>
  </si>
  <si>
    <t>(3) Misfaced &amp; VCS Timeout/ Fed</t>
  </si>
  <si>
    <t>(4) Images Keyed / Input</t>
  </si>
  <si>
    <t>(5) Sorted / Fed</t>
  </si>
  <si>
    <t>(6) Sorted / Fed based</t>
  </si>
  <si>
    <t>(7) MODS Op 538 TPH/TPF</t>
  </si>
  <si>
    <t>Marketing Mail flats share of the total Costs by Costpool by shape in the FSS cost pool.</t>
  </si>
  <si>
    <t>3-DIGIT NONAUTO PRESORT FSS</t>
  </si>
  <si>
    <t>3-DIGIT NONAUTO PRESORT NON-FSS</t>
  </si>
  <si>
    <t>3-DIGIT AUTO FSS</t>
  </si>
  <si>
    <t>FSS AUTO SCHEME AUTO PRESORT</t>
  </si>
  <si>
    <t>Table MCS - 14</t>
  </si>
  <si>
    <t>BUNDLE</t>
  </si>
  <si>
    <t>USPS-FY24-23</t>
  </si>
  <si>
    <t>Source:  YRscrub.xls sheet cell F77</t>
  </si>
  <si>
    <t>(13)</t>
  </si>
  <si>
    <t>(14)</t>
  </si>
  <si>
    <t>MARKETING Mail Flats 5D and Carrier Route Rated Mail by Bundle Level  Source: USPS-FY24-14</t>
  </si>
  <si>
    <t>`</t>
  </si>
  <si>
    <t>Docket No. RM2025-4 Order No. 8713 (February 21, 2025)</t>
  </si>
  <si>
    <t>Source:  USPS-FY25-26</t>
  </si>
  <si>
    <t>Manual Bundle sorting - Plant includes Overhead factors From USPS-FY25-11 PER cost model sheet 'ACR Modifications Cell H22</t>
  </si>
  <si>
    <t>Manual bundle sorting - DU includes Overhead from USPS-FY25-11 PER OC Flats.xls</t>
  </si>
  <si>
    <t xml:space="preserve">(8) USPS-FY25-14 MAILCHAR25V.xls worksheet 'NON 5D-CONTAINER AVE BUN SIZE' </t>
  </si>
  <si>
    <t>USPS-FY25-14</t>
  </si>
  <si>
    <t>USPS-FY25-25</t>
  </si>
  <si>
    <t>USPS-FY25-7 -  Part 8</t>
  </si>
  <si>
    <t>CRA MARKETING MAIL CARRIER ROUTE FLATS PROCESSING UNIT COSTS</t>
  </si>
  <si>
    <t>FY2025 Coverage Factors, USPS-FY25-14</t>
  </si>
  <si>
    <t>USPS Marketing Mail Flats Premium Pay Adjustment Factor</t>
  </si>
  <si>
    <t>USPS-FY25-7, Part 7</t>
  </si>
  <si>
    <t>Premium Pay factor</t>
  </si>
  <si>
    <t>(1) USPS-FY25-7, Part 1</t>
  </si>
  <si>
    <t>Manual Incoming Secondary F4</t>
  </si>
  <si>
    <t>Estimate w/</t>
  </si>
  <si>
    <t>Manual Bundle Productivity Estimates</t>
  </si>
  <si>
    <t>Estimate (9)</t>
  </si>
  <si>
    <t>FY2025 Overhead Factor (10)</t>
  </si>
  <si>
    <t>Overhead (11)</t>
  </si>
  <si>
    <t>Manual bundle sorting productivity per hour - Plant</t>
  </si>
  <si>
    <t>Manual bundle sorting productivity per hour - DDU</t>
  </si>
  <si>
    <t>(9) Manual bundle sorting productivity: Docket No. RM2009-1, Proposal 12</t>
  </si>
  <si>
    <t>(10) Overhead Factors: USPS-FY25-7 Part 7.xlsx</t>
  </si>
  <si>
    <t>(11)  (9) / (10)</t>
  </si>
  <si>
    <t xml:space="preserve">This sheet contains identical but harcoded data from the 'CRA ADJ UNIT COSTS' to prevent any errors while linking to other spreadsheets. </t>
  </si>
  <si>
    <t xml:space="preserve">While linking, click File -&gt; Options -&gt; Formulas -&gt; and check the radio button for "Enable Iterative Calculation".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</si>
</sst>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quot;$&quot;#,##0.000"/>
    <numFmt numFmtId="165" formatCode="0.000"/>
    <numFmt numFmtId="166" formatCode="0.0000"/>
    <numFmt numFmtId="167" formatCode="&quot;$&quot;#,##0"/>
    <numFmt numFmtId="168" formatCode="0.0%"/>
    <numFmt numFmtId="169" formatCode="_(* #,##0.000_);_(* \(#,##0.000\);_(* &quot;-&quot;??_);_(@_)"/>
    <numFmt numFmtId="170" formatCode="0.000%"/>
    <numFmt numFmtId="171" formatCode="_(* #,##0.0000_);_(* \(#,##0.0000\);_(* &quot;-&quot;??_);_(@_)"/>
    <numFmt numFmtId="172" formatCode="#,##0.0"/>
    <numFmt numFmtId="173" formatCode="#,##0.000"/>
    <numFmt numFmtId="174" formatCode="0.0"/>
    <numFmt numFmtId="175" formatCode="0.0000000"/>
    <numFmt numFmtId="176" formatCode="0.0000000000000000%"/>
    <numFmt numFmtId="177" formatCode="0.00000000000000%"/>
    <numFmt numFmtId="178" formatCode="0.00000000000000000%"/>
    <numFmt numFmtId="179" formatCode="&quot;$&quot;#,##0.00"/>
    <numFmt numFmtId="180" formatCode="0.00000"/>
    <numFmt numFmtId="181" formatCode="0.0000000000"/>
    <numFmt numFmtId="182" formatCode="_(* #,##0_);_(* \(#,##0\);_(* &quot;-&quot;??_);_(@_)"/>
  </numFmts>
  <fonts count="56" x14ac:knownFonts="1">
    <font>
      <sz val="10"/>
      <name val="Arial"/>
    </font>
    <font>
      <sz val="10"/>
      <name val="Arial"/>
      <family val="2"/>
    </font>
    <font>
      <b/>
      <sz val="10"/>
      <name val="Arial"/>
      <family val="2"/>
    </font>
    <font>
      <sz val="10"/>
      <name val="Arial"/>
      <family val="2"/>
    </font>
    <font>
      <b/>
      <sz val="14"/>
      <name val="Arial"/>
      <family val="2"/>
    </font>
    <font>
      <sz val="10"/>
      <color indexed="10"/>
      <name val="Arial"/>
      <family val="2"/>
    </font>
    <font>
      <u val="double"/>
      <sz val="10"/>
      <name val="Arial"/>
      <family val="2"/>
    </font>
    <font>
      <sz val="10"/>
      <color indexed="8"/>
      <name val="Arial"/>
      <family val="2"/>
    </font>
    <font>
      <b/>
      <sz val="10"/>
      <color indexed="8"/>
      <name val="Arial"/>
      <family val="2"/>
    </font>
    <font>
      <b/>
      <sz val="12"/>
      <name val="Arial"/>
      <family val="2"/>
    </font>
    <font>
      <b/>
      <u/>
      <sz val="10"/>
      <name val="Arial"/>
      <family val="2"/>
    </font>
    <font>
      <b/>
      <sz val="22"/>
      <name val="Arial"/>
      <family val="2"/>
    </font>
    <font>
      <b/>
      <sz val="18"/>
      <name val="Arial"/>
      <family val="2"/>
    </font>
    <font>
      <sz val="14"/>
      <name val="Arial"/>
      <family val="2"/>
    </font>
    <font>
      <b/>
      <sz val="10"/>
      <color indexed="12"/>
      <name val="Arial"/>
      <family val="2"/>
    </font>
    <font>
      <sz val="10"/>
      <color indexed="12"/>
      <name val="Arial"/>
      <family val="2"/>
    </font>
    <font>
      <b/>
      <sz val="10"/>
      <color indexed="17"/>
      <name val="Arial"/>
      <family val="2"/>
    </font>
    <font>
      <sz val="10"/>
      <color indexed="17"/>
      <name val="Arial"/>
      <family val="2"/>
    </font>
    <font>
      <b/>
      <sz val="10"/>
      <color indexed="10"/>
      <name val="Arial"/>
      <family val="2"/>
    </font>
    <font>
      <sz val="10"/>
      <color indexed="20"/>
      <name val="Arial"/>
      <family val="2"/>
    </font>
    <font>
      <sz val="10"/>
      <color indexed="25"/>
      <name val="Arial"/>
      <family val="2"/>
    </font>
    <font>
      <sz val="10"/>
      <color indexed="53"/>
      <name val="Arial"/>
      <family val="2"/>
    </font>
    <font>
      <sz val="12"/>
      <name val="Arial"/>
      <family val="2"/>
    </font>
    <font>
      <b/>
      <sz val="11"/>
      <name val="Arial"/>
      <family val="2"/>
    </font>
    <font>
      <b/>
      <sz val="10"/>
      <name val="Arial"/>
      <family val="2"/>
    </font>
    <font>
      <sz val="9"/>
      <name val="Arial"/>
      <family val="2"/>
    </font>
    <font>
      <b/>
      <sz val="9"/>
      <name val="Arial"/>
      <family val="2"/>
    </font>
    <font>
      <u/>
      <sz val="10"/>
      <name val="Arial"/>
      <family val="2"/>
    </font>
    <font>
      <sz val="10"/>
      <color indexed="53"/>
      <name val="Arial"/>
      <family val="2"/>
    </font>
    <font>
      <sz val="10"/>
      <color indexed="14"/>
      <name val="Arial"/>
      <family val="2"/>
    </font>
    <font>
      <sz val="10"/>
      <color indexed="14"/>
      <name val="Arial"/>
      <family val="2"/>
    </font>
    <font>
      <sz val="10"/>
      <color indexed="20"/>
      <name val="Arial"/>
      <family val="2"/>
    </font>
    <font>
      <sz val="10"/>
      <color indexed="61"/>
      <name val="Arial"/>
      <family val="2"/>
    </font>
    <font>
      <sz val="10"/>
      <color indexed="40"/>
      <name val="Arial"/>
      <family val="2"/>
    </font>
    <font>
      <sz val="10"/>
      <color indexed="40"/>
      <name val="Arial"/>
      <family val="2"/>
    </font>
    <font>
      <b/>
      <sz val="12"/>
      <color indexed="53"/>
      <name val="Arial"/>
      <family val="2"/>
    </font>
    <font>
      <b/>
      <sz val="11"/>
      <name val="Arial"/>
      <family val="2"/>
    </font>
    <font>
      <sz val="11"/>
      <color indexed="10"/>
      <name val="Arial"/>
      <family val="2"/>
    </font>
    <font>
      <sz val="10"/>
      <color indexed="9"/>
      <name val="Arial"/>
      <family val="2"/>
    </font>
    <font>
      <sz val="10"/>
      <color indexed="10"/>
      <name val="Arial"/>
      <family val="2"/>
    </font>
    <font>
      <sz val="8"/>
      <name val="Arial"/>
      <family val="2"/>
    </font>
    <font>
      <b/>
      <sz val="10"/>
      <color indexed="53"/>
      <name val="Arial"/>
      <family val="2"/>
    </font>
    <font>
      <sz val="10"/>
      <color indexed="53"/>
      <name val="Arial"/>
      <family val="2"/>
    </font>
    <font>
      <sz val="11"/>
      <color rgb="FFFF0000"/>
      <name val="Calibri"/>
      <family val="2"/>
      <scheme val="minor"/>
    </font>
    <font>
      <sz val="10"/>
      <color theme="1"/>
      <name val="Arial"/>
      <family val="2"/>
    </font>
    <font>
      <b/>
      <sz val="11"/>
      <color rgb="FFFF0000"/>
      <name val="Calibri"/>
      <family val="2"/>
      <scheme val="minor"/>
    </font>
    <font>
      <b/>
      <sz val="10"/>
      <color theme="1"/>
      <name val="Arial"/>
      <family val="2"/>
    </font>
    <font>
      <sz val="11"/>
      <name val="Arial"/>
      <family val="2"/>
    </font>
    <font>
      <b/>
      <u/>
      <sz val="9"/>
      <name val="Arial"/>
      <family val="2"/>
    </font>
    <font>
      <sz val="8"/>
      <name val="Arial"/>
      <family val="2"/>
    </font>
    <font>
      <sz val="11"/>
      <name val="Aptos"/>
      <family val="2"/>
    </font>
    <font>
      <sz val="10"/>
      <color rgb="FFFF0000"/>
      <name val="Arial"/>
      <family val="2"/>
    </font>
    <font>
      <b/>
      <sz val="12"/>
      <color indexed="10"/>
      <name val="Arial"/>
      <family val="2"/>
    </font>
    <font>
      <b/>
      <sz val="12"/>
      <color rgb="FFFF0000"/>
      <name val="Arial"/>
      <family val="2"/>
    </font>
    <font>
      <b/>
      <sz val="10"/>
      <color rgb="FFFF0000"/>
      <name val="Arial"/>
      <family val="2"/>
    </font>
    <font>
      <b/>
      <u/>
      <sz val="10"/>
      <color rgb="FFFF0000"/>
      <name val="Arial"/>
      <family val="2"/>
    </font>
  </fonts>
  <fills count="10">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45"/>
        <bgColor indexed="64"/>
      </patternFill>
    </fill>
    <fill>
      <patternFill patternType="solid">
        <fgColor indexed="47"/>
        <bgColor indexed="64"/>
      </patternFill>
    </fill>
    <fill>
      <patternFill patternType="solid">
        <fgColor indexed="13"/>
        <bgColor indexed="64"/>
      </patternFill>
    </fill>
    <fill>
      <patternFill patternType="solid">
        <fgColor rgb="FF00B0F0"/>
        <bgColor indexed="64"/>
      </patternFill>
    </fill>
    <fill>
      <patternFill patternType="solid">
        <fgColor rgb="FFFFC000"/>
        <bgColor indexed="64"/>
      </patternFill>
    </fill>
    <fill>
      <patternFill patternType="solid">
        <fgColor rgb="FFFFFF00"/>
        <bgColor indexed="64"/>
      </patternFill>
    </fill>
  </fills>
  <borders count="37">
    <border>
      <start/>
      <end/>
      <top/>
      <bottom/>
      <diagonal/>
    </border>
    <border>
      <start/>
      <end/>
      <top/>
      <bottom style="thin">
        <color indexed="64"/>
      </bottom>
      <diagonal/>
    </border>
    <border>
      <start style="thin">
        <color indexed="64"/>
      </start>
      <end/>
      <top/>
      <bottom style="thin">
        <color indexed="64"/>
      </bottom>
      <diagonal/>
    </border>
    <border>
      <start style="thin">
        <color indexed="64"/>
      </start>
      <end/>
      <top/>
      <bottom/>
      <diagonal/>
    </border>
    <border>
      <start style="thin">
        <color indexed="64"/>
      </start>
      <end/>
      <top style="thin">
        <color indexed="64"/>
      </top>
      <bottom/>
      <diagonal/>
    </border>
    <border>
      <start/>
      <end/>
      <top style="thin">
        <color indexed="64"/>
      </top>
      <bottom/>
      <diagonal/>
    </border>
    <border>
      <start style="thin">
        <color indexed="64"/>
      </start>
      <end style="thin">
        <color indexed="64"/>
      </end>
      <top/>
      <bottom style="thin">
        <color indexed="64"/>
      </bottom>
      <diagonal/>
    </border>
    <border>
      <start/>
      <end style="thin">
        <color indexed="64"/>
      </end>
      <top/>
      <bottom/>
      <diagonal/>
    </border>
    <border>
      <start style="thin">
        <color indexed="64"/>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end style="thin">
        <color indexed="64"/>
      </end>
      <top style="thin">
        <color indexed="64"/>
      </top>
      <bottom/>
      <diagonal/>
    </border>
    <border>
      <start/>
      <end style="thin">
        <color indexed="64"/>
      </end>
      <top/>
      <bottom style="thin">
        <color indexed="64"/>
      </bottom>
      <diagonal/>
    </border>
    <border>
      <start style="thin">
        <color indexed="64"/>
      </start>
      <end style="thin">
        <color indexed="64"/>
      </end>
      <top/>
      <bottom/>
      <diagonal/>
    </border>
    <border>
      <start style="dotted">
        <color indexed="64"/>
      </start>
      <end/>
      <top style="dotted">
        <color indexed="64"/>
      </top>
      <bottom/>
      <diagonal/>
    </border>
    <border>
      <start/>
      <end/>
      <top style="dotted">
        <color indexed="64"/>
      </top>
      <bottom/>
      <diagonal/>
    </border>
    <border>
      <start/>
      <end style="dotted">
        <color indexed="64"/>
      </end>
      <top style="dotted">
        <color indexed="64"/>
      </top>
      <bottom/>
      <diagonal/>
    </border>
    <border>
      <start/>
      <end style="dotted">
        <color indexed="64"/>
      </end>
      <top/>
      <bottom/>
      <diagonal/>
    </border>
    <border>
      <start style="dotted">
        <color indexed="64"/>
      </start>
      <end/>
      <top/>
      <bottom/>
      <diagonal/>
    </border>
    <border>
      <start style="dotted">
        <color indexed="64"/>
      </start>
      <end style="thin">
        <color indexed="64"/>
      </end>
      <top/>
      <bottom/>
      <diagonal/>
    </border>
    <border>
      <start style="dotted">
        <color indexed="64"/>
      </start>
      <end/>
      <top/>
      <bottom style="dotted">
        <color indexed="64"/>
      </bottom>
      <diagonal/>
    </border>
    <border>
      <start/>
      <end/>
      <top/>
      <bottom style="dotted">
        <color indexed="64"/>
      </bottom>
      <diagonal/>
    </border>
    <border>
      <start/>
      <end style="dotted">
        <color indexed="64"/>
      </end>
      <top/>
      <bottom style="dotted">
        <color indexed="64"/>
      </bottom>
      <diagonal/>
    </border>
    <border>
      <start style="dotted">
        <color indexed="64"/>
      </start>
      <end/>
      <top style="thin">
        <color indexed="64"/>
      </top>
      <bottom/>
      <diagonal/>
    </border>
    <border>
      <start style="dotted">
        <color indexed="64"/>
      </start>
      <end/>
      <top/>
      <bottom style="thin">
        <color indexed="64"/>
      </bottom>
      <diagonal/>
    </border>
    <border>
      <start style="medium">
        <color indexed="64"/>
      </start>
      <end style="medium">
        <color indexed="64"/>
      </end>
      <top style="medium">
        <color indexed="64"/>
      </top>
      <bottom style="medium">
        <color indexed="64"/>
      </bottom>
      <diagonal/>
    </border>
    <border>
      <start/>
      <end/>
      <top/>
      <bottom style="medium">
        <color indexed="64"/>
      </bottom>
      <diagonal/>
    </border>
    <border>
      <start style="dotted">
        <color indexed="64"/>
      </start>
      <end style="thin">
        <color indexed="64"/>
      </end>
      <top/>
      <bottom style="thin">
        <color indexed="64"/>
      </bottom>
      <diagonal/>
    </border>
    <border>
      <start/>
      <end/>
      <top/>
      <bottom style="double">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end/>
      <top style="medium">
        <color indexed="64"/>
      </top>
      <bottom/>
      <diagonal/>
    </border>
    <border>
      <start/>
      <end style="medium">
        <color indexed="64"/>
      </end>
      <top style="medium">
        <color indexed="64"/>
      </top>
      <bottom/>
      <diagonal/>
    </border>
    <border>
      <start style="medium">
        <color indexed="64"/>
      </start>
      <end/>
      <top/>
      <bottom/>
      <diagonal/>
    </border>
    <border>
      <start/>
      <end style="medium">
        <color indexed="64"/>
      </end>
      <top/>
      <bottom/>
      <diagonal/>
    </border>
    <border>
      <start style="medium">
        <color indexed="64"/>
      </start>
      <end/>
      <top/>
      <bottom style="medium">
        <color indexed="64"/>
      </bottom>
      <diagonal/>
    </border>
    <border>
      <start/>
      <end style="medium">
        <color indexed="64"/>
      </end>
      <top/>
      <bottom style="medium">
        <color indexed="64"/>
      </bottom>
      <diagonal/>
    </border>
    <border>
      <start style="medium">
        <color indexed="64"/>
      </start>
      <end/>
      <top style="medium">
        <color indexed="64"/>
      </top>
      <bottom/>
      <diagonal/>
    </border>
  </borders>
  <cellStyleXfs count="4">
    <xf numFmtId="0" fontId="0" fillId="0" borderId="0"/>
    <xf numFmtId="43" fontId="1" fillId="0" borderId="0" applyFont="0" applyFill="0" applyBorder="0" applyAlignment="0" applyProtection="0"/>
    <xf numFmtId="0" fontId="1" fillId="0" borderId="0"/>
    <xf numFmtId="9" fontId="1" fillId="0" borderId="0" applyFont="0" applyFill="0" applyBorder="0" applyAlignment="0" applyProtection="0"/>
  </cellStyleXfs>
  <cellXfs count="491">
    <xf numFmtId="0" fontId="0" fillId="0" borderId="0" xfId="0"/>
    <xf numFmtId="0" fontId="2" fillId="0" borderId="0" xfId="0" applyFont="1"/>
    <xf numFmtId="3" fontId="0" fillId="0" borderId="0" xfId="0" applyNumberFormat="1"/>
    <xf numFmtId="3" fontId="2" fillId="0" borderId="0" xfId="0" applyNumberFormat="1" applyFont="1"/>
    <xf numFmtId="10" fontId="0" fillId="0" borderId="0" xfId="0" applyNumberFormat="1"/>
    <xf numFmtId="0" fontId="4" fillId="0" borderId="0" xfId="0" applyFont="1"/>
    <xf numFmtId="0" fontId="2" fillId="0" borderId="0" xfId="0" applyFont="1" applyAlignment="1">
      <alignment wrapText="1"/>
    </xf>
    <xf numFmtId="0" fontId="3" fillId="0" borderId="0" xfId="0" applyFont="1"/>
    <xf numFmtId="0" fontId="5" fillId="0" borderId="0" xfId="0" applyFont="1"/>
    <xf numFmtId="0" fontId="6" fillId="0" borderId="0" xfId="0" applyFont="1"/>
    <xf numFmtId="0" fontId="7" fillId="0" borderId="0" xfId="0" quotePrefix="1" applyFont="1"/>
    <xf numFmtId="0" fontId="8" fillId="0" borderId="0" xfId="0" applyFont="1"/>
    <xf numFmtId="0" fontId="7" fillId="0" borderId="0" xfId="0" applyFont="1"/>
    <xf numFmtId="10" fontId="0" fillId="0" borderId="0" xfId="0" applyNumberFormat="1" applyAlignment="1">
      <alignment horizontal="center"/>
    </xf>
    <xf numFmtId="10" fontId="2" fillId="0" borderId="0" xfId="0" applyNumberFormat="1" applyFont="1" applyAlignment="1">
      <alignment horizontal="center"/>
    </xf>
    <xf numFmtId="2" fontId="0" fillId="0" borderId="0" xfId="0" applyNumberFormat="1" applyAlignment="1">
      <alignment horizontal="center"/>
    </xf>
    <xf numFmtId="2" fontId="2" fillId="0" borderId="0" xfId="0" applyNumberFormat="1" applyFont="1" applyAlignment="1">
      <alignment horizontal="center"/>
    </xf>
    <xf numFmtId="3" fontId="2" fillId="0" borderId="0" xfId="0" applyNumberFormat="1" applyFont="1" applyAlignment="1">
      <alignment horizontal="center"/>
    </xf>
    <xf numFmtId="1" fontId="0" fillId="0" borderId="0" xfId="0" applyNumberFormat="1" applyAlignment="1">
      <alignment horizontal="center"/>
    </xf>
    <xf numFmtId="1" fontId="0" fillId="0" borderId="1" xfId="0" applyNumberFormat="1" applyBorder="1"/>
    <xf numFmtId="1" fontId="0" fillId="0" borderId="0" xfId="0" applyNumberFormat="1"/>
    <xf numFmtId="1" fontId="0" fillId="0" borderId="2" xfId="0" applyNumberFormat="1" applyBorder="1"/>
    <xf numFmtId="1" fontId="0" fillId="0" borderId="3" xfId="0" applyNumberFormat="1" applyBorder="1"/>
    <xf numFmtId="1" fontId="2" fillId="0" borderId="0" xfId="0" applyNumberFormat="1" applyFont="1" applyAlignment="1">
      <alignment horizontal="left"/>
    </xf>
    <xf numFmtId="1" fontId="2" fillId="0" borderId="0" xfId="0" applyNumberFormat="1" applyFont="1"/>
    <xf numFmtId="1" fontId="0" fillId="0" borderId="4" xfId="0" applyNumberFormat="1" applyBorder="1"/>
    <xf numFmtId="1" fontId="0" fillId="0" borderId="1" xfId="0" applyNumberFormat="1" applyBorder="1" applyAlignment="1">
      <alignment horizontal="center"/>
    </xf>
    <xf numFmtId="1" fontId="0" fillId="0" borderId="5" xfId="0" applyNumberFormat="1" applyBorder="1"/>
    <xf numFmtId="1" fontId="0" fillId="0" borderId="5" xfId="0" applyNumberFormat="1" applyBorder="1" applyAlignment="1">
      <alignment horizontal="center"/>
    </xf>
    <xf numFmtId="1" fontId="0" fillId="0" borderId="4" xfId="0" applyNumberFormat="1" applyBorder="1" applyAlignment="1">
      <alignment horizontal="center"/>
    </xf>
    <xf numFmtId="0" fontId="0" fillId="0" borderId="0" xfId="0" applyAlignment="1">
      <alignment horizontal="center"/>
    </xf>
    <xf numFmtId="0" fontId="2" fillId="0" borderId="0" xfId="0" applyFont="1" applyAlignment="1">
      <alignment horizontal="center"/>
    </xf>
    <xf numFmtId="10" fontId="2" fillId="0" borderId="0" xfId="0" applyNumberFormat="1" applyFont="1" applyAlignment="1">
      <alignment horizontal="left"/>
    </xf>
    <xf numFmtId="0" fontId="0" fillId="0" borderId="0" xfId="0" applyAlignment="1">
      <alignment horizontal="left"/>
    </xf>
    <xf numFmtId="0" fontId="2" fillId="0" borderId="0" xfId="0" applyFont="1" applyAlignment="1">
      <alignment horizontal="left"/>
    </xf>
    <xf numFmtId="1" fontId="0" fillId="0" borderId="6" xfId="0" applyNumberFormat="1" applyBorder="1"/>
    <xf numFmtId="0" fontId="10" fillId="0" borderId="0" xfId="0" applyFont="1"/>
    <xf numFmtId="0" fontId="10" fillId="0" borderId="0" xfId="0" applyFont="1" applyAlignment="1">
      <alignment horizontal="center"/>
    </xf>
    <xf numFmtId="164" fontId="0" fillId="0" borderId="0" xfId="0" applyNumberFormat="1" applyAlignment="1">
      <alignment horizontal="center"/>
    </xf>
    <xf numFmtId="164" fontId="2" fillId="0" borderId="0" xfId="0" applyNumberFormat="1" applyFont="1" applyAlignment="1">
      <alignment horizontal="center"/>
    </xf>
    <xf numFmtId="164" fontId="10" fillId="0" borderId="0" xfId="0" applyNumberFormat="1" applyFont="1" applyAlignment="1">
      <alignment horizontal="center"/>
    </xf>
    <xf numFmtId="165" fontId="2" fillId="0" borderId="0" xfId="0" applyNumberFormat="1" applyFont="1" applyAlignment="1">
      <alignment horizontal="center"/>
    </xf>
    <xf numFmtId="165" fontId="0" fillId="0" borderId="0" xfId="0" applyNumberFormat="1" applyAlignment="1">
      <alignment horizontal="center"/>
    </xf>
    <xf numFmtId="165" fontId="10" fillId="0" borderId="0" xfId="0" applyNumberFormat="1" applyFont="1" applyAlignment="1">
      <alignment horizontal="center"/>
    </xf>
    <xf numFmtId="1" fontId="2" fillId="0" borderId="0" xfId="0" applyNumberFormat="1" applyFont="1" applyAlignment="1">
      <alignment horizontal="center"/>
    </xf>
    <xf numFmtId="0" fontId="0" fillId="0" borderId="2" xfId="0" applyBorder="1"/>
    <xf numFmtId="1" fontId="0" fillId="0" borderId="7" xfId="0" applyNumberFormat="1" applyBorder="1"/>
    <xf numFmtId="0" fontId="4" fillId="0" borderId="0" xfId="0" applyFont="1" applyAlignment="1">
      <alignment horizontal="left"/>
    </xf>
    <xf numFmtId="1" fontId="4" fillId="0" borderId="0" xfId="0" applyNumberFormat="1" applyFont="1" applyAlignment="1">
      <alignment horizontal="left"/>
    </xf>
    <xf numFmtId="1" fontId="13" fillId="0" borderId="8" xfId="0" applyNumberFormat="1" applyFont="1" applyBorder="1" applyAlignment="1">
      <alignment horizontal="center"/>
    </xf>
    <xf numFmtId="1" fontId="4" fillId="0" borderId="0" xfId="0" applyNumberFormat="1" applyFont="1"/>
    <xf numFmtId="1" fontId="0" fillId="0" borderId="9" xfId="0" applyNumberFormat="1" applyBorder="1" applyAlignment="1">
      <alignment horizontal="center"/>
    </xf>
    <xf numFmtId="0" fontId="9" fillId="0" borderId="0" xfId="0" applyFont="1"/>
    <xf numFmtId="0" fontId="9" fillId="0" borderId="0" xfId="0" applyFont="1" applyAlignment="1">
      <alignment horizontal="left"/>
    </xf>
    <xf numFmtId="10" fontId="9" fillId="0" borderId="0" xfId="0" applyNumberFormat="1" applyFont="1" applyAlignment="1">
      <alignment horizontal="center"/>
    </xf>
    <xf numFmtId="0" fontId="10" fillId="0" borderId="0" xfId="0" applyFont="1" applyAlignment="1">
      <alignment horizontal="left"/>
    </xf>
    <xf numFmtId="1" fontId="11" fillId="0" borderId="0" xfId="0" applyNumberFormat="1" applyFont="1"/>
    <xf numFmtId="1" fontId="12" fillId="0" borderId="0" xfId="0" applyNumberFormat="1" applyFont="1"/>
    <xf numFmtId="1" fontId="0" fillId="0" borderId="0" xfId="0" applyNumberFormat="1" applyAlignment="1">
      <alignment horizontal="left"/>
    </xf>
    <xf numFmtId="1" fontId="0" fillId="0" borderId="5" xfId="0" applyNumberFormat="1" applyBorder="1" applyAlignment="1">
      <alignment horizontal="left"/>
    </xf>
    <xf numFmtId="1" fontId="0" fillId="0" borderId="1" xfId="0" applyNumberFormat="1" applyBorder="1" applyAlignment="1">
      <alignment horizontal="left"/>
    </xf>
    <xf numFmtId="1" fontId="14" fillId="0" borderId="5" xfId="0" applyNumberFormat="1" applyFont="1" applyBorder="1" applyAlignment="1">
      <alignment horizontal="right"/>
    </xf>
    <xf numFmtId="1" fontId="15" fillId="0" borderId="5" xfId="0" applyNumberFormat="1" applyFont="1" applyBorder="1" applyAlignment="1">
      <alignment horizontal="center"/>
    </xf>
    <xf numFmtId="1" fontId="14" fillId="0" borderId="0" xfId="0" applyNumberFormat="1" applyFont="1" applyAlignment="1">
      <alignment horizontal="right"/>
    </xf>
    <xf numFmtId="1" fontId="15" fillId="0" borderId="0" xfId="0" applyNumberFormat="1" applyFont="1" applyAlignment="1">
      <alignment horizontal="center"/>
    </xf>
    <xf numFmtId="1" fontId="14" fillId="0" borderId="1" xfId="0" applyNumberFormat="1" applyFont="1" applyBorder="1" applyAlignment="1">
      <alignment horizontal="right"/>
    </xf>
    <xf numFmtId="1" fontId="15" fillId="0" borderId="1" xfId="0" applyNumberFormat="1" applyFont="1" applyBorder="1" applyAlignment="1">
      <alignment horizontal="center"/>
    </xf>
    <xf numFmtId="1" fontId="8" fillId="0" borderId="5" xfId="0" applyNumberFormat="1" applyFont="1" applyBorder="1" applyAlignment="1">
      <alignment horizontal="right"/>
    </xf>
    <xf numFmtId="1" fontId="7" fillId="0" borderId="5" xfId="0" applyNumberFormat="1" applyFont="1" applyBorder="1" applyAlignment="1">
      <alignment horizontal="center"/>
    </xf>
    <xf numFmtId="1" fontId="8" fillId="0" borderId="0" xfId="0" applyNumberFormat="1" applyFont="1" applyAlignment="1">
      <alignment horizontal="right"/>
    </xf>
    <xf numFmtId="1" fontId="7" fillId="0" borderId="0" xfId="0" applyNumberFormat="1" applyFont="1" applyAlignment="1">
      <alignment horizontal="center"/>
    </xf>
    <xf numFmtId="1" fontId="8" fillId="0" borderId="1" xfId="0" applyNumberFormat="1" applyFont="1" applyBorder="1" applyAlignment="1">
      <alignment horizontal="right"/>
    </xf>
    <xf numFmtId="1" fontId="7" fillId="0" borderId="1" xfId="0" applyNumberFormat="1" applyFont="1" applyBorder="1" applyAlignment="1">
      <alignment horizontal="center"/>
    </xf>
    <xf numFmtId="1" fontId="16" fillId="0" borderId="5" xfId="0" applyNumberFormat="1" applyFont="1" applyBorder="1" applyAlignment="1">
      <alignment horizontal="right"/>
    </xf>
    <xf numFmtId="1" fontId="17" fillId="0" borderId="5" xfId="0" applyNumberFormat="1" applyFont="1" applyBorder="1" applyAlignment="1">
      <alignment horizontal="center"/>
    </xf>
    <xf numFmtId="1" fontId="16" fillId="0" borderId="0" xfId="0" applyNumberFormat="1" applyFont="1" applyAlignment="1">
      <alignment horizontal="right"/>
    </xf>
    <xf numFmtId="1" fontId="17" fillId="0" borderId="0" xfId="0" applyNumberFormat="1" applyFont="1" applyAlignment="1">
      <alignment horizontal="center"/>
    </xf>
    <xf numFmtId="1" fontId="16" fillId="0" borderId="1" xfId="0" applyNumberFormat="1" applyFont="1" applyBorder="1" applyAlignment="1">
      <alignment horizontal="right"/>
    </xf>
    <xf numFmtId="1" fontId="17" fillId="0" borderId="1" xfId="0" applyNumberFormat="1" applyFont="1" applyBorder="1" applyAlignment="1">
      <alignment horizontal="center"/>
    </xf>
    <xf numFmtId="1" fontId="18" fillId="0" borderId="5" xfId="0" applyNumberFormat="1" applyFont="1" applyBorder="1" applyAlignment="1">
      <alignment horizontal="right"/>
    </xf>
    <xf numFmtId="1" fontId="5" fillId="0" borderId="10" xfId="0" applyNumberFormat="1" applyFont="1" applyBorder="1" applyAlignment="1">
      <alignment horizontal="center"/>
    </xf>
    <xf numFmtId="1" fontId="18" fillId="0" borderId="0" xfId="0" applyNumberFormat="1" applyFont="1" applyAlignment="1">
      <alignment horizontal="right"/>
    </xf>
    <xf numFmtId="1" fontId="5" fillId="0" borderId="7" xfId="0" applyNumberFormat="1" applyFont="1" applyBorder="1" applyAlignment="1">
      <alignment horizontal="center"/>
    </xf>
    <xf numFmtId="1" fontId="18" fillId="0" borderId="1" xfId="0" applyNumberFormat="1" applyFont="1" applyBorder="1" applyAlignment="1">
      <alignment horizontal="right"/>
    </xf>
    <xf numFmtId="1" fontId="5" fillId="0" borderId="11" xfId="0" applyNumberFormat="1" applyFont="1" applyBorder="1" applyAlignment="1">
      <alignment horizontal="center"/>
    </xf>
    <xf numFmtId="1" fontId="15" fillId="0" borderId="12" xfId="0" applyNumberFormat="1" applyFont="1" applyBorder="1" applyAlignment="1">
      <alignment horizontal="center"/>
    </xf>
    <xf numFmtId="1" fontId="15" fillId="0" borderId="3" xfId="0" applyNumberFormat="1" applyFont="1" applyBorder="1" applyAlignment="1">
      <alignment horizontal="center"/>
    </xf>
    <xf numFmtId="1" fontId="2" fillId="2" borderId="4" xfId="0" applyNumberFormat="1" applyFont="1" applyFill="1" applyBorder="1" applyAlignment="1">
      <alignment horizontal="left"/>
    </xf>
    <xf numFmtId="1" fontId="2" fillId="2" borderId="10" xfId="0" applyNumberFormat="1" applyFont="1" applyFill="1" applyBorder="1" applyAlignment="1">
      <alignment horizontal="center"/>
    </xf>
    <xf numFmtId="1" fontId="15" fillId="0" borderId="7" xfId="0" applyNumberFormat="1" applyFont="1" applyBorder="1"/>
    <xf numFmtId="1" fontId="17" fillId="0" borderId="3" xfId="0" applyNumberFormat="1" applyFont="1" applyBorder="1" applyAlignment="1">
      <alignment horizontal="center"/>
    </xf>
    <xf numFmtId="1" fontId="17" fillId="0" borderId="12" xfId="0" applyNumberFormat="1" applyFont="1" applyBorder="1" applyAlignment="1">
      <alignment horizontal="center"/>
    </xf>
    <xf numFmtId="1" fontId="17" fillId="0" borderId="0" xfId="0" applyNumberFormat="1" applyFont="1" applyAlignment="1">
      <alignment horizontal="left"/>
    </xf>
    <xf numFmtId="1" fontId="5" fillId="0" borderId="12" xfId="0" applyNumberFormat="1" applyFont="1" applyBorder="1" applyAlignment="1">
      <alignment horizontal="center"/>
    </xf>
    <xf numFmtId="1" fontId="5" fillId="0" borderId="7" xfId="0" applyNumberFormat="1" applyFont="1" applyBorder="1"/>
    <xf numFmtId="1" fontId="5" fillId="0" borderId="3" xfId="0" applyNumberFormat="1" applyFont="1" applyBorder="1" applyAlignment="1">
      <alignment horizontal="center"/>
    </xf>
    <xf numFmtId="1" fontId="19" fillId="0" borderId="3" xfId="0" applyNumberFormat="1" applyFont="1" applyBorder="1" applyAlignment="1">
      <alignment horizontal="left"/>
    </xf>
    <xf numFmtId="1" fontId="19" fillId="0" borderId="0" xfId="0" applyNumberFormat="1" applyFont="1" applyAlignment="1">
      <alignment horizontal="left"/>
    </xf>
    <xf numFmtId="1" fontId="15" fillId="0" borderId="0" xfId="0" applyNumberFormat="1" applyFont="1"/>
    <xf numFmtId="1" fontId="5" fillId="0" borderId="0" xfId="0" applyNumberFormat="1" applyFont="1"/>
    <xf numFmtId="1" fontId="5" fillId="0" borderId="3" xfId="0" applyNumberFormat="1" applyFont="1" applyBorder="1" applyAlignment="1">
      <alignment horizontal="left"/>
    </xf>
    <xf numFmtId="1" fontId="19" fillId="0" borderId="6" xfId="0" applyNumberFormat="1" applyFont="1" applyBorder="1" applyAlignment="1">
      <alignment horizontal="center"/>
    </xf>
    <xf numFmtId="1" fontId="19" fillId="0" borderId="2" xfId="0" applyNumberFormat="1" applyFont="1" applyBorder="1" applyAlignment="1">
      <alignment horizontal="center"/>
    </xf>
    <xf numFmtId="1" fontId="21" fillId="0" borderId="2" xfId="0" applyNumberFormat="1" applyFont="1" applyBorder="1" applyAlignment="1">
      <alignment horizontal="left"/>
    </xf>
    <xf numFmtId="1" fontId="0" fillId="0" borderId="13" xfId="0" applyNumberFormat="1" applyBorder="1"/>
    <xf numFmtId="0" fontId="0" fillId="0" borderId="14" xfId="0" applyBorder="1"/>
    <xf numFmtId="1" fontId="0" fillId="0" borderId="14" xfId="0" applyNumberFormat="1" applyBorder="1"/>
    <xf numFmtId="1" fontId="0" fillId="0" borderId="14" xfId="0" applyNumberFormat="1" applyBorder="1" applyAlignment="1">
      <alignment horizontal="left"/>
    </xf>
    <xf numFmtId="1" fontId="0" fillId="0" borderId="15" xfId="0" applyNumberFormat="1" applyBorder="1"/>
    <xf numFmtId="1" fontId="0" fillId="0" borderId="16" xfId="0" applyNumberFormat="1" applyBorder="1"/>
    <xf numFmtId="1" fontId="17" fillId="0" borderId="17" xfId="0" applyNumberFormat="1" applyFont="1" applyBorder="1" applyAlignment="1">
      <alignment horizontal="center"/>
    </xf>
    <xf numFmtId="1" fontId="5" fillId="0" borderId="17" xfId="0" applyNumberFormat="1" applyFont="1" applyBorder="1" applyAlignment="1">
      <alignment horizontal="center"/>
    </xf>
    <xf numFmtId="1" fontId="0" fillId="0" borderId="18" xfId="0" applyNumberFormat="1" applyBorder="1"/>
    <xf numFmtId="1" fontId="20" fillId="0" borderId="0" xfId="0" applyNumberFormat="1" applyFont="1" applyAlignment="1">
      <alignment horizontal="left"/>
    </xf>
    <xf numFmtId="1" fontId="0" fillId="0" borderId="17" xfId="0" applyNumberFormat="1" applyBorder="1"/>
    <xf numFmtId="1" fontId="0" fillId="0" borderId="19" xfId="0" applyNumberFormat="1" applyBorder="1"/>
    <xf numFmtId="0" fontId="0" fillId="0" borderId="20" xfId="0" applyBorder="1"/>
    <xf numFmtId="1" fontId="0" fillId="0" borderId="20" xfId="0" applyNumberFormat="1" applyBorder="1"/>
    <xf numFmtId="1" fontId="0" fillId="0" borderId="20" xfId="0" applyNumberFormat="1" applyBorder="1" applyAlignment="1">
      <alignment horizontal="left"/>
    </xf>
    <xf numFmtId="1" fontId="0" fillId="0" borderId="21" xfId="0" applyNumberFormat="1" applyBorder="1"/>
    <xf numFmtId="1" fontId="15" fillId="0" borderId="0" xfId="0" applyNumberFormat="1" applyFont="1" applyAlignment="1">
      <alignment horizontal="left"/>
    </xf>
    <xf numFmtId="1" fontId="0" fillId="0" borderId="22" xfId="0" applyNumberFormat="1" applyBorder="1" applyAlignment="1">
      <alignment horizontal="center"/>
    </xf>
    <xf numFmtId="1" fontId="2" fillId="0" borderId="17" xfId="0" applyNumberFormat="1" applyFont="1" applyBorder="1"/>
    <xf numFmtId="1" fontId="12" fillId="0" borderId="17" xfId="0" applyNumberFormat="1" applyFont="1" applyBorder="1"/>
    <xf numFmtId="1" fontId="12" fillId="0" borderId="0" xfId="0" applyNumberFormat="1" applyFont="1" applyAlignment="1">
      <alignment horizontal="left"/>
    </xf>
    <xf numFmtId="1" fontId="12" fillId="0" borderId="16" xfId="0" applyNumberFormat="1" applyFont="1" applyBorder="1"/>
    <xf numFmtId="0" fontId="12" fillId="0" borderId="0" xfId="0" applyFont="1"/>
    <xf numFmtId="1" fontId="2" fillId="0" borderId="23" xfId="0" applyNumberFormat="1" applyFont="1" applyBorder="1"/>
    <xf numFmtId="1" fontId="12" fillId="0" borderId="0" xfId="0" applyNumberFormat="1" applyFont="1" applyAlignment="1">
      <alignment horizontal="center"/>
    </xf>
    <xf numFmtId="1" fontId="15" fillId="0" borderId="14" xfId="0" applyNumberFormat="1" applyFont="1" applyBorder="1"/>
    <xf numFmtId="1" fontId="5" fillId="0" borderId="14" xfId="0" applyNumberFormat="1" applyFont="1" applyBorder="1"/>
    <xf numFmtId="1" fontId="17" fillId="0" borderId="14" xfId="0" applyNumberFormat="1" applyFont="1" applyBorder="1" applyAlignment="1">
      <alignment horizontal="left"/>
    </xf>
    <xf numFmtId="1" fontId="19" fillId="0" borderId="14" xfId="0" applyNumberFormat="1" applyFont="1" applyBorder="1" applyAlignment="1">
      <alignment horizontal="left"/>
    </xf>
    <xf numFmtId="166" fontId="0" fillId="0" borderId="0" xfId="0" applyNumberFormat="1" applyAlignment="1">
      <alignment horizontal="center"/>
    </xf>
    <xf numFmtId="3" fontId="3" fillId="0" borderId="0" xfId="0" applyNumberFormat="1" applyFont="1"/>
    <xf numFmtId="164" fontId="3" fillId="0" borderId="0" xfId="0" applyNumberFormat="1" applyFont="1" applyAlignment="1">
      <alignment horizontal="center"/>
    </xf>
    <xf numFmtId="166" fontId="3" fillId="0" borderId="0" xfId="0" applyNumberFormat="1" applyFont="1" applyAlignment="1">
      <alignment horizontal="center"/>
    </xf>
    <xf numFmtId="165" fontId="3" fillId="0" borderId="0" xfId="0" applyNumberFormat="1" applyFont="1" applyAlignment="1">
      <alignment horizontal="center"/>
    </xf>
    <xf numFmtId="0" fontId="3" fillId="0" borderId="0" xfId="0" applyFont="1" applyAlignment="1">
      <alignment horizontal="center"/>
    </xf>
    <xf numFmtId="166" fontId="2" fillId="0" borderId="0" xfId="0" applyNumberFormat="1" applyFont="1" applyAlignment="1">
      <alignment horizontal="center"/>
    </xf>
    <xf numFmtId="3" fontId="10" fillId="0" borderId="0" xfId="0" applyNumberFormat="1" applyFont="1" applyAlignment="1">
      <alignment horizontal="center"/>
    </xf>
    <xf numFmtId="166" fontId="10" fillId="0" borderId="0" xfId="0" applyNumberFormat="1" applyFont="1" applyAlignment="1">
      <alignment horizontal="center"/>
    </xf>
    <xf numFmtId="165" fontId="2" fillId="0" borderId="0" xfId="0" applyNumberFormat="1" applyFont="1" applyAlignment="1">
      <alignment horizontal="right"/>
    </xf>
    <xf numFmtId="165" fontId="2" fillId="0" borderId="24" xfId="0" applyNumberFormat="1" applyFont="1" applyBorder="1" applyAlignment="1">
      <alignment horizontal="center"/>
    </xf>
    <xf numFmtId="166" fontId="2" fillId="0" borderId="0" xfId="0" applyNumberFormat="1" applyFont="1" applyAlignment="1">
      <alignment horizontal="right"/>
    </xf>
    <xf numFmtId="0" fontId="2" fillId="0" borderId="0" xfId="0" applyFont="1" applyAlignment="1">
      <alignment horizontal="right"/>
    </xf>
    <xf numFmtId="165" fontId="2" fillId="0" borderId="0" xfId="0" applyNumberFormat="1" applyFont="1" applyAlignment="1">
      <alignment horizontal="left"/>
    </xf>
    <xf numFmtId="1" fontId="5" fillId="0" borderId="0" xfId="0" applyNumberFormat="1" applyFont="1" applyAlignment="1">
      <alignment horizontal="center"/>
    </xf>
    <xf numFmtId="0" fontId="22" fillId="0" borderId="0" xfId="0" applyFont="1"/>
    <xf numFmtId="3" fontId="3" fillId="0" borderId="0" xfId="0" applyNumberFormat="1" applyFont="1" applyAlignment="1">
      <alignment horizontal="center"/>
    </xf>
    <xf numFmtId="165" fontId="2" fillId="0" borderId="0" xfId="0" applyNumberFormat="1" applyFont="1"/>
    <xf numFmtId="3" fontId="3" fillId="0" borderId="0" xfId="0" applyNumberFormat="1" applyFont="1" applyAlignment="1">
      <alignment horizontal="right"/>
    </xf>
    <xf numFmtId="166" fontId="23" fillId="0" borderId="0" xfId="0" applyNumberFormat="1" applyFont="1" applyAlignment="1">
      <alignment horizontal="center"/>
    </xf>
    <xf numFmtId="0" fontId="23" fillId="0" borderId="0" xfId="0" applyFont="1"/>
    <xf numFmtId="0" fontId="1" fillId="0" borderId="0" xfId="0" applyFont="1" applyAlignment="1">
      <alignment horizontal="center"/>
    </xf>
    <xf numFmtId="0" fontId="1" fillId="0" borderId="0" xfId="0" applyFont="1"/>
    <xf numFmtId="0" fontId="24" fillId="0" borderId="0" xfId="0" applyFont="1" applyAlignment="1">
      <alignment horizontal="center"/>
    </xf>
    <xf numFmtId="0" fontId="24" fillId="0" borderId="0" xfId="0" applyFont="1"/>
    <xf numFmtId="165" fontId="24" fillId="0" borderId="0" xfId="0" applyNumberFormat="1" applyFont="1" applyAlignment="1">
      <alignment horizontal="center"/>
    </xf>
    <xf numFmtId="0" fontId="23" fillId="0" borderId="0" xfId="0" applyFont="1" applyAlignment="1">
      <alignment horizontal="left"/>
    </xf>
    <xf numFmtId="165" fontId="23" fillId="0" borderId="0" xfId="0" applyNumberFormat="1" applyFont="1" applyAlignment="1">
      <alignment horizontal="center"/>
    </xf>
    <xf numFmtId="3" fontId="23" fillId="0" borderId="0" xfId="0" applyNumberFormat="1" applyFont="1" applyAlignment="1">
      <alignment horizontal="right"/>
    </xf>
    <xf numFmtId="167" fontId="23" fillId="0" borderId="0" xfId="0" applyNumberFormat="1" applyFont="1" applyAlignment="1">
      <alignment horizontal="center"/>
    </xf>
    <xf numFmtId="167" fontId="3" fillId="0" borderId="0" xfId="0" applyNumberFormat="1" applyFont="1" applyAlignment="1">
      <alignment horizontal="center"/>
    </xf>
    <xf numFmtId="0" fontId="9" fillId="0" borderId="25" xfId="0" applyFont="1" applyBorder="1"/>
    <xf numFmtId="165" fontId="22" fillId="0" borderId="25" xfId="0" applyNumberFormat="1" applyFont="1" applyBorder="1" applyAlignment="1">
      <alignment horizontal="center"/>
    </xf>
    <xf numFmtId="3" fontId="22" fillId="0" borderId="25" xfId="0" applyNumberFormat="1" applyFont="1" applyBorder="1" applyAlignment="1">
      <alignment horizontal="right"/>
    </xf>
    <xf numFmtId="0" fontId="22" fillId="0" borderId="25" xfId="0" applyFont="1" applyBorder="1" applyAlignment="1">
      <alignment horizontal="center"/>
    </xf>
    <xf numFmtId="167" fontId="22" fillId="0" borderId="25" xfId="0" applyNumberFormat="1" applyFont="1" applyBorder="1" applyAlignment="1">
      <alignment horizontal="center"/>
    </xf>
    <xf numFmtId="0" fontId="3" fillId="0" borderId="0" xfId="0" applyFont="1" applyAlignment="1">
      <alignment horizontal="left"/>
    </xf>
    <xf numFmtId="0" fontId="3" fillId="0" borderId="0" xfId="0" quotePrefix="1" applyFont="1" applyAlignment="1">
      <alignment horizontal="left"/>
    </xf>
    <xf numFmtId="167" fontId="2" fillId="0" borderId="0" xfId="0" applyNumberFormat="1" applyFont="1" applyAlignment="1">
      <alignment horizontal="left"/>
    </xf>
    <xf numFmtId="0" fontId="2" fillId="0" borderId="0" xfId="0" quotePrefix="1" applyFont="1" applyAlignment="1">
      <alignment horizontal="left"/>
    </xf>
    <xf numFmtId="0" fontId="2" fillId="0" borderId="25" xfId="0" applyFont="1" applyBorder="1"/>
    <xf numFmtId="165" fontId="3" fillId="0" borderId="25" xfId="0" applyNumberFormat="1" applyFont="1" applyBorder="1" applyAlignment="1">
      <alignment horizontal="center"/>
    </xf>
    <xf numFmtId="0" fontId="3" fillId="0" borderId="25" xfId="0" applyFont="1" applyBorder="1"/>
    <xf numFmtId="0" fontId="3" fillId="0" borderId="25" xfId="0" applyFont="1" applyBorder="1" applyAlignment="1">
      <alignment horizontal="center"/>
    </xf>
    <xf numFmtId="167" fontId="3" fillId="0" borderId="25" xfId="0" applyNumberFormat="1" applyFont="1" applyBorder="1" applyAlignment="1">
      <alignment horizontal="center"/>
    </xf>
    <xf numFmtId="165" fontId="3" fillId="0" borderId="0" xfId="0" applyNumberFormat="1" applyFont="1"/>
    <xf numFmtId="10" fontId="3" fillId="0" borderId="0" xfId="0" applyNumberFormat="1" applyFont="1" applyAlignment="1">
      <alignment horizontal="center"/>
    </xf>
    <xf numFmtId="3" fontId="2" fillId="0" borderId="0" xfId="0" applyNumberFormat="1" applyFont="1" applyAlignment="1">
      <alignment horizontal="right"/>
    </xf>
    <xf numFmtId="167" fontId="2" fillId="0" borderId="0" xfId="0" applyNumberFormat="1" applyFont="1" applyAlignment="1">
      <alignment horizontal="center"/>
    </xf>
    <xf numFmtId="0" fontId="9" fillId="0" borderId="25" xfId="0" applyFont="1" applyBorder="1" applyAlignment="1">
      <alignment horizontal="left"/>
    </xf>
    <xf numFmtId="0" fontId="22" fillId="0" borderId="25" xfId="0" applyFont="1" applyBorder="1"/>
    <xf numFmtId="167" fontId="10" fillId="0" borderId="0" xfId="0" applyNumberFormat="1" applyFont="1" applyAlignment="1">
      <alignment horizontal="center"/>
    </xf>
    <xf numFmtId="0" fontId="2" fillId="0" borderId="25" xfId="0" applyFont="1" applyBorder="1" applyAlignment="1">
      <alignment horizontal="left"/>
    </xf>
    <xf numFmtId="165" fontId="2" fillId="0" borderId="25" xfId="0" applyNumberFormat="1" applyFont="1" applyBorder="1" applyAlignment="1">
      <alignment horizontal="center"/>
    </xf>
    <xf numFmtId="0" fontId="25" fillId="0" borderId="0" xfId="0" applyFont="1"/>
    <xf numFmtId="165" fontId="25" fillId="0" borderId="0" xfId="0" applyNumberFormat="1" applyFont="1" applyAlignment="1">
      <alignment horizontal="center"/>
    </xf>
    <xf numFmtId="3" fontId="25" fillId="0" borderId="0" xfId="0" applyNumberFormat="1" applyFont="1" applyAlignment="1">
      <alignment horizontal="right"/>
    </xf>
    <xf numFmtId="167" fontId="25" fillId="0" borderId="0" xfId="0" applyNumberFormat="1" applyFont="1" applyAlignment="1">
      <alignment horizontal="center"/>
    </xf>
    <xf numFmtId="0" fontId="26" fillId="0" borderId="0" xfId="0" applyFont="1" applyAlignment="1">
      <alignment horizontal="right"/>
    </xf>
    <xf numFmtId="0" fontId="26" fillId="0" borderId="0" xfId="0" applyFont="1"/>
    <xf numFmtId="1" fontId="12" fillId="0" borderId="17" xfId="0" applyNumberFormat="1" applyFont="1" applyBorder="1" applyAlignment="1">
      <alignment horizontal="left"/>
    </xf>
    <xf numFmtId="1" fontId="15" fillId="0" borderId="18" xfId="0" applyNumberFormat="1" applyFont="1" applyBorder="1" applyAlignment="1">
      <alignment horizontal="center"/>
    </xf>
    <xf numFmtId="1" fontId="2" fillId="0" borderId="26" xfId="0" applyNumberFormat="1" applyFont="1" applyBorder="1"/>
    <xf numFmtId="1" fontId="28" fillId="0" borderId="3" xfId="0" applyNumberFormat="1" applyFont="1" applyBorder="1" applyAlignment="1">
      <alignment horizontal="left"/>
    </xf>
    <xf numFmtId="1" fontId="28" fillId="0" borderId="0" xfId="0" applyNumberFormat="1" applyFont="1" applyAlignment="1">
      <alignment horizontal="left"/>
    </xf>
    <xf numFmtId="1" fontId="28" fillId="0" borderId="6" xfId="0" applyNumberFormat="1" applyFont="1" applyBorder="1" applyAlignment="1">
      <alignment horizontal="center"/>
    </xf>
    <xf numFmtId="1" fontId="28" fillId="0" borderId="2" xfId="0" applyNumberFormat="1" applyFont="1" applyBorder="1" applyAlignment="1">
      <alignment horizontal="center"/>
    </xf>
    <xf numFmtId="1" fontId="21" fillId="0" borderId="26" xfId="0" applyNumberFormat="1" applyFont="1" applyBorder="1" applyAlignment="1">
      <alignment horizontal="center"/>
    </xf>
    <xf numFmtId="1" fontId="29" fillId="0" borderId="3" xfId="0" applyNumberFormat="1" applyFont="1" applyBorder="1" applyAlignment="1">
      <alignment horizontal="left"/>
    </xf>
    <xf numFmtId="1" fontId="29" fillId="0" borderId="0" xfId="0" applyNumberFormat="1" applyFont="1" applyAlignment="1">
      <alignment horizontal="left"/>
    </xf>
    <xf numFmtId="1" fontId="30" fillId="0" borderId="6" xfId="0" applyNumberFormat="1" applyFont="1" applyBorder="1" applyAlignment="1">
      <alignment horizontal="center"/>
    </xf>
    <xf numFmtId="1" fontId="30" fillId="0" borderId="2" xfId="0" applyNumberFormat="1" applyFont="1" applyBorder="1" applyAlignment="1">
      <alignment horizontal="center"/>
    </xf>
    <xf numFmtId="1" fontId="30" fillId="0" borderId="18" xfId="0" applyNumberFormat="1" applyFont="1" applyBorder="1" applyAlignment="1">
      <alignment horizontal="center"/>
    </xf>
    <xf numFmtId="1" fontId="31" fillId="0" borderId="6" xfId="0" applyNumberFormat="1" applyFont="1" applyBorder="1" applyAlignment="1">
      <alignment horizontal="center"/>
    </xf>
    <xf numFmtId="1" fontId="31" fillId="0" borderId="2" xfId="0" applyNumberFormat="1" applyFont="1" applyBorder="1" applyAlignment="1">
      <alignment horizontal="center"/>
    </xf>
    <xf numFmtId="1" fontId="29" fillId="0" borderId="6" xfId="0" applyNumberFormat="1" applyFont="1" applyBorder="1" applyAlignment="1">
      <alignment horizontal="center"/>
    </xf>
    <xf numFmtId="1" fontId="29" fillId="0" borderId="2" xfId="0" applyNumberFormat="1" applyFont="1" applyBorder="1" applyAlignment="1">
      <alignment horizontal="center"/>
    </xf>
    <xf numFmtId="1" fontId="29" fillId="0" borderId="18" xfId="0" applyNumberFormat="1" applyFont="1" applyBorder="1" applyAlignment="1">
      <alignment horizontal="center"/>
    </xf>
    <xf numFmtId="1" fontId="21" fillId="0" borderId="2" xfId="0" applyNumberFormat="1" applyFont="1" applyBorder="1" applyAlignment="1">
      <alignment horizontal="center"/>
    </xf>
    <xf numFmtId="1" fontId="21" fillId="0" borderId="6" xfId="0" applyNumberFormat="1" applyFont="1" applyBorder="1" applyAlignment="1">
      <alignment horizontal="center"/>
    </xf>
    <xf numFmtId="1" fontId="30" fillId="0" borderId="0" xfId="0" applyNumberFormat="1" applyFont="1" applyAlignment="1">
      <alignment horizontal="left"/>
    </xf>
    <xf numFmtId="1" fontId="30" fillId="0" borderId="0" xfId="0" applyNumberFormat="1" applyFont="1"/>
    <xf numFmtId="1" fontId="30" fillId="0" borderId="2" xfId="0" applyNumberFormat="1" applyFont="1" applyBorder="1" applyAlignment="1">
      <alignment horizontal="left"/>
    </xf>
    <xf numFmtId="1" fontId="19" fillId="0" borderId="2" xfId="0" applyNumberFormat="1" applyFont="1" applyBorder="1" applyAlignment="1">
      <alignment horizontal="left"/>
    </xf>
    <xf numFmtId="1" fontId="0" fillId="0" borderId="17" xfId="0" applyNumberFormat="1" applyBorder="1" applyAlignment="1">
      <alignment horizontal="center"/>
    </xf>
    <xf numFmtId="1" fontId="30" fillId="0" borderId="17" xfId="0" applyNumberFormat="1" applyFont="1" applyBorder="1"/>
    <xf numFmtId="3" fontId="4" fillId="0" borderId="0" xfId="0" applyNumberFormat="1" applyFont="1"/>
    <xf numFmtId="3" fontId="0" fillId="0" borderId="0" xfId="0" applyNumberFormat="1" applyAlignment="1">
      <alignment horizontal="right"/>
    </xf>
    <xf numFmtId="3" fontId="0" fillId="0" borderId="0" xfId="0" applyNumberFormat="1" applyAlignment="1">
      <alignment horizontal="left"/>
    </xf>
    <xf numFmtId="3" fontId="2" fillId="0" borderId="0" xfId="0" applyNumberFormat="1" applyFont="1" applyAlignment="1">
      <alignment horizontal="left"/>
    </xf>
    <xf numFmtId="3" fontId="3" fillId="0" borderId="0" xfId="0" applyNumberFormat="1" applyFont="1" applyAlignment="1">
      <alignment horizontal="left"/>
    </xf>
    <xf numFmtId="3" fontId="1" fillId="0" borderId="0" xfId="0" applyNumberFormat="1" applyFont="1"/>
    <xf numFmtId="1" fontId="10" fillId="0" borderId="0" xfId="0" applyNumberFormat="1" applyFont="1" applyAlignment="1">
      <alignment horizontal="center"/>
    </xf>
    <xf numFmtId="1" fontId="13" fillId="0" borderId="0" xfId="0" applyNumberFormat="1" applyFont="1" applyAlignment="1">
      <alignment horizontal="center"/>
    </xf>
    <xf numFmtId="1" fontId="13" fillId="0" borderId="0" xfId="0" applyNumberFormat="1" applyFont="1" applyAlignment="1">
      <alignment horizontal="left"/>
    </xf>
    <xf numFmtId="1" fontId="13" fillId="0" borderId="0" xfId="0" applyNumberFormat="1" applyFont="1"/>
    <xf numFmtId="166" fontId="23" fillId="0" borderId="0" xfId="0" applyNumberFormat="1" applyFont="1" applyAlignment="1">
      <alignment horizontal="centerContinuous"/>
    </xf>
    <xf numFmtId="0" fontId="2" fillId="0" borderId="27" xfId="0" quotePrefix="1" applyFont="1" applyBorder="1" applyAlignment="1">
      <alignment horizontal="center" wrapText="1"/>
    </xf>
    <xf numFmtId="0" fontId="2" fillId="0" borderId="27" xfId="0" applyFont="1" applyBorder="1" applyAlignment="1">
      <alignment horizontal="center" wrapText="1"/>
    </xf>
    <xf numFmtId="0" fontId="0" fillId="3" borderId="0" xfId="0" applyFill="1"/>
    <xf numFmtId="0" fontId="0" fillId="4" borderId="0" xfId="0" applyFill="1"/>
    <xf numFmtId="0" fontId="0" fillId="5" borderId="0" xfId="0" applyFill="1"/>
    <xf numFmtId="0" fontId="0" fillId="6" borderId="0" xfId="0" applyFill="1"/>
    <xf numFmtId="168" fontId="0" fillId="0" borderId="0" xfId="3" applyNumberFormat="1" applyFont="1" applyAlignment="1">
      <alignment horizontal="center"/>
    </xf>
    <xf numFmtId="43" fontId="1" fillId="0" borderId="0" xfId="1"/>
    <xf numFmtId="169" fontId="1" fillId="0" borderId="0" xfId="1" applyNumberFormat="1"/>
    <xf numFmtId="1" fontId="2" fillId="2" borderId="28" xfId="0" applyNumberFormat="1" applyFont="1" applyFill="1" applyBorder="1"/>
    <xf numFmtId="1" fontId="0" fillId="2" borderId="29" xfId="0" applyNumberFormat="1" applyFill="1" applyBorder="1"/>
    <xf numFmtId="1" fontId="33" fillId="0" borderId="6" xfId="0" applyNumberFormat="1" applyFont="1" applyBorder="1" applyAlignment="1">
      <alignment horizontal="center"/>
    </xf>
    <xf numFmtId="1" fontId="34" fillId="0" borderId="2" xfId="0" applyNumberFormat="1" applyFont="1" applyBorder="1" applyAlignment="1">
      <alignment horizontal="left"/>
    </xf>
    <xf numFmtId="0" fontId="35" fillId="0" borderId="0" xfId="0" applyFont="1"/>
    <xf numFmtId="1" fontId="33" fillId="0" borderId="2" xfId="0" applyNumberFormat="1" applyFont="1" applyBorder="1" applyAlignment="1">
      <alignment horizontal="center"/>
    </xf>
    <xf numFmtId="43" fontId="1" fillId="0" borderId="0" xfId="1" applyFill="1"/>
    <xf numFmtId="0" fontId="36" fillId="0" borderId="0" xfId="0" applyFont="1"/>
    <xf numFmtId="165" fontId="0" fillId="0" borderId="0" xfId="0" applyNumberFormat="1"/>
    <xf numFmtId="0" fontId="8" fillId="0" borderId="0" xfId="0" applyFont="1" applyAlignment="1">
      <alignment wrapText="1"/>
    </xf>
    <xf numFmtId="10" fontId="7" fillId="0" borderId="0" xfId="3" applyNumberFormat="1" applyFont="1" applyFill="1"/>
    <xf numFmtId="10" fontId="0" fillId="0" borderId="7" xfId="0" applyNumberFormat="1" applyBorder="1" applyAlignment="1">
      <alignment horizontal="center"/>
    </xf>
    <xf numFmtId="170" fontId="2" fillId="0" borderId="0" xfId="0" applyNumberFormat="1" applyFont="1" applyAlignment="1">
      <alignment horizontal="center"/>
    </xf>
    <xf numFmtId="165" fontId="5" fillId="0" borderId="0" xfId="0" applyNumberFormat="1" applyFont="1"/>
    <xf numFmtId="10" fontId="37" fillId="0" borderId="0" xfId="0" applyNumberFormat="1" applyFont="1"/>
    <xf numFmtId="0" fontId="18" fillId="0" borderId="0" xfId="0" applyFont="1"/>
    <xf numFmtId="166" fontId="0" fillId="0" borderId="0" xfId="0" applyNumberFormat="1"/>
    <xf numFmtId="10" fontId="3" fillId="0" borderId="0" xfId="0" applyNumberFormat="1" applyFont="1"/>
    <xf numFmtId="3" fontId="10" fillId="0" borderId="0" xfId="0" applyNumberFormat="1" applyFont="1"/>
    <xf numFmtId="3" fontId="10" fillId="0" borderId="0" xfId="0" applyNumberFormat="1" applyFont="1" applyAlignment="1">
      <alignment horizontal="left"/>
    </xf>
    <xf numFmtId="0" fontId="39" fillId="0" borderId="0" xfId="0" applyFont="1"/>
    <xf numFmtId="165" fontId="39" fillId="0" borderId="0" xfId="0" applyNumberFormat="1" applyFont="1" applyAlignment="1">
      <alignment horizontal="center"/>
    </xf>
    <xf numFmtId="166" fontId="39" fillId="0" borderId="0" xfId="0" applyNumberFormat="1" applyFont="1" applyAlignment="1">
      <alignment horizontal="center"/>
    </xf>
    <xf numFmtId="165" fontId="18" fillId="0" borderId="0" xfId="0" applyNumberFormat="1" applyFont="1"/>
    <xf numFmtId="2" fontId="25" fillId="0" borderId="0" xfId="0" applyNumberFormat="1" applyFont="1"/>
    <xf numFmtId="0" fontId="2" fillId="0" borderId="30" xfId="0" applyFont="1" applyBorder="1" applyAlignment="1">
      <alignment horizontal="left"/>
    </xf>
    <xf numFmtId="10" fontId="0" fillId="0" borderId="30" xfId="0" applyNumberFormat="1" applyBorder="1" applyAlignment="1">
      <alignment horizontal="center"/>
    </xf>
    <xf numFmtId="10" fontId="0" fillId="0" borderId="31" xfId="0" applyNumberFormat="1" applyBorder="1" applyAlignment="1">
      <alignment horizontal="center"/>
    </xf>
    <xf numFmtId="0" fontId="10" fillId="0" borderId="32" xfId="0" applyFont="1" applyBorder="1"/>
    <xf numFmtId="10" fontId="10" fillId="0" borderId="0" xfId="0" applyNumberFormat="1" applyFont="1" applyAlignment="1">
      <alignment horizontal="center"/>
    </xf>
    <xf numFmtId="10" fontId="10" fillId="0" borderId="33" xfId="0" applyNumberFormat="1" applyFont="1" applyBorder="1" applyAlignment="1">
      <alignment horizontal="center"/>
    </xf>
    <xf numFmtId="0" fontId="2" fillId="0" borderId="32" xfId="0" applyFont="1" applyBorder="1"/>
    <xf numFmtId="10" fontId="0" fillId="0" borderId="33" xfId="0" applyNumberFormat="1" applyBorder="1" applyAlignment="1">
      <alignment horizontal="center"/>
    </xf>
    <xf numFmtId="0" fontId="9" fillId="0" borderId="32" xfId="0" applyFont="1" applyBorder="1"/>
    <xf numFmtId="0" fontId="2" fillId="0" borderId="34" xfId="0" applyFont="1" applyBorder="1"/>
    <xf numFmtId="10" fontId="0" fillId="0" borderId="25" xfId="0" applyNumberFormat="1" applyBorder="1" applyAlignment="1">
      <alignment horizontal="center"/>
    </xf>
    <xf numFmtId="10" fontId="0" fillId="0" borderId="35" xfId="0" applyNumberFormat="1" applyBorder="1" applyAlignment="1">
      <alignment horizontal="center"/>
    </xf>
    <xf numFmtId="0" fontId="9" fillId="0" borderId="36" xfId="0" applyFont="1" applyBorder="1"/>
    <xf numFmtId="2" fontId="0" fillId="5" borderId="0" xfId="0" applyNumberFormat="1" applyFill="1"/>
    <xf numFmtId="2" fontId="0" fillId="4" borderId="0" xfId="0" applyNumberFormat="1" applyFill="1"/>
    <xf numFmtId="169" fontId="0" fillId="0" borderId="0" xfId="1" applyNumberFormat="1" applyFont="1" applyFill="1"/>
    <xf numFmtId="2" fontId="0" fillId="0" borderId="0" xfId="0" applyNumberFormat="1"/>
    <xf numFmtId="1" fontId="1" fillId="0" borderId="22" xfId="0" applyNumberFormat="1" applyFont="1" applyBorder="1" applyAlignment="1">
      <alignment horizontal="center"/>
    </xf>
    <xf numFmtId="1" fontId="32" fillId="0" borderId="0" xfId="0" applyNumberFormat="1" applyFont="1"/>
    <xf numFmtId="1" fontId="19" fillId="4" borderId="0" xfId="0" applyNumberFormat="1" applyFont="1" applyFill="1" applyAlignment="1">
      <alignment horizontal="left"/>
    </xf>
    <xf numFmtId="1" fontId="32" fillId="4" borderId="0" xfId="0" applyNumberFormat="1" applyFont="1" applyFill="1" applyAlignment="1">
      <alignment horizontal="left"/>
    </xf>
    <xf numFmtId="166" fontId="32" fillId="4" borderId="0" xfId="0" applyNumberFormat="1" applyFont="1" applyFill="1" applyAlignment="1">
      <alignment horizontal="left"/>
    </xf>
    <xf numFmtId="2" fontId="19" fillId="4" borderId="0" xfId="0" applyNumberFormat="1" applyFont="1" applyFill="1" applyAlignment="1">
      <alignment horizontal="left"/>
    </xf>
    <xf numFmtId="1" fontId="33" fillId="4" borderId="6" xfId="0" applyNumberFormat="1" applyFont="1" applyFill="1" applyBorder="1" applyAlignment="1">
      <alignment horizontal="center"/>
    </xf>
    <xf numFmtId="1" fontId="21" fillId="4" borderId="26" xfId="0" applyNumberFormat="1" applyFont="1" applyFill="1" applyBorder="1" applyAlignment="1">
      <alignment horizontal="center"/>
    </xf>
    <xf numFmtId="1" fontId="21" fillId="4" borderId="2" xfId="0" applyNumberFormat="1" applyFont="1" applyFill="1" applyBorder="1" applyAlignment="1">
      <alignment horizontal="center"/>
    </xf>
    <xf numFmtId="1" fontId="21" fillId="4" borderId="6" xfId="0" applyNumberFormat="1" applyFont="1" applyFill="1" applyBorder="1" applyAlignment="1">
      <alignment horizontal="center"/>
    </xf>
    <xf numFmtId="1" fontId="41" fillId="4" borderId="26" xfId="0" applyNumberFormat="1" applyFont="1" applyFill="1" applyBorder="1" applyAlignment="1">
      <alignment horizontal="center"/>
    </xf>
    <xf numFmtId="2" fontId="21" fillId="4" borderId="2" xfId="0" applyNumberFormat="1" applyFont="1" applyFill="1" applyBorder="1" applyAlignment="1">
      <alignment horizontal="left"/>
    </xf>
    <xf numFmtId="1" fontId="42" fillId="4" borderId="3" xfId="0" applyNumberFormat="1" applyFont="1" applyFill="1" applyBorder="1" applyAlignment="1">
      <alignment horizontal="left"/>
    </xf>
    <xf numFmtId="1" fontId="19" fillId="4" borderId="6" xfId="0" applyNumberFormat="1" applyFont="1" applyFill="1" applyBorder="1" applyAlignment="1">
      <alignment horizontal="center"/>
    </xf>
    <xf numFmtId="10" fontId="0" fillId="0" borderId="0" xfId="3" applyNumberFormat="1" applyFont="1" applyFill="1"/>
    <xf numFmtId="4" fontId="3" fillId="0" borderId="0" xfId="0" applyNumberFormat="1" applyFont="1"/>
    <xf numFmtId="10" fontId="7" fillId="0" borderId="0" xfId="3" applyNumberFormat="1" applyFont="1"/>
    <xf numFmtId="9" fontId="7" fillId="0" borderId="0" xfId="3" applyFont="1"/>
    <xf numFmtId="10" fontId="7" fillId="0" borderId="0" xfId="3" applyNumberFormat="1" applyFont="1" applyBorder="1"/>
    <xf numFmtId="9" fontId="7" fillId="0" borderId="0" xfId="3" applyFont="1" applyBorder="1"/>
    <xf numFmtId="9" fontId="7" fillId="0" borderId="0" xfId="3" applyFont="1" applyFill="1"/>
    <xf numFmtId="3" fontId="0" fillId="0" borderId="0" xfId="0" applyNumberFormat="1" applyAlignment="1">
      <alignment horizontal="center"/>
    </xf>
    <xf numFmtId="43" fontId="0" fillId="0" borderId="0" xfId="0" applyNumberFormat="1"/>
    <xf numFmtId="174" fontId="0" fillId="0" borderId="0" xfId="0" applyNumberFormat="1" applyAlignment="1">
      <alignment horizontal="center"/>
    </xf>
    <xf numFmtId="174" fontId="2" fillId="0" borderId="0" xfId="0" applyNumberFormat="1" applyFont="1" applyAlignment="1">
      <alignment horizontal="center"/>
    </xf>
    <xf numFmtId="0" fontId="1" fillId="0" borderId="0" xfId="0" applyFont="1" applyAlignment="1">
      <alignment horizontal="left"/>
    </xf>
    <xf numFmtId="3" fontId="1" fillId="0" borderId="0" xfId="0" applyNumberFormat="1" applyFont="1" applyAlignment="1">
      <alignment horizontal="left"/>
    </xf>
    <xf numFmtId="172" fontId="0" fillId="0" borderId="0" xfId="0" applyNumberFormat="1"/>
    <xf numFmtId="1" fontId="1" fillId="0" borderId="0" xfId="0" applyNumberFormat="1" applyFont="1" applyAlignment="1">
      <alignment horizontal="center"/>
    </xf>
    <xf numFmtId="3" fontId="2" fillId="0" borderId="0" xfId="3" applyNumberFormat="1" applyFont="1" applyAlignment="1">
      <alignment horizontal="right"/>
    </xf>
    <xf numFmtId="173" fontId="3" fillId="0" borderId="0" xfId="0" applyNumberFormat="1" applyFont="1"/>
    <xf numFmtId="0" fontId="10" fillId="0" borderId="0" xfId="0" applyFont="1" applyAlignment="1">
      <alignment horizontal="right"/>
    </xf>
    <xf numFmtId="3" fontId="18" fillId="0" borderId="0" xfId="0" applyNumberFormat="1" applyFont="1"/>
    <xf numFmtId="164" fontId="25" fillId="0" borderId="0" xfId="0" applyNumberFormat="1" applyFont="1" applyAlignment="1">
      <alignment horizontal="center"/>
    </xf>
    <xf numFmtId="179" fontId="25" fillId="0" borderId="0" xfId="0" applyNumberFormat="1" applyFont="1" applyAlignment="1">
      <alignment horizontal="center"/>
    </xf>
    <xf numFmtId="180" fontId="0" fillId="0" borderId="0" xfId="0" applyNumberFormat="1"/>
    <xf numFmtId="180" fontId="0" fillId="0" borderId="16" xfId="0" applyNumberFormat="1" applyBorder="1"/>
    <xf numFmtId="180" fontId="2" fillId="0" borderId="0" xfId="0" applyNumberFormat="1" applyFont="1" applyAlignment="1">
      <alignment horizontal="center"/>
    </xf>
    <xf numFmtId="165" fontId="25" fillId="0" borderId="0" xfId="0" applyNumberFormat="1" applyFont="1"/>
    <xf numFmtId="10" fontId="2" fillId="0" borderId="0" xfId="0" applyNumberFormat="1" applyFont="1"/>
    <xf numFmtId="166" fontId="3" fillId="0" borderId="0" xfId="0" applyNumberFormat="1" applyFont="1"/>
    <xf numFmtId="4" fontId="0" fillId="0" borderId="0" xfId="0" applyNumberFormat="1"/>
    <xf numFmtId="173" fontId="25" fillId="0" borderId="0" xfId="0" applyNumberFormat="1" applyFont="1" applyAlignment="1">
      <alignment horizontal="right"/>
    </xf>
    <xf numFmtId="3" fontId="1" fillId="0" borderId="0" xfId="0" applyNumberFormat="1" applyFont="1" applyAlignment="1">
      <alignment horizontal="right"/>
    </xf>
    <xf numFmtId="1" fontId="0" fillId="7" borderId="9" xfId="0" applyNumberFormat="1" applyFill="1" applyBorder="1" applyAlignment="1">
      <alignment horizontal="center"/>
    </xf>
    <xf numFmtId="1" fontId="44" fillId="7" borderId="6" xfId="0" applyNumberFormat="1" applyFont="1" applyFill="1" applyBorder="1" applyAlignment="1">
      <alignment horizontal="center"/>
    </xf>
    <xf numFmtId="1" fontId="44" fillId="7" borderId="12" xfId="0" applyNumberFormat="1" applyFont="1" applyFill="1" applyBorder="1" applyAlignment="1">
      <alignment horizontal="center"/>
    </xf>
    <xf numFmtId="10" fontId="0" fillId="0" borderId="0" xfId="3" applyNumberFormat="1" applyFont="1" applyFill="1" applyAlignment="1">
      <alignment horizontal="right"/>
    </xf>
    <xf numFmtId="9" fontId="1" fillId="0" borderId="0" xfId="3" applyFill="1"/>
    <xf numFmtId="3" fontId="2" fillId="0" borderId="0" xfId="3" applyNumberFormat="1" applyFont="1" applyFill="1" applyAlignment="1">
      <alignment horizontal="right"/>
    </xf>
    <xf numFmtId="168" fontId="0" fillId="0" borderId="0" xfId="3" applyNumberFormat="1" applyFont="1" applyFill="1" applyAlignment="1">
      <alignment horizontal="center"/>
    </xf>
    <xf numFmtId="165" fontId="1" fillId="0" borderId="0" xfId="0" applyNumberFormat="1" applyFont="1"/>
    <xf numFmtId="2" fontId="2" fillId="0" borderId="0" xfId="0" applyNumberFormat="1" applyFont="1"/>
    <xf numFmtId="168" fontId="0" fillId="0" borderId="0" xfId="0" applyNumberFormat="1" applyAlignment="1">
      <alignment horizontal="center"/>
    </xf>
    <xf numFmtId="10" fontId="1" fillId="0" borderId="0" xfId="3" applyNumberFormat="1" applyFont="1" applyFill="1" applyAlignment="1">
      <alignment horizontal="right"/>
    </xf>
    <xf numFmtId="1" fontId="2" fillId="0" borderId="4" xfId="0" applyNumberFormat="1" applyFont="1" applyBorder="1" applyAlignment="1">
      <alignment horizontal="left"/>
    </xf>
    <xf numFmtId="1" fontId="2" fillId="0" borderId="10" xfId="0" applyNumberFormat="1" applyFont="1" applyBorder="1" applyAlignment="1">
      <alignment horizontal="center"/>
    </xf>
    <xf numFmtId="1" fontId="32" fillId="0" borderId="0" xfId="0" applyNumberFormat="1" applyFont="1" applyAlignment="1">
      <alignment horizontal="left"/>
    </xf>
    <xf numFmtId="1" fontId="2" fillId="0" borderId="28" xfId="0" applyNumberFormat="1" applyFont="1" applyBorder="1"/>
    <xf numFmtId="1" fontId="0" fillId="0" borderId="29" xfId="0" applyNumberFormat="1" applyBorder="1"/>
    <xf numFmtId="1" fontId="44" fillId="0" borderId="6" xfId="0" applyNumberFormat="1" applyFont="1" applyBorder="1" applyAlignment="1">
      <alignment horizontal="center"/>
    </xf>
    <xf numFmtId="166" fontId="32" fillId="0" borderId="0" xfId="0" applyNumberFormat="1" applyFont="1" applyAlignment="1">
      <alignment horizontal="left"/>
    </xf>
    <xf numFmtId="1" fontId="42" fillId="0" borderId="3" xfId="0" applyNumberFormat="1" applyFont="1" applyBorder="1" applyAlignment="1">
      <alignment horizontal="left"/>
    </xf>
    <xf numFmtId="2" fontId="19" fillId="0" borderId="0" xfId="0" applyNumberFormat="1" applyFont="1" applyAlignment="1">
      <alignment horizontal="left"/>
    </xf>
    <xf numFmtId="1" fontId="41" fillId="0" borderId="26" xfId="0" applyNumberFormat="1" applyFont="1" applyBorder="1" applyAlignment="1">
      <alignment horizontal="center"/>
    </xf>
    <xf numFmtId="2" fontId="21" fillId="0" borderId="2" xfId="0" applyNumberFormat="1" applyFont="1" applyBorder="1" applyAlignment="1">
      <alignment horizontal="left"/>
    </xf>
    <xf numFmtId="168" fontId="0" fillId="0" borderId="0" xfId="3" applyNumberFormat="1" applyFont="1" applyFill="1"/>
    <xf numFmtId="173" fontId="0" fillId="0" borderId="0" xfId="0" applyNumberFormat="1"/>
    <xf numFmtId="4" fontId="1" fillId="0" borderId="0" xfId="0" applyNumberFormat="1" applyFont="1"/>
    <xf numFmtId="9" fontId="0" fillId="0" borderId="0" xfId="3" applyFont="1"/>
    <xf numFmtId="10" fontId="2" fillId="0" borderId="0" xfId="3" applyNumberFormat="1" applyFont="1" applyFill="1" applyAlignment="1">
      <alignment horizontal="center"/>
    </xf>
    <xf numFmtId="0" fontId="0" fillId="0" borderId="25" xfId="0" applyBorder="1"/>
    <xf numFmtId="10" fontId="8" fillId="0" borderId="0" xfId="3" applyNumberFormat="1" applyFont="1" applyFill="1"/>
    <xf numFmtId="9" fontId="2" fillId="0" borderId="0" xfId="3" applyFont="1" applyFill="1"/>
    <xf numFmtId="165" fontId="1" fillId="0" borderId="0" xfId="0" applyNumberFormat="1" applyFont="1" applyAlignment="1">
      <alignment horizontal="center"/>
    </xf>
    <xf numFmtId="9" fontId="1" fillId="0" borderId="0" xfId="3" applyFont="1" applyFill="1"/>
    <xf numFmtId="181" fontId="2" fillId="0" borderId="0" xfId="0" applyNumberFormat="1" applyFont="1" applyAlignment="1">
      <alignment horizontal="center"/>
    </xf>
    <xf numFmtId="171" fontId="0" fillId="0" borderId="0" xfId="0" applyNumberFormat="1"/>
    <xf numFmtId="0" fontId="48" fillId="0" borderId="0" xfId="0" applyFont="1"/>
    <xf numFmtId="165" fontId="0" fillId="0" borderId="0" xfId="3" applyNumberFormat="1" applyFont="1" applyFill="1"/>
    <xf numFmtId="165" fontId="1" fillId="0" borderId="0" xfId="3" applyNumberFormat="1" applyFill="1"/>
    <xf numFmtId="173" fontId="0" fillId="0" borderId="0" xfId="0" applyNumberFormat="1" applyAlignment="1">
      <alignment horizontal="right"/>
    </xf>
    <xf numFmtId="10" fontId="0" fillId="0" borderId="1" xfId="0" applyNumberFormat="1" applyBorder="1" applyAlignment="1">
      <alignment horizontal="center"/>
    </xf>
    <xf numFmtId="10" fontId="0" fillId="0" borderId="11" xfId="0" applyNumberFormat="1" applyBorder="1" applyAlignment="1">
      <alignment horizontal="center"/>
    </xf>
    <xf numFmtId="165" fontId="2" fillId="0" borderId="0" xfId="3" applyNumberFormat="1" applyFont="1" applyFill="1" applyAlignment="1">
      <alignment horizontal="center"/>
    </xf>
    <xf numFmtId="0" fontId="0" fillId="8" borderId="0" xfId="0" applyFill="1"/>
    <xf numFmtId="170" fontId="1" fillId="0" borderId="0" xfId="0" applyNumberFormat="1" applyFont="1" applyAlignment="1">
      <alignment horizontal="center"/>
    </xf>
    <xf numFmtId="165" fontId="1" fillId="0" borderId="0" xfId="3" applyNumberFormat="1" applyFont="1" applyBorder="1" applyAlignment="1">
      <alignment horizontal="center"/>
    </xf>
    <xf numFmtId="170" fontId="22" fillId="0" borderId="0" xfId="0" applyNumberFormat="1" applyFont="1" applyAlignment="1">
      <alignment horizontal="center"/>
    </xf>
    <xf numFmtId="170" fontId="25" fillId="0" borderId="0" xfId="0" applyNumberFormat="1" applyFont="1" applyAlignment="1">
      <alignment horizontal="center"/>
    </xf>
    <xf numFmtId="170" fontId="47" fillId="0" borderId="0" xfId="0" applyNumberFormat="1" applyFont="1" applyAlignment="1">
      <alignment horizontal="center"/>
    </xf>
    <xf numFmtId="170" fontId="27" fillId="0" borderId="0" xfId="0" applyNumberFormat="1" applyFont="1" applyAlignment="1">
      <alignment horizontal="center"/>
    </xf>
    <xf numFmtId="170" fontId="0" fillId="0" borderId="0" xfId="0" applyNumberFormat="1"/>
    <xf numFmtId="168" fontId="2" fillId="0" borderId="0" xfId="0" applyNumberFormat="1" applyFont="1" applyAlignment="1">
      <alignment horizontal="center"/>
    </xf>
    <xf numFmtId="168" fontId="10" fillId="0" borderId="0" xfId="0" applyNumberFormat="1" applyFont="1" applyAlignment="1">
      <alignment horizontal="center"/>
    </xf>
    <xf numFmtId="1" fontId="21" fillId="0" borderId="3" xfId="0" applyNumberFormat="1" applyFont="1" applyBorder="1" applyAlignment="1">
      <alignment horizontal="left"/>
    </xf>
    <xf numFmtId="1" fontId="21" fillId="0" borderId="0" xfId="0" applyNumberFormat="1" applyFont="1" applyAlignment="1">
      <alignment horizontal="left"/>
    </xf>
    <xf numFmtId="1" fontId="29" fillId="0" borderId="17" xfId="0" applyNumberFormat="1" applyFont="1" applyBorder="1"/>
    <xf numFmtId="1" fontId="29" fillId="0" borderId="0" xfId="0" applyNumberFormat="1" applyFont="1"/>
    <xf numFmtId="1" fontId="29" fillId="0" borderId="2" xfId="0" applyNumberFormat="1" applyFont="1" applyBorder="1" applyAlignment="1">
      <alignment horizontal="left"/>
    </xf>
    <xf numFmtId="1" fontId="33" fillId="0" borderId="2" xfId="0" applyNumberFormat="1" applyFont="1" applyBorder="1" applyAlignment="1">
      <alignment horizontal="left"/>
    </xf>
    <xf numFmtId="165" fontId="47" fillId="0" borderId="0" xfId="0" applyNumberFormat="1" applyFont="1" applyAlignment="1">
      <alignment horizontal="center"/>
    </xf>
    <xf numFmtId="165" fontId="22" fillId="0" borderId="0" xfId="0" applyNumberFormat="1" applyFont="1" applyAlignment="1">
      <alignment horizontal="center"/>
    </xf>
    <xf numFmtId="165" fontId="22" fillId="0" borderId="0" xfId="0" applyNumberFormat="1" applyFont="1"/>
    <xf numFmtId="164" fontId="1" fillId="0" borderId="0" xfId="0" applyNumberFormat="1" applyFont="1" applyAlignment="1">
      <alignment horizontal="center"/>
    </xf>
    <xf numFmtId="174" fontId="10" fillId="0" borderId="0" xfId="0" applyNumberFormat="1" applyFont="1" applyAlignment="1">
      <alignment horizontal="center"/>
    </xf>
    <xf numFmtId="173" fontId="2" fillId="0" borderId="0" xfId="0" applyNumberFormat="1" applyFont="1"/>
    <xf numFmtId="3" fontId="45" fillId="0" borderId="0" xfId="0" applyNumberFormat="1" applyFont="1" applyAlignment="1">
      <alignment horizontal="right"/>
    </xf>
    <xf numFmtId="3" fontId="43" fillId="0" borderId="0" xfId="0" applyNumberFormat="1" applyFont="1" applyAlignment="1">
      <alignment horizontal="right"/>
    </xf>
    <xf numFmtId="174" fontId="1" fillId="0" borderId="0" xfId="0" applyNumberFormat="1" applyFont="1" applyAlignment="1">
      <alignment horizontal="center"/>
    </xf>
    <xf numFmtId="3" fontId="1" fillId="0" borderId="0" xfId="0" applyNumberFormat="1" applyFont="1" applyAlignment="1">
      <alignment horizontal="center"/>
    </xf>
    <xf numFmtId="3" fontId="10" fillId="0" borderId="0" xfId="0" applyNumberFormat="1" applyFont="1" applyAlignment="1">
      <alignment horizontal="right"/>
    </xf>
    <xf numFmtId="3" fontId="27" fillId="0" borderId="0" xfId="0" applyNumberFormat="1" applyFont="1" applyAlignment="1">
      <alignment horizontal="right"/>
    </xf>
    <xf numFmtId="3" fontId="27" fillId="0" borderId="0" xfId="0" applyNumberFormat="1" applyFont="1"/>
    <xf numFmtId="168" fontId="1" fillId="0" borderId="0" xfId="3" applyNumberFormat="1" applyFont="1" applyFill="1"/>
    <xf numFmtId="182" fontId="0" fillId="0" borderId="0" xfId="1" applyNumberFormat="1" applyFont="1" applyFill="1" applyAlignment="1">
      <alignment horizontal="center"/>
    </xf>
    <xf numFmtId="175" fontId="0" fillId="0" borderId="0" xfId="0" applyNumberFormat="1"/>
    <xf numFmtId="3" fontId="44" fillId="0" borderId="0" xfId="0" applyNumberFormat="1" applyFont="1" applyAlignment="1">
      <alignment horizontal="right"/>
    </xf>
    <xf numFmtId="1" fontId="51" fillId="0" borderId="0" xfId="0" applyNumberFormat="1" applyFont="1" applyAlignment="1">
      <alignment horizontal="center"/>
    </xf>
    <xf numFmtId="43" fontId="1" fillId="0" borderId="0" xfId="1" applyFont="1" applyFill="1" applyBorder="1"/>
    <xf numFmtId="43" fontId="0" fillId="0" borderId="0" xfId="1" applyFont="1" applyFill="1" applyBorder="1"/>
    <xf numFmtId="0" fontId="52" fillId="0" borderId="0" xfId="0" applyFont="1" applyAlignment="1">
      <alignment horizontal="left"/>
    </xf>
    <xf numFmtId="0" fontId="53" fillId="0" borderId="0" xfId="0" applyFont="1"/>
    <xf numFmtId="10" fontId="46" fillId="0" borderId="0" xfId="0" applyNumberFormat="1" applyFont="1" applyAlignment="1">
      <alignment horizontal="center"/>
    </xf>
    <xf numFmtId="10" fontId="18" fillId="0" borderId="0" xfId="0" applyNumberFormat="1" applyFont="1" applyAlignment="1">
      <alignment horizontal="center"/>
    </xf>
    <xf numFmtId="10" fontId="2" fillId="0" borderId="0" xfId="0" quotePrefix="1" applyNumberFormat="1" applyFont="1" applyAlignment="1">
      <alignment horizontal="center"/>
    </xf>
    <xf numFmtId="0" fontId="2" fillId="0" borderId="0" xfId="0" quotePrefix="1" applyFont="1"/>
    <xf numFmtId="0" fontId="0" fillId="0" borderId="0" xfId="0" applyAlignment="1">
      <alignment horizontal="right"/>
    </xf>
    <xf numFmtId="10" fontId="1" fillId="0" borderId="0" xfId="0" applyNumberFormat="1" applyFont="1" applyAlignment="1">
      <alignment horizontal="center"/>
    </xf>
    <xf numFmtId="177" fontId="0" fillId="0" borderId="0" xfId="0" applyNumberFormat="1"/>
    <xf numFmtId="178" fontId="0" fillId="0" borderId="0" xfId="0" applyNumberFormat="1"/>
    <xf numFmtId="176" fontId="0" fillId="0" borderId="0" xfId="0" applyNumberFormat="1"/>
    <xf numFmtId="0" fontId="0" fillId="0" borderId="0" xfId="0" applyAlignment="1">
      <alignment wrapText="1"/>
    </xf>
    <xf numFmtId="10" fontId="0" fillId="0" borderId="0" xfId="0" applyNumberFormat="1" applyAlignment="1">
      <alignment horizontal="left"/>
    </xf>
    <xf numFmtId="10" fontId="0" fillId="0" borderId="0" xfId="3" applyNumberFormat="1" applyFont="1" applyFill="1" applyAlignment="1">
      <alignment horizontal="center"/>
    </xf>
    <xf numFmtId="170" fontId="2" fillId="0" borderId="0" xfId="3" applyNumberFormat="1" applyFont="1" applyFill="1"/>
    <xf numFmtId="0" fontId="1" fillId="0" borderId="0" xfId="0" applyFont="1" applyAlignment="1">
      <alignment horizontal="right"/>
    </xf>
    <xf numFmtId="3" fontId="0" fillId="0" borderId="36" xfId="0" applyNumberFormat="1" applyBorder="1"/>
    <xf numFmtId="3" fontId="0" fillId="0" borderId="30" xfId="0" applyNumberFormat="1" applyBorder="1"/>
    <xf numFmtId="3" fontId="0" fillId="0" borderId="31" xfId="0" applyNumberFormat="1" applyBorder="1"/>
    <xf numFmtId="3" fontId="0" fillId="0" borderId="32" xfId="0" applyNumberFormat="1" applyBorder="1"/>
    <xf numFmtId="3" fontId="0" fillId="0" borderId="33" xfId="0" applyNumberFormat="1" applyBorder="1"/>
    <xf numFmtId="3" fontId="0" fillId="0" borderId="34" xfId="0" applyNumberFormat="1" applyBorder="1"/>
    <xf numFmtId="3" fontId="0" fillId="0" borderId="25" xfId="0" applyNumberFormat="1" applyBorder="1"/>
    <xf numFmtId="3" fontId="0" fillId="0" borderId="35" xfId="0" applyNumberFormat="1" applyBorder="1"/>
    <xf numFmtId="10" fontId="2" fillId="0" borderId="0" xfId="2" applyNumberFormat="1" applyFont="1" applyAlignment="1">
      <alignment horizontal="center"/>
    </xf>
    <xf numFmtId="10" fontId="2" fillId="0" borderId="0" xfId="2" quotePrefix="1" applyNumberFormat="1" applyFont="1" applyAlignment="1">
      <alignment horizontal="center"/>
    </xf>
    <xf numFmtId="10" fontId="1" fillId="0" borderId="0" xfId="2" applyNumberFormat="1" applyAlignment="1">
      <alignment horizontal="center"/>
    </xf>
    <xf numFmtId="10" fontId="10" fillId="0" borderId="0" xfId="2" applyNumberFormat="1" applyFont="1" applyAlignment="1">
      <alignment horizontal="center"/>
    </xf>
    <xf numFmtId="49" fontId="0" fillId="0" borderId="0" xfId="0" applyNumberFormat="1" applyAlignment="1">
      <alignment horizontal="left"/>
    </xf>
    <xf numFmtId="49" fontId="2" fillId="0" borderId="0" xfId="0" applyNumberFormat="1" applyFont="1" applyAlignment="1">
      <alignment horizontal="left"/>
    </xf>
    <xf numFmtId="9" fontId="0" fillId="0" borderId="0" xfId="0" applyNumberFormat="1" applyAlignment="1">
      <alignment horizontal="center"/>
    </xf>
    <xf numFmtId="0" fontId="2" fillId="0" borderId="0" xfId="2" applyFont="1"/>
    <xf numFmtId="0" fontId="2" fillId="0" borderId="0" xfId="2" applyFont="1" applyAlignment="1">
      <alignment horizontal="left"/>
    </xf>
    <xf numFmtId="164" fontId="1" fillId="0" borderId="0" xfId="1" applyNumberFormat="1" applyFont="1" applyFill="1" applyBorder="1"/>
    <xf numFmtId="173" fontId="1" fillId="0" borderId="0" xfId="0" applyNumberFormat="1" applyFont="1"/>
    <xf numFmtId="0" fontId="0" fillId="0" borderId="0" xfId="0" quotePrefix="1"/>
    <xf numFmtId="1" fontId="39" fillId="0" borderId="0" xfId="0" applyNumberFormat="1" applyFont="1"/>
    <xf numFmtId="0" fontId="1" fillId="0" borderId="0" xfId="0" applyFont="1" applyAlignment="1">
      <alignment wrapText="1"/>
    </xf>
    <xf numFmtId="10" fontId="7" fillId="0" borderId="0" xfId="0" applyNumberFormat="1" applyFont="1" applyAlignment="1">
      <alignment horizontal="center"/>
    </xf>
    <xf numFmtId="43" fontId="39" fillId="0" borderId="0" xfId="1" applyFont="1" applyFill="1"/>
    <xf numFmtId="1" fontId="1" fillId="0" borderId="0" xfId="0" applyNumberFormat="1" applyFont="1"/>
    <xf numFmtId="0" fontId="50" fillId="0" borderId="0" xfId="0" applyFont="1"/>
    <xf numFmtId="9" fontId="0" fillId="0" borderId="0" xfId="0" applyNumberFormat="1" applyAlignment="1">
      <alignment horizontal="left"/>
    </xf>
    <xf numFmtId="165" fontId="2" fillId="0" borderId="0" xfId="0" quotePrefix="1" applyNumberFormat="1" applyFont="1"/>
    <xf numFmtId="10" fontId="0" fillId="0" borderId="0" xfId="0" applyNumberFormat="1" applyAlignment="1">
      <alignment wrapText="1"/>
    </xf>
    <xf numFmtId="165" fontId="0" fillId="0" borderId="0" xfId="0" applyNumberFormat="1" applyAlignment="1">
      <alignment wrapText="1"/>
    </xf>
    <xf numFmtId="0" fontId="0" fillId="0" borderId="0" xfId="0" applyAlignment="1">
      <alignment horizontal="right" wrapText="1"/>
    </xf>
    <xf numFmtId="10" fontId="38" fillId="0" borderId="0" xfId="0" applyNumberFormat="1" applyFont="1"/>
    <xf numFmtId="1" fontId="0" fillId="0" borderId="0" xfId="0" applyNumberFormat="1" applyAlignment="1">
      <alignment horizontal="right"/>
    </xf>
    <xf numFmtId="1" fontId="1" fillId="0" borderId="0" xfId="0" applyNumberFormat="1" applyFont="1" applyAlignment="1">
      <alignment horizontal="right"/>
    </xf>
    <xf numFmtId="3" fontId="1" fillId="0" borderId="0" xfId="2" applyNumberFormat="1"/>
    <xf numFmtId="1" fontId="1" fillId="0" borderId="0" xfId="2" applyNumberFormat="1"/>
    <xf numFmtId="165" fontId="0" fillId="0" borderId="0" xfId="0" applyNumberFormat="1" applyAlignment="1">
      <alignment horizontal="right"/>
    </xf>
    <xf numFmtId="10" fontId="2" fillId="0" borderId="0" xfId="0" quotePrefix="1" applyNumberFormat="1" applyFont="1" applyAlignment="1">
      <alignment horizontal="right"/>
    </xf>
    <xf numFmtId="165" fontId="2" fillId="0" borderId="0" xfId="0" quotePrefix="1" applyNumberFormat="1" applyFont="1" applyAlignment="1">
      <alignment horizontal="right"/>
    </xf>
    <xf numFmtId="0" fontId="2" fillId="0" borderId="0" xfId="0" quotePrefix="1" applyFont="1" applyAlignment="1">
      <alignment horizontal="right"/>
    </xf>
    <xf numFmtId="0" fontId="1" fillId="0" borderId="0" xfId="2" applyAlignment="1">
      <alignment wrapText="1"/>
    </xf>
    <xf numFmtId="0" fontId="1" fillId="0" borderId="0" xfId="2"/>
    <xf numFmtId="0" fontId="2" fillId="0" borderId="0" xfId="2" applyFont="1" applyAlignment="1">
      <alignment horizontal="center"/>
    </xf>
    <xf numFmtId="0" fontId="2" fillId="0" borderId="0" xfId="2" applyFont="1" applyAlignment="1">
      <alignment horizontal="right"/>
    </xf>
    <xf numFmtId="0" fontId="38" fillId="0" borderId="0" xfId="2" applyFont="1"/>
    <xf numFmtId="2" fontId="1" fillId="0" borderId="0" xfId="2" applyNumberFormat="1"/>
    <xf numFmtId="173" fontId="1" fillId="0" borderId="0" xfId="2" applyNumberFormat="1"/>
    <xf numFmtId="0" fontId="10" fillId="0" borderId="0" xfId="0" quotePrefix="1" applyFont="1"/>
    <xf numFmtId="10" fontId="0" fillId="0" borderId="0" xfId="0" applyNumberFormat="1" applyAlignment="1">
      <alignment horizontal="right"/>
    </xf>
    <xf numFmtId="1" fontId="0" fillId="9" borderId="0" xfId="0" applyNumberFormat="1" applyFill="1" applyAlignment="1">
      <alignment horizontal="center"/>
    </xf>
    <xf numFmtId="1" fontId="1" fillId="9" borderId="0" xfId="0" applyNumberFormat="1" applyFont="1" applyFill="1" applyAlignment="1">
      <alignment horizontal="center"/>
    </xf>
    <xf numFmtId="165" fontId="54" fillId="0" borderId="0" xfId="0" applyNumberFormat="1" applyFont="1" applyAlignment="1">
      <alignment horizontal="center"/>
    </xf>
    <xf numFmtId="0" fontId="51" fillId="0" borderId="0" xfId="0" applyFont="1"/>
    <xf numFmtId="167" fontId="54" fillId="0" borderId="0" xfId="0" applyNumberFormat="1" applyFont="1" applyAlignment="1">
      <alignment horizontal="center"/>
    </xf>
    <xf numFmtId="167" fontId="55" fillId="0" borderId="0" xfId="0" applyNumberFormat="1" applyFont="1" applyAlignment="1">
      <alignment horizontal="center"/>
    </xf>
    <xf numFmtId="0" fontId="54" fillId="0" borderId="0" xfId="0" applyFont="1" applyAlignment="1">
      <alignment horizontal="center"/>
    </xf>
    <xf numFmtId="165" fontId="51" fillId="0" borderId="0" xfId="0" applyNumberFormat="1" applyFont="1" applyAlignment="1">
      <alignment horizontal="center"/>
    </xf>
    <xf numFmtId="0" fontId="54" fillId="0" borderId="0" xfId="0" applyFont="1"/>
    <xf numFmtId="170" fontId="54" fillId="0" borderId="0" xfId="0" applyNumberFormat="1" applyFont="1" applyAlignment="1">
      <alignment horizontal="center"/>
    </xf>
    <xf numFmtId="165" fontId="54" fillId="0" borderId="0" xfId="3" applyNumberFormat="1" applyFont="1" applyBorder="1" applyAlignment="1">
      <alignment horizontal="center"/>
    </xf>
    <xf numFmtId="4" fontId="54" fillId="0" borderId="0" xfId="0" applyNumberFormat="1" applyFont="1"/>
    <xf numFmtId="165" fontId="1" fillId="0" borderId="0" xfId="1" applyNumberFormat="1" applyFont="1" applyFill="1" applyAlignment="1">
      <alignment horizontal="center"/>
    </xf>
    <xf numFmtId="1" fontId="2" fillId="0" borderId="0" xfId="0" applyNumberFormat="1" applyFont="1" applyAlignment="1">
      <alignment horizontal="center"/>
    </xf>
    <xf numFmtId="0" fontId="15" fillId="0" borderId="0" xfId="0" applyFont="1" applyAlignment="1">
      <alignment wrapText="1"/>
    </xf>
    <xf numFmtId="0" fontId="15" fillId="0" borderId="0" xfId="0" applyFont="1" applyAlignment="1">
      <alignment horizontal="left" wrapText="1"/>
    </xf>
    <xf numFmtId="0" fontId="1" fillId="0" borderId="0" xfId="0" applyFont="1" applyAlignment="1">
      <alignment horizontal="center" wrapText="1"/>
    </xf>
    <xf numFmtId="0" fontId="0" fillId="0" borderId="0" xfId="0" applyAlignment="1">
      <alignment horizontal="center" wrapText="1"/>
    </xf>
    <xf numFmtId="0" fontId="4" fillId="0" borderId="36"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4" fillId="0" borderId="32" xfId="0" applyFont="1" applyBorder="1" applyAlignment="1">
      <alignment horizontal="center"/>
    </xf>
    <xf numFmtId="0" fontId="4" fillId="0" borderId="0" xfId="0" applyFont="1" applyAlignment="1">
      <alignment horizontal="center"/>
    </xf>
    <xf numFmtId="0" fontId="4" fillId="0" borderId="33" xfId="0" applyFont="1" applyBorder="1" applyAlignment="1">
      <alignment horizontal="center"/>
    </xf>
  </cellXfs>
  <cellStyles count="4">
    <cellStyle name="Comma" xfId="1" builtinId="3"/>
    <cellStyle name="Normal" xfId="0" builtinId="0"/>
    <cellStyle name="Normal 2" xfId="2" xr:uid="{00000000-0005-0000-0000-000002000000}"/>
    <cellStyle name="Percent" xfId="3"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purl.oclc.org/ooxml/officeDocument/relationships/worksheet" Target="worksheets/sheet26.xml"/><Relationship Id="rId21" Type="http://purl.oclc.org/ooxml/officeDocument/relationships/worksheet" Target="worksheets/sheet21.xml"/><Relationship Id="rId42" Type="http://purl.oclc.org/ooxml/officeDocument/relationships/worksheet" Target="worksheets/sheet42.xml"/><Relationship Id="rId47" Type="http://purl.oclc.org/ooxml/officeDocument/relationships/worksheet" Target="worksheets/sheet47.xml"/><Relationship Id="rId63" Type="http://purl.oclc.org/ooxml/officeDocument/relationships/worksheet" Target="worksheets/sheet63.xml"/><Relationship Id="rId68" Type="http://purl.oclc.org/ooxml/officeDocument/relationships/worksheet" Target="worksheets/sheet68.xml"/><Relationship Id="rId84" Type="http://purl.oclc.org/ooxml/officeDocument/relationships/externalLink" Target="externalLinks/externalLink11.xml"/><Relationship Id="rId89" Type="http://purl.oclc.org/ooxml/officeDocument/relationships/externalLink" Target="externalLinks/externalLink16.xml"/><Relationship Id="rId16" Type="http://purl.oclc.org/ooxml/officeDocument/relationships/worksheet" Target="worksheets/sheet16.xml"/><Relationship Id="rId11" Type="http://purl.oclc.org/ooxml/officeDocument/relationships/worksheet" Target="worksheets/sheet11.xml"/><Relationship Id="rId32" Type="http://purl.oclc.org/ooxml/officeDocument/relationships/worksheet" Target="worksheets/sheet32.xml"/><Relationship Id="rId37" Type="http://purl.oclc.org/ooxml/officeDocument/relationships/worksheet" Target="worksheets/sheet37.xml"/><Relationship Id="rId53" Type="http://purl.oclc.org/ooxml/officeDocument/relationships/worksheet" Target="worksheets/sheet53.xml"/><Relationship Id="rId58" Type="http://purl.oclc.org/ooxml/officeDocument/relationships/worksheet" Target="worksheets/sheet58.xml"/><Relationship Id="rId74" Type="http://purl.oclc.org/ooxml/officeDocument/relationships/externalLink" Target="externalLinks/externalLink1.xml"/><Relationship Id="rId79" Type="http://purl.oclc.org/ooxml/officeDocument/relationships/externalLink" Target="externalLinks/externalLink6.xml"/><Relationship Id="rId5" Type="http://purl.oclc.org/ooxml/officeDocument/relationships/worksheet" Target="worksheets/sheet5.xml"/><Relationship Id="rId90" Type="http://purl.oclc.org/ooxml/officeDocument/relationships/externalLink" Target="externalLinks/externalLink17.xml"/><Relationship Id="rId95" Type="http://purl.oclc.org/ooxml/officeDocument/relationships/theme" Target="theme/theme1.xml"/><Relationship Id="rId22" Type="http://purl.oclc.org/ooxml/officeDocument/relationships/worksheet" Target="worksheets/sheet22.xml"/><Relationship Id="rId27" Type="http://purl.oclc.org/ooxml/officeDocument/relationships/worksheet" Target="worksheets/sheet27.xml"/><Relationship Id="rId43" Type="http://purl.oclc.org/ooxml/officeDocument/relationships/worksheet" Target="worksheets/sheet43.xml"/><Relationship Id="rId48" Type="http://purl.oclc.org/ooxml/officeDocument/relationships/worksheet" Target="worksheets/sheet48.xml"/><Relationship Id="rId64" Type="http://purl.oclc.org/ooxml/officeDocument/relationships/worksheet" Target="worksheets/sheet64.xml"/><Relationship Id="rId69" Type="http://purl.oclc.org/ooxml/officeDocument/relationships/worksheet" Target="worksheets/sheet69.xml"/><Relationship Id="rId80" Type="http://purl.oclc.org/ooxml/officeDocument/relationships/externalLink" Target="externalLinks/externalLink7.xml"/><Relationship Id="rId85" Type="http://purl.oclc.org/ooxml/officeDocument/relationships/externalLink" Target="externalLinks/externalLink12.xml"/><Relationship Id="rId12" Type="http://purl.oclc.org/ooxml/officeDocument/relationships/worksheet" Target="worksheets/sheet12.xml"/><Relationship Id="rId17" Type="http://purl.oclc.org/ooxml/officeDocument/relationships/worksheet" Target="worksheets/sheet17.xml"/><Relationship Id="rId25" Type="http://purl.oclc.org/ooxml/officeDocument/relationships/worksheet" Target="worksheets/sheet25.xml"/><Relationship Id="rId33" Type="http://purl.oclc.org/ooxml/officeDocument/relationships/worksheet" Target="worksheets/sheet33.xml"/><Relationship Id="rId38" Type="http://purl.oclc.org/ooxml/officeDocument/relationships/worksheet" Target="worksheets/sheet38.xml"/><Relationship Id="rId46" Type="http://purl.oclc.org/ooxml/officeDocument/relationships/worksheet" Target="worksheets/sheet46.xml"/><Relationship Id="rId59" Type="http://purl.oclc.org/ooxml/officeDocument/relationships/worksheet" Target="worksheets/sheet59.xml"/><Relationship Id="rId67" Type="http://purl.oclc.org/ooxml/officeDocument/relationships/worksheet" Target="worksheets/sheet67.xml"/><Relationship Id="rId20" Type="http://purl.oclc.org/ooxml/officeDocument/relationships/worksheet" Target="worksheets/sheet20.xml"/><Relationship Id="rId41" Type="http://purl.oclc.org/ooxml/officeDocument/relationships/worksheet" Target="worksheets/sheet41.xml"/><Relationship Id="rId54" Type="http://purl.oclc.org/ooxml/officeDocument/relationships/worksheet" Target="worksheets/sheet54.xml"/><Relationship Id="rId62" Type="http://purl.oclc.org/ooxml/officeDocument/relationships/worksheet" Target="worksheets/sheet62.xml"/><Relationship Id="rId70" Type="http://purl.oclc.org/ooxml/officeDocument/relationships/worksheet" Target="worksheets/sheet70.xml"/><Relationship Id="rId75" Type="http://purl.oclc.org/ooxml/officeDocument/relationships/externalLink" Target="externalLinks/externalLink2.xml"/><Relationship Id="rId83" Type="http://purl.oclc.org/ooxml/officeDocument/relationships/externalLink" Target="externalLinks/externalLink10.xml"/><Relationship Id="rId88" Type="http://purl.oclc.org/ooxml/officeDocument/relationships/externalLink" Target="externalLinks/externalLink15.xml"/><Relationship Id="rId91" Type="http://purl.oclc.org/ooxml/officeDocument/relationships/externalLink" Target="externalLinks/externalLink18.xml"/><Relationship Id="rId96" Type="http://purl.oclc.org/ooxml/officeDocument/relationships/styles" Target="styles.xml"/><Relationship Id="rId1" Type="http://purl.oclc.org/ooxml/officeDocument/relationships/worksheet" Target="worksheets/sheet1.xml"/><Relationship Id="rId6" Type="http://purl.oclc.org/ooxml/officeDocument/relationships/worksheet" Target="worksheets/sheet6.xml"/><Relationship Id="rId15" Type="http://purl.oclc.org/ooxml/officeDocument/relationships/worksheet" Target="worksheets/sheet15.xml"/><Relationship Id="rId23" Type="http://purl.oclc.org/ooxml/officeDocument/relationships/worksheet" Target="worksheets/sheet23.xml"/><Relationship Id="rId28" Type="http://purl.oclc.org/ooxml/officeDocument/relationships/worksheet" Target="worksheets/sheet28.xml"/><Relationship Id="rId36" Type="http://purl.oclc.org/ooxml/officeDocument/relationships/worksheet" Target="worksheets/sheet36.xml"/><Relationship Id="rId49" Type="http://purl.oclc.org/ooxml/officeDocument/relationships/worksheet" Target="worksheets/sheet49.xml"/><Relationship Id="rId57" Type="http://purl.oclc.org/ooxml/officeDocument/relationships/worksheet" Target="worksheets/sheet57.xml"/><Relationship Id="rId10" Type="http://purl.oclc.org/ooxml/officeDocument/relationships/worksheet" Target="worksheets/sheet10.xml"/><Relationship Id="rId31" Type="http://purl.oclc.org/ooxml/officeDocument/relationships/worksheet" Target="worksheets/sheet31.xml"/><Relationship Id="rId44" Type="http://purl.oclc.org/ooxml/officeDocument/relationships/worksheet" Target="worksheets/sheet44.xml"/><Relationship Id="rId52" Type="http://purl.oclc.org/ooxml/officeDocument/relationships/worksheet" Target="worksheets/sheet52.xml"/><Relationship Id="rId60" Type="http://purl.oclc.org/ooxml/officeDocument/relationships/worksheet" Target="worksheets/sheet60.xml"/><Relationship Id="rId65" Type="http://purl.oclc.org/ooxml/officeDocument/relationships/worksheet" Target="worksheets/sheet65.xml"/><Relationship Id="rId73" Type="http://purl.oclc.org/ooxml/officeDocument/relationships/worksheet" Target="worksheets/sheet73.xml"/><Relationship Id="rId78" Type="http://purl.oclc.org/ooxml/officeDocument/relationships/externalLink" Target="externalLinks/externalLink5.xml"/><Relationship Id="rId81" Type="http://purl.oclc.org/ooxml/officeDocument/relationships/externalLink" Target="externalLinks/externalLink8.xml"/><Relationship Id="rId86" Type="http://purl.oclc.org/ooxml/officeDocument/relationships/externalLink" Target="externalLinks/externalLink13.xml"/><Relationship Id="rId94" Type="http://purl.oclc.org/ooxml/officeDocument/relationships/externalLink" Target="externalLinks/externalLink21.xml"/><Relationship Id="rId99" Type="http://purl.oclc.org/ooxml/officeDocument/relationships/customXml" Target="../customXml/item1.xml"/><Relationship Id="rId101" Type="http://purl.oclc.org/ooxml/officeDocument/relationships/customXml" Target="../customXml/item3.xml"/><Relationship Id="rId4" Type="http://purl.oclc.org/ooxml/officeDocument/relationships/worksheet" Target="worksheets/sheet4.xml"/><Relationship Id="rId9" Type="http://purl.oclc.org/ooxml/officeDocument/relationships/worksheet" Target="worksheets/sheet9.xml"/><Relationship Id="rId13" Type="http://purl.oclc.org/ooxml/officeDocument/relationships/worksheet" Target="worksheets/sheet13.xml"/><Relationship Id="rId18" Type="http://purl.oclc.org/ooxml/officeDocument/relationships/worksheet" Target="worksheets/sheet18.xml"/><Relationship Id="rId39" Type="http://purl.oclc.org/ooxml/officeDocument/relationships/worksheet" Target="worksheets/sheet39.xml"/><Relationship Id="rId34" Type="http://purl.oclc.org/ooxml/officeDocument/relationships/worksheet" Target="worksheets/sheet34.xml"/><Relationship Id="rId50" Type="http://purl.oclc.org/ooxml/officeDocument/relationships/worksheet" Target="worksheets/sheet50.xml"/><Relationship Id="rId55" Type="http://purl.oclc.org/ooxml/officeDocument/relationships/worksheet" Target="worksheets/sheet55.xml"/><Relationship Id="rId76" Type="http://purl.oclc.org/ooxml/officeDocument/relationships/externalLink" Target="externalLinks/externalLink3.xml"/><Relationship Id="rId97" Type="http://purl.oclc.org/ooxml/officeDocument/relationships/sharedStrings" Target="sharedStrings.xml"/><Relationship Id="rId7" Type="http://purl.oclc.org/ooxml/officeDocument/relationships/worksheet" Target="worksheets/sheet7.xml"/><Relationship Id="rId71" Type="http://purl.oclc.org/ooxml/officeDocument/relationships/worksheet" Target="worksheets/sheet71.xml"/><Relationship Id="rId92" Type="http://purl.oclc.org/ooxml/officeDocument/relationships/externalLink" Target="externalLinks/externalLink19.xml"/><Relationship Id="rId2" Type="http://purl.oclc.org/ooxml/officeDocument/relationships/worksheet" Target="worksheets/sheet2.xml"/><Relationship Id="rId29" Type="http://purl.oclc.org/ooxml/officeDocument/relationships/worksheet" Target="worksheets/sheet29.xml"/><Relationship Id="rId24" Type="http://purl.oclc.org/ooxml/officeDocument/relationships/worksheet" Target="worksheets/sheet24.xml"/><Relationship Id="rId40" Type="http://purl.oclc.org/ooxml/officeDocument/relationships/worksheet" Target="worksheets/sheet40.xml"/><Relationship Id="rId45" Type="http://purl.oclc.org/ooxml/officeDocument/relationships/worksheet" Target="worksheets/sheet45.xml"/><Relationship Id="rId66" Type="http://purl.oclc.org/ooxml/officeDocument/relationships/worksheet" Target="worksheets/sheet66.xml"/><Relationship Id="rId87" Type="http://purl.oclc.org/ooxml/officeDocument/relationships/externalLink" Target="externalLinks/externalLink14.xml"/><Relationship Id="rId61" Type="http://purl.oclc.org/ooxml/officeDocument/relationships/worksheet" Target="worksheets/sheet61.xml"/><Relationship Id="rId82" Type="http://purl.oclc.org/ooxml/officeDocument/relationships/externalLink" Target="externalLinks/externalLink9.xml"/><Relationship Id="rId19" Type="http://purl.oclc.org/ooxml/officeDocument/relationships/worksheet" Target="worksheets/sheet19.xml"/><Relationship Id="rId14" Type="http://purl.oclc.org/ooxml/officeDocument/relationships/worksheet" Target="worksheets/sheet14.xml"/><Relationship Id="rId30" Type="http://purl.oclc.org/ooxml/officeDocument/relationships/worksheet" Target="worksheets/sheet30.xml"/><Relationship Id="rId35" Type="http://purl.oclc.org/ooxml/officeDocument/relationships/worksheet" Target="worksheets/sheet35.xml"/><Relationship Id="rId56" Type="http://purl.oclc.org/ooxml/officeDocument/relationships/worksheet" Target="worksheets/sheet56.xml"/><Relationship Id="rId77" Type="http://purl.oclc.org/ooxml/officeDocument/relationships/externalLink" Target="externalLinks/externalLink4.xml"/><Relationship Id="rId100" Type="http://purl.oclc.org/ooxml/officeDocument/relationships/customXml" Target="../customXml/item2.xml"/><Relationship Id="rId8" Type="http://purl.oclc.org/ooxml/officeDocument/relationships/worksheet" Target="worksheets/sheet8.xml"/><Relationship Id="rId51" Type="http://purl.oclc.org/ooxml/officeDocument/relationships/worksheet" Target="worksheets/sheet51.xml"/><Relationship Id="rId72" Type="http://purl.oclc.org/ooxml/officeDocument/relationships/worksheet" Target="worksheets/sheet72.xml"/><Relationship Id="rId93" Type="http://purl.oclc.org/ooxml/officeDocument/relationships/externalLink" Target="externalLinks/externalLink20.xml"/><Relationship Id="rId98" Type="http://purl.oclc.org/ooxml/officeDocument/relationships/calcChain" Target="calcChain.xml"/><Relationship Id="rId3" Type="http://purl.oclc.org/ooxml/officeDocument/relationships/worksheet" Target="worksheets/sheet3.xml"/></Relationships>
</file>

<file path=xl/drawings/drawing1.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049" name="Line 1">
          <a:extLst>
            <a:ext uri="{FF2B5EF4-FFF2-40B4-BE49-F238E27FC236}">
              <a16:creationId xmlns:a16="http://schemas.microsoft.com/office/drawing/2014/main" id="{00000000-0008-0000-0500-000001080000}"/>
            </a:ext>
          </a:extLst>
        </xdr:cNvPr>
        <xdr:cNvSpPr>
          <a:spLocks noChangeShapeType="1"/>
        </xdr:cNvSpPr>
      </xdr:nvSpPr>
      <xdr:spPr bwMode="auto">
        <a:xfrm>
          <a:off x="48844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2050" name="Line 2">
          <a:extLst>
            <a:ext uri="{FF2B5EF4-FFF2-40B4-BE49-F238E27FC236}">
              <a16:creationId xmlns:a16="http://schemas.microsoft.com/office/drawing/2014/main" id="{00000000-0008-0000-0500-000002080000}"/>
            </a:ext>
          </a:extLst>
        </xdr:cNvPr>
        <xdr:cNvSpPr>
          <a:spLocks noChangeShapeType="1"/>
        </xdr:cNvSpPr>
      </xdr:nvSpPr>
      <xdr:spPr bwMode="auto">
        <a:xfrm>
          <a:off x="48844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2051" name="Line 3">
          <a:extLst>
            <a:ext uri="{FF2B5EF4-FFF2-40B4-BE49-F238E27FC236}">
              <a16:creationId xmlns:a16="http://schemas.microsoft.com/office/drawing/2014/main" id="{00000000-0008-0000-0500-000003080000}"/>
            </a:ext>
          </a:extLst>
        </xdr:cNvPr>
        <xdr:cNvSpPr>
          <a:spLocks noChangeShapeType="1"/>
        </xdr:cNvSpPr>
      </xdr:nvSpPr>
      <xdr:spPr bwMode="auto">
        <a:xfrm>
          <a:off x="48844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2052" name="Line 4">
          <a:extLst>
            <a:ext uri="{FF2B5EF4-FFF2-40B4-BE49-F238E27FC236}">
              <a16:creationId xmlns:a16="http://schemas.microsoft.com/office/drawing/2014/main" id="{00000000-0008-0000-0500-000004080000}"/>
            </a:ext>
          </a:extLst>
        </xdr:cNvPr>
        <xdr:cNvSpPr>
          <a:spLocks noChangeShapeType="1"/>
        </xdr:cNvSpPr>
      </xdr:nvSpPr>
      <xdr:spPr bwMode="auto">
        <a:xfrm>
          <a:off x="70789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2053" name="Line 5">
          <a:extLst>
            <a:ext uri="{FF2B5EF4-FFF2-40B4-BE49-F238E27FC236}">
              <a16:creationId xmlns:a16="http://schemas.microsoft.com/office/drawing/2014/main" id="{00000000-0008-0000-0500-000005080000}"/>
            </a:ext>
          </a:extLst>
        </xdr:cNvPr>
        <xdr:cNvSpPr>
          <a:spLocks noChangeShapeType="1"/>
        </xdr:cNvSpPr>
      </xdr:nvSpPr>
      <xdr:spPr bwMode="auto">
        <a:xfrm>
          <a:off x="107365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2054" name="Line 6">
          <a:extLst>
            <a:ext uri="{FF2B5EF4-FFF2-40B4-BE49-F238E27FC236}">
              <a16:creationId xmlns:a16="http://schemas.microsoft.com/office/drawing/2014/main" id="{00000000-0008-0000-0500-000006080000}"/>
            </a:ext>
          </a:extLst>
        </xdr:cNvPr>
        <xdr:cNvSpPr>
          <a:spLocks noChangeShapeType="1"/>
        </xdr:cNvSpPr>
      </xdr:nvSpPr>
      <xdr:spPr bwMode="auto">
        <a:xfrm>
          <a:off x="107365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2055" name="Line 7">
          <a:extLst>
            <a:ext uri="{FF2B5EF4-FFF2-40B4-BE49-F238E27FC236}">
              <a16:creationId xmlns:a16="http://schemas.microsoft.com/office/drawing/2014/main" id="{00000000-0008-0000-0500-000007080000}"/>
            </a:ext>
          </a:extLst>
        </xdr:cNvPr>
        <xdr:cNvSpPr>
          <a:spLocks noChangeShapeType="1"/>
        </xdr:cNvSpPr>
      </xdr:nvSpPr>
      <xdr:spPr bwMode="auto">
        <a:xfrm>
          <a:off x="48844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2056" name="Line 8">
          <a:extLst>
            <a:ext uri="{FF2B5EF4-FFF2-40B4-BE49-F238E27FC236}">
              <a16:creationId xmlns:a16="http://schemas.microsoft.com/office/drawing/2014/main" id="{00000000-0008-0000-0500-000008080000}"/>
            </a:ext>
          </a:extLst>
        </xdr:cNvPr>
        <xdr:cNvSpPr>
          <a:spLocks noChangeShapeType="1"/>
        </xdr:cNvSpPr>
      </xdr:nvSpPr>
      <xdr:spPr bwMode="auto">
        <a:xfrm>
          <a:off x="48844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2057" name="Line 9">
          <a:extLst>
            <a:ext uri="{FF2B5EF4-FFF2-40B4-BE49-F238E27FC236}">
              <a16:creationId xmlns:a16="http://schemas.microsoft.com/office/drawing/2014/main" id="{00000000-0008-0000-0500-000009080000}"/>
            </a:ext>
          </a:extLst>
        </xdr:cNvPr>
        <xdr:cNvSpPr>
          <a:spLocks noChangeShapeType="1"/>
        </xdr:cNvSpPr>
      </xdr:nvSpPr>
      <xdr:spPr bwMode="auto">
        <a:xfrm>
          <a:off x="48844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2058" name="Line 10">
          <a:extLst>
            <a:ext uri="{FF2B5EF4-FFF2-40B4-BE49-F238E27FC236}">
              <a16:creationId xmlns:a16="http://schemas.microsoft.com/office/drawing/2014/main" id="{00000000-0008-0000-0500-00000A080000}"/>
            </a:ext>
          </a:extLst>
        </xdr:cNvPr>
        <xdr:cNvSpPr>
          <a:spLocks noChangeShapeType="1"/>
        </xdr:cNvSpPr>
      </xdr:nvSpPr>
      <xdr:spPr bwMode="auto">
        <a:xfrm>
          <a:off x="70789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2059" name="Line 11">
          <a:extLst>
            <a:ext uri="{FF2B5EF4-FFF2-40B4-BE49-F238E27FC236}">
              <a16:creationId xmlns:a16="http://schemas.microsoft.com/office/drawing/2014/main" id="{00000000-0008-0000-0500-00000B080000}"/>
            </a:ext>
          </a:extLst>
        </xdr:cNvPr>
        <xdr:cNvSpPr>
          <a:spLocks noChangeShapeType="1"/>
        </xdr:cNvSpPr>
      </xdr:nvSpPr>
      <xdr:spPr bwMode="auto">
        <a:xfrm>
          <a:off x="70789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2060" name="Line 12">
          <a:extLst>
            <a:ext uri="{FF2B5EF4-FFF2-40B4-BE49-F238E27FC236}">
              <a16:creationId xmlns:a16="http://schemas.microsoft.com/office/drawing/2014/main" id="{00000000-0008-0000-0500-00000C080000}"/>
            </a:ext>
          </a:extLst>
        </xdr:cNvPr>
        <xdr:cNvSpPr>
          <a:spLocks noChangeShapeType="1"/>
        </xdr:cNvSpPr>
      </xdr:nvSpPr>
      <xdr:spPr bwMode="auto">
        <a:xfrm>
          <a:off x="70789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2061" name="Line 13">
          <a:extLst>
            <a:ext uri="{FF2B5EF4-FFF2-40B4-BE49-F238E27FC236}">
              <a16:creationId xmlns:a16="http://schemas.microsoft.com/office/drawing/2014/main" id="{00000000-0008-0000-0500-00000D080000}"/>
            </a:ext>
          </a:extLst>
        </xdr:cNvPr>
        <xdr:cNvSpPr>
          <a:spLocks noChangeShapeType="1"/>
        </xdr:cNvSpPr>
      </xdr:nvSpPr>
      <xdr:spPr bwMode="auto">
        <a:xfrm>
          <a:off x="1073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2062" name="Line 14">
          <a:extLst>
            <a:ext uri="{FF2B5EF4-FFF2-40B4-BE49-F238E27FC236}">
              <a16:creationId xmlns:a16="http://schemas.microsoft.com/office/drawing/2014/main" id="{00000000-0008-0000-0500-00000E080000}"/>
            </a:ext>
          </a:extLst>
        </xdr:cNvPr>
        <xdr:cNvSpPr>
          <a:spLocks noChangeShapeType="1"/>
        </xdr:cNvSpPr>
      </xdr:nvSpPr>
      <xdr:spPr bwMode="auto">
        <a:xfrm>
          <a:off x="1073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2063" name="Line 15">
          <a:extLst>
            <a:ext uri="{FF2B5EF4-FFF2-40B4-BE49-F238E27FC236}">
              <a16:creationId xmlns:a16="http://schemas.microsoft.com/office/drawing/2014/main" id="{00000000-0008-0000-0500-00000F080000}"/>
            </a:ext>
          </a:extLst>
        </xdr:cNvPr>
        <xdr:cNvSpPr>
          <a:spLocks noChangeShapeType="1"/>
        </xdr:cNvSpPr>
      </xdr:nvSpPr>
      <xdr:spPr bwMode="auto">
        <a:xfrm>
          <a:off x="1073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2064" name="Line 16">
          <a:extLst>
            <a:ext uri="{FF2B5EF4-FFF2-40B4-BE49-F238E27FC236}">
              <a16:creationId xmlns:a16="http://schemas.microsoft.com/office/drawing/2014/main" id="{00000000-0008-0000-0500-000010080000}"/>
            </a:ext>
          </a:extLst>
        </xdr:cNvPr>
        <xdr:cNvSpPr>
          <a:spLocks noChangeShapeType="1"/>
        </xdr:cNvSpPr>
      </xdr:nvSpPr>
      <xdr:spPr bwMode="auto">
        <a:xfrm>
          <a:off x="107365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2065" name="Line 17">
          <a:extLst>
            <a:ext uri="{FF2B5EF4-FFF2-40B4-BE49-F238E27FC236}">
              <a16:creationId xmlns:a16="http://schemas.microsoft.com/office/drawing/2014/main" id="{00000000-0008-0000-0500-000011080000}"/>
            </a:ext>
          </a:extLst>
        </xdr:cNvPr>
        <xdr:cNvSpPr>
          <a:spLocks noChangeShapeType="1"/>
        </xdr:cNvSpPr>
      </xdr:nvSpPr>
      <xdr:spPr bwMode="auto">
        <a:xfrm>
          <a:off x="26898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2066" name="Line 18">
          <a:extLst>
            <a:ext uri="{FF2B5EF4-FFF2-40B4-BE49-F238E27FC236}">
              <a16:creationId xmlns:a16="http://schemas.microsoft.com/office/drawing/2014/main" id="{00000000-0008-0000-0500-000012080000}"/>
            </a:ext>
          </a:extLst>
        </xdr:cNvPr>
        <xdr:cNvSpPr>
          <a:spLocks noChangeShapeType="1"/>
        </xdr:cNvSpPr>
      </xdr:nvSpPr>
      <xdr:spPr bwMode="auto">
        <a:xfrm>
          <a:off x="26898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067" name="Line 19">
          <a:extLst>
            <a:ext uri="{FF2B5EF4-FFF2-40B4-BE49-F238E27FC236}">
              <a16:creationId xmlns:a16="http://schemas.microsoft.com/office/drawing/2014/main" id="{00000000-0008-0000-0500-000013080000}"/>
            </a:ext>
          </a:extLst>
        </xdr:cNvPr>
        <xdr:cNvSpPr>
          <a:spLocks noChangeShapeType="1"/>
        </xdr:cNvSpPr>
      </xdr:nvSpPr>
      <xdr:spPr bwMode="auto">
        <a:xfrm>
          <a:off x="26898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068" name="Line 20">
          <a:extLst>
            <a:ext uri="{FF2B5EF4-FFF2-40B4-BE49-F238E27FC236}">
              <a16:creationId xmlns:a16="http://schemas.microsoft.com/office/drawing/2014/main" id="{00000000-0008-0000-0500-000014080000}"/>
            </a:ext>
          </a:extLst>
        </xdr:cNvPr>
        <xdr:cNvSpPr>
          <a:spLocks noChangeShapeType="1"/>
        </xdr:cNvSpPr>
      </xdr:nvSpPr>
      <xdr:spPr bwMode="auto">
        <a:xfrm>
          <a:off x="26898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069" name="Line 21">
          <a:extLst>
            <a:ext uri="{FF2B5EF4-FFF2-40B4-BE49-F238E27FC236}">
              <a16:creationId xmlns:a16="http://schemas.microsoft.com/office/drawing/2014/main" id="{00000000-0008-0000-0500-000015080000}"/>
            </a:ext>
          </a:extLst>
        </xdr:cNvPr>
        <xdr:cNvSpPr>
          <a:spLocks noChangeShapeType="1"/>
        </xdr:cNvSpPr>
      </xdr:nvSpPr>
      <xdr:spPr bwMode="auto">
        <a:xfrm>
          <a:off x="26898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070" name="Line 22">
          <a:extLst>
            <a:ext uri="{FF2B5EF4-FFF2-40B4-BE49-F238E27FC236}">
              <a16:creationId xmlns:a16="http://schemas.microsoft.com/office/drawing/2014/main" id="{00000000-0008-0000-0500-000016080000}"/>
            </a:ext>
          </a:extLst>
        </xdr:cNvPr>
        <xdr:cNvSpPr>
          <a:spLocks noChangeShapeType="1"/>
        </xdr:cNvSpPr>
      </xdr:nvSpPr>
      <xdr:spPr bwMode="auto">
        <a:xfrm>
          <a:off x="26898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071" name="Line 23">
          <a:extLst>
            <a:ext uri="{FF2B5EF4-FFF2-40B4-BE49-F238E27FC236}">
              <a16:creationId xmlns:a16="http://schemas.microsoft.com/office/drawing/2014/main" id="{00000000-0008-0000-0500-0000170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072" name="Line 24">
          <a:extLst>
            <a:ext uri="{FF2B5EF4-FFF2-40B4-BE49-F238E27FC236}">
              <a16:creationId xmlns:a16="http://schemas.microsoft.com/office/drawing/2014/main" id="{00000000-0008-0000-0500-0000180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073" name="Line 25">
          <a:extLst>
            <a:ext uri="{FF2B5EF4-FFF2-40B4-BE49-F238E27FC236}">
              <a16:creationId xmlns:a16="http://schemas.microsoft.com/office/drawing/2014/main" id="{00000000-0008-0000-0500-000019080000}"/>
            </a:ext>
          </a:extLst>
        </xdr:cNvPr>
        <xdr:cNvSpPr>
          <a:spLocks noChangeShapeType="1"/>
        </xdr:cNvSpPr>
      </xdr:nvSpPr>
      <xdr:spPr bwMode="auto">
        <a:xfrm>
          <a:off x="70789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074" name="Line 26">
          <a:extLst>
            <a:ext uri="{FF2B5EF4-FFF2-40B4-BE49-F238E27FC236}">
              <a16:creationId xmlns:a16="http://schemas.microsoft.com/office/drawing/2014/main" id="{00000000-0008-0000-0500-00001A080000}"/>
            </a:ext>
          </a:extLst>
        </xdr:cNvPr>
        <xdr:cNvSpPr>
          <a:spLocks noChangeShapeType="1"/>
        </xdr:cNvSpPr>
      </xdr:nvSpPr>
      <xdr:spPr bwMode="auto">
        <a:xfrm>
          <a:off x="107365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075" name="Line 27">
          <a:extLst>
            <a:ext uri="{FF2B5EF4-FFF2-40B4-BE49-F238E27FC236}">
              <a16:creationId xmlns:a16="http://schemas.microsoft.com/office/drawing/2014/main" id="{00000000-0008-0000-0500-00001B080000}"/>
            </a:ext>
          </a:extLst>
        </xdr:cNvPr>
        <xdr:cNvSpPr>
          <a:spLocks noChangeShapeType="1"/>
        </xdr:cNvSpPr>
      </xdr:nvSpPr>
      <xdr:spPr bwMode="auto">
        <a:xfrm>
          <a:off x="48844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076" name="Line 28">
          <a:extLst>
            <a:ext uri="{FF2B5EF4-FFF2-40B4-BE49-F238E27FC236}">
              <a16:creationId xmlns:a16="http://schemas.microsoft.com/office/drawing/2014/main" id="{00000000-0008-0000-0500-00001C080000}"/>
            </a:ext>
          </a:extLst>
        </xdr:cNvPr>
        <xdr:cNvSpPr>
          <a:spLocks noChangeShapeType="1"/>
        </xdr:cNvSpPr>
      </xdr:nvSpPr>
      <xdr:spPr bwMode="auto">
        <a:xfrm>
          <a:off x="48844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2077" name="Line 29">
          <a:extLst>
            <a:ext uri="{FF2B5EF4-FFF2-40B4-BE49-F238E27FC236}">
              <a16:creationId xmlns:a16="http://schemas.microsoft.com/office/drawing/2014/main" id="{00000000-0008-0000-0500-00001D080000}"/>
            </a:ext>
          </a:extLst>
        </xdr:cNvPr>
        <xdr:cNvSpPr>
          <a:spLocks noChangeShapeType="1"/>
        </xdr:cNvSpPr>
      </xdr:nvSpPr>
      <xdr:spPr bwMode="auto">
        <a:xfrm>
          <a:off x="70789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2078" name="Line 30">
          <a:extLst>
            <a:ext uri="{FF2B5EF4-FFF2-40B4-BE49-F238E27FC236}">
              <a16:creationId xmlns:a16="http://schemas.microsoft.com/office/drawing/2014/main" id="{00000000-0008-0000-0500-00001E080000}"/>
            </a:ext>
          </a:extLst>
        </xdr:cNvPr>
        <xdr:cNvSpPr>
          <a:spLocks noChangeShapeType="1"/>
        </xdr:cNvSpPr>
      </xdr:nvSpPr>
      <xdr:spPr bwMode="auto">
        <a:xfrm>
          <a:off x="70789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2079" name="Line 31">
          <a:extLst>
            <a:ext uri="{FF2B5EF4-FFF2-40B4-BE49-F238E27FC236}">
              <a16:creationId xmlns:a16="http://schemas.microsoft.com/office/drawing/2014/main" id="{00000000-0008-0000-0500-00001F080000}"/>
            </a:ext>
          </a:extLst>
        </xdr:cNvPr>
        <xdr:cNvSpPr>
          <a:spLocks noChangeShapeType="1"/>
        </xdr:cNvSpPr>
      </xdr:nvSpPr>
      <xdr:spPr bwMode="auto">
        <a:xfrm>
          <a:off x="1073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2080" name="Line 32">
          <a:extLst>
            <a:ext uri="{FF2B5EF4-FFF2-40B4-BE49-F238E27FC236}">
              <a16:creationId xmlns:a16="http://schemas.microsoft.com/office/drawing/2014/main" id="{00000000-0008-0000-0500-000020080000}"/>
            </a:ext>
          </a:extLst>
        </xdr:cNvPr>
        <xdr:cNvSpPr>
          <a:spLocks noChangeShapeType="1"/>
        </xdr:cNvSpPr>
      </xdr:nvSpPr>
      <xdr:spPr bwMode="auto">
        <a:xfrm>
          <a:off x="1073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2081" name="Line 33">
          <a:extLst>
            <a:ext uri="{FF2B5EF4-FFF2-40B4-BE49-F238E27FC236}">
              <a16:creationId xmlns:a16="http://schemas.microsoft.com/office/drawing/2014/main" id="{00000000-0008-0000-0500-000021080000}"/>
            </a:ext>
          </a:extLst>
        </xdr:cNvPr>
        <xdr:cNvSpPr>
          <a:spLocks noChangeShapeType="1"/>
        </xdr:cNvSpPr>
      </xdr:nvSpPr>
      <xdr:spPr bwMode="auto">
        <a:xfrm>
          <a:off x="26898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082" name="Line 34">
          <a:extLst>
            <a:ext uri="{FF2B5EF4-FFF2-40B4-BE49-F238E27FC236}">
              <a16:creationId xmlns:a16="http://schemas.microsoft.com/office/drawing/2014/main" id="{00000000-0008-0000-0500-0000220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083" name="Line 35">
          <a:extLst>
            <a:ext uri="{FF2B5EF4-FFF2-40B4-BE49-F238E27FC236}">
              <a16:creationId xmlns:a16="http://schemas.microsoft.com/office/drawing/2014/main" id="{00000000-0008-0000-0500-0000230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2084" name="Line 36">
          <a:extLst>
            <a:ext uri="{FF2B5EF4-FFF2-40B4-BE49-F238E27FC236}">
              <a16:creationId xmlns:a16="http://schemas.microsoft.com/office/drawing/2014/main" id="{00000000-0008-0000-0500-000024080000}"/>
            </a:ext>
          </a:extLst>
        </xdr:cNvPr>
        <xdr:cNvSpPr>
          <a:spLocks noChangeShapeType="1"/>
        </xdr:cNvSpPr>
      </xdr:nvSpPr>
      <xdr:spPr bwMode="auto">
        <a:xfrm>
          <a:off x="26898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2085" name="Line 37">
          <a:extLst>
            <a:ext uri="{FF2B5EF4-FFF2-40B4-BE49-F238E27FC236}">
              <a16:creationId xmlns:a16="http://schemas.microsoft.com/office/drawing/2014/main" id="{00000000-0008-0000-0500-000025080000}"/>
            </a:ext>
          </a:extLst>
        </xdr:cNvPr>
        <xdr:cNvSpPr>
          <a:spLocks noChangeShapeType="1"/>
        </xdr:cNvSpPr>
      </xdr:nvSpPr>
      <xdr:spPr bwMode="auto">
        <a:xfrm>
          <a:off x="26898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2086" name="Line 38">
          <a:extLst>
            <a:ext uri="{FF2B5EF4-FFF2-40B4-BE49-F238E27FC236}">
              <a16:creationId xmlns:a16="http://schemas.microsoft.com/office/drawing/2014/main" id="{00000000-0008-0000-0500-000026080000}"/>
            </a:ext>
          </a:extLst>
        </xdr:cNvPr>
        <xdr:cNvSpPr>
          <a:spLocks noChangeShapeType="1"/>
        </xdr:cNvSpPr>
      </xdr:nvSpPr>
      <xdr:spPr bwMode="auto">
        <a:xfrm>
          <a:off x="26898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2087" name="Line 39">
          <a:extLst>
            <a:ext uri="{FF2B5EF4-FFF2-40B4-BE49-F238E27FC236}">
              <a16:creationId xmlns:a16="http://schemas.microsoft.com/office/drawing/2014/main" id="{00000000-0008-0000-0500-000027080000}"/>
            </a:ext>
          </a:extLst>
        </xdr:cNvPr>
        <xdr:cNvSpPr>
          <a:spLocks noChangeShapeType="1"/>
        </xdr:cNvSpPr>
      </xdr:nvSpPr>
      <xdr:spPr bwMode="auto">
        <a:xfrm>
          <a:off x="48844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2088" name="Line 40">
          <a:extLst>
            <a:ext uri="{FF2B5EF4-FFF2-40B4-BE49-F238E27FC236}">
              <a16:creationId xmlns:a16="http://schemas.microsoft.com/office/drawing/2014/main" id="{00000000-0008-0000-0500-000028080000}"/>
            </a:ext>
          </a:extLst>
        </xdr:cNvPr>
        <xdr:cNvSpPr>
          <a:spLocks noChangeShapeType="1"/>
        </xdr:cNvSpPr>
      </xdr:nvSpPr>
      <xdr:spPr bwMode="auto">
        <a:xfrm>
          <a:off x="107365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2089" name="Line 41">
          <a:extLst>
            <a:ext uri="{FF2B5EF4-FFF2-40B4-BE49-F238E27FC236}">
              <a16:creationId xmlns:a16="http://schemas.microsoft.com/office/drawing/2014/main" id="{00000000-0008-0000-0500-0000290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2090" name="Line 42">
          <a:extLst>
            <a:ext uri="{FF2B5EF4-FFF2-40B4-BE49-F238E27FC236}">
              <a16:creationId xmlns:a16="http://schemas.microsoft.com/office/drawing/2014/main" id="{00000000-0008-0000-0500-00002A0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2091" name="Line 43">
          <a:extLst>
            <a:ext uri="{FF2B5EF4-FFF2-40B4-BE49-F238E27FC236}">
              <a16:creationId xmlns:a16="http://schemas.microsoft.com/office/drawing/2014/main" id="{00000000-0008-0000-0500-00002B080000}"/>
            </a:ext>
          </a:extLst>
        </xdr:cNvPr>
        <xdr:cNvSpPr>
          <a:spLocks noChangeShapeType="1"/>
        </xdr:cNvSpPr>
      </xdr:nvSpPr>
      <xdr:spPr bwMode="auto">
        <a:xfrm>
          <a:off x="70789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2092" name="Line 44">
          <a:extLst>
            <a:ext uri="{FF2B5EF4-FFF2-40B4-BE49-F238E27FC236}">
              <a16:creationId xmlns:a16="http://schemas.microsoft.com/office/drawing/2014/main" id="{00000000-0008-0000-0500-00002C080000}"/>
            </a:ext>
          </a:extLst>
        </xdr:cNvPr>
        <xdr:cNvSpPr>
          <a:spLocks noChangeShapeType="1"/>
        </xdr:cNvSpPr>
      </xdr:nvSpPr>
      <xdr:spPr bwMode="auto">
        <a:xfrm>
          <a:off x="107365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2093" name="Line 45">
          <a:extLst>
            <a:ext uri="{FF2B5EF4-FFF2-40B4-BE49-F238E27FC236}">
              <a16:creationId xmlns:a16="http://schemas.microsoft.com/office/drawing/2014/main" id="{00000000-0008-0000-0500-00002D080000}"/>
            </a:ext>
          </a:extLst>
        </xdr:cNvPr>
        <xdr:cNvSpPr>
          <a:spLocks noChangeShapeType="1"/>
        </xdr:cNvSpPr>
      </xdr:nvSpPr>
      <xdr:spPr bwMode="auto">
        <a:xfrm>
          <a:off x="48844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2094" name="Line 46">
          <a:extLst>
            <a:ext uri="{FF2B5EF4-FFF2-40B4-BE49-F238E27FC236}">
              <a16:creationId xmlns:a16="http://schemas.microsoft.com/office/drawing/2014/main" id="{00000000-0008-0000-0500-00002E080000}"/>
            </a:ext>
          </a:extLst>
        </xdr:cNvPr>
        <xdr:cNvSpPr>
          <a:spLocks noChangeShapeType="1"/>
        </xdr:cNvSpPr>
      </xdr:nvSpPr>
      <xdr:spPr bwMode="auto">
        <a:xfrm>
          <a:off x="70789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2095" name="Line 47">
          <a:extLst>
            <a:ext uri="{FF2B5EF4-FFF2-40B4-BE49-F238E27FC236}">
              <a16:creationId xmlns:a16="http://schemas.microsoft.com/office/drawing/2014/main" id="{00000000-0008-0000-0500-00002F080000}"/>
            </a:ext>
          </a:extLst>
        </xdr:cNvPr>
        <xdr:cNvSpPr>
          <a:spLocks noChangeShapeType="1"/>
        </xdr:cNvSpPr>
      </xdr:nvSpPr>
      <xdr:spPr bwMode="auto">
        <a:xfrm>
          <a:off x="1073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2096" name="Line 48">
          <a:extLst>
            <a:ext uri="{FF2B5EF4-FFF2-40B4-BE49-F238E27FC236}">
              <a16:creationId xmlns:a16="http://schemas.microsoft.com/office/drawing/2014/main" id="{00000000-0008-0000-0500-000030080000}"/>
            </a:ext>
          </a:extLst>
        </xdr:cNvPr>
        <xdr:cNvSpPr>
          <a:spLocks noChangeShapeType="1"/>
        </xdr:cNvSpPr>
      </xdr:nvSpPr>
      <xdr:spPr bwMode="auto">
        <a:xfrm>
          <a:off x="26898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2097" name="Line 49">
          <a:extLst>
            <a:ext uri="{FF2B5EF4-FFF2-40B4-BE49-F238E27FC236}">
              <a16:creationId xmlns:a16="http://schemas.microsoft.com/office/drawing/2014/main" id="{00000000-0008-0000-0500-0000310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2098" name="Line 50">
          <a:extLst>
            <a:ext uri="{FF2B5EF4-FFF2-40B4-BE49-F238E27FC236}">
              <a16:creationId xmlns:a16="http://schemas.microsoft.com/office/drawing/2014/main" id="{00000000-0008-0000-0500-0000320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2099" name="Line 51">
          <a:extLst>
            <a:ext uri="{FF2B5EF4-FFF2-40B4-BE49-F238E27FC236}">
              <a16:creationId xmlns:a16="http://schemas.microsoft.com/office/drawing/2014/main" id="{00000000-0008-0000-0500-0000330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2100" name="Line 52">
          <a:extLst>
            <a:ext uri="{FF2B5EF4-FFF2-40B4-BE49-F238E27FC236}">
              <a16:creationId xmlns:a16="http://schemas.microsoft.com/office/drawing/2014/main" id="{00000000-0008-0000-0500-000034080000}"/>
            </a:ext>
          </a:extLst>
        </xdr:cNvPr>
        <xdr:cNvSpPr>
          <a:spLocks noChangeShapeType="1"/>
        </xdr:cNvSpPr>
      </xdr:nvSpPr>
      <xdr:spPr bwMode="auto">
        <a:xfrm>
          <a:off x="26898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2101" name="Line 53">
          <a:extLst>
            <a:ext uri="{FF2B5EF4-FFF2-40B4-BE49-F238E27FC236}">
              <a16:creationId xmlns:a16="http://schemas.microsoft.com/office/drawing/2014/main" id="{00000000-0008-0000-0500-000035080000}"/>
            </a:ext>
          </a:extLst>
        </xdr:cNvPr>
        <xdr:cNvSpPr>
          <a:spLocks noChangeShapeType="1"/>
        </xdr:cNvSpPr>
      </xdr:nvSpPr>
      <xdr:spPr bwMode="auto">
        <a:xfrm>
          <a:off x="26898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2102" name="Line 54">
          <a:extLst>
            <a:ext uri="{FF2B5EF4-FFF2-40B4-BE49-F238E27FC236}">
              <a16:creationId xmlns:a16="http://schemas.microsoft.com/office/drawing/2014/main" id="{00000000-0008-0000-0500-000036080000}"/>
            </a:ext>
          </a:extLst>
        </xdr:cNvPr>
        <xdr:cNvSpPr>
          <a:spLocks noChangeShapeType="1"/>
        </xdr:cNvSpPr>
      </xdr:nvSpPr>
      <xdr:spPr bwMode="auto">
        <a:xfrm>
          <a:off x="48844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2103" name="Line 55">
          <a:extLst>
            <a:ext uri="{FF2B5EF4-FFF2-40B4-BE49-F238E27FC236}">
              <a16:creationId xmlns:a16="http://schemas.microsoft.com/office/drawing/2014/main" id="{00000000-0008-0000-0500-000037080000}"/>
            </a:ext>
          </a:extLst>
        </xdr:cNvPr>
        <xdr:cNvSpPr>
          <a:spLocks noChangeShapeType="1"/>
        </xdr:cNvSpPr>
      </xdr:nvSpPr>
      <xdr:spPr bwMode="auto">
        <a:xfrm>
          <a:off x="4884420" y="552450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2104" name="Line 56">
          <a:extLst>
            <a:ext uri="{FF2B5EF4-FFF2-40B4-BE49-F238E27FC236}">
              <a16:creationId xmlns:a16="http://schemas.microsoft.com/office/drawing/2014/main" id="{00000000-0008-0000-0500-000038080000}"/>
            </a:ext>
          </a:extLst>
        </xdr:cNvPr>
        <xdr:cNvSpPr>
          <a:spLocks noChangeShapeType="1"/>
        </xdr:cNvSpPr>
      </xdr:nvSpPr>
      <xdr:spPr bwMode="auto">
        <a:xfrm>
          <a:off x="4884420" y="770382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2105" name="Line 57">
          <a:extLst>
            <a:ext uri="{FF2B5EF4-FFF2-40B4-BE49-F238E27FC236}">
              <a16:creationId xmlns:a16="http://schemas.microsoft.com/office/drawing/2014/main" id="{00000000-0008-0000-0500-000039080000}"/>
            </a:ext>
          </a:extLst>
        </xdr:cNvPr>
        <xdr:cNvSpPr>
          <a:spLocks noChangeShapeType="1"/>
        </xdr:cNvSpPr>
      </xdr:nvSpPr>
      <xdr:spPr bwMode="auto">
        <a:xfrm>
          <a:off x="4884420" y="103403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2106" name="Line 58">
          <a:extLst>
            <a:ext uri="{FF2B5EF4-FFF2-40B4-BE49-F238E27FC236}">
              <a16:creationId xmlns:a16="http://schemas.microsoft.com/office/drawing/2014/main" id="{00000000-0008-0000-0500-00003A080000}"/>
            </a:ext>
          </a:extLst>
        </xdr:cNvPr>
        <xdr:cNvSpPr>
          <a:spLocks noChangeShapeType="1"/>
        </xdr:cNvSpPr>
      </xdr:nvSpPr>
      <xdr:spPr bwMode="auto">
        <a:xfrm>
          <a:off x="48844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2107" name="Line 59">
          <a:extLst>
            <a:ext uri="{FF2B5EF4-FFF2-40B4-BE49-F238E27FC236}">
              <a16:creationId xmlns:a16="http://schemas.microsoft.com/office/drawing/2014/main" id="{00000000-0008-0000-0500-00003B080000}"/>
            </a:ext>
          </a:extLst>
        </xdr:cNvPr>
        <xdr:cNvSpPr>
          <a:spLocks noChangeShapeType="1"/>
        </xdr:cNvSpPr>
      </xdr:nvSpPr>
      <xdr:spPr bwMode="auto">
        <a:xfrm>
          <a:off x="107365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2108" name="Line 60">
          <a:extLst>
            <a:ext uri="{FF2B5EF4-FFF2-40B4-BE49-F238E27FC236}">
              <a16:creationId xmlns:a16="http://schemas.microsoft.com/office/drawing/2014/main" id="{00000000-0008-0000-0500-00003C080000}"/>
            </a:ext>
          </a:extLst>
        </xdr:cNvPr>
        <xdr:cNvSpPr>
          <a:spLocks noChangeShapeType="1"/>
        </xdr:cNvSpPr>
      </xdr:nvSpPr>
      <xdr:spPr bwMode="auto">
        <a:xfrm>
          <a:off x="48844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109" name="Line 61">
          <a:extLst>
            <a:ext uri="{FF2B5EF4-FFF2-40B4-BE49-F238E27FC236}">
              <a16:creationId xmlns:a16="http://schemas.microsoft.com/office/drawing/2014/main" id="{00000000-0008-0000-0500-00003D0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110" name="Line 62">
          <a:extLst>
            <a:ext uri="{FF2B5EF4-FFF2-40B4-BE49-F238E27FC236}">
              <a16:creationId xmlns:a16="http://schemas.microsoft.com/office/drawing/2014/main" id="{00000000-0008-0000-0500-00003E0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2111" name="Line 63">
          <a:extLst>
            <a:ext uri="{FF2B5EF4-FFF2-40B4-BE49-F238E27FC236}">
              <a16:creationId xmlns:a16="http://schemas.microsoft.com/office/drawing/2014/main" id="{00000000-0008-0000-0500-00003F080000}"/>
            </a:ext>
          </a:extLst>
        </xdr:cNvPr>
        <xdr:cNvSpPr>
          <a:spLocks noChangeShapeType="1"/>
        </xdr:cNvSpPr>
      </xdr:nvSpPr>
      <xdr:spPr bwMode="auto">
        <a:xfrm>
          <a:off x="70789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2112" name="Line 64">
          <a:extLst>
            <a:ext uri="{FF2B5EF4-FFF2-40B4-BE49-F238E27FC236}">
              <a16:creationId xmlns:a16="http://schemas.microsoft.com/office/drawing/2014/main" id="{00000000-0008-0000-0500-000040080000}"/>
            </a:ext>
          </a:extLst>
        </xdr:cNvPr>
        <xdr:cNvSpPr>
          <a:spLocks noChangeShapeType="1"/>
        </xdr:cNvSpPr>
      </xdr:nvSpPr>
      <xdr:spPr bwMode="auto">
        <a:xfrm>
          <a:off x="107365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2113" name="Line 65">
          <a:extLst>
            <a:ext uri="{FF2B5EF4-FFF2-40B4-BE49-F238E27FC236}">
              <a16:creationId xmlns:a16="http://schemas.microsoft.com/office/drawing/2014/main" id="{00000000-0008-0000-0500-000041080000}"/>
            </a:ext>
          </a:extLst>
        </xdr:cNvPr>
        <xdr:cNvSpPr>
          <a:spLocks noChangeShapeType="1"/>
        </xdr:cNvSpPr>
      </xdr:nvSpPr>
      <xdr:spPr bwMode="auto">
        <a:xfrm>
          <a:off x="48844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2114" name="Line 66">
          <a:extLst>
            <a:ext uri="{FF2B5EF4-FFF2-40B4-BE49-F238E27FC236}">
              <a16:creationId xmlns:a16="http://schemas.microsoft.com/office/drawing/2014/main" id="{00000000-0008-0000-0500-000042080000}"/>
            </a:ext>
          </a:extLst>
        </xdr:cNvPr>
        <xdr:cNvSpPr>
          <a:spLocks noChangeShapeType="1"/>
        </xdr:cNvSpPr>
      </xdr:nvSpPr>
      <xdr:spPr bwMode="auto">
        <a:xfrm>
          <a:off x="26898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115" name="Line 67">
          <a:extLst>
            <a:ext uri="{FF2B5EF4-FFF2-40B4-BE49-F238E27FC236}">
              <a16:creationId xmlns:a16="http://schemas.microsoft.com/office/drawing/2014/main" id="{00000000-0008-0000-0500-0000430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116" name="Line 68">
          <a:extLst>
            <a:ext uri="{FF2B5EF4-FFF2-40B4-BE49-F238E27FC236}">
              <a16:creationId xmlns:a16="http://schemas.microsoft.com/office/drawing/2014/main" id="{00000000-0008-0000-0500-0000440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117" name="Line 69">
          <a:extLst>
            <a:ext uri="{FF2B5EF4-FFF2-40B4-BE49-F238E27FC236}">
              <a16:creationId xmlns:a16="http://schemas.microsoft.com/office/drawing/2014/main" id="{00000000-0008-0000-0500-0000450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2118" name="Line 70">
          <a:extLst>
            <a:ext uri="{FF2B5EF4-FFF2-40B4-BE49-F238E27FC236}">
              <a16:creationId xmlns:a16="http://schemas.microsoft.com/office/drawing/2014/main" id="{00000000-0008-0000-0500-0000460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2119" name="Line 71">
          <a:extLst>
            <a:ext uri="{FF2B5EF4-FFF2-40B4-BE49-F238E27FC236}">
              <a16:creationId xmlns:a16="http://schemas.microsoft.com/office/drawing/2014/main" id="{00000000-0008-0000-0500-000047080000}"/>
            </a:ext>
          </a:extLst>
        </xdr:cNvPr>
        <xdr:cNvSpPr>
          <a:spLocks noChangeShapeType="1"/>
        </xdr:cNvSpPr>
      </xdr:nvSpPr>
      <xdr:spPr bwMode="auto">
        <a:xfrm>
          <a:off x="4884420" y="121843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2120" name="Line 72">
          <a:extLst>
            <a:ext uri="{FF2B5EF4-FFF2-40B4-BE49-F238E27FC236}">
              <a16:creationId xmlns:a16="http://schemas.microsoft.com/office/drawing/2014/main" id="{00000000-0008-0000-0500-000048080000}"/>
            </a:ext>
          </a:extLst>
        </xdr:cNvPr>
        <xdr:cNvSpPr>
          <a:spLocks noChangeShapeType="1"/>
        </xdr:cNvSpPr>
      </xdr:nvSpPr>
      <xdr:spPr bwMode="auto">
        <a:xfrm>
          <a:off x="26898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2121" name="Line 73">
          <a:extLst>
            <a:ext uri="{FF2B5EF4-FFF2-40B4-BE49-F238E27FC236}">
              <a16:creationId xmlns:a16="http://schemas.microsoft.com/office/drawing/2014/main" id="{00000000-0008-0000-0500-000049080000}"/>
            </a:ext>
          </a:extLst>
        </xdr:cNvPr>
        <xdr:cNvSpPr>
          <a:spLocks noChangeShapeType="1"/>
        </xdr:cNvSpPr>
      </xdr:nvSpPr>
      <xdr:spPr bwMode="auto">
        <a:xfrm>
          <a:off x="48844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2122" name="Line 74">
          <a:extLst>
            <a:ext uri="{FF2B5EF4-FFF2-40B4-BE49-F238E27FC236}">
              <a16:creationId xmlns:a16="http://schemas.microsoft.com/office/drawing/2014/main" id="{00000000-0008-0000-0500-00004A080000}"/>
            </a:ext>
          </a:extLst>
        </xdr:cNvPr>
        <xdr:cNvSpPr>
          <a:spLocks noChangeShapeType="1"/>
        </xdr:cNvSpPr>
      </xdr:nvSpPr>
      <xdr:spPr bwMode="auto">
        <a:xfrm>
          <a:off x="107365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123" name="Line 75">
          <a:extLst>
            <a:ext uri="{FF2B5EF4-FFF2-40B4-BE49-F238E27FC236}">
              <a16:creationId xmlns:a16="http://schemas.microsoft.com/office/drawing/2014/main" id="{00000000-0008-0000-0500-00004B0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124" name="Line 76">
          <a:extLst>
            <a:ext uri="{FF2B5EF4-FFF2-40B4-BE49-F238E27FC236}">
              <a16:creationId xmlns:a16="http://schemas.microsoft.com/office/drawing/2014/main" id="{00000000-0008-0000-0500-00004C0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2125" name="Line 77">
          <a:extLst>
            <a:ext uri="{FF2B5EF4-FFF2-40B4-BE49-F238E27FC236}">
              <a16:creationId xmlns:a16="http://schemas.microsoft.com/office/drawing/2014/main" id="{00000000-0008-0000-0500-00004D080000}"/>
            </a:ext>
          </a:extLst>
        </xdr:cNvPr>
        <xdr:cNvSpPr>
          <a:spLocks noChangeShapeType="1"/>
        </xdr:cNvSpPr>
      </xdr:nvSpPr>
      <xdr:spPr bwMode="auto">
        <a:xfrm>
          <a:off x="70789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2126" name="Line 78">
          <a:extLst>
            <a:ext uri="{FF2B5EF4-FFF2-40B4-BE49-F238E27FC236}">
              <a16:creationId xmlns:a16="http://schemas.microsoft.com/office/drawing/2014/main" id="{00000000-0008-0000-0500-00004E080000}"/>
            </a:ext>
          </a:extLst>
        </xdr:cNvPr>
        <xdr:cNvSpPr>
          <a:spLocks noChangeShapeType="1"/>
        </xdr:cNvSpPr>
      </xdr:nvSpPr>
      <xdr:spPr bwMode="auto">
        <a:xfrm>
          <a:off x="48844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2127" name="Line 79">
          <a:extLst>
            <a:ext uri="{FF2B5EF4-FFF2-40B4-BE49-F238E27FC236}">
              <a16:creationId xmlns:a16="http://schemas.microsoft.com/office/drawing/2014/main" id="{00000000-0008-0000-0500-00004F080000}"/>
            </a:ext>
          </a:extLst>
        </xdr:cNvPr>
        <xdr:cNvSpPr>
          <a:spLocks noChangeShapeType="1"/>
        </xdr:cNvSpPr>
      </xdr:nvSpPr>
      <xdr:spPr bwMode="auto">
        <a:xfrm>
          <a:off x="26898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128" name="Line 80">
          <a:extLst>
            <a:ext uri="{FF2B5EF4-FFF2-40B4-BE49-F238E27FC236}">
              <a16:creationId xmlns:a16="http://schemas.microsoft.com/office/drawing/2014/main" id="{00000000-0008-0000-0500-0000500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129" name="Line 81">
          <a:extLst>
            <a:ext uri="{FF2B5EF4-FFF2-40B4-BE49-F238E27FC236}">
              <a16:creationId xmlns:a16="http://schemas.microsoft.com/office/drawing/2014/main" id="{00000000-0008-0000-0500-0000510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130" name="Line 82">
          <a:extLst>
            <a:ext uri="{FF2B5EF4-FFF2-40B4-BE49-F238E27FC236}">
              <a16:creationId xmlns:a16="http://schemas.microsoft.com/office/drawing/2014/main" id="{00000000-0008-0000-0500-0000520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2131" name="Line 83">
          <a:extLst>
            <a:ext uri="{FF2B5EF4-FFF2-40B4-BE49-F238E27FC236}">
              <a16:creationId xmlns:a16="http://schemas.microsoft.com/office/drawing/2014/main" id="{00000000-0008-0000-0500-0000530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2132" name="Line 84">
          <a:extLst>
            <a:ext uri="{FF2B5EF4-FFF2-40B4-BE49-F238E27FC236}">
              <a16:creationId xmlns:a16="http://schemas.microsoft.com/office/drawing/2014/main" id="{00000000-0008-0000-0500-000054080000}"/>
            </a:ext>
          </a:extLst>
        </xdr:cNvPr>
        <xdr:cNvSpPr>
          <a:spLocks noChangeShapeType="1"/>
        </xdr:cNvSpPr>
      </xdr:nvSpPr>
      <xdr:spPr bwMode="auto">
        <a:xfrm>
          <a:off x="4884420" y="138607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2133" name="Line 85">
          <a:extLst>
            <a:ext uri="{FF2B5EF4-FFF2-40B4-BE49-F238E27FC236}">
              <a16:creationId xmlns:a16="http://schemas.microsoft.com/office/drawing/2014/main" id="{00000000-0008-0000-0500-0000550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2134" name="Line 86">
          <a:extLst>
            <a:ext uri="{FF2B5EF4-FFF2-40B4-BE49-F238E27FC236}">
              <a16:creationId xmlns:a16="http://schemas.microsoft.com/office/drawing/2014/main" id="{00000000-0008-0000-0500-0000560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2135" name="Line 87">
          <a:extLst>
            <a:ext uri="{FF2B5EF4-FFF2-40B4-BE49-F238E27FC236}">
              <a16:creationId xmlns:a16="http://schemas.microsoft.com/office/drawing/2014/main" id="{00000000-0008-0000-0500-0000570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2136" name="Line 88">
          <a:extLst>
            <a:ext uri="{FF2B5EF4-FFF2-40B4-BE49-F238E27FC236}">
              <a16:creationId xmlns:a16="http://schemas.microsoft.com/office/drawing/2014/main" id="{00000000-0008-0000-0500-0000580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2137" name="Line 89">
          <a:extLst>
            <a:ext uri="{FF2B5EF4-FFF2-40B4-BE49-F238E27FC236}">
              <a16:creationId xmlns:a16="http://schemas.microsoft.com/office/drawing/2014/main" id="{00000000-0008-0000-0500-000059080000}"/>
            </a:ext>
          </a:extLst>
        </xdr:cNvPr>
        <xdr:cNvSpPr>
          <a:spLocks noChangeShapeType="1"/>
        </xdr:cNvSpPr>
      </xdr:nvSpPr>
      <xdr:spPr bwMode="auto">
        <a:xfrm>
          <a:off x="48844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2138" name="Line 90">
          <a:extLst>
            <a:ext uri="{FF2B5EF4-FFF2-40B4-BE49-F238E27FC236}">
              <a16:creationId xmlns:a16="http://schemas.microsoft.com/office/drawing/2014/main" id="{00000000-0008-0000-0500-00005A080000}"/>
            </a:ext>
          </a:extLst>
        </xdr:cNvPr>
        <xdr:cNvSpPr>
          <a:spLocks noChangeShapeType="1"/>
        </xdr:cNvSpPr>
      </xdr:nvSpPr>
      <xdr:spPr bwMode="auto">
        <a:xfrm>
          <a:off x="48844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2139" name="Line 91">
          <a:extLst>
            <a:ext uri="{FF2B5EF4-FFF2-40B4-BE49-F238E27FC236}">
              <a16:creationId xmlns:a16="http://schemas.microsoft.com/office/drawing/2014/main" id="{00000000-0008-0000-0500-00005B080000}"/>
            </a:ext>
          </a:extLst>
        </xdr:cNvPr>
        <xdr:cNvSpPr>
          <a:spLocks noChangeShapeType="1"/>
        </xdr:cNvSpPr>
      </xdr:nvSpPr>
      <xdr:spPr bwMode="auto">
        <a:xfrm>
          <a:off x="48844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2140" name="Line 92">
          <a:extLst>
            <a:ext uri="{FF2B5EF4-FFF2-40B4-BE49-F238E27FC236}">
              <a16:creationId xmlns:a16="http://schemas.microsoft.com/office/drawing/2014/main" id="{00000000-0008-0000-0500-00005C080000}"/>
            </a:ext>
          </a:extLst>
        </xdr:cNvPr>
        <xdr:cNvSpPr>
          <a:spLocks noChangeShapeType="1"/>
        </xdr:cNvSpPr>
      </xdr:nvSpPr>
      <xdr:spPr bwMode="auto">
        <a:xfrm>
          <a:off x="48844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2141" name="Line 93">
          <a:extLst>
            <a:ext uri="{FF2B5EF4-FFF2-40B4-BE49-F238E27FC236}">
              <a16:creationId xmlns:a16="http://schemas.microsoft.com/office/drawing/2014/main" id="{00000000-0008-0000-0500-00005D080000}"/>
            </a:ext>
          </a:extLst>
        </xdr:cNvPr>
        <xdr:cNvSpPr>
          <a:spLocks noChangeShapeType="1"/>
        </xdr:cNvSpPr>
      </xdr:nvSpPr>
      <xdr:spPr bwMode="auto">
        <a:xfrm>
          <a:off x="70789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2142" name="Line 94">
          <a:extLst>
            <a:ext uri="{FF2B5EF4-FFF2-40B4-BE49-F238E27FC236}">
              <a16:creationId xmlns:a16="http://schemas.microsoft.com/office/drawing/2014/main" id="{00000000-0008-0000-0500-00005E080000}"/>
            </a:ext>
          </a:extLst>
        </xdr:cNvPr>
        <xdr:cNvSpPr>
          <a:spLocks noChangeShapeType="1"/>
        </xdr:cNvSpPr>
      </xdr:nvSpPr>
      <xdr:spPr bwMode="auto">
        <a:xfrm>
          <a:off x="70789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2143" name="Line 95">
          <a:extLst>
            <a:ext uri="{FF2B5EF4-FFF2-40B4-BE49-F238E27FC236}">
              <a16:creationId xmlns:a16="http://schemas.microsoft.com/office/drawing/2014/main" id="{00000000-0008-0000-0500-00005F080000}"/>
            </a:ext>
          </a:extLst>
        </xdr:cNvPr>
        <xdr:cNvSpPr>
          <a:spLocks noChangeShapeType="1"/>
        </xdr:cNvSpPr>
      </xdr:nvSpPr>
      <xdr:spPr bwMode="auto">
        <a:xfrm>
          <a:off x="70789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2144" name="Line 96">
          <a:extLst>
            <a:ext uri="{FF2B5EF4-FFF2-40B4-BE49-F238E27FC236}">
              <a16:creationId xmlns:a16="http://schemas.microsoft.com/office/drawing/2014/main" id="{00000000-0008-0000-0500-000060080000}"/>
            </a:ext>
          </a:extLst>
        </xdr:cNvPr>
        <xdr:cNvSpPr>
          <a:spLocks noChangeShapeType="1"/>
        </xdr:cNvSpPr>
      </xdr:nvSpPr>
      <xdr:spPr bwMode="auto">
        <a:xfrm>
          <a:off x="70789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2145" name="Line 97">
          <a:extLst>
            <a:ext uri="{FF2B5EF4-FFF2-40B4-BE49-F238E27FC236}">
              <a16:creationId xmlns:a16="http://schemas.microsoft.com/office/drawing/2014/main" id="{00000000-0008-0000-0500-000061080000}"/>
            </a:ext>
          </a:extLst>
        </xdr:cNvPr>
        <xdr:cNvSpPr>
          <a:spLocks noChangeShapeType="1"/>
        </xdr:cNvSpPr>
      </xdr:nvSpPr>
      <xdr:spPr bwMode="auto">
        <a:xfrm>
          <a:off x="70789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2146" name="Line 98">
          <a:extLst>
            <a:ext uri="{FF2B5EF4-FFF2-40B4-BE49-F238E27FC236}">
              <a16:creationId xmlns:a16="http://schemas.microsoft.com/office/drawing/2014/main" id="{00000000-0008-0000-0500-000062080000}"/>
            </a:ext>
          </a:extLst>
        </xdr:cNvPr>
        <xdr:cNvSpPr>
          <a:spLocks noChangeShapeType="1"/>
        </xdr:cNvSpPr>
      </xdr:nvSpPr>
      <xdr:spPr bwMode="auto">
        <a:xfrm>
          <a:off x="70789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2147" name="Line 99">
          <a:extLst>
            <a:ext uri="{FF2B5EF4-FFF2-40B4-BE49-F238E27FC236}">
              <a16:creationId xmlns:a16="http://schemas.microsoft.com/office/drawing/2014/main" id="{00000000-0008-0000-0500-000063080000}"/>
            </a:ext>
          </a:extLst>
        </xdr:cNvPr>
        <xdr:cNvSpPr>
          <a:spLocks noChangeShapeType="1"/>
        </xdr:cNvSpPr>
      </xdr:nvSpPr>
      <xdr:spPr bwMode="auto">
        <a:xfrm>
          <a:off x="70789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2148" name="Line 100">
          <a:extLst>
            <a:ext uri="{FF2B5EF4-FFF2-40B4-BE49-F238E27FC236}">
              <a16:creationId xmlns:a16="http://schemas.microsoft.com/office/drawing/2014/main" id="{00000000-0008-0000-0500-000064080000}"/>
            </a:ext>
          </a:extLst>
        </xdr:cNvPr>
        <xdr:cNvSpPr>
          <a:spLocks noChangeShapeType="1"/>
        </xdr:cNvSpPr>
      </xdr:nvSpPr>
      <xdr:spPr bwMode="auto">
        <a:xfrm>
          <a:off x="70789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2149" name="Line 101">
          <a:extLst>
            <a:ext uri="{FF2B5EF4-FFF2-40B4-BE49-F238E27FC236}">
              <a16:creationId xmlns:a16="http://schemas.microsoft.com/office/drawing/2014/main" id="{00000000-0008-0000-0500-000065080000}"/>
            </a:ext>
          </a:extLst>
        </xdr:cNvPr>
        <xdr:cNvSpPr>
          <a:spLocks noChangeShapeType="1"/>
        </xdr:cNvSpPr>
      </xdr:nvSpPr>
      <xdr:spPr bwMode="auto">
        <a:xfrm>
          <a:off x="70789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2150" name="Line 103">
          <a:extLst>
            <a:ext uri="{FF2B5EF4-FFF2-40B4-BE49-F238E27FC236}">
              <a16:creationId xmlns:a16="http://schemas.microsoft.com/office/drawing/2014/main" id="{00000000-0008-0000-0500-00006608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2151" name="Line 107">
          <a:extLst>
            <a:ext uri="{FF2B5EF4-FFF2-40B4-BE49-F238E27FC236}">
              <a16:creationId xmlns:a16="http://schemas.microsoft.com/office/drawing/2014/main" id="{00000000-0008-0000-0500-0000670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2152" name="Line 108">
          <a:extLst>
            <a:ext uri="{FF2B5EF4-FFF2-40B4-BE49-F238E27FC236}">
              <a16:creationId xmlns:a16="http://schemas.microsoft.com/office/drawing/2014/main" id="{00000000-0008-0000-0500-0000680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2153" name="Line 109">
          <a:extLst>
            <a:ext uri="{FF2B5EF4-FFF2-40B4-BE49-F238E27FC236}">
              <a16:creationId xmlns:a16="http://schemas.microsoft.com/office/drawing/2014/main" id="{00000000-0008-0000-0500-0000690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2154" name="Line 110">
          <a:extLst>
            <a:ext uri="{FF2B5EF4-FFF2-40B4-BE49-F238E27FC236}">
              <a16:creationId xmlns:a16="http://schemas.microsoft.com/office/drawing/2014/main" id="{00000000-0008-0000-0500-00006A0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2156" name="Line 112">
          <a:extLst>
            <a:ext uri="{FF2B5EF4-FFF2-40B4-BE49-F238E27FC236}">
              <a16:creationId xmlns:a16="http://schemas.microsoft.com/office/drawing/2014/main" id="{00000000-0008-0000-0500-00006C0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2157" name="Line 113">
          <a:extLst>
            <a:ext uri="{FF2B5EF4-FFF2-40B4-BE49-F238E27FC236}">
              <a16:creationId xmlns:a16="http://schemas.microsoft.com/office/drawing/2014/main" id="{00000000-0008-0000-0500-00006D0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2158" name="Line 114">
          <a:extLst>
            <a:ext uri="{FF2B5EF4-FFF2-40B4-BE49-F238E27FC236}">
              <a16:creationId xmlns:a16="http://schemas.microsoft.com/office/drawing/2014/main" id="{00000000-0008-0000-0500-00006E0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2159" name="Line 115">
          <a:extLst>
            <a:ext uri="{FF2B5EF4-FFF2-40B4-BE49-F238E27FC236}">
              <a16:creationId xmlns:a16="http://schemas.microsoft.com/office/drawing/2014/main" id="{00000000-0008-0000-0500-00006F0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10886</xdr:rowOff>
    </xdr:from>
    <xdr:to>
      <xdr:col>3</xdr:col>
      <xdr:colOff>708660</xdr:colOff>
      <xdr:row>93</xdr:row>
      <xdr:rowOff>10886</xdr:rowOff>
    </xdr:to>
    <xdr:sp macro="" textlink="">
      <xdr:nvSpPr>
        <xdr:cNvPr id="2160" name="Line 116">
          <a:extLst>
            <a:ext uri="{FF2B5EF4-FFF2-40B4-BE49-F238E27FC236}">
              <a16:creationId xmlns:a16="http://schemas.microsoft.com/office/drawing/2014/main" id="{00000000-0008-0000-0500-000070080000}"/>
            </a:ext>
          </a:extLst>
        </xdr:cNvPr>
        <xdr:cNvSpPr>
          <a:spLocks noChangeShapeType="1"/>
        </xdr:cNvSpPr>
      </xdr:nvSpPr>
      <xdr:spPr bwMode="auto">
        <a:xfrm>
          <a:off x="2688771" y="16023772"/>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2161" name="Line 75">
          <a:extLst>
            <a:ext uri="{FF2B5EF4-FFF2-40B4-BE49-F238E27FC236}">
              <a16:creationId xmlns:a16="http://schemas.microsoft.com/office/drawing/2014/main" id="{00000000-0008-0000-0500-00007108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2162" name="Line 87">
          <a:extLst>
            <a:ext uri="{FF2B5EF4-FFF2-40B4-BE49-F238E27FC236}">
              <a16:creationId xmlns:a16="http://schemas.microsoft.com/office/drawing/2014/main" id="{00000000-0008-0000-0500-00007208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2163" name="Line 75">
          <a:extLst>
            <a:ext uri="{FF2B5EF4-FFF2-40B4-BE49-F238E27FC236}">
              <a16:creationId xmlns:a16="http://schemas.microsoft.com/office/drawing/2014/main" id="{00000000-0008-0000-0500-00007308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2164" name="Line 79">
          <a:extLst>
            <a:ext uri="{FF2B5EF4-FFF2-40B4-BE49-F238E27FC236}">
              <a16:creationId xmlns:a16="http://schemas.microsoft.com/office/drawing/2014/main" id="{00000000-0008-0000-0500-00007408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2165" name="Line 87">
          <a:extLst>
            <a:ext uri="{FF2B5EF4-FFF2-40B4-BE49-F238E27FC236}">
              <a16:creationId xmlns:a16="http://schemas.microsoft.com/office/drawing/2014/main" id="{00000000-0008-0000-0500-00007508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2166" name="Line 75">
          <a:extLst>
            <a:ext uri="{FF2B5EF4-FFF2-40B4-BE49-F238E27FC236}">
              <a16:creationId xmlns:a16="http://schemas.microsoft.com/office/drawing/2014/main" id="{00000000-0008-0000-0500-00007608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2167" name="Line 87">
          <a:extLst>
            <a:ext uri="{FF2B5EF4-FFF2-40B4-BE49-F238E27FC236}">
              <a16:creationId xmlns:a16="http://schemas.microsoft.com/office/drawing/2014/main" id="{00000000-0008-0000-0500-00007708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2168" name="Line 75">
          <a:extLst>
            <a:ext uri="{FF2B5EF4-FFF2-40B4-BE49-F238E27FC236}">
              <a16:creationId xmlns:a16="http://schemas.microsoft.com/office/drawing/2014/main" id="{00000000-0008-0000-0500-00007808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2169" name="Line 79">
          <a:extLst>
            <a:ext uri="{FF2B5EF4-FFF2-40B4-BE49-F238E27FC236}">
              <a16:creationId xmlns:a16="http://schemas.microsoft.com/office/drawing/2014/main" id="{00000000-0008-0000-0500-00007908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2170" name="Line 87">
          <a:extLst>
            <a:ext uri="{FF2B5EF4-FFF2-40B4-BE49-F238E27FC236}">
              <a16:creationId xmlns:a16="http://schemas.microsoft.com/office/drawing/2014/main" id="{00000000-0008-0000-0500-00007A08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4097" name="Line 1">
          <a:extLst>
            <a:ext uri="{FF2B5EF4-FFF2-40B4-BE49-F238E27FC236}">
              <a16:creationId xmlns:a16="http://schemas.microsoft.com/office/drawing/2014/main" id="{00000000-0008-0000-0700-000001100000}"/>
            </a:ext>
          </a:extLst>
        </xdr:cNvPr>
        <xdr:cNvSpPr>
          <a:spLocks noChangeShapeType="1"/>
        </xdr:cNvSpPr>
      </xdr:nvSpPr>
      <xdr:spPr bwMode="auto">
        <a:xfrm>
          <a:off x="48844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4098" name="Line 2">
          <a:extLst>
            <a:ext uri="{FF2B5EF4-FFF2-40B4-BE49-F238E27FC236}">
              <a16:creationId xmlns:a16="http://schemas.microsoft.com/office/drawing/2014/main" id="{00000000-0008-0000-0700-000002100000}"/>
            </a:ext>
          </a:extLst>
        </xdr:cNvPr>
        <xdr:cNvSpPr>
          <a:spLocks noChangeShapeType="1"/>
        </xdr:cNvSpPr>
      </xdr:nvSpPr>
      <xdr:spPr bwMode="auto">
        <a:xfrm>
          <a:off x="48844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099" name="Line 3">
          <a:extLst>
            <a:ext uri="{FF2B5EF4-FFF2-40B4-BE49-F238E27FC236}">
              <a16:creationId xmlns:a16="http://schemas.microsoft.com/office/drawing/2014/main" id="{00000000-0008-0000-0700-000003100000}"/>
            </a:ext>
          </a:extLst>
        </xdr:cNvPr>
        <xdr:cNvSpPr>
          <a:spLocks noChangeShapeType="1"/>
        </xdr:cNvSpPr>
      </xdr:nvSpPr>
      <xdr:spPr bwMode="auto">
        <a:xfrm>
          <a:off x="48844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4100" name="Line 4">
          <a:extLst>
            <a:ext uri="{FF2B5EF4-FFF2-40B4-BE49-F238E27FC236}">
              <a16:creationId xmlns:a16="http://schemas.microsoft.com/office/drawing/2014/main" id="{00000000-0008-0000-0700-000004100000}"/>
            </a:ext>
          </a:extLst>
        </xdr:cNvPr>
        <xdr:cNvSpPr>
          <a:spLocks noChangeShapeType="1"/>
        </xdr:cNvSpPr>
      </xdr:nvSpPr>
      <xdr:spPr bwMode="auto">
        <a:xfrm>
          <a:off x="70789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4101" name="Line 5">
          <a:extLst>
            <a:ext uri="{FF2B5EF4-FFF2-40B4-BE49-F238E27FC236}">
              <a16:creationId xmlns:a16="http://schemas.microsoft.com/office/drawing/2014/main" id="{00000000-0008-0000-0700-000005100000}"/>
            </a:ext>
          </a:extLst>
        </xdr:cNvPr>
        <xdr:cNvSpPr>
          <a:spLocks noChangeShapeType="1"/>
        </xdr:cNvSpPr>
      </xdr:nvSpPr>
      <xdr:spPr bwMode="auto">
        <a:xfrm>
          <a:off x="107365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4102" name="Line 6">
          <a:extLst>
            <a:ext uri="{FF2B5EF4-FFF2-40B4-BE49-F238E27FC236}">
              <a16:creationId xmlns:a16="http://schemas.microsoft.com/office/drawing/2014/main" id="{00000000-0008-0000-0700-000006100000}"/>
            </a:ext>
          </a:extLst>
        </xdr:cNvPr>
        <xdr:cNvSpPr>
          <a:spLocks noChangeShapeType="1"/>
        </xdr:cNvSpPr>
      </xdr:nvSpPr>
      <xdr:spPr bwMode="auto">
        <a:xfrm>
          <a:off x="107365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4103" name="Line 7">
          <a:extLst>
            <a:ext uri="{FF2B5EF4-FFF2-40B4-BE49-F238E27FC236}">
              <a16:creationId xmlns:a16="http://schemas.microsoft.com/office/drawing/2014/main" id="{00000000-0008-0000-0700-000007100000}"/>
            </a:ext>
          </a:extLst>
        </xdr:cNvPr>
        <xdr:cNvSpPr>
          <a:spLocks noChangeShapeType="1"/>
        </xdr:cNvSpPr>
      </xdr:nvSpPr>
      <xdr:spPr bwMode="auto">
        <a:xfrm>
          <a:off x="48844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4104" name="Line 8">
          <a:extLst>
            <a:ext uri="{FF2B5EF4-FFF2-40B4-BE49-F238E27FC236}">
              <a16:creationId xmlns:a16="http://schemas.microsoft.com/office/drawing/2014/main" id="{00000000-0008-0000-0700-000008100000}"/>
            </a:ext>
          </a:extLst>
        </xdr:cNvPr>
        <xdr:cNvSpPr>
          <a:spLocks noChangeShapeType="1"/>
        </xdr:cNvSpPr>
      </xdr:nvSpPr>
      <xdr:spPr bwMode="auto">
        <a:xfrm>
          <a:off x="48844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4105" name="Line 9">
          <a:extLst>
            <a:ext uri="{FF2B5EF4-FFF2-40B4-BE49-F238E27FC236}">
              <a16:creationId xmlns:a16="http://schemas.microsoft.com/office/drawing/2014/main" id="{00000000-0008-0000-0700-000009100000}"/>
            </a:ext>
          </a:extLst>
        </xdr:cNvPr>
        <xdr:cNvSpPr>
          <a:spLocks noChangeShapeType="1"/>
        </xdr:cNvSpPr>
      </xdr:nvSpPr>
      <xdr:spPr bwMode="auto">
        <a:xfrm>
          <a:off x="48844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4106" name="Line 10">
          <a:extLst>
            <a:ext uri="{FF2B5EF4-FFF2-40B4-BE49-F238E27FC236}">
              <a16:creationId xmlns:a16="http://schemas.microsoft.com/office/drawing/2014/main" id="{00000000-0008-0000-0700-00000A100000}"/>
            </a:ext>
          </a:extLst>
        </xdr:cNvPr>
        <xdr:cNvSpPr>
          <a:spLocks noChangeShapeType="1"/>
        </xdr:cNvSpPr>
      </xdr:nvSpPr>
      <xdr:spPr bwMode="auto">
        <a:xfrm>
          <a:off x="70789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4107" name="Line 11">
          <a:extLst>
            <a:ext uri="{FF2B5EF4-FFF2-40B4-BE49-F238E27FC236}">
              <a16:creationId xmlns:a16="http://schemas.microsoft.com/office/drawing/2014/main" id="{00000000-0008-0000-0700-00000B100000}"/>
            </a:ext>
          </a:extLst>
        </xdr:cNvPr>
        <xdr:cNvSpPr>
          <a:spLocks noChangeShapeType="1"/>
        </xdr:cNvSpPr>
      </xdr:nvSpPr>
      <xdr:spPr bwMode="auto">
        <a:xfrm>
          <a:off x="70789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4108" name="Line 12">
          <a:extLst>
            <a:ext uri="{FF2B5EF4-FFF2-40B4-BE49-F238E27FC236}">
              <a16:creationId xmlns:a16="http://schemas.microsoft.com/office/drawing/2014/main" id="{00000000-0008-0000-0700-00000C100000}"/>
            </a:ext>
          </a:extLst>
        </xdr:cNvPr>
        <xdr:cNvSpPr>
          <a:spLocks noChangeShapeType="1"/>
        </xdr:cNvSpPr>
      </xdr:nvSpPr>
      <xdr:spPr bwMode="auto">
        <a:xfrm>
          <a:off x="70789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4109" name="Line 13">
          <a:extLst>
            <a:ext uri="{FF2B5EF4-FFF2-40B4-BE49-F238E27FC236}">
              <a16:creationId xmlns:a16="http://schemas.microsoft.com/office/drawing/2014/main" id="{00000000-0008-0000-0700-00000D100000}"/>
            </a:ext>
          </a:extLst>
        </xdr:cNvPr>
        <xdr:cNvSpPr>
          <a:spLocks noChangeShapeType="1"/>
        </xdr:cNvSpPr>
      </xdr:nvSpPr>
      <xdr:spPr bwMode="auto">
        <a:xfrm>
          <a:off x="1073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4110" name="Line 14">
          <a:extLst>
            <a:ext uri="{FF2B5EF4-FFF2-40B4-BE49-F238E27FC236}">
              <a16:creationId xmlns:a16="http://schemas.microsoft.com/office/drawing/2014/main" id="{00000000-0008-0000-0700-00000E100000}"/>
            </a:ext>
          </a:extLst>
        </xdr:cNvPr>
        <xdr:cNvSpPr>
          <a:spLocks noChangeShapeType="1"/>
        </xdr:cNvSpPr>
      </xdr:nvSpPr>
      <xdr:spPr bwMode="auto">
        <a:xfrm>
          <a:off x="1073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4111" name="Line 15">
          <a:extLst>
            <a:ext uri="{FF2B5EF4-FFF2-40B4-BE49-F238E27FC236}">
              <a16:creationId xmlns:a16="http://schemas.microsoft.com/office/drawing/2014/main" id="{00000000-0008-0000-0700-00000F100000}"/>
            </a:ext>
          </a:extLst>
        </xdr:cNvPr>
        <xdr:cNvSpPr>
          <a:spLocks noChangeShapeType="1"/>
        </xdr:cNvSpPr>
      </xdr:nvSpPr>
      <xdr:spPr bwMode="auto">
        <a:xfrm>
          <a:off x="1073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4112" name="Line 16">
          <a:extLst>
            <a:ext uri="{FF2B5EF4-FFF2-40B4-BE49-F238E27FC236}">
              <a16:creationId xmlns:a16="http://schemas.microsoft.com/office/drawing/2014/main" id="{00000000-0008-0000-0700-000010100000}"/>
            </a:ext>
          </a:extLst>
        </xdr:cNvPr>
        <xdr:cNvSpPr>
          <a:spLocks noChangeShapeType="1"/>
        </xdr:cNvSpPr>
      </xdr:nvSpPr>
      <xdr:spPr bwMode="auto">
        <a:xfrm>
          <a:off x="107365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4113" name="Line 17">
          <a:extLst>
            <a:ext uri="{FF2B5EF4-FFF2-40B4-BE49-F238E27FC236}">
              <a16:creationId xmlns:a16="http://schemas.microsoft.com/office/drawing/2014/main" id="{00000000-0008-0000-0700-000011100000}"/>
            </a:ext>
          </a:extLst>
        </xdr:cNvPr>
        <xdr:cNvSpPr>
          <a:spLocks noChangeShapeType="1"/>
        </xdr:cNvSpPr>
      </xdr:nvSpPr>
      <xdr:spPr bwMode="auto">
        <a:xfrm>
          <a:off x="26898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4114" name="Line 18">
          <a:extLst>
            <a:ext uri="{FF2B5EF4-FFF2-40B4-BE49-F238E27FC236}">
              <a16:creationId xmlns:a16="http://schemas.microsoft.com/office/drawing/2014/main" id="{00000000-0008-0000-0700-000012100000}"/>
            </a:ext>
          </a:extLst>
        </xdr:cNvPr>
        <xdr:cNvSpPr>
          <a:spLocks noChangeShapeType="1"/>
        </xdr:cNvSpPr>
      </xdr:nvSpPr>
      <xdr:spPr bwMode="auto">
        <a:xfrm>
          <a:off x="26898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4115" name="Line 19">
          <a:extLst>
            <a:ext uri="{FF2B5EF4-FFF2-40B4-BE49-F238E27FC236}">
              <a16:creationId xmlns:a16="http://schemas.microsoft.com/office/drawing/2014/main" id="{00000000-0008-0000-0700-000013100000}"/>
            </a:ext>
          </a:extLst>
        </xdr:cNvPr>
        <xdr:cNvSpPr>
          <a:spLocks noChangeShapeType="1"/>
        </xdr:cNvSpPr>
      </xdr:nvSpPr>
      <xdr:spPr bwMode="auto">
        <a:xfrm>
          <a:off x="26898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4116" name="Line 20">
          <a:extLst>
            <a:ext uri="{FF2B5EF4-FFF2-40B4-BE49-F238E27FC236}">
              <a16:creationId xmlns:a16="http://schemas.microsoft.com/office/drawing/2014/main" id="{00000000-0008-0000-0700-000014100000}"/>
            </a:ext>
          </a:extLst>
        </xdr:cNvPr>
        <xdr:cNvSpPr>
          <a:spLocks noChangeShapeType="1"/>
        </xdr:cNvSpPr>
      </xdr:nvSpPr>
      <xdr:spPr bwMode="auto">
        <a:xfrm>
          <a:off x="26898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4117" name="Line 21">
          <a:extLst>
            <a:ext uri="{FF2B5EF4-FFF2-40B4-BE49-F238E27FC236}">
              <a16:creationId xmlns:a16="http://schemas.microsoft.com/office/drawing/2014/main" id="{00000000-0008-0000-0700-000015100000}"/>
            </a:ext>
          </a:extLst>
        </xdr:cNvPr>
        <xdr:cNvSpPr>
          <a:spLocks noChangeShapeType="1"/>
        </xdr:cNvSpPr>
      </xdr:nvSpPr>
      <xdr:spPr bwMode="auto">
        <a:xfrm>
          <a:off x="26898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4118" name="Line 22">
          <a:extLst>
            <a:ext uri="{FF2B5EF4-FFF2-40B4-BE49-F238E27FC236}">
              <a16:creationId xmlns:a16="http://schemas.microsoft.com/office/drawing/2014/main" id="{00000000-0008-0000-0700-000016100000}"/>
            </a:ext>
          </a:extLst>
        </xdr:cNvPr>
        <xdr:cNvSpPr>
          <a:spLocks noChangeShapeType="1"/>
        </xdr:cNvSpPr>
      </xdr:nvSpPr>
      <xdr:spPr bwMode="auto">
        <a:xfrm>
          <a:off x="26898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4119" name="Line 23">
          <a:extLst>
            <a:ext uri="{FF2B5EF4-FFF2-40B4-BE49-F238E27FC236}">
              <a16:creationId xmlns:a16="http://schemas.microsoft.com/office/drawing/2014/main" id="{00000000-0008-0000-0700-0000171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4120" name="Line 24">
          <a:extLst>
            <a:ext uri="{FF2B5EF4-FFF2-40B4-BE49-F238E27FC236}">
              <a16:creationId xmlns:a16="http://schemas.microsoft.com/office/drawing/2014/main" id="{00000000-0008-0000-0700-0000181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4121" name="Line 25">
          <a:extLst>
            <a:ext uri="{FF2B5EF4-FFF2-40B4-BE49-F238E27FC236}">
              <a16:creationId xmlns:a16="http://schemas.microsoft.com/office/drawing/2014/main" id="{00000000-0008-0000-0700-000019100000}"/>
            </a:ext>
          </a:extLst>
        </xdr:cNvPr>
        <xdr:cNvSpPr>
          <a:spLocks noChangeShapeType="1"/>
        </xdr:cNvSpPr>
      </xdr:nvSpPr>
      <xdr:spPr bwMode="auto">
        <a:xfrm>
          <a:off x="70789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4122" name="Line 26">
          <a:extLst>
            <a:ext uri="{FF2B5EF4-FFF2-40B4-BE49-F238E27FC236}">
              <a16:creationId xmlns:a16="http://schemas.microsoft.com/office/drawing/2014/main" id="{00000000-0008-0000-0700-00001A100000}"/>
            </a:ext>
          </a:extLst>
        </xdr:cNvPr>
        <xdr:cNvSpPr>
          <a:spLocks noChangeShapeType="1"/>
        </xdr:cNvSpPr>
      </xdr:nvSpPr>
      <xdr:spPr bwMode="auto">
        <a:xfrm>
          <a:off x="107365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4123" name="Line 27">
          <a:extLst>
            <a:ext uri="{FF2B5EF4-FFF2-40B4-BE49-F238E27FC236}">
              <a16:creationId xmlns:a16="http://schemas.microsoft.com/office/drawing/2014/main" id="{00000000-0008-0000-0700-00001B100000}"/>
            </a:ext>
          </a:extLst>
        </xdr:cNvPr>
        <xdr:cNvSpPr>
          <a:spLocks noChangeShapeType="1"/>
        </xdr:cNvSpPr>
      </xdr:nvSpPr>
      <xdr:spPr bwMode="auto">
        <a:xfrm>
          <a:off x="48844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4124" name="Line 28">
          <a:extLst>
            <a:ext uri="{FF2B5EF4-FFF2-40B4-BE49-F238E27FC236}">
              <a16:creationId xmlns:a16="http://schemas.microsoft.com/office/drawing/2014/main" id="{00000000-0008-0000-0700-00001C100000}"/>
            </a:ext>
          </a:extLst>
        </xdr:cNvPr>
        <xdr:cNvSpPr>
          <a:spLocks noChangeShapeType="1"/>
        </xdr:cNvSpPr>
      </xdr:nvSpPr>
      <xdr:spPr bwMode="auto">
        <a:xfrm>
          <a:off x="48844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4125" name="Line 29">
          <a:extLst>
            <a:ext uri="{FF2B5EF4-FFF2-40B4-BE49-F238E27FC236}">
              <a16:creationId xmlns:a16="http://schemas.microsoft.com/office/drawing/2014/main" id="{00000000-0008-0000-0700-00001D100000}"/>
            </a:ext>
          </a:extLst>
        </xdr:cNvPr>
        <xdr:cNvSpPr>
          <a:spLocks noChangeShapeType="1"/>
        </xdr:cNvSpPr>
      </xdr:nvSpPr>
      <xdr:spPr bwMode="auto">
        <a:xfrm>
          <a:off x="70789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4126" name="Line 30">
          <a:extLst>
            <a:ext uri="{FF2B5EF4-FFF2-40B4-BE49-F238E27FC236}">
              <a16:creationId xmlns:a16="http://schemas.microsoft.com/office/drawing/2014/main" id="{00000000-0008-0000-0700-00001E100000}"/>
            </a:ext>
          </a:extLst>
        </xdr:cNvPr>
        <xdr:cNvSpPr>
          <a:spLocks noChangeShapeType="1"/>
        </xdr:cNvSpPr>
      </xdr:nvSpPr>
      <xdr:spPr bwMode="auto">
        <a:xfrm>
          <a:off x="70789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4127" name="Line 31">
          <a:extLst>
            <a:ext uri="{FF2B5EF4-FFF2-40B4-BE49-F238E27FC236}">
              <a16:creationId xmlns:a16="http://schemas.microsoft.com/office/drawing/2014/main" id="{00000000-0008-0000-0700-00001F100000}"/>
            </a:ext>
          </a:extLst>
        </xdr:cNvPr>
        <xdr:cNvSpPr>
          <a:spLocks noChangeShapeType="1"/>
        </xdr:cNvSpPr>
      </xdr:nvSpPr>
      <xdr:spPr bwMode="auto">
        <a:xfrm>
          <a:off x="1073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4128" name="Line 32">
          <a:extLst>
            <a:ext uri="{FF2B5EF4-FFF2-40B4-BE49-F238E27FC236}">
              <a16:creationId xmlns:a16="http://schemas.microsoft.com/office/drawing/2014/main" id="{00000000-0008-0000-0700-000020100000}"/>
            </a:ext>
          </a:extLst>
        </xdr:cNvPr>
        <xdr:cNvSpPr>
          <a:spLocks noChangeShapeType="1"/>
        </xdr:cNvSpPr>
      </xdr:nvSpPr>
      <xdr:spPr bwMode="auto">
        <a:xfrm>
          <a:off x="1073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4129" name="Line 33">
          <a:extLst>
            <a:ext uri="{FF2B5EF4-FFF2-40B4-BE49-F238E27FC236}">
              <a16:creationId xmlns:a16="http://schemas.microsoft.com/office/drawing/2014/main" id="{00000000-0008-0000-0700-000021100000}"/>
            </a:ext>
          </a:extLst>
        </xdr:cNvPr>
        <xdr:cNvSpPr>
          <a:spLocks noChangeShapeType="1"/>
        </xdr:cNvSpPr>
      </xdr:nvSpPr>
      <xdr:spPr bwMode="auto">
        <a:xfrm>
          <a:off x="26898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4130" name="Line 34">
          <a:extLst>
            <a:ext uri="{FF2B5EF4-FFF2-40B4-BE49-F238E27FC236}">
              <a16:creationId xmlns:a16="http://schemas.microsoft.com/office/drawing/2014/main" id="{00000000-0008-0000-0700-0000221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4131" name="Line 35">
          <a:extLst>
            <a:ext uri="{FF2B5EF4-FFF2-40B4-BE49-F238E27FC236}">
              <a16:creationId xmlns:a16="http://schemas.microsoft.com/office/drawing/2014/main" id="{00000000-0008-0000-0700-0000231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4132" name="Line 36">
          <a:extLst>
            <a:ext uri="{FF2B5EF4-FFF2-40B4-BE49-F238E27FC236}">
              <a16:creationId xmlns:a16="http://schemas.microsoft.com/office/drawing/2014/main" id="{00000000-0008-0000-0700-000024100000}"/>
            </a:ext>
          </a:extLst>
        </xdr:cNvPr>
        <xdr:cNvSpPr>
          <a:spLocks noChangeShapeType="1"/>
        </xdr:cNvSpPr>
      </xdr:nvSpPr>
      <xdr:spPr bwMode="auto">
        <a:xfrm>
          <a:off x="26898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4133" name="Line 37">
          <a:extLst>
            <a:ext uri="{FF2B5EF4-FFF2-40B4-BE49-F238E27FC236}">
              <a16:creationId xmlns:a16="http://schemas.microsoft.com/office/drawing/2014/main" id="{00000000-0008-0000-0700-000025100000}"/>
            </a:ext>
          </a:extLst>
        </xdr:cNvPr>
        <xdr:cNvSpPr>
          <a:spLocks noChangeShapeType="1"/>
        </xdr:cNvSpPr>
      </xdr:nvSpPr>
      <xdr:spPr bwMode="auto">
        <a:xfrm>
          <a:off x="26898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4134" name="Line 38">
          <a:extLst>
            <a:ext uri="{FF2B5EF4-FFF2-40B4-BE49-F238E27FC236}">
              <a16:creationId xmlns:a16="http://schemas.microsoft.com/office/drawing/2014/main" id="{00000000-0008-0000-0700-000026100000}"/>
            </a:ext>
          </a:extLst>
        </xdr:cNvPr>
        <xdr:cNvSpPr>
          <a:spLocks noChangeShapeType="1"/>
        </xdr:cNvSpPr>
      </xdr:nvSpPr>
      <xdr:spPr bwMode="auto">
        <a:xfrm>
          <a:off x="26898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135" name="Line 39">
          <a:extLst>
            <a:ext uri="{FF2B5EF4-FFF2-40B4-BE49-F238E27FC236}">
              <a16:creationId xmlns:a16="http://schemas.microsoft.com/office/drawing/2014/main" id="{00000000-0008-0000-0700-000027100000}"/>
            </a:ext>
          </a:extLst>
        </xdr:cNvPr>
        <xdr:cNvSpPr>
          <a:spLocks noChangeShapeType="1"/>
        </xdr:cNvSpPr>
      </xdr:nvSpPr>
      <xdr:spPr bwMode="auto">
        <a:xfrm>
          <a:off x="48844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136" name="Line 40">
          <a:extLst>
            <a:ext uri="{FF2B5EF4-FFF2-40B4-BE49-F238E27FC236}">
              <a16:creationId xmlns:a16="http://schemas.microsoft.com/office/drawing/2014/main" id="{00000000-0008-0000-0700-000028100000}"/>
            </a:ext>
          </a:extLst>
        </xdr:cNvPr>
        <xdr:cNvSpPr>
          <a:spLocks noChangeShapeType="1"/>
        </xdr:cNvSpPr>
      </xdr:nvSpPr>
      <xdr:spPr bwMode="auto">
        <a:xfrm>
          <a:off x="107365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137" name="Line 41">
          <a:extLst>
            <a:ext uri="{FF2B5EF4-FFF2-40B4-BE49-F238E27FC236}">
              <a16:creationId xmlns:a16="http://schemas.microsoft.com/office/drawing/2014/main" id="{00000000-0008-0000-0700-0000291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138" name="Line 42">
          <a:extLst>
            <a:ext uri="{FF2B5EF4-FFF2-40B4-BE49-F238E27FC236}">
              <a16:creationId xmlns:a16="http://schemas.microsoft.com/office/drawing/2014/main" id="{00000000-0008-0000-0700-00002A1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139" name="Line 43">
          <a:extLst>
            <a:ext uri="{FF2B5EF4-FFF2-40B4-BE49-F238E27FC236}">
              <a16:creationId xmlns:a16="http://schemas.microsoft.com/office/drawing/2014/main" id="{00000000-0008-0000-0700-00002B100000}"/>
            </a:ext>
          </a:extLst>
        </xdr:cNvPr>
        <xdr:cNvSpPr>
          <a:spLocks noChangeShapeType="1"/>
        </xdr:cNvSpPr>
      </xdr:nvSpPr>
      <xdr:spPr bwMode="auto">
        <a:xfrm>
          <a:off x="70789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140" name="Line 44">
          <a:extLst>
            <a:ext uri="{FF2B5EF4-FFF2-40B4-BE49-F238E27FC236}">
              <a16:creationId xmlns:a16="http://schemas.microsoft.com/office/drawing/2014/main" id="{00000000-0008-0000-0700-00002C100000}"/>
            </a:ext>
          </a:extLst>
        </xdr:cNvPr>
        <xdr:cNvSpPr>
          <a:spLocks noChangeShapeType="1"/>
        </xdr:cNvSpPr>
      </xdr:nvSpPr>
      <xdr:spPr bwMode="auto">
        <a:xfrm>
          <a:off x="107365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141" name="Line 45">
          <a:extLst>
            <a:ext uri="{FF2B5EF4-FFF2-40B4-BE49-F238E27FC236}">
              <a16:creationId xmlns:a16="http://schemas.microsoft.com/office/drawing/2014/main" id="{00000000-0008-0000-0700-00002D100000}"/>
            </a:ext>
          </a:extLst>
        </xdr:cNvPr>
        <xdr:cNvSpPr>
          <a:spLocks noChangeShapeType="1"/>
        </xdr:cNvSpPr>
      </xdr:nvSpPr>
      <xdr:spPr bwMode="auto">
        <a:xfrm>
          <a:off x="48844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142" name="Line 46">
          <a:extLst>
            <a:ext uri="{FF2B5EF4-FFF2-40B4-BE49-F238E27FC236}">
              <a16:creationId xmlns:a16="http://schemas.microsoft.com/office/drawing/2014/main" id="{00000000-0008-0000-0700-00002E100000}"/>
            </a:ext>
          </a:extLst>
        </xdr:cNvPr>
        <xdr:cNvSpPr>
          <a:spLocks noChangeShapeType="1"/>
        </xdr:cNvSpPr>
      </xdr:nvSpPr>
      <xdr:spPr bwMode="auto">
        <a:xfrm>
          <a:off x="70789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143" name="Line 47">
          <a:extLst>
            <a:ext uri="{FF2B5EF4-FFF2-40B4-BE49-F238E27FC236}">
              <a16:creationId xmlns:a16="http://schemas.microsoft.com/office/drawing/2014/main" id="{00000000-0008-0000-0700-00002F100000}"/>
            </a:ext>
          </a:extLst>
        </xdr:cNvPr>
        <xdr:cNvSpPr>
          <a:spLocks noChangeShapeType="1"/>
        </xdr:cNvSpPr>
      </xdr:nvSpPr>
      <xdr:spPr bwMode="auto">
        <a:xfrm>
          <a:off x="1073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144" name="Line 48">
          <a:extLst>
            <a:ext uri="{FF2B5EF4-FFF2-40B4-BE49-F238E27FC236}">
              <a16:creationId xmlns:a16="http://schemas.microsoft.com/office/drawing/2014/main" id="{00000000-0008-0000-0700-000030100000}"/>
            </a:ext>
          </a:extLst>
        </xdr:cNvPr>
        <xdr:cNvSpPr>
          <a:spLocks noChangeShapeType="1"/>
        </xdr:cNvSpPr>
      </xdr:nvSpPr>
      <xdr:spPr bwMode="auto">
        <a:xfrm>
          <a:off x="26898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145" name="Line 49">
          <a:extLst>
            <a:ext uri="{FF2B5EF4-FFF2-40B4-BE49-F238E27FC236}">
              <a16:creationId xmlns:a16="http://schemas.microsoft.com/office/drawing/2014/main" id="{00000000-0008-0000-0700-0000311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146" name="Line 50">
          <a:extLst>
            <a:ext uri="{FF2B5EF4-FFF2-40B4-BE49-F238E27FC236}">
              <a16:creationId xmlns:a16="http://schemas.microsoft.com/office/drawing/2014/main" id="{00000000-0008-0000-0700-0000321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147" name="Line 51">
          <a:extLst>
            <a:ext uri="{FF2B5EF4-FFF2-40B4-BE49-F238E27FC236}">
              <a16:creationId xmlns:a16="http://schemas.microsoft.com/office/drawing/2014/main" id="{00000000-0008-0000-0700-0000331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4148" name="Line 52">
          <a:extLst>
            <a:ext uri="{FF2B5EF4-FFF2-40B4-BE49-F238E27FC236}">
              <a16:creationId xmlns:a16="http://schemas.microsoft.com/office/drawing/2014/main" id="{00000000-0008-0000-0700-000034100000}"/>
            </a:ext>
          </a:extLst>
        </xdr:cNvPr>
        <xdr:cNvSpPr>
          <a:spLocks noChangeShapeType="1"/>
        </xdr:cNvSpPr>
      </xdr:nvSpPr>
      <xdr:spPr bwMode="auto">
        <a:xfrm>
          <a:off x="26898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4149" name="Line 53">
          <a:extLst>
            <a:ext uri="{FF2B5EF4-FFF2-40B4-BE49-F238E27FC236}">
              <a16:creationId xmlns:a16="http://schemas.microsoft.com/office/drawing/2014/main" id="{00000000-0008-0000-0700-000035100000}"/>
            </a:ext>
          </a:extLst>
        </xdr:cNvPr>
        <xdr:cNvSpPr>
          <a:spLocks noChangeShapeType="1"/>
        </xdr:cNvSpPr>
      </xdr:nvSpPr>
      <xdr:spPr bwMode="auto">
        <a:xfrm>
          <a:off x="26898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4150" name="Line 54">
          <a:extLst>
            <a:ext uri="{FF2B5EF4-FFF2-40B4-BE49-F238E27FC236}">
              <a16:creationId xmlns:a16="http://schemas.microsoft.com/office/drawing/2014/main" id="{00000000-0008-0000-0700-000036100000}"/>
            </a:ext>
          </a:extLst>
        </xdr:cNvPr>
        <xdr:cNvSpPr>
          <a:spLocks noChangeShapeType="1"/>
        </xdr:cNvSpPr>
      </xdr:nvSpPr>
      <xdr:spPr bwMode="auto">
        <a:xfrm>
          <a:off x="48844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4151" name="Line 55">
          <a:extLst>
            <a:ext uri="{FF2B5EF4-FFF2-40B4-BE49-F238E27FC236}">
              <a16:creationId xmlns:a16="http://schemas.microsoft.com/office/drawing/2014/main" id="{00000000-0008-0000-0700-000037100000}"/>
            </a:ext>
          </a:extLst>
        </xdr:cNvPr>
        <xdr:cNvSpPr>
          <a:spLocks noChangeShapeType="1"/>
        </xdr:cNvSpPr>
      </xdr:nvSpPr>
      <xdr:spPr bwMode="auto">
        <a:xfrm>
          <a:off x="4884420" y="552450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4152" name="Line 56">
          <a:extLst>
            <a:ext uri="{FF2B5EF4-FFF2-40B4-BE49-F238E27FC236}">
              <a16:creationId xmlns:a16="http://schemas.microsoft.com/office/drawing/2014/main" id="{00000000-0008-0000-0700-000038100000}"/>
            </a:ext>
          </a:extLst>
        </xdr:cNvPr>
        <xdr:cNvSpPr>
          <a:spLocks noChangeShapeType="1"/>
        </xdr:cNvSpPr>
      </xdr:nvSpPr>
      <xdr:spPr bwMode="auto">
        <a:xfrm>
          <a:off x="4884420" y="770382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4153" name="Line 57">
          <a:extLst>
            <a:ext uri="{FF2B5EF4-FFF2-40B4-BE49-F238E27FC236}">
              <a16:creationId xmlns:a16="http://schemas.microsoft.com/office/drawing/2014/main" id="{00000000-0008-0000-0700-000039100000}"/>
            </a:ext>
          </a:extLst>
        </xdr:cNvPr>
        <xdr:cNvSpPr>
          <a:spLocks noChangeShapeType="1"/>
        </xdr:cNvSpPr>
      </xdr:nvSpPr>
      <xdr:spPr bwMode="auto">
        <a:xfrm>
          <a:off x="4884420" y="103403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4154" name="Line 58">
          <a:extLst>
            <a:ext uri="{FF2B5EF4-FFF2-40B4-BE49-F238E27FC236}">
              <a16:creationId xmlns:a16="http://schemas.microsoft.com/office/drawing/2014/main" id="{00000000-0008-0000-0700-00003A100000}"/>
            </a:ext>
          </a:extLst>
        </xdr:cNvPr>
        <xdr:cNvSpPr>
          <a:spLocks noChangeShapeType="1"/>
        </xdr:cNvSpPr>
      </xdr:nvSpPr>
      <xdr:spPr bwMode="auto">
        <a:xfrm>
          <a:off x="48844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4155" name="Line 59">
          <a:extLst>
            <a:ext uri="{FF2B5EF4-FFF2-40B4-BE49-F238E27FC236}">
              <a16:creationId xmlns:a16="http://schemas.microsoft.com/office/drawing/2014/main" id="{00000000-0008-0000-0700-00003B100000}"/>
            </a:ext>
          </a:extLst>
        </xdr:cNvPr>
        <xdr:cNvSpPr>
          <a:spLocks noChangeShapeType="1"/>
        </xdr:cNvSpPr>
      </xdr:nvSpPr>
      <xdr:spPr bwMode="auto">
        <a:xfrm>
          <a:off x="107365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4156" name="Line 60">
          <a:extLst>
            <a:ext uri="{FF2B5EF4-FFF2-40B4-BE49-F238E27FC236}">
              <a16:creationId xmlns:a16="http://schemas.microsoft.com/office/drawing/2014/main" id="{00000000-0008-0000-0700-00003C100000}"/>
            </a:ext>
          </a:extLst>
        </xdr:cNvPr>
        <xdr:cNvSpPr>
          <a:spLocks noChangeShapeType="1"/>
        </xdr:cNvSpPr>
      </xdr:nvSpPr>
      <xdr:spPr bwMode="auto">
        <a:xfrm>
          <a:off x="48844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157" name="Line 61">
          <a:extLst>
            <a:ext uri="{FF2B5EF4-FFF2-40B4-BE49-F238E27FC236}">
              <a16:creationId xmlns:a16="http://schemas.microsoft.com/office/drawing/2014/main" id="{00000000-0008-0000-0700-00003D1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158" name="Line 62">
          <a:extLst>
            <a:ext uri="{FF2B5EF4-FFF2-40B4-BE49-F238E27FC236}">
              <a16:creationId xmlns:a16="http://schemas.microsoft.com/office/drawing/2014/main" id="{00000000-0008-0000-0700-00003E1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4159" name="Line 63">
          <a:extLst>
            <a:ext uri="{FF2B5EF4-FFF2-40B4-BE49-F238E27FC236}">
              <a16:creationId xmlns:a16="http://schemas.microsoft.com/office/drawing/2014/main" id="{00000000-0008-0000-0700-00003F100000}"/>
            </a:ext>
          </a:extLst>
        </xdr:cNvPr>
        <xdr:cNvSpPr>
          <a:spLocks noChangeShapeType="1"/>
        </xdr:cNvSpPr>
      </xdr:nvSpPr>
      <xdr:spPr bwMode="auto">
        <a:xfrm>
          <a:off x="70789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4160" name="Line 64">
          <a:extLst>
            <a:ext uri="{FF2B5EF4-FFF2-40B4-BE49-F238E27FC236}">
              <a16:creationId xmlns:a16="http://schemas.microsoft.com/office/drawing/2014/main" id="{00000000-0008-0000-0700-000040100000}"/>
            </a:ext>
          </a:extLst>
        </xdr:cNvPr>
        <xdr:cNvSpPr>
          <a:spLocks noChangeShapeType="1"/>
        </xdr:cNvSpPr>
      </xdr:nvSpPr>
      <xdr:spPr bwMode="auto">
        <a:xfrm>
          <a:off x="107365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4161" name="Line 65">
          <a:extLst>
            <a:ext uri="{FF2B5EF4-FFF2-40B4-BE49-F238E27FC236}">
              <a16:creationId xmlns:a16="http://schemas.microsoft.com/office/drawing/2014/main" id="{00000000-0008-0000-0700-000041100000}"/>
            </a:ext>
          </a:extLst>
        </xdr:cNvPr>
        <xdr:cNvSpPr>
          <a:spLocks noChangeShapeType="1"/>
        </xdr:cNvSpPr>
      </xdr:nvSpPr>
      <xdr:spPr bwMode="auto">
        <a:xfrm>
          <a:off x="48844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4162" name="Line 66">
          <a:extLst>
            <a:ext uri="{FF2B5EF4-FFF2-40B4-BE49-F238E27FC236}">
              <a16:creationId xmlns:a16="http://schemas.microsoft.com/office/drawing/2014/main" id="{00000000-0008-0000-0700-000042100000}"/>
            </a:ext>
          </a:extLst>
        </xdr:cNvPr>
        <xdr:cNvSpPr>
          <a:spLocks noChangeShapeType="1"/>
        </xdr:cNvSpPr>
      </xdr:nvSpPr>
      <xdr:spPr bwMode="auto">
        <a:xfrm>
          <a:off x="26898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163" name="Line 67">
          <a:extLst>
            <a:ext uri="{FF2B5EF4-FFF2-40B4-BE49-F238E27FC236}">
              <a16:creationId xmlns:a16="http://schemas.microsoft.com/office/drawing/2014/main" id="{00000000-0008-0000-0700-0000431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164" name="Line 68">
          <a:extLst>
            <a:ext uri="{FF2B5EF4-FFF2-40B4-BE49-F238E27FC236}">
              <a16:creationId xmlns:a16="http://schemas.microsoft.com/office/drawing/2014/main" id="{00000000-0008-0000-0700-0000441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165" name="Line 69">
          <a:extLst>
            <a:ext uri="{FF2B5EF4-FFF2-40B4-BE49-F238E27FC236}">
              <a16:creationId xmlns:a16="http://schemas.microsoft.com/office/drawing/2014/main" id="{00000000-0008-0000-0700-0000451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4166" name="Line 70">
          <a:extLst>
            <a:ext uri="{FF2B5EF4-FFF2-40B4-BE49-F238E27FC236}">
              <a16:creationId xmlns:a16="http://schemas.microsoft.com/office/drawing/2014/main" id="{00000000-0008-0000-0700-0000461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4167" name="Line 71">
          <a:extLst>
            <a:ext uri="{FF2B5EF4-FFF2-40B4-BE49-F238E27FC236}">
              <a16:creationId xmlns:a16="http://schemas.microsoft.com/office/drawing/2014/main" id="{00000000-0008-0000-0700-000047100000}"/>
            </a:ext>
          </a:extLst>
        </xdr:cNvPr>
        <xdr:cNvSpPr>
          <a:spLocks noChangeShapeType="1"/>
        </xdr:cNvSpPr>
      </xdr:nvSpPr>
      <xdr:spPr bwMode="auto">
        <a:xfrm>
          <a:off x="4884420" y="121843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4168" name="Line 72">
          <a:extLst>
            <a:ext uri="{FF2B5EF4-FFF2-40B4-BE49-F238E27FC236}">
              <a16:creationId xmlns:a16="http://schemas.microsoft.com/office/drawing/2014/main" id="{00000000-0008-0000-0700-000048100000}"/>
            </a:ext>
          </a:extLst>
        </xdr:cNvPr>
        <xdr:cNvSpPr>
          <a:spLocks noChangeShapeType="1"/>
        </xdr:cNvSpPr>
      </xdr:nvSpPr>
      <xdr:spPr bwMode="auto">
        <a:xfrm>
          <a:off x="26898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4169" name="Line 73">
          <a:extLst>
            <a:ext uri="{FF2B5EF4-FFF2-40B4-BE49-F238E27FC236}">
              <a16:creationId xmlns:a16="http://schemas.microsoft.com/office/drawing/2014/main" id="{00000000-0008-0000-0700-000049100000}"/>
            </a:ext>
          </a:extLst>
        </xdr:cNvPr>
        <xdr:cNvSpPr>
          <a:spLocks noChangeShapeType="1"/>
        </xdr:cNvSpPr>
      </xdr:nvSpPr>
      <xdr:spPr bwMode="auto">
        <a:xfrm>
          <a:off x="48844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4170" name="Line 74">
          <a:extLst>
            <a:ext uri="{FF2B5EF4-FFF2-40B4-BE49-F238E27FC236}">
              <a16:creationId xmlns:a16="http://schemas.microsoft.com/office/drawing/2014/main" id="{00000000-0008-0000-0700-00004A100000}"/>
            </a:ext>
          </a:extLst>
        </xdr:cNvPr>
        <xdr:cNvSpPr>
          <a:spLocks noChangeShapeType="1"/>
        </xdr:cNvSpPr>
      </xdr:nvSpPr>
      <xdr:spPr bwMode="auto">
        <a:xfrm>
          <a:off x="107365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171" name="Line 75">
          <a:extLst>
            <a:ext uri="{FF2B5EF4-FFF2-40B4-BE49-F238E27FC236}">
              <a16:creationId xmlns:a16="http://schemas.microsoft.com/office/drawing/2014/main" id="{00000000-0008-0000-0700-00004B1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172" name="Line 76">
          <a:extLst>
            <a:ext uri="{FF2B5EF4-FFF2-40B4-BE49-F238E27FC236}">
              <a16:creationId xmlns:a16="http://schemas.microsoft.com/office/drawing/2014/main" id="{00000000-0008-0000-0700-00004C1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4173" name="Line 77">
          <a:extLst>
            <a:ext uri="{FF2B5EF4-FFF2-40B4-BE49-F238E27FC236}">
              <a16:creationId xmlns:a16="http://schemas.microsoft.com/office/drawing/2014/main" id="{00000000-0008-0000-0700-00004D100000}"/>
            </a:ext>
          </a:extLst>
        </xdr:cNvPr>
        <xdr:cNvSpPr>
          <a:spLocks noChangeShapeType="1"/>
        </xdr:cNvSpPr>
      </xdr:nvSpPr>
      <xdr:spPr bwMode="auto">
        <a:xfrm>
          <a:off x="70789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4174" name="Line 78">
          <a:extLst>
            <a:ext uri="{FF2B5EF4-FFF2-40B4-BE49-F238E27FC236}">
              <a16:creationId xmlns:a16="http://schemas.microsoft.com/office/drawing/2014/main" id="{00000000-0008-0000-0700-00004E100000}"/>
            </a:ext>
          </a:extLst>
        </xdr:cNvPr>
        <xdr:cNvSpPr>
          <a:spLocks noChangeShapeType="1"/>
        </xdr:cNvSpPr>
      </xdr:nvSpPr>
      <xdr:spPr bwMode="auto">
        <a:xfrm>
          <a:off x="48844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4175" name="Line 79">
          <a:extLst>
            <a:ext uri="{FF2B5EF4-FFF2-40B4-BE49-F238E27FC236}">
              <a16:creationId xmlns:a16="http://schemas.microsoft.com/office/drawing/2014/main" id="{00000000-0008-0000-0700-00004F100000}"/>
            </a:ext>
          </a:extLst>
        </xdr:cNvPr>
        <xdr:cNvSpPr>
          <a:spLocks noChangeShapeType="1"/>
        </xdr:cNvSpPr>
      </xdr:nvSpPr>
      <xdr:spPr bwMode="auto">
        <a:xfrm>
          <a:off x="26898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176" name="Line 80">
          <a:extLst>
            <a:ext uri="{FF2B5EF4-FFF2-40B4-BE49-F238E27FC236}">
              <a16:creationId xmlns:a16="http://schemas.microsoft.com/office/drawing/2014/main" id="{00000000-0008-0000-0700-0000501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177" name="Line 81">
          <a:extLst>
            <a:ext uri="{FF2B5EF4-FFF2-40B4-BE49-F238E27FC236}">
              <a16:creationId xmlns:a16="http://schemas.microsoft.com/office/drawing/2014/main" id="{00000000-0008-0000-0700-0000511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178" name="Line 82">
          <a:extLst>
            <a:ext uri="{FF2B5EF4-FFF2-40B4-BE49-F238E27FC236}">
              <a16:creationId xmlns:a16="http://schemas.microsoft.com/office/drawing/2014/main" id="{00000000-0008-0000-0700-0000521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4179" name="Line 83">
          <a:extLst>
            <a:ext uri="{FF2B5EF4-FFF2-40B4-BE49-F238E27FC236}">
              <a16:creationId xmlns:a16="http://schemas.microsoft.com/office/drawing/2014/main" id="{00000000-0008-0000-0700-0000531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4180" name="Line 84">
          <a:extLst>
            <a:ext uri="{FF2B5EF4-FFF2-40B4-BE49-F238E27FC236}">
              <a16:creationId xmlns:a16="http://schemas.microsoft.com/office/drawing/2014/main" id="{00000000-0008-0000-0700-000054100000}"/>
            </a:ext>
          </a:extLst>
        </xdr:cNvPr>
        <xdr:cNvSpPr>
          <a:spLocks noChangeShapeType="1"/>
        </xdr:cNvSpPr>
      </xdr:nvSpPr>
      <xdr:spPr bwMode="auto">
        <a:xfrm>
          <a:off x="4884420" y="138607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4181" name="Line 85">
          <a:extLst>
            <a:ext uri="{FF2B5EF4-FFF2-40B4-BE49-F238E27FC236}">
              <a16:creationId xmlns:a16="http://schemas.microsoft.com/office/drawing/2014/main" id="{00000000-0008-0000-0700-0000551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4182" name="Line 86">
          <a:extLst>
            <a:ext uri="{FF2B5EF4-FFF2-40B4-BE49-F238E27FC236}">
              <a16:creationId xmlns:a16="http://schemas.microsoft.com/office/drawing/2014/main" id="{00000000-0008-0000-0700-0000561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4183" name="Line 87">
          <a:extLst>
            <a:ext uri="{FF2B5EF4-FFF2-40B4-BE49-F238E27FC236}">
              <a16:creationId xmlns:a16="http://schemas.microsoft.com/office/drawing/2014/main" id="{00000000-0008-0000-0700-0000571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4184" name="Line 88">
          <a:extLst>
            <a:ext uri="{FF2B5EF4-FFF2-40B4-BE49-F238E27FC236}">
              <a16:creationId xmlns:a16="http://schemas.microsoft.com/office/drawing/2014/main" id="{00000000-0008-0000-0700-0000581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4185" name="Line 89">
          <a:extLst>
            <a:ext uri="{FF2B5EF4-FFF2-40B4-BE49-F238E27FC236}">
              <a16:creationId xmlns:a16="http://schemas.microsoft.com/office/drawing/2014/main" id="{00000000-0008-0000-0700-000059100000}"/>
            </a:ext>
          </a:extLst>
        </xdr:cNvPr>
        <xdr:cNvSpPr>
          <a:spLocks noChangeShapeType="1"/>
        </xdr:cNvSpPr>
      </xdr:nvSpPr>
      <xdr:spPr bwMode="auto">
        <a:xfrm>
          <a:off x="48844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4186" name="Line 90">
          <a:extLst>
            <a:ext uri="{FF2B5EF4-FFF2-40B4-BE49-F238E27FC236}">
              <a16:creationId xmlns:a16="http://schemas.microsoft.com/office/drawing/2014/main" id="{00000000-0008-0000-0700-00005A100000}"/>
            </a:ext>
          </a:extLst>
        </xdr:cNvPr>
        <xdr:cNvSpPr>
          <a:spLocks noChangeShapeType="1"/>
        </xdr:cNvSpPr>
      </xdr:nvSpPr>
      <xdr:spPr bwMode="auto">
        <a:xfrm>
          <a:off x="48844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4187" name="Line 91">
          <a:extLst>
            <a:ext uri="{FF2B5EF4-FFF2-40B4-BE49-F238E27FC236}">
              <a16:creationId xmlns:a16="http://schemas.microsoft.com/office/drawing/2014/main" id="{00000000-0008-0000-0700-00005B100000}"/>
            </a:ext>
          </a:extLst>
        </xdr:cNvPr>
        <xdr:cNvSpPr>
          <a:spLocks noChangeShapeType="1"/>
        </xdr:cNvSpPr>
      </xdr:nvSpPr>
      <xdr:spPr bwMode="auto">
        <a:xfrm>
          <a:off x="48844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4188" name="Line 92">
          <a:extLst>
            <a:ext uri="{FF2B5EF4-FFF2-40B4-BE49-F238E27FC236}">
              <a16:creationId xmlns:a16="http://schemas.microsoft.com/office/drawing/2014/main" id="{00000000-0008-0000-0700-00005C100000}"/>
            </a:ext>
          </a:extLst>
        </xdr:cNvPr>
        <xdr:cNvSpPr>
          <a:spLocks noChangeShapeType="1"/>
        </xdr:cNvSpPr>
      </xdr:nvSpPr>
      <xdr:spPr bwMode="auto">
        <a:xfrm>
          <a:off x="48844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4189" name="Line 93">
          <a:extLst>
            <a:ext uri="{FF2B5EF4-FFF2-40B4-BE49-F238E27FC236}">
              <a16:creationId xmlns:a16="http://schemas.microsoft.com/office/drawing/2014/main" id="{00000000-0008-0000-0700-00005D100000}"/>
            </a:ext>
          </a:extLst>
        </xdr:cNvPr>
        <xdr:cNvSpPr>
          <a:spLocks noChangeShapeType="1"/>
        </xdr:cNvSpPr>
      </xdr:nvSpPr>
      <xdr:spPr bwMode="auto">
        <a:xfrm>
          <a:off x="70789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4190" name="Line 94">
          <a:extLst>
            <a:ext uri="{FF2B5EF4-FFF2-40B4-BE49-F238E27FC236}">
              <a16:creationId xmlns:a16="http://schemas.microsoft.com/office/drawing/2014/main" id="{00000000-0008-0000-0700-00005E100000}"/>
            </a:ext>
          </a:extLst>
        </xdr:cNvPr>
        <xdr:cNvSpPr>
          <a:spLocks noChangeShapeType="1"/>
        </xdr:cNvSpPr>
      </xdr:nvSpPr>
      <xdr:spPr bwMode="auto">
        <a:xfrm>
          <a:off x="70789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4191" name="Line 95">
          <a:extLst>
            <a:ext uri="{FF2B5EF4-FFF2-40B4-BE49-F238E27FC236}">
              <a16:creationId xmlns:a16="http://schemas.microsoft.com/office/drawing/2014/main" id="{00000000-0008-0000-0700-00005F100000}"/>
            </a:ext>
          </a:extLst>
        </xdr:cNvPr>
        <xdr:cNvSpPr>
          <a:spLocks noChangeShapeType="1"/>
        </xdr:cNvSpPr>
      </xdr:nvSpPr>
      <xdr:spPr bwMode="auto">
        <a:xfrm>
          <a:off x="70789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4192" name="Line 96">
          <a:extLst>
            <a:ext uri="{FF2B5EF4-FFF2-40B4-BE49-F238E27FC236}">
              <a16:creationId xmlns:a16="http://schemas.microsoft.com/office/drawing/2014/main" id="{00000000-0008-0000-0700-000060100000}"/>
            </a:ext>
          </a:extLst>
        </xdr:cNvPr>
        <xdr:cNvSpPr>
          <a:spLocks noChangeShapeType="1"/>
        </xdr:cNvSpPr>
      </xdr:nvSpPr>
      <xdr:spPr bwMode="auto">
        <a:xfrm>
          <a:off x="70789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4193" name="Line 97">
          <a:extLst>
            <a:ext uri="{FF2B5EF4-FFF2-40B4-BE49-F238E27FC236}">
              <a16:creationId xmlns:a16="http://schemas.microsoft.com/office/drawing/2014/main" id="{00000000-0008-0000-0700-000061100000}"/>
            </a:ext>
          </a:extLst>
        </xdr:cNvPr>
        <xdr:cNvSpPr>
          <a:spLocks noChangeShapeType="1"/>
        </xdr:cNvSpPr>
      </xdr:nvSpPr>
      <xdr:spPr bwMode="auto">
        <a:xfrm>
          <a:off x="70789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4194" name="Line 98">
          <a:extLst>
            <a:ext uri="{FF2B5EF4-FFF2-40B4-BE49-F238E27FC236}">
              <a16:creationId xmlns:a16="http://schemas.microsoft.com/office/drawing/2014/main" id="{00000000-0008-0000-0700-000062100000}"/>
            </a:ext>
          </a:extLst>
        </xdr:cNvPr>
        <xdr:cNvSpPr>
          <a:spLocks noChangeShapeType="1"/>
        </xdr:cNvSpPr>
      </xdr:nvSpPr>
      <xdr:spPr bwMode="auto">
        <a:xfrm>
          <a:off x="70789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4195" name="Line 99">
          <a:extLst>
            <a:ext uri="{FF2B5EF4-FFF2-40B4-BE49-F238E27FC236}">
              <a16:creationId xmlns:a16="http://schemas.microsoft.com/office/drawing/2014/main" id="{00000000-0008-0000-0700-000063100000}"/>
            </a:ext>
          </a:extLst>
        </xdr:cNvPr>
        <xdr:cNvSpPr>
          <a:spLocks noChangeShapeType="1"/>
        </xdr:cNvSpPr>
      </xdr:nvSpPr>
      <xdr:spPr bwMode="auto">
        <a:xfrm>
          <a:off x="70789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4196" name="Line 100">
          <a:extLst>
            <a:ext uri="{FF2B5EF4-FFF2-40B4-BE49-F238E27FC236}">
              <a16:creationId xmlns:a16="http://schemas.microsoft.com/office/drawing/2014/main" id="{00000000-0008-0000-0700-000064100000}"/>
            </a:ext>
          </a:extLst>
        </xdr:cNvPr>
        <xdr:cNvSpPr>
          <a:spLocks noChangeShapeType="1"/>
        </xdr:cNvSpPr>
      </xdr:nvSpPr>
      <xdr:spPr bwMode="auto">
        <a:xfrm>
          <a:off x="70789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4197" name="Line 101">
          <a:extLst>
            <a:ext uri="{FF2B5EF4-FFF2-40B4-BE49-F238E27FC236}">
              <a16:creationId xmlns:a16="http://schemas.microsoft.com/office/drawing/2014/main" id="{00000000-0008-0000-0700-000065100000}"/>
            </a:ext>
          </a:extLst>
        </xdr:cNvPr>
        <xdr:cNvSpPr>
          <a:spLocks noChangeShapeType="1"/>
        </xdr:cNvSpPr>
      </xdr:nvSpPr>
      <xdr:spPr bwMode="auto">
        <a:xfrm>
          <a:off x="70789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4198" name="Line 103">
          <a:extLst>
            <a:ext uri="{FF2B5EF4-FFF2-40B4-BE49-F238E27FC236}">
              <a16:creationId xmlns:a16="http://schemas.microsoft.com/office/drawing/2014/main" id="{00000000-0008-0000-0700-0000661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4199" name="Line 107">
          <a:extLst>
            <a:ext uri="{FF2B5EF4-FFF2-40B4-BE49-F238E27FC236}">
              <a16:creationId xmlns:a16="http://schemas.microsoft.com/office/drawing/2014/main" id="{00000000-0008-0000-0700-0000671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4200" name="Line 108">
          <a:extLst>
            <a:ext uri="{FF2B5EF4-FFF2-40B4-BE49-F238E27FC236}">
              <a16:creationId xmlns:a16="http://schemas.microsoft.com/office/drawing/2014/main" id="{00000000-0008-0000-0700-0000681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4201" name="Line 109">
          <a:extLst>
            <a:ext uri="{FF2B5EF4-FFF2-40B4-BE49-F238E27FC236}">
              <a16:creationId xmlns:a16="http://schemas.microsoft.com/office/drawing/2014/main" id="{00000000-0008-0000-0700-0000691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4202" name="Line 110">
          <a:extLst>
            <a:ext uri="{FF2B5EF4-FFF2-40B4-BE49-F238E27FC236}">
              <a16:creationId xmlns:a16="http://schemas.microsoft.com/office/drawing/2014/main" id="{00000000-0008-0000-0700-00006A1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4203" name="Line 111">
          <a:extLst>
            <a:ext uri="{FF2B5EF4-FFF2-40B4-BE49-F238E27FC236}">
              <a16:creationId xmlns:a16="http://schemas.microsoft.com/office/drawing/2014/main" id="{00000000-0008-0000-0700-00006B1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4204" name="Line 112">
          <a:extLst>
            <a:ext uri="{FF2B5EF4-FFF2-40B4-BE49-F238E27FC236}">
              <a16:creationId xmlns:a16="http://schemas.microsoft.com/office/drawing/2014/main" id="{00000000-0008-0000-0700-00006C1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4205" name="Line 113">
          <a:extLst>
            <a:ext uri="{FF2B5EF4-FFF2-40B4-BE49-F238E27FC236}">
              <a16:creationId xmlns:a16="http://schemas.microsoft.com/office/drawing/2014/main" id="{00000000-0008-0000-0700-00006D1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4206" name="Line 114">
          <a:extLst>
            <a:ext uri="{FF2B5EF4-FFF2-40B4-BE49-F238E27FC236}">
              <a16:creationId xmlns:a16="http://schemas.microsoft.com/office/drawing/2014/main" id="{00000000-0008-0000-0700-00006E1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4207" name="Line 115">
          <a:extLst>
            <a:ext uri="{FF2B5EF4-FFF2-40B4-BE49-F238E27FC236}">
              <a16:creationId xmlns:a16="http://schemas.microsoft.com/office/drawing/2014/main" id="{00000000-0008-0000-0700-00006F1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4208" name="Line 116">
          <a:extLst>
            <a:ext uri="{FF2B5EF4-FFF2-40B4-BE49-F238E27FC236}">
              <a16:creationId xmlns:a16="http://schemas.microsoft.com/office/drawing/2014/main" id="{00000000-0008-0000-0700-0000701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4209" name="Line 75">
          <a:extLst>
            <a:ext uri="{FF2B5EF4-FFF2-40B4-BE49-F238E27FC236}">
              <a16:creationId xmlns:a16="http://schemas.microsoft.com/office/drawing/2014/main" id="{00000000-0008-0000-0700-0000711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4210" name="Line 87">
          <a:extLst>
            <a:ext uri="{FF2B5EF4-FFF2-40B4-BE49-F238E27FC236}">
              <a16:creationId xmlns:a16="http://schemas.microsoft.com/office/drawing/2014/main" id="{00000000-0008-0000-0700-0000721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4211" name="Line 75">
          <a:extLst>
            <a:ext uri="{FF2B5EF4-FFF2-40B4-BE49-F238E27FC236}">
              <a16:creationId xmlns:a16="http://schemas.microsoft.com/office/drawing/2014/main" id="{00000000-0008-0000-0700-0000731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4212" name="Line 79">
          <a:extLst>
            <a:ext uri="{FF2B5EF4-FFF2-40B4-BE49-F238E27FC236}">
              <a16:creationId xmlns:a16="http://schemas.microsoft.com/office/drawing/2014/main" id="{00000000-0008-0000-0700-0000741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4213" name="Line 87">
          <a:extLst>
            <a:ext uri="{FF2B5EF4-FFF2-40B4-BE49-F238E27FC236}">
              <a16:creationId xmlns:a16="http://schemas.microsoft.com/office/drawing/2014/main" id="{00000000-0008-0000-0700-0000751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4214" name="Line 75">
          <a:extLst>
            <a:ext uri="{FF2B5EF4-FFF2-40B4-BE49-F238E27FC236}">
              <a16:creationId xmlns:a16="http://schemas.microsoft.com/office/drawing/2014/main" id="{00000000-0008-0000-0700-0000761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4215" name="Line 87">
          <a:extLst>
            <a:ext uri="{FF2B5EF4-FFF2-40B4-BE49-F238E27FC236}">
              <a16:creationId xmlns:a16="http://schemas.microsoft.com/office/drawing/2014/main" id="{00000000-0008-0000-0700-0000771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4216" name="Line 75">
          <a:extLst>
            <a:ext uri="{FF2B5EF4-FFF2-40B4-BE49-F238E27FC236}">
              <a16:creationId xmlns:a16="http://schemas.microsoft.com/office/drawing/2014/main" id="{00000000-0008-0000-0700-0000781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4217" name="Line 79">
          <a:extLst>
            <a:ext uri="{FF2B5EF4-FFF2-40B4-BE49-F238E27FC236}">
              <a16:creationId xmlns:a16="http://schemas.microsoft.com/office/drawing/2014/main" id="{00000000-0008-0000-0700-0000791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4218" name="Line 87">
          <a:extLst>
            <a:ext uri="{FF2B5EF4-FFF2-40B4-BE49-F238E27FC236}">
              <a16:creationId xmlns:a16="http://schemas.microsoft.com/office/drawing/2014/main" id="{00000000-0008-0000-0700-00007A1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6145" name="Line 1">
          <a:extLst>
            <a:ext uri="{FF2B5EF4-FFF2-40B4-BE49-F238E27FC236}">
              <a16:creationId xmlns:a16="http://schemas.microsoft.com/office/drawing/2014/main" id="{00000000-0008-0000-0900-000001180000}"/>
            </a:ext>
          </a:extLst>
        </xdr:cNvPr>
        <xdr:cNvSpPr>
          <a:spLocks noChangeShapeType="1"/>
        </xdr:cNvSpPr>
      </xdr:nvSpPr>
      <xdr:spPr bwMode="auto">
        <a:xfrm>
          <a:off x="48844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6146" name="Line 2">
          <a:extLst>
            <a:ext uri="{FF2B5EF4-FFF2-40B4-BE49-F238E27FC236}">
              <a16:creationId xmlns:a16="http://schemas.microsoft.com/office/drawing/2014/main" id="{00000000-0008-0000-0900-000002180000}"/>
            </a:ext>
          </a:extLst>
        </xdr:cNvPr>
        <xdr:cNvSpPr>
          <a:spLocks noChangeShapeType="1"/>
        </xdr:cNvSpPr>
      </xdr:nvSpPr>
      <xdr:spPr bwMode="auto">
        <a:xfrm>
          <a:off x="48844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6147" name="Line 3">
          <a:extLst>
            <a:ext uri="{FF2B5EF4-FFF2-40B4-BE49-F238E27FC236}">
              <a16:creationId xmlns:a16="http://schemas.microsoft.com/office/drawing/2014/main" id="{00000000-0008-0000-0900-000003180000}"/>
            </a:ext>
          </a:extLst>
        </xdr:cNvPr>
        <xdr:cNvSpPr>
          <a:spLocks noChangeShapeType="1"/>
        </xdr:cNvSpPr>
      </xdr:nvSpPr>
      <xdr:spPr bwMode="auto">
        <a:xfrm>
          <a:off x="48844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6148" name="Line 4">
          <a:extLst>
            <a:ext uri="{FF2B5EF4-FFF2-40B4-BE49-F238E27FC236}">
              <a16:creationId xmlns:a16="http://schemas.microsoft.com/office/drawing/2014/main" id="{00000000-0008-0000-0900-000004180000}"/>
            </a:ext>
          </a:extLst>
        </xdr:cNvPr>
        <xdr:cNvSpPr>
          <a:spLocks noChangeShapeType="1"/>
        </xdr:cNvSpPr>
      </xdr:nvSpPr>
      <xdr:spPr bwMode="auto">
        <a:xfrm>
          <a:off x="70789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149" name="Line 5">
          <a:extLst>
            <a:ext uri="{FF2B5EF4-FFF2-40B4-BE49-F238E27FC236}">
              <a16:creationId xmlns:a16="http://schemas.microsoft.com/office/drawing/2014/main" id="{00000000-0008-0000-0900-000005180000}"/>
            </a:ext>
          </a:extLst>
        </xdr:cNvPr>
        <xdr:cNvSpPr>
          <a:spLocks noChangeShapeType="1"/>
        </xdr:cNvSpPr>
      </xdr:nvSpPr>
      <xdr:spPr bwMode="auto">
        <a:xfrm>
          <a:off x="107365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6150" name="Line 6">
          <a:extLst>
            <a:ext uri="{FF2B5EF4-FFF2-40B4-BE49-F238E27FC236}">
              <a16:creationId xmlns:a16="http://schemas.microsoft.com/office/drawing/2014/main" id="{00000000-0008-0000-0900-000006180000}"/>
            </a:ext>
          </a:extLst>
        </xdr:cNvPr>
        <xdr:cNvSpPr>
          <a:spLocks noChangeShapeType="1"/>
        </xdr:cNvSpPr>
      </xdr:nvSpPr>
      <xdr:spPr bwMode="auto">
        <a:xfrm>
          <a:off x="107365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6151" name="Line 7">
          <a:extLst>
            <a:ext uri="{FF2B5EF4-FFF2-40B4-BE49-F238E27FC236}">
              <a16:creationId xmlns:a16="http://schemas.microsoft.com/office/drawing/2014/main" id="{00000000-0008-0000-0900-000007180000}"/>
            </a:ext>
          </a:extLst>
        </xdr:cNvPr>
        <xdr:cNvSpPr>
          <a:spLocks noChangeShapeType="1"/>
        </xdr:cNvSpPr>
      </xdr:nvSpPr>
      <xdr:spPr bwMode="auto">
        <a:xfrm>
          <a:off x="48844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6152" name="Line 8">
          <a:extLst>
            <a:ext uri="{FF2B5EF4-FFF2-40B4-BE49-F238E27FC236}">
              <a16:creationId xmlns:a16="http://schemas.microsoft.com/office/drawing/2014/main" id="{00000000-0008-0000-0900-000008180000}"/>
            </a:ext>
          </a:extLst>
        </xdr:cNvPr>
        <xdr:cNvSpPr>
          <a:spLocks noChangeShapeType="1"/>
        </xdr:cNvSpPr>
      </xdr:nvSpPr>
      <xdr:spPr bwMode="auto">
        <a:xfrm>
          <a:off x="48844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6153" name="Line 9">
          <a:extLst>
            <a:ext uri="{FF2B5EF4-FFF2-40B4-BE49-F238E27FC236}">
              <a16:creationId xmlns:a16="http://schemas.microsoft.com/office/drawing/2014/main" id="{00000000-0008-0000-0900-000009180000}"/>
            </a:ext>
          </a:extLst>
        </xdr:cNvPr>
        <xdr:cNvSpPr>
          <a:spLocks noChangeShapeType="1"/>
        </xdr:cNvSpPr>
      </xdr:nvSpPr>
      <xdr:spPr bwMode="auto">
        <a:xfrm>
          <a:off x="48844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6154" name="Line 10">
          <a:extLst>
            <a:ext uri="{FF2B5EF4-FFF2-40B4-BE49-F238E27FC236}">
              <a16:creationId xmlns:a16="http://schemas.microsoft.com/office/drawing/2014/main" id="{00000000-0008-0000-0900-00000A180000}"/>
            </a:ext>
          </a:extLst>
        </xdr:cNvPr>
        <xdr:cNvSpPr>
          <a:spLocks noChangeShapeType="1"/>
        </xdr:cNvSpPr>
      </xdr:nvSpPr>
      <xdr:spPr bwMode="auto">
        <a:xfrm>
          <a:off x="70789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6155" name="Line 11">
          <a:extLst>
            <a:ext uri="{FF2B5EF4-FFF2-40B4-BE49-F238E27FC236}">
              <a16:creationId xmlns:a16="http://schemas.microsoft.com/office/drawing/2014/main" id="{00000000-0008-0000-0900-00000B180000}"/>
            </a:ext>
          </a:extLst>
        </xdr:cNvPr>
        <xdr:cNvSpPr>
          <a:spLocks noChangeShapeType="1"/>
        </xdr:cNvSpPr>
      </xdr:nvSpPr>
      <xdr:spPr bwMode="auto">
        <a:xfrm>
          <a:off x="70789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6156" name="Line 12">
          <a:extLst>
            <a:ext uri="{FF2B5EF4-FFF2-40B4-BE49-F238E27FC236}">
              <a16:creationId xmlns:a16="http://schemas.microsoft.com/office/drawing/2014/main" id="{00000000-0008-0000-0900-00000C180000}"/>
            </a:ext>
          </a:extLst>
        </xdr:cNvPr>
        <xdr:cNvSpPr>
          <a:spLocks noChangeShapeType="1"/>
        </xdr:cNvSpPr>
      </xdr:nvSpPr>
      <xdr:spPr bwMode="auto">
        <a:xfrm>
          <a:off x="70789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6157" name="Line 13">
          <a:extLst>
            <a:ext uri="{FF2B5EF4-FFF2-40B4-BE49-F238E27FC236}">
              <a16:creationId xmlns:a16="http://schemas.microsoft.com/office/drawing/2014/main" id="{00000000-0008-0000-0900-00000D180000}"/>
            </a:ext>
          </a:extLst>
        </xdr:cNvPr>
        <xdr:cNvSpPr>
          <a:spLocks noChangeShapeType="1"/>
        </xdr:cNvSpPr>
      </xdr:nvSpPr>
      <xdr:spPr bwMode="auto">
        <a:xfrm>
          <a:off x="1073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6158" name="Line 14">
          <a:extLst>
            <a:ext uri="{FF2B5EF4-FFF2-40B4-BE49-F238E27FC236}">
              <a16:creationId xmlns:a16="http://schemas.microsoft.com/office/drawing/2014/main" id="{00000000-0008-0000-0900-00000E180000}"/>
            </a:ext>
          </a:extLst>
        </xdr:cNvPr>
        <xdr:cNvSpPr>
          <a:spLocks noChangeShapeType="1"/>
        </xdr:cNvSpPr>
      </xdr:nvSpPr>
      <xdr:spPr bwMode="auto">
        <a:xfrm>
          <a:off x="1073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6159" name="Line 15">
          <a:extLst>
            <a:ext uri="{FF2B5EF4-FFF2-40B4-BE49-F238E27FC236}">
              <a16:creationId xmlns:a16="http://schemas.microsoft.com/office/drawing/2014/main" id="{00000000-0008-0000-0900-00000F180000}"/>
            </a:ext>
          </a:extLst>
        </xdr:cNvPr>
        <xdr:cNvSpPr>
          <a:spLocks noChangeShapeType="1"/>
        </xdr:cNvSpPr>
      </xdr:nvSpPr>
      <xdr:spPr bwMode="auto">
        <a:xfrm>
          <a:off x="1073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6160" name="Line 16">
          <a:extLst>
            <a:ext uri="{FF2B5EF4-FFF2-40B4-BE49-F238E27FC236}">
              <a16:creationId xmlns:a16="http://schemas.microsoft.com/office/drawing/2014/main" id="{00000000-0008-0000-0900-000010180000}"/>
            </a:ext>
          </a:extLst>
        </xdr:cNvPr>
        <xdr:cNvSpPr>
          <a:spLocks noChangeShapeType="1"/>
        </xdr:cNvSpPr>
      </xdr:nvSpPr>
      <xdr:spPr bwMode="auto">
        <a:xfrm>
          <a:off x="107365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6161" name="Line 17">
          <a:extLst>
            <a:ext uri="{FF2B5EF4-FFF2-40B4-BE49-F238E27FC236}">
              <a16:creationId xmlns:a16="http://schemas.microsoft.com/office/drawing/2014/main" id="{00000000-0008-0000-0900-000011180000}"/>
            </a:ext>
          </a:extLst>
        </xdr:cNvPr>
        <xdr:cNvSpPr>
          <a:spLocks noChangeShapeType="1"/>
        </xdr:cNvSpPr>
      </xdr:nvSpPr>
      <xdr:spPr bwMode="auto">
        <a:xfrm>
          <a:off x="26898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6162" name="Line 18">
          <a:extLst>
            <a:ext uri="{FF2B5EF4-FFF2-40B4-BE49-F238E27FC236}">
              <a16:creationId xmlns:a16="http://schemas.microsoft.com/office/drawing/2014/main" id="{00000000-0008-0000-0900-000012180000}"/>
            </a:ext>
          </a:extLst>
        </xdr:cNvPr>
        <xdr:cNvSpPr>
          <a:spLocks noChangeShapeType="1"/>
        </xdr:cNvSpPr>
      </xdr:nvSpPr>
      <xdr:spPr bwMode="auto">
        <a:xfrm>
          <a:off x="26898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6163" name="Line 19">
          <a:extLst>
            <a:ext uri="{FF2B5EF4-FFF2-40B4-BE49-F238E27FC236}">
              <a16:creationId xmlns:a16="http://schemas.microsoft.com/office/drawing/2014/main" id="{00000000-0008-0000-0900-000013180000}"/>
            </a:ext>
          </a:extLst>
        </xdr:cNvPr>
        <xdr:cNvSpPr>
          <a:spLocks noChangeShapeType="1"/>
        </xdr:cNvSpPr>
      </xdr:nvSpPr>
      <xdr:spPr bwMode="auto">
        <a:xfrm>
          <a:off x="26898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6164" name="Line 20">
          <a:extLst>
            <a:ext uri="{FF2B5EF4-FFF2-40B4-BE49-F238E27FC236}">
              <a16:creationId xmlns:a16="http://schemas.microsoft.com/office/drawing/2014/main" id="{00000000-0008-0000-0900-000014180000}"/>
            </a:ext>
          </a:extLst>
        </xdr:cNvPr>
        <xdr:cNvSpPr>
          <a:spLocks noChangeShapeType="1"/>
        </xdr:cNvSpPr>
      </xdr:nvSpPr>
      <xdr:spPr bwMode="auto">
        <a:xfrm>
          <a:off x="26898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6165" name="Line 21">
          <a:extLst>
            <a:ext uri="{FF2B5EF4-FFF2-40B4-BE49-F238E27FC236}">
              <a16:creationId xmlns:a16="http://schemas.microsoft.com/office/drawing/2014/main" id="{00000000-0008-0000-0900-000015180000}"/>
            </a:ext>
          </a:extLst>
        </xdr:cNvPr>
        <xdr:cNvSpPr>
          <a:spLocks noChangeShapeType="1"/>
        </xdr:cNvSpPr>
      </xdr:nvSpPr>
      <xdr:spPr bwMode="auto">
        <a:xfrm>
          <a:off x="26898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6166" name="Line 22">
          <a:extLst>
            <a:ext uri="{FF2B5EF4-FFF2-40B4-BE49-F238E27FC236}">
              <a16:creationId xmlns:a16="http://schemas.microsoft.com/office/drawing/2014/main" id="{00000000-0008-0000-0900-000016180000}"/>
            </a:ext>
          </a:extLst>
        </xdr:cNvPr>
        <xdr:cNvSpPr>
          <a:spLocks noChangeShapeType="1"/>
        </xdr:cNvSpPr>
      </xdr:nvSpPr>
      <xdr:spPr bwMode="auto">
        <a:xfrm>
          <a:off x="26898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6167" name="Line 23">
          <a:extLst>
            <a:ext uri="{FF2B5EF4-FFF2-40B4-BE49-F238E27FC236}">
              <a16:creationId xmlns:a16="http://schemas.microsoft.com/office/drawing/2014/main" id="{00000000-0008-0000-0900-0000171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6168" name="Line 24">
          <a:extLst>
            <a:ext uri="{FF2B5EF4-FFF2-40B4-BE49-F238E27FC236}">
              <a16:creationId xmlns:a16="http://schemas.microsoft.com/office/drawing/2014/main" id="{00000000-0008-0000-0900-0000181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6169" name="Line 25">
          <a:extLst>
            <a:ext uri="{FF2B5EF4-FFF2-40B4-BE49-F238E27FC236}">
              <a16:creationId xmlns:a16="http://schemas.microsoft.com/office/drawing/2014/main" id="{00000000-0008-0000-0900-000019180000}"/>
            </a:ext>
          </a:extLst>
        </xdr:cNvPr>
        <xdr:cNvSpPr>
          <a:spLocks noChangeShapeType="1"/>
        </xdr:cNvSpPr>
      </xdr:nvSpPr>
      <xdr:spPr bwMode="auto">
        <a:xfrm>
          <a:off x="70789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6170" name="Line 26">
          <a:extLst>
            <a:ext uri="{FF2B5EF4-FFF2-40B4-BE49-F238E27FC236}">
              <a16:creationId xmlns:a16="http://schemas.microsoft.com/office/drawing/2014/main" id="{00000000-0008-0000-0900-00001A180000}"/>
            </a:ext>
          </a:extLst>
        </xdr:cNvPr>
        <xdr:cNvSpPr>
          <a:spLocks noChangeShapeType="1"/>
        </xdr:cNvSpPr>
      </xdr:nvSpPr>
      <xdr:spPr bwMode="auto">
        <a:xfrm>
          <a:off x="107365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6171" name="Line 27">
          <a:extLst>
            <a:ext uri="{FF2B5EF4-FFF2-40B4-BE49-F238E27FC236}">
              <a16:creationId xmlns:a16="http://schemas.microsoft.com/office/drawing/2014/main" id="{00000000-0008-0000-0900-00001B180000}"/>
            </a:ext>
          </a:extLst>
        </xdr:cNvPr>
        <xdr:cNvSpPr>
          <a:spLocks noChangeShapeType="1"/>
        </xdr:cNvSpPr>
      </xdr:nvSpPr>
      <xdr:spPr bwMode="auto">
        <a:xfrm>
          <a:off x="48844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6172" name="Line 28">
          <a:extLst>
            <a:ext uri="{FF2B5EF4-FFF2-40B4-BE49-F238E27FC236}">
              <a16:creationId xmlns:a16="http://schemas.microsoft.com/office/drawing/2014/main" id="{00000000-0008-0000-0900-00001C180000}"/>
            </a:ext>
          </a:extLst>
        </xdr:cNvPr>
        <xdr:cNvSpPr>
          <a:spLocks noChangeShapeType="1"/>
        </xdr:cNvSpPr>
      </xdr:nvSpPr>
      <xdr:spPr bwMode="auto">
        <a:xfrm>
          <a:off x="48844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6173" name="Line 29">
          <a:extLst>
            <a:ext uri="{FF2B5EF4-FFF2-40B4-BE49-F238E27FC236}">
              <a16:creationId xmlns:a16="http://schemas.microsoft.com/office/drawing/2014/main" id="{00000000-0008-0000-0900-00001D180000}"/>
            </a:ext>
          </a:extLst>
        </xdr:cNvPr>
        <xdr:cNvSpPr>
          <a:spLocks noChangeShapeType="1"/>
        </xdr:cNvSpPr>
      </xdr:nvSpPr>
      <xdr:spPr bwMode="auto">
        <a:xfrm>
          <a:off x="70789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6174" name="Line 30">
          <a:extLst>
            <a:ext uri="{FF2B5EF4-FFF2-40B4-BE49-F238E27FC236}">
              <a16:creationId xmlns:a16="http://schemas.microsoft.com/office/drawing/2014/main" id="{00000000-0008-0000-0900-00001E180000}"/>
            </a:ext>
          </a:extLst>
        </xdr:cNvPr>
        <xdr:cNvSpPr>
          <a:spLocks noChangeShapeType="1"/>
        </xdr:cNvSpPr>
      </xdr:nvSpPr>
      <xdr:spPr bwMode="auto">
        <a:xfrm>
          <a:off x="70789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6175" name="Line 31">
          <a:extLst>
            <a:ext uri="{FF2B5EF4-FFF2-40B4-BE49-F238E27FC236}">
              <a16:creationId xmlns:a16="http://schemas.microsoft.com/office/drawing/2014/main" id="{00000000-0008-0000-0900-00001F180000}"/>
            </a:ext>
          </a:extLst>
        </xdr:cNvPr>
        <xdr:cNvSpPr>
          <a:spLocks noChangeShapeType="1"/>
        </xdr:cNvSpPr>
      </xdr:nvSpPr>
      <xdr:spPr bwMode="auto">
        <a:xfrm>
          <a:off x="1073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6176" name="Line 32">
          <a:extLst>
            <a:ext uri="{FF2B5EF4-FFF2-40B4-BE49-F238E27FC236}">
              <a16:creationId xmlns:a16="http://schemas.microsoft.com/office/drawing/2014/main" id="{00000000-0008-0000-0900-000020180000}"/>
            </a:ext>
          </a:extLst>
        </xdr:cNvPr>
        <xdr:cNvSpPr>
          <a:spLocks noChangeShapeType="1"/>
        </xdr:cNvSpPr>
      </xdr:nvSpPr>
      <xdr:spPr bwMode="auto">
        <a:xfrm>
          <a:off x="1073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6177" name="Line 33">
          <a:extLst>
            <a:ext uri="{FF2B5EF4-FFF2-40B4-BE49-F238E27FC236}">
              <a16:creationId xmlns:a16="http://schemas.microsoft.com/office/drawing/2014/main" id="{00000000-0008-0000-0900-000021180000}"/>
            </a:ext>
          </a:extLst>
        </xdr:cNvPr>
        <xdr:cNvSpPr>
          <a:spLocks noChangeShapeType="1"/>
        </xdr:cNvSpPr>
      </xdr:nvSpPr>
      <xdr:spPr bwMode="auto">
        <a:xfrm>
          <a:off x="26898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6178" name="Line 34">
          <a:extLst>
            <a:ext uri="{FF2B5EF4-FFF2-40B4-BE49-F238E27FC236}">
              <a16:creationId xmlns:a16="http://schemas.microsoft.com/office/drawing/2014/main" id="{00000000-0008-0000-0900-0000221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6179" name="Line 35">
          <a:extLst>
            <a:ext uri="{FF2B5EF4-FFF2-40B4-BE49-F238E27FC236}">
              <a16:creationId xmlns:a16="http://schemas.microsoft.com/office/drawing/2014/main" id="{00000000-0008-0000-0900-0000231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6180" name="Line 36">
          <a:extLst>
            <a:ext uri="{FF2B5EF4-FFF2-40B4-BE49-F238E27FC236}">
              <a16:creationId xmlns:a16="http://schemas.microsoft.com/office/drawing/2014/main" id="{00000000-0008-0000-0900-000024180000}"/>
            </a:ext>
          </a:extLst>
        </xdr:cNvPr>
        <xdr:cNvSpPr>
          <a:spLocks noChangeShapeType="1"/>
        </xdr:cNvSpPr>
      </xdr:nvSpPr>
      <xdr:spPr bwMode="auto">
        <a:xfrm>
          <a:off x="26898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6181" name="Line 37">
          <a:extLst>
            <a:ext uri="{FF2B5EF4-FFF2-40B4-BE49-F238E27FC236}">
              <a16:creationId xmlns:a16="http://schemas.microsoft.com/office/drawing/2014/main" id="{00000000-0008-0000-0900-000025180000}"/>
            </a:ext>
          </a:extLst>
        </xdr:cNvPr>
        <xdr:cNvSpPr>
          <a:spLocks noChangeShapeType="1"/>
        </xdr:cNvSpPr>
      </xdr:nvSpPr>
      <xdr:spPr bwMode="auto">
        <a:xfrm>
          <a:off x="26898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6182" name="Line 38">
          <a:extLst>
            <a:ext uri="{FF2B5EF4-FFF2-40B4-BE49-F238E27FC236}">
              <a16:creationId xmlns:a16="http://schemas.microsoft.com/office/drawing/2014/main" id="{00000000-0008-0000-0900-000026180000}"/>
            </a:ext>
          </a:extLst>
        </xdr:cNvPr>
        <xdr:cNvSpPr>
          <a:spLocks noChangeShapeType="1"/>
        </xdr:cNvSpPr>
      </xdr:nvSpPr>
      <xdr:spPr bwMode="auto">
        <a:xfrm>
          <a:off x="26898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6183" name="Line 39">
          <a:extLst>
            <a:ext uri="{FF2B5EF4-FFF2-40B4-BE49-F238E27FC236}">
              <a16:creationId xmlns:a16="http://schemas.microsoft.com/office/drawing/2014/main" id="{00000000-0008-0000-0900-000027180000}"/>
            </a:ext>
          </a:extLst>
        </xdr:cNvPr>
        <xdr:cNvSpPr>
          <a:spLocks noChangeShapeType="1"/>
        </xdr:cNvSpPr>
      </xdr:nvSpPr>
      <xdr:spPr bwMode="auto">
        <a:xfrm>
          <a:off x="48844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6184" name="Line 40">
          <a:extLst>
            <a:ext uri="{FF2B5EF4-FFF2-40B4-BE49-F238E27FC236}">
              <a16:creationId xmlns:a16="http://schemas.microsoft.com/office/drawing/2014/main" id="{00000000-0008-0000-0900-000028180000}"/>
            </a:ext>
          </a:extLst>
        </xdr:cNvPr>
        <xdr:cNvSpPr>
          <a:spLocks noChangeShapeType="1"/>
        </xdr:cNvSpPr>
      </xdr:nvSpPr>
      <xdr:spPr bwMode="auto">
        <a:xfrm>
          <a:off x="107365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6185" name="Line 41">
          <a:extLst>
            <a:ext uri="{FF2B5EF4-FFF2-40B4-BE49-F238E27FC236}">
              <a16:creationId xmlns:a16="http://schemas.microsoft.com/office/drawing/2014/main" id="{00000000-0008-0000-0900-0000291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6186" name="Line 42">
          <a:extLst>
            <a:ext uri="{FF2B5EF4-FFF2-40B4-BE49-F238E27FC236}">
              <a16:creationId xmlns:a16="http://schemas.microsoft.com/office/drawing/2014/main" id="{00000000-0008-0000-0900-00002A1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6187" name="Line 43">
          <a:extLst>
            <a:ext uri="{FF2B5EF4-FFF2-40B4-BE49-F238E27FC236}">
              <a16:creationId xmlns:a16="http://schemas.microsoft.com/office/drawing/2014/main" id="{00000000-0008-0000-0900-00002B180000}"/>
            </a:ext>
          </a:extLst>
        </xdr:cNvPr>
        <xdr:cNvSpPr>
          <a:spLocks noChangeShapeType="1"/>
        </xdr:cNvSpPr>
      </xdr:nvSpPr>
      <xdr:spPr bwMode="auto">
        <a:xfrm>
          <a:off x="70789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6188" name="Line 44">
          <a:extLst>
            <a:ext uri="{FF2B5EF4-FFF2-40B4-BE49-F238E27FC236}">
              <a16:creationId xmlns:a16="http://schemas.microsoft.com/office/drawing/2014/main" id="{00000000-0008-0000-0900-00002C180000}"/>
            </a:ext>
          </a:extLst>
        </xdr:cNvPr>
        <xdr:cNvSpPr>
          <a:spLocks noChangeShapeType="1"/>
        </xdr:cNvSpPr>
      </xdr:nvSpPr>
      <xdr:spPr bwMode="auto">
        <a:xfrm>
          <a:off x="107365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6189" name="Line 45">
          <a:extLst>
            <a:ext uri="{FF2B5EF4-FFF2-40B4-BE49-F238E27FC236}">
              <a16:creationId xmlns:a16="http://schemas.microsoft.com/office/drawing/2014/main" id="{00000000-0008-0000-0900-00002D180000}"/>
            </a:ext>
          </a:extLst>
        </xdr:cNvPr>
        <xdr:cNvSpPr>
          <a:spLocks noChangeShapeType="1"/>
        </xdr:cNvSpPr>
      </xdr:nvSpPr>
      <xdr:spPr bwMode="auto">
        <a:xfrm>
          <a:off x="48844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6190" name="Line 46">
          <a:extLst>
            <a:ext uri="{FF2B5EF4-FFF2-40B4-BE49-F238E27FC236}">
              <a16:creationId xmlns:a16="http://schemas.microsoft.com/office/drawing/2014/main" id="{00000000-0008-0000-0900-00002E180000}"/>
            </a:ext>
          </a:extLst>
        </xdr:cNvPr>
        <xdr:cNvSpPr>
          <a:spLocks noChangeShapeType="1"/>
        </xdr:cNvSpPr>
      </xdr:nvSpPr>
      <xdr:spPr bwMode="auto">
        <a:xfrm>
          <a:off x="70789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6191" name="Line 47">
          <a:extLst>
            <a:ext uri="{FF2B5EF4-FFF2-40B4-BE49-F238E27FC236}">
              <a16:creationId xmlns:a16="http://schemas.microsoft.com/office/drawing/2014/main" id="{00000000-0008-0000-0900-00002F180000}"/>
            </a:ext>
          </a:extLst>
        </xdr:cNvPr>
        <xdr:cNvSpPr>
          <a:spLocks noChangeShapeType="1"/>
        </xdr:cNvSpPr>
      </xdr:nvSpPr>
      <xdr:spPr bwMode="auto">
        <a:xfrm>
          <a:off x="1073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6192" name="Line 48">
          <a:extLst>
            <a:ext uri="{FF2B5EF4-FFF2-40B4-BE49-F238E27FC236}">
              <a16:creationId xmlns:a16="http://schemas.microsoft.com/office/drawing/2014/main" id="{00000000-0008-0000-0900-000030180000}"/>
            </a:ext>
          </a:extLst>
        </xdr:cNvPr>
        <xdr:cNvSpPr>
          <a:spLocks noChangeShapeType="1"/>
        </xdr:cNvSpPr>
      </xdr:nvSpPr>
      <xdr:spPr bwMode="auto">
        <a:xfrm>
          <a:off x="26898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6193" name="Line 49">
          <a:extLst>
            <a:ext uri="{FF2B5EF4-FFF2-40B4-BE49-F238E27FC236}">
              <a16:creationId xmlns:a16="http://schemas.microsoft.com/office/drawing/2014/main" id="{00000000-0008-0000-0900-0000311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6194" name="Line 50">
          <a:extLst>
            <a:ext uri="{FF2B5EF4-FFF2-40B4-BE49-F238E27FC236}">
              <a16:creationId xmlns:a16="http://schemas.microsoft.com/office/drawing/2014/main" id="{00000000-0008-0000-0900-0000321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6195" name="Line 51">
          <a:extLst>
            <a:ext uri="{FF2B5EF4-FFF2-40B4-BE49-F238E27FC236}">
              <a16:creationId xmlns:a16="http://schemas.microsoft.com/office/drawing/2014/main" id="{00000000-0008-0000-0900-0000331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6196" name="Line 52">
          <a:extLst>
            <a:ext uri="{FF2B5EF4-FFF2-40B4-BE49-F238E27FC236}">
              <a16:creationId xmlns:a16="http://schemas.microsoft.com/office/drawing/2014/main" id="{00000000-0008-0000-0900-000034180000}"/>
            </a:ext>
          </a:extLst>
        </xdr:cNvPr>
        <xdr:cNvSpPr>
          <a:spLocks noChangeShapeType="1"/>
        </xdr:cNvSpPr>
      </xdr:nvSpPr>
      <xdr:spPr bwMode="auto">
        <a:xfrm>
          <a:off x="26898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6197" name="Line 53">
          <a:extLst>
            <a:ext uri="{FF2B5EF4-FFF2-40B4-BE49-F238E27FC236}">
              <a16:creationId xmlns:a16="http://schemas.microsoft.com/office/drawing/2014/main" id="{00000000-0008-0000-0900-000035180000}"/>
            </a:ext>
          </a:extLst>
        </xdr:cNvPr>
        <xdr:cNvSpPr>
          <a:spLocks noChangeShapeType="1"/>
        </xdr:cNvSpPr>
      </xdr:nvSpPr>
      <xdr:spPr bwMode="auto">
        <a:xfrm>
          <a:off x="26898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6198" name="Line 54">
          <a:extLst>
            <a:ext uri="{FF2B5EF4-FFF2-40B4-BE49-F238E27FC236}">
              <a16:creationId xmlns:a16="http://schemas.microsoft.com/office/drawing/2014/main" id="{00000000-0008-0000-0900-000036180000}"/>
            </a:ext>
          </a:extLst>
        </xdr:cNvPr>
        <xdr:cNvSpPr>
          <a:spLocks noChangeShapeType="1"/>
        </xdr:cNvSpPr>
      </xdr:nvSpPr>
      <xdr:spPr bwMode="auto">
        <a:xfrm>
          <a:off x="48844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6199" name="Line 55">
          <a:extLst>
            <a:ext uri="{FF2B5EF4-FFF2-40B4-BE49-F238E27FC236}">
              <a16:creationId xmlns:a16="http://schemas.microsoft.com/office/drawing/2014/main" id="{00000000-0008-0000-0900-000037180000}"/>
            </a:ext>
          </a:extLst>
        </xdr:cNvPr>
        <xdr:cNvSpPr>
          <a:spLocks noChangeShapeType="1"/>
        </xdr:cNvSpPr>
      </xdr:nvSpPr>
      <xdr:spPr bwMode="auto">
        <a:xfrm>
          <a:off x="4884420" y="552450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6200" name="Line 56">
          <a:extLst>
            <a:ext uri="{FF2B5EF4-FFF2-40B4-BE49-F238E27FC236}">
              <a16:creationId xmlns:a16="http://schemas.microsoft.com/office/drawing/2014/main" id="{00000000-0008-0000-0900-000038180000}"/>
            </a:ext>
          </a:extLst>
        </xdr:cNvPr>
        <xdr:cNvSpPr>
          <a:spLocks noChangeShapeType="1"/>
        </xdr:cNvSpPr>
      </xdr:nvSpPr>
      <xdr:spPr bwMode="auto">
        <a:xfrm>
          <a:off x="4884420" y="770382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6201" name="Line 57">
          <a:extLst>
            <a:ext uri="{FF2B5EF4-FFF2-40B4-BE49-F238E27FC236}">
              <a16:creationId xmlns:a16="http://schemas.microsoft.com/office/drawing/2014/main" id="{00000000-0008-0000-0900-000039180000}"/>
            </a:ext>
          </a:extLst>
        </xdr:cNvPr>
        <xdr:cNvSpPr>
          <a:spLocks noChangeShapeType="1"/>
        </xdr:cNvSpPr>
      </xdr:nvSpPr>
      <xdr:spPr bwMode="auto">
        <a:xfrm>
          <a:off x="4884420" y="103403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6202" name="Line 58">
          <a:extLst>
            <a:ext uri="{FF2B5EF4-FFF2-40B4-BE49-F238E27FC236}">
              <a16:creationId xmlns:a16="http://schemas.microsoft.com/office/drawing/2014/main" id="{00000000-0008-0000-0900-00003A180000}"/>
            </a:ext>
          </a:extLst>
        </xdr:cNvPr>
        <xdr:cNvSpPr>
          <a:spLocks noChangeShapeType="1"/>
        </xdr:cNvSpPr>
      </xdr:nvSpPr>
      <xdr:spPr bwMode="auto">
        <a:xfrm>
          <a:off x="48844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203" name="Line 59">
          <a:extLst>
            <a:ext uri="{FF2B5EF4-FFF2-40B4-BE49-F238E27FC236}">
              <a16:creationId xmlns:a16="http://schemas.microsoft.com/office/drawing/2014/main" id="{00000000-0008-0000-0900-00003B180000}"/>
            </a:ext>
          </a:extLst>
        </xdr:cNvPr>
        <xdr:cNvSpPr>
          <a:spLocks noChangeShapeType="1"/>
        </xdr:cNvSpPr>
      </xdr:nvSpPr>
      <xdr:spPr bwMode="auto">
        <a:xfrm>
          <a:off x="107365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204" name="Line 60">
          <a:extLst>
            <a:ext uri="{FF2B5EF4-FFF2-40B4-BE49-F238E27FC236}">
              <a16:creationId xmlns:a16="http://schemas.microsoft.com/office/drawing/2014/main" id="{00000000-0008-0000-0900-00003C180000}"/>
            </a:ext>
          </a:extLst>
        </xdr:cNvPr>
        <xdr:cNvSpPr>
          <a:spLocks noChangeShapeType="1"/>
        </xdr:cNvSpPr>
      </xdr:nvSpPr>
      <xdr:spPr bwMode="auto">
        <a:xfrm>
          <a:off x="48844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05" name="Line 61">
          <a:extLst>
            <a:ext uri="{FF2B5EF4-FFF2-40B4-BE49-F238E27FC236}">
              <a16:creationId xmlns:a16="http://schemas.microsoft.com/office/drawing/2014/main" id="{00000000-0008-0000-0900-00003D1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06" name="Line 62">
          <a:extLst>
            <a:ext uri="{FF2B5EF4-FFF2-40B4-BE49-F238E27FC236}">
              <a16:creationId xmlns:a16="http://schemas.microsoft.com/office/drawing/2014/main" id="{00000000-0008-0000-0900-00003E1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207" name="Line 63">
          <a:extLst>
            <a:ext uri="{FF2B5EF4-FFF2-40B4-BE49-F238E27FC236}">
              <a16:creationId xmlns:a16="http://schemas.microsoft.com/office/drawing/2014/main" id="{00000000-0008-0000-0900-00003F180000}"/>
            </a:ext>
          </a:extLst>
        </xdr:cNvPr>
        <xdr:cNvSpPr>
          <a:spLocks noChangeShapeType="1"/>
        </xdr:cNvSpPr>
      </xdr:nvSpPr>
      <xdr:spPr bwMode="auto">
        <a:xfrm>
          <a:off x="70789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208" name="Line 64">
          <a:extLst>
            <a:ext uri="{FF2B5EF4-FFF2-40B4-BE49-F238E27FC236}">
              <a16:creationId xmlns:a16="http://schemas.microsoft.com/office/drawing/2014/main" id="{00000000-0008-0000-0900-000040180000}"/>
            </a:ext>
          </a:extLst>
        </xdr:cNvPr>
        <xdr:cNvSpPr>
          <a:spLocks noChangeShapeType="1"/>
        </xdr:cNvSpPr>
      </xdr:nvSpPr>
      <xdr:spPr bwMode="auto">
        <a:xfrm>
          <a:off x="107365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209" name="Line 65">
          <a:extLst>
            <a:ext uri="{FF2B5EF4-FFF2-40B4-BE49-F238E27FC236}">
              <a16:creationId xmlns:a16="http://schemas.microsoft.com/office/drawing/2014/main" id="{00000000-0008-0000-0900-000041180000}"/>
            </a:ext>
          </a:extLst>
        </xdr:cNvPr>
        <xdr:cNvSpPr>
          <a:spLocks noChangeShapeType="1"/>
        </xdr:cNvSpPr>
      </xdr:nvSpPr>
      <xdr:spPr bwMode="auto">
        <a:xfrm>
          <a:off x="48844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210" name="Line 66">
          <a:extLst>
            <a:ext uri="{FF2B5EF4-FFF2-40B4-BE49-F238E27FC236}">
              <a16:creationId xmlns:a16="http://schemas.microsoft.com/office/drawing/2014/main" id="{00000000-0008-0000-0900-000042180000}"/>
            </a:ext>
          </a:extLst>
        </xdr:cNvPr>
        <xdr:cNvSpPr>
          <a:spLocks noChangeShapeType="1"/>
        </xdr:cNvSpPr>
      </xdr:nvSpPr>
      <xdr:spPr bwMode="auto">
        <a:xfrm>
          <a:off x="26898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11" name="Line 67">
          <a:extLst>
            <a:ext uri="{FF2B5EF4-FFF2-40B4-BE49-F238E27FC236}">
              <a16:creationId xmlns:a16="http://schemas.microsoft.com/office/drawing/2014/main" id="{00000000-0008-0000-0900-0000431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12" name="Line 68">
          <a:extLst>
            <a:ext uri="{FF2B5EF4-FFF2-40B4-BE49-F238E27FC236}">
              <a16:creationId xmlns:a16="http://schemas.microsoft.com/office/drawing/2014/main" id="{00000000-0008-0000-0900-0000441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13" name="Line 69">
          <a:extLst>
            <a:ext uri="{FF2B5EF4-FFF2-40B4-BE49-F238E27FC236}">
              <a16:creationId xmlns:a16="http://schemas.microsoft.com/office/drawing/2014/main" id="{00000000-0008-0000-0900-0000451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14" name="Line 70">
          <a:extLst>
            <a:ext uri="{FF2B5EF4-FFF2-40B4-BE49-F238E27FC236}">
              <a16:creationId xmlns:a16="http://schemas.microsoft.com/office/drawing/2014/main" id="{00000000-0008-0000-0900-0000461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6215" name="Line 71">
          <a:extLst>
            <a:ext uri="{FF2B5EF4-FFF2-40B4-BE49-F238E27FC236}">
              <a16:creationId xmlns:a16="http://schemas.microsoft.com/office/drawing/2014/main" id="{00000000-0008-0000-0900-000047180000}"/>
            </a:ext>
          </a:extLst>
        </xdr:cNvPr>
        <xdr:cNvSpPr>
          <a:spLocks noChangeShapeType="1"/>
        </xdr:cNvSpPr>
      </xdr:nvSpPr>
      <xdr:spPr bwMode="auto">
        <a:xfrm>
          <a:off x="4884420" y="121843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6216" name="Line 72">
          <a:extLst>
            <a:ext uri="{FF2B5EF4-FFF2-40B4-BE49-F238E27FC236}">
              <a16:creationId xmlns:a16="http://schemas.microsoft.com/office/drawing/2014/main" id="{00000000-0008-0000-0900-000048180000}"/>
            </a:ext>
          </a:extLst>
        </xdr:cNvPr>
        <xdr:cNvSpPr>
          <a:spLocks noChangeShapeType="1"/>
        </xdr:cNvSpPr>
      </xdr:nvSpPr>
      <xdr:spPr bwMode="auto">
        <a:xfrm>
          <a:off x="26898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6217" name="Line 73">
          <a:extLst>
            <a:ext uri="{FF2B5EF4-FFF2-40B4-BE49-F238E27FC236}">
              <a16:creationId xmlns:a16="http://schemas.microsoft.com/office/drawing/2014/main" id="{00000000-0008-0000-0900-000049180000}"/>
            </a:ext>
          </a:extLst>
        </xdr:cNvPr>
        <xdr:cNvSpPr>
          <a:spLocks noChangeShapeType="1"/>
        </xdr:cNvSpPr>
      </xdr:nvSpPr>
      <xdr:spPr bwMode="auto">
        <a:xfrm>
          <a:off x="48844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6218" name="Line 74">
          <a:extLst>
            <a:ext uri="{FF2B5EF4-FFF2-40B4-BE49-F238E27FC236}">
              <a16:creationId xmlns:a16="http://schemas.microsoft.com/office/drawing/2014/main" id="{00000000-0008-0000-0900-00004A180000}"/>
            </a:ext>
          </a:extLst>
        </xdr:cNvPr>
        <xdr:cNvSpPr>
          <a:spLocks noChangeShapeType="1"/>
        </xdr:cNvSpPr>
      </xdr:nvSpPr>
      <xdr:spPr bwMode="auto">
        <a:xfrm>
          <a:off x="107365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219" name="Line 75">
          <a:extLst>
            <a:ext uri="{FF2B5EF4-FFF2-40B4-BE49-F238E27FC236}">
              <a16:creationId xmlns:a16="http://schemas.microsoft.com/office/drawing/2014/main" id="{00000000-0008-0000-0900-00004B1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220" name="Line 76">
          <a:extLst>
            <a:ext uri="{FF2B5EF4-FFF2-40B4-BE49-F238E27FC236}">
              <a16:creationId xmlns:a16="http://schemas.microsoft.com/office/drawing/2014/main" id="{00000000-0008-0000-0900-00004C1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6221" name="Line 77">
          <a:extLst>
            <a:ext uri="{FF2B5EF4-FFF2-40B4-BE49-F238E27FC236}">
              <a16:creationId xmlns:a16="http://schemas.microsoft.com/office/drawing/2014/main" id="{00000000-0008-0000-0900-00004D180000}"/>
            </a:ext>
          </a:extLst>
        </xdr:cNvPr>
        <xdr:cNvSpPr>
          <a:spLocks noChangeShapeType="1"/>
        </xdr:cNvSpPr>
      </xdr:nvSpPr>
      <xdr:spPr bwMode="auto">
        <a:xfrm>
          <a:off x="70789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6222" name="Line 78">
          <a:extLst>
            <a:ext uri="{FF2B5EF4-FFF2-40B4-BE49-F238E27FC236}">
              <a16:creationId xmlns:a16="http://schemas.microsoft.com/office/drawing/2014/main" id="{00000000-0008-0000-0900-00004E180000}"/>
            </a:ext>
          </a:extLst>
        </xdr:cNvPr>
        <xdr:cNvSpPr>
          <a:spLocks noChangeShapeType="1"/>
        </xdr:cNvSpPr>
      </xdr:nvSpPr>
      <xdr:spPr bwMode="auto">
        <a:xfrm>
          <a:off x="48844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6223" name="Line 79">
          <a:extLst>
            <a:ext uri="{FF2B5EF4-FFF2-40B4-BE49-F238E27FC236}">
              <a16:creationId xmlns:a16="http://schemas.microsoft.com/office/drawing/2014/main" id="{00000000-0008-0000-0900-00004F180000}"/>
            </a:ext>
          </a:extLst>
        </xdr:cNvPr>
        <xdr:cNvSpPr>
          <a:spLocks noChangeShapeType="1"/>
        </xdr:cNvSpPr>
      </xdr:nvSpPr>
      <xdr:spPr bwMode="auto">
        <a:xfrm>
          <a:off x="26898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224" name="Line 80">
          <a:extLst>
            <a:ext uri="{FF2B5EF4-FFF2-40B4-BE49-F238E27FC236}">
              <a16:creationId xmlns:a16="http://schemas.microsoft.com/office/drawing/2014/main" id="{00000000-0008-0000-0900-0000501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225" name="Line 81">
          <a:extLst>
            <a:ext uri="{FF2B5EF4-FFF2-40B4-BE49-F238E27FC236}">
              <a16:creationId xmlns:a16="http://schemas.microsoft.com/office/drawing/2014/main" id="{00000000-0008-0000-0900-0000511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226" name="Line 82">
          <a:extLst>
            <a:ext uri="{FF2B5EF4-FFF2-40B4-BE49-F238E27FC236}">
              <a16:creationId xmlns:a16="http://schemas.microsoft.com/office/drawing/2014/main" id="{00000000-0008-0000-0900-0000521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6227" name="Line 83">
          <a:extLst>
            <a:ext uri="{FF2B5EF4-FFF2-40B4-BE49-F238E27FC236}">
              <a16:creationId xmlns:a16="http://schemas.microsoft.com/office/drawing/2014/main" id="{00000000-0008-0000-0900-0000531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6228" name="Line 84">
          <a:extLst>
            <a:ext uri="{FF2B5EF4-FFF2-40B4-BE49-F238E27FC236}">
              <a16:creationId xmlns:a16="http://schemas.microsoft.com/office/drawing/2014/main" id="{00000000-0008-0000-0900-000054180000}"/>
            </a:ext>
          </a:extLst>
        </xdr:cNvPr>
        <xdr:cNvSpPr>
          <a:spLocks noChangeShapeType="1"/>
        </xdr:cNvSpPr>
      </xdr:nvSpPr>
      <xdr:spPr bwMode="auto">
        <a:xfrm>
          <a:off x="4884420" y="138607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6229" name="Line 85">
          <a:extLst>
            <a:ext uri="{FF2B5EF4-FFF2-40B4-BE49-F238E27FC236}">
              <a16:creationId xmlns:a16="http://schemas.microsoft.com/office/drawing/2014/main" id="{00000000-0008-0000-0900-0000551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6230" name="Line 86">
          <a:extLst>
            <a:ext uri="{FF2B5EF4-FFF2-40B4-BE49-F238E27FC236}">
              <a16:creationId xmlns:a16="http://schemas.microsoft.com/office/drawing/2014/main" id="{00000000-0008-0000-0900-0000561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6231" name="Line 87">
          <a:extLst>
            <a:ext uri="{FF2B5EF4-FFF2-40B4-BE49-F238E27FC236}">
              <a16:creationId xmlns:a16="http://schemas.microsoft.com/office/drawing/2014/main" id="{00000000-0008-0000-0900-0000571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6232" name="Line 88">
          <a:extLst>
            <a:ext uri="{FF2B5EF4-FFF2-40B4-BE49-F238E27FC236}">
              <a16:creationId xmlns:a16="http://schemas.microsoft.com/office/drawing/2014/main" id="{00000000-0008-0000-0900-0000581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6233" name="Line 89">
          <a:extLst>
            <a:ext uri="{FF2B5EF4-FFF2-40B4-BE49-F238E27FC236}">
              <a16:creationId xmlns:a16="http://schemas.microsoft.com/office/drawing/2014/main" id="{00000000-0008-0000-0900-000059180000}"/>
            </a:ext>
          </a:extLst>
        </xdr:cNvPr>
        <xdr:cNvSpPr>
          <a:spLocks noChangeShapeType="1"/>
        </xdr:cNvSpPr>
      </xdr:nvSpPr>
      <xdr:spPr bwMode="auto">
        <a:xfrm>
          <a:off x="48844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6234" name="Line 90">
          <a:extLst>
            <a:ext uri="{FF2B5EF4-FFF2-40B4-BE49-F238E27FC236}">
              <a16:creationId xmlns:a16="http://schemas.microsoft.com/office/drawing/2014/main" id="{00000000-0008-0000-0900-00005A180000}"/>
            </a:ext>
          </a:extLst>
        </xdr:cNvPr>
        <xdr:cNvSpPr>
          <a:spLocks noChangeShapeType="1"/>
        </xdr:cNvSpPr>
      </xdr:nvSpPr>
      <xdr:spPr bwMode="auto">
        <a:xfrm>
          <a:off x="48844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6235" name="Line 91">
          <a:extLst>
            <a:ext uri="{FF2B5EF4-FFF2-40B4-BE49-F238E27FC236}">
              <a16:creationId xmlns:a16="http://schemas.microsoft.com/office/drawing/2014/main" id="{00000000-0008-0000-0900-00005B180000}"/>
            </a:ext>
          </a:extLst>
        </xdr:cNvPr>
        <xdr:cNvSpPr>
          <a:spLocks noChangeShapeType="1"/>
        </xdr:cNvSpPr>
      </xdr:nvSpPr>
      <xdr:spPr bwMode="auto">
        <a:xfrm>
          <a:off x="48844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6236" name="Line 92">
          <a:extLst>
            <a:ext uri="{FF2B5EF4-FFF2-40B4-BE49-F238E27FC236}">
              <a16:creationId xmlns:a16="http://schemas.microsoft.com/office/drawing/2014/main" id="{00000000-0008-0000-0900-00005C180000}"/>
            </a:ext>
          </a:extLst>
        </xdr:cNvPr>
        <xdr:cNvSpPr>
          <a:spLocks noChangeShapeType="1"/>
        </xdr:cNvSpPr>
      </xdr:nvSpPr>
      <xdr:spPr bwMode="auto">
        <a:xfrm>
          <a:off x="48844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6237" name="Line 93">
          <a:extLst>
            <a:ext uri="{FF2B5EF4-FFF2-40B4-BE49-F238E27FC236}">
              <a16:creationId xmlns:a16="http://schemas.microsoft.com/office/drawing/2014/main" id="{00000000-0008-0000-0900-00005D180000}"/>
            </a:ext>
          </a:extLst>
        </xdr:cNvPr>
        <xdr:cNvSpPr>
          <a:spLocks noChangeShapeType="1"/>
        </xdr:cNvSpPr>
      </xdr:nvSpPr>
      <xdr:spPr bwMode="auto">
        <a:xfrm>
          <a:off x="70789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6238" name="Line 94">
          <a:extLst>
            <a:ext uri="{FF2B5EF4-FFF2-40B4-BE49-F238E27FC236}">
              <a16:creationId xmlns:a16="http://schemas.microsoft.com/office/drawing/2014/main" id="{00000000-0008-0000-0900-00005E180000}"/>
            </a:ext>
          </a:extLst>
        </xdr:cNvPr>
        <xdr:cNvSpPr>
          <a:spLocks noChangeShapeType="1"/>
        </xdr:cNvSpPr>
      </xdr:nvSpPr>
      <xdr:spPr bwMode="auto">
        <a:xfrm>
          <a:off x="70789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6239" name="Line 95">
          <a:extLst>
            <a:ext uri="{FF2B5EF4-FFF2-40B4-BE49-F238E27FC236}">
              <a16:creationId xmlns:a16="http://schemas.microsoft.com/office/drawing/2014/main" id="{00000000-0008-0000-0900-00005F180000}"/>
            </a:ext>
          </a:extLst>
        </xdr:cNvPr>
        <xdr:cNvSpPr>
          <a:spLocks noChangeShapeType="1"/>
        </xdr:cNvSpPr>
      </xdr:nvSpPr>
      <xdr:spPr bwMode="auto">
        <a:xfrm>
          <a:off x="70789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6240" name="Line 96">
          <a:extLst>
            <a:ext uri="{FF2B5EF4-FFF2-40B4-BE49-F238E27FC236}">
              <a16:creationId xmlns:a16="http://schemas.microsoft.com/office/drawing/2014/main" id="{00000000-0008-0000-0900-000060180000}"/>
            </a:ext>
          </a:extLst>
        </xdr:cNvPr>
        <xdr:cNvSpPr>
          <a:spLocks noChangeShapeType="1"/>
        </xdr:cNvSpPr>
      </xdr:nvSpPr>
      <xdr:spPr bwMode="auto">
        <a:xfrm>
          <a:off x="70789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6241" name="Line 97">
          <a:extLst>
            <a:ext uri="{FF2B5EF4-FFF2-40B4-BE49-F238E27FC236}">
              <a16:creationId xmlns:a16="http://schemas.microsoft.com/office/drawing/2014/main" id="{00000000-0008-0000-0900-000061180000}"/>
            </a:ext>
          </a:extLst>
        </xdr:cNvPr>
        <xdr:cNvSpPr>
          <a:spLocks noChangeShapeType="1"/>
        </xdr:cNvSpPr>
      </xdr:nvSpPr>
      <xdr:spPr bwMode="auto">
        <a:xfrm>
          <a:off x="70789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6242" name="Line 98">
          <a:extLst>
            <a:ext uri="{FF2B5EF4-FFF2-40B4-BE49-F238E27FC236}">
              <a16:creationId xmlns:a16="http://schemas.microsoft.com/office/drawing/2014/main" id="{00000000-0008-0000-0900-000062180000}"/>
            </a:ext>
          </a:extLst>
        </xdr:cNvPr>
        <xdr:cNvSpPr>
          <a:spLocks noChangeShapeType="1"/>
        </xdr:cNvSpPr>
      </xdr:nvSpPr>
      <xdr:spPr bwMode="auto">
        <a:xfrm>
          <a:off x="70789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6243" name="Line 99">
          <a:extLst>
            <a:ext uri="{FF2B5EF4-FFF2-40B4-BE49-F238E27FC236}">
              <a16:creationId xmlns:a16="http://schemas.microsoft.com/office/drawing/2014/main" id="{00000000-0008-0000-0900-000063180000}"/>
            </a:ext>
          </a:extLst>
        </xdr:cNvPr>
        <xdr:cNvSpPr>
          <a:spLocks noChangeShapeType="1"/>
        </xdr:cNvSpPr>
      </xdr:nvSpPr>
      <xdr:spPr bwMode="auto">
        <a:xfrm>
          <a:off x="70789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6244" name="Line 100">
          <a:extLst>
            <a:ext uri="{FF2B5EF4-FFF2-40B4-BE49-F238E27FC236}">
              <a16:creationId xmlns:a16="http://schemas.microsoft.com/office/drawing/2014/main" id="{00000000-0008-0000-0900-000064180000}"/>
            </a:ext>
          </a:extLst>
        </xdr:cNvPr>
        <xdr:cNvSpPr>
          <a:spLocks noChangeShapeType="1"/>
        </xdr:cNvSpPr>
      </xdr:nvSpPr>
      <xdr:spPr bwMode="auto">
        <a:xfrm>
          <a:off x="70789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6245" name="Line 101">
          <a:extLst>
            <a:ext uri="{FF2B5EF4-FFF2-40B4-BE49-F238E27FC236}">
              <a16:creationId xmlns:a16="http://schemas.microsoft.com/office/drawing/2014/main" id="{00000000-0008-0000-0900-000065180000}"/>
            </a:ext>
          </a:extLst>
        </xdr:cNvPr>
        <xdr:cNvSpPr>
          <a:spLocks noChangeShapeType="1"/>
        </xdr:cNvSpPr>
      </xdr:nvSpPr>
      <xdr:spPr bwMode="auto">
        <a:xfrm>
          <a:off x="70789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6246" name="Line 103">
          <a:extLst>
            <a:ext uri="{FF2B5EF4-FFF2-40B4-BE49-F238E27FC236}">
              <a16:creationId xmlns:a16="http://schemas.microsoft.com/office/drawing/2014/main" id="{00000000-0008-0000-0900-00006618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6247" name="Line 107">
          <a:extLst>
            <a:ext uri="{FF2B5EF4-FFF2-40B4-BE49-F238E27FC236}">
              <a16:creationId xmlns:a16="http://schemas.microsoft.com/office/drawing/2014/main" id="{00000000-0008-0000-0900-0000671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6248" name="Line 108">
          <a:extLst>
            <a:ext uri="{FF2B5EF4-FFF2-40B4-BE49-F238E27FC236}">
              <a16:creationId xmlns:a16="http://schemas.microsoft.com/office/drawing/2014/main" id="{00000000-0008-0000-0900-0000681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6249" name="Line 109">
          <a:extLst>
            <a:ext uri="{FF2B5EF4-FFF2-40B4-BE49-F238E27FC236}">
              <a16:creationId xmlns:a16="http://schemas.microsoft.com/office/drawing/2014/main" id="{00000000-0008-0000-0900-0000691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6250" name="Line 110">
          <a:extLst>
            <a:ext uri="{FF2B5EF4-FFF2-40B4-BE49-F238E27FC236}">
              <a16:creationId xmlns:a16="http://schemas.microsoft.com/office/drawing/2014/main" id="{00000000-0008-0000-0900-00006A1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6251" name="Line 111">
          <a:extLst>
            <a:ext uri="{FF2B5EF4-FFF2-40B4-BE49-F238E27FC236}">
              <a16:creationId xmlns:a16="http://schemas.microsoft.com/office/drawing/2014/main" id="{00000000-0008-0000-0900-00006B18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6252" name="Line 112">
          <a:extLst>
            <a:ext uri="{FF2B5EF4-FFF2-40B4-BE49-F238E27FC236}">
              <a16:creationId xmlns:a16="http://schemas.microsoft.com/office/drawing/2014/main" id="{00000000-0008-0000-0900-00006C1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6253" name="Line 113">
          <a:extLst>
            <a:ext uri="{FF2B5EF4-FFF2-40B4-BE49-F238E27FC236}">
              <a16:creationId xmlns:a16="http://schemas.microsoft.com/office/drawing/2014/main" id="{00000000-0008-0000-0900-00006D1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6254" name="Line 114">
          <a:extLst>
            <a:ext uri="{FF2B5EF4-FFF2-40B4-BE49-F238E27FC236}">
              <a16:creationId xmlns:a16="http://schemas.microsoft.com/office/drawing/2014/main" id="{00000000-0008-0000-0900-00006E1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6255" name="Line 115">
          <a:extLst>
            <a:ext uri="{FF2B5EF4-FFF2-40B4-BE49-F238E27FC236}">
              <a16:creationId xmlns:a16="http://schemas.microsoft.com/office/drawing/2014/main" id="{00000000-0008-0000-0900-00006F1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386080</xdr:colOff>
      <xdr:row>93</xdr:row>
      <xdr:rowOff>10160</xdr:rowOff>
    </xdr:from>
    <xdr:to>
      <xdr:col>4</xdr:col>
      <xdr:colOff>363220</xdr:colOff>
      <xdr:row>93</xdr:row>
      <xdr:rowOff>10160</xdr:rowOff>
    </xdr:to>
    <xdr:sp macro="" textlink="">
      <xdr:nvSpPr>
        <xdr:cNvPr id="6256" name="Line 116">
          <a:extLst>
            <a:ext uri="{FF2B5EF4-FFF2-40B4-BE49-F238E27FC236}">
              <a16:creationId xmlns:a16="http://schemas.microsoft.com/office/drawing/2014/main" id="{00000000-0008-0000-0900-000070180000}"/>
            </a:ext>
          </a:extLst>
        </xdr:cNvPr>
        <xdr:cNvSpPr>
          <a:spLocks noChangeShapeType="1"/>
        </xdr:cNvSpPr>
      </xdr:nvSpPr>
      <xdr:spPr bwMode="auto">
        <a:xfrm>
          <a:off x="3078480" y="168452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6257" name="Line 75">
          <a:extLst>
            <a:ext uri="{FF2B5EF4-FFF2-40B4-BE49-F238E27FC236}">
              <a16:creationId xmlns:a16="http://schemas.microsoft.com/office/drawing/2014/main" id="{00000000-0008-0000-0900-00007118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6258" name="Line 87">
          <a:extLst>
            <a:ext uri="{FF2B5EF4-FFF2-40B4-BE49-F238E27FC236}">
              <a16:creationId xmlns:a16="http://schemas.microsoft.com/office/drawing/2014/main" id="{00000000-0008-0000-0900-00007218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6259" name="Line 75">
          <a:extLst>
            <a:ext uri="{FF2B5EF4-FFF2-40B4-BE49-F238E27FC236}">
              <a16:creationId xmlns:a16="http://schemas.microsoft.com/office/drawing/2014/main" id="{00000000-0008-0000-0900-00007318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6260" name="Line 79">
          <a:extLst>
            <a:ext uri="{FF2B5EF4-FFF2-40B4-BE49-F238E27FC236}">
              <a16:creationId xmlns:a16="http://schemas.microsoft.com/office/drawing/2014/main" id="{00000000-0008-0000-0900-00007418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6261" name="Line 87">
          <a:extLst>
            <a:ext uri="{FF2B5EF4-FFF2-40B4-BE49-F238E27FC236}">
              <a16:creationId xmlns:a16="http://schemas.microsoft.com/office/drawing/2014/main" id="{00000000-0008-0000-0900-00007518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6262" name="Line 75">
          <a:extLst>
            <a:ext uri="{FF2B5EF4-FFF2-40B4-BE49-F238E27FC236}">
              <a16:creationId xmlns:a16="http://schemas.microsoft.com/office/drawing/2014/main" id="{00000000-0008-0000-0900-00007618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6263" name="Line 87">
          <a:extLst>
            <a:ext uri="{FF2B5EF4-FFF2-40B4-BE49-F238E27FC236}">
              <a16:creationId xmlns:a16="http://schemas.microsoft.com/office/drawing/2014/main" id="{00000000-0008-0000-0900-00007718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6264" name="Line 75">
          <a:extLst>
            <a:ext uri="{FF2B5EF4-FFF2-40B4-BE49-F238E27FC236}">
              <a16:creationId xmlns:a16="http://schemas.microsoft.com/office/drawing/2014/main" id="{00000000-0008-0000-0900-00007818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6265" name="Line 79">
          <a:extLst>
            <a:ext uri="{FF2B5EF4-FFF2-40B4-BE49-F238E27FC236}">
              <a16:creationId xmlns:a16="http://schemas.microsoft.com/office/drawing/2014/main" id="{00000000-0008-0000-0900-00007918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6266" name="Line 87">
          <a:extLst>
            <a:ext uri="{FF2B5EF4-FFF2-40B4-BE49-F238E27FC236}">
              <a16:creationId xmlns:a16="http://schemas.microsoft.com/office/drawing/2014/main" id="{00000000-0008-0000-0900-00007A18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 name="Line 1">
          <a:extLst>
            <a:ext uri="{FF2B5EF4-FFF2-40B4-BE49-F238E27FC236}">
              <a16:creationId xmlns:a16="http://schemas.microsoft.com/office/drawing/2014/main" id="{228081C4-7BFC-482D-A9CF-CC89DA2E5144}"/>
            </a:ext>
          </a:extLst>
        </xdr:cNvPr>
        <xdr:cNvSpPr>
          <a:spLocks noChangeShapeType="1"/>
        </xdr:cNvSpPr>
      </xdr:nvSpPr>
      <xdr:spPr bwMode="auto">
        <a:xfrm>
          <a:off x="4762500" y="55816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3" name="Line 2">
          <a:extLst>
            <a:ext uri="{FF2B5EF4-FFF2-40B4-BE49-F238E27FC236}">
              <a16:creationId xmlns:a16="http://schemas.microsoft.com/office/drawing/2014/main" id="{85DDCD5B-09BB-46A6-8B5B-6C26F6343D7C}"/>
            </a:ext>
          </a:extLst>
        </xdr:cNvPr>
        <xdr:cNvSpPr>
          <a:spLocks noChangeShapeType="1"/>
        </xdr:cNvSpPr>
      </xdr:nvSpPr>
      <xdr:spPr bwMode="auto">
        <a:xfrm>
          <a:off x="4762500" y="57435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 name="Line 3">
          <a:extLst>
            <a:ext uri="{FF2B5EF4-FFF2-40B4-BE49-F238E27FC236}">
              <a16:creationId xmlns:a16="http://schemas.microsoft.com/office/drawing/2014/main" id="{2847C1D3-F8C7-42BB-809D-9E2DD9238203}"/>
            </a:ext>
          </a:extLst>
        </xdr:cNvPr>
        <xdr:cNvSpPr>
          <a:spLocks noChangeShapeType="1"/>
        </xdr:cNvSpPr>
      </xdr:nvSpPr>
      <xdr:spPr bwMode="auto">
        <a:xfrm>
          <a:off x="4762500" y="4448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5" name="Line 4">
          <a:extLst>
            <a:ext uri="{FF2B5EF4-FFF2-40B4-BE49-F238E27FC236}">
              <a16:creationId xmlns:a16="http://schemas.microsoft.com/office/drawing/2014/main" id="{6167F94E-2088-4679-9904-E1169FD27B2D}"/>
            </a:ext>
          </a:extLst>
        </xdr:cNvPr>
        <xdr:cNvSpPr>
          <a:spLocks noChangeShapeType="1"/>
        </xdr:cNvSpPr>
      </xdr:nvSpPr>
      <xdr:spPr bwMode="auto">
        <a:xfrm>
          <a:off x="6905625" y="44481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 name="Line 5">
          <a:extLst>
            <a:ext uri="{FF2B5EF4-FFF2-40B4-BE49-F238E27FC236}">
              <a16:creationId xmlns:a16="http://schemas.microsoft.com/office/drawing/2014/main" id="{ECF570B2-78A6-4455-9749-4276B8589839}"/>
            </a:ext>
          </a:extLst>
        </xdr:cNvPr>
        <xdr:cNvSpPr>
          <a:spLocks noChangeShapeType="1"/>
        </xdr:cNvSpPr>
      </xdr:nvSpPr>
      <xdr:spPr bwMode="auto">
        <a:xfrm>
          <a:off x="10477500" y="558165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7" name="Line 6">
          <a:extLst>
            <a:ext uri="{FF2B5EF4-FFF2-40B4-BE49-F238E27FC236}">
              <a16:creationId xmlns:a16="http://schemas.microsoft.com/office/drawing/2014/main" id="{78734945-6DDE-4BD5-B013-BC313F08012F}"/>
            </a:ext>
          </a:extLst>
        </xdr:cNvPr>
        <xdr:cNvSpPr>
          <a:spLocks noChangeShapeType="1"/>
        </xdr:cNvSpPr>
      </xdr:nvSpPr>
      <xdr:spPr bwMode="auto">
        <a:xfrm>
          <a:off x="10477500" y="57435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 name="Line 7">
          <a:extLst>
            <a:ext uri="{FF2B5EF4-FFF2-40B4-BE49-F238E27FC236}">
              <a16:creationId xmlns:a16="http://schemas.microsoft.com/office/drawing/2014/main" id="{98A6ACC3-60D4-4C21-9E17-8D6D3C7E4FFB}"/>
            </a:ext>
          </a:extLst>
        </xdr:cNvPr>
        <xdr:cNvSpPr>
          <a:spLocks noChangeShapeType="1"/>
        </xdr:cNvSpPr>
      </xdr:nvSpPr>
      <xdr:spPr bwMode="auto">
        <a:xfrm>
          <a:off x="4762500" y="590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9" name="Line 8">
          <a:extLst>
            <a:ext uri="{FF2B5EF4-FFF2-40B4-BE49-F238E27FC236}">
              <a16:creationId xmlns:a16="http://schemas.microsoft.com/office/drawing/2014/main" id="{3A308B5E-5204-442E-8E19-53C865DC707B}"/>
            </a:ext>
          </a:extLst>
        </xdr:cNvPr>
        <xdr:cNvSpPr>
          <a:spLocks noChangeShapeType="1"/>
        </xdr:cNvSpPr>
      </xdr:nvSpPr>
      <xdr:spPr bwMode="auto">
        <a:xfrm>
          <a:off x="4762500" y="6067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 name="Line 9">
          <a:extLst>
            <a:ext uri="{FF2B5EF4-FFF2-40B4-BE49-F238E27FC236}">
              <a16:creationId xmlns:a16="http://schemas.microsoft.com/office/drawing/2014/main" id="{2878B4FF-7CBE-4273-B810-771F2FD71BA9}"/>
            </a:ext>
          </a:extLst>
        </xdr:cNvPr>
        <xdr:cNvSpPr>
          <a:spLocks noChangeShapeType="1"/>
        </xdr:cNvSpPr>
      </xdr:nvSpPr>
      <xdr:spPr bwMode="auto">
        <a:xfrm>
          <a:off x="4762500" y="62293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1" name="Line 10">
          <a:extLst>
            <a:ext uri="{FF2B5EF4-FFF2-40B4-BE49-F238E27FC236}">
              <a16:creationId xmlns:a16="http://schemas.microsoft.com/office/drawing/2014/main" id="{D9284293-3D9B-44FE-AD7B-DB9B250A2D99}"/>
            </a:ext>
          </a:extLst>
        </xdr:cNvPr>
        <xdr:cNvSpPr>
          <a:spLocks noChangeShapeType="1"/>
        </xdr:cNvSpPr>
      </xdr:nvSpPr>
      <xdr:spPr bwMode="auto">
        <a:xfrm>
          <a:off x="6905625"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 name="Line 11">
          <a:extLst>
            <a:ext uri="{FF2B5EF4-FFF2-40B4-BE49-F238E27FC236}">
              <a16:creationId xmlns:a16="http://schemas.microsoft.com/office/drawing/2014/main" id="{4C8C1C29-E6ED-4295-AEE6-F02B4CDB0A0A}"/>
            </a:ext>
          </a:extLst>
        </xdr:cNvPr>
        <xdr:cNvSpPr>
          <a:spLocks noChangeShapeType="1"/>
        </xdr:cNvSpPr>
      </xdr:nvSpPr>
      <xdr:spPr bwMode="auto">
        <a:xfrm>
          <a:off x="6905625"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3" name="Line 12">
          <a:extLst>
            <a:ext uri="{FF2B5EF4-FFF2-40B4-BE49-F238E27FC236}">
              <a16:creationId xmlns:a16="http://schemas.microsoft.com/office/drawing/2014/main" id="{8F4DA6FA-3508-4E65-A6D0-C9596763729F}"/>
            </a:ext>
          </a:extLst>
        </xdr:cNvPr>
        <xdr:cNvSpPr>
          <a:spLocks noChangeShapeType="1"/>
        </xdr:cNvSpPr>
      </xdr:nvSpPr>
      <xdr:spPr bwMode="auto">
        <a:xfrm>
          <a:off x="6905625"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 name="Line 13">
          <a:extLst>
            <a:ext uri="{FF2B5EF4-FFF2-40B4-BE49-F238E27FC236}">
              <a16:creationId xmlns:a16="http://schemas.microsoft.com/office/drawing/2014/main" id="{35458D22-5AD0-4E66-8DD2-1C60CB259A08}"/>
            </a:ext>
          </a:extLst>
        </xdr:cNvPr>
        <xdr:cNvSpPr>
          <a:spLocks noChangeShapeType="1"/>
        </xdr:cNvSpPr>
      </xdr:nvSpPr>
      <xdr:spPr bwMode="auto">
        <a:xfrm>
          <a:off x="10477500"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5" name="Line 14">
          <a:extLst>
            <a:ext uri="{FF2B5EF4-FFF2-40B4-BE49-F238E27FC236}">
              <a16:creationId xmlns:a16="http://schemas.microsoft.com/office/drawing/2014/main" id="{A80A0DF9-15CE-44A2-9DD7-5B527CEE5A4C}"/>
            </a:ext>
          </a:extLst>
        </xdr:cNvPr>
        <xdr:cNvSpPr>
          <a:spLocks noChangeShapeType="1"/>
        </xdr:cNvSpPr>
      </xdr:nvSpPr>
      <xdr:spPr bwMode="auto">
        <a:xfrm>
          <a:off x="10477500"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6" name="Line 15">
          <a:extLst>
            <a:ext uri="{FF2B5EF4-FFF2-40B4-BE49-F238E27FC236}">
              <a16:creationId xmlns:a16="http://schemas.microsoft.com/office/drawing/2014/main" id="{C816CD35-43DF-4361-B830-0BF9ECAC27F1}"/>
            </a:ext>
          </a:extLst>
        </xdr:cNvPr>
        <xdr:cNvSpPr>
          <a:spLocks noChangeShapeType="1"/>
        </xdr:cNvSpPr>
      </xdr:nvSpPr>
      <xdr:spPr bwMode="auto">
        <a:xfrm>
          <a:off x="10477500"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7" name="Line 16">
          <a:extLst>
            <a:ext uri="{FF2B5EF4-FFF2-40B4-BE49-F238E27FC236}">
              <a16:creationId xmlns:a16="http://schemas.microsoft.com/office/drawing/2014/main" id="{7E91B66B-C1E7-4F91-96B5-F54F184265C8}"/>
            </a:ext>
          </a:extLst>
        </xdr:cNvPr>
        <xdr:cNvSpPr>
          <a:spLocks noChangeShapeType="1"/>
        </xdr:cNvSpPr>
      </xdr:nvSpPr>
      <xdr:spPr bwMode="auto">
        <a:xfrm>
          <a:off x="10477500" y="76866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8" name="Line 17">
          <a:extLst>
            <a:ext uri="{FF2B5EF4-FFF2-40B4-BE49-F238E27FC236}">
              <a16:creationId xmlns:a16="http://schemas.microsoft.com/office/drawing/2014/main" id="{011D254D-858C-401F-9C57-6C99F1E8D397}"/>
            </a:ext>
          </a:extLst>
        </xdr:cNvPr>
        <xdr:cNvSpPr>
          <a:spLocks noChangeShapeType="1"/>
        </xdr:cNvSpPr>
      </xdr:nvSpPr>
      <xdr:spPr bwMode="auto">
        <a:xfrm>
          <a:off x="2619375" y="4448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9" name="Line 18">
          <a:extLst>
            <a:ext uri="{FF2B5EF4-FFF2-40B4-BE49-F238E27FC236}">
              <a16:creationId xmlns:a16="http://schemas.microsoft.com/office/drawing/2014/main" id="{4B4DC2B7-A7CC-4DA3-BE9D-0D7676E09B83}"/>
            </a:ext>
          </a:extLst>
        </xdr:cNvPr>
        <xdr:cNvSpPr>
          <a:spLocks noChangeShapeType="1"/>
        </xdr:cNvSpPr>
      </xdr:nvSpPr>
      <xdr:spPr bwMode="auto">
        <a:xfrm>
          <a:off x="2619375" y="55816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0" name="Line 19">
          <a:extLst>
            <a:ext uri="{FF2B5EF4-FFF2-40B4-BE49-F238E27FC236}">
              <a16:creationId xmlns:a16="http://schemas.microsoft.com/office/drawing/2014/main" id="{BE4EE594-7396-46C5-88D0-2FE27909A955}"/>
            </a:ext>
          </a:extLst>
        </xdr:cNvPr>
        <xdr:cNvSpPr>
          <a:spLocks noChangeShapeType="1"/>
        </xdr:cNvSpPr>
      </xdr:nvSpPr>
      <xdr:spPr bwMode="auto">
        <a:xfrm>
          <a:off x="2619375" y="57435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1" name="Line 20">
          <a:extLst>
            <a:ext uri="{FF2B5EF4-FFF2-40B4-BE49-F238E27FC236}">
              <a16:creationId xmlns:a16="http://schemas.microsoft.com/office/drawing/2014/main" id="{87FFDF83-72F2-4FB2-9363-6CCCC3CE550B}"/>
            </a:ext>
          </a:extLst>
        </xdr:cNvPr>
        <xdr:cNvSpPr>
          <a:spLocks noChangeShapeType="1"/>
        </xdr:cNvSpPr>
      </xdr:nvSpPr>
      <xdr:spPr bwMode="auto">
        <a:xfrm>
          <a:off x="2619375" y="59055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2" name="Line 21">
          <a:extLst>
            <a:ext uri="{FF2B5EF4-FFF2-40B4-BE49-F238E27FC236}">
              <a16:creationId xmlns:a16="http://schemas.microsoft.com/office/drawing/2014/main" id="{159F953B-75A7-4F3D-8F5D-547A8249409C}"/>
            </a:ext>
          </a:extLst>
        </xdr:cNvPr>
        <xdr:cNvSpPr>
          <a:spLocks noChangeShapeType="1"/>
        </xdr:cNvSpPr>
      </xdr:nvSpPr>
      <xdr:spPr bwMode="auto">
        <a:xfrm>
          <a:off x="2619375" y="6067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3" name="Line 22">
          <a:extLst>
            <a:ext uri="{FF2B5EF4-FFF2-40B4-BE49-F238E27FC236}">
              <a16:creationId xmlns:a16="http://schemas.microsoft.com/office/drawing/2014/main" id="{01FAC860-F440-4A90-888D-891337948A39}"/>
            </a:ext>
          </a:extLst>
        </xdr:cNvPr>
        <xdr:cNvSpPr>
          <a:spLocks noChangeShapeType="1"/>
        </xdr:cNvSpPr>
      </xdr:nvSpPr>
      <xdr:spPr bwMode="auto">
        <a:xfrm>
          <a:off x="2619375" y="62293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4" name="Line 23">
          <a:extLst>
            <a:ext uri="{FF2B5EF4-FFF2-40B4-BE49-F238E27FC236}">
              <a16:creationId xmlns:a16="http://schemas.microsoft.com/office/drawing/2014/main" id="{1FEEDCDD-3F0C-48F9-8039-B5C7E8EECD51}"/>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5" name="Line 24">
          <a:extLst>
            <a:ext uri="{FF2B5EF4-FFF2-40B4-BE49-F238E27FC236}">
              <a16:creationId xmlns:a16="http://schemas.microsoft.com/office/drawing/2014/main" id="{980DC276-B72A-427C-B91B-93EC9E0CE601}"/>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6" name="Line 25">
          <a:extLst>
            <a:ext uri="{FF2B5EF4-FFF2-40B4-BE49-F238E27FC236}">
              <a16:creationId xmlns:a16="http://schemas.microsoft.com/office/drawing/2014/main" id="{915F8290-C1C6-4C7A-9E06-1D0D8EBCD7C3}"/>
            </a:ext>
          </a:extLst>
        </xdr:cNvPr>
        <xdr:cNvSpPr>
          <a:spLocks noChangeShapeType="1"/>
        </xdr:cNvSpPr>
      </xdr:nvSpPr>
      <xdr:spPr bwMode="auto">
        <a:xfrm>
          <a:off x="6905625" y="65532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7" name="Line 26">
          <a:extLst>
            <a:ext uri="{FF2B5EF4-FFF2-40B4-BE49-F238E27FC236}">
              <a16:creationId xmlns:a16="http://schemas.microsoft.com/office/drawing/2014/main" id="{D2CAB550-D0D2-4A95-9CCD-A25A2F5DA591}"/>
            </a:ext>
          </a:extLst>
        </xdr:cNvPr>
        <xdr:cNvSpPr>
          <a:spLocks noChangeShapeType="1"/>
        </xdr:cNvSpPr>
      </xdr:nvSpPr>
      <xdr:spPr bwMode="auto">
        <a:xfrm>
          <a:off x="10477500" y="78486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8" name="Line 27">
          <a:extLst>
            <a:ext uri="{FF2B5EF4-FFF2-40B4-BE49-F238E27FC236}">
              <a16:creationId xmlns:a16="http://schemas.microsoft.com/office/drawing/2014/main" id="{C27BE1CC-C78B-4C30-9626-F1BE6ACA8D42}"/>
            </a:ext>
          </a:extLst>
        </xdr:cNvPr>
        <xdr:cNvSpPr>
          <a:spLocks noChangeShapeType="1"/>
        </xdr:cNvSpPr>
      </xdr:nvSpPr>
      <xdr:spPr bwMode="auto">
        <a:xfrm>
          <a:off x="4762500" y="65532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9" name="Line 28">
          <a:extLst>
            <a:ext uri="{FF2B5EF4-FFF2-40B4-BE49-F238E27FC236}">
              <a16:creationId xmlns:a16="http://schemas.microsoft.com/office/drawing/2014/main" id="{CE782682-C2C9-45FD-A022-6821D1A9FC3B}"/>
            </a:ext>
          </a:extLst>
        </xdr:cNvPr>
        <xdr:cNvSpPr>
          <a:spLocks noChangeShapeType="1"/>
        </xdr:cNvSpPr>
      </xdr:nvSpPr>
      <xdr:spPr bwMode="auto">
        <a:xfrm>
          <a:off x="4762500" y="80105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30" name="Line 29">
          <a:extLst>
            <a:ext uri="{FF2B5EF4-FFF2-40B4-BE49-F238E27FC236}">
              <a16:creationId xmlns:a16="http://schemas.microsoft.com/office/drawing/2014/main" id="{7C891E13-83A6-46E8-9278-087499376B14}"/>
            </a:ext>
          </a:extLst>
        </xdr:cNvPr>
        <xdr:cNvSpPr>
          <a:spLocks noChangeShapeType="1"/>
        </xdr:cNvSpPr>
      </xdr:nvSpPr>
      <xdr:spPr bwMode="auto">
        <a:xfrm>
          <a:off x="6905625"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31" name="Line 30">
          <a:extLst>
            <a:ext uri="{FF2B5EF4-FFF2-40B4-BE49-F238E27FC236}">
              <a16:creationId xmlns:a16="http://schemas.microsoft.com/office/drawing/2014/main" id="{117D2EC6-3A76-4413-B9EC-04CC5AF58574}"/>
            </a:ext>
          </a:extLst>
        </xdr:cNvPr>
        <xdr:cNvSpPr>
          <a:spLocks noChangeShapeType="1"/>
        </xdr:cNvSpPr>
      </xdr:nvSpPr>
      <xdr:spPr bwMode="auto">
        <a:xfrm>
          <a:off x="6905625"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32" name="Line 31">
          <a:extLst>
            <a:ext uri="{FF2B5EF4-FFF2-40B4-BE49-F238E27FC236}">
              <a16:creationId xmlns:a16="http://schemas.microsoft.com/office/drawing/2014/main" id="{9816CE8C-685C-44B3-9119-C86FE5E356EE}"/>
            </a:ext>
          </a:extLst>
        </xdr:cNvPr>
        <xdr:cNvSpPr>
          <a:spLocks noChangeShapeType="1"/>
        </xdr:cNvSpPr>
      </xdr:nvSpPr>
      <xdr:spPr bwMode="auto">
        <a:xfrm>
          <a:off x="10477500"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33" name="Line 32">
          <a:extLst>
            <a:ext uri="{FF2B5EF4-FFF2-40B4-BE49-F238E27FC236}">
              <a16:creationId xmlns:a16="http://schemas.microsoft.com/office/drawing/2014/main" id="{89E674AE-1293-414F-960B-F2677AA944A7}"/>
            </a:ext>
          </a:extLst>
        </xdr:cNvPr>
        <xdr:cNvSpPr>
          <a:spLocks noChangeShapeType="1"/>
        </xdr:cNvSpPr>
      </xdr:nvSpPr>
      <xdr:spPr bwMode="auto">
        <a:xfrm>
          <a:off x="10477500"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34" name="Line 33">
          <a:extLst>
            <a:ext uri="{FF2B5EF4-FFF2-40B4-BE49-F238E27FC236}">
              <a16:creationId xmlns:a16="http://schemas.microsoft.com/office/drawing/2014/main" id="{BED6FD4A-45A9-4338-81AB-1D7BEFEF3CB6}"/>
            </a:ext>
          </a:extLst>
        </xdr:cNvPr>
        <xdr:cNvSpPr>
          <a:spLocks noChangeShapeType="1"/>
        </xdr:cNvSpPr>
      </xdr:nvSpPr>
      <xdr:spPr bwMode="auto">
        <a:xfrm>
          <a:off x="2619375" y="65532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5" name="Line 34">
          <a:extLst>
            <a:ext uri="{FF2B5EF4-FFF2-40B4-BE49-F238E27FC236}">
              <a16:creationId xmlns:a16="http://schemas.microsoft.com/office/drawing/2014/main" id="{A13656E4-07B4-4286-8F1E-EF71A4AB951E}"/>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6" name="Line 35">
          <a:extLst>
            <a:ext uri="{FF2B5EF4-FFF2-40B4-BE49-F238E27FC236}">
              <a16:creationId xmlns:a16="http://schemas.microsoft.com/office/drawing/2014/main" id="{1856544E-BFE4-4A38-9114-5BA4C7A8E964}"/>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37" name="Line 36">
          <a:extLst>
            <a:ext uri="{FF2B5EF4-FFF2-40B4-BE49-F238E27FC236}">
              <a16:creationId xmlns:a16="http://schemas.microsoft.com/office/drawing/2014/main" id="{4F3FA438-FC4B-4BFC-8081-A5157105071E}"/>
            </a:ext>
          </a:extLst>
        </xdr:cNvPr>
        <xdr:cNvSpPr>
          <a:spLocks noChangeShapeType="1"/>
        </xdr:cNvSpPr>
      </xdr:nvSpPr>
      <xdr:spPr bwMode="auto">
        <a:xfrm>
          <a:off x="2619375" y="7848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38" name="Line 37">
          <a:extLst>
            <a:ext uri="{FF2B5EF4-FFF2-40B4-BE49-F238E27FC236}">
              <a16:creationId xmlns:a16="http://schemas.microsoft.com/office/drawing/2014/main" id="{7302CD7D-A863-49D1-9A83-567EB21EF811}"/>
            </a:ext>
          </a:extLst>
        </xdr:cNvPr>
        <xdr:cNvSpPr>
          <a:spLocks noChangeShapeType="1"/>
        </xdr:cNvSpPr>
      </xdr:nvSpPr>
      <xdr:spPr bwMode="auto">
        <a:xfrm>
          <a:off x="2619375" y="80105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39" name="Line 38">
          <a:extLst>
            <a:ext uri="{FF2B5EF4-FFF2-40B4-BE49-F238E27FC236}">
              <a16:creationId xmlns:a16="http://schemas.microsoft.com/office/drawing/2014/main" id="{BE3C8E8B-2310-440C-978F-8899E08F0B1D}"/>
            </a:ext>
          </a:extLst>
        </xdr:cNvPr>
        <xdr:cNvSpPr>
          <a:spLocks noChangeShapeType="1"/>
        </xdr:cNvSpPr>
      </xdr:nvSpPr>
      <xdr:spPr bwMode="auto">
        <a:xfrm>
          <a:off x="2619375" y="81724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0" name="Line 39">
          <a:extLst>
            <a:ext uri="{FF2B5EF4-FFF2-40B4-BE49-F238E27FC236}">
              <a16:creationId xmlns:a16="http://schemas.microsoft.com/office/drawing/2014/main" id="{713E1A7E-368F-4F1F-A90F-9C7278177D4C}"/>
            </a:ext>
          </a:extLst>
        </xdr:cNvPr>
        <xdr:cNvSpPr>
          <a:spLocks noChangeShapeType="1"/>
        </xdr:cNvSpPr>
      </xdr:nvSpPr>
      <xdr:spPr bwMode="auto">
        <a:xfrm>
          <a:off x="4762500" y="81724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1" name="Line 40">
          <a:extLst>
            <a:ext uri="{FF2B5EF4-FFF2-40B4-BE49-F238E27FC236}">
              <a16:creationId xmlns:a16="http://schemas.microsoft.com/office/drawing/2014/main" id="{34578030-42AD-4A6E-BC00-4CD103CEB7A8}"/>
            </a:ext>
          </a:extLst>
        </xdr:cNvPr>
        <xdr:cNvSpPr>
          <a:spLocks noChangeShapeType="1"/>
        </xdr:cNvSpPr>
      </xdr:nvSpPr>
      <xdr:spPr bwMode="auto">
        <a:xfrm>
          <a:off x="10477500" y="102489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 name="Line 41">
          <a:extLst>
            <a:ext uri="{FF2B5EF4-FFF2-40B4-BE49-F238E27FC236}">
              <a16:creationId xmlns:a16="http://schemas.microsoft.com/office/drawing/2014/main" id="{B4552888-4B1F-494F-9CDA-F490F10D13AE}"/>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3" name="Line 42">
          <a:extLst>
            <a:ext uri="{FF2B5EF4-FFF2-40B4-BE49-F238E27FC236}">
              <a16:creationId xmlns:a16="http://schemas.microsoft.com/office/drawing/2014/main" id="{A370E4D3-D49B-4E14-950B-A4E0BDECFE20}"/>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4" name="Line 43">
          <a:extLst>
            <a:ext uri="{FF2B5EF4-FFF2-40B4-BE49-F238E27FC236}">
              <a16:creationId xmlns:a16="http://schemas.microsoft.com/office/drawing/2014/main" id="{CF8475A3-E650-4827-9028-872CA1E3A095}"/>
            </a:ext>
          </a:extLst>
        </xdr:cNvPr>
        <xdr:cNvSpPr>
          <a:spLocks noChangeShapeType="1"/>
        </xdr:cNvSpPr>
      </xdr:nvSpPr>
      <xdr:spPr bwMode="auto">
        <a:xfrm>
          <a:off x="6905625" y="9115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5" name="Line 44">
          <a:extLst>
            <a:ext uri="{FF2B5EF4-FFF2-40B4-BE49-F238E27FC236}">
              <a16:creationId xmlns:a16="http://schemas.microsoft.com/office/drawing/2014/main" id="{08DB1F1C-58A2-4CDC-BC3D-8B1F91AE1A8B}"/>
            </a:ext>
          </a:extLst>
        </xdr:cNvPr>
        <xdr:cNvSpPr>
          <a:spLocks noChangeShapeType="1"/>
        </xdr:cNvSpPr>
      </xdr:nvSpPr>
      <xdr:spPr bwMode="auto">
        <a:xfrm>
          <a:off x="10477500" y="104108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6" name="Line 45">
          <a:extLst>
            <a:ext uri="{FF2B5EF4-FFF2-40B4-BE49-F238E27FC236}">
              <a16:creationId xmlns:a16="http://schemas.microsoft.com/office/drawing/2014/main" id="{ADD5C815-DB70-48ED-AC61-57BEDFE8BF7C}"/>
            </a:ext>
          </a:extLst>
        </xdr:cNvPr>
        <xdr:cNvSpPr>
          <a:spLocks noChangeShapeType="1"/>
        </xdr:cNvSpPr>
      </xdr:nvSpPr>
      <xdr:spPr bwMode="auto">
        <a:xfrm>
          <a:off x="4762500" y="9115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7" name="Line 46">
          <a:extLst>
            <a:ext uri="{FF2B5EF4-FFF2-40B4-BE49-F238E27FC236}">
              <a16:creationId xmlns:a16="http://schemas.microsoft.com/office/drawing/2014/main" id="{9D840106-5B6E-4B5F-80B5-DB0627CB13E1}"/>
            </a:ext>
          </a:extLst>
        </xdr:cNvPr>
        <xdr:cNvSpPr>
          <a:spLocks noChangeShapeType="1"/>
        </xdr:cNvSpPr>
      </xdr:nvSpPr>
      <xdr:spPr bwMode="auto">
        <a:xfrm>
          <a:off x="6905625"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8" name="Line 47">
          <a:extLst>
            <a:ext uri="{FF2B5EF4-FFF2-40B4-BE49-F238E27FC236}">
              <a16:creationId xmlns:a16="http://schemas.microsoft.com/office/drawing/2014/main" id="{B34516DC-BA23-424A-B7C5-C23C5EB91769}"/>
            </a:ext>
          </a:extLst>
        </xdr:cNvPr>
        <xdr:cNvSpPr>
          <a:spLocks noChangeShapeType="1"/>
        </xdr:cNvSpPr>
      </xdr:nvSpPr>
      <xdr:spPr bwMode="auto">
        <a:xfrm>
          <a:off x="10477500"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9" name="Line 48">
          <a:extLst>
            <a:ext uri="{FF2B5EF4-FFF2-40B4-BE49-F238E27FC236}">
              <a16:creationId xmlns:a16="http://schemas.microsoft.com/office/drawing/2014/main" id="{F239804D-5F71-4054-A9B1-89BD3B640EB8}"/>
            </a:ext>
          </a:extLst>
        </xdr:cNvPr>
        <xdr:cNvSpPr>
          <a:spLocks noChangeShapeType="1"/>
        </xdr:cNvSpPr>
      </xdr:nvSpPr>
      <xdr:spPr bwMode="auto">
        <a:xfrm>
          <a:off x="2619375" y="9115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0" name="Line 49">
          <a:extLst>
            <a:ext uri="{FF2B5EF4-FFF2-40B4-BE49-F238E27FC236}">
              <a16:creationId xmlns:a16="http://schemas.microsoft.com/office/drawing/2014/main" id="{2901FDE3-8B05-40E8-881A-277C7F89083E}"/>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1" name="Line 50">
          <a:extLst>
            <a:ext uri="{FF2B5EF4-FFF2-40B4-BE49-F238E27FC236}">
              <a16:creationId xmlns:a16="http://schemas.microsoft.com/office/drawing/2014/main" id="{D42CD286-E487-4297-9167-DE2C0CA34075}"/>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2" name="Line 51">
          <a:extLst>
            <a:ext uri="{FF2B5EF4-FFF2-40B4-BE49-F238E27FC236}">
              <a16:creationId xmlns:a16="http://schemas.microsoft.com/office/drawing/2014/main" id="{06332C55-E4B1-4DE8-8EF1-A840B4D56076}"/>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53" name="Line 52">
          <a:extLst>
            <a:ext uri="{FF2B5EF4-FFF2-40B4-BE49-F238E27FC236}">
              <a16:creationId xmlns:a16="http://schemas.microsoft.com/office/drawing/2014/main" id="{B17CD1EC-1DAC-4BAC-AA60-E8147708FCC3}"/>
            </a:ext>
          </a:extLst>
        </xdr:cNvPr>
        <xdr:cNvSpPr>
          <a:spLocks noChangeShapeType="1"/>
        </xdr:cNvSpPr>
      </xdr:nvSpPr>
      <xdr:spPr bwMode="auto">
        <a:xfrm>
          <a:off x="2619375" y="104108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54" name="Line 53">
          <a:extLst>
            <a:ext uri="{FF2B5EF4-FFF2-40B4-BE49-F238E27FC236}">
              <a16:creationId xmlns:a16="http://schemas.microsoft.com/office/drawing/2014/main" id="{04CF0842-CA6C-4BBA-88F0-F5C06F392DA4}"/>
            </a:ext>
          </a:extLst>
        </xdr:cNvPr>
        <xdr:cNvSpPr>
          <a:spLocks noChangeShapeType="1"/>
        </xdr:cNvSpPr>
      </xdr:nvSpPr>
      <xdr:spPr bwMode="auto">
        <a:xfrm>
          <a:off x="2619375" y="105727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55" name="Line 54">
          <a:extLst>
            <a:ext uri="{FF2B5EF4-FFF2-40B4-BE49-F238E27FC236}">
              <a16:creationId xmlns:a16="http://schemas.microsoft.com/office/drawing/2014/main" id="{7389C3B3-140B-4AE0-9DA3-2348534B6F0E}"/>
            </a:ext>
          </a:extLst>
        </xdr:cNvPr>
        <xdr:cNvSpPr>
          <a:spLocks noChangeShapeType="1"/>
        </xdr:cNvSpPr>
      </xdr:nvSpPr>
      <xdr:spPr bwMode="auto">
        <a:xfrm>
          <a:off x="4762500" y="105727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56" name="Line 55">
          <a:extLst>
            <a:ext uri="{FF2B5EF4-FFF2-40B4-BE49-F238E27FC236}">
              <a16:creationId xmlns:a16="http://schemas.microsoft.com/office/drawing/2014/main" id="{93B28FBE-11EA-46AB-9AE5-8CF2E68B2680}"/>
            </a:ext>
          </a:extLst>
        </xdr:cNvPr>
        <xdr:cNvSpPr>
          <a:spLocks noChangeShapeType="1"/>
        </xdr:cNvSpPr>
      </xdr:nvSpPr>
      <xdr:spPr bwMode="auto">
        <a:xfrm>
          <a:off x="4762500" y="5419725"/>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57" name="Line 56">
          <a:extLst>
            <a:ext uri="{FF2B5EF4-FFF2-40B4-BE49-F238E27FC236}">
              <a16:creationId xmlns:a16="http://schemas.microsoft.com/office/drawing/2014/main" id="{CF8AAEBE-B8AB-4C47-8285-5847D11C7490}"/>
            </a:ext>
          </a:extLst>
        </xdr:cNvPr>
        <xdr:cNvSpPr>
          <a:spLocks noChangeShapeType="1"/>
        </xdr:cNvSpPr>
      </xdr:nvSpPr>
      <xdr:spPr bwMode="auto">
        <a:xfrm>
          <a:off x="4762500" y="7524750"/>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58" name="Line 57">
          <a:extLst>
            <a:ext uri="{FF2B5EF4-FFF2-40B4-BE49-F238E27FC236}">
              <a16:creationId xmlns:a16="http://schemas.microsoft.com/office/drawing/2014/main" id="{96F4AA4D-058D-460B-8E83-CE9FD9DEAF1D}"/>
            </a:ext>
          </a:extLst>
        </xdr:cNvPr>
        <xdr:cNvSpPr>
          <a:spLocks noChangeShapeType="1"/>
        </xdr:cNvSpPr>
      </xdr:nvSpPr>
      <xdr:spPr bwMode="auto">
        <a:xfrm>
          <a:off x="4762500" y="10086975"/>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59" name="Line 58">
          <a:extLst>
            <a:ext uri="{FF2B5EF4-FFF2-40B4-BE49-F238E27FC236}">
              <a16:creationId xmlns:a16="http://schemas.microsoft.com/office/drawing/2014/main" id="{3FB14C51-3E72-43B8-8CED-E489247EA942}"/>
            </a:ext>
          </a:extLst>
        </xdr:cNvPr>
        <xdr:cNvSpPr>
          <a:spLocks noChangeShapeType="1"/>
        </xdr:cNvSpPr>
      </xdr:nvSpPr>
      <xdr:spPr bwMode="auto">
        <a:xfrm>
          <a:off x="4762500" y="120300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0" name="Line 59">
          <a:extLst>
            <a:ext uri="{FF2B5EF4-FFF2-40B4-BE49-F238E27FC236}">
              <a16:creationId xmlns:a16="http://schemas.microsoft.com/office/drawing/2014/main" id="{81FB2A5B-ADCA-4BDD-8B5A-ACB1BE6930A9}"/>
            </a:ext>
          </a:extLst>
        </xdr:cNvPr>
        <xdr:cNvSpPr>
          <a:spLocks noChangeShapeType="1"/>
        </xdr:cNvSpPr>
      </xdr:nvSpPr>
      <xdr:spPr bwMode="auto">
        <a:xfrm>
          <a:off x="10477500" y="120300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1" name="Line 60">
          <a:extLst>
            <a:ext uri="{FF2B5EF4-FFF2-40B4-BE49-F238E27FC236}">
              <a16:creationId xmlns:a16="http://schemas.microsoft.com/office/drawing/2014/main" id="{768C2555-A76A-45BC-81B2-163B4171687C}"/>
            </a:ext>
          </a:extLst>
        </xdr:cNvPr>
        <xdr:cNvSpPr>
          <a:spLocks noChangeShapeType="1"/>
        </xdr:cNvSpPr>
      </xdr:nvSpPr>
      <xdr:spPr bwMode="auto">
        <a:xfrm>
          <a:off x="4762500" y="121920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 name="Line 61">
          <a:extLst>
            <a:ext uri="{FF2B5EF4-FFF2-40B4-BE49-F238E27FC236}">
              <a16:creationId xmlns:a16="http://schemas.microsoft.com/office/drawing/2014/main" id="{74F3D452-B09F-4B7A-8F42-8F087B66328D}"/>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 name="Line 62">
          <a:extLst>
            <a:ext uri="{FF2B5EF4-FFF2-40B4-BE49-F238E27FC236}">
              <a16:creationId xmlns:a16="http://schemas.microsoft.com/office/drawing/2014/main" id="{16AA6FDB-DF11-43A7-9E8B-038FA601A46E}"/>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4" name="Line 63">
          <a:extLst>
            <a:ext uri="{FF2B5EF4-FFF2-40B4-BE49-F238E27FC236}">
              <a16:creationId xmlns:a16="http://schemas.microsoft.com/office/drawing/2014/main" id="{9B60227B-DA08-425A-96CB-027EED94DB19}"/>
            </a:ext>
          </a:extLst>
        </xdr:cNvPr>
        <xdr:cNvSpPr>
          <a:spLocks noChangeShapeType="1"/>
        </xdr:cNvSpPr>
      </xdr:nvSpPr>
      <xdr:spPr bwMode="auto">
        <a:xfrm>
          <a:off x="6905625" y="10896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5" name="Line 64">
          <a:extLst>
            <a:ext uri="{FF2B5EF4-FFF2-40B4-BE49-F238E27FC236}">
              <a16:creationId xmlns:a16="http://schemas.microsoft.com/office/drawing/2014/main" id="{B7DEC969-EABC-438E-8183-9F467E1E9223}"/>
            </a:ext>
          </a:extLst>
        </xdr:cNvPr>
        <xdr:cNvSpPr>
          <a:spLocks noChangeShapeType="1"/>
        </xdr:cNvSpPr>
      </xdr:nvSpPr>
      <xdr:spPr bwMode="auto">
        <a:xfrm>
          <a:off x="10477500" y="121920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6" name="Line 65">
          <a:extLst>
            <a:ext uri="{FF2B5EF4-FFF2-40B4-BE49-F238E27FC236}">
              <a16:creationId xmlns:a16="http://schemas.microsoft.com/office/drawing/2014/main" id="{B104324B-283D-4667-8BED-F336F3E35F17}"/>
            </a:ext>
          </a:extLst>
        </xdr:cNvPr>
        <xdr:cNvSpPr>
          <a:spLocks noChangeShapeType="1"/>
        </xdr:cNvSpPr>
      </xdr:nvSpPr>
      <xdr:spPr bwMode="auto">
        <a:xfrm>
          <a:off x="4762500" y="10896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7" name="Line 66">
          <a:extLst>
            <a:ext uri="{FF2B5EF4-FFF2-40B4-BE49-F238E27FC236}">
              <a16:creationId xmlns:a16="http://schemas.microsoft.com/office/drawing/2014/main" id="{707A461D-C8D7-4412-995C-01321741779B}"/>
            </a:ext>
          </a:extLst>
        </xdr:cNvPr>
        <xdr:cNvSpPr>
          <a:spLocks noChangeShapeType="1"/>
        </xdr:cNvSpPr>
      </xdr:nvSpPr>
      <xdr:spPr bwMode="auto">
        <a:xfrm>
          <a:off x="2619375" y="10896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8" name="Line 67">
          <a:extLst>
            <a:ext uri="{FF2B5EF4-FFF2-40B4-BE49-F238E27FC236}">
              <a16:creationId xmlns:a16="http://schemas.microsoft.com/office/drawing/2014/main" id="{BA5EC4DD-0D69-4E61-BA4D-D0FF8E23E873}"/>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9" name="Line 68">
          <a:extLst>
            <a:ext uri="{FF2B5EF4-FFF2-40B4-BE49-F238E27FC236}">
              <a16:creationId xmlns:a16="http://schemas.microsoft.com/office/drawing/2014/main" id="{028597DC-6CEC-4A09-933C-88F0E8F26359}"/>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0" name="Line 69">
          <a:extLst>
            <a:ext uri="{FF2B5EF4-FFF2-40B4-BE49-F238E27FC236}">
              <a16:creationId xmlns:a16="http://schemas.microsoft.com/office/drawing/2014/main" id="{E568F956-AFEB-42CC-BF3B-557485643EA2}"/>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1" name="Line 70">
          <a:extLst>
            <a:ext uri="{FF2B5EF4-FFF2-40B4-BE49-F238E27FC236}">
              <a16:creationId xmlns:a16="http://schemas.microsoft.com/office/drawing/2014/main" id="{07E78735-3CD5-4F69-A397-FBA2D5BEF418}"/>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72" name="Line 71">
          <a:extLst>
            <a:ext uri="{FF2B5EF4-FFF2-40B4-BE49-F238E27FC236}">
              <a16:creationId xmlns:a16="http://schemas.microsoft.com/office/drawing/2014/main" id="{7FE4F803-EA77-4B63-B52E-C78479CAE54E}"/>
            </a:ext>
          </a:extLst>
        </xdr:cNvPr>
        <xdr:cNvSpPr>
          <a:spLocks noChangeShapeType="1"/>
        </xdr:cNvSpPr>
      </xdr:nvSpPr>
      <xdr:spPr bwMode="auto">
        <a:xfrm>
          <a:off x="4762500" y="11868150"/>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73" name="Line 72">
          <a:extLst>
            <a:ext uri="{FF2B5EF4-FFF2-40B4-BE49-F238E27FC236}">
              <a16:creationId xmlns:a16="http://schemas.microsoft.com/office/drawing/2014/main" id="{4D07DBAD-C9C8-4C5F-93CA-C7E3B6E1EB34}"/>
            </a:ext>
          </a:extLst>
        </xdr:cNvPr>
        <xdr:cNvSpPr>
          <a:spLocks noChangeShapeType="1"/>
        </xdr:cNvSpPr>
      </xdr:nvSpPr>
      <xdr:spPr bwMode="auto">
        <a:xfrm>
          <a:off x="2619375" y="121920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74" name="Line 73">
          <a:extLst>
            <a:ext uri="{FF2B5EF4-FFF2-40B4-BE49-F238E27FC236}">
              <a16:creationId xmlns:a16="http://schemas.microsoft.com/office/drawing/2014/main" id="{DDEF0830-CECE-4815-BA13-D3DEC9BC7A1F}"/>
            </a:ext>
          </a:extLst>
        </xdr:cNvPr>
        <xdr:cNvSpPr>
          <a:spLocks noChangeShapeType="1"/>
        </xdr:cNvSpPr>
      </xdr:nvSpPr>
      <xdr:spPr bwMode="auto">
        <a:xfrm>
          <a:off x="4762500" y="13649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75" name="Line 74">
          <a:extLst>
            <a:ext uri="{FF2B5EF4-FFF2-40B4-BE49-F238E27FC236}">
              <a16:creationId xmlns:a16="http://schemas.microsoft.com/office/drawing/2014/main" id="{DAFE479A-7D1D-4E1A-A35E-2781F4255E76}"/>
            </a:ext>
          </a:extLst>
        </xdr:cNvPr>
        <xdr:cNvSpPr>
          <a:spLocks noChangeShapeType="1"/>
        </xdr:cNvSpPr>
      </xdr:nvSpPr>
      <xdr:spPr bwMode="auto">
        <a:xfrm>
          <a:off x="10477500" y="136493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6" name="Line 75">
          <a:extLst>
            <a:ext uri="{FF2B5EF4-FFF2-40B4-BE49-F238E27FC236}">
              <a16:creationId xmlns:a16="http://schemas.microsoft.com/office/drawing/2014/main" id="{A66EDC29-34F2-45B3-AE4B-5CE9F5AD1ECF}"/>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7" name="Line 76">
          <a:extLst>
            <a:ext uri="{FF2B5EF4-FFF2-40B4-BE49-F238E27FC236}">
              <a16:creationId xmlns:a16="http://schemas.microsoft.com/office/drawing/2014/main" id="{33CCE1FD-D1C9-469A-86CC-A36B307E840D}"/>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78" name="Line 77">
          <a:extLst>
            <a:ext uri="{FF2B5EF4-FFF2-40B4-BE49-F238E27FC236}">
              <a16:creationId xmlns:a16="http://schemas.microsoft.com/office/drawing/2014/main" id="{6A762929-2F8B-4734-B5C3-5632E2E4DD28}"/>
            </a:ext>
          </a:extLst>
        </xdr:cNvPr>
        <xdr:cNvSpPr>
          <a:spLocks noChangeShapeType="1"/>
        </xdr:cNvSpPr>
      </xdr:nvSpPr>
      <xdr:spPr bwMode="auto">
        <a:xfrm>
          <a:off x="6905625" y="125158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79" name="Line 78">
          <a:extLst>
            <a:ext uri="{FF2B5EF4-FFF2-40B4-BE49-F238E27FC236}">
              <a16:creationId xmlns:a16="http://schemas.microsoft.com/office/drawing/2014/main" id="{2549A143-1CF8-473E-A6E5-E045A782FD60}"/>
            </a:ext>
          </a:extLst>
        </xdr:cNvPr>
        <xdr:cNvSpPr>
          <a:spLocks noChangeShapeType="1"/>
        </xdr:cNvSpPr>
      </xdr:nvSpPr>
      <xdr:spPr bwMode="auto">
        <a:xfrm>
          <a:off x="4762500" y="125158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0" name="Line 79">
          <a:extLst>
            <a:ext uri="{FF2B5EF4-FFF2-40B4-BE49-F238E27FC236}">
              <a16:creationId xmlns:a16="http://schemas.microsoft.com/office/drawing/2014/main" id="{17238353-44C1-4E67-AC14-5E880D0FCD27}"/>
            </a:ext>
          </a:extLst>
        </xdr:cNvPr>
        <xdr:cNvSpPr>
          <a:spLocks noChangeShapeType="1"/>
        </xdr:cNvSpPr>
      </xdr:nvSpPr>
      <xdr:spPr bwMode="auto">
        <a:xfrm>
          <a:off x="2619375" y="12515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1" name="Line 80">
          <a:extLst>
            <a:ext uri="{FF2B5EF4-FFF2-40B4-BE49-F238E27FC236}">
              <a16:creationId xmlns:a16="http://schemas.microsoft.com/office/drawing/2014/main" id="{0BA30D3B-F8D3-4360-BE7A-B430809C1CBB}"/>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 name="Line 81">
          <a:extLst>
            <a:ext uri="{FF2B5EF4-FFF2-40B4-BE49-F238E27FC236}">
              <a16:creationId xmlns:a16="http://schemas.microsoft.com/office/drawing/2014/main" id="{AAD8437E-DA98-45D2-90D7-D652F50C862A}"/>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 name="Line 82">
          <a:extLst>
            <a:ext uri="{FF2B5EF4-FFF2-40B4-BE49-F238E27FC236}">
              <a16:creationId xmlns:a16="http://schemas.microsoft.com/office/drawing/2014/main" id="{C54B7B29-B97A-4817-97C1-6C882FD27A55}"/>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4" name="Line 83">
          <a:extLst>
            <a:ext uri="{FF2B5EF4-FFF2-40B4-BE49-F238E27FC236}">
              <a16:creationId xmlns:a16="http://schemas.microsoft.com/office/drawing/2014/main" id="{8ABEE657-505C-47FE-A431-2E188850A5D7}"/>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5" name="Line 84">
          <a:extLst>
            <a:ext uri="{FF2B5EF4-FFF2-40B4-BE49-F238E27FC236}">
              <a16:creationId xmlns:a16="http://schemas.microsoft.com/office/drawing/2014/main" id="{5A0F80C6-BCDA-47F5-84D6-0165D5EBE94A}"/>
            </a:ext>
          </a:extLst>
        </xdr:cNvPr>
        <xdr:cNvSpPr>
          <a:spLocks noChangeShapeType="1"/>
        </xdr:cNvSpPr>
      </xdr:nvSpPr>
      <xdr:spPr bwMode="auto">
        <a:xfrm>
          <a:off x="4762500" y="13487400"/>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6" name="Line 85">
          <a:extLst>
            <a:ext uri="{FF2B5EF4-FFF2-40B4-BE49-F238E27FC236}">
              <a16:creationId xmlns:a16="http://schemas.microsoft.com/office/drawing/2014/main" id="{07BC32DB-1473-458B-AE87-324D478B8452}"/>
            </a:ext>
          </a:extLst>
        </xdr:cNvPr>
        <xdr:cNvSpPr>
          <a:spLocks noChangeShapeType="1"/>
        </xdr:cNvSpPr>
      </xdr:nvSpPr>
      <xdr:spPr bwMode="auto">
        <a:xfrm>
          <a:off x="69056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7" name="Line 86">
          <a:extLst>
            <a:ext uri="{FF2B5EF4-FFF2-40B4-BE49-F238E27FC236}">
              <a16:creationId xmlns:a16="http://schemas.microsoft.com/office/drawing/2014/main" id="{7A608B16-B2C1-4F31-B3EB-735F81DA6707}"/>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8" name="Line 87">
          <a:extLst>
            <a:ext uri="{FF2B5EF4-FFF2-40B4-BE49-F238E27FC236}">
              <a16:creationId xmlns:a16="http://schemas.microsoft.com/office/drawing/2014/main" id="{8441408C-1694-4D3B-B6B5-C3B2B0BDFF4E}"/>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9" name="Line 88">
          <a:extLst>
            <a:ext uri="{FF2B5EF4-FFF2-40B4-BE49-F238E27FC236}">
              <a16:creationId xmlns:a16="http://schemas.microsoft.com/office/drawing/2014/main" id="{0CBD218A-3E1B-4851-9620-E63F00467E9D}"/>
            </a:ext>
          </a:extLst>
        </xdr:cNvPr>
        <xdr:cNvSpPr>
          <a:spLocks noChangeShapeType="1"/>
        </xdr:cNvSpPr>
      </xdr:nvSpPr>
      <xdr:spPr bwMode="auto">
        <a:xfrm>
          <a:off x="4762500" y="14944725"/>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90" name="Line 89">
          <a:extLst>
            <a:ext uri="{FF2B5EF4-FFF2-40B4-BE49-F238E27FC236}">
              <a16:creationId xmlns:a16="http://schemas.microsoft.com/office/drawing/2014/main" id="{21D8F8DC-3731-42D7-B338-12BC8B11661E}"/>
            </a:ext>
          </a:extLst>
        </xdr:cNvPr>
        <xdr:cNvSpPr>
          <a:spLocks noChangeShapeType="1"/>
        </xdr:cNvSpPr>
      </xdr:nvSpPr>
      <xdr:spPr bwMode="auto">
        <a:xfrm>
          <a:off x="4762500" y="7848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91" name="Line 90">
          <a:extLst>
            <a:ext uri="{FF2B5EF4-FFF2-40B4-BE49-F238E27FC236}">
              <a16:creationId xmlns:a16="http://schemas.microsoft.com/office/drawing/2014/main" id="{65A7CC89-163A-43DD-9846-C41B72D18125}"/>
            </a:ext>
          </a:extLst>
        </xdr:cNvPr>
        <xdr:cNvSpPr>
          <a:spLocks noChangeShapeType="1"/>
        </xdr:cNvSpPr>
      </xdr:nvSpPr>
      <xdr:spPr bwMode="auto">
        <a:xfrm>
          <a:off x="4762500" y="7686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92" name="Line 91">
          <a:extLst>
            <a:ext uri="{FF2B5EF4-FFF2-40B4-BE49-F238E27FC236}">
              <a16:creationId xmlns:a16="http://schemas.microsoft.com/office/drawing/2014/main" id="{90418679-E634-424A-A12B-635DB33AD9C3}"/>
            </a:ext>
          </a:extLst>
        </xdr:cNvPr>
        <xdr:cNvSpPr>
          <a:spLocks noChangeShapeType="1"/>
        </xdr:cNvSpPr>
      </xdr:nvSpPr>
      <xdr:spPr bwMode="auto">
        <a:xfrm>
          <a:off x="4762500" y="104108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93" name="Line 92">
          <a:extLst>
            <a:ext uri="{FF2B5EF4-FFF2-40B4-BE49-F238E27FC236}">
              <a16:creationId xmlns:a16="http://schemas.microsoft.com/office/drawing/2014/main" id="{41DA1A15-5BF0-457B-BF6B-2F72597F7B66}"/>
            </a:ext>
          </a:extLst>
        </xdr:cNvPr>
        <xdr:cNvSpPr>
          <a:spLocks noChangeShapeType="1"/>
        </xdr:cNvSpPr>
      </xdr:nvSpPr>
      <xdr:spPr bwMode="auto">
        <a:xfrm>
          <a:off x="4762500" y="102489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94" name="Line 93">
          <a:extLst>
            <a:ext uri="{FF2B5EF4-FFF2-40B4-BE49-F238E27FC236}">
              <a16:creationId xmlns:a16="http://schemas.microsoft.com/office/drawing/2014/main" id="{342A617D-6DE5-4D32-B5AC-228F76ECD56B}"/>
            </a:ext>
          </a:extLst>
        </xdr:cNvPr>
        <xdr:cNvSpPr>
          <a:spLocks noChangeShapeType="1"/>
        </xdr:cNvSpPr>
      </xdr:nvSpPr>
      <xdr:spPr bwMode="auto">
        <a:xfrm>
          <a:off x="6905625" y="57435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95" name="Line 94">
          <a:extLst>
            <a:ext uri="{FF2B5EF4-FFF2-40B4-BE49-F238E27FC236}">
              <a16:creationId xmlns:a16="http://schemas.microsoft.com/office/drawing/2014/main" id="{AEED4962-7B4A-480E-B184-566F527BA068}"/>
            </a:ext>
          </a:extLst>
        </xdr:cNvPr>
        <xdr:cNvSpPr>
          <a:spLocks noChangeShapeType="1"/>
        </xdr:cNvSpPr>
      </xdr:nvSpPr>
      <xdr:spPr bwMode="auto">
        <a:xfrm>
          <a:off x="6905625" y="55816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96" name="Line 95">
          <a:extLst>
            <a:ext uri="{FF2B5EF4-FFF2-40B4-BE49-F238E27FC236}">
              <a16:creationId xmlns:a16="http://schemas.microsoft.com/office/drawing/2014/main" id="{1732272A-F9D6-48A5-B374-561803738705}"/>
            </a:ext>
          </a:extLst>
        </xdr:cNvPr>
        <xdr:cNvSpPr>
          <a:spLocks noChangeShapeType="1"/>
        </xdr:cNvSpPr>
      </xdr:nvSpPr>
      <xdr:spPr bwMode="auto">
        <a:xfrm>
          <a:off x="6905625" y="7848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97" name="Line 96">
          <a:extLst>
            <a:ext uri="{FF2B5EF4-FFF2-40B4-BE49-F238E27FC236}">
              <a16:creationId xmlns:a16="http://schemas.microsoft.com/office/drawing/2014/main" id="{9EF32F2C-ED19-47C3-BD29-8E8C25F994A3}"/>
            </a:ext>
          </a:extLst>
        </xdr:cNvPr>
        <xdr:cNvSpPr>
          <a:spLocks noChangeShapeType="1"/>
        </xdr:cNvSpPr>
      </xdr:nvSpPr>
      <xdr:spPr bwMode="auto">
        <a:xfrm>
          <a:off x="6905625" y="76866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98" name="Line 97">
          <a:extLst>
            <a:ext uri="{FF2B5EF4-FFF2-40B4-BE49-F238E27FC236}">
              <a16:creationId xmlns:a16="http://schemas.microsoft.com/office/drawing/2014/main" id="{51046457-FBE7-46F6-A122-A9A29DA03756}"/>
            </a:ext>
          </a:extLst>
        </xdr:cNvPr>
        <xdr:cNvSpPr>
          <a:spLocks noChangeShapeType="1"/>
        </xdr:cNvSpPr>
      </xdr:nvSpPr>
      <xdr:spPr bwMode="auto">
        <a:xfrm>
          <a:off x="6905625" y="104108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99" name="Line 98">
          <a:extLst>
            <a:ext uri="{FF2B5EF4-FFF2-40B4-BE49-F238E27FC236}">
              <a16:creationId xmlns:a16="http://schemas.microsoft.com/office/drawing/2014/main" id="{CDA89CDC-A2B5-4C3B-B578-A69422C86EDF}"/>
            </a:ext>
          </a:extLst>
        </xdr:cNvPr>
        <xdr:cNvSpPr>
          <a:spLocks noChangeShapeType="1"/>
        </xdr:cNvSpPr>
      </xdr:nvSpPr>
      <xdr:spPr bwMode="auto">
        <a:xfrm>
          <a:off x="6905625" y="102489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0" name="Line 99">
          <a:extLst>
            <a:ext uri="{FF2B5EF4-FFF2-40B4-BE49-F238E27FC236}">
              <a16:creationId xmlns:a16="http://schemas.microsoft.com/office/drawing/2014/main" id="{8323060E-91B6-4EAD-BA35-E27523AFBB75}"/>
            </a:ext>
          </a:extLst>
        </xdr:cNvPr>
        <xdr:cNvSpPr>
          <a:spLocks noChangeShapeType="1"/>
        </xdr:cNvSpPr>
      </xdr:nvSpPr>
      <xdr:spPr bwMode="auto">
        <a:xfrm>
          <a:off x="6905625" y="121920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1" name="Line 100">
          <a:extLst>
            <a:ext uri="{FF2B5EF4-FFF2-40B4-BE49-F238E27FC236}">
              <a16:creationId xmlns:a16="http://schemas.microsoft.com/office/drawing/2014/main" id="{86880BA0-EB9F-4FD3-BCE2-ECB6206B7DEE}"/>
            </a:ext>
          </a:extLst>
        </xdr:cNvPr>
        <xdr:cNvSpPr>
          <a:spLocks noChangeShapeType="1"/>
        </xdr:cNvSpPr>
      </xdr:nvSpPr>
      <xdr:spPr bwMode="auto">
        <a:xfrm>
          <a:off x="6905625" y="120300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2" name="Line 101">
          <a:extLst>
            <a:ext uri="{FF2B5EF4-FFF2-40B4-BE49-F238E27FC236}">
              <a16:creationId xmlns:a16="http://schemas.microsoft.com/office/drawing/2014/main" id="{F6951A41-30FC-4E01-9063-4BEAC7D76BA2}"/>
            </a:ext>
          </a:extLst>
        </xdr:cNvPr>
        <xdr:cNvSpPr>
          <a:spLocks noChangeShapeType="1"/>
        </xdr:cNvSpPr>
      </xdr:nvSpPr>
      <xdr:spPr bwMode="auto">
        <a:xfrm>
          <a:off x="6905625" y="136493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 name="Line 103">
          <a:extLst>
            <a:ext uri="{FF2B5EF4-FFF2-40B4-BE49-F238E27FC236}">
              <a16:creationId xmlns:a16="http://schemas.microsoft.com/office/drawing/2014/main" id="{BB1C8C6E-1C6A-4736-A331-ABF52671A7DF}"/>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 name="Line 107">
          <a:extLst>
            <a:ext uri="{FF2B5EF4-FFF2-40B4-BE49-F238E27FC236}">
              <a16:creationId xmlns:a16="http://schemas.microsoft.com/office/drawing/2014/main" id="{B746A3DE-CD18-47CE-B6D3-1B6EB1822E5B}"/>
            </a:ext>
          </a:extLst>
        </xdr:cNvPr>
        <xdr:cNvSpPr>
          <a:spLocks noChangeShapeType="1"/>
        </xdr:cNvSpPr>
      </xdr:nvSpPr>
      <xdr:spPr bwMode="auto">
        <a:xfrm>
          <a:off x="69056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5" name="Line 108">
          <a:extLst>
            <a:ext uri="{FF2B5EF4-FFF2-40B4-BE49-F238E27FC236}">
              <a16:creationId xmlns:a16="http://schemas.microsoft.com/office/drawing/2014/main" id="{BA32E6F6-93B9-4E1A-BB47-0BAFD893D4BF}"/>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6" name="Line 109">
          <a:extLst>
            <a:ext uri="{FF2B5EF4-FFF2-40B4-BE49-F238E27FC236}">
              <a16:creationId xmlns:a16="http://schemas.microsoft.com/office/drawing/2014/main" id="{6C798A13-2E53-434D-9A4C-1FCF2B8ED532}"/>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7" name="Line 110">
          <a:extLst>
            <a:ext uri="{FF2B5EF4-FFF2-40B4-BE49-F238E27FC236}">
              <a16:creationId xmlns:a16="http://schemas.microsoft.com/office/drawing/2014/main" id="{0E8856DB-EDF8-4071-A3E8-A03D4ADD22DB}"/>
            </a:ext>
          </a:extLst>
        </xdr:cNvPr>
        <xdr:cNvSpPr>
          <a:spLocks noChangeShapeType="1"/>
        </xdr:cNvSpPr>
      </xdr:nvSpPr>
      <xdr:spPr bwMode="auto">
        <a:xfrm>
          <a:off x="4762500" y="14944725"/>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8" name="Line 111">
          <a:extLst>
            <a:ext uri="{FF2B5EF4-FFF2-40B4-BE49-F238E27FC236}">
              <a16:creationId xmlns:a16="http://schemas.microsoft.com/office/drawing/2014/main" id="{E9B1877D-33F2-4051-9A31-9B7561322FDF}"/>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9" name="Line 112">
          <a:extLst>
            <a:ext uri="{FF2B5EF4-FFF2-40B4-BE49-F238E27FC236}">
              <a16:creationId xmlns:a16="http://schemas.microsoft.com/office/drawing/2014/main" id="{10FB2136-857D-4A72-8719-53784819DAF6}"/>
            </a:ext>
          </a:extLst>
        </xdr:cNvPr>
        <xdr:cNvSpPr>
          <a:spLocks noChangeShapeType="1"/>
        </xdr:cNvSpPr>
      </xdr:nvSpPr>
      <xdr:spPr bwMode="auto">
        <a:xfrm>
          <a:off x="69056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10" name="Line 113">
          <a:extLst>
            <a:ext uri="{FF2B5EF4-FFF2-40B4-BE49-F238E27FC236}">
              <a16:creationId xmlns:a16="http://schemas.microsoft.com/office/drawing/2014/main" id="{F405D09E-D669-4815-82A2-166976DDA61C}"/>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11" name="Line 114">
          <a:extLst>
            <a:ext uri="{FF2B5EF4-FFF2-40B4-BE49-F238E27FC236}">
              <a16:creationId xmlns:a16="http://schemas.microsoft.com/office/drawing/2014/main" id="{95BA42A7-7F4B-4570-9771-55EC51DA124F}"/>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12" name="Line 115">
          <a:extLst>
            <a:ext uri="{FF2B5EF4-FFF2-40B4-BE49-F238E27FC236}">
              <a16:creationId xmlns:a16="http://schemas.microsoft.com/office/drawing/2014/main" id="{325EE8C2-9E4E-4D5B-A77C-0DC32A5064A4}"/>
            </a:ext>
          </a:extLst>
        </xdr:cNvPr>
        <xdr:cNvSpPr>
          <a:spLocks noChangeShapeType="1"/>
        </xdr:cNvSpPr>
      </xdr:nvSpPr>
      <xdr:spPr bwMode="auto">
        <a:xfrm>
          <a:off x="4762500" y="14944725"/>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386080</xdr:colOff>
      <xdr:row>93</xdr:row>
      <xdr:rowOff>10160</xdr:rowOff>
    </xdr:from>
    <xdr:to>
      <xdr:col>4</xdr:col>
      <xdr:colOff>363220</xdr:colOff>
      <xdr:row>93</xdr:row>
      <xdr:rowOff>10160</xdr:rowOff>
    </xdr:to>
    <xdr:sp macro="" textlink="">
      <xdr:nvSpPr>
        <xdr:cNvPr id="113" name="Line 116">
          <a:extLst>
            <a:ext uri="{FF2B5EF4-FFF2-40B4-BE49-F238E27FC236}">
              <a16:creationId xmlns:a16="http://schemas.microsoft.com/office/drawing/2014/main" id="{37531771-FCEA-4846-9D47-60BF7958C91B}"/>
            </a:ext>
          </a:extLst>
        </xdr:cNvPr>
        <xdr:cNvSpPr>
          <a:spLocks noChangeShapeType="1"/>
        </xdr:cNvSpPr>
      </xdr:nvSpPr>
      <xdr:spPr bwMode="auto">
        <a:xfrm>
          <a:off x="3005455" y="15926435"/>
          <a:ext cx="69151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4" name="Line 75">
          <a:extLst>
            <a:ext uri="{FF2B5EF4-FFF2-40B4-BE49-F238E27FC236}">
              <a16:creationId xmlns:a16="http://schemas.microsoft.com/office/drawing/2014/main" id="{DAC009AA-0B55-4793-A359-4C375F4AF09B}"/>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15" name="Line 87">
          <a:extLst>
            <a:ext uri="{FF2B5EF4-FFF2-40B4-BE49-F238E27FC236}">
              <a16:creationId xmlns:a16="http://schemas.microsoft.com/office/drawing/2014/main" id="{6643AD05-EB63-42EC-BCDD-DB386BB4007A}"/>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16" name="Line 75">
          <a:extLst>
            <a:ext uri="{FF2B5EF4-FFF2-40B4-BE49-F238E27FC236}">
              <a16:creationId xmlns:a16="http://schemas.microsoft.com/office/drawing/2014/main" id="{5CB91E29-1A38-45D0-A2C3-1D5E1FD9BA7C}"/>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17" name="Line 79">
          <a:extLst>
            <a:ext uri="{FF2B5EF4-FFF2-40B4-BE49-F238E27FC236}">
              <a16:creationId xmlns:a16="http://schemas.microsoft.com/office/drawing/2014/main" id="{D72D3221-74C7-4299-A853-5A9683D507A6}"/>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18" name="Line 87">
          <a:extLst>
            <a:ext uri="{FF2B5EF4-FFF2-40B4-BE49-F238E27FC236}">
              <a16:creationId xmlns:a16="http://schemas.microsoft.com/office/drawing/2014/main" id="{BC4360A9-ECF1-42DE-879E-29C7512FC8CE}"/>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9" name="Line 75">
          <a:extLst>
            <a:ext uri="{FF2B5EF4-FFF2-40B4-BE49-F238E27FC236}">
              <a16:creationId xmlns:a16="http://schemas.microsoft.com/office/drawing/2014/main" id="{F04262FC-2D7B-4FF7-8D29-1938DC636E3B}"/>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0" name="Line 87">
          <a:extLst>
            <a:ext uri="{FF2B5EF4-FFF2-40B4-BE49-F238E27FC236}">
              <a16:creationId xmlns:a16="http://schemas.microsoft.com/office/drawing/2014/main" id="{52FE6D5D-D1C6-42A9-AED1-DD3C56A0DECA}"/>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1" name="Line 75">
          <a:extLst>
            <a:ext uri="{FF2B5EF4-FFF2-40B4-BE49-F238E27FC236}">
              <a16:creationId xmlns:a16="http://schemas.microsoft.com/office/drawing/2014/main" id="{258C2587-B471-41B7-B901-A4CE2AD0874E}"/>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2" name="Line 79">
          <a:extLst>
            <a:ext uri="{FF2B5EF4-FFF2-40B4-BE49-F238E27FC236}">
              <a16:creationId xmlns:a16="http://schemas.microsoft.com/office/drawing/2014/main" id="{8ADFD8DD-6D82-42E4-8546-778F4A79BC32}"/>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3" name="Line 87">
          <a:extLst>
            <a:ext uri="{FF2B5EF4-FFF2-40B4-BE49-F238E27FC236}">
              <a16:creationId xmlns:a16="http://schemas.microsoft.com/office/drawing/2014/main" id="{5515AEC7-E8DB-43E1-9A1F-47D5BB36661B}"/>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 name="Line 1">
          <a:extLst>
            <a:ext uri="{FF2B5EF4-FFF2-40B4-BE49-F238E27FC236}">
              <a16:creationId xmlns:a16="http://schemas.microsoft.com/office/drawing/2014/main" id="{1FC78E12-D513-42BD-B343-953DC047CF8C}"/>
            </a:ext>
          </a:extLst>
        </xdr:cNvPr>
        <xdr:cNvSpPr>
          <a:spLocks noChangeShapeType="1"/>
        </xdr:cNvSpPr>
      </xdr:nvSpPr>
      <xdr:spPr bwMode="auto">
        <a:xfrm>
          <a:off x="4762500" y="55816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3" name="Line 2">
          <a:extLst>
            <a:ext uri="{FF2B5EF4-FFF2-40B4-BE49-F238E27FC236}">
              <a16:creationId xmlns:a16="http://schemas.microsoft.com/office/drawing/2014/main" id="{EE20AEB2-D021-41BF-8A2D-2FCE8F3C70D8}"/>
            </a:ext>
          </a:extLst>
        </xdr:cNvPr>
        <xdr:cNvSpPr>
          <a:spLocks noChangeShapeType="1"/>
        </xdr:cNvSpPr>
      </xdr:nvSpPr>
      <xdr:spPr bwMode="auto">
        <a:xfrm>
          <a:off x="4762500" y="57435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 name="Line 3">
          <a:extLst>
            <a:ext uri="{FF2B5EF4-FFF2-40B4-BE49-F238E27FC236}">
              <a16:creationId xmlns:a16="http://schemas.microsoft.com/office/drawing/2014/main" id="{66BE9F6D-0AC4-4D21-91D2-76998D843AFE}"/>
            </a:ext>
          </a:extLst>
        </xdr:cNvPr>
        <xdr:cNvSpPr>
          <a:spLocks noChangeShapeType="1"/>
        </xdr:cNvSpPr>
      </xdr:nvSpPr>
      <xdr:spPr bwMode="auto">
        <a:xfrm>
          <a:off x="4762500" y="4448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5" name="Line 4">
          <a:extLst>
            <a:ext uri="{FF2B5EF4-FFF2-40B4-BE49-F238E27FC236}">
              <a16:creationId xmlns:a16="http://schemas.microsoft.com/office/drawing/2014/main" id="{138A3D85-19B7-4D06-B9FB-15EA7877C2BE}"/>
            </a:ext>
          </a:extLst>
        </xdr:cNvPr>
        <xdr:cNvSpPr>
          <a:spLocks noChangeShapeType="1"/>
        </xdr:cNvSpPr>
      </xdr:nvSpPr>
      <xdr:spPr bwMode="auto">
        <a:xfrm>
          <a:off x="6905625" y="44481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 name="Line 5">
          <a:extLst>
            <a:ext uri="{FF2B5EF4-FFF2-40B4-BE49-F238E27FC236}">
              <a16:creationId xmlns:a16="http://schemas.microsoft.com/office/drawing/2014/main" id="{7C4EDF92-1119-44F4-8113-D57B7AE4B44D}"/>
            </a:ext>
          </a:extLst>
        </xdr:cNvPr>
        <xdr:cNvSpPr>
          <a:spLocks noChangeShapeType="1"/>
        </xdr:cNvSpPr>
      </xdr:nvSpPr>
      <xdr:spPr bwMode="auto">
        <a:xfrm>
          <a:off x="10477500" y="558165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7" name="Line 6">
          <a:extLst>
            <a:ext uri="{FF2B5EF4-FFF2-40B4-BE49-F238E27FC236}">
              <a16:creationId xmlns:a16="http://schemas.microsoft.com/office/drawing/2014/main" id="{003B23F4-DF62-445F-B8E8-23AEB731AD25}"/>
            </a:ext>
          </a:extLst>
        </xdr:cNvPr>
        <xdr:cNvSpPr>
          <a:spLocks noChangeShapeType="1"/>
        </xdr:cNvSpPr>
      </xdr:nvSpPr>
      <xdr:spPr bwMode="auto">
        <a:xfrm>
          <a:off x="10477500" y="57435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 name="Line 7">
          <a:extLst>
            <a:ext uri="{FF2B5EF4-FFF2-40B4-BE49-F238E27FC236}">
              <a16:creationId xmlns:a16="http://schemas.microsoft.com/office/drawing/2014/main" id="{FBB6302F-94EA-47B6-A2E4-3CA842E035E9}"/>
            </a:ext>
          </a:extLst>
        </xdr:cNvPr>
        <xdr:cNvSpPr>
          <a:spLocks noChangeShapeType="1"/>
        </xdr:cNvSpPr>
      </xdr:nvSpPr>
      <xdr:spPr bwMode="auto">
        <a:xfrm>
          <a:off x="4762500" y="590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9" name="Line 8">
          <a:extLst>
            <a:ext uri="{FF2B5EF4-FFF2-40B4-BE49-F238E27FC236}">
              <a16:creationId xmlns:a16="http://schemas.microsoft.com/office/drawing/2014/main" id="{1C070520-9A1E-4601-9E6E-9F946AEF8FE2}"/>
            </a:ext>
          </a:extLst>
        </xdr:cNvPr>
        <xdr:cNvSpPr>
          <a:spLocks noChangeShapeType="1"/>
        </xdr:cNvSpPr>
      </xdr:nvSpPr>
      <xdr:spPr bwMode="auto">
        <a:xfrm>
          <a:off x="4762500" y="6067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 name="Line 9">
          <a:extLst>
            <a:ext uri="{FF2B5EF4-FFF2-40B4-BE49-F238E27FC236}">
              <a16:creationId xmlns:a16="http://schemas.microsoft.com/office/drawing/2014/main" id="{DD53687A-2697-4925-A486-0052C9B78EB4}"/>
            </a:ext>
          </a:extLst>
        </xdr:cNvPr>
        <xdr:cNvSpPr>
          <a:spLocks noChangeShapeType="1"/>
        </xdr:cNvSpPr>
      </xdr:nvSpPr>
      <xdr:spPr bwMode="auto">
        <a:xfrm>
          <a:off x="4762500" y="62293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1" name="Line 10">
          <a:extLst>
            <a:ext uri="{FF2B5EF4-FFF2-40B4-BE49-F238E27FC236}">
              <a16:creationId xmlns:a16="http://schemas.microsoft.com/office/drawing/2014/main" id="{784A3705-7F63-472B-8FD5-F4A518A1BDE8}"/>
            </a:ext>
          </a:extLst>
        </xdr:cNvPr>
        <xdr:cNvSpPr>
          <a:spLocks noChangeShapeType="1"/>
        </xdr:cNvSpPr>
      </xdr:nvSpPr>
      <xdr:spPr bwMode="auto">
        <a:xfrm>
          <a:off x="6905625"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 name="Line 11">
          <a:extLst>
            <a:ext uri="{FF2B5EF4-FFF2-40B4-BE49-F238E27FC236}">
              <a16:creationId xmlns:a16="http://schemas.microsoft.com/office/drawing/2014/main" id="{1F2DF0DB-E446-4D88-9558-0E844CD34371}"/>
            </a:ext>
          </a:extLst>
        </xdr:cNvPr>
        <xdr:cNvSpPr>
          <a:spLocks noChangeShapeType="1"/>
        </xdr:cNvSpPr>
      </xdr:nvSpPr>
      <xdr:spPr bwMode="auto">
        <a:xfrm>
          <a:off x="6905625"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3" name="Line 12">
          <a:extLst>
            <a:ext uri="{FF2B5EF4-FFF2-40B4-BE49-F238E27FC236}">
              <a16:creationId xmlns:a16="http://schemas.microsoft.com/office/drawing/2014/main" id="{BD9A931F-DBCD-46D3-B6CA-33A474DC427E}"/>
            </a:ext>
          </a:extLst>
        </xdr:cNvPr>
        <xdr:cNvSpPr>
          <a:spLocks noChangeShapeType="1"/>
        </xdr:cNvSpPr>
      </xdr:nvSpPr>
      <xdr:spPr bwMode="auto">
        <a:xfrm>
          <a:off x="6905625"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 name="Line 13">
          <a:extLst>
            <a:ext uri="{FF2B5EF4-FFF2-40B4-BE49-F238E27FC236}">
              <a16:creationId xmlns:a16="http://schemas.microsoft.com/office/drawing/2014/main" id="{EF51D30B-0766-4C1B-B5AC-C60E37FEF232}"/>
            </a:ext>
          </a:extLst>
        </xdr:cNvPr>
        <xdr:cNvSpPr>
          <a:spLocks noChangeShapeType="1"/>
        </xdr:cNvSpPr>
      </xdr:nvSpPr>
      <xdr:spPr bwMode="auto">
        <a:xfrm>
          <a:off x="10477500"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5" name="Line 14">
          <a:extLst>
            <a:ext uri="{FF2B5EF4-FFF2-40B4-BE49-F238E27FC236}">
              <a16:creationId xmlns:a16="http://schemas.microsoft.com/office/drawing/2014/main" id="{CC1F32D0-4842-4177-B7E1-3B844F568C15}"/>
            </a:ext>
          </a:extLst>
        </xdr:cNvPr>
        <xdr:cNvSpPr>
          <a:spLocks noChangeShapeType="1"/>
        </xdr:cNvSpPr>
      </xdr:nvSpPr>
      <xdr:spPr bwMode="auto">
        <a:xfrm>
          <a:off x="10477500"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6" name="Line 15">
          <a:extLst>
            <a:ext uri="{FF2B5EF4-FFF2-40B4-BE49-F238E27FC236}">
              <a16:creationId xmlns:a16="http://schemas.microsoft.com/office/drawing/2014/main" id="{B8B91BC4-E708-483D-83BE-6DE7433BD3C3}"/>
            </a:ext>
          </a:extLst>
        </xdr:cNvPr>
        <xdr:cNvSpPr>
          <a:spLocks noChangeShapeType="1"/>
        </xdr:cNvSpPr>
      </xdr:nvSpPr>
      <xdr:spPr bwMode="auto">
        <a:xfrm>
          <a:off x="10477500"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7" name="Line 16">
          <a:extLst>
            <a:ext uri="{FF2B5EF4-FFF2-40B4-BE49-F238E27FC236}">
              <a16:creationId xmlns:a16="http://schemas.microsoft.com/office/drawing/2014/main" id="{0A70563E-2ADD-437A-BF3A-87577F666CB2}"/>
            </a:ext>
          </a:extLst>
        </xdr:cNvPr>
        <xdr:cNvSpPr>
          <a:spLocks noChangeShapeType="1"/>
        </xdr:cNvSpPr>
      </xdr:nvSpPr>
      <xdr:spPr bwMode="auto">
        <a:xfrm>
          <a:off x="10477500" y="76866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8" name="Line 17">
          <a:extLst>
            <a:ext uri="{FF2B5EF4-FFF2-40B4-BE49-F238E27FC236}">
              <a16:creationId xmlns:a16="http://schemas.microsoft.com/office/drawing/2014/main" id="{9682054C-430D-41B5-8911-4B389AF61A10}"/>
            </a:ext>
          </a:extLst>
        </xdr:cNvPr>
        <xdr:cNvSpPr>
          <a:spLocks noChangeShapeType="1"/>
        </xdr:cNvSpPr>
      </xdr:nvSpPr>
      <xdr:spPr bwMode="auto">
        <a:xfrm>
          <a:off x="2619375" y="4448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9" name="Line 18">
          <a:extLst>
            <a:ext uri="{FF2B5EF4-FFF2-40B4-BE49-F238E27FC236}">
              <a16:creationId xmlns:a16="http://schemas.microsoft.com/office/drawing/2014/main" id="{C51FD514-7F40-4251-9D57-C06CC2FF4125}"/>
            </a:ext>
          </a:extLst>
        </xdr:cNvPr>
        <xdr:cNvSpPr>
          <a:spLocks noChangeShapeType="1"/>
        </xdr:cNvSpPr>
      </xdr:nvSpPr>
      <xdr:spPr bwMode="auto">
        <a:xfrm>
          <a:off x="2619375" y="55816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0" name="Line 19">
          <a:extLst>
            <a:ext uri="{FF2B5EF4-FFF2-40B4-BE49-F238E27FC236}">
              <a16:creationId xmlns:a16="http://schemas.microsoft.com/office/drawing/2014/main" id="{C8373129-4A30-4D0A-8664-37219D45D433}"/>
            </a:ext>
          </a:extLst>
        </xdr:cNvPr>
        <xdr:cNvSpPr>
          <a:spLocks noChangeShapeType="1"/>
        </xdr:cNvSpPr>
      </xdr:nvSpPr>
      <xdr:spPr bwMode="auto">
        <a:xfrm>
          <a:off x="2619375" y="57435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1" name="Line 20">
          <a:extLst>
            <a:ext uri="{FF2B5EF4-FFF2-40B4-BE49-F238E27FC236}">
              <a16:creationId xmlns:a16="http://schemas.microsoft.com/office/drawing/2014/main" id="{184F75D5-938E-48D5-90FE-4F0A0DBDB74B}"/>
            </a:ext>
          </a:extLst>
        </xdr:cNvPr>
        <xdr:cNvSpPr>
          <a:spLocks noChangeShapeType="1"/>
        </xdr:cNvSpPr>
      </xdr:nvSpPr>
      <xdr:spPr bwMode="auto">
        <a:xfrm>
          <a:off x="2619375" y="59055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2" name="Line 21">
          <a:extLst>
            <a:ext uri="{FF2B5EF4-FFF2-40B4-BE49-F238E27FC236}">
              <a16:creationId xmlns:a16="http://schemas.microsoft.com/office/drawing/2014/main" id="{C94FC69B-23E7-4C7E-AD41-B8E4B6A756E2}"/>
            </a:ext>
          </a:extLst>
        </xdr:cNvPr>
        <xdr:cNvSpPr>
          <a:spLocks noChangeShapeType="1"/>
        </xdr:cNvSpPr>
      </xdr:nvSpPr>
      <xdr:spPr bwMode="auto">
        <a:xfrm>
          <a:off x="2619375" y="6067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3" name="Line 22">
          <a:extLst>
            <a:ext uri="{FF2B5EF4-FFF2-40B4-BE49-F238E27FC236}">
              <a16:creationId xmlns:a16="http://schemas.microsoft.com/office/drawing/2014/main" id="{2575EB58-3D4B-47CD-A254-E98C166906C7}"/>
            </a:ext>
          </a:extLst>
        </xdr:cNvPr>
        <xdr:cNvSpPr>
          <a:spLocks noChangeShapeType="1"/>
        </xdr:cNvSpPr>
      </xdr:nvSpPr>
      <xdr:spPr bwMode="auto">
        <a:xfrm>
          <a:off x="2619375" y="62293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4" name="Line 23">
          <a:extLst>
            <a:ext uri="{FF2B5EF4-FFF2-40B4-BE49-F238E27FC236}">
              <a16:creationId xmlns:a16="http://schemas.microsoft.com/office/drawing/2014/main" id="{5472EB30-3B7F-42B7-8E5B-6F054724AFBC}"/>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5" name="Line 24">
          <a:extLst>
            <a:ext uri="{FF2B5EF4-FFF2-40B4-BE49-F238E27FC236}">
              <a16:creationId xmlns:a16="http://schemas.microsoft.com/office/drawing/2014/main" id="{313C0689-C6B2-4969-8611-AC2E82D3E4F0}"/>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6" name="Line 25">
          <a:extLst>
            <a:ext uri="{FF2B5EF4-FFF2-40B4-BE49-F238E27FC236}">
              <a16:creationId xmlns:a16="http://schemas.microsoft.com/office/drawing/2014/main" id="{3B7B5545-D610-4E3E-9ACD-85585601E55C}"/>
            </a:ext>
          </a:extLst>
        </xdr:cNvPr>
        <xdr:cNvSpPr>
          <a:spLocks noChangeShapeType="1"/>
        </xdr:cNvSpPr>
      </xdr:nvSpPr>
      <xdr:spPr bwMode="auto">
        <a:xfrm>
          <a:off x="6905625" y="65532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7" name="Line 26">
          <a:extLst>
            <a:ext uri="{FF2B5EF4-FFF2-40B4-BE49-F238E27FC236}">
              <a16:creationId xmlns:a16="http://schemas.microsoft.com/office/drawing/2014/main" id="{C7963F58-2F00-42F8-8105-3C56C2B096AC}"/>
            </a:ext>
          </a:extLst>
        </xdr:cNvPr>
        <xdr:cNvSpPr>
          <a:spLocks noChangeShapeType="1"/>
        </xdr:cNvSpPr>
      </xdr:nvSpPr>
      <xdr:spPr bwMode="auto">
        <a:xfrm>
          <a:off x="10477500" y="78486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8" name="Line 27">
          <a:extLst>
            <a:ext uri="{FF2B5EF4-FFF2-40B4-BE49-F238E27FC236}">
              <a16:creationId xmlns:a16="http://schemas.microsoft.com/office/drawing/2014/main" id="{4D722931-D39A-47BC-9906-ED546AD58039}"/>
            </a:ext>
          </a:extLst>
        </xdr:cNvPr>
        <xdr:cNvSpPr>
          <a:spLocks noChangeShapeType="1"/>
        </xdr:cNvSpPr>
      </xdr:nvSpPr>
      <xdr:spPr bwMode="auto">
        <a:xfrm>
          <a:off x="4762500" y="65532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9" name="Line 28">
          <a:extLst>
            <a:ext uri="{FF2B5EF4-FFF2-40B4-BE49-F238E27FC236}">
              <a16:creationId xmlns:a16="http://schemas.microsoft.com/office/drawing/2014/main" id="{53FC7906-6771-4AB7-B5CD-E832649A0D69}"/>
            </a:ext>
          </a:extLst>
        </xdr:cNvPr>
        <xdr:cNvSpPr>
          <a:spLocks noChangeShapeType="1"/>
        </xdr:cNvSpPr>
      </xdr:nvSpPr>
      <xdr:spPr bwMode="auto">
        <a:xfrm>
          <a:off x="4762500" y="80105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30" name="Line 29">
          <a:extLst>
            <a:ext uri="{FF2B5EF4-FFF2-40B4-BE49-F238E27FC236}">
              <a16:creationId xmlns:a16="http://schemas.microsoft.com/office/drawing/2014/main" id="{67251600-16EE-4D2E-BBC3-A6A6F79C98A5}"/>
            </a:ext>
          </a:extLst>
        </xdr:cNvPr>
        <xdr:cNvSpPr>
          <a:spLocks noChangeShapeType="1"/>
        </xdr:cNvSpPr>
      </xdr:nvSpPr>
      <xdr:spPr bwMode="auto">
        <a:xfrm>
          <a:off x="6905625"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31" name="Line 30">
          <a:extLst>
            <a:ext uri="{FF2B5EF4-FFF2-40B4-BE49-F238E27FC236}">
              <a16:creationId xmlns:a16="http://schemas.microsoft.com/office/drawing/2014/main" id="{C347AAF7-798C-4EED-ADE3-7F383AB6D5FA}"/>
            </a:ext>
          </a:extLst>
        </xdr:cNvPr>
        <xdr:cNvSpPr>
          <a:spLocks noChangeShapeType="1"/>
        </xdr:cNvSpPr>
      </xdr:nvSpPr>
      <xdr:spPr bwMode="auto">
        <a:xfrm>
          <a:off x="6905625"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32" name="Line 31">
          <a:extLst>
            <a:ext uri="{FF2B5EF4-FFF2-40B4-BE49-F238E27FC236}">
              <a16:creationId xmlns:a16="http://schemas.microsoft.com/office/drawing/2014/main" id="{2EFC06D9-FA9A-4EF0-BF67-A84D6816805A}"/>
            </a:ext>
          </a:extLst>
        </xdr:cNvPr>
        <xdr:cNvSpPr>
          <a:spLocks noChangeShapeType="1"/>
        </xdr:cNvSpPr>
      </xdr:nvSpPr>
      <xdr:spPr bwMode="auto">
        <a:xfrm>
          <a:off x="10477500"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33" name="Line 32">
          <a:extLst>
            <a:ext uri="{FF2B5EF4-FFF2-40B4-BE49-F238E27FC236}">
              <a16:creationId xmlns:a16="http://schemas.microsoft.com/office/drawing/2014/main" id="{34B53A76-B6A7-4361-93CF-EBFBE9006864}"/>
            </a:ext>
          </a:extLst>
        </xdr:cNvPr>
        <xdr:cNvSpPr>
          <a:spLocks noChangeShapeType="1"/>
        </xdr:cNvSpPr>
      </xdr:nvSpPr>
      <xdr:spPr bwMode="auto">
        <a:xfrm>
          <a:off x="10477500"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34" name="Line 33">
          <a:extLst>
            <a:ext uri="{FF2B5EF4-FFF2-40B4-BE49-F238E27FC236}">
              <a16:creationId xmlns:a16="http://schemas.microsoft.com/office/drawing/2014/main" id="{74FD364D-F27F-40DD-A079-508419BC1A28}"/>
            </a:ext>
          </a:extLst>
        </xdr:cNvPr>
        <xdr:cNvSpPr>
          <a:spLocks noChangeShapeType="1"/>
        </xdr:cNvSpPr>
      </xdr:nvSpPr>
      <xdr:spPr bwMode="auto">
        <a:xfrm>
          <a:off x="2619375" y="65532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5" name="Line 34">
          <a:extLst>
            <a:ext uri="{FF2B5EF4-FFF2-40B4-BE49-F238E27FC236}">
              <a16:creationId xmlns:a16="http://schemas.microsoft.com/office/drawing/2014/main" id="{9998020B-9AB0-4E7E-9D3F-03BE40D935F2}"/>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6" name="Line 35">
          <a:extLst>
            <a:ext uri="{FF2B5EF4-FFF2-40B4-BE49-F238E27FC236}">
              <a16:creationId xmlns:a16="http://schemas.microsoft.com/office/drawing/2014/main" id="{E22D42BB-42D6-4C79-9F11-43192681372D}"/>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37" name="Line 36">
          <a:extLst>
            <a:ext uri="{FF2B5EF4-FFF2-40B4-BE49-F238E27FC236}">
              <a16:creationId xmlns:a16="http://schemas.microsoft.com/office/drawing/2014/main" id="{2004A314-0B99-4C3B-8AA4-7E40E15C5FD4}"/>
            </a:ext>
          </a:extLst>
        </xdr:cNvPr>
        <xdr:cNvSpPr>
          <a:spLocks noChangeShapeType="1"/>
        </xdr:cNvSpPr>
      </xdr:nvSpPr>
      <xdr:spPr bwMode="auto">
        <a:xfrm>
          <a:off x="2619375" y="7848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38" name="Line 37">
          <a:extLst>
            <a:ext uri="{FF2B5EF4-FFF2-40B4-BE49-F238E27FC236}">
              <a16:creationId xmlns:a16="http://schemas.microsoft.com/office/drawing/2014/main" id="{DAE95D2F-87B9-4A49-A104-9BCCDB7FB54C}"/>
            </a:ext>
          </a:extLst>
        </xdr:cNvPr>
        <xdr:cNvSpPr>
          <a:spLocks noChangeShapeType="1"/>
        </xdr:cNvSpPr>
      </xdr:nvSpPr>
      <xdr:spPr bwMode="auto">
        <a:xfrm>
          <a:off x="2619375" y="80105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39" name="Line 38">
          <a:extLst>
            <a:ext uri="{FF2B5EF4-FFF2-40B4-BE49-F238E27FC236}">
              <a16:creationId xmlns:a16="http://schemas.microsoft.com/office/drawing/2014/main" id="{DFFA9755-EAC1-42DD-86B9-F66ACE1D70CD}"/>
            </a:ext>
          </a:extLst>
        </xdr:cNvPr>
        <xdr:cNvSpPr>
          <a:spLocks noChangeShapeType="1"/>
        </xdr:cNvSpPr>
      </xdr:nvSpPr>
      <xdr:spPr bwMode="auto">
        <a:xfrm>
          <a:off x="2619375" y="81724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0" name="Line 39">
          <a:extLst>
            <a:ext uri="{FF2B5EF4-FFF2-40B4-BE49-F238E27FC236}">
              <a16:creationId xmlns:a16="http://schemas.microsoft.com/office/drawing/2014/main" id="{E3131003-844B-4846-BFB3-D33FE3114FCF}"/>
            </a:ext>
          </a:extLst>
        </xdr:cNvPr>
        <xdr:cNvSpPr>
          <a:spLocks noChangeShapeType="1"/>
        </xdr:cNvSpPr>
      </xdr:nvSpPr>
      <xdr:spPr bwMode="auto">
        <a:xfrm>
          <a:off x="4762500" y="81724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1" name="Line 40">
          <a:extLst>
            <a:ext uri="{FF2B5EF4-FFF2-40B4-BE49-F238E27FC236}">
              <a16:creationId xmlns:a16="http://schemas.microsoft.com/office/drawing/2014/main" id="{9A1B1DC6-90C1-4667-AA3C-AF97F6CAF379}"/>
            </a:ext>
          </a:extLst>
        </xdr:cNvPr>
        <xdr:cNvSpPr>
          <a:spLocks noChangeShapeType="1"/>
        </xdr:cNvSpPr>
      </xdr:nvSpPr>
      <xdr:spPr bwMode="auto">
        <a:xfrm>
          <a:off x="10477500" y="102489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 name="Line 41">
          <a:extLst>
            <a:ext uri="{FF2B5EF4-FFF2-40B4-BE49-F238E27FC236}">
              <a16:creationId xmlns:a16="http://schemas.microsoft.com/office/drawing/2014/main" id="{01981909-2F45-4CF1-B5E3-A4B9375480E6}"/>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3" name="Line 42">
          <a:extLst>
            <a:ext uri="{FF2B5EF4-FFF2-40B4-BE49-F238E27FC236}">
              <a16:creationId xmlns:a16="http://schemas.microsoft.com/office/drawing/2014/main" id="{C5A5EF7A-7683-4A98-9EEC-4C318A436ECE}"/>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4" name="Line 43">
          <a:extLst>
            <a:ext uri="{FF2B5EF4-FFF2-40B4-BE49-F238E27FC236}">
              <a16:creationId xmlns:a16="http://schemas.microsoft.com/office/drawing/2014/main" id="{F2DB0488-7479-4C68-986D-57B82580E553}"/>
            </a:ext>
          </a:extLst>
        </xdr:cNvPr>
        <xdr:cNvSpPr>
          <a:spLocks noChangeShapeType="1"/>
        </xdr:cNvSpPr>
      </xdr:nvSpPr>
      <xdr:spPr bwMode="auto">
        <a:xfrm>
          <a:off x="6905625" y="9115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5" name="Line 44">
          <a:extLst>
            <a:ext uri="{FF2B5EF4-FFF2-40B4-BE49-F238E27FC236}">
              <a16:creationId xmlns:a16="http://schemas.microsoft.com/office/drawing/2014/main" id="{36BC98CA-FBC3-46D5-9723-94DA9B1967F1}"/>
            </a:ext>
          </a:extLst>
        </xdr:cNvPr>
        <xdr:cNvSpPr>
          <a:spLocks noChangeShapeType="1"/>
        </xdr:cNvSpPr>
      </xdr:nvSpPr>
      <xdr:spPr bwMode="auto">
        <a:xfrm>
          <a:off x="10477500" y="104108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6" name="Line 45">
          <a:extLst>
            <a:ext uri="{FF2B5EF4-FFF2-40B4-BE49-F238E27FC236}">
              <a16:creationId xmlns:a16="http://schemas.microsoft.com/office/drawing/2014/main" id="{18867543-84ED-454C-BD48-61E5C58E29C0}"/>
            </a:ext>
          </a:extLst>
        </xdr:cNvPr>
        <xdr:cNvSpPr>
          <a:spLocks noChangeShapeType="1"/>
        </xdr:cNvSpPr>
      </xdr:nvSpPr>
      <xdr:spPr bwMode="auto">
        <a:xfrm>
          <a:off x="4762500" y="9115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7" name="Line 46">
          <a:extLst>
            <a:ext uri="{FF2B5EF4-FFF2-40B4-BE49-F238E27FC236}">
              <a16:creationId xmlns:a16="http://schemas.microsoft.com/office/drawing/2014/main" id="{C795E55F-56FB-4EDA-8B67-2557A9C0EC4C}"/>
            </a:ext>
          </a:extLst>
        </xdr:cNvPr>
        <xdr:cNvSpPr>
          <a:spLocks noChangeShapeType="1"/>
        </xdr:cNvSpPr>
      </xdr:nvSpPr>
      <xdr:spPr bwMode="auto">
        <a:xfrm>
          <a:off x="6905625"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8" name="Line 47">
          <a:extLst>
            <a:ext uri="{FF2B5EF4-FFF2-40B4-BE49-F238E27FC236}">
              <a16:creationId xmlns:a16="http://schemas.microsoft.com/office/drawing/2014/main" id="{778988AB-5A08-46B3-B2F2-033AAA6417DD}"/>
            </a:ext>
          </a:extLst>
        </xdr:cNvPr>
        <xdr:cNvSpPr>
          <a:spLocks noChangeShapeType="1"/>
        </xdr:cNvSpPr>
      </xdr:nvSpPr>
      <xdr:spPr bwMode="auto">
        <a:xfrm>
          <a:off x="10477500"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9" name="Line 48">
          <a:extLst>
            <a:ext uri="{FF2B5EF4-FFF2-40B4-BE49-F238E27FC236}">
              <a16:creationId xmlns:a16="http://schemas.microsoft.com/office/drawing/2014/main" id="{935F42AC-ECA6-4CD7-989B-2376BE5E7973}"/>
            </a:ext>
          </a:extLst>
        </xdr:cNvPr>
        <xdr:cNvSpPr>
          <a:spLocks noChangeShapeType="1"/>
        </xdr:cNvSpPr>
      </xdr:nvSpPr>
      <xdr:spPr bwMode="auto">
        <a:xfrm>
          <a:off x="2619375" y="9115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0" name="Line 49">
          <a:extLst>
            <a:ext uri="{FF2B5EF4-FFF2-40B4-BE49-F238E27FC236}">
              <a16:creationId xmlns:a16="http://schemas.microsoft.com/office/drawing/2014/main" id="{90017F24-4008-437D-8027-96FFA3DF0A1E}"/>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1" name="Line 50">
          <a:extLst>
            <a:ext uri="{FF2B5EF4-FFF2-40B4-BE49-F238E27FC236}">
              <a16:creationId xmlns:a16="http://schemas.microsoft.com/office/drawing/2014/main" id="{B37FDE07-4119-48D3-B040-E40E4D9BCAF8}"/>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2" name="Line 51">
          <a:extLst>
            <a:ext uri="{FF2B5EF4-FFF2-40B4-BE49-F238E27FC236}">
              <a16:creationId xmlns:a16="http://schemas.microsoft.com/office/drawing/2014/main" id="{B12664E9-2A37-4535-8F4A-9131854558E9}"/>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53" name="Line 52">
          <a:extLst>
            <a:ext uri="{FF2B5EF4-FFF2-40B4-BE49-F238E27FC236}">
              <a16:creationId xmlns:a16="http://schemas.microsoft.com/office/drawing/2014/main" id="{C1B4D76D-6622-4F66-BC15-ACCFE7467D9D}"/>
            </a:ext>
          </a:extLst>
        </xdr:cNvPr>
        <xdr:cNvSpPr>
          <a:spLocks noChangeShapeType="1"/>
        </xdr:cNvSpPr>
      </xdr:nvSpPr>
      <xdr:spPr bwMode="auto">
        <a:xfrm>
          <a:off x="2619375" y="104108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54" name="Line 53">
          <a:extLst>
            <a:ext uri="{FF2B5EF4-FFF2-40B4-BE49-F238E27FC236}">
              <a16:creationId xmlns:a16="http://schemas.microsoft.com/office/drawing/2014/main" id="{80FAC1EA-A99B-4F56-905B-DE77730DA0C4}"/>
            </a:ext>
          </a:extLst>
        </xdr:cNvPr>
        <xdr:cNvSpPr>
          <a:spLocks noChangeShapeType="1"/>
        </xdr:cNvSpPr>
      </xdr:nvSpPr>
      <xdr:spPr bwMode="auto">
        <a:xfrm>
          <a:off x="2619375" y="105727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55" name="Line 54">
          <a:extLst>
            <a:ext uri="{FF2B5EF4-FFF2-40B4-BE49-F238E27FC236}">
              <a16:creationId xmlns:a16="http://schemas.microsoft.com/office/drawing/2014/main" id="{1A069482-9CF2-4565-BB8F-B7CBB06BFF25}"/>
            </a:ext>
          </a:extLst>
        </xdr:cNvPr>
        <xdr:cNvSpPr>
          <a:spLocks noChangeShapeType="1"/>
        </xdr:cNvSpPr>
      </xdr:nvSpPr>
      <xdr:spPr bwMode="auto">
        <a:xfrm>
          <a:off x="4762500" y="105727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56" name="Line 55">
          <a:extLst>
            <a:ext uri="{FF2B5EF4-FFF2-40B4-BE49-F238E27FC236}">
              <a16:creationId xmlns:a16="http://schemas.microsoft.com/office/drawing/2014/main" id="{5176F6A8-D90A-4625-8D7D-673DB1F7EA74}"/>
            </a:ext>
          </a:extLst>
        </xdr:cNvPr>
        <xdr:cNvSpPr>
          <a:spLocks noChangeShapeType="1"/>
        </xdr:cNvSpPr>
      </xdr:nvSpPr>
      <xdr:spPr bwMode="auto">
        <a:xfrm>
          <a:off x="4762500" y="5419725"/>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57" name="Line 56">
          <a:extLst>
            <a:ext uri="{FF2B5EF4-FFF2-40B4-BE49-F238E27FC236}">
              <a16:creationId xmlns:a16="http://schemas.microsoft.com/office/drawing/2014/main" id="{160212D1-4643-4AB6-990F-A7426CA1CA31}"/>
            </a:ext>
          </a:extLst>
        </xdr:cNvPr>
        <xdr:cNvSpPr>
          <a:spLocks noChangeShapeType="1"/>
        </xdr:cNvSpPr>
      </xdr:nvSpPr>
      <xdr:spPr bwMode="auto">
        <a:xfrm>
          <a:off x="4762500" y="7524750"/>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58" name="Line 57">
          <a:extLst>
            <a:ext uri="{FF2B5EF4-FFF2-40B4-BE49-F238E27FC236}">
              <a16:creationId xmlns:a16="http://schemas.microsoft.com/office/drawing/2014/main" id="{5A9EAA4B-BE20-49C1-8E9F-A48987EFC104}"/>
            </a:ext>
          </a:extLst>
        </xdr:cNvPr>
        <xdr:cNvSpPr>
          <a:spLocks noChangeShapeType="1"/>
        </xdr:cNvSpPr>
      </xdr:nvSpPr>
      <xdr:spPr bwMode="auto">
        <a:xfrm>
          <a:off x="4762500" y="10086975"/>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59" name="Line 58">
          <a:extLst>
            <a:ext uri="{FF2B5EF4-FFF2-40B4-BE49-F238E27FC236}">
              <a16:creationId xmlns:a16="http://schemas.microsoft.com/office/drawing/2014/main" id="{459E0CD5-F227-44F6-BF36-EB94CD59E40E}"/>
            </a:ext>
          </a:extLst>
        </xdr:cNvPr>
        <xdr:cNvSpPr>
          <a:spLocks noChangeShapeType="1"/>
        </xdr:cNvSpPr>
      </xdr:nvSpPr>
      <xdr:spPr bwMode="auto">
        <a:xfrm>
          <a:off x="4762500" y="120300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0" name="Line 59">
          <a:extLst>
            <a:ext uri="{FF2B5EF4-FFF2-40B4-BE49-F238E27FC236}">
              <a16:creationId xmlns:a16="http://schemas.microsoft.com/office/drawing/2014/main" id="{98A03359-302A-4D11-AFF7-A993B205EBBF}"/>
            </a:ext>
          </a:extLst>
        </xdr:cNvPr>
        <xdr:cNvSpPr>
          <a:spLocks noChangeShapeType="1"/>
        </xdr:cNvSpPr>
      </xdr:nvSpPr>
      <xdr:spPr bwMode="auto">
        <a:xfrm>
          <a:off x="10477500" y="120300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1" name="Line 60">
          <a:extLst>
            <a:ext uri="{FF2B5EF4-FFF2-40B4-BE49-F238E27FC236}">
              <a16:creationId xmlns:a16="http://schemas.microsoft.com/office/drawing/2014/main" id="{E4C5DF82-F829-458C-9869-2F4F433C64DA}"/>
            </a:ext>
          </a:extLst>
        </xdr:cNvPr>
        <xdr:cNvSpPr>
          <a:spLocks noChangeShapeType="1"/>
        </xdr:cNvSpPr>
      </xdr:nvSpPr>
      <xdr:spPr bwMode="auto">
        <a:xfrm>
          <a:off x="4762500" y="121920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 name="Line 61">
          <a:extLst>
            <a:ext uri="{FF2B5EF4-FFF2-40B4-BE49-F238E27FC236}">
              <a16:creationId xmlns:a16="http://schemas.microsoft.com/office/drawing/2014/main" id="{C9F90B9A-3D25-47A9-9A08-15DF6BC20DF4}"/>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 name="Line 62">
          <a:extLst>
            <a:ext uri="{FF2B5EF4-FFF2-40B4-BE49-F238E27FC236}">
              <a16:creationId xmlns:a16="http://schemas.microsoft.com/office/drawing/2014/main" id="{2C8964F7-29EC-4673-A06D-8BB9AB47B23C}"/>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4" name="Line 63">
          <a:extLst>
            <a:ext uri="{FF2B5EF4-FFF2-40B4-BE49-F238E27FC236}">
              <a16:creationId xmlns:a16="http://schemas.microsoft.com/office/drawing/2014/main" id="{5D5FDCA0-1251-4AED-A440-62969D2A0B30}"/>
            </a:ext>
          </a:extLst>
        </xdr:cNvPr>
        <xdr:cNvSpPr>
          <a:spLocks noChangeShapeType="1"/>
        </xdr:cNvSpPr>
      </xdr:nvSpPr>
      <xdr:spPr bwMode="auto">
        <a:xfrm>
          <a:off x="6905625" y="10896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5" name="Line 64">
          <a:extLst>
            <a:ext uri="{FF2B5EF4-FFF2-40B4-BE49-F238E27FC236}">
              <a16:creationId xmlns:a16="http://schemas.microsoft.com/office/drawing/2014/main" id="{06291266-C073-4F7D-A5FD-9ECFCE5C8918}"/>
            </a:ext>
          </a:extLst>
        </xdr:cNvPr>
        <xdr:cNvSpPr>
          <a:spLocks noChangeShapeType="1"/>
        </xdr:cNvSpPr>
      </xdr:nvSpPr>
      <xdr:spPr bwMode="auto">
        <a:xfrm>
          <a:off x="10477500" y="121920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6" name="Line 65">
          <a:extLst>
            <a:ext uri="{FF2B5EF4-FFF2-40B4-BE49-F238E27FC236}">
              <a16:creationId xmlns:a16="http://schemas.microsoft.com/office/drawing/2014/main" id="{D97008D0-E9F3-4380-A17B-399CA83C29FE}"/>
            </a:ext>
          </a:extLst>
        </xdr:cNvPr>
        <xdr:cNvSpPr>
          <a:spLocks noChangeShapeType="1"/>
        </xdr:cNvSpPr>
      </xdr:nvSpPr>
      <xdr:spPr bwMode="auto">
        <a:xfrm>
          <a:off x="4762500" y="10896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7" name="Line 66">
          <a:extLst>
            <a:ext uri="{FF2B5EF4-FFF2-40B4-BE49-F238E27FC236}">
              <a16:creationId xmlns:a16="http://schemas.microsoft.com/office/drawing/2014/main" id="{2E022ED3-8E20-471F-97D9-3A1C0182E1C4}"/>
            </a:ext>
          </a:extLst>
        </xdr:cNvPr>
        <xdr:cNvSpPr>
          <a:spLocks noChangeShapeType="1"/>
        </xdr:cNvSpPr>
      </xdr:nvSpPr>
      <xdr:spPr bwMode="auto">
        <a:xfrm>
          <a:off x="2619375" y="10896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8" name="Line 67">
          <a:extLst>
            <a:ext uri="{FF2B5EF4-FFF2-40B4-BE49-F238E27FC236}">
              <a16:creationId xmlns:a16="http://schemas.microsoft.com/office/drawing/2014/main" id="{07D466AA-0E86-4E5A-9289-1FB86085A03F}"/>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9" name="Line 68">
          <a:extLst>
            <a:ext uri="{FF2B5EF4-FFF2-40B4-BE49-F238E27FC236}">
              <a16:creationId xmlns:a16="http://schemas.microsoft.com/office/drawing/2014/main" id="{2C51796D-CCCF-470B-855A-CDD6544D8977}"/>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0" name="Line 69">
          <a:extLst>
            <a:ext uri="{FF2B5EF4-FFF2-40B4-BE49-F238E27FC236}">
              <a16:creationId xmlns:a16="http://schemas.microsoft.com/office/drawing/2014/main" id="{1532009B-0F65-4BC3-9787-C363FB204AEF}"/>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1" name="Line 70">
          <a:extLst>
            <a:ext uri="{FF2B5EF4-FFF2-40B4-BE49-F238E27FC236}">
              <a16:creationId xmlns:a16="http://schemas.microsoft.com/office/drawing/2014/main" id="{0BD3A48B-E466-416E-BA2D-264F37F53E21}"/>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72" name="Line 71">
          <a:extLst>
            <a:ext uri="{FF2B5EF4-FFF2-40B4-BE49-F238E27FC236}">
              <a16:creationId xmlns:a16="http://schemas.microsoft.com/office/drawing/2014/main" id="{75F0F0C4-6B6C-404D-B0CD-E5E420BBC174}"/>
            </a:ext>
          </a:extLst>
        </xdr:cNvPr>
        <xdr:cNvSpPr>
          <a:spLocks noChangeShapeType="1"/>
        </xdr:cNvSpPr>
      </xdr:nvSpPr>
      <xdr:spPr bwMode="auto">
        <a:xfrm>
          <a:off x="4762500" y="11868150"/>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73" name="Line 72">
          <a:extLst>
            <a:ext uri="{FF2B5EF4-FFF2-40B4-BE49-F238E27FC236}">
              <a16:creationId xmlns:a16="http://schemas.microsoft.com/office/drawing/2014/main" id="{77A854FD-AE6F-4660-93DE-4A3B00661128}"/>
            </a:ext>
          </a:extLst>
        </xdr:cNvPr>
        <xdr:cNvSpPr>
          <a:spLocks noChangeShapeType="1"/>
        </xdr:cNvSpPr>
      </xdr:nvSpPr>
      <xdr:spPr bwMode="auto">
        <a:xfrm>
          <a:off x="2619375" y="121920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74" name="Line 73">
          <a:extLst>
            <a:ext uri="{FF2B5EF4-FFF2-40B4-BE49-F238E27FC236}">
              <a16:creationId xmlns:a16="http://schemas.microsoft.com/office/drawing/2014/main" id="{EA080872-A8FA-4F9B-8925-21A38C51E9E2}"/>
            </a:ext>
          </a:extLst>
        </xdr:cNvPr>
        <xdr:cNvSpPr>
          <a:spLocks noChangeShapeType="1"/>
        </xdr:cNvSpPr>
      </xdr:nvSpPr>
      <xdr:spPr bwMode="auto">
        <a:xfrm>
          <a:off x="4762500" y="13649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75" name="Line 74">
          <a:extLst>
            <a:ext uri="{FF2B5EF4-FFF2-40B4-BE49-F238E27FC236}">
              <a16:creationId xmlns:a16="http://schemas.microsoft.com/office/drawing/2014/main" id="{1EB49F97-110C-4692-826E-F5C95B8FD602}"/>
            </a:ext>
          </a:extLst>
        </xdr:cNvPr>
        <xdr:cNvSpPr>
          <a:spLocks noChangeShapeType="1"/>
        </xdr:cNvSpPr>
      </xdr:nvSpPr>
      <xdr:spPr bwMode="auto">
        <a:xfrm>
          <a:off x="10477500" y="136493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6" name="Line 75">
          <a:extLst>
            <a:ext uri="{FF2B5EF4-FFF2-40B4-BE49-F238E27FC236}">
              <a16:creationId xmlns:a16="http://schemas.microsoft.com/office/drawing/2014/main" id="{57A376D6-06A9-4F66-BAE5-BBB7119AF802}"/>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7" name="Line 76">
          <a:extLst>
            <a:ext uri="{FF2B5EF4-FFF2-40B4-BE49-F238E27FC236}">
              <a16:creationId xmlns:a16="http://schemas.microsoft.com/office/drawing/2014/main" id="{35663140-9223-42A2-9900-E9625CB7CC15}"/>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78" name="Line 77">
          <a:extLst>
            <a:ext uri="{FF2B5EF4-FFF2-40B4-BE49-F238E27FC236}">
              <a16:creationId xmlns:a16="http://schemas.microsoft.com/office/drawing/2014/main" id="{6954E38A-736A-49CF-8977-6ACB423C7148}"/>
            </a:ext>
          </a:extLst>
        </xdr:cNvPr>
        <xdr:cNvSpPr>
          <a:spLocks noChangeShapeType="1"/>
        </xdr:cNvSpPr>
      </xdr:nvSpPr>
      <xdr:spPr bwMode="auto">
        <a:xfrm>
          <a:off x="6905625" y="125158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79" name="Line 78">
          <a:extLst>
            <a:ext uri="{FF2B5EF4-FFF2-40B4-BE49-F238E27FC236}">
              <a16:creationId xmlns:a16="http://schemas.microsoft.com/office/drawing/2014/main" id="{2D089265-8648-481C-B98E-D0C91162C569}"/>
            </a:ext>
          </a:extLst>
        </xdr:cNvPr>
        <xdr:cNvSpPr>
          <a:spLocks noChangeShapeType="1"/>
        </xdr:cNvSpPr>
      </xdr:nvSpPr>
      <xdr:spPr bwMode="auto">
        <a:xfrm>
          <a:off x="4762500" y="125158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0" name="Line 79">
          <a:extLst>
            <a:ext uri="{FF2B5EF4-FFF2-40B4-BE49-F238E27FC236}">
              <a16:creationId xmlns:a16="http://schemas.microsoft.com/office/drawing/2014/main" id="{E239BA5B-E415-455C-B6BE-733E800508F3}"/>
            </a:ext>
          </a:extLst>
        </xdr:cNvPr>
        <xdr:cNvSpPr>
          <a:spLocks noChangeShapeType="1"/>
        </xdr:cNvSpPr>
      </xdr:nvSpPr>
      <xdr:spPr bwMode="auto">
        <a:xfrm>
          <a:off x="2619375" y="12515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1" name="Line 80">
          <a:extLst>
            <a:ext uri="{FF2B5EF4-FFF2-40B4-BE49-F238E27FC236}">
              <a16:creationId xmlns:a16="http://schemas.microsoft.com/office/drawing/2014/main" id="{30A5836A-E5F4-4E7A-B4CC-6EAD48A3A755}"/>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 name="Line 81">
          <a:extLst>
            <a:ext uri="{FF2B5EF4-FFF2-40B4-BE49-F238E27FC236}">
              <a16:creationId xmlns:a16="http://schemas.microsoft.com/office/drawing/2014/main" id="{081C5B66-A23F-405D-84AE-97ED24FFAF4A}"/>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 name="Line 82">
          <a:extLst>
            <a:ext uri="{FF2B5EF4-FFF2-40B4-BE49-F238E27FC236}">
              <a16:creationId xmlns:a16="http://schemas.microsoft.com/office/drawing/2014/main" id="{7DBAC7A3-DF36-4C1D-A7C9-0583FDFAAC4B}"/>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4" name="Line 83">
          <a:extLst>
            <a:ext uri="{FF2B5EF4-FFF2-40B4-BE49-F238E27FC236}">
              <a16:creationId xmlns:a16="http://schemas.microsoft.com/office/drawing/2014/main" id="{E81AA056-A904-49FB-A1D9-04F16A0901AF}"/>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5" name="Line 84">
          <a:extLst>
            <a:ext uri="{FF2B5EF4-FFF2-40B4-BE49-F238E27FC236}">
              <a16:creationId xmlns:a16="http://schemas.microsoft.com/office/drawing/2014/main" id="{CBB9203F-C238-48FD-9D8A-F1749A2717B1}"/>
            </a:ext>
          </a:extLst>
        </xdr:cNvPr>
        <xdr:cNvSpPr>
          <a:spLocks noChangeShapeType="1"/>
        </xdr:cNvSpPr>
      </xdr:nvSpPr>
      <xdr:spPr bwMode="auto">
        <a:xfrm>
          <a:off x="4762500" y="13487400"/>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6" name="Line 85">
          <a:extLst>
            <a:ext uri="{FF2B5EF4-FFF2-40B4-BE49-F238E27FC236}">
              <a16:creationId xmlns:a16="http://schemas.microsoft.com/office/drawing/2014/main" id="{53B39943-4ED0-43D5-B33B-C6BA9E96DF73}"/>
            </a:ext>
          </a:extLst>
        </xdr:cNvPr>
        <xdr:cNvSpPr>
          <a:spLocks noChangeShapeType="1"/>
        </xdr:cNvSpPr>
      </xdr:nvSpPr>
      <xdr:spPr bwMode="auto">
        <a:xfrm>
          <a:off x="69056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7" name="Line 86">
          <a:extLst>
            <a:ext uri="{FF2B5EF4-FFF2-40B4-BE49-F238E27FC236}">
              <a16:creationId xmlns:a16="http://schemas.microsoft.com/office/drawing/2014/main" id="{5BC53535-0870-40FE-88F8-9BABD97B237A}"/>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8" name="Line 87">
          <a:extLst>
            <a:ext uri="{FF2B5EF4-FFF2-40B4-BE49-F238E27FC236}">
              <a16:creationId xmlns:a16="http://schemas.microsoft.com/office/drawing/2014/main" id="{871E793A-8586-4BDA-8A18-94EC998DAEA1}"/>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9" name="Line 88">
          <a:extLst>
            <a:ext uri="{FF2B5EF4-FFF2-40B4-BE49-F238E27FC236}">
              <a16:creationId xmlns:a16="http://schemas.microsoft.com/office/drawing/2014/main" id="{F8891666-8831-4FB1-BCF0-EF580F20BB61}"/>
            </a:ext>
          </a:extLst>
        </xdr:cNvPr>
        <xdr:cNvSpPr>
          <a:spLocks noChangeShapeType="1"/>
        </xdr:cNvSpPr>
      </xdr:nvSpPr>
      <xdr:spPr bwMode="auto">
        <a:xfrm>
          <a:off x="4762500" y="14944725"/>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90" name="Line 89">
          <a:extLst>
            <a:ext uri="{FF2B5EF4-FFF2-40B4-BE49-F238E27FC236}">
              <a16:creationId xmlns:a16="http://schemas.microsoft.com/office/drawing/2014/main" id="{8580AFF7-77A1-4125-A451-ABF8CBC68EEF}"/>
            </a:ext>
          </a:extLst>
        </xdr:cNvPr>
        <xdr:cNvSpPr>
          <a:spLocks noChangeShapeType="1"/>
        </xdr:cNvSpPr>
      </xdr:nvSpPr>
      <xdr:spPr bwMode="auto">
        <a:xfrm>
          <a:off x="4762500" y="7848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91" name="Line 90">
          <a:extLst>
            <a:ext uri="{FF2B5EF4-FFF2-40B4-BE49-F238E27FC236}">
              <a16:creationId xmlns:a16="http://schemas.microsoft.com/office/drawing/2014/main" id="{44E515F0-88D2-4B82-8A25-2B4D15F57694}"/>
            </a:ext>
          </a:extLst>
        </xdr:cNvPr>
        <xdr:cNvSpPr>
          <a:spLocks noChangeShapeType="1"/>
        </xdr:cNvSpPr>
      </xdr:nvSpPr>
      <xdr:spPr bwMode="auto">
        <a:xfrm>
          <a:off x="4762500" y="7686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92" name="Line 91">
          <a:extLst>
            <a:ext uri="{FF2B5EF4-FFF2-40B4-BE49-F238E27FC236}">
              <a16:creationId xmlns:a16="http://schemas.microsoft.com/office/drawing/2014/main" id="{458CEC1D-160F-453E-8415-E403081E846B}"/>
            </a:ext>
          </a:extLst>
        </xdr:cNvPr>
        <xdr:cNvSpPr>
          <a:spLocks noChangeShapeType="1"/>
        </xdr:cNvSpPr>
      </xdr:nvSpPr>
      <xdr:spPr bwMode="auto">
        <a:xfrm>
          <a:off x="4762500" y="104108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93" name="Line 92">
          <a:extLst>
            <a:ext uri="{FF2B5EF4-FFF2-40B4-BE49-F238E27FC236}">
              <a16:creationId xmlns:a16="http://schemas.microsoft.com/office/drawing/2014/main" id="{B22374DE-5FD7-40F7-8C86-B659703D3EC6}"/>
            </a:ext>
          </a:extLst>
        </xdr:cNvPr>
        <xdr:cNvSpPr>
          <a:spLocks noChangeShapeType="1"/>
        </xdr:cNvSpPr>
      </xdr:nvSpPr>
      <xdr:spPr bwMode="auto">
        <a:xfrm>
          <a:off x="4762500" y="102489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94" name="Line 93">
          <a:extLst>
            <a:ext uri="{FF2B5EF4-FFF2-40B4-BE49-F238E27FC236}">
              <a16:creationId xmlns:a16="http://schemas.microsoft.com/office/drawing/2014/main" id="{F92BDC35-44F8-42E6-9A93-D0F5BD76C3CA}"/>
            </a:ext>
          </a:extLst>
        </xdr:cNvPr>
        <xdr:cNvSpPr>
          <a:spLocks noChangeShapeType="1"/>
        </xdr:cNvSpPr>
      </xdr:nvSpPr>
      <xdr:spPr bwMode="auto">
        <a:xfrm>
          <a:off x="6905625" y="57435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95" name="Line 94">
          <a:extLst>
            <a:ext uri="{FF2B5EF4-FFF2-40B4-BE49-F238E27FC236}">
              <a16:creationId xmlns:a16="http://schemas.microsoft.com/office/drawing/2014/main" id="{AA1E027C-24DA-46E7-B685-B7C202C609BE}"/>
            </a:ext>
          </a:extLst>
        </xdr:cNvPr>
        <xdr:cNvSpPr>
          <a:spLocks noChangeShapeType="1"/>
        </xdr:cNvSpPr>
      </xdr:nvSpPr>
      <xdr:spPr bwMode="auto">
        <a:xfrm>
          <a:off x="6905625" y="55816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96" name="Line 95">
          <a:extLst>
            <a:ext uri="{FF2B5EF4-FFF2-40B4-BE49-F238E27FC236}">
              <a16:creationId xmlns:a16="http://schemas.microsoft.com/office/drawing/2014/main" id="{5513C0D4-54E9-4DCF-A310-B9C0ADC8D9A5}"/>
            </a:ext>
          </a:extLst>
        </xdr:cNvPr>
        <xdr:cNvSpPr>
          <a:spLocks noChangeShapeType="1"/>
        </xdr:cNvSpPr>
      </xdr:nvSpPr>
      <xdr:spPr bwMode="auto">
        <a:xfrm>
          <a:off x="6905625" y="7848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97" name="Line 96">
          <a:extLst>
            <a:ext uri="{FF2B5EF4-FFF2-40B4-BE49-F238E27FC236}">
              <a16:creationId xmlns:a16="http://schemas.microsoft.com/office/drawing/2014/main" id="{6270561C-65C8-427A-8072-65812366217C}"/>
            </a:ext>
          </a:extLst>
        </xdr:cNvPr>
        <xdr:cNvSpPr>
          <a:spLocks noChangeShapeType="1"/>
        </xdr:cNvSpPr>
      </xdr:nvSpPr>
      <xdr:spPr bwMode="auto">
        <a:xfrm>
          <a:off x="6905625" y="76866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98" name="Line 97">
          <a:extLst>
            <a:ext uri="{FF2B5EF4-FFF2-40B4-BE49-F238E27FC236}">
              <a16:creationId xmlns:a16="http://schemas.microsoft.com/office/drawing/2014/main" id="{83CFFD5E-F0CF-48D0-9FE3-610101B9A9FB}"/>
            </a:ext>
          </a:extLst>
        </xdr:cNvPr>
        <xdr:cNvSpPr>
          <a:spLocks noChangeShapeType="1"/>
        </xdr:cNvSpPr>
      </xdr:nvSpPr>
      <xdr:spPr bwMode="auto">
        <a:xfrm>
          <a:off x="6905625" y="104108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99" name="Line 98">
          <a:extLst>
            <a:ext uri="{FF2B5EF4-FFF2-40B4-BE49-F238E27FC236}">
              <a16:creationId xmlns:a16="http://schemas.microsoft.com/office/drawing/2014/main" id="{F2EDEC20-52E7-43F7-B79C-78DFB9FE816C}"/>
            </a:ext>
          </a:extLst>
        </xdr:cNvPr>
        <xdr:cNvSpPr>
          <a:spLocks noChangeShapeType="1"/>
        </xdr:cNvSpPr>
      </xdr:nvSpPr>
      <xdr:spPr bwMode="auto">
        <a:xfrm>
          <a:off x="6905625" y="102489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0" name="Line 99">
          <a:extLst>
            <a:ext uri="{FF2B5EF4-FFF2-40B4-BE49-F238E27FC236}">
              <a16:creationId xmlns:a16="http://schemas.microsoft.com/office/drawing/2014/main" id="{1A3C4293-E83D-4128-925A-EFE14E811032}"/>
            </a:ext>
          </a:extLst>
        </xdr:cNvPr>
        <xdr:cNvSpPr>
          <a:spLocks noChangeShapeType="1"/>
        </xdr:cNvSpPr>
      </xdr:nvSpPr>
      <xdr:spPr bwMode="auto">
        <a:xfrm>
          <a:off x="6905625" y="121920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1" name="Line 100">
          <a:extLst>
            <a:ext uri="{FF2B5EF4-FFF2-40B4-BE49-F238E27FC236}">
              <a16:creationId xmlns:a16="http://schemas.microsoft.com/office/drawing/2014/main" id="{C0B402B9-4AA5-4CDC-99A3-03B8CD48155A}"/>
            </a:ext>
          </a:extLst>
        </xdr:cNvPr>
        <xdr:cNvSpPr>
          <a:spLocks noChangeShapeType="1"/>
        </xdr:cNvSpPr>
      </xdr:nvSpPr>
      <xdr:spPr bwMode="auto">
        <a:xfrm>
          <a:off x="6905625" y="120300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2" name="Line 101">
          <a:extLst>
            <a:ext uri="{FF2B5EF4-FFF2-40B4-BE49-F238E27FC236}">
              <a16:creationId xmlns:a16="http://schemas.microsoft.com/office/drawing/2014/main" id="{2B1E57F2-0A4A-452A-A151-D880CB7A1557}"/>
            </a:ext>
          </a:extLst>
        </xdr:cNvPr>
        <xdr:cNvSpPr>
          <a:spLocks noChangeShapeType="1"/>
        </xdr:cNvSpPr>
      </xdr:nvSpPr>
      <xdr:spPr bwMode="auto">
        <a:xfrm>
          <a:off x="6905625" y="136493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 name="Line 103">
          <a:extLst>
            <a:ext uri="{FF2B5EF4-FFF2-40B4-BE49-F238E27FC236}">
              <a16:creationId xmlns:a16="http://schemas.microsoft.com/office/drawing/2014/main" id="{D12E658E-C653-4ED4-8FFA-61842690528E}"/>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 name="Line 107">
          <a:extLst>
            <a:ext uri="{FF2B5EF4-FFF2-40B4-BE49-F238E27FC236}">
              <a16:creationId xmlns:a16="http://schemas.microsoft.com/office/drawing/2014/main" id="{87A1CB07-B32B-4E36-93E5-EC9424B72D66}"/>
            </a:ext>
          </a:extLst>
        </xdr:cNvPr>
        <xdr:cNvSpPr>
          <a:spLocks noChangeShapeType="1"/>
        </xdr:cNvSpPr>
      </xdr:nvSpPr>
      <xdr:spPr bwMode="auto">
        <a:xfrm>
          <a:off x="69056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5" name="Line 108">
          <a:extLst>
            <a:ext uri="{FF2B5EF4-FFF2-40B4-BE49-F238E27FC236}">
              <a16:creationId xmlns:a16="http://schemas.microsoft.com/office/drawing/2014/main" id="{3EE30DCA-E81F-4D7A-8E78-C2FB696B026B}"/>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6" name="Line 109">
          <a:extLst>
            <a:ext uri="{FF2B5EF4-FFF2-40B4-BE49-F238E27FC236}">
              <a16:creationId xmlns:a16="http://schemas.microsoft.com/office/drawing/2014/main" id="{8A9A5A92-5AAD-4682-AB48-E6F9ABDC244E}"/>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7" name="Line 110">
          <a:extLst>
            <a:ext uri="{FF2B5EF4-FFF2-40B4-BE49-F238E27FC236}">
              <a16:creationId xmlns:a16="http://schemas.microsoft.com/office/drawing/2014/main" id="{92D37DCD-1F4F-4EAB-B6DA-F0A9E992A6E7}"/>
            </a:ext>
          </a:extLst>
        </xdr:cNvPr>
        <xdr:cNvSpPr>
          <a:spLocks noChangeShapeType="1"/>
        </xdr:cNvSpPr>
      </xdr:nvSpPr>
      <xdr:spPr bwMode="auto">
        <a:xfrm>
          <a:off x="4762500" y="14944725"/>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8" name="Line 111">
          <a:extLst>
            <a:ext uri="{FF2B5EF4-FFF2-40B4-BE49-F238E27FC236}">
              <a16:creationId xmlns:a16="http://schemas.microsoft.com/office/drawing/2014/main" id="{99DE21D2-A577-4B72-AFB6-DE2CB4FA8F00}"/>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9" name="Line 112">
          <a:extLst>
            <a:ext uri="{FF2B5EF4-FFF2-40B4-BE49-F238E27FC236}">
              <a16:creationId xmlns:a16="http://schemas.microsoft.com/office/drawing/2014/main" id="{282E897A-63AA-4E5D-82C2-3A82E9A1D543}"/>
            </a:ext>
          </a:extLst>
        </xdr:cNvPr>
        <xdr:cNvSpPr>
          <a:spLocks noChangeShapeType="1"/>
        </xdr:cNvSpPr>
      </xdr:nvSpPr>
      <xdr:spPr bwMode="auto">
        <a:xfrm>
          <a:off x="69056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10" name="Line 113">
          <a:extLst>
            <a:ext uri="{FF2B5EF4-FFF2-40B4-BE49-F238E27FC236}">
              <a16:creationId xmlns:a16="http://schemas.microsoft.com/office/drawing/2014/main" id="{D5EA8831-A980-46B2-A963-78F5811051A2}"/>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11" name="Line 114">
          <a:extLst>
            <a:ext uri="{FF2B5EF4-FFF2-40B4-BE49-F238E27FC236}">
              <a16:creationId xmlns:a16="http://schemas.microsoft.com/office/drawing/2014/main" id="{674E898E-1BD4-45D1-8EFE-2D5C39FFA699}"/>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12" name="Line 115">
          <a:extLst>
            <a:ext uri="{FF2B5EF4-FFF2-40B4-BE49-F238E27FC236}">
              <a16:creationId xmlns:a16="http://schemas.microsoft.com/office/drawing/2014/main" id="{D71C7C86-CADD-4271-8547-9FE3723811CA}"/>
            </a:ext>
          </a:extLst>
        </xdr:cNvPr>
        <xdr:cNvSpPr>
          <a:spLocks noChangeShapeType="1"/>
        </xdr:cNvSpPr>
      </xdr:nvSpPr>
      <xdr:spPr bwMode="auto">
        <a:xfrm>
          <a:off x="4762500" y="14944725"/>
          <a:ext cx="7600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386080</xdr:colOff>
      <xdr:row>93</xdr:row>
      <xdr:rowOff>10160</xdr:rowOff>
    </xdr:from>
    <xdr:to>
      <xdr:col>4</xdr:col>
      <xdr:colOff>363220</xdr:colOff>
      <xdr:row>93</xdr:row>
      <xdr:rowOff>10160</xdr:rowOff>
    </xdr:to>
    <xdr:sp macro="" textlink="">
      <xdr:nvSpPr>
        <xdr:cNvPr id="113" name="Line 116">
          <a:extLst>
            <a:ext uri="{FF2B5EF4-FFF2-40B4-BE49-F238E27FC236}">
              <a16:creationId xmlns:a16="http://schemas.microsoft.com/office/drawing/2014/main" id="{564FE73D-5549-4FE6-A721-BA14AAC679BD}"/>
            </a:ext>
          </a:extLst>
        </xdr:cNvPr>
        <xdr:cNvSpPr>
          <a:spLocks noChangeShapeType="1"/>
        </xdr:cNvSpPr>
      </xdr:nvSpPr>
      <xdr:spPr bwMode="auto">
        <a:xfrm>
          <a:off x="3005455" y="15926435"/>
          <a:ext cx="69151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4" name="Line 75">
          <a:extLst>
            <a:ext uri="{FF2B5EF4-FFF2-40B4-BE49-F238E27FC236}">
              <a16:creationId xmlns:a16="http://schemas.microsoft.com/office/drawing/2014/main" id="{41F4DB83-3DA4-445A-8BA6-FA4A621A7C46}"/>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15" name="Line 87">
          <a:extLst>
            <a:ext uri="{FF2B5EF4-FFF2-40B4-BE49-F238E27FC236}">
              <a16:creationId xmlns:a16="http://schemas.microsoft.com/office/drawing/2014/main" id="{791DAB28-DDD2-48BF-A0E5-5EA264DC1700}"/>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16" name="Line 75">
          <a:extLst>
            <a:ext uri="{FF2B5EF4-FFF2-40B4-BE49-F238E27FC236}">
              <a16:creationId xmlns:a16="http://schemas.microsoft.com/office/drawing/2014/main" id="{8DE27A61-CDE1-42CE-87AA-54FBA2010731}"/>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17" name="Line 79">
          <a:extLst>
            <a:ext uri="{FF2B5EF4-FFF2-40B4-BE49-F238E27FC236}">
              <a16:creationId xmlns:a16="http://schemas.microsoft.com/office/drawing/2014/main" id="{8AF88FD4-527C-471D-A1E6-5FFD2DECAC39}"/>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18" name="Line 87">
          <a:extLst>
            <a:ext uri="{FF2B5EF4-FFF2-40B4-BE49-F238E27FC236}">
              <a16:creationId xmlns:a16="http://schemas.microsoft.com/office/drawing/2014/main" id="{58EAFDE3-2606-4663-B7CB-B0D2A7CCDEB1}"/>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9" name="Line 75">
          <a:extLst>
            <a:ext uri="{FF2B5EF4-FFF2-40B4-BE49-F238E27FC236}">
              <a16:creationId xmlns:a16="http://schemas.microsoft.com/office/drawing/2014/main" id="{3000D34D-6334-4874-80AC-D8D963654C12}"/>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0" name="Line 87">
          <a:extLst>
            <a:ext uri="{FF2B5EF4-FFF2-40B4-BE49-F238E27FC236}">
              <a16:creationId xmlns:a16="http://schemas.microsoft.com/office/drawing/2014/main" id="{D01BBDF8-FD75-49D7-842D-1823BAEA1DE4}"/>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1" name="Line 75">
          <a:extLst>
            <a:ext uri="{FF2B5EF4-FFF2-40B4-BE49-F238E27FC236}">
              <a16:creationId xmlns:a16="http://schemas.microsoft.com/office/drawing/2014/main" id="{771E00A7-4C99-4B34-A8E1-D46EEFFA2166}"/>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2" name="Line 79">
          <a:extLst>
            <a:ext uri="{FF2B5EF4-FFF2-40B4-BE49-F238E27FC236}">
              <a16:creationId xmlns:a16="http://schemas.microsoft.com/office/drawing/2014/main" id="{C7561CFA-CE0B-4047-AEAF-371950FD241E}"/>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3" name="Line 87">
          <a:extLst>
            <a:ext uri="{FF2B5EF4-FFF2-40B4-BE49-F238E27FC236}">
              <a16:creationId xmlns:a16="http://schemas.microsoft.com/office/drawing/2014/main" id="{649A95D1-8B3C-4297-8D40-AD45FF52B1AE}"/>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8193" name="Line 1">
          <a:extLst>
            <a:ext uri="{FF2B5EF4-FFF2-40B4-BE49-F238E27FC236}">
              <a16:creationId xmlns:a16="http://schemas.microsoft.com/office/drawing/2014/main" id="{00000000-0008-0000-0B00-000001200000}"/>
            </a:ext>
          </a:extLst>
        </xdr:cNvPr>
        <xdr:cNvSpPr>
          <a:spLocks noChangeShapeType="1"/>
        </xdr:cNvSpPr>
      </xdr:nvSpPr>
      <xdr:spPr bwMode="auto">
        <a:xfrm>
          <a:off x="48844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8194" name="Line 2">
          <a:extLst>
            <a:ext uri="{FF2B5EF4-FFF2-40B4-BE49-F238E27FC236}">
              <a16:creationId xmlns:a16="http://schemas.microsoft.com/office/drawing/2014/main" id="{00000000-0008-0000-0B00-000002200000}"/>
            </a:ext>
          </a:extLst>
        </xdr:cNvPr>
        <xdr:cNvSpPr>
          <a:spLocks noChangeShapeType="1"/>
        </xdr:cNvSpPr>
      </xdr:nvSpPr>
      <xdr:spPr bwMode="auto">
        <a:xfrm>
          <a:off x="48844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8195" name="Line 3">
          <a:extLst>
            <a:ext uri="{FF2B5EF4-FFF2-40B4-BE49-F238E27FC236}">
              <a16:creationId xmlns:a16="http://schemas.microsoft.com/office/drawing/2014/main" id="{00000000-0008-0000-0B00-000003200000}"/>
            </a:ext>
          </a:extLst>
        </xdr:cNvPr>
        <xdr:cNvSpPr>
          <a:spLocks noChangeShapeType="1"/>
        </xdr:cNvSpPr>
      </xdr:nvSpPr>
      <xdr:spPr bwMode="auto">
        <a:xfrm>
          <a:off x="48844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8196" name="Line 4">
          <a:extLst>
            <a:ext uri="{FF2B5EF4-FFF2-40B4-BE49-F238E27FC236}">
              <a16:creationId xmlns:a16="http://schemas.microsoft.com/office/drawing/2014/main" id="{00000000-0008-0000-0B00-000004200000}"/>
            </a:ext>
          </a:extLst>
        </xdr:cNvPr>
        <xdr:cNvSpPr>
          <a:spLocks noChangeShapeType="1"/>
        </xdr:cNvSpPr>
      </xdr:nvSpPr>
      <xdr:spPr bwMode="auto">
        <a:xfrm>
          <a:off x="70789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8197" name="Line 5">
          <a:extLst>
            <a:ext uri="{FF2B5EF4-FFF2-40B4-BE49-F238E27FC236}">
              <a16:creationId xmlns:a16="http://schemas.microsoft.com/office/drawing/2014/main" id="{00000000-0008-0000-0B00-000005200000}"/>
            </a:ext>
          </a:extLst>
        </xdr:cNvPr>
        <xdr:cNvSpPr>
          <a:spLocks noChangeShapeType="1"/>
        </xdr:cNvSpPr>
      </xdr:nvSpPr>
      <xdr:spPr bwMode="auto">
        <a:xfrm>
          <a:off x="107365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8198" name="Line 6">
          <a:extLst>
            <a:ext uri="{FF2B5EF4-FFF2-40B4-BE49-F238E27FC236}">
              <a16:creationId xmlns:a16="http://schemas.microsoft.com/office/drawing/2014/main" id="{00000000-0008-0000-0B00-000006200000}"/>
            </a:ext>
          </a:extLst>
        </xdr:cNvPr>
        <xdr:cNvSpPr>
          <a:spLocks noChangeShapeType="1"/>
        </xdr:cNvSpPr>
      </xdr:nvSpPr>
      <xdr:spPr bwMode="auto">
        <a:xfrm>
          <a:off x="107365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199" name="Line 7">
          <a:extLst>
            <a:ext uri="{FF2B5EF4-FFF2-40B4-BE49-F238E27FC236}">
              <a16:creationId xmlns:a16="http://schemas.microsoft.com/office/drawing/2014/main" id="{00000000-0008-0000-0B00-000007200000}"/>
            </a:ext>
          </a:extLst>
        </xdr:cNvPr>
        <xdr:cNvSpPr>
          <a:spLocks noChangeShapeType="1"/>
        </xdr:cNvSpPr>
      </xdr:nvSpPr>
      <xdr:spPr bwMode="auto">
        <a:xfrm>
          <a:off x="48844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8200" name="Line 8">
          <a:extLst>
            <a:ext uri="{FF2B5EF4-FFF2-40B4-BE49-F238E27FC236}">
              <a16:creationId xmlns:a16="http://schemas.microsoft.com/office/drawing/2014/main" id="{00000000-0008-0000-0B00-000008200000}"/>
            </a:ext>
          </a:extLst>
        </xdr:cNvPr>
        <xdr:cNvSpPr>
          <a:spLocks noChangeShapeType="1"/>
        </xdr:cNvSpPr>
      </xdr:nvSpPr>
      <xdr:spPr bwMode="auto">
        <a:xfrm>
          <a:off x="48844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8201" name="Line 9">
          <a:extLst>
            <a:ext uri="{FF2B5EF4-FFF2-40B4-BE49-F238E27FC236}">
              <a16:creationId xmlns:a16="http://schemas.microsoft.com/office/drawing/2014/main" id="{00000000-0008-0000-0B00-000009200000}"/>
            </a:ext>
          </a:extLst>
        </xdr:cNvPr>
        <xdr:cNvSpPr>
          <a:spLocks noChangeShapeType="1"/>
        </xdr:cNvSpPr>
      </xdr:nvSpPr>
      <xdr:spPr bwMode="auto">
        <a:xfrm>
          <a:off x="48844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8202" name="Line 10">
          <a:extLst>
            <a:ext uri="{FF2B5EF4-FFF2-40B4-BE49-F238E27FC236}">
              <a16:creationId xmlns:a16="http://schemas.microsoft.com/office/drawing/2014/main" id="{00000000-0008-0000-0B00-00000A200000}"/>
            </a:ext>
          </a:extLst>
        </xdr:cNvPr>
        <xdr:cNvSpPr>
          <a:spLocks noChangeShapeType="1"/>
        </xdr:cNvSpPr>
      </xdr:nvSpPr>
      <xdr:spPr bwMode="auto">
        <a:xfrm>
          <a:off x="70789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8203" name="Line 11">
          <a:extLst>
            <a:ext uri="{FF2B5EF4-FFF2-40B4-BE49-F238E27FC236}">
              <a16:creationId xmlns:a16="http://schemas.microsoft.com/office/drawing/2014/main" id="{00000000-0008-0000-0B00-00000B200000}"/>
            </a:ext>
          </a:extLst>
        </xdr:cNvPr>
        <xdr:cNvSpPr>
          <a:spLocks noChangeShapeType="1"/>
        </xdr:cNvSpPr>
      </xdr:nvSpPr>
      <xdr:spPr bwMode="auto">
        <a:xfrm>
          <a:off x="70789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8204" name="Line 12">
          <a:extLst>
            <a:ext uri="{FF2B5EF4-FFF2-40B4-BE49-F238E27FC236}">
              <a16:creationId xmlns:a16="http://schemas.microsoft.com/office/drawing/2014/main" id="{00000000-0008-0000-0B00-00000C200000}"/>
            </a:ext>
          </a:extLst>
        </xdr:cNvPr>
        <xdr:cNvSpPr>
          <a:spLocks noChangeShapeType="1"/>
        </xdr:cNvSpPr>
      </xdr:nvSpPr>
      <xdr:spPr bwMode="auto">
        <a:xfrm>
          <a:off x="70789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8205" name="Line 13">
          <a:extLst>
            <a:ext uri="{FF2B5EF4-FFF2-40B4-BE49-F238E27FC236}">
              <a16:creationId xmlns:a16="http://schemas.microsoft.com/office/drawing/2014/main" id="{00000000-0008-0000-0B00-00000D200000}"/>
            </a:ext>
          </a:extLst>
        </xdr:cNvPr>
        <xdr:cNvSpPr>
          <a:spLocks noChangeShapeType="1"/>
        </xdr:cNvSpPr>
      </xdr:nvSpPr>
      <xdr:spPr bwMode="auto">
        <a:xfrm>
          <a:off x="1073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8206" name="Line 14">
          <a:extLst>
            <a:ext uri="{FF2B5EF4-FFF2-40B4-BE49-F238E27FC236}">
              <a16:creationId xmlns:a16="http://schemas.microsoft.com/office/drawing/2014/main" id="{00000000-0008-0000-0B00-00000E200000}"/>
            </a:ext>
          </a:extLst>
        </xdr:cNvPr>
        <xdr:cNvSpPr>
          <a:spLocks noChangeShapeType="1"/>
        </xdr:cNvSpPr>
      </xdr:nvSpPr>
      <xdr:spPr bwMode="auto">
        <a:xfrm>
          <a:off x="1073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8207" name="Line 15">
          <a:extLst>
            <a:ext uri="{FF2B5EF4-FFF2-40B4-BE49-F238E27FC236}">
              <a16:creationId xmlns:a16="http://schemas.microsoft.com/office/drawing/2014/main" id="{00000000-0008-0000-0B00-00000F200000}"/>
            </a:ext>
          </a:extLst>
        </xdr:cNvPr>
        <xdr:cNvSpPr>
          <a:spLocks noChangeShapeType="1"/>
        </xdr:cNvSpPr>
      </xdr:nvSpPr>
      <xdr:spPr bwMode="auto">
        <a:xfrm>
          <a:off x="1073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8208" name="Line 16">
          <a:extLst>
            <a:ext uri="{FF2B5EF4-FFF2-40B4-BE49-F238E27FC236}">
              <a16:creationId xmlns:a16="http://schemas.microsoft.com/office/drawing/2014/main" id="{00000000-0008-0000-0B00-000010200000}"/>
            </a:ext>
          </a:extLst>
        </xdr:cNvPr>
        <xdr:cNvSpPr>
          <a:spLocks noChangeShapeType="1"/>
        </xdr:cNvSpPr>
      </xdr:nvSpPr>
      <xdr:spPr bwMode="auto">
        <a:xfrm>
          <a:off x="107365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8209" name="Line 17">
          <a:extLst>
            <a:ext uri="{FF2B5EF4-FFF2-40B4-BE49-F238E27FC236}">
              <a16:creationId xmlns:a16="http://schemas.microsoft.com/office/drawing/2014/main" id="{00000000-0008-0000-0B00-000011200000}"/>
            </a:ext>
          </a:extLst>
        </xdr:cNvPr>
        <xdr:cNvSpPr>
          <a:spLocks noChangeShapeType="1"/>
        </xdr:cNvSpPr>
      </xdr:nvSpPr>
      <xdr:spPr bwMode="auto">
        <a:xfrm>
          <a:off x="26898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8210" name="Line 18">
          <a:extLst>
            <a:ext uri="{FF2B5EF4-FFF2-40B4-BE49-F238E27FC236}">
              <a16:creationId xmlns:a16="http://schemas.microsoft.com/office/drawing/2014/main" id="{00000000-0008-0000-0B00-000012200000}"/>
            </a:ext>
          </a:extLst>
        </xdr:cNvPr>
        <xdr:cNvSpPr>
          <a:spLocks noChangeShapeType="1"/>
        </xdr:cNvSpPr>
      </xdr:nvSpPr>
      <xdr:spPr bwMode="auto">
        <a:xfrm>
          <a:off x="26898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8211" name="Line 19">
          <a:extLst>
            <a:ext uri="{FF2B5EF4-FFF2-40B4-BE49-F238E27FC236}">
              <a16:creationId xmlns:a16="http://schemas.microsoft.com/office/drawing/2014/main" id="{00000000-0008-0000-0B00-000013200000}"/>
            </a:ext>
          </a:extLst>
        </xdr:cNvPr>
        <xdr:cNvSpPr>
          <a:spLocks noChangeShapeType="1"/>
        </xdr:cNvSpPr>
      </xdr:nvSpPr>
      <xdr:spPr bwMode="auto">
        <a:xfrm>
          <a:off x="26898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8212" name="Line 20">
          <a:extLst>
            <a:ext uri="{FF2B5EF4-FFF2-40B4-BE49-F238E27FC236}">
              <a16:creationId xmlns:a16="http://schemas.microsoft.com/office/drawing/2014/main" id="{00000000-0008-0000-0B00-000014200000}"/>
            </a:ext>
          </a:extLst>
        </xdr:cNvPr>
        <xdr:cNvSpPr>
          <a:spLocks noChangeShapeType="1"/>
        </xdr:cNvSpPr>
      </xdr:nvSpPr>
      <xdr:spPr bwMode="auto">
        <a:xfrm>
          <a:off x="26898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8213" name="Line 21">
          <a:extLst>
            <a:ext uri="{FF2B5EF4-FFF2-40B4-BE49-F238E27FC236}">
              <a16:creationId xmlns:a16="http://schemas.microsoft.com/office/drawing/2014/main" id="{00000000-0008-0000-0B00-000015200000}"/>
            </a:ext>
          </a:extLst>
        </xdr:cNvPr>
        <xdr:cNvSpPr>
          <a:spLocks noChangeShapeType="1"/>
        </xdr:cNvSpPr>
      </xdr:nvSpPr>
      <xdr:spPr bwMode="auto">
        <a:xfrm>
          <a:off x="26898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8214" name="Line 22">
          <a:extLst>
            <a:ext uri="{FF2B5EF4-FFF2-40B4-BE49-F238E27FC236}">
              <a16:creationId xmlns:a16="http://schemas.microsoft.com/office/drawing/2014/main" id="{00000000-0008-0000-0B00-000016200000}"/>
            </a:ext>
          </a:extLst>
        </xdr:cNvPr>
        <xdr:cNvSpPr>
          <a:spLocks noChangeShapeType="1"/>
        </xdr:cNvSpPr>
      </xdr:nvSpPr>
      <xdr:spPr bwMode="auto">
        <a:xfrm>
          <a:off x="26898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8215" name="Line 23">
          <a:extLst>
            <a:ext uri="{FF2B5EF4-FFF2-40B4-BE49-F238E27FC236}">
              <a16:creationId xmlns:a16="http://schemas.microsoft.com/office/drawing/2014/main" id="{00000000-0008-0000-0B00-0000172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8216" name="Line 24">
          <a:extLst>
            <a:ext uri="{FF2B5EF4-FFF2-40B4-BE49-F238E27FC236}">
              <a16:creationId xmlns:a16="http://schemas.microsoft.com/office/drawing/2014/main" id="{00000000-0008-0000-0B00-0000182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8217" name="Line 25">
          <a:extLst>
            <a:ext uri="{FF2B5EF4-FFF2-40B4-BE49-F238E27FC236}">
              <a16:creationId xmlns:a16="http://schemas.microsoft.com/office/drawing/2014/main" id="{00000000-0008-0000-0B00-000019200000}"/>
            </a:ext>
          </a:extLst>
        </xdr:cNvPr>
        <xdr:cNvSpPr>
          <a:spLocks noChangeShapeType="1"/>
        </xdr:cNvSpPr>
      </xdr:nvSpPr>
      <xdr:spPr bwMode="auto">
        <a:xfrm>
          <a:off x="70789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8218" name="Line 26">
          <a:extLst>
            <a:ext uri="{FF2B5EF4-FFF2-40B4-BE49-F238E27FC236}">
              <a16:creationId xmlns:a16="http://schemas.microsoft.com/office/drawing/2014/main" id="{00000000-0008-0000-0B00-00001A200000}"/>
            </a:ext>
          </a:extLst>
        </xdr:cNvPr>
        <xdr:cNvSpPr>
          <a:spLocks noChangeShapeType="1"/>
        </xdr:cNvSpPr>
      </xdr:nvSpPr>
      <xdr:spPr bwMode="auto">
        <a:xfrm>
          <a:off x="107365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8219" name="Line 27">
          <a:extLst>
            <a:ext uri="{FF2B5EF4-FFF2-40B4-BE49-F238E27FC236}">
              <a16:creationId xmlns:a16="http://schemas.microsoft.com/office/drawing/2014/main" id="{00000000-0008-0000-0B00-00001B200000}"/>
            </a:ext>
          </a:extLst>
        </xdr:cNvPr>
        <xdr:cNvSpPr>
          <a:spLocks noChangeShapeType="1"/>
        </xdr:cNvSpPr>
      </xdr:nvSpPr>
      <xdr:spPr bwMode="auto">
        <a:xfrm>
          <a:off x="48844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8220" name="Line 28">
          <a:extLst>
            <a:ext uri="{FF2B5EF4-FFF2-40B4-BE49-F238E27FC236}">
              <a16:creationId xmlns:a16="http://schemas.microsoft.com/office/drawing/2014/main" id="{00000000-0008-0000-0B00-00001C200000}"/>
            </a:ext>
          </a:extLst>
        </xdr:cNvPr>
        <xdr:cNvSpPr>
          <a:spLocks noChangeShapeType="1"/>
        </xdr:cNvSpPr>
      </xdr:nvSpPr>
      <xdr:spPr bwMode="auto">
        <a:xfrm>
          <a:off x="48844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8221" name="Line 29">
          <a:extLst>
            <a:ext uri="{FF2B5EF4-FFF2-40B4-BE49-F238E27FC236}">
              <a16:creationId xmlns:a16="http://schemas.microsoft.com/office/drawing/2014/main" id="{00000000-0008-0000-0B00-00001D200000}"/>
            </a:ext>
          </a:extLst>
        </xdr:cNvPr>
        <xdr:cNvSpPr>
          <a:spLocks noChangeShapeType="1"/>
        </xdr:cNvSpPr>
      </xdr:nvSpPr>
      <xdr:spPr bwMode="auto">
        <a:xfrm>
          <a:off x="70789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8222" name="Line 30">
          <a:extLst>
            <a:ext uri="{FF2B5EF4-FFF2-40B4-BE49-F238E27FC236}">
              <a16:creationId xmlns:a16="http://schemas.microsoft.com/office/drawing/2014/main" id="{00000000-0008-0000-0B00-00001E200000}"/>
            </a:ext>
          </a:extLst>
        </xdr:cNvPr>
        <xdr:cNvSpPr>
          <a:spLocks noChangeShapeType="1"/>
        </xdr:cNvSpPr>
      </xdr:nvSpPr>
      <xdr:spPr bwMode="auto">
        <a:xfrm>
          <a:off x="70789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8223" name="Line 31">
          <a:extLst>
            <a:ext uri="{FF2B5EF4-FFF2-40B4-BE49-F238E27FC236}">
              <a16:creationId xmlns:a16="http://schemas.microsoft.com/office/drawing/2014/main" id="{00000000-0008-0000-0B00-00001F200000}"/>
            </a:ext>
          </a:extLst>
        </xdr:cNvPr>
        <xdr:cNvSpPr>
          <a:spLocks noChangeShapeType="1"/>
        </xdr:cNvSpPr>
      </xdr:nvSpPr>
      <xdr:spPr bwMode="auto">
        <a:xfrm>
          <a:off x="1073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8224" name="Line 32">
          <a:extLst>
            <a:ext uri="{FF2B5EF4-FFF2-40B4-BE49-F238E27FC236}">
              <a16:creationId xmlns:a16="http://schemas.microsoft.com/office/drawing/2014/main" id="{00000000-0008-0000-0B00-000020200000}"/>
            </a:ext>
          </a:extLst>
        </xdr:cNvPr>
        <xdr:cNvSpPr>
          <a:spLocks noChangeShapeType="1"/>
        </xdr:cNvSpPr>
      </xdr:nvSpPr>
      <xdr:spPr bwMode="auto">
        <a:xfrm>
          <a:off x="1073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8225" name="Line 33">
          <a:extLst>
            <a:ext uri="{FF2B5EF4-FFF2-40B4-BE49-F238E27FC236}">
              <a16:creationId xmlns:a16="http://schemas.microsoft.com/office/drawing/2014/main" id="{00000000-0008-0000-0B00-000021200000}"/>
            </a:ext>
          </a:extLst>
        </xdr:cNvPr>
        <xdr:cNvSpPr>
          <a:spLocks noChangeShapeType="1"/>
        </xdr:cNvSpPr>
      </xdr:nvSpPr>
      <xdr:spPr bwMode="auto">
        <a:xfrm>
          <a:off x="26898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8226" name="Line 34">
          <a:extLst>
            <a:ext uri="{FF2B5EF4-FFF2-40B4-BE49-F238E27FC236}">
              <a16:creationId xmlns:a16="http://schemas.microsoft.com/office/drawing/2014/main" id="{00000000-0008-0000-0B00-0000222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8227" name="Line 35">
          <a:extLst>
            <a:ext uri="{FF2B5EF4-FFF2-40B4-BE49-F238E27FC236}">
              <a16:creationId xmlns:a16="http://schemas.microsoft.com/office/drawing/2014/main" id="{00000000-0008-0000-0B00-0000232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8228" name="Line 36">
          <a:extLst>
            <a:ext uri="{FF2B5EF4-FFF2-40B4-BE49-F238E27FC236}">
              <a16:creationId xmlns:a16="http://schemas.microsoft.com/office/drawing/2014/main" id="{00000000-0008-0000-0B00-000024200000}"/>
            </a:ext>
          </a:extLst>
        </xdr:cNvPr>
        <xdr:cNvSpPr>
          <a:spLocks noChangeShapeType="1"/>
        </xdr:cNvSpPr>
      </xdr:nvSpPr>
      <xdr:spPr bwMode="auto">
        <a:xfrm>
          <a:off x="26898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8229" name="Line 37">
          <a:extLst>
            <a:ext uri="{FF2B5EF4-FFF2-40B4-BE49-F238E27FC236}">
              <a16:creationId xmlns:a16="http://schemas.microsoft.com/office/drawing/2014/main" id="{00000000-0008-0000-0B00-000025200000}"/>
            </a:ext>
          </a:extLst>
        </xdr:cNvPr>
        <xdr:cNvSpPr>
          <a:spLocks noChangeShapeType="1"/>
        </xdr:cNvSpPr>
      </xdr:nvSpPr>
      <xdr:spPr bwMode="auto">
        <a:xfrm>
          <a:off x="26898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8230" name="Line 38">
          <a:extLst>
            <a:ext uri="{FF2B5EF4-FFF2-40B4-BE49-F238E27FC236}">
              <a16:creationId xmlns:a16="http://schemas.microsoft.com/office/drawing/2014/main" id="{00000000-0008-0000-0B00-000026200000}"/>
            </a:ext>
          </a:extLst>
        </xdr:cNvPr>
        <xdr:cNvSpPr>
          <a:spLocks noChangeShapeType="1"/>
        </xdr:cNvSpPr>
      </xdr:nvSpPr>
      <xdr:spPr bwMode="auto">
        <a:xfrm>
          <a:off x="26898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8231" name="Line 39">
          <a:extLst>
            <a:ext uri="{FF2B5EF4-FFF2-40B4-BE49-F238E27FC236}">
              <a16:creationId xmlns:a16="http://schemas.microsoft.com/office/drawing/2014/main" id="{00000000-0008-0000-0B00-000027200000}"/>
            </a:ext>
          </a:extLst>
        </xdr:cNvPr>
        <xdr:cNvSpPr>
          <a:spLocks noChangeShapeType="1"/>
        </xdr:cNvSpPr>
      </xdr:nvSpPr>
      <xdr:spPr bwMode="auto">
        <a:xfrm>
          <a:off x="48844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8232" name="Line 40">
          <a:extLst>
            <a:ext uri="{FF2B5EF4-FFF2-40B4-BE49-F238E27FC236}">
              <a16:creationId xmlns:a16="http://schemas.microsoft.com/office/drawing/2014/main" id="{00000000-0008-0000-0B00-000028200000}"/>
            </a:ext>
          </a:extLst>
        </xdr:cNvPr>
        <xdr:cNvSpPr>
          <a:spLocks noChangeShapeType="1"/>
        </xdr:cNvSpPr>
      </xdr:nvSpPr>
      <xdr:spPr bwMode="auto">
        <a:xfrm>
          <a:off x="107365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8233" name="Line 41">
          <a:extLst>
            <a:ext uri="{FF2B5EF4-FFF2-40B4-BE49-F238E27FC236}">
              <a16:creationId xmlns:a16="http://schemas.microsoft.com/office/drawing/2014/main" id="{00000000-0008-0000-0B00-0000292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8234" name="Line 42">
          <a:extLst>
            <a:ext uri="{FF2B5EF4-FFF2-40B4-BE49-F238E27FC236}">
              <a16:creationId xmlns:a16="http://schemas.microsoft.com/office/drawing/2014/main" id="{00000000-0008-0000-0B00-00002A2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8235" name="Line 43">
          <a:extLst>
            <a:ext uri="{FF2B5EF4-FFF2-40B4-BE49-F238E27FC236}">
              <a16:creationId xmlns:a16="http://schemas.microsoft.com/office/drawing/2014/main" id="{00000000-0008-0000-0B00-00002B200000}"/>
            </a:ext>
          </a:extLst>
        </xdr:cNvPr>
        <xdr:cNvSpPr>
          <a:spLocks noChangeShapeType="1"/>
        </xdr:cNvSpPr>
      </xdr:nvSpPr>
      <xdr:spPr bwMode="auto">
        <a:xfrm>
          <a:off x="70789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8236" name="Line 44">
          <a:extLst>
            <a:ext uri="{FF2B5EF4-FFF2-40B4-BE49-F238E27FC236}">
              <a16:creationId xmlns:a16="http://schemas.microsoft.com/office/drawing/2014/main" id="{00000000-0008-0000-0B00-00002C200000}"/>
            </a:ext>
          </a:extLst>
        </xdr:cNvPr>
        <xdr:cNvSpPr>
          <a:spLocks noChangeShapeType="1"/>
        </xdr:cNvSpPr>
      </xdr:nvSpPr>
      <xdr:spPr bwMode="auto">
        <a:xfrm>
          <a:off x="107365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8237" name="Line 45">
          <a:extLst>
            <a:ext uri="{FF2B5EF4-FFF2-40B4-BE49-F238E27FC236}">
              <a16:creationId xmlns:a16="http://schemas.microsoft.com/office/drawing/2014/main" id="{00000000-0008-0000-0B00-00002D200000}"/>
            </a:ext>
          </a:extLst>
        </xdr:cNvPr>
        <xdr:cNvSpPr>
          <a:spLocks noChangeShapeType="1"/>
        </xdr:cNvSpPr>
      </xdr:nvSpPr>
      <xdr:spPr bwMode="auto">
        <a:xfrm>
          <a:off x="48844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8238" name="Line 46">
          <a:extLst>
            <a:ext uri="{FF2B5EF4-FFF2-40B4-BE49-F238E27FC236}">
              <a16:creationId xmlns:a16="http://schemas.microsoft.com/office/drawing/2014/main" id="{00000000-0008-0000-0B00-00002E200000}"/>
            </a:ext>
          </a:extLst>
        </xdr:cNvPr>
        <xdr:cNvSpPr>
          <a:spLocks noChangeShapeType="1"/>
        </xdr:cNvSpPr>
      </xdr:nvSpPr>
      <xdr:spPr bwMode="auto">
        <a:xfrm>
          <a:off x="70789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8239" name="Line 47">
          <a:extLst>
            <a:ext uri="{FF2B5EF4-FFF2-40B4-BE49-F238E27FC236}">
              <a16:creationId xmlns:a16="http://schemas.microsoft.com/office/drawing/2014/main" id="{00000000-0008-0000-0B00-00002F200000}"/>
            </a:ext>
          </a:extLst>
        </xdr:cNvPr>
        <xdr:cNvSpPr>
          <a:spLocks noChangeShapeType="1"/>
        </xdr:cNvSpPr>
      </xdr:nvSpPr>
      <xdr:spPr bwMode="auto">
        <a:xfrm>
          <a:off x="1073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8240" name="Line 48">
          <a:extLst>
            <a:ext uri="{FF2B5EF4-FFF2-40B4-BE49-F238E27FC236}">
              <a16:creationId xmlns:a16="http://schemas.microsoft.com/office/drawing/2014/main" id="{00000000-0008-0000-0B00-000030200000}"/>
            </a:ext>
          </a:extLst>
        </xdr:cNvPr>
        <xdr:cNvSpPr>
          <a:spLocks noChangeShapeType="1"/>
        </xdr:cNvSpPr>
      </xdr:nvSpPr>
      <xdr:spPr bwMode="auto">
        <a:xfrm>
          <a:off x="26898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8241" name="Line 49">
          <a:extLst>
            <a:ext uri="{FF2B5EF4-FFF2-40B4-BE49-F238E27FC236}">
              <a16:creationId xmlns:a16="http://schemas.microsoft.com/office/drawing/2014/main" id="{00000000-0008-0000-0B00-0000312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8242" name="Line 50">
          <a:extLst>
            <a:ext uri="{FF2B5EF4-FFF2-40B4-BE49-F238E27FC236}">
              <a16:creationId xmlns:a16="http://schemas.microsoft.com/office/drawing/2014/main" id="{00000000-0008-0000-0B00-0000322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8243" name="Line 51">
          <a:extLst>
            <a:ext uri="{FF2B5EF4-FFF2-40B4-BE49-F238E27FC236}">
              <a16:creationId xmlns:a16="http://schemas.microsoft.com/office/drawing/2014/main" id="{00000000-0008-0000-0B00-0000332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8244" name="Line 52">
          <a:extLst>
            <a:ext uri="{FF2B5EF4-FFF2-40B4-BE49-F238E27FC236}">
              <a16:creationId xmlns:a16="http://schemas.microsoft.com/office/drawing/2014/main" id="{00000000-0008-0000-0B00-000034200000}"/>
            </a:ext>
          </a:extLst>
        </xdr:cNvPr>
        <xdr:cNvSpPr>
          <a:spLocks noChangeShapeType="1"/>
        </xdr:cNvSpPr>
      </xdr:nvSpPr>
      <xdr:spPr bwMode="auto">
        <a:xfrm>
          <a:off x="26898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8245" name="Line 53">
          <a:extLst>
            <a:ext uri="{FF2B5EF4-FFF2-40B4-BE49-F238E27FC236}">
              <a16:creationId xmlns:a16="http://schemas.microsoft.com/office/drawing/2014/main" id="{00000000-0008-0000-0B00-000035200000}"/>
            </a:ext>
          </a:extLst>
        </xdr:cNvPr>
        <xdr:cNvSpPr>
          <a:spLocks noChangeShapeType="1"/>
        </xdr:cNvSpPr>
      </xdr:nvSpPr>
      <xdr:spPr bwMode="auto">
        <a:xfrm>
          <a:off x="26898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8246" name="Line 54">
          <a:extLst>
            <a:ext uri="{FF2B5EF4-FFF2-40B4-BE49-F238E27FC236}">
              <a16:creationId xmlns:a16="http://schemas.microsoft.com/office/drawing/2014/main" id="{00000000-0008-0000-0B00-000036200000}"/>
            </a:ext>
          </a:extLst>
        </xdr:cNvPr>
        <xdr:cNvSpPr>
          <a:spLocks noChangeShapeType="1"/>
        </xdr:cNvSpPr>
      </xdr:nvSpPr>
      <xdr:spPr bwMode="auto">
        <a:xfrm>
          <a:off x="48844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8247" name="Line 55">
          <a:extLst>
            <a:ext uri="{FF2B5EF4-FFF2-40B4-BE49-F238E27FC236}">
              <a16:creationId xmlns:a16="http://schemas.microsoft.com/office/drawing/2014/main" id="{00000000-0008-0000-0B00-000037200000}"/>
            </a:ext>
          </a:extLst>
        </xdr:cNvPr>
        <xdr:cNvSpPr>
          <a:spLocks noChangeShapeType="1"/>
        </xdr:cNvSpPr>
      </xdr:nvSpPr>
      <xdr:spPr bwMode="auto">
        <a:xfrm>
          <a:off x="4884420" y="552450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8248" name="Line 56">
          <a:extLst>
            <a:ext uri="{FF2B5EF4-FFF2-40B4-BE49-F238E27FC236}">
              <a16:creationId xmlns:a16="http://schemas.microsoft.com/office/drawing/2014/main" id="{00000000-0008-0000-0B00-000038200000}"/>
            </a:ext>
          </a:extLst>
        </xdr:cNvPr>
        <xdr:cNvSpPr>
          <a:spLocks noChangeShapeType="1"/>
        </xdr:cNvSpPr>
      </xdr:nvSpPr>
      <xdr:spPr bwMode="auto">
        <a:xfrm>
          <a:off x="4884420" y="770382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8249" name="Line 57">
          <a:extLst>
            <a:ext uri="{FF2B5EF4-FFF2-40B4-BE49-F238E27FC236}">
              <a16:creationId xmlns:a16="http://schemas.microsoft.com/office/drawing/2014/main" id="{00000000-0008-0000-0B00-000039200000}"/>
            </a:ext>
          </a:extLst>
        </xdr:cNvPr>
        <xdr:cNvSpPr>
          <a:spLocks noChangeShapeType="1"/>
        </xdr:cNvSpPr>
      </xdr:nvSpPr>
      <xdr:spPr bwMode="auto">
        <a:xfrm>
          <a:off x="4884420" y="103403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8250" name="Line 58">
          <a:extLst>
            <a:ext uri="{FF2B5EF4-FFF2-40B4-BE49-F238E27FC236}">
              <a16:creationId xmlns:a16="http://schemas.microsoft.com/office/drawing/2014/main" id="{00000000-0008-0000-0B00-00003A200000}"/>
            </a:ext>
          </a:extLst>
        </xdr:cNvPr>
        <xdr:cNvSpPr>
          <a:spLocks noChangeShapeType="1"/>
        </xdr:cNvSpPr>
      </xdr:nvSpPr>
      <xdr:spPr bwMode="auto">
        <a:xfrm>
          <a:off x="48844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8251" name="Line 59">
          <a:extLst>
            <a:ext uri="{FF2B5EF4-FFF2-40B4-BE49-F238E27FC236}">
              <a16:creationId xmlns:a16="http://schemas.microsoft.com/office/drawing/2014/main" id="{00000000-0008-0000-0B00-00003B200000}"/>
            </a:ext>
          </a:extLst>
        </xdr:cNvPr>
        <xdr:cNvSpPr>
          <a:spLocks noChangeShapeType="1"/>
        </xdr:cNvSpPr>
      </xdr:nvSpPr>
      <xdr:spPr bwMode="auto">
        <a:xfrm>
          <a:off x="107365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8252" name="Line 60">
          <a:extLst>
            <a:ext uri="{FF2B5EF4-FFF2-40B4-BE49-F238E27FC236}">
              <a16:creationId xmlns:a16="http://schemas.microsoft.com/office/drawing/2014/main" id="{00000000-0008-0000-0B00-00003C200000}"/>
            </a:ext>
          </a:extLst>
        </xdr:cNvPr>
        <xdr:cNvSpPr>
          <a:spLocks noChangeShapeType="1"/>
        </xdr:cNvSpPr>
      </xdr:nvSpPr>
      <xdr:spPr bwMode="auto">
        <a:xfrm>
          <a:off x="48844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253" name="Line 61">
          <a:extLst>
            <a:ext uri="{FF2B5EF4-FFF2-40B4-BE49-F238E27FC236}">
              <a16:creationId xmlns:a16="http://schemas.microsoft.com/office/drawing/2014/main" id="{00000000-0008-0000-0B00-00003D2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254" name="Line 62">
          <a:extLst>
            <a:ext uri="{FF2B5EF4-FFF2-40B4-BE49-F238E27FC236}">
              <a16:creationId xmlns:a16="http://schemas.microsoft.com/office/drawing/2014/main" id="{00000000-0008-0000-0B00-00003E2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8255" name="Line 63">
          <a:extLst>
            <a:ext uri="{FF2B5EF4-FFF2-40B4-BE49-F238E27FC236}">
              <a16:creationId xmlns:a16="http://schemas.microsoft.com/office/drawing/2014/main" id="{00000000-0008-0000-0B00-00003F200000}"/>
            </a:ext>
          </a:extLst>
        </xdr:cNvPr>
        <xdr:cNvSpPr>
          <a:spLocks noChangeShapeType="1"/>
        </xdr:cNvSpPr>
      </xdr:nvSpPr>
      <xdr:spPr bwMode="auto">
        <a:xfrm>
          <a:off x="70789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8256" name="Line 64">
          <a:extLst>
            <a:ext uri="{FF2B5EF4-FFF2-40B4-BE49-F238E27FC236}">
              <a16:creationId xmlns:a16="http://schemas.microsoft.com/office/drawing/2014/main" id="{00000000-0008-0000-0B00-000040200000}"/>
            </a:ext>
          </a:extLst>
        </xdr:cNvPr>
        <xdr:cNvSpPr>
          <a:spLocks noChangeShapeType="1"/>
        </xdr:cNvSpPr>
      </xdr:nvSpPr>
      <xdr:spPr bwMode="auto">
        <a:xfrm>
          <a:off x="107365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8257" name="Line 65">
          <a:extLst>
            <a:ext uri="{FF2B5EF4-FFF2-40B4-BE49-F238E27FC236}">
              <a16:creationId xmlns:a16="http://schemas.microsoft.com/office/drawing/2014/main" id="{00000000-0008-0000-0B00-000041200000}"/>
            </a:ext>
          </a:extLst>
        </xdr:cNvPr>
        <xdr:cNvSpPr>
          <a:spLocks noChangeShapeType="1"/>
        </xdr:cNvSpPr>
      </xdr:nvSpPr>
      <xdr:spPr bwMode="auto">
        <a:xfrm>
          <a:off x="48844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8258" name="Line 66">
          <a:extLst>
            <a:ext uri="{FF2B5EF4-FFF2-40B4-BE49-F238E27FC236}">
              <a16:creationId xmlns:a16="http://schemas.microsoft.com/office/drawing/2014/main" id="{00000000-0008-0000-0B00-000042200000}"/>
            </a:ext>
          </a:extLst>
        </xdr:cNvPr>
        <xdr:cNvSpPr>
          <a:spLocks noChangeShapeType="1"/>
        </xdr:cNvSpPr>
      </xdr:nvSpPr>
      <xdr:spPr bwMode="auto">
        <a:xfrm>
          <a:off x="26898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259" name="Line 67">
          <a:extLst>
            <a:ext uri="{FF2B5EF4-FFF2-40B4-BE49-F238E27FC236}">
              <a16:creationId xmlns:a16="http://schemas.microsoft.com/office/drawing/2014/main" id="{00000000-0008-0000-0B00-0000432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260" name="Line 68">
          <a:extLst>
            <a:ext uri="{FF2B5EF4-FFF2-40B4-BE49-F238E27FC236}">
              <a16:creationId xmlns:a16="http://schemas.microsoft.com/office/drawing/2014/main" id="{00000000-0008-0000-0B00-0000442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261" name="Line 69">
          <a:extLst>
            <a:ext uri="{FF2B5EF4-FFF2-40B4-BE49-F238E27FC236}">
              <a16:creationId xmlns:a16="http://schemas.microsoft.com/office/drawing/2014/main" id="{00000000-0008-0000-0B00-0000452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8262" name="Line 70">
          <a:extLst>
            <a:ext uri="{FF2B5EF4-FFF2-40B4-BE49-F238E27FC236}">
              <a16:creationId xmlns:a16="http://schemas.microsoft.com/office/drawing/2014/main" id="{00000000-0008-0000-0B00-0000462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8263" name="Line 71">
          <a:extLst>
            <a:ext uri="{FF2B5EF4-FFF2-40B4-BE49-F238E27FC236}">
              <a16:creationId xmlns:a16="http://schemas.microsoft.com/office/drawing/2014/main" id="{00000000-0008-0000-0B00-000047200000}"/>
            </a:ext>
          </a:extLst>
        </xdr:cNvPr>
        <xdr:cNvSpPr>
          <a:spLocks noChangeShapeType="1"/>
        </xdr:cNvSpPr>
      </xdr:nvSpPr>
      <xdr:spPr bwMode="auto">
        <a:xfrm>
          <a:off x="4884420" y="121843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8264" name="Line 72">
          <a:extLst>
            <a:ext uri="{FF2B5EF4-FFF2-40B4-BE49-F238E27FC236}">
              <a16:creationId xmlns:a16="http://schemas.microsoft.com/office/drawing/2014/main" id="{00000000-0008-0000-0B00-000048200000}"/>
            </a:ext>
          </a:extLst>
        </xdr:cNvPr>
        <xdr:cNvSpPr>
          <a:spLocks noChangeShapeType="1"/>
        </xdr:cNvSpPr>
      </xdr:nvSpPr>
      <xdr:spPr bwMode="auto">
        <a:xfrm>
          <a:off x="26898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8265" name="Line 73">
          <a:extLst>
            <a:ext uri="{FF2B5EF4-FFF2-40B4-BE49-F238E27FC236}">
              <a16:creationId xmlns:a16="http://schemas.microsoft.com/office/drawing/2014/main" id="{00000000-0008-0000-0B00-000049200000}"/>
            </a:ext>
          </a:extLst>
        </xdr:cNvPr>
        <xdr:cNvSpPr>
          <a:spLocks noChangeShapeType="1"/>
        </xdr:cNvSpPr>
      </xdr:nvSpPr>
      <xdr:spPr bwMode="auto">
        <a:xfrm>
          <a:off x="48844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8266" name="Line 74">
          <a:extLst>
            <a:ext uri="{FF2B5EF4-FFF2-40B4-BE49-F238E27FC236}">
              <a16:creationId xmlns:a16="http://schemas.microsoft.com/office/drawing/2014/main" id="{00000000-0008-0000-0B00-00004A200000}"/>
            </a:ext>
          </a:extLst>
        </xdr:cNvPr>
        <xdr:cNvSpPr>
          <a:spLocks noChangeShapeType="1"/>
        </xdr:cNvSpPr>
      </xdr:nvSpPr>
      <xdr:spPr bwMode="auto">
        <a:xfrm>
          <a:off x="107365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67" name="Line 75">
          <a:extLst>
            <a:ext uri="{FF2B5EF4-FFF2-40B4-BE49-F238E27FC236}">
              <a16:creationId xmlns:a16="http://schemas.microsoft.com/office/drawing/2014/main" id="{00000000-0008-0000-0B00-00004B2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68" name="Line 76">
          <a:extLst>
            <a:ext uri="{FF2B5EF4-FFF2-40B4-BE49-F238E27FC236}">
              <a16:creationId xmlns:a16="http://schemas.microsoft.com/office/drawing/2014/main" id="{00000000-0008-0000-0B00-00004C2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8269" name="Line 77">
          <a:extLst>
            <a:ext uri="{FF2B5EF4-FFF2-40B4-BE49-F238E27FC236}">
              <a16:creationId xmlns:a16="http://schemas.microsoft.com/office/drawing/2014/main" id="{00000000-0008-0000-0B00-00004D200000}"/>
            </a:ext>
          </a:extLst>
        </xdr:cNvPr>
        <xdr:cNvSpPr>
          <a:spLocks noChangeShapeType="1"/>
        </xdr:cNvSpPr>
      </xdr:nvSpPr>
      <xdr:spPr bwMode="auto">
        <a:xfrm>
          <a:off x="70789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8270" name="Line 78">
          <a:extLst>
            <a:ext uri="{FF2B5EF4-FFF2-40B4-BE49-F238E27FC236}">
              <a16:creationId xmlns:a16="http://schemas.microsoft.com/office/drawing/2014/main" id="{00000000-0008-0000-0B00-00004E200000}"/>
            </a:ext>
          </a:extLst>
        </xdr:cNvPr>
        <xdr:cNvSpPr>
          <a:spLocks noChangeShapeType="1"/>
        </xdr:cNvSpPr>
      </xdr:nvSpPr>
      <xdr:spPr bwMode="auto">
        <a:xfrm>
          <a:off x="48844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271" name="Line 79">
          <a:extLst>
            <a:ext uri="{FF2B5EF4-FFF2-40B4-BE49-F238E27FC236}">
              <a16:creationId xmlns:a16="http://schemas.microsoft.com/office/drawing/2014/main" id="{00000000-0008-0000-0B00-00004F200000}"/>
            </a:ext>
          </a:extLst>
        </xdr:cNvPr>
        <xdr:cNvSpPr>
          <a:spLocks noChangeShapeType="1"/>
        </xdr:cNvSpPr>
      </xdr:nvSpPr>
      <xdr:spPr bwMode="auto">
        <a:xfrm>
          <a:off x="26898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72" name="Line 80">
          <a:extLst>
            <a:ext uri="{FF2B5EF4-FFF2-40B4-BE49-F238E27FC236}">
              <a16:creationId xmlns:a16="http://schemas.microsoft.com/office/drawing/2014/main" id="{00000000-0008-0000-0B00-0000502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73" name="Line 81">
          <a:extLst>
            <a:ext uri="{FF2B5EF4-FFF2-40B4-BE49-F238E27FC236}">
              <a16:creationId xmlns:a16="http://schemas.microsoft.com/office/drawing/2014/main" id="{00000000-0008-0000-0B00-0000512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74" name="Line 82">
          <a:extLst>
            <a:ext uri="{FF2B5EF4-FFF2-40B4-BE49-F238E27FC236}">
              <a16:creationId xmlns:a16="http://schemas.microsoft.com/office/drawing/2014/main" id="{00000000-0008-0000-0B00-0000522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75" name="Line 83">
          <a:extLst>
            <a:ext uri="{FF2B5EF4-FFF2-40B4-BE49-F238E27FC236}">
              <a16:creationId xmlns:a16="http://schemas.microsoft.com/office/drawing/2014/main" id="{00000000-0008-0000-0B00-0000532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276" name="Line 84">
          <a:extLst>
            <a:ext uri="{FF2B5EF4-FFF2-40B4-BE49-F238E27FC236}">
              <a16:creationId xmlns:a16="http://schemas.microsoft.com/office/drawing/2014/main" id="{00000000-0008-0000-0B00-000054200000}"/>
            </a:ext>
          </a:extLst>
        </xdr:cNvPr>
        <xdr:cNvSpPr>
          <a:spLocks noChangeShapeType="1"/>
        </xdr:cNvSpPr>
      </xdr:nvSpPr>
      <xdr:spPr bwMode="auto">
        <a:xfrm>
          <a:off x="4884420" y="138607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277" name="Line 85">
          <a:extLst>
            <a:ext uri="{FF2B5EF4-FFF2-40B4-BE49-F238E27FC236}">
              <a16:creationId xmlns:a16="http://schemas.microsoft.com/office/drawing/2014/main" id="{00000000-0008-0000-0B00-0000552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278" name="Line 86">
          <a:extLst>
            <a:ext uri="{FF2B5EF4-FFF2-40B4-BE49-F238E27FC236}">
              <a16:creationId xmlns:a16="http://schemas.microsoft.com/office/drawing/2014/main" id="{00000000-0008-0000-0B00-0000562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279" name="Line 87">
          <a:extLst>
            <a:ext uri="{FF2B5EF4-FFF2-40B4-BE49-F238E27FC236}">
              <a16:creationId xmlns:a16="http://schemas.microsoft.com/office/drawing/2014/main" id="{00000000-0008-0000-0B00-0000572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280" name="Line 88">
          <a:extLst>
            <a:ext uri="{FF2B5EF4-FFF2-40B4-BE49-F238E27FC236}">
              <a16:creationId xmlns:a16="http://schemas.microsoft.com/office/drawing/2014/main" id="{00000000-0008-0000-0B00-0000582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8281" name="Line 89">
          <a:extLst>
            <a:ext uri="{FF2B5EF4-FFF2-40B4-BE49-F238E27FC236}">
              <a16:creationId xmlns:a16="http://schemas.microsoft.com/office/drawing/2014/main" id="{00000000-0008-0000-0B00-000059200000}"/>
            </a:ext>
          </a:extLst>
        </xdr:cNvPr>
        <xdr:cNvSpPr>
          <a:spLocks noChangeShapeType="1"/>
        </xdr:cNvSpPr>
      </xdr:nvSpPr>
      <xdr:spPr bwMode="auto">
        <a:xfrm>
          <a:off x="48844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8282" name="Line 90">
          <a:extLst>
            <a:ext uri="{FF2B5EF4-FFF2-40B4-BE49-F238E27FC236}">
              <a16:creationId xmlns:a16="http://schemas.microsoft.com/office/drawing/2014/main" id="{00000000-0008-0000-0B00-00005A200000}"/>
            </a:ext>
          </a:extLst>
        </xdr:cNvPr>
        <xdr:cNvSpPr>
          <a:spLocks noChangeShapeType="1"/>
        </xdr:cNvSpPr>
      </xdr:nvSpPr>
      <xdr:spPr bwMode="auto">
        <a:xfrm>
          <a:off x="48844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8283" name="Line 91">
          <a:extLst>
            <a:ext uri="{FF2B5EF4-FFF2-40B4-BE49-F238E27FC236}">
              <a16:creationId xmlns:a16="http://schemas.microsoft.com/office/drawing/2014/main" id="{00000000-0008-0000-0B00-00005B200000}"/>
            </a:ext>
          </a:extLst>
        </xdr:cNvPr>
        <xdr:cNvSpPr>
          <a:spLocks noChangeShapeType="1"/>
        </xdr:cNvSpPr>
      </xdr:nvSpPr>
      <xdr:spPr bwMode="auto">
        <a:xfrm>
          <a:off x="48844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8284" name="Line 92">
          <a:extLst>
            <a:ext uri="{FF2B5EF4-FFF2-40B4-BE49-F238E27FC236}">
              <a16:creationId xmlns:a16="http://schemas.microsoft.com/office/drawing/2014/main" id="{00000000-0008-0000-0B00-00005C200000}"/>
            </a:ext>
          </a:extLst>
        </xdr:cNvPr>
        <xdr:cNvSpPr>
          <a:spLocks noChangeShapeType="1"/>
        </xdr:cNvSpPr>
      </xdr:nvSpPr>
      <xdr:spPr bwMode="auto">
        <a:xfrm>
          <a:off x="48844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8285" name="Line 93">
          <a:extLst>
            <a:ext uri="{FF2B5EF4-FFF2-40B4-BE49-F238E27FC236}">
              <a16:creationId xmlns:a16="http://schemas.microsoft.com/office/drawing/2014/main" id="{00000000-0008-0000-0B00-00005D200000}"/>
            </a:ext>
          </a:extLst>
        </xdr:cNvPr>
        <xdr:cNvSpPr>
          <a:spLocks noChangeShapeType="1"/>
        </xdr:cNvSpPr>
      </xdr:nvSpPr>
      <xdr:spPr bwMode="auto">
        <a:xfrm>
          <a:off x="70789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8286" name="Line 94">
          <a:extLst>
            <a:ext uri="{FF2B5EF4-FFF2-40B4-BE49-F238E27FC236}">
              <a16:creationId xmlns:a16="http://schemas.microsoft.com/office/drawing/2014/main" id="{00000000-0008-0000-0B00-00005E200000}"/>
            </a:ext>
          </a:extLst>
        </xdr:cNvPr>
        <xdr:cNvSpPr>
          <a:spLocks noChangeShapeType="1"/>
        </xdr:cNvSpPr>
      </xdr:nvSpPr>
      <xdr:spPr bwMode="auto">
        <a:xfrm>
          <a:off x="70789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8287" name="Line 95">
          <a:extLst>
            <a:ext uri="{FF2B5EF4-FFF2-40B4-BE49-F238E27FC236}">
              <a16:creationId xmlns:a16="http://schemas.microsoft.com/office/drawing/2014/main" id="{00000000-0008-0000-0B00-00005F200000}"/>
            </a:ext>
          </a:extLst>
        </xdr:cNvPr>
        <xdr:cNvSpPr>
          <a:spLocks noChangeShapeType="1"/>
        </xdr:cNvSpPr>
      </xdr:nvSpPr>
      <xdr:spPr bwMode="auto">
        <a:xfrm>
          <a:off x="70789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8288" name="Line 96">
          <a:extLst>
            <a:ext uri="{FF2B5EF4-FFF2-40B4-BE49-F238E27FC236}">
              <a16:creationId xmlns:a16="http://schemas.microsoft.com/office/drawing/2014/main" id="{00000000-0008-0000-0B00-000060200000}"/>
            </a:ext>
          </a:extLst>
        </xdr:cNvPr>
        <xdr:cNvSpPr>
          <a:spLocks noChangeShapeType="1"/>
        </xdr:cNvSpPr>
      </xdr:nvSpPr>
      <xdr:spPr bwMode="auto">
        <a:xfrm>
          <a:off x="70789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8289" name="Line 97">
          <a:extLst>
            <a:ext uri="{FF2B5EF4-FFF2-40B4-BE49-F238E27FC236}">
              <a16:creationId xmlns:a16="http://schemas.microsoft.com/office/drawing/2014/main" id="{00000000-0008-0000-0B00-000061200000}"/>
            </a:ext>
          </a:extLst>
        </xdr:cNvPr>
        <xdr:cNvSpPr>
          <a:spLocks noChangeShapeType="1"/>
        </xdr:cNvSpPr>
      </xdr:nvSpPr>
      <xdr:spPr bwMode="auto">
        <a:xfrm>
          <a:off x="70789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8290" name="Line 98">
          <a:extLst>
            <a:ext uri="{FF2B5EF4-FFF2-40B4-BE49-F238E27FC236}">
              <a16:creationId xmlns:a16="http://schemas.microsoft.com/office/drawing/2014/main" id="{00000000-0008-0000-0B00-000062200000}"/>
            </a:ext>
          </a:extLst>
        </xdr:cNvPr>
        <xdr:cNvSpPr>
          <a:spLocks noChangeShapeType="1"/>
        </xdr:cNvSpPr>
      </xdr:nvSpPr>
      <xdr:spPr bwMode="auto">
        <a:xfrm>
          <a:off x="70789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8291" name="Line 99">
          <a:extLst>
            <a:ext uri="{FF2B5EF4-FFF2-40B4-BE49-F238E27FC236}">
              <a16:creationId xmlns:a16="http://schemas.microsoft.com/office/drawing/2014/main" id="{00000000-0008-0000-0B00-000063200000}"/>
            </a:ext>
          </a:extLst>
        </xdr:cNvPr>
        <xdr:cNvSpPr>
          <a:spLocks noChangeShapeType="1"/>
        </xdr:cNvSpPr>
      </xdr:nvSpPr>
      <xdr:spPr bwMode="auto">
        <a:xfrm>
          <a:off x="70789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8292" name="Line 100">
          <a:extLst>
            <a:ext uri="{FF2B5EF4-FFF2-40B4-BE49-F238E27FC236}">
              <a16:creationId xmlns:a16="http://schemas.microsoft.com/office/drawing/2014/main" id="{00000000-0008-0000-0B00-000064200000}"/>
            </a:ext>
          </a:extLst>
        </xdr:cNvPr>
        <xdr:cNvSpPr>
          <a:spLocks noChangeShapeType="1"/>
        </xdr:cNvSpPr>
      </xdr:nvSpPr>
      <xdr:spPr bwMode="auto">
        <a:xfrm>
          <a:off x="70789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8293" name="Line 101">
          <a:extLst>
            <a:ext uri="{FF2B5EF4-FFF2-40B4-BE49-F238E27FC236}">
              <a16:creationId xmlns:a16="http://schemas.microsoft.com/office/drawing/2014/main" id="{00000000-0008-0000-0B00-000065200000}"/>
            </a:ext>
          </a:extLst>
        </xdr:cNvPr>
        <xdr:cNvSpPr>
          <a:spLocks noChangeShapeType="1"/>
        </xdr:cNvSpPr>
      </xdr:nvSpPr>
      <xdr:spPr bwMode="auto">
        <a:xfrm>
          <a:off x="70789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8294" name="Line 103">
          <a:extLst>
            <a:ext uri="{FF2B5EF4-FFF2-40B4-BE49-F238E27FC236}">
              <a16:creationId xmlns:a16="http://schemas.microsoft.com/office/drawing/2014/main" id="{00000000-0008-0000-0B00-0000662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295" name="Line 107">
          <a:extLst>
            <a:ext uri="{FF2B5EF4-FFF2-40B4-BE49-F238E27FC236}">
              <a16:creationId xmlns:a16="http://schemas.microsoft.com/office/drawing/2014/main" id="{00000000-0008-0000-0B00-0000672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296" name="Line 108">
          <a:extLst>
            <a:ext uri="{FF2B5EF4-FFF2-40B4-BE49-F238E27FC236}">
              <a16:creationId xmlns:a16="http://schemas.microsoft.com/office/drawing/2014/main" id="{00000000-0008-0000-0B00-0000682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297" name="Line 109">
          <a:extLst>
            <a:ext uri="{FF2B5EF4-FFF2-40B4-BE49-F238E27FC236}">
              <a16:creationId xmlns:a16="http://schemas.microsoft.com/office/drawing/2014/main" id="{00000000-0008-0000-0B00-0000692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298" name="Line 110">
          <a:extLst>
            <a:ext uri="{FF2B5EF4-FFF2-40B4-BE49-F238E27FC236}">
              <a16:creationId xmlns:a16="http://schemas.microsoft.com/office/drawing/2014/main" id="{00000000-0008-0000-0B00-00006A2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8299" name="Line 111">
          <a:extLst>
            <a:ext uri="{FF2B5EF4-FFF2-40B4-BE49-F238E27FC236}">
              <a16:creationId xmlns:a16="http://schemas.microsoft.com/office/drawing/2014/main" id="{00000000-0008-0000-0B00-00006B2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300" name="Line 112">
          <a:extLst>
            <a:ext uri="{FF2B5EF4-FFF2-40B4-BE49-F238E27FC236}">
              <a16:creationId xmlns:a16="http://schemas.microsoft.com/office/drawing/2014/main" id="{00000000-0008-0000-0B00-00006C2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301" name="Line 113">
          <a:extLst>
            <a:ext uri="{FF2B5EF4-FFF2-40B4-BE49-F238E27FC236}">
              <a16:creationId xmlns:a16="http://schemas.microsoft.com/office/drawing/2014/main" id="{00000000-0008-0000-0B00-00006D2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302" name="Line 114">
          <a:extLst>
            <a:ext uri="{FF2B5EF4-FFF2-40B4-BE49-F238E27FC236}">
              <a16:creationId xmlns:a16="http://schemas.microsoft.com/office/drawing/2014/main" id="{00000000-0008-0000-0B00-00006E2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303" name="Line 115">
          <a:extLst>
            <a:ext uri="{FF2B5EF4-FFF2-40B4-BE49-F238E27FC236}">
              <a16:creationId xmlns:a16="http://schemas.microsoft.com/office/drawing/2014/main" id="{00000000-0008-0000-0B00-00006F2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10160</xdr:colOff>
      <xdr:row>93</xdr:row>
      <xdr:rowOff>0</xdr:rowOff>
    </xdr:from>
    <xdr:to>
      <xdr:col>3</xdr:col>
      <xdr:colOff>718820</xdr:colOff>
      <xdr:row>93</xdr:row>
      <xdr:rowOff>0</xdr:rowOff>
    </xdr:to>
    <xdr:sp macro="" textlink="">
      <xdr:nvSpPr>
        <xdr:cNvPr id="8304" name="Line 116">
          <a:extLst>
            <a:ext uri="{FF2B5EF4-FFF2-40B4-BE49-F238E27FC236}">
              <a16:creationId xmlns:a16="http://schemas.microsoft.com/office/drawing/2014/main" id="{00000000-0008-0000-0B00-000070200000}"/>
            </a:ext>
          </a:extLst>
        </xdr:cNvPr>
        <xdr:cNvSpPr>
          <a:spLocks noChangeShapeType="1"/>
        </xdr:cNvSpPr>
      </xdr:nvSpPr>
      <xdr:spPr bwMode="auto">
        <a:xfrm>
          <a:off x="2702560" y="1683512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8305" name="Line 75">
          <a:extLst>
            <a:ext uri="{FF2B5EF4-FFF2-40B4-BE49-F238E27FC236}">
              <a16:creationId xmlns:a16="http://schemas.microsoft.com/office/drawing/2014/main" id="{00000000-0008-0000-0B00-0000712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8306" name="Line 87">
          <a:extLst>
            <a:ext uri="{FF2B5EF4-FFF2-40B4-BE49-F238E27FC236}">
              <a16:creationId xmlns:a16="http://schemas.microsoft.com/office/drawing/2014/main" id="{00000000-0008-0000-0B00-0000722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8307" name="Line 75">
          <a:extLst>
            <a:ext uri="{FF2B5EF4-FFF2-40B4-BE49-F238E27FC236}">
              <a16:creationId xmlns:a16="http://schemas.microsoft.com/office/drawing/2014/main" id="{00000000-0008-0000-0B00-0000732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8308" name="Line 79">
          <a:extLst>
            <a:ext uri="{FF2B5EF4-FFF2-40B4-BE49-F238E27FC236}">
              <a16:creationId xmlns:a16="http://schemas.microsoft.com/office/drawing/2014/main" id="{00000000-0008-0000-0B00-0000742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8309" name="Line 87">
          <a:extLst>
            <a:ext uri="{FF2B5EF4-FFF2-40B4-BE49-F238E27FC236}">
              <a16:creationId xmlns:a16="http://schemas.microsoft.com/office/drawing/2014/main" id="{00000000-0008-0000-0B00-0000752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8310" name="Line 75">
          <a:extLst>
            <a:ext uri="{FF2B5EF4-FFF2-40B4-BE49-F238E27FC236}">
              <a16:creationId xmlns:a16="http://schemas.microsoft.com/office/drawing/2014/main" id="{00000000-0008-0000-0B00-0000762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8311" name="Line 87">
          <a:extLst>
            <a:ext uri="{FF2B5EF4-FFF2-40B4-BE49-F238E27FC236}">
              <a16:creationId xmlns:a16="http://schemas.microsoft.com/office/drawing/2014/main" id="{00000000-0008-0000-0B00-0000772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8312" name="Line 75">
          <a:extLst>
            <a:ext uri="{FF2B5EF4-FFF2-40B4-BE49-F238E27FC236}">
              <a16:creationId xmlns:a16="http://schemas.microsoft.com/office/drawing/2014/main" id="{00000000-0008-0000-0B00-0000782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8313" name="Line 79">
          <a:extLst>
            <a:ext uri="{FF2B5EF4-FFF2-40B4-BE49-F238E27FC236}">
              <a16:creationId xmlns:a16="http://schemas.microsoft.com/office/drawing/2014/main" id="{00000000-0008-0000-0B00-0000792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8314" name="Line 87">
          <a:extLst>
            <a:ext uri="{FF2B5EF4-FFF2-40B4-BE49-F238E27FC236}">
              <a16:creationId xmlns:a16="http://schemas.microsoft.com/office/drawing/2014/main" id="{00000000-0008-0000-0B00-00007A2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 name="Line 1">
          <a:extLst>
            <a:ext uri="{FF2B5EF4-FFF2-40B4-BE49-F238E27FC236}">
              <a16:creationId xmlns:a16="http://schemas.microsoft.com/office/drawing/2014/main" id="{00000000-0008-0000-0D00-000002000000}"/>
            </a:ext>
          </a:extLst>
        </xdr:cNvPr>
        <xdr:cNvSpPr>
          <a:spLocks noChangeShapeType="1"/>
        </xdr:cNvSpPr>
      </xdr:nvSpPr>
      <xdr:spPr bwMode="auto">
        <a:xfrm>
          <a:off x="48844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3" name="Line 2">
          <a:extLst>
            <a:ext uri="{FF2B5EF4-FFF2-40B4-BE49-F238E27FC236}">
              <a16:creationId xmlns:a16="http://schemas.microsoft.com/office/drawing/2014/main" id="{00000000-0008-0000-0D00-000003000000}"/>
            </a:ext>
          </a:extLst>
        </xdr:cNvPr>
        <xdr:cNvSpPr>
          <a:spLocks noChangeShapeType="1"/>
        </xdr:cNvSpPr>
      </xdr:nvSpPr>
      <xdr:spPr bwMode="auto">
        <a:xfrm>
          <a:off x="48844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 name="Line 3">
          <a:extLst>
            <a:ext uri="{FF2B5EF4-FFF2-40B4-BE49-F238E27FC236}">
              <a16:creationId xmlns:a16="http://schemas.microsoft.com/office/drawing/2014/main" id="{00000000-0008-0000-0D00-000004000000}"/>
            </a:ext>
          </a:extLst>
        </xdr:cNvPr>
        <xdr:cNvSpPr>
          <a:spLocks noChangeShapeType="1"/>
        </xdr:cNvSpPr>
      </xdr:nvSpPr>
      <xdr:spPr bwMode="auto">
        <a:xfrm>
          <a:off x="48844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5" name="Line 4">
          <a:extLst>
            <a:ext uri="{FF2B5EF4-FFF2-40B4-BE49-F238E27FC236}">
              <a16:creationId xmlns:a16="http://schemas.microsoft.com/office/drawing/2014/main" id="{00000000-0008-0000-0D00-000005000000}"/>
            </a:ext>
          </a:extLst>
        </xdr:cNvPr>
        <xdr:cNvSpPr>
          <a:spLocks noChangeShapeType="1"/>
        </xdr:cNvSpPr>
      </xdr:nvSpPr>
      <xdr:spPr bwMode="auto">
        <a:xfrm>
          <a:off x="70789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 name="Line 5">
          <a:extLst>
            <a:ext uri="{FF2B5EF4-FFF2-40B4-BE49-F238E27FC236}">
              <a16:creationId xmlns:a16="http://schemas.microsoft.com/office/drawing/2014/main" id="{00000000-0008-0000-0D00-000006000000}"/>
            </a:ext>
          </a:extLst>
        </xdr:cNvPr>
        <xdr:cNvSpPr>
          <a:spLocks noChangeShapeType="1"/>
        </xdr:cNvSpPr>
      </xdr:nvSpPr>
      <xdr:spPr bwMode="auto">
        <a:xfrm>
          <a:off x="107365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7" name="Line 6">
          <a:extLst>
            <a:ext uri="{FF2B5EF4-FFF2-40B4-BE49-F238E27FC236}">
              <a16:creationId xmlns:a16="http://schemas.microsoft.com/office/drawing/2014/main" id="{00000000-0008-0000-0D00-000007000000}"/>
            </a:ext>
          </a:extLst>
        </xdr:cNvPr>
        <xdr:cNvSpPr>
          <a:spLocks noChangeShapeType="1"/>
        </xdr:cNvSpPr>
      </xdr:nvSpPr>
      <xdr:spPr bwMode="auto">
        <a:xfrm>
          <a:off x="107365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 name="Line 7">
          <a:extLst>
            <a:ext uri="{FF2B5EF4-FFF2-40B4-BE49-F238E27FC236}">
              <a16:creationId xmlns:a16="http://schemas.microsoft.com/office/drawing/2014/main" id="{00000000-0008-0000-0D00-000008000000}"/>
            </a:ext>
          </a:extLst>
        </xdr:cNvPr>
        <xdr:cNvSpPr>
          <a:spLocks noChangeShapeType="1"/>
        </xdr:cNvSpPr>
      </xdr:nvSpPr>
      <xdr:spPr bwMode="auto">
        <a:xfrm>
          <a:off x="48844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9" name="Line 8">
          <a:extLst>
            <a:ext uri="{FF2B5EF4-FFF2-40B4-BE49-F238E27FC236}">
              <a16:creationId xmlns:a16="http://schemas.microsoft.com/office/drawing/2014/main" id="{00000000-0008-0000-0D00-000009000000}"/>
            </a:ext>
          </a:extLst>
        </xdr:cNvPr>
        <xdr:cNvSpPr>
          <a:spLocks noChangeShapeType="1"/>
        </xdr:cNvSpPr>
      </xdr:nvSpPr>
      <xdr:spPr bwMode="auto">
        <a:xfrm>
          <a:off x="48844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 name="Line 9">
          <a:extLst>
            <a:ext uri="{FF2B5EF4-FFF2-40B4-BE49-F238E27FC236}">
              <a16:creationId xmlns:a16="http://schemas.microsoft.com/office/drawing/2014/main" id="{00000000-0008-0000-0D00-00000A000000}"/>
            </a:ext>
          </a:extLst>
        </xdr:cNvPr>
        <xdr:cNvSpPr>
          <a:spLocks noChangeShapeType="1"/>
        </xdr:cNvSpPr>
      </xdr:nvSpPr>
      <xdr:spPr bwMode="auto">
        <a:xfrm>
          <a:off x="48844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1" name="Line 10">
          <a:extLst>
            <a:ext uri="{FF2B5EF4-FFF2-40B4-BE49-F238E27FC236}">
              <a16:creationId xmlns:a16="http://schemas.microsoft.com/office/drawing/2014/main" id="{00000000-0008-0000-0D00-00000B000000}"/>
            </a:ext>
          </a:extLst>
        </xdr:cNvPr>
        <xdr:cNvSpPr>
          <a:spLocks noChangeShapeType="1"/>
        </xdr:cNvSpPr>
      </xdr:nvSpPr>
      <xdr:spPr bwMode="auto">
        <a:xfrm>
          <a:off x="70789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 name="Line 11">
          <a:extLst>
            <a:ext uri="{FF2B5EF4-FFF2-40B4-BE49-F238E27FC236}">
              <a16:creationId xmlns:a16="http://schemas.microsoft.com/office/drawing/2014/main" id="{00000000-0008-0000-0D00-00000C000000}"/>
            </a:ext>
          </a:extLst>
        </xdr:cNvPr>
        <xdr:cNvSpPr>
          <a:spLocks noChangeShapeType="1"/>
        </xdr:cNvSpPr>
      </xdr:nvSpPr>
      <xdr:spPr bwMode="auto">
        <a:xfrm>
          <a:off x="70789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3" name="Line 12">
          <a:extLst>
            <a:ext uri="{FF2B5EF4-FFF2-40B4-BE49-F238E27FC236}">
              <a16:creationId xmlns:a16="http://schemas.microsoft.com/office/drawing/2014/main" id="{00000000-0008-0000-0D00-00000D000000}"/>
            </a:ext>
          </a:extLst>
        </xdr:cNvPr>
        <xdr:cNvSpPr>
          <a:spLocks noChangeShapeType="1"/>
        </xdr:cNvSpPr>
      </xdr:nvSpPr>
      <xdr:spPr bwMode="auto">
        <a:xfrm>
          <a:off x="70789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 name="Line 13">
          <a:extLst>
            <a:ext uri="{FF2B5EF4-FFF2-40B4-BE49-F238E27FC236}">
              <a16:creationId xmlns:a16="http://schemas.microsoft.com/office/drawing/2014/main" id="{00000000-0008-0000-0D00-00000E000000}"/>
            </a:ext>
          </a:extLst>
        </xdr:cNvPr>
        <xdr:cNvSpPr>
          <a:spLocks noChangeShapeType="1"/>
        </xdr:cNvSpPr>
      </xdr:nvSpPr>
      <xdr:spPr bwMode="auto">
        <a:xfrm>
          <a:off x="1073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5" name="Line 14">
          <a:extLst>
            <a:ext uri="{FF2B5EF4-FFF2-40B4-BE49-F238E27FC236}">
              <a16:creationId xmlns:a16="http://schemas.microsoft.com/office/drawing/2014/main" id="{00000000-0008-0000-0D00-00000F000000}"/>
            </a:ext>
          </a:extLst>
        </xdr:cNvPr>
        <xdr:cNvSpPr>
          <a:spLocks noChangeShapeType="1"/>
        </xdr:cNvSpPr>
      </xdr:nvSpPr>
      <xdr:spPr bwMode="auto">
        <a:xfrm>
          <a:off x="1073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6" name="Line 15">
          <a:extLst>
            <a:ext uri="{FF2B5EF4-FFF2-40B4-BE49-F238E27FC236}">
              <a16:creationId xmlns:a16="http://schemas.microsoft.com/office/drawing/2014/main" id="{00000000-0008-0000-0D00-000010000000}"/>
            </a:ext>
          </a:extLst>
        </xdr:cNvPr>
        <xdr:cNvSpPr>
          <a:spLocks noChangeShapeType="1"/>
        </xdr:cNvSpPr>
      </xdr:nvSpPr>
      <xdr:spPr bwMode="auto">
        <a:xfrm>
          <a:off x="1073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7" name="Line 16">
          <a:extLst>
            <a:ext uri="{FF2B5EF4-FFF2-40B4-BE49-F238E27FC236}">
              <a16:creationId xmlns:a16="http://schemas.microsoft.com/office/drawing/2014/main" id="{00000000-0008-0000-0D00-000011000000}"/>
            </a:ext>
          </a:extLst>
        </xdr:cNvPr>
        <xdr:cNvSpPr>
          <a:spLocks noChangeShapeType="1"/>
        </xdr:cNvSpPr>
      </xdr:nvSpPr>
      <xdr:spPr bwMode="auto">
        <a:xfrm>
          <a:off x="107365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8" name="Line 17">
          <a:extLst>
            <a:ext uri="{FF2B5EF4-FFF2-40B4-BE49-F238E27FC236}">
              <a16:creationId xmlns:a16="http://schemas.microsoft.com/office/drawing/2014/main" id="{00000000-0008-0000-0D00-000012000000}"/>
            </a:ext>
          </a:extLst>
        </xdr:cNvPr>
        <xdr:cNvSpPr>
          <a:spLocks noChangeShapeType="1"/>
        </xdr:cNvSpPr>
      </xdr:nvSpPr>
      <xdr:spPr bwMode="auto">
        <a:xfrm>
          <a:off x="26898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9" name="Line 18">
          <a:extLst>
            <a:ext uri="{FF2B5EF4-FFF2-40B4-BE49-F238E27FC236}">
              <a16:creationId xmlns:a16="http://schemas.microsoft.com/office/drawing/2014/main" id="{00000000-0008-0000-0D00-000013000000}"/>
            </a:ext>
          </a:extLst>
        </xdr:cNvPr>
        <xdr:cNvSpPr>
          <a:spLocks noChangeShapeType="1"/>
        </xdr:cNvSpPr>
      </xdr:nvSpPr>
      <xdr:spPr bwMode="auto">
        <a:xfrm>
          <a:off x="26898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0" name="Line 19">
          <a:extLst>
            <a:ext uri="{FF2B5EF4-FFF2-40B4-BE49-F238E27FC236}">
              <a16:creationId xmlns:a16="http://schemas.microsoft.com/office/drawing/2014/main" id="{00000000-0008-0000-0D00-000014000000}"/>
            </a:ext>
          </a:extLst>
        </xdr:cNvPr>
        <xdr:cNvSpPr>
          <a:spLocks noChangeShapeType="1"/>
        </xdr:cNvSpPr>
      </xdr:nvSpPr>
      <xdr:spPr bwMode="auto">
        <a:xfrm>
          <a:off x="26898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1" name="Line 20">
          <a:extLst>
            <a:ext uri="{FF2B5EF4-FFF2-40B4-BE49-F238E27FC236}">
              <a16:creationId xmlns:a16="http://schemas.microsoft.com/office/drawing/2014/main" id="{00000000-0008-0000-0D00-000015000000}"/>
            </a:ext>
          </a:extLst>
        </xdr:cNvPr>
        <xdr:cNvSpPr>
          <a:spLocks noChangeShapeType="1"/>
        </xdr:cNvSpPr>
      </xdr:nvSpPr>
      <xdr:spPr bwMode="auto">
        <a:xfrm>
          <a:off x="26898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2" name="Line 21">
          <a:extLst>
            <a:ext uri="{FF2B5EF4-FFF2-40B4-BE49-F238E27FC236}">
              <a16:creationId xmlns:a16="http://schemas.microsoft.com/office/drawing/2014/main" id="{00000000-0008-0000-0D00-000016000000}"/>
            </a:ext>
          </a:extLst>
        </xdr:cNvPr>
        <xdr:cNvSpPr>
          <a:spLocks noChangeShapeType="1"/>
        </xdr:cNvSpPr>
      </xdr:nvSpPr>
      <xdr:spPr bwMode="auto">
        <a:xfrm>
          <a:off x="26898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3" name="Line 22">
          <a:extLst>
            <a:ext uri="{FF2B5EF4-FFF2-40B4-BE49-F238E27FC236}">
              <a16:creationId xmlns:a16="http://schemas.microsoft.com/office/drawing/2014/main" id="{00000000-0008-0000-0D00-000017000000}"/>
            </a:ext>
          </a:extLst>
        </xdr:cNvPr>
        <xdr:cNvSpPr>
          <a:spLocks noChangeShapeType="1"/>
        </xdr:cNvSpPr>
      </xdr:nvSpPr>
      <xdr:spPr bwMode="auto">
        <a:xfrm>
          <a:off x="26898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4" name="Line 23">
          <a:extLst>
            <a:ext uri="{FF2B5EF4-FFF2-40B4-BE49-F238E27FC236}">
              <a16:creationId xmlns:a16="http://schemas.microsoft.com/office/drawing/2014/main" id="{00000000-0008-0000-0D00-000018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5" name="Line 24">
          <a:extLst>
            <a:ext uri="{FF2B5EF4-FFF2-40B4-BE49-F238E27FC236}">
              <a16:creationId xmlns:a16="http://schemas.microsoft.com/office/drawing/2014/main" id="{00000000-0008-0000-0D00-000019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6" name="Line 25">
          <a:extLst>
            <a:ext uri="{FF2B5EF4-FFF2-40B4-BE49-F238E27FC236}">
              <a16:creationId xmlns:a16="http://schemas.microsoft.com/office/drawing/2014/main" id="{00000000-0008-0000-0D00-00001A000000}"/>
            </a:ext>
          </a:extLst>
        </xdr:cNvPr>
        <xdr:cNvSpPr>
          <a:spLocks noChangeShapeType="1"/>
        </xdr:cNvSpPr>
      </xdr:nvSpPr>
      <xdr:spPr bwMode="auto">
        <a:xfrm>
          <a:off x="70789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7" name="Line 26">
          <a:extLst>
            <a:ext uri="{FF2B5EF4-FFF2-40B4-BE49-F238E27FC236}">
              <a16:creationId xmlns:a16="http://schemas.microsoft.com/office/drawing/2014/main" id="{00000000-0008-0000-0D00-00001B000000}"/>
            </a:ext>
          </a:extLst>
        </xdr:cNvPr>
        <xdr:cNvSpPr>
          <a:spLocks noChangeShapeType="1"/>
        </xdr:cNvSpPr>
      </xdr:nvSpPr>
      <xdr:spPr bwMode="auto">
        <a:xfrm>
          <a:off x="107365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8" name="Line 27">
          <a:extLst>
            <a:ext uri="{FF2B5EF4-FFF2-40B4-BE49-F238E27FC236}">
              <a16:creationId xmlns:a16="http://schemas.microsoft.com/office/drawing/2014/main" id="{00000000-0008-0000-0D00-00001C000000}"/>
            </a:ext>
          </a:extLst>
        </xdr:cNvPr>
        <xdr:cNvSpPr>
          <a:spLocks noChangeShapeType="1"/>
        </xdr:cNvSpPr>
      </xdr:nvSpPr>
      <xdr:spPr bwMode="auto">
        <a:xfrm>
          <a:off x="48844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9" name="Line 28">
          <a:extLst>
            <a:ext uri="{FF2B5EF4-FFF2-40B4-BE49-F238E27FC236}">
              <a16:creationId xmlns:a16="http://schemas.microsoft.com/office/drawing/2014/main" id="{00000000-0008-0000-0D00-00001D000000}"/>
            </a:ext>
          </a:extLst>
        </xdr:cNvPr>
        <xdr:cNvSpPr>
          <a:spLocks noChangeShapeType="1"/>
        </xdr:cNvSpPr>
      </xdr:nvSpPr>
      <xdr:spPr bwMode="auto">
        <a:xfrm>
          <a:off x="48844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30" name="Line 29">
          <a:extLst>
            <a:ext uri="{FF2B5EF4-FFF2-40B4-BE49-F238E27FC236}">
              <a16:creationId xmlns:a16="http://schemas.microsoft.com/office/drawing/2014/main" id="{00000000-0008-0000-0D00-00001E000000}"/>
            </a:ext>
          </a:extLst>
        </xdr:cNvPr>
        <xdr:cNvSpPr>
          <a:spLocks noChangeShapeType="1"/>
        </xdr:cNvSpPr>
      </xdr:nvSpPr>
      <xdr:spPr bwMode="auto">
        <a:xfrm>
          <a:off x="70789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31" name="Line 30">
          <a:extLst>
            <a:ext uri="{FF2B5EF4-FFF2-40B4-BE49-F238E27FC236}">
              <a16:creationId xmlns:a16="http://schemas.microsoft.com/office/drawing/2014/main" id="{00000000-0008-0000-0D00-00001F000000}"/>
            </a:ext>
          </a:extLst>
        </xdr:cNvPr>
        <xdr:cNvSpPr>
          <a:spLocks noChangeShapeType="1"/>
        </xdr:cNvSpPr>
      </xdr:nvSpPr>
      <xdr:spPr bwMode="auto">
        <a:xfrm>
          <a:off x="70789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32" name="Line 31">
          <a:extLst>
            <a:ext uri="{FF2B5EF4-FFF2-40B4-BE49-F238E27FC236}">
              <a16:creationId xmlns:a16="http://schemas.microsoft.com/office/drawing/2014/main" id="{00000000-0008-0000-0D00-000020000000}"/>
            </a:ext>
          </a:extLst>
        </xdr:cNvPr>
        <xdr:cNvSpPr>
          <a:spLocks noChangeShapeType="1"/>
        </xdr:cNvSpPr>
      </xdr:nvSpPr>
      <xdr:spPr bwMode="auto">
        <a:xfrm>
          <a:off x="1073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33" name="Line 32">
          <a:extLst>
            <a:ext uri="{FF2B5EF4-FFF2-40B4-BE49-F238E27FC236}">
              <a16:creationId xmlns:a16="http://schemas.microsoft.com/office/drawing/2014/main" id="{00000000-0008-0000-0D00-000021000000}"/>
            </a:ext>
          </a:extLst>
        </xdr:cNvPr>
        <xdr:cNvSpPr>
          <a:spLocks noChangeShapeType="1"/>
        </xdr:cNvSpPr>
      </xdr:nvSpPr>
      <xdr:spPr bwMode="auto">
        <a:xfrm>
          <a:off x="1073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34" name="Line 33">
          <a:extLst>
            <a:ext uri="{FF2B5EF4-FFF2-40B4-BE49-F238E27FC236}">
              <a16:creationId xmlns:a16="http://schemas.microsoft.com/office/drawing/2014/main" id="{00000000-0008-0000-0D00-000022000000}"/>
            </a:ext>
          </a:extLst>
        </xdr:cNvPr>
        <xdr:cNvSpPr>
          <a:spLocks noChangeShapeType="1"/>
        </xdr:cNvSpPr>
      </xdr:nvSpPr>
      <xdr:spPr bwMode="auto">
        <a:xfrm>
          <a:off x="26898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5" name="Line 34">
          <a:extLst>
            <a:ext uri="{FF2B5EF4-FFF2-40B4-BE49-F238E27FC236}">
              <a16:creationId xmlns:a16="http://schemas.microsoft.com/office/drawing/2014/main" id="{00000000-0008-0000-0D00-000023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6" name="Line 35">
          <a:extLst>
            <a:ext uri="{FF2B5EF4-FFF2-40B4-BE49-F238E27FC236}">
              <a16:creationId xmlns:a16="http://schemas.microsoft.com/office/drawing/2014/main" id="{00000000-0008-0000-0D00-000024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37" name="Line 36">
          <a:extLst>
            <a:ext uri="{FF2B5EF4-FFF2-40B4-BE49-F238E27FC236}">
              <a16:creationId xmlns:a16="http://schemas.microsoft.com/office/drawing/2014/main" id="{00000000-0008-0000-0D00-000025000000}"/>
            </a:ext>
          </a:extLst>
        </xdr:cNvPr>
        <xdr:cNvSpPr>
          <a:spLocks noChangeShapeType="1"/>
        </xdr:cNvSpPr>
      </xdr:nvSpPr>
      <xdr:spPr bwMode="auto">
        <a:xfrm>
          <a:off x="26898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38" name="Line 37">
          <a:extLst>
            <a:ext uri="{FF2B5EF4-FFF2-40B4-BE49-F238E27FC236}">
              <a16:creationId xmlns:a16="http://schemas.microsoft.com/office/drawing/2014/main" id="{00000000-0008-0000-0D00-000026000000}"/>
            </a:ext>
          </a:extLst>
        </xdr:cNvPr>
        <xdr:cNvSpPr>
          <a:spLocks noChangeShapeType="1"/>
        </xdr:cNvSpPr>
      </xdr:nvSpPr>
      <xdr:spPr bwMode="auto">
        <a:xfrm>
          <a:off x="26898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39" name="Line 38">
          <a:extLst>
            <a:ext uri="{FF2B5EF4-FFF2-40B4-BE49-F238E27FC236}">
              <a16:creationId xmlns:a16="http://schemas.microsoft.com/office/drawing/2014/main" id="{00000000-0008-0000-0D00-000027000000}"/>
            </a:ext>
          </a:extLst>
        </xdr:cNvPr>
        <xdr:cNvSpPr>
          <a:spLocks noChangeShapeType="1"/>
        </xdr:cNvSpPr>
      </xdr:nvSpPr>
      <xdr:spPr bwMode="auto">
        <a:xfrm>
          <a:off x="26898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0" name="Line 39">
          <a:extLst>
            <a:ext uri="{FF2B5EF4-FFF2-40B4-BE49-F238E27FC236}">
              <a16:creationId xmlns:a16="http://schemas.microsoft.com/office/drawing/2014/main" id="{00000000-0008-0000-0D00-000028000000}"/>
            </a:ext>
          </a:extLst>
        </xdr:cNvPr>
        <xdr:cNvSpPr>
          <a:spLocks noChangeShapeType="1"/>
        </xdr:cNvSpPr>
      </xdr:nvSpPr>
      <xdr:spPr bwMode="auto">
        <a:xfrm>
          <a:off x="48844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1" name="Line 40">
          <a:extLst>
            <a:ext uri="{FF2B5EF4-FFF2-40B4-BE49-F238E27FC236}">
              <a16:creationId xmlns:a16="http://schemas.microsoft.com/office/drawing/2014/main" id="{00000000-0008-0000-0D00-000029000000}"/>
            </a:ext>
          </a:extLst>
        </xdr:cNvPr>
        <xdr:cNvSpPr>
          <a:spLocks noChangeShapeType="1"/>
        </xdr:cNvSpPr>
      </xdr:nvSpPr>
      <xdr:spPr bwMode="auto">
        <a:xfrm>
          <a:off x="107365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 name="Line 41">
          <a:extLst>
            <a:ext uri="{FF2B5EF4-FFF2-40B4-BE49-F238E27FC236}">
              <a16:creationId xmlns:a16="http://schemas.microsoft.com/office/drawing/2014/main" id="{00000000-0008-0000-0D00-00002A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3" name="Line 42">
          <a:extLst>
            <a:ext uri="{FF2B5EF4-FFF2-40B4-BE49-F238E27FC236}">
              <a16:creationId xmlns:a16="http://schemas.microsoft.com/office/drawing/2014/main" id="{00000000-0008-0000-0D00-00002B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4" name="Line 43">
          <a:extLst>
            <a:ext uri="{FF2B5EF4-FFF2-40B4-BE49-F238E27FC236}">
              <a16:creationId xmlns:a16="http://schemas.microsoft.com/office/drawing/2014/main" id="{00000000-0008-0000-0D00-00002C000000}"/>
            </a:ext>
          </a:extLst>
        </xdr:cNvPr>
        <xdr:cNvSpPr>
          <a:spLocks noChangeShapeType="1"/>
        </xdr:cNvSpPr>
      </xdr:nvSpPr>
      <xdr:spPr bwMode="auto">
        <a:xfrm>
          <a:off x="70789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5" name="Line 44">
          <a:extLst>
            <a:ext uri="{FF2B5EF4-FFF2-40B4-BE49-F238E27FC236}">
              <a16:creationId xmlns:a16="http://schemas.microsoft.com/office/drawing/2014/main" id="{00000000-0008-0000-0D00-00002D000000}"/>
            </a:ext>
          </a:extLst>
        </xdr:cNvPr>
        <xdr:cNvSpPr>
          <a:spLocks noChangeShapeType="1"/>
        </xdr:cNvSpPr>
      </xdr:nvSpPr>
      <xdr:spPr bwMode="auto">
        <a:xfrm>
          <a:off x="107365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6" name="Line 45">
          <a:extLst>
            <a:ext uri="{FF2B5EF4-FFF2-40B4-BE49-F238E27FC236}">
              <a16:creationId xmlns:a16="http://schemas.microsoft.com/office/drawing/2014/main" id="{00000000-0008-0000-0D00-00002E000000}"/>
            </a:ext>
          </a:extLst>
        </xdr:cNvPr>
        <xdr:cNvSpPr>
          <a:spLocks noChangeShapeType="1"/>
        </xdr:cNvSpPr>
      </xdr:nvSpPr>
      <xdr:spPr bwMode="auto">
        <a:xfrm>
          <a:off x="48844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7" name="Line 46">
          <a:extLst>
            <a:ext uri="{FF2B5EF4-FFF2-40B4-BE49-F238E27FC236}">
              <a16:creationId xmlns:a16="http://schemas.microsoft.com/office/drawing/2014/main" id="{00000000-0008-0000-0D00-00002F000000}"/>
            </a:ext>
          </a:extLst>
        </xdr:cNvPr>
        <xdr:cNvSpPr>
          <a:spLocks noChangeShapeType="1"/>
        </xdr:cNvSpPr>
      </xdr:nvSpPr>
      <xdr:spPr bwMode="auto">
        <a:xfrm>
          <a:off x="70789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8" name="Line 47">
          <a:extLst>
            <a:ext uri="{FF2B5EF4-FFF2-40B4-BE49-F238E27FC236}">
              <a16:creationId xmlns:a16="http://schemas.microsoft.com/office/drawing/2014/main" id="{00000000-0008-0000-0D00-000030000000}"/>
            </a:ext>
          </a:extLst>
        </xdr:cNvPr>
        <xdr:cNvSpPr>
          <a:spLocks noChangeShapeType="1"/>
        </xdr:cNvSpPr>
      </xdr:nvSpPr>
      <xdr:spPr bwMode="auto">
        <a:xfrm>
          <a:off x="1073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9" name="Line 48">
          <a:extLst>
            <a:ext uri="{FF2B5EF4-FFF2-40B4-BE49-F238E27FC236}">
              <a16:creationId xmlns:a16="http://schemas.microsoft.com/office/drawing/2014/main" id="{00000000-0008-0000-0D00-000031000000}"/>
            </a:ext>
          </a:extLst>
        </xdr:cNvPr>
        <xdr:cNvSpPr>
          <a:spLocks noChangeShapeType="1"/>
        </xdr:cNvSpPr>
      </xdr:nvSpPr>
      <xdr:spPr bwMode="auto">
        <a:xfrm>
          <a:off x="26898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0" name="Line 49">
          <a:extLst>
            <a:ext uri="{FF2B5EF4-FFF2-40B4-BE49-F238E27FC236}">
              <a16:creationId xmlns:a16="http://schemas.microsoft.com/office/drawing/2014/main" id="{00000000-0008-0000-0D00-000032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1" name="Line 50">
          <a:extLst>
            <a:ext uri="{FF2B5EF4-FFF2-40B4-BE49-F238E27FC236}">
              <a16:creationId xmlns:a16="http://schemas.microsoft.com/office/drawing/2014/main" id="{00000000-0008-0000-0D00-000033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2" name="Line 51">
          <a:extLst>
            <a:ext uri="{FF2B5EF4-FFF2-40B4-BE49-F238E27FC236}">
              <a16:creationId xmlns:a16="http://schemas.microsoft.com/office/drawing/2014/main" id="{00000000-0008-0000-0D00-000034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53" name="Line 52">
          <a:extLst>
            <a:ext uri="{FF2B5EF4-FFF2-40B4-BE49-F238E27FC236}">
              <a16:creationId xmlns:a16="http://schemas.microsoft.com/office/drawing/2014/main" id="{00000000-0008-0000-0D00-000035000000}"/>
            </a:ext>
          </a:extLst>
        </xdr:cNvPr>
        <xdr:cNvSpPr>
          <a:spLocks noChangeShapeType="1"/>
        </xdr:cNvSpPr>
      </xdr:nvSpPr>
      <xdr:spPr bwMode="auto">
        <a:xfrm>
          <a:off x="26898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54" name="Line 53">
          <a:extLst>
            <a:ext uri="{FF2B5EF4-FFF2-40B4-BE49-F238E27FC236}">
              <a16:creationId xmlns:a16="http://schemas.microsoft.com/office/drawing/2014/main" id="{00000000-0008-0000-0D00-000036000000}"/>
            </a:ext>
          </a:extLst>
        </xdr:cNvPr>
        <xdr:cNvSpPr>
          <a:spLocks noChangeShapeType="1"/>
        </xdr:cNvSpPr>
      </xdr:nvSpPr>
      <xdr:spPr bwMode="auto">
        <a:xfrm>
          <a:off x="26898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55" name="Line 54">
          <a:extLst>
            <a:ext uri="{FF2B5EF4-FFF2-40B4-BE49-F238E27FC236}">
              <a16:creationId xmlns:a16="http://schemas.microsoft.com/office/drawing/2014/main" id="{00000000-0008-0000-0D00-000037000000}"/>
            </a:ext>
          </a:extLst>
        </xdr:cNvPr>
        <xdr:cNvSpPr>
          <a:spLocks noChangeShapeType="1"/>
        </xdr:cNvSpPr>
      </xdr:nvSpPr>
      <xdr:spPr bwMode="auto">
        <a:xfrm>
          <a:off x="48844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56" name="Line 55">
          <a:extLst>
            <a:ext uri="{FF2B5EF4-FFF2-40B4-BE49-F238E27FC236}">
              <a16:creationId xmlns:a16="http://schemas.microsoft.com/office/drawing/2014/main" id="{00000000-0008-0000-0D00-000038000000}"/>
            </a:ext>
          </a:extLst>
        </xdr:cNvPr>
        <xdr:cNvSpPr>
          <a:spLocks noChangeShapeType="1"/>
        </xdr:cNvSpPr>
      </xdr:nvSpPr>
      <xdr:spPr bwMode="auto">
        <a:xfrm>
          <a:off x="4884420" y="552450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57" name="Line 56">
          <a:extLst>
            <a:ext uri="{FF2B5EF4-FFF2-40B4-BE49-F238E27FC236}">
              <a16:creationId xmlns:a16="http://schemas.microsoft.com/office/drawing/2014/main" id="{00000000-0008-0000-0D00-000039000000}"/>
            </a:ext>
          </a:extLst>
        </xdr:cNvPr>
        <xdr:cNvSpPr>
          <a:spLocks noChangeShapeType="1"/>
        </xdr:cNvSpPr>
      </xdr:nvSpPr>
      <xdr:spPr bwMode="auto">
        <a:xfrm>
          <a:off x="4884420" y="770382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58" name="Line 57">
          <a:extLst>
            <a:ext uri="{FF2B5EF4-FFF2-40B4-BE49-F238E27FC236}">
              <a16:creationId xmlns:a16="http://schemas.microsoft.com/office/drawing/2014/main" id="{00000000-0008-0000-0D00-00003A000000}"/>
            </a:ext>
          </a:extLst>
        </xdr:cNvPr>
        <xdr:cNvSpPr>
          <a:spLocks noChangeShapeType="1"/>
        </xdr:cNvSpPr>
      </xdr:nvSpPr>
      <xdr:spPr bwMode="auto">
        <a:xfrm>
          <a:off x="4884420" y="103403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59" name="Line 58">
          <a:extLst>
            <a:ext uri="{FF2B5EF4-FFF2-40B4-BE49-F238E27FC236}">
              <a16:creationId xmlns:a16="http://schemas.microsoft.com/office/drawing/2014/main" id="{00000000-0008-0000-0D00-00003B000000}"/>
            </a:ext>
          </a:extLst>
        </xdr:cNvPr>
        <xdr:cNvSpPr>
          <a:spLocks noChangeShapeType="1"/>
        </xdr:cNvSpPr>
      </xdr:nvSpPr>
      <xdr:spPr bwMode="auto">
        <a:xfrm>
          <a:off x="48844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0" name="Line 59">
          <a:extLst>
            <a:ext uri="{FF2B5EF4-FFF2-40B4-BE49-F238E27FC236}">
              <a16:creationId xmlns:a16="http://schemas.microsoft.com/office/drawing/2014/main" id="{00000000-0008-0000-0D00-00003C000000}"/>
            </a:ext>
          </a:extLst>
        </xdr:cNvPr>
        <xdr:cNvSpPr>
          <a:spLocks noChangeShapeType="1"/>
        </xdr:cNvSpPr>
      </xdr:nvSpPr>
      <xdr:spPr bwMode="auto">
        <a:xfrm>
          <a:off x="107365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1" name="Line 60">
          <a:extLst>
            <a:ext uri="{FF2B5EF4-FFF2-40B4-BE49-F238E27FC236}">
              <a16:creationId xmlns:a16="http://schemas.microsoft.com/office/drawing/2014/main" id="{00000000-0008-0000-0D00-00003D000000}"/>
            </a:ext>
          </a:extLst>
        </xdr:cNvPr>
        <xdr:cNvSpPr>
          <a:spLocks noChangeShapeType="1"/>
        </xdr:cNvSpPr>
      </xdr:nvSpPr>
      <xdr:spPr bwMode="auto">
        <a:xfrm>
          <a:off x="48844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 name="Line 61">
          <a:extLst>
            <a:ext uri="{FF2B5EF4-FFF2-40B4-BE49-F238E27FC236}">
              <a16:creationId xmlns:a16="http://schemas.microsoft.com/office/drawing/2014/main" id="{00000000-0008-0000-0D00-00003E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 name="Line 62">
          <a:extLst>
            <a:ext uri="{FF2B5EF4-FFF2-40B4-BE49-F238E27FC236}">
              <a16:creationId xmlns:a16="http://schemas.microsoft.com/office/drawing/2014/main" id="{00000000-0008-0000-0D00-00003F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4" name="Line 63">
          <a:extLst>
            <a:ext uri="{FF2B5EF4-FFF2-40B4-BE49-F238E27FC236}">
              <a16:creationId xmlns:a16="http://schemas.microsoft.com/office/drawing/2014/main" id="{00000000-0008-0000-0D00-000040000000}"/>
            </a:ext>
          </a:extLst>
        </xdr:cNvPr>
        <xdr:cNvSpPr>
          <a:spLocks noChangeShapeType="1"/>
        </xdr:cNvSpPr>
      </xdr:nvSpPr>
      <xdr:spPr bwMode="auto">
        <a:xfrm>
          <a:off x="70789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5" name="Line 64">
          <a:extLst>
            <a:ext uri="{FF2B5EF4-FFF2-40B4-BE49-F238E27FC236}">
              <a16:creationId xmlns:a16="http://schemas.microsoft.com/office/drawing/2014/main" id="{00000000-0008-0000-0D00-000041000000}"/>
            </a:ext>
          </a:extLst>
        </xdr:cNvPr>
        <xdr:cNvSpPr>
          <a:spLocks noChangeShapeType="1"/>
        </xdr:cNvSpPr>
      </xdr:nvSpPr>
      <xdr:spPr bwMode="auto">
        <a:xfrm>
          <a:off x="107365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6" name="Line 65">
          <a:extLst>
            <a:ext uri="{FF2B5EF4-FFF2-40B4-BE49-F238E27FC236}">
              <a16:creationId xmlns:a16="http://schemas.microsoft.com/office/drawing/2014/main" id="{00000000-0008-0000-0D00-000042000000}"/>
            </a:ext>
          </a:extLst>
        </xdr:cNvPr>
        <xdr:cNvSpPr>
          <a:spLocks noChangeShapeType="1"/>
        </xdr:cNvSpPr>
      </xdr:nvSpPr>
      <xdr:spPr bwMode="auto">
        <a:xfrm>
          <a:off x="48844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7" name="Line 66">
          <a:extLst>
            <a:ext uri="{FF2B5EF4-FFF2-40B4-BE49-F238E27FC236}">
              <a16:creationId xmlns:a16="http://schemas.microsoft.com/office/drawing/2014/main" id="{00000000-0008-0000-0D00-000043000000}"/>
            </a:ext>
          </a:extLst>
        </xdr:cNvPr>
        <xdr:cNvSpPr>
          <a:spLocks noChangeShapeType="1"/>
        </xdr:cNvSpPr>
      </xdr:nvSpPr>
      <xdr:spPr bwMode="auto">
        <a:xfrm>
          <a:off x="26898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8" name="Line 67">
          <a:extLst>
            <a:ext uri="{FF2B5EF4-FFF2-40B4-BE49-F238E27FC236}">
              <a16:creationId xmlns:a16="http://schemas.microsoft.com/office/drawing/2014/main" id="{00000000-0008-0000-0D00-000044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9" name="Line 68">
          <a:extLst>
            <a:ext uri="{FF2B5EF4-FFF2-40B4-BE49-F238E27FC236}">
              <a16:creationId xmlns:a16="http://schemas.microsoft.com/office/drawing/2014/main" id="{00000000-0008-0000-0D00-000045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0" name="Line 69">
          <a:extLst>
            <a:ext uri="{FF2B5EF4-FFF2-40B4-BE49-F238E27FC236}">
              <a16:creationId xmlns:a16="http://schemas.microsoft.com/office/drawing/2014/main" id="{00000000-0008-0000-0D00-000046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1" name="Line 70">
          <a:extLst>
            <a:ext uri="{FF2B5EF4-FFF2-40B4-BE49-F238E27FC236}">
              <a16:creationId xmlns:a16="http://schemas.microsoft.com/office/drawing/2014/main" id="{00000000-0008-0000-0D00-000047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72" name="Line 71">
          <a:extLst>
            <a:ext uri="{FF2B5EF4-FFF2-40B4-BE49-F238E27FC236}">
              <a16:creationId xmlns:a16="http://schemas.microsoft.com/office/drawing/2014/main" id="{00000000-0008-0000-0D00-000048000000}"/>
            </a:ext>
          </a:extLst>
        </xdr:cNvPr>
        <xdr:cNvSpPr>
          <a:spLocks noChangeShapeType="1"/>
        </xdr:cNvSpPr>
      </xdr:nvSpPr>
      <xdr:spPr bwMode="auto">
        <a:xfrm>
          <a:off x="4884420" y="121843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73" name="Line 72">
          <a:extLst>
            <a:ext uri="{FF2B5EF4-FFF2-40B4-BE49-F238E27FC236}">
              <a16:creationId xmlns:a16="http://schemas.microsoft.com/office/drawing/2014/main" id="{00000000-0008-0000-0D00-000049000000}"/>
            </a:ext>
          </a:extLst>
        </xdr:cNvPr>
        <xdr:cNvSpPr>
          <a:spLocks noChangeShapeType="1"/>
        </xdr:cNvSpPr>
      </xdr:nvSpPr>
      <xdr:spPr bwMode="auto">
        <a:xfrm>
          <a:off x="26898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74" name="Line 73">
          <a:extLst>
            <a:ext uri="{FF2B5EF4-FFF2-40B4-BE49-F238E27FC236}">
              <a16:creationId xmlns:a16="http://schemas.microsoft.com/office/drawing/2014/main" id="{00000000-0008-0000-0D00-00004A000000}"/>
            </a:ext>
          </a:extLst>
        </xdr:cNvPr>
        <xdr:cNvSpPr>
          <a:spLocks noChangeShapeType="1"/>
        </xdr:cNvSpPr>
      </xdr:nvSpPr>
      <xdr:spPr bwMode="auto">
        <a:xfrm>
          <a:off x="48844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75" name="Line 74">
          <a:extLst>
            <a:ext uri="{FF2B5EF4-FFF2-40B4-BE49-F238E27FC236}">
              <a16:creationId xmlns:a16="http://schemas.microsoft.com/office/drawing/2014/main" id="{00000000-0008-0000-0D00-00004B000000}"/>
            </a:ext>
          </a:extLst>
        </xdr:cNvPr>
        <xdr:cNvSpPr>
          <a:spLocks noChangeShapeType="1"/>
        </xdr:cNvSpPr>
      </xdr:nvSpPr>
      <xdr:spPr bwMode="auto">
        <a:xfrm>
          <a:off x="107365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6" name="Line 75">
          <a:extLst>
            <a:ext uri="{FF2B5EF4-FFF2-40B4-BE49-F238E27FC236}">
              <a16:creationId xmlns:a16="http://schemas.microsoft.com/office/drawing/2014/main" id="{00000000-0008-0000-0D00-00004C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7" name="Line 76">
          <a:extLst>
            <a:ext uri="{FF2B5EF4-FFF2-40B4-BE49-F238E27FC236}">
              <a16:creationId xmlns:a16="http://schemas.microsoft.com/office/drawing/2014/main" id="{00000000-0008-0000-0D00-00004D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78" name="Line 77">
          <a:extLst>
            <a:ext uri="{FF2B5EF4-FFF2-40B4-BE49-F238E27FC236}">
              <a16:creationId xmlns:a16="http://schemas.microsoft.com/office/drawing/2014/main" id="{00000000-0008-0000-0D00-00004E000000}"/>
            </a:ext>
          </a:extLst>
        </xdr:cNvPr>
        <xdr:cNvSpPr>
          <a:spLocks noChangeShapeType="1"/>
        </xdr:cNvSpPr>
      </xdr:nvSpPr>
      <xdr:spPr bwMode="auto">
        <a:xfrm>
          <a:off x="70789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79" name="Line 78">
          <a:extLst>
            <a:ext uri="{FF2B5EF4-FFF2-40B4-BE49-F238E27FC236}">
              <a16:creationId xmlns:a16="http://schemas.microsoft.com/office/drawing/2014/main" id="{00000000-0008-0000-0D00-00004F000000}"/>
            </a:ext>
          </a:extLst>
        </xdr:cNvPr>
        <xdr:cNvSpPr>
          <a:spLocks noChangeShapeType="1"/>
        </xdr:cNvSpPr>
      </xdr:nvSpPr>
      <xdr:spPr bwMode="auto">
        <a:xfrm>
          <a:off x="48844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0" name="Line 79">
          <a:extLst>
            <a:ext uri="{FF2B5EF4-FFF2-40B4-BE49-F238E27FC236}">
              <a16:creationId xmlns:a16="http://schemas.microsoft.com/office/drawing/2014/main" id="{00000000-0008-0000-0D00-000050000000}"/>
            </a:ext>
          </a:extLst>
        </xdr:cNvPr>
        <xdr:cNvSpPr>
          <a:spLocks noChangeShapeType="1"/>
        </xdr:cNvSpPr>
      </xdr:nvSpPr>
      <xdr:spPr bwMode="auto">
        <a:xfrm>
          <a:off x="26898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1" name="Line 80">
          <a:extLst>
            <a:ext uri="{FF2B5EF4-FFF2-40B4-BE49-F238E27FC236}">
              <a16:creationId xmlns:a16="http://schemas.microsoft.com/office/drawing/2014/main" id="{00000000-0008-0000-0D00-000051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 name="Line 81">
          <a:extLst>
            <a:ext uri="{FF2B5EF4-FFF2-40B4-BE49-F238E27FC236}">
              <a16:creationId xmlns:a16="http://schemas.microsoft.com/office/drawing/2014/main" id="{00000000-0008-0000-0D00-000052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 name="Line 82">
          <a:extLst>
            <a:ext uri="{FF2B5EF4-FFF2-40B4-BE49-F238E27FC236}">
              <a16:creationId xmlns:a16="http://schemas.microsoft.com/office/drawing/2014/main" id="{00000000-0008-0000-0D00-000053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4" name="Line 83">
          <a:extLst>
            <a:ext uri="{FF2B5EF4-FFF2-40B4-BE49-F238E27FC236}">
              <a16:creationId xmlns:a16="http://schemas.microsoft.com/office/drawing/2014/main" id="{00000000-0008-0000-0D00-000054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5" name="Line 84">
          <a:extLst>
            <a:ext uri="{FF2B5EF4-FFF2-40B4-BE49-F238E27FC236}">
              <a16:creationId xmlns:a16="http://schemas.microsoft.com/office/drawing/2014/main" id="{00000000-0008-0000-0D00-000055000000}"/>
            </a:ext>
          </a:extLst>
        </xdr:cNvPr>
        <xdr:cNvSpPr>
          <a:spLocks noChangeShapeType="1"/>
        </xdr:cNvSpPr>
      </xdr:nvSpPr>
      <xdr:spPr bwMode="auto">
        <a:xfrm>
          <a:off x="4884420" y="138607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6" name="Line 85">
          <a:extLst>
            <a:ext uri="{FF2B5EF4-FFF2-40B4-BE49-F238E27FC236}">
              <a16:creationId xmlns:a16="http://schemas.microsoft.com/office/drawing/2014/main" id="{00000000-0008-0000-0D00-0000560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7" name="Line 86">
          <a:extLst>
            <a:ext uri="{FF2B5EF4-FFF2-40B4-BE49-F238E27FC236}">
              <a16:creationId xmlns:a16="http://schemas.microsoft.com/office/drawing/2014/main" id="{00000000-0008-0000-0D00-0000570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8" name="Line 87">
          <a:extLst>
            <a:ext uri="{FF2B5EF4-FFF2-40B4-BE49-F238E27FC236}">
              <a16:creationId xmlns:a16="http://schemas.microsoft.com/office/drawing/2014/main" id="{00000000-0008-0000-0D00-0000580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9" name="Line 88">
          <a:extLst>
            <a:ext uri="{FF2B5EF4-FFF2-40B4-BE49-F238E27FC236}">
              <a16:creationId xmlns:a16="http://schemas.microsoft.com/office/drawing/2014/main" id="{00000000-0008-0000-0D00-0000590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90" name="Line 89">
          <a:extLst>
            <a:ext uri="{FF2B5EF4-FFF2-40B4-BE49-F238E27FC236}">
              <a16:creationId xmlns:a16="http://schemas.microsoft.com/office/drawing/2014/main" id="{00000000-0008-0000-0D00-00005A000000}"/>
            </a:ext>
          </a:extLst>
        </xdr:cNvPr>
        <xdr:cNvSpPr>
          <a:spLocks noChangeShapeType="1"/>
        </xdr:cNvSpPr>
      </xdr:nvSpPr>
      <xdr:spPr bwMode="auto">
        <a:xfrm>
          <a:off x="48844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91" name="Line 90">
          <a:extLst>
            <a:ext uri="{FF2B5EF4-FFF2-40B4-BE49-F238E27FC236}">
              <a16:creationId xmlns:a16="http://schemas.microsoft.com/office/drawing/2014/main" id="{00000000-0008-0000-0D00-00005B000000}"/>
            </a:ext>
          </a:extLst>
        </xdr:cNvPr>
        <xdr:cNvSpPr>
          <a:spLocks noChangeShapeType="1"/>
        </xdr:cNvSpPr>
      </xdr:nvSpPr>
      <xdr:spPr bwMode="auto">
        <a:xfrm>
          <a:off x="48844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92" name="Line 91">
          <a:extLst>
            <a:ext uri="{FF2B5EF4-FFF2-40B4-BE49-F238E27FC236}">
              <a16:creationId xmlns:a16="http://schemas.microsoft.com/office/drawing/2014/main" id="{00000000-0008-0000-0D00-00005C000000}"/>
            </a:ext>
          </a:extLst>
        </xdr:cNvPr>
        <xdr:cNvSpPr>
          <a:spLocks noChangeShapeType="1"/>
        </xdr:cNvSpPr>
      </xdr:nvSpPr>
      <xdr:spPr bwMode="auto">
        <a:xfrm>
          <a:off x="48844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93" name="Line 92">
          <a:extLst>
            <a:ext uri="{FF2B5EF4-FFF2-40B4-BE49-F238E27FC236}">
              <a16:creationId xmlns:a16="http://schemas.microsoft.com/office/drawing/2014/main" id="{00000000-0008-0000-0D00-00005D000000}"/>
            </a:ext>
          </a:extLst>
        </xdr:cNvPr>
        <xdr:cNvSpPr>
          <a:spLocks noChangeShapeType="1"/>
        </xdr:cNvSpPr>
      </xdr:nvSpPr>
      <xdr:spPr bwMode="auto">
        <a:xfrm>
          <a:off x="48844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94" name="Line 93">
          <a:extLst>
            <a:ext uri="{FF2B5EF4-FFF2-40B4-BE49-F238E27FC236}">
              <a16:creationId xmlns:a16="http://schemas.microsoft.com/office/drawing/2014/main" id="{00000000-0008-0000-0D00-00005E000000}"/>
            </a:ext>
          </a:extLst>
        </xdr:cNvPr>
        <xdr:cNvSpPr>
          <a:spLocks noChangeShapeType="1"/>
        </xdr:cNvSpPr>
      </xdr:nvSpPr>
      <xdr:spPr bwMode="auto">
        <a:xfrm>
          <a:off x="70789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95" name="Line 94">
          <a:extLst>
            <a:ext uri="{FF2B5EF4-FFF2-40B4-BE49-F238E27FC236}">
              <a16:creationId xmlns:a16="http://schemas.microsoft.com/office/drawing/2014/main" id="{00000000-0008-0000-0D00-00005F000000}"/>
            </a:ext>
          </a:extLst>
        </xdr:cNvPr>
        <xdr:cNvSpPr>
          <a:spLocks noChangeShapeType="1"/>
        </xdr:cNvSpPr>
      </xdr:nvSpPr>
      <xdr:spPr bwMode="auto">
        <a:xfrm>
          <a:off x="70789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96" name="Line 95">
          <a:extLst>
            <a:ext uri="{FF2B5EF4-FFF2-40B4-BE49-F238E27FC236}">
              <a16:creationId xmlns:a16="http://schemas.microsoft.com/office/drawing/2014/main" id="{00000000-0008-0000-0D00-000060000000}"/>
            </a:ext>
          </a:extLst>
        </xdr:cNvPr>
        <xdr:cNvSpPr>
          <a:spLocks noChangeShapeType="1"/>
        </xdr:cNvSpPr>
      </xdr:nvSpPr>
      <xdr:spPr bwMode="auto">
        <a:xfrm>
          <a:off x="70789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97" name="Line 96">
          <a:extLst>
            <a:ext uri="{FF2B5EF4-FFF2-40B4-BE49-F238E27FC236}">
              <a16:creationId xmlns:a16="http://schemas.microsoft.com/office/drawing/2014/main" id="{00000000-0008-0000-0D00-000061000000}"/>
            </a:ext>
          </a:extLst>
        </xdr:cNvPr>
        <xdr:cNvSpPr>
          <a:spLocks noChangeShapeType="1"/>
        </xdr:cNvSpPr>
      </xdr:nvSpPr>
      <xdr:spPr bwMode="auto">
        <a:xfrm>
          <a:off x="70789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98" name="Line 97">
          <a:extLst>
            <a:ext uri="{FF2B5EF4-FFF2-40B4-BE49-F238E27FC236}">
              <a16:creationId xmlns:a16="http://schemas.microsoft.com/office/drawing/2014/main" id="{00000000-0008-0000-0D00-000062000000}"/>
            </a:ext>
          </a:extLst>
        </xdr:cNvPr>
        <xdr:cNvSpPr>
          <a:spLocks noChangeShapeType="1"/>
        </xdr:cNvSpPr>
      </xdr:nvSpPr>
      <xdr:spPr bwMode="auto">
        <a:xfrm>
          <a:off x="70789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99" name="Line 98">
          <a:extLst>
            <a:ext uri="{FF2B5EF4-FFF2-40B4-BE49-F238E27FC236}">
              <a16:creationId xmlns:a16="http://schemas.microsoft.com/office/drawing/2014/main" id="{00000000-0008-0000-0D00-000063000000}"/>
            </a:ext>
          </a:extLst>
        </xdr:cNvPr>
        <xdr:cNvSpPr>
          <a:spLocks noChangeShapeType="1"/>
        </xdr:cNvSpPr>
      </xdr:nvSpPr>
      <xdr:spPr bwMode="auto">
        <a:xfrm>
          <a:off x="70789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0" name="Line 99">
          <a:extLst>
            <a:ext uri="{FF2B5EF4-FFF2-40B4-BE49-F238E27FC236}">
              <a16:creationId xmlns:a16="http://schemas.microsoft.com/office/drawing/2014/main" id="{00000000-0008-0000-0D00-000064000000}"/>
            </a:ext>
          </a:extLst>
        </xdr:cNvPr>
        <xdr:cNvSpPr>
          <a:spLocks noChangeShapeType="1"/>
        </xdr:cNvSpPr>
      </xdr:nvSpPr>
      <xdr:spPr bwMode="auto">
        <a:xfrm>
          <a:off x="70789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1" name="Line 100">
          <a:extLst>
            <a:ext uri="{FF2B5EF4-FFF2-40B4-BE49-F238E27FC236}">
              <a16:creationId xmlns:a16="http://schemas.microsoft.com/office/drawing/2014/main" id="{00000000-0008-0000-0D00-000065000000}"/>
            </a:ext>
          </a:extLst>
        </xdr:cNvPr>
        <xdr:cNvSpPr>
          <a:spLocks noChangeShapeType="1"/>
        </xdr:cNvSpPr>
      </xdr:nvSpPr>
      <xdr:spPr bwMode="auto">
        <a:xfrm>
          <a:off x="70789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2" name="Line 101">
          <a:extLst>
            <a:ext uri="{FF2B5EF4-FFF2-40B4-BE49-F238E27FC236}">
              <a16:creationId xmlns:a16="http://schemas.microsoft.com/office/drawing/2014/main" id="{00000000-0008-0000-0D00-000066000000}"/>
            </a:ext>
          </a:extLst>
        </xdr:cNvPr>
        <xdr:cNvSpPr>
          <a:spLocks noChangeShapeType="1"/>
        </xdr:cNvSpPr>
      </xdr:nvSpPr>
      <xdr:spPr bwMode="auto">
        <a:xfrm>
          <a:off x="70789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 name="Line 103">
          <a:extLst>
            <a:ext uri="{FF2B5EF4-FFF2-40B4-BE49-F238E27FC236}">
              <a16:creationId xmlns:a16="http://schemas.microsoft.com/office/drawing/2014/main" id="{00000000-0008-0000-0D00-0000670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 name="Line 107">
          <a:extLst>
            <a:ext uri="{FF2B5EF4-FFF2-40B4-BE49-F238E27FC236}">
              <a16:creationId xmlns:a16="http://schemas.microsoft.com/office/drawing/2014/main" id="{00000000-0008-0000-0D00-0000680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5" name="Line 108">
          <a:extLst>
            <a:ext uri="{FF2B5EF4-FFF2-40B4-BE49-F238E27FC236}">
              <a16:creationId xmlns:a16="http://schemas.microsoft.com/office/drawing/2014/main" id="{00000000-0008-0000-0D00-0000690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6" name="Line 109">
          <a:extLst>
            <a:ext uri="{FF2B5EF4-FFF2-40B4-BE49-F238E27FC236}">
              <a16:creationId xmlns:a16="http://schemas.microsoft.com/office/drawing/2014/main" id="{00000000-0008-0000-0D00-00006A0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7" name="Line 110">
          <a:extLst>
            <a:ext uri="{FF2B5EF4-FFF2-40B4-BE49-F238E27FC236}">
              <a16:creationId xmlns:a16="http://schemas.microsoft.com/office/drawing/2014/main" id="{00000000-0008-0000-0D00-00006B0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8" name="Line 111">
          <a:extLst>
            <a:ext uri="{FF2B5EF4-FFF2-40B4-BE49-F238E27FC236}">
              <a16:creationId xmlns:a16="http://schemas.microsoft.com/office/drawing/2014/main" id="{00000000-0008-0000-0D00-00006C0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9" name="Line 112">
          <a:extLst>
            <a:ext uri="{FF2B5EF4-FFF2-40B4-BE49-F238E27FC236}">
              <a16:creationId xmlns:a16="http://schemas.microsoft.com/office/drawing/2014/main" id="{00000000-0008-0000-0D00-00006D0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10" name="Line 113">
          <a:extLst>
            <a:ext uri="{FF2B5EF4-FFF2-40B4-BE49-F238E27FC236}">
              <a16:creationId xmlns:a16="http://schemas.microsoft.com/office/drawing/2014/main" id="{00000000-0008-0000-0D00-00006E0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11" name="Line 114">
          <a:extLst>
            <a:ext uri="{FF2B5EF4-FFF2-40B4-BE49-F238E27FC236}">
              <a16:creationId xmlns:a16="http://schemas.microsoft.com/office/drawing/2014/main" id="{00000000-0008-0000-0D00-00006F0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12" name="Line 115">
          <a:extLst>
            <a:ext uri="{FF2B5EF4-FFF2-40B4-BE49-F238E27FC236}">
              <a16:creationId xmlns:a16="http://schemas.microsoft.com/office/drawing/2014/main" id="{00000000-0008-0000-0D00-0000700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10160</xdr:colOff>
      <xdr:row>93</xdr:row>
      <xdr:rowOff>0</xdr:rowOff>
    </xdr:from>
    <xdr:to>
      <xdr:col>3</xdr:col>
      <xdr:colOff>718820</xdr:colOff>
      <xdr:row>93</xdr:row>
      <xdr:rowOff>0</xdr:rowOff>
    </xdr:to>
    <xdr:sp macro="" textlink="">
      <xdr:nvSpPr>
        <xdr:cNvPr id="113" name="Line 116">
          <a:extLst>
            <a:ext uri="{FF2B5EF4-FFF2-40B4-BE49-F238E27FC236}">
              <a16:creationId xmlns:a16="http://schemas.microsoft.com/office/drawing/2014/main" id="{00000000-0008-0000-0D00-000071000000}"/>
            </a:ext>
          </a:extLst>
        </xdr:cNvPr>
        <xdr:cNvSpPr>
          <a:spLocks noChangeShapeType="1"/>
        </xdr:cNvSpPr>
      </xdr:nvSpPr>
      <xdr:spPr bwMode="auto">
        <a:xfrm>
          <a:off x="270002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4" name="Line 75">
          <a:extLst>
            <a:ext uri="{FF2B5EF4-FFF2-40B4-BE49-F238E27FC236}">
              <a16:creationId xmlns:a16="http://schemas.microsoft.com/office/drawing/2014/main" id="{00000000-0008-0000-0D00-0000720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15" name="Line 87">
          <a:extLst>
            <a:ext uri="{FF2B5EF4-FFF2-40B4-BE49-F238E27FC236}">
              <a16:creationId xmlns:a16="http://schemas.microsoft.com/office/drawing/2014/main" id="{00000000-0008-0000-0D00-0000730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16" name="Line 75">
          <a:extLst>
            <a:ext uri="{FF2B5EF4-FFF2-40B4-BE49-F238E27FC236}">
              <a16:creationId xmlns:a16="http://schemas.microsoft.com/office/drawing/2014/main" id="{00000000-0008-0000-0D00-0000740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17" name="Line 79">
          <a:extLst>
            <a:ext uri="{FF2B5EF4-FFF2-40B4-BE49-F238E27FC236}">
              <a16:creationId xmlns:a16="http://schemas.microsoft.com/office/drawing/2014/main" id="{00000000-0008-0000-0D00-0000750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18" name="Line 87">
          <a:extLst>
            <a:ext uri="{FF2B5EF4-FFF2-40B4-BE49-F238E27FC236}">
              <a16:creationId xmlns:a16="http://schemas.microsoft.com/office/drawing/2014/main" id="{00000000-0008-0000-0D00-0000760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9" name="Line 75">
          <a:extLst>
            <a:ext uri="{FF2B5EF4-FFF2-40B4-BE49-F238E27FC236}">
              <a16:creationId xmlns:a16="http://schemas.microsoft.com/office/drawing/2014/main" id="{00000000-0008-0000-0D00-0000770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0" name="Line 87">
          <a:extLst>
            <a:ext uri="{FF2B5EF4-FFF2-40B4-BE49-F238E27FC236}">
              <a16:creationId xmlns:a16="http://schemas.microsoft.com/office/drawing/2014/main" id="{00000000-0008-0000-0D00-0000780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1" name="Line 75">
          <a:extLst>
            <a:ext uri="{FF2B5EF4-FFF2-40B4-BE49-F238E27FC236}">
              <a16:creationId xmlns:a16="http://schemas.microsoft.com/office/drawing/2014/main" id="{00000000-0008-0000-0D00-0000790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2" name="Line 79">
          <a:extLst>
            <a:ext uri="{FF2B5EF4-FFF2-40B4-BE49-F238E27FC236}">
              <a16:creationId xmlns:a16="http://schemas.microsoft.com/office/drawing/2014/main" id="{00000000-0008-0000-0D00-00007A0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3" name="Line 87">
          <a:extLst>
            <a:ext uri="{FF2B5EF4-FFF2-40B4-BE49-F238E27FC236}">
              <a16:creationId xmlns:a16="http://schemas.microsoft.com/office/drawing/2014/main" id="{00000000-0008-0000-0D00-00007B0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 name="Line 1">
          <a:extLst>
            <a:ext uri="{FF2B5EF4-FFF2-40B4-BE49-F238E27FC236}">
              <a16:creationId xmlns:a16="http://schemas.microsoft.com/office/drawing/2014/main" id="{00000000-0008-0000-0F00-000002000000}"/>
            </a:ext>
          </a:extLst>
        </xdr:cNvPr>
        <xdr:cNvSpPr>
          <a:spLocks noChangeShapeType="1"/>
        </xdr:cNvSpPr>
      </xdr:nvSpPr>
      <xdr:spPr bwMode="auto">
        <a:xfrm>
          <a:off x="48844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3" name="Line 2">
          <a:extLst>
            <a:ext uri="{FF2B5EF4-FFF2-40B4-BE49-F238E27FC236}">
              <a16:creationId xmlns:a16="http://schemas.microsoft.com/office/drawing/2014/main" id="{00000000-0008-0000-0F00-000003000000}"/>
            </a:ext>
          </a:extLst>
        </xdr:cNvPr>
        <xdr:cNvSpPr>
          <a:spLocks noChangeShapeType="1"/>
        </xdr:cNvSpPr>
      </xdr:nvSpPr>
      <xdr:spPr bwMode="auto">
        <a:xfrm>
          <a:off x="48844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 name="Line 3">
          <a:extLst>
            <a:ext uri="{FF2B5EF4-FFF2-40B4-BE49-F238E27FC236}">
              <a16:creationId xmlns:a16="http://schemas.microsoft.com/office/drawing/2014/main" id="{00000000-0008-0000-0F00-000004000000}"/>
            </a:ext>
          </a:extLst>
        </xdr:cNvPr>
        <xdr:cNvSpPr>
          <a:spLocks noChangeShapeType="1"/>
        </xdr:cNvSpPr>
      </xdr:nvSpPr>
      <xdr:spPr bwMode="auto">
        <a:xfrm>
          <a:off x="48844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5" name="Line 4">
          <a:extLst>
            <a:ext uri="{FF2B5EF4-FFF2-40B4-BE49-F238E27FC236}">
              <a16:creationId xmlns:a16="http://schemas.microsoft.com/office/drawing/2014/main" id="{00000000-0008-0000-0F00-000005000000}"/>
            </a:ext>
          </a:extLst>
        </xdr:cNvPr>
        <xdr:cNvSpPr>
          <a:spLocks noChangeShapeType="1"/>
        </xdr:cNvSpPr>
      </xdr:nvSpPr>
      <xdr:spPr bwMode="auto">
        <a:xfrm>
          <a:off x="70789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 name="Line 5">
          <a:extLst>
            <a:ext uri="{FF2B5EF4-FFF2-40B4-BE49-F238E27FC236}">
              <a16:creationId xmlns:a16="http://schemas.microsoft.com/office/drawing/2014/main" id="{00000000-0008-0000-0F00-000006000000}"/>
            </a:ext>
          </a:extLst>
        </xdr:cNvPr>
        <xdr:cNvSpPr>
          <a:spLocks noChangeShapeType="1"/>
        </xdr:cNvSpPr>
      </xdr:nvSpPr>
      <xdr:spPr bwMode="auto">
        <a:xfrm>
          <a:off x="107365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7" name="Line 6">
          <a:extLst>
            <a:ext uri="{FF2B5EF4-FFF2-40B4-BE49-F238E27FC236}">
              <a16:creationId xmlns:a16="http://schemas.microsoft.com/office/drawing/2014/main" id="{00000000-0008-0000-0F00-000007000000}"/>
            </a:ext>
          </a:extLst>
        </xdr:cNvPr>
        <xdr:cNvSpPr>
          <a:spLocks noChangeShapeType="1"/>
        </xdr:cNvSpPr>
      </xdr:nvSpPr>
      <xdr:spPr bwMode="auto">
        <a:xfrm>
          <a:off x="107365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 name="Line 7">
          <a:extLst>
            <a:ext uri="{FF2B5EF4-FFF2-40B4-BE49-F238E27FC236}">
              <a16:creationId xmlns:a16="http://schemas.microsoft.com/office/drawing/2014/main" id="{00000000-0008-0000-0F00-000008000000}"/>
            </a:ext>
          </a:extLst>
        </xdr:cNvPr>
        <xdr:cNvSpPr>
          <a:spLocks noChangeShapeType="1"/>
        </xdr:cNvSpPr>
      </xdr:nvSpPr>
      <xdr:spPr bwMode="auto">
        <a:xfrm>
          <a:off x="48844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9" name="Line 8">
          <a:extLst>
            <a:ext uri="{FF2B5EF4-FFF2-40B4-BE49-F238E27FC236}">
              <a16:creationId xmlns:a16="http://schemas.microsoft.com/office/drawing/2014/main" id="{00000000-0008-0000-0F00-000009000000}"/>
            </a:ext>
          </a:extLst>
        </xdr:cNvPr>
        <xdr:cNvSpPr>
          <a:spLocks noChangeShapeType="1"/>
        </xdr:cNvSpPr>
      </xdr:nvSpPr>
      <xdr:spPr bwMode="auto">
        <a:xfrm>
          <a:off x="48844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 name="Line 9">
          <a:extLst>
            <a:ext uri="{FF2B5EF4-FFF2-40B4-BE49-F238E27FC236}">
              <a16:creationId xmlns:a16="http://schemas.microsoft.com/office/drawing/2014/main" id="{00000000-0008-0000-0F00-00000A000000}"/>
            </a:ext>
          </a:extLst>
        </xdr:cNvPr>
        <xdr:cNvSpPr>
          <a:spLocks noChangeShapeType="1"/>
        </xdr:cNvSpPr>
      </xdr:nvSpPr>
      <xdr:spPr bwMode="auto">
        <a:xfrm>
          <a:off x="48844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1" name="Line 10">
          <a:extLst>
            <a:ext uri="{FF2B5EF4-FFF2-40B4-BE49-F238E27FC236}">
              <a16:creationId xmlns:a16="http://schemas.microsoft.com/office/drawing/2014/main" id="{00000000-0008-0000-0F00-00000B000000}"/>
            </a:ext>
          </a:extLst>
        </xdr:cNvPr>
        <xdr:cNvSpPr>
          <a:spLocks noChangeShapeType="1"/>
        </xdr:cNvSpPr>
      </xdr:nvSpPr>
      <xdr:spPr bwMode="auto">
        <a:xfrm>
          <a:off x="70789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 name="Line 11">
          <a:extLst>
            <a:ext uri="{FF2B5EF4-FFF2-40B4-BE49-F238E27FC236}">
              <a16:creationId xmlns:a16="http://schemas.microsoft.com/office/drawing/2014/main" id="{00000000-0008-0000-0F00-00000C000000}"/>
            </a:ext>
          </a:extLst>
        </xdr:cNvPr>
        <xdr:cNvSpPr>
          <a:spLocks noChangeShapeType="1"/>
        </xdr:cNvSpPr>
      </xdr:nvSpPr>
      <xdr:spPr bwMode="auto">
        <a:xfrm>
          <a:off x="70789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3" name="Line 12">
          <a:extLst>
            <a:ext uri="{FF2B5EF4-FFF2-40B4-BE49-F238E27FC236}">
              <a16:creationId xmlns:a16="http://schemas.microsoft.com/office/drawing/2014/main" id="{00000000-0008-0000-0F00-00000D000000}"/>
            </a:ext>
          </a:extLst>
        </xdr:cNvPr>
        <xdr:cNvSpPr>
          <a:spLocks noChangeShapeType="1"/>
        </xdr:cNvSpPr>
      </xdr:nvSpPr>
      <xdr:spPr bwMode="auto">
        <a:xfrm>
          <a:off x="70789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 name="Line 13">
          <a:extLst>
            <a:ext uri="{FF2B5EF4-FFF2-40B4-BE49-F238E27FC236}">
              <a16:creationId xmlns:a16="http://schemas.microsoft.com/office/drawing/2014/main" id="{00000000-0008-0000-0F00-00000E000000}"/>
            </a:ext>
          </a:extLst>
        </xdr:cNvPr>
        <xdr:cNvSpPr>
          <a:spLocks noChangeShapeType="1"/>
        </xdr:cNvSpPr>
      </xdr:nvSpPr>
      <xdr:spPr bwMode="auto">
        <a:xfrm>
          <a:off x="1073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5" name="Line 14">
          <a:extLst>
            <a:ext uri="{FF2B5EF4-FFF2-40B4-BE49-F238E27FC236}">
              <a16:creationId xmlns:a16="http://schemas.microsoft.com/office/drawing/2014/main" id="{00000000-0008-0000-0F00-00000F000000}"/>
            </a:ext>
          </a:extLst>
        </xdr:cNvPr>
        <xdr:cNvSpPr>
          <a:spLocks noChangeShapeType="1"/>
        </xdr:cNvSpPr>
      </xdr:nvSpPr>
      <xdr:spPr bwMode="auto">
        <a:xfrm>
          <a:off x="1073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6" name="Line 15">
          <a:extLst>
            <a:ext uri="{FF2B5EF4-FFF2-40B4-BE49-F238E27FC236}">
              <a16:creationId xmlns:a16="http://schemas.microsoft.com/office/drawing/2014/main" id="{00000000-0008-0000-0F00-000010000000}"/>
            </a:ext>
          </a:extLst>
        </xdr:cNvPr>
        <xdr:cNvSpPr>
          <a:spLocks noChangeShapeType="1"/>
        </xdr:cNvSpPr>
      </xdr:nvSpPr>
      <xdr:spPr bwMode="auto">
        <a:xfrm>
          <a:off x="1073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7" name="Line 16">
          <a:extLst>
            <a:ext uri="{FF2B5EF4-FFF2-40B4-BE49-F238E27FC236}">
              <a16:creationId xmlns:a16="http://schemas.microsoft.com/office/drawing/2014/main" id="{00000000-0008-0000-0F00-000011000000}"/>
            </a:ext>
          </a:extLst>
        </xdr:cNvPr>
        <xdr:cNvSpPr>
          <a:spLocks noChangeShapeType="1"/>
        </xdr:cNvSpPr>
      </xdr:nvSpPr>
      <xdr:spPr bwMode="auto">
        <a:xfrm>
          <a:off x="107365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8" name="Line 17">
          <a:extLst>
            <a:ext uri="{FF2B5EF4-FFF2-40B4-BE49-F238E27FC236}">
              <a16:creationId xmlns:a16="http://schemas.microsoft.com/office/drawing/2014/main" id="{00000000-0008-0000-0F00-000012000000}"/>
            </a:ext>
          </a:extLst>
        </xdr:cNvPr>
        <xdr:cNvSpPr>
          <a:spLocks noChangeShapeType="1"/>
        </xdr:cNvSpPr>
      </xdr:nvSpPr>
      <xdr:spPr bwMode="auto">
        <a:xfrm>
          <a:off x="26898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9" name="Line 18">
          <a:extLst>
            <a:ext uri="{FF2B5EF4-FFF2-40B4-BE49-F238E27FC236}">
              <a16:creationId xmlns:a16="http://schemas.microsoft.com/office/drawing/2014/main" id="{00000000-0008-0000-0F00-000013000000}"/>
            </a:ext>
          </a:extLst>
        </xdr:cNvPr>
        <xdr:cNvSpPr>
          <a:spLocks noChangeShapeType="1"/>
        </xdr:cNvSpPr>
      </xdr:nvSpPr>
      <xdr:spPr bwMode="auto">
        <a:xfrm>
          <a:off x="26898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0" name="Line 19">
          <a:extLst>
            <a:ext uri="{FF2B5EF4-FFF2-40B4-BE49-F238E27FC236}">
              <a16:creationId xmlns:a16="http://schemas.microsoft.com/office/drawing/2014/main" id="{00000000-0008-0000-0F00-000014000000}"/>
            </a:ext>
          </a:extLst>
        </xdr:cNvPr>
        <xdr:cNvSpPr>
          <a:spLocks noChangeShapeType="1"/>
        </xdr:cNvSpPr>
      </xdr:nvSpPr>
      <xdr:spPr bwMode="auto">
        <a:xfrm>
          <a:off x="26898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1" name="Line 20">
          <a:extLst>
            <a:ext uri="{FF2B5EF4-FFF2-40B4-BE49-F238E27FC236}">
              <a16:creationId xmlns:a16="http://schemas.microsoft.com/office/drawing/2014/main" id="{00000000-0008-0000-0F00-000015000000}"/>
            </a:ext>
          </a:extLst>
        </xdr:cNvPr>
        <xdr:cNvSpPr>
          <a:spLocks noChangeShapeType="1"/>
        </xdr:cNvSpPr>
      </xdr:nvSpPr>
      <xdr:spPr bwMode="auto">
        <a:xfrm>
          <a:off x="26898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2" name="Line 21">
          <a:extLst>
            <a:ext uri="{FF2B5EF4-FFF2-40B4-BE49-F238E27FC236}">
              <a16:creationId xmlns:a16="http://schemas.microsoft.com/office/drawing/2014/main" id="{00000000-0008-0000-0F00-000016000000}"/>
            </a:ext>
          </a:extLst>
        </xdr:cNvPr>
        <xdr:cNvSpPr>
          <a:spLocks noChangeShapeType="1"/>
        </xdr:cNvSpPr>
      </xdr:nvSpPr>
      <xdr:spPr bwMode="auto">
        <a:xfrm>
          <a:off x="26898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3" name="Line 22">
          <a:extLst>
            <a:ext uri="{FF2B5EF4-FFF2-40B4-BE49-F238E27FC236}">
              <a16:creationId xmlns:a16="http://schemas.microsoft.com/office/drawing/2014/main" id="{00000000-0008-0000-0F00-000017000000}"/>
            </a:ext>
          </a:extLst>
        </xdr:cNvPr>
        <xdr:cNvSpPr>
          <a:spLocks noChangeShapeType="1"/>
        </xdr:cNvSpPr>
      </xdr:nvSpPr>
      <xdr:spPr bwMode="auto">
        <a:xfrm>
          <a:off x="26898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4" name="Line 23">
          <a:extLst>
            <a:ext uri="{FF2B5EF4-FFF2-40B4-BE49-F238E27FC236}">
              <a16:creationId xmlns:a16="http://schemas.microsoft.com/office/drawing/2014/main" id="{00000000-0008-0000-0F00-000018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5" name="Line 24">
          <a:extLst>
            <a:ext uri="{FF2B5EF4-FFF2-40B4-BE49-F238E27FC236}">
              <a16:creationId xmlns:a16="http://schemas.microsoft.com/office/drawing/2014/main" id="{00000000-0008-0000-0F00-000019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6" name="Line 25">
          <a:extLst>
            <a:ext uri="{FF2B5EF4-FFF2-40B4-BE49-F238E27FC236}">
              <a16:creationId xmlns:a16="http://schemas.microsoft.com/office/drawing/2014/main" id="{00000000-0008-0000-0F00-00001A000000}"/>
            </a:ext>
          </a:extLst>
        </xdr:cNvPr>
        <xdr:cNvSpPr>
          <a:spLocks noChangeShapeType="1"/>
        </xdr:cNvSpPr>
      </xdr:nvSpPr>
      <xdr:spPr bwMode="auto">
        <a:xfrm>
          <a:off x="70789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7" name="Line 26">
          <a:extLst>
            <a:ext uri="{FF2B5EF4-FFF2-40B4-BE49-F238E27FC236}">
              <a16:creationId xmlns:a16="http://schemas.microsoft.com/office/drawing/2014/main" id="{00000000-0008-0000-0F00-00001B000000}"/>
            </a:ext>
          </a:extLst>
        </xdr:cNvPr>
        <xdr:cNvSpPr>
          <a:spLocks noChangeShapeType="1"/>
        </xdr:cNvSpPr>
      </xdr:nvSpPr>
      <xdr:spPr bwMode="auto">
        <a:xfrm>
          <a:off x="107365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8" name="Line 27">
          <a:extLst>
            <a:ext uri="{FF2B5EF4-FFF2-40B4-BE49-F238E27FC236}">
              <a16:creationId xmlns:a16="http://schemas.microsoft.com/office/drawing/2014/main" id="{00000000-0008-0000-0F00-00001C000000}"/>
            </a:ext>
          </a:extLst>
        </xdr:cNvPr>
        <xdr:cNvSpPr>
          <a:spLocks noChangeShapeType="1"/>
        </xdr:cNvSpPr>
      </xdr:nvSpPr>
      <xdr:spPr bwMode="auto">
        <a:xfrm>
          <a:off x="48844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9" name="Line 28">
          <a:extLst>
            <a:ext uri="{FF2B5EF4-FFF2-40B4-BE49-F238E27FC236}">
              <a16:creationId xmlns:a16="http://schemas.microsoft.com/office/drawing/2014/main" id="{00000000-0008-0000-0F00-00001D000000}"/>
            </a:ext>
          </a:extLst>
        </xdr:cNvPr>
        <xdr:cNvSpPr>
          <a:spLocks noChangeShapeType="1"/>
        </xdr:cNvSpPr>
      </xdr:nvSpPr>
      <xdr:spPr bwMode="auto">
        <a:xfrm>
          <a:off x="48844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30" name="Line 29">
          <a:extLst>
            <a:ext uri="{FF2B5EF4-FFF2-40B4-BE49-F238E27FC236}">
              <a16:creationId xmlns:a16="http://schemas.microsoft.com/office/drawing/2014/main" id="{00000000-0008-0000-0F00-00001E000000}"/>
            </a:ext>
          </a:extLst>
        </xdr:cNvPr>
        <xdr:cNvSpPr>
          <a:spLocks noChangeShapeType="1"/>
        </xdr:cNvSpPr>
      </xdr:nvSpPr>
      <xdr:spPr bwMode="auto">
        <a:xfrm>
          <a:off x="70789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31" name="Line 30">
          <a:extLst>
            <a:ext uri="{FF2B5EF4-FFF2-40B4-BE49-F238E27FC236}">
              <a16:creationId xmlns:a16="http://schemas.microsoft.com/office/drawing/2014/main" id="{00000000-0008-0000-0F00-00001F000000}"/>
            </a:ext>
          </a:extLst>
        </xdr:cNvPr>
        <xdr:cNvSpPr>
          <a:spLocks noChangeShapeType="1"/>
        </xdr:cNvSpPr>
      </xdr:nvSpPr>
      <xdr:spPr bwMode="auto">
        <a:xfrm>
          <a:off x="70789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32" name="Line 31">
          <a:extLst>
            <a:ext uri="{FF2B5EF4-FFF2-40B4-BE49-F238E27FC236}">
              <a16:creationId xmlns:a16="http://schemas.microsoft.com/office/drawing/2014/main" id="{00000000-0008-0000-0F00-000020000000}"/>
            </a:ext>
          </a:extLst>
        </xdr:cNvPr>
        <xdr:cNvSpPr>
          <a:spLocks noChangeShapeType="1"/>
        </xdr:cNvSpPr>
      </xdr:nvSpPr>
      <xdr:spPr bwMode="auto">
        <a:xfrm>
          <a:off x="1073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33" name="Line 32">
          <a:extLst>
            <a:ext uri="{FF2B5EF4-FFF2-40B4-BE49-F238E27FC236}">
              <a16:creationId xmlns:a16="http://schemas.microsoft.com/office/drawing/2014/main" id="{00000000-0008-0000-0F00-000021000000}"/>
            </a:ext>
          </a:extLst>
        </xdr:cNvPr>
        <xdr:cNvSpPr>
          <a:spLocks noChangeShapeType="1"/>
        </xdr:cNvSpPr>
      </xdr:nvSpPr>
      <xdr:spPr bwMode="auto">
        <a:xfrm>
          <a:off x="1073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34" name="Line 33">
          <a:extLst>
            <a:ext uri="{FF2B5EF4-FFF2-40B4-BE49-F238E27FC236}">
              <a16:creationId xmlns:a16="http://schemas.microsoft.com/office/drawing/2014/main" id="{00000000-0008-0000-0F00-000022000000}"/>
            </a:ext>
          </a:extLst>
        </xdr:cNvPr>
        <xdr:cNvSpPr>
          <a:spLocks noChangeShapeType="1"/>
        </xdr:cNvSpPr>
      </xdr:nvSpPr>
      <xdr:spPr bwMode="auto">
        <a:xfrm>
          <a:off x="26898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5" name="Line 34">
          <a:extLst>
            <a:ext uri="{FF2B5EF4-FFF2-40B4-BE49-F238E27FC236}">
              <a16:creationId xmlns:a16="http://schemas.microsoft.com/office/drawing/2014/main" id="{00000000-0008-0000-0F00-000023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6" name="Line 35">
          <a:extLst>
            <a:ext uri="{FF2B5EF4-FFF2-40B4-BE49-F238E27FC236}">
              <a16:creationId xmlns:a16="http://schemas.microsoft.com/office/drawing/2014/main" id="{00000000-0008-0000-0F00-000024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37" name="Line 36">
          <a:extLst>
            <a:ext uri="{FF2B5EF4-FFF2-40B4-BE49-F238E27FC236}">
              <a16:creationId xmlns:a16="http://schemas.microsoft.com/office/drawing/2014/main" id="{00000000-0008-0000-0F00-000025000000}"/>
            </a:ext>
          </a:extLst>
        </xdr:cNvPr>
        <xdr:cNvSpPr>
          <a:spLocks noChangeShapeType="1"/>
        </xdr:cNvSpPr>
      </xdr:nvSpPr>
      <xdr:spPr bwMode="auto">
        <a:xfrm>
          <a:off x="26898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38" name="Line 37">
          <a:extLst>
            <a:ext uri="{FF2B5EF4-FFF2-40B4-BE49-F238E27FC236}">
              <a16:creationId xmlns:a16="http://schemas.microsoft.com/office/drawing/2014/main" id="{00000000-0008-0000-0F00-000026000000}"/>
            </a:ext>
          </a:extLst>
        </xdr:cNvPr>
        <xdr:cNvSpPr>
          <a:spLocks noChangeShapeType="1"/>
        </xdr:cNvSpPr>
      </xdr:nvSpPr>
      <xdr:spPr bwMode="auto">
        <a:xfrm>
          <a:off x="26898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39" name="Line 38">
          <a:extLst>
            <a:ext uri="{FF2B5EF4-FFF2-40B4-BE49-F238E27FC236}">
              <a16:creationId xmlns:a16="http://schemas.microsoft.com/office/drawing/2014/main" id="{00000000-0008-0000-0F00-000027000000}"/>
            </a:ext>
          </a:extLst>
        </xdr:cNvPr>
        <xdr:cNvSpPr>
          <a:spLocks noChangeShapeType="1"/>
        </xdr:cNvSpPr>
      </xdr:nvSpPr>
      <xdr:spPr bwMode="auto">
        <a:xfrm>
          <a:off x="26898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0" name="Line 39">
          <a:extLst>
            <a:ext uri="{FF2B5EF4-FFF2-40B4-BE49-F238E27FC236}">
              <a16:creationId xmlns:a16="http://schemas.microsoft.com/office/drawing/2014/main" id="{00000000-0008-0000-0F00-000028000000}"/>
            </a:ext>
          </a:extLst>
        </xdr:cNvPr>
        <xdr:cNvSpPr>
          <a:spLocks noChangeShapeType="1"/>
        </xdr:cNvSpPr>
      </xdr:nvSpPr>
      <xdr:spPr bwMode="auto">
        <a:xfrm>
          <a:off x="48844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1" name="Line 40">
          <a:extLst>
            <a:ext uri="{FF2B5EF4-FFF2-40B4-BE49-F238E27FC236}">
              <a16:creationId xmlns:a16="http://schemas.microsoft.com/office/drawing/2014/main" id="{00000000-0008-0000-0F00-000029000000}"/>
            </a:ext>
          </a:extLst>
        </xdr:cNvPr>
        <xdr:cNvSpPr>
          <a:spLocks noChangeShapeType="1"/>
        </xdr:cNvSpPr>
      </xdr:nvSpPr>
      <xdr:spPr bwMode="auto">
        <a:xfrm>
          <a:off x="107365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 name="Line 41">
          <a:extLst>
            <a:ext uri="{FF2B5EF4-FFF2-40B4-BE49-F238E27FC236}">
              <a16:creationId xmlns:a16="http://schemas.microsoft.com/office/drawing/2014/main" id="{00000000-0008-0000-0F00-00002A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3" name="Line 42">
          <a:extLst>
            <a:ext uri="{FF2B5EF4-FFF2-40B4-BE49-F238E27FC236}">
              <a16:creationId xmlns:a16="http://schemas.microsoft.com/office/drawing/2014/main" id="{00000000-0008-0000-0F00-00002B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4" name="Line 43">
          <a:extLst>
            <a:ext uri="{FF2B5EF4-FFF2-40B4-BE49-F238E27FC236}">
              <a16:creationId xmlns:a16="http://schemas.microsoft.com/office/drawing/2014/main" id="{00000000-0008-0000-0F00-00002C000000}"/>
            </a:ext>
          </a:extLst>
        </xdr:cNvPr>
        <xdr:cNvSpPr>
          <a:spLocks noChangeShapeType="1"/>
        </xdr:cNvSpPr>
      </xdr:nvSpPr>
      <xdr:spPr bwMode="auto">
        <a:xfrm>
          <a:off x="70789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5" name="Line 44">
          <a:extLst>
            <a:ext uri="{FF2B5EF4-FFF2-40B4-BE49-F238E27FC236}">
              <a16:creationId xmlns:a16="http://schemas.microsoft.com/office/drawing/2014/main" id="{00000000-0008-0000-0F00-00002D000000}"/>
            </a:ext>
          </a:extLst>
        </xdr:cNvPr>
        <xdr:cNvSpPr>
          <a:spLocks noChangeShapeType="1"/>
        </xdr:cNvSpPr>
      </xdr:nvSpPr>
      <xdr:spPr bwMode="auto">
        <a:xfrm>
          <a:off x="107365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6" name="Line 45">
          <a:extLst>
            <a:ext uri="{FF2B5EF4-FFF2-40B4-BE49-F238E27FC236}">
              <a16:creationId xmlns:a16="http://schemas.microsoft.com/office/drawing/2014/main" id="{00000000-0008-0000-0F00-00002E000000}"/>
            </a:ext>
          </a:extLst>
        </xdr:cNvPr>
        <xdr:cNvSpPr>
          <a:spLocks noChangeShapeType="1"/>
        </xdr:cNvSpPr>
      </xdr:nvSpPr>
      <xdr:spPr bwMode="auto">
        <a:xfrm>
          <a:off x="48844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7" name="Line 46">
          <a:extLst>
            <a:ext uri="{FF2B5EF4-FFF2-40B4-BE49-F238E27FC236}">
              <a16:creationId xmlns:a16="http://schemas.microsoft.com/office/drawing/2014/main" id="{00000000-0008-0000-0F00-00002F000000}"/>
            </a:ext>
          </a:extLst>
        </xdr:cNvPr>
        <xdr:cNvSpPr>
          <a:spLocks noChangeShapeType="1"/>
        </xdr:cNvSpPr>
      </xdr:nvSpPr>
      <xdr:spPr bwMode="auto">
        <a:xfrm>
          <a:off x="70789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8" name="Line 47">
          <a:extLst>
            <a:ext uri="{FF2B5EF4-FFF2-40B4-BE49-F238E27FC236}">
              <a16:creationId xmlns:a16="http://schemas.microsoft.com/office/drawing/2014/main" id="{00000000-0008-0000-0F00-000030000000}"/>
            </a:ext>
          </a:extLst>
        </xdr:cNvPr>
        <xdr:cNvSpPr>
          <a:spLocks noChangeShapeType="1"/>
        </xdr:cNvSpPr>
      </xdr:nvSpPr>
      <xdr:spPr bwMode="auto">
        <a:xfrm>
          <a:off x="1073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9" name="Line 48">
          <a:extLst>
            <a:ext uri="{FF2B5EF4-FFF2-40B4-BE49-F238E27FC236}">
              <a16:creationId xmlns:a16="http://schemas.microsoft.com/office/drawing/2014/main" id="{00000000-0008-0000-0F00-000031000000}"/>
            </a:ext>
          </a:extLst>
        </xdr:cNvPr>
        <xdr:cNvSpPr>
          <a:spLocks noChangeShapeType="1"/>
        </xdr:cNvSpPr>
      </xdr:nvSpPr>
      <xdr:spPr bwMode="auto">
        <a:xfrm>
          <a:off x="26898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0" name="Line 49">
          <a:extLst>
            <a:ext uri="{FF2B5EF4-FFF2-40B4-BE49-F238E27FC236}">
              <a16:creationId xmlns:a16="http://schemas.microsoft.com/office/drawing/2014/main" id="{00000000-0008-0000-0F00-000032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1" name="Line 50">
          <a:extLst>
            <a:ext uri="{FF2B5EF4-FFF2-40B4-BE49-F238E27FC236}">
              <a16:creationId xmlns:a16="http://schemas.microsoft.com/office/drawing/2014/main" id="{00000000-0008-0000-0F00-000033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2" name="Line 51">
          <a:extLst>
            <a:ext uri="{FF2B5EF4-FFF2-40B4-BE49-F238E27FC236}">
              <a16:creationId xmlns:a16="http://schemas.microsoft.com/office/drawing/2014/main" id="{00000000-0008-0000-0F00-000034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53" name="Line 52">
          <a:extLst>
            <a:ext uri="{FF2B5EF4-FFF2-40B4-BE49-F238E27FC236}">
              <a16:creationId xmlns:a16="http://schemas.microsoft.com/office/drawing/2014/main" id="{00000000-0008-0000-0F00-000035000000}"/>
            </a:ext>
          </a:extLst>
        </xdr:cNvPr>
        <xdr:cNvSpPr>
          <a:spLocks noChangeShapeType="1"/>
        </xdr:cNvSpPr>
      </xdr:nvSpPr>
      <xdr:spPr bwMode="auto">
        <a:xfrm>
          <a:off x="26898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54" name="Line 53">
          <a:extLst>
            <a:ext uri="{FF2B5EF4-FFF2-40B4-BE49-F238E27FC236}">
              <a16:creationId xmlns:a16="http://schemas.microsoft.com/office/drawing/2014/main" id="{00000000-0008-0000-0F00-000036000000}"/>
            </a:ext>
          </a:extLst>
        </xdr:cNvPr>
        <xdr:cNvSpPr>
          <a:spLocks noChangeShapeType="1"/>
        </xdr:cNvSpPr>
      </xdr:nvSpPr>
      <xdr:spPr bwMode="auto">
        <a:xfrm>
          <a:off x="26898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55" name="Line 54">
          <a:extLst>
            <a:ext uri="{FF2B5EF4-FFF2-40B4-BE49-F238E27FC236}">
              <a16:creationId xmlns:a16="http://schemas.microsoft.com/office/drawing/2014/main" id="{00000000-0008-0000-0F00-000037000000}"/>
            </a:ext>
          </a:extLst>
        </xdr:cNvPr>
        <xdr:cNvSpPr>
          <a:spLocks noChangeShapeType="1"/>
        </xdr:cNvSpPr>
      </xdr:nvSpPr>
      <xdr:spPr bwMode="auto">
        <a:xfrm>
          <a:off x="48844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56" name="Line 55">
          <a:extLst>
            <a:ext uri="{FF2B5EF4-FFF2-40B4-BE49-F238E27FC236}">
              <a16:creationId xmlns:a16="http://schemas.microsoft.com/office/drawing/2014/main" id="{00000000-0008-0000-0F00-000038000000}"/>
            </a:ext>
          </a:extLst>
        </xdr:cNvPr>
        <xdr:cNvSpPr>
          <a:spLocks noChangeShapeType="1"/>
        </xdr:cNvSpPr>
      </xdr:nvSpPr>
      <xdr:spPr bwMode="auto">
        <a:xfrm>
          <a:off x="4884420" y="552450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57" name="Line 56">
          <a:extLst>
            <a:ext uri="{FF2B5EF4-FFF2-40B4-BE49-F238E27FC236}">
              <a16:creationId xmlns:a16="http://schemas.microsoft.com/office/drawing/2014/main" id="{00000000-0008-0000-0F00-000039000000}"/>
            </a:ext>
          </a:extLst>
        </xdr:cNvPr>
        <xdr:cNvSpPr>
          <a:spLocks noChangeShapeType="1"/>
        </xdr:cNvSpPr>
      </xdr:nvSpPr>
      <xdr:spPr bwMode="auto">
        <a:xfrm>
          <a:off x="4884420" y="770382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58" name="Line 57">
          <a:extLst>
            <a:ext uri="{FF2B5EF4-FFF2-40B4-BE49-F238E27FC236}">
              <a16:creationId xmlns:a16="http://schemas.microsoft.com/office/drawing/2014/main" id="{00000000-0008-0000-0F00-00003A000000}"/>
            </a:ext>
          </a:extLst>
        </xdr:cNvPr>
        <xdr:cNvSpPr>
          <a:spLocks noChangeShapeType="1"/>
        </xdr:cNvSpPr>
      </xdr:nvSpPr>
      <xdr:spPr bwMode="auto">
        <a:xfrm>
          <a:off x="4884420" y="103403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59" name="Line 58">
          <a:extLst>
            <a:ext uri="{FF2B5EF4-FFF2-40B4-BE49-F238E27FC236}">
              <a16:creationId xmlns:a16="http://schemas.microsoft.com/office/drawing/2014/main" id="{00000000-0008-0000-0F00-00003B000000}"/>
            </a:ext>
          </a:extLst>
        </xdr:cNvPr>
        <xdr:cNvSpPr>
          <a:spLocks noChangeShapeType="1"/>
        </xdr:cNvSpPr>
      </xdr:nvSpPr>
      <xdr:spPr bwMode="auto">
        <a:xfrm>
          <a:off x="48844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0" name="Line 59">
          <a:extLst>
            <a:ext uri="{FF2B5EF4-FFF2-40B4-BE49-F238E27FC236}">
              <a16:creationId xmlns:a16="http://schemas.microsoft.com/office/drawing/2014/main" id="{00000000-0008-0000-0F00-00003C000000}"/>
            </a:ext>
          </a:extLst>
        </xdr:cNvPr>
        <xdr:cNvSpPr>
          <a:spLocks noChangeShapeType="1"/>
        </xdr:cNvSpPr>
      </xdr:nvSpPr>
      <xdr:spPr bwMode="auto">
        <a:xfrm>
          <a:off x="107365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1" name="Line 60">
          <a:extLst>
            <a:ext uri="{FF2B5EF4-FFF2-40B4-BE49-F238E27FC236}">
              <a16:creationId xmlns:a16="http://schemas.microsoft.com/office/drawing/2014/main" id="{00000000-0008-0000-0F00-00003D000000}"/>
            </a:ext>
          </a:extLst>
        </xdr:cNvPr>
        <xdr:cNvSpPr>
          <a:spLocks noChangeShapeType="1"/>
        </xdr:cNvSpPr>
      </xdr:nvSpPr>
      <xdr:spPr bwMode="auto">
        <a:xfrm>
          <a:off x="48844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 name="Line 61">
          <a:extLst>
            <a:ext uri="{FF2B5EF4-FFF2-40B4-BE49-F238E27FC236}">
              <a16:creationId xmlns:a16="http://schemas.microsoft.com/office/drawing/2014/main" id="{00000000-0008-0000-0F00-00003E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 name="Line 62">
          <a:extLst>
            <a:ext uri="{FF2B5EF4-FFF2-40B4-BE49-F238E27FC236}">
              <a16:creationId xmlns:a16="http://schemas.microsoft.com/office/drawing/2014/main" id="{00000000-0008-0000-0F00-00003F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4" name="Line 63">
          <a:extLst>
            <a:ext uri="{FF2B5EF4-FFF2-40B4-BE49-F238E27FC236}">
              <a16:creationId xmlns:a16="http://schemas.microsoft.com/office/drawing/2014/main" id="{00000000-0008-0000-0F00-000040000000}"/>
            </a:ext>
          </a:extLst>
        </xdr:cNvPr>
        <xdr:cNvSpPr>
          <a:spLocks noChangeShapeType="1"/>
        </xdr:cNvSpPr>
      </xdr:nvSpPr>
      <xdr:spPr bwMode="auto">
        <a:xfrm>
          <a:off x="70789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5" name="Line 64">
          <a:extLst>
            <a:ext uri="{FF2B5EF4-FFF2-40B4-BE49-F238E27FC236}">
              <a16:creationId xmlns:a16="http://schemas.microsoft.com/office/drawing/2014/main" id="{00000000-0008-0000-0F00-000041000000}"/>
            </a:ext>
          </a:extLst>
        </xdr:cNvPr>
        <xdr:cNvSpPr>
          <a:spLocks noChangeShapeType="1"/>
        </xdr:cNvSpPr>
      </xdr:nvSpPr>
      <xdr:spPr bwMode="auto">
        <a:xfrm>
          <a:off x="107365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6" name="Line 65">
          <a:extLst>
            <a:ext uri="{FF2B5EF4-FFF2-40B4-BE49-F238E27FC236}">
              <a16:creationId xmlns:a16="http://schemas.microsoft.com/office/drawing/2014/main" id="{00000000-0008-0000-0F00-000042000000}"/>
            </a:ext>
          </a:extLst>
        </xdr:cNvPr>
        <xdr:cNvSpPr>
          <a:spLocks noChangeShapeType="1"/>
        </xdr:cNvSpPr>
      </xdr:nvSpPr>
      <xdr:spPr bwMode="auto">
        <a:xfrm>
          <a:off x="48844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7" name="Line 66">
          <a:extLst>
            <a:ext uri="{FF2B5EF4-FFF2-40B4-BE49-F238E27FC236}">
              <a16:creationId xmlns:a16="http://schemas.microsoft.com/office/drawing/2014/main" id="{00000000-0008-0000-0F00-000043000000}"/>
            </a:ext>
          </a:extLst>
        </xdr:cNvPr>
        <xdr:cNvSpPr>
          <a:spLocks noChangeShapeType="1"/>
        </xdr:cNvSpPr>
      </xdr:nvSpPr>
      <xdr:spPr bwMode="auto">
        <a:xfrm>
          <a:off x="26898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8" name="Line 67">
          <a:extLst>
            <a:ext uri="{FF2B5EF4-FFF2-40B4-BE49-F238E27FC236}">
              <a16:creationId xmlns:a16="http://schemas.microsoft.com/office/drawing/2014/main" id="{00000000-0008-0000-0F00-000044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9" name="Line 68">
          <a:extLst>
            <a:ext uri="{FF2B5EF4-FFF2-40B4-BE49-F238E27FC236}">
              <a16:creationId xmlns:a16="http://schemas.microsoft.com/office/drawing/2014/main" id="{00000000-0008-0000-0F00-000045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0" name="Line 69">
          <a:extLst>
            <a:ext uri="{FF2B5EF4-FFF2-40B4-BE49-F238E27FC236}">
              <a16:creationId xmlns:a16="http://schemas.microsoft.com/office/drawing/2014/main" id="{00000000-0008-0000-0F00-000046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1" name="Line 70">
          <a:extLst>
            <a:ext uri="{FF2B5EF4-FFF2-40B4-BE49-F238E27FC236}">
              <a16:creationId xmlns:a16="http://schemas.microsoft.com/office/drawing/2014/main" id="{00000000-0008-0000-0F00-000047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72" name="Line 71">
          <a:extLst>
            <a:ext uri="{FF2B5EF4-FFF2-40B4-BE49-F238E27FC236}">
              <a16:creationId xmlns:a16="http://schemas.microsoft.com/office/drawing/2014/main" id="{00000000-0008-0000-0F00-000048000000}"/>
            </a:ext>
          </a:extLst>
        </xdr:cNvPr>
        <xdr:cNvSpPr>
          <a:spLocks noChangeShapeType="1"/>
        </xdr:cNvSpPr>
      </xdr:nvSpPr>
      <xdr:spPr bwMode="auto">
        <a:xfrm>
          <a:off x="4884420" y="121843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73" name="Line 72">
          <a:extLst>
            <a:ext uri="{FF2B5EF4-FFF2-40B4-BE49-F238E27FC236}">
              <a16:creationId xmlns:a16="http://schemas.microsoft.com/office/drawing/2014/main" id="{00000000-0008-0000-0F00-000049000000}"/>
            </a:ext>
          </a:extLst>
        </xdr:cNvPr>
        <xdr:cNvSpPr>
          <a:spLocks noChangeShapeType="1"/>
        </xdr:cNvSpPr>
      </xdr:nvSpPr>
      <xdr:spPr bwMode="auto">
        <a:xfrm>
          <a:off x="26898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74" name="Line 73">
          <a:extLst>
            <a:ext uri="{FF2B5EF4-FFF2-40B4-BE49-F238E27FC236}">
              <a16:creationId xmlns:a16="http://schemas.microsoft.com/office/drawing/2014/main" id="{00000000-0008-0000-0F00-00004A000000}"/>
            </a:ext>
          </a:extLst>
        </xdr:cNvPr>
        <xdr:cNvSpPr>
          <a:spLocks noChangeShapeType="1"/>
        </xdr:cNvSpPr>
      </xdr:nvSpPr>
      <xdr:spPr bwMode="auto">
        <a:xfrm>
          <a:off x="48844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75" name="Line 74">
          <a:extLst>
            <a:ext uri="{FF2B5EF4-FFF2-40B4-BE49-F238E27FC236}">
              <a16:creationId xmlns:a16="http://schemas.microsoft.com/office/drawing/2014/main" id="{00000000-0008-0000-0F00-00004B000000}"/>
            </a:ext>
          </a:extLst>
        </xdr:cNvPr>
        <xdr:cNvSpPr>
          <a:spLocks noChangeShapeType="1"/>
        </xdr:cNvSpPr>
      </xdr:nvSpPr>
      <xdr:spPr bwMode="auto">
        <a:xfrm>
          <a:off x="107365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6" name="Line 75">
          <a:extLst>
            <a:ext uri="{FF2B5EF4-FFF2-40B4-BE49-F238E27FC236}">
              <a16:creationId xmlns:a16="http://schemas.microsoft.com/office/drawing/2014/main" id="{00000000-0008-0000-0F00-00004C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7" name="Line 76">
          <a:extLst>
            <a:ext uri="{FF2B5EF4-FFF2-40B4-BE49-F238E27FC236}">
              <a16:creationId xmlns:a16="http://schemas.microsoft.com/office/drawing/2014/main" id="{00000000-0008-0000-0F00-00004D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78" name="Line 77">
          <a:extLst>
            <a:ext uri="{FF2B5EF4-FFF2-40B4-BE49-F238E27FC236}">
              <a16:creationId xmlns:a16="http://schemas.microsoft.com/office/drawing/2014/main" id="{00000000-0008-0000-0F00-00004E000000}"/>
            </a:ext>
          </a:extLst>
        </xdr:cNvPr>
        <xdr:cNvSpPr>
          <a:spLocks noChangeShapeType="1"/>
        </xdr:cNvSpPr>
      </xdr:nvSpPr>
      <xdr:spPr bwMode="auto">
        <a:xfrm>
          <a:off x="70789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79" name="Line 78">
          <a:extLst>
            <a:ext uri="{FF2B5EF4-FFF2-40B4-BE49-F238E27FC236}">
              <a16:creationId xmlns:a16="http://schemas.microsoft.com/office/drawing/2014/main" id="{00000000-0008-0000-0F00-00004F000000}"/>
            </a:ext>
          </a:extLst>
        </xdr:cNvPr>
        <xdr:cNvSpPr>
          <a:spLocks noChangeShapeType="1"/>
        </xdr:cNvSpPr>
      </xdr:nvSpPr>
      <xdr:spPr bwMode="auto">
        <a:xfrm>
          <a:off x="48844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0" name="Line 79">
          <a:extLst>
            <a:ext uri="{FF2B5EF4-FFF2-40B4-BE49-F238E27FC236}">
              <a16:creationId xmlns:a16="http://schemas.microsoft.com/office/drawing/2014/main" id="{00000000-0008-0000-0F00-000050000000}"/>
            </a:ext>
          </a:extLst>
        </xdr:cNvPr>
        <xdr:cNvSpPr>
          <a:spLocks noChangeShapeType="1"/>
        </xdr:cNvSpPr>
      </xdr:nvSpPr>
      <xdr:spPr bwMode="auto">
        <a:xfrm>
          <a:off x="26898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1" name="Line 80">
          <a:extLst>
            <a:ext uri="{FF2B5EF4-FFF2-40B4-BE49-F238E27FC236}">
              <a16:creationId xmlns:a16="http://schemas.microsoft.com/office/drawing/2014/main" id="{00000000-0008-0000-0F00-000051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 name="Line 81">
          <a:extLst>
            <a:ext uri="{FF2B5EF4-FFF2-40B4-BE49-F238E27FC236}">
              <a16:creationId xmlns:a16="http://schemas.microsoft.com/office/drawing/2014/main" id="{00000000-0008-0000-0F00-000052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 name="Line 82">
          <a:extLst>
            <a:ext uri="{FF2B5EF4-FFF2-40B4-BE49-F238E27FC236}">
              <a16:creationId xmlns:a16="http://schemas.microsoft.com/office/drawing/2014/main" id="{00000000-0008-0000-0F00-000053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4" name="Line 83">
          <a:extLst>
            <a:ext uri="{FF2B5EF4-FFF2-40B4-BE49-F238E27FC236}">
              <a16:creationId xmlns:a16="http://schemas.microsoft.com/office/drawing/2014/main" id="{00000000-0008-0000-0F00-000054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5" name="Line 84">
          <a:extLst>
            <a:ext uri="{FF2B5EF4-FFF2-40B4-BE49-F238E27FC236}">
              <a16:creationId xmlns:a16="http://schemas.microsoft.com/office/drawing/2014/main" id="{00000000-0008-0000-0F00-000055000000}"/>
            </a:ext>
          </a:extLst>
        </xdr:cNvPr>
        <xdr:cNvSpPr>
          <a:spLocks noChangeShapeType="1"/>
        </xdr:cNvSpPr>
      </xdr:nvSpPr>
      <xdr:spPr bwMode="auto">
        <a:xfrm>
          <a:off x="4884420" y="138607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6" name="Line 85">
          <a:extLst>
            <a:ext uri="{FF2B5EF4-FFF2-40B4-BE49-F238E27FC236}">
              <a16:creationId xmlns:a16="http://schemas.microsoft.com/office/drawing/2014/main" id="{00000000-0008-0000-0F00-0000560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7" name="Line 86">
          <a:extLst>
            <a:ext uri="{FF2B5EF4-FFF2-40B4-BE49-F238E27FC236}">
              <a16:creationId xmlns:a16="http://schemas.microsoft.com/office/drawing/2014/main" id="{00000000-0008-0000-0F00-0000570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8" name="Line 87">
          <a:extLst>
            <a:ext uri="{FF2B5EF4-FFF2-40B4-BE49-F238E27FC236}">
              <a16:creationId xmlns:a16="http://schemas.microsoft.com/office/drawing/2014/main" id="{00000000-0008-0000-0F00-0000580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9" name="Line 88">
          <a:extLst>
            <a:ext uri="{FF2B5EF4-FFF2-40B4-BE49-F238E27FC236}">
              <a16:creationId xmlns:a16="http://schemas.microsoft.com/office/drawing/2014/main" id="{00000000-0008-0000-0F00-0000590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90" name="Line 89">
          <a:extLst>
            <a:ext uri="{FF2B5EF4-FFF2-40B4-BE49-F238E27FC236}">
              <a16:creationId xmlns:a16="http://schemas.microsoft.com/office/drawing/2014/main" id="{00000000-0008-0000-0F00-00005A000000}"/>
            </a:ext>
          </a:extLst>
        </xdr:cNvPr>
        <xdr:cNvSpPr>
          <a:spLocks noChangeShapeType="1"/>
        </xdr:cNvSpPr>
      </xdr:nvSpPr>
      <xdr:spPr bwMode="auto">
        <a:xfrm>
          <a:off x="48844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91" name="Line 90">
          <a:extLst>
            <a:ext uri="{FF2B5EF4-FFF2-40B4-BE49-F238E27FC236}">
              <a16:creationId xmlns:a16="http://schemas.microsoft.com/office/drawing/2014/main" id="{00000000-0008-0000-0F00-00005B000000}"/>
            </a:ext>
          </a:extLst>
        </xdr:cNvPr>
        <xdr:cNvSpPr>
          <a:spLocks noChangeShapeType="1"/>
        </xdr:cNvSpPr>
      </xdr:nvSpPr>
      <xdr:spPr bwMode="auto">
        <a:xfrm>
          <a:off x="48844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92" name="Line 91">
          <a:extLst>
            <a:ext uri="{FF2B5EF4-FFF2-40B4-BE49-F238E27FC236}">
              <a16:creationId xmlns:a16="http://schemas.microsoft.com/office/drawing/2014/main" id="{00000000-0008-0000-0F00-00005C000000}"/>
            </a:ext>
          </a:extLst>
        </xdr:cNvPr>
        <xdr:cNvSpPr>
          <a:spLocks noChangeShapeType="1"/>
        </xdr:cNvSpPr>
      </xdr:nvSpPr>
      <xdr:spPr bwMode="auto">
        <a:xfrm>
          <a:off x="48844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93" name="Line 92">
          <a:extLst>
            <a:ext uri="{FF2B5EF4-FFF2-40B4-BE49-F238E27FC236}">
              <a16:creationId xmlns:a16="http://schemas.microsoft.com/office/drawing/2014/main" id="{00000000-0008-0000-0F00-00005D000000}"/>
            </a:ext>
          </a:extLst>
        </xdr:cNvPr>
        <xdr:cNvSpPr>
          <a:spLocks noChangeShapeType="1"/>
        </xdr:cNvSpPr>
      </xdr:nvSpPr>
      <xdr:spPr bwMode="auto">
        <a:xfrm>
          <a:off x="48844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94" name="Line 93">
          <a:extLst>
            <a:ext uri="{FF2B5EF4-FFF2-40B4-BE49-F238E27FC236}">
              <a16:creationId xmlns:a16="http://schemas.microsoft.com/office/drawing/2014/main" id="{00000000-0008-0000-0F00-00005E000000}"/>
            </a:ext>
          </a:extLst>
        </xdr:cNvPr>
        <xdr:cNvSpPr>
          <a:spLocks noChangeShapeType="1"/>
        </xdr:cNvSpPr>
      </xdr:nvSpPr>
      <xdr:spPr bwMode="auto">
        <a:xfrm>
          <a:off x="70789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95" name="Line 94">
          <a:extLst>
            <a:ext uri="{FF2B5EF4-FFF2-40B4-BE49-F238E27FC236}">
              <a16:creationId xmlns:a16="http://schemas.microsoft.com/office/drawing/2014/main" id="{00000000-0008-0000-0F00-00005F000000}"/>
            </a:ext>
          </a:extLst>
        </xdr:cNvPr>
        <xdr:cNvSpPr>
          <a:spLocks noChangeShapeType="1"/>
        </xdr:cNvSpPr>
      </xdr:nvSpPr>
      <xdr:spPr bwMode="auto">
        <a:xfrm>
          <a:off x="70789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96" name="Line 95">
          <a:extLst>
            <a:ext uri="{FF2B5EF4-FFF2-40B4-BE49-F238E27FC236}">
              <a16:creationId xmlns:a16="http://schemas.microsoft.com/office/drawing/2014/main" id="{00000000-0008-0000-0F00-000060000000}"/>
            </a:ext>
          </a:extLst>
        </xdr:cNvPr>
        <xdr:cNvSpPr>
          <a:spLocks noChangeShapeType="1"/>
        </xdr:cNvSpPr>
      </xdr:nvSpPr>
      <xdr:spPr bwMode="auto">
        <a:xfrm>
          <a:off x="70789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97" name="Line 96">
          <a:extLst>
            <a:ext uri="{FF2B5EF4-FFF2-40B4-BE49-F238E27FC236}">
              <a16:creationId xmlns:a16="http://schemas.microsoft.com/office/drawing/2014/main" id="{00000000-0008-0000-0F00-000061000000}"/>
            </a:ext>
          </a:extLst>
        </xdr:cNvPr>
        <xdr:cNvSpPr>
          <a:spLocks noChangeShapeType="1"/>
        </xdr:cNvSpPr>
      </xdr:nvSpPr>
      <xdr:spPr bwMode="auto">
        <a:xfrm>
          <a:off x="70789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98" name="Line 97">
          <a:extLst>
            <a:ext uri="{FF2B5EF4-FFF2-40B4-BE49-F238E27FC236}">
              <a16:creationId xmlns:a16="http://schemas.microsoft.com/office/drawing/2014/main" id="{00000000-0008-0000-0F00-000062000000}"/>
            </a:ext>
          </a:extLst>
        </xdr:cNvPr>
        <xdr:cNvSpPr>
          <a:spLocks noChangeShapeType="1"/>
        </xdr:cNvSpPr>
      </xdr:nvSpPr>
      <xdr:spPr bwMode="auto">
        <a:xfrm>
          <a:off x="70789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99" name="Line 98">
          <a:extLst>
            <a:ext uri="{FF2B5EF4-FFF2-40B4-BE49-F238E27FC236}">
              <a16:creationId xmlns:a16="http://schemas.microsoft.com/office/drawing/2014/main" id="{00000000-0008-0000-0F00-000063000000}"/>
            </a:ext>
          </a:extLst>
        </xdr:cNvPr>
        <xdr:cNvSpPr>
          <a:spLocks noChangeShapeType="1"/>
        </xdr:cNvSpPr>
      </xdr:nvSpPr>
      <xdr:spPr bwMode="auto">
        <a:xfrm>
          <a:off x="70789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0" name="Line 99">
          <a:extLst>
            <a:ext uri="{FF2B5EF4-FFF2-40B4-BE49-F238E27FC236}">
              <a16:creationId xmlns:a16="http://schemas.microsoft.com/office/drawing/2014/main" id="{00000000-0008-0000-0F00-000064000000}"/>
            </a:ext>
          </a:extLst>
        </xdr:cNvPr>
        <xdr:cNvSpPr>
          <a:spLocks noChangeShapeType="1"/>
        </xdr:cNvSpPr>
      </xdr:nvSpPr>
      <xdr:spPr bwMode="auto">
        <a:xfrm>
          <a:off x="70789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1" name="Line 100">
          <a:extLst>
            <a:ext uri="{FF2B5EF4-FFF2-40B4-BE49-F238E27FC236}">
              <a16:creationId xmlns:a16="http://schemas.microsoft.com/office/drawing/2014/main" id="{00000000-0008-0000-0F00-000065000000}"/>
            </a:ext>
          </a:extLst>
        </xdr:cNvPr>
        <xdr:cNvSpPr>
          <a:spLocks noChangeShapeType="1"/>
        </xdr:cNvSpPr>
      </xdr:nvSpPr>
      <xdr:spPr bwMode="auto">
        <a:xfrm>
          <a:off x="70789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2" name="Line 101">
          <a:extLst>
            <a:ext uri="{FF2B5EF4-FFF2-40B4-BE49-F238E27FC236}">
              <a16:creationId xmlns:a16="http://schemas.microsoft.com/office/drawing/2014/main" id="{00000000-0008-0000-0F00-000066000000}"/>
            </a:ext>
          </a:extLst>
        </xdr:cNvPr>
        <xdr:cNvSpPr>
          <a:spLocks noChangeShapeType="1"/>
        </xdr:cNvSpPr>
      </xdr:nvSpPr>
      <xdr:spPr bwMode="auto">
        <a:xfrm>
          <a:off x="70789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 name="Line 103">
          <a:extLst>
            <a:ext uri="{FF2B5EF4-FFF2-40B4-BE49-F238E27FC236}">
              <a16:creationId xmlns:a16="http://schemas.microsoft.com/office/drawing/2014/main" id="{00000000-0008-0000-0F00-0000670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 name="Line 107">
          <a:extLst>
            <a:ext uri="{FF2B5EF4-FFF2-40B4-BE49-F238E27FC236}">
              <a16:creationId xmlns:a16="http://schemas.microsoft.com/office/drawing/2014/main" id="{00000000-0008-0000-0F00-0000680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5" name="Line 108">
          <a:extLst>
            <a:ext uri="{FF2B5EF4-FFF2-40B4-BE49-F238E27FC236}">
              <a16:creationId xmlns:a16="http://schemas.microsoft.com/office/drawing/2014/main" id="{00000000-0008-0000-0F00-0000690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6" name="Line 109">
          <a:extLst>
            <a:ext uri="{FF2B5EF4-FFF2-40B4-BE49-F238E27FC236}">
              <a16:creationId xmlns:a16="http://schemas.microsoft.com/office/drawing/2014/main" id="{00000000-0008-0000-0F00-00006A0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7" name="Line 110">
          <a:extLst>
            <a:ext uri="{FF2B5EF4-FFF2-40B4-BE49-F238E27FC236}">
              <a16:creationId xmlns:a16="http://schemas.microsoft.com/office/drawing/2014/main" id="{00000000-0008-0000-0F00-00006B0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8" name="Line 111">
          <a:extLst>
            <a:ext uri="{FF2B5EF4-FFF2-40B4-BE49-F238E27FC236}">
              <a16:creationId xmlns:a16="http://schemas.microsoft.com/office/drawing/2014/main" id="{00000000-0008-0000-0F00-00006C0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9" name="Line 112">
          <a:extLst>
            <a:ext uri="{FF2B5EF4-FFF2-40B4-BE49-F238E27FC236}">
              <a16:creationId xmlns:a16="http://schemas.microsoft.com/office/drawing/2014/main" id="{00000000-0008-0000-0F00-00006D0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10" name="Line 113">
          <a:extLst>
            <a:ext uri="{FF2B5EF4-FFF2-40B4-BE49-F238E27FC236}">
              <a16:creationId xmlns:a16="http://schemas.microsoft.com/office/drawing/2014/main" id="{00000000-0008-0000-0F00-00006E0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11" name="Line 114">
          <a:extLst>
            <a:ext uri="{FF2B5EF4-FFF2-40B4-BE49-F238E27FC236}">
              <a16:creationId xmlns:a16="http://schemas.microsoft.com/office/drawing/2014/main" id="{00000000-0008-0000-0F00-00006F0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12" name="Line 115">
          <a:extLst>
            <a:ext uri="{FF2B5EF4-FFF2-40B4-BE49-F238E27FC236}">
              <a16:creationId xmlns:a16="http://schemas.microsoft.com/office/drawing/2014/main" id="{00000000-0008-0000-0F00-0000700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10160</xdr:colOff>
      <xdr:row>93</xdr:row>
      <xdr:rowOff>0</xdr:rowOff>
    </xdr:from>
    <xdr:to>
      <xdr:col>3</xdr:col>
      <xdr:colOff>718820</xdr:colOff>
      <xdr:row>93</xdr:row>
      <xdr:rowOff>0</xdr:rowOff>
    </xdr:to>
    <xdr:sp macro="" textlink="">
      <xdr:nvSpPr>
        <xdr:cNvPr id="113" name="Line 116">
          <a:extLst>
            <a:ext uri="{FF2B5EF4-FFF2-40B4-BE49-F238E27FC236}">
              <a16:creationId xmlns:a16="http://schemas.microsoft.com/office/drawing/2014/main" id="{00000000-0008-0000-0F00-000071000000}"/>
            </a:ext>
          </a:extLst>
        </xdr:cNvPr>
        <xdr:cNvSpPr>
          <a:spLocks noChangeShapeType="1"/>
        </xdr:cNvSpPr>
      </xdr:nvSpPr>
      <xdr:spPr bwMode="auto">
        <a:xfrm>
          <a:off x="270002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4" name="Line 75">
          <a:extLst>
            <a:ext uri="{FF2B5EF4-FFF2-40B4-BE49-F238E27FC236}">
              <a16:creationId xmlns:a16="http://schemas.microsoft.com/office/drawing/2014/main" id="{00000000-0008-0000-0F00-0000720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15" name="Line 87">
          <a:extLst>
            <a:ext uri="{FF2B5EF4-FFF2-40B4-BE49-F238E27FC236}">
              <a16:creationId xmlns:a16="http://schemas.microsoft.com/office/drawing/2014/main" id="{00000000-0008-0000-0F00-0000730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16" name="Line 75">
          <a:extLst>
            <a:ext uri="{FF2B5EF4-FFF2-40B4-BE49-F238E27FC236}">
              <a16:creationId xmlns:a16="http://schemas.microsoft.com/office/drawing/2014/main" id="{00000000-0008-0000-0F00-0000740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17" name="Line 79">
          <a:extLst>
            <a:ext uri="{FF2B5EF4-FFF2-40B4-BE49-F238E27FC236}">
              <a16:creationId xmlns:a16="http://schemas.microsoft.com/office/drawing/2014/main" id="{00000000-0008-0000-0F00-0000750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18" name="Line 87">
          <a:extLst>
            <a:ext uri="{FF2B5EF4-FFF2-40B4-BE49-F238E27FC236}">
              <a16:creationId xmlns:a16="http://schemas.microsoft.com/office/drawing/2014/main" id="{00000000-0008-0000-0F00-0000760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9" name="Line 75">
          <a:extLst>
            <a:ext uri="{FF2B5EF4-FFF2-40B4-BE49-F238E27FC236}">
              <a16:creationId xmlns:a16="http://schemas.microsoft.com/office/drawing/2014/main" id="{00000000-0008-0000-0F00-0000770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0" name="Line 87">
          <a:extLst>
            <a:ext uri="{FF2B5EF4-FFF2-40B4-BE49-F238E27FC236}">
              <a16:creationId xmlns:a16="http://schemas.microsoft.com/office/drawing/2014/main" id="{00000000-0008-0000-0F00-0000780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1" name="Line 75">
          <a:extLst>
            <a:ext uri="{FF2B5EF4-FFF2-40B4-BE49-F238E27FC236}">
              <a16:creationId xmlns:a16="http://schemas.microsoft.com/office/drawing/2014/main" id="{00000000-0008-0000-0F00-0000790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2" name="Line 79">
          <a:extLst>
            <a:ext uri="{FF2B5EF4-FFF2-40B4-BE49-F238E27FC236}">
              <a16:creationId xmlns:a16="http://schemas.microsoft.com/office/drawing/2014/main" id="{00000000-0008-0000-0F00-00007A0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3" name="Line 87">
          <a:extLst>
            <a:ext uri="{FF2B5EF4-FFF2-40B4-BE49-F238E27FC236}">
              <a16:creationId xmlns:a16="http://schemas.microsoft.com/office/drawing/2014/main" id="{00000000-0008-0000-0F00-00007B0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10241" name="Line 1">
          <a:extLst>
            <a:ext uri="{FF2B5EF4-FFF2-40B4-BE49-F238E27FC236}">
              <a16:creationId xmlns:a16="http://schemas.microsoft.com/office/drawing/2014/main" id="{00000000-0008-0000-1100-000001280000}"/>
            </a:ext>
          </a:extLst>
        </xdr:cNvPr>
        <xdr:cNvSpPr>
          <a:spLocks noChangeShapeType="1"/>
        </xdr:cNvSpPr>
      </xdr:nvSpPr>
      <xdr:spPr bwMode="auto">
        <a:xfrm>
          <a:off x="48844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10242" name="Line 2">
          <a:extLst>
            <a:ext uri="{FF2B5EF4-FFF2-40B4-BE49-F238E27FC236}">
              <a16:creationId xmlns:a16="http://schemas.microsoft.com/office/drawing/2014/main" id="{00000000-0008-0000-1100-000002280000}"/>
            </a:ext>
          </a:extLst>
        </xdr:cNvPr>
        <xdr:cNvSpPr>
          <a:spLocks noChangeShapeType="1"/>
        </xdr:cNvSpPr>
      </xdr:nvSpPr>
      <xdr:spPr bwMode="auto">
        <a:xfrm>
          <a:off x="48844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10243" name="Line 3">
          <a:extLst>
            <a:ext uri="{FF2B5EF4-FFF2-40B4-BE49-F238E27FC236}">
              <a16:creationId xmlns:a16="http://schemas.microsoft.com/office/drawing/2014/main" id="{00000000-0008-0000-1100-000003280000}"/>
            </a:ext>
          </a:extLst>
        </xdr:cNvPr>
        <xdr:cNvSpPr>
          <a:spLocks noChangeShapeType="1"/>
        </xdr:cNvSpPr>
      </xdr:nvSpPr>
      <xdr:spPr bwMode="auto">
        <a:xfrm>
          <a:off x="48844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10244" name="Line 4">
          <a:extLst>
            <a:ext uri="{FF2B5EF4-FFF2-40B4-BE49-F238E27FC236}">
              <a16:creationId xmlns:a16="http://schemas.microsoft.com/office/drawing/2014/main" id="{00000000-0008-0000-1100-000004280000}"/>
            </a:ext>
          </a:extLst>
        </xdr:cNvPr>
        <xdr:cNvSpPr>
          <a:spLocks noChangeShapeType="1"/>
        </xdr:cNvSpPr>
      </xdr:nvSpPr>
      <xdr:spPr bwMode="auto">
        <a:xfrm>
          <a:off x="70789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10245" name="Line 5">
          <a:extLst>
            <a:ext uri="{FF2B5EF4-FFF2-40B4-BE49-F238E27FC236}">
              <a16:creationId xmlns:a16="http://schemas.microsoft.com/office/drawing/2014/main" id="{00000000-0008-0000-1100-000005280000}"/>
            </a:ext>
          </a:extLst>
        </xdr:cNvPr>
        <xdr:cNvSpPr>
          <a:spLocks noChangeShapeType="1"/>
        </xdr:cNvSpPr>
      </xdr:nvSpPr>
      <xdr:spPr bwMode="auto">
        <a:xfrm>
          <a:off x="107365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10246" name="Line 6">
          <a:extLst>
            <a:ext uri="{FF2B5EF4-FFF2-40B4-BE49-F238E27FC236}">
              <a16:creationId xmlns:a16="http://schemas.microsoft.com/office/drawing/2014/main" id="{00000000-0008-0000-1100-000006280000}"/>
            </a:ext>
          </a:extLst>
        </xdr:cNvPr>
        <xdr:cNvSpPr>
          <a:spLocks noChangeShapeType="1"/>
        </xdr:cNvSpPr>
      </xdr:nvSpPr>
      <xdr:spPr bwMode="auto">
        <a:xfrm>
          <a:off x="107365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10247" name="Line 7">
          <a:extLst>
            <a:ext uri="{FF2B5EF4-FFF2-40B4-BE49-F238E27FC236}">
              <a16:creationId xmlns:a16="http://schemas.microsoft.com/office/drawing/2014/main" id="{00000000-0008-0000-1100-000007280000}"/>
            </a:ext>
          </a:extLst>
        </xdr:cNvPr>
        <xdr:cNvSpPr>
          <a:spLocks noChangeShapeType="1"/>
        </xdr:cNvSpPr>
      </xdr:nvSpPr>
      <xdr:spPr bwMode="auto">
        <a:xfrm>
          <a:off x="48844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10248" name="Line 8">
          <a:extLst>
            <a:ext uri="{FF2B5EF4-FFF2-40B4-BE49-F238E27FC236}">
              <a16:creationId xmlns:a16="http://schemas.microsoft.com/office/drawing/2014/main" id="{00000000-0008-0000-1100-000008280000}"/>
            </a:ext>
          </a:extLst>
        </xdr:cNvPr>
        <xdr:cNvSpPr>
          <a:spLocks noChangeShapeType="1"/>
        </xdr:cNvSpPr>
      </xdr:nvSpPr>
      <xdr:spPr bwMode="auto">
        <a:xfrm>
          <a:off x="48844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249" name="Line 9">
          <a:extLst>
            <a:ext uri="{FF2B5EF4-FFF2-40B4-BE49-F238E27FC236}">
              <a16:creationId xmlns:a16="http://schemas.microsoft.com/office/drawing/2014/main" id="{00000000-0008-0000-1100-000009280000}"/>
            </a:ext>
          </a:extLst>
        </xdr:cNvPr>
        <xdr:cNvSpPr>
          <a:spLocks noChangeShapeType="1"/>
        </xdr:cNvSpPr>
      </xdr:nvSpPr>
      <xdr:spPr bwMode="auto">
        <a:xfrm>
          <a:off x="48844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0250" name="Line 10">
          <a:extLst>
            <a:ext uri="{FF2B5EF4-FFF2-40B4-BE49-F238E27FC236}">
              <a16:creationId xmlns:a16="http://schemas.microsoft.com/office/drawing/2014/main" id="{00000000-0008-0000-1100-00000A280000}"/>
            </a:ext>
          </a:extLst>
        </xdr:cNvPr>
        <xdr:cNvSpPr>
          <a:spLocks noChangeShapeType="1"/>
        </xdr:cNvSpPr>
      </xdr:nvSpPr>
      <xdr:spPr bwMode="auto">
        <a:xfrm>
          <a:off x="70789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0251" name="Line 11">
          <a:extLst>
            <a:ext uri="{FF2B5EF4-FFF2-40B4-BE49-F238E27FC236}">
              <a16:creationId xmlns:a16="http://schemas.microsoft.com/office/drawing/2014/main" id="{00000000-0008-0000-1100-00000B280000}"/>
            </a:ext>
          </a:extLst>
        </xdr:cNvPr>
        <xdr:cNvSpPr>
          <a:spLocks noChangeShapeType="1"/>
        </xdr:cNvSpPr>
      </xdr:nvSpPr>
      <xdr:spPr bwMode="auto">
        <a:xfrm>
          <a:off x="70789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0252" name="Line 12">
          <a:extLst>
            <a:ext uri="{FF2B5EF4-FFF2-40B4-BE49-F238E27FC236}">
              <a16:creationId xmlns:a16="http://schemas.microsoft.com/office/drawing/2014/main" id="{00000000-0008-0000-1100-00000C280000}"/>
            </a:ext>
          </a:extLst>
        </xdr:cNvPr>
        <xdr:cNvSpPr>
          <a:spLocks noChangeShapeType="1"/>
        </xdr:cNvSpPr>
      </xdr:nvSpPr>
      <xdr:spPr bwMode="auto">
        <a:xfrm>
          <a:off x="70789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0253" name="Line 13">
          <a:extLst>
            <a:ext uri="{FF2B5EF4-FFF2-40B4-BE49-F238E27FC236}">
              <a16:creationId xmlns:a16="http://schemas.microsoft.com/office/drawing/2014/main" id="{00000000-0008-0000-1100-00000D280000}"/>
            </a:ext>
          </a:extLst>
        </xdr:cNvPr>
        <xdr:cNvSpPr>
          <a:spLocks noChangeShapeType="1"/>
        </xdr:cNvSpPr>
      </xdr:nvSpPr>
      <xdr:spPr bwMode="auto">
        <a:xfrm>
          <a:off x="1073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0254" name="Line 14">
          <a:extLst>
            <a:ext uri="{FF2B5EF4-FFF2-40B4-BE49-F238E27FC236}">
              <a16:creationId xmlns:a16="http://schemas.microsoft.com/office/drawing/2014/main" id="{00000000-0008-0000-1100-00000E280000}"/>
            </a:ext>
          </a:extLst>
        </xdr:cNvPr>
        <xdr:cNvSpPr>
          <a:spLocks noChangeShapeType="1"/>
        </xdr:cNvSpPr>
      </xdr:nvSpPr>
      <xdr:spPr bwMode="auto">
        <a:xfrm>
          <a:off x="1073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0255" name="Line 15">
          <a:extLst>
            <a:ext uri="{FF2B5EF4-FFF2-40B4-BE49-F238E27FC236}">
              <a16:creationId xmlns:a16="http://schemas.microsoft.com/office/drawing/2014/main" id="{00000000-0008-0000-1100-00000F280000}"/>
            </a:ext>
          </a:extLst>
        </xdr:cNvPr>
        <xdr:cNvSpPr>
          <a:spLocks noChangeShapeType="1"/>
        </xdr:cNvSpPr>
      </xdr:nvSpPr>
      <xdr:spPr bwMode="auto">
        <a:xfrm>
          <a:off x="1073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0256" name="Line 16">
          <a:extLst>
            <a:ext uri="{FF2B5EF4-FFF2-40B4-BE49-F238E27FC236}">
              <a16:creationId xmlns:a16="http://schemas.microsoft.com/office/drawing/2014/main" id="{00000000-0008-0000-1100-000010280000}"/>
            </a:ext>
          </a:extLst>
        </xdr:cNvPr>
        <xdr:cNvSpPr>
          <a:spLocks noChangeShapeType="1"/>
        </xdr:cNvSpPr>
      </xdr:nvSpPr>
      <xdr:spPr bwMode="auto">
        <a:xfrm>
          <a:off x="107365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0257" name="Line 17">
          <a:extLst>
            <a:ext uri="{FF2B5EF4-FFF2-40B4-BE49-F238E27FC236}">
              <a16:creationId xmlns:a16="http://schemas.microsoft.com/office/drawing/2014/main" id="{00000000-0008-0000-1100-000011280000}"/>
            </a:ext>
          </a:extLst>
        </xdr:cNvPr>
        <xdr:cNvSpPr>
          <a:spLocks noChangeShapeType="1"/>
        </xdr:cNvSpPr>
      </xdr:nvSpPr>
      <xdr:spPr bwMode="auto">
        <a:xfrm>
          <a:off x="26898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0258" name="Line 18">
          <a:extLst>
            <a:ext uri="{FF2B5EF4-FFF2-40B4-BE49-F238E27FC236}">
              <a16:creationId xmlns:a16="http://schemas.microsoft.com/office/drawing/2014/main" id="{00000000-0008-0000-1100-000012280000}"/>
            </a:ext>
          </a:extLst>
        </xdr:cNvPr>
        <xdr:cNvSpPr>
          <a:spLocks noChangeShapeType="1"/>
        </xdr:cNvSpPr>
      </xdr:nvSpPr>
      <xdr:spPr bwMode="auto">
        <a:xfrm>
          <a:off x="26898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10259" name="Line 19">
          <a:extLst>
            <a:ext uri="{FF2B5EF4-FFF2-40B4-BE49-F238E27FC236}">
              <a16:creationId xmlns:a16="http://schemas.microsoft.com/office/drawing/2014/main" id="{00000000-0008-0000-1100-000013280000}"/>
            </a:ext>
          </a:extLst>
        </xdr:cNvPr>
        <xdr:cNvSpPr>
          <a:spLocks noChangeShapeType="1"/>
        </xdr:cNvSpPr>
      </xdr:nvSpPr>
      <xdr:spPr bwMode="auto">
        <a:xfrm>
          <a:off x="26898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10260" name="Line 20">
          <a:extLst>
            <a:ext uri="{FF2B5EF4-FFF2-40B4-BE49-F238E27FC236}">
              <a16:creationId xmlns:a16="http://schemas.microsoft.com/office/drawing/2014/main" id="{00000000-0008-0000-1100-000014280000}"/>
            </a:ext>
          </a:extLst>
        </xdr:cNvPr>
        <xdr:cNvSpPr>
          <a:spLocks noChangeShapeType="1"/>
        </xdr:cNvSpPr>
      </xdr:nvSpPr>
      <xdr:spPr bwMode="auto">
        <a:xfrm>
          <a:off x="26898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10261" name="Line 21">
          <a:extLst>
            <a:ext uri="{FF2B5EF4-FFF2-40B4-BE49-F238E27FC236}">
              <a16:creationId xmlns:a16="http://schemas.microsoft.com/office/drawing/2014/main" id="{00000000-0008-0000-1100-000015280000}"/>
            </a:ext>
          </a:extLst>
        </xdr:cNvPr>
        <xdr:cNvSpPr>
          <a:spLocks noChangeShapeType="1"/>
        </xdr:cNvSpPr>
      </xdr:nvSpPr>
      <xdr:spPr bwMode="auto">
        <a:xfrm>
          <a:off x="26898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10262" name="Line 22">
          <a:extLst>
            <a:ext uri="{FF2B5EF4-FFF2-40B4-BE49-F238E27FC236}">
              <a16:creationId xmlns:a16="http://schemas.microsoft.com/office/drawing/2014/main" id="{00000000-0008-0000-1100-000016280000}"/>
            </a:ext>
          </a:extLst>
        </xdr:cNvPr>
        <xdr:cNvSpPr>
          <a:spLocks noChangeShapeType="1"/>
        </xdr:cNvSpPr>
      </xdr:nvSpPr>
      <xdr:spPr bwMode="auto">
        <a:xfrm>
          <a:off x="26898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0263" name="Line 23">
          <a:extLst>
            <a:ext uri="{FF2B5EF4-FFF2-40B4-BE49-F238E27FC236}">
              <a16:creationId xmlns:a16="http://schemas.microsoft.com/office/drawing/2014/main" id="{00000000-0008-0000-1100-0000172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0264" name="Line 24">
          <a:extLst>
            <a:ext uri="{FF2B5EF4-FFF2-40B4-BE49-F238E27FC236}">
              <a16:creationId xmlns:a16="http://schemas.microsoft.com/office/drawing/2014/main" id="{00000000-0008-0000-1100-0000182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10265" name="Line 25">
          <a:extLst>
            <a:ext uri="{FF2B5EF4-FFF2-40B4-BE49-F238E27FC236}">
              <a16:creationId xmlns:a16="http://schemas.microsoft.com/office/drawing/2014/main" id="{00000000-0008-0000-1100-000019280000}"/>
            </a:ext>
          </a:extLst>
        </xdr:cNvPr>
        <xdr:cNvSpPr>
          <a:spLocks noChangeShapeType="1"/>
        </xdr:cNvSpPr>
      </xdr:nvSpPr>
      <xdr:spPr bwMode="auto">
        <a:xfrm>
          <a:off x="70789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10266" name="Line 26">
          <a:extLst>
            <a:ext uri="{FF2B5EF4-FFF2-40B4-BE49-F238E27FC236}">
              <a16:creationId xmlns:a16="http://schemas.microsoft.com/office/drawing/2014/main" id="{00000000-0008-0000-1100-00001A280000}"/>
            </a:ext>
          </a:extLst>
        </xdr:cNvPr>
        <xdr:cNvSpPr>
          <a:spLocks noChangeShapeType="1"/>
        </xdr:cNvSpPr>
      </xdr:nvSpPr>
      <xdr:spPr bwMode="auto">
        <a:xfrm>
          <a:off x="107365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10267" name="Line 27">
          <a:extLst>
            <a:ext uri="{FF2B5EF4-FFF2-40B4-BE49-F238E27FC236}">
              <a16:creationId xmlns:a16="http://schemas.microsoft.com/office/drawing/2014/main" id="{00000000-0008-0000-1100-00001B280000}"/>
            </a:ext>
          </a:extLst>
        </xdr:cNvPr>
        <xdr:cNvSpPr>
          <a:spLocks noChangeShapeType="1"/>
        </xdr:cNvSpPr>
      </xdr:nvSpPr>
      <xdr:spPr bwMode="auto">
        <a:xfrm>
          <a:off x="48844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10268" name="Line 28">
          <a:extLst>
            <a:ext uri="{FF2B5EF4-FFF2-40B4-BE49-F238E27FC236}">
              <a16:creationId xmlns:a16="http://schemas.microsoft.com/office/drawing/2014/main" id="{00000000-0008-0000-1100-00001C280000}"/>
            </a:ext>
          </a:extLst>
        </xdr:cNvPr>
        <xdr:cNvSpPr>
          <a:spLocks noChangeShapeType="1"/>
        </xdr:cNvSpPr>
      </xdr:nvSpPr>
      <xdr:spPr bwMode="auto">
        <a:xfrm>
          <a:off x="48844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10269" name="Line 29">
          <a:extLst>
            <a:ext uri="{FF2B5EF4-FFF2-40B4-BE49-F238E27FC236}">
              <a16:creationId xmlns:a16="http://schemas.microsoft.com/office/drawing/2014/main" id="{00000000-0008-0000-1100-00001D280000}"/>
            </a:ext>
          </a:extLst>
        </xdr:cNvPr>
        <xdr:cNvSpPr>
          <a:spLocks noChangeShapeType="1"/>
        </xdr:cNvSpPr>
      </xdr:nvSpPr>
      <xdr:spPr bwMode="auto">
        <a:xfrm>
          <a:off x="70789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10270" name="Line 30">
          <a:extLst>
            <a:ext uri="{FF2B5EF4-FFF2-40B4-BE49-F238E27FC236}">
              <a16:creationId xmlns:a16="http://schemas.microsoft.com/office/drawing/2014/main" id="{00000000-0008-0000-1100-00001E280000}"/>
            </a:ext>
          </a:extLst>
        </xdr:cNvPr>
        <xdr:cNvSpPr>
          <a:spLocks noChangeShapeType="1"/>
        </xdr:cNvSpPr>
      </xdr:nvSpPr>
      <xdr:spPr bwMode="auto">
        <a:xfrm>
          <a:off x="70789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10271" name="Line 31">
          <a:extLst>
            <a:ext uri="{FF2B5EF4-FFF2-40B4-BE49-F238E27FC236}">
              <a16:creationId xmlns:a16="http://schemas.microsoft.com/office/drawing/2014/main" id="{00000000-0008-0000-1100-00001F280000}"/>
            </a:ext>
          </a:extLst>
        </xdr:cNvPr>
        <xdr:cNvSpPr>
          <a:spLocks noChangeShapeType="1"/>
        </xdr:cNvSpPr>
      </xdr:nvSpPr>
      <xdr:spPr bwMode="auto">
        <a:xfrm>
          <a:off x="1073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10272" name="Line 32">
          <a:extLst>
            <a:ext uri="{FF2B5EF4-FFF2-40B4-BE49-F238E27FC236}">
              <a16:creationId xmlns:a16="http://schemas.microsoft.com/office/drawing/2014/main" id="{00000000-0008-0000-1100-000020280000}"/>
            </a:ext>
          </a:extLst>
        </xdr:cNvPr>
        <xdr:cNvSpPr>
          <a:spLocks noChangeShapeType="1"/>
        </xdr:cNvSpPr>
      </xdr:nvSpPr>
      <xdr:spPr bwMode="auto">
        <a:xfrm>
          <a:off x="1073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10273" name="Line 33">
          <a:extLst>
            <a:ext uri="{FF2B5EF4-FFF2-40B4-BE49-F238E27FC236}">
              <a16:creationId xmlns:a16="http://schemas.microsoft.com/office/drawing/2014/main" id="{00000000-0008-0000-1100-000021280000}"/>
            </a:ext>
          </a:extLst>
        </xdr:cNvPr>
        <xdr:cNvSpPr>
          <a:spLocks noChangeShapeType="1"/>
        </xdr:cNvSpPr>
      </xdr:nvSpPr>
      <xdr:spPr bwMode="auto">
        <a:xfrm>
          <a:off x="26898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0274" name="Line 34">
          <a:extLst>
            <a:ext uri="{FF2B5EF4-FFF2-40B4-BE49-F238E27FC236}">
              <a16:creationId xmlns:a16="http://schemas.microsoft.com/office/drawing/2014/main" id="{00000000-0008-0000-1100-0000222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0275" name="Line 35">
          <a:extLst>
            <a:ext uri="{FF2B5EF4-FFF2-40B4-BE49-F238E27FC236}">
              <a16:creationId xmlns:a16="http://schemas.microsoft.com/office/drawing/2014/main" id="{00000000-0008-0000-1100-0000232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10276" name="Line 36">
          <a:extLst>
            <a:ext uri="{FF2B5EF4-FFF2-40B4-BE49-F238E27FC236}">
              <a16:creationId xmlns:a16="http://schemas.microsoft.com/office/drawing/2014/main" id="{00000000-0008-0000-1100-000024280000}"/>
            </a:ext>
          </a:extLst>
        </xdr:cNvPr>
        <xdr:cNvSpPr>
          <a:spLocks noChangeShapeType="1"/>
        </xdr:cNvSpPr>
      </xdr:nvSpPr>
      <xdr:spPr bwMode="auto">
        <a:xfrm>
          <a:off x="26898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10277" name="Line 37">
          <a:extLst>
            <a:ext uri="{FF2B5EF4-FFF2-40B4-BE49-F238E27FC236}">
              <a16:creationId xmlns:a16="http://schemas.microsoft.com/office/drawing/2014/main" id="{00000000-0008-0000-1100-000025280000}"/>
            </a:ext>
          </a:extLst>
        </xdr:cNvPr>
        <xdr:cNvSpPr>
          <a:spLocks noChangeShapeType="1"/>
        </xdr:cNvSpPr>
      </xdr:nvSpPr>
      <xdr:spPr bwMode="auto">
        <a:xfrm>
          <a:off x="26898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10278" name="Line 38">
          <a:extLst>
            <a:ext uri="{FF2B5EF4-FFF2-40B4-BE49-F238E27FC236}">
              <a16:creationId xmlns:a16="http://schemas.microsoft.com/office/drawing/2014/main" id="{00000000-0008-0000-1100-000026280000}"/>
            </a:ext>
          </a:extLst>
        </xdr:cNvPr>
        <xdr:cNvSpPr>
          <a:spLocks noChangeShapeType="1"/>
        </xdr:cNvSpPr>
      </xdr:nvSpPr>
      <xdr:spPr bwMode="auto">
        <a:xfrm>
          <a:off x="26898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10279" name="Line 39">
          <a:extLst>
            <a:ext uri="{FF2B5EF4-FFF2-40B4-BE49-F238E27FC236}">
              <a16:creationId xmlns:a16="http://schemas.microsoft.com/office/drawing/2014/main" id="{00000000-0008-0000-1100-000027280000}"/>
            </a:ext>
          </a:extLst>
        </xdr:cNvPr>
        <xdr:cNvSpPr>
          <a:spLocks noChangeShapeType="1"/>
        </xdr:cNvSpPr>
      </xdr:nvSpPr>
      <xdr:spPr bwMode="auto">
        <a:xfrm>
          <a:off x="48844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10280" name="Line 40">
          <a:extLst>
            <a:ext uri="{FF2B5EF4-FFF2-40B4-BE49-F238E27FC236}">
              <a16:creationId xmlns:a16="http://schemas.microsoft.com/office/drawing/2014/main" id="{00000000-0008-0000-1100-000028280000}"/>
            </a:ext>
          </a:extLst>
        </xdr:cNvPr>
        <xdr:cNvSpPr>
          <a:spLocks noChangeShapeType="1"/>
        </xdr:cNvSpPr>
      </xdr:nvSpPr>
      <xdr:spPr bwMode="auto">
        <a:xfrm>
          <a:off x="107365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0281" name="Line 41">
          <a:extLst>
            <a:ext uri="{FF2B5EF4-FFF2-40B4-BE49-F238E27FC236}">
              <a16:creationId xmlns:a16="http://schemas.microsoft.com/office/drawing/2014/main" id="{00000000-0008-0000-1100-0000292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0282" name="Line 42">
          <a:extLst>
            <a:ext uri="{FF2B5EF4-FFF2-40B4-BE49-F238E27FC236}">
              <a16:creationId xmlns:a16="http://schemas.microsoft.com/office/drawing/2014/main" id="{00000000-0008-0000-1100-00002A2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10283" name="Line 43">
          <a:extLst>
            <a:ext uri="{FF2B5EF4-FFF2-40B4-BE49-F238E27FC236}">
              <a16:creationId xmlns:a16="http://schemas.microsoft.com/office/drawing/2014/main" id="{00000000-0008-0000-1100-00002B280000}"/>
            </a:ext>
          </a:extLst>
        </xdr:cNvPr>
        <xdr:cNvSpPr>
          <a:spLocks noChangeShapeType="1"/>
        </xdr:cNvSpPr>
      </xdr:nvSpPr>
      <xdr:spPr bwMode="auto">
        <a:xfrm>
          <a:off x="70789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10284" name="Line 44">
          <a:extLst>
            <a:ext uri="{FF2B5EF4-FFF2-40B4-BE49-F238E27FC236}">
              <a16:creationId xmlns:a16="http://schemas.microsoft.com/office/drawing/2014/main" id="{00000000-0008-0000-1100-00002C280000}"/>
            </a:ext>
          </a:extLst>
        </xdr:cNvPr>
        <xdr:cNvSpPr>
          <a:spLocks noChangeShapeType="1"/>
        </xdr:cNvSpPr>
      </xdr:nvSpPr>
      <xdr:spPr bwMode="auto">
        <a:xfrm>
          <a:off x="107365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10285" name="Line 45">
          <a:extLst>
            <a:ext uri="{FF2B5EF4-FFF2-40B4-BE49-F238E27FC236}">
              <a16:creationId xmlns:a16="http://schemas.microsoft.com/office/drawing/2014/main" id="{00000000-0008-0000-1100-00002D280000}"/>
            </a:ext>
          </a:extLst>
        </xdr:cNvPr>
        <xdr:cNvSpPr>
          <a:spLocks noChangeShapeType="1"/>
        </xdr:cNvSpPr>
      </xdr:nvSpPr>
      <xdr:spPr bwMode="auto">
        <a:xfrm>
          <a:off x="48844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10286" name="Line 46">
          <a:extLst>
            <a:ext uri="{FF2B5EF4-FFF2-40B4-BE49-F238E27FC236}">
              <a16:creationId xmlns:a16="http://schemas.microsoft.com/office/drawing/2014/main" id="{00000000-0008-0000-1100-00002E280000}"/>
            </a:ext>
          </a:extLst>
        </xdr:cNvPr>
        <xdr:cNvSpPr>
          <a:spLocks noChangeShapeType="1"/>
        </xdr:cNvSpPr>
      </xdr:nvSpPr>
      <xdr:spPr bwMode="auto">
        <a:xfrm>
          <a:off x="70789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10287" name="Line 47">
          <a:extLst>
            <a:ext uri="{FF2B5EF4-FFF2-40B4-BE49-F238E27FC236}">
              <a16:creationId xmlns:a16="http://schemas.microsoft.com/office/drawing/2014/main" id="{00000000-0008-0000-1100-00002F280000}"/>
            </a:ext>
          </a:extLst>
        </xdr:cNvPr>
        <xdr:cNvSpPr>
          <a:spLocks noChangeShapeType="1"/>
        </xdr:cNvSpPr>
      </xdr:nvSpPr>
      <xdr:spPr bwMode="auto">
        <a:xfrm>
          <a:off x="1073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10288" name="Line 48">
          <a:extLst>
            <a:ext uri="{FF2B5EF4-FFF2-40B4-BE49-F238E27FC236}">
              <a16:creationId xmlns:a16="http://schemas.microsoft.com/office/drawing/2014/main" id="{00000000-0008-0000-1100-000030280000}"/>
            </a:ext>
          </a:extLst>
        </xdr:cNvPr>
        <xdr:cNvSpPr>
          <a:spLocks noChangeShapeType="1"/>
        </xdr:cNvSpPr>
      </xdr:nvSpPr>
      <xdr:spPr bwMode="auto">
        <a:xfrm>
          <a:off x="26898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0289" name="Line 49">
          <a:extLst>
            <a:ext uri="{FF2B5EF4-FFF2-40B4-BE49-F238E27FC236}">
              <a16:creationId xmlns:a16="http://schemas.microsoft.com/office/drawing/2014/main" id="{00000000-0008-0000-1100-0000312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0290" name="Line 50">
          <a:extLst>
            <a:ext uri="{FF2B5EF4-FFF2-40B4-BE49-F238E27FC236}">
              <a16:creationId xmlns:a16="http://schemas.microsoft.com/office/drawing/2014/main" id="{00000000-0008-0000-1100-0000322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0291" name="Line 51">
          <a:extLst>
            <a:ext uri="{FF2B5EF4-FFF2-40B4-BE49-F238E27FC236}">
              <a16:creationId xmlns:a16="http://schemas.microsoft.com/office/drawing/2014/main" id="{00000000-0008-0000-1100-0000332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10292" name="Line 52">
          <a:extLst>
            <a:ext uri="{FF2B5EF4-FFF2-40B4-BE49-F238E27FC236}">
              <a16:creationId xmlns:a16="http://schemas.microsoft.com/office/drawing/2014/main" id="{00000000-0008-0000-1100-000034280000}"/>
            </a:ext>
          </a:extLst>
        </xdr:cNvPr>
        <xdr:cNvSpPr>
          <a:spLocks noChangeShapeType="1"/>
        </xdr:cNvSpPr>
      </xdr:nvSpPr>
      <xdr:spPr bwMode="auto">
        <a:xfrm>
          <a:off x="26898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10293" name="Line 53">
          <a:extLst>
            <a:ext uri="{FF2B5EF4-FFF2-40B4-BE49-F238E27FC236}">
              <a16:creationId xmlns:a16="http://schemas.microsoft.com/office/drawing/2014/main" id="{00000000-0008-0000-1100-000035280000}"/>
            </a:ext>
          </a:extLst>
        </xdr:cNvPr>
        <xdr:cNvSpPr>
          <a:spLocks noChangeShapeType="1"/>
        </xdr:cNvSpPr>
      </xdr:nvSpPr>
      <xdr:spPr bwMode="auto">
        <a:xfrm>
          <a:off x="26898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10294" name="Line 54">
          <a:extLst>
            <a:ext uri="{FF2B5EF4-FFF2-40B4-BE49-F238E27FC236}">
              <a16:creationId xmlns:a16="http://schemas.microsoft.com/office/drawing/2014/main" id="{00000000-0008-0000-1100-000036280000}"/>
            </a:ext>
          </a:extLst>
        </xdr:cNvPr>
        <xdr:cNvSpPr>
          <a:spLocks noChangeShapeType="1"/>
        </xdr:cNvSpPr>
      </xdr:nvSpPr>
      <xdr:spPr bwMode="auto">
        <a:xfrm>
          <a:off x="48844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10295" name="Line 55">
          <a:extLst>
            <a:ext uri="{FF2B5EF4-FFF2-40B4-BE49-F238E27FC236}">
              <a16:creationId xmlns:a16="http://schemas.microsoft.com/office/drawing/2014/main" id="{00000000-0008-0000-1100-000037280000}"/>
            </a:ext>
          </a:extLst>
        </xdr:cNvPr>
        <xdr:cNvSpPr>
          <a:spLocks noChangeShapeType="1"/>
        </xdr:cNvSpPr>
      </xdr:nvSpPr>
      <xdr:spPr bwMode="auto">
        <a:xfrm>
          <a:off x="4884420" y="552450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10296" name="Line 56">
          <a:extLst>
            <a:ext uri="{FF2B5EF4-FFF2-40B4-BE49-F238E27FC236}">
              <a16:creationId xmlns:a16="http://schemas.microsoft.com/office/drawing/2014/main" id="{00000000-0008-0000-1100-000038280000}"/>
            </a:ext>
          </a:extLst>
        </xdr:cNvPr>
        <xdr:cNvSpPr>
          <a:spLocks noChangeShapeType="1"/>
        </xdr:cNvSpPr>
      </xdr:nvSpPr>
      <xdr:spPr bwMode="auto">
        <a:xfrm>
          <a:off x="4884420" y="770382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10297" name="Line 57">
          <a:extLst>
            <a:ext uri="{FF2B5EF4-FFF2-40B4-BE49-F238E27FC236}">
              <a16:creationId xmlns:a16="http://schemas.microsoft.com/office/drawing/2014/main" id="{00000000-0008-0000-1100-000039280000}"/>
            </a:ext>
          </a:extLst>
        </xdr:cNvPr>
        <xdr:cNvSpPr>
          <a:spLocks noChangeShapeType="1"/>
        </xdr:cNvSpPr>
      </xdr:nvSpPr>
      <xdr:spPr bwMode="auto">
        <a:xfrm>
          <a:off x="4884420" y="103403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10298" name="Line 58">
          <a:extLst>
            <a:ext uri="{FF2B5EF4-FFF2-40B4-BE49-F238E27FC236}">
              <a16:creationId xmlns:a16="http://schemas.microsoft.com/office/drawing/2014/main" id="{00000000-0008-0000-1100-00003A280000}"/>
            </a:ext>
          </a:extLst>
        </xdr:cNvPr>
        <xdr:cNvSpPr>
          <a:spLocks noChangeShapeType="1"/>
        </xdr:cNvSpPr>
      </xdr:nvSpPr>
      <xdr:spPr bwMode="auto">
        <a:xfrm>
          <a:off x="48844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10299" name="Line 59">
          <a:extLst>
            <a:ext uri="{FF2B5EF4-FFF2-40B4-BE49-F238E27FC236}">
              <a16:creationId xmlns:a16="http://schemas.microsoft.com/office/drawing/2014/main" id="{00000000-0008-0000-1100-00003B280000}"/>
            </a:ext>
          </a:extLst>
        </xdr:cNvPr>
        <xdr:cNvSpPr>
          <a:spLocks noChangeShapeType="1"/>
        </xdr:cNvSpPr>
      </xdr:nvSpPr>
      <xdr:spPr bwMode="auto">
        <a:xfrm>
          <a:off x="107365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10300" name="Line 60">
          <a:extLst>
            <a:ext uri="{FF2B5EF4-FFF2-40B4-BE49-F238E27FC236}">
              <a16:creationId xmlns:a16="http://schemas.microsoft.com/office/drawing/2014/main" id="{00000000-0008-0000-1100-00003C280000}"/>
            </a:ext>
          </a:extLst>
        </xdr:cNvPr>
        <xdr:cNvSpPr>
          <a:spLocks noChangeShapeType="1"/>
        </xdr:cNvSpPr>
      </xdr:nvSpPr>
      <xdr:spPr bwMode="auto">
        <a:xfrm>
          <a:off x="48844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301" name="Line 61">
          <a:extLst>
            <a:ext uri="{FF2B5EF4-FFF2-40B4-BE49-F238E27FC236}">
              <a16:creationId xmlns:a16="http://schemas.microsoft.com/office/drawing/2014/main" id="{00000000-0008-0000-1100-00003D2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302" name="Line 62">
          <a:extLst>
            <a:ext uri="{FF2B5EF4-FFF2-40B4-BE49-F238E27FC236}">
              <a16:creationId xmlns:a16="http://schemas.microsoft.com/office/drawing/2014/main" id="{00000000-0008-0000-1100-00003E2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10303" name="Line 63">
          <a:extLst>
            <a:ext uri="{FF2B5EF4-FFF2-40B4-BE49-F238E27FC236}">
              <a16:creationId xmlns:a16="http://schemas.microsoft.com/office/drawing/2014/main" id="{00000000-0008-0000-1100-00003F280000}"/>
            </a:ext>
          </a:extLst>
        </xdr:cNvPr>
        <xdr:cNvSpPr>
          <a:spLocks noChangeShapeType="1"/>
        </xdr:cNvSpPr>
      </xdr:nvSpPr>
      <xdr:spPr bwMode="auto">
        <a:xfrm>
          <a:off x="70789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10304" name="Line 64">
          <a:extLst>
            <a:ext uri="{FF2B5EF4-FFF2-40B4-BE49-F238E27FC236}">
              <a16:creationId xmlns:a16="http://schemas.microsoft.com/office/drawing/2014/main" id="{00000000-0008-0000-1100-000040280000}"/>
            </a:ext>
          </a:extLst>
        </xdr:cNvPr>
        <xdr:cNvSpPr>
          <a:spLocks noChangeShapeType="1"/>
        </xdr:cNvSpPr>
      </xdr:nvSpPr>
      <xdr:spPr bwMode="auto">
        <a:xfrm>
          <a:off x="107365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10305" name="Line 65">
          <a:extLst>
            <a:ext uri="{FF2B5EF4-FFF2-40B4-BE49-F238E27FC236}">
              <a16:creationId xmlns:a16="http://schemas.microsoft.com/office/drawing/2014/main" id="{00000000-0008-0000-1100-000041280000}"/>
            </a:ext>
          </a:extLst>
        </xdr:cNvPr>
        <xdr:cNvSpPr>
          <a:spLocks noChangeShapeType="1"/>
        </xdr:cNvSpPr>
      </xdr:nvSpPr>
      <xdr:spPr bwMode="auto">
        <a:xfrm>
          <a:off x="48844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10306" name="Line 66">
          <a:extLst>
            <a:ext uri="{FF2B5EF4-FFF2-40B4-BE49-F238E27FC236}">
              <a16:creationId xmlns:a16="http://schemas.microsoft.com/office/drawing/2014/main" id="{00000000-0008-0000-1100-000042280000}"/>
            </a:ext>
          </a:extLst>
        </xdr:cNvPr>
        <xdr:cNvSpPr>
          <a:spLocks noChangeShapeType="1"/>
        </xdr:cNvSpPr>
      </xdr:nvSpPr>
      <xdr:spPr bwMode="auto">
        <a:xfrm>
          <a:off x="26898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307" name="Line 67">
          <a:extLst>
            <a:ext uri="{FF2B5EF4-FFF2-40B4-BE49-F238E27FC236}">
              <a16:creationId xmlns:a16="http://schemas.microsoft.com/office/drawing/2014/main" id="{00000000-0008-0000-1100-0000432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308" name="Line 68">
          <a:extLst>
            <a:ext uri="{FF2B5EF4-FFF2-40B4-BE49-F238E27FC236}">
              <a16:creationId xmlns:a16="http://schemas.microsoft.com/office/drawing/2014/main" id="{00000000-0008-0000-1100-0000442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309" name="Line 69">
          <a:extLst>
            <a:ext uri="{FF2B5EF4-FFF2-40B4-BE49-F238E27FC236}">
              <a16:creationId xmlns:a16="http://schemas.microsoft.com/office/drawing/2014/main" id="{00000000-0008-0000-1100-0000452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0310" name="Line 70">
          <a:extLst>
            <a:ext uri="{FF2B5EF4-FFF2-40B4-BE49-F238E27FC236}">
              <a16:creationId xmlns:a16="http://schemas.microsoft.com/office/drawing/2014/main" id="{00000000-0008-0000-1100-0000462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10311" name="Line 71">
          <a:extLst>
            <a:ext uri="{FF2B5EF4-FFF2-40B4-BE49-F238E27FC236}">
              <a16:creationId xmlns:a16="http://schemas.microsoft.com/office/drawing/2014/main" id="{00000000-0008-0000-1100-000047280000}"/>
            </a:ext>
          </a:extLst>
        </xdr:cNvPr>
        <xdr:cNvSpPr>
          <a:spLocks noChangeShapeType="1"/>
        </xdr:cNvSpPr>
      </xdr:nvSpPr>
      <xdr:spPr bwMode="auto">
        <a:xfrm>
          <a:off x="4884420" y="121843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10312" name="Line 72">
          <a:extLst>
            <a:ext uri="{FF2B5EF4-FFF2-40B4-BE49-F238E27FC236}">
              <a16:creationId xmlns:a16="http://schemas.microsoft.com/office/drawing/2014/main" id="{00000000-0008-0000-1100-000048280000}"/>
            </a:ext>
          </a:extLst>
        </xdr:cNvPr>
        <xdr:cNvSpPr>
          <a:spLocks noChangeShapeType="1"/>
        </xdr:cNvSpPr>
      </xdr:nvSpPr>
      <xdr:spPr bwMode="auto">
        <a:xfrm>
          <a:off x="26898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10313" name="Line 73">
          <a:extLst>
            <a:ext uri="{FF2B5EF4-FFF2-40B4-BE49-F238E27FC236}">
              <a16:creationId xmlns:a16="http://schemas.microsoft.com/office/drawing/2014/main" id="{00000000-0008-0000-1100-000049280000}"/>
            </a:ext>
          </a:extLst>
        </xdr:cNvPr>
        <xdr:cNvSpPr>
          <a:spLocks noChangeShapeType="1"/>
        </xdr:cNvSpPr>
      </xdr:nvSpPr>
      <xdr:spPr bwMode="auto">
        <a:xfrm>
          <a:off x="48844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10314" name="Line 74">
          <a:extLst>
            <a:ext uri="{FF2B5EF4-FFF2-40B4-BE49-F238E27FC236}">
              <a16:creationId xmlns:a16="http://schemas.microsoft.com/office/drawing/2014/main" id="{00000000-0008-0000-1100-00004A280000}"/>
            </a:ext>
          </a:extLst>
        </xdr:cNvPr>
        <xdr:cNvSpPr>
          <a:spLocks noChangeShapeType="1"/>
        </xdr:cNvSpPr>
      </xdr:nvSpPr>
      <xdr:spPr bwMode="auto">
        <a:xfrm>
          <a:off x="107365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315" name="Line 75">
          <a:extLst>
            <a:ext uri="{FF2B5EF4-FFF2-40B4-BE49-F238E27FC236}">
              <a16:creationId xmlns:a16="http://schemas.microsoft.com/office/drawing/2014/main" id="{00000000-0008-0000-1100-00004B2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316" name="Line 76">
          <a:extLst>
            <a:ext uri="{FF2B5EF4-FFF2-40B4-BE49-F238E27FC236}">
              <a16:creationId xmlns:a16="http://schemas.microsoft.com/office/drawing/2014/main" id="{00000000-0008-0000-1100-00004C2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10317" name="Line 77">
          <a:extLst>
            <a:ext uri="{FF2B5EF4-FFF2-40B4-BE49-F238E27FC236}">
              <a16:creationId xmlns:a16="http://schemas.microsoft.com/office/drawing/2014/main" id="{00000000-0008-0000-1100-00004D280000}"/>
            </a:ext>
          </a:extLst>
        </xdr:cNvPr>
        <xdr:cNvSpPr>
          <a:spLocks noChangeShapeType="1"/>
        </xdr:cNvSpPr>
      </xdr:nvSpPr>
      <xdr:spPr bwMode="auto">
        <a:xfrm>
          <a:off x="70789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10318" name="Line 78">
          <a:extLst>
            <a:ext uri="{FF2B5EF4-FFF2-40B4-BE49-F238E27FC236}">
              <a16:creationId xmlns:a16="http://schemas.microsoft.com/office/drawing/2014/main" id="{00000000-0008-0000-1100-00004E280000}"/>
            </a:ext>
          </a:extLst>
        </xdr:cNvPr>
        <xdr:cNvSpPr>
          <a:spLocks noChangeShapeType="1"/>
        </xdr:cNvSpPr>
      </xdr:nvSpPr>
      <xdr:spPr bwMode="auto">
        <a:xfrm>
          <a:off x="48844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10319" name="Line 79">
          <a:extLst>
            <a:ext uri="{FF2B5EF4-FFF2-40B4-BE49-F238E27FC236}">
              <a16:creationId xmlns:a16="http://schemas.microsoft.com/office/drawing/2014/main" id="{00000000-0008-0000-1100-00004F280000}"/>
            </a:ext>
          </a:extLst>
        </xdr:cNvPr>
        <xdr:cNvSpPr>
          <a:spLocks noChangeShapeType="1"/>
        </xdr:cNvSpPr>
      </xdr:nvSpPr>
      <xdr:spPr bwMode="auto">
        <a:xfrm>
          <a:off x="26898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320" name="Line 80">
          <a:extLst>
            <a:ext uri="{FF2B5EF4-FFF2-40B4-BE49-F238E27FC236}">
              <a16:creationId xmlns:a16="http://schemas.microsoft.com/office/drawing/2014/main" id="{00000000-0008-0000-1100-0000502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321" name="Line 81">
          <a:extLst>
            <a:ext uri="{FF2B5EF4-FFF2-40B4-BE49-F238E27FC236}">
              <a16:creationId xmlns:a16="http://schemas.microsoft.com/office/drawing/2014/main" id="{00000000-0008-0000-1100-0000512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322" name="Line 82">
          <a:extLst>
            <a:ext uri="{FF2B5EF4-FFF2-40B4-BE49-F238E27FC236}">
              <a16:creationId xmlns:a16="http://schemas.microsoft.com/office/drawing/2014/main" id="{00000000-0008-0000-1100-0000522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0323" name="Line 83">
          <a:extLst>
            <a:ext uri="{FF2B5EF4-FFF2-40B4-BE49-F238E27FC236}">
              <a16:creationId xmlns:a16="http://schemas.microsoft.com/office/drawing/2014/main" id="{00000000-0008-0000-1100-0000532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10324" name="Line 84">
          <a:extLst>
            <a:ext uri="{FF2B5EF4-FFF2-40B4-BE49-F238E27FC236}">
              <a16:creationId xmlns:a16="http://schemas.microsoft.com/office/drawing/2014/main" id="{00000000-0008-0000-1100-000054280000}"/>
            </a:ext>
          </a:extLst>
        </xdr:cNvPr>
        <xdr:cNvSpPr>
          <a:spLocks noChangeShapeType="1"/>
        </xdr:cNvSpPr>
      </xdr:nvSpPr>
      <xdr:spPr bwMode="auto">
        <a:xfrm>
          <a:off x="4884420" y="138607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325" name="Line 85">
          <a:extLst>
            <a:ext uri="{FF2B5EF4-FFF2-40B4-BE49-F238E27FC236}">
              <a16:creationId xmlns:a16="http://schemas.microsoft.com/office/drawing/2014/main" id="{00000000-0008-0000-1100-0000552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326" name="Line 86">
          <a:extLst>
            <a:ext uri="{FF2B5EF4-FFF2-40B4-BE49-F238E27FC236}">
              <a16:creationId xmlns:a16="http://schemas.microsoft.com/office/drawing/2014/main" id="{00000000-0008-0000-1100-0000562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327" name="Line 87">
          <a:extLst>
            <a:ext uri="{FF2B5EF4-FFF2-40B4-BE49-F238E27FC236}">
              <a16:creationId xmlns:a16="http://schemas.microsoft.com/office/drawing/2014/main" id="{00000000-0008-0000-1100-0000572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328" name="Line 88">
          <a:extLst>
            <a:ext uri="{FF2B5EF4-FFF2-40B4-BE49-F238E27FC236}">
              <a16:creationId xmlns:a16="http://schemas.microsoft.com/office/drawing/2014/main" id="{00000000-0008-0000-1100-0000582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10329" name="Line 89">
          <a:extLst>
            <a:ext uri="{FF2B5EF4-FFF2-40B4-BE49-F238E27FC236}">
              <a16:creationId xmlns:a16="http://schemas.microsoft.com/office/drawing/2014/main" id="{00000000-0008-0000-1100-000059280000}"/>
            </a:ext>
          </a:extLst>
        </xdr:cNvPr>
        <xdr:cNvSpPr>
          <a:spLocks noChangeShapeType="1"/>
        </xdr:cNvSpPr>
      </xdr:nvSpPr>
      <xdr:spPr bwMode="auto">
        <a:xfrm>
          <a:off x="48844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10330" name="Line 90">
          <a:extLst>
            <a:ext uri="{FF2B5EF4-FFF2-40B4-BE49-F238E27FC236}">
              <a16:creationId xmlns:a16="http://schemas.microsoft.com/office/drawing/2014/main" id="{00000000-0008-0000-1100-00005A280000}"/>
            </a:ext>
          </a:extLst>
        </xdr:cNvPr>
        <xdr:cNvSpPr>
          <a:spLocks noChangeShapeType="1"/>
        </xdr:cNvSpPr>
      </xdr:nvSpPr>
      <xdr:spPr bwMode="auto">
        <a:xfrm>
          <a:off x="48844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10331" name="Line 91">
          <a:extLst>
            <a:ext uri="{FF2B5EF4-FFF2-40B4-BE49-F238E27FC236}">
              <a16:creationId xmlns:a16="http://schemas.microsoft.com/office/drawing/2014/main" id="{00000000-0008-0000-1100-00005B280000}"/>
            </a:ext>
          </a:extLst>
        </xdr:cNvPr>
        <xdr:cNvSpPr>
          <a:spLocks noChangeShapeType="1"/>
        </xdr:cNvSpPr>
      </xdr:nvSpPr>
      <xdr:spPr bwMode="auto">
        <a:xfrm>
          <a:off x="48844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10332" name="Line 92">
          <a:extLst>
            <a:ext uri="{FF2B5EF4-FFF2-40B4-BE49-F238E27FC236}">
              <a16:creationId xmlns:a16="http://schemas.microsoft.com/office/drawing/2014/main" id="{00000000-0008-0000-1100-00005C280000}"/>
            </a:ext>
          </a:extLst>
        </xdr:cNvPr>
        <xdr:cNvSpPr>
          <a:spLocks noChangeShapeType="1"/>
        </xdr:cNvSpPr>
      </xdr:nvSpPr>
      <xdr:spPr bwMode="auto">
        <a:xfrm>
          <a:off x="48844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10333" name="Line 93">
          <a:extLst>
            <a:ext uri="{FF2B5EF4-FFF2-40B4-BE49-F238E27FC236}">
              <a16:creationId xmlns:a16="http://schemas.microsoft.com/office/drawing/2014/main" id="{00000000-0008-0000-1100-00005D280000}"/>
            </a:ext>
          </a:extLst>
        </xdr:cNvPr>
        <xdr:cNvSpPr>
          <a:spLocks noChangeShapeType="1"/>
        </xdr:cNvSpPr>
      </xdr:nvSpPr>
      <xdr:spPr bwMode="auto">
        <a:xfrm>
          <a:off x="70789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10334" name="Line 94">
          <a:extLst>
            <a:ext uri="{FF2B5EF4-FFF2-40B4-BE49-F238E27FC236}">
              <a16:creationId xmlns:a16="http://schemas.microsoft.com/office/drawing/2014/main" id="{00000000-0008-0000-1100-00005E280000}"/>
            </a:ext>
          </a:extLst>
        </xdr:cNvPr>
        <xdr:cNvSpPr>
          <a:spLocks noChangeShapeType="1"/>
        </xdr:cNvSpPr>
      </xdr:nvSpPr>
      <xdr:spPr bwMode="auto">
        <a:xfrm>
          <a:off x="70789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10335" name="Line 95">
          <a:extLst>
            <a:ext uri="{FF2B5EF4-FFF2-40B4-BE49-F238E27FC236}">
              <a16:creationId xmlns:a16="http://schemas.microsoft.com/office/drawing/2014/main" id="{00000000-0008-0000-1100-00005F280000}"/>
            </a:ext>
          </a:extLst>
        </xdr:cNvPr>
        <xdr:cNvSpPr>
          <a:spLocks noChangeShapeType="1"/>
        </xdr:cNvSpPr>
      </xdr:nvSpPr>
      <xdr:spPr bwMode="auto">
        <a:xfrm>
          <a:off x="70789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10336" name="Line 96">
          <a:extLst>
            <a:ext uri="{FF2B5EF4-FFF2-40B4-BE49-F238E27FC236}">
              <a16:creationId xmlns:a16="http://schemas.microsoft.com/office/drawing/2014/main" id="{00000000-0008-0000-1100-000060280000}"/>
            </a:ext>
          </a:extLst>
        </xdr:cNvPr>
        <xdr:cNvSpPr>
          <a:spLocks noChangeShapeType="1"/>
        </xdr:cNvSpPr>
      </xdr:nvSpPr>
      <xdr:spPr bwMode="auto">
        <a:xfrm>
          <a:off x="70789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10337" name="Line 97">
          <a:extLst>
            <a:ext uri="{FF2B5EF4-FFF2-40B4-BE49-F238E27FC236}">
              <a16:creationId xmlns:a16="http://schemas.microsoft.com/office/drawing/2014/main" id="{00000000-0008-0000-1100-000061280000}"/>
            </a:ext>
          </a:extLst>
        </xdr:cNvPr>
        <xdr:cNvSpPr>
          <a:spLocks noChangeShapeType="1"/>
        </xdr:cNvSpPr>
      </xdr:nvSpPr>
      <xdr:spPr bwMode="auto">
        <a:xfrm>
          <a:off x="70789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10338" name="Line 98">
          <a:extLst>
            <a:ext uri="{FF2B5EF4-FFF2-40B4-BE49-F238E27FC236}">
              <a16:creationId xmlns:a16="http://schemas.microsoft.com/office/drawing/2014/main" id="{00000000-0008-0000-1100-000062280000}"/>
            </a:ext>
          </a:extLst>
        </xdr:cNvPr>
        <xdr:cNvSpPr>
          <a:spLocks noChangeShapeType="1"/>
        </xdr:cNvSpPr>
      </xdr:nvSpPr>
      <xdr:spPr bwMode="auto">
        <a:xfrm>
          <a:off x="70789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339" name="Line 99">
          <a:extLst>
            <a:ext uri="{FF2B5EF4-FFF2-40B4-BE49-F238E27FC236}">
              <a16:creationId xmlns:a16="http://schemas.microsoft.com/office/drawing/2014/main" id="{00000000-0008-0000-1100-000063280000}"/>
            </a:ext>
          </a:extLst>
        </xdr:cNvPr>
        <xdr:cNvSpPr>
          <a:spLocks noChangeShapeType="1"/>
        </xdr:cNvSpPr>
      </xdr:nvSpPr>
      <xdr:spPr bwMode="auto">
        <a:xfrm>
          <a:off x="70789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340" name="Line 100">
          <a:extLst>
            <a:ext uri="{FF2B5EF4-FFF2-40B4-BE49-F238E27FC236}">
              <a16:creationId xmlns:a16="http://schemas.microsoft.com/office/drawing/2014/main" id="{00000000-0008-0000-1100-000064280000}"/>
            </a:ext>
          </a:extLst>
        </xdr:cNvPr>
        <xdr:cNvSpPr>
          <a:spLocks noChangeShapeType="1"/>
        </xdr:cNvSpPr>
      </xdr:nvSpPr>
      <xdr:spPr bwMode="auto">
        <a:xfrm>
          <a:off x="70789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341" name="Line 101">
          <a:extLst>
            <a:ext uri="{FF2B5EF4-FFF2-40B4-BE49-F238E27FC236}">
              <a16:creationId xmlns:a16="http://schemas.microsoft.com/office/drawing/2014/main" id="{00000000-0008-0000-1100-000065280000}"/>
            </a:ext>
          </a:extLst>
        </xdr:cNvPr>
        <xdr:cNvSpPr>
          <a:spLocks noChangeShapeType="1"/>
        </xdr:cNvSpPr>
      </xdr:nvSpPr>
      <xdr:spPr bwMode="auto">
        <a:xfrm>
          <a:off x="70789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42" name="Line 103">
          <a:extLst>
            <a:ext uri="{FF2B5EF4-FFF2-40B4-BE49-F238E27FC236}">
              <a16:creationId xmlns:a16="http://schemas.microsoft.com/office/drawing/2014/main" id="{00000000-0008-0000-1100-00006628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343" name="Line 107">
          <a:extLst>
            <a:ext uri="{FF2B5EF4-FFF2-40B4-BE49-F238E27FC236}">
              <a16:creationId xmlns:a16="http://schemas.microsoft.com/office/drawing/2014/main" id="{00000000-0008-0000-1100-0000672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344" name="Line 108">
          <a:extLst>
            <a:ext uri="{FF2B5EF4-FFF2-40B4-BE49-F238E27FC236}">
              <a16:creationId xmlns:a16="http://schemas.microsoft.com/office/drawing/2014/main" id="{00000000-0008-0000-1100-0000682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345" name="Line 109">
          <a:extLst>
            <a:ext uri="{FF2B5EF4-FFF2-40B4-BE49-F238E27FC236}">
              <a16:creationId xmlns:a16="http://schemas.microsoft.com/office/drawing/2014/main" id="{00000000-0008-0000-1100-0000692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346" name="Line 110">
          <a:extLst>
            <a:ext uri="{FF2B5EF4-FFF2-40B4-BE49-F238E27FC236}">
              <a16:creationId xmlns:a16="http://schemas.microsoft.com/office/drawing/2014/main" id="{00000000-0008-0000-1100-00006A2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47" name="Line 111">
          <a:extLst>
            <a:ext uri="{FF2B5EF4-FFF2-40B4-BE49-F238E27FC236}">
              <a16:creationId xmlns:a16="http://schemas.microsoft.com/office/drawing/2014/main" id="{00000000-0008-0000-1100-00006B28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348" name="Line 112">
          <a:extLst>
            <a:ext uri="{FF2B5EF4-FFF2-40B4-BE49-F238E27FC236}">
              <a16:creationId xmlns:a16="http://schemas.microsoft.com/office/drawing/2014/main" id="{00000000-0008-0000-1100-00006C2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349" name="Line 113">
          <a:extLst>
            <a:ext uri="{FF2B5EF4-FFF2-40B4-BE49-F238E27FC236}">
              <a16:creationId xmlns:a16="http://schemas.microsoft.com/office/drawing/2014/main" id="{00000000-0008-0000-1100-00006D2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350" name="Line 114">
          <a:extLst>
            <a:ext uri="{FF2B5EF4-FFF2-40B4-BE49-F238E27FC236}">
              <a16:creationId xmlns:a16="http://schemas.microsoft.com/office/drawing/2014/main" id="{00000000-0008-0000-1100-00006E2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351" name="Line 115">
          <a:extLst>
            <a:ext uri="{FF2B5EF4-FFF2-40B4-BE49-F238E27FC236}">
              <a16:creationId xmlns:a16="http://schemas.microsoft.com/office/drawing/2014/main" id="{00000000-0008-0000-1100-00006F2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52" name="Line 116">
          <a:extLst>
            <a:ext uri="{FF2B5EF4-FFF2-40B4-BE49-F238E27FC236}">
              <a16:creationId xmlns:a16="http://schemas.microsoft.com/office/drawing/2014/main" id="{00000000-0008-0000-1100-00007028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0353" name="Line 75">
          <a:extLst>
            <a:ext uri="{FF2B5EF4-FFF2-40B4-BE49-F238E27FC236}">
              <a16:creationId xmlns:a16="http://schemas.microsoft.com/office/drawing/2014/main" id="{00000000-0008-0000-1100-00007128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0354" name="Line 87">
          <a:extLst>
            <a:ext uri="{FF2B5EF4-FFF2-40B4-BE49-F238E27FC236}">
              <a16:creationId xmlns:a16="http://schemas.microsoft.com/office/drawing/2014/main" id="{00000000-0008-0000-1100-00007228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0355" name="Line 75">
          <a:extLst>
            <a:ext uri="{FF2B5EF4-FFF2-40B4-BE49-F238E27FC236}">
              <a16:creationId xmlns:a16="http://schemas.microsoft.com/office/drawing/2014/main" id="{00000000-0008-0000-1100-00007328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0356" name="Line 79">
          <a:extLst>
            <a:ext uri="{FF2B5EF4-FFF2-40B4-BE49-F238E27FC236}">
              <a16:creationId xmlns:a16="http://schemas.microsoft.com/office/drawing/2014/main" id="{00000000-0008-0000-1100-00007428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0357" name="Line 87">
          <a:extLst>
            <a:ext uri="{FF2B5EF4-FFF2-40B4-BE49-F238E27FC236}">
              <a16:creationId xmlns:a16="http://schemas.microsoft.com/office/drawing/2014/main" id="{00000000-0008-0000-1100-00007528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0358" name="Line 75">
          <a:extLst>
            <a:ext uri="{FF2B5EF4-FFF2-40B4-BE49-F238E27FC236}">
              <a16:creationId xmlns:a16="http://schemas.microsoft.com/office/drawing/2014/main" id="{00000000-0008-0000-1100-00007628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0359" name="Line 87">
          <a:extLst>
            <a:ext uri="{FF2B5EF4-FFF2-40B4-BE49-F238E27FC236}">
              <a16:creationId xmlns:a16="http://schemas.microsoft.com/office/drawing/2014/main" id="{00000000-0008-0000-1100-00007728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0360" name="Line 75">
          <a:extLst>
            <a:ext uri="{FF2B5EF4-FFF2-40B4-BE49-F238E27FC236}">
              <a16:creationId xmlns:a16="http://schemas.microsoft.com/office/drawing/2014/main" id="{00000000-0008-0000-1100-00007828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0361" name="Line 79">
          <a:extLst>
            <a:ext uri="{FF2B5EF4-FFF2-40B4-BE49-F238E27FC236}">
              <a16:creationId xmlns:a16="http://schemas.microsoft.com/office/drawing/2014/main" id="{00000000-0008-0000-1100-00007928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0362" name="Line 87">
          <a:extLst>
            <a:ext uri="{FF2B5EF4-FFF2-40B4-BE49-F238E27FC236}">
              <a16:creationId xmlns:a16="http://schemas.microsoft.com/office/drawing/2014/main" id="{00000000-0008-0000-1100-00007A28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12289" name="Line 1">
          <a:extLst>
            <a:ext uri="{FF2B5EF4-FFF2-40B4-BE49-F238E27FC236}">
              <a16:creationId xmlns:a16="http://schemas.microsoft.com/office/drawing/2014/main" id="{00000000-0008-0000-1300-000001300000}"/>
            </a:ext>
          </a:extLst>
        </xdr:cNvPr>
        <xdr:cNvSpPr>
          <a:spLocks noChangeShapeType="1"/>
        </xdr:cNvSpPr>
      </xdr:nvSpPr>
      <xdr:spPr bwMode="auto">
        <a:xfrm>
          <a:off x="48844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12290" name="Line 2">
          <a:extLst>
            <a:ext uri="{FF2B5EF4-FFF2-40B4-BE49-F238E27FC236}">
              <a16:creationId xmlns:a16="http://schemas.microsoft.com/office/drawing/2014/main" id="{00000000-0008-0000-1300-000002300000}"/>
            </a:ext>
          </a:extLst>
        </xdr:cNvPr>
        <xdr:cNvSpPr>
          <a:spLocks noChangeShapeType="1"/>
        </xdr:cNvSpPr>
      </xdr:nvSpPr>
      <xdr:spPr bwMode="auto">
        <a:xfrm>
          <a:off x="48844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12291" name="Line 3">
          <a:extLst>
            <a:ext uri="{FF2B5EF4-FFF2-40B4-BE49-F238E27FC236}">
              <a16:creationId xmlns:a16="http://schemas.microsoft.com/office/drawing/2014/main" id="{00000000-0008-0000-1300-000003300000}"/>
            </a:ext>
          </a:extLst>
        </xdr:cNvPr>
        <xdr:cNvSpPr>
          <a:spLocks noChangeShapeType="1"/>
        </xdr:cNvSpPr>
      </xdr:nvSpPr>
      <xdr:spPr bwMode="auto">
        <a:xfrm>
          <a:off x="48844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12292" name="Line 4">
          <a:extLst>
            <a:ext uri="{FF2B5EF4-FFF2-40B4-BE49-F238E27FC236}">
              <a16:creationId xmlns:a16="http://schemas.microsoft.com/office/drawing/2014/main" id="{00000000-0008-0000-1300-000004300000}"/>
            </a:ext>
          </a:extLst>
        </xdr:cNvPr>
        <xdr:cNvSpPr>
          <a:spLocks noChangeShapeType="1"/>
        </xdr:cNvSpPr>
      </xdr:nvSpPr>
      <xdr:spPr bwMode="auto">
        <a:xfrm>
          <a:off x="70789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12293" name="Line 5">
          <a:extLst>
            <a:ext uri="{FF2B5EF4-FFF2-40B4-BE49-F238E27FC236}">
              <a16:creationId xmlns:a16="http://schemas.microsoft.com/office/drawing/2014/main" id="{00000000-0008-0000-1300-000005300000}"/>
            </a:ext>
          </a:extLst>
        </xdr:cNvPr>
        <xdr:cNvSpPr>
          <a:spLocks noChangeShapeType="1"/>
        </xdr:cNvSpPr>
      </xdr:nvSpPr>
      <xdr:spPr bwMode="auto">
        <a:xfrm>
          <a:off x="107365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12294" name="Line 6">
          <a:extLst>
            <a:ext uri="{FF2B5EF4-FFF2-40B4-BE49-F238E27FC236}">
              <a16:creationId xmlns:a16="http://schemas.microsoft.com/office/drawing/2014/main" id="{00000000-0008-0000-1300-000006300000}"/>
            </a:ext>
          </a:extLst>
        </xdr:cNvPr>
        <xdr:cNvSpPr>
          <a:spLocks noChangeShapeType="1"/>
        </xdr:cNvSpPr>
      </xdr:nvSpPr>
      <xdr:spPr bwMode="auto">
        <a:xfrm>
          <a:off x="107365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12295" name="Line 7">
          <a:extLst>
            <a:ext uri="{FF2B5EF4-FFF2-40B4-BE49-F238E27FC236}">
              <a16:creationId xmlns:a16="http://schemas.microsoft.com/office/drawing/2014/main" id="{00000000-0008-0000-1300-000007300000}"/>
            </a:ext>
          </a:extLst>
        </xdr:cNvPr>
        <xdr:cNvSpPr>
          <a:spLocks noChangeShapeType="1"/>
        </xdr:cNvSpPr>
      </xdr:nvSpPr>
      <xdr:spPr bwMode="auto">
        <a:xfrm>
          <a:off x="48844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12296" name="Line 8">
          <a:extLst>
            <a:ext uri="{FF2B5EF4-FFF2-40B4-BE49-F238E27FC236}">
              <a16:creationId xmlns:a16="http://schemas.microsoft.com/office/drawing/2014/main" id="{00000000-0008-0000-1300-000008300000}"/>
            </a:ext>
          </a:extLst>
        </xdr:cNvPr>
        <xdr:cNvSpPr>
          <a:spLocks noChangeShapeType="1"/>
        </xdr:cNvSpPr>
      </xdr:nvSpPr>
      <xdr:spPr bwMode="auto">
        <a:xfrm>
          <a:off x="48844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2297" name="Line 9">
          <a:extLst>
            <a:ext uri="{FF2B5EF4-FFF2-40B4-BE49-F238E27FC236}">
              <a16:creationId xmlns:a16="http://schemas.microsoft.com/office/drawing/2014/main" id="{00000000-0008-0000-1300-000009300000}"/>
            </a:ext>
          </a:extLst>
        </xdr:cNvPr>
        <xdr:cNvSpPr>
          <a:spLocks noChangeShapeType="1"/>
        </xdr:cNvSpPr>
      </xdr:nvSpPr>
      <xdr:spPr bwMode="auto">
        <a:xfrm>
          <a:off x="48844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2298" name="Line 10">
          <a:extLst>
            <a:ext uri="{FF2B5EF4-FFF2-40B4-BE49-F238E27FC236}">
              <a16:creationId xmlns:a16="http://schemas.microsoft.com/office/drawing/2014/main" id="{00000000-0008-0000-1300-00000A300000}"/>
            </a:ext>
          </a:extLst>
        </xdr:cNvPr>
        <xdr:cNvSpPr>
          <a:spLocks noChangeShapeType="1"/>
        </xdr:cNvSpPr>
      </xdr:nvSpPr>
      <xdr:spPr bwMode="auto">
        <a:xfrm>
          <a:off x="70789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299" name="Line 11">
          <a:extLst>
            <a:ext uri="{FF2B5EF4-FFF2-40B4-BE49-F238E27FC236}">
              <a16:creationId xmlns:a16="http://schemas.microsoft.com/office/drawing/2014/main" id="{00000000-0008-0000-1300-00000B300000}"/>
            </a:ext>
          </a:extLst>
        </xdr:cNvPr>
        <xdr:cNvSpPr>
          <a:spLocks noChangeShapeType="1"/>
        </xdr:cNvSpPr>
      </xdr:nvSpPr>
      <xdr:spPr bwMode="auto">
        <a:xfrm>
          <a:off x="70789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2300" name="Line 12">
          <a:extLst>
            <a:ext uri="{FF2B5EF4-FFF2-40B4-BE49-F238E27FC236}">
              <a16:creationId xmlns:a16="http://schemas.microsoft.com/office/drawing/2014/main" id="{00000000-0008-0000-1300-00000C300000}"/>
            </a:ext>
          </a:extLst>
        </xdr:cNvPr>
        <xdr:cNvSpPr>
          <a:spLocks noChangeShapeType="1"/>
        </xdr:cNvSpPr>
      </xdr:nvSpPr>
      <xdr:spPr bwMode="auto">
        <a:xfrm>
          <a:off x="70789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2301" name="Line 13">
          <a:extLst>
            <a:ext uri="{FF2B5EF4-FFF2-40B4-BE49-F238E27FC236}">
              <a16:creationId xmlns:a16="http://schemas.microsoft.com/office/drawing/2014/main" id="{00000000-0008-0000-1300-00000D300000}"/>
            </a:ext>
          </a:extLst>
        </xdr:cNvPr>
        <xdr:cNvSpPr>
          <a:spLocks noChangeShapeType="1"/>
        </xdr:cNvSpPr>
      </xdr:nvSpPr>
      <xdr:spPr bwMode="auto">
        <a:xfrm>
          <a:off x="1073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2302" name="Line 14">
          <a:extLst>
            <a:ext uri="{FF2B5EF4-FFF2-40B4-BE49-F238E27FC236}">
              <a16:creationId xmlns:a16="http://schemas.microsoft.com/office/drawing/2014/main" id="{00000000-0008-0000-1300-00000E300000}"/>
            </a:ext>
          </a:extLst>
        </xdr:cNvPr>
        <xdr:cNvSpPr>
          <a:spLocks noChangeShapeType="1"/>
        </xdr:cNvSpPr>
      </xdr:nvSpPr>
      <xdr:spPr bwMode="auto">
        <a:xfrm>
          <a:off x="1073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2303" name="Line 15">
          <a:extLst>
            <a:ext uri="{FF2B5EF4-FFF2-40B4-BE49-F238E27FC236}">
              <a16:creationId xmlns:a16="http://schemas.microsoft.com/office/drawing/2014/main" id="{00000000-0008-0000-1300-00000F300000}"/>
            </a:ext>
          </a:extLst>
        </xdr:cNvPr>
        <xdr:cNvSpPr>
          <a:spLocks noChangeShapeType="1"/>
        </xdr:cNvSpPr>
      </xdr:nvSpPr>
      <xdr:spPr bwMode="auto">
        <a:xfrm>
          <a:off x="1073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2304" name="Line 16">
          <a:extLst>
            <a:ext uri="{FF2B5EF4-FFF2-40B4-BE49-F238E27FC236}">
              <a16:creationId xmlns:a16="http://schemas.microsoft.com/office/drawing/2014/main" id="{00000000-0008-0000-1300-000010300000}"/>
            </a:ext>
          </a:extLst>
        </xdr:cNvPr>
        <xdr:cNvSpPr>
          <a:spLocks noChangeShapeType="1"/>
        </xdr:cNvSpPr>
      </xdr:nvSpPr>
      <xdr:spPr bwMode="auto">
        <a:xfrm>
          <a:off x="107365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2305" name="Line 17">
          <a:extLst>
            <a:ext uri="{FF2B5EF4-FFF2-40B4-BE49-F238E27FC236}">
              <a16:creationId xmlns:a16="http://schemas.microsoft.com/office/drawing/2014/main" id="{00000000-0008-0000-1300-000011300000}"/>
            </a:ext>
          </a:extLst>
        </xdr:cNvPr>
        <xdr:cNvSpPr>
          <a:spLocks noChangeShapeType="1"/>
        </xdr:cNvSpPr>
      </xdr:nvSpPr>
      <xdr:spPr bwMode="auto">
        <a:xfrm>
          <a:off x="26898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2306" name="Line 18">
          <a:extLst>
            <a:ext uri="{FF2B5EF4-FFF2-40B4-BE49-F238E27FC236}">
              <a16:creationId xmlns:a16="http://schemas.microsoft.com/office/drawing/2014/main" id="{00000000-0008-0000-1300-000012300000}"/>
            </a:ext>
          </a:extLst>
        </xdr:cNvPr>
        <xdr:cNvSpPr>
          <a:spLocks noChangeShapeType="1"/>
        </xdr:cNvSpPr>
      </xdr:nvSpPr>
      <xdr:spPr bwMode="auto">
        <a:xfrm>
          <a:off x="26898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12307" name="Line 19">
          <a:extLst>
            <a:ext uri="{FF2B5EF4-FFF2-40B4-BE49-F238E27FC236}">
              <a16:creationId xmlns:a16="http://schemas.microsoft.com/office/drawing/2014/main" id="{00000000-0008-0000-1300-000013300000}"/>
            </a:ext>
          </a:extLst>
        </xdr:cNvPr>
        <xdr:cNvSpPr>
          <a:spLocks noChangeShapeType="1"/>
        </xdr:cNvSpPr>
      </xdr:nvSpPr>
      <xdr:spPr bwMode="auto">
        <a:xfrm>
          <a:off x="26898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12308" name="Line 20">
          <a:extLst>
            <a:ext uri="{FF2B5EF4-FFF2-40B4-BE49-F238E27FC236}">
              <a16:creationId xmlns:a16="http://schemas.microsoft.com/office/drawing/2014/main" id="{00000000-0008-0000-1300-000014300000}"/>
            </a:ext>
          </a:extLst>
        </xdr:cNvPr>
        <xdr:cNvSpPr>
          <a:spLocks noChangeShapeType="1"/>
        </xdr:cNvSpPr>
      </xdr:nvSpPr>
      <xdr:spPr bwMode="auto">
        <a:xfrm>
          <a:off x="26898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12309" name="Line 21">
          <a:extLst>
            <a:ext uri="{FF2B5EF4-FFF2-40B4-BE49-F238E27FC236}">
              <a16:creationId xmlns:a16="http://schemas.microsoft.com/office/drawing/2014/main" id="{00000000-0008-0000-1300-000015300000}"/>
            </a:ext>
          </a:extLst>
        </xdr:cNvPr>
        <xdr:cNvSpPr>
          <a:spLocks noChangeShapeType="1"/>
        </xdr:cNvSpPr>
      </xdr:nvSpPr>
      <xdr:spPr bwMode="auto">
        <a:xfrm>
          <a:off x="26898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12310" name="Line 22">
          <a:extLst>
            <a:ext uri="{FF2B5EF4-FFF2-40B4-BE49-F238E27FC236}">
              <a16:creationId xmlns:a16="http://schemas.microsoft.com/office/drawing/2014/main" id="{00000000-0008-0000-1300-000016300000}"/>
            </a:ext>
          </a:extLst>
        </xdr:cNvPr>
        <xdr:cNvSpPr>
          <a:spLocks noChangeShapeType="1"/>
        </xdr:cNvSpPr>
      </xdr:nvSpPr>
      <xdr:spPr bwMode="auto">
        <a:xfrm>
          <a:off x="26898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2311" name="Line 23">
          <a:extLst>
            <a:ext uri="{FF2B5EF4-FFF2-40B4-BE49-F238E27FC236}">
              <a16:creationId xmlns:a16="http://schemas.microsoft.com/office/drawing/2014/main" id="{00000000-0008-0000-1300-0000173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2312" name="Line 24">
          <a:extLst>
            <a:ext uri="{FF2B5EF4-FFF2-40B4-BE49-F238E27FC236}">
              <a16:creationId xmlns:a16="http://schemas.microsoft.com/office/drawing/2014/main" id="{00000000-0008-0000-1300-0000183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12313" name="Line 25">
          <a:extLst>
            <a:ext uri="{FF2B5EF4-FFF2-40B4-BE49-F238E27FC236}">
              <a16:creationId xmlns:a16="http://schemas.microsoft.com/office/drawing/2014/main" id="{00000000-0008-0000-1300-000019300000}"/>
            </a:ext>
          </a:extLst>
        </xdr:cNvPr>
        <xdr:cNvSpPr>
          <a:spLocks noChangeShapeType="1"/>
        </xdr:cNvSpPr>
      </xdr:nvSpPr>
      <xdr:spPr bwMode="auto">
        <a:xfrm>
          <a:off x="70789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12314" name="Line 26">
          <a:extLst>
            <a:ext uri="{FF2B5EF4-FFF2-40B4-BE49-F238E27FC236}">
              <a16:creationId xmlns:a16="http://schemas.microsoft.com/office/drawing/2014/main" id="{00000000-0008-0000-1300-00001A300000}"/>
            </a:ext>
          </a:extLst>
        </xdr:cNvPr>
        <xdr:cNvSpPr>
          <a:spLocks noChangeShapeType="1"/>
        </xdr:cNvSpPr>
      </xdr:nvSpPr>
      <xdr:spPr bwMode="auto">
        <a:xfrm>
          <a:off x="107365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12315" name="Line 27">
          <a:extLst>
            <a:ext uri="{FF2B5EF4-FFF2-40B4-BE49-F238E27FC236}">
              <a16:creationId xmlns:a16="http://schemas.microsoft.com/office/drawing/2014/main" id="{00000000-0008-0000-1300-00001B300000}"/>
            </a:ext>
          </a:extLst>
        </xdr:cNvPr>
        <xdr:cNvSpPr>
          <a:spLocks noChangeShapeType="1"/>
        </xdr:cNvSpPr>
      </xdr:nvSpPr>
      <xdr:spPr bwMode="auto">
        <a:xfrm>
          <a:off x="48844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12316" name="Line 28">
          <a:extLst>
            <a:ext uri="{FF2B5EF4-FFF2-40B4-BE49-F238E27FC236}">
              <a16:creationId xmlns:a16="http://schemas.microsoft.com/office/drawing/2014/main" id="{00000000-0008-0000-1300-00001C300000}"/>
            </a:ext>
          </a:extLst>
        </xdr:cNvPr>
        <xdr:cNvSpPr>
          <a:spLocks noChangeShapeType="1"/>
        </xdr:cNvSpPr>
      </xdr:nvSpPr>
      <xdr:spPr bwMode="auto">
        <a:xfrm>
          <a:off x="48844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12317" name="Line 29">
          <a:extLst>
            <a:ext uri="{FF2B5EF4-FFF2-40B4-BE49-F238E27FC236}">
              <a16:creationId xmlns:a16="http://schemas.microsoft.com/office/drawing/2014/main" id="{00000000-0008-0000-1300-00001D300000}"/>
            </a:ext>
          </a:extLst>
        </xdr:cNvPr>
        <xdr:cNvSpPr>
          <a:spLocks noChangeShapeType="1"/>
        </xdr:cNvSpPr>
      </xdr:nvSpPr>
      <xdr:spPr bwMode="auto">
        <a:xfrm>
          <a:off x="70789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12318" name="Line 30">
          <a:extLst>
            <a:ext uri="{FF2B5EF4-FFF2-40B4-BE49-F238E27FC236}">
              <a16:creationId xmlns:a16="http://schemas.microsoft.com/office/drawing/2014/main" id="{00000000-0008-0000-1300-00001E300000}"/>
            </a:ext>
          </a:extLst>
        </xdr:cNvPr>
        <xdr:cNvSpPr>
          <a:spLocks noChangeShapeType="1"/>
        </xdr:cNvSpPr>
      </xdr:nvSpPr>
      <xdr:spPr bwMode="auto">
        <a:xfrm>
          <a:off x="70789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12319" name="Line 31">
          <a:extLst>
            <a:ext uri="{FF2B5EF4-FFF2-40B4-BE49-F238E27FC236}">
              <a16:creationId xmlns:a16="http://schemas.microsoft.com/office/drawing/2014/main" id="{00000000-0008-0000-1300-00001F300000}"/>
            </a:ext>
          </a:extLst>
        </xdr:cNvPr>
        <xdr:cNvSpPr>
          <a:spLocks noChangeShapeType="1"/>
        </xdr:cNvSpPr>
      </xdr:nvSpPr>
      <xdr:spPr bwMode="auto">
        <a:xfrm>
          <a:off x="1073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12320" name="Line 32">
          <a:extLst>
            <a:ext uri="{FF2B5EF4-FFF2-40B4-BE49-F238E27FC236}">
              <a16:creationId xmlns:a16="http://schemas.microsoft.com/office/drawing/2014/main" id="{00000000-0008-0000-1300-000020300000}"/>
            </a:ext>
          </a:extLst>
        </xdr:cNvPr>
        <xdr:cNvSpPr>
          <a:spLocks noChangeShapeType="1"/>
        </xdr:cNvSpPr>
      </xdr:nvSpPr>
      <xdr:spPr bwMode="auto">
        <a:xfrm>
          <a:off x="1073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12321" name="Line 33">
          <a:extLst>
            <a:ext uri="{FF2B5EF4-FFF2-40B4-BE49-F238E27FC236}">
              <a16:creationId xmlns:a16="http://schemas.microsoft.com/office/drawing/2014/main" id="{00000000-0008-0000-1300-000021300000}"/>
            </a:ext>
          </a:extLst>
        </xdr:cNvPr>
        <xdr:cNvSpPr>
          <a:spLocks noChangeShapeType="1"/>
        </xdr:cNvSpPr>
      </xdr:nvSpPr>
      <xdr:spPr bwMode="auto">
        <a:xfrm>
          <a:off x="26898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2322" name="Line 34">
          <a:extLst>
            <a:ext uri="{FF2B5EF4-FFF2-40B4-BE49-F238E27FC236}">
              <a16:creationId xmlns:a16="http://schemas.microsoft.com/office/drawing/2014/main" id="{00000000-0008-0000-1300-0000223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2323" name="Line 35">
          <a:extLst>
            <a:ext uri="{FF2B5EF4-FFF2-40B4-BE49-F238E27FC236}">
              <a16:creationId xmlns:a16="http://schemas.microsoft.com/office/drawing/2014/main" id="{00000000-0008-0000-1300-0000233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12324" name="Line 36">
          <a:extLst>
            <a:ext uri="{FF2B5EF4-FFF2-40B4-BE49-F238E27FC236}">
              <a16:creationId xmlns:a16="http://schemas.microsoft.com/office/drawing/2014/main" id="{00000000-0008-0000-1300-000024300000}"/>
            </a:ext>
          </a:extLst>
        </xdr:cNvPr>
        <xdr:cNvSpPr>
          <a:spLocks noChangeShapeType="1"/>
        </xdr:cNvSpPr>
      </xdr:nvSpPr>
      <xdr:spPr bwMode="auto">
        <a:xfrm>
          <a:off x="26898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12325" name="Line 37">
          <a:extLst>
            <a:ext uri="{FF2B5EF4-FFF2-40B4-BE49-F238E27FC236}">
              <a16:creationId xmlns:a16="http://schemas.microsoft.com/office/drawing/2014/main" id="{00000000-0008-0000-1300-000025300000}"/>
            </a:ext>
          </a:extLst>
        </xdr:cNvPr>
        <xdr:cNvSpPr>
          <a:spLocks noChangeShapeType="1"/>
        </xdr:cNvSpPr>
      </xdr:nvSpPr>
      <xdr:spPr bwMode="auto">
        <a:xfrm>
          <a:off x="26898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12326" name="Line 38">
          <a:extLst>
            <a:ext uri="{FF2B5EF4-FFF2-40B4-BE49-F238E27FC236}">
              <a16:creationId xmlns:a16="http://schemas.microsoft.com/office/drawing/2014/main" id="{00000000-0008-0000-1300-000026300000}"/>
            </a:ext>
          </a:extLst>
        </xdr:cNvPr>
        <xdr:cNvSpPr>
          <a:spLocks noChangeShapeType="1"/>
        </xdr:cNvSpPr>
      </xdr:nvSpPr>
      <xdr:spPr bwMode="auto">
        <a:xfrm>
          <a:off x="26898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12327" name="Line 39">
          <a:extLst>
            <a:ext uri="{FF2B5EF4-FFF2-40B4-BE49-F238E27FC236}">
              <a16:creationId xmlns:a16="http://schemas.microsoft.com/office/drawing/2014/main" id="{00000000-0008-0000-1300-000027300000}"/>
            </a:ext>
          </a:extLst>
        </xdr:cNvPr>
        <xdr:cNvSpPr>
          <a:spLocks noChangeShapeType="1"/>
        </xdr:cNvSpPr>
      </xdr:nvSpPr>
      <xdr:spPr bwMode="auto">
        <a:xfrm>
          <a:off x="48844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12328" name="Line 40">
          <a:extLst>
            <a:ext uri="{FF2B5EF4-FFF2-40B4-BE49-F238E27FC236}">
              <a16:creationId xmlns:a16="http://schemas.microsoft.com/office/drawing/2014/main" id="{00000000-0008-0000-1300-000028300000}"/>
            </a:ext>
          </a:extLst>
        </xdr:cNvPr>
        <xdr:cNvSpPr>
          <a:spLocks noChangeShapeType="1"/>
        </xdr:cNvSpPr>
      </xdr:nvSpPr>
      <xdr:spPr bwMode="auto">
        <a:xfrm>
          <a:off x="107365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2329" name="Line 41">
          <a:extLst>
            <a:ext uri="{FF2B5EF4-FFF2-40B4-BE49-F238E27FC236}">
              <a16:creationId xmlns:a16="http://schemas.microsoft.com/office/drawing/2014/main" id="{00000000-0008-0000-1300-0000293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2330" name="Line 42">
          <a:extLst>
            <a:ext uri="{FF2B5EF4-FFF2-40B4-BE49-F238E27FC236}">
              <a16:creationId xmlns:a16="http://schemas.microsoft.com/office/drawing/2014/main" id="{00000000-0008-0000-1300-00002A3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12331" name="Line 43">
          <a:extLst>
            <a:ext uri="{FF2B5EF4-FFF2-40B4-BE49-F238E27FC236}">
              <a16:creationId xmlns:a16="http://schemas.microsoft.com/office/drawing/2014/main" id="{00000000-0008-0000-1300-00002B300000}"/>
            </a:ext>
          </a:extLst>
        </xdr:cNvPr>
        <xdr:cNvSpPr>
          <a:spLocks noChangeShapeType="1"/>
        </xdr:cNvSpPr>
      </xdr:nvSpPr>
      <xdr:spPr bwMode="auto">
        <a:xfrm>
          <a:off x="70789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12332" name="Line 44">
          <a:extLst>
            <a:ext uri="{FF2B5EF4-FFF2-40B4-BE49-F238E27FC236}">
              <a16:creationId xmlns:a16="http://schemas.microsoft.com/office/drawing/2014/main" id="{00000000-0008-0000-1300-00002C300000}"/>
            </a:ext>
          </a:extLst>
        </xdr:cNvPr>
        <xdr:cNvSpPr>
          <a:spLocks noChangeShapeType="1"/>
        </xdr:cNvSpPr>
      </xdr:nvSpPr>
      <xdr:spPr bwMode="auto">
        <a:xfrm>
          <a:off x="107365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12333" name="Line 45">
          <a:extLst>
            <a:ext uri="{FF2B5EF4-FFF2-40B4-BE49-F238E27FC236}">
              <a16:creationId xmlns:a16="http://schemas.microsoft.com/office/drawing/2014/main" id="{00000000-0008-0000-1300-00002D300000}"/>
            </a:ext>
          </a:extLst>
        </xdr:cNvPr>
        <xdr:cNvSpPr>
          <a:spLocks noChangeShapeType="1"/>
        </xdr:cNvSpPr>
      </xdr:nvSpPr>
      <xdr:spPr bwMode="auto">
        <a:xfrm>
          <a:off x="48844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12334" name="Line 46">
          <a:extLst>
            <a:ext uri="{FF2B5EF4-FFF2-40B4-BE49-F238E27FC236}">
              <a16:creationId xmlns:a16="http://schemas.microsoft.com/office/drawing/2014/main" id="{00000000-0008-0000-1300-00002E300000}"/>
            </a:ext>
          </a:extLst>
        </xdr:cNvPr>
        <xdr:cNvSpPr>
          <a:spLocks noChangeShapeType="1"/>
        </xdr:cNvSpPr>
      </xdr:nvSpPr>
      <xdr:spPr bwMode="auto">
        <a:xfrm>
          <a:off x="70789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12335" name="Line 47">
          <a:extLst>
            <a:ext uri="{FF2B5EF4-FFF2-40B4-BE49-F238E27FC236}">
              <a16:creationId xmlns:a16="http://schemas.microsoft.com/office/drawing/2014/main" id="{00000000-0008-0000-1300-00002F300000}"/>
            </a:ext>
          </a:extLst>
        </xdr:cNvPr>
        <xdr:cNvSpPr>
          <a:spLocks noChangeShapeType="1"/>
        </xdr:cNvSpPr>
      </xdr:nvSpPr>
      <xdr:spPr bwMode="auto">
        <a:xfrm>
          <a:off x="1073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12336" name="Line 48">
          <a:extLst>
            <a:ext uri="{FF2B5EF4-FFF2-40B4-BE49-F238E27FC236}">
              <a16:creationId xmlns:a16="http://schemas.microsoft.com/office/drawing/2014/main" id="{00000000-0008-0000-1300-000030300000}"/>
            </a:ext>
          </a:extLst>
        </xdr:cNvPr>
        <xdr:cNvSpPr>
          <a:spLocks noChangeShapeType="1"/>
        </xdr:cNvSpPr>
      </xdr:nvSpPr>
      <xdr:spPr bwMode="auto">
        <a:xfrm>
          <a:off x="26898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2337" name="Line 49">
          <a:extLst>
            <a:ext uri="{FF2B5EF4-FFF2-40B4-BE49-F238E27FC236}">
              <a16:creationId xmlns:a16="http://schemas.microsoft.com/office/drawing/2014/main" id="{00000000-0008-0000-1300-0000313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2338" name="Line 50">
          <a:extLst>
            <a:ext uri="{FF2B5EF4-FFF2-40B4-BE49-F238E27FC236}">
              <a16:creationId xmlns:a16="http://schemas.microsoft.com/office/drawing/2014/main" id="{00000000-0008-0000-1300-0000323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2339" name="Line 51">
          <a:extLst>
            <a:ext uri="{FF2B5EF4-FFF2-40B4-BE49-F238E27FC236}">
              <a16:creationId xmlns:a16="http://schemas.microsoft.com/office/drawing/2014/main" id="{00000000-0008-0000-1300-0000333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12340" name="Line 52">
          <a:extLst>
            <a:ext uri="{FF2B5EF4-FFF2-40B4-BE49-F238E27FC236}">
              <a16:creationId xmlns:a16="http://schemas.microsoft.com/office/drawing/2014/main" id="{00000000-0008-0000-1300-000034300000}"/>
            </a:ext>
          </a:extLst>
        </xdr:cNvPr>
        <xdr:cNvSpPr>
          <a:spLocks noChangeShapeType="1"/>
        </xdr:cNvSpPr>
      </xdr:nvSpPr>
      <xdr:spPr bwMode="auto">
        <a:xfrm>
          <a:off x="26898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12341" name="Line 53">
          <a:extLst>
            <a:ext uri="{FF2B5EF4-FFF2-40B4-BE49-F238E27FC236}">
              <a16:creationId xmlns:a16="http://schemas.microsoft.com/office/drawing/2014/main" id="{00000000-0008-0000-1300-000035300000}"/>
            </a:ext>
          </a:extLst>
        </xdr:cNvPr>
        <xdr:cNvSpPr>
          <a:spLocks noChangeShapeType="1"/>
        </xdr:cNvSpPr>
      </xdr:nvSpPr>
      <xdr:spPr bwMode="auto">
        <a:xfrm>
          <a:off x="26898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12342" name="Line 54">
          <a:extLst>
            <a:ext uri="{FF2B5EF4-FFF2-40B4-BE49-F238E27FC236}">
              <a16:creationId xmlns:a16="http://schemas.microsoft.com/office/drawing/2014/main" id="{00000000-0008-0000-1300-000036300000}"/>
            </a:ext>
          </a:extLst>
        </xdr:cNvPr>
        <xdr:cNvSpPr>
          <a:spLocks noChangeShapeType="1"/>
        </xdr:cNvSpPr>
      </xdr:nvSpPr>
      <xdr:spPr bwMode="auto">
        <a:xfrm>
          <a:off x="48844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12343" name="Line 55">
          <a:extLst>
            <a:ext uri="{FF2B5EF4-FFF2-40B4-BE49-F238E27FC236}">
              <a16:creationId xmlns:a16="http://schemas.microsoft.com/office/drawing/2014/main" id="{00000000-0008-0000-1300-000037300000}"/>
            </a:ext>
          </a:extLst>
        </xdr:cNvPr>
        <xdr:cNvSpPr>
          <a:spLocks noChangeShapeType="1"/>
        </xdr:cNvSpPr>
      </xdr:nvSpPr>
      <xdr:spPr bwMode="auto">
        <a:xfrm>
          <a:off x="4884420" y="552450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12344" name="Line 56">
          <a:extLst>
            <a:ext uri="{FF2B5EF4-FFF2-40B4-BE49-F238E27FC236}">
              <a16:creationId xmlns:a16="http://schemas.microsoft.com/office/drawing/2014/main" id="{00000000-0008-0000-1300-000038300000}"/>
            </a:ext>
          </a:extLst>
        </xdr:cNvPr>
        <xdr:cNvSpPr>
          <a:spLocks noChangeShapeType="1"/>
        </xdr:cNvSpPr>
      </xdr:nvSpPr>
      <xdr:spPr bwMode="auto">
        <a:xfrm>
          <a:off x="4884420" y="770382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12345" name="Line 57">
          <a:extLst>
            <a:ext uri="{FF2B5EF4-FFF2-40B4-BE49-F238E27FC236}">
              <a16:creationId xmlns:a16="http://schemas.microsoft.com/office/drawing/2014/main" id="{00000000-0008-0000-1300-000039300000}"/>
            </a:ext>
          </a:extLst>
        </xdr:cNvPr>
        <xdr:cNvSpPr>
          <a:spLocks noChangeShapeType="1"/>
        </xdr:cNvSpPr>
      </xdr:nvSpPr>
      <xdr:spPr bwMode="auto">
        <a:xfrm>
          <a:off x="4884420" y="103403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12346" name="Line 58">
          <a:extLst>
            <a:ext uri="{FF2B5EF4-FFF2-40B4-BE49-F238E27FC236}">
              <a16:creationId xmlns:a16="http://schemas.microsoft.com/office/drawing/2014/main" id="{00000000-0008-0000-1300-00003A300000}"/>
            </a:ext>
          </a:extLst>
        </xdr:cNvPr>
        <xdr:cNvSpPr>
          <a:spLocks noChangeShapeType="1"/>
        </xdr:cNvSpPr>
      </xdr:nvSpPr>
      <xdr:spPr bwMode="auto">
        <a:xfrm>
          <a:off x="48844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12347" name="Line 59">
          <a:extLst>
            <a:ext uri="{FF2B5EF4-FFF2-40B4-BE49-F238E27FC236}">
              <a16:creationId xmlns:a16="http://schemas.microsoft.com/office/drawing/2014/main" id="{00000000-0008-0000-1300-00003B300000}"/>
            </a:ext>
          </a:extLst>
        </xdr:cNvPr>
        <xdr:cNvSpPr>
          <a:spLocks noChangeShapeType="1"/>
        </xdr:cNvSpPr>
      </xdr:nvSpPr>
      <xdr:spPr bwMode="auto">
        <a:xfrm>
          <a:off x="107365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12348" name="Line 60">
          <a:extLst>
            <a:ext uri="{FF2B5EF4-FFF2-40B4-BE49-F238E27FC236}">
              <a16:creationId xmlns:a16="http://schemas.microsoft.com/office/drawing/2014/main" id="{00000000-0008-0000-1300-00003C300000}"/>
            </a:ext>
          </a:extLst>
        </xdr:cNvPr>
        <xdr:cNvSpPr>
          <a:spLocks noChangeShapeType="1"/>
        </xdr:cNvSpPr>
      </xdr:nvSpPr>
      <xdr:spPr bwMode="auto">
        <a:xfrm>
          <a:off x="48844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349" name="Line 61">
          <a:extLst>
            <a:ext uri="{FF2B5EF4-FFF2-40B4-BE49-F238E27FC236}">
              <a16:creationId xmlns:a16="http://schemas.microsoft.com/office/drawing/2014/main" id="{00000000-0008-0000-1300-00003D3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350" name="Line 62">
          <a:extLst>
            <a:ext uri="{FF2B5EF4-FFF2-40B4-BE49-F238E27FC236}">
              <a16:creationId xmlns:a16="http://schemas.microsoft.com/office/drawing/2014/main" id="{00000000-0008-0000-1300-00003E3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12351" name="Line 63">
          <a:extLst>
            <a:ext uri="{FF2B5EF4-FFF2-40B4-BE49-F238E27FC236}">
              <a16:creationId xmlns:a16="http://schemas.microsoft.com/office/drawing/2014/main" id="{00000000-0008-0000-1300-00003F300000}"/>
            </a:ext>
          </a:extLst>
        </xdr:cNvPr>
        <xdr:cNvSpPr>
          <a:spLocks noChangeShapeType="1"/>
        </xdr:cNvSpPr>
      </xdr:nvSpPr>
      <xdr:spPr bwMode="auto">
        <a:xfrm>
          <a:off x="70789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12352" name="Line 64">
          <a:extLst>
            <a:ext uri="{FF2B5EF4-FFF2-40B4-BE49-F238E27FC236}">
              <a16:creationId xmlns:a16="http://schemas.microsoft.com/office/drawing/2014/main" id="{00000000-0008-0000-1300-000040300000}"/>
            </a:ext>
          </a:extLst>
        </xdr:cNvPr>
        <xdr:cNvSpPr>
          <a:spLocks noChangeShapeType="1"/>
        </xdr:cNvSpPr>
      </xdr:nvSpPr>
      <xdr:spPr bwMode="auto">
        <a:xfrm>
          <a:off x="107365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12353" name="Line 65">
          <a:extLst>
            <a:ext uri="{FF2B5EF4-FFF2-40B4-BE49-F238E27FC236}">
              <a16:creationId xmlns:a16="http://schemas.microsoft.com/office/drawing/2014/main" id="{00000000-0008-0000-1300-000041300000}"/>
            </a:ext>
          </a:extLst>
        </xdr:cNvPr>
        <xdr:cNvSpPr>
          <a:spLocks noChangeShapeType="1"/>
        </xdr:cNvSpPr>
      </xdr:nvSpPr>
      <xdr:spPr bwMode="auto">
        <a:xfrm>
          <a:off x="48844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12354" name="Line 66">
          <a:extLst>
            <a:ext uri="{FF2B5EF4-FFF2-40B4-BE49-F238E27FC236}">
              <a16:creationId xmlns:a16="http://schemas.microsoft.com/office/drawing/2014/main" id="{00000000-0008-0000-1300-000042300000}"/>
            </a:ext>
          </a:extLst>
        </xdr:cNvPr>
        <xdr:cNvSpPr>
          <a:spLocks noChangeShapeType="1"/>
        </xdr:cNvSpPr>
      </xdr:nvSpPr>
      <xdr:spPr bwMode="auto">
        <a:xfrm>
          <a:off x="26898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355" name="Line 67">
          <a:extLst>
            <a:ext uri="{FF2B5EF4-FFF2-40B4-BE49-F238E27FC236}">
              <a16:creationId xmlns:a16="http://schemas.microsoft.com/office/drawing/2014/main" id="{00000000-0008-0000-1300-0000433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356" name="Line 68">
          <a:extLst>
            <a:ext uri="{FF2B5EF4-FFF2-40B4-BE49-F238E27FC236}">
              <a16:creationId xmlns:a16="http://schemas.microsoft.com/office/drawing/2014/main" id="{00000000-0008-0000-1300-0000443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357" name="Line 69">
          <a:extLst>
            <a:ext uri="{FF2B5EF4-FFF2-40B4-BE49-F238E27FC236}">
              <a16:creationId xmlns:a16="http://schemas.microsoft.com/office/drawing/2014/main" id="{00000000-0008-0000-1300-0000453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2358" name="Line 70">
          <a:extLst>
            <a:ext uri="{FF2B5EF4-FFF2-40B4-BE49-F238E27FC236}">
              <a16:creationId xmlns:a16="http://schemas.microsoft.com/office/drawing/2014/main" id="{00000000-0008-0000-1300-0000463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12359" name="Line 71">
          <a:extLst>
            <a:ext uri="{FF2B5EF4-FFF2-40B4-BE49-F238E27FC236}">
              <a16:creationId xmlns:a16="http://schemas.microsoft.com/office/drawing/2014/main" id="{00000000-0008-0000-1300-000047300000}"/>
            </a:ext>
          </a:extLst>
        </xdr:cNvPr>
        <xdr:cNvSpPr>
          <a:spLocks noChangeShapeType="1"/>
        </xdr:cNvSpPr>
      </xdr:nvSpPr>
      <xdr:spPr bwMode="auto">
        <a:xfrm>
          <a:off x="4884420" y="121843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12360" name="Line 72">
          <a:extLst>
            <a:ext uri="{FF2B5EF4-FFF2-40B4-BE49-F238E27FC236}">
              <a16:creationId xmlns:a16="http://schemas.microsoft.com/office/drawing/2014/main" id="{00000000-0008-0000-1300-000048300000}"/>
            </a:ext>
          </a:extLst>
        </xdr:cNvPr>
        <xdr:cNvSpPr>
          <a:spLocks noChangeShapeType="1"/>
        </xdr:cNvSpPr>
      </xdr:nvSpPr>
      <xdr:spPr bwMode="auto">
        <a:xfrm>
          <a:off x="26898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12361" name="Line 73">
          <a:extLst>
            <a:ext uri="{FF2B5EF4-FFF2-40B4-BE49-F238E27FC236}">
              <a16:creationId xmlns:a16="http://schemas.microsoft.com/office/drawing/2014/main" id="{00000000-0008-0000-1300-000049300000}"/>
            </a:ext>
          </a:extLst>
        </xdr:cNvPr>
        <xdr:cNvSpPr>
          <a:spLocks noChangeShapeType="1"/>
        </xdr:cNvSpPr>
      </xdr:nvSpPr>
      <xdr:spPr bwMode="auto">
        <a:xfrm>
          <a:off x="48844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12362" name="Line 74">
          <a:extLst>
            <a:ext uri="{FF2B5EF4-FFF2-40B4-BE49-F238E27FC236}">
              <a16:creationId xmlns:a16="http://schemas.microsoft.com/office/drawing/2014/main" id="{00000000-0008-0000-1300-00004A300000}"/>
            </a:ext>
          </a:extLst>
        </xdr:cNvPr>
        <xdr:cNvSpPr>
          <a:spLocks noChangeShapeType="1"/>
        </xdr:cNvSpPr>
      </xdr:nvSpPr>
      <xdr:spPr bwMode="auto">
        <a:xfrm>
          <a:off x="107365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363" name="Line 75">
          <a:extLst>
            <a:ext uri="{FF2B5EF4-FFF2-40B4-BE49-F238E27FC236}">
              <a16:creationId xmlns:a16="http://schemas.microsoft.com/office/drawing/2014/main" id="{00000000-0008-0000-1300-00004B3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364" name="Line 76">
          <a:extLst>
            <a:ext uri="{FF2B5EF4-FFF2-40B4-BE49-F238E27FC236}">
              <a16:creationId xmlns:a16="http://schemas.microsoft.com/office/drawing/2014/main" id="{00000000-0008-0000-1300-00004C3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12365" name="Line 77">
          <a:extLst>
            <a:ext uri="{FF2B5EF4-FFF2-40B4-BE49-F238E27FC236}">
              <a16:creationId xmlns:a16="http://schemas.microsoft.com/office/drawing/2014/main" id="{00000000-0008-0000-1300-00004D300000}"/>
            </a:ext>
          </a:extLst>
        </xdr:cNvPr>
        <xdr:cNvSpPr>
          <a:spLocks noChangeShapeType="1"/>
        </xdr:cNvSpPr>
      </xdr:nvSpPr>
      <xdr:spPr bwMode="auto">
        <a:xfrm>
          <a:off x="70789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12366" name="Line 78">
          <a:extLst>
            <a:ext uri="{FF2B5EF4-FFF2-40B4-BE49-F238E27FC236}">
              <a16:creationId xmlns:a16="http://schemas.microsoft.com/office/drawing/2014/main" id="{00000000-0008-0000-1300-00004E300000}"/>
            </a:ext>
          </a:extLst>
        </xdr:cNvPr>
        <xdr:cNvSpPr>
          <a:spLocks noChangeShapeType="1"/>
        </xdr:cNvSpPr>
      </xdr:nvSpPr>
      <xdr:spPr bwMode="auto">
        <a:xfrm>
          <a:off x="48844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12367" name="Line 79">
          <a:extLst>
            <a:ext uri="{FF2B5EF4-FFF2-40B4-BE49-F238E27FC236}">
              <a16:creationId xmlns:a16="http://schemas.microsoft.com/office/drawing/2014/main" id="{00000000-0008-0000-1300-00004F300000}"/>
            </a:ext>
          </a:extLst>
        </xdr:cNvPr>
        <xdr:cNvSpPr>
          <a:spLocks noChangeShapeType="1"/>
        </xdr:cNvSpPr>
      </xdr:nvSpPr>
      <xdr:spPr bwMode="auto">
        <a:xfrm>
          <a:off x="26898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368" name="Line 80">
          <a:extLst>
            <a:ext uri="{FF2B5EF4-FFF2-40B4-BE49-F238E27FC236}">
              <a16:creationId xmlns:a16="http://schemas.microsoft.com/office/drawing/2014/main" id="{00000000-0008-0000-1300-0000503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369" name="Line 81">
          <a:extLst>
            <a:ext uri="{FF2B5EF4-FFF2-40B4-BE49-F238E27FC236}">
              <a16:creationId xmlns:a16="http://schemas.microsoft.com/office/drawing/2014/main" id="{00000000-0008-0000-1300-0000513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370" name="Line 82">
          <a:extLst>
            <a:ext uri="{FF2B5EF4-FFF2-40B4-BE49-F238E27FC236}">
              <a16:creationId xmlns:a16="http://schemas.microsoft.com/office/drawing/2014/main" id="{00000000-0008-0000-1300-0000523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2371" name="Line 83">
          <a:extLst>
            <a:ext uri="{FF2B5EF4-FFF2-40B4-BE49-F238E27FC236}">
              <a16:creationId xmlns:a16="http://schemas.microsoft.com/office/drawing/2014/main" id="{00000000-0008-0000-1300-0000533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12372" name="Line 84">
          <a:extLst>
            <a:ext uri="{FF2B5EF4-FFF2-40B4-BE49-F238E27FC236}">
              <a16:creationId xmlns:a16="http://schemas.microsoft.com/office/drawing/2014/main" id="{00000000-0008-0000-1300-000054300000}"/>
            </a:ext>
          </a:extLst>
        </xdr:cNvPr>
        <xdr:cNvSpPr>
          <a:spLocks noChangeShapeType="1"/>
        </xdr:cNvSpPr>
      </xdr:nvSpPr>
      <xdr:spPr bwMode="auto">
        <a:xfrm>
          <a:off x="4884420" y="138607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2373" name="Line 85">
          <a:extLst>
            <a:ext uri="{FF2B5EF4-FFF2-40B4-BE49-F238E27FC236}">
              <a16:creationId xmlns:a16="http://schemas.microsoft.com/office/drawing/2014/main" id="{00000000-0008-0000-1300-0000553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2374" name="Line 86">
          <a:extLst>
            <a:ext uri="{FF2B5EF4-FFF2-40B4-BE49-F238E27FC236}">
              <a16:creationId xmlns:a16="http://schemas.microsoft.com/office/drawing/2014/main" id="{00000000-0008-0000-1300-0000563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2375" name="Line 87">
          <a:extLst>
            <a:ext uri="{FF2B5EF4-FFF2-40B4-BE49-F238E27FC236}">
              <a16:creationId xmlns:a16="http://schemas.microsoft.com/office/drawing/2014/main" id="{00000000-0008-0000-1300-0000573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2376" name="Line 88">
          <a:extLst>
            <a:ext uri="{FF2B5EF4-FFF2-40B4-BE49-F238E27FC236}">
              <a16:creationId xmlns:a16="http://schemas.microsoft.com/office/drawing/2014/main" id="{00000000-0008-0000-1300-0000583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12377" name="Line 89">
          <a:extLst>
            <a:ext uri="{FF2B5EF4-FFF2-40B4-BE49-F238E27FC236}">
              <a16:creationId xmlns:a16="http://schemas.microsoft.com/office/drawing/2014/main" id="{00000000-0008-0000-1300-000059300000}"/>
            </a:ext>
          </a:extLst>
        </xdr:cNvPr>
        <xdr:cNvSpPr>
          <a:spLocks noChangeShapeType="1"/>
        </xdr:cNvSpPr>
      </xdr:nvSpPr>
      <xdr:spPr bwMode="auto">
        <a:xfrm>
          <a:off x="48844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12378" name="Line 90">
          <a:extLst>
            <a:ext uri="{FF2B5EF4-FFF2-40B4-BE49-F238E27FC236}">
              <a16:creationId xmlns:a16="http://schemas.microsoft.com/office/drawing/2014/main" id="{00000000-0008-0000-1300-00005A300000}"/>
            </a:ext>
          </a:extLst>
        </xdr:cNvPr>
        <xdr:cNvSpPr>
          <a:spLocks noChangeShapeType="1"/>
        </xdr:cNvSpPr>
      </xdr:nvSpPr>
      <xdr:spPr bwMode="auto">
        <a:xfrm>
          <a:off x="48844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12379" name="Line 91">
          <a:extLst>
            <a:ext uri="{FF2B5EF4-FFF2-40B4-BE49-F238E27FC236}">
              <a16:creationId xmlns:a16="http://schemas.microsoft.com/office/drawing/2014/main" id="{00000000-0008-0000-1300-00005B300000}"/>
            </a:ext>
          </a:extLst>
        </xdr:cNvPr>
        <xdr:cNvSpPr>
          <a:spLocks noChangeShapeType="1"/>
        </xdr:cNvSpPr>
      </xdr:nvSpPr>
      <xdr:spPr bwMode="auto">
        <a:xfrm>
          <a:off x="48844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12380" name="Line 92">
          <a:extLst>
            <a:ext uri="{FF2B5EF4-FFF2-40B4-BE49-F238E27FC236}">
              <a16:creationId xmlns:a16="http://schemas.microsoft.com/office/drawing/2014/main" id="{00000000-0008-0000-1300-00005C300000}"/>
            </a:ext>
          </a:extLst>
        </xdr:cNvPr>
        <xdr:cNvSpPr>
          <a:spLocks noChangeShapeType="1"/>
        </xdr:cNvSpPr>
      </xdr:nvSpPr>
      <xdr:spPr bwMode="auto">
        <a:xfrm>
          <a:off x="48844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12381" name="Line 93">
          <a:extLst>
            <a:ext uri="{FF2B5EF4-FFF2-40B4-BE49-F238E27FC236}">
              <a16:creationId xmlns:a16="http://schemas.microsoft.com/office/drawing/2014/main" id="{00000000-0008-0000-1300-00005D300000}"/>
            </a:ext>
          </a:extLst>
        </xdr:cNvPr>
        <xdr:cNvSpPr>
          <a:spLocks noChangeShapeType="1"/>
        </xdr:cNvSpPr>
      </xdr:nvSpPr>
      <xdr:spPr bwMode="auto">
        <a:xfrm>
          <a:off x="70789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12382" name="Line 94">
          <a:extLst>
            <a:ext uri="{FF2B5EF4-FFF2-40B4-BE49-F238E27FC236}">
              <a16:creationId xmlns:a16="http://schemas.microsoft.com/office/drawing/2014/main" id="{00000000-0008-0000-1300-00005E300000}"/>
            </a:ext>
          </a:extLst>
        </xdr:cNvPr>
        <xdr:cNvSpPr>
          <a:spLocks noChangeShapeType="1"/>
        </xdr:cNvSpPr>
      </xdr:nvSpPr>
      <xdr:spPr bwMode="auto">
        <a:xfrm>
          <a:off x="70789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12383" name="Line 95">
          <a:extLst>
            <a:ext uri="{FF2B5EF4-FFF2-40B4-BE49-F238E27FC236}">
              <a16:creationId xmlns:a16="http://schemas.microsoft.com/office/drawing/2014/main" id="{00000000-0008-0000-1300-00005F300000}"/>
            </a:ext>
          </a:extLst>
        </xdr:cNvPr>
        <xdr:cNvSpPr>
          <a:spLocks noChangeShapeType="1"/>
        </xdr:cNvSpPr>
      </xdr:nvSpPr>
      <xdr:spPr bwMode="auto">
        <a:xfrm>
          <a:off x="70789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12384" name="Line 96">
          <a:extLst>
            <a:ext uri="{FF2B5EF4-FFF2-40B4-BE49-F238E27FC236}">
              <a16:creationId xmlns:a16="http://schemas.microsoft.com/office/drawing/2014/main" id="{00000000-0008-0000-1300-000060300000}"/>
            </a:ext>
          </a:extLst>
        </xdr:cNvPr>
        <xdr:cNvSpPr>
          <a:spLocks noChangeShapeType="1"/>
        </xdr:cNvSpPr>
      </xdr:nvSpPr>
      <xdr:spPr bwMode="auto">
        <a:xfrm>
          <a:off x="70789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12385" name="Line 97">
          <a:extLst>
            <a:ext uri="{FF2B5EF4-FFF2-40B4-BE49-F238E27FC236}">
              <a16:creationId xmlns:a16="http://schemas.microsoft.com/office/drawing/2014/main" id="{00000000-0008-0000-1300-000061300000}"/>
            </a:ext>
          </a:extLst>
        </xdr:cNvPr>
        <xdr:cNvSpPr>
          <a:spLocks noChangeShapeType="1"/>
        </xdr:cNvSpPr>
      </xdr:nvSpPr>
      <xdr:spPr bwMode="auto">
        <a:xfrm>
          <a:off x="70789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12386" name="Line 98">
          <a:extLst>
            <a:ext uri="{FF2B5EF4-FFF2-40B4-BE49-F238E27FC236}">
              <a16:creationId xmlns:a16="http://schemas.microsoft.com/office/drawing/2014/main" id="{00000000-0008-0000-1300-000062300000}"/>
            </a:ext>
          </a:extLst>
        </xdr:cNvPr>
        <xdr:cNvSpPr>
          <a:spLocks noChangeShapeType="1"/>
        </xdr:cNvSpPr>
      </xdr:nvSpPr>
      <xdr:spPr bwMode="auto">
        <a:xfrm>
          <a:off x="70789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2387" name="Line 99">
          <a:extLst>
            <a:ext uri="{FF2B5EF4-FFF2-40B4-BE49-F238E27FC236}">
              <a16:creationId xmlns:a16="http://schemas.microsoft.com/office/drawing/2014/main" id="{00000000-0008-0000-1300-000063300000}"/>
            </a:ext>
          </a:extLst>
        </xdr:cNvPr>
        <xdr:cNvSpPr>
          <a:spLocks noChangeShapeType="1"/>
        </xdr:cNvSpPr>
      </xdr:nvSpPr>
      <xdr:spPr bwMode="auto">
        <a:xfrm>
          <a:off x="70789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2388" name="Line 100">
          <a:extLst>
            <a:ext uri="{FF2B5EF4-FFF2-40B4-BE49-F238E27FC236}">
              <a16:creationId xmlns:a16="http://schemas.microsoft.com/office/drawing/2014/main" id="{00000000-0008-0000-1300-000064300000}"/>
            </a:ext>
          </a:extLst>
        </xdr:cNvPr>
        <xdr:cNvSpPr>
          <a:spLocks noChangeShapeType="1"/>
        </xdr:cNvSpPr>
      </xdr:nvSpPr>
      <xdr:spPr bwMode="auto">
        <a:xfrm>
          <a:off x="70789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2389" name="Line 101">
          <a:extLst>
            <a:ext uri="{FF2B5EF4-FFF2-40B4-BE49-F238E27FC236}">
              <a16:creationId xmlns:a16="http://schemas.microsoft.com/office/drawing/2014/main" id="{00000000-0008-0000-1300-000065300000}"/>
            </a:ext>
          </a:extLst>
        </xdr:cNvPr>
        <xdr:cNvSpPr>
          <a:spLocks noChangeShapeType="1"/>
        </xdr:cNvSpPr>
      </xdr:nvSpPr>
      <xdr:spPr bwMode="auto">
        <a:xfrm>
          <a:off x="70789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2390" name="Line 103">
          <a:extLst>
            <a:ext uri="{FF2B5EF4-FFF2-40B4-BE49-F238E27FC236}">
              <a16:creationId xmlns:a16="http://schemas.microsoft.com/office/drawing/2014/main" id="{00000000-0008-0000-1300-0000663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2391" name="Line 107">
          <a:extLst>
            <a:ext uri="{FF2B5EF4-FFF2-40B4-BE49-F238E27FC236}">
              <a16:creationId xmlns:a16="http://schemas.microsoft.com/office/drawing/2014/main" id="{00000000-0008-0000-1300-0000673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2392" name="Line 108">
          <a:extLst>
            <a:ext uri="{FF2B5EF4-FFF2-40B4-BE49-F238E27FC236}">
              <a16:creationId xmlns:a16="http://schemas.microsoft.com/office/drawing/2014/main" id="{00000000-0008-0000-1300-0000683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2393" name="Line 109">
          <a:extLst>
            <a:ext uri="{FF2B5EF4-FFF2-40B4-BE49-F238E27FC236}">
              <a16:creationId xmlns:a16="http://schemas.microsoft.com/office/drawing/2014/main" id="{00000000-0008-0000-1300-0000693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2394" name="Line 110">
          <a:extLst>
            <a:ext uri="{FF2B5EF4-FFF2-40B4-BE49-F238E27FC236}">
              <a16:creationId xmlns:a16="http://schemas.microsoft.com/office/drawing/2014/main" id="{00000000-0008-0000-1300-00006A3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2395" name="Line 111">
          <a:extLst>
            <a:ext uri="{FF2B5EF4-FFF2-40B4-BE49-F238E27FC236}">
              <a16:creationId xmlns:a16="http://schemas.microsoft.com/office/drawing/2014/main" id="{00000000-0008-0000-1300-00006B3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2396" name="Line 112">
          <a:extLst>
            <a:ext uri="{FF2B5EF4-FFF2-40B4-BE49-F238E27FC236}">
              <a16:creationId xmlns:a16="http://schemas.microsoft.com/office/drawing/2014/main" id="{00000000-0008-0000-1300-00006C30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2397" name="Line 113">
          <a:extLst>
            <a:ext uri="{FF2B5EF4-FFF2-40B4-BE49-F238E27FC236}">
              <a16:creationId xmlns:a16="http://schemas.microsoft.com/office/drawing/2014/main" id="{00000000-0008-0000-1300-00006D3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2398" name="Line 114">
          <a:extLst>
            <a:ext uri="{FF2B5EF4-FFF2-40B4-BE49-F238E27FC236}">
              <a16:creationId xmlns:a16="http://schemas.microsoft.com/office/drawing/2014/main" id="{00000000-0008-0000-1300-00006E3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2399" name="Line 115">
          <a:extLst>
            <a:ext uri="{FF2B5EF4-FFF2-40B4-BE49-F238E27FC236}">
              <a16:creationId xmlns:a16="http://schemas.microsoft.com/office/drawing/2014/main" id="{00000000-0008-0000-1300-00006F30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2400" name="Line 116">
          <a:extLst>
            <a:ext uri="{FF2B5EF4-FFF2-40B4-BE49-F238E27FC236}">
              <a16:creationId xmlns:a16="http://schemas.microsoft.com/office/drawing/2014/main" id="{00000000-0008-0000-1300-0000703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2401" name="Line 75">
          <a:extLst>
            <a:ext uri="{FF2B5EF4-FFF2-40B4-BE49-F238E27FC236}">
              <a16:creationId xmlns:a16="http://schemas.microsoft.com/office/drawing/2014/main" id="{00000000-0008-0000-1300-0000713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402" name="Line 87">
          <a:extLst>
            <a:ext uri="{FF2B5EF4-FFF2-40B4-BE49-F238E27FC236}">
              <a16:creationId xmlns:a16="http://schemas.microsoft.com/office/drawing/2014/main" id="{00000000-0008-0000-1300-0000723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403" name="Line 75">
          <a:extLst>
            <a:ext uri="{FF2B5EF4-FFF2-40B4-BE49-F238E27FC236}">
              <a16:creationId xmlns:a16="http://schemas.microsoft.com/office/drawing/2014/main" id="{00000000-0008-0000-1300-0000733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404" name="Line 79">
          <a:extLst>
            <a:ext uri="{FF2B5EF4-FFF2-40B4-BE49-F238E27FC236}">
              <a16:creationId xmlns:a16="http://schemas.microsoft.com/office/drawing/2014/main" id="{00000000-0008-0000-1300-0000743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405" name="Line 87">
          <a:extLst>
            <a:ext uri="{FF2B5EF4-FFF2-40B4-BE49-F238E27FC236}">
              <a16:creationId xmlns:a16="http://schemas.microsoft.com/office/drawing/2014/main" id="{00000000-0008-0000-1300-0000753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2406" name="Line 75">
          <a:extLst>
            <a:ext uri="{FF2B5EF4-FFF2-40B4-BE49-F238E27FC236}">
              <a16:creationId xmlns:a16="http://schemas.microsoft.com/office/drawing/2014/main" id="{00000000-0008-0000-1300-0000763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407" name="Line 87">
          <a:extLst>
            <a:ext uri="{FF2B5EF4-FFF2-40B4-BE49-F238E27FC236}">
              <a16:creationId xmlns:a16="http://schemas.microsoft.com/office/drawing/2014/main" id="{00000000-0008-0000-1300-0000773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408" name="Line 75">
          <a:extLst>
            <a:ext uri="{FF2B5EF4-FFF2-40B4-BE49-F238E27FC236}">
              <a16:creationId xmlns:a16="http://schemas.microsoft.com/office/drawing/2014/main" id="{00000000-0008-0000-1300-0000783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409" name="Line 79">
          <a:extLst>
            <a:ext uri="{FF2B5EF4-FFF2-40B4-BE49-F238E27FC236}">
              <a16:creationId xmlns:a16="http://schemas.microsoft.com/office/drawing/2014/main" id="{00000000-0008-0000-1300-0000793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410" name="Line 87">
          <a:extLst>
            <a:ext uri="{FF2B5EF4-FFF2-40B4-BE49-F238E27FC236}">
              <a16:creationId xmlns:a16="http://schemas.microsoft.com/office/drawing/2014/main" id="{00000000-0008-0000-1300-00007A3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14337" name="Line 1">
          <a:extLst>
            <a:ext uri="{FF2B5EF4-FFF2-40B4-BE49-F238E27FC236}">
              <a16:creationId xmlns:a16="http://schemas.microsoft.com/office/drawing/2014/main" id="{00000000-0008-0000-1500-000001380000}"/>
            </a:ext>
          </a:extLst>
        </xdr:cNvPr>
        <xdr:cNvSpPr>
          <a:spLocks noChangeShapeType="1"/>
        </xdr:cNvSpPr>
      </xdr:nvSpPr>
      <xdr:spPr bwMode="auto">
        <a:xfrm>
          <a:off x="48844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14338" name="Line 2">
          <a:extLst>
            <a:ext uri="{FF2B5EF4-FFF2-40B4-BE49-F238E27FC236}">
              <a16:creationId xmlns:a16="http://schemas.microsoft.com/office/drawing/2014/main" id="{00000000-0008-0000-1500-000002380000}"/>
            </a:ext>
          </a:extLst>
        </xdr:cNvPr>
        <xdr:cNvSpPr>
          <a:spLocks noChangeShapeType="1"/>
        </xdr:cNvSpPr>
      </xdr:nvSpPr>
      <xdr:spPr bwMode="auto">
        <a:xfrm>
          <a:off x="48844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14339" name="Line 3">
          <a:extLst>
            <a:ext uri="{FF2B5EF4-FFF2-40B4-BE49-F238E27FC236}">
              <a16:creationId xmlns:a16="http://schemas.microsoft.com/office/drawing/2014/main" id="{00000000-0008-0000-1500-000003380000}"/>
            </a:ext>
          </a:extLst>
        </xdr:cNvPr>
        <xdr:cNvSpPr>
          <a:spLocks noChangeShapeType="1"/>
        </xdr:cNvSpPr>
      </xdr:nvSpPr>
      <xdr:spPr bwMode="auto">
        <a:xfrm>
          <a:off x="48844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14340" name="Line 4">
          <a:extLst>
            <a:ext uri="{FF2B5EF4-FFF2-40B4-BE49-F238E27FC236}">
              <a16:creationId xmlns:a16="http://schemas.microsoft.com/office/drawing/2014/main" id="{00000000-0008-0000-1500-000004380000}"/>
            </a:ext>
          </a:extLst>
        </xdr:cNvPr>
        <xdr:cNvSpPr>
          <a:spLocks noChangeShapeType="1"/>
        </xdr:cNvSpPr>
      </xdr:nvSpPr>
      <xdr:spPr bwMode="auto">
        <a:xfrm>
          <a:off x="707898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14341" name="Line 5">
          <a:extLst>
            <a:ext uri="{FF2B5EF4-FFF2-40B4-BE49-F238E27FC236}">
              <a16:creationId xmlns:a16="http://schemas.microsoft.com/office/drawing/2014/main" id="{00000000-0008-0000-1500-000005380000}"/>
            </a:ext>
          </a:extLst>
        </xdr:cNvPr>
        <xdr:cNvSpPr>
          <a:spLocks noChangeShapeType="1"/>
        </xdr:cNvSpPr>
      </xdr:nvSpPr>
      <xdr:spPr bwMode="auto">
        <a:xfrm>
          <a:off x="1073658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14342" name="Line 6">
          <a:extLst>
            <a:ext uri="{FF2B5EF4-FFF2-40B4-BE49-F238E27FC236}">
              <a16:creationId xmlns:a16="http://schemas.microsoft.com/office/drawing/2014/main" id="{00000000-0008-0000-1500-000006380000}"/>
            </a:ext>
          </a:extLst>
        </xdr:cNvPr>
        <xdr:cNvSpPr>
          <a:spLocks noChangeShapeType="1"/>
        </xdr:cNvSpPr>
      </xdr:nvSpPr>
      <xdr:spPr bwMode="auto">
        <a:xfrm>
          <a:off x="1073658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14343" name="Line 7">
          <a:extLst>
            <a:ext uri="{FF2B5EF4-FFF2-40B4-BE49-F238E27FC236}">
              <a16:creationId xmlns:a16="http://schemas.microsoft.com/office/drawing/2014/main" id="{00000000-0008-0000-1500-000007380000}"/>
            </a:ext>
          </a:extLst>
        </xdr:cNvPr>
        <xdr:cNvSpPr>
          <a:spLocks noChangeShapeType="1"/>
        </xdr:cNvSpPr>
      </xdr:nvSpPr>
      <xdr:spPr bwMode="auto">
        <a:xfrm>
          <a:off x="48844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14344" name="Line 8">
          <a:extLst>
            <a:ext uri="{FF2B5EF4-FFF2-40B4-BE49-F238E27FC236}">
              <a16:creationId xmlns:a16="http://schemas.microsoft.com/office/drawing/2014/main" id="{00000000-0008-0000-1500-000008380000}"/>
            </a:ext>
          </a:extLst>
        </xdr:cNvPr>
        <xdr:cNvSpPr>
          <a:spLocks noChangeShapeType="1"/>
        </xdr:cNvSpPr>
      </xdr:nvSpPr>
      <xdr:spPr bwMode="auto">
        <a:xfrm>
          <a:off x="48844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4345" name="Line 9">
          <a:extLst>
            <a:ext uri="{FF2B5EF4-FFF2-40B4-BE49-F238E27FC236}">
              <a16:creationId xmlns:a16="http://schemas.microsoft.com/office/drawing/2014/main" id="{00000000-0008-0000-1500-000009380000}"/>
            </a:ext>
          </a:extLst>
        </xdr:cNvPr>
        <xdr:cNvSpPr>
          <a:spLocks noChangeShapeType="1"/>
        </xdr:cNvSpPr>
      </xdr:nvSpPr>
      <xdr:spPr bwMode="auto">
        <a:xfrm>
          <a:off x="48844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4346" name="Line 10">
          <a:extLst>
            <a:ext uri="{FF2B5EF4-FFF2-40B4-BE49-F238E27FC236}">
              <a16:creationId xmlns:a16="http://schemas.microsoft.com/office/drawing/2014/main" id="{00000000-0008-0000-1500-00000A380000}"/>
            </a:ext>
          </a:extLst>
        </xdr:cNvPr>
        <xdr:cNvSpPr>
          <a:spLocks noChangeShapeType="1"/>
        </xdr:cNvSpPr>
      </xdr:nvSpPr>
      <xdr:spPr bwMode="auto">
        <a:xfrm>
          <a:off x="70789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4347" name="Line 11">
          <a:extLst>
            <a:ext uri="{FF2B5EF4-FFF2-40B4-BE49-F238E27FC236}">
              <a16:creationId xmlns:a16="http://schemas.microsoft.com/office/drawing/2014/main" id="{00000000-0008-0000-1500-00000B380000}"/>
            </a:ext>
          </a:extLst>
        </xdr:cNvPr>
        <xdr:cNvSpPr>
          <a:spLocks noChangeShapeType="1"/>
        </xdr:cNvSpPr>
      </xdr:nvSpPr>
      <xdr:spPr bwMode="auto">
        <a:xfrm>
          <a:off x="70789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4348" name="Line 12">
          <a:extLst>
            <a:ext uri="{FF2B5EF4-FFF2-40B4-BE49-F238E27FC236}">
              <a16:creationId xmlns:a16="http://schemas.microsoft.com/office/drawing/2014/main" id="{00000000-0008-0000-1500-00000C380000}"/>
            </a:ext>
          </a:extLst>
        </xdr:cNvPr>
        <xdr:cNvSpPr>
          <a:spLocks noChangeShapeType="1"/>
        </xdr:cNvSpPr>
      </xdr:nvSpPr>
      <xdr:spPr bwMode="auto">
        <a:xfrm>
          <a:off x="70789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349" name="Line 13">
          <a:extLst>
            <a:ext uri="{FF2B5EF4-FFF2-40B4-BE49-F238E27FC236}">
              <a16:creationId xmlns:a16="http://schemas.microsoft.com/office/drawing/2014/main" id="{00000000-0008-0000-1500-00000D380000}"/>
            </a:ext>
          </a:extLst>
        </xdr:cNvPr>
        <xdr:cNvSpPr>
          <a:spLocks noChangeShapeType="1"/>
        </xdr:cNvSpPr>
      </xdr:nvSpPr>
      <xdr:spPr bwMode="auto">
        <a:xfrm>
          <a:off x="1073658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4350" name="Line 14">
          <a:extLst>
            <a:ext uri="{FF2B5EF4-FFF2-40B4-BE49-F238E27FC236}">
              <a16:creationId xmlns:a16="http://schemas.microsoft.com/office/drawing/2014/main" id="{00000000-0008-0000-1500-00000E380000}"/>
            </a:ext>
          </a:extLst>
        </xdr:cNvPr>
        <xdr:cNvSpPr>
          <a:spLocks noChangeShapeType="1"/>
        </xdr:cNvSpPr>
      </xdr:nvSpPr>
      <xdr:spPr bwMode="auto">
        <a:xfrm>
          <a:off x="1073658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4351" name="Line 15">
          <a:extLst>
            <a:ext uri="{FF2B5EF4-FFF2-40B4-BE49-F238E27FC236}">
              <a16:creationId xmlns:a16="http://schemas.microsoft.com/office/drawing/2014/main" id="{00000000-0008-0000-1500-00000F380000}"/>
            </a:ext>
          </a:extLst>
        </xdr:cNvPr>
        <xdr:cNvSpPr>
          <a:spLocks noChangeShapeType="1"/>
        </xdr:cNvSpPr>
      </xdr:nvSpPr>
      <xdr:spPr bwMode="auto">
        <a:xfrm>
          <a:off x="1073658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4352" name="Line 16">
          <a:extLst>
            <a:ext uri="{FF2B5EF4-FFF2-40B4-BE49-F238E27FC236}">
              <a16:creationId xmlns:a16="http://schemas.microsoft.com/office/drawing/2014/main" id="{00000000-0008-0000-1500-000010380000}"/>
            </a:ext>
          </a:extLst>
        </xdr:cNvPr>
        <xdr:cNvSpPr>
          <a:spLocks noChangeShapeType="1"/>
        </xdr:cNvSpPr>
      </xdr:nvSpPr>
      <xdr:spPr bwMode="auto">
        <a:xfrm>
          <a:off x="1073658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4353" name="Line 17">
          <a:extLst>
            <a:ext uri="{FF2B5EF4-FFF2-40B4-BE49-F238E27FC236}">
              <a16:creationId xmlns:a16="http://schemas.microsoft.com/office/drawing/2014/main" id="{00000000-0008-0000-1500-000011380000}"/>
            </a:ext>
          </a:extLst>
        </xdr:cNvPr>
        <xdr:cNvSpPr>
          <a:spLocks noChangeShapeType="1"/>
        </xdr:cNvSpPr>
      </xdr:nvSpPr>
      <xdr:spPr bwMode="auto">
        <a:xfrm>
          <a:off x="26898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4354" name="Line 18">
          <a:extLst>
            <a:ext uri="{FF2B5EF4-FFF2-40B4-BE49-F238E27FC236}">
              <a16:creationId xmlns:a16="http://schemas.microsoft.com/office/drawing/2014/main" id="{00000000-0008-0000-1500-000012380000}"/>
            </a:ext>
          </a:extLst>
        </xdr:cNvPr>
        <xdr:cNvSpPr>
          <a:spLocks noChangeShapeType="1"/>
        </xdr:cNvSpPr>
      </xdr:nvSpPr>
      <xdr:spPr bwMode="auto">
        <a:xfrm>
          <a:off x="26898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14355" name="Line 19">
          <a:extLst>
            <a:ext uri="{FF2B5EF4-FFF2-40B4-BE49-F238E27FC236}">
              <a16:creationId xmlns:a16="http://schemas.microsoft.com/office/drawing/2014/main" id="{00000000-0008-0000-1500-000013380000}"/>
            </a:ext>
          </a:extLst>
        </xdr:cNvPr>
        <xdr:cNvSpPr>
          <a:spLocks noChangeShapeType="1"/>
        </xdr:cNvSpPr>
      </xdr:nvSpPr>
      <xdr:spPr bwMode="auto">
        <a:xfrm>
          <a:off x="26898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14356" name="Line 20">
          <a:extLst>
            <a:ext uri="{FF2B5EF4-FFF2-40B4-BE49-F238E27FC236}">
              <a16:creationId xmlns:a16="http://schemas.microsoft.com/office/drawing/2014/main" id="{00000000-0008-0000-1500-000014380000}"/>
            </a:ext>
          </a:extLst>
        </xdr:cNvPr>
        <xdr:cNvSpPr>
          <a:spLocks noChangeShapeType="1"/>
        </xdr:cNvSpPr>
      </xdr:nvSpPr>
      <xdr:spPr bwMode="auto">
        <a:xfrm>
          <a:off x="26898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14357" name="Line 21">
          <a:extLst>
            <a:ext uri="{FF2B5EF4-FFF2-40B4-BE49-F238E27FC236}">
              <a16:creationId xmlns:a16="http://schemas.microsoft.com/office/drawing/2014/main" id="{00000000-0008-0000-1500-000015380000}"/>
            </a:ext>
          </a:extLst>
        </xdr:cNvPr>
        <xdr:cNvSpPr>
          <a:spLocks noChangeShapeType="1"/>
        </xdr:cNvSpPr>
      </xdr:nvSpPr>
      <xdr:spPr bwMode="auto">
        <a:xfrm>
          <a:off x="26898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14358" name="Line 22">
          <a:extLst>
            <a:ext uri="{FF2B5EF4-FFF2-40B4-BE49-F238E27FC236}">
              <a16:creationId xmlns:a16="http://schemas.microsoft.com/office/drawing/2014/main" id="{00000000-0008-0000-1500-000016380000}"/>
            </a:ext>
          </a:extLst>
        </xdr:cNvPr>
        <xdr:cNvSpPr>
          <a:spLocks noChangeShapeType="1"/>
        </xdr:cNvSpPr>
      </xdr:nvSpPr>
      <xdr:spPr bwMode="auto">
        <a:xfrm>
          <a:off x="26898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4359" name="Line 23">
          <a:extLst>
            <a:ext uri="{FF2B5EF4-FFF2-40B4-BE49-F238E27FC236}">
              <a16:creationId xmlns:a16="http://schemas.microsoft.com/office/drawing/2014/main" id="{00000000-0008-0000-1500-0000173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4360" name="Line 24">
          <a:extLst>
            <a:ext uri="{FF2B5EF4-FFF2-40B4-BE49-F238E27FC236}">
              <a16:creationId xmlns:a16="http://schemas.microsoft.com/office/drawing/2014/main" id="{00000000-0008-0000-1500-0000183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14361" name="Line 25">
          <a:extLst>
            <a:ext uri="{FF2B5EF4-FFF2-40B4-BE49-F238E27FC236}">
              <a16:creationId xmlns:a16="http://schemas.microsoft.com/office/drawing/2014/main" id="{00000000-0008-0000-1500-000019380000}"/>
            </a:ext>
          </a:extLst>
        </xdr:cNvPr>
        <xdr:cNvSpPr>
          <a:spLocks noChangeShapeType="1"/>
        </xdr:cNvSpPr>
      </xdr:nvSpPr>
      <xdr:spPr bwMode="auto">
        <a:xfrm>
          <a:off x="707898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14362" name="Line 26">
          <a:extLst>
            <a:ext uri="{FF2B5EF4-FFF2-40B4-BE49-F238E27FC236}">
              <a16:creationId xmlns:a16="http://schemas.microsoft.com/office/drawing/2014/main" id="{00000000-0008-0000-1500-00001A380000}"/>
            </a:ext>
          </a:extLst>
        </xdr:cNvPr>
        <xdr:cNvSpPr>
          <a:spLocks noChangeShapeType="1"/>
        </xdr:cNvSpPr>
      </xdr:nvSpPr>
      <xdr:spPr bwMode="auto">
        <a:xfrm>
          <a:off x="1073658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14363" name="Line 27">
          <a:extLst>
            <a:ext uri="{FF2B5EF4-FFF2-40B4-BE49-F238E27FC236}">
              <a16:creationId xmlns:a16="http://schemas.microsoft.com/office/drawing/2014/main" id="{00000000-0008-0000-1500-00001B380000}"/>
            </a:ext>
          </a:extLst>
        </xdr:cNvPr>
        <xdr:cNvSpPr>
          <a:spLocks noChangeShapeType="1"/>
        </xdr:cNvSpPr>
      </xdr:nvSpPr>
      <xdr:spPr bwMode="auto">
        <a:xfrm>
          <a:off x="48844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14364" name="Line 28">
          <a:extLst>
            <a:ext uri="{FF2B5EF4-FFF2-40B4-BE49-F238E27FC236}">
              <a16:creationId xmlns:a16="http://schemas.microsoft.com/office/drawing/2014/main" id="{00000000-0008-0000-1500-00001C380000}"/>
            </a:ext>
          </a:extLst>
        </xdr:cNvPr>
        <xdr:cNvSpPr>
          <a:spLocks noChangeShapeType="1"/>
        </xdr:cNvSpPr>
      </xdr:nvSpPr>
      <xdr:spPr bwMode="auto">
        <a:xfrm>
          <a:off x="48844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14365" name="Line 29">
          <a:extLst>
            <a:ext uri="{FF2B5EF4-FFF2-40B4-BE49-F238E27FC236}">
              <a16:creationId xmlns:a16="http://schemas.microsoft.com/office/drawing/2014/main" id="{00000000-0008-0000-1500-00001D380000}"/>
            </a:ext>
          </a:extLst>
        </xdr:cNvPr>
        <xdr:cNvSpPr>
          <a:spLocks noChangeShapeType="1"/>
        </xdr:cNvSpPr>
      </xdr:nvSpPr>
      <xdr:spPr bwMode="auto">
        <a:xfrm>
          <a:off x="70789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14366" name="Line 30">
          <a:extLst>
            <a:ext uri="{FF2B5EF4-FFF2-40B4-BE49-F238E27FC236}">
              <a16:creationId xmlns:a16="http://schemas.microsoft.com/office/drawing/2014/main" id="{00000000-0008-0000-1500-00001E380000}"/>
            </a:ext>
          </a:extLst>
        </xdr:cNvPr>
        <xdr:cNvSpPr>
          <a:spLocks noChangeShapeType="1"/>
        </xdr:cNvSpPr>
      </xdr:nvSpPr>
      <xdr:spPr bwMode="auto">
        <a:xfrm>
          <a:off x="70789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14367" name="Line 31">
          <a:extLst>
            <a:ext uri="{FF2B5EF4-FFF2-40B4-BE49-F238E27FC236}">
              <a16:creationId xmlns:a16="http://schemas.microsoft.com/office/drawing/2014/main" id="{00000000-0008-0000-1500-00001F380000}"/>
            </a:ext>
          </a:extLst>
        </xdr:cNvPr>
        <xdr:cNvSpPr>
          <a:spLocks noChangeShapeType="1"/>
        </xdr:cNvSpPr>
      </xdr:nvSpPr>
      <xdr:spPr bwMode="auto">
        <a:xfrm>
          <a:off x="1073658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14368" name="Line 32">
          <a:extLst>
            <a:ext uri="{FF2B5EF4-FFF2-40B4-BE49-F238E27FC236}">
              <a16:creationId xmlns:a16="http://schemas.microsoft.com/office/drawing/2014/main" id="{00000000-0008-0000-1500-000020380000}"/>
            </a:ext>
          </a:extLst>
        </xdr:cNvPr>
        <xdr:cNvSpPr>
          <a:spLocks noChangeShapeType="1"/>
        </xdr:cNvSpPr>
      </xdr:nvSpPr>
      <xdr:spPr bwMode="auto">
        <a:xfrm>
          <a:off x="1073658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14369" name="Line 33">
          <a:extLst>
            <a:ext uri="{FF2B5EF4-FFF2-40B4-BE49-F238E27FC236}">
              <a16:creationId xmlns:a16="http://schemas.microsoft.com/office/drawing/2014/main" id="{00000000-0008-0000-1500-000021380000}"/>
            </a:ext>
          </a:extLst>
        </xdr:cNvPr>
        <xdr:cNvSpPr>
          <a:spLocks noChangeShapeType="1"/>
        </xdr:cNvSpPr>
      </xdr:nvSpPr>
      <xdr:spPr bwMode="auto">
        <a:xfrm>
          <a:off x="26898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4370" name="Line 34">
          <a:extLst>
            <a:ext uri="{FF2B5EF4-FFF2-40B4-BE49-F238E27FC236}">
              <a16:creationId xmlns:a16="http://schemas.microsoft.com/office/drawing/2014/main" id="{00000000-0008-0000-1500-0000223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14371" name="Line 35">
          <a:extLst>
            <a:ext uri="{FF2B5EF4-FFF2-40B4-BE49-F238E27FC236}">
              <a16:creationId xmlns:a16="http://schemas.microsoft.com/office/drawing/2014/main" id="{00000000-0008-0000-1500-00002338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14372" name="Line 36">
          <a:extLst>
            <a:ext uri="{FF2B5EF4-FFF2-40B4-BE49-F238E27FC236}">
              <a16:creationId xmlns:a16="http://schemas.microsoft.com/office/drawing/2014/main" id="{00000000-0008-0000-1500-000024380000}"/>
            </a:ext>
          </a:extLst>
        </xdr:cNvPr>
        <xdr:cNvSpPr>
          <a:spLocks noChangeShapeType="1"/>
        </xdr:cNvSpPr>
      </xdr:nvSpPr>
      <xdr:spPr bwMode="auto">
        <a:xfrm>
          <a:off x="26898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14373" name="Line 37">
          <a:extLst>
            <a:ext uri="{FF2B5EF4-FFF2-40B4-BE49-F238E27FC236}">
              <a16:creationId xmlns:a16="http://schemas.microsoft.com/office/drawing/2014/main" id="{00000000-0008-0000-1500-000025380000}"/>
            </a:ext>
          </a:extLst>
        </xdr:cNvPr>
        <xdr:cNvSpPr>
          <a:spLocks noChangeShapeType="1"/>
        </xdr:cNvSpPr>
      </xdr:nvSpPr>
      <xdr:spPr bwMode="auto">
        <a:xfrm>
          <a:off x="26898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14374" name="Line 38">
          <a:extLst>
            <a:ext uri="{FF2B5EF4-FFF2-40B4-BE49-F238E27FC236}">
              <a16:creationId xmlns:a16="http://schemas.microsoft.com/office/drawing/2014/main" id="{00000000-0008-0000-1500-000026380000}"/>
            </a:ext>
          </a:extLst>
        </xdr:cNvPr>
        <xdr:cNvSpPr>
          <a:spLocks noChangeShapeType="1"/>
        </xdr:cNvSpPr>
      </xdr:nvSpPr>
      <xdr:spPr bwMode="auto">
        <a:xfrm>
          <a:off x="26898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14375" name="Line 39">
          <a:extLst>
            <a:ext uri="{FF2B5EF4-FFF2-40B4-BE49-F238E27FC236}">
              <a16:creationId xmlns:a16="http://schemas.microsoft.com/office/drawing/2014/main" id="{00000000-0008-0000-1500-000027380000}"/>
            </a:ext>
          </a:extLst>
        </xdr:cNvPr>
        <xdr:cNvSpPr>
          <a:spLocks noChangeShapeType="1"/>
        </xdr:cNvSpPr>
      </xdr:nvSpPr>
      <xdr:spPr bwMode="auto">
        <a:xfrm>
          <a:off x="48844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14376" name="Line 40">
          <a:extLst>
            <a:ext uri="{FF2B5EF4-FFF2-40B4-BE49-F238E27FC236}">
              <a16:creationId xmlns:a16="http://schemas.microsoft.com/office/drawing/2014/main" id="{00000000-0008-0000-1500-000028380000}"/>
            </a:ext>
          </a:extLst>
        </xdr:cNvPr>
        <xdr:cNvSpPr>
          <a:spLocks noChangeShapeType="1"/>
        </xdr:cNvSpPr>
      </xdr:nvSpPr>
      <xdr:spPr bwMode="auto">
        <a:xfrm>
          <a:off x="1073658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4377" name="Line 41">
          <a:extLst>
            <a:ext uri="{FF2B5EF4-FFF2-40B4-BE49-F238E27FC236}">
              <a16:creationId xmlns:a16="http://schemas.microsoft.com/office/drawing/2014/main" id="{00000000-0008-0000-1500-0000293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4378" name="Line 42">
          <a:extLst>
            <a:ext uri="{FF2B5EF4-FFF2-40B4-BE49-F238E27FC236}">
              <a16:creationId xmlns:a16="http://schemas.microsoft.com/office/drawing/2014/main" id="{00000000-0008-0000-1500-00002A3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14379" name="Line 43">
          <a:extLst>
            <a:ext uri="{FF2B5EF4-FFF2-40B4-BE49-F238E27FC236}">
              <a16:creationId xmlns:a16="http://schemas.microsoft.com/office/drawing/2014/main" id="{00000000-0008-0000-1500-00002B380000}"/>
            </a:ext>
          </a:extLst>
        </xdr:cNvPr>
        <xdr:cNvSpPr>
          <a:spLocks noChangeShapeType="1"/>
        </xdr:cNvSpPr>
      </xdr:nvSpPr>
      <xdr:spPr bwMode="auto">
        <a:xfrm>
          <a:off x="707898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14380" name="Line 44">
          <a:extLst>
            <a:ext uri="{FF2B5EF4-FFF2-40B4-BE49-F238E27FC236}">
              <a16:creationId xmlns:a16="http://schemas.microsoft.com/office/drawing/2014/main" id="{00000000-0008-0000-1500-00002C380000}"/>
            </a:ext>
          </a:extLst>
        </xdr:cNvPr>
        <xdr:cNvSpPr>
          <a:spLocks noChangeShapeType="1"/>
        </xdr:cNvSpPr>
      </xdr:nvSpPr>
      <xdr:spPr bwMode="auto">
        <a:xfrm>
          <a:off x="1073658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14381" name="Line 45">
          <a:extLst>
            <a:ext uri="{FF2B5EF4-FFF2-40B4-BE49-F238E27FC236}">
              <a16:creationId xmlns:a16="http://schemas.microsoft.com/office/drawing/2014/main" id="{00000000-0008-0000-1500-00002D380000}"/>
            </a:ext>
          </a:extLst>
        </xdr:cNvPr>
        <xdr:cNvSpPr>
          <a:spLocks noChangeShapeType="1"/>
        </xdr:cNvSpPr>
      </xdr:nvSpPr>
      <xdr:spPr bwMode="auto">
        <a:xfrm>
          <a:off x="48844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14382" name="Line 46">
          <a:extLst>
            <a:ext uri="{FF2B5EF4-FFF2-40B4-BE49-F238E27FC236}">
              <a16:creationId xmlns:a16="http://schemas.microsoft.com/office/drawing/2014/main" id="{00000000-0008-0000-1500-00002E380000}"/>
            </a:ext>
          </a:extLst>
        </xdr:cNvPr>
        <xdr:cNvSpPr>
          <a:spLocks noChangeShapeType="1"/>
        </xdr:cNvSpPr>
      </xdr:nvSpPr>
      <xdr:spPr bwMode="auto">
        <a:xfrm>
          <a:off x="70789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14383" name="Line 47">
          <a:extLst>
            <a:ext uri="{FF2B5EF4-FFF2-40B4-BE49-F238E27FC236}">
              <a16:creationId xmlns:a16="http://schemas.microsoft.com/office/drawing/2014/main" id="{00000000-0008-0000-1500-00002F380000}"/>
            </a:ext>
          </a:extLst>
        </xdr:cNvPr>
        <xdr:cNvSpPr>
          <a:spLocks noChangeShapeType="1"/>
        </xdr:cNvSpPr>
      </xdr:nvSpPr>
      <xdr:spPr bwMode="auto">
        <a:xfrm>
          <a:off x="1073658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14384" name="Line 48">
          <a:extLst>
            <a:ext uri="{FF2B5EF4-FFF2-40B4-BE49-F238E27FC236}">
              <a16:creationId xmlns:a16="http://schemas.microsoft.com/office/drawing/2014/main" id="{00000000-0008-0000-1500-000030380000}"/>
            </a:ext>
          </a:extLst>
        </xdr:cNvPr>
        <xdr:cNvSpPr>
          <a:spLocks noChangeShapeType="1"/>
        </xdr:cNvSpPr>
      </xdr:nvSpPr>
      <xdr:spPr bwMode="auto">
        <a:xfrm>
          <a:off x="26898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4385" name="Line 49">
          <a:extLst>
            <a:ext uri="{FF2B5EF4-FFF2-40B4-BE49-F238E27FC236}">
              <a16:creationId xmlns:a16="http://schemas.microsoft.com/office/drawing/2014/main" id="{00000000-0008-0000-1500-0000313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4386" name="Line 50">
          <a:extLst>
            <a:ext uri="{FF2B5EF4-FFF2-40B4-BE49-F238E27FC236}">
              <a16:creationId xmlns:a16="http://schemas.microsoft.com/office/drawing/2014/main" id="{00000000-0008-0000-1500-0000323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14387" name="Line 51">
          <a:extLst>
            <a:ext uri="{FF2B5EF4-FFF2-40B4-BE49-F238E27FC236}">
              <a16:creationId xmlns:a16="http://schemas.microsoft.com/office/drawing/2014/main" id="{00000000-0008-0000-1500-00003338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14388" name="Line 52">
          <a:extLst>
            <a:ext uri="{FF2B5EF4-FFF2-40B4-BE49-F238E27FC236}">
              <a16:creationId xmlns:a16="http://schemas.microsoft.com/office/drawing/2014/main" id="{00000000-0008-0000-1500-000034380000}"/>
            </a:ext>
          </a:extLst>
        </xdr:cNvPr>
        <xdr:cNvSpPr>
          <a:spLocks noChangeShapeType="1"/>
        </xdr:cNvSpPr>
      </xdr:nvSpPr>
      <xdr:spPr bwMode="auto">
        <a:xfrm>
          <a:off x="26898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14389" name="Line 53">
          <a:extLst>
            <a:ext uri="{FF2B5EF4-FFF2-40B4-BE49-F238E27FC236}">
              <a16:creationId xmlns:a16="http://schemas.microsoft.com/office/drawing/2014/main" id="{00000000-0008-0000-1500-000035380000}"/>
            </a:ext>
          </a:extLst>
        </xdr:cNvPr>
        <xdr:cNvSpPr>
          <a:spLocks noChangeShapeType="1"/>
        </xdr:cNvSpPr>
      </xdr:nvSpPr>
      <xdr:spPr bwMode="auto">
        <a:xfrm>
          <a:off x="26898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14390" name="Line 54">
          <a:extLst>
            <a:ext uri="{FF2B5EF4-FFF2-40B4-BE49-F238E27FC236}">
              <a16:creationId xmlns:a16="http://schemas.microsoft.com/office/drawing/2014/main" id="{00000000-0008-0000-1500-000036380000}"/>
            </a:ext>
          </a:extLst>
        </xdr:cNvPr>
        <xdr:cNvSpPr>
          <a:spLocks noChangeShapeType="1"/>
        </xdr:cNvSpPr>
      </xdr:nvSpPr>
      <xdr:spPr bwMode="auto">
        <a:xfrm>
          <a:off x="48844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14391" name="Line 55">
          <a:extLst>
            <a:ext uri="{FF2B5EF4-FFF2-40B4-BE49-F238E27FC236}">
              <a16:creationId xmlns:a16="http://schemas.microsoft.com/office/drawing/2014/main" id="{00000000-0008-0000-1500-000037380000}"/>
            </a:ext>
          </a:extLst>
        </xdr:cNvPr>
        <xdr:cNvSpPr>
          <a:spLocks noChangeShapeType="1"/>
        </xdr:cNvSpPr>
      </xdr:nvSpPr>
      <xdr:spPr bwMode="auto">
        <a:xfrm>
          <a:off x="4884420" y="552450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14392" name="Line 56">
          <a:extLst>
            <a:ext uri="{FF2B5EF4-FFF2-40B4-BE49-F238E27FC236}">
              <a16:creationId xmlns:a16="http://schemas.microsoft.com/office/drawing/2014/main" id="{00000000-0008-0000-1500-000038380000}"/>
            </a:ext>
          </a:extLst>
        </xdr:cNvPr>
        <xdr:cNvSpPr>
          <a:spLocks noChangeShapeType="1"/>
        </xdr:cNvSpPr>
      </xdr:nvSpPr>
      <xdr:spPr bwMode="auto">
        <a:xfrm>
          <a:off x="4884420" y="770382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14393" name="Line 57">
          <a:extLst>
            <a:ext uri="{FF2B5EF4-FFF2-40B4-BE49-F238E27FC236}">
              <a16:creationId xmlns:a16="http://schemas.microsoft.com/office/drawing/2014/main" id="{00000000-0008-0000-1500-000039380000}"/>
            </a:ext>
          </a:extLst>
        </xdr:cNvPr>
        <xdr:cNvSpPr>
          <a:spLocks noChangeShapeType="1"/>
        </xdr:cNvSpPr>
      </xdr:nvSpPr>
      <xdr:spPr bwMode="auto">
        <a:xfrm>
          <a:off x="4884420" y="103403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14394" name="Line 58">
          <a:extLst>
            <a:ext uri="{FF2B5EF4-FFF2-40B4-BE49-F238E27FC236}">
              <a16:creationId xmlns:a16="http://schemas.microsoft.com/office/drawing/2014/main" id="{00000000-0008-0000-1500-00003A380000}"/>
            </a:ext>
          </a:extLst>
        </xdr:cNvPr>
        <xdr:cNvSpPr>
          <a:spLocks noChangeShapeType="1"/>
        </xdr:cNvSpPr>
      </xdr:nvSpPr>
      <xdr:spPr bwMode="auto">
        <a:xfrm>
          <a:off x="48844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14395" name="Line 59">
          <a:extLst>
            <a:ext uri="{FF2B5EF4-FFF2-40B4-BE49-F238E27FC236}">
              <a16:creationId xmlns:a16="http://schemas.microsoft.com/office/drawing/2014/main" id="{00000000-0008-0000-1500-00003B380000}"/>
            </a:ext>
          </a:extLst>
        </xdr:cNvPr>
        <xdr:cNvSpPr>
          <a:spLocks noChangeShapeType="1"/>
        </xdr:cNvSpPr>
      </xdr:nvSpPr>
      <xdr:spPr bwMode="auto">
        <a:xfrm>
          <a:off x="1073658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14396" name="Line 60">
          <a:extLst>
            <a:ext uri="{FF2B5EF4-FFF2-40B4-BE49-F238E27FC236}">
              <a16:creationId xmlns:a16="http://schemas.microsoft.com/office/drawing/2014/main" id="{00000000-0008-0000-1500-00003C380000}"/>
            </a:ext>
          </a:extLst>
        </xdr:cNvPr>
        <xdr:cNvSpPr>
          <a:spLocks noChangeShapeType="1"/>
        </xdr:cNvSpPr>
      </xdr:nvSpPr>
      <xdr:spPr bwMode="auto">
        <a:xfrm>
          <a:off x="48844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397" name="Line 61">
          <a:extLst>
            <a:ext uri="{FF2B5EF4-FFF2-40B4-BE49-F238E27FC236}">
              <a16:creationId xmlns:a16="http://schemas.microsoft.com/office/drawing/2014/main" id="{00000000-0008-0000-1500-00003D3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398" name="Line 62">
          <a:extLst>
            <a:ext uri="{FF2B5EF4-FFF2-40B4-BE49-F238E27FC236}">
              <a16:creationId xmlns:a16="http://schemas.microsoft.com/office/drawing/2014/main" id="{00000000-0008-0000-1500-00003E3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14399" name="Line 63">
          <a:extLst>
            <a:ext uri="{FF2B5EF4-FFF2-40B4-BE49-F238E27FC236}">
              <a16:creationId xmlns:a16="http://schemas.microsoft.com/office/drawing/2014/main" id="{00000000-0008-0000-1500-00003F380000}"/>
            </a:ext>
          </a:extLst>
        </xdr:cNvPr>
        <xdr:cNvSpPr>
          <a:spLocks noChangeShapeType="1"/>
        </xdr:cNvSpPr>
      </xdr:nvSpPr>
      <xdr:spPr bwMode="auto">
        <a:xfrm>
          <a:off x="707898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14400" name="Line 64">
          <a:extLst>
            <a:ext uri="{FF2B5EF4-FFF2-40B4-BE49-F238E27FC236}">
              <a16:creationId xmlns:a16="http://schemas.microsoft.com/office/drawing/2014/main" id="{00000000-0008-0000-1500-000040380000}"/>
            </a:ext>
          </a:extLst>
        </xdr:cNvPr>
        <xdr:cNvSpPr>
          <a:spLocks noChangeShapeType="1"/>
        </xdr:cNvSpPr>
      </xdr:nvSpPr>
      <xdr:spPr bwMode="auto">
        <a:xfrm>
          <a:off x="1073658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14401" name="Line 65">
          <a:extLst>
            <a:ext uri="{FF2B5EF4-FFF2-40B4-BE49-F238E27FC236}">
              <a16:creationId xmlns:a16="http://schemas.microsoft.com/office/drawing/2014/main" id="{00000000-0008-0000-1500-000041380000}"/>
            </a:ext>
          </a:extLst>
        </xdr:cNvPr>
        <xdr:cNvSpPr>
          <a:spLocks noChangeShapeType="1"/>
        </xdr:cNvSpPr>
      </xdr:nvSpPr>
      <xdr:spPr bwMode="auto">
        <a:xfrm>
          <a:off x="48844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14402" name="Line 66">
          <a:extLst>
            <a:ext uri="{FF2B5EF4-FFF2-40B4-BE49-F238E27FC236}">
              <a16:creationId xmlns:a16="http://schemas.microsoft.com/office/drawing/2014/main" id="{00000000-0008-0000-1500-000042380000}"/>
            </a:ext>
          </a:extLst>
        </xdr:cNvPr>
        <xdr:cNvSpPr>
          <a:spLocks noChangeShapeType="1"/>
        </xdr:cNvSpPr>
      </xdr:nvSpPr>
      <xdr:spPr bwMode="auto">
        <a:xfrm>
          <a:off x="26898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403" name="Line 67">
          <a:extLst>
            <a:ext uri="{FF2B5EF4-FFF2-40B4-BE49-F238E27FC236}">
              <a16:creationId xmlns:a16="http://schemas.microsoft.com/office/drawing/2014/main" id="{00000000-0008-0000-1500-0000433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404" name="Line 68">
          <a:extLst>
            <a:ext uri="{FF2B5EF4-FFF2-40B4-BE49-F238E27FC236}">
              <a16:creationId xmlns:a16="http://schemas.microsoft.com/office/drawing/2014/main" id="{00000000-0008-0000-1500-0000443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405" name="Line 69">
          <a:extLst>
            <a:ext uri="{FF2B5EF4-FFF2-40B4-BE49-F238E27FC236}">
              <a16:creationId xmlns:a16="http://schemas.microsoft.com/office/drawing/2014/main" id="{00000000-0008-0000-1500-0000453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14406" name="Line 70">
          <a:extLst>
            <a:ext uri="{FF2B5EF4-FFF2-40B4-BE49-F238E27FC236}">
              <a16:creationId xmlns:a16="http://schemas.microsoft.com/office/drawing/2014/main" id="{00000000-0008-0000-1500-00004638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14407" name="Line 71">
          <a:extLst>
            <a:ext uri="{FF2B5EF4-FFF2-40B4-BE49-F238E27FC236}">
              <a16:creationId xmlns:a16="http://schemas.microsoft.com/office/drawing/2014/main" id="{00000000-0008-0000-1500-000047380000}"/>
            </a:ext>
          </a:extLst>
        </xdr:cNvPr>
        <xdr:cNvSpPr>
          <a:spLocks noChangeShapeType="1"/>
        </xdr:cNvSpPr>
      </xdr:nvSpPr>
      <xdr:spPr bwMode="auto">
        <a:xfrm>
          <a:off x="4884420" y="121843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14408" name="Line 72">
          <a:extLst>
            <a:ext uri="{FF2B5EF4-FFF2-40B4-BE49-F238E27FC236}">
              <a16:creationId xmlns:a16="http://schemas.microsoft.com/office/drawing/2014/main" id="{00000000-0008-0000-1500-000048380000}"/>
            </a:ext>
          </a:extLst>
        </xdr:cNvPr>
        <xdr:cNvSpPr>
          <a:spLocks noChangeShapeType="1"/>
        </xdr:cNvSpPr>
      </xdr:nvSpPr>
      <xdr:spPr bwMode="auto">
        <a:xfrm>
          <a:off x="26898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14409" name="Line 73">
          <a:extLst>
            <a:ext uri="{FF2B5EF4-FFF2-40B4-BE49-F238E27FC236}">
              <a16:creationId xmlns:a16="http://schemas.microsoft.com/office/drawing/2014/main" id="{00000000-0008-0000-1500-000049380000}"/>
            </a:ext>
          </a:extLst>
        </xdr:cNvPr>
        <xdr:cNvSpPr>
          <a:spLocks noChangeShapeType="1"/>
        </xdr:cNvSpPr>
      </xdr:nvSpPr>
      <xdr:spPr bwMode="auto">
        <a:xfrm>
          <a:off x="48844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14410" name="Line 74">
          <a:extLst>
            <a:ext uri="{FF2B5EF4-FFF2-40B4-BE49-F238E27FC236}">
              <a16:creationId xmlns:a16="http://schemas.microsoft.com/office/drawing/2014/main" id="{00000000-0008-0000-1500-00004A380000}"/>
            </a:ext>
          </a:extLst>
        </xdr:cNvPr>
        <xdr:cNvSpPr>
          <a:spLocks noChangeShapeType="1"/>
        </xdr:cNvSpPr>
      </xdr:nvSpPr>
      <xdr:spPr bwMode="auto">
        <a:xfrm>
          <a:off x="1073658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411" name="Line 75">
          <a:extLst>
            <a:ext uri="{FF2B5EF4-FFF2-40B4-BE49-F238E27FC236}">
              <a16:creationId xmlns:a16="http://schemas.microsoft.com/office/drawing/2014/main" id="{00000000-0008-0000-1500-00004B3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412" name="Line 76">
          <a:extLst>
            <a:ext uri="{FF2B5EF4-FFF2-40B4-BE49-F238E27FC236}">
              <a16:creationId xmlns:a16="http://schemas.microsoft.com/office/drawing/2014/main" id="{00000000-0008-0000-1500-00004C3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14413" name="Line 77">
          <a:extLst>
            <a:ext uri="{FF2B5EF4-FFF2-40B4-BE49-F238E27FC236}">
              <a16:creationId xmlns:a16="http://schemas.microsoft.com/office/drawing/2014/main" id="{00000000-0008-0000-1500-00004D380000}"/>
            </a:ext>
          </a:extLst>
        </xdr:cNvPr>
        <xdr:cNvSpPr>
          <a:spLocks noChangeShapeType="1"/>
        </xdr:cNvSpPr>
      </xdr:nvSpPr>
      <xdr:spPr bwMode="auto">
        <a:xfrm>
          <a:off x="707898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14414" name="Line 78">
          <a:extLst>
            <a:ext uri="{FF2B5EF4-FFF2-40B4-BE49-F238E27FC236}">
              <a16:creationId xmlns:a16="http://schemas.microsoft.com/office/drawing/2014/main" id="{00000000-0008-0000-1500-00004E380000}"/>
            </a:ext>
          </a:extLst>
        </xdr:cNvPr>
        <xdr:cNvSpPr>
          <a:spLocks noChangeShapeType="1"/>
        </xdr:cNvSpPr>
      </xdr:nvSpPr>
      <xdr:spPr bwMode="auto">
        <a:xfrm>
          <a:off x="48844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14415" name="Line 79">
          <a:extLst>
            <a:ext uri="{FF2B5EF4-FFF2-40B4-BE49-F238E27FC236}">
              <a16:creationId xmlns:a16="http://schemas.microsoft.com/office/drawing/2014/main" id="{00000000-0008-0000-1500-00004F380000}"/>
            </a:ext>
          </a:extLst>
        </xdr:cNvPr>
        <xdr:cNvSpPr>
          <a:spLocks noChangeShapeType="1"/>
        </xdr:cNvSpPr>
      </xdr:nvSpPr>
      <xdr:spPr bwMode="auto">
        <a:xfrm>
          <a:off x="26898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416" name="Line 80">
          <a:extLst>
            <a:ext uri="{FF2B5EF4-FFF2-40B4-BE49-F238E27FC236}">
              <a16:creationId xmlns:a16="http://schemas.microsoft.com/office/drawing/2014/main" id="{00000000-0008-0000-1500-0000503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417" name="Line 81">
          <a:extLst>
            <a:ext uri="{FF2B5EF4-FFF2-40B4-BE49-F238E27FC236}">
              <a16:creationId xmlns:a16="http://schemas.microsoft.com/office/drawing/2014/main" id="{00000000-0008-0000-1500-0000513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418" name="Line 82">
          <a:extLst>
            <a:ext uri="{FF2B5EF4-FFF2-40B4-BE49-F238E27FC236}">
              <a16:creationId xmlns:a16="http://schemas.microsoft.com/office/drawing/2014/main" id="{00000000-0008-0000-1500-0000523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14419" name="Line 83">
          <a:extLst>
            <a:ext uri="{FF2B5EF4-FFF2-40B4-BE49-F238E27FC236}">
              <a16:creationId xmlns:a16="http://schemas.microsoft.com/office/drawing/2014/main" id="{00000000-0008-0000-1500-00005338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14420" name="Line 84">
          <a:extLst>
            <a:ext uri="{FF2B5EF4-FFF2-40B4-BE49-F238E27FC236}">
              <a16:creationId xmlns:a16="http://schemas.microsoft.com/office/drawing/2014/main" id="{00000000-0008-0000-1500-000054380000}"/>
            </a:ext>
          </a:extLst>
        </xdr:cNvPr>
        <xdr:cNvSpPr>
          <a:spLocks noChangeShapeType="1"/>
        </xdr:cNvSpPr>
      </xdr:nvSpPr>
      <xdr:spPr bwMode="auto">
        <a:xfrm>
          <a:off x="4884420" y="1386078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4421" name="Line 85">
          <a:extLst>
            <a:ext uri="{FF2B5EF4-FFF2-40B4-BE49-F238E27FC236}">
              <a16:creationId xmlns:a16="http://schemas.microsoft.com/office/drawing/2014/main" id="{00000000-0008-0000-1500-0000553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4422" name="Line 86">
          <a:extLst>
            <a:ext uri="{FF2B5EF4-FFF2-40B4-BE49-F238E27FC236}">
              <a16:creationId xmlns:a16="http://schemas.microsoft.com/office/drawing/2014/main" id="{00000000-0008-0000-1500-0000563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4423" name="Line 87">
          <a:extLst>
            <a:ext uri="{FF2B5EF4-FFF2-40B4-BE49-F238E27FC236}">
              <a16:creationId xmlns:a16="http://schemas.microsoft.com/office/drawing/2014/main" id="{00000000-0008-0000-1500-0000573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4424" name="Line 88">
          <a:extLst>
            <a:ext uri="{FF2B5EF4-FFF2-40B4-BE49-F238E27FC236}">
              <a16:creationId xmlns:a16="http://schemas.microsoft.com/office/drawing/2014/main" id="{00000000-0008-0000-1500-0000583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14425" name="Line 89">
          <a:extLst>
            <a:ext uri="{FF2B5EF4-FFF2-40B4-BE49-F238E27FC236}">
              <a16:creationId xmlns:a16="http://schemas.microsoft.com/office/drawing/2014/main" id="{00000000-0008-0000-1500-000059380000}"/>
            </a:ext>
          </a:extLst>
        </xdr:cNvPr>
        <xdr:cNvSpPr>
          <a:spLocks noChangeShapeType="1"/>
        </xdr:cNvSpPr>
      </xdr:nvSpPr>
      <xdr:spPr bwMode="auto">
        <a:xfrm>
          <a:off x="48844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14426" name="Line 90">
          <a:extLst>
            <a:ext uri="{FF2B5EF4-FFF2-40B4-BE49-F238E27FC236}">
              <a16:creationId xmlns:a16="http://schemas.microsoft.com/office/drawing/2014/main" id="{00000000-0008-0000-1500-00005A380000}"/>
            </a:ext>
          </a:extLst>
        </xdr:cNvPr>
        <xdr:cNvSpPr>
          <a:spLocks noChangeShapeType="1"/>
        </xdr:cNvSpPr>
      </xdr:nvSpPr>
      <xdr:spPr bwMode="auto">
        <a:xfrm>
          <a:off x="48844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14427" name="Line 91">
          <a:extLst>
            <a:ext uri="{FF2B5EF4-FFF2-40B4-BE49-F238E27FC236}">
              <a16:creationId xmlns:a16="http://schemas.microsoft.com/office/drawing/2014/main" id="{00000000-0008-0000-1500-00005B380000}"/>
            </a:ext>
          </a:extLst>
        </xdr:cNvPr>
        <xdr:cNvSpPr>
          <a:spLocks noChangeShapeType="1"/>
        </xdr:cNvSpPr>
      </xdr:nvSpPr>
      <xdr:spPr bwMode="auto">
        <a:xfrm>
          <a:off x="48844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14428" name="Line 92">
          <a:extLst>
            <a:ext uri="{FF2B5EF4-FFF2-40B4-BE49-F238E27FC236}">
              <a16:creationId xmlns:a16="http://schemas.microsoft.com/office/drawing/2014/main" id="{00000000-0008-0000-1500-00005C380000}"/>
            </a:ext>
          </a:extLst>
        </xdr:cNvPr>
        <xdr:cNvSpPr>
          <a:spLocks noChangeShapeType="1"/>
        </xdr:cNvSpPr>
      </xdr:nvSpPr>
      <xdr:spPr bwMode="auto">
        <a:xfrm>
          <a:off x="48844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14429" name="Line 93">
          <a:extLst>
            <a:ext uri="{FF2B5EF4-FFF2-40B4-BE49-F238E27FC236}">
              <a16:creationId xmlns:a16="http://schemas.microsoft.com/office/drawing/2014/main" id="{00000000-0008-0000-1500-00005D380000}"/>
            </a:ext>
          </a:extLst>
        </xdr:cNvPr>
        <xdr:cNvSpPr>
          <a:spLocks noChangeShapeType="1"/>
        </xdr:cNvSpPr>
      </xdr:nvSpPr>
      <xdr:spPr bwMode="auto">
        <a:xfrm>
          <a:off x="707898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14430" name="Line 94">
          <a:extLst>
            <a:ext uri="{FF2B5EF4-FFF2-40B4-BE49-F238E27FC236}">
              <a16:creationId xmlns:a16="http://schemas.microsoft.com/office/drawing/2014/main" id="{00000000-0008-0000-1500-00005E380000}"/>
            </a:ext>
          </a:extLst>
        </xdr:cNvPr>
        <xdr:cNvSpPr>
          <a:spLocks noChangeShapeType="1"/>
        </xdr:cNvSpPr>
      </xdr:nvSpPr>
      <xdr:spPr bwMode="auto">
        <a:xfrm>
          <a:off x="707898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14431" name="Line 95">
          <a:extLst>
            <a:ext uri="{FF2B5EF4-FFF2-40B4-BE49-F238E27FC236}">
              <a16:creationId xmlns:a16="http://schemas.microsoft.com/office/drawing/2014/main" id="{00000000-0008-0000-1500-00005F380000}"/>
            </a:ext>
          </a:extLst>
        </xdr:cNvPr>
        <xdr:cNvSpPr>
          <a:spLocks noChangeShapeType="1"/>
        </xdr:cNvSpPr>
      </xdr:nvSpPr>
      <xdr:spPr bwMode="auto">
        <a:xfrm>
          <a:off x="707898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14432" name="Line 96">
          <a:extLst>
            <a:ext uri="{FF2B5EF4-FFF2-40B4-BE49-F238E27FC236}">
              <a16:creationId xmlns:a16="http://schemas.microsoft.com/office/drawing/2014/main" id="{00000000-0008-0000-1500-000060380000}"/>
            </a:ext>
          </a:extLst>
        </xdr:cNvPr>
        <xdr:cNvSpPr>
          <a:spLocks noChangeShapeType="1"/>
        </xdr:cNvSpPr>
      </xdr:nvSpPr>
      <xdr:spPr bwMode="auto">
        <a:xfrm>
          <a:off x="707898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14433" name="Line 97">
          <a:extLst>
            <a:ext uri="{FF2B5EF4-FFF2-40B4-BE49-F238E27FC236}">
              <a16:creationId xmlns:a16="http://schemas.microsoft.com/office/drawing/2014/main" id="{00000000-0008-0000-1500-000061380000}"/>
            </a:ext>
          </a:extLst>
        </xdr:cNvPr>
        <xdr:cNvSpPr>
          <a:spLocks noChangeShapeType="1"/>
        </xdr:cNvSpPr>
      </xdr:nvSpPr>
      <xdr:spPr bwMode="auto">
        <a:xfrm>
          <a:off x="707898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14434" name="Line 98">
          <a:extLst>
            <a:ext uri="{FF2B5EF4-FFF2-40B4-BE49-F238E27FC236}">
              <a16:creationId xmlns:a16="http://schemas.microsoft.com/office/drawing/2014/main" id="{00000000-0008-0000-1500-000062380000}"/>
            </a:ext>
          </a:extLst>
        </xdr:cNvPr>
        <xdr:cNvSpPr>
          <a:spLocks noChangeShapeType="1"/>
        </xdr:cNvSpPr>
      </xdr:nvSpPr>
      <xdr:spPr bwMode="auto">
        <a:xfrm>
          <a:off x="707898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4435" name="Line 99">
          <a:extLst>
            <a:ext uri="{FF2B5EF4-FFF2-40B4-BE49-F238E27FC236}">
              <a16:creationId xmlns:a16="http://schemas.microsoft.com/office/drawing/2014/main" id="{00000000-0008-0000-1500-000063380000}"/>
            </a:ext>
          </a:extLst>
        </xdr:cNvPr>
        <xdr:cNvSpPr>
          <a:spLocks noChangeShapeType="1"/>
        </xdr:cNvSpPr>
      </xdr:nvSpPr>
      <xdr:spPr bwMode="auto">
        <a:xfrm>
          <a:off x="707898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4436" name="Line 100">
          <a:extLst>
            <a:ext uri="{FF2B5EF4-FFF2-40B4-BE49-F238E27FC236}">
              <a16:creationId xmlns:a16="http://schemas.microsoft.com/office/drawing/2014/main" id="{00000000-0008-0000-1500-000064380000}"/>
            </a:ext>
          </a:extLst>
        </xdr:cNvPr>
        <xdr:cNvSpPr>
          <a:spLocks noChangeShapeType="1"/>
        </xdr:cNvSpPr>
      </xdr:nvSpPr>
      <xdr:spPr bwMode="auto">
        <a:xfrm>
          <a:off x="707898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4437" name="Line 101">
          <a:extLst>
            <a:ext uri="{FF2B5EF4-FFF2-40B4-BE49-F238E27FC236}">
              <a16:creationId xmlns:a16="http://schemas.microsoft.com/office/drawing/2014/main" id="{00000000-0008-0000-1500-000065380000}"/>
            </a:ext>
          </a:extLst>
        </xdr:cNvPr>
        <xdr:cNvSpPr>
          <a:spLocks noChangeShapeType="1"/>
        </xdr:cNvSpPr>
      </xdr:nvSpPr>
      <xdr:spPr bwMode="auto">
        <a:xfrm>
          <a:off x="707898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4438" name="Line 103">
          <a:extLst>
            <a:ext uri="{FF2B5EF4-FFF2-40B4-BE49-F238E27FC236}">
              <a16:creationId xmlns:a16="http://schemas.microsoft.com/office/drawing/2014/main" id="{00000000-0008-0000-1500-00006638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4439" name="Line 107">
          <a:extLst>
            <a:ext uri="{FF2B5EF4-FFF2-40B4-BE49-F238E27FC236}">
              <a16:creationId xmlns:a16="http://schemas.microsoft.com/office/drawing/2014/main" id="{00000000-0008-0000-1500-0000673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4440" name="Line 108">
          <a:extLst>
            <a:ext uri="{FF2B5EF4-FFF2-40B4-BE49-F238E27FC236}">
              <a16:creationId xmlns:a16="http://schemas.microsoft.com/office/drawing/2014/main" id="{00000000-0008-0000-1500-0000683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4441" name="Line 109">
          <a:extLst>
            <a:ext uri="{FF2B5EF4-FFF2-40B4-BE49-F238E27FC236}">
              <a16:creationId xmlns:a16="http://schemas.microsoft.com/office/drawing/2014/main" id="{00000000-0008-0000-1500-0000693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4442" name="Line 110">
          <a:extLst>
            <a:ext uri="{FF2B5EF4-FFF2-40B4-BE49-F238E27FC236}">
              <a16:creationId xmlns:a16="http://schemas.microsoft.com/office/drawing/2014/main" id="{00000000-0008-0000-1500-00006A3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4443" name="Line 111">
          <a:extLst>
            <a:ext uri="{FF2B5EF4-FFF2-40B4-BE49-F238E27FC236}">
              <a16:creationId xmlns:a16="http://schemas.microsoft.com/office/drawing/2014/main" id="{00000000-0008-0000-1500-00006B38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4444" name="Line 112">
          <a:extLst>
            <a:ext uri="{FF2B5EF4-FFF2-40B4-BE49-F238E27FC236}">
              <a16:creationId xmlns:a16="http://schemas.microsoft.com/office/drawing/2014/main" id="{00000000-0008-0000-1500-00006C380000}"/>
            </a:ext>
          </a:extLst>
        </xdr:cNvPr>
        <xdr:cNvSpPr>
          <a:spLocks noChangeShapeType="1"/>
        </xdr:cNvSpPr>
      </xdr:nvSpPr>
      <xdr:spPr bwMode="auto">
        <a:xfrm>
          <a:off x="707898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4445" name="Line 113">
          <a:extLst>
            <a:ext uri="{FF2B5EF4-FFF2-40B4-BE49-F238E27FC236}">
              <a16:creationId xmlns:a16="http://schemas.microsoft.com/office/drawing/2014/main" id="{00000000-0008-0000-1500-00006D38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4446" name="Line 114">
          <a:extLst>
            <a:ext uri="{FF2B5EF4-FFF2-40B4-BE49-F238E27FC236}">
              <a16:creationId xmlns:a16="http://schemas.microsoft.com/office/drawing/2014/main" id="{00000000-0008-0000-1500-00006E38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4447" name="Line 115">
          <a:extLst>
            <a:ext uri="{FF2B5EF4-FFF2-40B4-BE49-F238E27FC236}">
              <a16:creationId xmlns:a16="http://schemas.microsoft.com/office/drawing/2014/main" id="{00000000-0008-0000-1500-00006F380000}"/>
            </a:ext>
          </a:extLst>
        </xdr:cNvPr>
        <xdr:cNvSpPr>
          <a:spLocks noChangeShapeType="1"/>
        </xdr:cNvSpPr>
      </xdr:nvSpPr>
      <xdr:spPr bwMode="auto">
        <a:xfrm>
          <a:off x="4884420" y="15369540"/>
          <a:ext cx="7772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4448" name="Line 116">
          <a:extLst>
            <a:ext uri="{FF2B5EF4-FFF2-40B4-BE49-F238E27FC236}">
              <a16:creationId xmlns:a16="http://schemas.microsoft.com/office/drawing/2014/main" id="{00000000-0008-0000-1500-00007038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4449" name="Line 75">
          <a:extLst>
            <a:ext uri="{FF2B5EF4-FFF2-40B4-BE49-F238E27FC236}">
              <a16:creationId xmlns:a16="http://schemas.microsoft.com/office/drawing/2014/main" id="{00000000-0008-0000-1500-00007138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4450" name="Line 87">
          <a:extLst>
            <a:ext uri="{FF2B5EF4-FFF2-40B4-BE49-F238E27FC236}">
              <a16:creationId xmlns:a16="http://schemas.microsoft.com/office/drawing/2014/main" id="{00000000-0008-0000-1500-00007238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4451" name="Line 75">
          <a:extLst>
            <a:ext uri="{FF2B5EF4-FFF2-40B4-BE49-F238E27FC236}">
              <a16:creationId xmlns:a16="http://schemas.microsoft.com/office/drawing/2014/main" id="{00000000-0008-0000-1500-00007338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4452" name="Line 79">
          <a:extLst>
            <a:ext uri="{FF2B5EF4-FFF2-40B4-BE49-F238E27FC236}">
              <a16:creationId xmlns:a16="http://schemas.microsoft.com/office/drawing/2014/main" id="{00000000-0008-0000-1500-00007438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4453" name="Line 87">
          <a:extLst>
            <a:ext uri="{FF2B5EF4-FFF2-40B4-BE49-F238E27FC236}">
              <a16:creationId xmlns:a16="http://schemas.microsoft.com/office/drawing/2014/main" id="{00000000-0008-0000-1500-00007538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4454" name="Line 75">
          <a:extLst>
            <a:ext uri="{FF2B5EF4-FFF2-40B4-BE49-F238E27FC236}">
              <a16:creationId xmlns:a16="http://schemas.microsoft.com/office/drawing/2014/main" id="{00000000-0008-0000-1500-00007638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4455" name="Line 87">
          <a:extLst>
            <a:ext uri="{FF2B5EF4-FFF2-40B4-BE49-F238E27FC236}">
              <a16:creationId xmlns:a16="http://schemas.microsoft.com/office/drawing/2014/main" id="{00000000-0008-0000-1500-00007738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4456" name="Line 75">
          <a:extLst>
            <a:ext uri="{FF2B5EF4-FFF2-40B4-BE49-F238E27FC236}">
              <a16:creationId xmlns:a16="http://schemas.microsoft.com/office/drawing/2014/main" id="{00000000-0008-0000-1500-00007838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4457" name="Line 79">
          <a:extLst>
            <a:ext uri="{FF2B5EF4-FFF2-40B4-BE49-F238E27FC236}">
              <a16:creationId xmlns:a16="http://schemas.microsoft.com/office/drawing/2014/main" id="{00000000-0008-0000-1500-00007938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4458" name="Line 87">
          <a:extLst>
            <a:ext uri="{FF2B5EF4-FFF2-40B4-BE49-F238E27FC236}">
              <a16:creationId xmlns:a16="http://schemas.microsoft.com/office/drawing/2014/main" id="{00000000-0008-0000-1500-00007A38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 name="Line 1">
          <a:extLst>
            <a:ext uri="{FF2B5EF4-FFF2-40B4-BE49-F238E27FC236}">
              <a16:creationId xmlns:a16="http://schemas.microsoft.com/office/drawing/2014/main" id="{934FF462-61FB-4C1B-8688-4C2F41B40180}"/>
            </a:ext>
          </a:extLst>
        </xdr:cNvPr>
        <xdr:cNvSpPr>
          <a:spLocks noChangeShapeType="1"/>
        </xdr:cNvSpPr>
      </xdr:nvSpPr>
      <xdr:spPr bwMode="auto">
        <a:xfrm>
          <a:off x="4762500" y="55816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3" name="Line 2">
          <a:extLst>
            <a:ext uri="{FF2B5EF4-FFF2-40B4-BE49-F238E27FC236}">
              <a16:creationId xmlns:a16="http://schemas.microsoft.com/office/drawing/2014/main" id="{8A1505DB-9BA3-4945-9962-3FF0A44797F3}"/>
            </a:ext>
          </a:extLst>
        </xdr:cNvPr>
        <xdr:cNvSpPr>
          <a:spLocks noChangeShapeType="1"/>
        </xdr:cNvSpPr>
      </xdr:nvSpPr>
      <xdr:spPr bwMode="auto">
        <a:xfrm>
          <a:off x="4762500" y="57435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 name="Line 3">
          <a:extLst>
            <a:ext uri="{FF2B5EF4-FFF2-40B4-BE49-F238E27FC236}">
              <a16:creationId xmlns:a16="http://schemas.microsoft.com/office/drawing/2014/main" id="{8F6F81D1-02CA-47DC-A1D3-C66A7860999E}"/>
            </a:ext>
          </a:extLst>
        </xdr:cNvPr>
        <xdr:cNvSpPr>
          <a:spLocks noChangeShapeType="1"/>
        </xdr:cNvSpPr>
      </xdr:nvSpPr>
      <xdr:spPr bwMode="auto">
        <a:xfrm>
          <a:off x="4762500" y="4448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5" name="Line 4">
          <a:extLst>
            <a:ext uri="{FF2B5EF4-FFF2-40B4-BE49-F238E27FC236}">
              <a16:creationId xmlns:a16="http://schemas.microsoft.com/office/drawing/2014/main" id="{065C74B2-C827-47BE-86FA-D7138E9307D9}"/>
            </a:ext>
          </a:extLst>
        </xdr:cNvPr>
        <xdr:cNvSpPr>
          <a:spLocks noChangeShapeType="1"/>
        </xdr:cNvSpPr>
      </xdr:nvSpPr>
      <xdr:spPr bwMode="auto">
        <a:xfrm>
          <a:off x="7324725" y="44481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 name="Line 5">
          <a:extLst>
            <a:ext uri="{FF2B5EF4-FFF2-40B4-BE49-F238E27FC236}">
              <a16:creationId xmlns:a16="http://schemas.microsoft.com/office/drawing/2014/main" id="{99402B95-E4EB-4A5F-96AF-DA2C99D59F22}"/>
            </a:ext>
          </a:extLst>
        </xdr:cNvPr>
        <xdr:cNvSpPr>
          <a:spLocks noChangeShapeType="1"/>
        </xdr:cNvSpPr>
      </xdr:nvSpPr>
      <xdr:spPr bwMode="auto">
        <a:xfrm>
          <a:off x="10896600" y="558165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7" name="Line 6">
          <a:extLst>
            <a:ext uri="{FF2B5EF4-FFF2-40B4-BE49-F238E27FC236}">
              <a16:creationId xmlns:a16="http://schemas.microsoft.com/office/drawing/2014/main" id="{0EED688F-27B6-4120-891B-5E8AE560FBF8}"/>
            </a:ext>
          </a:extLst>
        </xdr:cNvPr>
        <xdr:cNvSpPr>
          <a:spLocks noChangeShapeType="1"/>
        </xdr:cNvSpPr>
      </xdr:nvSpPr>
      <xdr:spPr bwMode="auto">
        <a:xfrm>
          <a:off x="10896600" y="57435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 name="Line 7">
          <a:extLst>
            <a:ext uri="{FF2B5EF4-FFF2-40B4-BE49-F238E27FC236}">
              <a16:creationId xmlns:a16="http://schemas.microsoft.com/office/drawing/2014/main" id="{27BE2140-5CFA-4AAC-AFE5-5A426938DC1B}"/>
            </a:ext>
          </a:extLst>
        </xdr:cNvPr>
        <xdr:cNvSpPr>
          <a:spLocks noChangeShapeType="1"/>
        </xdr:cNvSpPr>
      </xdr:nvSpPr>
      <xdr:spPr bwMode="auto">
        <a:xfrm>
          <a:off x="4762500" y="590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9" name="Line 8">
          <a:extLst>
            <a:ext uri="{FF2B5EF4-FFF2-40B4-BE49-F238E27FC236}">
              <a16:creationId xmlns:a16="http://schemas.microsoft.com/office/drawing/2014/main" id="{3B4C1F08-F369-4458-BE9A-DC03F57B1463}"/>
            </a:ext>
          </a:extLst>
        </xdr:cNvPr>
        <xdr:cNvSpPr>
          <a:spLocks noChangeShapeType="1"/>
        </xdr:cNvSpPr>
      </xdr:nvSpPr>
      <xdr:spPr bwMode="auto">
        <a:xfrm>
          <a:off x="4762500" y="6067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 name="Line 9">
          <a:extLst>
            <a:ext uri="{FF2B5EF4-FFF2-40B4-BE49-F238E27FC236}">
              <a16:creationId xmlns:a16="http://schemas.microsoft.com/office/drawing/2014/main" id="{69D2C196-7E0D-4442-B84A-2566128A908D}"/>
            </a:ext>
          </a:extLst>
        </xdr:cNvPr>
        <xdr:cNvSpPr>
          <a:spLocks noChangeShapeType="1"/>
        </xdr:cNvSpPr>
      </xdr:nvSpPr>
      <xdr:spPr bwMode="auto">
        <a:xfrm>
          <a:off x="4762500" y="62293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1" name="Line 10">
          <a:extLst>
            <a:ext uri="{FF2B5EF4-FFF2-40B4-BE49-F238E27FC236}">
              <a16:creationId xmlns:a16="http://schemas.microsoft.com/office/drawing/2014/main" id="{E3F989E9-FAA3-48B7-8124-F34AE1CCAC91}"/>
            </a:ext>
          </a:extLst>
        </xdr:cNvPr>
        <xdr:cNvSpPr>
          <a:spLocks noChangeShapeType="1"/>
        </xdr:cNvSpPr>
      </xdr:nvSpPr>
      <xdr:spPr bwMode="auto">
        <a:xfrm>
          <a:off x="7324725"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 name="Line 11">
          <a:extLst>
            <a:ext uri="{FF2B5EF4-FFF2-40B4-BE49-F238E27FC236}">
              <a16:creationId xmlns:a16="http://schemas.microsoft.com/office/drawing/2014/main" id="{075209DA-51F4-456C-891A-E63C7E687068}"/>
            </a:ext>
          </a:extLst>
        </xdr:cNvPr>
        <xdr:cNvSpPr>
          <a:spLocks noChangeShapeType="1"/>
        </xdr:cNvSpPr>
      </xdr:nvSpPr>
      <xdr:spPr bwMode="auto">
        <a:xfrm>
          <a:off x="7324725"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3" name="Line 12">
          <a:extLst>
            <a:ext uri="{FF2B5EF4-FFF2-40B4-BE49-F238E27FC236}">
              <a16:creationId xmlns:a16="http://schemas.microsoft.com/office/drawing/2014/main" id="{BA8CD189-C1FC-4FEA-8FE3-4F9991B5A78A}"/>
            </a:ext>
          </a:extLst>
        </xdr:cNvPr>
        <xdr:cNvSpPr>
          <a:spLocks noChangeShapeType="1"/>
        </xdr:cNvSpPr>
      </xdr:nvSpPr>
      <xdr:spPr bwMode="auto">
        <a:xfrm>
          <a:off x="7324725"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 name="Line 13">
          <a:extLst>
            <a:ext uri="{FF2B5EF4-FFF2-40B4-BE49-F238E27FC236}">
              <a16:creationId xmlns:a16="http://schemas.microsoft.com/office/drawing/2014/main" id="{CFD590E6-A3FD-4020-82B7-62070E88F53E}"/>
            </a:ext>
          </a:extLst>
        </xdr:cNvPr>
        <xdr:cNvSpPr>
          <a:spLocks noChangeShapeType="1"/>
        </xdr:cNvSpPr>
      </xdr:nvSpPr>
      <xdr:spPr bwMode="auto">
        <a:xfrm>
          <a:off x="10896600"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5" name="Line 14">
          <a:extLst>
            <a:ext uri="{FF2B5EF4-FFF2-40B4-BE49-F238E27FC236}">
              <a16:creationId xmlns:a16="http://schemas.microsoft.com/office/drawing/2014/main" id="{FDF6C8B6-22C7-4F48-B0F1-B73BDD581F1E}"/>
            </a:ext>
          </a:extLst>
        </xdr:cNvPr>
        <xdr:cNvSpPr>
          <a:spLocks noChangeShapeType="1"/>
        </xdr:cNvSpPr>
      </xdr:nvSpPr>
      <xdr:spPr bwMode="auto">
        <a:xfrm>
          <a:off x="10896600"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6" name="Line 15">
          <a:extLst>
            <a:ext uri="{FF2B5EF4-FFF2-40B4-BE49-F238E27FC236}">
              <a16:creationId xmlns:a16="http://schemas.microsoft.com/office/drawing/2014/main" id="{717B3ADA-73D7-4D0A-B81C-E635D4FCBA56}"/>
            </a:ext>
          </a:extLst>
        </xdr:cNvPr>
        <xdr:cNvSpPr>
          <a:spLocks noChangeShapeType="1"/>
        </xdr:cNvSpPr>
      </xdr:nvSpPr>
      <xdr:spPr bwMode="auto">
        <a:xfrm>
          <a:off x="10896600"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7" name="Line 16">
          <a:extLst>
            <a:ext uri="{FF2B5EF4-FFF2-40B4-BE49-F238E27FC236}">
              <a16:creationId xmlns:a16="http://schemas.microsoft.com/office/drawing/2014/main" id="{6A75433C-5486-432D-8BFE-0D774E749BE6}"/>
            </a:ext>
          </a:extLst>
        </xdr:cNvPr>
        <xdr:cNvSpPr>
          <a:spLocks noChangeShapeType="1"/>
        </xdr:cNvSpPr>
      </xdr:nvSpPr>
      <xdr:spPr bwMode="auto">
        <a:xfrm>
          <a:off x="10896600" y="76866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8" name="Line 17">
          <a:extLst>
            <a:ext uri="{FF2B5EF4-FFF2-40B4-BE49-F238E27FC236}">
              <a16:creationId xmlns:a16="http://schemas.microsoft.com/office/drawing/2014/main" id="{C4538222-E010-4AFF-A4B0-12F468812CA0}"/>
            </a:ext>
          </a:extLst>
        </xdr:cNvPr>
        <xdr:cNvSpPr>
          <a:spLocks noChangeShapeType="1"/>
        </xdr:cNvSpPr>
      </xdr:nvSpPr>
      <xdr:spPr bwMode="auto">
        <a:xfrm>
          <a:off x="2619375" y="4448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9" name="Line 18">
          <a:extLst>
            <a:ext uri="{FF2B5EF4-FFF2-40B4-BE49-F238E27FC236}">
              <a16:creationId xmlns:a16="http://schemas.microsoft.com/office/drawing/2014/main" id="{AC55F301-1C8F-42A3-858C-F1FFE3A7A085}"/>
            </a:ext>
          </a:extLst>
        </xdr:cNvPr>
        <xdr:cNvSpPr>
          <a:spLocks noChangeShapeType="1"/>
        </xdr:cNvSpPr>
      </xdr:nvSpPr>
      <xdr:spPr bwMode="auto">
        <a:xfrm>
          <a:off x="2619375" y="55816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0" name="Line 19">
          <a:extLst>
            <a:ext uri="{FF2B5EF4-FFF2-40B4-BE49-F238E27FC236}">
              <a16:creationId xmlns:a16="http://schemas.microsoft.com/office/drawing/2014/main" id="{E3B2E355-B9C4-45CA-98B6-BDAD335A8E8D}"/>
            </a:ext>
          </a:extLst>
        </xdr:cNvPr>
        <xdr:cNvSpPr>
          <a:spLocks noChangeShapeType="1"/>
        </xdr:cNvSpPr>
      </xdr:nvSpPr>
      <xdr:spPr bwMode="auto">
        <a:xfrm>
          <a:off x="2619375" y="57435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1" name="Line 20">
          <a:extLst>
            <a:ext uri="{FF2B5EF4-FFF2-40B4-BE49-F238E27FC236}">
              <a16:creationId xmlns:a16="http://schemas.microsoft.com/office/drawing/2014/main" id="{80CA23E4-0078-4CF6-BE97-952F4CEB6FF7}"/>
            </a:ext>
          </a:extLst>
        </xdr:cNvPr>
        <xdr:cNvSpPr>
          <a:spLocks noChangeShapeType="1"/>
        </xdr:cNvSpPr>
      </xdr:nvSpPr>
      <xdr:spPr bwMode="auto">
        <a:xfrm>
          <a:off x="2619375" y="59055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2" name="Line 21">
          <a:extLst>
            <a:ext uri="{FF2B5EF4-FFF2-40B4-BE49-F238E27FC236}">
              <a16:creationId xmlns:a16="http://schemas.microsoft.com/office/drawing/2014/main" id="{E886C6CE-D4D0-41F2-B482-251CA9727E31}"/>
            </a:ext>
          </a:extLst>
        </xdr:cNvPr>
        <xdr:cNvSpPr>
          <a:spLocks noChangeShapeType="1"/>
        </xdr:cNvSpPr>
      </xdr:nvSpPr>
      <xdr:spPr bwMode="auto">
        <a:xfrm>
          <a:off x="2619375" y="6067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3" name="Line 22">
          <a:extLst>
            <a:ext uri="{FF2B5EF4-FFF2-40B4-BE49-F238E27FC236}">
              <a16:creationId xmlns:a16="http://schemas.microsoft.com/office/drawing/2014/main" id="{4628FE29-179C-4B07-B653-98694EEF9CCF}"/>
            </a:ext>
          </a:extLst>
        </xdr:cNvPr>
        <xdr:cNvSpPr>
          <a:spLocks noChangeShapeType="1"/>
        </xdr:cNvSpPr>
      </xdr:nvSpPr>
      <xdr:spPr bwMode="auto">
        <a:xfrm>
          <a:off x="2619375" y="62293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4" name="Line 23">
          <a:extLst>
            <a:ext uri="{FF2B5EF4-FFF2-40B4-BE49-F238E27FC236}">
              <a16:creationId xmlns:a16="http://schemas.microsoft.com/office/drawing/2014/main" id="{69F49149-778E-495B-AF30-0620EA6B9CC1}"/>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5" name="Line 24">
          <a:extLst>
            <a:ext uri="{FF2B5EF4-FFF2-40B4-BE49-F238E27FC236}">
              <a16:creationId xmlns:a16="http://schemas.microsoft.com/office/drawing/2014/main" id="{270DB776-3074-4654-93E4-A63CD0FE76A3}"/>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6" name="Line 25">
          <a:extLst>
            <a:ext uri="{FF2B5EF4-FFF2-40B4-BE49-F238E27FC236}">
              <a16:creationId xmlns:a16="http://schemas.microsoft.com/office/drawing/2014/main" id="{93D10D98-1A96-4D14-BEEA-1C11771715F7}"/>
            </a:ext>
          </a:extLst>
        </xdr:cNvPr>
        <xdr:cNvSpPr>
          <a:spLocks noChangeShapeType="1"/>
        </xdr:cNvSpPr>
      </xdr:nvSpPr>
      <xdr:spPr bwMode="auto">
        <a:xfrm>
          <a:off x="7324725" y="65532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7" name="Line 26">
          <a:extLst>
            <a:ext uri="{FF2B5EF4-FFF2-40B4-BE49-F238E27FC236}">
              <a16:creationId xmlns:a16="http://schemas.microsoft.com/office/drawing/2014/main" id="{A5236900-2B2F-4D04-8C7F-1607B97D5507}"/>
            </a:ext>
          </a:extLst>
        </xdr:cNvPr>
        <xdr:cNvSpPr>
          <a:spLocks noChangeShapeType="1"/>
        </xdr:cNvSpPr>
      </xdr:nvSpPr>
      <xdr:spPr bwMode="auto">
        <a:xfrm>
          <a:off x="10896600" y="78486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8" name="Line 27">
          <a:extLst>
            <a:ext uri="{FF2B5EF4-FFF2-40B4-BE49-F238E27FC236}">
              <a16:creationId xmlns:a16="http://schemas.microsoft.com/office/drawing/2014/main" id="{C59C0011-F02C-4AF9-9B79-AFA931033190}"/>
            </a:ext>
          </a:extLst>
        </xdr:cNvPr>
        <xdr:cNvSpPr>
          <a:spLocks noChangeShapeType="1"/>
        </xdr:cNvSpPr>
      </xdr:nvSpPr>
      <xdr:spPr bwMode="auto">
        <a:xfrm>
          <a:off x="4762500" y="65532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9" name="Line 28">
          <a:extLst>
            <a:ext uri="{FF2B5EF4-FFF2-40B4-BE49-F238E27FC236}">
              <a16:creationId xmlns:a16="http://schemas.microsoft.com/office/drawing/2014/main" id="{871C11A0-9589-465E-82B3-A595962FBA0F}"/>
            </a:ext>
          </a:extLst>
        </xdr:cNvPr>
        <xdr:cNvSpPr>
          <a:spLocks noChangeShapeType="1"/>
        </xdr:cNvSpPr>
      </xdr:nvSpPr>
      <xdr:spPr bwMode="auto">
        <a:xfrm>
          <a:off x="4762500" y="80105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30" name="Line 29">
          <a:extLst>
            <a:ext uri="{FF2B5EF4-FFF2-40B4-BE49-F238E27FC236}">
              <a16:creationId xmlns:a16="http://schemas.microsoft.com/office/drawing/2014/main" id="{B74CC9C8-4138-4416-9F00-95EBCD9F9257}"/>
            </a:ext>
          </a:extLst>
        </xdr:cNvPr>
        <xdr:cNvSpPr>
          <a:spLocks noChangeShapeType="1"/>
        </xdr:cNvSpPr>
      </xdr:nvSpPr>
      <xdr:spPr bwMode="auto">
        <a:xfrm>
          <a:off x="7324725"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31" name="Line 30">
          <a:extLst>
            <a:ext uri="{FF2B5EF4-FFF2-40B4-BE49-F238E27FC236}">
              <a16:creationId xmlns:a16="http://schemas.microsoft.com/office/drawing/2014/main" id="{2A520735-C43C-4A9B-AE25-D14AD502BE49}"/>
            </a:ext>
          </a:extLst>
        </xdr:cNvPr>
        <xdr:cNvSpPr>
          <a:spLocks noChangeShapeType="1"/>
        </xdr:cNvSpPr>
      </xdr:nvSpPr>
      <xdr:spPr bwMode="auto">
        <a:xfrm>
          <a:off x="7324725"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32" name="Line 31">
          <a:extLst>
            <a:ext uri="{FF2B5EF4-FFF2-40B4-BE49-F238E27FC236}">
              <a16:creationId xmlns:a16="http://schemas.microsoft.com/office/drawing/2014/main" id="{FBCBEDB1-7958-49CE-A965-5DB29201B182}"/>
            </a:ext>
          </a:extLst>
        </xdr:cNvPr>
        <xdr:cNvSpPr>
          <a:spLocks noChangeShapeType="1"/>
        </xdr:cNvSpPr>
      </xdr:nvSpPr>
      <xdr:spPr bwMode="auto">
        <a:xfrm>
          <a:off x="10896600"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33" name="Line 32">
          <a:extLst>
            <a:ext uri="{FF2B5EF4-FFF2-40B4-BE49-F238E27FC236}">
              <a16:creationId xmlns:a16="http://schemas.microsoft.com/office/drawing/2014/main" id="{63FFC68F-4027-4FF1-966E-A6F8731BA2EA}"/>
            </a:ext>
          </a:extLst>
        </xdr:cNvPr>
        <xdr:cNvSpPr>
          <a:spLocks noChangeShapeType="1"/>
        </xdr:cNvSpPr>
      </xdr:nvSpPr>
      <xdr:spPr bwMode="auto">
        <a:xfrm>
          <a:off x="10896600"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34" name="Line 33">
          <a:extLst>
            <a:ext uri="{FF2B5EF4-FFF2-40B4-BE49-F238E27FC236}">
              <a16:creationId xmlns:a16="http://schemas.microsoft.com/office/drawing/2014/main" id="{06D8A3C1-5212-49EF-8C9E-750F282D33F6}"/>
            </a:ext>
          </a:extLst>
        </xdr:cNvPr>
        <xdr:cNvSpPr>
          <a:spLocks noChangeShapeType="1"/>
        </xdr:cNvSpPr>
      </xdr:nvSpPr>
      <xdr:spPr bwMode="auto">
        <a:xfrm>
          <a:off x="2619375" y="65532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5" name="Line 34">
          <a:extLst>
            <a:ext uri="{FF2B5EF4-FFF2-40B4-BE49-F238E27FC236}">
              <a16:creationId xmlns:a16="http://schemas.microsoft.com/office/drawing/2014/main" id="{BE15D7B1-46A0-46AB-99A3-36AA513000DB}"/>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6" name="Line 35">
          <a:extLst>
            <a:ext uri="{FF2B5EF4-FFF2-40B4-BE49-F238E27FC236}">
              <a16:creationId xmlns:a16="http://schemas.microsoft.com/office/drawing/2014/main" id="{42CA8BDD-BBA2-488F-9CB5-3AF66BC6C7A0}"/>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37" name="Line 36">
          <a:extLst>
            <a:ext uri="{FF2B5EF4-FFF2-40B4-BE49-F238E27FC236}">
              <a16:creationId xmlns:a16="http://schemas.microsoft.com/office/drawing/2014/main" id="{E1D978D6-C57E-4FF5-A8B5-322987EFA746}"/>
            </a:ext>
          </a:extLst>
        </xdr:cNvPr>
        <xdr:cNvSpPr>
          <a:spLocks noChangeShapeType="1"/>
        </xdr:cNvSpPr>
      </xdr:nvSpPr>
      <xdr:spPr bwMode="auto">
        <a:xfrm>
          <a:off x="2619375" y="7848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38" name="Line 37">
          <a:extLst>
            <a:ext uri="{FF2B5EF4-FFF2-40B4-BE49-F238E27FC236}">
              <a16:creationId xmlns:a16="http://schemas.microsoft.com/office/drawing/2014/main" id="{5A65ABB8-12AB-4D16-BECF-C6BFDDCBA0BF}"/>
            </a:ext>
          </a:extLst>
        </xdr:cNvPr>
        <xdr:cNvSpPr>
          <a:spLocks noChangeShapeType="1"/>
        </xdr:cNvSpPr>
      </xdr:nvSpPr>
      <xdr:spPr bwMode="auto">
        <a:xfrm>
          <a:off x="2619375" y="80105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39" name="Line 38">
          <a:extLst>
            <a:ext uri="{FF2B5EF4-FFF2-40B4-BE49-F238E27FC236}">
              <a16:creationId xmlns:a16="http://schemas.microsoft.com/office/drawing/2014/main" id="{7090D6EF-C675-417E-9633-17B53693900B}"/>
            </a:ext>
          </a:extLst>
        </xdr:cNvPr>
        <xdr:cNvSpPr>
          <a:spLocks noChangeShapeType="1"/>
        </xdr:cNvSpPr>
      </xdr:nvSpPr>
      <xdr:spPr bwMode="auto">
        <a:xfrm>
          <a:off x="2619375" y="81724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0" name="Line 39">
          <a:extLst>
            <a:ext uri="{FF2B5EF4-FFF2-40B4-BE49-F238E27FC236}">
              <a16:creationId xmlns:a16="http://schemas.microsoft.com/office/drawing/2014/main" id="{5BE164AD-549E-430D-9BBA-DB736F1A6045}"/>
            </a:ext>
          </a:extLst>
        </xdr:cNvPr>
        <xdr:cNvSpPr>
          <a:spLocks noChangeShapeType="1"/>
        </xdr:cNvSpPr>
      </xdr:nvSpPr>
      <xdr:spPr bwMode="auto">
        <a:xfrm>
          <a:off x="4762500" y="81724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1" name="Line 40">
          <a:extLst>
            <a:ext uri="{FF2B5EF4-FFF2-40B4-BE49-F238E27FC236}">
              <a16:creationId xmlns:a16="http://schemas.microsoft.com/office/drawing/2014/main" id="{84D763E4-7215-43CE-A33C-0A6F24295381}"/>
            </a:ext>
          </a:extLst>
        </xdr:cNvPr>
        <xdr:cNvSpPr>
          <a:spLocks noChangeShapeType="1"/>
        </xdr:cNvSpPr>
      </xdr:nvSpPr>
      <xdr:spPr bwMode="auto">
        <a:xfrm>
          <a:off x="10896600" y="102489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 name="Line 41">
          <a:extLst>
            <a:ext uri="{FF2B5EF4-FFF2-40B4-BE49-F238E27FC236}">
              <a16:creationId xmlns:a16="http://schemas.microsoft.com/office/drawing/2014/main" id="{335D2D3A-3399-4EBE-953F-E8A3549D0137}"/>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3" name="Line 42">
          <a:extLst>
            <a:ext uri="{FF2B5EF4-FFF2-40B4-BE49-F238E27FC236}">
              <a16:creationId xmlns:a16="http://schemas.microsoft.com/office/drawing/2014/main" id="{AEB8AE90-44DC-4C18-87EB-135480E1B4E4}"/>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4" name="Line 43">
          <a:extLst>
            <a:ext uri="{FF2B5EF4-FFF2-40B4-BE49-F238E27FC236}">
              <a16:creationId xmlns:a16="http://schemas.microsoft.com/office/drawing/2014/main" id="{F060821A-6478-4379-9538-958A30CAF3FE}"/>
            </a:ext>
          </a:extLst>
        </xdr:cNvPr>
        <xdr:cNvSpPr>
          <a:spLocks noChangeShapeType="1"/>
        </xdr:cNvSpPr>
      </xdr:nvSpPr>
      <xdr:spPr bwMode="auto">
        <a:xfrm>
          <a:off x="7324725" y="9115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5" name="Line 44">
          <a:extLst>
            <a:ext uri="{FF2B5EF4-FFF2-40B4-BE49-F238E27FC236}">
              <a16:creationId xmlns:a16="http://schemas.microsoft.com/office/drawing/2014/main" id="{4723F346-7C24-4620-B0A9-1897BB465507}"/>
            </a:ext>
          </a:extLst>
        </xdr:cNvPr>
        <xdr:cNvSpPr>
          <a:spLocks noChangeShapeType="1"/>
        </xdr:cNvSpPr>
      </xdr:nvSpPr>
      <xdr:spPr bwMode="auto">
        <a:xfrm>
          <a:off x="10896600" y="104108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6" name="Line 45">
          <a:extLst>
            <a:ext uri="{FF2B5EF4-FFF2-40B4-BE49-F238E27FC236}">
              <a16:creationId xmlns:a16="http://schemas.microsoft.com/office/drawing/2014/main" id="{9ECE6AD0-7C7A-45C1-AD42-CDCCF6999903}"/>
            </a:ext>
          </a:extLst>
        </xdr:cNvPr>
        <xdr:cNvSpPr>
          <a:spLocks noChangeShapeType="1"/>
        </xdr:cNvSpPr>
      </xdr:nvSpPr>
      <xdr:spPr bwMode="auto">
        <a:xfrm>
          <a:off x="4762500" y="9115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7" name="Line 46">
          <a:extLst>
            <a:ext uri="{FF2B5EF4-FFF2-40B4-BE49-F238E27FC236}">
              <a16:creationId xmlns:a16="http://schemas.microsoft.com/office/drawing/2014/main" id="{6E566BDA-C8FD-48AF-9DB3-E23B1DAA0E60}"/>
            </a:ext>
          </a:extLst>
        </xdr:cNvPr>
        <xdr:cNvSpPr>
          <a:spLocks noChangeShapeType="1"/>
        </xdr:cNvSpPr>
      </xdr:nvSpPr>
      <xdr:spPr bwMode="auto">
        <a:xfrm>
          <a:off x="7324725"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8" name="Line 47">
          <a:extLst>
            <a:ext uri="{FF2B5EF4-FFF2-40B4-BE49-F238E27FC236}">
              <a16:creationId xmlns:a16="http://schemas.microsoft.com/office/drawing/2014/main" id="{C5537FD7-F491-4753-BD89-8CA5D49B75EF}"/>
            </a:ext>
          </a:extLst>
        </xdr:cNvPr>
        <xdr:cNvSpPr>
          <a:spLocks noChangeShapeType="1"/>
        </xdr:cNvSpPr>
      </xdr:nvSpPr>
      <xdr:spPr bwMode="auto">
        <a:xfrm>
          <a:off x="10896600"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9" name="Line 48">
          <a:extLst>
            <a:ext uri="{FF2B5EF4-FFF2-40B4-BE49-F238E27FC236}">
              <a16:creationId xmlns:a16="http://schemas.microsoft.com/office/drawing/2014/main" id="{B7C7CDD8-B5BC-4F14-98A4-70EEC47F6F85}"/>
            </a:ext>
          </a:extLst>
        </xdr:cNvPr>
        <xdr:cNvSpPr>
          <a:spLocks noChangeShapeType="1"/>
        </xdr:cNvSpPr>
      </xdr:nvSpPr>
      <xdr:spPr bwMode="auto">
        <a:xfrm>
          <a:off x="2619375" y="9115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0" name="Line 49">
          <a:extLst>
            <a:ext uri="{FF2B5EF4-FFF2-40B4-BE49-F238E27FC236}">
              <a16:creationId xmlns:a16="http://schemas.microsoft.com/office/drawing/2014/main" id="{981557E4-0919-4DCE-99CB-ED5AE0162981}"/>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1" name="Line 50">
          <a:extLst>
            <a:ext uri="{FF2B5EF4-FFF2-40B4-BE49-F238E27FC236}">
              <a16:creationId xmlns:a16="http://schemas.microsoft.com/office/drawing/2014/main" id="{67E00AE1-2639-43A7-8929-A7E098BF6318}"/>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2" name="Line 51">
          <a:extLst>
            <a:ext uri="{FF2B5EF4-FFF2-40B4-BE49-F238E27FC236}">
              <a16:creationId xmlns:a16="http://schemas.microsoft.com/office/drawing/2014/main" id="{4F2AAA2A-C924-434A-A331-A656B685A5FF}"/>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53" name="Line 52">
          <a:extLst>
            <a:ext uri="{FF2B5EF4-FFF2-40B4-BE49-F238E27FC236}">
              <a16:creationId xmlns:a16="http://schemas.microsoft.com/office/drawing/2014/main" id="{9EADE629-C717-450A-99E8-A8769F5641F5}"/>
            </a:ext>
          </a:extLst>
        </xdr:cNvPr>
        <xdr:cNvSpPr>
          <a:spLocks noChangeShapeType="1"/>
        </xdr:cNvSpPr>
      </xdr:nvSpPr>
      <xdr:spPr bwMode="auto">
        <a:xfrm>
          <a:off x="2619375" y="104108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54" name="Line 53">
          <a:extLst>
            <a:ext uri="{FF2B5EF4-FFF2-40B4-BE49-F238E27FC236}">
              <a16:creationId xmlns:a16="http://schemas.microsoft.com/office/drawing/2014/main" id="{1098A5ED-3A0C-45CD-A916-8372AE375B80}"/>
            </a:ext>
          </a:extLst>
        </xdr:cNvPr>
        <xdr:cNvSpPr>
          <a:spLocks noChangeShapeType="1"/>
        </xdr:cNvSpPr>
      </xdr:nvSpPr>
      <xdr:spPr bwMode="auto">
        <a:xfrm>
          <a:off x="2619375" y="105727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55" name="Line 54">
          <a:extLst>
            <a:ext uri="{FF2B5EF4-FFF2-40B4-BE49-F238E27FC236}">
              <a16:creationId xmlns:a16="http://schemas.microsoft.com/office/drawing/2014/main" id="{1A8939A6-07C0-40AC-A1AF-41332288E0DE}"/>
            </a:ext>
          </a:extLst>
        </xdr:cNvPr>
        <xdr:cNvSpPr>
          <a:spLocks noChangeShapeType="1"/>
        </xdr:cNvSpPr>
      </xdr:nvSpPr>
      <xdr:spPr bwMode="auto">
        <a:xfrm>
          <a:off x="4762500" y="105727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56" name="Line 55">
          <a:extLst>
            <a:ext uri="{FF2B5EF4-FFF2-40B4-BE49-F238E27FC236}">
              <a16:creationId xmlns:a16="http://schemas.microsoft.com/office/drawing/2014/main" id="{79CE4DB2-4FE1-4ABD-8AC7-8A85B09DC510}"/>
            </a:ext>
          </a:extLst>
        </xdr:cNvPr>
        <xdr:cNvSpPr>
          <a:spLocks noChangeShapeType="1"/>
        </xdr:cNvSpPr>
      </xdr:nvSpPr>
      <xdr:spPr bwMode="auto">
        <a:xfrm>
          <a:off x="4762500" y="5419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57" name="Line 56">
          <a:extLst>
            <a:ext uri="{FF2B5EF4-FFF2-40B4-BE49-F238E27FC236}">
              <a16:creationId xmlns:a16="http://schemas.microsoft.com/office/drawing/2014/main" id="{115171DF-574A-499E-8385-DDBA23D25275}"/>
            </a:ext>
          </a:extLst>
        </xdr:cNvPr>
        <xdr:cNvSpPr>
          <a:spLocks noChangeShapeType="1"/>
        </xdr:cNvSpPr>
      </xdr:nvSpPr>
      <xdr:spPr bwMode="auto">
        <a:xfrm>
          <a:off x="4762500" y="752475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58" name="Line 57">
          <a:extLst>
            <a:ext uri="{FF2B5EF4-FFF2-40B4-BE49-F238E27FC236}">
              <a16:creationId xmlns:a16="http://schemas.microsoft.com/office/drawing/2014/main" id="{6BEDCF06-FF4A-46C8-8318-F285CDAA46C0}"/>
            </a:ext>
          </a:extLst>
        </xdr:cNvPr>
        <xdr:cNvSpPr>
          <a:spLocks noChangeShapeType="1"/>
        </xdr:cNvSpPr>
      </xdr:nvSpPr>
      <xdr:spPr bwMode="auto">
        <a:xfrm>
          <a:off x="4762500" y="1008697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59" name="Line 58">
          <a:extLst>
            <a:ext uri="{FF2B5EF4-FFF2-40B4-BE49-F238E27FC236}">
              <a16:creationId xmlns:a16="http://schemas.microsoft.com/office/drawing/2014/main" id="{B2B54379-68B0-44AE-AA1D-0BA893E24C2E}"/>
            </a:ext>
          </a:extLst>
        </xdr:cNvPr>
        <xdr:cNvSpPr>
          <a:spLocks noChangeShapeType="1"/>
        </xdr:cNvSpPr>
      </xdr:nvSpPr>
      <xdr:spPr bwMode="auto">
        <a:xfrm>
          <a:off x="4762500" y="120300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0" name="Line 59">
          <a:extLst>
            <a:ext uri="{FF2B5EF4-FFF2-40B4-BE49-F238E27FC236}">
              <a16:creationId xmlns:a16="http://schemas.microsoft.com/office/drawing/2014/main" id="{452C3B20-4545-49AE-91E0-55F4A9B7A51E}"/>
            </a:ext>
          </a:extLst>
        </xdr:cNvPr>
        <xdr:cNvSpPr>
          <a:spLocks noChangeShapeType="1"/>
        </xdr:cNvSpPr>
      </xdr:nvSpPr>
      <xdr:spPr bwMode="auto">
        <a:xfrm>
          <a:off x="10896600" y="120300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1" name="Line 60">
          <a:extLst>
            <a:ext uri="{FF2B5EF4-FFF2-40B4-BE49-F238E27FC236}">
              <a16:creationId xmlns:a16="http://schemas.microsoft.com/office/drawing/2014/main" id="{7E3858A1-2657-4F99-987B-5AB8DE228504}"/>
            </a:ext>
          </a:extLst>
        </xdr:cNvPr>
        <xdr:cNvSpPr>
          <a:spLocks noChangeShapeType="1"/>
        </xdr:cNvSpPr>
      </xdr:nvSpPr>
      <xdr:spPr bwMode="auto">
        <a:xfrm>
          <a:off x="4762500" y="121920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 name="Line 61">
          <a:extLst>
            <a:ext uri="{FF2B5EF4-FFF2-40B4-BE49-F238E27FC236}">
              <a16:creationId xmlns:a16="http://schemas.microsoft.com/office/drawing/2014/main" id="{0A664F61-2D1F-4D0F-B3E3-8A689D20728C}"/>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 name="Line 62">
          <a:extLst>
            <a:ext uri="{FF2B5EF4-FFF2-40B4-BE49-F238E27FC236}">
              <a16:creationId xmlns:a16="http://schemas.microsoft.com/office/drawing/2014/main" id="{6BEEF741-3F23-4C39-97CA-D434E4F654DC}"/>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4" name="Line 63">
          <a:extLst>
            <a:ext uri="{FF2B5EF4-FFF2-40B4-BE49-F238E27FC236}">
              <a16:creationId xmlns:a16="http://schemas.microsoft.com/office/drawing/2014/main" id="{61C6A321-8F99-4FE0-9A79-E60EA7057317}"/>
            </a:ext>
          </a:extLst>
        </xdr:cNvPr>
        <xdr:cNvSpPr>
          <a:spLocks noChangeShapeType="1"/>
        </xdr:cNvSpPr>
      </xdr:nvSpPr>
      <xdr:spPr bwMode="auto">
        <a:xfrm>
          <a:off x="7324725" y="10896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5" name="Line 64">
          <a:extLst>
            <a:ext uri="{FF2B5EF4-FFF2-40B4-BE49-F238E27FC236}">
              <a16:creationId xmlns:a16="http://schemas.microsoft.com/office/drawing/2014/main" id="{CD794883-2704-4464-B11E-BAD4176CFC2D}"/>
            </a:ext>
          </a:extLst>
        </xdr:cNvPr>
        <xdr:cNvSpPr>
          <a:spLocks noChangeShapeType="1"/>
        </xdr:cNvSpPr>
      </xdr:nvSpPr>
      <xdr:spPr bwMode="auto">
        <a:xfrm>
          <a:off x="10896600" y="121920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6" name="Line 65">
          <a:extLst>
            <a:ext uri="{FF2B5EF4-FFF2-40B4-BE49-F238E27FC236}">
              <a16:creationId xmlns:a16="http://schemas.microsoft.com/office/drawing/2014/main" id="{6C6A8813-8009-48AE-87A6-44FDC43930D2}"/>
            </a:ext>
          </a:extLst>
        </xdr:cNvPr>
        <xdr:cNvSpPr>
          <a:spLocks noChangeShapeType="1"/>
        </xdr:cNvSpPr>
      </xdr:nvSpPr>
      <xdr:spPr bwMode="auto">
        <a:xfrm>
          <a:off x="4762500" y="10896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7" name="Line 66">
          <a:extLst>
            <a:ext uri="{FF2B5EF4-FFF2-40B4-BE49-F238E27FC236}">
              <a16:creationId xmlns:a16="http://schemas.microsoft.com/office/drawing/2014/main" id="{6586D2CA-3E8A-494B-B841-E28BE5F9284A}"/>
            </a:ext>
          </a:extLst>
        </xdr:cNvPr>
        <xdr:cNvSpPr>
          <a:spLocks noChangeShapeType="1"/>
        </xdr:cNvSpPr>
      </xdr:nvSpPr>
      <xdr:spPr bwMode="auto">
        <a:xfrm>
          <a:off x="2619375" y="10896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8" name="Line 67">
          <a:extLst>
            <a:ext uri="{FF2B5EF4-FFF2-40B4-BE49-F238E27FC236}">
              <a16:creationId xmlns:a16="http://schemas.microsoft.com/office/drawing/2014/main" id="{3BEE50F8-45FB-4A29-AB97-98A194B06F5C}"/>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9" name="Line 68">
          <a:extLst>
            <a:ext uri="{FF2B5EF4-FFF2-40B4-BE49-F238E27FC236}">
              <a16:creationId xmlns:a16="http://schemas.microsoft.com/office/drawing/2014/main" id="{8EB547D3-47BA-496D-9AA8-342F34BE0DF8}"/>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0" name="Line 69">
          <a:extLst>
            <a:ext uri="{FF2B5EF4-FFF2-40B4-BE49-F238E27FC236}">
              <a16:creationId xmlns:a16="http://schemas.microsoft.com/office/drawing/2014/main" id="{11634E53-393F-4B23-B7BA-FC2FD90FE71C}"/>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1" name="Line 70">
          <a:extLst>
            <a:ext uri="{FF2B5EF4-FFF2-40B4-BE49-F238E27FC236}">
              <a16:creationId xmlns:a16="http://schemas.microsoft.com/office/drawing/2014/main" id="{0B7F6BE5-CB87-48C8-B3EF-22F3637E7EA1}"/>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72" name="Line 71">
          <a:extLst>
            <a:ext uri="{FF2B5EF4-FFF2-40B4-BE49-F238E27FC236}">
              <a16:creationId xmlns:a16="http://schemas.microsoft.com/office/drawing/2014/main" id="{C0091026-9D6E-43F1-AE10-B07742EBE466}"/>
            </a:ext>
          </a:extLst>
        </xdr:cNvPr>
        <xdr:cNvSpPr>
          <a:spLocks noChangeShapeType="1"/>
        </xdr:cNvSpPr>
      </xdr:nvSpPr>
      <xdr:spPr bwMode="auto">
        <a:xfrm>
          <a:off x="4762500" y="1186815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73" name="Line 72">
          <a:extLst>
            <a:ext uri="{FF2B5EF4-FFF2-40B4-BE49-F238E27FC236}">
              <a16:creationId xmlns:a16="http://schemas.microsoft.com/office/drawing/2014/main" id="{650541F6-DFC1-4F59-9C02-65FFF8CDADD4}"/>
            </a:ext>
          </a:extLst>
        </xdr:cNvPr>
        <xdr:cNvSpPr>
          <a:spLocks noChangeShapeType="1"/>
        </xdr:cNvSpPr>
      </xdr:nvSpPr>
      <xdr:spPr bwMode="auto">
        <a:xfrm>
          <a:off x="2619375" y="121920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74" name="Line 73">
          <a:extLst>
            <a:ext uri="{FF2B5EF4-FFF2-40B4-BE49-F238E27FC236}">
              <a16:creationId xmlns:a16="http://schemas.microsoft.com/office/drawing/2014/main" id="{3396D83D-8FEC-443B-8873-B63866439C61}"/>
            </a:ext>
          </a:extLst>
        </xdr:cNvPr>
        <xdr:cNvSpPr>
          <a:spLocks noChangeShapeType="1"/>
        </xdr:cNvSpPr>
      </xdr:nvSpPr>
      <xdr:spPr bwMode="auto">
        <a:xfrm>
          <a:off x="4762500" y="13649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75" name="Line 74">
          <a:extLst>
            <a:ext uri="{FF2B5EF4-FFF2-40B4-BE49-F238E27FC236}">
              <a16:creationId xmlns:a16="http://schemas.microsoft.com/office/drawing/2014/main" id="{971FB75A-F5E4-4521-97F6-D00A263D49C3}"/>
            </a:ext>
          </a:extLst>
        </xdr:cNvPr>
        <xdr:cNvSpPr>
          <a:spLocks noChangeShapeType="1"/>
        </xdr:cNvSpPr>
      </xdr:nvSpPr>
      <xdr:spPr bwMode="auto">
        <a:xfrm>
          <a:off x="10896600" y="136493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6" name="Line 75">
          <a:extLst>
            <a:ext uri="{FF2B5EF4-FFF2-40B4-BE49-F238E27FC236}">
              <a16:creationId xmlns:a16="http://schemas.microsoft.com/office/drawing/2014/main" id="{B76AB1EF-4373-4BE4-9012-7FACD5BBFEC7}"/>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7" name="Line 76">
          <a:extLst>
            <a:ext uri="{FF2B5EF4-FFF2-40B4-BE49-F238E27FC236}">
              <a16:creationId xmlns:a16="http://schemas.microsoft.com/office/drawing/2014/main" id="{3CA98BFA-B55B-4436-9DA8-ABA7050B40D1}"/>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78" name="Line 77">
          <a:extLst>
            <a:ext uri="{FF2B5EF4-FFF2-40B4-BE49-F238E27FC236}">
              <a16:creationId xmlns:a16="http://schemas.microsoft.com/office/drawing/2014/main" id="{B65F70D9-2FBA-4C2B-8365-327DB85B7EBD}"/>
            </a:ext>
          </a:extLst>
        </xdr:cNvPr>
        <xdr:cNvSpPr>
          <a:spLocks noChangeShapeType="1"/>
        </xdr:cNvSpPr>
      </xdr:nvSpPr>
      <xdr:spPr bwMode="auto">
        <a:xfrm>
          <a:off x="7324725" y="125158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79" name="Line 78">
          <a:extLst>
            <a:ext uri="{FF2B5EF4-FFF2-40B4-BE49-F238E27FC236}">
              <a16:creationId xmlns:a16="http://schemas.microsoft.com/office/drawing/2014/main" id="{624F555C-FB6B-4409-B094-FDD1A3C48773}"/>
            </a:ext>
          </a:extLst>
        </xdr:cNvPr>
        <xdr:cNvSpPr>
          <a:spLocks noChangeShapeType="1"/>
        </xdr:cNvSpPr>
      </xdr:nvSpPr>
      <xdr:spPr bwMode="auto">
        <a:xfrm>
          <a:off x="4762500" y="125158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0" name="Line 79">
          <a:extLst>
            <a:ext uri="{FF2B5EF4-FFF2-40B4-BE49-F238E27FC236}">
              <a16:creationId xmlns:a16="http://schemas.microsoft.com/office/drawing/2014/main" id="{380E6A2C-D864-4388-93E9-FA9E27A69448}"/>
            </a:ext>
          </a:extLst>
        </xdr:cNvPr>
        <xdr:cNvSpPr>
          <a:spLocks noChangeShapeType="1"/>
        </xdr:cNvSpPr>
      </xdr:nvSpPr>
      <xdr:spPr bwMode="auto">
        <a:xfrm>
          <a:off x="2619375" y="12515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1" name="Line 80">
          <a:extLst>
            <a:ext uri="{FF2B5EF4-FFF2-40B4-BE49-F238E27FC236}">
              <a16:creationId xmlns:a16="http://schemas.microsoft.com/office/drawing/2014/main" id="{BC6428AB-191B-4EF2-B0D2-FFEF2F3E8C5E}"/>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 name="Line 81">
          <a:extLst>
            <a:ext uri="{FF2B5EF4-FFF2-40B4-BE49-F238E27FC236}">
              <a16:creationId xmlns:a16="http://schemas.microsoft.com/office/drawing/2014/main" id="{9CBDAC9F-24E5-4639-AC10-E516EC485609}"/>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 name="Line 82">
          <a:extLst>
            <a:ext uri="{FF2B5EF4-FFF2-40B4-BE49-F238E27FC236}">
              <a16:creationId xmlns:a16="http://schemas.microsoft.com/office/drawing/2014/main" id="{15C033A5-B3D5-4E1E-B597-E28050DDBAC2}"/>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4" name="Line 83">
          <a:extLst>
            <a:ext uri="{FF2B5EF4-FFF2-40B4-BE49-F238E27FC236}">
              <a16:creationId xmlns:a16="http://schemas.microsoft.com/office/drawing/2014/main" id="{C91C60DC-0674-42E6-A265-BEC9C156980A}"/>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5" name="Line 84">
          <a:extLst>
            <a:ext uri="{FF2B5EF4-FFF2-40B4-BE49-F238E27FC236}">
              <a16:creationId xmlns:a16="http://schemas.microsoft.com/office/drawing/2014/main" id="{AC223E8A-4AF8-46EF-B6F0-BCD2B30A2C36}"/>
            </a:ext>
          </a:extLst>
        </xdr:cNvPr>
        <xdr:cNvSpPr>
          <a:spLocks noChangeShapeType="1"/>
        </xdr:cNvSpPr>
      </xdr:nvSpPr>
      <xdr:spPr bwMode="auto">
        <a:xfrm>
          <a:off x="4762500" y="1348740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6" name="Line 85">
          <a:extLst>
            <a:ext uri="{FF2B5EF4-FFF2-40B4-BE49-F238E27FC236}">
              <a16:creationId xmlns:a16="http://schemas.microsoft.com/office/drawing/2014/main" id="{BFF38489-8165-4BBF-BA9F-015DC1738A50}"/>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7" name="Line 86">
          <a:extLst>
            <a:ext uri="{FF2B5EF4-FFF2-40B4-BE49-F238E27FC236}">
              <a16:creationId xmlns:a16="http://schemas.microsoft.com/office/drawing/2014/main" id="{7620AAFF-A94F-4477-8CC8-3AECC7E150D8}"/>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8" name="Line 87">
          <a:extLst>
            <a:ext uri="{FF2B5EF4-FFF2-40B4-BE49-F238E27FC236}">
              <a16:creationId xmlns:a16="http://schemas.microsoft.com/office/drawing/2014/main" id="{59583F93-2BC3-4C6F-81EB-8C3B86768102}"/>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9" name="Line 88">
          <a:extLst>
            <a:ext uri="{FF2B5EF4-FFF2-40B4-BE49-F238E27FC236}">
              <a16:creationId xmlns:a16="http://schemas.microsoft.com/office/drawing/2014/main" id="{0B978631-D510-4B5A-B957-41039527A60B}"/>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90" name="Line 89">
          <a:extLst>
            <a:ext uri="{FF2B5EF4-FFF2-40B4-BE49-F238E27FC236}">
              <a16:creationId xmlns:a16="http://schemas.microsoft.com/office/drawing/2014/main" id="{12BA690D-A167-4BD9-8EA6-19D86461EDDC}"/>
            </a:ext>
          </a:extLst>
        </xdr:cNvPr>
        <xdr:cNvSpPr>
          <a:spLocks noChangeShapeType="1"/>
        </xdr:cNvSpPr>
      </xdr:nvSpPr>
      <xdr:spPr bwMode="auto">
        <a:xfrm>
          <a:off x="4762500" y="7848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91" name="Line 90">
          <a:extLst>
            <a:ext uri="{FF2B5EF4-FFF2-40B4-BE49-F238E27FC236}">
              <a16:creationId xmlns:a16="http://schemas.microsoft.com/office/drawing/2014/main" id="{48433CC7-65D3-4513-AE4A-F50C5B385DA7}"/>
            </a:ext>
          </a:extLst>
        </xdr:cNvPr>
        <xdr:cNvSpPr>
          <a:spLocks noChangeShapeType="1"/>
        </xdr:cNvSpPr>
      </xdr:nvSpPr>
      <xdr:spPr bwMode="auto">
        <a:xfrm>
          <a:off x="4762500" y="7686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92" name="Line 91">
          <a:extLst>
            <a:ext uri="{FF2B5EF4-FFF2-40B4-BE49-F238E27FC236}">
              <a16:creationId xmlns:a16="http://schemas.microsoft.com/office/drawing/2014/main" id="{524F35E3-A81B-4D85-BAE5-9A87B92EBF3A}"/>
            </a:ext>
          </a:extLst>
        </xdr:cNvPr>
        <xdr:cNvSpPr>
          <a:spLocks noChangeShapeType="1"/>
        </xdr:cNvSpPr>
      </xdr:nvSpPr>
      <xdr:spPr bwMode="auto">
        <a:xfrm>
          <a:off x="4762500" y="104108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93" name="Line 92">
          <a:extLst>
            <a:ext uri="{FF2B5EF4-FFF2-40B4-BE49-F238E27FC236}">
              <a16:creationId xmlns:a16="http://schemas.microsoft.com/office/drawing/2014/main" id="{96AD204C-B471-4135-93CD-6B856B721070}"/>
            </a:ext>
          </a:extLst>
        </xdr:cNvPr>
        <xdr:cNvSpPr>
          <a:spLocks noChangeShapeType="1"/>
        </xdr:cNvSpPr>
      </xdr:nvSpPr>
      <xdr:spPr bwMode="auto">
        <a:xfrm>
          <a:off x="4762500" y="102489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94" name="Line 93">
          <a:extLst>
            <a:ext uri="{FF2B5EF4-FFF2-40B4-BE49-F238E27FC236}">
              <a16:creationId xmlns:a16="http://schemas.microsoft.com/office/drawing/2014/main" id="{07567669-6C5E-4E1C-B73A-65CE4E79D75A}"/>
            </a:ext>
          </a:extLst>
        </xdr:cNvPr>
        <xdr:cNvSpPr>
          <a:spLocks noChangeShapeType="1"/>
        </xdr:cNvSpPr>
      </xdr:nvSpPr>
      <xdr:spPr bwMode="auto">
        <a:xfrm>
          <a:off x="7324725" y="57435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95" name="Line 94">
          <a:extLst>
            <a:ext uri="{FF2B5EF4-FFF2-40B4-BE49-F238E27FC236}">
              <a16:creationId xmlns:a16="http://schemas.microsoft.com/office/drawing/2014/main" id="{BE47EC33-7A73-4576-82ED-9AF54E04499B}"/>
            </a:ext>
          </a:extLst>
        </xdr:cNvPr>
        <xdr:cNvSpPr>
          <a:spLocks noChangeShapeType="1"/>
        </xdr:cNvSpPr>
      </xdr:nvSpPr>
      <xdr:spPr bwMode="auto">
        <a:xfrm>
          <a:off x="7324725" y="55816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96" name="Line 95">
          <a:extLst>
            <a:ext uri="{FF2B5EF4-FFF2-40B4-BE49-F238E27FC236}">
              <a16:creationId xmlns:a16="http://schemas.microsoft.com/office/drawing/2014/main" id="{0BA1FC00-CB83-4F45-974A-1648064D5D02}"/>
            </a:ext>
          </a:extLst>
        </xdr:cNvPr>
        <xdr:cNvSpPr>
          <a:spLocks noChangeShapeType="1"/>
        </xdr:cNvSpPr>
      </xdr:nvSpPr>
      <xdr:spPr bwMode="auto">
        <a:xfrm>
          <a:off x="7324725" y="7848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97" name="Line 96">
          <a:extLst>
            <a:ext uri="{FF2B5EF4-FFF2-40B4-BE49-F238E27FC236}">
              <a16:creationId xmlns:a16="http://schemas.microsoft.com/office/drawing/2014/main" id="{4CAFE4C9-2E6A-4D95-9F47-DE764FE20110}"/>
            </a:ext>
          </a:extLst>
        </xdr:cNvPr>
        <xdr:cNvSpPr>
          <a:spLocks noChangeShapeType="1"/>
        </xdr:cNvSpPr>
      </xdr:nvSpPr>
      <xdr:spPr bwMode="auto">
        <a:xfrm>
          <a:off x="7324725" y="76866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98" name="Line 97">
          <a:extLst>
            <a:ext uri="{FF2B5EF4-FFF2-40B4-BE49-F238E27FC236}">
              <a16:creationId xmlns:a16="http://schemas.microsoft.com/office/drawing/2014/main" id="{2A94E8FF-9A27-4D99-9592-91117CCE7C60}"/>
            </a:ext>
          </a:extLst>
        </xdr:cNvPr>
        <xdr:cNvSpPr>
          <a:spLocks noChangeShapeType="1"/>
        </xdr:cNvSpPr>
      </xdr:nvSpPr>
      <xdr:spPr bwMode="auto">
        <a:xfrm>
          <a:off x="7324725" y="104108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99" name="Line 98">
          <a:extLst>
            <a:ext uri="{FF2B5EF4-FFF2-40B4-BE49-F238E27FC236}">
              <a16:creationId xmlns:a16="http://schemas.microsoft.com/office/drawing/2014/main" id="{47FA4914-7560-4722-84E3-19587519E166}"/>
            </a:ext>
          </a:extLst>
        </xdr:cNvPr>
        <xdr:cNvSpPr>
          <a:spLocks noChangeShapeType="1"/>
        </xdr:cNvSpPr>
      </xdr:nvSpPr>
      <xdr:spPr bwMode="auto">
        <a:xfrm>
          <a:off x="7324725" y="102489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0" name="Line 99">
          <a:extLst>
            <a:ext uri="{FF2B5EF4-FFF2-40B4-BE49-F238E27FC236}">
              <a16:creationId xmlns:a16="http://schemas.microsoft.com/office/drawing/2014/main" id="{1FEA66BB-3402-40A6-B2E1-CE00D1643283}"/>
            </a:ext>
          </a:extLst>
        </xdr:cNvPr>
        <xdr:cNvSpPr>
          <a:spLocks noChangeShapeType="1"/>
        </xdr:cNvSpPr>
      </xdr:nvSpPr>
      <xdr:spPr bwMode="auto">
        <a:xfrm>
          <a:off x="7324725" y="121920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1" name="Line 100">
          <a:extLst>
            <a:ext uri="{FF2B5EF4-FFF2-40B4-BE49-F238E27FC236}">
              <a16:creationId xmlns:a16="http://schemas.microsoft.com/office/drawing/2014/main" id="{2198A253-D68F-42A1-81D2-CCC68D647520}"/>
            </a:ext>
          </a:extLst>
        </xdr:cNvPr>
        <xdr:cNvSpPr>
          <a:spLocks noChangeShapeType="1"/>
        </xdr:cNvSpPr>
      </xdr:nvSpPr>
      <xdr:spPr bwMode="auto">
        <a:xfrm>
          <a:off x="7324725" y="120300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2" name="Line 101">
          <a:extLst>
            <a:ext uri="{FF2B5EF4-FFF2-40B4-BE49-F238E27FC236}">
              <a16:creationId xmlns:a16="http://schemas.microsoft.com/office/drawing/2014/main" id="{1D736C4A-2A1B-4255-8DA7-ECBEA7052C01}"/>
            </a:ext>
          </a:extLst>
        </xdr:cNvPr>
        <xdr:cNvSpPr>
          <a:spLocks noChangeShapeType="1"/>
        </xdr:cNvSpPr>
      </xdr:nvSpPr>
      <xdr:spPr bwMode="auto">
        <a:xfrm>
          <a:off x="7324725" y="136493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 name="Line 103">
          <a:extLst>
            <a:ext uri="{FF2B5EF4-FFF2-40B4-BE49-F238E27FC236}">
              <a16:creationId xmlns:a16="http://schemas.microsoft.com/office/drawing/2014/main" id="{FAE41718-4697-4FBC-A82A-132A2B463C15}"/>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 name="Line 107">
          <a:extLst>
            <a:ext uri="{FF2B5EF4-FFF2-40B4-BE49-F238E27FC236}">
              <a16:creationId xmlns:a16="http://schemas.microsoft.com/office/drawing/2014/main" id="{96A22339-650A-4E36-980E-61C96EDC42C1}"/>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5" name="Line 108">
          <a:extLst>
            <a:ext uri="{FF2B5EF4-FFF2-40B4-BE49-F238E27FC236}">
              <a16:creationId xmlns:a16="http://schemas.microsoft.com/office/drawing/2014/main" id="{2F027638-96F8-4A60-B1F2-698C82FF8001}"/>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6" name="Line 109">
          <a:extLst>
            <a:ext uri="{FF2B5EF4-FFF2-40B4-BE49-F238E27FC236}">
              <a16:creationId xmlns:a16="http://schemas.microsoft.com/office/drawing/2014/main" id="{5D964D8A-B21D-4231-9A95-8CB9867167F3}"/>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7" name="Line 110">
          <a:extLst>
            <a:ext uri="{FF2B5EF4-FFF2-40B4-BE49-F238E27FC236}">
              <a16:creationId xmlns:a16="http://schemas.microsoft.com/office/drawing/2014/main" id="{77B8E596-1721-4425-9DBB-73E0FA47CBBB}"/>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8" name="Line 111">
          <a:extLst>
            <a:ext uri="{FF2B5EF4-FFF2-40B4-BE49-F238E27FC236}">
              <a16:creationId xmlns:a16="http://schemas.microsoft.com/office/drawing/2014/main" id="{F7C43F4A-B623-4D5B-8DE9-E62F6C124763}"/>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9" name="Line 112">
          <a:extLst>
            <a:ext uri="{FF2B5EF4-FFF2-40B4-BE49-F238E27FC236}">
              <a16:creationId xmlns:a16="http://schemas.microsoft.com/office/drawing/2014/main" id="{0853AEAA-917E-48EC-B37E-B0CC91785F8B}"/>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10" name="Line 113">
          <a:extLst>
            <a:ext uri="{FF2B5EF4-FFF2-40B4-BE49-F238E27FC236}">
              <a16:creationId xmlns:a16="http://schemas.microsoft.com/office/drawing/2014/main" id="{DA406523-D9BC-4160-817E-569265E7AC0C}"/>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11" name="Line 114">
          <a:extLst>
            <a:ext uri="{FF2B5EF4-FFF2-40B4-BE49-F238E27FC236}">
              <a16:creationId xmlns:a16="http://schemas.microsoft.com/office/drawing/2014/main" id="{CC1C3BB3-6D6C-48D2-A420-542C09A18491}"/>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12" name="Line 115">
          <a:extLst>
            <a:ext uri="{FF2B5EF4-FFF2-40B4-BE49-F238E27FC236}">
              <a16:creationId xmlns:a16="http://schemas.microsoft.com/office/drawing/2014/main" id="{2BC5190E-943F-4ECF-85A7-805E41E39A5B}"/>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13" name="Line 116">
          <a:extLst>
            <a:ext uri="{FF2B5EF4-FFF2-40B4-BE49-F238E27FC236}">
              <a16:creationId xmlns:a16="http://schemas.microsoft.com/office/drawing/2014/main" id="{1FF7D652-C46E-4121-82C5-A90686A6C91F}"/>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4" name="Line 75">
          <a:extLst>
            <a:ext uri="{FF2B5EF4-FFF2-40B4-BE49-F238E27FC236}">
              <a16:creationId xmlns:a16="http://schemas.microsoft.com/office/drawing/2014/main" id="{3E6D13EB-F68B-4FD8-8A24-AB768798A858}"/>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15" name="Line 87">
          <a:extLst>
            <a:ext uri="{FF2B5EF4-FFF2-40B4-BE49-F238E27FC236}">
              <a16:creationId xmlns:a16="http://schemas.microsoft.com/office/drawing/2014/main" id="{FD536970-2E55-43CD-BFB4-285348EAD034}"/>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16" name="Line 75">
          <a:extLst>
            <a:ext uri="{FF2B5EF4-FFF2-40B4-BE49-F238E27FC236}">
              <a16:creationId xmlns:a16="http://schemas.microsoft.com/office/drawing/2014/main" id="{836A980F-B350-4A07-8579-870B91D0B0CD}"/>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17" name="Line 79">
          <a:extLst>
            <a:ext uri="{FF2B5EF4-FFF2-40B4-BE49-F238E27FC236}">
              <a16:creationId xmlns:a16="http://schemas.microsoft.com/office/drawing/2014/main" id="{14F5937F-8297-4462-A357-8A5F7D1D34FE}"/>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18" name="Line 87">
          <a:extLst>
            <a:ext uri="{FF2B5EF4-FFF2-40B4-BE49-F238E27FC236}">
              <a16:creationId xmlns:a16="http://schemas.microsoft.com/office/drawing/2014/main" id="{04D0D032-06F8-4FAD-B303-5AEA000FB85B}"/>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9" name="Line 75">
          <a:extLst>
            <a:ext uri="{FF2B5EF4-FFF2-40B4-BE49-F238E27FC236}">
              <a16:creationId xmlns:a16="http://schemas.microsoft.com/office/drawing/2014/main" id="{5C73511B-0787-481F-AA90-EB37E0F847C3}"/>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0" name="Line 87">
          <a:extLst>
            <a:ext uri="{FF2B5EF4-FFF2-40B4-BE49-F238E27FC236}">
              <a16:creationId xmlns:a16="http://schemas.microsoft.com/office/drawing/2014/main" id="{7C993CF5-02FE-40A1-AB4B-CE89C8AEBD5C}"/>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1" name="Line 75">
          <a:extLst>
            <a:ext uri="{FF2B5EF4-FFF2-40B4-BE49-F238E27FC236}">
              <a16:creationId xmlns:a16="http://schemas.microsoft.com/office/drawing/2014/main" id="{A7FF4739-B612-447E-97B6-B370B65B0D87}"/>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2" name="Line 79">
          <a:extLst>
            <a:ext uri="{FF2B5EF4-FFF2-40B4-BE49-F238E27FC236}">
              <a16:creationId xmlns:a16="http://schemas.microsoft.com/office/drawing/2014/main" id="{639DA61B-08C5-451D-8394-447A19BAE08A}"/>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3" name="Line 87">
          <a:extLst>
            <a:ext uri="{FF2B5EF4-FFF2-40B4-BE49-F238E27FC236}">
              <a16:creationId xmlns:a16="http://schemas.microsoft.com/office/drawing/2014/main" id="{E712E6DA-93D2-4944-B981-74B7135BF501}"/>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 name="Line 1">
          <a:extLst>
            <a:ext uri="{FF2B5EF4-FFF2-40B4-BE49-F238E27FC236}">
              <a16:creationId xmlns:a16="http://schemas.microsoft.com/office/drawing/2014/main" id="{1B1780D2-6D6F-48D5-990D-5A3D5CFDEE31}"/>
            </a:ext>
          </a:extLst>
        </xdr:cNvPr>
        <xdr:cNvSpPr>
          <a:spLocks noChangeShapeType="1"/>
        </xdr:cNvSpPr>
      </xdr:nvSpPr>
      <xdr:spPr bwMode="auto">
        <a:xfrm>
          <a:off x="4762500" y="55816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3" name="Line 2">
          <a:extLst>
            <a:ext uri="{FF2B5EF4-FFF2-40B4-BE49-F238E27FC236}">
              <a16:creationId xmlns:a16="http://schemas.microsoft.com/office/drawing/2014/main" id="{3E53112E-2BCF-4279-A7A6-98C390CAFD22}"/>
            </a:ext>
          </a:extLst>
        </xdr:cNvPr>
        <xdr:cNvSpPr>
          <a:spLocks noChangeShapeType="1"/>
        </xdr:cNvSpPr>
      </xdr:nvSpPr>
      <xdr:spPr bwMode="auto">
        <a:xfrm>
          <a:off x="4762500" y="57435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 name="Line 3">
          <a:extLst>
            <a:ext uri="{FF2B5EF4-FFF2-40B4-BE49-F238E27FC236}">
              <a16:creationId xmlns:a16="http://schemas.microsoft.com/office/drawing/2014/main" id="{267EC469-1034-40D9-8E4A-0E43B14EBD81}"/>
            </a:ext>
          </a:extLst>
        </xdr:cNvPr>
        <xdr:cNvSpPr>
          <a:spLocks noChangeShapeType="1"/>
        </xdr:cNvSpPr>
      </xdr:nvSpPr>
      <xdr:spPr bwMode="auto">
        <a:xfrm>
          <a:off x="4762500" y="4448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5" name="Line 4">
          <a:extLst>
            <a:ext uri="{FF2B5EF4-FFF2-40B4-BE49-F238E27FC236}">
              <a16:creationId xmlns:a16="http://schemas.microsoft.com/office/drawing/2014/main" id="{1BD63ED0-ADFA-472A-AC32-815532ACF96D}"/>
            </a:ext>
          </a:extLst>
        </xdr:cNvPr>
        <xdr:cNvSpPr>
          <a:spLocks noChangeShapeType="1"/>
        </xdr:cNvSpPr>
      </xdr:nvSpPr>
      <xdr:spPr bwMode="auto">
        <a:xfrm>
          <a:off x="7324725" y="44481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 name="Line 5">
          <a:extLst>
            <a:ext uri="{FF2B5EF4-FFF2-40B4-BE49-F238E27FC236}">
              <a16:creationId xmlns:a16="http://schemas.microsoft.com/office/drawing/2014/main" id="{E53061A5-44FC-477F-829D-A528D0B1D743}"/>
            </a:ext>
          </a:extLst>
        </xdr:cNvPr>
        <xdr:cNvSpPr>
          <a:spLocks noChangeShapeType="1"/>
        </xdr:cNvSpPr>
      </xdr:nvSpPr>
      <xdr:spPr bwMode="auto">
        <a:xfrm>
          <a:off x="10896600" y="558165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7" name="Line 6">
          <a:extLst>
            <a:ext uri="{FF2B5EF4-FFF2-40B4-BE49-F238E27FC236}">
              <a16:creationId xmlns:a16="http://schemas.microsoft.com/office/drawing/2014/main" id="{CD6ED743-6410-43BB-A776-820F3BFF4F24}"/>
            </a:ext>
          </a:extLst>
        </xdr:cNvPr>
        <xdr:cNvSpPr>
          <a:spLocks noChangeShapeType="1"/>
        </xdr:cNvSpPr>
      </xdr:nvSpPr>
      <xdr:spPr bwMode="auto">
        <a:xfrm>
          <a:off x="10896600" y="57435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 name="Line 7">
          <a:extLst>
            <a:ext uri="{FF2B5EF4-FFF2-40B4-BE49-F238E27FC236}">
              <a16:creationId xmlns:a16="http://schemas.microsoft.com/office/drawing/2014/main" id="{AEA08DAC-3089-4AE9-9CE2-EA6EA1E9BE77}"/>
            </a:ext>
          </a:extLst>
        </xdr:cNvPr>
        <xdr:cNvSpPr>
          <a:spLocks noChangeShapeType="1"/>
        </xdr:cNvSpPr>
      </xdr:nvSpPr>
      <xdr:spPr bwMode="auto">
        <a:xfrm>
          <a:off x="4762500" y="590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9" name="Line 8">
          <a:extLst>
            <a:ext uri="{FF2B5EF4-FFF2-40B4-BE49-F238E27FC236}">
              <a16:creationId xmlns:a16="http://schemas.microsoft.com/office/drawing/2014/main" id="{AE9E1C3B-35A7-4320-9971-9D8C1B1E14F6}"/>
            </a:ext>
          </a:extLst>
        </xdr:cNvPr>
        <xdr:cNvSpPr>
          <a:spLocks noChangeShapeType="1"/>
        </xdr:cNvSpPr>
      </xdr:nvSpPr>
      <xdr:spPr bwMode="auto">
        <a:xfrm>
          <a:off x="4762500" y="6067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 name="Line 9">
          <a:extLst>
            <a:ext uri="{FF2B5EF4-FFF2-40B4-BE49-F238E27FC236}">
              <a16:creationId xmlns:a16="http://schemas.microsoft.com/office/drawing/2014/main" id="{1D3973DC-CE87-41EB-90AE-AA4797AA774B}"/>
            </a:ext>
          </a:extLst>
        </xdr:cNvPr>
        <xdr:cNvSpPr>
          <a:spLocks noChangeShapeType="1"/>
        </xdr:cNvSpPr>
      </xdr:nvSpPr>
      <xdr:spPr bwMode="auto">
        <a:xfrm>
          <a:off x="4762500" y="62293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1" name="Line 10">
          <a:extLst>
            <a:ext uri="{FF2B5EF4-FFF2-40B4-BE49-F238E27FC236}">
              <a16:creationId xmlns:a16="http://schemas.microsoft.com/office/drawing/2014/main" id="{53B7ADE7-0E5F-4C69-A610-F71016F21E1A}"/>
            </a:ext>
          </a:extLst>
        </xdr:cNvPr>
        <xdr:cNvSpPr>
          <a:spLocks noChangeShapeType="1"/>
        </xdr:cNvSpPr>
      </xdr:nvSpPr>
      <xdr:spPr bwMode="auto">
        <a:xfrm>
          <a:off x="7324725"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 name="Line 11">
          <a:extLst>
            <a:ext uri="{FF2B5EF4-FFF2-40B4-BE49-F238E27FC236}">
              <a16:creationId xmlns:a16="http://schemas.microsoft.com/office/drawing/2014/main" id="{9DA0FA70-6047-455A-B162-5F2A631A78E2}"/>
            </a:ext>
          </a:extLst>
        </xdr:cNvPr>
        <xdr:cNvSpPr>
          <a:spLocks noChangeShapeType="1"/>
        </xdr:cNvSpPr>
      </xdr:nvSpPr>
      <xdr:spPr bwMode="auto">
        <a:xfrm>
          <a:off x="7324725"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3" name="Line 12">
          <a:extLst>
            <a:ext uri="{FF2B5EF4-FFF2-40B4-BE49-F238E27FC236}">
              <a16:creationId xmlns:a16="http://schemas.microsoft.com/office/drawing/2014/main" id="{FBA250B7-DE40-47D5-B7F0-F01442E4E6A4}"/>
            </a:ext>
          </a:extLst>
        </xdr:cNvPr>
        <xdr:cNvSpPr>
          <a:spLocks noChangeShapeType="1"/>
        </xdr:cNvSpPr>
      </xdr:nvSpPr>
      <xdr:spPr bwMode="auto">
        <a:xfrm>
          <a:off x="7324725"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 name="Line 13">
          <a:extLst>
            <a:ext uri="{FF2B5EF4-FFF2-40B4-BE49-F238E27FC236}">
              <a16:creationId xmlns:a16="http://schemas.microsoft.com/office/drawing/2014/main" id="{8F4EB020-8FA4-495F-9E06-39E2FF37AB1F}"/>
            </a:ext>
          </a:extLst>
        </xdr:cNvPr>
        <xdr:cNvSpPr>
          <a:spLocks noChangeShapeType="1"/>
        </xdr:cNvSpPr>
      </xdr:nvSpPr>
      <xdr:spPr bwMode="auto">
        <a:xfrm>
          <a:off x="10896600"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5" name="Line 14">
          <a:extLst>
            <a:ext uri="{FF2B5EF4-FFF2-40B4-BE49-F238E27FC236}">
              <a16:creationId xmlns:a16="http://schemas.microsoft.com/office/drawing/2014/main" id="{8EDFAB23-3F1B-4060-8A58-1F3D2D6A26EC}"/>
            </a:ext>
          </a:extLst>
        </xdr:cNvPr>
        <xdr:cNvSpPr>
          <a:spLocks noChangeShapeType="1"/>
        </xdr:cNvSpPr>
      </xdr:nvSpPr>
      <xdr:spPr bwMode="auto">
        <a:xfrm>
          <a:off x="10896600"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6" name="Line 15">
          <a:extLst>
            <a:ext uri="{FF2B5EF4-FFF2-40B4-BE49-F238E27FC236}">
              <a16:creationId xmlns:a16="http://schemas.microsoft.com/office/drawing/2014/main" id="{47AFE93C-05B5-41A3-806C-6A3B88DA6C6A}"/>
            </a:ext>
          </a:extLst>
        </xdr:cNvPr>
        <xdr:cNvSpPr>
          <a:spLocks noChangeShapeType="1"/>
        </xdr:cNvSpPr>
      </xdr:nvSpPr>
      <xdr:spPr bwMode="auto">
        <a:xfrm>
          <a:off x="10896600"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7" name="Line 16">
          <a:extLst>
            <a:ext uri="{FF2B5EF4-FFF2-40B4-BE49-F238E27FC236}">
              <a16:creationId xmlns:a16="http://schemas.microsoft.com/office/drawing/2014/main" id="{F4E760E3-9AAA-4F79-AE1A-04C1629BBF4D}"/>
            </a:ext>
          </a:extLst>
        </xdr:cNvPr>
        <xdr:cNvSpPr>
          <a:spLocks noChangeShapeType="1"/>
        </xdr:cNvSpPr>
      </xdr:nvSpPr>
      <xdr:spPr bwMode="auto">
        <a:xfrm>
          <a:off x="10896600" y="76866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8" name="Line 17">
          <a:extLst>
            <a:ext uri="{FF2B5EF4-FFF2-40B4-BE49-F238E27FC236}">
              <a16:creationId xmlns:a16="http://schemas.microsoft.com/office/drawing/2014/main" id="{D8A6580F-3783-4CE2-ABCC-AA55E3D8966F}"/>
            </a:ext>
          </a:extLst>
        </xdr:cNvPr>
        <xdr:cNvSpPr>
          <a:spLocks noChangeShapeType="1"/>
        </xdr:cNvSpPr>
      </xdr:nvSpPr>
      <xdr:spPr bwMode="auto">
        <a:xfrm>
          <a:off x="2619375" y="4448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9" name="Line 18">
          <a:extLst>
            <a:ext uri="{FF2B5EF4-FFF2-40B4-BE49-F238E27FC236}">
              <a16:creationId xmlns:a16="http://schemas.microsoft.com/office/drawing/2014/main" id="{55880C4D-C765-4305-BB55-28ED6C11A83A}"/>
            </a:ext>
          </a:extLst>
        </xdr:cNvPr>
        <xdr:cNvSpPr>
          <a:spLocks noChangeShapeType="1"/>
        </xdr:cNvSpPr>
      </xdr:nvSpPr>
      <xdr:spPr bwMode="auto">
        <a:xfrm>
          <a:off x="2619375" y="55816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0" name="Line 19">
          <a:extLst>
            <a:ext uri="{FF2B5EF4-FFF2-40B4-BE49-F238E27FC236}">
              <a16:creationId xmlns:a16="http://schemas.microsoft.com/office/drawing/2014/main" id="{26EFE726-8629-4E6A-8E15-7D7486762111}"/>
            </a:ext>
          </a:extLst>
        </xdr:cNvPr>
        <xdr:cNvSpPr>
          <a:spLocks noChangeShapeType="1"/>
        </xdr:cNvSpPr>
      </xdr:nvSpPr>
      <xdr:spPr bwMode="auto">
        <a:xfrm>
          <a:off x="2619375" y="57435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1" name="Line 20">
          <a:extLst>
            <a:ext uri="{FF2B5EF4-FFF2-40B4-BE49-F238E27FC236}">
              <a16:creationId xmlns:a16="http://schemas.microsoft.com/office/drawing/2014/main" id="{A057CCD1-3D5E-4B7E-86A9-CA48B8118F23}"/>
            </a:ext>
          </a:extLst>
        </xdr:cNvPr>
        <xdr:cNvSpPr>
          <a:spLocks noChangeShapeType="1"/>
        </xdr:cNvSpPr>
      </xdr:nvSpPr>
      <xdr:spPr bwMode="auto">
        <a:xfrm>
          <a:off x="2619375" y="59055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2" name="Line 21">
          <a:extLst>
            <a:ext uri="{FF2B5EF4-FFF2-40B4-BE49-F238E27FC236}">
              <a16:creationId xmlns:a16="http://schemas.microsoft.com/office/drawing/2014/main" id="{FDD7CC73-F955-4205-A51E-5428008EF6D6}"/>
            </a:ext>
          </a:extLst>
        </xdr:cNvPr>
        <xdr:cNvSpPr>
          <a:spLocks noChangeShapeType="1"/>
        </xdr:cNvSpPr>
      </xdr:nvSpPr>
      <xdr:spPr bwMode="auto">
        <a:xfrm>
          <a:off x="2619375" y="6067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3" name="Line 22">
          <a:extLst>
            <a:ext uri="{FF2B5EF4-FFF2-40B4-BE49-F238E27FC236}">
              <a16:creationId xmlns:a16="http://schemas.microsoft.com/office/drawing/2014/main" id="{378EA583-32C2-4348-AAA7-E0BE8A72B77D}"/>
            </a:ext>
          </a:extLst>
        </xdr:cNvPr>
        <xdr:cNvSpPr>
          <a:spLocks noChangeShapeType="1"/>
        </xdr:cNvSpPr>
      </xdr:nvSpPr>
      <xdr:spPr bwMode="auto">
        <a:xfrm>
          <a:off x="2619375" y="62293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4" name="Line 23">
          <a:extLst>
            <a:ext uri="{FF2B5EF4-FFF2-40B4-BE49-F238E27FC236}">
              <a16:creationId xmlns:a16="http://schemas.microsoft.com/office/drawing/2014/main" id="{BED0461B-6F79-4CEC-AEC9-F4EE930FF894}"/>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5" name="Line 24">
          <a:extLst>
            <a:ext uri="{FF2B5EF4-FFF2-40B4-BE49-F238E27FC236}">
              <a16:creationId xmlns:a16="http://schemas.microsoft.com/office/drawing/2014/main" id="{8916F3A5-41FB-4208-9C32-7C202A956E7E}"/>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6" name="Line 25">
          <a:extLst>
            <a:ext uri="{FF2B5EF4-FFF2-40B4-BE49-F238E27FC236}">
              <a16:creationId xmlns:a16="http://schemas.microsoft.com/office/drawing/2014/main" id="{DD54E60B-8397-4BA1-B1C2-A346462AA617}"/>
            </a:ext>
          </a:extLst>
        </xdr:cNvPr>
        <xdr:cNvSpPr>
          <a:spLocks noChangeShapeType="1"/>
        </xdr:cNvSpPr>
      </xdr:nvSpPr>
      <xdr:spPr bwMode="auto">
        <a:xfrm>
          <a:off x="7324725" y="65532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7" name="Line 26">
          <a:extLst>
            <a:ext uri="{FF2B5EF4-FFF2-40B4-BE49-F238E27FC236}">
              <a16:creationId xmlns:a16="http://schemas.microsoft.com/office/drawing/2014/main" id="{48775927-2529-4ECC-94EC-F3608A024D98}"/>
            </a:ext>
          </a:extLst>
        </xdr:cNvPr>
        <xdr:cNvSpPr>
          <a:spLocks noChangeShapeType="1"/>
        </xdr:cNvSpPr>
      </xdr:nvSpPr>
      <xdr:spPr bwMode="auto">
        <a:xfrm>
          <a:off x="10896600" y="78486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8" name="Line 27">
          <a:extLst>
            <a:ext uri="{FF2B5EF4-FFF2-40B4-BE49-F238E27FC236}">
              <a16:creationId xmlns:a16="http://schemas.microsoft.com/office/drawing/2014/main" id="{EA5AF6F1-2F82-40E8-92BF-3BD85AAFE5C8}"/>
            </a:ext>
          </a:extLst>
        </xdr:cNvPr>
        <xdr:cNvSpPr>
          <a:spLocks noChangeShapeType="1"/>
        </xdr:cNvSpPr>
      </xdr:nvSpPr>
      <xdr:spPr bwMode="auto">
        <a:xfrm>
          <a:off x="4762500" y="65532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9" name="Line 28">
          <a:extLst>
            <a:ext uri="{FF2B5EF4-FFF2-40B4-BE49-F238E27FC236}">
              <a16:creationId xmlns:a16="http://schemas.microsoft.com/office/drawing/2014/main" id="{18F45036-EC31-4E8D-94E4-90FBE8F6696F}"/>
            </a:ext>
          </a:extLst>
        </xdr:cNvPr>
        <xdr:cNvSpPr>
          <a:spLocks noChangeShapeType="1"/>
        </xdr:cNvSpPr>
      </xdr:nvSpPr>
      <xdr:spPr bwMode="auto">
        <a:xfrm>
          <a:off x="4762500" y="80105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30" name="Line 29">
          <a:extLst>
            <a:ext uri="{FF2B5EF4-FFF2-40B4-BE49-F238E27FC236}">
              <a16:creationId xmlns:a16="http://schemas.microsoft.com/office/drawing/2014/main" id="{391E748B-7449-452C-ACAF-5F765B2DA2CD}"/>
            </a:ext>
          </a:extLst>
        </xdr:cNvPr>
        <xdr:cNvSpPr>
          <a:spLocks noChangeShapeType="1"/>
        </xdr:cNvSpPr>
      </xdr:nvSpPr>
      <xdr:spPr bwMode="auto">
        <a:xfrm>
          <a:off x="7324725"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31" name="Line 30">
          <a:extLst>
            <a:ext uri="{FF2B5EF4-FFF2-40B4-BE49-F238E27FC236}">
              <a16:creationId xmlns:a16="http://schemas.microsoft.com/office/drawing/2014/main" id="{C86E55DE-3E82-4704-9802-9FDD2E90E043}"/>
            </a:ext>
          </a:extLst>
        </xdr:cNvPr>
        <xdr:cNvSpPr>
          <a:spLocks noChangeShapeType="1"/>
        </xdr:cNvSpPr>
      </xdr:nvSpPr>
      <xdr:spPr bwMode="auto">
        <a:xfrm>
          <a:off x="7324725"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32" name="Line 31">
          <a:extLst>
            <a:ext uri="{FF2B5EF4-FFF2-40B4-BE49-F238E27FC236}">
              <a16:creationId xmlns:a16="http://schemas.microsoft.com/office/drawing/2014/main" id="{319AC8E6-C9F1-4CD4-BCD7-ABAFFB5C3E30}"/>
            </a:ext>
          </a:extLst>
        </xdr:cNvPr>
        <xdr:cNvSpPr>
          <a:spLocks noChangeShapeType="1"/>
        </xdr:cNvSpPr>
      </xdr:nvSpPr>
      <xdr:spPr bwMode="auto">
        <a:xfrm>
          <a:off x="10896600"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33" name="Line 32">
          <a:extLst>
            <a:ext uri="{FF2B5EF4-FFF2-40B4-BE49-F238E27FC236}">
              <a16:creationId xmlns:a16="http://schemas.microsoft.com/office/drawing/2014/main" id="{4D1D8A29-3E05-411A-893D-2DF94A827206}"/>
            </a:ext>
          </a:extLst>
        </xdr:cNvPr>
        <xdr:cNvSpPr>
          <a:spLocks noChangeShapeType="1"/>
        </xdr:cNvSpPr>
      </xdr:nvSpPr>
      <xdr:spPr bwMode="auto">
        <a:xfrm>
          <a:off x="10896600"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34" name="Line 33">
          <a:extLst>
            <a:ext uri="{FF2B5EF4-FFF2-40B4-BE49-F238E27FC236}">
              <a16:creationId xmlns:a16="http://schemas.microsoft.com/office/drawing/2014/main" id="{68A7F56D-18C2-46C9-9446-526CC0568BCC}"/>
            </a:ext>
          </a:extLst>
        </xdr:cNvPr>
        <xdr:cNvSpPr>
          <a:spLocks noChangeShapeType="1"/>
        </xdr:cNvSpPr>
      </xdr:nvSpPr>
      <xdr:spPr bwMode="auto">
        <a:xfrm>
          <a:off x="2619375" y="65532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5" name="Line 34">
          <a:extLst>
            <a:ext uri="{FF2B5EF4-FFF2-40B4-BE49-F238E27FC236}">
              <a16:creationId xmlns:a16="http://schemas.microsoft.com/office/drawing/2014/main" id="{E56A0231-8148-4596-8941-029D9911DC4D}"/>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6" name="Line 35">
          <a:extLst>
            <a:ext uri="{FF2B5EF4-FFF2-40B4-BE49-F238E27FC236}">
              <a16:creationId xmlns:a16="http://schemas.microsoft.com/office/drawing/2014/main" id="{D0D9F82C-C668-4F1F-BE27-995BEB55ECEA}"/>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37" name="Line 36">
          <a:extLst>
            <a:ext uri="{FF2B5EF4-FFF2-40B4-BE49-F238E27FC236}">
              <a16:creationId xmlns:a16="http://schemas.microsoft.com/office/drawing/2014/main" id="{605B66EB-7E9C-4654-B789-20906427E8E7}"/>
            </a:ext>
          </a:extLst>
        </xdr:cNvPr>
        <xdr:cNvSpPr>
          <a:spLocks noChangeShapeType="1"/>
        </xdr:cNvSpPr>
      </xdr:nvSpPr>
      <xdr:spPr bwMode="auto">
        <a:xfrm>
          <a:off x="2619375" y="7848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38" name="Line 37">
          <a:extLst>
            <a:ext uri="{FF2B5EF4-FFF2-40B4-BE49-F238E27FC236}">
              <a16:creationId xmlns:a16="http://schemas.microsoft.com/office/drawing/2014/main" id="{5E391D2B-69E4-4227-A050-7A8C163E247D}"/>
            </a:ext>
          </a:extLst>
        </xdr:cNvPr>
        <xdr:cNvSpPr>
          <a:spLocks noChangeShapeType="1"/>
        </xdr:cNvSpPr>
      </xdr:nvSpPr>
      <xdr:spPr bwMode="auto">
        <a:xfrm>
          <a:off x="2619375" y="80105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39" name="Line 38">
          <a:extLst>
            <a:ext uri="{FF2B5EF4-FFF2-40B4-BE49-F238E27FC236}">
              <a16:creationId xmlns:a16="http://schemas.microsoft.com/office/drawing/2014/main" id="{F7CA2CF0-46D6-4A14-B0C8-7421DF4180FF}"/>
            </a:ext>
          </a:extLst>
        </xdr:cNvPr>
        <xdr:cNvSpPr>
          <a:spLocks noChangeShapeType="1"/>
        </xdr:cNvSpPr>
      </xdr:nvSpPr>
      <xdr:spPr bwMode="auto">
        <a:xfrm>
          <a:off x="2619375" y="81724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0" name="Line 39">
          <a:extLst>
            <a:ext uri="{FF2B5EF4-FFF2-40B4-BE49-F238E27FC236}">
              <a16:creationId xmlns:a16="http://schemas.microsoft.com/office/drawing/2014/main" id="{D3C005E6-9B34-4247-972D-15BFE2004AB7}"/>
            </a:ext>
          </a:extLst>
        </xdr:cNvPr>
        <xdr:cNvSpPr>
          <a:spLocks noChangeShapeType="1"/>
        </xdr:cNvSpPr>
      </xdr:nvSpPr>
      <xdr:spPr bwMode="auto">
        <a:xfrm>
          <a:off x="4762500" y="81724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1" name="Line 40">
          <a:extLst>
            <a:ext uri="{FF2B5EF4-FFF2-40B4-BE49-F238E27FC236}">
              <a16:creationId xmlns:a16="http://schemas.microsoft.com/office/drawing/2014/main" id="{E4C0B669-5C1E-4275-B63A-CDC9E7C289B6}"/>
            </a:ext>
          </a:extLst>
        </xdr:cNvPr>
        <xdr:cNvSpPr>
          <a:spLocks noChangeShapeType="1"/>
        </xdr:cNvSpPr>
      </xdr:nvSpPr>
      <xdr:spPr bwMode="auto">
        <a:xfrm>
          <a:off x="10896600" y="102489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 name="Line 41">
          <a:extLst>
            <a:ext uri="{FF2B5EF4-FFF2-40B4-BE49-F238E27FC236}">
              <a16:creationId xmlns:a16="http://schemas.microsoft.com/office/drawing/2014/main" id="{910110C7-CE8E-4CEC-9DD7-ED79C9E37380}"/>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3" name="Line 42">
          <a:extLst>
            <a:ext uri="{FF2B5EF4-FFF2-40B4-BE49-F238E27FC236}">
              <a16:creationId xmlns:a16="http://schemas.microsoft.com/office/drawing/2014/main" id="{D6241B3A-3011-4047-8E9A-21CADA4E6195}"/>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4" name="Line 43">
          <a:extLst>
            <a:ext uri="{FF2B5EF4-FFF2-40B4-BE49-F238E27FC236}">
              <a16:creationId xmlns:a16="http://schemas.microsoft.com/office/drawing/2014/main" id="{8E3BEF91-2ACC-4798-A157-0E27741723CE}"/>
            </a:ext>
          </a:extLst>
        </xdr:cNvPr>
        <xdr:cNvSpPr>
          <a:spLocks noChangeShapeType="1"/>
        </xdr:cNvSpPr>
      </xdr:nvSpPr>
      <xdr:spPr bwMode="auto">
        <a:xfrm>
          <a:off x="7324725" y="9115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5" name="Line 44">
          <a:extLst>
            <a:ext uri="{FF2B5EF4-FFF2-40B4-BE49-F238E27FC236}">
              <a16:creationId xmlns:a16="http://schemas.microsoft.com/office/drawing/2014/main" id="{3262C26D-5370-49BD-BDF6-DA4F95354458}"/>
            </a:ext>
          </a:extLst>
        </xdr:cNvPr>
        <xdr:cNvSpPr>
          <a:spLocks noChangeShapeType="1"/>
        </xdr:cNvSpPr>
      </xdr:nvSpPr>
      <xdr:spPr bwMode="auto">
        <a:xfrm>
          <a:off x="10896600" y="104108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6" name="Line 45">
          <a:extLst>
            <a:ext uri="{FF2B5EF4-FFF2-40B4-BE49-F238E27FC236}">
              <a16:creationId xmlns:a16="http://schemas.microsoft.com/office/drawing/2014/main" id="{60237A8B-087E-4CB4-BF5A-B0D68543DCA1}"/>
            </a:ext>
          </a:extLst>
        </xdr:cNvPr>
        <xdr:cNvSpPr>
          <a:spLocks noChangeShapeType="1"/>
        </xdr:cNvSpPr>
      </xdr:nvSpPr>
      <xdr:spPr bwMode="auto">
        <a:xfrm>
          <a:off x="4762500" y="9115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7" name="Line 46">
          <a:extLst>
            <a:ext uri="{FF2B5EF4-FFF2-40B4-BE49-F238E27FC236}">
              <a16:creationId xmlns:a16="http://schemas.microsoft.com/office/drawing/2014/main" id="{11948926-2949-407D-A682-41AD405175D0}"/>
            </a:ext>
          </a:extLst>
        </xdr:cNvPr>
        <xdr:cNvSpPr>
          <a:spLocks noChangeShapeType="1"/>
        </xdr:cNvSpPr>
      </xdr:nvSpPr>
      <xdr:spPr bwMode="auto">
        <a:xfrm>
          <a:off x="7324725"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8" name="Line 47">
          <a:extLst>
            <a:ext uri="{FF2B5EF4-FFF2-40B4-BE49-F238E27FC236}">
              <a16:creationId xmlns:a16="http://schemas.microsoft.com/office/drawing/2014/main" id="{B3AA2F9F-3A8E-4040-9247-E2E70CAAB8C4}"/>
            </a:ext>
          </a:extLst>
        </xdr:cNvPr>
        <xdr:cNvSpPr>
          <a:spLocks noChangeShapeType="1"/>
        </xdr:cNvSpPr>
      </xdr:nvSpPr>
      <xdr:spPr bwMode="auto">
        <a:xfrm>
          <a:off x="10896600"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9" name="Line 48">
          <a:extLst>
            <a:ext uri="{FF2B5EF4-FFF2-40B4-BE49-F238E27FC236}">
              <a16:creationId xmlns:a16="http://schemas.microsoft.com/office/drawing/2014/main" id="{AC099CCB-E11D-467A-8850-FEFB36552195}"/>
            </a:ext>
          </a:extLst>
        </xdr:cNvPr>
        <xdr:cNvSpPr>
          <a:spLocks noChangeShapeType="1"/>
        </xdr:cNvSpPr>
      </xdr:nvSpPr>
      <xdr:spPr bwMode="auto">
        <a:xfrm>
          <a:off x="2619375" y="9115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0" name="Line 49">
          <a:extLst>
            <a:ext uri="{FF2B5EF4-FFF2-40B4-BE49-F238E27FC236}">
              <a16:creationId xmlns:a16="http://schemas.microsoft.com/office/drawing/2014/main" id="{D9D3FB1F-1537-4B6C-80BA-18A397CE4C9C}"/>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1" name="Line 50">
          <a:extLst>
            <a:ext uri="{FF2B5EF4-FFF2-40B4-BE49-F238E27FC236}">
              <a16:creationId xmlns:a16="http://schemas.microsoft.com/office/drawing/2014/main" id="{30B4C3B8-B34A-4D0C-A37F-EB97C8D0BD41}"/>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2" name="Line 51">
          <a:extLst>
            <a:ext uri="{FF2B5EF4-FFF2-40B4-BE49-F238E27FC236}">
              <a16:creationId xmlns:a16="http://schemas.microsoft.com/office/drawing/2014/main" id="{72DC6C39-FBBB-4867-AE85-D3D946058C39}"/>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53" name="Line 52">
          <a:extLst>
            <a:ext uri="{FF2B5EF4-FFF2-40B4-BE49-F238E27FC236}">
              <a16:creationId xmlns:a16="http://schemas.microsoft.com/office/drawing/2014/main" id="{BB00E412-E6A8-4578-B867-AD18E16E44E8}"/>
            </a:ext>
          </a:extLst>
        </xdr:cNvPr>
        <xdr:cNvSpPr>
          <a:spLocks noChangeShapeType="1"/>
        </xdr:cNvSpPr>
      </xdr:nvSpPr>
      <xdr:spPr bwMode="auto">
        <a:xfrm>
          <a:off x="2619375" y="104108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54" name="Line 53">
          <a:extLst>
            <a:ext uri="{FF2B5EF4-FFF2-40B4-BE49-F238E27FC236}">
              <a16:creationId xmlns:a16="http://schemas.microsoft.com/office/drawing/2014/main" id="{B41AAB4F-DC1C-47DE-BD0B-A58AC4867DCE}"/>
            </a:ext>
          </a:extLst>
        </xdr:cNvPr>
        <xdr:cNvSpPr>
          <a:spLocks noChangeShapeType="1"/>
        </xdr:cNvSpPr>
      </xdr:nvSpPr>
      <xdr:spPr bwMode="auto">
        <a:xfrm>
          <a:off x="2619375" y="105727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55" name="Line 54">
          <a:extLst>
            <a:ext uri="{FF2B5EF4-FFF2-40B4-BE49-F238E27FC236}">
              <a16:creationId xmlns:a16="http://schemas.microsoft.com/office/drawing/2014/main" id="{309EF1D3-079E-4117-952E-CE3BE8AA92C8}"/>
            </a:ext>
          </a:extLst>
        </xdr:cNvPr>
        <xdr:cNvSpPr>
          <a:spLocks noChangeShapeType="1"/>
        </xdr:cNvSpPr>
      </xdr:nvSpPr>
      <xdr:spPr bwMode="auto">
        <a:xfrm>
          <a:off x="4762500" y="105727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56" name="Line 55">
          <a:extLst>
            <a:ext uri="{FF2B5EF4-FFF2-40B4-BE49-F238E27FC236}">
              <a16:creationId xmlns:a16="http://schemas.microsoft.com/office/drawing/2014/main" id="{CAF6C51C-6C0D-4C59-B10B-CA560D646DD9}"/>
            </a:ext>
          </a:extLst>
        </xdr:cNvPr>
        <xdr:cNvSpPr>
          <a:spLocks noChangeShapeType="1"/>
        </xdr:cNvSpPr>
      </xdr:nvSpPr>
      <xdr:spPr bwMode="auto">
        <a:xfrm>
          <a:off x="4762500" y="5419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57" name="Line 56">
          <a:extLst>
            <a:ext uri="{FF2B5EF4-FFF2-40B4-BE49-F238E27FC236}">
              <a16:creationId xmlns:a16="http://schemas.microsoft.com/office/drawing/2014/main" id="{5050D1A1-DA0E-4E17-9DD8-6F29B600E4C3}"/>
            </a:ext>
          </a:extLst>
        </xdr:cNvPr>
        <xdr:cNvSpPr>
          <a:spLocks noChangeShapeType="1"/>
        </xdr:cNvSpPr>
      </xdr:nvSpPr>
      <xdr:spPr bwMode="auto">
        <a:xfrm>
          <a:off x="4762500" y="752475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58" name="Line 57">
          <a:extLst>
            <a:ext uri="{FF2B5EF4-FFF2-40B4-BE49-F238E27FC236}">
              <a16:creationId xmlns:a16="http://schemas.microsoft.com/office/drawing/2014/main" id="{70862E7B-1D0F-45DB-A18C-8C888D3C8865}"/>
            </a:ext>
          </a:extLst>
        </xdr:cNvPr>
        <xdr:cNvSpPr>
          <a:spLocks noChangeShapeType="1"/>
        </xdr:cNvSpPr>
      </xdr:nvSpPr>
      <xdr:spPr bwMode="auto">
        <a:xfrm>
          <a:off x="4762500" y="1008697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59" name="Line 58">
          <a:extLst>
            <a:ext uri="{FF2B5EF4-FFF2-40B4-BE49-F238E27FC236}">
              <a16:creationId xmlns:a16="http://schemas.microsoft.com/office/drawing/2014/main" id="{8BA05E0D-1D8C-4D5E-98F6-A5A692937AAC}"/>
            </a:ext>
          </a:extLst>
        </xdr:cNvPr>
        <xdr:cNvSpPr>
          <a:spLocks noChangeShapeType="1"/>
        </xdr:cNvSpPr>
      </xdr:nvSpPr>
      <xdr:spPr bwMode="auto">
        <a:xfrm>
          <a:off x="4762500" y="120300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0" name="Line 59">
          <a:extLst>
            <a:ext uri="{FF2B5EF4-FFF2-40B4-BE49-F238E27FC236}">
              <a16:creationId xmlns:a16="http://schemas.microsoft.com/office/drawing/2014/main" id="{AF61DECD-23C7-416E-985A-0F8F687254A8}"/>
            </a:ext>
          </a:extLst>
        </xdr:cNvPr>
        <xdr:cNvSpPr>
          <a:spLocks noChangeShapeType="1"/>
        </xdr:cNvSpPr>
      </xdr:nvSpPr>
      <xdr:spPr bwMode="auto">
        <a:xfrm>
          <a:off x="10896600" y="120300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1" name="Line 60">
          <a:extLst>
            <a:ext uri="{FF2B5EF4-FFF2-40B4-BE49-F238E27FC236}">
              <a16:creationId xmlns:a16="http://schemas.microsoft.com/office/drawing/2014/main" id="{BB590CEA-6831-4F16-B222-739DECF4A6B9}"/>
            </a:ext>
          </a:extLst>
        </xdr:cNvPr>
        <xdr:cNvSpPr>
          <a:spLocks noChangeShapeType="1"/>
        </xdr:cNvSpPr>
      </xdr:nvSpPr>
      <xdr:spPr bwMode="auto">
        <a:xfrm>
          <a:off x="4762500" y="121920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 name="Line 61">
          <a:extLst>
            <a:ext uri="{FF2B5EF4-FFF2-40B4-BE49-F238E27FC236}">
              <a16:creationId xmlns:a16="http://schemas.microsoft.com/office/drawing/2014/main" id="{5FD464C4-C6F4-42C2-8D38-D450A87E2C95}"/>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 name="Line 62">
          <a:extLst>
            <a:ext uri="{FF2B5EF4-FFF2-40B4-BE49-F238E27FC236}">
              <a16:creationId xmlns:a16="http://schemas.microsoft.com/office/drawing/2014/main" id="{A80339E8-C158-4E9A-A6B3-9F6AA8959954}"/>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4" name="Line 63">
          <a:extLst>
            <a:ext uri="{FF2B5EF4-FFF2-40B4-BE49-F238E27FC236}">
              <a16:creationId xmlns:a16="http://schemas.microsoft.com/office/drawing/2014/main" id="{31B39A7D-84A5-481F-B11E-3F7A312B485B}"/>
            </a:ext>
          </a:extLst>
        </xdr:cNvPr>
        <xdr:cNvSpPr>
          <a:spLocks noChangeShapeType="1"/>
        </xdr:cNvSpPr>
      </xdr:nvSpPr>
      <xdr:spPr bwMode="auto">
        <a:xfrm>
          <a:off x="7324725" y="10896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5" name="Line 64">
          <a:extLst>
            <a:ext uri="{FF2B5EF4-FFF2-40B4-BE49-F238E27FC236}">
              <a16:creationId xmlns:a16="http://schemas.microsoft.com/office/drawing/2014/main" id="{4764B968-3C73-4919-BBE9-46B32B0DC6D7}"/>
            </a:ext>
          </a:extLst>
        </xdr:cNvPr>
        <xdr:cNvSpPr>
          <a:spLocks noChangeShapeType="1"/>
        </xdr:cNvSpPr>
      </xdr:nvSpPr>
      <xdr:spPr bwMode="auto">
        <a:xfrm>
          <a:off x="10896600" y="121920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6" name="Line 65">
          <a:extLst>
            <a:ext uri="{FF2B5EF4-FFF2-40B4-BE49-F238E27FC236}">
              <a16:creationId xmlns:a16="http://schemas.microsoft.com/office/drawing/2014/main" id="{563D5CF5-8D38-4702-8433-EC1468791C80}"/>
            </a:ext>
          </a:extLst>
        </xdr:cNvPr>
        <xdr:cNvSpPr>
          <a:spLocks noChangeShapeType="1"/>
        </xdr:cNvSpPr>
      </xdr:nvSpPr>
      <xdr:spPr bwMode="auto">
        <a:xfrm>
          <a:off x="4762500" y="10896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7" name="Line 66">
          <a:extLst>
            <a:ext uri="{FF2B5EF4-FFF2-40B4-BE49-F238E27FC236}">
              <a16:creationId xmlns:a16="http://schemas.microsoft.com/office/drawing/2014/main" id="{4BB7A2F2-CF46-4F40-B757-7CCF392227A5}"/>
            </a:ext>
          </a:extLst>
        </xdr:cNvPr>
        <xdr:cNvSpPr>
          <a:spLocks noChangeShapeType="1"/>
        </xdr:cNvSpPr>
      </xdr:nvSpPr>
      <xdr:spPr bwMode="auto">
        <a:xfrm>
          <a:off x="2619375" y="10896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8" name="Line 67">
          <a:extLst>
            <a:ext uri="{FF2B5EF4-FFF2-40B4-BE49-F238E27FC236}">
              <a16:creationId xmlns:a16="http://schemas.microsoft.com/office/drawing/2014/main" id="{6F7CFF78-A2D6-49F6-AE96-03798FCA086F}"/>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9" name="Line 68">
          <a:extLst>
            <a:ext uri="{FF2B5EF4-FFF2-40B4-BE49-F238E27FC236}">
              <a16:creationId xmlns:a16="http://schemas.microsoft.com/office/drawing/2014/main" id="{5E4290DA-FE10-4F41-87B9-B3781AD8967B}"/>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0" name="Line 69">
          <a:extLst>
            <a:ext uri="{FF2B5EF4-FFF2-40B4-BE49-F238E27FC236}">
              <a16:creationId xmlns:a16="http://schemas.microsoft.com/office/drawing/2014/main" id="{490E0D47-503B-4009-8911-05C3EB32D72A}"/>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1" name="Line 70">
          <a:extLst>
            <a:ext uri="{FF2B5EF4-FFF2-40B4-BE49-F238E27FC236}">
              <a16:creationId xmlns:a16="http://schemas.microsoft.com/office/drawing/2014/main" id="{AF89A5E4-3CF9-405A-9CBE-A27BFAF2FB0E}"/>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72" name="Line 71">
          <a:extLst>
            <a:ext uri="{FF2B5EF4-FFF2-40B4-BE49-F238E27FC236}">
              <a16:creationId xmlns:a16="http://schemas.microsoft.com/office/drawing/2014/main" id="{A0B08C35-64C9-47EA-A543-B2ED7529413A}"/>
            </a:ext>
          </a:extLst>
        </xdr:cNvPr>
        <xdr:cNvSpPr>
          <a:spLocks noChangeShapeType="1"/>
        </xdr:cNvSpPr>
      </xdr:nvSpPr>
      <xdr:spPr bwMode="auto">
        <a:xfrm>
          <a:off x="4762500" y="1186815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73" name="Line 72">
          <a:extLst>
            <a:ext uri="{FF2B5EF4-FFF2-40B4-BE49-F238E27FC236}">
              <a16:creationId xmlns:a16="http://schemas.microsoft.com/office/drawing/2014/main" id="{7FBECA65-A615-4659-8A9E-5542BD61EE44}"/>
            </a:ext>
          </a:extLst>
        </xdr:cNvPr>
        <xdr:cNvSpPr>
          <a:spLocks noChangeShapeType="1"/>
        </xdr:cNvSpPr>
      </xdr:nvSpPr>
      <xdr:spPr bwMode="auto">
        <a:xfrm>
          <a:off x="2619375" y="121920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74" name="Line 73">
          <a:extLst>
            <a:ext uri="{FF2B5EF4-FFF2-40B4-BE49-F238E27FC236}">
              <a16:creationId xmlns:a16="http://schemas.microsoft.com/office/drawing/2014/main" id="{02CC1393-C846-465E-A3F3-516C3D9DA804}"/>
            </a:ext>
          </a:extLst>
        </xdr:cNvPr>
        <xdr:cNvSpPr>
          <a:spLocks noChangeShapeType="1"/>
        </xdr:cNvSpPr>
      </xdr:nvSpPr>
      <xdr:spPr bwMode="auto">
        <a:xfrm>
          <a:off x="4762500" y="13649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75" name="Line 74">
          <a:extLst>
            <a:ext uri="{FF2B5EF4-FFF2-40B4-BE49-F238E27FC236}">
              <a16:creationId xmlns:a16="http://schemas.microsoft.com/office/drawing/2014/main" id="{1011D52B-4148-4F0B-8AB2-2D86E77D720B}"/>
            </a:ext>
          </a:extLst>
        </xdr:cNvPr>
        <xdr:cNvSpPr>
          <a:spLocks noChangeShapeType="1"/>
        </xdr:cNvSpPr>
      </xdr:nvSpPr>
      <xdr:spPr bwMode="auto">
        <a:xfrm>
          <a:off x="10896600" y="136493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6" name="Line 75">
          <a:extLst>
            <a:ext uri="{FF2B5EF4-FFF2-40B4-BE49-F238E27FC236}">
              <a16:creationId xmlns:a16="http://schemas.microsoft.com/office/drawing/2014/main" id="{171BB49F-CC97-45FA-BF2F-CB469334E854}"/>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7" name="Line 76">
          <a:extLst>
            <a:ext uri="{FF2B5EF4-FFF2-40B4-BE49-F238E27FC236}">
              <a16:creationId xmlns:a16="http://schemas.microsoft.com/office/drawing/2014/main" id="{175EAB78-5A42-4376-910B-52C4ACFA83F8}"/>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78" name="Line 77">
          <a:extLst>
            <a:ext uri="{FF2B5EF4-FFF2-40B4-BE49-F238E27FC236}">
              <a16:creationId xmlns:a16="http://schemas.microsoft.com/office/drawing/2014/main" id="{1385DB50-0CF0-4B94-ADAF-E575DC569898}"/>
            </a:ext>
          </a:extLst>
        </xdr:cNvPr>
        <xdr:cNvSpPr>
          <a:spLocks noChangeShapeType="1"/>
        </xdr:cNvSpPr>
      </xdr:nvSpPr>
      <xdr:spPr bwMode="auto">
        <a:xfrm>
          <a:off x="7324725" y="125158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79" name="Line 78">
          <a:extLst>
            <a:ext uri="{FF2B5EF4-FFF2-40B4-BE49-F238E27FC236}">
              <a16:creationId xmlns:a16="http://schemas.microsoft.com/office/drawing/2014/main" id="{84CBDAB9-E94D-4BC6-B8DF-F9DCCD94BF18}"/>
            </a:ext>
          </a:extLst>
        </xdr:cNvPr>
        <xdr:cNvSpPr>
          <a:spLocks noChangeShapeType="1"/>
        </xdr:cNvSpPr>
      </xdr:nvSpPr>
      <xdr:spPr bwMode="auto">
        <a:xfrm>
          <a:off x="4762500" y="125158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0" name="Line 79">
          <a:extLst>
            <a:ext uri="{FF2B5EF4-FFF2-40B4-BE49-F238E27FC236}">
              <a16:creationId xmlns:a16="http://schemas.microsoft.com/office/drawing/2014/main" id="{35622FC1-5126-4F51-9D53-6894A9138340}"/>
            </a:ext>
          </a:extLst>
        </xdr:cNvPr>
        <xdr:cNvSpPr>
          <a:spLocks noChangeShapeType="1"/>
        </xdr:cNvSpPr>
      </xdr:nvSpPr>
      <xdr:spPr bwMode="auto">
        <a:xfrm>
          <a:off x="2619375" y="12515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1" name="Line 80">
          <a:extLst>
            <a:ext uri="{FF2B5EF4-FFF2-40B4-BE49-F238E27FC236}">
              <a16:creationId xmlns:a16="http://schemas.microsoft.com/office/drawing/2014/main" id="{D68AD3CE-E06E-4809-BA94-14D0F560D76B}"/>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 name="Line 81">
          <a:extLst>
            <a:ext uri="{FF2B5EF4-FFF2-40B4-BE49-F238E27FC236}">
              <a16:creationId xmlns:a16="http://schemas.microsoft.com/office/drawing/2014/main" id="{537A80AD-5AA3-4F5B-8A7B-65573744E606}"/>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 name="Line 82">
          <a:extLst>
            <a:ext uri="{FF2B5EF4-FFF2-40B4-BE49-F238E27FC236}">
              <a16:creationId xmlns:a16="http://schemas.microsoft.com/office/drawing/2014/main" id="{BA2FCE2E-B7B0-46C7-BF21-7E8765229B6C}"/>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4" name="Line 83">
          <a:extLst>
            <a:ext uri="{FF2B5EF4-FFF2-40B4-BE49-F238E27FC236}">
              <a16:creationId xmlns:a16="http://schemas.microsoft.com/office/drawing/2014/main" id="{0097CD95-9AF2-4B55-AC88-5171C9F45506}"/>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5" name="Line 84">
          <a:extLst>
            <a:ext uri="{FF2B5EF4-FFF2-40B4-BE49-F238E27FC236}">
              <a16:creationId xmlns:a16="http://schemas.microsoft.com/office/drawing/2014/main" id="{B00E2CBD-FDE7-46F1-A0C7-DED80CA25DDB}"/>
            </a:ext>
          </a:extLst>
        </xdr:cNvPr>
        <xdr:cNvSpPr>
          <a:spLocks noChangeShapeType="1"/>
        </xdr:cNvSpPr>
      </xdr:nvSpPr>
      <xdr:spPr bwMode="auto">
        <a:xfrm>
          <a:off x="4762500" y="1348740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6" name="Line 85">
          <a:extLst>
            <a:ext uri="{FF2B5EF4-FFF2-40B4-BE49-F238E27FC236}">
              <a16:creationId xmlns:a16="http://schemas.microsoft.com/office/drawing/2014/main" id="{54E454D9-45C4-40C2-BC1A-184543F4A7B1}"/>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7" name="Line 86">
          <a:extLst>
            <a:ext uri="{FF2B5EF4-FFF2-40B4-BE49-F238E27FC236}">
              <a16:creationId xmlns:a16="http://schemas.microsoft.com/office/drawing/2014/main" id="{CBA73568-47C1-4AE3-A23D-FB009D915AE8}"/>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8" name="Line 87">
          <a:extLst>
            <a:ext uri="{FF2B5EF4-FFF2-40B4-BE49-F238E27FC236}">
              <a16:creationId xmlns:a16="http://schemas.microsoft.com/office/drawing/2014/main" id="{DFA6D2D0-B8DE-4151-B537-E27FBB6F892A}"/>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9" name="Line 88">
          <a:extLst>
            <a:ext uri="{FF2B5EF4-FFF2-40B4-BE49-F238E27FC236}">
              <a16:creationId xmlns:a16="http://schemas.microsoft.com/office/drawing/2014/main" id="{31E20F37-7D58-47AB-93F6-B32D3CAB0F76}"/>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90" name="Line 89">
          <a:extLst>
            <a:ext uri="{FF2B5EF4-FFF2-40B4-BE49-F238E27FC236}">
              <a16:creationId xmlns:a16="http://schemas.microsoft.com/office/drawing/2014/main" id="{A5A77964-1D5E-4BF3-BAC1-7413A832CA75}"/>
            </a:ext>
          </a:extLst>
        </xdr:cNvPr>
        <xdr:cNvSpPr>
          <a:spLocks noChangeShapeType="1"/>
        </xdr:cNvSpPr>
      </xdr:nvSpPr>
      <xdr:spPr bwMode="auto">
        <a:xfrm>
          <a:off x="4762500" y="7848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91" name="Line 90">
          <a:extLst>
            <a:ext uri="{FF2B5EF4-FFF2-40B4-BE49-F238E27FC236}">
              <a16:creationId xmlns:a16="http://schemas.microsoft.com/office/drawing/2014/main" id="{F18C1BBD-7AA7-404E-A32C-65136B978D16}"/>
            </a:ext>
          </a:extLst>
        </xdr:cNvPr>
        <xdr:cNvSpPr>
          <a:spLocks noChangeShapeType="1"/>
        </xdr:cNvSpPr>
      </xdr:nvSpPr>
      <xdr:spPr bwMode="auto">
        <a:xfrm>
          <a:off x="4762500" y="7686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92" name="Line 91">
          <a:extLst>
            <a:ext uri="{FF2B5EF4-FFF2-40B4-BE49-F238E27FC236}">
              <a16:creationId xmlns:a16="http://schemas.microsoft.com/office/drawing/2014/main" id="{580CEBDF-4BDD-4255-87DC-CA1FD50FDECA}"/>
            </a:ext>
          </a:extLst>
        </xdr:cNvPr>
        <xdr:cNvSpPr>
          <a:spLocks noChangeShapeType="1"/>
        </xdr:cNvSpPr>
      </xdr:nvSpPr>
      <xdr:spPr bwMode="auto">
        <a:xfrm>
          <a:off x="4762500" y="104108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93" name="Line 92">
          <a:extLst>
            <a:ext uri="{FF2B5EF4-FFF2-40B4-BE49-F238E27FC236}">
              <a16:creationId xmlns:a16="http://schemas.microsoft.com/office/drawing/2014/main" id="{90DF5622-7792-4F91-B2FC-DD8963CC018C}"/>
            </a:ext>
          </a:extLst>
        </xdr:cNvPr>
        <xdr:cNvSpPr>
          <a:spLocks noChangeShapeType="1"/>
        </xdr:cNvSpPr>
      </xdr:nvSpPr>
      <xdr:spPr bwMode="auto">
        <a:xfrm>
          <a:off x="4762500" y="102489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94" name="Line 93">
          <a:extLst>
            <a:ext uri="{FF2B5EF4-FFF2-40B4-BE49-F238E27FC236}">
              <a16:creationId xmlns:a16="http://schemas.microsoft.com/office/drawing/2014/main" id="{A8EE83EB-7630-4193-8359-A358D047CD91}"/>
            </a:ext>
          </a:extLst>
        </xdr:cNvPr>
        <xdr:cNvSpPr>
          <a:spLocks noChangeShapeType="1"/>
        </xdr:cNvSpPr>
      </xdr:nvSpPr>
      <xdr:spPr bwMode="auto">
        <a:xfrm>
          <a:off x="7324725" y="57435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95" name="Line 94">
          <a:extLst>
            <a:ext uri="{FF2B5EF4-FFF2-40B4-BE49-F238E27FC236}">
              <a16:creationId xmlns:a16="http://schemas.microsoft.com/office/drawing/2014/main" id="{212A0FB3-9109-4C7E-BBE7-F6C599C28A9D}"/>
            </a:ext>
          </a:extLst>
        </xdr:cNvPr>
        <xdr:cNvSpPr>
          <a:spLocks noChangeShapeType="1"/>
        </xdr:cNvSpPr>
      </xdr:nvSpPr>
      <xdr:spPr bwMode="auto">
        <a:xfrm>
          <a:off x="7324725" y="55816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96" name="Line 95">
          <a:extLst>
            <a:ext uri="{FF2B5EF4-FFF2-40B4-BE49-F238E27FC236}">
              <a16:creationId xmlns:a16="http://schemas.microsoft.com/office/drawing/2014/main" id="{5580F1A6-4DF7-4976-9837-36B73FDC9253}"/>
            </a:ext>
          </a:extLst>
        </xdr:cNvPr>
        <xdr:cNvSpPr>
          <a:spLocks noChangeShapeType="1"/>
        </xdr:cNvSpPr>
      </xdr:nvSpPr>
      <xdr:spPr bwMode="auto">
        <a:xfrm>
          <a:off x="7324725" y="7848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97" name="Line 96">
          <a:extLst>
            <a:ext uri="{FF2B5EF4-FFF2-40B4-BE49-F238E27FC236}">
              <a16:creationId xmlns:a16="http://schemas.microsoft.com/office/drawing/2014/main" id="{EF9D67AD-176F-4138-AB1B-EE9539CC635B}"/>
            </a:ext>
          </a:extLst>
        </xdr:cNvPr>
        <xdr:cNvSpPr>
          <a:spLocks noChangeShapeType="1"/>
        </xdr:cNvSpPr>
      </xdr:nvSpPr>
      <xdr:spPr bwMode="auto">
        <a:xfrm>
          <a:off x="7324725" y="76866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98" name="Line 97">
          <a:extLst>
            <a:ext uri="{FF2B5EF4-FFF2-40B4-BE49-F238E27FC236}">
              <a16:creationId xmlns:a16="http://schemas.microsoft.com/office/drawing/2014/main" id="{0A425A07-71F1-4227-858F-588FB7B1C693}"/>
            </a:ext>
          </a:extLst>
        </xdr:cNvPr>
        <xdr:cNvSpPr>
          <a:spLocks noChangeShapeType="1"/>
        </xdr:cNvSpPr>
      </xdr:nvSpPr>
      <xdr:spPr bwMode="auto">
        <a:xfrm>
          <a:off x="7324725" y="104108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99" name="Line 98">
          <a:extLst>
            <a:ext uri="{FF2B5EF4-FFF2-40B4-BE49-F238E27FC236}">
              <a16:creationId xmlns:a16="http://schemas.microsoft.com/office/drawing/2014/main" id="{5BDC2F98-714B-4D8E-8BB1-E68EFDFCAEF0}"/>
            </a:ext>
          </a:extLst>
        </xdr:cNvPr>
        <xdr:cNvSpPr>
          <a:spLocks noChangeShapeType="1"/>
        </xdr:cNvSpPr>
      </xdr:nvSpPr>
      <xdr:spPr bwMode="auto">
        <a:xfrm>
          <a:off x="7324725" y="102489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0" name="Line 99">
          <a:extLst>
            <a:ext uri="{FF2B5EF4-FFF2-40B4-BE49-F238E27FC236}">
              <a16:creationId xmlns:a16="http://schemas.microsoft.com/office/drawing/2014/main" id="{B27A6DFC-FD3C-4220-81AA-8A2C0CD6BD7D}"/>
            </a:ext>
          </a:extLst>
        </xdr:cNvPr>
        <xdr:cNvSpPr>
          <a:spLocks noChangeShapeType="1"/>
        </xdr:cNvSpPr>
      </xdr:nvSpPr>
      <xdr:spPr bwMode="auto">
        <a:xfrm>
          <a:off x="7324725" y="121920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1" name="Line 100">
          <a:extLst>
            <a:ext uri="{FF2B5EF4-FFF2-40B4-BE49-F238E27FC236}">
              <a16:creationId xmlns:a16="http://schemas.microsoft.com/office/drawing/2014/main" id="{4F2CA031-937D-4A94-9596-68862CEB7E7C}"/>
            </a:ext>
          </a:extLst>
        </xdr:cNvPr>
        <xdr:cNvSpPr>
          <a:spLocks noChangeShapeType="1"/>
        </xdr:cNvSpPr>
      </xdr:nvSpPr>
      <xdr:spPr bwMode="auto">
        <a:xfrm>
          <a:off x="7324725" y="120300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2" name="Line 101">
          <a:extLst>
            <a:ext uri="{FF2B5EF4-FFF2-40B4-BE49-F238E27FC236}">
              <a16:creationId xmlns:a16="http://schemas.microsoft.com/office/drawing/2014/main" id="{63E977EA-F32A-4042-AA36-62C72414601E}"/>
            </a:ext>
          </a:extLst>
        </xdr:cNvPr>
        <xdr:cNvSpPr>
          <a:spLocks noChangeShapeType="1"/>
        </xdr:cNvSpPr>
      </xdr:nvSpPr>
      <xdr:spPr bwMode="auto">
        <a:xfrm>
          <a:off x="7324725" y="136493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 name="Line 103">
          <a:extLst>
            <a:ext uri="{FF2B5EF4-FFF2-40B4-BE49-F238E27FC236}">
              <a16:creationId xmlns:a16="http://schemas.microsoft.com/office/drawing/2014/main" id="{8BF5A284-2ED2-4B23-90F2-CEA905B5591C}"/>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 name="Line 107">
          <a:extLst>
            <a:ext uri="{FF2B5EF4-FFF2-40B4-BE49-F238E27FC236}">
              <a16:creationId xmlns:a16="http://schemas.microsoft.com/office/drawing/2014/main" id="{27958238-1236-4B27-9CDF-2DE038245ABB}"/>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5" name="Line 108">
          <a:extLst>
            <a:ext uri="{FF2B5EF4-FFF2-40B4-BE49-F238E27FC236}">
              <a16:creationId xmlns:a16="http://schemas.microsoft.com/office/drawing/2014/main" id="{063DBC68-6189-4E0B-BD9D-CC0632706068}"/>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6" name="Line 109">
          <a:extLst>
            <a:ext uri="{FF2B5EF4-FFF2-40B4-BE49-F238E27FC236}">
              <a16:creationId xmlns:a16="http://schemas.microsoft.com/office/drawing/2014/main" id="{04D3D141-038A-430D-A99B-A38F2B8B5491}"/>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7" name="Line 110">
          <a:extLst>
            <a:ext uri="{FF2B5EF4-FFF2-40B4-BE49-F238E27FC236}">
              <a16:creationId xmlns:a16="http://schemas.microsoft.com/office/drawing/2014/main" id="{9E1EDCBB-03C7-43AF-95F6-0E985855A286}"/>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8" name="Line 111">
          <a:extLst>
            <a:ext uri="{FF2B5EF4-FFF2-40B4-BE49-F238E27FC236}">
              <a16:creationId xmlns:a16="http://schemas.microsoft.com/office/drawing/2014/main" id="{163ADD2C-F561-41FD-9FC2-2C16B73FE830}"/>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9" name="Line 112">
          <a:extLst>
            <a:ext uri="{FF2B5EF4-FFF2-40B4-BE49-F238E27FC236}">
              <a16:creationId xmlns:a16="http://schemas.microsoft.com/office/drawing/2014/main" id="{6B8E204B-AE9B-4885-98A8-ACCD90A14D50}"/>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10" name="Line 113">
          <a:extLst>
            <a:ext uri="{FF2B5EF4-FFF2-40B4-BE49-F238E27FC236}">
              <a16:creationId xmlns:a16="http://schemas.microsoft.com/office/drawing/2014/main" id="{94386759-EBE5-41C6-B6A3-54955AF6B0FA}"/>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11" name="Line 114">
          <a:extLst>
            <a:ext uri="{FF2B5EF4-FFF2-40B4-BE49-F238E27FC236}">
              <a16:creationId xmlns:a16="http://schemas.microsoft.com/office/drawing/2014/main" id="{BF5FF355-F1DE-4D71-A410-2FBCC1E700E5}"/>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12" name="Line 115">
          <a:extLst>
            <a:ext uri="{FF2B5EF4-FFF2-40B4-BE49-F238E27FC236}">
              <a16:creationId xmlns:a16="http://schemas.microsoft.com/office/drawing/2014/main" id="{F38FF17C-6401-4F4F-A967-073649F5F981}"/>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13" name="Line 116">
          <a:extLst>
            <a:ext uri="{FF2B5EF4-FFF2-40B4-BE49-F238E27FC236}">
              <a16:creationId xmlns:a16="http://schemas.microsoft.com/office/drawing/2014/main" id="{C4A08546-71D4-49FB-87C9-1ADE415FC1AE}"/>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4" name="Line 75">
          <a:extLst>
            <a:ext uri="{FF2B5EF4-FFF2-40B4-BE49-F238E27FC236}">
              <a16:creationId xmlns:a16="http://schemas.microsoft.com/office/drawing/2014/main" id="{EE69E9AA-EA4F-4CB5-B633-3387079E4E33}"/>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15" name="Line 87">
          <a:extLst>
            <a:ext uri="{FF2B5EF4-FFF2-40B4-BE49-F238E27FC236}">
              <a16:creationId xmlns:a16="http://schemas.microsoft.com/office/drawing/2014/main" id="{1E7C7CCC-F3DF-42F8-8CCD-4E0BEDF1CCB2}"/>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16" name="Line 75">
          <a:extLst>
            <a:ext uri="{FF2B5EF4-FFF2-40B4-BE49-F238E27FC236}">
              <a16:creationId xmlns:a16="http://schemas.microsoft.com/office/drawing/2014/main" id="{B836461D-FA83-4E81-BCBA-2C04D95A1913}"/>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17" name="Line 79">
          <a:extLst>
            <a:ext uri="{FF2B5EF4-FFF2-40B4-BE49-F238E27FC236}">
              <a16:creationId xmlns:a16="http://schemas.microsoft.com/office/drawing/2014/main" id="{E6D06AC1-C8A2-4739-99DA-7FCE25146484}"/>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18" name="Line 87">
          <a:extLst>
            <a:ext uri="{FF2B5EF4-FFF2-40B4-BE49-F238E27FC236}">
              <a16:creationId xmlns:a16="http://schemas.microsoft.com/office/drawing/2014/main" id="{7236A734-D412-4CB7-82B9-9774ABD32E83}"/>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9" name="Line 75">
          <a:extLst>
            <a:ext uri="{FF2B5EF4-FFF2-40B4-BE49-F238E27FC236}">
              <a16:creationId xmlns:a16="http://schemas.microsoft.com/office/drawing/2014/main" id="{FED63E21-97F3-4002-B0B9-A30CEA7F17F2}"/>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0" name="Line 87">
          <a:extLst>
            <a:ext uri="{FF2B5EF4-FFF2-40B4-BE49-F238E27FC236}">
              <a16:creationId xmlns:a16="http://schemas.microsoft.com/office/drawing/2014/main" id="{1D994E95-3229-490D-964E-B6B21A6E3459}"/>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1" name="Line 75">
          <a:extLst>
            <a:ext uri="{FF2B5EF4-FFF2-40B4-BE49-F238E27FC236}">
              <a16:creationId xmlns:a16="http://schemas.microsoft.com/office/drawing/2014/main" id="{66B9AAA2-5C97-4505-9A0F-80718B68808F}"/>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2" name="Line 79">
          <a:extLst>
            <a:ext uri="{FF2B5EF4-FFF2-40B4-BE49-F238E27FC236}">
              <a16:creationId xmlns:a16="http://schemas.microsoft.com/office/drawing/2014/main" id="{EBCBC7A4-2C7E-448E-A3C1-4D98FC95B69A}"/>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3" name="Line 87">
          <a:extLst>
            <a:ext uri="{FF2B5EF4-FFF2-40B4-BE49-F238E27FC236}">
              <a16:creationId xmlns:a16="http://schemas.microsoft.com/office/drawing/2014/main" id="{F7CBA088-E0C6-486D-93CE-F6F32342755E}"/>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 name="Line 1">
          <a:extLst>
            <a:ext uri="{FF2B5EF4-FFF2-40B4-BE49-F238E27FC236}">
              <a16:creationId xmlns:a16="http://schemas.microsoft.com/office/drawing/2014/main" id="{7FFCE327-B53A-45D2-A621-8007D220681F}"/>
            </a:ext>
          </a:extLst>
        </xdr:cNvPr>
        <xdr:cNvSpPr>
          <a:spLocks noChangeShapeType="1"/>
        </xdr:cNvSpPr>
      </xdr:nvSpPr>
      <xdr:spPr bwMode="auto">
        <a:xfrm>
          <a:off x="4762500" y="55816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3" name="Line 2">
          <a:extLst>
            <a:ext uri="{FF2B5EF4-FFF2-40B4-BE49-F238E27FC236}">
              <a16:creationId xmlns:a16="http://schemas.microsoft.com/office/drawing/2014/main" id="{ACC9E12F-7914-44B5-99DE-D0987F6CC858}"/>
            </a:ext>
          </a:extLst>
        </xdr:cNvPr>
        <xdr:cNvSpPr>
          <a:spLocks noChangeShapeType="1"/>
        </xdr:cNvSpPr>
      </xdr:nvSpPr>
      <xdr:spPr bwMode="auto">
        <a:xfrm>
          <a:off x="4762500" y="57435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 name="Line 3">
          <a:extLst>
            <a:ext uri="{FF2B5EF4-FFF2-40B4-BE49-F238E27FC236}">
              <a16:creationId xmlns:a16="http://schemas.microsoft.com/office/drawing/2014/main" id="{BD0F4673-B61E-4A8C-96D1-C2B8FDFE0D86}"/>
            </a:ext>
          </a:extLst>
        </xdr:cNvPr>
        <xdr:cNvSpPr>
          <a:spLocks noChangeShapeType="1"/>
        </xdr:cNvSpPr>
      </xdr:nvSpPr>
      <xdr:spPr bwMode="auto">
        <a:xfrm>
          <a:off x="4762500" y="4448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5" name="Line 4">
          <a:extLst>
            <a:ext uri="{FF2B5EF4-FFF2-40B4-BE49-F238E27FC236}">
              <a16:creationId xmlns:a16="http://schemas.microsoft.com/office/drawing/2014/main" id="{ACC23CCB-AD4C-423F-A20C-12C5F4A81A95}"/>
            </a:ext>
          </a:extLst>
        </xdr:cNvPr>
        <xdr:cNvSpPr>
          <a:spLocks noChangeShapeType="1"/>
        </xdr:cNvSpPr>
      </xdr:nvSpPr>
      <xdr:spPr bwMode="auto">
        <a:xfrm>
          <a:off x="7324725" y="44481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 name="Line 5">
          <a:extLst>
            <a:ext uri="{FF2B5EF4-FFF2-40B4-BE49-F238E27FC236}">
              <a16:creationId xmlns:a16="http://schemas.microsoft.com/office/drawing/2014/main" id="{CD6D03BF-928E-4164-A7A1-91BD974F65BC}"/>
            </a:ext>
          </a:extLst>
        </xdr:cNvPr>
        <xdr:cNvSpPr>
          <a:spLocks noChangeShapeType="1"/>
        </xdr:cNvSpPr>
      </xdr:nvSpPr>
      <xdr:spPr bwMode="auto">
        <a:xfrm>
          <a:off x="10896600" y="558165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7" name="Line 6">
          <a:extLst>
            <a:ext uri="{FF2B5EF4-FFF2-40B4-BE49-F238E27FC236}">
              <a16:creationId xmlns:a16="http://schemas.microsoft.com/office/drawing/2014/main" id="{2690BC41-3408-467D-84A9-997CB29E8A52}"/>
            </a:ext>
          </a:extLst>
        </xdr:cNvPr>
        <xdr:cNvSpPr>
          <a:spLocks noChangeShapeType="1"/>
        </xdr:cNvSpPr>
      </xdr:nvSpPr>
      <xdr:spPr bwMode="auto">
        <a:xfrm>
          <a:off x="10896600" y="57435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 name="Line 7">
          <a:extLst>
            <a:ext uri="{FF2B5EF4-FFF2-40B4-BE49-F238E27FC236}">
              <a16:creationId xmlns:a16="http://schemas.microsoft.com/office/drawing/2014/main" id="{BBABA631-90D6-4FFC-8F35-FB3761264209}"/>
            </a:ext>
          </a:extLst>
        </xdr:cNvPr>
        <xdr:cNvSpPr>
          <a:spLocks noChangeShapeType="1"/>
        </xdr:cNvSpPr>
      </xdr:nvSpPr>
      <xdr:spPr bwMode="auto">
        <a:xfrm>
          <a:off x="4762500" y="590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9" name="Line 8">
          <a:extLst>
            <a:ext uri="{FF2B5EF4-FFF2-40B4-BE49-F238E27FC236}">
              <a16:creationId xmlns:a16="http://schemas.microsoft.com/office/drawing/2014/main" id="{BB53AA4D-5733-4D42-BCCD-6DF7239BACC4}"/>
            </a:ext>
          </a:extLst>
        </xdr:cNvPr>
        <xdr:cNvSpPr>
          <a:spLocks noChangeShapeType="1"/>
        </xdr:cNvSpPr>
      </xdr:nvSpPr>
      <xdr:spPr bwMode="auto">
        <a:xfrm>
          <a:off x="4762500" y="6067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 name="Line 9">
          <a:extLst>
            <a:ext uri="{FF2B5EF4-FFF2-40B4-BE49-F238E27FC236}">
              <a16:creationId xmlns:a16="http://schemas.microsoft.com/office/drawing/2014/main" id="{B1E91616-409B-4212-B09B-AC8C0A6D5215}"/>
            </a:ext>
          </a:extLst>
        </xdr:cNvPr>
        <xdr:cNvSpPr>
          <a:spLocks noChangeShapeType="1"/>
        </xdr:cNvSpPr>
      </xdr:nvSpPr>
      <xdr:spPr bwMode="auto">
        <a:xfrm>
          <a:off x="4762500" y="62293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1" name="Line 10">
          <a:extLst>
            <a:ext uri="{FF2B5EF4-FFF2-40B4-BE49-F238E27FC236}">
              <a16:creationId xmlns:a16="http://schemas.microsoft.com/office/drawing/2014/main" id="{9E82459C-6616-434C-BCE9-670AED9D7184}"/>
            </a:ext>
          </a:extLst>
        </xdr:cNvPr>
        <xdr:cNvSpPr>
          <a:spLocks noChangeShapeType="1"/>
        </xdr:cNvSpPr>
      </xdr:nvSpPr>
      <xdr:spPr bwMode="auto">
        <a:xfrm>
          <a:off x="7324725"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 name="Line 11">
          <a:extLst>
            <a:ext uri="{FF2B5EF4-FFF2-40B4-BE49-F238E27FC236}">
              <a16:creationId xmlns:a16="http://schemas.microsoft.com/office/drawing/2014/main" id="{7084DDE8-EC86-4CE5-95E3-E184998B15BB}"/>
            </a:ext>
          </a:extLst>
        </xdr:cNvPr>
        <xdr:cNvSpPr>
          <a:spLocks noChangeShapeType="1"/>
        </xdr:cNvSpPr>
      </xdr:nvSpPr>
      <xdr:spPr bwMode="auto">
        <a:xfrm>
          <a:off x="7324725"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3" name="Line 12">
          <a:extLst>
            <a:ext uri="{FF2B5EF4-FFF2-40B4-BE49-F238E27FC236}">
              <a16:creationId xmlns:a16="http://schemas.microsoft.com/office/drawing/2014/main" id="{6A722E7D-8174-4B82-9CDD-946EECA43D29}"/>
            </a:ext>
          </a:extLst>
        </xdr:cNvPr>
        <xdr:cNvSpPr>
          <a:spLocks noChangeShapeType="1"/>
        </xdr:cNvSpPr>
      </xdr:nvSpPr>
      <xdr:spPr bwMode="auto">
        <a:xfrm>
          <a:off x="7324725"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 name="Line 13">
          <a:extLst>
            <a:ext uri="{FF2B5EF4-FFF2-40B4-BE49-F238E27FC236}">
              <a16:creationId xmlns:a16="http://schemas.microsoft.com/office/drawing/2014/main" id="{3AF61EC7-BDD0-4934-8DB2-183BA43DA9B0}"/>
            </a:ext>
          </a:extLst>
        </xdr:cNvPr>
        <xdr:cNvSpPr>
          <a:spLocks noChangeShapeType="1"/>
        </xdr:cNvSpPr>
      </xdr:nvSpPr>
      <xdr:spPr bwMode="auto">
        <a:xfrm>
          <a:off x="10896600"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5" name="Line 14">
          <a:extLst>
            <a:ext uri="{FF2B5EF4-FFF2-40B4-BE49-F238E27FC236}">
              <a16:creationId xmlns:a16="http://schemas.microsoft.com/office/drawing/2014/main" id="{D1408A28-5093-4183-8DB3-E5C0A6A914E0}"/>
            </a:ext>
          </a:extLst>
        </xdr:cNvPr>
        <xdr:cNvSpPr>
          <a:spLocks noChangeShapeType="1"/>
        </xdr:cNvSpPr>
      </xdr:nvSpPr>
      <xdr:spPr bwMode="auto">
        <a:xfrm>
          <a:off x="10896600"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6" name="Line 15">
          <a:extLst>
            <a:ext uri="{FF2B5EF4-FFF2-40B4-BE49-F238E27FC236}">
              <a16:creationId xmlns:a16="http://schemas.microsoft.com/office/drawing/2014/main" id="{DB2D6A97-0F9E-4ED5-919A-84B02665AC78}"/>
            </a:ext>
          </a:extLst>
        </xdr:cNvPr>
        <xdr:cNvSpPr>
          <a:spLocks noChangeShapeType="1"/>
        </xdr:cNvSpPr>
      </xdr:nvSpPr>
      <xdr:spPr bwMode="auto">
        <a:xfrm>
          <a:off x="10896600"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7" name="Line 16">
          <a:extLst>
            <a:ext uri="{FF2B5EF4-FFF2-40B4-BE49-F238E27FC236}">
              <a16:creationId xmlns:a16="http://schemas.microsoft.com/office/drawing/2014/main" id="{05D8CDFB-569F-4D72-AE60-735DE0FBF7CE}"/>
            </a:ext>
          </a:extLst>
        </xdr:cNvPr>
        <xdr:cNvSpPr>
          <a:spLocks noChangeShapeType="1"/>
        </xdr:cNvSpPr>
      </xdr:nvSpPr>
      <xdr:spPr bwMode="auto">
        <a:xfrm>
          <a:off x="10896600" y="76866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8" name="Line 17">
          <a:extLst>
            <a:ext uri="{FF2B5EF4-FFF2-40B4-BE49-F238E27FC236}">
              <a16:creationId xmlns:a16="http://schemas.microsoft.com/office/drawing/2014/main" id="{E6B7A967-9CC9-4E89-A9A5-9BCE3DC66295}"/>
            </a:ext>
          </a:extLst>
        </xdr:cNvPr>
        <xdr:cNvSpPr>
          <a:spLocks noChangeShapeType="1"/>
        </xdr:cNvSpPr>
      </xdr:nvSpPr>
      <xdr:spPr bwMode="auto">
        <a:xfrm>
          <a:off x="2619375" y="4448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9" name="Line 18">
          <a:extLst>
            <a:ext uri="{FF2B5EF4-FFF2-40B4-BE49-F238E27FC236}">
              <a16:creationId xmlns:a16="http://schemas.microsoft.com/office/drawing/2014/main" id="{9E4BB24A-6A41-4BE7-B307-BC75C422A6CC}"/>
            </a:ext>
          </a:extLst>
        </xdr:cNvPr>
        <xdr:cNvSpPr>
          <a:spLocks noChangeShapeType="1"/>
        </xdr:cNvSpPr>
      </xdr:nvSpPr>
      <xdr:spPr bwMode="auto">
        <a:xfrm>
          <a:off x="2619375" y="55816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0" name="Line 19">
          <a:extLst>
            <a:ext uri="{FF2B5EF4-FFF2-40B4-BE49-F238E27FC236}">
              <a16:creationId xmlns:a16="http://schemas.microsoft.com/office/drawing/2014/main" id="{ABE8CEB2-4AB0-4BBD-8CC3-DEA08576A0F9}"/>
            </a:ext>
          </a:extLst>
        </xdr:cNvPr>
        <xdr:cNvSpPr>
          <a:spLocks noChangeShapeType="1"/>
        </xdr:cNvSpPr>
      </xdr:nvSpPr>
      <xdr:spPr bwMode="auto">
        <a:xfrm>
          <a:off x="2619375" y="57435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1" name="Line 20">
          <a:extLst>
            <a:ext uri="{FF2B5EF4-FFF2-40B4-BE49-F238E27FC236}">
              <a16:creationId xmlns:a16="http://schemas.microsoft.com/office/drawing/2014/main" id="{76776969-58B6-41A9-AEDE-69540DE4EFAC}"/>
            </a:ext>
          </a:extLst>
        </xdr:cNvPr>
        <xdr:cNvSpPr>
          <a:spLocks noChangeShapeType="1"/>
        </xdr:cNvSpPr>
      </xdr:nvSpPr>
      <xdr:spPr bwMode="auto">
        <a:xfrm>
          <a:off x="2619375" y="59055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2" name="Line 21">
          <a:extLst>
            <a:ext uri="{FF2B5EF4-FFF2-40B4-BE49-F238E27FC236}">
              <a16:creationId xmlns:a16="http://schemas.microsoft.com/office/drawing/2014/main" id="{44857001-5BF4-4819-9A3D-72A11FF02DFC}"/>
            </a:ext>
          </a:extLst>
        </xdr:cNvPr>
        <xdr:cNvSpPr>
          <a:spLocks noChangeShapeType="1"/>
        </xdr:cNvSpPr>
      </xdr:nvSpPr>
      <xdr:spPr bwMode="auto">
        <a:xfrm>
          <a:off x="2619375" y="6067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3" name="Line 22">
          <a:extLst>
            <a:ext uri="{FF2B5EF4-FFF2-40B4-BE49-F238E27FC236}">
              <a16:creationId xmlns:a16="http://schemas.microsoft.com/office/drawing/2014/main" id="{2CE6FE27-54FF-41A6-B39E-45CBF98BCF60}"/>
            </a:ext>
          </a:extLst>
        </xdr:cNvPr>
        <xdr:cNvSpPr>
          <a:spLocks noChangeShapeType="1"/>
        </xdr:cNvSpPr>
      </xdr:nvSpPr>
      <xdr:spPr bwMode="auto">
        <a:xfrm>
          <a:off x="2619375" y="62293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4" name="Line 23">
          <a:extLst>
            <a:ext uri="{FF2B5EF4-FFF2-40B4-BE49-F238E27FC236}">
              <a16:creationId xmlns:a16="http://schemas.microsoft.com/office/drawing/2014/main" id="{734B61E9-A45D-45AB-86E3-1DE6F4590BA8}"/>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5" name="Line 24">
          <a:extLst>
            <a:ext uri="{FF2B5EF4-FFF2-40B4-BE49-F238E27FC236}">
              <a16:creationId xmlns:a16="http://schemas.microsoft.com/office/drawing/2014/main" id="{A43C7F9A-6CDB-44B2-AED0-5353A837356A}"/>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6" name="Line 25">
          <a:extLst>
            <a:ext uri="{FF2B5EF4-FFF2-40B4-BE49-F238E27FC236}">
              <a16:creationId xmlns:a16="http://schemas.microsoft.com/office/drawing/2014/main" id="{5214F76E-4121-4061-A107-84B6AC489977}"/>
            </a:ext>
          </a:extLst>
        </xdr:cNvPr>
        <xdr:cNvSpPr>
          <a:spLocks noChangeShapeType="1"/>
        </xdr:cNvSpPr>
      </xdr:nvSpPr>
      <xdr:spPr bwMode="auto">
        <a:xfrm>
          <a:off x="7324725" y="65532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7" name="Line 26">
          <a:extLst>
            <a:ext uri="{FF2B5EF4-FFF2-40B4-BE49-F238E27FC236}">
              <a16:creationId xmlns:a16="http://schemas.microsoft.com/office/drawing/2014/main" id="{2D9FF04C-A5EB-4CE4-B748-FFC05F0C351A}"/>
            </a:ext>
          </a:extLst>
        </xdr:cNvPr>
        <xdr:cNvSpPr>
          <a:spLocks noChangeShapeType="1"/>
        </xdr:cNvSpPr>
      </xdr:nvSpPr>
      <xdr:spPr bwMode="auto">
        <a:xfrm>
          <a:off x="10896600" y="78486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8" name="Line 27">
          <a:extLst>
            <a:ext uri="{FF2B5EF4-FFF2-40B4-BE49-F238E27FC236}">
              <a16:creationId xmlns:a16="http://schemas.microsoft.com/office/drawing/2014/main" id="{0FFEE560-02D4-4F86-8498-857A35BC9834}"/>
            </a:ext>
          </a:extLst>
        </xdr:cNvPr>
        <xdr:cNvSpPr>
          <a:spLocks noChangeShapeType="1"/>
        </xdr:cNvSpPr>
      </xdr:nvSpPr>
      <xdr:spPr bwMode="auto">
        <a:xfrm>
          <a:off x="4762500" y="65532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9" name="Line 28">
          <a:extLst>
            <a:ext uri="{FF2B5EF4-FFF2-40B4-BE49-F238E27FC236}">
              <a16:creationId xmlns:a16="http://schemas.microsoft.com/office/drawing/2014/main" id="{8D183B6D-89BE-4784-B86B-E72E4D4EE3C7}"/>
            </a:ext>
          </a:extLst>
        </xdr:cNvPr>
        <xdr:cNvSpPr>
          <a:spLocks noChangeShapeType="1"/>
        </xdr:cNvSpPr>
      </xdr:nvSpPr>
      <xdr:spPr bwMode="auto">
        <a:xfrm>
          <a:off x="4762500" y="80105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30" name="Line 29">
          <a:extLst>
            <a:ext uri="{FF2B5EF4-FFF2-40B4-BE49-F238E27FC236}">
              <a16:creationId xmlns:a16="http://schemas.microsoft.com/office/drawing/2014/main" id="{2253ECD2-C36C-428A-B52C-787538AF487B}"/>
            </a:ext>
          </a:extLst>
        </xdr:cNvPr>
        <xdr:cNvSpPr>
          <a:spLocks noChangeShapeType="1"/>
        </xdr:cNvSpPr>
      </xdr:nvSpPr>
      <xdr:spPr bwMode="auto">
        <a:xfrm>
          <a:off x="7324725"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31" name="Line 30">
          <a:extLst>
            <a:ext uri="{FF2B5EF4-FFF2-40B4-BE49-F238E27FC236}">
              <a16:creationId xmlns:a16="http://schemas.microsoft.com/office/drawing/2014/main" id="{777C5DD2-BF60-4AF0-9665-2077E3EF4CDC}"/>
            </a:ext>
          </a:extLst>
        </xdr:cNvPr>
        <xdr:cNvSpPr>
          <a:spLocks noChangeShapeType="1"/>
        </xdr:cNvSpPr>
      </xdr:nvSpPr>
      <xdr:spPr bwMode="auto">
        <a:xfrm>
          <a:off x="7324725"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32" name="Line 31">
          <a:extLst>
            <a:ext uri="{FF2B5EF4-FFF2-40B4-BE49-F238E27FC236}">
              <a16:creationId xmlns:a16="http://schemas.microsoft.com/office/drawing/2014/main" id="{F9DD1B8E-36C9-469D-8730-F0AFD73ED1D3}"/>
            </a:ext>
          </a:extLst>
        </xdr:cNvPr>
        <xdr:cNvSpPr>
          <a:spLocks noChangeShapeType="1"/>
        </xdr:cNvSpPr>
      </xdr:nvSpPr>
      <xdr:spPr bwMode="auto">
        <a:xfrm>
          <a:off x="10896600"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33" name="Line 32">
          <a:extLst>
            <a:ext uri="{FF2B5EF4-FFF2-40B4-BE49-F238E27FC236}">
              <a16:creationId xmlns:a16="http://schemas.microsoft.com/office/drawing/2014/main" id="{A4B69096-B20E-44E4-B3D9-2F33AF044516}"/>
            </a:ext>
          </a:extLst>
        </xdr:cNvPr>
        <xdr:cNvSpPr>
          <a:spLocks noChangeShapeType="1"/>
        </xdr:cNvSpPr>
      </xdr:nvSpPr>
      <xdr:spPr bwMode="auto">
        <a:xfrm>
          <a:off x="10896600"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34" name="Line 33">
          <a:extLst>
            <a:ext uri="{FF2B5EF4-FFF2-40B4-BE49-F238E27FC236}">
              <a16:creationId xmlns:a16="http://schemas.microsoft.com/office/drawing/2014/main" id="{514A70BB-BEFB-4FE5-B977-FAD163EE2C75}"/>
            </a:ext>
          </a:extLst>
        </xdr:cNvPr>
        <xdr:cNvSpPr>
          <a:spLocks noChangeShapeType="1"/>
        </xdr:cNvSpPr>
      </xdr:nvSpPr>
      <xdr:spPr bwMode="auto">
        <a:xfrm>
          <a:off x="2619375" y="65532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5" name="Line 34">
          <a:extLst>
            <a:ext uri="{FF2B5EF4-FFF2-40B4-BE49-F238E27FC236}">
              <a16:creationId xmlns:a16="http://schemas.microsoft.com/office/drawing/2014/main" id="{84D932E4-3A11-4054-AB9B-8DB09DF79FEB}"/>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6" name="Line 35">
          <a:extLst>
            <a:ext uri="{FF2B5EF4-FFF2-40B4-BE49-F238E27FC236}">
              <a16:creationId xmlns:a16="http://schemas.microsoft.com/office/drawing/2014/main" id="{951EF82B-38CE-41ED-B7B5-DA8AF195D02D}"/>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37" name="Line 36">
          <a:extLst>
            <a:ext uri="{FF2B5EF4-FFF2-40B4-BE49-F238E27FC236}">
              <a16:creationId xmlns:a16="http://schemas.microsoft.com/office/drawing/2014/main" id="{62C561C5-724C-4F52-AE85-C3AA2C4038BF}"/>
            </a:ext>
          </a:extLst>
        </xdr:cNvPr>
        <xdr:cNvSpPr>
          <a:spLocks noChangeShapeType="1"/>
        </xdr:cNvSpPr>
      </xdr:nvSpPr>
      <xdr:spPr bwMode="auto">
        <a:xfrm>
          <a:off x="2619375" y="7848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38" name="Line 37">
          <a:extLst>
            <a:ext uri="{FF2B5EF4-FFF2-40B4-BE49-F238E27FC236}">
              <a16:creationId xmlns:a16="http://schemas.microsoft.com/office/drawing/2014/main" id="{4BA23555-8850-4F43-98E5-CED3BCAEACF8}"/>
            </a:ext>
          </a:extLst>
        </xdr:cNvPr>
        <xdr:cNvSpPr>
          <a:spLocks noChangeShapeType="1"/>
        </xdr:cNvSpPr>
      </xdr:nvSpPr>
      <xdr:spPr bwMode="auto">
        <a:xfrm>
          <a:off x="2619375" y="80105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39" name="Line 38">
          <a:extLst>
            <a:ext uri="{FF2B5EF4-FFF2-40B4-BE49-F238E27FC236}">
              <a16:creationId xmlns:a16="http://schemas.microsoft.com/office/drawing/2014/main" id="{3755F54D-9ABF-4F15-81E7-9BB51BDB36BE}"/>
            </a:ext>
          </a:extLst>
        </xdr:cNvPr>
        <xdr:cNvSpPr>
          <a:spLocks noChangeShapeType="1"/>
        </xdr:cNvSpPr>
      </xdr:nvSpPr>
      <xdr:spPr bwMode="auto">
        <a:xfrm>
          <a:off x="2619375" y="81724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0" name="Line 39">
          <a:extLst>
            <a:ext uri="{FF2B5EF4-FFF2-40B4-BE49-F238E27FC236}">
              <a16:creationId xmlns:a16="http://schemas.microsoft.com/office/drawing/2014/main" id="{B93743D7-7B77-4BD6-907E-218A4856F9B6}"/>
            </a:ext>
          </a:extLst>
        </xdr:cNvPr>
        <xdr:cNvSpPr>
          <a:spLocks noChangeShapeType="1"/>
        </xdr:cNvSpPr>
      </xdr:nvSpPr>
      <xdr:spPr bwMode="auto">
        <a:xfrm>
          <a:off x="4762500" y="81724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1" name="Line 40">
          <a:extLst>
            <a:ext uri="{FF2B5EF4-FFF2-40B4-BE49-F238E27FC236}">
              <a16:creationId xmlns:a16="http://schemas.microsoft.com/office/drawing/2014/main" id="{2B99F89E-1959-48E8-A081-72F64A604DF7}"/>
            </a:ext>
          </a:extLst>
        </xdr:cNvPr>
        <xdr:cNvSpPr>
          <a:spLocks noChangeShapeType="1"/>
        </xdr:cNvSpPr>
      </xdr:nvSpPr>
      <xdr:spPr bwMode="auto">
        <a:xfrm>
          <a:off x="10896600" y="102489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 name="Line 41">
          <a:extLst>
            <a:ext uri="{FF2B5EF4-FFF2-40B4-BE49-F238E27FC236}">
              <a16:creationId xmlns:a16="http://schemas.microsoft.com/office/drawing/2014/main" id="{BCA95B4C-2E91-4C9F-B5AA-54BBA463B8D5}"/>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3" name="Line 42">
          <a:extLst>
            <a:ext uri="{FF2B5EF4-FFF2-40B4-BE49-F238E27FC236}">
              <a16:creationId xmlns:a16="http://schemas.microsoft.com/office/drawing/2014/main" id="{A0CBA686-7ABA-4C81-9702-B12102174055}"/>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4" name="Line 43">
          <a:extLst>
            <a:ext uri="{FF2B5EF4-FFF2-40B4-BE49-F238E27FC236}">
              <a16:creationId xmlns:a16="http://schemas.microsoft.com/office/drawing/2014/main" id="{2ABAB4CE-00C0-4C0E-8C35-74F5C0FBA977}"/>
            </a:ext>
          </a:extLst>
        </xdr:cNvPr>
        <xdr:cNvSpPr>
          <a:spLocks noChangeShapeType="1"/>
        </xdr:cNvSpPr>
      </xdr:nvSpPr>
      <xdr:spPr bwMode="auto">
        <a:xfrm>
          <a:off x="7324725" y="9115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5" name="Line 44">
          <a:extLst>
            <a:ext uri="{FF2B5EF4-FFF2-40B4-BE49-F238E27FC236}">
              <a16:creationId xmlns:a16="http://schemas.microsoft.com/office/drawing/2014/main" id="{8100A35C-34D5-4C1A-8AF9-73FDFACACEE6}"/>
            </a:ext>
          </a:extLst>
        </xdr:cNvPr>
        <xdr:cNvSpPr>
          <a:spLocks noChangeShapeType="1"/>
        </xdr:cNvSpPr>
      </xdr:nvSpPr>
      <xdr:spPr bwMode="auto">
        <a:xfrm>
          <a:off x="10896600" y="104108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6" name="Line 45">
          <a:extLst>
            <a:ext uri="{FF2B5EF4-FFF2-40B4-BE49-F238E27FC236}">
              <a16:creationId xmlns:a16="http://schemas.microsoft.com/office/drawing/2014/main" id="{1140F354-2980-41A2-8DCD-9C40DC231E71}"/>
            </a:ext>
          </a:extLst>
        </xdr:cNvPr>
        <xdr:cNvSpPr>
          <a:spLocks noChangeShapeType="1"/>
        </xdr:cNvSpPr>
      </xdr:nvSpPr>
      <xdr:spPr bwMode="auto">
        <a:xfrm>
          <a:off x="4762500" y="9115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7" name="Line 46">
          <a:extLst>
            <a:ext uri="{FF2B5EF4-FFF2-40B4-BE49-F238E27FC236}">
              <a16:creationId xmlns:a16="http://schemas.microsoft.com/office/drawing/2014/main" id="{9BBB0994-6AB1-4EA2-B04C-880C0391CBE0}"/>
            </a:ext>
          </a:extLst>
        </xdr:cNvPr>
        <xdr:cNvSpPr>
          <a:spLocks noChangeShapeType="1"/>
        </xdr:cNvSpPr>
      </xdr:nvSpPr>
      <xdr:spPr bwMode="auto">
        <a:xfrm>
          <a:off x="7324725"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8" name="Line 47">
          <a:extLst>
            <a:ext uri="{FF2B5EF4-FFF2-40B4-BE49-F238E27FC236}">
              <a16:creationId xmlns:a16="http://schemas.microsoft.com/office/drawing/2014/main" id="{BB9C182A-B267-4A0A-8C86-3F862C182296}"/>
            </a:ext>
          </a:extLst>
        </xdr:cNvPr>
        <xdr:cNvSpPr>
          <a:spLocks noChangeShapeType="1"/>
        </xdr:cNvSpPr>
      </xdr:nvSpPr>
      <xdr:spPr bwMode="auto">
        <a:xfrm>
          <a:off x="10896600"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9" name="Line 48">
          <a:extLst>
            <a:ext uri="{FF2B5EF4-FFF2-40B4-BE49-F238E27FC236}">
              <a16:creationId xmlns:a16="http://schemas.microsoft.com/office/drawing/2014/main" id="{4C43AA99-5950-414C-A6F1-2486946AEDC6}"/>
            </a:ext>
          </a:extLst>
        </xdr:cNvPr>
        <xdr:cNvSpPr>
          <a:spLocks noChangeShapeType="1"/>
        </xdr:cNvSpPr>
      </xdr:nvSpPr>
      <xdr:spPr bwMode="auto">
        <a:xfrm>
          <a:off x="2619375" y="9115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0" name="Line 49">
          <a:extLst>
            <a:ext uri="{FF2B5EF4-FFF2-40B4-BE49-F238E27FC236}">
              <a16:creationId xmlns:a16="http://schemas.microsoft.com/office/drawing/2014/main" id="{85001E46-0C2A-4E30-BBE1-A7AF11309513}"/>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1" name="Line 50">
          <a:extLst>
            <a:ext uri="{FF2B5EF4-FFF2-40B4-BE49-F238E27FC236}">
              <a16:creationId xmlns:a16="http://schemas.microsoft.com/office/drawing/2014/main" id="{BB36FE38-C022-4E86-BB12-6BD55E3A15B9}"/>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2" name="Line 51">
          <a:extLst>
            <a:ext uri="{FF2B5EF4-FFF2-40B4-BE49-F238E27FC236}">
              <a16:creationId xmlns:a16="http://schemas.microsoft.com/office/drawing/2014/main" id="{5ADEEDF5-9971-4B82-ACEF-565B53C4607C}"/>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53" name="Line 52">
          <a:extLst>
            <a:ext uri="{FF2B5EF4-FFF2-40B4-BE49-F238E27FC236}">
              <a16:creationId xmlns:a16="http://schemas.microsoft.com/office/drawing/2014/main" id="{E638A84A-502E-4C1A-9B24-50876C67A52A}"/>
            </a:ext>
          </a:extLst>
        </xdr:cNvPr>
        <xdr:cNvSpPr>
          <a:spLocks noChangeShapeType="1"/>
        </xdr:cNvSpPr>
      </xdr:nvSpPr>
      <xdr:spPr bwMode="auto">
        <a:xfrm>
          <a:off x="2619375" y="104108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54" name="Line 53">
          <a:extLst>
            <a:ext uri="{FF2B5EF4-FFF2-40B4-BE49-F238E27FC236}">
              <a16:creationId xmlns:a16="http://schemas.microsoft.com/office/drawing/2014/main" id="{CD474524-2999-4635-ADA0-8AA396FDB20C}"/>
            </a:ext>
          </a:extLst>
        </xdr:cNvPr>
        <xdr:cNvSpPr>
          <a:spLocks noChangeShapeType="1"/>
        </xdr:cNvSpPr>
      </xdr:nvSpPr>
      <xdr:spPr bwMode="auto">
        <a:xfrm>
          <a:off x="2619375" y="105727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55" name="Line 54">
          <a:extLst>
            <a:ext uri="{FF2B5EF4-FFF2-40B4-BE49-F238E27FC236}">
              <a16:creationId xmlns:a16="http://schemas.microsoft.com/office/drawing/2014/main" id="{49B8F527-768F-4BC6-87D2-DF254BAA7BE1}"/>
            </a:ext>
          </a:extLst>
        </xdr:cNvPr>
        <xdr:cNvSpPr>
          <a:spLocks noChangeShapeType="1"/>
        </xdr:cNvSpPr>
      </xdr:nvSpPr>
      <xdr:spPr bwMode="auto">
        <a:xfrm>
          <a:off x="4762500" y="105727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56" name="Line 55">
          <a:extLst>
            <a:ext uri="{FF2B5EF4-FFF2-40B4-BE49-F238E27FC236}">
              <a16:creationId xmlns:a16="http://schemas.microsoft.com/office/drawing/2014/main" id="{675B7F06-78F3-4512-89B3-FFD0E93E15BA}"/>
            </a:ext>
          </a:extLst>
        </xdr:cNvPr>
        <xdr:cNvSpPr>
          <a:spLocks noChangeShapeType="1"/>
        </xdr:cNvSpPr>
      </xdr:nvSpPr>
      <xdr:spPr bwMode="auto">
        <a:xfrm>
          <a:off x="4762500" y="5419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57" name="Line 56">
          <a:extLst>
            <a:ext uri="{FF2B5EF4-FFF2-40B4-BE49-F238E27FC236}">
              <a16:creationId xmlns:a16="http://schemas.microsoft.com/office/drawing/2014/main" id="{6C398BCA-C793-477B-93A0-C86151156C8B}"/>
            </a:ext>
          </a:extLst>
        </xdr:cNvPr>
        <xdr:cNvSpPr>
          <a:spLocks noChangeShapeType="1"/>
        </xdr:cNvSpPr>
      </xdr:nvSpPr>
      <xdr:spPr bwMode="auto">
        <a:xfrm>
          <a:off x="4762500" y="752475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58" name="Line 57">
          <a:extLst>
            <a:ext uri="{FF2B5EF4-FFF2-40B4-BE49-F238E27FC236}">
              <a16:creationId xmlns:a16="http://schemas.microsoft.com/office/drawing/2014/main" id="{AFECF774-1C04-426C-93B9-854A3EB92CC1}"/>
            </a:ext>
          </a:extLst>
        </xdr:cNvPr>
        <xdr:cNvSpPr>
          <a:spLocks noChangeShapeType="1"/>
        </xdr:cNvSpPr>
      </xdr:nvSpPr>
      <xdr:spPr bwMode="auto">
        <a:xfrm>
          <a:off x="4762500" y="1008697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59" name="Line 58">
          <a:extLst>
            <a:ext uri="{FF2B5EF4-FFF2-40B4-BE49-F238E27FC236}">
              <a16:creationId xmlns:a16="http://schemas.microsoft.com/office/drawing/2014/main" id="{BCD4EFE4-E38A-4408-BFFE-7C817FFCE285}"/>
            </a:ext>
          </a:extLst>
        </xdr:cNvPr>
        <xdr:cNvSpPr>
          <a:spLocks noChangeShapeType="1"/>
        </xdr:cNvSpPr>
      </xdr:nvSpPr>
      <xdr:spPr bwMode="auto">
        <a:xfrm>
          <a:off x="4762500" y="120300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0" name="Line 59">
          <a:extLst>
            <a:ext uri="{FF2B5EF4-FFF2-40B4-BE49-F238E27FC236}">
              <a16:creationId xmlns:a16="http://schemas.microsoft.com/office/drawing/2014/main" id="{F00B7AA5-4A82-48A8-840F-2ED7E0365DAD}"/>
            </a:ext>
          </a:extLst>
        </xdr:cNvPr>
        <xdr:cNvSpPr>
          <a:spLocks noChangeShapeType="1"/>
        </xdr:cNvSpPr>
      </xdr:nvSpPr>
      <xdr:spPr bwMode="auto">
        <a:xfrm>
          <a:off x="10896600" y="120300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1" name="Line 60">
          <a:extLst>
            <a:ext uri="{FF2B5EF4-FFF2-40B4-BE49-F238E27FC236}">
              <a16:creationId xmlns:a16="http://schemas.microsoft.com/office/drawing/2014/main" id="{B57D8569-9B41-4AA3-A4D2-BA1666930D08}"/>
            </a:ext>
          </a:extLst>
        </xdr:cNvPr>
        <xdr:cNvSpPr>
          <a:spLocks noChangeShapeType="1"/>
        </xdr:cNvSpPr>
      </xdr:nvSpPr>
      <xdr:spPr bwMode="auto">
        <a:xfrm>
          <a:off x="4762500" y="121920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 name="Line 61">
          <a:extLst>
            <a:ext uri="{FF2B5EF4-FFF2-40B4-BE49-F238E27FC236}">
              <a16:creationId xmlns:a16="http://schemas.microsoft.com/office/drawing/2014/main" id="{6F6E21E9-A0F5-4A93-A9BB-B4759F1E4266}"/>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 name="Line 62">
          <a:extLst>
            <a:ext uri="{FF2B5EF4-FFF2-40B4-BE49-F238E27FC236}">
              <a16:creationId xmlns:a16="http://schemas.microsoft.com/office/drawing/2014/main" id="{6E46DC27-8AC1-4D04-BBAD-20A680672DBC}"/>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4" name="Line 63">
          <a:extLst>
            <a:ext uri="{FF2B5EF4-FFF2-40B4-BE49-F238E27FC236}">
              <a16:creationId xmlns:a16="http://schemas.microsoft.com/office/drawing/2014/main" id="{4DCADA05-7EA3-4648-8C03-9679CE30A770}"/>
            </a:ext>
          </a:extLst>
        </xdr:cNvPr>
        <xdr:cNvSpPr>
          <a:spLocks noChangeShapeType="1"/>
        </xdr:cNvSpPr>
      </xdr:nvSpPr>
      <xdr:spPr bwMode="auto">
        <a:xfrm>
          <a:off x="7324725" y="10896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5" name="Line 64">
          <a:extLst>
            <a:ext uri="{FF2B5EF4-FFF2-40B4-BE49-F238E27FC236}">
              <a16:creationId xmlns:a16="http://schemas.microsoft.com/office/drawing/2014/main" id="{A405DCB9-51CD-45DC-AE3C-53D029E9C9C4}"/>
            </a:ext>
          </a:extLst>
        </xdr:cNvPr>
        <xdr:cNvSpPr>
          <a:spLocks noChangeShapeType="1"/>
        </xdr:cNvSpPr>
      </xdr:nvSpPr>
      <xdr:spPr bwMode="auto">
        <a:xfrm>
          <a:off x="10896600" y="121920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6" name="Line 65">
          <a:extLst>
            <a:ext uri="{FF2B5EF4-FFF2-40B4-BE49-F238E27FC236}">
              <a16:creationId xmlns:a16="http://schemas.microsoft.com/office/drawing/2014/main" id="{49789728-D08A-49F2-9D51-B52960D4D8DF}"/>
            </a:ext>
          </a:extLst>
        </xdr:cNvPr>
        <xdr:cNvSpPr>
          <a:spLocks noChangeShapeType="1"/>
        </xdr:cNvSpPr>
      </xdr:nvSpPr>
      <xdr:spPr bwMode="auto">
        <a:xfrm>
          <a:off x="4762500" y="10896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7" name="Line 66">
          <a:extLst>
            <a:ext uri="{FF2B5EF4-FFF2-40B4-BE49-F238E27FC236}">
              <a16:creationId xmlns:a16="http://schemas.microsoft.com/office/drawing/2014/main" id="{9469E53B-3A82-4E33-AB29-17D5D7D6FD80}"/>
            </a:ext>
          </a:extLst>
        </xdr:cNvPr>
        <xdr:cNvSpPr>
          <a:spLocks noChangeShapeType="1"/>
        </xdr:cNvSpPr>
      </xdr:nvSpPr>
      <xdr:spPr bwMode="auto">
        <a:xfrm>
          <a:off x="2619375" y="10896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8" name="Line 67">
          <a:extLst>
            <a:ext uri="{FF2B5EF4-FFF2-40B4-BE49-F238E27FC236}">
              <a16:creationId xmlns:a16="http://schemas.microsoft.com/office/drawing/2014/main" id="{E6FAE500-1C12-413E-94E6-81E4156DD82B}"/>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9" name="Line 68">
          <a:extLst>
            <a:ext uri="{FF2B5EF4-FFF2-40B4-BE49-F238E27FC236}">
              <a16:creationId xmlns:a16="http://schemas.microsoft.com/office/drawing/2014/main" id="{8DD66098-3696-4519-9D64-4E9CE3D53374}"/>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0" name="Line 69">
          <a:extLst>
            <a:ext uri="{FF2B5EF4-FFF2-40B4-BE49-F238E27FC236}">
              <a16:creationId xmlns:a16="http://schemas.microsoft.com/office/drawing/2014/main" id="{4397A2A9-1ADD-486A-BB61-234F32AEC134}"/>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1" name="Line 70">
          <a:extLst>
            <a:ext uri="{FF2B5EF4-FFF2-40B4-BE49-F238E27FC236}">
              <a16:creationId xmlns:a16="http://schemas.microsoft.com/office/drawing/2014/main" id="{04D848DB-2233-433F-A09C-46FDD53ECAE0}"/>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72" name="Line 71">
          <a:extLst>
            <a:ext uri="{FF2B5EF4-FFF2-40B4-BE49-F238E27FC236}">
              <a16:creationId xmlns:a16="http://schemas.microsoft.com/office/drawing/2014/main" id="{1BE66240-9838-4F28-B24F-EF8CDDA2E60C}"/>
            </a:ext>
          </a:extLst>
        </xdr:cNvPr>
        <xdr:cNvSpPr>
          <a:spLocks noChangeShapeType="1"/>
        </xdr:cNvSpPr>
      </xdr:nvSpPr>
      <xdr:spPr bwMode="auto">
        <a:xfrm>
          <a:off x="4762500" y="1186815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73" name="Line 72">
          <a:extLst>
            <a:ext uri="{FF2B5EF4-FFF2-40B4-BE49-F238E27FC236}">
              <a16:creationId xmlns:a16="http://schemas.microsoft.com/office/drawing/2014/main" id="{BEC36561-3D16-424C-9BB8-B8AA9F3C4087}"/>
            </a:ext>
          </a:extLst>
        </xdr:cNvPr>
        <xdr:cNvSpPr>
          <a:spLocks noChangeShapeType="1"/>
        </xdr:cNvSpPr>
      </xdr:nvSpPr>
      <xdr:spPr bwMode="auto">
        <a:xfrm>
          <a:off x="2619375" y="121920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74" name="Line 73">
          <a:extLst>
            <a:ext uri="{FF2B5EF4-FFF2-40B4-BE49-F238E27FC236}">
              <a16:creationId xmlns:a16="http://schemas.microsoft.com/office/drawing/2014/main" id="{656B6701-DBCF-4B58-9C3A-672C5407C43C}"/>
            </a:ext>
          </a:extLst>
        </xdr:cNvPr>
        <xdr:cNvSpPr>
          <a:spLocks noChangeShapeType="1"/>
        </xdr:cNvSpPr>
      </xdr:nvSpPr>
      <xdr:spPr bwMode="auto">
        <a:xfrm>
          <a:off x="4762500" y="13649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75" name="Line 74">
          <a:extLst>
            <a:ext uri="{FF2B5EF4-FFF2-40B4-BE49-F238E27FC236}">
              <a16:creationId xmlns:a16="http://schemas.microsoft.com/office/drawing/2014/main" id="{7D1BAE99-DCF4-439D-8EB9-FD64A40D5C7D}"/>
            </a:ext>
          </a:extLst>
        </xdr:cNvPr>
        <xdr:cNvSpPr>
          <a:spLocks noChangeShapeType="1"/>
        </xdr:cNvSpPr>
      </xdr:nvSpPr>
      <xdr:spPr bwMode="auto">
        <a:xfrm>
          <a:off x="10896600" y="136493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6" name="Line 75">
          <a:extLst>
            <a:ext uri="{FF2B5EF4-FFF2-40B4-BE49-F238E27FC236}">
              <a16:creationId xmlns:a16="http://schemas.microsoft.com/office/drawing/2014/main" id="{03F4D333-471F-4EE3-B8F9-D9CE5B8BD71A}"/>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7" name="Line 76">
          <a:extLst>
            <a:ext uri="{FF2B5EF4-FFF2-40B4-BE49-F238E27FC236}">
              <a16:creationId xmlns:a16="http://schemas.microsoft.com/office/drawing/2014/main" id="{738DD14E-150A-4743-A035-B8EAA0A7EA16}"/>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78" name="Line 77">
          <a:extLst>
            <a:ext uri="{FF2B5EF4-FFF2-40B4-BE49-F238E27FC236}">
              <a16:creationId xmlns:a16="http://schemas.microsoft.com/office/drawing/2014/main" id="{81A398C6-108C-44EA-87D2-0879CF4D8B3E}"/>
            </a:ext>
          </a:extLst>
        </xdr:cNvPr>
        <xdr:cNvSpPr>
          <a:spLocks noChangeShapeType="1"/>
        </xdr:cNvSpPr>
      </xdr:nvSpPr>
      <xdr:spPr bwMode="auto">
        <a:xfrm>
          <a:off x="7324725" y="125158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79" name="Line 78">
          <a:extLst>
            <a:ext uri="{FF2B5EF4-FFF2-40B4-BE49-F238E27FC236}">
              <a16:creationId xmlns:a16="http://schemas.microsoft.com/office/drawing/2014/main" id="{C95A62E2-B6F2-424D-B6DE-77F45319FD65}"/>
            </a:ext>
          </a:extLst>
        </xdr:cNvPr>
        <xdr:cNvSpPr>
          <a:spLocks noChangeShapeType="1"/>
        </xdr:cNvSpPr>
      </xdr:nvSpPr>
      <xdr:spPr bwMode="auto">
        <a:xfrm>
          <a:off x="4762500" y="125158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0" name="Line 79">
          <a:extLst>
            <a:ext uri="{FF2B5EF4-FFF2-40B4-BE49-F238E27FC236}">
              <a16:creationId xmlns:a16="http://schemas.microsoft.com/office/drawing/2014/main" id="{C10DFBD5-43A9-496F-AF29-213327260CD7}"/>
            </a:ext>
          </a:extLst>
        </xdr:cNvPr>
        <xdr:cNvSpPr>
          <a:spLocks noChangeShapeType="1"/>
        </xdr:cNvSpPr>
      </xdr:nvSpPr>
      <xdr:spPr bwMode="auto">
        <a:xfrm>
          <a:off x="2619375" y="12515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1" name="Line 80">
          <a:extLst>
            <a:ext uri="{FF2B5EF4-FFF2-40B4-BE49-F238E27FC236}">
              <a16:creationId xmlns:a16="http://schemas.microsoft.com/office/drawing/2014/main" id="{A8558B64-44A2-4231-9CEA-5EA67C05B424}"/>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 name="Line 81">
          <a:extLst>
            <a:ext uri="{FF2B5EF4-FFF2-40B4-BE49-F238E27FC236}">
              <a16:creationId xmlns:a16="http://schemas.microsoft.com/office/drawing/2014/main" id="{C1079324-D4C8-410D-B9F2-C4A3EB5E90BD}"/>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 name="Line 82">
          <a:extLst>
            <a:ext uri="{FF2B5EF4-FFF2-40B4-BE49-F238E27FC236}">
              <a16:creationId xmlns:a16="http://schemas.microsoft.com/office/drawing/2014/main" id="{88C26BC7-0686-41F5-8A06-43E1278F6B7B}"/>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4" name="Line 83">
          <a:extLst>
            <a:ext uri="{FF2B5EF4-FFF2-40B4-BE49-F238E27FC236}">
              <a16:creationId xmlns:a16="http://schemas.microsoft.com/office/drawing/2014/main" id="{BEE85116-0530-4DA8-8C87-84E0734F6A92}"/>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5" name="Line 84">
          <a:extLst>
            <a:ext uri="{FF2B5EF4-FFF2-40B4-BE49-F238E27FC236}">
              <a16:creationId xmlns:a16="http://schemas.microsoft.com/office/drawing/2014/main" id="{897813AA-8236-49C9-B4F3-E1FFFF7D7CF1}"/>
            </a:ext>
          </a:extLst>
        </xdr:cNvPr>
        <xdr:cNvSpPr>
          <a:spLocks noChangeShapeType="1"/>
        </xdr:cNvSpPr>
      </xdr:nvSpPr>
      <xdr:spPr bwMode="auto">
        <a:xfrm>
          <a:off x="4762500" y="1348740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6" name="Line 85">
          <a:extLst>
            <a:ext uri="{FF2B5EF4-FFF2-40B4-BE49-F238E27FC236}">
              <a16:creationId xmlns:a16="http://schemas.microsoft.com/office/drawing/2014/main" id="{8CF4ECBF-E25C-45D1-AC85-15F60C437039}"/>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7" name="Line 86">
          <a:extLst>
            <a:ext uri="{FF2B5EF4-FFF2-40B4-BE49-F238E27FC236}">
              <a16:creationId xmlns:a16="http://schemas.microsoft.com/office/drawing/2014/main" id="{63C9C087-8FE7-4E53-B519-E49A7EC040E1}"/>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8" name="Line 87">
          <a:extLst>
            <a:ext uri="{FF2B5EF4-FFF2-40B4-BE49-F238E27FC236}">
              <a16:creationId xmlns:a16="http://schemas.microsoft.com/office/drawing/2014/main" id="{3C815B36-5632-4CFD-A3D9-D448C335D1E2}"/>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9" name="Line 88">
          <a:extLst>
            <a:ext uri="{FF2B5EF4-FFF2-40B4-BE49-F238E27FC236}">
              <a16:creationId xmlns:a16="http://schemas.microsoft.com/office/drawing/2014/main" id="{23F52682-A6EA-40EA-B101-DD96AE21EC71}"/>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90" name="Line 89">
          <a:extLst>
            <a:ext uri="{FF2B5EF4-FFF2-40B4-BE49-F238E27FC236}">
              <a16:creationId xmlns:a16="http://schemas.microsoft.com/office/drawing/2014/main" id="{01A6F59D-D6F2-41B0-9B29-CDBE31D419F1}"/>
            </a:ext>
          </a:extLst>
        </xdr:cNvPr>
        <xdr:cNvSpPr>
          <a:spLocks noChangeShapeType="1"/>
        </xdr:cNvSpPr>
      </xdr:nvSpPr>
      <xdr:spPr bwMode="auto">
        <a:xfrm>
          <a:off x="4762500" y="7848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91" name="Line 90">
          <a:extLst>
            <a:ext uri="{FF2B5EF4-FFF2-40B4-BE49-F238E27FC236}">
              <a16:creationId xmlns:a16="http://schemas.microsoft.com/office/drawing/2014/main" id="{740D00CB-9D42-4DB1-81F5-ACFCAAEEBD81}"/>
            </a:ext>
          </a:extLst>
        </xdr:cNvPr>
        <xdr:cNvSpPr>
          <a:spLocks noChangeShapeType="1"/>
        </xdr:cNvSpPr>
      </xdr:nvSpPr>
      <xdr:spPr bwMode="auto">
        <a:xfrm>
          <a:off x="4762500" y="7686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92" name="Line 91">
          <a:extLst>
            <a:ext uri="{FF2B5EF4-FFF2-40B4-BE49-F238E27FC236}">
              <a16:creationId xmlns:a16="http://schemas.microsoft.com/office/drawing/2014/main" id="{C33A1305-4F70-412D-B919-60F3572CF109}"/>
            </a:ext>
          </a:extLst>
        </xdr:cNvPr>
        <xdr:cNvSpPr>
          <a:spLocks noChangeShapeType="1"/>
        </xdr:cNvSpPr>
      </xdr:nvSpPr>
      <xdr:spPr bwMode="auto">
        <a:xfrm>
          <a:off x="4762500" y="104108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93" name="Line 92">
          <a:extLst>
            <a:ext uri="{FF2B5EF4-FFF2-40B4-BE49-F238E27FC236}">
              <a16:creationId xmlns:a16="http://schemas.microsoft.com/office/drawing/2014/main" id="{2565EC5D-0F97-4CA6-9FDA-7D946E858FE5}"/>
            </a:ext>
          </a:extLst>
        </xdr:cNvPr>
        <xdr:cNvSpPr>
          <a:spLocks noChangeShapeType="1"/>
        </xdr:cNvSpPr>
      </xdr:nvSpPr>
      <xdr:spPr bwMode="auto">
        <a:xfrm>
          <a:off x="4762500" y="102489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94" name="Line 93">
          <a:extLst>
            <a:ext uri="{FF2B5EF4-FFF2-40B4-BE49-F238E27FC236}">
              <a16:creationId xmlns:a16="http://schemas.microsoft.com/office/drawing/2014/main" id="{A9B5031B-D0A7-4747-AFE0-75B794A70EF7}"/>
            </a:ext>
          </a:extLst>
        </xdr:cNvPr>
        <xdr:cNvSpPr>
          <a:spLocks noChangeShapeType="1"/>
        </xdr:cNvSpPr>
      </xdr:nvSpPr>
      <xdr:spPr bwMode="auto">
        <a:xfrm>
          <a:off x="7324725" y="57435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95" name="Line 94">
          <a:extLst>
            <a:ext uri="{FF2B5EF4-FFF2-40B4-BE49-F238E27FC236}">
              <a16:creationId xmlns:a16="http://schemas.microsoft.com/office/drawing/2014/main" id="{0DB7516C-E31F-4FFB-97ED-7CDA174DDD50}"/>
            </a:ext>
          </a:extLst>
        </xdr:cNvPr>
        <xdr:cNvSpPr>
          <a:spLocks noChangeShapeType="1"/>
        </xdr:cNvSpPr>
      </xdr:nvSpPr>
      <xdr:spPr bwMode="auto">
        <a:xfrm>
          <a:off x="7324725" y="55816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96" name="Line 95">
          <a:extLst>
            <a:ext uri="{FF2B5EF4-FFF2-40B4-BE49-F238E27FC236}">
              <a16:creationId xmlns:a16="http://schemas.microsoft.com/office/drawing/2014/main" id="{9BE4E4A4-93DB-4D51-96FB-AD5242CA9F62}"/>
            </a:ext>
          </a:extLst>
        </xdr:cNvPr>
        <xdr:cNvSpPr>
          <a:spLocks noChangeShapeType="1"/>
        </xdr:cNvSpPr>
      </xdr:nvSpPr>
      <xdr:spPr bwMode="auto">
        <a:xfrm>
          <a:off x="7324725" y="7848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97" name="Line 96">
          <a:extLst>
            <a:ext uri="{FF2B5EF4-FFF2-40B4-BE49-F238E27FC236}">
              <a16:creationId xmlns:a16="http://schemas.microsoft.com/office/drawing/2014/main" id="{D5BE6F1C-AFBE-4202-A69E-88C8639A7DAC}"/>
            </a:ext>
          </a:extLst>
        </xdr:cNvPr>
        <xdr:cNvSpPr>
          <a:spLocks noChangeShapeType="1"/>
        </xdr:cNvSpPr>
      </xdr:nvSpPr>
      <xdr:spPr bwMode="auto">
        <a:xfrm>
          <a:off x="7324725" y="76866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98" name="Line 97">
          <a:extLst>
            <a:ext uri="{FF2B5EF4-FFF2-40B4-BE49-F238E27FC236}">
              <a16:creationId xmlns:a16="http://schemas.microsoft.com/office/drawing/2014/main" id="{1FD9A6C3-8DFC-49D4-A6E3-9A2ED6019D41}"/>
            </a:ext>
          </a:extLst>
        </xdr:cNvPr>
        <xdr:cNvSpPr>
          <a:spLocks noChangeShapeType="1"/>
        </xdr:cNvSpPr>
      </xdr:nvSpPr>
      <xdr:spPr bwMode="auto">
        <a:xfrm>
          <a:off x="7324725" y="104108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99" name="Line 98">
          <a:extLst>
            <a:ext uri="{FF2B5EF4-FFF2-40B4-BE49-F238E27FC236}">
              <a16:creationId xmlns:a16="http://schemas.microsoft.com/office/drawing/2014/main" id="{FC5641B1-E911-4457-89B7-9D7D9DBC01E1}"/>
            </a:ext>
          </a:extLst>
        </xdr:cNvPr>
        <xdr:cNvSpPr>
          <a:spLocks noChangeShapeType="1"/>
        </xdr:cNvSpPr>
      </xdr:nvSpPr>
      <xdr:spPr bwMode="auto">
        <a:xfrm>
          <a:off x="7324725" y="102489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0" name="Line 99">
          <a:extLst>
            <a:ext uri="{FF2B5EF4-FFF2-40B4-BE49-F238E27FC236}">
              <a16:creationId xmlns:a16="http://schemas.microsoft.com/office/drawing/2014/main" id="{E1C4A106-5792-4BE0-A62F-DE4F326E7D4E}"/>
            </a:ext>
          </a:extLst>
        </xdr:cNvPr>
        <xdr:cNvSpPr>
          <a:spLocks noChangeShapeType="1"/>
        </xdr:cNvSpPr>
      </xdr:nvSpPr>
      <xdr:spPr bwMode="auto">
        <a:xfrm>
          <a:off x="7324725" y="121920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1" name="Line 100">
          <a:extLst>
            <a:ext uri="{FF2B5EF4-FFF2-40B4-BE49-F238E27FC236}">
              <a16:creationId xmlns:a16="http://schemas.microsoft.com/office/drawing/2014/main" id="{57529E9A-BACF-4E87-A53F-66CFFD293562}"/>
            </a:ext>
          </a:extLst>
        </xdr:cNvPr>
        <xdr:cNvSpPr>
          <a:spLocks noChangeShapeType="1"/>
        </xdr:cNvSpPr>
      </xdr:nvSpPr>
      <xdr:spPr bwMode="auto">
        <a:xfrm>
          <a:off x="7324725" y="120300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2" name="Line 101">
          <a:extLst>
            <a:ext uri="{FF2B5EF4-FFF2-40B4-BE49-F238E27FC236}">
              <a16:creationId xmlns:a16="http://schemas.microsoft.com/office/drawing/2014/main" id="{B81F4AEA-2962-4439-8CBF-7D2707AAD518}"/>
            </a:ext>
          </a:extLst>
        </xdr:cNvPr>
        <xdr:cNvSpPr>
          <a:spLocks noChangeShapeType="1"/>
        </xdr:cNvSpPr>
      </xdr:nvSpPr>
      <xdr:spPr bwMode="auto">
        <a:xfrm>
          <a:off x="7324725" y="136493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 name="Line 103">
          <a:extLst>
            <a:ext uri="{FF2B5EF4-FFF2-40B4-BE49-F238E27FC236}">
              <a16:creationId xmlns:a16="http://schemas.microsoft.com/office/drawing/2014/main" id="{5BCDBE47-D23D-421E-B8CE-E06F5E5C841D}"/>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 name="Line 107">
          <a:extLst>
            <a:ext uri="{FF2B5EF4-FFF2-40B4-BE49-F238E27FC236}">
              <a16:creationId xmlns:a16="http://schemas.microsoft.com/office/drawing/2014/main" id="{4E671B8C-32F8-4616-90E5-DB943DE778D1}"/>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5" name="Line 108">
          <a:extLst>
            <a:ext uri="{FF2B5EF4-FFF2-40B4-BE49-F238E27FC236}">
              <a16:creationId xmlns:a16="http://schemas.microsoft.com/office/drawing/2014/main" id="{CD5830F5-B283-41DA-B31D-9B15BFE94228}"/>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6" name="Line 109">
          <a:extLst>
            <a:ext uri="{FF2B5EF4-FFF2-40B4-BE49-F238E27FC236}">
              <a16:creationId xmlns:a16="http://schemas.microsoft.com/office/drawing/2014/main" id="{746B2691-96DA-4AB6-B88B-1E84D15F03DC}"/>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7" name="Line 110">
          <a:extLst>
            <a:ext uri="{FF2B5EF4-FFF2-40B4-BE49-F238E27FC236}">
              <a16:creationId xmlns:a16="http://schemas.microsoft.com/office/drawing/2014/main" id="{7F6E6ECE-D1D2-43F3-847A-7774F04FC787}"/>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8" name="Line 111">
          <a:extLst>
            <a:ext uri="{FF2B5EF4-FFF2-40B4-BE49-F238E27FC236}">
              <a16:creationId xmlns:a16="http://schemas.microsoft.com/office/drawing/2014/main" id="{62AFDD1C-FC8F-43B4-80AD-F0DACA778962}"/>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9" name="Line 112">
          <a:extLst>
            <a:ext uri="{FF2B5EF4-FFF2-40B4-BE49-F238E27FC236}">
              <a16:creationId xmlns:a16="http://schemas.microsoft.com/office/drawing/2014/main" id="{A7BCCFC8-319E-497E-900B-E4FD579D533E}"/>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10" name="Line 113">
          <a:extLst>
            <a:ext uri="{FF2B5EF4-FFF2-40B4-BE49-F238E27FC236}">
              <a16:creationId xmlns:a16="http://schemas.microsoft.com/office/drawing/2014/main" id="{5CF797FA-FF73-43BC-8771-A0ACEB346211}"/>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11" name="Line 114">
          <a:extLst>
            <a:ext uri="{FF2B5EF4-FFF2-40B4-BE49-F238E27FC236}">
              <a16:creationId xmlns:a16="http://schemas.microsoft.com/office/drawing/2014/main" id="{B3CBD7F7-C2FA-4E8F-843F-B883394BDE2E}"/>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12" name="Line 115">
          <a:extLst>
            <a:ext uri="{FF2B5EF4-FFF2-40B4-BE49-F238E27FC236}">
              <a16:creationId xmlns:a16="http://schemas.microsoft.com/office/drawing/2014/main" id="{182409D2-5D05-42B3-AD11-D9D8E9C53C41}"/>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13" name="Line 116">
          <a:extLst>
            <a:ext uri="{FF2B5EF4-FFF2-40B4-BE49-F238E27FC236}">
              <a16:creationId xmlns:a16="http://schemas.microsoft.com/office/drawing/2014/main" id="{C2B76474-EE39-4D68-BA4D-1BD1C42B2E6A}"/>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4" name="Line 75">
          <a:extLst>
            <a:ext uri="{FF2B5EF4-FFF2-40B4-BE49-F238E27FC236}">
              <a16:creationId xmlns:a16="http://schemas.microsoft.com/office/drawing/2014/main" id="{EC4FC910-166B-4D49-908A-8BF4CA181762}"/>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15" name="Line 87">
          <a:extLst>
            <a:ext uri="{FF2B5EF4-FFF2-40B4-BE49-F238E27FC236}">
              <a16:creationId xmlns:a16="http://schemas.microsoft.com/office/drawing/2014/main" id="{63244D8C-52A0-4DCB-ADD3-A97DA6CCEC5E}"/>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16" name="Line 75">
          <a:extLst>
            <a:ext uri="{FF2B5EF4-FFF2-40B4-BE49-F238E27FC236}">
              <a16:creationId xmlns:a16="http://schemas.microsoft.com/office/drawing/2014/main" id="{42E99044-C97C-4641-A585-374F1FBE4D15}"/>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17" name="Line 79">
          <a:extLst>
            <a:ext uri="{FF2B5EF4-FFF2-40B4-BE49-F238E27FC236}">
              <a16:creationId xmlns:a16="http://schemas.microsoft.com/office/drawing/2014/main" id="{2D575745-62E3-42FF-9F36-0AF1514AF74A}"/>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18" name="Line 87">
          <a:extLst>
            <a:ext uri="{FF2B5EF4-FFF2-40B4-BE49-F238E27FC236}">
              <a16:creationId xmlns:a16="http://schemas.microsoft.com/office/drawing/2014/main" id="{13B29A97-6662-4711-8046-AFB3CA14552B}"/>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9" name="Line 75">
          <a:extLst>
            <a:ext uri="{FF2B5EF4-FFF2-40B4-BE49-F238E27FC236}">
              <a16:creationId xmlns:a16="http://schemas.microsoft.com/office/drawing/2014/main" id="{8BA5C2B9-0F01-453B-8BE9-E946679EB647}"/>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0" name="Line 87">
          <a:extLst>
            <a:ext uri="{FF2B5EF4-FFF2-40B4-BE49-F238E27FC236}">
              <a16:creationId xmlns:a16="http://schemas.microsoft.com/office/drawing/2014/main" id="{75BFD87C-E4E4-4513-8DD5-3842694882B9}"/>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1" name="Line 75">
          <a:extLst>
            <a:ext uri="{FF2B5EF4-FFF2-40B4-BE49-F238E27FC236}">
              <a16:creationId xmlns:a16="http://schemas.microsoft.com/office/drawing/2014/main" id="{F04181F1-8C21-4668-9FF5-8D860B2D19D7}"/>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2" name="Line 79">
          <a:extLst>
            <a:ext uri="{FF2B5EF4-FFF2-40B4-BE49-F238E27FC236}">
              <a16:creationId xmlns:a16="http://schemas.microsoft.com/office/drawing/2014/main" id="{F924C3E5-6013-421D-90B4-3A780E1CC5A5}"/>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3" name="Line 87">
          <a:extLst>
            <a:ext uri="{FF2B5EF4-FFF2-40B4-BE49-F238E27FC236}">
              <a16:creationId xmlns:a16="http://schemas.microsoft.com/office/drawing/2014/main" id="{6CA64A35-A6E9-404D-8B98-EB0C236B592F}"/>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 name="Line 1">
          <a:extLst>
            <a:ext uri="{FF2B5EF4-FFF2-40B4-BE49-F238E27FC236}">
              <a16:creationId xmlns:a16="http://schemas.microsoft.com/office/drawing/2014/main" id="{030694BC-D469-41F7-8407-E7E4F0752962}"/>
            </a:ext>
          </a:extLst>
        </xdr:cNvPr>
        <xdr:cNvSpPr>
          <a:spLocks noChangeShapeType="1"/>
        </xdr:cNvSpPr>
      </xdr:nvSpPr>
      <xdr:spPr bwMode="auto">
        <a:xfrm>
          <a:off x="4762500" y="55816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3" name="Line 2">
          <a:extLst>
            <a:ext uri="{FF2B5EF4-FFF2-40B4-BE49-F238E27FC236}">
              <a16:creationId xmlns:a16="http://schemas.microsoft.com/office/drawing/2014/main" id="{F967CF30-F6AC-489F-87E1-34A1DFFB00FE}"/>
            </a:ext>
          </a:extLst>
        </xdr:cNvPr>
        <xdr:cNvSpPr>
          <a:spLocks noChangeShapeType="1"/>
        </xdr:cNvSpPr>
      </xdr:nvSpPr>
      <xdr:spPr bwMode="auto">
        <a:xfrm>
          <a:off x="4762500" y="57435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 name="Line 3">
          <a:extLst>
            <a:ext uri="{FF2B5EF4-FFF2-40B4-BE49-F238E27FC236}">
              <a16:creationId xmlns:a16="http://schemas.microsoft.com/office/drawing/2014/main" id="{49396C2B-A02E-4FB1-AF7B-04D1A26D3E9F}"/>
            </a:ext>
          </a:extLst>
        </xdr:cNvPr>
        <xdr:cNvSpPr>
          <a:spLocks noChangeShapeType="1"/>
        </xdr:cNvSpPr>
      </xdr:nvSpPr>
      <xdr:spPr bwMode="auto">
        <a:xfrm>
          <a:off x="4762500" y="4448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5" name="Line 4">
          <a:extLst>
            <a:ext uri="{FF2B5EF4-FFF2-40B4-BE49-F238E27FC236}">
              <a16:creationId xmlns:a16="http://schemas.microsoft.com/office/drawing/2014/main" id="{7EBF43B9-F5D5-45A0-8493-43C663A8CCDC}"/>
            </a:ext>
          </a:extLst>
        </xdr:cNvPr>
        <xdr:cNvSpPr>
          <a:spLocks noChangeShapeType="1"/>
        </xdr:cNvSpPr>
      </xdr:nvSpPr>
      <xdr:spPr bwMode="auto">
        <a:xfrm>
          <a:off x="7324725" y="44481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 name="Line 5">
          <a:extLst>
            <a:ext uri="{FF2B5EF4-FFF2-40B4-BE49-F238E27FC236}">
              <a16:creationId xmlns:a16="http://schemas.microsoft.com/office/drawing/2014/main" id="{783352EB-DCE3-43CB-9A63-72B1F9745A7D}"/>
            </a:ext>
          </a:extLst>
        </xdr:cNvPr>
        <xdr:cNvSpPr>
          <a:spLocks noChangeShapeType="1"/>
        </xdr:cNvSpPr>
      </xdr:nvSpPr>
      <xdr:spPr bwMode="auto">
        <a:xfrm>
          <a:off x="10896600" y="558165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7" name="Line 6">
          <a:extLst>
            <a:ext uri="{FF2B5EF4-FFF2-40B4-BE49-F238E27FC236}">
              <a16:creationId xmlns:a16="http://schemas.microsoft.com/office/drawing/2014/main" id="{5C44C644-3092-40C9-8025-60A716E15C6B}"/>
            </a:ext>
          </a:extLst>
        </xdr:cNvPr>
        <xdr:cNvSpPr>
          <a:spLocks noChangeShapeType="1"/>
        </xdr:cNvSpPr>
      </xdr:nvSpPr>
      <xdr:spPr bwMode="auto">
        <a:xfrm>
          <a:off x="10896600" y="5743575"/>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 name="Line 7">
          <a:extLst>
            <a:ext uri="{FF2B5EF4-FFF2-40B4-BE49-F238E27FC236}">
              <a16:creationId xmlns:a16="http://schemas.microsoft.com/office/drawing/2014/main" id="{02A54165-3288-4117-9632-73E853D0CCB3}"/>
            </a:ext>
          </a:extLst>
        </xdr:cNvPr>
        <xdr:cNvSpPr>
          <a:spLocks noChangeShapeType="1"/>
        </xdr:cNvSpPr>
      </xdr:nvSpPr>
      <xdr:spPr bwMode="auto">
        <a:xfrm>
          <a:off x="4762500" y="590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9" name="Line 8">
          <a:extLst>
            <a:ext uri="{FF2B5EF4-FFF2-40B4-BE49-F238E27FC236}">
              <a16:creationId xmlns:a16="http://schemas.microsoft.com/office/drawing/2014/main" id="{D0329A36-2CDC-46B0-8571-D8BFB6080A99}"/>
            </a:ext>
          </a:extLst>
        </xdr:cNvPr>
        <xdr:cNvSpPr>
          <a:spLocks noChangeShapeType="1"/>
        </xdr:cNvSpPr>
      </xdr:nvSpPr>
      <xdr:spPr bwMode="auto">
        <a:xfrm>
          <a:off x="4762500" y="6067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 name="Line 9">
          <a:extLst>
            <a:ext uri="{FF2B5EF4-FFF2-40B4-BE49-F238E27FC236}">
              <a16:creationId xmlns:a16="http://schemas.microsoft.com/office/drawing/2014/main" id="{4C49E210-F922-40A4-B445-BBB2C083FDDC}"/>
            </a:ext>
          </a:extLst>
        </xdr:cNvPr>
        <xdr:cNvSpPr>
          <a:spLocks noChangeShapeType="1"/>
        </xdr:cNvSpPr>
      </xdr:nvSpPr>
      <xdr:spPr bwMode="auto">
        <a:xfrm>
          <a:off x="4762500" y="62293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1" name="Line 10">
          <a:extLst>
            <a:ext uri="{FF2B5EF4-FFF2-40B4-BE49-F238E27FC236}">
              <a16:creationId xmlns:a16="http://schemas.microsoft.com/office/drawing/2014/main" id="{0DD6FC43-7A78-4596-8F76-D7953EEA469E}"/>
            </a:ext>
          </a:extLst>
        </xdr:cNvPr>
        <xdr:cNvSpPr>
          <a:spLocks noChangeShapeType="1"/>
        </xdr:cNvSpPr>
      </xdr:nvSpPr>
      <xdr:spPr bwMode="auto">
        <a:xfrm>
          <a:off x="7324725"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 name="Line 11">
          <a:extLst>
            <a:ext uri="{FF2B5EF4-FFF2-40B4-BE49-F238E27FC236}">
              <a16:creationId xmlns:a16="http://schemas.microsoft.com/office/drawing/2014/main" id="{1F9D7583-7159-4714-BA86-432305A4DE2E}"/>
            </a:ext>
          </a:extLst>
        </xdr:cNvPr>
        <xdr:cNvSpPr>
          <a:spLocks noChangeShapeType="1"/>
        </xdr:cNvSpPr>
      </xdr:nvSpPr>
      <xdr:spPr bwMode="auto">
        <a:xfrm>
          <a:off x="7324725"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3" name="Line 12">
          <a:extLst>
            <a:ext uri="{FF2B5EF4-FFF2-40B4-BE49-F238E27FC236}">
              <a16:creationId xmlns:a16="http://schemas.microsoft.com/office/drawing/2014/main" id="{2933FD20-1876-4235-8864-F98B14DF835C}"/>
            </a:ext>
          </a:extLst>
        </xdr:cNvPr>
        <xdr:cNvSpPr>
          <a:spLocks noChangeShapeType="1"/>
        </xdr:cNvSpPr>
      </xdr:nvSpPr>
      <xdr:spPr bwMode="auto">
        <a:xfrm>
          <a:off x="7324725"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 name="Line 13">
          <a:extLst>
            <a:ext uri="{FF2B5EF4-FFF2-40B4-BE49-F238E27FC236}">
              <a16:creationId xmlns:a16="http://schemas.microsoft.com/office/drawing/2014/main" id="{8947BD7A-CF0C-46B8-9698-C678A9875F96}"/>
            </a:ext>
          </a:extLst>
        </xdr:cNvPr>
        <xdr:cNvSpPr>
          <a:spLocks noChangeShapeType="1"/>
        </xdr:cNvSpPr>
      </xdr:nvSpPr>
      <xdr:spPr bwMode="auto">
        <a:xfrm>
          <a:off x="10896600" y="59055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5" name="Line 14">
          <a:extLst>
            <a:ext uri="{FF2B5EF4-FFF2-40B4-BE49-F238E27FC236}">
              <a16:creationId xmlns:a16="http://schemas.microsoft.com/office/drawing/2014/main" id="{9BB746AD-551C-4DC8-BE7B-389F677BC8E9}"/>
            </a:ext>
          </a:extLst>
        </xdr:cNvPr>
        <xdr:cNvSpPr>
          <a:spLocks noChangeShapeType="1"/>
        </xdr:cNvSpPr>
      </xdr:nvSpPr>
      <xdr:spPr bwMode="auto">
        <a:xfrm>
          <a:off x="10896600" y="6067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6" name="Line 15">
          <a:extLst>
            <a:ext uri="{FF2B5EF4-FFF2-40B4-BE49-F238E27FC236}">
              <a16:creationId xmlns:a16="http://schemas.microsoft.com/office/drawing/2014/main" id="{190AF1C2-621A-41D8-9EA0-096553D9AD47}"/>
            </a:ext>
          </a:extLst>
        </xdr:cNvPr>
        <xdr:cNvSpPr>
          <a:spLocks noChangeShapeType="1"/>
        </xdr:cNvSpPr>
      </xdr:nvSpPr>
      <xdr:spPr bwMode="auto">
        <a:xfrm>
          <a:off x="10896600" y="62293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7" name="Line 16">
          <a:extLst>
            <a:ext uri="{FF2B5EF4-FFF2-40B4-BE49-F238E27FC236}">
              <a16:creationId xmlns:a16="http://schemas.microsoft.com/office/drawing/2014/main" id="{12DE439A-0CA7-4DB6-8417-455456243AC5}"/>
            </a:ext>
          </a:extLst>
        </xdr:cNvPr>
        <xdr:cNvSpPr>
          <a:spLocks noChangeShapeType="1"/>
        </xdr:cNvSpPr>
      </xdr:nvSpPr>
      <xdr:spPr bwMode="auto">
        <a:xfrm>
          <a:off x="10896600" y="76866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8" name="Line 17">
          <a:extLst>
            <a:ext uri="{FF2B5EF4-FFF2-40B4-BE49-F238E27FC236}">
              <a16:creationId xmlns:a16="http://schemas.microsoft.com/office/drawing/2014/main" id="{9A57ABA2-86F1-40E1-88E2-5E7A4CF25784}"/>
            </a:ext>
          </a:extLst>
        </xdr:cNvPr>
        <xdr:cNvSpPr>
          <a:spLocks noChangeShapeType="1"/>
        </xdr:cNvSpPr>
      </xdr:nvSpPr>
      <xdr:spPr bwMode="auto">
        <a:xfrm>
          <a:off x="2619375" y="4448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9" name="Line 18">
          <a:extLst>
            <a:ext uri="{FF2B5EF4-FFF2-40B4-BE49-F238E27FC236}">
              <a16:creationId xmlns:a16="http://schemas.microsoft.com/office/drawing/2014/main" id="{9DCEB98B-204B-4017-A25B-F3BDB77BFB04}"/>
            </a:ext>
          </a:extLst>
        </xdr:cNvPr>
        <xdr:cNvSpPr>
          <a:spLocks noChangeShapeType="1"/>
        </xdr:cNvSpPr>
      </xdr:nvSpPr>
      <xdr:spPr bwMode="auto">
        <a:xfrm>
          <a:off x="2619375" y="55816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0" name="Line 19">
          <a:extLst>
            <a:ext uri="{FF2B5EF4-FFF2-40B4-BE49-F238E27FC236}">
              <a16:creationId xmlns:a16="http://schemas.microsoft.com/office/drawing/2014/main" id="{D02B836F-0ACD-40E3-A3EA-D52FB4CFAB88}"/>
            </a:ext>
          </a:extLst>
        </xdr:cNvPr>
        <xdr:cNvSpPr>
          <a:spLocks noChangeShapeType="1"/>
        </xdr:cNvSpPr>
      </xdr:nvSpPr>
      <xdr:spPr bwMode="auto">
        <a:xfrm>
          <a:off x="2619375" y="57435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1" name="Line 20">
          <a:extLst>
            <a:ext uri="{FF2B5EF4-FFF2-40B4-BE49-F238E27FC236}">
              <a16:creationId xmlns:a16="http://schemas.microsoft.com/office/drawing/2014/main" id="{E445D363-7E7B-4E65-8070-A5DDCBBDF6B3}"/>
            </a:ext>
          </a:extLst>
        </xdr:cNvPr>
        <xdr:cNvSpPr>
          <a:spLocks noChangeShapeType="1"/>
        </xdr:cNvSpPr>
      </xdr:nvSpPr>
      <xdr:spPr bwMode="auto">
        <a:xfrm>
          <a:off x="2619375" y="59055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2" name="Line 21">
          <a:extLst>
            <a:ext uri="{FF2B5EF4-FFF2-40B4-BE49-F238E27FC236}">
              <a16:creationId xmlns:a16="http://schemas.microsoft.com/office/drawing/2014/main" id="{771B5F3F-DBD5-457D-88B5-DC96AFFCEF40}"/>
            </a:ext>
          </a:extLst>
        </xdr:cNvPr>
        <xdr:cNvSpPr>
          <a:spLocks noChangeShapeType="1"/>
        </xdr:cNvSpPr>
      </xdr:nvSpPr>
      <xdr:spPr bwMode="auto">
        <a:xfrm>
          <a:off x="2619375" y="6067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3" name="Line 22">
          <a:extLst>
            <a:ext uri="{FF2B5EF4-FFF2-40B4-BE49-F238E27FC236}">
              <a16:creationId xmlns:a16="http://schemas.microsoft.com/office/drawing/2014/main" id="{9238B904-5879-4AB0-959F-175DD58BC20B}"/>
            </a:ext>
          </a:extLst>
        </xdr:cNvPr>
        <xdr:cNvSpPr>
          <a:spLocks noChangeShapeType="1"/>
        </xdr:cNvSpPr>
      </xdr:nvSpPr>
      <xdr:spPr bwMode="auto">
        <a:xfrm>
          <a:off x="2619375" y="62293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4" name="Line 23">
          <a:extLst>
            <a:ext uri="{FF2B5EF4-FFF2-40B4-BE49-F238E27FC236}">
              <a16:creationId xmlns:a16="http://schemas.microsoft.com/office/drawing/2014/main" id="{1C188EEC-0EC0-49C0-ADA5-2B90F1BF75FD}"/>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5" name="Line 24">
          <a:extLst>
            <a:ext uri="{FF2B5EF4-FFF2-40B4-BE49-F238E27FC236}">
              <a16:creationId xmlns:a16="http://schemas.microsoft.com/office/drawing/2014/main" id="{7C4305A3-4EE8-47BB-AA16-93887BDD8CA5}"/>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6" name="Line 25">
          <a:extLst>
            <a:ext uri="{FF2B5EF4-FFF2-40B4-BE49-F238E27FC236}">
              <a16:creationId xmlns:a16="http://schemas.microsoft.com/office/drawing/2014/main" id="{3B2C7DD9-4A83-4753-A364-D6F0B2CF2C9E}"/>
            </a:ext>
          </a:extLst>
        </xdr:cNvPr>
        <xdr:cNvSpPr>
          <a:spLocks noChangeShapeType="1"/>
        </xdr:cNvSpPr>
      </xdr:nvSpPr>
      <xdr:spPr bwMode="auto">
        <a:xfrm>
          <a:off x="7324725" y="65532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7" name="Line 26">
          <a:extLst>
            <a:ext uri="{FF2B5EF4-FFF2-40B4-BE49-F238E27FC236}">
              <a16:creationId xmlns:a16="http://schemas.microsoft.com/office/drawing/2014/main" id="{13CDA67B-3066-4E71-BBBA-DC322EFEC882}"/>
            </a:ext>
          </a:extLst>
        </xdr:cNvPr>
        <xdr:cNvSpPr>
          <a:spLocks noChangeShapeType="1"/>
        </xdr:cNvSpPr>
      </xdr:nvSpPr>
      <xdr:spPr bwMode="auto">
        <a:xfrm>
          <a:off x="10896600" y="78486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8" name="Line 27">
          <a:extLst>
            <a:ext uri="{FF2B5EF4-FFF2-40B4-BE49-F238E27FC236}">
              <a16:creationId xmlns:a16="http://schemas.microsoft.com/office/drawing/2014/main" id="{2BBE8F42-22D4-4290-BDBF-8AF3EE12D79F}"/>
            </a:ext>
          </a:extLst>
        </xdr:cNvPr>
        <xdr:cNvSpPr>
          <a:spLocks noChangeShapeType="1"/>
        </xdr:cNvSpPr>
      </xdr:nvSpPr>
      <xdr:spPr bwMode="auto">
        <a:xfrm>
          <a:off x="4762500" y="65532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9" name="Line 28">
          <a:extLst>
            <a:ext uri="{FF2B5EF4-FFF2-40B4-BE49-F238E27FC236}">
              <a16:creationId xmlns:a16="http://schemas.microsoft.com/office/drawing/2014/main" id="{C164C25D-C6A4-4136-A612-1C0585E16CF8}"/>
            </a:ext>
          </a:extLst>
        </xdr:cNvPr>
        <xdr:cNvSpPr>
          <a:spLocks noChangeShapeType="1"/>
        </xdr:cNvSpPr>
      </xdr:nvSpPr>
      <xdr:spPr bwMode="auto">
        <a:xfrm>
          <a:off x="4762500" y="80105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30" name="Line 29">
          <a:extLst>
            <a:ext uri="{FF2B5EF4-FFF2-40B4-BE49-F238E27FC236}">
              <a16:creationId xmlns:a16="http://schemas.microsoft.com/office/drawing/2014/main" id="{CEEFB91F-ABEB-4A6E-913C-5E93C4ED5C47}"/>
            </a:ext>
          </a:extLst>
        </xdr:cNvPr>
        <xdr:cNvSpPr>
          <a:spLocks noChangeShapeType="1"/>
        </xdr:cNvSpPr>
      </xdr:nvSpPr>
      <xdr:spPr bwMode="auto">
        <a:xfrm>
          <a:off x="7324725"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31" name="Line 30">
          <a:extLst>
            <a:ext uri="{FF2B5EF4-FFF2-40B4-BE49-F238E27FC236}">
              <a16:creationId xmlns:a16="http://schemas.microsoft.com/office/drawing/2014/main" id="{CCF1FAC6-7B5E-4EAC-B820-6BE8836B9EB5}"/>
            </a:ext>
          </a:extLst>
        </xdr:cNvPr>
        <xdr:cNvSpPr>
          <a:spLocks noChangeShapeType="1"/>
        </xdr:cNvSpPr>
      </xdr:nvSpPr>
      <xdr:spPr bwMode="auto">
        <a:xfrm>
          <a:off x="7324725"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32" name="Line 31">
          <a:extLst>
            <a:ext uri="{FF2B5EF4-FFF2-40B4-BE49-F238E27FC236}">
              <a16:creationId xmlns:a16="http://schemas.microsoft.com/office/drawing/2014/main" id="{93A80B76-7D0F-44FF-A1C0-3FECA3706C2C}"/>
            </a:ext>
          </a:extLst>
        </xdr:cNvPr>
        <xdr:cNvSpPr>
          <a:spLocks noChangeShapeType="1"/>
        </xdr:cNvSpPr>
      </xdr:nvSpPr>
      <xdr:spPr bwMode="auto">
        <a:xfrm>
          <a:off x="10896600" y="80105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33" name="Line 32">
          <a:extLst>
            <a:ext uri="{FF2B5EF4-FFF2-40B4-BE49-F238E27FC236}">
              <a16:creationId xmlns:a16="http://schemas.microsoft.com/office/drawing/2014/main" id="{6BCFAB4C-0D7B-4DB8-92E7-4C41FEC8B839}"/>
            </a:ext>
          </a:extLst>
        </xdr:cNvPr>
        <xdr:cNvSpPr>
          <a:spLocks noChangeShapeType="1"/>
        </xdr:cNvSpPr>
      </xdr:nvSpPr>
      <xdr:spPr bwMode="auto">
        <a:xfrm>
          <a:off x="10896600" y="81724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34" name="Line 33">
          <a:extLst>
            <a:ext uri="{FF2B5EF4-FFF2-40B4-BE49-F238E27FC236}">
              <a16:creationId xmlns:a16="http://schemas.microsoft.com/office/drawing/2014/main" id="{CD9E120F-2480-4402-A22D-9AF862C62914}"/>
            </a:ext>
          </a:extLst>
        </xdr:cNvPr>
        <xdr:cNvSpPr>
          <a:spLocks noChangeShapeType="1"/>
        </xdr:cNvSpPr>
      </xdr:nvSpPr>
      <xdr:spPr bwMode="auto">
        <a:xfrm>
          <a:off x="2619375" y="65532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5" name="Line 34">
          <a:extLst>
            <a:ext uri="{FF2B5EF4-FFF2-40B4-BE49-F238E27FC236}">
              <a16:creationId xmlns:a16="http://schemas.microsoft.com/office/drawing/2014/main" id="{D5166E55-A253-46B4-A47E-C1797119632C}"/>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6" name="Line 35">
          <a:extLst>
            <a:ext uri="{FF2B5EF4-FFF2-40B4-BE49-F238E27FC236}">
              <a16:creationId xmlns:a16="http://schemas.microsoft.com/office/drawing/2014/main" id="{AB545F48-5296-4C26-B7E0-76F503F7C17E}"/>
            </a:ext>
          </a:extLst>
        </xdr:cNvPr>
        <xdr:cNvSpPr>
          <a:spLocks noChangeShapeType="1"/>
        </xdr:cNvSpPr>
      </xdr:nvSpPr>
      <xdr:spPr bwMode="auto">
        <a:xfrm>
          <a:off x="2619375" y="76866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37" name="Line 36">
          <a:extLst>
            <a:ext uri="{FF2B5EF4-FFF2-40B4-BE49-F238E27FC236}">
              <a16:creationId xmlns:a16="http://schemas.microsoft.com/office/drawing/2014/main" id="{B50A9500-D469-4A0B-9669-9E2390E60B1A}"/>
            </a:ext>
          </a:extLst>
        </xdr:cNvPr>
        <xdr:cNvSpPr>
          <a:spLocks noChangeShapeType="1"/>
        </xdr:cNvSpPr>
      </xdr:nvSpPr>
      <xdr:spPr bwMode="auto">
        <a:xfrm>
          <a:off x="2619375" y="7848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38" name="Line 37">
          <a:extLst>
            <a:ext uri="{FF2B5EF4-FFF2-40B4-BE49-F238E27FC236}">
              <a16:creationId xmlns:a16="http://schemas.microsoft.com/office/drawing/2014/main" id="{A2B7C2C0-2D13-42E3-B7D8-206B9A6F3C2B}"/>
            </a:ext>
          </a:extLst>
        </xdr:cNvPr>
        <xdr:cNvSpPr>
          <a:spLocks noChangeShapeType="1"/>
        </xdr:cNvSpPr>
      </xdr:nvSpPr>
      <xdr:spPr bwMode="auto">
        <a:xfrm>
          <a:off x="2619375" y="80105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39" name="Line 38">
          <a:extLst>
            <a:ext uri="{FF2B5EF4-FFF2-40B4-BE49-F238E27FC236}">
              <a16:creationId xmlns:a16="http://schemas.microsoft.com/office/drawing/2014/main" id="{5E49B343-82AE-4F4D-9EBD-9FB01EF47457}"/>
            </a:ext>
          </a:extLst>
        </xdr:cNvPr>
        <xdr:cNvSpPr>
          <a:spLocks noChangeShapeType="1"/>
        </xdr:cNvSpPr>
      </xdr:nvSpPr>
      <xdr:spPr bwMode="auto">
        <a:xfrm>
          <a:off x="2619375" y="81724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0" name="Line 39">
          <a:extLst>
            <a:ext uri="{FF2B5EF4-FFF2-40B4-BE49-F238E27FC236}">
              <a16:creationId xmlns:a16="http://schemas.microsoft.com/office/drawing/2014/main" id="{E1A68648-1A29-4E1F-9100-6C9440EE22C0}"/>
            </a:ext>
          </a:extLst>
        </xdr:cNvPr>
        <xdr:cNvSpPr>
          <a:spLocks noChangeShapeType="1"/>
        </xdr:cNvSpPr>
      </xdr:nvSpPr>
      <xdr:spPr bwMode="auto">
        <a:xfrm>
          <a:off x="4762500" y="81724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1" name="Line 40">
          <a:extLst>
            <a:ext uri="{FF2B5EF4-FFF2-40B4-BE49-F238E27FC236}">
              <a16:creationId xmlns:a16="http://schemas.microsoft.com/office/drawing/2014/main" id="{5794B41C-F9AE-4AB3-81FC-0605EE435590}"/>
            </a:ext>
          </a:extLst>
        </xdr:cNvPr>
        <xdr:cNvSpPr>
          <a:spLocks noChangeShapeType="1"/>
        </xdr:cNvSpPr>
      </xdr:nvSpPr>
      <xdr:spPr bwMode="auto">
        <a:xfrm>
          <a:off x="10896600" y="102489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 name="Line 41">
          <a:extLst>
            <a:ext uri="{FF2B5EF4-FFF2-40B4-BE49-F238E27FC236}">
              <a16:creationId xmlns:a16="http://schemas.microsoft.com/office/drawing/2014/main" id="{BCEBB4A9-7D41-4B0A-AF62-DC65698F7AB3}"/>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3" name="Line 42">
          <a:extLst>
            <a:ext uri="{FF2B5EF4-FFF2-40B4-BE49-F238E27FC236}">
              <a16:creationId xmlns:a16="http://schemas.microsoft.com/office/drawing/2014/main" id="{0D88910F-2940-443C-96FB-E1AC3198D5A2}"/>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4" name="Line 43">
          <a:extLst>
            <a:ext uri="{FF2B5EF4-FFF2-40B4-BE49-F238E27FC236}">
              <a16:creationId xmlns:a16="http://schemas.microsoft.com/office/drawing/2014/main" id="{D0B7CD72-3286-4B41-B3F1-5E8D9D6F3B5A}"/>
            </a:ext>
          </a:extLst>
        </xdr:cNvPr>
        <xdr:cNvSpPr>
          <a:spLocks noChangeShapeType="1"/>
        </xdr:cNvSpPr>
      </xdr:nvSpPr>
      <xdr:spPr bwMode="auto">
        <a:xfrm>
          <a:off x="7324725" y="91154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5" name="Line 44">
          <a:extLst>
            <a:ext uri="{FF2B5EF4-FFF2-40B4-BE49-F238E27FC236}">
              <a16:creationId xmlns:a16="http://schemas.microsoft.com/office/drawing/2014/main" id="{6A05FCBA-6D56-44BC-A325-7F4B4BE09F53}"/>
            </a:ext>
          </a:extLst>
        </xdr:cNvPr>
        <xdr:cNvSpPr>
          <a:spLocks noChangeShapeType="1"/>
        </xdr:cNvSpPr>
      </xdr:nvSpPr>
      <xdr:spPr bwMode="auto">
        <a:xfrm>
          <a:off x="10896600" y="104108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6" name="Line 45">
          <a:extLst>
            <a:ext uri="{FF2B5EF4-FFF2-40B4-BE49-F238E27FC236}">
              <a16:creationId xmlns:a16="http://schemas.microsoft.com/office/drawing/2014/main" id="{0AFA7413-03D2-4C03-8F99-DF4C05303504}"/>
            </a:ext>
          </a:extLst>
        </xdr:cNvPr>
        <xdr:cNvSpPr>
          <a:spLocks noChangeShapeType="1"/>
        </xdr:cNvSpPr>
      </xdr:nvSpPr>
      <xdr:spPr bwMode="auto">
        <a:xfrm>
          <a:off x="4762500" y="91154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7" name="Line 46">
          <a:extLst>
            <a:ext uri="{FF2B5EF4-FFF2-40B4-BE49-F238E27FC236}">
              <a16:creationId xmlns:a16="http://schemas.microsoft.com/office/drawing/2014/main" id="{ECB51161-F9C7-4544-8AD8-812E1586FA1C}"/>
            </a:ext>
          </a:extLst>
        </xdr:cNvPr>
        <xdr:cNvSpPr>
          <a:spLocks noChangeShapeType="1"/>
        </xdr:cNvSpPr>
      </xdr:nvSpPr>
      <xdr:spPr bwMode="auto">
        <a:xfrm>
          <a:off x="7324725"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8" name="Line 47">
          <a:extLst>
            <a:ext uri="{FF2B5EF4-FFF2-40B4-BE49-F238E27FC236}">
              <a16:creationId xmlns:a16="http://schemas.microsoft.com/office/drawing/2014/main" id="{14465934-36FB-481F-A0D8-C94E3A2A93EE}"/>
            </a:ext>
          </a:extLst>
        </xdr:cNvPr>
        <xdr:cNvSpPr>
          <a:spLocks noChangeShapeType="1"/>
        </xdr:cNvSpPr>
      </xdr:nvSpPr>
      <xdr:spPr bwMode="auto">
        <a:xfrm>
          <a:off x="10896600" y="105727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9" name="Line 48">
          <a:extLst>
            <a:ext uri="{FF2B5EF4-FFF2-40B4-BE49-F238E27FC236}">
              <a16:creationId xmlns:a16="http://schemas.microsoft.com/office/drawing/2014/main" id="{9C7D2AD9-356F-409D-8D3F-6CAB700DFAAC}"/>
            </a:ext>
          </a:extLst>
        </xdr:cNvPr>
        <xdr:cNvSpPr>
          <a:spLocks noChangeShapeType="1"/>
        </xdr:cNvSpPr>
      </xdr:nvSpPr>
      <xdr:spPr bwMode="auto">
        <a:xfrm>
          <a:off x="2619375" y="91154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0" name="Line 49">
          <a:extLst>
            <a:ext uri="{FF2B5EF4-FFF2-40B4-BE49-F238E27FC236}">
              <a16:creationId xmlns:a16="http://schemas.microsoft.com/office/drawing/2014/main" id="{FE4B951F-69F0-4ED5-8481-35892418C908}"/>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1" name="Line 50">
          <a:extLst>
            <a:ext uri="{FF2B5EF4-FFF2-40B4-BE49-F238E27FC236}">
              <a16:creationId xmlns:a16="http://schemas.microsoft.com/office/drawing/2014/main" id="{C2AF6300-6C2A-4726-8B14-1AB7B8AD7863}"/>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2" name="Line 51">
          <a:extLst>
            <a:ext uri="{FF2B5EF4-FFF2-40B4-BE49-F238E27FC236}">
              <a16:creationId xmlns:a16="http://schemas.microsoft.com/office/drawing/2014/main" id="{44DBE260-DDB8-419B-BC5A-D6165B96E3BA}"/>
            </a:ext>
          </a:extLst>
        </xdr:cNvPr>
        <xdr:cNvSpPr>
          <a:spLocks noChangeShapeType="1"/>
        </xdr:cNvSpPr>
      </xdr:nvSpPr>
      <xdr:spPr bwMode="auto">
        <a:xfrm>
          <a:off x="2619375" y="102489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53" name="Line 52">
          <a:extLst>
            <a:ext uri="{FF2B5EF4-FFF2-40B4-BE49-F238E27FC236}">
              <a16:creationId xmlns:a16="http://schemas.microsoft.com/office/drawing/2014/main" id="{BAE496B9-60F0-4B81-962B-78ECE747A128}"/>
            </a:ext>
          </a:extLst>
        </xdr:cNvPr>
        <xdr:cNvSpPr>
          <a:spLocks noChangeShapeType="1"/>
        </xdr:cNvSpPr>
      </xdr:nvSpPr>
      <xdr:spPr bwMode="auto">
        <a:xfrm>
          <a:off x="2619375" y="104108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54" name="Line 53">
          <a:extLst>
            <a:ext uri="{FF2B5EF4-FFF2-40B4-BE49-F238E27FC236}">
              <a16:creationId xmlns:a16="http://schemas.microsoft.com/office/drawing/2014/main" id="{946E7E66-D308-4BA1-B8E0-9F7F3054A35A}"/>
            </a:ext>
          </a:extLst>
        </xdr:cNvPr>
        <xdr:cNvSpPr>
          <a:spLocks noChangeShapeType="1"/>
        </xdr:cNvSpPr>
      </xdr:nvSpPr>
      <xdr:spPr bwMode="auto">
        <a:xfrm>
          <a:off x="2619375" y="105727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55" name="Line 54">
          <a:extLst>
            <a:ext uri="{FF2B5EF4-FFF2-40B4-BE49-F238E27FC236}">
              <a16:creationId xmlns:a16="http://schemas.microsoft.com/office/drawing/2014/main" id="{7DB0EDF8-9E25-4205-A76E-5F7D845D07FE}"/>
            </a:ext>
          </a:extLst>
        </xdr:cNvPr>
        <xdr:cNvSpPr>
          <a:spLocks noChangeShapeType="1"/>
        </xdr:cNvSpPr>
      </xdr:nvSpPr>
      <xdr:spPr bwMode="auto">
        <a:xfrm>
          <a:off x="4762500" y="105727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56" name="Line 55">
          <a:extLst>
            <a:ext uri="{FF2B5EF4-FFF2-40B4-BE49-F238E27FC236}">
              <a16:creationId xmlns:a16="http://schemas.microsoft.com/office/drawing/2014/main" id="{C87FC900-4874-4A47-9CA4-BFF18B545F64}"/>
            </a:ext>
          </a:extLst>
        </xdr:cNvPr>
        <xdr:cNvSpPr>
          <a:spLocks noChangeShapeType="1"/>
        </xdr:cNvSpPr>
      </xdr:nvSpPr>
      <xdr:spPr bwMode="auto">
        <a:xfrm>
          <a:off x="4762500" y="5419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57" name="Line 56">
          <a:extLst>
            <a:ext uri="{FF2B5EF4-FFF2-40B4-BE49-F238E27FC236}">
              <a16:creationId xmlns:a16="http://schemas.microsoft.com/office/drawing/2014/main" id="{EF4B3968-AC48-4B69-9934-535905B30C8C}"/>
            </a:ext>
          </a:extLst>
        </xdr:cNvPr>
        <xdr:cNvSpPr>
          <a:spLocks noChangeShapeType="1"/>
        </xdr:cNvSpPr>
      </xdr:nvSpPr>
      <xdr:spPr bwMode="auto">
        <a:xfrm>
          <a:off x="4762500" y="752475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58" name="Line 57">
          <a:extLst>
            <a:ext uri="{FF2B5EF4-FFF2-40B4-BE49-F238E27FC236}">
              <a16:creationId xmlns:a16="http://schemas.microsoft.com/office/drawing/2014/main" id="{8DB7BBCD-6B1E-4323-A58E-A386F1F40D8D}"/>
            </a:ext>
          </a:extLst>
        </xdr:cNvPr>
        <xdr:cNvSpPr>
          <a:spLocks noChangeShapeType="1"/>
        </xdr:cNvSpPr>
      </xdr:nvSpPr>
      <xdr:spPr bwMode="auto">
        <a:xfrm>
          <a:off x="4762500" y="1008697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59" name="Line 58">
          <a:extLst>
            <a:ext uri="{FF2B5EF4-FFF2-40B4-BE49-F238E27FC236}">
              <a16:creationId xmlns:a16="http://schemas.microsoft.com/office/drawing/2014/main" id="{89A145EC-006D-4E27-83CB-2D43EB6681B2}"/>
            </a:ext>
          </a:extLst>
        </xdr:cNvPr>
        <xdr:cNvSpPr>
          <a:spLocks noChangeShapeType="1"/>
        </xdr:cNvSpPr>
      </xdr:nvSpPr>
      <xdr:spPr bwMode="auto">
        <a:xfrm>
          <a:off x="4762500" y="120300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0" name="Line 59">
          <a:extLst>
            <a:ext uri="{FF2B5EF4-FFF2-40B4-BE49-F238E27FC236}">
              <a16:creationId xmlns:a16="http://schemas.microsoft.com/office/drawing/2014/main" id="{3E6A22AF-62B8-4199-92E7-C9BA74540ACF}"/>
            </a:ext>
          </a:extLst>
        </xdr:cNvPr>
        <xdr:cNvSpPr>
          <a:spLocks noChangeShapeType="1"/>
        </xdr:cNvSpPr>
      </xdr:nvSpPr>
      <xdr:spPr bwMode="auto">
        <a:xfrm>
          <a:off x="10896600" y="1203007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1" name="Line 60">
          <a:extLst>
            <a:ext uri="{FF2B5EF4-FFF2-40B4-BE49-F238E27FC236}">
              <a16:creationId xmlns:a16="http://schemas.microsoft.com/office/drawing/2014/main" id="{1E6BF69D-F1BD-4C83-B22F-F5B769259B24}"/>
            </a:ext>
          </a:extLst>
        </xdr:cNvPr>
        <xdr:cNvSpPr>
          <a:spLocks noChangeShapeType="1"/>
        </xdr:cNvSpPr>
      </xdr:nvSpPr>
      <xdr:spPr bwMode="auto">
        <a:xfrm>
          <a:off x="4762500" y="121920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 name="Line 61">
          <a:extLst>
            <a:ext uri="{FF2B5EF4-FFF2-40B4-BE49-F238E27FC236}">
              <a16:creationId xmlns:a16="http://schemas.microsoft.com/office/drawing/2014/main" id="{1D31E2DA-CA36-4F4D-A949-3C4AB5EAC9E8}"/>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 name="Line 62">
          <a:extLst>
            <a:ext uri="{FF2B5EF4-FFF2-40B4-BE49-F238E27FC236}">
              <a16:creationId xmlns:a16="http://schemas.microsoft.com/office/drawing/2014/main" id="{F89A08D1-C09D-4650-9C34-C6B0FEBFA6A5}"/>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4" name="Line 63">
          <a:extLst>
            <a:ext uri="{FF2B5EF4-FFF2-40B4-BE49-F238E27FC236}">
              <a16:creationId xmlns:a16="http://schemas.microsoft.com/office/drawing/2014/main" id="{817366DB-C7B8-4876-BFDC-CD121A338897}"/>
            </a:ext>
          </a:extLst>
        </xdr:cNvPr>
        <xdr:cNvSpPr>
          <a:spLocks noChangeShapeType="1"/>
        </xdr:cNvSpPr>
      </xdr:nvSpPr>
      <xdr:spPr bwMode="auto">
        <a:xfrm>
          <a:off x="7324725" y="10896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5" name="Line 64">
          <a:extLst>
            <a:ext uri="{FF2B5EF4-FFF2-40B4-BE49-F238E27FC236}">
              <a16:creationId xmlns:a16="http://schemas.microsoft.com/office/drawing/2014/main" id="{12E4CA0E-4F34-45E8-B5E3-DFAB8D5E8244}"/>
            </a:ext>
          </a:extLst>
        </xdr:cNvPr>
        <xdr:cNvSpPr>
          <a:spLocks noChangeShapeType="1"/>
        </xdr:cNvSpPr>
      </xdr:nvSpPr>
      <xdr:spPr bwMode="auto">
        <a:xfrm>
          <a:off x="10896600" y="121920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6" name="Line 65">
          <a:extLst>
            <a:ext uri="{FF2B5EF4-FFF2-40B4-BE49-F238E27FC236}">
              <a16:creationId xmlns:a16="http://schemas.microsoft.com/office/drawing/2014/main" id="{2832E0AD-67DE-406A-80C5-B47C3975D726}"/>
            </a:ext>
          </a:extLst>
        </xdr:cNvPr>
        <xdr:cNvSpPr>
          <a:spLocks noChangeShapeType="1"/>
        </xdr:cNvSpPr>
      </xdr:nvSpPr>
      <xdr:spPr bwMode="auto">
        <a:xfrm>
          <a:off x="4762500" y="10896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7" name="Line 66">
          <a:extLst>
            <a:ext uri="{FF2B5EF4-FFF2-40B4-BE49-F238E27FC236}">
              <a16:creationId xmlns:a16="http://schemas.microsoft.com/office/drawing/2014/main" id="{630EB1DF-28D4-4CEB-93D5-FD705E4B1C90}"/>
            </a:ext>
          </a:extLst>
        </xdr:cNvPr>
        <xdr:cNvSpPr>
          <a:spLocks noChangeShapeType="1"/>
        </xdr:cNvSpPr>
      </xdr:nvSpPr>
      <xdr:spPr bwMode="auto">
        <a:xfrm>
          <a:off x="2619375" y="108966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8" name="Line 67">
          <a:extLst>
            <a:ext uri="{FF2B5EF4-FFF2-40B4-BE49-F238E27FC236}">
              <a16:creationId xmlns:a16="http://schemas.microsoft.com/office/drawing/2014/main" id="{C8233729-03A0-4250-A210-3DCAD7267422}"/>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9" name="Line 68">
          <a:extLst>
            <a:ext uri="{FF2B5EF4-FFF2-40B4-BE49-F238E27FC236}">
              <a16:creationId xmlns:a16="http://schemas.microsoft.com/office/drawing/2014/main" id="{71BF475E-7A2E-4CD8-8285-6D23275E6E36}"/>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0" name="Line 69">
          <a:extLst>
            <a:ext uri="{FF2B5EF4-FFF2-40B4-BE49-F238E27FC236}">
              <a16:creationId xmlns:a16="http://schemas.microsoft.com/office/drawing/2014/main" id="{F9708001-2E5D-4E75-8FC5-54445F65502B}"/>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1" name="Line 70">
          <a:extLst>
            <a:ext uri="{FF2B5EF4-FFF2-40B4-BE49-F238E27FC236}">
              <a16:creationId xmlns:a16="http://schemas.microsoft.com/office/drawing/2014/main" id="{2F97D917-C4C5-48F0-8B51-86C72722C990}"/>
            </a:ext>
          </a:extLst>
        </xdr:cNvPr>
        <xdr:cNvSpPr>
          <a:spLocks noChangeShapeType="1"/>
        </xdr:cNvSpPr>
      </xdr:nvSpPr>
      <xdr:spPr bwMode="auto">
        <a:xfrm>
          <a:off x="2619375" y="120300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72" name="Line 71">
          <a:extLst>
            <a:ext uri="{FF2B5EF4-FFF2-40B4-BE49-F238E27FC236}">
              <a16:creationId xmlns:a16="http://schemas.microsoft.com/office/drawing/2014/main" id="{A201D891-640B-483D-9A1F-5405DB749BC2}"/>
            </a:ext>
          </a:extLst>
        </xdr:cNvPr>
        <xdr:cNvSpPr>
          <a:spLocks noChangeShapeType="1"/>
        </xdr:cNvSpPr>
      </xdr:nvSpPr>
      <xdr:spPr bwMode="auto">
        <a:xfrm>
          <a:off x="4762500" y="1186815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73" name="Line 72">
          <a:extLst>
            <a:ext uri="{FF2B5EF4-FFF2-40B4-BE49-F238E27FC236}">
              <a16:creationId xmlns:a16="http://schemas.microsoft.com/office/drawing/2014/main" id="{E55003AA-EC8D-49DA-9957-5CFD0F678BB5}"/>
            </a:ext>
          </a:extLst>
        </xdr:cNvPr>
        <xdr:cNvSpPr>
          <a:spLocks noChangeShapeType="1"/>
        </xdr:cNvSpPr>
      </xdr:nvSpPr>
      <xdr:spPr bwMode="auto">
        <a:xfrm>
          <a:off x="2619375" y="121920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74" name="Line 73">
          <a:extLst>
            <a:ext uri="{FF2B5EF4-FFF2-40B4-BE49-F238E27FC236}">
              <a16:creationId xmlns:a16="http://schemas.microsoft.com/office/drawing/2014/main" id="{72FFFD59-07EA-48F6-BC76-F8458C15C020}"/>
            </a:ext>
          </a:extLst>
        </xdr:cNvPr>
        <xdr:cNvSpPr>
          <a:spLocks noChangeShapeType="1"/>
        </xdr:cNvSpPr>
      </xdr:nvSpPr>
      <xdr:spPr bwMode="auto">
        <a:xfrm>
          <a:off x="4762500" y="13649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75" name="Line 74">
          <a:extLst>
            <a:ext uri="{FF2B5EF4-FFF2-40B4-BE49-F238E27FC236}">
              <a16:creationId xmlns:a16="http://schemas.microsoft.com/office/drawing/2014/main" id="{8701A90A-3B0E-4A11-8D82-546FCE5C1CB2}"/>
            </a:ext>
          </a:extLst>
        </xdr:cNvPr>
        <xdr:cNvSpPr>
          <a:spLocks noChangeShapeType="1"/>
        </xdr:cNvSpPr>
      </xdr:nvSpPr>
      <xdr:spPr bwMode="auto">
        <a:xfrm>
          <a:off x="10896600" y="13649325"/>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6" name="Line 75">
          <a:extLst>
            <a:ext uri="{FF2B5EF4-FFF2-40B4-BE49-F238E27FC236}">
              <a16:creationId xmlns:a16="http://schemas.microsoft.com/office/drawing/2014/main" id="{CAC2D0A9-3DB4-42EE-83A4-F9D48C65FE33}"/>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7" name="Line 76">
          <a:extLst>
            <a:ext uri="{FF2B5EF4-FFF2-40B4-BE49-F238E27FC236}">
              <a16:creationId xmlns:a16="http://schemas.microsoft.com/office/drawing/2014/main" id="{3BAF91B4-A155-41EB-B9A8-1742597806AB}"/>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78" name="Line 77">
          <a:extLst>
            <a:ext uri="{FF2B5EF4-FFF2-40B4-BE49-F238E27FC236}">
              <a16:creationId xmlns:a16="http://schemas.microsoft.com/office/drawing/2014/main" id="{EE00C8EB-E0F1-4E4D-A4C8-A88767A72B8E}"/>
            </a:ext>
          </a:extLst>
        </xdr:cNvPr>
        <xdr:cNvSpPr>
          <a:spLocks noChangeShapeType="1"/>
        </xdr:cNvSpPr>
      </xdr:nvSpPr>
      <xdr:spPr bwMode="auto">
        <a:xfrm>
          <a:off x="7324725" y="125158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79" name="Line 78">
          <a:extLst>
            <a:ext uri="{FF2B5EF4-FFF2-40B4-BE49-F238E27FC236}">
              <a16:creationId xmlns:a16="http://schemas.microsoft.com/office/drawing/2014/main" id="{6F5DA364-7E41-44B3-821A-AC7C66687FB0}"/>
            </a:ext>
          </a:extLst>
        </xdr:cNvPr>
        <xdr:cNvSpPr>
          <a:spLocks noChangeShapeType="1"/>
        </xdr:cNvSpPr>
      </xdr:nvSpPr>
      <xdr:spPr bwMode="auto">
        <a:xfrm>
          <a:off x="4762500" y="125158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0" name="Line 79">
          <a:extLst>
            <a:ext uri="{FF2B5EF4-FFF2-40B4-BE49-F238E27FC236}">
              <a16:creationId xmlns:a16="http://schemas.microsoft.com/office/drawing/2014/main" id="{F996BFB1-4D3D-411B-A52B-6C9C260AB077}"/>
            </a:ext>
          </a:extLst>
        </xdr:cNvPr>
        <xdr:cNvSpPr>
          <a:spLocks noChangeShapeType="1"/>
        </xdr:cNvSpPr>
      </xdr:nvSpPr>
      <xdr:spPr bwMode="auto">
        <a:xfrm>
          <a:off x="2619375" y="12515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1" name="Line 80">
          <a:extLst>
            <a:ext uri="{FF2B5EF4-FFF2-40B4-BE49-F238E27FC236}">
              <a16:creationId xmlns:a16="http://schemas.microsoft.com/office/drawing/2014/main" id="{F82977C0-35A8-44BC-8125-D161B819C06C}"/>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 name="Line 81">
          <a:extLst>
            <a:ext uri="{FF2B5EF4-FFF2-40B4-BE49-F238E27FC236}">
              <a16:creationId xmlns:a16="http://schemas.microsoft.com/office/drawing/2014/main" id="{52C1B1CB-216F-4CB8-8B8E-1A0304F55144}"/>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 name="Line 82">
          <a:extLst>
            <a:ext uri="{FF2B5EF4-FFF2-40B4-BE49-F238E27FC236}">
              <a16:creationId xmlns:a16="http://schemas.microsoft.com/office/drawing/2014/main" id="{B595B01A-8B38-4E3B-9609-68FFAFD21033}"/>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4" name="Line 83">
          <a:extLst>
            <a:ext uri="{FF2B5EF4-FFF2-40B4-BE49-F238E27FC236}">
              <a16:creationId xmlns:a16="http://schemas.microsoft.com/office/drawing/2014/main" id="{4A6B51B8-2F18-4F1F-ABDB-DB84DB68A16A}"/>
            </a:ext>
          </a:extLst>
        </xdr:cNvPr>
        <xdr:cNvSpPr>
          <a:spLocks noChangeShapeType="1"/>
        </xdr:cNvSpPr>
      </xdr:nvSpPr>
      <xdr:spPr bwMode="auto">
        <a:xfrm>
          <a:off x="2619375" y="13649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5" name="Line 84">
          <a:extLst>
            <a:ext uri="{FF2B5EF4-FFF2-40B4-BE49-F238E27FC236}">
              <a16:creationId xmlns:a16="http://schemas.microsoft.com/office/drawing/2014/main" id="{0C5306F3-6D96-4566-84DC-D61D49426D23}"/>
            </a:ext>
          </a:extLst>
        </xdr:cNvPr>
        <xdr:cNvSpPr>
          <a:spLocks noChangeShapeType="1"/>
        </xdr:cNvSpPr>
      </xdr:nvSpPr>
      <xdr:spPr bwMode="auto">
        <a:xfrm>
          <a:off x="4762500" y="13487400"/>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6" name="Line 85">
          <a:extLst>
            <a:ext uri="{FF2B5EF4-FFF2-40B4-BE49-F238E27FC236}">
              <a16:creationId xmlns:a16="http://schemas.microsoft.com/office/drawing/2014/main" id="{B7663084-E95C-4293-9B4C-5DC7FB796917}"/>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7" name="Line 86">
          <a:extLst>
            <a:ext uri="{FF2B5EF4-FFF2-40B4-BE49-F238E27FC236}">
              <a16:creationId xmlns:a16="http://schemas.microsoft.com/office/drawing/2014/main" id="{680EE51E-8AC4-43E1-8F99-2D359D2E73BF}"/>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8" name="Line 87">
          <a:extLst>
            <a:ext uri="{FF2B5EF4-FFF2-40B4-BE49-F238E27FC236}">
              <a16:creationId xmlns:a16="http://schemas.microsoft.com/office/drawing/2014/main" id="{63A4EB53-4E99-4E42-AA12-BFA7B4268E89}"/>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9" name="Line 88">
          <a:extLst>
            <a:ext uri="{FF2B5EF4-FFF2-40B4-BE49-F238E27FC236}">
              <a16:creationId xmlns:a16="http://schemas.microsoft.com/office/drawing/2014/main" id="{A6F27E41-A509-4F99-917D-140091A96148}"/>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90" name="Line 89">
          <a:extLst>
            <a:ext uri="{FF2B5EF4-FFF2-40B4-BE49-F238E27FC236}">
              <a16:creationId xmlns:a16="http://schemas.microsoft.com/office/drawing/2014/main" id="{19821E1E-A393-4C18-8D57-9BAB0AD793E9}"/>
            </a:ext>
          </a:extLst>
        </xdr:cNvPr>
        <xdr:cNvSpPr>
          <a:spLocks noChangeShapeType="1"/>
        </xdr:cNvSpPr>
      </xdr:nvSpPr>
      <xdr:spPr bwMode="auto">
        <a:xfrm>
          <a:off x="4762500" y="78486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91" name="Line 90">
          <a:extLst>
            <a:ext uri="{FF2B5EF4-FFF2-40B4-BE49-F238E27FC236}">
              <a16:creationId xmlns:a16="http://schemas.microsoft.com/office/drawing/2014/main" id="{C36FFDDF-758E-402A-A6D0-0AB8353B55F0}"/>
            </a:ext>
          </a:extLst>
        </xdr:cNvPr>
        <xdr:cNvSpPr>
          <a:spLocks noChangeShapeType="1"/>
        </xdr:cNvSpPr>
      </xdr:nvSpPr>
      <xdr:spPr bwMode="auto">
        <a:xfrm>
          <a:off x="4762500" y="76866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92" name="Line 91">
          <a:extLst>
            <a:ext uri="{FF2B5EF4-FFF2-40B4-BE49-F238E27FC236}">
              <a16:creationId xmlns:a16="http://schemas.microsoft.com/office/drawing/2014/main" id="{0C4F0218-4470-4477-A608-4A209F374613}"/>
            </a:ext>
          </a:extLst>
        </xdr:cNvPr>
        <xdr:cNvSpPr>
          <a:spLocks noChangeShapeType="1"/>
        </xdr:cNvSpPr>
      </xdr:nvSpPr>
      <xdr:spPr bwMode="auto">
        <a:xfrm>
          <a:off x="4762500" y="104108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93" name="Line 92">
          <a:extLst>
            <a:ext uri="{FF2B5EF4-FFF2-40B4-BE49-F238E27FC236}">
              <a16:creationId xmlns:a16="http://schemas.microsoft.com/office/drawing/2014/main" id="{E5457DF5-8DBF-4E42-87CA-4FC030AA56C6}"/>
            </a:ext>
          </a:extLst>
        </xdr:cNvPr>
        <xdr:cNvSpPr>
          <a:spLocks noChangeShapeType="1"/>
        </xdr:cNvSpPr>
      </xdr:nvSpPr>
      <xdr:spPr bwMode="auto">
        <a:xfrm>
          <a:off x="4762500" y="102489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94" name="Line 93">
          <a:extLst>
            <a:ext uri="{FF2B5EF4-FFF2-40B4-BE49-F238E27FC236}">
              <a16:creationId xmlns:a16="http://schemas.microsoft.com/office/drawing/2014/main" id="{757EDA57-BC83-48F2-BAA7-198E3F60ED54}"/>
            </a:ext>
          </a:extLst>
        </xdr:cNvPr>
        <xdr:cNvSpPr>
          <a:spLocks noChangeShapeType="1"/>
        </xdr:cNvSpPr>
      </xdr:nvSpPr>
      <xdr:spPr bwMode="auto">
        <a:xfrm>
          <a:off x="7324725" y="57435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95" name="Line 94">
          <a:extLst>
            <a:ext uri="{FF2B5EF4-FFF2-40B4-BE49-F238E27FC236}">
              <a16:creationId xmlns:a16="http://schemas.microsoft.com/office/drawing/2014/main" id="{8C816592-3455-4941-B9C9-58854E6A3DA2}"/>
            </a:ext>
          </a:extLst>
        </xdr:cNvPr>
        <xdr:cNvSpPr>
          <a:spLocks noChangeShapeType="1"/>
        </xdr:cNvSpPr>
      </xdr:nvSpPr>
      <xdr:spPr bwMode="auto">
        <a:xfrm>
          <a:off x="7324725" y="558165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96" name="Line 95">
          <a:extLst>
            <a:ext uri="{FF2B5EF4-FFF2-40B4-BE49-F238E27FC236}">
              <a16:creationId xmlns:a16="http://schemas.microsoft.com/office/drawing/2014/main" id="{2467A351-5AF9-4EB7-8190-9A96A334E293}"/>
            </a:ext>
          </a:extLst>
        </xdr:cNvPr>
        <xdr:cNvSpPr>
          <a:spLocks noChangeShapeType="1"/>
        </xdr:cNvSpPr>
      </xdr:nvSpPr>
      <xdr:spPr bwMode="auto">
        <a:xfrm>
          <a:off x="7324725" y="78486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97" name="Line 96">
          <a:extLst>
            <a:ext uri="{FF2B5EF4-FFF2-40B4-BE49-F238E27FC236}">
              <a16:creationId xmlns:a16="http://schemas.microsoft.com/office/drawing/2014/main" id="{AA1EDFB2-C129-4EA9-8983-73E02C846F4F}"/>
            </a:ext>
          </a:extLst>
        </xdr:cNvPr>
        <xdr:cNvSpPr>
          <a:spLocks noChangeShapeType="1"/>
        </xdr:cNvSpPr>
      </xdr:nvSpPr>
      <xdr:spPr bwMode="auto">
        <a:xfrm>
          <a:off x="7324725" y="76866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98" name="Line 97">
          <a:extLst>
            <a:ext uri="{FF2B5EF4-FFF2-40B4-BE49-F238E27FC236}">
              <a16:creationId xmlns:a16="http://schemas.microsoft.com/office/drawing/2014/main" id="{99D7BFBB-258C-4906-9E79-2F91DAC385E4}"/>
            </a:ext>
          </a:extLst>
        </xdr:cNvPr>
        <xdr:cNvSpPr>
          <a:spLocks noChangeShapeType="1"/>
        </xdr:cNvSpPr>
      </xdr:nvSpPr>
      <xdr:spPr bwMode="auto">
        <a:xfrm>
          <a:off x="7324725" y="104108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99" name="Line 98">
          <a:extLst>
            <a:ext uri="{FF2B5EF4-FFF2-40B4-BE49-F238E27FC236}">
              <a16:creationId xmlns:a16="http://schemas.microsoft.com/office/drawing/2014/main" id="{B8CA2C0A-420A-4A7D-AEFD-FB1549DDEE11}"/>
            </a:ext>
          </a:extLst>
        </xdr:cNvPr>
        <xdr:cNvSpPr>
          <a:spLocks noChangeShapeType="1"/>
        </xdr:cNvSpPr>
      </xdr:nvSpPr>
      <xdr:spPr bwMode="auto">
        <a:xfrm>
          <a:off x="7324725" y="102489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0" name="Line 99">
          <a:extLst>
            <a:ext uri="{FF2B5EF4-FFF2-40B4-BE49-F238E27FC236}">
              <a16:creationId xmlns:a16="http://schemas.microsoft.com/office/drawing/2014/main" id="{683EF846-C1DA-49C7-A2B8-18F6F4223798}"/>
            </a:ext>
          </a:extLst>
        </xdr:cNvPr>
        <xdr:cNvSpPr>
          <a:spLocks noChangeShapeType="1"/>
        </xdr:cNvSpPr>
      </xdr:nvSpPr>
      <xdr:spPr bwMode="auto">
        <a:xfrm>
          <a:off x="7324725" y="12192000"/>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1" name="Line 100">
          <a:extLst>
            <a:ext uri="{FF2B5EF4-FFF2-40B4-BE49-F238E27FC236}">
              <a16:creationId xmlns:a16="http://schemas.microsoft.com/office/drawing/2014/main" id="{FA1D5706-033C-4B26-83D9-6D2799CCFEE5}"/>
            </a:ext>
          </a:extLst>
        </xdr:cNvPr>
        <xdr:cNvSpPr>
          <a:spLocks noChangeShapeType="1"/>
        </xdr:cNvSpPr>
      </xdr:nvSpPr>
      <xdr:spPr bwMode="auto">
        <a:xfrm>
          <a:off x="7324725" y="120300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2" name="Line 101">
          <a:extLst>
            <a:ext uri="{FF2B5EF4-FFF2-40B4-BE49-F238E27FC236}">
              <a16:creationId xmlns:a16="http://schemas.microsoft.com/office/drawing/2014/main" id="{FE1FDD22-417F-4D3E-9262-C2736E737435}"/>
            </a:ext>
          </a:extLst>
        </xdr:cNvPr>
        <xdr:cNvSpPr>
          <a:spLocks noChangeShapeType="1"/>
        </xdr:cNvSpPr>
      </xdr:nvSpPr>
      <xdr:spPr bwMode="auto">
        <a:xfrm>
          <a:off x="7324725" y="1364932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 name="Line 103">
          <a:extLst>
            <a:ext uri="{FF2B5EF4-FFF2-40B4-BE49-F238E27FC236}">
              <a16:creationId xmlns:a16="http://schemas.microsoft.com/office/drawing/2014/main" id="{9D90D706-C1E8-4D50-A9F2-4C5248555333}"/>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 name="Line 107">
          <a:extLst>
            <a:ext uri="{FF2B5EF4-FFF2-40B4-BE49-F238E27FC236}">
              <a16:creationId xmlns:a16="http://schemas.microsoft.com/office/drawing/2014/main" id="{BDD858E1-3FB0-419E-829A-3218F1A58089}"/>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5" name="Line 108">
          <a:extLst>
            <a:ext uri="{FF2B5EF4-FFF2-40B4-BE49-F238E27FC236}">
              <a16:creationId xmlns:a16="http://schemas.microsoft.com/office/drawing/2014/main" id="{CC708438-C30E-467F-B753-C8912D2A6F70}"/>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6" name="Line 109">
          <a:extLst>
            <a:ext uri="{FF2B5EF4-FFF2-40B4-BE49-F238E27FC236}">
              <a16:creationId xmlns:a16="http://schemas.microsoft.com/office/drawing/2014/main" id="{516C8019-4525-4C80-8F4A-4F300201D368}"/>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7" name="Line 110">
          <a:extLst>
            <a:ext uri="{FF2B5EF4-FFF2-40B4-BE49-F238E27FC236}">
              <a16:creationId xmlns:a16="http://schemas.microsoft.com/office/drawing/2014/main" id="{C097046B-12A2-46C9-A90A-8FDF510BC429}"/>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8" name="Line 111">
          <a:extLst>
            <a:ext uri="{FF2B5EF4-FFF2-40B4-BE49-F238E27FC236}">
              <a16:creationId xmlns:a16="http://schemas.microsoft.com/office/drawing/2014/main" id="{82C1F404-7922-4294-94E8-E0B7750B0834}"/>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9" name="Line 112">
          <a:extLst>
            <a:ext uri="{FF2B5EF4-FFF2-40B4-BE49-F238E27FC236}">
              <a16:creationId xmlns:a16="http://schemas.microsoft.com/office/drawing/2014/main" id="{705B84D4-3B29-48A1-96C0-7DBA4FF21505}"/>
            </a:ext>
          </a:extLst>
        </xdr:cNvPr>
        <xdr:cNvSpPr>
          <a:spLocks noChangeShapeType="1"/>
        </xdr:cNvSpPr>
      </xdr:nvSpPr>
      <xdr:spPr bwMode="auto">
        <a:xfrm>
          <a:off x="7324725" y="13973175"/>
          <a:ext cx="714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10" name="Line 113">
          <a:extLst>
            <a:ext uri="{FF2B5EF4-FFF2-40B4-BE49-F238E27FC236}">
              <a16:creationId xmlns:a16="http://schemas.microsoft.com/office/drawing/2014/main" id="{902F4A9C-C513-4C54-89B4-58F7279D2865}"/>
            </a:ext>
          </a:extLst>
        </xdr:cNvPr>
        <xdr:cNvSpPr>
          <a:spLocks noChangeShapeType="1"/>
        </xdr:cNvSpPr>
      </xdr:nvSpPr>
      <xdr:spPr bwMode="auto">
        <a:xfrm>
          <a:off x="4762500" y="139731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11" name="Line 114">
          <a:extLst>
            <a:ext uri="{FF2B5EF4-FFF2-40B4-BE49-F238E27FC236}">
              <a16:creationId xmlns:a16="http://schemas.microsoft.com/office/drawing/2014/main" id="{03CE3C69-8587-47FC-8494-17C30BE049EC}"/>
            </a:ext>
          </a:extLst>
        </xdr:cNvPr>
        <xdr:cNvSpPr>
          <a:spLocks noChangeShapeType="1"/>
        </xdr:cNvSpPr>
      </xdr:nvSpPr>
      <xdr:spPr bwMode="auto">
        <a:xfrm>
          <a:off x="2619375" y="139731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12" name="Line 115">
          <a:extLst>
            <a:ext uri="{FF2B5EF4-FFF2-40B4-BE49-F238E27FC236}">
              <a16:creationId xmlns:a16="http://schemas.microsoft.com/office/drawing/2014/main" id="{2E9622FE-FD84-4092-9C5B-502C19EE954A}"/>
            </a:ext>
          </a:extLst>
        </xdr:cNvPr>
        <xdr:cNvSpPr>
          <a:spLocks noChangeShapeType="1"/>
        </xdr:cNvSpPr>
      </xdr:nvSpPr>
      <xdr:spPr bwMode="auto">
        <a:xfrm>
          <a:off x="4762500" y="14944725"/>
          <a:ext cx="11791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13" name="Line 116">
          <a:extLst>
            <a:ext uri="{FF2B5EF4-FFF2-40B4-BE49-F238E27FC236}">
              <a16:creationId xmlns:a16="http://schemas.microsoft.com/office/drawing/2014/main" id="{58155691-805E-4CF6-AE30-BC79B3FC0384}"/>
            </a:ext>
          </a:extLst>
        </xdr:cNvPr>
        <xdr:cNvSpPr>
          <a:spLocks noChangeShapeType="1"/>
        </xdr:cNvSpPr>
      </xdr:nvSpPr>
      <xdr:spPr bwMode="auto">
        <a:xfrm>
          <a:off x="2619375" y="15916275"/>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4" name="Line 75">
          <a:extLst>
            <a:ext uri="{FF2B5EF4-FFF2-40B4-BE49-F238E27FC236}">
              <a16:creationId xmlns:a16="http://schemas.microsoft.com/office/drawing/2014/main" id="{7B979B8E-3450-465A-A992-4AA4349D9D32}"/>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15" name="Line 87">
          <a:extLst>
            <a:ext uri="{FF2B5EF4-FFF2-40B4-BE49-F238E27FC236}">
              <a16:creationId xmlns:a16="http://schemas.microsoft.com/office/drawing/2014/main" id="{9EC8806A-2997-4986-B979-1DD4917C2BE5}"/>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16" name="Line 75">
          <a:extLst>
            <a:ext uri="{FF2B5EF4-FFF2-40B4-BE49-F238E27FC236}">
              <a16:creationId xmlns:a16="http://schemas.microsoft.com/office/drawing/2014/main" id="{4AAA98F9-6995-4DC2-A1FD-B1C3B53ED814}"/>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17" name="Line 79">
          <a:extLst>
            <a:ext uri="{FF2B5EF4-FFF2-40B4-BE49-F238E27FC236}">
              <a16:creationId xmlns:a16="http://schemas.microsoft.com/office/drawing/2014/main" id="{8A0537F6-4088-4EC7-AC27-110D637BDBF4}"/>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18" name="Line 87">
          <a:extLst>
            <a:ext uri="{FF2B5EF4-FFF2-40B4-BE49-F238E27FC236}">
              <a16:creationId xmlns:a16="http://schemas.microsoft.com/office/drawing/2014/main" id="{124C5D9A-26A6-4EB4-BE5C-DC4018E9102B}"/>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9" name="Line 75">
          <a:extLst>
            <a:ext uri="{FF2B5EF4-FFF2-40B4-BE49-F238E27FC236}">
              <a16:creationId xmlns:a16="http://schemas.microsoft.com/office/drawing/2014/main" id="{4B194045-2723-48A6-8036-D03B09FE47F5}"/>
            </a:ext>
          </a:extLst>
        </xdr:cNvPr>
        <xdr:cNvSpPr>
          <a:spLocks noChangeShapeType="1"/>
        </xdr:cNvSpPr>
      </xdr:nvSpPr>
      <xdr:spPr bwMode="auto">
        <a:xfrm>
          <a:off x="2619375" y="189928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0" name="Line 87">
          <a:extLst>
            <a:ext uri="{FF2B5EF4-FFF2-40B4-BE49-F238E27FC236}">
              <a16:creationId xmlns:a16="http://schemas.microsoft.com/office/drawing/2014/main" id="{40B5573A-8143-4784-833D-8D23A3837832}"/>
            </a:ext>
          </a:extLst>
        </xdr:cNvPr>
        <xdr:cNvSpPr>
          <a:spLocks noChangeShapeType="1"/>
        </xdr:cNvSpPr>
      </xdr:nvSpPr>
      <xdr:spPr bwMode="auto">
        <a:xfrm>
          <a:off x="2619375" y="2012632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1" name="Line 75">
          <a:extLst>
            <a:ext uri="{FF2B5EF4-FFF2-40B4-BE49-F238E27FC236}">
              <a16:creationId xmlns:a16="http://schemas.microsoft.com/office/drawing/2014/main" id="{676AF2B6-91C5-40C5-A297-C5674C0309D5}"/>
            </a:ext>
          </a:extLst>
        </xdr:cNvPr>
        <xdr:cNvSpPr>
          <a:spLocks noChangeShapeType="1"/>
        </xdr:cNvSpPr>
      </xdr:nvSpPr>
      <xdr:spPr bwMode="auto">
        <a:xfrm>
          <a:off x="2619375" y="19154775"/>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2" name="Line 79">
          <a:extLst>
            <a:ext uri="{FF2B5EF4-FFF2-40B4-BE49-F238E27FC236}">
              <a16:creationId xmlns:a16="http://schemas.microsoft.com/office/drawing/2014/main" id="{9AB46366-6DA7-4AB8-92E5-B1C61761714E}"/>
            </a:ext>
          </a:extLst>
        </xdr:cNvPr>
        <xdr:cNvSpPr>
          <a:spLocks noChangeShapeType="1"/>
        </xdr:cNvSpPr>
      </xdr:nvSpPr>
      <xdr:spPr bwMode="auto">
        <a:xfrm>
          <a:off x="2619375" y="1802130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3" name="Line 87">
          <a:extLst>
            <a:ext uri="{FF2B5EF4-FFF2-40B4-BE49-F238E27FC236}">
              <a16:creationId xmlns:a16="http://schemas.microsoft.com/office/drawing/2014/main" id="{3BC2F2FB-3A01-4795-990E-31678C32053D}"/>
            </a:ext>
          </a:extLst>
        </xdr:cNvPr>
        <xdr:cNvSpPr>
          <a:spLocks noChangeShapeType="1"/>
        </xdr:cNvSpPr>
      </xdr:nvSpPr>
      <xdr:spPr bwMode="auto">
        <a:xfrm>
          <a:off x="2619375" y="20288250"/>
          <a:ext cx="72199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6.xml><?xml version="1.0" encoding="utf-8"?>
<xdr:wsDr xmlns:xdr="http://purl.oclc.org/ooxml/drawingml/spreadsheetDrawing" xmlns:a="http://purl.oclc.org/ooxml/drawingml/main">
  <xdr:twoCellAnchor>
    <xdr:from>
      <xdr:col>6</xdr:col>
      <xdr:colOff>0</xdr:colOff>
      <xdr:row>30</xdr:row>
      <xdr:rowOff>0</xdr:rowOff>
    </xdr:from>
    <xdr:to>
      <xdr:col>6</xdr:col>
      <xdr:colOff>0</xdr:colOff>
      <xdr:row>30</xdr:row>
      <xdr:rowOff>0</xdr:rowOff>
    </xdr:to>
    <xdr:sp macro="" textlink="">
      <xdr:nvSpPr>
        <xdr:cNvPr id="2" name="Line 1">
          <a:extLst>
            <a:ext uri="{FF2B5EF4-FFF2-40B4-BE49-F238E27FC236}">
              <a16:creationId xmlns:a16="http://schemas.microsoft.com/office/drawing/2014/main" id="{00000000-0008-0000-3300-000002000000}"/>
            </a:ext>
          </a:extLst>
        </xdr:cNvPr>
        <xdr:cNvSpPr>
          <a:spLocks noChangeShapeType="1"/>
        </xdr:cNvSpPr>
      </xdr:nvSpPr>
      <xdr:spPr bwMode="auto">
        <a:xfrm>
          <a:off x="4884420" y="56921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31</xdr:row>
      <xdr:rowOff>0</xdr:rowOff>
    </xdr:from>
    <xdr:to>
      <xdr:col>6</xdr:col>
      <xdr:colOff>0</xdr:colOff>
      <xdr:row>31</xdr:row>
      <xdr:rowOff>0</xdr:rowOff>
    </xdr:to>
    <xdr:sp macro="" textlink="">
      <xdr:nvSpPr>
        <xdr:cNvPr id="3" name="Line 2">
          <a:extLst>
            <a:ext uri="{FF2B5EF4-FFF2-40B4-BE49-F238E27FC236}">
              <a16:creationId xmlns:a16="http://schemas.microsoft.com/office/drawing/2014/main" id="{00000000-0008-0000-3300-000003000000}"/>
            </a:ext>
          </a:extLst>
        </xdr:cNvPr>
        <xdr:cNvSpPr>
          <a:spLocks noChangeShapeType="1"/>
        </xdr:cNvSpPr>
      </xdr:nvSpPr>
      <xdr:spPr bwMode="auto">
        <a:xfrm>
          <a:off x="4884420" y="58597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23</xdr:row>
      <xdr:rowOff>0</xdr:rowOff>
    </xdr:from>
    <xdr:to>
      <xdr:col>6</xdr:col>
      <xdr:colOff>0</xdr:colOff>
      <xdr:row>23</xdr:row>
      <xdr:rowOff>0</xdr:rowOff>
    </xdr:to>
    <xdr:sp macro="" textlink="">
      <xdr:nvSpPr>
        <xdr:cNvPr id="4" name="Line 3">
          <a:extLst>
            <a:ext uri="{FF2B5EF4-FFF2-40B4-BE49-F238E27FC236}">
              <a16:creationId xmlns:a16="http://schemas.microsoft.com/office/drawing/2014/main" id="{00000000-0008-0000-3300-000004000000}"/>
            </a:ext>
          </a:extLst>
        </xdr:cNvPr>
        <xdr:cNvSpPr>
          <a:spLocks noChangeShapeType="1"/>
        </xdr:cNvSpPr>
      </xdr:nvSpPr>
      <xdr:spPr bwMode="auto">
        <a:xfrm>
          <a:off x="4884420" y="4518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23</xdr:row>
      <xdr:rowOff>0</xdr:rowOff>
    </xdr:from>
    <xdr:to>
      <xdr:col>9</xdr:col>
      <xdr:colOff>662940</xdr:colOff>
      <xdr:row>23</xdr:row>
      <xdr:rowOff>0</xdr:rowOff>
    </xdr:to>
    <xdr:sp macro="" textlink="">
      <xdr:nvSpPr>
        <xdr:cNvPr id="5" name="Line 4">
          <a:extLst>
            <a:ext uri="{FF2B5EF4-FFF2-40B4-BE49-F238E27FC236}">
              <a16:creationId xmlns:a16="http://schemas.microsoft.com/office/drawing/2014/main" id="{00000000-0008-0000-3300-000005000000}"/>
            </a:ext>
          </a:extLst>
        </xdr:cNvPr>
        <xdr:cNvSpPr>
          <a:spLocks noChangeShapeType="1"/>
        </xdr:cNvSpPr>
      </xdr:nvSpPr>
      <xdr:spPr bwMode="auto">
        <a:xfrm>
          <a:off x="7513320" y="451866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30</xdr:row>
      <xdr:rowOff>0</xdr:rowOff>
    </xdr:from>
    <xdr:to>
      <xdr:col>14</xdr:col>
      <xdr:colOff>662940</xdr:colOff>
      <xdr:row>30</xdr:row>
      <xdr:rowOff>0</xdr:rowOff>
    </xdr:to>
    <xdr:sp macro="" textlink="">
      <xdr:nvSpPr>
        <xdr:cNvPr id="6" name="Line 5">
          <a:extLst>
            <a:ext uri="{FF2B5EF4-FFF2-40B4-BE49-F238E27FC236}">
              <a16:creationId xmlns:a16="http://schemas.microsoft.com/office/drawing/2014/main" id="{00000000-0008-0000-3300-000006000000}"/>
            </a:ext>
          </a:extLst>
        </xdr:cNvPr>
        <xdr:cNvSpPr>
          <a:spLocks noChangeShapeType="1"/>
        </xdr:cNvSpPr>
      </xdr:nvSpPr>
      <xdr:spPr bwMode="auto">
        <a:xfrm>
          <a:off x="11170920" y="569214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31</xdr:row>
      <xdr:rowOff>0</xdr:rowOff>
    </xdr:from>
    <xdr:to>
      <xdr:col>14</xdr:col>
      <xdr:colOff>662940</xdr:colOff>
      <xdr:row>31</xdr:row>
      <xdr:rowOff>0</xdr:rowOff>
    </xdr:to>
    <xdr:sp macro="" textlink="">
      <xdr:nvSpPr>
        <xdr:cNvPr id="7" name="Line 6">
          <a:extLst>
            <a:ext uri="{FF2B5EF4-FFF2-40B4-BE49-F238E27FC236}">
              <a16:creationId xmlns:a16="http://schemas.microsoft.com/office/drawing/2014/main" id="{00000000-0008-0000-3300-000007000000}"/>
            </a:ext>
          </a:extLst>
        </xdr:cNvPr>
        <xdr:cNvSpPr>
          <a:spLocks noChangeShapeType="1"/>
        </xdr:cNvSpPr>
      </xdr:nvSpPr>
      <xdr:spPr bwMode="auto">
        <a:xfrm>
          <a:off x="11170920" y="5859780"/>
          <a:ext cx="6629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6</xdr:col>
      <xdr:colOff>0</xdr:colOff>
      <xdr:row>32</xdr:row>
      <xdr:rowOff>0</xdr:rowOff>
    </xdr:to>
    <xdr:sp macro="" textlink="">
      <xdr:nvSpPr>
        <xdr:cNvPr id="8" name="Line 7">
          <a:extLst>
            <a:ext uri="{FF2B5EF4-FFF2-40B4-BE49-F238E27FC236}">
              <a16:creationId xmlns:a16="http://schemas.microsoft.com/office/drawing/2014/main" id="{00000000-0008-0000-3300-000008000000}"/>
            </a:ext>
          </a:extLst>
        </xdr:cNvPr>
        <xdr:cNvSpPr>
          <a:spLocks noChangeShapeType="1"/>
        </xdr:cNvSpPr>
      </xdr:nvSpPr>
      <xdr:spPr bwMode="auto">
        <a:xfrm>
          <a:off x="4884420" y="6027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33</xdr:row>
      <xdr:rowOff>0</xdr:rowOff>
    </xdr:from>
    <xdr:to>
      <xdr:col>6</xdr:col>
      <xdr:colOff>0</xdr:colOff>
      <xdr:row>33</xdr:row>
      <xdr:rowOff>0</xdr:rowOff>
    </xdr:to>
    <xdr:sp macro="" textlink="">
      <xdr:nvSpPr>
        <xdr:cNvPr id="9" name="Line 8">
          <a:extLst>
            <a:ext uri="{FF2B5EF4-FFF2-40B4-BE49-F238E27FC236}">
              <a16:creationId xmlns:a16="http://schemas.microsoft.com/office/drawing/2014/main" id="{00000000-0008-0000-3300-000009000000}"/>
            </a:ext>
          </a:extLst>
        </xdr:cNvPr>
        <xdr:cNvSpPr>
          <a:spLocks noChangeShapeType="1"/>
        </xdr:cNvSpPr>
      </xdr:nvSpPr>
      <xdr:spPr bwMode="auto">
        <a:xfrm>
          <a:off x="4884420" y="61950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34</xdr:row>
      <xdr:rowOff>0</xdr:rowOff>
    </xdr:from>
    <xdr:to>
      <xdr:col>6</xdr:col>
      <xdr:colOff>0</xdr:colOff>
      <xdr:row>34</xdr:row>
      <xdr:rowOff>0</xdr:rowOff>
    </xdr:to>
    <xdr:sp macro="" textlink="">
      <xdr:nvSpPr>
        <xdr:cNvPr id="10" name="Line 9">
          <a:extLst>
            <a:ext uri="{FF2B5EF4-FFF2-40B4-BE49-F238E27FC236}">
              <a16:creationId xmlns:a16="http://schemas.microsoft.com/office/drawing/2014/main" id="{00000000-0008-0000-3300-00000A000000}"/>
            </a:ext>
          </a:extLst>
        </xdr:cNvPr>
        <xdr:cNvSpPr>
          <a:spLocks noChangeShapeType="1"/>
        </xdr:cNvSpPr>
      </xdr:nvSpPr>
      <xdr:spPr bwMode="auto">
        <a:xfrm>
          <a:off x="4884420" y="6362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32</xdr:row>
      <xdr:rowOff>0</xdr:rowOff>
    </xdr:from>
    <xdr:to>
      <xdr:col>10</xdr:col>
      <xdr:colOff>0</xdr:colOff>
      <xdr:row>32</xdr:row>
      <xdr:rowOff>0</xdr:rowOff>
    </xdr:to>
    <xdr:sp macro="" textlink="">
      <xdr:nvSpPr>
        <xdr:cNvPr id="11" name="Line 10">
          <a:extLst>
            <a:ext uri="{FF2B5EF4-FFF2-40B4-BE49-F238E27FC236}">
              <a16:creationId xmlns:a16="http://schemas.microsoft.com/office/drawing/2014/main" id="{00000000-0008-0000-3300-00000B000000}"/>
            </a:ext>
          </a:extLst>
        </xdr:cNvPr>
        <xdr:cNvSpPr>
          <a:spLocks noChangeShapeType="1"/>
        </xdr:cNvSpPr>
      </xdr:nvSpPr>
      <xdr:spPr bwMode="auto">
        <a:xfrm>
          <a:off x="751332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10</xdr:col>
      <xdr:colOff>0</xdr:colOff>
      <xdr:row>33</xdr:row>
      <xdr:rowOff>0</xdr:rowOff>
    </xdr:to>
    <xdr:sp macro="" textlink="">
      <xdr:nvSpPr>
        <xdr:cNvPr id="12" name="Line 11">
          <a:extLst>
            <a:ext uri="{FF2B5EF4-FFF2-40B4-BE49-F238E27FC236}">
              <a16:creationId xmlns:a16="http://schemas.microsoft.com/office/drawing/2014/main" id="{00000000-0008-0000-3300-00000C000000}"/>
            </a:ext>
          </a:extLst>
        </xdr:cNvPr>
        <xdr:cNvSpPr>
          <a:spLocks noChangeShapeType="1"/>
        </xdr:cNvSpPr>
      </xdr:nvSpPr>
      <xdr:spPr bwMode="auto">
        <a:xfrm>
          <a:off x="751332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34</xdr:row>
      <xdr:rowOff>0</xdr:rowOff>
    </xdr:from>
    <xdr:to>
      <xdr:col>10</xdr:col>
      <xdr:colOff>0</xdr:colOff>
      <xdr:row>34</xdr:row>
      <xdr:rowOff>0</xdr:rowOff>
    </xdr:to>
    <xdr:sp macro="" textlink="">
      <xdr:nvSpPr>
        <xdr:cNvPr id="13" name="Line 12">
          <a:extLst>
            <a:ext uri="{FF2B5EF4-FFF2-40B4-BE49-F238E27FC236}">
              <a16:creationId xmlns:a16="http://schemas.microsoft.com/office/drawing/2014/main" id="{00000000-0008-0000-3300-00000D000000}"/>
            </a:ext>
          </a:extLst>
        </xdr:cNvPr>
        <xdr:cNvSpPr>
          <a:spLocks noChangeShapeType="1"/>
        </xdr:cNvSpPr>
      </xdr:nvSpPr>
      <xdr:spPr bwMode="auto">
        <a:xfrm>
          <a:off x="751332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4" name="Line 13">
          <a:extLst>
            <a:ext uri="{FF2B5EF4-FFF2-40B4-BE49-F238E27FC236}">
              <a16:creationId xmlns:a16="http://schemas.microsoft.com/office/drawing/2014/main" id="{00000000-0008-0000-3300-00000E000000}"/>
            </a:ext>
          </a:extLst>
        </xdr:cNvPr>
        <xdr:cNvSpPr>
          <a:spLocks noChangeShapeType="1"/>
        </xdr:cNvSpPr>
      </xdr:nvSpPr>
      <xdr:spPr bwMode="auto">
        <a:xfrm>
          <a:off x="11170920" y="6027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33</xdr:row>
      <xdr:rowOff>0</xdr:rowOff>
    </xdr:from>
    <xdr:to>
      <xdr:col>15</xdr:col>
      <xdr:colOff>0</xdr:colOff>
      <xdr:row>33</xdr:row>
      <xdr:rowOff>0</xdr:rowOff>
    </xdr:to>
    <xdr:sp macro="" textlink="">
      <xdr:nvSpPr>
        <xdr:cNvPr id="15" name="Line 14">
          <a:extLst>
            <a:ext uri="{FF2B5EF4-FFF2-40B4-BE49-F238E27FC236}">
              <a16:creationId xmlns:a16="http://schemas.microsoft.com/office/drawing/2014/main" id="{00000000-0008-0000-3300-00000F000000}"/>
            </a:ext>
          </a:extLst>
        </xdr:cNvPr>
        <xdr:cNvSpPr>
          <a:spLocks noChangeShapeType="1"/>
        </xdr:cNvSpPr>
      </xdr:nvSpPr>
      <xdr:spPr bwMode="auto">
        <a:xfrm>
          <a:off x="11170920" y="61950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34</xdr:row>
      <xdr:rowOff>0</xdr:rowOff>
    </xdr:from>
    <xdr:to>
      <xdr:col>15</xdr:col>
      <xdr:colOff>0</xdr:colOff>
      <xdr:row>34</xdr:row>
      <xdr:rowOff>0</xdr:rowOff>
    </xdr:to>
    <xdr:sp macro="" textlink="">
      <xdr:nvSpPr>
        <xdr:cNvPr id="16" name="Line 15">
          <a:extLst>
            <a:ext uri="{FF2B5EF4-FFF2-40B4-BE49-F238E27FC236}">
              <a16:creationId xmlns:a16="http://schemas.microsoft.com/office/drawing/2014/main" id="{00000000-0008-0000-3300-000010000000}"/>
            </a:ext>
          </a:extLst>
        </xdr:cNvPr>
        <xdr:cNvSpPr>
          <a:spLocks noChangeShapeType="1"/>
        </xdr:cNvSpPr>
      </xdr:nvSpPr>
      <xdr:spPr bwMode="auto">
        <a:xfrm>
          <a:off x="11170920" y="6362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43</xdr:row>
      <xdr:rowOff>0</xdr:rowOff>
    </xdr:from>
    <xdr:to>
      <xdr:col>14</xdr:col>
      <xdr:colOff>640080</xdr:colOff>
      <xdr:row>43</xdr:row>
      <xdr:rowOff>0</xdr:rowOff>
    </xdr:to>
    <xdr:sp macro="" textlink="">
      <xdr:nvSpPr>
        <xdr:cNvPr id="17" name="Line 16">
          <a:extLst>
            <a:ext uri="{FF2B5EF4-FFF2-40B4-BE49-F238E27FC236}">
              <a16:creationId xmlns:a16="http://schemas.microsoft.com/office/drawing/2014/main" id="{00000000-0008-0000-3300-000011000000}"/>
            </a:ext>
          </a:extLst>
        </xdr:cNvPr>
        <xdr:cNvSpPr>
          <a:spLocks noChangeShapeType="1"/>
        </xdr:cNvSpPr>
      </xdr:nvSpPr>
      <xdr:spPr bwMode="auto">
        <a:xfrm>
          <a:off x="11170920" y="78714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23</xdr:row>
      <xdr:rowOff>0</xdr:rowOff>
    </xdr:from>
    <xdr:to>
      <xdr:col>4</xdr:col>
      <xdr:colOff>7620</xdr:colOff>
      <xdr:row>23</xdr:row>
      <xdr:rowOff>0</xdr:rowOff>
    </xdr:to>
    <xdr:sp macro="" textlink="">
      <xdr:nvSpPr>
        <xdr:cNvPr id="18" name="Line 17">
          <a:extLst>
            <a:ext uri="{FF2B5EF4-FFF2-40B4-BE49-F238E27FC236}">
              <a16:creationId xmlns:a16="http://schemas.microsoft.com/office/drawing/2014/main" id="{00000000-0008-0000-3300-000012000000}"/>
            </a:ext>
          </a:extLst>
        </xdr:cNvPr>
        <xdr:cNvSpPr>
          <a:spLocks noChangeShapeType="1"/>
        </xdr:cNvSpPr>
      </xdr:nvSpPr>
      <xdr:spPr bwMode="auto">
        <a:xfrm>
          <a:off x="2689860" y="4518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30</xdr:row>
      <xdr:rowOff>0</xdr:rowOff>
    </xdr:from>
    <xdr:to>
      <xdr:col>4</xdr:col>
      <xdr:colOff>7620</xdr:colOff>
      <xdr:row>30</xdr:row>
      <xdr:rowOff>0</xdr:rowOff>
    </xdr:to>
    <xdr:sp macro="" textlink="">
      <xdr:nvSpPr>
        <xdr:cNvPr id="19" name="Line 18">
          <a:extLst>
            <a:ext uri="{FF2B5EF4-FFF2-40B4-BE49-F238E27FC236}">
              <a16:creationId xmlns:a16="http://schemas.microsoft.com/office/drawing/2014/main" id="{00000000-0008-0000-3300-000013000000}"/>
            </a:ext>
          </a:extLst>
        </xdr:cNvPr>
        <xdr:cNvSpPr>
          <a:spLocks noChangeShapeType="1"/>
        </xdr:cNvSpPr>
      </xdr:nvSpPr>
      <xdr:spPr bwMode="auto">
        <a:xfrm>
          <a:off x="2689860" y="56921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31</xdr:row>
      <xdr:rowOff>0</xdr:rowOff>
    </xdr:from>
    <xdr:to>
      <xdr:col>4</xdr:col>
      <xdr:colOff>7620</xdr:colOff>
      <xdr:row>31</xdr:row>
      <xdr:rowOff>0</xdr:rowOff>
    </xdr:to>
    <xdr:sp macro="" textlink="">
      <xdr:nvSpPr>
        <xdr:cNvPr id="20" name="Line 19">
          <a:extLst>
            <a:ext uri="{FF2B5EF4-FFF2-40B4-BE49-F238E27FC236}">
              <a16:creationId xmlns:a16="http://schemas.microsoft.com/office/drawing/2014/main" id="{00000000-0008-0000-3300-000014000000}"/>
            </a:ext>
          </a:extLst>
        </xdr:cNvPr>
        <xdr:cNvSpPr>
          <a:spLocks noChangeShapeType="1"/>
        </xdr:cNvSpPr>
      </xdr:nvSpPr>
      <xdr:spPr bwMode="auto">
        <a:xfrm>
          <a:off x="2689860" y="58597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32</xdr:row>
      <xdr:rowOff>0</xdr:rowOff>
    </xdr:from>
    <xdr:to>
      <xdr:col>4</xdr:col>
      <xdr:colOff>7620</xdr:colOff>
      <xdr:row>32</xdr:row>
      <xdr:rowOff>0</xdr:rowOff>
    </xdr:to>
    <xdr:sp macro="" textlink="">
      <xdr:nvSpPr>
        <xdr:cNvPr id="21" name="Line 20">
          <a:extLst>
            <a:ext uri="{FF2B5EF4-FFF2-40B4-BE49-F238E27FC236}">
              <a16:creationId xmlns:a16="http://schemas.microsoft.com/office/drawing/2014/main" id="{00000000-0008-0000-3300-000015000000}"/>
            </a:ext>
          </a:extLst>
        </xdr:cNvPr>
        <xdr:cNvSpPr>
          <a:spLocks noChangeShapeType="1"/>
        </xdr:cNvSpPr>
      </xdr:nvSpPr>
      <xdr:spPr bwMode="auto">
        <a:xfrm>
          <a:off x="2689860" y="6027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4</xdr:col>
      <xdr:colOff>7620</xdr:colOff>
      <xdr:row>33</xdr:row>
      <xdr:rowOff>0</xdr:rowOff>
    </xdr:to>
    <xdr:sp macro="" textlink="">
      <xdr:nvSpPr>
        <xdr:cNvPr id="22" name="Line 21">
          <a:extLst>
            <a:ext uri="{FF2B5EF4-FFF2-40B4-BE49-F238E27FC236}">
              <a16:creationId xmlns:a16="http://schemas.microsoft.com/office/drawing/2014/main" id="{00000000-0008-0000-3300-000016000000}"/>
            </a:ext>
          </a:extLst>
        </xdr:cNvPr>
        <xdr:cNvSpPr>
          <a:spLocks noChangeShapeType="1"/>
        </xdr:cNvSpPr>
      </xdr:nvSpPr>
      <xdr:spPr bwMode="auto">
        <a:xfrm>
          <a:off x="2689860" y="61950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34</xdr:row>
      <xdr:rowOff>0</xdr:rowOff>
    </xdr:from>
    <xdr:to>
      <xdr:col>4</xdr:col>
      <xdr:colOff>7620</xdr:colOff>
      <xdr:row>34</xdr:row>
      <xdr:rowOff>0</xdr:rowOff>
    </xdr:to>
    <xdr:sp macro="" textlink="">
      <xdr:nvSpPr>
        <xdr:cNvPr id="23" name="Line 22">
          <a:extLst>
            <a:ext uri="{FF2B5EF4-FFF2-40B4-BE49-F238E27FC236}">
              <a16:creationId xmlns:a16="http://schemas.microsoft.com/office/drawing/2014/main" id="{00000000-0008-0000-3300-000017000000}"/>
            </a:ext>
          </a:extLst>
        </xdr:cNvPr>
        <xdr:cNvSpPr>
          <a:spLocks noChangeShapeType="1"/>
        </xdr:cNvSpPr>
      </xdr:nvSpPr>
      <xdr:spPr bwMode="auto">
        <a:xfrm>
          <a:off x="2689860" y="6362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4" name="Line 23">
          <a:extLst>
            <a:ext uri="{FF2B5EF4-FFF2-40B4-BE49-F238E27FC236}">
              <a16:creationId xmlns:a16="http://schemas.microsoft.com/office/drawing/2014/main" id="{00000000-0008-0000-3300-000018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25" name="Line 24">
          <a:extLst>
            <a:ext uri="{FF2B5EF4-FFF2-40B4-BE49-F238E27FC236}">
              <a16:creationId xmlns:a16="http://schemas.microsoft.com/office/drawing/2014/main" id="{00000000-0008-0000-3300-000019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0</xdr:rowOff>
    </xdr:from>
    <xdr:to>
      <xdr:col>10</xdr:col>
      <xdr:colOff>0</xdr:colOff>
      <xdr:row>36</xdr:row>
      <xdr:rowOff>0</xdr:rowOff>
    </xdr:to>
    <xdr:sp macro="" textlink="">
      <xdr:nvSpPr>
        <xdr:cNvPr id="26" name="Line 25">
          <a:extLst>
            <a:ext uri="{FF2B5EF4-FFF2-40B4-BE49-F238E27FC236}">
              <a16:creationId xmlns:a16="http://schemas.microsoft.com/office/drawing/2014/main" id="{00000000-0008-0000-3300-00001A000000}"/>
            </a:ext>
          </a:extLst>
        </xdr:cNvPr>
        <xdr:cNvSpPr>
          <a:spLocks noChangeShapeType="1"/>
        </xdr:cNvSpPr>
      </xdr:nvSpPr>
      <xdr:spPr bwMode="auto">
        <a:xfrm>
          <a:off x="7513320" y="669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44</xdr:row>
      <xdr:rowOff>0</xdr:rowOff>
    </xdr:from>
    <xdr:to>
      <xdr:col>14</xdr:col>
      <xdr:colOff>640080</xdr:colOff>
      <xdr:row>44</xdr:row>
      <xdr:rowOff>0</xdr:rowOff>
    </xdr:to>
    <xdr:sp macro="" textlink="">
      <xdr:nvSpPr>
        <xdr:cNvPr id="27" name="Line 26">
          <a:extLst>
            <a:ext uri="{FF2B5EF4-FFF2-40B4-BE49-F238E27FC236}">
              <a16:creationId xmlns:a16="http://schemas.microsoft.com/office/drawing/2014/main" id="{00000000-0008-0000-3300-00001B000000}"/>
            </a:ext>
          </a:extLst>
        </xdr:cNvPr>
        <xdr:cNvSpPr>
          <a:spLocks noChangeShapeType="1"/>
        </xdr:cNvSpPr>
      </xdr:nvSpPr>
      <xdr:spPr bwMode="auto">
        <a:xfrm>
          <a:off x="11170920" y="803910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36</xdr:row>
      <xdr:rowOff>0</xdr:rowOff>
    </xdr:from>
    <xdr:to>
      <xdr:col>6</xdr:col>
      <xdr:colOff>0</xdr:colOff>
      <xdr:row>36</xdr:row>
      <xdr:rowOff>0</xdr:rowOff>
    </xdr:to>
    <xdr:sp macro="" textlink="">
      <xdr:nvSpPr>
        <xdr:cNvPr id="28" name="Line 27">
          <a:extLst>
            <a:ext uri="{FF2B5EF4-FFF2-40B4-BE49-F238E27FC236}">
              <a16:creationId xmlns:a16="http://schemas.microsoft.com/office/drawing/2014/main" id="{00000000-0008-0000-3300-00001C000000}"/>
            </a:ext>
          </a:extLst>
        </xdr:cNvPr>
        <xdr:cNvSpPr>
          <a:spLocks noChangeShapeType="1"/>
        </xdr:cNvSpPr>
      </xdr:nvSpPr>
      <xdr:spPr bwMode="auto">
        <a:xfrm>
          <a:off x="4884420" y="669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45</xdr:row>
      <xdr:rowOff>0</xdr:rowOff>
    </xdr:from>
    <xdr:to>
      <xdr:col>6</xdr:col>
      <xdr:colOff>0</xdr:colOff>
      <xdr:row>45</xdr:row>
      <xdr:rowOff>0</xdr:rowOff>
    </xdr:to>
    <xdr:sp macro="" textlink="">
      <xdr:nvSpPr>
        <xdr:cNvPr id="29" name="Line 28">
          <a:extLst>
            <a:ext uri="{FF2B5EF4-FFF2-40B4-BE49-F238E27FC236}">
              <a16:creationId xmlns:a16="http://schemas.microsoft.com/office/drawing/2014/main" id="{00000000-0008-0000-3300-00001D000000}"/>
            </a:ext>
          </a:extLst>
        </xdr:cNvPr>
        <xdr:cNvSpPr>
          <a:spLocks noChangeShapeType="1"/>
        </xdr:cNvSpPr>
      </xdr:nvSpPr>
      <xdr:spPr bwMode="auto">
        <a:xfrm>
          <a:off x="4884420" y="82067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45</xdr:row>
      <xdr:rowOff>0</xdr:rowOff>
    </xdr:from>
    <xdr:to>
      <xdr:col>10</xdr:col>
      <xdr:colOff>0</xdr:colOff>
      <xdr:row>45</xdr:row>
      <xdr:rowOff>0</xdr:rowOff>
    </xdr:to>
    <xdr:sp macro="" textlink="">
      <xdr:nvSpPr>
        <xdr:cNvPr id="30" name="Line 29">
          <a:extLst>
            <a:ext uri="{FF2B5EF4-FFF2-40B4-BE49-F238E27FC236}">
              <a16:creationId xmlns:a16="http://schemas.microsoft.com/office/drawing/2014/main" id="{00000000-0008-0000-3300-00001E000000}"/>
            </a:ext>
          </a:extLst>
        </xdr:cNvPr>
        <xdr:cNvSpPr>
          <a:spLocks noChangeShapeType="1"/>
        </xdr:cNvSpPr>
      </xdr:nvSpPr>
      <xdr:spPr bwMode="auto">
        <a:xfrm>
          <a:off x="751332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46</xdr:row>
      <xdr:rowOff>0</xdr:rowOff>
    </xdr:from>
    <xdr:to>
      <xdr:col>10</xdr:col>
      <xdr:colOff>0</xdr:colOff>
      <xdr:row>46</xdr:row>
      <xdr:rowOff>0</xdr:rowOff>
    </xdr:to>
    <xdr:sp macro="" textlink="">
      <xdr:nvSpPr>
        <xdr:cNvPr id="31" name="Line 30">
          <a:extLst>
            <a:ext uri="{FF2B5EF4-FFF2-40B4-BE49-F238E27FC236}">
              <a16:creationId xmlns:a16="http://schemas.microsoft.com/office/drawing/2014/main" id="{00000000-0008-0000-3300-00001F000000}"/>
            </a:ext>
          </a:extLst>
        </xdr:cNvPr>
        <xdr:cNvSpPr>
          <a:spLocks noChangeShapeType="1"/>
        </xdr:cNvSpPr>
      </xdr:nvSpPr>
      <xdr:spPr bwMode="auto">
        <a:xfrm>
          <a:off x="751332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45</xdr:row>
      <xdr:rowOff>0</xdr:rowOff>
    </xdr:from>
    <xdr:to>
      <xdr:col>15</xdr:col>
      <xdr:colOff>0</xdr:colOff>
      <xdr:row>45</xdr:row>
      <xdr:rowOff>0</xdr:rowOff>
    </xdr:to>
    <xdr:sp macro="" textlink="">
      <xdr:nvSpPr>
        <xdr:cNvPr id="32" name="Line 31">
          <a:extLst>
            <a:ext uri="{FF2B5EF4-FFF2-40B4-BE49-F238E27FC236}">
              <a16:creationId xmlns:a16="http://schemas.microsoft.com/office/drawing/2014/main" id="{00000000-0008-0000-3300-000020000000}"/>
            </a:ext>
          </a:extLst>
        </xdr:cNvPr>
        <xdr:cNvSpPr>
          <a:spLocks noChangeShapeType="1"/>
        </xdr:cNvSpPr>
      </xdr:nvSpPr>
      <xdr:spPr bwMode="auto">
        <a:xfrm>
          <a:off x="11170920" y="82067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46</xdr:row>
      <xdr:rowOff>0</xdr:rowOff>
    </xdr:from>
    <xdr:to>
      <xdr:col>15</xdr:col>
      <xdr:colOff>0</xdr:colOff>
      <xdr:row>46</xdr:row>
      <xdr:rowOff>0</xdr:rowOff>
    </xdr:to>
    <xdr:sp macro="" textlink="">
      <xdr:nvSpPr>
        <xdr:cNvPr id="33" name="Line 32">
          <a:extLst>
            <a:ext uri="{FF2B5EF4-FFF2-40B4-BE49-F238E27FC236}">
              <a16:creationId xmlns:a16="http://schemas.microsoft.com/office/drawing/2014/main" id="{00000000-0008-0000-3300-000021000000}"/>
            </a:ext>
          </a:extLst>
        </xdr:cNvPr>
        <xdr:cNvSpPr>
          <a:spLocks noChangeShapeType="1"/>
        </xdr:cNvSpPr>
      </xdr:nvSpPr>
      <xdr:spPr bwMode="auto">
        <a:xfrm>
          <a:off x="11170920" y="83743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7620</xdr:colOff>
      <xdr:row>36</xdr:row>
      <xdr:rowOff>0</xdr:rowOff>
    </xdr:to>
    <xdr:sp macro="" textlink="">
      <xdr:nvSpPr>
        <xdr:cNvPr id="34" name="Line 33">
          <a:extLst>
            <a:ext uri="{FF2B5EF4-FFF2-40B4-BE49-F238E27FC236}">
              <a16:creationId xmlns:a16="http://schemas.microsoft.com/office/drawing/2014/main" id="{00000000-0008-0000-3300-000022000000}"/>
            </a:ext>
          </a:extLst>
        </xdr:cNvPr>
        <xdr:cNvSpPr>
          <a:spLocks noChangeShapeType="1"/>
        </xdr:cNvSpPr>
      </xdr:nvSpPr>
      <xdr:spPr bwMode="auto">
        <a:xfrm>
          <a:off x="2689860" y="669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5" name="Line 34">
          <a:extLst>
            <a:ext uri="{FF2B5EF4-FFF2-40B4-BE49-F238E27FC236}">
              <a16:creationId xmlns:a16="http://schemas.microsoft.com/office/drawing/2014/main" id="{00000000-0008-0000-3300-000023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43</xdr:row>
      <xdr:rowOff>0</xdr:rowOff>
    </xdr:from>
    <xdr:to>
      <xdr:col>4</xdr:col>
      <xdr:colOff>7620</xdr:colOff>
      <xdr:row>43</xdr:row>
      <xdr:rowOff>0</xdr:rowOff>
    </xdr:to>
    <xdr:sp macro="" textlink="">
      <xdr:nvSpPr>
        <xdr:cNvPr id="36" name="Line 35">
          <a:extLst>
            <a:ext uri="{FF2B5EF4-FFF2-40B4-BE49-F238E27FC236}">
              <a16:creationId xmlns:a16="http://schemas.microsoft.com/office/drawing/2014/main" id="{00000000-0008-0000-3300-000024000000}"/>
            </a:ext>
          </a:extLst>
        </xdr:cNvPr>
        <xdr:cNvSpPr>
          <a:spLocks noChangeShapeType="1"/>
        </xdr:cNvSpPr>
      </xdr:nvSpPr>
      <xdr:spPr bwMode="auto">
        <a:xfrm>
          <a:off x="2689860" y="78714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44</xdr:row>
      <xdr:rowOff>0</xdr:rowOff>
    </xdr:from>
    <xdr:to>
      <xdr:col>4</xdr:col>
      <xdr:colOff>7620</xdr:colOff>
      <xdr:row>44</xdr:row>
      <xdr:rowOff>0</xdr:rowOff>
    </xdr:to>
    <xdr:sp macro="" textlink="">
      <xdr:nvSpPr>
        <xdr:cNvPr id="37" name="Line 36">
          <a:extLst>
            <a:ext uri="{FF2B5EF4-FFF2-40B4-BE49-F238E27FC236}">
              <a16:creationId xmlns:a16="http://schemas.microsoft.com/office/drawing/2014/main" id="{00000000-0008-0000-3300-000025000000}"/>
            </a:ext>
          </a:extLst>
        </xdr:cNvPr>
        <xdr:cNvSpPr>
          <a:spLocks noChangeShapeType="1"/>
        </xdr:cNvSpPr>
      </xdr:nvSpPr>
      <xdr:spPr bwMode="auto">
        <a:xfrm>
          <a:off x="2689860" y="80391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7620</xdr:colOff>
      <xdr:row>45</xdr:row>
      <xdr:rowOff>0</xdr:rowOff>
    </xdr:to>
    <xdr:sp macro="" textlink="">
      <xdr:nvSpPr>
        <xdr:cNvPr id="38" name="Line 37">
          <a:extLst>
            <a:ext uri="{FF2B5EF4-FFF2-40B4-BE49-F238E27FC236}">
              <a16:creationId xmlns:a16="http://schemas.microsoft.com/office/drawing/2014/main" id="{00000000-0008-0000-3300-000026000000}"/>
            </a:ext>
          </a:extLst>
        </xdr:cNvPr>
        <xdr:cNvSpPr>
          <a:spLocks noChangeShapeType="1"/>
        </xdr:cNvSpPr>
      </xdr:nvSpPr>
      <xdr:spPr bwMode="auto">
        <a:xfrm>
          <a:off x="2689860" y="82067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46</xdr:row>
      <xdr:rowOff>0</xdr:rowOff>
    </xdr:from>
    <xdr:to>
      <xdr:col>4</xdr:col>
      <xdr:colOff>7620</xdr:colOff>
      <xdr:row>46</xdr:row>
      <xdr:rowOff>0</xdr:rowOff>
    </xdr:to>
    <xdr:sp macro="" textlink="">
      <xdr:nvSpPr>
        <xdr:cNvPr id="39" name="Line 38">
          <a:extLst>
            <a:ext uri="{FF2B5EF4-FFF2-40B4-BE49-F238E27FC236}">
              <a16:creationId xmlns:a16="http://schemas.microsoft.com/office/drawing/2014/main" id="{00000000-0008-0000-3300-000027000000}"/>
            </a:ext>
          </a:extLst>
        </xdr:cNvPr>
        <xdr:cNvSpPr>
          <a:spLocks noChangeShapeType="1"/>
        </xdr:cNvSpPr>
      </xdr:nvSpPr>
      <xdr:spPr bwMode="auto">
        <a:xfrm>
          <a:off x="2689860" y="83743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46</xdr:row>
      <xdr:rowOff>0</xdr:rowOff>
    </xdr:from>
    <xdr:to>
      <xdr:col>6</xdr:col>
      <xdr:colOff>0</xdr:colOff>
      <xdr:row>46</xdr:row>
      <xdr:rowOff>0</xdr:rowOff>
    </xdr:to>
    <xdr:sp macro="" textlink="">
      <xdr:nvSpPr>
        <xdr:cNvPr id="40" name="Line 39">
          <a:extLst>
            <a:ext uri="{FF2B5EF4-FFF2-40B4-BE49-F238E27FC236}">
              <a16:creationId xmlns:a16="http://schemas.microsoft.com/office/drawing/2014/main" id="{00000000-0008-0000-3300-000028000000}"/>
            </a:ext>
          </a:extLst>
        </xdr:cNvPr>
        <xdr:cNvSpPr>
          <a:spLocks noChangeShapeType="1"/>
        </xdr:cNvSpPr>
      </xdr:nvSpPr>
      <xdr:spPr bwMode="auto">
        <a:xfrm>
          <a:off x="4884420" y="83743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58</xdr:row>
      <xdr:rowOff>0</xdr:rowOff>
    </xdr:from>
    <xdr:to>
      <xdr:col>14</xdr:col>
      <xdr:colOff>640080</xdr:colOff>
      <xdr:row>58</xdr:row>
      <xdr:rowOff>0</xdr:rowOff>
    </xdr:to>
    <xdr:sp macro="" textlink="">
      <xdr:nvSpPr>
        <xdr:cNvPr id="41" name="Line 40">
          <a:extLst>
            <a:ext uri="{FF2B5EF4-FFF2-40B4-BE49-F238E27FC236}">
              <a16:creationId xmlns:a16="http://schemas.microsoft.com/office/drawing/2014/main" id="{00000000-0008-0000-3300-000029000000}"/>
            </a:ext>
          </a:extLst>
        </xdr:cNvPr>
        <xdr:cNvSpPr>
          <a:spLocks noChangeShapeType="1"/>
        </xdr:cNvSpPr>
      </xdr:nvSpPr>
      <xdr:spPr bwMode="auto">
        <a:xfrm>
          <a:off x="11170920" y="1050798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2" name="Line 41">
          <a:extLst>
            <a:ext uri="{FF2B5EF4-FFF2-40B4-BE49-F238E27FC236}">
              <a16:creationId xmlns:a16="http://schemas.microsoft.com/office/drawing/2014/main" id="{00000000-0008-0000-3300-00002A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43" name="Line 42">
          <a:extLst>
            <a:ext uri="{FF2B5EF4-FFF2-40B4-BE49-F238E27FC236}">
              <a16:creationId xmlns:a16="http://schemas.microsoft.com/office/drawing/2014/main" id="{00000000-0008-0000-3300-00002B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51</xdr:row>
      <xdr:rowOff>0</xdr:rowOff>
    </xdr:from>
    <xdr:to>
      <xdr:col>10</xdr:col>
      <xdr:colOff>0</xdr:colOff>
      <xdr:row>51</xdr:row>
      <xdr:rowOff>0</xdr:rowOff>
    </xdr:to>
    <xdr:sp macro="" textlink="">
      <xdr:nvSpPr>
        <xdr:cNvPr id="44" name="Line 43">
          <a:extLst>
            <a:ext uri="{FF2B5EF4-FFF2-40B4-BE49-F238E27FC236}">
              <a16:creationId xmlns:a16="http://schemas.microsoft.com/office/drawing/2014/main" id="{00000000-0008-0000-3300-00002C000000}"/>
            </a:ext>
          </a:extLst>
        </xdr:cNvPr>
        <xdr:cNvSpPr>
          <a:spLocks noChangeShapeType="1"/>
        </xdr:cNvSpPr>
      </xdr:nvSpPr>
      <xdr:spPr bwMode="auto">
        <a:xfrm>
          <a:off x="7513320" y="93345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59</xdr:row>
      <xdr:rowOff>0</xdr:rowOff>
    </xdr:from>
    <xdr:to>
      <xdr:col>14</xdr:col>
      <xdr:colOff>640080</xdr:colOff>
      <xdr:row>59</xdr:row>
      <xdr:rowOff>0</xdr:rowOff>
    </xdr:to>
    <xdr:sp macro="" textlink="">
      <xdr:nvSpPr>
        <xdr:cNvPr id="45" name="Line 44">
          <a:extLst>
            <a:ext uri="{FF2B5EF4-FFF2-40B4-BE49-F238E27FC236}">
              <a16:creationId xmlns:a16="http://schemas.microsoft.com/office/drawing/2014/main" id="{00000000-0008-0000-3300-00002D000000}"/>
            </a:ext>
          </a:extLst>
        </xdr:cNvPr>
        <xdr:cNvSpPr>
          <a:spLocks noChangeShapeType="1"/>
        </xdr:cNvSpPr>
      </xdr:nvSpPr>
      <xdr:spPr bwMode="auto">
        <a:xfrm>
          <a:off x="11170920" y="106756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51</xdr:row>
      <xdr:rowOff>0</xdr:rowOff>
    </xdr:from>
    <xdr:to>
      <xdr:col>6</xdr:col>
      <xdr:colOff>0</xdr:colOff>
      <xdr:row>51</xdr:row>
      <xdr:rowOff>0</xdr:rowOff>
    </xdr:to>
    <xdr:sp macro="" textlink="">
      <xdr:nvSpPr>
        <xdr:cNvPr id="46" name="Line 45">
          <a:extLst>
            <a:ext uri="{FF2B5EF4-FFF2-40B4-BE49-F238E27FC236}">
              <a16:creationId xmlns:a16="http://schemas.microsoft.com/office/drawing/2014/main" id="{00000000-0008-0000-3300-00002E000000}"/>
            </a:ext>
          </a:extLst>
        </xdr:cNvPr>
        <xdr:cNvSpPr>
          <a:spLocks noChangeShapeType="1"/>
        </xdr:cNvSpPr>
      </xdr:nvSpPr>
      <xdr:spPr bwMode="auto">
        <a:xfrm>
          <a:off x="4884420" y="9334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60</xdr:row>
      <xdr:rowOff>0</xdr:rowOff>
    </xdr:from>
    <xdr:to>
      <xdr:col>10</xdr:col>
      <xdr:colOff>0</xdr:colOff>
      <xdr:row>60</xdr:row>
      <xdr:rowOff>0</xdr:rowOff>
    </xdr:to>
    <xdr:sp macro="" textlink="">
      <xdr:nvSpPr>
        <xdr:cNvPr id="47" name="Line 46">
          <a:extLst>
            <a:ext uri="{FF2B5EF4-FFF2-40B4-BE49-F238E27FC236}">
              <a16:creationId xmlns:a16="http://schemas.microsoft.com/office/drawing/2014/main" id="{00000000-0008-0000-3300-00002F000000}"/>
            </a:ext>
          </a:extLst>
        </xdr:cNvPr>
        <xdr:cNvSpPr>
          <a:spLocks noChangeShapeType="1"/>
        </xdr:cNvSpPr>
      </xdr:nvSpPr>
      <xdr:spPr bwMode="auto">
        <a:xfrm>
          <a:off x="751332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60</xdr:row>
      <xdr:rowOff>0</xdr:rowOff>
    </xdr:from>
    <xdr:to>
      <xdr:col>15</xdr:col>
      <xdr:colOff>0</xdr:colOff>
      <xdr:row>60</xdr:row>
      <xdr:rowOff>0</xdr:rowOff>
    </xdr:to>
    <xdr:sp macro="" textlink="">
      <xdr:nvSpPr>
        <xdr:cNvPr id="48" name="Line 47">
          <a:extLst>
            <a:ext uri="{FF2B5EF4-FFF2-40B4-BE49-F238E27FC236}">
              <a16:creationId xmlns:a16="http://schemas.microsoft.com/office/drawing/2014/main" id="{00000000-0008-0000-3300-000030000000}"/>
            </a:ext>
          </a:extLst>
        </xdr:cNvPr>
        <xdr:cNvSpPr>
          <a:spLocks noChangeShapeType="1"/>
        </xdr:cNvSpPr>
      </xdr:nvSpPr>
      <xdr:spPr bwMode="auto">
        <a:xfrm>
          <a:off x="11170920" y="108432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51</xdr:row>
      <xdr:rowOff>0</xdr:rowOff>
    </xdr:from>
    <xdr:to>
      <xdr:col>4</xdr:col>
      <xdr:colOff>7620</xdr:colOff>
      <xdr:row>51</xdr:row>
      <xdr:rowOff>0</xdr:rowOff>
    </xdr:to>
    <xdr:sp macro="" textlink="">
      <xdr:nvSpPr>
        <xdr:cNvPr id="49" name="Line 48">
          <a:extLst>
            <a:ext uri="{FF2B5EF4-FFF2-40B4-BE49-F238E27FC236}">
              <a16:creationId xmlns:a16="http://schemas.microsoft.com/office/drawing/2014/main" id="{00000000-0008-0000-3300-000031000000}"/>
            </a:ext>
          </a:extLst>
        </xdr:cNvPr>
        <xdr:cNvSpPr>
          <a:spLocks noChangeShapeType="1"/>
        </xdr:cNvSpPr>
      </xdr:nvSpPr>
      <xdr:spPr bwMode="auto">
        <a:xfrm>
          <a:off x="2689860" y="93345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0" name="Line 49">
          <a:extLst>
            <a:ext uri="{FF2B5EF4-FFF2-40B4-BE49-F238E27FC236}">
              <a16:creationId xmlns:a16="http://schemas.microsoft.com/office/drawing/2014/main" id="{00000000-0008-0000-3300-000032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1" name="Line 50">
          <a:extLst>
            <a:ext uri="{FF2B5EF4-FFF2-40B4-BE49-F238E27FC236}">
              <a16:creationId xmlns:a16="http://schemas.microsoft.com/office/drawing/2014/main" id="{00000000-0008-0000-3300-000033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58</xdr:row>
      <xdr:rowOff>0</xdr:rowOff>
    </xdr:from>
    <xdr:to>
      <xdr:col>4</xdr:col>
      <xdr:colOff>7620</xdr:colOff>
      <xdr:row>58</xdr:row>
      <xdr:rowOff>0</xdr:rowOff>
    </xdr:to>
    <xdr:sp macro="" textlink="">
      <xdr:nvSpPr>
        <xdr:cNvPr id="52" name="Line 51">
          <a:extLst>
            <a:ext uri="{FF2B5EF4-FFF2-40B4-BE49-F238E27FC236}">
              <a16:creationId xmlns:a16="http://schemas.microsoft.com/office/drawing/2014/main" id="{00000000-0008-0000-3300-000034000000}"/>
            </a:ext>
          </a:extLst>
        </xdr:cNvPr>
        <xdr:cNvSpPr>
          <a:spLocks noChangeShapeType="1"/>
        </xdr:cNvSpPr>
      </xdr:nvSpPr>
      <xdr:spPr bwMode="auto">
        <a:xfrm>
          <a:off x="2689860" y="105079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59</xdr:row>
      <xdr:rowOff>0</xdr:rowOff>
    </xdr:from>
    <xdr:to>
      <xdr:col>4</xdr:col>
      <xdr:colOff>7620</xdr:colOff>
      <xdr:row>59</xdr:row>
      <xdr:rowOff>0</xdr:rowOff>
    </xdr:to>
    <xdr:sp macro="" textlink="">
      <xdr:nvSpPr>
        <xdr:cNvPr id="53" name="Line 52">
          <a:extLst>
            <a:ext uri="{FF2B5EF4-FFF2-40B4-BE49-F238E27FC236}">
              <a16:creationId xmlns:a16="http://schemas.microsoft.com/office/drawing/2014/main" id="{00000000-0008-0000-3300-000035000000}"/>
            </a:ext>
          </a:extLst>
        </xdr:cNvPr>
        <xdr:cNvSpPr>
          <a:spLocks noChangeShapeType="1"/>
        </xdr:cNvSpPr>
      </xdr:nvSpPr>
      <xdr:spPr bwMode="auto">
        <a:xfrm>
          <a:off x="2689860" y="106756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60</xdr:row>
      <xdr:rowOff>0</xdr:rowOff>
    </xdr:from>
    <xdr:to>
      <xdr:col>4</xdr:col>
      <xdr:colOff>7620</xdr:colOff>
      <xdr:row>60</xdr:row>
      <xdr:rowOff>0</xdr:rowOff>
    </xdr:to>
    <xdr:sp macro="" textlink="">
      <xdr:nvSpPr>
        <xdr:cNvPr id="54" name="Line 53">
          <a:extLst>
            <a:ext uri="{FF2B5EF4-FFF2-40B4-BE49-F238E27FC236}">
              <a16:creationId xmlns:a16="http://schemas.microsoft.com/office/drawing/2014/main" id="{00000000-0008-0000-3300-000036000000}"/>
            </a:ext>
          </a:extLst>
        </xdr:cNvPr>
        <xdr:cNvSpPr>
          <a:spLocks noChangeShapeType="1"/>
        </xdr:cNvSpPr>
      </xdr:nvSpPr>
      <xdr:spPr bwMode="auto">
        <a:xfrm>
          <a:off x="2689860" y="108432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60</xdr:row>
      <xdr:rowOff>0</xdr:rowOff>
    </xdr:from>
    <xdr:to>
      <xdr:col>6</xdr:col>
      <xdr:colOff>0</xdr:colOff>
      <xdr:row>60</xdr:row>
      <xdr:rowOff>0</xdr:rowOff>
    </xdr:to>
    <xdr:sp macro="" textlink="">
      <xdr:nvSpPr>
        <xdr:cNvPr id="55" name="Line 54">
          <a:extLst>
            <a:ext uri="{FF2B5EF4-FFF2-40B4-BE49-F238E27FC236}">
              <a16:creationId xmlns:a16="http://schemas.microsoft.com/office/drawing/2014/main" id="{00000000-0008-0000-3300-000037000000}"/>
            </a:ext>
          </a:extLst>
        </xdr:cNvPr>
        <xdr:cNvSpPr>
          <a:spLocks noChangeShapeType="1"/>
        </xdr:cNvSpPr>
      </xdr:nvSpPr>
      <xdr:spPr bwMode="auto">
        <a:xfrm>
          <a:off x="4884420" y="108432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29</xdr:row>
      <xdr:rowOff>0</xdr:rowOff>
    </xdr:from>
    <xdr:to>
      <xdr:col>7</xdr:col>
      <xdr:colOff>45720</xdr:colOff>
      <xdr:row>29</xdr:row>
      <xdr:rowOff>0</xdr:rowOff>
    </xdr:to>
    <xdr:sp macro="" textlink="">
      <xdr:nvSpPr>
        <xdr:cNvPr id="56" name="Line 55">
          <a:extLst>
            <a:ext uri="{FF2B5EF4-FFF2-40B4-BE49-F238E27FC236}">
              <a16:creationId xmlns:a16="http://schemas.microsoft.com/office/drawing/2014/main" id="{00000000-0008-0000-3300-000038000000}"/>
            </a:ext>
          </a:extLst>
        </xdr:cNvPr>
        <xdr:cNvSpPr>
          <a:spLocks noChangeShapeType="1"/>
        </xdr:cNvSpPr>
      </xdr:nvSpPr>
      <xdr:spPr bwMode="auto">
        <a:xfrm>
          <a:off x="4884420" y="5524500"/>
          <a:ext cx="12115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42</xdr:row>
      <xdr:rowOff>0</xdr:rowOff>
    </xdr:from>
    <xdr:to>
      <xdr:col>7</xdr:col>
      <xdr:colOff>45720</xdr:colOff>
      <xdr:row>42</xdr:row>
      <xdr:rowOff>0</xdr:rowOff>
    </xdr:to>
    <xdr:sp macro="" textlink="">
      <xdr:nvSpPr>
        <xdr:cNvPr id="57" name="Line 56">
          <a:extLst>
            <a:ext uri="{FF2B5EF4-FFF2-40B4-BE49-F238E27FC236}">
              <a16:creationId xmlns:a16="http://schemas.microsoft.com/office/drawing/2014/main" id="{00000000-0008-0000-3300-000039000000}"/>
            </a:ext>
          </a:extLst>
        </xdr:cNvPr>
        <xdr:cNvSpPr>
          <a:spLocks noChangeShapeType="1"/>
        </xdr:cNvSpPr>
      </xdr:nvSpPr>
      <xdr:spPr bwMode="auto">
        <a:xfrm>
          <a:off x="4884420" y="7703820"/>
          <a:ext cx="12115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7</xdr:col>
      <xdr:colOff>45720</xdr:colOff>
      <xdr:row>57</xdr:row>
      <xdr:rowOff>0</xdr:rowOff>
    </xdr:to>
    <xdr:sp macro="" textlink="">
      <xdr:nvSpPr>
        <xdr:cNvPr id="58" name="Line 57">
          <a:extLst>
            <a:ext uri="{FF2B5EF4-FFF2-40B4-BE49-F238E27FC236}">
              <a16:creationId xmlns:a16="http://schemas.microsoft.com/office/drawing/2014/main" id="{00000000-0008-0000-3300-00003A000000}"/>
            </a:ext>
          </a:extLst>
        </xdr:cNvPr>
        <xdr:cNvSpPr>
          <a:spLocks noChangeShapeType="1"/>
        </xdr:cNvSpPr>
      </xdr:nvSpPr>
      <xdr:spPr bwMode="auto">
        <a:xfrm>
          <a:off x="4884420" y="10340340"/>
          <a:ext cx="12115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69</xdr:row>
      <xdr:rowOff>0</xdr:rowOff>
    </xdr:from>
    <xdr:to>
      <xdr:col>6</xdr:col>
      <xdr:colOff>0</xdr:colOff>
      <xdr:row>69</xdr:row>
      <xdr:rowOff>0</xdr:rowOff>
    </xdr:to>
    <xdr:sp macro="" textlink="">
      <xdr:nvSpPr>
        <xdr:cNvPr id="59" name="Line 58">
          <a:extLst>
            <a:ext uri="{FF2B5EF4-FFF2-40B4-BE49-F238E27FC236}">
              <a16:creationId xmlns:a16="http://schemas.microsoft.com/office/drawing/2014/main" id="{00000000-0008-0000-3300-00003B000000}"/>
            </a:ext>
          </a:extLst>
        </xdr:cNvPr>
        <xdr:cNvSpPr>
          <a:spLocks noChangeShapeType="1"/>
        </xdr:cNvSpPr>
      </xdr:nvSpPr>
      <xdr:spPr bwMode="auto">
        <a:xfrm>
          <a:off x="4884420" y="123520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69</xdr:row>
      <xdr:rowOff>0</xdr:rowOff>
    </xdr:from>
    <xdr:to>
      <xdr:col>14</xdr:col>
      <xdr:colOff>640080</xdr:colOff>
      <xdr:row>69</xdr:row>
      <xdr:rowOff>0</xdr:rowOff>
    </xdr:to>
    <xdr:sp macro="" textlink="">
      <xdr:nvSpPr>
        <xdr:cNvPr id="60" name="Line 59">
          <a:extLst>
            <a:ext uri="{FF2B5EF4-FFF2-40B4-BE49-F238E27FC236}">
              <a16:creationId xmlns:a16="http://schemas.microsoft.com/office/drawing/2014/main" id="{00000000-0008-0000-3300-00003C000000}"/>
            </a:ext>
          </a:extLst>
        </xdr:cNvPr>
        <xdr:cNvSpPr>
          <a:spLocks noChangeShapeType="1"/>
        </xdr:cNvSpPr>
      </xdr:nvSpPr>
      <xdr:spPr bwMode="auto">
        <a:xfrm>
          <a:off x="11170920" y="123520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70</xdr:row>
      <xdr:rowOff>0</xdr:rowOff>
    </xdr:from>
    <xdr:to>
      <xdr:col>6</xdr:col>
      <xdr:colOff>0</xdr:colOff>
      <xdr:row>70</xdr:row>
      <xdr:rowOff>0</xdr:rowOff>
    </xdr:to>
    <xdr:sp macro="" textlink="">
      <xdr:nvSpPr>
        <xdr:cNvPr id="61" name="Line 60">
          <a:extLst>
            <a:ext uri="{FF2B5EF4-FFF2-40B4-BE49-F238E27FC236}">
              <a16:creationId xmlns:a16="http://schemas.microsoft.com/office/drawing/2014/main" id="{00000000-0008-0000-3300-00003D000000}"/>
            </a:ext>
          </a:extLst>
        </xdr:cNvPr>
        <xdr:cNvSpPr>
          <a:spLocks noChangeShapeType="1"/>
        </xdr:cNvSpPr>
      </xdr:nvSpPr>
      <xdr:spPr bwMode="auto">
        <a:xfrm>
          <a:off x="4884420" y="125196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2" name="Line 61">
          <a:extLst>
            <a:ext uri="{FF2B5EF4-FFF2-40B4-BE49-F238E27FC236}">
              <a16:creationId xmlns:a16="http://schemas.microsoft.com/office/drawing/2014/main" id="{00000000-0008-0000-3300-00003E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3" name="Line 62">
          <a:extLst>
            <a:ext uri="{FF2B5EF4-FFF2-40B4-BE49-F238E27FC236}">
              <a16:creationId xmlns:a16="http://schemas.microsoft.com/office/drawing/2014/main" id="{00000000-0008-0000-3300-00003F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62</xdr:row>
      <xdr:rowOff>0</xdr:rowOff>
    </xdr:from>
    <xdr:to>
      <xdr:col>10</xdr:col>
      <xdr:colOff>0</xdr:colOff>
      <xdr:row>62</xdr:row>
      <xdr:rowOff>0</xdr:rowOff>
    </xdr:to>
    <xdr:sp macro="" textlink="">
      <xdr:nvSpPr>
        <xdr:cNvPr id="64" name="Line 63">
          <a:extLst>
            <a:ext uri="{FF2B5EF4-FFF2-40B4-BE49-F238E27FC236}">
              <a16:creationId xmlns:a16="http://schemas.microsoft.com/office/drawing/2014/main" id="{00000000-0008-0000-3300-000040000000}"/>
            </a:ext>
          </a:extLst>
        </xdr:cNvPr>
        <xdr:cNvSpPr>
          <a:spLocks noChangeShapeType="1"/>
        </xdr:cNvSpPr>
      </xdr:nvSpPr>
      <xdr:spPr bwMode="auto">
        <a:xfrm>
          <a:off x="7513320" y="111785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70</xdr:row>
      <xdr:rowOff>0</xdr:rowOff>
    </xdr:from>
    <xdr:to>
      <xdr:col>14</xdr:col>
      <xdr:colOff>640080</xdr:colOff>
      <xdr:row>70</xdr:row>
      <xdr:rowOff>0</xdr:rowOff>
    </xdr:to>
    <xdr:sp macro="" textlink="">
      <xdr:nvSpPr>
        <xdr:cNvPr id="65" name="Line 64">
          <a:extLst>
            <a:ext uri="{FF2B5EF4-FFF2-40B4-BE49-F238E27FC236}">
              <a16:creationId xmlns:a16="http://schemas.microsoft.com/office/drawing/2014/main" id="{00000000-0008-0000-3300-000041000000}"/>
            </a:ext>
          </a:extLst>
        </xdr:cNvPr>
        <xdr:cNvSpPr>
          <a:spLocks noChangeShapeType="1"/>
        </xdr:cNvSpPr>
      </xdr:nvSpPr>
      <xdr:spPr bwMode="auto">
        <a:xfrm>
          <a:off x="11170920" y="1251966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62</xdr:row>
      <xdr:rowOff>0</xdr:rowOff>
    </xdr:from>
    <xdr:to>
      <xdr:col>6</xdr:col>
      <xdr:colOff>0</xdr:colOff>
      <xdr:row>62</xdr:row>
      <xdr:rowOff>0</xdr:rowOff>
    </xdr:to>
    <xdr:sp macro="" textlink="">
      <xdr:nvSpPr>
        <xdr:cNvPr id="66" name="Line 65">
          <a:extLst>
            <a:ext uri="{FF2B5EF4-FFF2-40B4-BE49-F238E27FC236}">
              <a16:creationId xmlns:a16="http://schemas.microsoft.com/office/drawing/2014/main" id="{00000000-0008-0000-3300-000042000000}"/>
            </a:ext>
          </a:extLst>
        </xdr:cNvPr>
        <xdr:cNvSpPr>
          <a:spLocks noChangeShapeType="1"/>
        </xdr:cNvSpPr>
      </xdr:nvSpPr>
      <xdr:spPr bwMode="auto">
        <a:xfrm>
          <a:off x="4884420" y="111785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62</xdr:row>
      <xdr:rowOff>0</xdr:rowOff>
    </xdr:from>
    <xdr:to>
      <xdr:col>4</xdr:col>
      <xdr:colOff>7620</xdr:colOff>
      <xdr:row>62</xdr:row>
      <xdr:rowOff>0</xdr:rowOff>
    </xdr:to>
    <xdr:sp macro="" textlink="">
      <xdr:nvSpPr>
        <xdr:cNvPr id="67" name="Line 66">
          <a:extLst>
            <a:ext uri="{FF2B5EF4-FFF2-40B4-BE49-F238E27FC236}">
              <a16:creationId xmlns:a16="http://schemas.microsoft.com/office/drawing/2014/main" id="{00000000-0008-0000-3300-000043000000}"/>
            </a:ext>
          </a:extLst>
        </xdr:cNvPr>
        <xdr:cNvSpPr>
          <a:spLocks noChangeShapeType="1"/>
        </xdr:cNvSpPr>
      </xdr:nvSpPr>
      <xdr:spPr bwMode="auto">
        <a:xfrm>
          <a:off x="2689860" y="11178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8" name="Line 67">
          <a:extLst>
            <a:ext uri="{FF2B5EF4-FFF2-40B4-BE49-F238E27FC236}">
              <a16:creationId xmlns:a16="http://schemas.microsoft.com/office/drawing/2014/main" id="{00000000-0008-0000-3300-000044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69" name="Line 68">
          <a:extLst>
            <a:ext uri="{FF2B5EF4-FFF2-40B4-BE49-F238E27FC236}">
              <a16:creationId xmlns:a16="http://schemas.microsoft.com/office/drawing/2014/main" id="{00000000-0008-0000-3300-000045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0" name="Line 69">
          <a:extLst>
            <a:ext uri="{FF2B5EF4-FFF2-40B4-BE49-F238E27FC236}">
              <a16:creationId xmlns:a16="http://schemas.microsoft.com/office/drawing/2014/main" id="{00000000-0008-0000-3300-000046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69</xdr:row>
      <xdr:rowOff>0</xdr:rowOff>
    </xdr:from>
    <xdr:to>
      <xdr:col>4</xdr:col>
      <xdr:colOff>7620</xdr:colOff>
      <xdr:row>69</xdr:row>
      <xdr:rowOff>0</xdr:rowOff>
    </xdr:to>
    <xdr:sp macro="" textlink="">
      <xdr:nvSpPr>
        <xdr:cNvPr id="71" name="Line 70">
          <a:extLst>
            <a:ext uri="{FF2B5EF4-FFF2-40B4-BE49-F238E27FC236}">
              <a16:creationId xmlns:a16="http://schemas.microsoft.com/office/drawing/2014/main" id="{00000000-0008-0000-3300-000047000000}"/>
            </a:ext>
          </a:extLst>
        </xdr:cNvPr>
        <xdr:cNvSpPr>
          <a:spLocks noChangeShapeType="1"/>
        </xdr:cNvSpPr>
      </xdr:nvSpPr>
      <xdr:spPr bwMode="auto">
        <a:xfrm>
          <a:off x="2689860" y="12352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68</xdr:row>
      <xdr:rowOff>0</xdr:rowOff>
    </xdr:from>
    <xdr:to>
      <xdr:col>7</xdr:col>
      <xdr:colOff>45720</xdr:colOff>
      <xdr:row>68</xdr:row>
      <xdr:rowOff>0</xdr:rowOff>
    </xdr:to>
    <xdr:sp macro="" textlink="">
      <xdr:nvSpPr>
        <xdr:cNvPr id="72" name="Line 71">
          <a:extLst>
            <a:ext uri="{FF2B5EF4-FFF2-40B4-BE49-F238E27FC236}">
              <a16:creationId xmlns:a16="http://schemas.microsoft.com/office/drawing/2014/main" id="{00000000-0008-0000-3300-000048000000}"/>
            </a:ext>
          </a:extLst>
        </xdr:cNvPr>
        <xdr:cNvSpPr>
          <a:spLocks noChangeShapeType="1"/>
        </xdr:cNvSpPr>
      </xdr:nvSpPr>
      <xdr:spPr bwMode="auto">
        <a:xfrm>
          <a:off x="4884420" y="12184380"/>
          <a:ext cx="12115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70</xdr:row>
      <xdr:rowOff>0</xdr:rowOff>
    </xdr:from>
    <xdr:to>
      <xdr:col>4</xdr:col>
      <xdr:colOff>7620</xdr:colOff>
      <xdr:row>70</xdr:row>
      <xdr:rowOff>0</xdr:rowOff>
    </xdr:to>
    <xdr:sp macro="" textlink="">
      <xdr:nvSpPr>
        <xdr:cNvPr id="73" name="Line 72">
          <a:extLst>
            <a:ext uri="{FF2B5EF4-FFF2-40B4-BE49-F238E27FC236}">
              <a16:creationId xmlns:a16="http://schemas.microsoft.com/office/drawing/2014/main" id="{00000000-0008-0000-3300-000049000000}"/>
            </a:ext>
          </a:extLst>
        </xdr:cNvPr>
        <xdr:cNvSpPr>
          <a:spLocks noChangeShapeType="1"/>
        </xdr:cNvSpPr>
      </xdr:nvSpPr>
      <xdr:spPr bwMode="auto">
        <a:xfrm>
          <a:off x="2689860" y="12519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79</xdr:row>
      <xdr:rowOff>0</xdr:rowOff>
    </xdr:from>
    <xdr:to>
      <xdr:col>6</xdr:col>
      <xdr:colOff>0</xdr:colOff>
      <xdr:row>79</xdr:row>
      <xdr:rowOff>0</xdr:rowOff>
    </xdr:to>
    <xdr:sp macro="" textlink="">
      <xdr:nvSpPr>
        <xdr:cNvPr id="74" name="Line 73">
          <a:extLst>
            <a:ext uri="{FF2B5EF4-FFF2-40B4-BE49-F238E27FC236}">
              <a16:creationId xmlns:a16="http://schemas.microsoft.com/office/drawing/2014/main" id="{00000000-0008-0000-3300-00004A000000}"/>
            </a:ext>
          </a:extLst>
        </xdr:cNvPr>
        <xdr:cNvSpPr>
          <a:spLocks noChangeShapeType="1"/>
        </xdr:cNvSpPr>
      </xdr:nvSpPr>
      <xdr:spPr bwMode="auto">
        <a:xfrm>
          <a:off x="4884420" y="140284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0</xdr:colOff>
      <xdr:row>79</xdr:row>
      <xdr:rowOff>0</xdr:rowOff>
    </xdr:from>
    <xdr:to>
      <xdr:col>14</xdr:col>
      <xdr:colOff>640080</xdr:colOff>
      <xdr:row>79</xdr:row>
      <xdr:rowOff>0</xdr:rowOff>
    </xdr:to>
    <xdr:sp macro="" textlink="">
      <xdr:nvSpPr>
        <xdr:cNvPr id="75" name="Line 74">
          <a:extLst>
            <a:ext uri="{FF2B5EF4-FFF2-40B4-BE49-F238E27FC236}">
              <a16:creationId xmlns:a16="http://schemas.microsoft.com/office/drawing/2014/main" id="{00000000-0008-0000-3300-00004B000000}"/>
            </a:ext>
          </a:extLst>
        </xdr:cNvPr>
        <xdr:cNvSpPr>
          <a:spLocks noChangeShapeType="1"/>
        </xdr:cNvSpPr>
      </xdr:nvSpPr>
      <xdr:spPr bwMode="auto">
        <a:xfrm>
          <a:off x="11170920" y="14028420"/>
          <a:ext cx="6400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6" name="Line 75">
          <a:extLst>
            <a:ext uri="{FF2B5EF4-FFF2-40B4-BE49-F238E27FC236}">
              <a16:creationId xmlns:a16="http://schemas.microsoft.com/office/drawing/2014/main" id="{00000000-0008-0000-3300-00004C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77" name="Line 76">
          <a:extLst>
            <a:ext uri="{FF2B5EF4-FFF2-40B4-BE49-F238E27FC236}">
              <a16:creationId xmlns:a16="http://schemas.microsoft.com/office/drawing/2014/main" id="{00000000-0008-0000-3300-00004D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72</xdr:row>
      <xdr:rowOff>0</xdr:rowOff>
    </xdr:from>
    <xdr:to>
      <xdr:col>10</xdr:col>
      <xdr:colOff>0</xdr:colOff>
      <xdr:row>72</xdr:row>
      <xdr:rowOff>0</xdr:rowOff>
    </xdr:to>
    <xdr:sp macro="" textlink="">
      <xdr:nvSpPr>
        <xdr:cNvPr id="78" name="Line 77">
          <a:extLst>
            <a:ext uri="{FF2B5EF4-FFF2-40B4-BE49-F238E27FC236}">
              <a16:creationId xmlns:a16="http://schemas.microsoft.com/office/drawing/2014/main" id="{00000000-0008-0000-3300-00004E000000}"/>
            </a:ext>
          </a:extLst>
        </xdr:cNvPr>
        <xdr:cNvSpPr>
          <a:spLocks noChangeShapeType="1"/>
        </xdr:cNvSpPr>
      </xdr:nvSpPr>
      <xdr:spPr bwMode="auto">
        <a:xfrm>
          <a:off x="7513320" y="128549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79" name="Line 78">
          <a:extLst>
            <a:ext uri="{FF2B5EF4-FFF2-40B4-BE49-F238E27FC236}">
              <a16:creationId xmlns:a16="http://schemas.microsoft.com/office/drawing/2014/main" id="{00000000-0008-0000-3300-00004F000000}"/>
            </a:ext>
          </a:extLst>
        </xdr:cNvPr>
        <xdr:cNvSpPr>
          <a:spLocks noChangeShapeType="1"/>
        </xdr:cNvSpPr>
      </xdr:nvSpPr>
      <xdr:spPr bwMode="auto">
        <a:xfrm>
          <a:off x="4884420" y="1285494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72</xdr:row>
      <xdr:rowOff>0</xdr:rowOff>
    </xdr:from>
    <xdr:to>
      <xdr:col>4</xdr:col>
      <xdr:colOff>7620</xdr:colOff>
      <xdr:row>72</xdr:row>
      <xdr:rowOff>0</xdr:rowOff>
    </xdr:to>
    <xdr:sp macro="" textlink="">
      <xdr:nvSpPr>
        <xdr:cNvPr id="80" name="Line 79">
          <a:extLst>
            <a:ext uri="{FF2B5EF4-FFF2-40B4-BE49-F238E27FC236}">
              <a16:creationId xmlns:a16="http://schemas.microsoft.com/office/drawing/2014/main" id="{00000000-0008-0000-3300-000050000000}"/>
            </a:ext>
          </a:extLst>
        </xdr:cNvPr>
        <xdr:cNvSpPr>
          <a:spLocks noChangeShapeType="1"/>
        </xdr:cNvSpPr>
      </xdr:nvSpPr>
      <xdr:spPr bwMode="auto">
        <a:xfrm>
          <a:off x="2689860" y="128549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1" name="Line 80">
          <a:extLst>
            <a:ext uri="{FF2B5EF4-FFF2-40B4-BE49-F238E27FC236}">
              <a16:creationId xmlns:a16="http://schemas.microsoft.com/office/drawing/2014/main" id="{00000000-0008-0000-3300-000051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2" name="Line 81">
          <a:extLst>
            <a:ext uri="{FF2B5EF4-FFF2-40B4-BE49-F238E27FC236}">
              <a16:creationId xmlns:a16="http://schemas.microsoft.com/office/drawing/2014/main" id="{00000000-0008-0000-3300-000052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3" name="Line 82">
          <a:extLst>
            <a:ext uri="{FF2B5EF4-FFF2-40B4-BE49-F238E27FC236}">
              <a16:creationId xmlns:a16="http://schemas.microsoft.com/office/drawing/2014/main" id="{00000000-0008-0000-3300-000053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79</xdr:row>
      <xdr:rowOff>0</xdr:rowOff>
    </xdr:from>
    <xdr:to>
      <xdr:col>4</xdr:col>
      <xdr:colOff>7620</xdr:colOff>
      <xdr:row>79</xdr:row>
      <xdr:rowOff>0</xdr:rowOff>
    </xdr:to>
    <xdr:sp macro="" textlink="">
      <xdr:nvSpPr>
        <xdr:cNvPr id="84" name="Line 83">
          <a:extLst>
            <a:ext uri="{FF2B5EF4-FFF2-40B4-BE49-F238E27FC236}">
              <a16:creationId xmlns:a16="http://schemas.microsoft.com/office/drawing/2014/main" id="{00000000-0008-0000-3300-000054000000}"/>
            </a:ext>
          </a:extLst>
        </xdr:cNvPr>
        <xdr:cNvSpPr>
          <a:spLocks noChangeShapeType="1"/>
        </xdr:cNvSpPr>
      </xdr:nvSpPr>
      <xdr:spPr bwMode="auto">
        <a:xfrm>
          <a:off x="2689860" y="140284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78</xdr:row>
      <xdr:rowOff>0</xdr:rowOff>
    </xdr:from>
    <xdr:to>
      <xdr:col>7</xdr:col>
      <xdr:colOff>45720</xdr:colOff>
      <xdr:row>78</xdr:row>
      <xdr:rowOff>0</xdr:rowOff>
    </xdr:to>
    <xdr:sp macro="" textlink="">
      <xdr:nvSpPr>
        <xdr:cNvPr id="85" name="Line 84">
          <a:extLst>
            <a:ext uri="{FF2B5EF4-FFF2-40B4-BE49-F238E27FC236}">
              <a16:creationId xmlns:a16="http://schemas.microsoft.com/office/drawing/2014/main" id="{00000000-0008-0000-3300-000055000000}"/>
            </a:ext>
          </a:extLst>
        </xdr:cNvPr>
        <xdr:cNvSpPr>
          <a:spLocks noChangeShapeType="1"/>
        </xdr:cNvSpPr>
      </xdr:nvSpPr>
      <xdr:spPr bwMode="auto">
        <a:xfrm>
          <a:off x="4884420" y="13860780"/>
          <a:ext cx="12115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86" name="Line 85">
          <a:extLst>
            <a:ext uri="{FF2B5EF4-FFF2-40B4-BE49-F238E27FC236}">
              <a16:creationId xmlns:a16="http://schemas.microsoft.com/office/drawing/2014/main" id="{00000000-0008-0000-3300-000056000000}"/>
            </a:ext>
          </a:extLst>
        </xdr:cNvPr>
        <xdr:cNvSpPr>
          <a:spLocks noChangeShapeType="1"/>
        </xdr:cNvSpPr>
      </xdr:nvSpPr>
      <xdr:spPr bwMode="auto">
        <a:xfrm>
          <a:off x="751332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87" name="Line 86">
          <a:extLst>
            <a:ext uri="{FF2B5EF4-FFF2-40B4-BE49-F238E27FC236}">
              <a16:creationId xmlns:a16="http://schemas.microsoft.com/office/drawing/2014/main" id="{00000000-0008-0000-3300-0000570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88" name="Line 87">
          <a:extLst>
            <a:ext uri="{FF2B5EF4-FFF2-40B4-BE49-F238E27FC236}">
              <a16:creationId xmlns:a16="http://schemas.microsoft.com/office/drawing/2014/main" id="{00000000-0008-0000-3300-0000580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89" name="Line 88">
          <a:extLst>
            <a:ext uri="{FF2B5EF4-FFF2-40B4-BE49-F238E27FC236}">
              <a16:creationId xmlns:a16="http://schemas.microsoft.com/office/drawing/2014/main" id="{00000000-0008-0000-3300-000059000000}"/>
            </a:ext>
          </a:extLst>
        </xdr:cNvPr>
        <xdr:cNvSpPr>
          <a:spLocks noChangeShapeType="1"/>
        </xdr:cNvSpPr>
      </xdr:nvSpPr>
      <xdr:spPr bwMode="auto">
        <a:xfrm>
          <a:off x="4884420" y="15369540"/>
          <a:ext cx="12115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44</xdr:row>
      <xdr:rowOff>0</xdr:rowOff>
    </xdr:from>
    <xdr:to>
      <xdr:col>6</xdr:col>
      <xdr:colOff>0</xdr:colOff>
      <xdr:row>44</xdr:row>
      <xdr:rowOff>0</xdr:rowOff>
    </xdr:to>
    <xdr:sp macro="" textlink="">
      <xdr:nvSpPr>
        <xdr:cNvPr id="90" name="Line 89">
          <a:extLst>
            <a:ext uri="{FF2B5EF4-FFF2-40B4-BE49-F238E27FC236}">
              <a16:creationId xmlns:a16="http://schemas.microsoft.com/office/drawing/2014/main" id="{00000000-0008-0000-3300-00005A000000}"/>
            </a:ext>
          </a:extLst>
        </xdr:cNvPr>
        <xdr:cNvSpPr>
          <a:spLocks noChangeShapeType="1"/>
        </xdr:cNvSpPr>
      </xdr:nvSpPr>
      <xdr:spPr bwMode="auto">
        <a:xfrm>
          <a:off x="4884420" y="80391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43</xdr:row>
      <xdr:rowOff>0</xdr:rowOff>
    </xdr:from>
    <xdr:to>
      <xdr:col>6</xdr:col>
      <xdr:colOff>0</xdr:colOff>
      <xdr:row>43</xdr:row>
      <xdr:rowOff>0</xdr:rowOff>
    </xdr:to>
    <xdr:sp macro="" textlink="">
      <xdr:nvSpPr>
        <xdr:cNvPr id="91" name="Line 90">
          <a:extLst>
            <a:ext uri="{FF2B5EF4-FFF2-40B4-BE49-F238E27FC236}">
              <a16:creationId xmlns:a16="http://schemas.microsoft.com/office/drawing/2014/main" id="{00000000-0008-0000-3300-00005B000000}"/>
            </a:ext>
          </a:extLst>
        </xdr:cNvPr>
        <xdr:cNvSpPr>
          <a:spLocks noChangeShapeType="1"/>
        </xdr:cNvSpPr>
      </xdr:nvSpPr>
      <xdr:spPr bwMode="auto">
        <a:xfrm>
          <a:off x="4884420" y="787146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59</xdr:row>
      <xdr:rowOff>0</xdr:rowOff>
    </xdr:from>
    <xdr:to>
      <xdr:col>6</xdr:col>
      <xdr:colOff>0</xdr:colOff>
      <xdr:row>59</xdr:row>
      <xdr:rowOff>0</xdr:rowOff>
    </xdr:to>
    <xdr:sp macro="" textlink="">
      <xdr:nvSpPr>
        <xdr:cNvPr id="92" name="Line 91">
          <a:extLst>
            <a:ext uri="{FF2B5EF4-FFF2-40B4-BE49-F238E27FC236}">
              <a16:creationId xmlns:a16="http://schemas.microsoft.com/office/drawing/2014/main" id="{00000000-0008-0000-3300-00005C000000}"/>
            </a:ext>
          </a:extLst>
        </xdr:cNvPr>
        <xdr:cNvSpPr>
          <a:spLocks noChangeShapeType="1"/>
        </xdr:cNvSpPr>
      </xdr:nvSpPr>
      <xdr:spPr bwMode="auto">
        <a:xfrm>
          <a:off x="4884420" y="1067562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58</xdr:row>
      <xdr:rowOff>0</xdr:rowOff>
    </xdr:from>
    <xdr:to>
      <xdr:col>6</xdr:col>
      <xdr:colOff>0</xdr:colOff>
      <xdr:row>58</xdr:row>
      <xdr:rowOff>0</xdr:rowOff>
    </xdr:to>
    <xdr:sp macro="" textlink="">
      <xdr:nvSpPr>
        <xdr:cNvPr id="93" name="Line 92">
          <a:extLst>
            <a:ext uri="{FF2B5EF4-FFF2-40B4-BE49-F238E27FC236}">
              <a16:creationId xmlns:a16="http://schemas.microsoft.com/office/drawing/2014/main" id="{00000000-0008-0000-3300-00005D000000}"/>
            </a:ext>
          </a:extLst>
        </xdr:cNvPr>
        <xdr:cNvSpPr>
          <a:spLocks noChangeShapeType="1"/>
        </xdr:cNvSpPr>
      </xdr:nvSpPr>
      <xdr:spPr bwMode="auto">
        <a:xfrm>
          <a:off x="4884420" y="1050798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31</xdr:row>
      <xdr:rowOff>0</xdr:rowOff>
    </xdr:from>
    <xdr:to>
      <xdr:col>10</xdr:col>
      <xdr:colOff>0</xdr:colOff>
      <xdr:row>31</xdr:row>
      <xdr:rowOff>0</xdr:rowOff>
    </xdr:to>
    <xdr:sp macro="" textlink="">
      <xdr:nvSpPr>
        <xdr:cNvPr id="94" name="Line 93">
          <a:extLst>
            <a:ext uri="{FF2B5EF4-FFF2-40B4-BE49-F238E27FC236}">
              <a16:creationId xmlns:a16="http://schemas.microsoft.com/office/drawing/2014/main" id="{00000000-0008-0000-3300-00005E000000}"/>
            </a:ext>
          </a:extLst>
        </xdr:cNvPr>
        <xdr:cNvSpPr>
          <a:spLocks noChangeShapeType="1"/>
        </xdr:cNvSpPr>
      </xdr:nvSpPr>
      <xdr:spPr bwMode="auto">
        <a:xfrm>
          <a:off x="7513320" y="58597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0</xdr:rowOff>
    </xdr:from>
    <xdr:to>
      <xdr:col>10</xdr:col>
      <xdr:colOff>0</xdr:colOff>
      <xdr:row>30</xdr:row>
      <xdr:rowOff>0</xdr:rowOff>
    </xdr:to>
    <xdr:sp macro="" textlink="">
      <xdr:nvSpPr>
        <xdr:cNvPr id="95" name="Line 94">
          <a:extLst>
            <a:ext uri="{FF2B5EF4-FFF2-40B4-BE49-F238E27FC236}">
              <a16:creationId xmlns:a16="http://schemas.microsoft.com/office/drawing/2014/main" id="{00000000-0008-0000-3300-00005F000000}"/>
            </a:ext>
          </a:extLst>
        </xdr:cNvPr>
        <xdr:cNvSpPr>
          <a:spLocks noChangeShapeType="1"/>
        </xdr:cNvSpPr>
      </xdr:nvSpPr>
      <xdr:spPr bwMode="auto">
        <a:xfrm>
          <a:off x="7513320" y="569214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44</xdr:row>
      <xdr:rowOff>0</xdr:rowOff>
    </xdr:from>
    <xdr:to>
      <xdr:col>10</xdr:col>
      <xdr:colOff>0</xdr:colOff>
      <xdr:row>44</xdr:row>
      <xdr:rowOff>0</xdr:rowOff>
    </xdr:to>
    <xdr:sp macro="" textlink="">
      <xdr:nvSpPr>
        <xdr:cNvPr id="96" name="Line 95">
          <a:extLst>
            <a:ext uri="{FF2B5EF4-FFF2-40B4-BE49-F238E27FC236}">
              <a16:creationId xmlns:a16="http://schemas.microsoft.com/office/drawing/2014/main" id="{00000000-0008-0000-3300-000060000000}"/>
            </a:ext>
          </a:extLst>
        </xdr:cNvPr>
        <xdr:cNvSpPr>
          <a:spLocks noChangeShapeType="1"/>
        </xdr:cNvSpPr>
      </xdr:nvSpPr>
      <xdr:spPr bwMode="auto">
        <a:xfrm>
          <a:off x="7513320" y="80391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43</xdr:row>
      <xdr:rowOff>0</xdr:rowOff>
    </xdr:from>
    <xdr:to>
      <xdr:col>10</xdr:col>
      <xdr:colOff>0</xdr:colOff>
      <xdr:row>43</xdr:row>
      <xdr:rowOff>0</xdr:rowOff>
    </xdr:to>
    <xdr:sp macro="" textlink="">
      <xdr:nvSpPr>
        <xdr:cNvPr id="97" name="Line 96">
          <a:extLst>
            <a:ext uri="{FF2B5EF4-FFF2-40B4-BE49-F238E27FC236}">
              <a16:creationId xmlns:a16="http://schemas.microsoft.com/office/drawing/2014/main" id="{00000000-0008-0000-3300-000061000000}"/>
            </a:ext>
          </a:extLst>
        </xdr:cNvPr>
        <xdr:cNvSpPr>
          <a:spLocks noChangeShapeType="1"/>
        </xdr:cNvSpPr>
      </xdr:nvSpPr>
      <xdr:spPr bwMode="auto">
        <a:xfrm>
          <a:off x="7513320" y="78714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10</xdr:col>
      <xdr:colOff>0</xdr:colOff>
      <xdr:row>59</xdr:row>
      <xdr:rowOff>0</xdr:rowOff>
    </xdr:to>
    <xdr:sp macro="" textlink="">
      <xdr:nvSpPr>
        <xdr:cNvPr id="98" name="Line 97">
          <a:extLst>
            <a:ext uri="{FF2B5EF4-FFF2-40B4-BE49-F238E27FC236}">
              <a16:creationId xmlns:a16="http://schemas.microsoft.com/office/drawing/2014/main" id="{00000000-0008-0000-3300-000062000000}"/>
            </a:ext>
          </a:extLst>
        </xdr:cNvPr>
        <xdr:cNvSpPr>
          <a:spLocks noChangeShapeType="1"/>
        </xdr:cNvSpPr>
      </xdr:nvSpPr>
      <xdr:spPr bwMode="auto">
        <a:xfrm>
          <a:off x="7513320" y="106756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58</xdr:row>
      <xdr:rowOff>0</xdr:rowOff>
    </xdr:from>
    <xdr:to>
      <xdr:col>10</xdr:col>
      <xdr:colOff>0</xdr:colOff>
      <xdr:row>58</xdr:row>
      <xdr:rowOff>0</xdr:rowOff>
    </xdr:to>
    <xdr:sp macro="" textlink="">
      <xdr:nvSpPr>
        <xdr:cNvPr id="99" name="Line 98">
          <a:extLst>
            <a:ext uri="{FF2B5EF4-FFF2-40B4-BE49-F238E27FC236}">
              <a16:creationId xmlns:a16="http://schemas.microsoft.com/office/drawing/2014/main" id="{00000000-0008-0000-3300-000063000000}"/>
            </a:ext>
          </a:extLst>
        </xdr:cNvPr>
        <xdr:cNvSpPr>
          <a:spLocks noChangeShapeType="1"/>
        </xdr:cNvSpPr>
      </xdr:nvSpPr>
      <xdr:spPr bwMode="auto">
        <a:xfrm>
          <a:off x="7513320" y="1050798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70</xdr:row>
      <xdr:rowOff>0</xdr:rowOff>
    </xdr:from>
    <xdr:to>
      <xdr:col>10</xdr:col>
      <xdr:colOff>0</xdr:colOff>
      <xdr:row>70</xdr:row>
      <xdr:rowOff>0</xdr:rowOff>
    </xdr:to>
    <xdr:sp macro="" textlink="">
      <xdr:nvSpPr>
        <xdr:cNvPr id="100" name="Line 99">
          <a:extLst>
            <a:ext uri="{FF2B5EF4-FFF2-40B4-BE49-F238E27FC236}">
              <a16:creationId xmlns:a16="http://schemas.microsoft.com/office/drawing/2014/main" id="{00000000-0008-0000-3300-000064000000}"/>
            </a:ext>
          </a:extLst>
        </xdr:cNvPr>
        <xdr:cNvSpPr>
          <a:spLocks noChangeShapeType="1"/>
        </xdr:cNvSpPr>
      </xdr:nvSpPr>
      <xdr:spPr bwMode="auto">
        <a:xfrm>
          <a:off x="7513320" y="1251966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69</xdr:row>
      <xdr:rowOff>0</xdr:rowOff>
    </xdr:from>
    <xdr:to>
      <xdr:col>10</xdr:col>
      <xdr:colOff>0</xdr:colOff>
      <xdr:row>69</xdr:row>
      <xdr:rowOff>0</xdr:rowOff>
    </xdr:to>
    <xdr:sp macro="" textlink="">
      <xdr:nvSpPr>
        <xdr:cNvPr id="101" name="Line 100">
          <a:extLst>
            <a:ext uri="{FF2B5EF4-FFF2-40B4-BE49-F238E27FC236}">
              <a16:creationId xmlns:a16="http://schemas.microsoft.com/office/drawing/2014/main" id="{00000000-0008-0000-3300-000065000000}"/>
            </a:ext>
          </a:extLst>
        </xdr:cNvPr>
        <xdr:cNvSpPr>
          <a:spLocks noChangeShapeType="1"/>
        </xdr:cNvSpPr>
      </xdr:nvSpPr>
      <xdr:spPr bwMode="auto">
        <a:xfrm>
          <a:off x="7513320" y="123520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79</xdr:row>
      <xdr:rowOff>0</xdr:rowOff>
    </xdr:from>
    <xdr:to>
      <xdr:col>10</xdr:col>
      <xdr:colOff>0</xdr:colOff>
      <xdr:row>79</xdr:row>
      <xdr:rowOff>0</xdr:rowOff>
    </xdr:to>
    <xdr:sp macro="" textlink="">
      <xdr:nvSpPr>
        <xdr:cNvPr id="102" name="Line 101">
          <a:extLst>
            <a:ext uri="{FF2B5EF4-FFF2-40B4-BE49-F238E27FC236}">
              <a16:creationId xmlns:a16="http://schemas.microsoft.com/office/drawing/2014/main" id="{00000000-0008-0000-3300-000066000000}"/>
            </a:ext>
          </a:extLst>
        </xdr:cNvPr>
        <xdr:cNvSpPr>
          <a:spLocks noChangeShapeType="1"/>
        </xdr:cNvSpPr>
      </xdr:nvSpPr>
      <xdr:spPr bwMode="auto">
        <a:xfrm>
          <a:off x="7513320" y="1402842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3" name="Line 103">
          <a:extLst>
            <a:ext uri="{FF2B5EF4-FFF2-40B4-BE49-F238E27FC236}">
              <a16:creationId xmlns:a16="http://schemas.microsoft.com/office/drawing/2014/main" id="{00000000-0008-0000-3300-0000670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4" name="Line 107">
          <a:extLst>
            <a:ext uri="{FF2B5EF4-FFF2-40B4-BE49-F238E27FC236}">
              <a16:creationId xmlns:a16="http://schemas.microsoft.com/office/drawing/2014/main" id="{00000000-0008-0000-3300-000068000000}"/>
            </a:ext>
          </a:extLst>
        </xdr:cNvPr>
        <xdr:cNvSpPr>
          <a:spLocks noChangeShapeType="1"/>
        </xdr:cNvSpPr>
      </xdr:nvSpPr>
      <xdr:spPr bwMode="auto">
        <a:xfrm>
          <a:off x="751332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05" name="Line 108">
          <a:extLst>
            <a:ext uri="{FF2B5EF4-FFF2-40B4-BE49-F238E27FC236}">
              <a16:creationId xmlns:a16="http://schemas.microsoft.com/office/drawing/2014/main" id="{00000000-0008-0000-3300-0000690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06" name="Line 109">
          <a:extLst>
            <a:ext uri="{FF2B5EF4-FFF2-40B4-BE49-F238E27FC236}">
              <a16:creationId xmlns:a16="http://schemas.microsoft.com/office/drawing/2014/main" id="{00000000-0008-0000-3300-00006A0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07" name="Line 110">
          <a:extLst>
            <a:ext uri="{FF2B5EF4-FFF2-40B4-BE49-F238E27FC236}">
              <a16:creationId xmlns:a16="http://schemas.microsoft.com/office/drawing/2014/main" id="{00000000-0008-0000-3300-00006B000000}"/>
            </a:ext>
          </a:extLst>
        </xdr:cNvPr>
        <xdr:cNvSpPr>
          <a:spLocks noChangeShapeType="1"/>
        </xdr:cNvSpPr>
      </xdr:nvSpPr>
      <xdr:spPr bwMode="auto">
        <a:xfrm>
          <a:off x="4884420" y="15369540"/>
          <a:ext cx="12115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08" name="Line 111">
          <a:extLst>
            <a:ext uri="{FF2B5EF4-FFF2-40B4-BE49-F238E27FC236}">
              <a16:creationId xmlns:a16="http://schemas.microsoft.com/office/drawing/2014/main" id="{00000000-0008-0000-3300-00006C0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81</xdr:row>
      <xdr:rowOff>0</xdr:rowOff>
    </xdr:from>
    <xdr:to>
      <xdr:col>10</xdr:col>
      <xdr:colOff>0</xdr:colOff>
      <xdr:row>81</xdr:row>
      <xdr:rowOff>0</xdr:rowOff>
    </xdr:to>
    <xdr:sp macro="" textlink="">
      <xdr:nvSpPr>
        <xdr:cNvPr id="109" name="Line 112">
          <a:extLst>
            <a:ext uri="{FF2B5EF4-FFF2-40B4-BE49-F238E27FC236}">
              <a16:creationId xmlns:a16="http://schemas.microsoft.com/office/drawing/2014/main" id="{00000000-0008-0000-3300-00006D000000}"/>
            </a:ext>
          </a:extLst>
        </xdr:cNvPr>
        <xdr:cNvSpPr>
          <a:spLocks noChangeShapeType="1"/>
        </xdr:cNvSpPr>
      </xdr:nvSpPr>
      <xdr:spPr bwMode="auto">
        <a:xfrm>
          <a:off x="7513320" y="14363700"/>
          <a:ext cx="7315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81</xdr:row>
      <xdr:rowOff>0</xdr:rowOff>
    </xdr:from>
    <xdr:to>
      <xdr:col>6</xdr:col>
      <xdr:colOff>0</xdr:colOff>
      <xdr:row>81</xdr:row>
      <xdr:rowOff>0</xdr:rowOff>
    </xdr:to>
    <xdr:sp macro="" textlink="">
      <xdr:nvSpPr>
        <xdr:cNvPr id="110" name="Line 113">
          <a:extLst>
            <a:ext uri="{FF2B5EF4-FFF2-40B4-BE49-F238E27FC236}">
              <a16:creationId xmlns:a16="http://schemas.microsoft.com/office/drawing/2014/main" id="{00000000-0008-0000-3300-00006E000000}"/>
            </a:ext>
          </a:extLst>
        </xdr:cNvPr>
        <xdr:cNvSpPr>
          <a:spLocks noChangeShapeType="1"/>
        </xdr:cNvSpPr>
      </xdr:nvSpPr>
      <xdr:spPr bwMode="auto">
        <a:xfrm>
          <a:off x="4884420" y="143637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81</xdr:row>
      <xdr:rowOff>0</xdr:rowOff>
    </xdr:from>
    <xdr:to>
      <xdr:col>4</xdr:col>
      <xdr:colOff>7620</xdr:colOff>
      <xdr:row>81</xdr:row>
      <xdr:rowOff>0</xdr:rowOff>
    </xdr:to>
    <xdr:sp macro="" textlink="">
      <xdr:nvSpPr>
        <xdr:cNvPr id="111" name="Line 114">
          <a:extLst>
            <a:ext uri="{FF2B5EF4-FFF2-40B4-BE49-F238E27FC236}">
              <a16:creationId xmlns:a16="http://schemas.microsoft.com/office/drawing/2014/main" id="{00000000-0008-0000-3300-00006F000000}"/>
            </a:ext>
          </a:extLst>
        </xdr:cNvPr>
        <xdr:cNvSpPr>
          <a:spLocks noChangeShapeType="1"/>
        </xdr:cNvSpPr>
      </xdr:nvSpPr>
      <xdr:spPr bwMode="auto">
        <a:xfrm>
          <a:off x="2689860" y="14363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87</xdr:row>
      <xdr:rowOff>0</xdr:rowOff>
    </xdr:from>
    <xdr:to>
      <xdr:col>7</xdr:col>
      <xdr:colOff>45720</xdr:colOff>
      <xdr:row>87</xdr:row>
      <xdr:rowOff>0</xdr:rowOff>
    </xdr:to>
    <xdr:sp macro="" textlink="">
      <xdr:nvSpPr>
        <xdr:cNvPr id="112" name="Line 115">
          <a:extLst>
            <a:ext uri="{FF2B5EF4-FFF2-40B4-BE49-F238E27FC236}">
              <a16:creationId xmlns:a16="http://schemas.microsoft.com/office/drawing/2014/main" id="{00000000-0008-0000-3300-000070000000}"/>
            </a:ext>
          </a:extLst>
        </xdr:cNvPr>
        <xdr:cNvSpPr>
          <a:spLocks noChangeShapeType="1"/>
        </xdr:cNvSpPr>
      </xdr:nvSpPr>
      <xdr:spPr bwMode="auto">
        <a:xfrm>
          <a:off x="4884420" y="15369540"/>
          <a:ext cx="12115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93</xdr:row>
      <xdr:rowOff>0</xdr:rowOff>
    </xdr:from>
    <xdr:to>
      <xdr:col>3</xdr:col>
      <xdr:colOff>708660</xdr:colOff>
      <xdr:row>93</xdr:row>
      <xdr:rowOff>0</xdr:rowOff>
    </xdr:to>
    <xdr:sp macro="" textlink="">
      <xdr:nvSpPr>
        <xdr:cNvPr id="113" name="Line 116">
          <a:extLst>
            <a:ext uri="{FF2B5EF4-FFF2-40B4-BE49-F238E27FC236}">
              <a16:creationId xmlns:a16="http://schemas.microsoft.com/office/drawing/2014/main" id="{00000000-0008-0000-3300-000071000000}"/>
            </a:ext>
          </a:extLst>
        </xdr:cNvPr>
        <xdr:cNvSpPr>
          <a:spLocks noChangeShapeType="1"/>
        </xdr:cNvSpPr>
      </xdr:nvSpPr>
      <xdr:spPr bwMode="auto">
        <a:xfrm>
          <a:off x="2689860" y="16375380"/>
          <a:ext cx="7086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4" name="Line 75">
          <a:extLst>
            <a:ext uri="{FF2B5EF4-FFF2-40B4-BE49-F238E27FC236}">
              <a16:creationId xmlns:a16="http://schemas.microsoft.com/office/drawing/2014/main" id="{00000000-0008-0000-3300-0000720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15" name="Line 87">
          <a:extLst>
            <a:ext uri="{FF2B5EF4-FFF2-40B4-BE49-F238E27FC236}">
              <a16:creationId xmlns:a16="http://schemas.microsoft.com/office/drawing/2014/main" id="{00000000-0008-0000-3300-0000730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16" name="Line 75">
          <a:extLst>
            <a:ext uri="{FF2B5EF4-FFF2-40B4-BE49-F238E27FC236}">
              <a16:creationId xmlns:a16="http://schemas.microsoft.com/office/drawing/2014/main" id="{00000000-0008-0000-3300-0000740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17" name="Line 79">
          <a:extLst>
            <a:ext uri="{FF2B5EF4-FFF2-40B4-BE49-F238E27FC236}">
              <a16:creationId xmlns:a16="http://schemas.microsoft.com/office/drawing/2014/main" id="{00000000-0008-0000-3300-0000750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18" name="Line 87">
          <a:extLst>
            <a:ext uri="{FF2B5EF4-FFF2-40B4-BE49-F238E27FC236}">
              <a16:creationId xmlns:a16="http://schemas.microsoft.com/office/drawing/2014/main" id="{00000000-0008-0000-3300-0000760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112</xdr:row>
      <xdr:rowOff>0</xdr:rowOff>
    </xdr:from>
    <xdr:to>
      <xdr:col>4</xdr:col>
      <xdr:colOff>7620</xdr:colOff>
      <xdr:row>112</xdr:row>
      <xdr:rowOff>0</xdr:rowOff>
    </xdr:to>
    <xdr:sp macro="" textlink="">
      <xdr:nvSpPr>
        <xdr:cNvPr id="119" name="Line 75">
          <a:extLst>
            <a:ext uri="{FF2B5EF4-FFF2-40B4-BE49-F238E27FC236}">
              <a16:creationId xmlns:a16="http://schemas.microsoft.com/office/drawing/2014/main" id="{00000000-0008-0000-3300-000077000000}"/>
            </a:ext>
          </a:extLst>
        </xdr:cNvPr>
        <xdr:cNvSpPr>
          <a:spLocks noChangeShapeType="1"/>
        </xdr:cNvSpPr>
      </xdr:nvSpPr>
      <xdr:spPr bwMode="auto">
        <a:xfrm>
          <a:off x="2689860" y="1956054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119</xdr:row>
      <xdr:rowOff>0</xdr:rowOff>
    </xdr:from>
    <xdr:to>
      <xdr:col>4</xdr:col>
      <xdr:colOff>7620</xdr:colOff>
      <xdr:row>119</xdr:row>
      <xdr:rowOff>0</xdr:rowOff>
    </xdr:to>
    <xdr:sp macro="" textlink="">
      <xdr:nvSpPr>
        <xdr:cNvPr id="120" name="Line 87">
          <a:extLst>
            <a:ext uri="{FF2B5EF4-FFF2-40B4-BE49-F238E27FC236}">
              <a16:creationId xmlns:a16="http://schemas.microsoft.com/office/drawing/2014/main" id="{00000000-0008-0000-3300-000078000000}"/>
            </a:ext>
          </a:extLst>
        </xdr:cNvPr>
        <xdr:cNvSpPr>
          <a:spLocks noChangeShapeType="1"/>
        </xdr:cNvSpPr>
      </xdr:nvSpPr>
      <xdr:spPr bwMode="auto">
        <a:xfrm>
          <a:off x="2689860" y="2073402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113</xdr:row>
      <xdr:rowOff>0</xdr:rowOff>
    </xdr:from>
    <xdr:to>
      <xdr:col>4</xdr:col>
      <xdr:colOff>7620</xdr:colOff>
      <xdr:row>113</xdr:row>
      <xdr:rowOff>0</xdr:rowOff>
    </xdr:to>
    <xdr:sp macro="" textlink="">
      <xdr:nvSpPr>
        <xdr:cNvPr id="121" name="Line 75">
          <a:extLst>
            <a:ext uri="{FF2B5EF4-FFF2-40B4-BE49-F238E27FC236}">
              <a16:creationId xmlns:a16="http://schemas.microsoft.com/office/drawing/2014/main" id="{00000000-0008-0000-3300-000079000000}"/>
            </a:ext>
          </a:extLst>
        </xdr:cNvPr>
        <xdr:cNvSpPr>
          <a:spLocks noChangeShapeType="1"/>
        </xdr:cNvSpPr>
      </xdr:nvSpPr>
      <xdr:spPr bwMode="auto">
        <a:xfrm>
          <a:off x="2689860" y="1972818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106</xdr:row>
      <xdr:rowOff>0</xdr:rowOff>
    </xdr:from>
    <xdr:to>
      <xdr:col>4</xdr:col>
      <xdr:colOff>7620</xdr:colOff>
      <xdr:row>106</xdr:row>
      <xdr:rowOff>0</xdr:rowOff>
    </xdr:to>
    <xdr:sp macro="" textlink="">
      <xdr:nvSpPr>
        <xdr:cNvPr id="122" name="Line 79">
          <a:extLst>
            <a:ext uri="{FF2B5EF4-FFF2-40B4-BE49-F238E27FC236}">
              <a16:creationId xmlns:a16="http://schemas.microsoft.com/office/drawing/2014/main" id="{00000000-0008-0000-3300-00007A000000}"/>
            </a:ext>
          </a:extLst>
        </xdr:cNvPr>
        <xdr:cNvSpPr>
          <a:spLocks noChangeShapeType="1"/>
        </xdr:cNvSpPr>
      </xdr:nvSpPr>
      <xdr:spPr bwMode="auto">
        <a:xfrm>
          <a:off x="2689860" y="1855470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120</xdr:row>
      <xdr:rowOff>0</xdr:rowOff>
    </xdr:from>
    <xdr:to>
      <xdr:col>4</xdr:col>
      <xdr:colOff>7620</xdr:colOff>
      <xdr:row>120</xdr:row>
      <xdr:rowOff>0</xdr:rowOff>
    </xdr:to>
    <xdr:sp macro="" textlink="">
      <xdr:nvSpPr>
        <xdr:cNvPr id="123" name="Line 87">
          <a:extLst>
            <a:ext uri="{FF2B5EF4-FFF2-40B4-BE49-F238E27FC236}">
              <a16:creationId xmlns:a16="http://schemas.microsoft.com/office/drawing/2014/main" id="{00000000-0008-0000-3300-00007B000000}"/>
            </a:ext>
          </a:extLst>
        </xdr:cNvPr>
        <xdr:cNvSpPr>
          <a:spLocks noChangeShapeType="1"/>
        </xdr:cNvSpPr>
      </xdr:nvSpPr>
      <xdr:spPr bwMode="auto">
        <a:xfrm>
          <a:off x="2689860" y="20901660"/>
          <a:ext cx="739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shp25prc.xlsx" TargetMode="External"/><Relationship Id="rId1" Type="http://purl.oclc.org/ooxml/officeDocument/relationships/externalLinkPath" Target="/personal/kamaldeep_walia_usps_gov/Documents/Desktop/ACR2025%20Inputs/shp25prc.xlsx" TargetMode="External"/></Relationships>
</file>

<file path=xl/externalLinks/_rels/externalLink2.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FY25%20ACR%20inputs%20to%20Special%20Cost%20Studies%20Public.xlsx" TargetMode="External"/><Relationship Id="rId1" Type="http://purl.oclc.org/ooxml/officeDocument/relationships/externalLinkPath" Target="/personal/kamaldeep_walia_usps_gov/Documents/Desktop/ACR2025%20Inputs/FY25%20ACR%20inputs%20to%20Special%20Cost%20Studies%20Public.xlsx" TargetMode="External"/></Relationships>
</file>

<file path=xl/externalLinks/_rels/externalLink3.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ACR2025%20Inputs/RECprods2025_revised.xlsx" TargetMode="External"/><Relationship Id="rId1" Type="http://purl.oclc.org/ooxml/officeDocument/relationships/externalLinkPath" Target="/personal/kamaldeep_walia_usps_gov/Documents/ACR2025%20Inputs/RECprods2025_revised.xlsx" TargetMode="External"/></Relationships>
</file>

<file path=xl/externalLinks/_rels/externalLink4.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ACR2025%20Inputs/YRscrub2025_revised.xlsx" TargetMode="External"/><Relationship Id="rId1" Type="http://purl.oclc.org/ooxml/officeDocument/relationships/externalLinkPath" Target="/personal/kamaldeep_walia_usps_gov/Documents/ACR2025%20Inputs/YRscrub2025_revised.xlsx" TargetMode="External"/></Relationships>
</file>

<file path=xl/externalLinks/_rels/externalLink5.xml.rels><?xml version="1.0" encoding="UTF-8" standalone="yes"?>
<Relationships xmlns="http://schemas.openxmlformats.org/package/2006/relationships"><Relationship Id="rId1" Type="http://purl.oclc.org/ooxml/officeDocument/relationships/externalLinkPath" Target="/Users/millermw/Documents/ACR2015/USPS-FY15-23/YRscrub2015.xlsx" TargetMode="External"/></Relationships>
</file>

<file path=xl/externalLinks/_rels/externalLink6.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eFlash_Prod_RM2025-4_FY2025.xlsx" TargetMode="External"/><Relationship Id="rId1" Type="http://purl.oclc.org/ooxml/officeDocument/relationships/externalLinkPath" Target="/personal/kamaldeep_walia_usps_gov/Documents/Desktop/ACR2025%20Inputs/eFlash_Prod_RM2025-4_FY2025.xlsx" TargetMode="External"/></Relationships>
</file>

<file path=xl/externalLinks/_rels/externalLink7.xml.rels><?xml version="1.0" encoding="UTF-8" standalone="yes"?>
<Relationships xmlns="http://schemas.openxmlformats.org/package/2006/relationships"><Relationship Id="rId1" Type="http://purl.oclc.org/ooxml/officeDocument/relationships/externalLinkPath" Target="/Users/millermw/Documents/RM%20DOCKETS/RM2009-1/Facility%20Study.xls" TargetMode="External"/></Relationships>
</file>

<file path=xl/externalLinks/_rels/externalLink8.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MCS_MAILCHAR25v.xlsx" TargetMode="External"/><Relationship Id="rId1" Type="http://purl.oclc.org/ooxml/officeDocument/relationships/externalLinkPath" Target="/personal/kamaldeep_walia_usps_gov/Documents/Desktop/ACR2025%20Inputs/MCS_MAILCHAR25v.xlsx" TargetMode="External"/></Relationships>
</file>

<file path=xl/externalLinks/_rels/externalLink9.xml.rels><?xml version="1.0" encoding="UTF-8" standalone="yes"?>
<Relationships xmlns="http://schemas.openxmlformats.org/package/2006/relationships"><Relationship Id="rId1" Type="http://purl.oclc.org/ooxml/officeDocument/relationships/externalLinkPath" Target="file:///C:\Users\millermw\Documents\RM%20DOCKETS\RM2009-1\Facility%20Study.xls" TargetMode="External"/></Relationships>
</file>

<file path=xl/externalLinks/_rels/externalLink10.xml.rels><?xml version="1.0" encoding="UTF-8" standalone="yes"?>
<Relationships xmlns="http://schemas.openxmlformats.org/package/2006/relationships"><Relationship Id="rId2" Type="http://purl.oclc.org/ooxml/officeDocument/relationships/externalLinkPath" Target="file:///\\Files\Post\MCB\S21\ACR%202025\USPS-FY25-11%20MM-FCM\Inputs\FY25%20ACR%20inputs%20to%20Special%20Cost%20Studies%20Public.xlsx" TargetMode="External"/><Relationship Id="rId1" Type="http://purl.oclc.org/ooxml/officeDocument/relationships/externalLinkPath" Target="file:///\\Files\Post\MCB\S21\ACR%202025\USPS-FY25-11%20MM-FCM\Inputs\FY25%20ACR%20inputs%20to%20Special%20Cost%20Studies%20Public.xlsx" TargetMode="External"/></Relationships>
</file>

<file path=xl/externalLinks/_rels/externalLink11.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ACR2025%20Inputs/MPPGBY25PRC.xlsx" TargetMode="External"/><Relationship Id="rId1" Type="http://purl.oclc.org/ooxml/officeDocument/relationships/externalLinkPath" Target="/personal/kamaldeep_walia_usps_gov/Documents/ACR2025%20Inputs/MPPGBY25PRC.xlsx" TargetMode="External"/></Relationships>
</file>

<file path=xl/externalLinks/_rels/externalLink12.xml.rels><?xml version="1.0" encoding="UTF-8" standalone="yes"?>
<Relationships xmlns="http://schemas.openxmlformats.org/package/2006/relationships"><Relationship Id="rId1" Type="http://purl.oclc.org/ooxml/officeDocument/relationships/externalLinkPath" Target="/Documents%20and%20Settings/rubindh/Local%20Settings/Temporary%20Internet%20Files/OLK729/Piece%20density/xALLx/Summary.xls" TargetMode="External"/></Relationships>
</file>

<file path=xl/externalLinks/_rels/externalLink13.xml.rels><?xml version="1.0" encoding="UTF-8" standalone="yes"?>
<Relationships xmlns="http://schemas.openxmlformats.org/package/2006/relationships"><Relationship Id="rId2" Type="http://purl.oclc.org/ooxml/officeDocument/relationships/externalLinkPath" Target="https://usps365-my.sharepoint.com/personal/michael_w_miller_usps_gov/Documents/Documents/ACR2023/USPS-FY23-11/USPS-FY23-11.MM.PAUL.xlsx" TargetMode="External"/><Relationship Id="rId1" Type="http://purl.oclc.org/ooxml/officeDocument/relationships/externalLinkPath" Target="/personal/michael_w_miller_usps_gov/Documents/Documents/ACR2023/USPS-FY23-11/FILED/USPS-FY23-11.MM.PAUL.xlsx" TargetMode="External"/></Relationships>
</file>

<file path=xl/externalLinks/_rels/externalLink14.xml.rels><?xml version="1.0" encoding="UTF-8" standalone="yes"?>
<Relationships xmlns="http://schemas.openxmlformats.org/package/2006/relationships"><Relationship Id="rId2" Type="http://purl.oclc.org/ooxml/officeDocument/relationships/externalLinkPath" Target="file:///C:\Users\vtbxqb\AppData\Local\Microsoft\Windows\INetCache\Content.Outlook\ZOOHLDJB\MAILCHAR24v%20(002).xlsx" TargetMode="External"/><Relationship Id="rId1" Type="http://purl.oclc.org/ooxml/officeDocument/relationships/externalLinkPath" Target="file:///C:\Users\vtbxqb\AppData\Local\Microsoft\Windows\INetCache\Content.Outlook\ZOOHLDJB\MAILCHAR24v%20(002).xlsx" TargetMode="External"/></Relationships>
</file>

<file path=xl/externalLinks/_rels/externalLink15.xml.rels><?xml version="1.0" encoding="UTF-8" standalone="yes"?>
<Relationships xmlns="http://schemas.openxmlformats.org/package/2006/relationships"><Relationship Id="rId2" Type="http://purl.oclc.org/ooxml/officeDocument/relationships/externalLinkPath" Target="https://usps365-my.sharepoint.com/personal/michael_w_miller_usps_gov/Documents/Documents/ACR2023/USPS-FY23-14/MAILCHAR23.xlsx" TargetMode="External"/><Relationship Id="rId1" Type="http://purl.oclc.org/ooxml/officeDocument/relationships/externalLinkPath" Target="/personal/michael_w_miller_usps_gov/Documents/Documents/ACR2023/USPS-FY23-14/MAILCHAR23.xlsx" TargetMode="External"/></Relationships>
</file>

<file path=xl/externalLinks/_rels/externalLink16.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Accept2025_v.xlsx" TargetMode="External"/><Relationship Id="rId1" Type="http://purl.oclc.org/ooxml/officeDocument/relationships/externalLinkPath" Target="/personal/kamaldeep_walia_usps_gov/Documents/Desktop/ACR2025%20Inputs/Accept2025_v.xlsx" TargetMode="External"/></Relationships>
</file>

<file path=xl/externalLinks/_rels/externalLink17.xml.rels><?xml version="1.0" encoding="UTF-8" standalone="yes"?>
<Relationships xmlns="http://schemas.openxmlformats.org/package/2006/relationships"><Relationship Id="rId2" Type="http://purl.oclc.org/ooxml/officeDocument/relationships/externalLinkPath" Target="file:///C:\Users\vtbxqb\AppData\Local\Microsoft\Windows\INetCache\Content.Outlook\ZOOHLDJB\Accept2024_v.xlsx" TargetMode="External"/><Relationship Id="rId1" Type="http://purl.oclc.org/ooxml/officeDocument/relationships/externalLinkPath" Target="file:///C:\Users\vtbxqb\AppData\Local\Microsoft\Windows\INetCache\Content.Outlook\ZOOHLDJB\Accept2024_v.xlsx" TargetMode="External"/></Relationships>
</file>

<file path=xl/externalLinks/_rels/externalLink18.xml.rels><?xml version="1.0" encoding="UTF-8" standalone="yes"?>
<Relationships xmlns="http://schemas.openxmlformats.org/package/2006/relationships"><Relationship Id="rId2" Type="http://purl.oclc.org/ooxml/officeDocument/relationships/externalLinkPath" Target="https://usps365-my.sharepoint.com/personal/michael_w_miller_usps_gov/Documents/Documents/ACR2023/USPS-FY23-11/USPS-FY23-11.MM.PAUL.V2.xlsx" TargetMode="External"/><Relationship Id="rId1" Type="http://purl.oclc.org/ooxml/officeDocument/relationships/externalLinkPath" Target="/personal/michael_w_miller_usps_gov/Documents/Documents/ACR2023/USPS-FY23-11/FILED/USPS-FY23-11.MM.PAUL.V2.xlsx" TargetMode="External"/></Relationships>
</file>

<file path=xl/externalLinks/_rels/externalLink19.xml.rels><?xml version="1.0" encoding="UTF-8" standalone="yes"?>
<Relationships xmlns="http://schemas.openxmlformats.org/package/2006/relationships"><Relationship Id="rId2" Type="http://purl.oclc.org/ooxml/officeDocument/relationships/externalLinkPath" Target="https://usps365-my.sharepoint.com/personal/kamaldeep_walia_usps_gov/Documents/Desktop/ACR2025%20Inputs/Coverage%20Factors%2025v.xlsx" TargetMode="External"/><Relationship Id="rId1" Type="http://purl.oclc.org/ooxml/officeDocument/relationships/externalLinkPath" Target="/personal/kamaldeep_walia_usps_gov/Documents/Desktop/ACR2025%20Inputs/Coverage%20Factors%2025v.xlsx" TargetMode="External"/></Relationships>
</file>

<file path=xl/externalLinks/_rels/externalLink20.xml.rels><?xml version="1.0" encoding="UTF-8" standalone="yes"?>
<Relationships xmlns="http://schemas.openxmlformats.org/package/2006/relationships"><Relationship Id="rId2" Type="http://purl.oclc.org/ooxml/officeDocument/relationships/externalLinkPath" Target="file:///C:\Users\vtbxqb\AppData\Local\Microsoft\Windows\INetCache\Content.Outlook\ZOOHLDJB\Coverage%20Factors%2024v.xlsx" TargetMode="External"/><Relationship Id="rId1" Type="http://purl.oclc.org/ooxml/officeDocument/relationships/externalLinkPath" Target="file:///C:\Users\vtbxqb\AppData\Local\Microsoft\Windows\INetCache\Content.Outlook\ZOOHLDJB\Coverage%20Factors%2024v.xlsx" TargetMode="External"/></Relationships>
</file>

<file path=xl/externalLinks/_rels/externalLink21.xml.rels><?xml version="1.0" encoding="UTF-8" standalone="yes"?>
<Relationships xmlns="http://schemas.openxmlformats.org/package/2006/relationships"><Relationship Id="rId2" Type="http://purl.oclc.org/ooxml/officeDocument/relationships/externalLinkPath" Target="file:///C:\Users\vtbxqb\AppData\Local\Microsoft\Windows\INetCache\Content.Outlook\0GAEZK7L\Flats%20Mech%20Coverage%20FY25.xlsx" TargetMode="External"/><Relationship Id="rId1" Type="http://purl.oclc.org/ooxml/officeDocument/relationships/externalLinkPath" Target="file:///C:\Users\vtbxqb\AppData\Local\Microsoft\Windows\INetCache\Content.Outlook\0GAEZK7L\Flats%20Mech%20Coverage%20FY25.xlsx" TargetMode="External"/></Relationships>
</file>

<file path=xl/externalLinks/externalLink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Doc"/>
      <sheetName val="Products"/>
      <sheetName val="PB"/>
      <sheetName val="LTTR VVC"/>
      <sheetName val="LTTR VVC W Premium Pay"/>
      <sheetName val="LTTR Unit Costs W PB &amp; MP RF"/>
      <sheetName val="LTTR Unit Costs  Final Adj."/>
      <sheetName val="FLAT VVC"/>
      <sheetName val="FLAT VVC W Premium Pay"/>
      <sheetName val="FLAT Unit Costs W PB &amp; MP RF"/>
      <sheetName val="FLAT Unit Costs W Final Adj"/>
      <sheetName val="PARCEL VVC"/>
      <sheetName val="PARCEL VVC W Premium Pay"/>
      <sheetName val="PARCEL Unit Costs W PB &amp; MP RF"/>
      <sheetName val="PARCEL Unit Costs W  Final Adj."/>
      <sheetName val="VVC (All Shapes)  W Premium Pay"/>
      <sheetName val="Costs (All Shapes) W PB &amp; MP RF"/>
      <sheetName val="Costs (All Shapes) W Final RF"/>
      <sheetName val="Summary WO Cost Adj."/>
      <sheetName val="ECR Cost Adj."/>
      <sheetName val="Final Adj."/>
      <sheetName val="Final Summary"/>
      <sheetName val="Non-Letter Outside County Per."/>
    </sheetNames>
    <sheetDataSet>
      <sheetData sheetId="0"/>
      <sheetData sheetId="1"/>
      <sheetData sheetId="2"/>
      <sheetData sheetId="3"/>
      <sheetData sheetId="4"/>
      <sheetData sheetId="5"/>
      <sheetData sheetId="6">
        <row r="6">
          <cell r="F6">
            <v>3.5241512441823368</v>
          </cell>
        </row>
      </sheetData>
      <sheetData sheetId="7"/>
      <sheetData sheetId="8"/>
      <sheetData sheetId="9"/>
      <sheetData sheetId="10">
        <row r="6">
          <cell r="E6">
            <v>1.1272591951197184</v>
          </cell>
          <cell r="H6">
            <v>1.1443387291484829E-2</v>
          </cell>
          <cell r="I6">
            <v>0.46456847409270596</v>
          </cell>
        </row>
        <row r="7">
          <cell r="H7">
            <v>1.3070078211747769</v>
          </cell>
          <cell r="I7">
            <v>17.34726999348268</v>
          </cell>
        </row>
        <row r="9">
          <cell r="H9">
            <v>0.74495243280885848</v>
          </cell>
          <cell r="I9">
            <v>1.2796002773103492</v>
          </cell>
        </row>
        <row r="10">
          <cell r="H10">
            <v>0.69538399556143182</v>
          </cell>
          <cell r="I10">
            <v>1.4458045798987789</v>
          </cell>
        </row>
        <row r="11">
          <cell r="H11">
            <v>2.2468973070776613E-3</v>
          </cell>
          <cell r="I11">
            <v>0.17689944284266218</v>
          </cell>
        </row>
        <row r="12">
          <cell r="H12">
            <v>0.12865338466047757</v>
          </cell>
          <cell r="I12">
            <v>1.0619541557591072</v>
          </cell>
        </row>
        <row r="13">
          <cell r="H13">
            <v>0.10956702172790396</v>
          </cell>
          <cell r="I13">
            <v>1.8117014778088425</v>
          </cell>
        </row>
        <row r="14">
          <cell r="H14">
            <v>5.2613481388339801E-2</v>
          </cell>
          <cell r="I14">
            <v>0.192663980565525</v>
          </cell>
        </row>
        <row r="15">
          <cell r="H15">
            <v>3.6863505125290204E-5</v>
          </cell>
          <cell r="I15">
            <v>6.7393582174233224E-4</v>
          </cell>
        </row>
        <row r="16">
          <cell r="H16">
            <v>4.8633922474255471E-2</v>
          </cell>
          <cell r="I16">
            <v>0.34872984188498896</v>
          </cell>
        </row>
        <row r="17">
          <cell r="H17">
            <v>1.4416814153325507E-2</v>
          </cell>
          <cell r="I17">
            <v>6.8048880320834518E-2</v>
          </cell>
        </row>
        <row r="18">
          <cell r="H18">
            <v>7.7719036240719588E-2</v>
          </cell>
          <cell r="I18">
            <v>0.46011988913202917</v>
          </cell>
        </row>
        <row r="19">
          <cell r="H19">
            <v>5.9274669153137262E-2</v>
          </cell>
          <cell r="I19">
            <v>0.41313959953934093</v>
          </cell>
        </row>
        <row r="20">
          <cell r="I20">
            <v>0</v>
          </cell>
        </row>
        <row r="21">
          <cell r="H21">
            <v>3.7340782508981131E-3</v>
          </cell>
          <cell r="I21">
            <v>9.0130784258397309E-2</v>
          </cell>
        </row>
        <row r="22">
          <cell r="H22">
            <v>0.10314337548241728</v>
          </cell>
          <cell r="I22">
            <v>0.55123463900057001</v>
          </cell>
        </row>
        <row r="23">
          <cell r="H23">
            <v>3.4883982783293938E-2</v>
          </cell>
          <cell r="I23">
            <v>5.9631310679749215E-2</v>
          </cell>
        </row>
        <row r="24">
          <cell r="H24">
            <v>1.0317588478561321</v>
          </cell>
          <cell r="I24">
            <v>5.188420144344021</v>
          </cell>
        </row>
        <row r="25">
          <cell r="H25">
            <v>3.9743777095040692E-4</v>
          </cell>
          <cell r="I25">
            <v>3.6359331650368851E-2</v>
          </cell>
        </row>
        <row r="26">
          <cell r="H26">
            <v>1.2584608406898788E-2</v>
          </cell>
          <cell r="I26">
            <v>3.3927873146276655E-2</v>
          </cell>
        </row>
        <row r="27">
          <cell r="H27">
            <v>3.0474473485367923E-3</v>
          </cell>
          <cell r="I27">
            <v>6.492796865254985E-2</v>
          </cell>
        </row>
        <row r="28">
          <cell r="H28">
            <v>1.0067842053248404E-2</v>
          </cell>
          <cell r="I28">
            <v>0.2103564277352522</v>
          </cell>
        </row>
        <row r="29">
          <cell r="H29">
            <v>0</v>
          </cell>
          <cell r="I29">
            <v>0</v>
          </cell>
        </row>
        <row r="30">
          <cell r="H30">
            <v>1.0536222101882847E-2</v>
          </cell>
          <cell r="I30">
            <v>5.3706310729997229E-2</v>
          </cell>
        </row>
        <row r="31">
          <cell r="H31">
            <v>8.9858328873726977E-4</v>
          </cell>
          <cell r="I31">
            <v>7.850915349228901E-3</v>
          </cell>
        </row>
        <row r="32">
          <cell r="H32">
            <v>1.2997133146753295E-3</v>
          </cell>
          <cell r="I32">
            <v>3.5919261231731371E-2</v>
          </cell>
        </row>
        <row r="33">
          <cell r="H33">
            <v>4.1699349574744644E-2</v>
          </cell>
          <cell r="I33">
            <v>0.3821840617918788</v>
          </cell>
        </row>
        <row r="34">
          <cell r="H34">
            <v>2.967816133842064E-2</v>
          </cell>
          <cell r="I34">
            <v>0.14869315378147496</v>
          </cell>
        </row>
        <row r="35">
          <cell r="H35">
            <v>1.1847013027867666E-2</v>
          </cell>
          <cell r="I35">
            <v>0.1666877063025699</v>
          </cell>
        </row>
        <row r="36">
          <cell r="H36">
            <v>1.0674658966637813E-2</v>
          </cell>
          <cell r="I36">
            <v>1.9088869156309338E-2</v>
          </cell>
        </row>
        <row r="38">
          <cell r="H38">
            <v>9.897416882797282E-5</v>
          </cell>
          <cell r="I38">
            <v>1.7436644443068474E-3</v>
          </cell>
        </row>
        <row r="39">
          <cell r="H39">
            <v>6.0921291599919138E-2</v>
          </cell>
          <cell r="I39">
            <v>0.74865900851532075</v>
          </cell>
        </row>
        <row r="40">
          <cell r="H40">
            <v>0.12726693630994451</v>
          </cell>
          <cell r="I40">
            <v>1.1880196877723526</v>
          </cell>
        </row>
        <row r="41">
          <cell r="H41">
            <v>1.4729828625604801E-2</v>
          </cell>
          <cell r="I41">
            <v>0.14652411865580353</v>
          </cell>
        </row>
        <row r="42">
          <cell r="H42">
            <v>0.12027960009992267</v>
          </cell>
          <cell r="I42">
            <v>0.56112607959966732</v>
          </cell>
        </row>
        <row r="43">
          <cell r="H43">
            <v>0</v>
          </cell>
          <cell r="I43">
            <v>0</v>
          </cell>
        </row>
        <row r="44">
          <cell r="H44">
            <v>4.2507372640577193E-5</v>
          </cell>
          <cell r="I44">
            <v>3.2207184623216548E-2</v>
          </cell>
        </row>
        <row r="45">
          <cell r="H45">
            <v>1.7966945412407713</v>
          </cell>
          <cell r="I45">
            <v>4.7043754399048163</v>
          </cell>
        </row>
        <row r="46">
          <cell r="H46">
            <v>3.641240335492734E-2</v>
          </cell>
          <cell r="I46">
            <v>8.8846928818711937E-2</v>
          </cell>
        </row>
        <row r="47">
          <cell r="H47">
            <v>6.7007672176411508E-4</v>
          </cell>
          <cell r="I47">
            <v>0.24381421779315393</v>
          </cell>
        </row>
        <row r="48">
          <cell r="H48">
            <v>6.6552474733770248E-4</v>
          </cell>
          <cell r="I48">
            <v>2.2103174137718864E-2</v>
          </cell>
        </row>
        <row r="49">
          <cell r="H49">
            <v>3.6526272544294733E-2</v>
          </cell>
          <cell r="I49">
            <v>0.27879035752422787</v>
          </cell>
        </row>
        <row r="50">
          <cell r="H50">
            <v>0.18129127591737002</v>
          </cell>
          <cell r="I50">
            <v>2.48971640778093</v>
          </cell>
        </row>
        <row r="51">
          <cell r="H51">
            <v>0</v>
          </cell>
          <cell r="I51">
            <v>0</v>
          </cell>
        </row>
        <row r="52">
          <cell r="H52">
            <v>1.7028992648871015</v>
          </cell>
          <cell r="I52">
            <v>7.3199779999314805</v>
          </cell>
        </row>
        <row r="53">
          <cell r="H53">
            <v>8.7411484211324442E-2</v>
          </cell>
          <cell r="I53">
            <v>0.17450440667796344</v>
          </cell>
        </row>
        <row r="54">
          <cell r="H54">
            <v>0.25525584957766828</v>
          </cell>
          <cell r="I54">
            <v>0.85549471099457364</v>
          </cell>
        </row>
        <row r="55">
          <cell r="H55">
            <v>9.1969202885958182E-2</v>
          </cell>
          <cell r="I55">
            <v>0.6428107153709981</v>
          </cell>
        </row>
        <row r="56">
          <cell r="H56">
            <v>6.7815117336297935E-4</v>
          </cell>
          <cell r="I56">
            <v>5.383242113260845E-3</v>
          </cell>
        </row>
        <row r="57">
          <cell r="H57">
            <v>0</v>
          </cell>
          <cell r="I57">
            <v>0</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volume-variability factors"/>
      <sheetName val="Disaggregated wage rates"/>
      <sheetName val="Premium Pay Fctrs"/>
      <sheetName val=" Overhead factors"/>
      <sheetName val=" MODS ovh factors"/>
      <sheetName val=" NDCs OVH Factors"/>
      <sheetName val=" nonmods OVH Factors"/>
      <sheetName val="crosswalk, % of direct"/>
    </sheetNames>
    <sheetDataSet>
      <sheetData sheetId="0">
        <row r="11">
          <cell r="G11">
            <v>0.98909999999999998</v>
          </cell>
        </row>
        <row r="14">
          <cell r="G14">
            <v>0.97340000000000004</v>
          </cell>
        </row>
        <row r="18">
          <cell r="G18">
            <v>0.96399999999999997</v>
          </cell>
        </row>
        <row r="22">
          <cell r="G22">
            <v>0.96760000000000002</v>
          </cell>
        </row>
        <row r="27">
          <cell r="G27">
            <v>0.873</v>
          </cell>
        </row>
        <row r="41">
          <cell r="G41">
            <v>0.94240000000000002</v>
          </cell>
        </row>
        <row r="88">
          <cell r="G88">
            <v>0.9738</v>
          </cell>
        </row>
      </sheetData>
      <sheetData sheetId="1">
        <row r="6">
          <cell r="C6">
            <v>54.142360316355024</v>
          </cell>
        </row>
        <row r="8">
          <cell r="C8">
            <v>50.10717457546064</v>
          </cell>
        </row>
      </sheetData>
      <sheetData sheetId="2">
        <row r="7">
          <cell r="D7">
            <v>1.0126008477139226</v>
          </cell>
        </row>
        <row r="21">
          <cell r="D21">
            <v>0.9752031228402912</v>
          </cell>
        </row>
      </sheetData>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Prod Calc"/>
    </sheetNames>
    <sheetDataSet>
      <sheetData sheetId="0">
        <row r="10">
          <cell r="E10">
            <v>775.23422288961956</v>
          </cell>
        </row>
      </sheetData>
    </sheetDataSet>
  </externalBook>
</externalLink>
</file>

<file path=xl/externalLinks/externalLink4.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Y25 Table"/>
    </sheetNames>
    <sheetDataSet>
      <sheetData sheetId="0">
        <row r="10">
          <cell r="E10">
            <v>1447</v>
          </cell>
        </row>
        <row r="58">
          <cell r="F58">
            <v>19317020</v>
          </cell>
          <cell r="G58">
            <v>16944693</v>
          </cell>
          <cell r="H58">
            <v>87153.509222626686</v>
          </cell>
        </row>
        <row r="59">
          <cell r="F59">
            <v>183273859</v>
          </cell>
          <cell r="G59">
            <v>163089773</v>
          </cell>
          <cell r="H59">
            <v>999194.66121392138</v>
          </cell>
        </row>
        <row r="60">
          <cell r="F60">
            <v>4216486</v>
          </cell>
          <cell r="G60">
            <v>4216486</v>
          </cell>
          <cell r="H60">
            <v>20090.329811096191</v>
          </cell>
        </row>
        <row r="61">
          <cell r="F61">
            <v>7002177</v>
          </cell>
          <cell r="G61">
            <v>5760482</v>
          </cell>
          <cell r="I61">
            <v>206.95516782120072</v>
          </cell>
        </row>
        <row r="62">
          <cell r="F62">
            <v>46407047</v>
          </cell>
          <cell r="G62">
            <v>39115306</v>
          </cell>
          <cell r="I62">
            <v>236.38446052932412</v>
          </cell>
        </row>
        <row r="80">
          <cell r="I80">
            <v>1530.697871044493</v>
          </cell>
        </row>
        <row r="81">
          <cell r="I81">
            <v>2207.4471605243534</v>
          </cell>
        </row>
        <row r="82">
          <cell r="I82">
            <v>1531.1342266301606</v>
          </cell>
        </row>
        <row r="83">
          <cell r="I83">
            <v>2018.3927532193345</v>
          </cell>
        </row>
        <row r="84">
          <cell r="I84">
            <v>1087.692150893748</v>
          </cell>
        </row>
        <row r="85">
          <cell r="I85">
            <v>1808.8275858515883</v>
          </cell>
        </row>
      </sheetData>
    </sheetDataSet>
  </externalBook>
</externalLink>
</file>

<file path=xl/externalLinks/externalLink5.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Table"/>
    </sheetNames>
    <sheetDataSet>
      <sheetData sheetId="0">
        <row r="51">
          <cell r="E51">
            <v>1873</v>
          </cell>
          <cell r="I51">
            <v>600.16717529296875</v>
          </cell>
        </row>
        <row r="52">
          <cell r="I52">
            <v>474.72515869140625</v>
          </cell>
        </row>
        <row r="53">
          <cell r="I53">
            <v>670.51171875</v>
          </cell>
        </row>
        <row r="54">
          <cell r="I54">
            <v>581.19781494140625</v>
          </cell>
        </row>
        <row r="55">
          <cell r="I55">
            <v>728.99871826171875</v>
          </cell>
        </row>
      </sheetData>
    </sheetDataSet>
  </externalBook>
</externalLink>
</file>

<file path=xl/externalLinks/externalLink6.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Y25 F4 Manual Productivity"/>
      <sheetName val="FY25 Est Hours"/>
      <sheetName val="FY25 Costs"/>
    </sheetNames>
    <sheetDataSet>
      <sheetData sheetId="0">
        <row r="4">
          <cell r="D4">
            <v>658.18475684439443</v>
          </cell>
        </row>
      </sheetData>
      <sheetData sheetId="1" refreshError="1"/>
      <sheetData sheetId="2" refreshError="1"/>
    </sheetDataSet>
  </externalBook>
</externalLink>
</file>

<file path=xl/externalLinks/externalLink7.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Table 1"/>
      <sheetName val="Weights"/>
      <sheetName val="DDU Weights"/>
      <sheetName val="DDU Breakage"/>
      <sheetName val="DDU Bundle Productivity"/>
      <sheetName val="Single Piece Sort"/>
      <sheetName val="Tubs per MTE"/>
      <sheetName val="Broken Bundles"/>
      <sheetName val="Bundles per Container"/>
      <sheetName val="Pieces Per Tub"/>
      <sheetName val="Manual Plant"/>
      <sheetName val="Tub Prep"/>
      <sheetName val="Bundle Prep"/>
    </sheetNames>
    <sheetDataSet>
      <sheetData sheetId="0">
        <row r="7">
          <cell r="C7">
            <v>56.605460510181793</v>
          </cell>
        </row>
      </sheetData>
      <sheetData sheetId="1" refreshError="1"/>
      <sheetData sheetId="2" refreshError="1"/>
      <sheetData sheetId="3">
        <row r="44">
          <cell r="M44">
            <v>6.9882371211232377E-3</v>
          </cell>
        </row>
      </sheetData>
      <sheetData sheetId="4" refreshError="1"/>
      <sheetData sheetId="5">
        <row r="31">
          <cell r="Q31">
            <v>3.8148671809604358E-2</v>
          </cell>
        </row>
        <row r="59">
          <cell r="Q59">
            <v>5.1729357444902091E-2</v>
          </cell>
        </row>
      </sheetData>
      <sheetData sheetId="6">
        <row r="26">
          <cell r="J26">
            <v>22.10434395250704</v>
          </cell>
        </row>
      </sheetData>
      <sheetData sheetId="7">
        <row r="27">
          <cell r="L27">
            <v>6.1234942212081587E-3</v>
          </cell>
        </row>
        <row r="49">
          <cell r="L49">
            <v>0.10356873985476586</v>
          </cell>
        </row>
        <row r="74">
          <cell r="L74">
            <v>3.668762192892272E-2</v>
          </cell>
        </row>
      </sheetData>
      <sheetData sheetId="8">
        <row r="27">
          <cell r="K27">
            <v>97.875870710118733</v>
          </cell>
        </row>
      </sheetData>
      <sheetData sheetId="9">
        <row r="100">
          <cell r="K100">
            <v>56.605460510181793</v>
          </cell>
        </row>
      </sheetData>
      <sheetData sheetId="10" refreshError="1"/>
      <sheetData sheetId="11" refreshError="1"/>
      <sheetData sheetId="12" refreshError="1"/>
    </sheetDataSet>
  </externalBook>
</externalLink>
</file>

<file path=xl/externalLinks/externalLink8.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CM PRESORT LETTERS"/>
      <sheetName val="FCM PRESORT CARDS"/>
      <sheetName val="FCM PRESORT FLATS"/>
      <sheetName val="PERIODICALS FLATS"/>
      <sheetName val="USPS MM LETTERS"/>
      <sheetName val="USPS MM FLATS"/>
      <sheetName val="USPS MM CARRIER ROUTE FLATS"/>
      <sheetName val="USPS MM CR FLATS"/>
      <sheetName val="USPS MM ENTRY PROFILE"/>
      <sheetName val="CONTAINER STATISTICS"/>
      <sheetName val="USPS MM FLATS BY CON RATE"/>
      <sheetName val="PERIODICAL BUNDLE DENSITIES"/>
      <sheetName val="USPS MM BUNDLE DENSITIES"/>
      <sheetName val="NON 5D-CONTAINER AVE BUN SIZE"/>
      <sheetName val="FCM PCS PER TRAY"/>
      <sheetName val="DELIVERY"/>
      <sheetName val="Order 6658"/>
      <sheetName val="BPM_20_Stats"/>
    </sheetNames>
    <sheetDataSet>
      <sheetData sheetId="0">
        <row r="1">
          <cell r="A1" t="str">
            <v>Table MCS - 1</v>
          </cell>
        </row>
      </sheetData>
      <sheetData sheetId="1">
        <row r="2">
          <cell r="A2" t="str">
            <v>FIRST-CLASS MAIL PRESORT CARDS MAIL CHARACTERISTICS DATA</v>
          </cell>
        </row>
      </sheetData>
      <sheetData sheetId="2">
        <row r="1">
          <cell r="A1" t="str">
            <v>USPS-FY25-14</v>
          </cell>
        </row>
      </sheetData>
      <sheetData sheetId="3">
        <row r="7">
          <cell r="D7">
            <v>0</v>
          </cell>
        </row>
      </sheetData>
      <sheetData sheetId="4">
        <row r="1">
          <cell r="C1" t="str">
            <v>USPS-FY25-14</v>
          </cell>
        </row>
      </sheetData>
      <sheetData sheetId="5">
        <row r="8">
          <cell r="F8">
            <v>1326261.8809508262</v>
          </cell>
          <cell r="G8">
            <v>3624695.7474032114</v>
          </cell>
          <cell r="I8">
            <v>15.490173232917249</v>
          </cell>
          <cell r="J8">
            <v>12.506215811351728</v>
          </cell>
        </row>
        <row r="9">
          <cell r="F9">
            <v>3616.7553580862491</v>
          </cell>
          <cell r="G9">
            <v>1765394.2307424131</v>
          </cell>
          <cell r="I9">
            <v>14.372032666085842</v>
          </cell>
          <cell r="J9">
            <v>13.65299757074718</v>
          </cell>
        </row>
        <row r="10">
          <cell r="F10">
            <v>50219.114365281159</v>
          </cell>
          <cell r="G10">
            <v>3437617.6905350015</v>
          </cell>
          <cell r="I10">
            <v>37.874458567798513</v>
          </cell>
          <cell r="J10">
            <v>16.080109837505756</v>
          </cell>
        </row>
        <row r="11">
          <cell r="F11">
            <v>25879.900859287958</v>
          </cell>
          <cell r="G11">
            <v>794007.66414254578</v>
          </cell>
          <cell r="I11">
            <v>29.494399421450783</v>
          </cell>
          <cell r="J11">
            <v>23.9362450044799</v>
          </cell>
        </row>
        <row r="12">
          <cell r="F12">
            <v>117106.08436669013</v>
          </cell>
          <cell r="G12">
            <v>717.09248547409652</v>
          </cell>
          <cell r="I12">
            <v>10.003025209548101</v>
          </cell>
          <cell r="J12">
            <v>13.200004059655127</v>
          </cell>
        </row>
        <row r="18">
          <cell r="F18">
            <v>1009401.664929815</v>
          </cell>
          <cell r="G18">
            <v>0</v>
          </cell>
          <cell r="I18">
            <v>14.988990842688478</v>
          </cell>
          <cell r="J18">
            <v>0</v>
          </cell>
        </row>
        <row r="19">
          <cell r="F19">
            <v>286373.77068961144</v>
          </cell>
          <cell r="G19">
            <v>165897.6755540153</v>
          </cell>
          <cell r="I19">
            <v>15.27509387781328</v>
          </cell>
          <cell r="J19">
            <v>12.796394444565104</v>
          </cell>
        </row>
        <row r="20">
          <cell r="F20">
            <v>0</v>
          </cell>
          <cell r="G20">
            <v>2088139.1168532383</v>
          </cell>
          <cell r="I20">
            <v>0</v>
          </cell>
          <cell r="J20">
            <v>20.075236878057584</v>
          </cell>
        </row>
        <row r="21">
          <cell r="F21">
            <v>0</v>
          </cell>
          <cell r="G21">
            <v>1275164.2649658883</v>
          </cell>
          <cell r="I21">
            <v>0</v>
          </cell>
          <cell r="J21">
            <v>29.10095036408331</v>
          </cell>
        </row>
        <row r="22">
          <cell r="F22">
            <v>19333.23456281453</v>
          </cell>
          <cell r="G22">
            <v>0</v>
          </cell>
          <cell r="I22">
            <v>31.712561491658416</v>
          </cell>
          <cell r="J22">
            <v>0</v>
          </cell>
        </row>
        <row r="23">
          <cell r="F23">
            <v>0</v>
          </cell>
          <cell r="G23">
            <v>0</v>
          </cell>
          <cell r="I23">
            <v>0</v>
          </cell>
          <cell r="J23">
            <v>0</v>
          </cell>
        </row>
        <row r="24">
          <cell r="F24">
            <v>0</v>
          </cell>
          <cell r="G24">
            <v>0</v>
          </cell>
          <cell r="I24">
            <v>0</v>
          </cell>
          <cell r="J24">
            <v>0</v>
          </cell>
        </row>
        <row r="30">
          <cell r="F30">
            <v>2655916.4119445449</v>
          </cell>
          <cell r="G30">
            <v>0</v>
          </cell>
          <cell r="I30">
            <v>21.693048378142784</v>
          </cell>
          <cell r="J30">
            <v>0</v>
          </cell>
        </row>
        <row r="31">
          <cell r="F31">
            <v>2346756.190332693</v>
          </cell>
          <cell r="G31">
            <v>0</v>
          </cell>
          <cell r="I31">
            <v>21.254177911503405</v>
          </cell>
          <cell r="J31">
            <v>0</v>
          </cell>
        </row>
        <row r="32">
          <cell r="F32">
            <v>16289257.85829556</v>
          </cell>
          <cell r="G32">
            <v>2609806.2806663117</v>
          </cell>
          <cell r="I32">
            <v>29.709549667328652</v>
          </cell>
          <cell r="J32">
            <v>21.1267206159789</v>
          </cell>
        </row>
        <row r="33">
          <cell r="F33">
            <v>0</v>
          </cell>
          <cell r="G33">
            <v>4251597.4087400092</v>
          </cell>
          <cell r="I33">
            <v>0</v>
          </cell>
          <cell r="J33">
            <v>23.628172120830222</v>
          </cell>
        </row>
        <row r="39">
          <cell r="F39">
            <v>1725666.5823679655</v>
          </cell>
          <cell r="G39">
            <v>0</v>
          </cell>
          <cell r="I39">
            <v>26.324849691729064</v>
          </cell>
          <cell r="J39">
            <v>0</v>
          </cell>
        </row>
        <row r="40">
          <cell r="F40">
            <v>1540768.7385758774</v>
          </cell>
          <cell r="G40">
            <v>0</v>
          </cell>
          <cell r="I40">
            <v>21.278971194739128</v>
          </cell>
          <cell r="J40">
            <v>0</v>
          </cell>
        </row>
        <row r="41">
          <cell r="F41">
            <v>22405630.342189886</v>
          </cell>
          <cell r="G41">
            <v>0</v>
          </cell>
          <cell r="I41">
            <v>27.16248577274731</v>
          </cell>
          <cell r="J41">
            <v>0</v>
          </cell>
        </row>
        <row r="42">
          <cell r="F42">
            <v>735478.57226881303</v>
          </cell>
          <cell r="G42">
            <v>5118359.2431028783</v>
          </cell>
          <cell r="I42">
            <v>28.685375947412457</v>
          </cell>
          <cell r="J42">
            <v>29.142924976074223</v>
          </cell>
        </row>
        <row r="64">
          <cell r="F64">
            <v>13528047.292524092</v>
          </cell>
          <cell r="G64">
            <v>28915120.553808384</v>
          </cell>
          <cell r="I64">
            <v>25.875382134078915</v>
          </cell>
          <cell r="J64">
            <v>21.37705354589691</v>
          </cell>
        </row>
        <row r="65">
          <cell r="F65">
            <v>461485.28325070237</v>
          </cell>
          <cell r="G65">
            <v>0</v>
          </cell>
          <cell r="I65">
            <v>10.568526415661054</v>
          </cell>
          <cell r="J65">
            <v>0</v>
          </cell>
        </row>
        <row r="71">
          <cell r="F71">
            <v>13087343.126880027</v>
          </cell>
          <cell r="G71">
            <v>15546803.889347367</v>
          </cell>
          <cell r="I71">
            <v>15.077988078962031</v>
          </cell>
          <cell r="J71">
            <v>14.668397000790634</v>
          </cell>
        </row>
        <row r="72">
          <cell r="F72">
            <v>2720690.4583255723</v>
          </cell>
          <cell r="G72">
            <v>2676836.2615315979</v>
          </cell>
          <cell r="I72">
            <v>15.633079642273938</v>
          </cell>
          <cell r="J72">
            <v>15.704328271289533</v>
          </cell>
        </row>
        <row r="73">
          <cell r="F73">
            <v>4033.5593572975699</v>
          </cell>
          <cell r="G73">
            <v>177796.48982496565</v>
          </cell>
          <cell r="I73">
            <v>19.214952208236515</v>
          </cell>
          <cell r="J73">
            <v>45.407356438895121</v>
          </cell>
        </row>
        <row r="79">
          <cell r="F79">
            <v>89610746.822352573</v>
          </cell>
          <cell r="G79">
            <v>38923476.299946807</v>
          </cell>
          <cell r="I79">
            <v>23.101810498862605</v>
          </cell>
          <cell r="J79">
            <v>19.019801515021314</v>
          </cell>
        </row>
        <row r="80">
          <cell r="F80">
            <v>106919104.15232852</v>
          </cell>
          <cell r="G80">
            <v>21922890.521747604</v>
          </cell>
          <cell r="I80">
            <v>25.058292288081947</v>
          </cell>
          <cell r="J80">
            <v>22.815055571004212</v>
          </cell>
        </row>
        <row r="81">
          <cell r="F81">
            <v>136487836.98425746</v>
          </cell>
          <cell r="G81">
            <v>46222141.998219498</v>
          </cell>
          <cell r="I81">
            <v>31.759991596846589</v>
          </cell>
          <cell r="J81">
            <v>25.868614690383641</v>
          </cell>
        </row>
        <row r="87">
          <cell r="F87">
            <v>39537521.836371429</v>
          </cell>
          <cell r="G87">
            <v>4586500.2870860798</v>
          </cell>
          <cell r="I87">
            <v>24.004189121034827</v>
          </cell>
          <cell r="J87">
            <v>21.262755011663241</v>
          </cell>
        </row>
        <row r="88">
          <cell r="F88">
            <v>117241706.62045027</v>
          </cell>
          <cell r="G88">
            <v>6383249.6637684545</v>
          </cell>
          <cell r="I88">
            <v>24.189552889038556</v>
          </cell>
          <cell r="J88">
            <v>22.060250536007715</v>
          </cell>
        </row>
        <row r="89">
          <cell r="F89">
            <v>770125653.59018052</v>
          </cell>
          <cell r="G89">
            <v>52981452.978092961</v>
          </cell>
          <cell r="I89">
            <v>29.18086254391665</v>
          </cell>
          <cell r="J89">
            <v>27.313303409704879</v>
          </cell>
        </row>
        <row r="90">
          <cell r="F90">
            <v>20965072.553833622</v>
          </cell>
          <cell r="G90">
            <v>58181519.330674484</v>
          </cell>
          <cell r="I90">
            <v>36.552655147287922</v>
          </cell>
          <cell r="J90">
            <v>33.763112001765705</v>
          </cell>
        </row>
      </sheetData>
      <sheetData sheetId="6">
        <row r="1">
          <cell r="B1" t="str">
            <v>USPS-FY25-14</v>
          </cell>
        </row>
        <row r="8">
          <cell r="F8">
            <v>14451499.457345605</v>
          </cell>
          <cell r="G8">
            <v>0</v>
          </cell>
          <cell r="H8">
            <v>14451499.457345605</v>
          </cell>
          <cell r="I8">
            <v>22.54918144922155</v>
          </cell>
          <cell r="J8">
            <v>0</v>
          </cell>
          <cell r="K8">
            <v>640887.9847762502</v>
          </cell>
          <cell r="L8">
            <v>0</v>
          </cell>
          <cell r="M8">
            <v>640887.9847762502</v>
          </cell>
        </row>
        <row r="9">
          <cell r="F9">
            <v>41480327.809634715</v>
          </cell>
          <cell r="G9">
            <v>0</v>
          </cell>
          <cell r="H9">
            <v>41480327.809634715</v>
          </cell>
          <cell r="I9">
            <v>16.827239775883136</v>
          </cell>
          <cell r="J9">
            <v>0</v>
          </cell>
          <cell r="K9">
            <v>2465070.2291105688</v>
          </cell>
          <cell r="L9">
            <v>0</v>
          </cell>
          <cell r="M9">
            <v>2465070.2291105688</v>
          </cell>
        </row>
        <row r="10">
          <cell r="F10">
            <v>2317611476.24792</v>
          </cell>
          <cell r="G10">
            <v>0</v>
          </cell>
          <cell r="H10">
            <v>2317611476.24792</v>
          </cell>
          <cell r="I10">
            <v>24.258764380516947</v>
          </cell>
          <cell r="J10">
            <v>0</v>
          </cell>
          <cell r="K10">
            <v>95537078.471699655</v>
          </cell>
          <cell r="L10">
            <v>0</v>
          </cell>
          <cell r="M10">
            <v>95537078.471699655</v>
          </cell>
        </row>
        <row r="11">
          <cell r="F11">
            <v>0</v>
          </cell>
          <cell r="G11">
            <v>41583444.348798625</v>
          </cell>
          <cell r="H11">
            <v>41583444.348798625</v>
          </cell>
          <cell r="I11">
            <v>0</v>
          </cell>
          <cell r="J11">
            <v>34.479797772360271</v>
          </cell>
          <cell r="K11">
            <v>0</v>
          </cell>
          <cell r="L11">
            <v>1206023.4408373702</v>
          </cell>
          <cell r="M11">
            <v>1206023.4408373702</v>
          </cell>
        </row>
        <row r="12">
          <cell r="F12">
            <v>0</v>
          </cell>
          <cell r="G12">
            <v>10193063.802074628</v>
          </cell>
          <cell r="H12">
            <v>10193063.802074628</v>
          </cell>
          <cell r="I12">
            <v>0</v>
          </cell>
          <cell r="J12">
            <v>47.902139788975362</v>
          </cell>
          <cell r="K12">
            <v>0</v>
          </cell>
          <cell r="L12">
            <v>212789.32104032132</v>
          </cell>
          <cell r="M12">
            <v>212789.32104032132</v>
          </cell>
        </row>
        <row r="18">
          <cell r="F18">
            <v>297832076.54768455</v>
          </cell>
          <cell r="G18">
            <v>11252086.722507814</v>
          </cell>
          <cell r="H18">
            <v>309084163.27019238</v>
          </cell>
          <cell r="I18">
            <v>31.898534662833857</v>
          </cell>
          <cell r="J18">
            <v>48.666450028243823</v>
          </cell>
          <cell r="K18">
            <v>9336857.623579165</v>
          </cell>
          <cell r="L18">
            <v>231208.29063919</v>
          </cell>
          <cell r="M18">
            <v>9568065.914218355</v>
          </cell>
        </row>
      </sheetData>
      <sheetData sheetId="7"/>
      <sheetData sheetId="8"/>
      <sheetData sheetId="9"/>
      <sheetData sheetId="10"/>
      <sheetData sheetId="11">
        <row r="8">
          <cell r="D8">
            <v>1</v>
          </cell>
        </row>
      </sheetData>
      <sheetData sheetId="12">
        <row r="1">
          <cell r="A1" t="str">
            <v>USPS-FY25-14</v>
          </cell>
        </row>
        <row r="2">
          <cell r="A2" t="str">
            <v>Table MCS - 12</v>
          </cell>
        </row>
        <row r="9">
          <cell r="E9">
            <v>1</v>
          </cell>
          <cell r="G9">
            <v>6.5742015358908445E-2</v>
          </cell>
          <cell r="I9">
            <v>5.7678456551362542E-2</v>
          </cell>
        </row>
        <row r="10">
          <cell r="G10">
            <v>0.93425798464109155</v>
          </cell>
          <cell r="I10">
            <v>0.93652546899619116</v>
          </cell>
          <cell r="K10">
            <v>0.92676782777694722</v>
          </cell>
          <cell r="O10">
            <v>0.92676782777694722</v>
          </cell>
        </row>
        <row r="11">
          <cell r="I11">
            <v>5.7960744524463322E-3</v>
          </cell>
          <cell r="K11">
            <v>1.378382418896696E-2</v>
          </cell>
          <cell r="O11">
            <v>1.378382418896696E-2</v>
          </cell>
        </row>
        <row r="12">
          <cell r="K12">
            <v>5.9448348034085816E-2</v>
          </cell>
          <cell r="O12">
            <v>5.9448348034085816E-2</v>
          </cell>
        </row>
        <row r="17">
          <cell r="G17">
            <v>1</v>
          </cell>
          <cell r="I17">
            <v>0.38919737130368282</v>
          </cell>
        </row>
        <row r="18">
          <cell r="I18">
            <v>0.61080262869631718</v>
          </cell>
          <cell r="K18">
            <v>0.90896562088467525</v>
          </cell>
          <cell r="O18">
            <v>1</v>
          </cell>
        </row>
        <row r="19">
          <cell r="K19">
            <v>9.1034379115324748E-2</v>
          </cell>
        </row>
        <row r="24">
          <cell r="I24">
            <v>1</v>
          </cell>
          <cell r="M24" t="str">
            <v>N/A</v>
          </cell>
        </row>
        <row r="25">
          <cell r="K25">
            <v>1</v>
          </cell>
          <cell r="M25" t="str">
            <v>N/A</v>
          </cell>
          <cell r="O25">
            <v>1</v>
          </cell>
        </row>
        <row r="26">
          <cell r="M26">
            <v>0</v>
          </cell>
        </row>
        <row r="31">
          <cell r="M31" t="str">
            <v>N/A</v>
          </cell>
        </row>
        <row r="33">
          <cell r="K33">
            <v>1</v>
          </cell>
          <cell r="M33">
            <v>1</v>
          </cell>
          <cell r="O33">
            <v>1</v>
          </cell>
        </row>
      </sheetData>
      <sheetData sheetId="13">
        <row r="31">
          <cell r="E31">
            <v>25.091147345874898</v>
          </cell>
        </row>
      </sheetData>
      <sheetData sheetId="14"/>
      <sheetData sheetId="15"/>
      <sheetData sheetId="16"/>
      <sheetData sheetId="17"/>
    </sheetDataSet>
  </externalBook>
</externalLink>
</file>

<file path=xl/externalLinks/externalLink9.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Table 1"/>
      <sheetName val="Weights"/>
      <sheetName val="DDU Weights"/>
      <sheetName val="DDU Breakage"/>
      <sheetName val="DDU Bundle Productivity"/>
      <sheetName val="Single Piece Sort"/>
      <sheetName val="Tubs per MTE"/>
      <sheetName val="Broken Bundles"/>
      <sheetName val="Bundles per Container"/>
      <sheetName val="Pieces Per Tub"/>
      <sheetName val="Manual Plant"/>
      <sheetName val="Tub Prep"/>
      <sheetName val="Bundle Prep"/>
    </sheetNames>
    <sheetDataSet>
      <sheetData sheetId="0" refreshError="1">
        <row r="7">
          <cell r="C7">
            <v>56.605460510181793</v>
          </cell>
        </row>
        <row r="17">
          <cell r="C17">
            <v>502.61938508845128</v>
          </cell>
        </row>
        <row r="18">
          <cell r="C18">
            <v>431.40924386370864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volume-variability factors"/>
      <sheetName val="Disaggregated wage rates"/>
      <sheetName val="Premium Pay Fctrs"/>
      <sheetName val=" Overhead factors"/>
      <sheetName val=" MODS ovh factors"/>
      <sheetName val=" NDCs OVH Factors"/>
      <sheetName val=" nonmods OVH Factors"/>
      <sheetName val="crosswalk, % of direct"/>
    </sheetNames>
    <sheetDataSet>
      <sheetData sheetId="0">
        <row r="14">
          <cell r="G14">
            <v>0.97340000000000004</v>
          </cell>
        </row>
      </sheetData>
      <sheetData sheetId="1">
        <row r="6">
          <cell r="C6">
            <v>54.142360316355024</v>
          </cell>
        </row>
      </sheetData>
      <sheetData sheetId="2">
        <row r="12">
          <cell r="D12">
            <v>1.0285312910393245</v>
          </cell>
        </row>
      </sheetData>
      <sheetData sheetId="3"/>
      <sheetData sheetId="4">
        <row r="63">
          <cell r="G63">
            <v>1.3718327722393713</v>
          </cell>
        </row>
      </sheetData>
      <sheetData sheetId="5"/>
      <sheetData sheetId="6">
        <row r="10">
          <cell r="G10">
            <v>1.639965597331799</v>
          </cell>
        </row>
      </sheetData>
      <sheetData sheetId="7"/>
    </sheetDataSet>
  </externalBook>
</externalLink>
</file>

<file path=xl/externalLinks/externalLink1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Doc"/>
      <sheetName val="MP Piggybacks"/>
      <sheetName val="Cost Ratios"/>
      <sheetName val="MP Labor Cost Splits"/>
      <sheetName val="MP Labor Costs"/>
      <sheetName val="CR &amp; OP"/>
      <sheetName val="Facility Related Costs"/>
      <sheetName val="Facility Space Data "/>
      <sheetName val="Space Summary Costs"/>
      <sheetName val="IOCS Tallies – Select Equipment"/>
      <sheetName val="All Equip. Related Costs"/>
      <sheetName val="Capital Costs"/>
      <sheetName val="Maint. Costs"/>
      <sheetName val="Parts Costs"/>
      <sheetName val="Equip. Var."/>
      <sheetName val="Supv_Admin_Benefit Costs"/>
      <sheetName val="PB by Cost Type  "/>
      <sheetName val="PSM &amp; FSM &amp; LMLM Data"/>
    </sheetNames>
    <sheetDataSet>
      <sheetData sheetId="0"/>
      <sheetData sheetId="1">
        <row r="7">
          <cell r="J7">
            <v>1.754359816131257</v>
          </cell>
        </row>
        <row r="8">
          <cell r="J8">
            <v>1.6305774272183733</v>
          </cell>
        </row>
        <row r="14">
          <cell r="J14">
            <v>1.3622907328394676</v>
          </cell>
        </row>
        <row r="26">
          <cell r="J26">
            <v>1.5985378657336238</v>
          </cell>
        </row>
        <row r="77">
          <cell r="J77">
            <v>1.2615773174013249</v>
          </cell>
        </row>
        <row r="78">
          <cell r="J78">
            <v>1.6056412614911089</v>
          </cell>
        </row>
        <row r="84">
          <cell r="J84">
            <v>1.8052502472456198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2.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Summary"/>
      <sheetName val="AFSM100 OP"/>
      <sheetName val="AFSM100 OS"/>
      <sheetName val="AFSM100 MMP"/>
      <sheetName val="AFSM100 SCF"/>
      <sheetName val="UFSM1000 OP"/>
      <sheetName val="UFSM1000 OS"/>
      <sheetName val="UFSM1000 MMP"/>
      <sheetName val="UFSM1000 SCF"/>
    </sheetNames>
    <sheetDataSet>
      <sheetData sheetId="0" refreshError="1"/>
      <sheetData sheetId="1" refreshError="1"/>
      <sheetData sheetId="2" refreshError="1">
        <row r="39">
          <cell r="K39">
            <v>1.6122758650167768E-2</v>
          </cell>
          <cell r="L39">
            <v>0.82579368010090526</v>
          </cell>
          <cell r="M39">
            <v>6.901537761983581E-2</v>
          </cell>
          <cell r="N39">
            <v>7.3513972216309054E-3</v>
          </cell>
          <cell r="O39">
            <v>9.7839545057628055E-2</v>
          </cell>
        </row>
      </sheetData>
      <sheetData sheetId="3" refreshError="1">
        <row r="39">
          <cell r="K39">
            <v>2.0560691426449794E-3</v>
          </cell>
          <cell r="L39">
            <v>7.7870896442113098E-4</v>
          </cell>
          <cell r="M39">
            <v>0.1989407472148581</v>
          </cell>
          <cell r="N39">
            <v>6.4589034680307633E-2</v>
          </cell>
          <cell r="O39">
            <v>0.73647021810483426</v>
          </cell>
        </row>
      </sheetData>
      <sheetData sheetId="4" refreshError="1">
        <row r="39">
          <cell r="K39">
            <v>0</v>
          </cell>
          <cell r="L39">
            <v>1.7129560465742408E-3</v>
          </cell>
          <cell r="M39">
            <v>5.2341664273577296E-2</v>
          </cell>
          <cell r="N39">
            <v>2.2371971272315966E-2</v>
          </cell>
          <cell r="O39">
            <v>0.97762802872768406</v>
          </cell>
        </row>
      </sheetData>
      <sheetData sheetId="5" refreshError="1"/>
      <sheetData sheetId="6" refreshError="1">
        <row r="39">
          <cell r="K39">
            <v>0</v>
          </cell>
          <cell r="L39">
            <v>0.70784361637141113</v>
          </cell>
          <cell r="M39">
            <v>3.103237629810629E-3</v>
          </cell>
          <cell r="N39">
            <v>1.9865607819181428E-2</v>
          </cell>
          <cell r="O39">
            <v>0.26918753817959684</v>
          </cell>
        </row>
      </sheetData>
      <sheetData sheetId="7" refreshError="1">
        <row r="39">
          <cell r="K39">
            <v>0</v>
          </cell>
          <cell r="L39">
            <v>0</v>
          </cell>
          <cell r="M39">
            <v>0.26426386864938378</v>
          </cell>
          <cell r="N39">
            <v>4.1476741852909525E-2</v>
          </cell>
          <cell r="O39">
            <v>0.69425938949770671</v>
          </cell>
        </row>
      </sheetData>
      <sheetData sheetId="8" refreshError="1">
        <row r="39">
          <cell r="K39">
            <v>0</v>
          </cell>
          <cell r="L39">
            <v>8.3099485200515601E-3</v>
          </cell>
          <cell r="M39">
            <v>7.2635365043273586E-2</v>
          </cell>
          <cell r="N39">
            <v>2.5867828035649049E-2</v>
          </cell>
          <cell r="O39">
            <v>0.97413217196435098</v>
          </cell>
        </row>
      </sheetData>
    </sheetDataSet>
  </externalBook>
</externalLink>
</file>

<file path=xl/externalLinks/externalLink13.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CRA ADJ UNIT COSTS-hardcoded"/>
      <sheetName val="CRA ADJ UNIT COSTS"/>
      <sheetName val="CR CRA ADJ UNIT COSTS-Hardcoded"/>
      <sheetName val="CR CRA ADJ UNIT COSTS"/>
      <sheetName val="PRESORT LEVELS HELD CONST"/>
      <sheetName val="CARRIER ROUTE AVOIDED COST CALC"/>
      <sheetName val="CRA FLATS"/>
      <sheetName val="MADC NONAUTO COST"/>
      <sheetName val="MADC NONAUTO MODEL"/>
      <sheetName val="ADC NONAUTO COST"/>
      <sheetName val="ADC NONAUTO MODEL"/>
      <sheetName val="3D NONAUTO COST"/>
      <sheetName val="3D NONAUTO MODEL"/>
      <sheetName val="3D NONAUTO MODEL FSS"/>
      <sheetName val="3D NONAUTO COST FSS"/>
      <sheetName val="3D NONAUTO MODEL NONFSS"/>
      <sheetName val="3D NONAUTO COST NONFSS"/>
      <sheetName val="5D NONAUTO COST"/>
      <sheetName val="5D NONAUTO MODEL"/>
      <sheetName val="FSS OTHER NONAUTO COST"/>
      <sheetName val="FSS OTHER NONAUTO MODEL"/>
      <sheetName val="FSS SCHEME NONAUTO COST"/>
      <sheetName val="FSS SCHEME NONAUTO MODEL"/>
      <sheetName val="MADC AUTO COST"/>
      <sheetName val="MADC AUTO MODEL"/>
      <sheetName val="ADC AUTO COST"/>
      <sheetName val="ADC AUTO MODEL"/>
      <sheetName val="3D AUTO COST"/>
      <sheetName val="3D AUTO MODEL"/>
      <sheetName val="3D AUTO MODEL FSS"/>
      <sheetName val="3D AUTO COST FSS"/>
      <sheetName val="3D AUTO MODEL NONFSS"/>
      <sheetName val="3D AUTO COST NONFSS"/>
      <sheetName val="5D AUTO COST"/>
      <sheetName val="5D AUTO MODEL"/>
      <sheetName val="FSS AUTO OTHER COST"/>
      <sheetName val="FSS AUTO OTHER MODEL"/>
      <sheetName val="FSS AUTO SCHEME COST"/>
      <sheetName val="FSS AUTO SCHEME MODEL"/>
      <sheetName val="MADC AUTO COST REV"/>
      <sheetName val="MADC AUTO MODEL REV"/>
      <sheetName val="ADC AUTO COST REV"/>
      <sheetName val="ADC AUTO MODEL REV"/>
      <sheetName val="3D AUTO COST REV"/>
      <sheetName val="3D AUTO MODEL REV"/>
      <sheetName val="3D AUTO COST REV FSS"/>
      <sheetName val="3D AUTO MODEL REV FSS"/>
      <sheetName val="3D AUTO COST REV NONFSS"/>
      <sheetName val="3D AUTO MODEL REV NONFSS"/>
      <sheetName val="5D AUTO COST REV"/>
      <sheetName val=" 5D AUTO MODEL REV"/>
      <sheetName val="FSS AUTO OTHER MODEL REV"/>
      <sheetName val="FSS AUTO OTHER COST REV"/>
      <sheetName val="PRODUCTIVITIES"/>
      <sheetName val="WAGE RATES"/>
      <sheetName val="PIGGYBACKS"/>
      <sheetName val="PIECE DENSITIES"/>
      <sheetName val="BUNDLE DATA"/>
      <sheetName val="BUNDLE SORT"/>
      <sheetName val="ENTRY PROFILE NEW"/>
      <sheetName val="FY VOLUME AUTO NEW"/>
      <sheetName val="FY VOLUME NONAUTO NEW"/>
      <sheetName val="ACCEPT RATES"/>
      <sheetName val="CARRIER ROUTE COST"/>
      <sheetName val="CARRIER ROUTE MODEL"/>
      <sheetName val="CR PALLET COST"/>
      <sheetName val="CR PALLET MODEL"/>
      <sheetName val="ENTRY PROFILE CARRIER ROUTE"/>
      <sheetName val="BUNDLE SORT CR"/>
      <sheetName val="COVERAGE FACTORS"/>
      <sheetName val="BUNDLE DENSITIES"/>
      <sheetName val="FY VOLUME CARRIER ROUTE"/>
      <sheetName val="CRA CARRIER ROU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8">
          <cell r="D8">
            <v>6.1234942212081587E-3</v>
          </cell>
        </row>
        <row r="22">
          <cell r="C22">
            <v>1</v>
          </cell>
          <cell r="D22">
            <v>0</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row r="7">
          <cell r="E7">
            <v>1</v>
          </cell>
        </row>
      </sheetData>
      <sheetData sheetId="71"/>
      <sheetData sheetId="72"/>
    </sheetDataSet>
  </externalBook>
</externalLink>
</file>

<file path=xl/externalLinks/externalLink14.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CM PRESORT LETTERS"/>
      <sheetName val="FCM PRESORT CARDS"/>
      <sheetName val="FCM PRESORT FLATS"/>
      <sheetName val="PERIODICALS FLATS"/>
      <sheetName val="USPS MM LETTERS"/>
      <sheetName val="USPS MM FLATS"/>
      <sheetName val="USPS MM CARRIER ROUTE FLATS"/>
      <sheetName val="USPS MM CR FLATS"/>
      <sheetName val="USPS MM ENTRY PROFILE"/>
      <sheetName val="CONTAINER STATISTICS"/>
      <sheetName val="USPS MM FLATS BY CON RATE"/>
      <sheetName val="PERIODICAL BUNDLE DENSITIES"/>
      <sheetName val="USPS MM BUNDLE DENSITIES"/>
      <sheetName val="NON 5D-CONTAINER AVE BUN SIZE"/>
      <sheetName val="DELIVERY"/>
      <sheetName val="Order 6658"/>
      <sheetName val="BPM_20_Stats"/>
      <sheetName val="FCM PCS PER TRAY"/>
    </sheetNames>
    <sheetDataSet>
      <sheetData sheetId="0" refreshError="1"/>
      <sheetData sheetId="1" refreshError="1"/>
      <sheetData sheetId="2" refreshError="1"/>
      <sheetData sheetId="3">
        <row r="7">
          <cell r="D7">
            <v>0</v>
          </cell>
        </row>
      </sheetData>
      <sheetData sheetId="4" refreshError="1"/>
      <sheetData sheetId="5" refreshError="1">
        <row r="8">
          <cell r="F8">
            <v>1154187.3079999404</v>
          </cell>
        </row>
        <row r="48">
          <cell r="F48">
            <v>0</v>
          </cell>
          <cell r="G48">
            <v>0</v>
          </cell>
        </row>
        <row r="49">
          <cell r="F49">
            <v>0</v>
          </cell>
          <cell r="G49">
            <v>0</v>
          </cell>
        </row>
        <row r="50">
          <cell r="F50">
            <v>0</v>
          </cell>
          <cell r="G50">
            <v>0</v>
          </cell>
        </row>
      </sheetData>
      <sheetData sheetId="6" refreshError="1">
        <row r="8">
          <cell r="F8">
            <v>9662328.0074896254</v>
          </cell>
        </row>
        <row r="25">
          <cell r="I25">
            <v>0</v>
          </cell>
          <cell r="J25">
            <v>0</v>
          </cell>
        </row>
        <row r="26">
          <cell r="I26">
            <v>0</v>
          </cell>
          <cell r="J26">
            <v>0</v>
          </cell>
        </row>
        <row r="27">
          <cell r="I27">
            <v>0</v>
          </cell>
          <cell r="J27">
            <v>0</v>
          </cell>
        </row>
        <row r="28">
          <cell r="I28">
            <v>0</v>
          </cell>
          <cell r="J28">
            <v>0</v>
          </cell>
        </row>
        <row r="29">
          <cell r="I29">
            <v>0</v>
          </cell>
          <cell r="J29">
            <v>0</v>
          </cell>
        </row>
      </sheetData>
      <sheetData sheetId="7" refreshError="1"/>
      <sheetData sheetId="8" refreshError="1"/>
      <sheetData sheetId="9" refreshError="1"/>
      <sheetData sheetId="10" refreshError="1"/>
      <sheetData sheetId="11">
        <row r="8">
          <cell r="D8">
            <v>1</v>
          </cell>
        </row>
      </sheetData>
      <sheetData sheetId="12" refreshError="1"/>
      <sheetData sheetId="13">
        <row r="31">
          <cell r="E31">
            <v>24.210340951140079</v>
          </cell>
        </row>
      </sheetData>
      <sheetData sheetId="14" refreshError="1"/>
      <sheetData sheetId="15" refreshError="1"/>
      <sheetData sheetId="16" refreshError="1"/>
      <sheetData sheetId="17"/>
    </sheetDataSet>
  </externalBook>
</externalLink>
</file>

<file path=xl/externalLinks/externalLink15.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CM PRESORT LETTERS"/>
      <sheetName val="FCM PRESORT CARDS"/>
      <sheetName val="FCM PRESORT FLATS"/>
      <sheetName val="PERIODICALS FLATS"/>
      <sheetName val="USPS MM LETTERS"/>
      <sheetName val="USPS MM FLATS"/>
      <sheetName val="USPS MM CARRIER ROUTE FLATS"/>
      <sheetName val="USPS MM CR FLATS"/>
      <sheetName val="USPS MM ENTRY PROFILE"/>
      <sheetName val="CONTAINER STATISTICS"/>
      <sheetName val="USPS MM FLATS BY CON RATE"/>
      <sheetName val="PERIODICAL BUNDLE DENSITIES"/>
      <sheetName val="USPS MM BUNDLE DENSITIES"/>
      <sheetName val="NON 5D-CONTAINER AVE BUN SIZE"/>
      <sheetName val="DELIVERY"/>
    </sheetNames>
    <sheetDataSet>
      <sheetData sheetId="0"/>
      <sheetData sheetId="1"/>
      <sheetData sheetId="2">
        <row r="8">
          <cell r="E8">
            <v>200238.86119809456</v>
          </cell>
        </row>
      </sheetData>
      <sheetData sheetId="3">
        <row r="7">
          <cell r="D7">
            <v>0</v>
          </cell>
        </row>
      </sheetData>
      <sheetData sheetId="4"/>
      <sheetData sheetId="5">
        <row r="8">
          <cell r="F8">
            <v>878933.60699999973</v>
          </cell>
        </row>
        <row r="48">
          <cell r="I48">
            <v>20.978509932101161</v>
          </cell>
          <cell r="J48">
            <v>26.979432332373509</v>
          </cell>
        </row>
        <row r="49">
          <cell r="I49">
            <v>24.090362915856613</v>
          </cell>
          <cell r="J49">
            <v>30.766129032258057</v>
          </cell>
        </row>
        <row r="50">
          <cell r="I50">
            <v>38.175393946836877</v>
          </cell>
          <cell r="J50">
            <v>17.088899128550874</v>
          </cell>
        </row>
        <row r="100">
          <cell r="F100">
            <v>0</v>
          </cell>
          <cell r="G100">
            <v>0</v>
          </cell>
          <cell r="I100">
            <v>0</v>
          </cell>
          <cell r="J100">
            <v>0</v>
          </cell>
        </row>
      </sheetData>
      <sheetData sheetId="6">
        <row r="8">
          <cell r="F8">
            <v>6410677.0600000005</v>
          </cell>
        </row>
      </sheetData>
      <sheetData sheetId="7"/>
      <sheetData sheetId="8"/>
      <sheetData sheetId="9"/>
      <sheetData sheetId="10"/>
      <sheetData sheetId="11">
        <row r="8">
          <cell r="D8">
            <v>1</v>
          </cell>
        </row>
      </sheetData>
      <sheetData sheetId="12">
        <row r="9">
          <cell r="E9">
            <v>1</v>
          </cell>
        </row>
      </sheetData>
      <sheetData sheetId="13">
        <row r="31">
          <cell r="E31">
            <v>23.213806618852217</v>
          </cell>
        </row>
      </sheetData>
      <sheetData sheetId="14"/>
    </sheetDataSet>
  </externalBook>
</externalLink>
</file>

<file path=xl/externalLinks/externalLink16.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Letters"/>
      <sheetName val="Flats"/>
      <sheetName val="Parcels"/>
      <sheetName val="ppgar"/>
      <sheetName val="afsmrefeed"/>
      <sheetName val="ufsmkey"/>
      <sheetName val="appsspbsgar"/>
      <sheetName val="flatgar"/>
      <sheetName val="mlissgar"/>
      <sheetName val="lettergar"/>
      <sheetName val="diossgar"/>
      <sheetName val="WebROADS"/>
    </sheetNames>
    <sheetDataSet>
      <sheetData sheetId="0">
        <row r="6">
          <cell r="C6">
            <v>0.90245715339016008</v>
          </cell>
        </row>
      </sheetData>
      <sheetData sheetId="1">
        <row r="8">
          <cell r="H8">
            <v>0.84905640284582573</v>
          </cell>
        </row>
        <row r="11">
          <cell r="H11">
            <v>0.88162885148614423</v>
          </cell>
        </row>
        <row r="14">
          <cell r="F14">
            <v>1.2707072519633367E-2</v>
          </cell>
          <cell r="G14">
            <v>0.92783966347078106</v>
          </cell>
          <cell r="H14">
            <v>0.95327189462561079</v>
          </cell>
        </row>
        <row r="15">
          <cell r="F15">
            <v>7.9879359908480909E-3</v>
          </cell>
          <cell r="H15">
            <v>0.90730744293695564</v>
          </cell>
        </row>
        <row r="16">
          <cell r="F16">
            <v>1.005332231380021E-2</v>
          </cell>
          <cell r="H16">
            <v>0.92748318352547432</v>
          </cell>
        </row>
        <row r="17">
          <cell r="F17">
            <v>9.7273555860640064E-3</v>
          </cell>
          <cell r="H17">
            <v>0.95050882548269811</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17.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Letters"/>
      <sheetName val="Flats"/>
      <sheetName val="Parcels"/>
      <sheetName val="ppgar"/>
      <sheetName val="afsmrefeed"/>
      <sheetName val="ufsmkey"/>
      <sheetName val="appsspbsgar"/>
      <sheetName val="flatgar"/>
      <sheetName val="mlissgar"/>
      <sheetName val="lettergar"/>
      <sheetName val="diossgar"/>
      <sheetName val="WebROADS"/>
    </sheetNames>
    <sheetDataSet>
      <sheetData sheetId="0">
        <row r="6">
          <cell r="C6">
            <v>0.90878306492554928</v>
          </cell>
        </row>
      </sheetData>
      <sheetData sheetId="1">
        <row r="8">
          <cell r="H8">
            <v>0.85591087170901103</v>
          </cell>
        </row>
        <row r="20">
          <cell r="H20" t="str">
            <v>---</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18.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ENTRY PROFILE NEW"/>
      <sheetName val="CRA ADJ UNIT COSTS-hardcoded"/>
      <sheetName val="CRA ADJ UNIT COSTS"/>
      <sheetName val="CR CRA ADJ UNIT COSTS-Hardcoded"/>
      <sheetName val="CR CRA ADJ UNIT COSTS"/>
      <sheetName val="PRESORT LEVELS HELD CONST"/>
      <sheetName val="CARRIER ROUTE AVOIDED COST CALC"/>
      <sheetName val="CRA FLATS"/>
      <sheetName val="MADC NONAUTO COST"/>
      <sheetName val="MADC NONAUTO MODEL"/>
      <sheetName val="ADC NONAUTO COST"/>
      <sheetName val="ADC NONAUTO MODEL"/>
      <sheetName val="3D NONAUTO COST"/>
      <sheetName val="3D NONAUTO MODEL"/>
      <sheetName val="3D NONAUTO MODEL FSS"/>
      <sheetName val="3D NONAUTO COST FSS"/>
      <sheetName val="3D NONAUTO MODEL NONFSS"/>
      <sheetName val="3D NONAUTO COST NONFSS"/>
      <sheetName val="5D NONAUTO COST"/>
      <sheetName val="5D NONAUTO MODEL"/>
      <sheetName val="FSS OTHER NONAUTO COST"/>
      <sheetName val="FSS OTHER NONAUTO MODEL"/>
      <sheetName val="FSS SCHEME NONAUTO COST"/>
      <sheetName val="FSS SCHEME NONAUTO MODEL"/>
      <sheetName val="MADC AUTO COST"/>
      <sheetName val="MADC AUTO MODEL"/>
      <sheetName val="ADC AUTO COST"/>
      <sheetName val="ADC AUTO MODEL"/>
      <sheetName val="3D AUTO COST"/>
      <sheetName val="3D AUTO MODEL"/>
      <sheetName val="3D AUTO MODEL FSS"/>
      <sheetName val="3D AUTO COST FSS"/>
      <sheetName val="3D AUTO MODEL NONFSS"/>
      <sheetName val="3D AUTO COST NONFSS"/>
      <sheetName val="5D AUTO COST"/>
      <sheetName val="5D AUTO MODEL"/>
      <sheetName val="FSS AUTO OTHER COST"/>
      <sheetName val="FSS AUTO OTHER MODEL"/>
      <sheetName val="FSS AUTO SCHEME COST"/>
      <sheetName val="FSS AUTO SCHEME MODEL"/>
      <sheetName val="MADC AUTO COST REV"/>
      <sheetName val="MADC AUTO MODEL REV"/>
      <sheetName val="ADC AUTO COST REV"/>
      <sheetName val="ADC AUTO MODEL REV"/>
      <sheetName val="3D AUTO COST REV"/>
      <sheetName val="3D AUTO MODEL REV"/>
      <sheetName val="3D AUTO COST REV FSS"/>
      <sheetName val="3D AUTO MODEL REV FSS"/>
      <sheetName val="3D AUTO COST REV NONFSS"/>
      <sheetName val="3D AUTO MODEL REV NONFSS"/>
      <sheetName val="5D AUTO COST REV"/>
      <sheetName val=" 5D AUTO MODEL REV"/>
      <sheetName val="FSS AUTO OTHER MODEL REV"/>
      <sheetName val="FSS AUTO OTHER COST REV"/>
      <sheetName val="PRODUCTIVITIES"/>
      <sheetName val="WAGE RATES"/>
      <sheetName val="PIGGYBACKS"/>
      <sheetName val="PIECE DENSITIES"/>
      <sheetName val="BUNDLE DATA"/>
      <sheetName val="BUNDLE SORT"/>
      <sheetName val="FY VOLUME AUTO NEW"/>
      <sheetName val="FY VOLUME NONAUTO NEW"/>
      <sheetName val="ACCEPT RATES"/>
      <sheetName val="CARRIER ROUTE COST"/>
      <sheetName val="CARRIER ROUTE MODEL"/>
      <sheetName val="CR PALLET COST"/>
      <sheetName val="CR PALLET MODEL"/>
      <sheetName val="ENTRY PROFILE CARRIER ROUTE"/>
      <sheetName val="BUNDLE SORT CR"/>
      <sheetName val="COVERAGE FACTORS"/>
      <sheetName val="BUNDLE DENSITIES"/>
      <sheetName val="FY VOLUME CARRIER ROUTE"/>
      <sheetName val="CRA CARRIER ROU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C7">
            <v>1.6122758650167768E-2</v>
          </cell>
        </row>
      </sheetData>
      <sheetData sheetId="58">
        <row r="8">
          <cell r="D8">
            <v>6.1234942212081587E-3</v>
          </cell>
        </row>
        <row r="12">
          <cell r="D12">
            <v>0.10356873985476586</v>
          </cell>
        </row>
      </sheetData>
      <sheetData sheetId="59"/>
      <sheetData sheetId="60"/>
      <sheetData sheetId="61"/>
      <sheetData sheetId="62"/>
      <sheetData sheetId="63">
        <row r="1">
          <cell r="A1" t="str">
            <v>CARRIER ROUTE</v>
          </cell>
        </row>
      </sheetData>
      <sheetData sheetId="64"/>
      <sheetData sheetId="65"/>
      <sheetData sheetId="66"/>
      <sheetData sheetId="67">
        <row r="12">
          <cell r="W12">
            <v>351.46357852637885</v>
          </cell>
        </row>
      </sheetData>
      <sheetData sheetId="68"/>
      <sheetData sheetId="69">
        <row r="119">
          <cell r="B119">
            <v>0.53994046211560121</v>
          </cell>
        </row>
      </sheetData>
      <sheetData sheetId="70"/>
      <sheetData sheetId="71"/>
      <sheetData sheetId="72"/>
    </sheetDataSet>
  </externalBook>
</externalLink>
</file>

<file path=xl/externalLinks/externalLink19.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Y25"/>
    </sheetNames>
    <sheetDataSet>
      <sheetData sheetId="0">
        <row r="6">
          <cell r="C6">
            <v>0.41322614567088495</v>
          </cell>
          <cell r="E6">
            <v>0.45568107822005044</v>
          </cell>
          <cell r="F6" t="str">
            <v>USPS-FY25-14</v>
          </cell>
        </row>
        <row r="8">
          <cell r="E8">
            <v>0.52503138911228842</v>
          </cell>
        </row>
        <row r="10">
          <cell r="E10">
            <v>1.9287532667661027E-2</v>
          </cell>
        </row>
        <row r="14">
          <cell r="E14">
            <v>0.99827140004387094</v>
          </cell>
        </row>
        <row r="16">
          <cell r="E16">
            <v>0</v>
          </cell>
        </row>
        <row r="18">
          <cell r="E18">
            <v>0</v>
          </cell>
        </row>
        <row r="20">
          <cell r="E20">
            <v>1.7285999561292946E-3</v>
          </cell>
        </row>
        <row r="24">
          <cell r="E24">
            <v>0.80632998296548686</v>
          </cell>
        </row>
        <row r="30">
          <cell r="E30">
            <v>0.44003676844348011</v>
          </cell>
        </row>
        <row r="32">
          <cell r="E32">
            <v>0.53193273765822069</v>
          </cell>
        </row>
        <row r="34">
          <cell r="E34">
            <v>2.8030493898299046E-2</v>
          </cell>
        </row>
        <row r="38">
          <cell r="E38">
            <v>0.994028666735148</v>
          </cell>
        </row>
        <row r="40">
          <cell r="E40">
            <v>0</v>
          </cell>
        </row>
        <row r="42">
          <cell r="E42">
            <v>0</v>
          </cell>
        </row>
        <row r="44">
          <cell r="E44">
            <v>5.9713332648533689E-3</v>
          </cell>
        </row>
        <row r="48">
          <cell r="E48">
            <v>0.78144447315788113</v>
          </cell>
        </row>
      </sheetData>
    </sheetDataSet>
  </externalBook>
</externalLink>
</file>

<file path=xl/externalLinks/externalLink20.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FY24"/>
      <sheetName val="FY25"/>
    </sheetNames>
    <sheetDataSet>
      <sheetData sheetId="0">
        <row r="6">
          <cell r="C6">
            <v>0.4328611846142193</v>
          </cell>
        </row>
        <row r="28">
          <cell r="E28" t="str">
            <v>USPS Marketing Mail</v>
          </cell>
        </row>
      </sheetData>
      <sheetData sheetId="1">
        <row r="12">
          <cell r="D12">
            <v>0.99999999999999989</v>
          </cell>
        </row>
      </sheetData>
    </sheetDataSet>
  </externalBook>
</externalLink>
</file>

<file path=xl/externalLinks/externalLink2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absoluteUrl r:id="rId2"/>
    </xxl21:alternateUrls>
    <sheetNames>
      <sheetName val="Summary"/>
      <sheetName val="Cost 18"/>
      <sheetName val="MCS_PER"/>
      <sheetName val="BPM25"/>
      <sheetName val="Periodicals25"/>
    </sheetNames>
    <sheetDataSet>
      <sheetData sheetId="0">
        <row r="18">
          <cell r="K18">
            <v>0.95103660106780996</v>
          </cell>
        </row>
      </sheetData>
      <sheetData sheetId="1"/>
      <sheetData sheetId="2"/>
      <sheetData sheetId="3"/>
      <sheetData sheetId="4"/>
    </sheetDataSet>
  </externalBook>
</externalLink>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1" Type="http://purl.oclc.org/ooxml/officeDocument/relationships/printerSettings" Target="../printerSettings/printerSettings4.bin"/></Relationships>
</file>

<file path=xl/worksheets/_rels/sheet5.xml.rels><?xml version="1.0" encoding="UTF-8" standalone="yes"?>
<Relationships xmlns="http://schemas.openxmlformats.org/package/2006/relationships"><Relationship Id="rId1" Type="http://purl.oclc.org/ooxml/officeDocument/relationships/printerSettings" Target="../printerSettings/printerSettings5.bin"/></Relationships>
</file>

<file path=xl/worksheets/_rels/sheet6.xml.rels><?xml version="1.0" encoding="UTF-8" standalone="yes"?>
<Relationships xmlns="http://schemas.openxmlformats.org/package/2006/relationships"><Relationship Id="rId1" Type="http://purl.oclc.org/ooxml/officeDocument/relationships/printerSettings" Target="../printerSettings/printerSettings6.bin"/></Relationships>
</file>

<file path=xl/worksheets/_rels/sheet7.xml.rels><?xml version="1.0" encoding="UTF-8" standalone="yes"?>
<Relationships xmlns="http://schemas.openxmlformats.org/package/2006/relationships"><Relationship Id="rId1" Type="http://purl.oclc.org/ooxml/officeDocument/relationships/printerSettings" Target="../printerSettings/printerSettings7.bin"/></Relationships>
</file>

<file path=xl/worksheets/_rels/sheet8.xml.rels><?xml version="1.0" encoding="UTF-8" standalone="yes"?>
<Relationships xmlns="http://schemas.openxmlformats.org/package/2006/relationships"><Relationship Id="rId1" Type="http://purl.oclc.org/ooxml/officeDocument/relationships/printerSettings" Target="../printerSettings/printerSettings8.bin"/></Relationships>
</file>

<file path=xl/worksheets/_rels/sheet9.xml.rels><?xml version="1.0" encoding="UTF-8" standalone="yes"?>
<Relationships xmlns="http://schemas.openxmlformats.org/package/2006/relationships"><Relationship Id="rId1" Type="http://purl.oclc.org/ooxml/officeDocument/relationships/printerSettings" Target="../printerSettings/printerSettings9.bin"/></Relationships>
</file>

<file path=xl/worksheets/_rels/sheet10.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0.bin"/></Relationships>
</file>

<file path=xl/worksheets/_rels/sheet11.xml.rels><?xml version="1.0" encoding="UTF-8" standalone="yes"?>
<Relationships xmlns="http://schemas.openxmlformats.org/package/2006/relationships"><Relationship Id="rId1" Type="http://purl.oclc.org/ooxml/officeDocument/relationships/printerSettings" Target="../printerSettings/printerSettings11.bin"/></Relationships>
</file>

<file path=xl/worksheets/_rels/sheet1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12.bin"/></Relationships>
</file>

<file path=xl/worksheets/_rels/sheet13.xml.rels><?xml version="1.0" encoding="UTF-8" standalone="yes"?>
<Relationships xmlns="http://schemas.openxmlformats.org/package/2006/relationships"><Relationship Id="rId1" Type="http://purl.oclc.org/ooxml/officeDocument/relationships/printerSettings" Target="../printerSettings/printerSettings13.bin"/></Relationships>
</file>

<file path=xl/worksheets/_rels/sheet14.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14.bin"/></Relationships>
</file>

<file path=xl/worksheets/_rels/sheet15.xml.rels><?xml version="1.0" encoding="UTF-8" standalone="yes"?>
<Relationships xmlns="http://schemas.openxmlformats.org/package/2006/relationships"><Relationship Id="rId1" Type="http://purl.oclc.org/ooxml/officeDocument/relationships/printerSettings" Target="../printerSettings/printerSettings15.bin"/></Relationships>
</file>

<file path=xl/worksheets/_rels/sheet16.xml.rels><?xml version="1.0" encoding="UTF-8" standalone="yes"?>
<Relationships xmlns="http://schemas.openxmlformats.org/package/2006/relationships"><Relationship Id="rId2" Type="http://purl.oclc.org/ooxml/officeDocument/relationships/drawing" Target="../drawings/drawing4.xml"/><Relationship Id="rId1" Type="http://purl.oclc.org/ooxml/officeDocument/relationships/printerSettings" Target="../printerSettings/printerSettings16.bin"/></Relationships>
</file>

<file path=xl/worksheets/_rels/sheet17.xml.rels><?xml version="1.0" encoding="UTF-8" standalone="yes"?>
<Relationships xmlns="http://schemas.openxmlformats.org/package/2006/relationships"><Relationship Id="rId1" Type="http://purl.oclc.org/ooxml/officeDocument/relationships/printerSettings" Target="../printerSettings/printerSettings17.bin"/></Relationships>
</file>

<file path=xl/worksheets/_rels/sheet18.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18.bin"/></Relationships>
</file>

<file path=xl/worksheets/_rels/sheet19.xml.rels><?xml version="1.0" encoding="UTF-8" standalone="yes"?>
<Relationships xmlns="http://schemas.openxmlformats.org/package/2006/relationships"><Relationship Id="rId1" Type="http://purl.oclc.org/ooxml/officeDocument/relationships/printerSettings" Target="../printerSettings/printerSettings19.bin"/></Relationships>
</file>

<file path=xl/worksheets/_rels/sheet20.xml.rels><?xml version="1.0" encoding="UTF-8" standalone="yes"?>
<Relationships xmlns="http://schemas.openxmlformats.org/package/2006/relationships"><Relationship Id="rId2" Type="http://purl.oclc.org/ooxml/officeDocument/relationships/drawing" Target="../drawings/drawing6.xml"/><Relationship Id="rId1" Type="http://purl.oclc.org/ooxml/officeDocument/relationships/printerSettings" Target="../printerSettings/printerSettings20.bin"/></Relationships>
</file>

<file path=xl/worksheets/_rels/sheet21.xml.rels><?xml version="1.0" encoding="UTF-8" standalone="yes"?>
<Relationships xmlns="http://schemas.openxmlformats.org/package/2006/relationships"><Relationship Id="rId1" Type="http://purl.oclc.org/ooxml/officeDocument/relationships/printerSettings" Target="../printerSettings/printerSettings21.bin"/></Relationships>
</file>

<file path=xl/worksheets/_rels/sheet22.xml.rels><?xml version="1.0" encoding="UTF-8" standalone="yes"?>
<Relationships xmlns="http://schemas.openxmlformats.org/package/2006/relationships"><Relationship Id="rId2" Type="http://purl.oclc.org/ooxml/officeDocument/relationships/drawing" Target="../drawings/drawing7.xml"/><Relationship Id="rId1" Type="http://purl.oclc.org/ooxml/officeDocument/relationships/printerSettings" Target="../printerSettings/printerSettings22.bin"/></Relationships>
</file>

<file path=xl/worksheets/_rels/sheet23.xml.rels><?xml version="1.0" encoding="UTF-8" standalone="yes"?>
<Relationships xmlns="http://schemas.openxmlformats.org/package/2006/relationships"><Relationship Id="rId1" Type="http://purl.oclc.org/ooxml/officeDocument/relationships/printerSettings" Target="../printerSettings/printerSettings23.bin"/></Relationships>
</file>

<file path=xl/worksheets/_rels/sheet24.xml.rels><?xml version="1.0" encoding="UTF-8" standalone="yes"?>
<Relationships xmlns="http://schemas.openxmlformats.org/package/2006/relationships"><Relationship Id="rId2" Type="http://purl.oclc.org/ooxml/officeDocument/relationships/drawing" Target="../drawings/drawing8.xml"/><Relationship Id="rId1" Type="http://purl.oclc.org/ooxml/officeDocument/relationships/printerSettings" Target="../printerSettings/printerSettings24.bin"/></Relationships>
</file>

<file path=xl/worksheets/_rels/sheet25.xml.rels><?xml version="1.0" encoding="UTF-8" standalone="yes"?>
<Relationships xmlns="http://schemas.openxmlformats.org/package/2006/relationships"><Relationship Id="rId1" Type="http://purl.oclc.org/ooxml/officeDocument/relationships/printerSettings" Target="../printerSettings/printerSettings25.bin"/></Relationships>
</file>

<file path=xl/worksheets/_rels/sheet26.xml.rels><?xml version="1.0" encoding="UTF-8" standalone="yes"?>
<Relationships xmlns="http://schemas.openxmlformats.org/package/2006/relationships"><Relationship Id="rId2" Type="http://purl.oclc.org/ooxml/officeDocument/relationships/drawing" Target="../drawings/drawing9.xml"/><Relationship Id="rId1" Type="http://purl.oclc.org/ooxml/officeDocument/relationships/printerSettings" Target="../printerSettings/printerSettings26.bin"/></Relationships>
</file>

<file path=xl/worksheets/_rels/sheet27.xml.rels><?xml version="1.0" encoding="UTF-8" standalone="yes"?>
<Relationships xmlns="http://schemas.openxmlformats.org/package/2006/relationships"><Relationship Id="rId1" Type="http://purl.oclc.org/ooxml/officeDocument/relationships/printerSettings" Target="../printerSettings/printerSettings27.bin"/></Relationships>
</file>

<file path=xl/worksheets/_rels/sheet28.xml.rels><?xml version="1.0" encoding="UTF-8" standalone="yes"?>
<Relationships xmlns="http://schemas.openxmlformats.org/package/2006/relationships"><Relationship Id="rId2" Type="http://purl.oclc.org/ooxml/officeDocument/relationships/drawing" Target="../drawings/drawing10.xml"/><Relationship Id="rId1" Type="http://purl.oclc.org/ooxml/officeDocument/relationships/printerSettings" Target="../printerSettings/printerSettings28.bin"/></Relationships>
</file>

<file path=xl/worksheets/_rels/sheet29.xml.rels><?xml version="1.0" encoding="UTF-8" standalone="yes"?>
<Relationships xmlns="http://schemas.openxmlformats.org/package/2006/relationships"><Relationship Id="rId1" Type="http://purl.oclc.org/ooxml/officeDocument/relationships/printerSettings" Target="../printerSettings/printerSettings29.bin"/></Relationships>
</file>

<file path=xl/worksheets/_rels/sheet30.xml.rels><?xml version="1.0" encoding="UTF-8" standalone="yes"?>
<Relationships xmlns="http://schemas.openxmlformats.org/package/2006/relationships"><Relationship Id="rId2" Type="http://purl.oclc.org/ooxml/officeDocument/relationships/drawing" Target="../drawings/drawing11.xml"/><Relationship Id="rId1" Type="http://purl.oclc.org/ooxml/officeDocument/relationships/printerSettings" Target="../printerSettings/printerSettings30.bin"/></Relationships>
</file>

<file path=xl/worksheets/_rels/sheet31.xml.rels><?xml version="1.0" encoding="UTF-8" standalone="yes"?>
<Relationships xmlns="http://schemas.openxmlformats.org/package/2006/relationships"><Relationship Id="rId1" Type="http://purl.oclc.org/ooxml/officeDocument/relationships/printerSettings" Target="../printerSettings/printerSettings31.bin"/></Relationships>
</file>

<file path=xl/worksheets/_rels/sheet32.xml.rels><?xml version="1.0" encoding="UTF-8" standalone="yes"?>
<Relationships xmlns="http://schemas.openxmlformats.org/package/2006/relationships"><Relationship Id="rId2" Type="http://purl.oclc.org/ooxml/officeDocument/relationships/drawing" Target="../drawings/drawing12.xml"/><Relationship Id="rId1" Type="http://purl.oclc.org/ooxml/officeDocument/relationships/printerSettings" Target="../printerSettings/printerSettings32.bin"/></Relationships>
</file>

<file path=xl/worksheets/_rels/sheet33.xml.rels><?xml version="1.0" encoding="UTF-8" standalone="yes"?>
<Relationships xmlns="http://schemas.openxmlformats.org/package/2006/relationships"><Relationship Id="rId1" Type="http://purl.oclc.org/ooxml/officeDocument/relationships/printerSettings" Target="../printerSettings/printerSettings33.bin"/></Relationships>
</file>

<file path=xl/worksheets/_rels/sheet34.xml.rels><?xml version="1.0" encoding="UTF-8" standalone="yes"?>
<Relationships xmlns="http://schemas.openxmlformats.org/package/2006/relationships"><Relationship Id="rId2" Type="http://purl.oclc.org/ooxml/officeDocument/relationships/drawing" Target="../drawings/drawing13.xml"/><Relationship Id="rId1" Type="http://purl.oclc.org/ooxml/officeDocument/relationships/printerSettings" Target="../printerSettings/printerSettings34.bin"/></Relationships>
</file>

<file path=xl/worksheets/_rels/sheet35.xml.rels><?xml version="1.0" encoding="UTF-8" standalone="yes"?>
<Relationships xmlns="http://schemas.openxmlformats.org/package/2006/relationships"><Relationship Id="rId1" Type="http://purl.oclc.org/ooxml/officeDocument/relationships/printerSettings" Target="../printerSettings/printerSettings35.bin"/></Relationships>
</file>

<file path=xl/worksheets/_rels/sheet36.xml.rels><?xml version="1.0" encoding="UTF-8" standalone="yes"?>
<Relationships xmlns="http://schemas.openxmlformats.org/package/2006/relationships"><Relationship Id="rId1" Type="http://purl.oclc.org/ooxml/officeDocument/relationships/printerSettings" Target="../printerSettings/printerSettings36.bin"/></Relationships>
</file>

<file path=xl/worksheets/_rels/sheet37.xml.rels><?xml version="1.0" encoding="UTF-8" standalone="yes"?>
<Relationships xmlns="http://schemas.openxmlformats.org/package/2006/relationships"><Relationship Id="rId1" Type="http://purl.oclc.org/ooxml/officeDocument/relationships/printerSettings" Target="../printerSettings/printerSettings37.bin"/></Relationships>
</file>

<file path=xl/worksheets/_rels/sheet38.xml.rels><?xml version="1.0" encoding="UTF-8" standalone="yes"?>
<Relationships xmlns="http://schemas.openxmlformats.org/package/2006/relationships"><Relationship Id="rId1" Type="http://purl.oclc.org/ooxml/officeDocument/relationships/printerSettings" Target="../printerSettings/printerSettings38.bin"/></Relationships>
</file>

<file path=xl/worksheets/_rels/sheet39.xml.rels><?xml version="1.0" encoding="UTF-8" standalone="yes"?>
<Relationships xmlns="http://schemas.openxmlformats.org/package/2006/relationships"><Relationship Id="rId1" Type="http://purl.oclc.org/ooxml/officeDocument/relationships/printerSettings" Target="../printerSettings/printerSettings39.bin"/></Relationships>
</file>

<file path=xl/worksheets/_rels/sheet40.xml.rels><?xml version="1.0" encoding="UTF-8" standalone="yes"?>
<Relationships xmlns="http://schemas.openxmlformats.org/package/2006/relationships"><Relationship Id="rId1" Type="http://purl.oclc.org/ooxml/officeDocument/relationships/printerSettings" Target="../printerSettings/printerSettings40.bin"/></Relationships>
</file>

<file path=xl/worksheets/_rels/sheet41.xml.rels><?xml version="1.0" encoding="UTF-8" standalone="yes"?>
<Relationships xmlns="http://schemas.openxmlformats.org/package/2006/relationships"><Relationship Id="rId1" Type="http://purl.oclc.org/ooxml/officeDocument/relationships/printerSettings" Target="../printerSettings/printerSettings41.bin"/></Relationships>
</file>

<file path=xl/worksheets/_rels/sheet42.xml.rels><?xml version="1.0" encoding="UTF-8" standalone="yes"?>
<Relationships xmlns="http://schemas.openxmlformats.org/package/2006/relationships"><Relationship Id="rId1" Type="http://purl.oclc.org/ooxml/officeDocument/relationships/printerSettings" Target="../printerSettings/printerSettings42.bin"/></Relationships>
</file>

<file path=xl/worksheets/_rels/sheet43.xml.rels><?xml version="1.0" encoding="UTF-8" standalone="yes"?>
<Relationships xmlns="http://schemas.openxmlformats.org/package/2006/relationships"><Relationship Id="rId1" Type="http://purl.oclc.org/ooxml/officeDocument/relationships/printerSettings" Target="../printerSettings/printerSettings43.bin"/></Relationships>
</file>

<file path=xl/worksheets/_rels/sheet44.xml.rels><?xml version="1.0" encoding="UTF-8" standalone="yes"?>
<Relationships xmlns="http://schemas.openxmlformats.org/package/2006/relationships"><Relationship Id="rId1" Type="http://purl.oclc.org/ooxml/officeDocument/relationships/printerSettings" Target="../printerSettings/printerSettings44.bin"/></Relationships>
</file>

<file path=xl/worksheets/_rels/sheet45.xml.rels><?xml version="1.0" encoding="UTF-8" standalone="yes"?>
<Relationships xmlns="http://schemas.openxmlformats.org/package/2006/relationships"><Relationship Id="rId1" Type="http://purl.oclc.org/ooxml/officeDocument/relationships/printerSettings" Target="../printerSettings/printerSettings45.bin"/></Relationships>
</file>

<file path=xl/worksheets/_rels/sheet46.xml.rels><?xml version="1.0" encoding="UTF-8" standalone="yes"?>
<Relationships xmlns="http://schemas.openxmlformats.org/package/2006/relationships"><Relationship Id="rId1" Type="http://purl.oclc.org/ooxml/officeDocument/relationships/printerSettings" Target="../printerSettings/printerSettings46.bin"/></Relationships>
</file>

<file path=xl/worksheets/_rels/sheet47.xml.rels><?xml version="1.0" encoding="UTF-8" standalone="yes"?>
<Relationships xmlns="http://schemas.openxmlformats.org/package/2006/relationships"><Relationship Id="rId1" Type="http://purl.oclc.org/ooxml/officeDocument/relationships/printerSettings" Target="../printerSettings/printerSettings47.bin"/></Relationships>
</file>

<file path=xl/worksheets/_rels/sheet48.xml.rels><?xml version="1.0" encoding="UTF-8" standalone="yes"?>
<Relationships xmlns="http://schemas.openxmlformats.org/package/2006/relationships"><Relationship Id="rId2" Type="http://purl.oclc.org/ooxml/officeDocument/relationships/drawing" Target="../drawings/drawing14.xml"/><Relationship Id="rId1" Type="http://purl.oclc.org/ooxml/officeDocument/relationships/printerSettings" Target="../printerSettings/printerSettings48.bin"/></Relationships>
</file>

<file path=xl/worksheets/_rels/sheet49.xml.rels><?xml version="1.0" encoding="UTF-8" standalone="yes"?>
<Relationships xmlns="http://schemas.openxmlformats.org/package/2006/relationships"><Relationship Id="rId1" Type="http://purl.oclc.org/ooxml/officeDocument/relationships/printerSettings" Target="../printerSettings/printerSettings49.bin"/></Relationships>
</file>

<file path=xl/worksheets/_rels/sheet50.xml.rels><?xml version="1.0" encoding="UTF-8" standalone="yes"?>
<Relationships xmlns="http://schemas.openxmlformats.org/package/2006/relationships"><Relationship Id="rId2" Type="http://purl.oclc.org/ooxml/officeDocument/relationships/drawing" Target="../drawings/drawing15.xml"/><Relationship Id="rId1" Type="http://purl.oclc.org/ooxml/officeDocument/relationships/printerSettings" Target="../printerSettings/printerSettings50.bin"/></Relationships>
</file>

<file path=xl/worksheets/_rels/sheet51.xml.rels><?xml version="1.0" encoding="UTF-8" standalone="yes"?>
<Relationships xmlns="http://schemas.openxmlformats.org/package/2006/relationships"><Relationship Id="rId1" Type="http://purl.oclc.org/ooxml/officeDocument/relationships/printerSettings" Target="../printerSettings/printerSettings51.bin"/></Relationships>
</file>

<file path=xl/worksheets/_rels/sheet52.xml.rels><?xml version="1.0" encoding="UTF-8" standalone="yes"?>
<Relationships xmlns="http://schemas.openxmlformats.org/package/2006/relationships"><Relationship Id="rId1" Type="http://purl.oclc.org/ooxml/officeDocument/relationships/printerSettings" Target="../printerSettings/printerSettings52.bin"/></Relationships>
</file>

<file path=xl/worksheets/_rels/sheet53.xml.rels><?xml version="1.0" encoding="UTF-8" standalone="yes"?>
<Relationships xmlns="http://schemas.openxmlformats.org/package/2006/relationships"><Relationship Id="rId1" Type="http://purl.oclc.org/ooxml/officeDocument/relationships/printerSettings" Target="../printerSettings/printerSettings53.bin"/></Relationships>
</file>

<file path=xl/worksheets/_rels/sheet54.xml.rels><?xml version="1.0" encoding="UTF-8" standalone="yes"?>
<Relationships xmlns="http://schemas.openxmlformats.org/package/2006/relationships"><Relationship Id="rId1" Type="http://purl.oclc.org/ooxml/officeDocument/relationships/printerSettings" Target="../printerSettings/printerSettings54.bin"/></Relationships>
</file>

<file path=xl/worksheets/_rels/sheet55.xml.rels><?xml version="1.0" encoding="UTF-8" standalone="yes"?>
<Relationships xmlns="http://schemas.openxmlformats.org/package/2006/relationships"><Relationship Id="rId1" Type="http://purl.oclc.org/ooxml/officeDocument/relationships/printerSettings" Target="../printerSettings/printerSettings55.bin"/></Relationships>
</file>

<file path=xl/worksheets/_rels/sheet56.xml.rels><?xml version="1.0" encoding="UTF-8" standalone="yes"?>
<Relationships xmlns="http://schemas.openxmlformats.org/package/2006/relationships"><Relationship Id="rId1" Type="http://purl.oclc.org/ooxml/officeDocument/relationships/printerSettings" Target="../printerSettings/printerSettings56.bin"/></Relationships>
</file>

<file path=xl/worksheets/_rels/sheet57.xml.rels><?xml version="1.0" encoding="UTF-8" standalone="yes"?>
<Relationships xmlns="http://schemas.openxmlformats.org/package/2006/relationships"><Relationship Id="rId1" Type="http://purl.oclc.org/ooxml/officeDocument/relationships/printerSettings" Target="../printerSettings/printerSettings57.bin"/></Relationships>
</file>

<file path=xl/worksheets/_rels/sheet58.xml.rels><?xml version="1.0" encoding="UTF-8" standalone="yes"?>
<Relationships xmlns="http://schemas.openxmlformats.org/package/2006/relationships"><Relationship Id="rId1" Type="http://purl.oclc.org/ooxml/officeDocument/relationships/printerSettings" Target="../printerSettings/printerSettings58.bin"/></Relationships>
</file>

<file path=xl/worksheets/_rels/sheet59.xml.rels><?xml version="1.0" encoding="UTF-8" standalone="yes"?>
<Relationships xmlns="http://schemas.openxmlformats.org/package/2006/relationships"><Relationship Id="rId1" Type="http://purl.oclc.org/ooxml/officeDocument/relationships/printerSettings" Target="../printerSettings/printerSettings59.bin"/></Relationships>
</file>

<file path=xl/worksheets/_rels/sheet60.xml.rels><?xml version="1.0" encoding="UTF-8" standalone="yes"?>
<Relationships xmlns="http://schemas.openxmlformats.org/package/2006/relationships"><Relationship Id="rId1" Type="http://purl.oclc.org/ooxml/officeDocument/relationships/printerSettings" Target="../printerSettings/printerSettings60.bin"/></Relationships>
</file>

<file path=xl/worksheets/_rels/sheet61.xml.rels><?xml version="1.0" encoding="UTF-8" standalone="yes"?>
<Relationships xmlns="http://schemas.openxmlformats.org/package/2006/relationships"><Relationship Id="rId1" Type="http://purl.oclc.org/ooxml/officeDocument/relationships/printerSettings" Target="../printerSettings/printerSettings61.bin"/></Relationships>
</file>

<file path=xl/worksheets/_rels/sheet62.xml.rels><?xml version="1.0" encoding="UTF-8" standalone="yes"?>
<Relationships xmlns="http://schemas.openxmlformats.org/package/2006/relationships"><Relationship Id="rId1" Type="http://purl.oclc.org/ooxml/officeDocument/relationships/printerSettings" Target="../printerSettings/printerSettings62.bin"/></Relationships>
</file>

<file path=xl/worksheets/_rels/sheet63.xml.rels><?xml version="1.0" encoding="UTF-8" standalone="yes"?>
<Relationships xmlns="http://schemas.openxmlformats.org/package/2006/relationships"><Relationship Id="rId1" Type="http://purl.oclc.org/ooxml/officeDocument/relationships/printerSettings" Target="../printerSettings/printerSettings63.bin"/></Relationships>
</file>

<file path=xl/worksheets/_rels/sheet64.xml.rels><?xml version="1.0" encoding="UTF-8" standalone="yes"?>
<Relationships xmlns="http://schemas.openxmlformats.org/package/2006/relationships"><Relationship Id="rId1" Type="http://purl.oclc.org/ooxml/officeDocument/relationships/printerSettings" Target="../printerSettings/printerSettings64.bin"/></Relationships>
</file>

<file path=xl/worksheets/_rels/sheet65.xml.rels><?xml version="1.0" encoding="UTF-8" standalone="yes"?>
<Relationships xmlns="http://schemas.openxmlformats.org/package/2006/relationships"><Relationship Id="rId1" Type="http://purl.oclc.org/ooxml/officeDocument/relationships/printerSettings" Target="../printerSettings/printerSettings65.bin"/></Relationships>
</file>

<file path=xl/worksheets/_rels/sheet66.xml.rels><?xml version="1.0" encoding="UTF-8" standalone="yes"?>
<Relationships xmlns="http://schemas.openxmlformats.org/package/2006/relationships"><Relationship Id="rId1" Type="http://purl.oclc.org/ooxml/officeDocument/relationships/printerSettings" Target="../printerSettings/printerSettings66.bin"/></Relationships>
</file>

<file path=xl/worksheets/_rels/sheet67.xml.rels><?xml version="1.0" encoding="UTF-8" standalone="yes"?>
<Relationships xmlns="http://schemas.openxmlformats.org/package/2006/relationships"><Relationship Id="rId1" Type="http://purl.oclc.org/ooxml/officeDocument/relationships/printerSettings" Target="../printerSettings/printerSettings67.bin"/></Relationships>
</file>

<file path=xl/worksheets/_rels/sheet68.xml.rels><?xml version="1.0" encoding="UTF-8" standalone="yes"?>
<Relationships xmlns="http://schemas.openxmlformats.org/package/2006/relationships"><Relationship Id="rId2" Type="http://purl.oclc.org/ooxml/officeDocument/relationships/drawing" Target="../drawings/drawing16.xml"/><Relationship Id="rId1" Type="http://purl.oclc.org/ooxml/officeDocument/relationships/printerSettings" Target="../printerSettings/printerSettings68.bin"/></Relationships>
</file>

<file path=xl/worksheets/_rels/sheet69.xml.rels><?xml version="1.0" encoding="UTF-8" standalone="yes"?>
<Relationships xmlns="http://schemas.openxmlformats.org/package/2006/relationships"><Relationship Id="rId1" Type="http://purl.oclc.org/ooxml/officeDocument/relationships/printerSettings" Target="../printerSettings/printerSettings69.bin"/></Relationships>
</file>

<file path=xl/worksheets/_rels/sheet70.xml.rels><?xml version="1.0" encoding="UTF-8" standalone="yes"?>
<Relationships xmlns="http://schemas.openxmlformats.org/package/2006/relationships"><Relationship Id="rId1" Type="http://purl.oclc.org/ooxml/officeDocument/relationships/printerSettings" Target="../printerSettings/printerSettings70.bin"/></Relationships>
</file>

<file path=xl/worksheets/_rels/sheet71.xml.rels><?xml version="1.0" encoding="UTF-8" standalone="yes"?>
<Relationships xmlns="http://schemas.openxmlformats.org/package/2006/relationships"><Relationship Id="rId1" Type="http://purl.oclc.org/ooxml/officeDocument/relationships/printerSettings" Target="../printerSettings/printerSettings71.bin"/></Relationships>
</file>

<file path=xl/worksheets/_rels/sheet72.xml.rels><?xml version="1.0" encoding="UTF-8" standalone="yes"?>
<Relationships xmlns="http://schemas.openxmlformats.org/package/2006/relationships"><Relationship Id="rId1" Type="http://purl.oclc.org/ooxml/officeDocument/relationships/printerSettings" Target="../printerSettings/printerSettings72.bin"/></Relationships>
</file>

<file path=xl/worksheets/_rels/sheet73.xml.rels><?xml version="1.0" encoding="UTF-8" standalone="yes"?>
<Relationships xmlns="http://schemas.openxmlformats.org/package/2006/relationships"><Relationship Id="rId1" Type="http://purl.oclc.org/ooxml/officeDocument/relationships/printerSettings" Target="../printerSettings/printerSettings73.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57A1-A804-4A32-A0D2-AA7A8397CE1D}">
  <sheetPr>
    <tabColor rgb="FFFFFF00"/>
  </sheetPr>
  <dimension ref="A1:IM257"/>
  <sheetViews>
    <sheetView topLeftCell="A35" zoomScale="75" zoomScaleNormal="75" workbookViewId="0">
      <selection activeCell="I42" sqref="I42"/>
    </sheetView>
  </sheetViews>
  <sheetFormatPr defaultColWidth="9.1796875" defaultRowHeight="11.5" x14ac:dyDescent="0.25"/>
  <cols>
    <col min="1" max="2" width="5.7265625" style="187" customWidth="1"/>
    <col min="3" max="3" width="26.7265625" style="187" customWidth="1"/>
    <col min="4" max="4" width="13.7265625" style="188" customWidth="1"/>
    <col min="5" max="5" width="22.26953125" style="189" customWidth="1"/>
    <col min="6" max="7" width="13.7265625" style="190" customWidth="1"/>
    <col min="8" max="8" width="22.7265625" style="187" customWidth="1"/>
    <col min="9" max="9" width="31.54296875" style="187" customWidth="1"/>
    <col min="10" max="10" width="19.26953125" style="192" customWidth="1"/>
    <col min="11" max="11" width="17" style="187" customWidth="1"/>
    <col min="12" max="12" width="13.54296875" style="187" customWidth="1"/>
    <col min="13" max="16384" width="9.1796875" style="187"/>
  </cols>
  <sheetData>
    <row r="1" spans="1:11" s="153" customFormat="1" ht="18" x14ac:dyDescent="0.4">
      <c r="A1" s="47" t="s">
        <v>596</v>
      </c>
      <c r="B1" s="159"/>
      <c r="C1" s="159"/>
      <c r="D1" s="160"/>
      <c r="E1" s="161"/>
      <c r="F1" s="162"/>
      <c r="G1" s="162"/>
    </row>
    <row r="2" spans="1:11" s="153" customFormat="1" ht="15.5" x14ac:dyDescent="0.35">
      <c r="A2" s="402" t="s">
        <v>656</v>
      </c>
      <c r="B2" s="159"/>
      <c r="C2" s="159"/>
      <c r="D2" s="160"/>
      <c r="E2" s="161"/>
      <c r="F2" s="162"/>
      <c r="G2" s="162"/>
    </row>
    <row r="3" spans="1:11" s="7" customFormat="1" ht="15.5" x14ac:dyDescent="0.35">
      <c r="A3" s="403" t="s">
        <v>657</v>
      </c>
      <c r="D3" s="137"/>
      <c r="F3" s="138"/>
      <c r="G3" s="163"/>
      <c r="J3" s="1"/>
      <c r="K3" s="155"/>
    </row>
    <row r="4" spans="1:11" s="7" customFormat="1" ht="14" x14ac:dyDescent="0.3">
      <c r="D4" s="137"/>
      <c r="E4" s="151"/>
      <c r="F4" s="138"/>
      <c r="G4" s="163"/>
      <c r="J4" s="153"/>
      <c r="K4" s="155"/>
    </row>
    <row r="5" spans="1:11" s="148" customFormat="1" ht="21" customHeight="1" thickBot="1" x14ac:dyDescent="0.4">
      <c r="A5" s="164" t="s">
        <v>0</v>
      </c>
      <c r="B5" s="164"/>
      <c r="C5" s="164"/>
      <c r="D5" s="165"/>
      <c r="E5" s="166"/>
      <c r="F5" s="167"/>
      <c r="G5" s="168"/>
      <c r="H5" s="168"/>
      <c r="I5" s="168"/>
      <c r="J5" s="1"/>
    </row>
    <row r="6" spans="1:11" s="7" customFormat="1" ht="14.15" customHeight="1" x14ac:dyDescent="0.3">
      <c r="A6" s="1"/>
      <c r="B6" s="1"/>
      <c r="C6" s="1"/>
      <c r="D6" s="137"/>
      <c r="E6" s="151"/>
      <c r="F6" s="137"/>
      <c r="G6" s="163"/>
      <c r="J6" s="153"/>
      <c r="K6" s="155"/>
    </row>
    <row r="7" spans="1:11" s="7" customFormat="1" ht="14.15" customHeight="1" x14ac:dyDescent="0.3">
      <c r="B7" s="169" t="s">
        <v>1</v>
      </c>
      <c r="C7" s="170"/>
      <c r="D7" s="137"/>
      <c r="F7" s="137">
        <v>37.296695508494899</v>
      </c>
      <c r="G7" s="171" t="s">
        <v>424</v>
      </c>
      <c r="J7" s="1"/>
      <c r="K7" s="155"/>
    </row>
    <row r="8" spans="1:11" s="7" customFormat="1" ht="14.15" customHeight="1" x14ac:dyDescent="0.3">
      <c r="B8" s="169" t="s">
        <v>2</v>
      </c>
      <c r="C8" s="170"/>
      <c r="D8" s="137"/>
      <c r="F8" s="137">
        <v>14.327695122433566</v>
      </c>
      <c r="G8" s="171" t="s">
        <v>418</v>
      </c>
      <c r="J8" s="1"/>
      <c r="K8" s="155"/>
    </row>
    <row r="9" spans="1:11" s="7" customFormat="1" ht="14.15" customHeight="1" x14ac:dyDescent="0.3">
      <c r="B9" s="306"/>
      <c r="C9" s="170"/>
      <c r="D9" s="137"/>
      <c r="F9" s="137"/>
      <c r="G9" s="171"/>
      <c r="J9" s="1"/>
      <c r="K9" s="155"/>
    </row>
    <row r="10" spans="1:11" s="7" customFormat="1" ht="14.15" customHeight="1" x14ac:dyDescent="0.3">
      <c r="B10" s="34" t="s">
        <v>3</v>
      </c>
      <c r="C10" s="172"/>
      <c r="D10" s="137"/>
      <c r="F10" s="41">
        <v>51.624390630928467</v>
      </c>
      <c r="G10" s="171" t="s">
        <v>425</v>
      </c>
      <c r="J10" s="1"/>
      <c r="K10" s="155"/>
    </row>
    <row r="11" spans="1:11" s="7" customFormat="1" ht="14.15" customHeight="1" x14ac:dyDescent="0.3">
      <c r="A11" s="1"/>
      <c r="B11" s="1"/>
      <c r="C11" s="1"/>
      <c r="D11" s="137"/>
      <c r="F11" s="163"/>
      <c r="G11" s="163"/>
      <c r="J11" s="1"/>
      <c r="K11" s="155"/>
    </row>
    <row r="12" spans="1:11" s="7" customFormat="1" ht="14.15" customHeight="1" thickBot="1" x14ac:dyDescent="0.4">
      <c r="A12" s="164" t="s">
        <v>4</v>
      </c>
      <c r="B12" s="173"/>
      <c r="C12" s="173"/>
      <c r="D12" s="174"/>
      <c r="E12" s="175"/>
      <c r="F12" s="176"/>
      <c r="G12" s="177"/>
      <c r="H12" s="177"/>
      <c r="I12" s="177"/>
      <c r="J12" s="354"/>
      <c r="K12" s="155"/>
    </row>
    <row r="13" spans="1:11" s="7" customFormat="1" ht="14.15" customHeight="1" x14ac:dyDescent="0.3">
      <c r="A13" s="1"/>
      <c r="B13" s="1"/>
      <c r="C13" s="1"/>
      <c r="D13" s="137"/>
      <c r="F13" s="138"/>
      <c r="G13" s="163"/>
      <c r="J13" s="354"/>
      <c r="K13" s="155"/>
    </row>
    <row r="14" spans="1:11" s="7" customFormat="1" ht="14.15" customHeight="1" x14ac:dyDescent="0.3">
      <c r="A14" s="1"/>
      <c r="B14" s="1"/>
      <c r="C14" s="1"/>
      <c r="D14" s="41" t="s">
        <v>395</v>
      </c>
      <c r="E14" s="31" t="s">
        <v>396</v>
      </c>
      <c r="F14" s="31" t="s">
        <v>397</v>
      </c>
      <c r="G14" s="163"/>
      <c r="H14" s="31" t="s">
        <v>398</v>
      </c>
      <c r="I14" s="31" t="s">
        <v>437</v>
      </c>
      <c r="J14" s="354"/>
      <c r="K14" s="155"/>
    </row>
    <row r="15" spans="1:11" s="7" customFormat="1" ht="13.5" customHeight="1" x14ac:dyDescent="0.3">
      <c r="A15" s="1"/>
      <c r="B15" s="1"/>
      <c r="C15" s="1"/>
      <c r="D15" s="137"/>
      <c r="E15" s="31"/>
      <c r="F15" s="31"/>
      <c r="J15" s="354"/>
      <c r="K15" s="155"/>
    </row>
    <row r="16" spans="1:11" s="7" customFormat="1" ht="14.15" customHeight="1" x14ac:dyDescent="0.3">
      <c r="A16" s="1"/>
      <c r="B16" s="1"/>
      <c r="C16" s="1"/>
      <c r="D16" s="178"/>
      <c r="E16" s="17" t="s">
        <v>378</v>
      </c>
      <c r="F16" s="31" t="s">
        <v>378</v>
      </c>
      <c r="J16" s="354"/>
      <c r="K16" s="155"/>
    </row>
    <row r="17" spans="1:15" s="7" customFormat="1" ht="14.15" customHeight="1" x14ac:dyDescent="0.3">
      <c r="B17" s="1" t="s">
        <v>5</v>
      </c>
      <c r="C17" s="1"/>
      <c r="D17" s="41" t="s">
        <v>6</v>
      </c>
      <c r="E17" s="17" t="s">
        <v>7</v>
      </c>
      <c r="F17" s="31" t="s">
        <v>8</v>
      </c>
      <c r="H17" s="312" t="s">
        <v>475</v>
      </c>
      <c r="I17" s="312" t="s">
        <v>476</v>
      </c>
      <c r="J17" s="354"/>
      <c r="K17" s="153"/>
      <c r="L17" s="153"/>
      <c r="M17" s="155"/>
    </row>
    <row r="18" spans="1:15" s="7" customFormat="1" ht="14.15" customHeight="1" x14ac:dyDescent="0.3">
      <c r="C18" s="7" t="s">
        <v>320</v>
      </c>
      <c r="D18" s="137">
        <v>32.578092969438579</v>
      </c>
      <c r="E18" s="151">
        <v>11145516.161208818</v>
      </c>
      <c r="F18" s="179">
        <v>6.7025536063363448E-3</v>
      </c>
      <c r="G18" s="296"/>
      <c r="H18" s="134">
        <v>363099661.69224107</v>
      </c>
      <c r="I18" s="134"/>
      <c r="J18" s="354"/>
      <c r="K18" s="354"/>
      <c r="L18" s="354"/>
      <c r="M18" s="178"/>
      <c r="N18" s="354"/>
      <c r="O18" s="354"/>
    </row>
    <row r="19" spans="1:15" s="7" customFormat="1" ht="14.15" customHeight="1" x14ac:dyDescent="0.3">
      <c r="C19" s="7" t="s">
        <v>321</v>
      </c>
      <c r="D19" s="137">
        <v>24.475448550971816</v>
      </c>
      <c r="E19" s="151">
        <v>4844309.7275553821</v>
      </c>
      <c r="F19" s="179">
        <v>2.9132114802940647E-3</v>
      </c>
      <c r="G19" s="296"/>
      <c r="H19" s="134">
        <v>118566653.50175405</v>
      </c>
      <c r="I19" s="134"/>
      <c r="J19" s="354"/>
      <c r="K19" s="354"/>
      <c r="L19" s="354"/>
      <c r="M19" s="178"/>
      <c r="N19" s="354"/>
      <c r="O19" s="354"/>
    </row>
    <row r="20" spans="1:15" s="7" customFormat="1" ht="14.15" customHeight="1" x14ac:dyDescent="0.3">
      <c r="C20" s="7" t="s">
        <v>322</v>
      </c>
      <c r="D20" s="137">
        <v>20.739663388735956</v>
      </c>
      <c r="E20" s="151">
        <v>28153334.149979118</v>
      </c>
      <c r="F20" s="179">
        <v>1.6930506277859886E-2</v>
      </c>
      <c r="G20" s="296"/>
      <c r="H20" s="134">
        <v>583890673.54117167</v>
      </c>
      <c r="I20" s="134"/>
      <c r="J20" s="354"/>
      <c r="K20" s="354"/>
      <c r="L20" s="354"/>
      <c r="M20" s="178"/>
      <c r="N20" s="354"/>
      <c r="O20" s="354"/>
    </row>
    <row r="21" spans="1:15" s="7" customFormat="1" ht="14.15" customHeight="1" x14ac:dyDescent="0.3">
      <c r="C21" s="7" t="s">
        <v>323</v>
      </c>
      <c r="D21" s="137">
        <v>11.602841106492608</v>
      </c>
      <c r="E21" s="151">
        <v>31525903.478505421</v>
      </c>
      <c r="F21" s="179">
        <v>1.8958660594679041E-2</v>
      </c>
      <c r="G21" s="296"/>
      <c r="H21" s="134">
        <v>365790048.799721</v>
      </c>
      <c r="I21" s="134"/>
      <c r="J21" s="354"/>
      <c r="K21" s="354"/>
      <c r="L21" s="354"/>
      <c r="M21" s="178"/>
      <c r="N21" s="354"/>
      <c r="O21" s="354"/>
    </row>
    <row r="22" spans="1:15" s="7" customFormat="1" ht="14.15" customHeight="1" x14ac:dyDescent="0.3">
      <c r="C22" s="155" t="s">
        <v>499</v>
      </c>
      <c r="D22" s="137"/>
      <c r="E22" s="151"/>
      <c r="F22" s="179"/>
      <c r="G22" s="296"/>
      <c r="H22" s="134"/>
      <c r="I22" s="134"/>
      <c r="J22" s="354"/>
      <c r="K22" s="354"/>
      <c r="L22" s="354"/>
      <c r="M22" s="178"/>
      <c r="N22" s="354"/>
      <c r="O22" s="354"/>
    </row>
    <row r="23" spans="1:15" s="7" customFormat="1" ht="14.15" customHeight="1" x14ac:dyDescent="0.3">
      <c r="C23" s="155" t="s">
        <v>500</v>
      </c>
      <c r="D23" s="137"/>
      <c r="E23" s="151"/>
      <c r="F23" s="179"/>
      <c r="G23" s="296"/>
      <c r="H23" s="134"/>
      <c r="I23" s="134"/>
      <c r="J23" s="354"/>
      <c r="K23" s="354"/>
      <c r="L23" s="354"/>
      <c r="M23" s="178"/>
      <c r="N23" s="354"/>
      <c r="O23" s="354"/>
    </row>
    <row r="24" spans="1:15" s="7" customFormat="1" ht="14.15" customHeight="1" x14ac:dyDescent="0.3">
      <c r="C24" s="7" t="s">
        <v>324</v>
      </c>
      <c r="D24" s="137">
        <v>32.870686927285881</v>
      </c>
      <c r="E24" s="151">
        <v>42904653.12958318</v>
      </c>
      <c r="F24" s="179">
        <v>2.5801473292297341E-2</v>
      </c>
      <c r="G24" s="296"/>
      <c r="H24" s="134">
        <v>1410305420.746325</v>
      </c>
      <c r="I24" s="134"/>
      <c r="J24" s="354"/>
      <c r="K24" s="354"/>
      <c r="L24" s="354"/>
      <c r="M24" s="178"/>
      <c r="N24" s="354"/>
      <c r="O24" s="354"/>
    </row>
    <row r="25" spans="1:15" s="7" customFormat="1" ht="14.15" customHeight="1" x14ac:dyDescent="0.3">
      <c r="C25" s="7" t="s">
        <v>325</v>
      </c>
      <c r="D25" s="137">
        <v>27.64804433396877</v>
      </c>
      <c r="E25" s="151">
        <v>34213503.785266832</v>
      </c>
      <c r="F25" s="179">
        <v>2.057489665480608E-2</v>
      </c>
      <c r="G25" s="296"/>
      <c r="H25" s="134">
        <v>945936469.47546566</v>
      </c>
      <c r="I25" s="134"/>
      <c r="J25" s="354"/>
      <c r="K25" s="354"/>
      <c r="L25" s="354"/>
      <c r="M25" s="178"/>
      <c r="N25" s="354"/>
      <c r="O25" s="354"/>
    </row>
    <row r="26" spans="1:15" s="7" customFormat="1" ht="14.15" customHeight="1" x14ac:dyDescent="0.3">
      <c r="C26" s="7" t="s">
        <v>326</v>
      </c>
      <c r="D26" s="137">
        <v>20.683031276278435</v>
      </c>
      <c r="E26" s="151">
        <v>440086196.77885246</v>
      </c>
      <c r="F26" s="179">
        <v>0.26465363134864683</v>
      </c>
      <c r="G26" s="296"/>
      <c r="H26" s="134">
        <v>9102316572.2354317</v>
      </c>
      <c r="I26" s="134"/>
      <c r="J26" s="354"/>
      <c r="K26" s="354"/>
      <c r="L26" s="354"/>
      <c r="M26" s="178"/>
      <c r="N26" s="354"/>
      <c r="O26" s="354"/>
    </row>
    <row r="27" spans="1:15" s="7" customFormat="1" ht="14.15" customHeight="1" x14ac:dyDescent="0.3">
      <c r="C27" s="7" t="s">
        <v>327</v>
      </c>
      <c r="D27" s="137">
        <v>10.045314588198993</v>
      </c>
      <c r="E27" s="151">
        <v>1070002676.8604578</v>
      </c>
      <c r="F27" s="179">
        <v>0.64346506674508042</v>
      </c>
      <c r="G27" s="296"/>
      <c r="H27" s="134">
        <v>10748513499.27833</v>
      </c>
      <c r="I27" s="134"/>
      <c r="J27" s="354"/>
      <c r="K27" s="354"/>
      <c r="L27" s="354"/>
      <c r="M27" s="178"/>
      <c r="N27" s="354"/>
      <c r="O27" s="354"/>
    </row>
    <row r="28" spans="1:15" s="7" customFormat="1" ht="14.15" customHeight="1" x14ac:dyDescent="0.3">
      <c r="C28" s="155" t="s">
        <v>501</v>
      </c>
      <c r="D28" s="137"/>
      <c r="E28" s="151"/>
      <c r="F28" s="179"/>
      <c r="G28" s="296"/>
      <c r="H28" s="134"/>
      <c r="I28" s="134"/>
      <c r="J28" s="354"/>
      <c r="K28" s="354"/>
      <c r="L28" s="354"/>
      <c r="M28" s="178"/>
      <c r="N28" s="354"/>
      <c r="O28" s="354"/>
    </row>
    <row r="29" spans="1:15" s="7" customFormat="1" ht="14.15" customHeight="1" x14ac:dyDescent="0.3">
      <c r="C29" s="155" t="s">
        <v>502</v>
      </c>
      <c r="D29" s="137"/>
      <c r="E29" s="151"/>
      <c r="F29" s="179"/>
      <c r="G29" s="296"/>
      <c r="H29" s="134"/>
      <c r="I29" s="134"/>
      <c r="J29" s="354"/>
      <c r="K29" s="354"/>
      <c r="L29" s="354"/>
      <c r="M29" s="178"/>
      <c r="N29" s="354"/>
      <c r="O29" s="354"/>
    </row>
    <row r="30" spans="1:15" s="1" customFormat="1" ht="14.15" customHeight="1" x14ac:dyDescent="0.3">
      <c r="A30" s="145" t="s">
        <v>455</v>
      </c>
      <c r="B30" s="1" t="s">
        <v>9</v>
      </c>
      <c r="C30" s="34"/>
      <c r="D30" s="41">
        <v>14.215382062167846</v>
      </c>
      <c r="E30" s="180">
        <v>1662876094.071409</v>
      </c>
      <c r="F30" s="14">
        <v>1</v>
      </c>
      <c r="H30" s="311"/>
      <c r="J30" s="354"/>
      <c r="K30" s="354"/>
      <c r="L30" s="354"/>
      <c r="N30" s="354"/>
      <c r="O30" s="354"/>
    </row>
    <row r="31" spans="1:15" s="1" customFormat="1" ht="14.15" customHeight="1" x14ac:dyDescent="0.3">
      <c r="D31" s="41"/>
      <c r="E31" s="330"/>
      <c r="F31" s="139"/>
      <c r="J31" s="354"/>
    </row>
    <row r="32" spans="1:15" s="1" customFormat="1" ht="14.15" customHeight="1" x14ac:dyDescent="0.3">
      <c r="B32" s="34" t="s">
        <v>10</v>
      </c>
      <c r="C32" s="172"/>
      <c r="D32" s="251"/>
      <c r="F32" s="41">
        <v>2.6236857613383875</v>
      </c>
      <c r="G32" s="1" t="s">
        <v>593</v>
      </c>
      <c r="H32" s="357"/>
      <c r="I32" s="313"/>
      <c r="J32" s="354"/>
    </row>
    <row r="33" spans="1:247" s="1" customFormat="1" ht="14.15" customHeight="1" x14ac:dyDescent="0.3">
      <c r="A33" s="172"/>
      <c r="B33" s="172"/>
      <c r="C33" s="172"/>
      <c r="D33" s="41"/>
      <c r="F33" s="139"/>
      <c r="G33" s="181"/>
      <c r="J33" s="153"/>
      <c r="IM33" s="1" t="s">
        <v>11</v>
      </c>
    </row>
    <row r="34" spans="1:247" s="148" customFormat="1" ht="14.15" customHeight="1" thickBot="1" x14ac:dyDescent="0.4">
      <c r="A34" s="182" t="s">
        <v>423</v>
      </c>
      <c r="B34" s="164"/>
      <c r="C34" s="164"/>
      <c r="D34" s="165"/>
      <c r="E34" s="183"/>
      <c r="F34" s="167"/>
      <c r="G34" s="168"/>
      <c r="H34" s="168"/>
      <c r="I34" s="168"/>
      <c r="J34" s="1"/>
      <c r="O34" s="384"/>
    </row>
    <row r="35" spans="1:247" s="7" customFormat="1" ht="14.15" customHeight="1" x14ac:dyDescent="0.3">
      <c r="B35" s="1"/>
      <c r="C35" s="1"/>
      <c r="D35" s="137"/>
      <c r="E35" s="151"/>
      <c r="F35" s="163"/>
      <c r="G35" s="163"/>
      <c r="J35" s="153"/>
      <c r="K35" s="155"/>
    </row>
    <row r="36" spans="1:247" s="7" customFormat="1" ht="14.15" customHeight="1" x14ac:dyDescent="0.3">
      <c r="B36" s="1"/>
      <c r="C36" s="1"/>
      <c r="D36" s="41" t="s">
        <v>594</v>
      </c>
      <c r="E36" s="31" t="s">
        <v>595</v>
      </c>
      <c r="F36" s="31" t="s">
        <v>627</v>
      </c>
      <c r="G36" s="31" t="s">
        <v>628</v>
      </c>
      <c r="H36" s="475"/>
      <c r="I36" s="8"/>
      <c r="J36" s="1"/>
      <c r="K36" s="155"/>
    </row>
    <row r="37" spans="1:247" s="7" customFormat="1" ht="14.15" customHeight="1" x14ac:dyDescent="0.3">
      <c r="D37" s="41"/>
      <c r="E37" s="31"/>
      <c r="F37" s="31"/>
      <c r="G37" s="181" t="s">
        <v>3</v>
      </c>
      <c r="H37" s="471"/>
      <c r="I37" s="473"/>
      <c r="J37" s="153"/>
      <c r="K37" s="155"/>
    </row>
    <row r="38" spans="1:247" s="7" customFormat="1" ht="14.15" customHeight="1" x14ac:dyDescent="0.3">
      <c r="B38" s="1"/>
      <c r="D38" s="41" t="s">
        <v>12</v>
      </c>
      <c r="E38" s="31" t="s">
        <v>328</v>
      </c>
      <c r="F38" s="31" t="s">
        <v>329</v>
      </c>
      <c r="G38" s="181" t="s">
        <v>13</v>
      </c>
      <c r="H38" s="471"/>
      <c r="I38" s="473"/>
      <c r="J38" s="1"/>
      <c r="K38" s="155"/>
    </row>
    <row r="39" spans="1:247" s="7" customFormat="1" ht="14.15" customHeight="1" x14ac:dyDescent="0.3">
      <c r="B39" s="36" t="s">
        <v>14</v>
      </c>
      <c r="C39" s="1"/>
      <c r="D39" s="43" t="s">
        <v>15</v>
      </c>
      <c r="E39" s="37" t="s">
        <v>15</v>
      </c>
      <c r="F39" s="37" t="s">
        <v>15</v>
      </c>
      <c r="G39" s="184" t="s">
        <v>15</v>
      </c>
      <c r="H39" s="472"/>
      <c r="I39" s="1"/>
      <c r="J39" s="153"/>
      <c r="K39" s="155"/>
    </row>
    <row r="40" spans="1:247" s="7" customFormat="1" ht="14.15" customHeight="1" x14ac:dyDescent="0.3">
      <c r="B40" s="1"/>
      <c r="C40" s="1"/>
      <c r="D40" s="41"/>
      <c r="E40" s="31"/>
      <c r="F40" s="31"/>
      <c r="G40" s="181"/>
      <c r="I40" s="1"/>
      <c r="J40" s="1"/>
      <c r="K40" s="155"/>
    </row>
    <row r="41" spans="1:247" s="1" customFormat="1" ht="14.15" customHeight="1" x14ac:dyDescent="0.3">
      <c r="A41" s="172"/>
      <c r="B41" s="1" t="s">
        <v>320</v>
      </c>
      <c r="D41" s="41">
        <v>32.578092969438579</v>
      </c>
      <c r="E41" s="41">
        <v>85.474678655474222</v>
      </c>
      <c r="F41" s="41">
        <v>14.327695122433566</v>
      </c>
      <c r="G41" s="41">
        <v>99.802373777907789</v>
      </c>
      <c r="H41" s="469"/>
      <c r="I41" s="478"/>
      <c r="J41" s="356"/>
      <c r="K41" s="356"/>
      <c r="L41" s="356"/>
      <c r="M41" s="356"/>
    </row>
    <row r="42" spans="1:247" s="1" customFormat="1" ht="14.15" customHeight="1" x14ac:dyDescent="0.3">
      <c r="A42" s="172"/>
      <c r="D42" s="41"/>
      <c r="E42" s="41"/>
      <c r="F42" s="41"/>
      <c r="G42" s="41"/>
      <c r="H42" s="469"/>
      <c r="I42" s="478"/>
      <c r="J42" s="356"/>
      <c r="K42" s="356"/>
      <c r="L42" s="356"/>
      <c r="M42" s="356"/>
    </row>
    <row r="43" spans="1:247" s="1" customFormat="1" ht="14.15" customHeight="1" x14ac:dyDescent="0.3">
      <c r="A43" s="172"/>
      <c r="B43" s="1" t="s">
        <v>321</v>
      </c>
      <c r="D43" s="41">
        <v>24.475448550971816</v>
      </c>
      <c r="E43" s="41">
        <v>64.215885865555023</v>
      </c>
      <c r="F43" s="41">
        <v>14.327695122433566</v>
      </c>
      <c r="G43" s="41">
        <v>78.543580987988591</v>
      </c>
      <c r="H43" s="469"/>
      <c r="I43" s="478"/>
      <c r="J43" s="356"/>
      <c r="K43" s="356"/>
      <c r="L43" s="356"/>
      <c r="M43" s="356"/>
    </row>
    <row r="44" spans="1:247" s="1" customFormat="1" ht="14.15" customHeight="1" x14ac:dyDescent="0.3">
      <c r="A44" s="172"/>
      <c r="D44" s="41"/>
      <c r="E44" s="41"/>
      <c r="F44" s="41"/>
      <c r="G44" s="41"/>
      <c r="H44" s="469"/>
      <c r="I44" s="478"/>
      <c r="J44" s="356"/>
      <c r="K44" s="356"/>
      <c r="L44" s="356"/>
      <c r="M44" s="356"/>
    </row>
    <row r="45" spans="1:247" s="1" customFormat="1" ht="14.15" customHeight="1" x14ac:dyDescent="0.3">
      <c r="A45" s="172"/>
      <c r="B45" s="1" t="s">
        <v>322</v>
      </c>
      <c r="D45" s="41">
        <v>20.739663388735956</v>
      </c>
      <c r="E45" s="41">
        <v>54.414359527977574</v>
      </c>
      <c r="F45" s="41">
        <v>14.327695122433566</v>
      </c>
      <c r="G45" s="41">
        <v>68.742054650411134</v>
      </c>
      <c r="H45" s="469"/>
      <c r="I45" s="478"/>
      <c r="J45" s="356"/>
      <c r="K45" s="356"/>
      <c r="L45" s="356"/>
      <c r="M45" s="356"/>
    </row>
    <row r="46" spans="1:247" s="1" customFormat="1" ht="14.15" customHeight="1" x14ac:dyDescent="0.3">
      <c r="A46" s="172"/>
      <c r="D46" s="41"/>
      <c r="E46" s="41"/>
      <c r="F46" s="41"/>
      <c r="G46" s="41"/>
      <c r="H46" s="469"/>
      <c r="I46" s="478"/>
      <c r="J46" s="356"/>
      <c r="K46" s="356"/>
      <c r="L46" s="356"/>
      <c r="M46" s="356"/>
    </row>
    <row r="47" spans="1:247" s="1" customFormat="1" ht="14.15" customHeight="1" x14ac:dyDescent="0.3">
      <c r="A47" s="172"/>
      <c r="C47" s="1" t="s">
        <v>550</v>
      </c>
      <c r="D47" s="41"/>
      <c r="E47" s="41"/>
      <c r="F47" s="41"/>
      <c r="G47" s="41"/>
      <c r="H47" s="469"/>
      <c r="I47" s="478"/>
      <c r="J47" s="356"/>
      <c r="K47" s="356"/>
      <c r="L47" s="356"/>
      <c r="M47" s="356"/>
    </row>
    <row r="48" spans="1:247" s="1" customFormat="1" ht="14.15" customHeight="1" x14ac:dyDescent="0.3">
      <c r="A48" s="172"/>
      <c r="C48" s="1" t="s">
        <v>556</v>
      </c>
      <c r="D48" s="41">
        <v>20.739663388735956</v>
      </c>
      <c r="E48" s="41">
        <v>54.414359527977574</v>
      </c>
      <c r="F48" s="41">
        <v>14.327695122433566</v>
      </c>
      <c r="G48" s="41">
        <v>68.742054650411134</v>
      </c>
      <c r="H48" s="469"/>
      <c r="I48" s="478"/>
      <c r="J48" s="356"/>
      <c r="K48" s="356"/>
      <c r="L48" s="356"/>
      <c r="M48" s="356"/>
    </row>
    <row r="49" spans="1:13" s="1" customFormat="1" ht="14.15" customHeight="1" x14ac:dyDescent="0.3">
      <c r="A49" s="172"/>
      <c r="D49" s="41"/>
      <c r="E49" s="41"/>
      <c r="F49" s="41"/>
      <c r="G49" s="41"/>
      <c r="H49" s="469"/>
      <c r="I49" s="478"/>
      <c r="J49" s="356"/>
      <c r="K49" s="356"/>
      <c r="L49" s="356"/>
      <c r="M49" s="356"/>
    </row>
    <row r="50" spans="1:13" s="1" customFormat="1" ht="14.15" customHeight="1" x14ac:dyDescent="0.3">
      <c r="A50" s="172"/>
      <c r="B50" s="1" t="s">
        <v>323</v>
      </c>
      <c r="D50" s="41">
        <v>11.602841106492608</v>
      </c>
      <c r="E50" s="41">
        <v>30.442209002176398</v>
      </c>
      <c r="F50" s="41">
        <v>14.327695122433566</v>
      </c>
      <c r="G50" s="41">
        <v>44.769904124609965</v>
      </c>
      <c r="H50" s="469"/>
      <c r="I50" s="478"/>
      <c r="J50" s="356"/>
      <c r="K50" s="356"/>
      <c r="L50" s="356"/>
      <c r="M50" s="356"/>
    </row>
    <row r="51" spans="1:13" s="1" customFormat="1" ht="14.15" customHeight="1" x14ac:dyDescent="0.3">
      <c r="A51" s="172"/>
      <c r="D51" s="41"/>
      <c r="E51" s="41"/>
      <c r="F51" s="41"/>
      <c r="G51" s="41"/>
      <c r="H51" s="469"/>
      <c r="I51" s="478"/>
      <c r="J51" s="356"/>
      <c r="K51" s="356"/>
      <c r="L51" s="356"/>
      <c r="M51" s="356"/>
    </row>
    <row r="52" spans="1:13" s="1" customFormat="1" ht="14.15" customHeight="1" x14ac:dyDescent="0.3">
      <c r="A52" s="172"/>
      <c r="B52" s="1" t="s">
        <v>499</v>
      </c>
      <c r="D52" s="41"/>
      <c r="E52" s="41"/>
      <c r="F52" s="41"/>
      <c r="G52" s="41"/>
      <c r="H52" s="469"/>
      <c r="I52" s="478"/>
      <c r="J52" s="356"/>
      <c r="K52" s="356"/>
      <c r="L52" s="356"/>
      <c r="M52" s="356"/>
    </row>
    <row r="53" spans="1:13" s="1" customFormat="1" ht="14.15" customHeight="1" x14ac:dyDescent="0.3">
      <c r="A53" s="172"/>
      <c r="D53" s="41"/>
      <c r="E53" s="41"/>
      <c r="F53" s="41"/>
      <c r="G53" s="41"/>
      <c r="H53" s="469"/>
      <c r="I53" s="478"/>
      <c r="J53" s="356"/>
      <c r="K53" s="356"/>
      <c r="L53" s="356"/>
      <c r="M53" s="356"/>
    </row>
    <row r="54" spans="1:13" s="1" customFormat="1" ht="14.15" customHeight="1" x14ac:dyDescent="0.3">
      <c r="A54" s="172"/>
      <c r="B54" s="1" t="s">
        <v>500</v>
      </c>
      <c r="D54" s="41"/>
      <c r="E54" s="41"/>
      <c r="F54" s="41"/>
      <c r="G54" s="41"/>
      <c r="H54" s="469"/>
      <c r="I54" s="478"/>
      <c r="J54" s="356"/>
      <c r="K54" s="356"/>
      <c r="L54" s="356"/>
      <c r="M54" s="356"/>
    </row>
    <row r="55" spans="1:13" s="1" customFormat="1" ht="14.15" customHeight="1" x14ac:dyDescent="0.3">
      <c r="A55" s="172"/>
      <c r="D55" s="41"/>
      <c r="E55" s="41"/>
      <c r="F55" s="41"/>
      <c r="G55" s="41"/>
      <c r="H55" s="469"/>
      <c r="I55" s="478"/>
      <c r="J55" s="356"/>
      <c r="K55" s="356"/>
      <c r="L55" s="356"/>
      <c r="M55" s="356"/>
    </row>
    <row r="56" spans="1:13" s="1" customFormat="1" ht="14.15" customHeight="1" x14ac:dyDescent="0.3">
      <c r="A56" s="172"/>
      <c r="B56" s="1" t="s">
        <v>324</v>
      </c>
      <c r="D56" s="41">
        <v>32.870686927285881</v>
      </c>
      <c r="E56" s="41">
        <v>86.242353256531842</v>
      </c>
      <c r="F56" s="41">
        <v>14.327695122433566</v>
      </c>
      <c r="G56" s="41">
        <v>100.57004837896541</v>
      </c>
      <c r="H56" s="469"/>
      <c r="I56" s="478"/>
      <c r="J56" s="356"/>
      <c r="K56" s="356"/>
      <c r="L56" s="356"/>
      <c r="M56" s="356"/>
    </row>
    <row r="57" spans="1:13" s="1" customFormat="1" ht="14.15" customHeight="1" x14ac:dyDescent="0.3">
      <c r="A57" s="172"/>
      <c r="D57" s="41"/>
      <c r="E57" s="41"/>
      <c r="F57" s="41"/>
      <c r="G57" s="41"/>
      <c r="H57" s="469"/>
      <c r="I57" s="478"/>
      <c r="J57" s="356"/>
      <c r="K57" s="356"/>
      <c r="L57" s="356"/>
      <c r="M57" s="356"/>
    </row>
    <row r="58" spans="1:13" s="1" customFormat="1" ht="14.15" customHeight="1" x14ac:dyDescent="0.3">
      <c r="A58" s="172"/>
      <c r="B58" s="1" t="s">
        <v>325</v>
      </c>
      <c r="D58" s="41">
        <v>27.64804433396877</v>
      </c>
      <c r="E58" s="41">
        <v>72.539780247886341</v>
      </c>
      <c r="F58" s="41">
        <v>14.327695122433566</v>
      </c>
      <c r="G58" s="41">
        <v>86.867475370319909</v>
      </c>
      <c r="H58" s="469"/>
      <c r="I58" s="478"/>
      <c r="J58" s="356"/>
      <c r="K58" s="356"/>
      <c r="L58" s="356"/>
      <c r="M58" s="356"/>
    </row>
    <row r="59" spans="1:13" s="1" customFormat="1" ht="14.15" customHeight="1" x14ac:dyDescent="0.3">
      <c r="A59" s="172"/>
      <c r="D59" s="41"/>
      <c r="E59" s="41"/>
      <c r="F59" s="41"/>
      <c r="G59" s="41"/>
      <c r="H59" s="469"/>
      <c r="I59" s="478"/>
      <c r="J59" s="356"/>
      <c r="K59" s="356"/>
      <c r="L59" s="356"/>
      <c r="M59" s="356"/>
    </row>
    <row r="60" spans="1:13" s="1" customFormat="1" ht="14.15" customHeight="1" x14ac:dyDescent="0.3">
      <c r="B60" s="34" t="s">
        <v>326</v>
      </c>
      <c r="D60" s="41">
        <v>20.683031276278435</v>
      </c>
      <c r="E60" s="41">
        <v>54.265774660888262</v>
      </c>
      <c r="F60" s="41">
        <v>14.327695122433566</v>
      </c>
      <c r="G60" s="41">
        <v>68.593469783321822</v>
      </c>
      <c r="H60" s="469"/>
      <c r="I60" s="478"/>
      <c r="J60" s="356"/>
      <c r="K60" s="356"/>
      <c r="L60" s="356"/>
      <c r="M60" s="356"/>
    </row>
    <row r="61" spans="1:13" s="1" customFormat="1" ht="14.15" customHeight="1" x14ac:dyDescent="0.3">
      <c r="B61" s="34"/>
      <c r="D61" s="41"/>
      <c r="E61" s="41"/>
      <c r="F61" s="41"/>
      <c r="G61" s="41"/>
      <c r="H61" s="469"/>
      <c r="I61" s="478"/>
      <c r="J61" s="356"/>
      <c r="K61" s="356"/>
      <c r="L61" s="356"/>
      <c r="M61" s="356"/>
    </row>
    <row r="62" spans="1:13" s="1" customFormat="1" ht="14.15" customHeight="1" x14ac:dyDescent="0.3">
      <c r="B62" s="34"/>
      <c r="C62" s="1" t="s">
        <v>550</v>
      </c>
      <c r="D62" s="41"/>
      <c r="E62" s="41"/>
      <c r="F62" s="41"/>
      <c r="G62" s="41"/>
      <c r="H62" s="469"/>
      <c r="I62" s="478"/>
      <c r="J62" s="356"/>
      <c r="K62" s="356"/>
      <c r="L62" s="356"/>
      <c r="M62" s="356"/>
    </row>
    <row r="63" spans="1:13" s="1" customFormat="1" ht="14.15" customHeight="1" x14ac:dyDescent="0.3">
      <c r="B63" s="34"/>
      <c r="C63" s="1" t="s">
        <v>556</v>
      </c>
      <c r="D63" s="41">
        <v>20.683031276278438</v>
      </c>
      <c r="E63" s="41">
        <v>54.265774660888276</v>
      </c>
      <c r="F63" s="41">
        <v>14.327695122433566</v>
      </c>
      <c r="G63" s="41">
        <v>68.593469783321837</v>
      </c>
      <c r="H63" s="469"/>
      <c r="I63" s="478"/>
      <c r="J63" s="356"/>
      <c r="K63" s="356"/>
      <c r="L63" s="356"/>
      <c r="M63" s="356"/>
    </row>
    <row r="64" spans="1:13" s="1" customFormat="1" ht="14.15" customHeight="1" x14ac:dyDescent="0.3">
      <c r="B64" s="34" t="s">
        <v>16</v>
      </c>
      <c r="D64" s="41"/>
      <c r="E64" s="41"/>
      <c r="F64" s="41"/>
      <c r="G64" s="41"/>
      <c r="H64" s="469"/>
      <c r="I64" s="478"/>
      <c r="J64" s="356"/>
      <c r="K64" s="356"/>
      <c r="L64" s="356"/>
      <c r="M64" s="356"/>
    </row>
    <row r="65" spans="1:13" s="7" customFormat="1" ht="14.15" customHeight="1" x14ac:dyDescent="0.3">
      <c r="B65" s="34" t="s">
        <v>327</v>
      </c>
      <c r="D65" s="41">
        <v>10.045314588198993</v>
      </c>
      <c r="E65" s="41">
        <v>26.355748853222487</v>
      </c>
      <c r="F65" s="41">
        <v>14.327695122433566</v>
      </c>
      <c r="G65" s="41">
        <v>40.683443975656054</v>
      </c>
      <c r="H65" s="469"/>
      <c r="I65" s="478"/>
      <c r="J65" s="356"/>
      <c r="K65" s="356"/>
      <c r="L65" s="356"/>
      <c r="M65" s="356"/>
    </row>
    <row r="66" spans="1:13" s="7" customFormat="1" ht="14.15" customHeight="1" x14ac:dyDescent="0.3">
      <c r="B66" s="34"/>
      <c r="D66" s="41"/>
      <c r="E66" s="41"/>
      <c r="F66" s="41"/>
      <c r="G66" s="41"/>
      <c r="H66" s="365"/>
      <c r="I66" s="224"/>
      <c r="J66" s="356"/>
      <c r="K66" s="356"/>
      <c r="L66" s="356"/>
      <c r="M66" s="356"/>
    </row>
    <row r="67" spans="1:13" s="7" customFormat="1" ht="14.15" customHeight="1" x14ac:dyDescent="0.3">
      <c r="B67" s="34" t="s">
        <v>501</v>
      </c>
      <c r="D67" s="41"/>
      <c r="E67" s="41"/>
      <c r="F67" s="41"/>
      <c r="G67" s="41"/>
      <c r="H67" s="365"/>
      <c r="J67" s="356"/>
      <c r="K67" s="356"/>
      <c r="L67" s="356"/>
      <c r="M67" s="356"/>
    </row>
    <row r="68" spans="1:13" s="7" customFormat="1" ht="14.15" customHeight="1" x14ac:dyDescent="0.3">
      <c r="B68" s="34"/>
      <c r="D68" s="41"/>
      <c r="E68" s="41"/>
      <c r="F68" s="41"/>
      <c r="G68" s="41"/>
      <c r="H68" s="365"/>
      <c r="J68" s="356"/>
      <c r="K68" s="356"/>
      <c r="L68" s="356"/>
      <c r="M68" s="356"/>
    </row>
    <row r="69" spans="1:13" s="7" customFormat="1" ht="14.15" customHeight="1" x14ac:dyDescent="0.3">
      <c r="B69" s="34" t="s">
        <v>502</v>
      </c>
      <c r="D69" s="41"/>
      <c r="E69" s="41"/>
      <c r="F69" s="41"/>
      <c r="G69" s="41"/>
      <c r="H69" s="365"/>
      <c r="I69" s="2"/>
      <c r="J69" s="356"/>
      <c r="K69" s="356"/>
      <c r="L69" s="356"/>
      <c r="M69" s="356"/>
    </row>
    <row r="70" spans="1:13" s="7" customFormat="1" ht="14.15" customHeight="1" thickBot="1" x14ac:dyDescent="0.35">
      <c r="A70" s="175"/>
      <c r="B70" s="185"/>
      <c r="C70" s="175"/>
      <c r="D70" s="186"/>
      <c r="E70" s="186"/>
      <c r="F70" s="186"/>
      <c r="G70" s="186"/>
      <c r="H70" s="186"/>
      <c r="I70" s="186"/>
      <c r="J70" s="1"/>
      <c r="K70" s="155"/>
    </row>
    <row r="71" spans="1:13" ht="14.15" customHeight="1" x14ac:dyDescent="0.25">
      <c r="I71" s="263"/>
    </row>
    <row r="72" spans="1:13" ht="14.15" customHeight="1" x14ac:dyDescent="0.25">
      <c r="A72" s="359" t="s">
        <v>597</v>
      </c>
      <c r="G72" s="315"/>
    </row>
    <row r="73" spans="1:13" ht="14.15" customHeight="1" x14ac:dyDescent="0.25">
      <c r="A73" s="191" t="s">
        <v>424</v>
      </c>
      <c r="B73" s="192" t="s">
        <v>598</v>
      </c>
      <c r="E73" s="323"/>
      <c r="G73" s="314"/>
      <c r="H73" s="319"/>
    </row>
    <row r="74" spans="1:13" ht="14.15" customHeight="1" x14ac:dyDescent="0.25">
      <c r="A74" s="191" t="s">
        <v>418</v>
      </c>
      <c r="B74" s="192" t="s">
        <v>599</v>
      </c>
      <c r="G74" s="314"/>
    </row>
    <row r="75" spans="1:13" ht="14.15" customHeight="1" x14ac:dyDescent="0.25">
      <c r="A75" s="191" t="s">
        <v>425</v>
      </c>
      <c r="B75" s="192" t="s">
        <v>330</v>
      </c>
    </row>
    <row r="76" spans="1:13" ht="14.15" customHeight="1" x14ac:dyDescent="0.25">
      <c r="A76" s="191" t="s">
        <v>395</v>
      </c>
      <c r="B76" s="192" t="s">
        <v>600</v>
      </c>
    </row>
    <row r="77" spans="1:13" ht="14.15" customHeight="1" x14ac:dyDescent="0.25">
      <c r="A77" s="191" t="s">
        <v>396</v>
      </c>
      <c r="B77" s="192" t="s">
        <v>601</v>
      </c>
    </row>
    <row r="78" spans="1:13" ht="14.15" customHeight="1" x14ac:dyDescent="0.25">
      <c r="A78" s="191" t="s">
        <v>397</v>
      </c>
      <c r="B78" s="192" t="s">
        <v>419</v>
      </c>
    </row>
    <row r="79" spans="1:13" ht="14.15" customHeight="1" x14ac:dyDescent="0.25">
      <c r="A79" s="191" t="s">
        <v>398</v>
      </c>
      <c r="B79" s="192" t="s">
        <v>602</v>
      </c>
    </row>
    <row r="80" spans="1:13" ht="14.15" customHeight="1" x14ac:dyDescent="0.25">
      <c r="A80" s="191" t="s">
        <v>437</v>
      </c>
      <c r="B80" s="192" t="s">
        <v>603</v>
      </c>
    </row>
    <row r="81" spans="1:2" ht="14.15" customHeight="1" x14ac:dyDescent="0.25">
      <c r="A81" s="191" t="s">
        <v>455</v>
      </c>
      <c r="B81" s="192" t="s">
        <v>604</v>
      </c>
    </row>
    <row r="82" spans="1:2" ht="14.15" customHeight="1" x14ac:dyDescent="0.25">
      <c r="A82" s="191" t="s">
        <v>593</v>
      </c>
      <c r="B82" s="192" t="s">
        <v>605</v>
      </c>
    </row>
    <row r="83" spans="1:2" ht="14.15" customHeight="1" x14ac:dyDescent="0.25">
      <c r="A83" s="191" t="s">
        <v>594</v>
      </c>
      <c r="B83" s="192" t="s">
        <v>600</v>
      </c>
    </row>
    <row r="84" spans="1:2" ht="14.15" customHeight="1" x14ac:dyDescent="0.25">
      <c r="A84" s="191" t="s">
        <v>595</v>
      </c>
      <c r="B84" s="192" t="s">
        <v>606</v>
      </c>
    </row>
    <row r="85" spans="1:2" ht="14.15" customHeight="1" x14ac:dyDescent="0.25">
      <c r="A85" s="191"/>
      <c r="B85" s="192" t="s">
        <v>607</v>
      </c>
    </row>
    <row r="86" spans="1:2" ht="14.15" customHeight="1" x14ac:dyDescent="0.25">
      <c r="A86" s="191" t="s">
        <v>627</v>
      </c>
      <c r="B86" s="192" t="s">
        <v>418</v>
      </c>
    </row>
    <row r="87" spans="1:2" ht="14.15" customHeight="1" x14ac:dyDescent="0.25">
      <c r="A87" s="191" t="s">
        <v>628</v>
      </c>
      <c r="B87" s="192" t="s">
        <v>608</v>
      </c>
    </row>
    <row r="88" spans="1:2" ht="14.15" customHeight="1" x14ac:dyDescent="0.25"/>
    <row r="89" spans="1:2" ht="14.15" customHeight="1" x14ac:dyDescent="0.25"/>
    <row r="90" spans="1:2" ht="14.15" customHeight="1" x14ac:dyDescent="0.25"/>
    <row r="91" spans="1:2" ht="14.15" customHeight="1" x14ac:dyDescent="0.25"/>
    <row r="92" spans="1:2" ht="14.15" customHeight="1" x14ac:dyDescent="0.25"/>
    <row r="93" spans="1:2" ht="14.15" customHeight="1" x14ac:dyDescent="0.25"/>
    <row r="94" spans="1:2" ht="14.15" customHeight="1" x14ac:dyDescent="0.25"/>
    <row r="95" spans="1:2" ht="14.15" customHeight="1" x14ac:dyDescent="0.25"/>
    <row r="96" spans="1:2" ht="14.15" customHeight="1" x14ac:dyDescent="0.25"/>
    <row r="97" ht="14.15" customHeight="1" x14ac:dyDescent="0.25"/>
    <row r="98" ht="14.15" customHeight="1" x14ac:dyDescent="0.25"/>
    <row r="99" ht="14.15" customHeight="1" x14ac:dyDescent="0.25"/>
    <row r="100" ht="14.15" customHeight="1" x14ac:dyDescent="0.25"/>
    <row r="101" ht="14.15" customHeight="1" x14ac:dyDescent="0.25"/>
    <row r="102" ht="14.15" customHeight="1" x14ac:dyDescent="0.25"/>
    <row r="103" ht="14.15" customHeight="1" x14ac:dyDescent="0.25"/>
    <row r="104" ht="14.15" customHeight="1" x14ac:dyDescent="0.25"/>
    <row r="105" ht="14.15" customHeight="1" x14ac:dyDescent="0.25"/>
    <row r="106" ht="14.15" customHeight="1" x14ac:dyDescent="0.25"/>
    <row r="107" ht="14.15" customHeight="1" x14ac:dyDescent="0.25"/>
    <row r="108" ht="14.15" customHeight="1" x14ac:dyDescent="0.25"/>
    <row r="109" ht="14.15" customHeight="1" x14ac:dyDescent="0.25"/>
    <row r="110" ht="14.15" customHeight="1" x14ac:dyDescent="0.25"/>
    <row r="111" ht="14.15" customHeight="1" x14ac:dyDescent="0.25"/>
    <row r="112" ht="14.15" customHeight="1" x14ac:dyDescent="0.25"/>
    <row r="113" ht="14.15" customHeight="1" x14ac:dyDescent="0.25"/>
    <row r="114" ht="14.15" customHeight="1" x14ac:dyDescent="0.25"/>
    <row r="115" ht="14.15" customHeight="1" x14ac:dyDescent="0.25"/>
    <row r="116" ht="14.15" customHeight="1" x14ac:dyDescent="0.25"/>
    <row r="117" ht="14.15" customHeight="1" x14ac:dyDescent="0.25"/>
    <row r="118" ht="14.15" customHeight="1" x14ac:dyDescent="0.25"/>
    <row r="119" ht="14.15" customHeight="1" x14ac:dyDescent="0.25"/>
    <row r="120" ht="14.15" customHeight="1" x14ac:dyDescent="0.25"/>
    <row r="121" ht="14.15" customHeight="1" x14ac:dyDescent="0.25"/>
    <row r="122" ht="14.15" customHeight="1" x14ac:dyDescent="0.25"/>
    <row r="123" ht="14.15" customHeight="1" x14ac:dyDescent="0.25"/>
    <row r="124" ht="14.15" customHeight="1" x14ac:dyDescent="0.25"/>
    <row r="125" ht="14.15" customHeight="1" x14ac:dyDescent="0.25"/>
    <row r="126" ht="14.15" customHeight="1" x14ac:dyDescent="0.25"/>
    <row r="127" ht="14.15" customHeight="1" x14ac:dyDescent="0.25"/>
    <row r="128" ht="14.15" customHeight="1" x14ac:dyDescent="0.25"/>
    <row r="129" ht="14.15" customHeight="1" x14ac:dyDescent="0.25"/>
    <row r="130" ht="14.15" customHeight="1" x14ac:dyDescent="0.25"/>
    <row r="131" ht="14.15" customHeight="1" x14ac:dyDescent="0.25"/>
    <row r="132" ht="14.15" customHeight="1" x14ac:dyDescent="0.25"/>
    <row r="133" ht="14.15" customHeight="1" x14ac:dyDescent="0.25"/>
    <row r="134" ht="14.15" customHeight="1" x14ac:dyDescent="0.25"/>
    <row r="135" ht="14.15" customHeight="1" x14ac:dyDescent="0.25"/>
    <row r="136" ht="14.15" customHeight="1" x14ac:dyDescent="0.25"/>
    <row r="137" ht="14.15" customHeight="1" x14ac:dyDescent="0.25"/>
    <row r="138" ht="14.15" customHeight="1" x14ac:dyDescent="0.25"/>
    <row r="139" ht="14.15" customHeight="1" x14ac:dyDescent="0.25"/>
    <row r="140" ht="14.15" customHeight="1" x14ac:dyDescent="0.25"/>
    <row r="141" ht="14.15" customHeight="1" x14ac:dyDescent="0.25"/>
    <row r="142" ht="14.15" customHeight="1" x14ac:dyDescent="0.25"/>
    <row r="143" ht="14.15" customHeight="1" x14ac:dyDescent="0.25"/>
    <row r="144" ht="14.15" customHeight="1" x14ac:dyDescent="0.25"/>
    <row r="145" ht="14.15" customHeight="1" x14ac:dyDescent="0.25"/>
    <row r="146" ht="16" customHeight="1" x14ac:dyDescent="0.25"/>
    <row r="147" ht="16" customHeight="1" x14ac:dyDescent="0.25"/>
    <row r="148" ht="16" customHeight="1" x14ac:dyDescent="0.25"/>
    <row r="149" ht="16" customHeight="1" x14ac:dyDescent="0.25"/>
    <row r="150" ht="16" customHeight="1" x14ac:dyDescent="0.25"/>
    <row r="151" ht="16" customHeight="1" x14ac:dyDescent="0.25"/>
    <row r="152" ht="16" customHeight="1" x14ac:dyDescent="0.25"/>
    <row r="153" ht="16" customHeight="1" x14ac:dyDescent="0.25"/>
    <row r="154" ht="16" customHeight="1" x14ac:dyDescent="0.25"/>
    <row r="155" ht="16" customHeight="1" x14ac:dyDescent="0.25"/>
    <row r="156" ht="16" customHeight="1" x14ac:dyDescent="0.25"/>
    <row r="157" ht="16" customHeight="1" x14ac:dyDescent="0.25"/>
    <row r="158" ht="16" customHeight="1" x14ac:dyDescent="0.25"/>
    <row r="159" ht="16" customHeight="1" x14ac:dyDescent="0.25"/>
    <row r="160" ht="16" customHeight="1" x14ac:dyDescent="0.25"/>
    <row r="161" ht="16" customHeight="1" x14ac:dyDescent="0.25"/>
    <row r="162" ht="16" customHeight="1" x14ac:dyDescent="0.25"/>
    <row r="163" ht="16" customHeight="1" x14ac:dyDescent="0.25"/>
    <row r="164" ht="16" customHeight="1" x14ac:dyDescent="0.25"/>
    <row r="165" ht="16" customHeight="1" x14ac:dyDescent="0.25"/>
    <row r="166" ht="16" customHeight="1" x14ac:dyDescent="0.25"/>
    <row r="167" ht="16" customHeight="1" x14ac:dyDescent="0.25"/>
    <row r="168" ht="16" customHeight="1" x14ac:dyDescent="0.25"/>
    <row r="169" ht="16" customHeight="1" x14ac:dyDescent="0.25"/>
    <row r="170" ht="16" customHeight="1" x14ac:dyDescent="0.25"/>
    <row r="171" ht="16" customHeight="1" x14ac:dyDescent="0.25"/>
    <row r="172" ht="16" customHeight="1" x14ac:dyDescent="0.25"/>
    <row r="173" ht="16" customHeight="1" x14ac:dyDescent="0.25"/>
    <row r="174" ht="16" customHeight="1" x14ac:dyDescent="0.25"/>
    <row r="175" ht="16" customHeight="1" x14ac:dyDescent="0.25"/>
    <row r="176" ht="16" customHeight="1" x14ac:dyDescent="0.25"/>
    <row r="177" ht="16" customHeight="1" x14ac:dyDescent="0.25"/>
    <row r="178" ht="16" customHeight="1" x14ac:dyDescent="0.25"/>
    <row r="179" ht="16" customHeight="1" x14ac:dyDescent="0.25"/>
    <row r="180" ht="16" customHeight="1" x14ac:dyDescent="0.25"/>
    <row r="181" ht="16" customHeight="1" x14ac:dyDescent="0.25"/>
    <row r="182" ht="16" customHeight="1" x14ac:dyDescent="0.25"/>
    <row r="183" ht="16" customHeight="1" x14ac:dyDescent="0.25"/>
    <row r="184" ht="16" customHeight="1" x14ac:dyDescent="0.25"/>
    <row r="185" ht="16" customHeight="1" x14ac:dyDescent="0.25"/>
    <row r="186" ht="16" customHeight="1" x14ac:dyDescent="0.25"/>
    <row r="187" ht="16" customHeight="1" x14ac:dyDescent="0.25"/>
    <row r="188" ht="16" customHeight="1" x14ac:dyDescent="0.25"/>
    <row r="189" ht="16" customHeight="1" x14ac:dyDescent="0.25"/>
    <row r="190" ht="16" customHeight="1" x14ac:dyDescent="0.25"/>
    <row r="191" ht="16" customHeight="1" x14ac:dyDescent="0.25"/>
    <row r="192" ht="16" customHeight="1" x14ac:dyDescent="0.25"/>
    <row r="193" ht="16" customHeight="1" x14ac:dyDescent="0.25"/>
    <row r="194" ht="16" customHeight="1" x14ac:dyDescent="0.25"/>
    <row r="195" ht="16" customHeight="1" x14ac:dyDescent="0.25"/>
    <row r="196" ht="16" customHeight="1" x14ac:dyDescent="0.25"/>
    <row r="197" ht="16" customHeight="1" x14ac:dyDescent="0.25"/>
    <row r="198" ht="16" customHeight="1" x14ac:dyDescent="0.25"/>
    <row r="199" ht="16" customHeight="1" x14ac:dyDescent="0.25"/>
    <row r="200" ht="16" customHeight="1" x14ac:dyDescent="0.25"/>
    <row r="201" ht="16" customHeight="1" x14ac:dyDescent="0.25"/>
    <row r="202" ht="16" customHeight="1" x14ac:dyDescent="0.25"/>
    <row r="203" ht="16" customHeight="1" x14ac:dyDescent="0.25"/>
    <row r="204" ht="16" customHeight="1" x14ac:dyDescent="0.25"/>
    <row r="205" ht="16" customHeight="1" x14ac:dyDescent="0.25"/>
    <row r="206" ht="16" customHeight="1" x14ac:dyDescent="0.25"/>
    <row r="207" ht="16" customHeight="1" x14ac:dyDescent="0.25"/>
    <row r="208" ht="16" customHeight="1" x14ac:dyDescent="0.25"/>
    <row r="209" ht="16" customHeight="1" x14ac:dyDescent="0.25"/>
    <row r="210" ht="16" customHeight="1" x14ac:dyDescent="0.25"/>
    <row r="211" ht="16" customHeight="1" x14ac:dyDescent="0.25"/>
    <row r="212" ht="16" customHeight="1" x14ac:dyDescent="0.25"/>
    <row r="213" ht="16" customHeight="1" x14ac:dyDescent="0.25"/>
    <row r="214" ht="16" customHeight="1" x14ac:dyDescent="0.25"/>
    <row r="215" ht="16" customHeight="1" x14ac:dyDescent="0.25"/>
    <row r="216" ht="16" customHeight="1" x14ac:dyDescent="0.25"/>
    <row r="217" ht="16" customHeight="1" x14ac:dyDescent="0.25"/>
    <row r="218" ht="16" customHeight="1" x14ac:dyDescent="0.25"/>
    <row r="219" ht="16" customHeight="1" x14ac:dyDescent="0.25"/>
    <row r="220" ht="16" customHeight="1" x14ac:dyDescent="0.25"/>
    <row r="221" ht="16" customHeight="1" x14ac:dyDescent="0.25"/>
    <row r="222" ht="16" customHeight="1" x14ac:dyDescent="0.25"/>
    <row r="223" ht="16" customHeight="1" x14ac:dyDescent="0.25"/>
    <row r="224" ht="16" customHeight="1" x14ac:dyDescent="0.25"/>
    <row r="225" ht="16" customHeight="1" x14ac:dyDescent="0.25"/>
    <row r="226" ht="16" customHeight="1" x14ac:dyDescent="0.25"/>
    <row r="227" ht="16" customHeight="1" x14ac:dyDescent="0.25"/>
    <row r="228" ht="16" customHeight="1" x14ac:dyDescent="0.25"/>
    <row r="229" ht="16" customHeight="1" x14ac:dyDescent="0.25"/>
    <row r="230" ht="16" customHeight="1" x14ac:dyDescent="0.25"/>
    <row r="231" ht="16" customHeight="1" x14ac:dyDescent="0.25"/>
    <row r="232" ht="16" customHeight="1" x14ac:dyDescent="0.25"/>
    <row r="233" ht="16" customHeight="1" x14ac:dyDescent="0.25"/>
    <row r="234" ht="16" customHeight="1" x14ac:dyDescent="0.25"/>
    <row r="235" ht="16" customHeight="1" x14ac:dyDescent="0.25"/>
    <row r="236" ht="16" customHeight="1" x14ac:dyDescent="0.25"/>
    <row r="237" ht="16" customHeight="1" x14ac:dyDescent="0.25"/>
    <row r="238" ht="16" customHeight="1" x14ac:dyDescent="0.25"/>
    <row r="239" ht="16" customHeight="1" x14ac:dyDescent="0.25"/>
    <row r="240" ht="16" customHeight="1" x14ac:dyDescent="0.25"/>
    <row r="241" ht="16" customHeight="1" x14ac:dyDescent="0.25"/>
    <row r="242" ht="16" customHeight="1" x14ac:dyDescent="0.25"/>
    <row r="243" ht="16" customHeight="1" x14ac:dyDescent="0.25"/>
    <row r="244" ht="16" customHeight="1" x14ac:dyDescent="0.25"/>
    <row r="245" ht="16" customHeight="1" x14ac:dyDescent="0.25"/>
    <row r="246" ht="16" customHeight="1" x14ac:dyDescent="0.25"/>
    <row r="247" ht="16" customHeight="1" x14ac:dyDescent="0.25"/>
    <row r="248" ht="16" customHeight="1" x14ac:dyDescent="0.25"/>
    <row r="249" ht="16" customHeight="1" x14ac:dyDescent="0.25"/>
    <row r="250" ht="16" customHeight="1" x14ac:dyDescent="0.25"/>
    <row r="251" ht="16" customHeight="1" x14ac:dyDescent="0.25"/>
    <row r="252" ht="16" customHeight="1" x14ac:dyDescent="0.25"/>
    <row r="253" ht="16" customHeight="1" x14ac:dyDescent="0.25"/>
    <row r="254" ht="16" customHeight="1" x14ac:dyDescent="0.25"/>
    <row r="255" ht="16" customHeight="1" x14ac:dyDescent="0.25"/>
    <row r="256" ht="16" customHeight="1" x14ac:dyDescent="0.25"/>
    <row r="257" ht="16" customHeight="1" x14ac:dyDescent="0.25"/>
  </sheetData>
  <pageMargins left="0.7" right="0.7" top="0.75" bottom="0.75" header="0.3" footer="0.3"/>
  <pageSetup orientation="portrait" r:id="rId1"/>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IM257"/>
  <sheetViews>
    <sheetView zoomScale="70" zoomScaleNormal="70" workbookViewId="0">
      <selection activeCell="J27" sqref="J27"/>
    </sheetView>
  </sheetViews>
  <sheetFormatPr defaultColWidth="9.1796875" defaultRowHeight="11.5" x14ac:dyDescent="0.25"/>
  <cols>
    <col min="1" max="2" width="5.7265625" style="187" customWidth="1"/>
    <col min="3" max="3" width="26.7265625" style="187" customWidth="1"/>
    <col min="4" max="4" width="13.7265625" style="188" customWidth="1"/>
    <col min="5" max="5" width="22.26953125" style="189" customWidth="1"/>
    <col min="6" max="7" width="13.7265625" style="190" customWidth="1"/>
    <col min="8" max="8" width="22.7265625" style="187" customWidth="1"/>
    <col min="9" max="9" width="31.54296875" style="187" customWidth="1"/>
    <col min="10" max="10" width="19.26953125" style="192" customWidth="1"/>
    <col min="11" max="11" width="17" style="187" customWidth="1"/>
    <col min="12" max="12" width="13.54296875" style="187" customWidth="1"/>
    <col min="13" max="16384" width="9.1796875" style="187"/>
  </cols>
  <sheetData>
    <row r="1" spans="1:11" s="153" customFormat="1" ht="18" x14ac:dyDescent="0.4">
      <c r="A1" s="47" t="s">
        <v>596</v>
      </c>
      <c r="B1" s="159"/>
      <c r="C1" s="159"/>
      <c r="D1" s="160"/>
      <c r="E1" s="161"/>
      <c r="F1" s="162"/>
      <c r="G1" s="162"/>
    </row>
    <row r="2" spans="1:11" s="153" customFormat="1" ht="14" x14ac:dyDescent="0.3">
      <c r="B2" s="159"/>
      <c r="C2" s="159"/>
      <c r="D2" s="160"/>
      <c r="E2" s="161"/>
      <c r="F2" s="162"/>
      <c r="G2" s="162"/>
    </row>
    <row r="3" spans="1:11" s="7" customFormat="1" ht="13" x14ac:dyDescent="0.3">
      <c r="D3" s="137"/>
      <c r="F3" s="138"/>
      <c r="G3" s="163"/>
      <c r="J3" s="1"/>
      <c r="K3" s="155"/>
    </row>
    <row r="4" spans="1:11" s="7" customFormat="1" ht="14" x14ac:dyDescent="0.3">
      <c r="D4" s="137"/>
      <c r="E4" s="151"/>
      <c r="F4" s="138"/>
      <c r="G4" s="163"/>
      <c r="J4" s="153"/>
      <c r="K4" s="155"/>
    </row>
    <row r="5" spans="1:11" s="148" customFormat="1" ht="21" customHeight="1" thickBot="1" x14ac:dyDescent="0.4">
      <c r="A5" s="164" t="s">
        <v>0</v>
      </c>
      <c r="B5" s="164"/>
      <c r="C5" s="164"/>
      <c r="D5" s="165"/>
      <c r="E5" s="166"/>
      <c r="F5" s="167"/>
      <c r="G5" s="168"/>
      <c r="H5" s="168"/>
      <c r="I5" s="168"/>
      <c r="J5" s="1"/>
    </row>
    <row r="6" spans="1:11" s="7" customFormat="1" ht="14.15" customHeight="1" x14ac:dyDescent="0.3">
      <c r="A6" s="1"/>
      <c r="B6" s="1"/>
      <c r="C6" s="1"/>
      <c r="D6" s="137"/>
      <c r="E6" s="151"/>
      <c r="F6" s="137"/>
      <c r="G6" s="163"/>
      <c r="J6" s="153"/>
      <c r="K6" s="155"/>
    </row>
    <row r="7" spans="1:11" s="7" customFormat="1" ht="14.15" customHeight="1" x14ac:dyDescent="0.3">
      <c r="B7" s="169" t="s">
        <v>1</v>
      </c>
      <c r="C7" s="170"/>
      <c r="D7" s="137"/>
      <c r="F7" s="137">
        <f>'CRA FLATS'!G81</f>
        <v>37.296695508494899</v>
      </c>
      <c r="G7" s="171" t="str">
        <f>"(1)"</f>
        <v>(1)</v>
      </c>
      <c r="J7" s="1"/>
      <c r="K7" s="155"/>
    </row>
    <row r="8" spans="1:11" s="7" customFormat="1" ht="14.15" customHeight="1" x14ac:dyDescent="0.3">
      <c r="B8" s="169" t="s">
        <v>2</v>
      </c>
      <c r="C8" s="170"/>
      <c r="D8" s="137"/>
      <c r="F8" s="137">
        <f>'CRA FLATS'!H81</f>
        <v>14.327695122433566</v>
      </c>
      <c r="G8" s="171" t="str">
        <f>"(2)"</f>
        <v>(2)</v>
      </c>
      <c r="J8" s="1"/>
      <c r="K8" s="155"/>
    </row>
    <row r="9" spans="1:11" s="7" customFormat="1" ht="14.15" customHeight="1" x14ac:dyDescent="0.3">
      <c r="B9" s="306"/>
      <c r="C9" s="170"/>
      <c r="D9" s="137"/>
      <c r="F9" s="137"/>
      <c r="G9" s="171"/>
      <c r="J9" s="1"/>
      <c r="K9" s="155"/>
    </row>
    <row r="10" spans="1:11" s="7" customFormat="1" ht="14.15" customHeight="1" x14ac:dyDescent="0.3">
      <c r="B10" s="34" t="s">
        <v>3</v>
      </c>
      <c r="C10" s="172"/>
      <c r="D10" s="137"/>
      <c r="F10" s="41">
        <f>SUM(F7:F8)</f>
        <v>51.624390630928467</v>
      </c>
      <c r="G10" s="171" t="str">
        <f>"(3)"</f>
        <v>(3)</v>
      </c>
      <c r="J10" s="1"/>
      <c r="K10" s="155"/>
    </row>
    <row r="11" spans="1:11" s="7" customFormat="1" ht="14.15" customHeight="1" x14ac:dyDescent="0.3">
      <c r="A11" s="1"/>
      <c r="B11" s="1"/>
      <c r="C11" s="1"/>
      <c r="D11" s="137"/>
      <c r="F11" s="163"/>
      <c r="G11" s="163"/>
      <c r="J11" s="1"/>
      <c r="K11" s="155"/>
    </row>
    <row r="12" spans="1:11" s="7" customFormat="1" ht="14.15" customHeight="1" thickBot="1" x14ac:dyDescent="0.4">
      <c r="A12" s="164" t="s">
        <v>4</v>
      </c>
      <c r="B12" s="173"/>
      <c r="C12" s="173"/>
      <c r="D12" s="174"/>
      <c r="E12" s="175"/>
      <c r="F12" s="176"/>
      <c r="G12" s="177"/>
      <c r="H12" s="177"/>
      <c r="I12" s="177"/>
      <c r="J12" s="354"/>
      <c r="K12" s="155"/>
    </row>
    <row r="13" spans="1:11" s="7" customFormat="1" ht="14.15" customHeight="1" x14ac:dyDescent="0.3">
      <c r="A13" s="1"/>
      <c r="B13" s="1"/>
      <c r="C13" s="1"/>
      <c r="D13" s="137"/>
      <c r="F13" s="138"/>
      <c r="G13" s="163"/>
      <c r="J13" s="354"/>
      <c r="K13" s="155"/>
    </row>
    <row r="14" spans="1:11" s="7" customFormat="1" ht="14.15" customHeight="1" x14ac:dyDescent="0.3">
      <c r="A14" s="1"/>
      <c r="B14" s="1"/>
      <c r="C14" s="1"/>
      <c r="D14" s="41" t="str">
        <f>"(4)"</f>
        <v>(4)</v>
      </c>
      <c r="E14" s="31" t="str">
        <f>"(5)"</f>
        <v>(5)</v>
      </c>
      <c r="F14" s="31" t="str">
        <f>"(6)"</f>
        <v>(6)</v>
      </c>
      <c r="G14" s="163"/>
      <c r="H14" s="31" t="str">
        <f>"(7)"</f>
        <v>(7)</v>
      </c>
      <c r="I14" s="31" t="str">
        <f>"(8)"</f>
        <v>(8)</v>
      </c>
      <c r="J14" s="354"/>
      <c r="K14" s="155"/>
    </row>
    <row r="15" spans="1:11" s="7" customFormat="1" ht="13.5" customHeight="1" x14ac:dyDescent="0.3">
      <c r="A15" s="1"/>
      <c r="B15" s="1"/>
      <c r="C15" s="1"/>
      <c r="D15" s="137"/>
      <c r="E15" s="31"/>
      <c r="F15" s="31"/>
      <c r="J15" s="354"/>
      <c r="K15" s="155"/>
    </row>
    <row r="16" spans="1:11" s="7" customFormat="1" ht="14.15" customHeight="1" x14ac:dyDescent="0.3">
      <c r="A16" s="1"/>
      <c r="B16" s="1"/>
      <c r="C16" s="1"/>
      <c r="D16" s="178"/>
      <c r="E16" s="17" t="s">
        <v>378</v>
      </c>
      <c r="F16" s="31" t="s">
        <v>378</v>
      </c>
      <c r="J16" s="354"/>
      <c r="K16" s="155"/>
    </row>
    <row r="17" spans="1:15" s="7" customFormat="1" ht="14.15" customHeight="1" x14ac:dyDescent="0.3">
      <c r="B17" s="1" t="s">
        <v>5</v>
      </c>
      <c r="C17" s="1"/>
      <c r="D17" s="41" t="s">
        <v>6</v>
      </c>
      <c r="E17" s="17" t="s">
        <v>7</v>
      </c>
      <c r="F17" s="31" t="s">
        <v>8</v>
      </c>
      <c r="H17" s="312" t="s">
        <v>475</v>
      </c>
      <c r="I17" s="312" t="s">
        <v>476</v>
      </c>
      <c r="J17" s="354"/>
      <c r="K17" s="153"/>
      <c r="L17" s="153"/>
      <c r="M17" s="155"/>
    </row>
    <row r="18" spans="1:15" s="7" customFormat="1" ht="14.15" customHeight="1" x14ac:dyDescent="0.3">
      <c r="C18" s="7" t="s">
        <v>320</v>
      </c>
      <c r="D18" s="137">
        <f ca="1">'MADC NONAUTO COST'!$K$79</f>
        <v>32.578092969438579</v>
      </c>
      <c r="E18" s="151">
        <f>'FY VOLUME NONAUTO'!H13</f>
        <v>11145516.161208818</v>
      </c>
      <c r="F18" s="179">
        <f>E18/$E$30</f>
        <v>6.7025536063363448E-3</v>
      </c>
      <c r="G18" s="296"/>
      <c r="H18" s="134">
        <f t="shared" ref="H18:H27" ca="1" si="0">D18*E18</f>
        <v>363099661.69224107</v>
      </c>
      <c r="I18" s="134"/>
      <c r="J18" s="354"/>
      <c r="K18" s="354"/>
      <c r="L18" s="354"/>
      <c r="M18" s="178"/>
      <c r="N18" s="354"/>
      <c r="O18" s="354"/>
    </row>
    <row r="19" spans="1:15" s="7" customFormat="1" ht="14.15" customHeight="1" x14ac:dyDescent="0.3">
      <c r="C19" s="7" t="s">
        <v>321</v>
      </c>
      <c r="D19" s="137">
        <f ca="1">'ADC NONAUTO COST'!$K$79</f>
        <v>24.475448550971816</v>
      </c>
      <c r="E19" s="151">
        <f>'FY VOLUME NONAUTO'!H25</f>
        <v>4844309.7275553821</v>
      </c>
      <c r="F19" s="179">
        <f t="shared" ref="F19:F27" si="1">E19/$E$30</f>
        <v>2.9132114802940647E-3</v>
      </c>
      <c r="G19" s="296"/>
      <c r="H19" s="134">
        <f t="shared" ca="1" si="0"/>
        <v>118566653.50175405</v>
      </c>
      <c r="I19" s="134"/>
      <c r="J19" s="354"/>
      <c r="K19" s="354"/>
      <c r="L19" s="354"/>
      <c r="M19" s="178"/>
      <c r="N19" s="354"/>
      <c r="O19" s="354"/>
    </row>
    <row r="20" spans="1:15" s="7" customFormat="1" ht="14.15" customHeight="1" x14ac:dyDescent="0.3">
      <c r="C20" s="7" t="s">
        <v>322</v>
      </c>
      <c r="D20" s="137">
        <f ca="1">'3D NONAUTO COST'!$K$79</f>
        <v>20.739663388735956</v>
      </c>
      <c r="E20" s="151">
        <f>'FY VOLUME NONAUTO'!H34</f>
        <v>28153334.149979118</v>
      </c>
      <c r="F20" s="179">
        <f t="shared" si="1"/>
        <v>1.6930506277859886E-2</v>
      </c>
      <c r="G20" s="296"/>
      <c r="H20" s="134">
        <f t="shared" ca="1" si="0"/>
        <v>583890673.54117167</v>
      </c>
      <c r="I20" s="134"/>
      <c r="J20" s="354"/>
      <c r="K20" s="354"/>
      <c r="L20" s="354"/>
      <c r="M20" s="178"/>
      <c r="N20" s="354"/>
      <c r="O20" s="354"/>
    </row>
    <row r="21" spans="1:15" s="7" customFormat="1" ht="14.15" customHeight="1" x14ac:dyDescent="0.3">
      <c r="C21" s="7" t="s">
        <v>323</v>
      </c>
      <c r="D21" s="137">
        <f ca="1">'5D NONAUTO COST'!$K$79</f>
        <v>11.602841106492608</v>
      </c>
      <c r="E21" s="151">
        <f>'FY VOLUME NONAUTO'!H43</f>
        <v>31525903.478505421</v>
      </c>
      <c r="F21" s="179">
        <f t="shared" si="1"/>
        <v>1.8958660594679041E-2</v>
      </c>
      <c r="G21" s="296"/>
      <c r="H21" s="134">
        <f t="shared" ca="1" si="0"/>
        <v>365790048.799721</v>
      </c>
      <c r="I21" s="134"/>
      <c r="J21" s="354"/>
      <c r="K21" s="354"/>
      <c r="L21" s="354"/>
      <c r="M21" s="178"/>
      <c r="N21" s="354"/>
      <c r="O21" s="354"/>
    </row>
    <row r="22" spans="1:15" s="7" customFormat="1" ht="14.15" customHeight="1" x14ac:dyDescent="0.3">
      <c r="C22" s="155" t="str">
        <f>B52</f>
        <v>Nonauto FSS Other</v>
      </c>
      <c r="D22" s="137"/>
      <c r="E22" s="151"/>
      <c r="F22" s="179"/>
      <c r="G22" s="296"/>
      <c r="H22" s="134"/>
      <c r="I22" s="134"/>
      <c r="J22" s="354"/>
      <c r="K22" s="354"/>
      <c r="L22" s="354"/>
      <c r="M22" s="178"/>
      <c r="N22" s="354"/>
      <c r="O22" s="354"/>
    </row>
    <row r="23" spans="1:15" s="7" customFormat="1" ht="14.15" customHeight="1" x14ac:dyDescent="0.3">
      <c r="C23" s="155" t="str">
        <f>B54</f>
        <v>Nonauto FSS Scheme</v>
      </c>
      <c r="D23" s="137"/>
      <c r="E23" s="151"/>
      <c r="F23" s="179"/>
      <c r="G23" s="296"/>
      <c r="H23" s="134"/>
      <c r="I23" s="134"/>
      <c r="J23" s="354"/>
      <c r="K23" s="354"/>
      <c r="L23" s="354"/>
      <c r="M23" s="178"/>
      <c r="N23" s="354"/>
      <c r="O23" s="354"/>
    </row>
    <row r="24" spans="1:15" s="7" customFormat="1" ht="14.15" customHeight="1" x14ac:dyDescent="0.3">
      <c r="C24" s="7" t="s">
        <v>324</v>
      </c>
      <c r="D24" s="137">
        <f ca="1">'MADC AUTO COST'!$K$79</f>
        <v>32.870686927285881</v>
      </c>
      <c r="E24" s="151">
        <f>'FY VOLUME AUTO'!H10</f>
        <v>42904653.12958318</v>
      </c>
      <c r="F24" s="179">
        <f t="shared" si="1"/>
        <v>2.5801473292297341E-2</v>
      </c>
      <c r="G24" s="296"/>
      <c r="H24" s="134">
        <f t="shared" ca="1" si="0"/>
        <v>1410305420.746325</v>
      </c>
      <c r="I24" s="134"/>
      <c r="J24" s="354"/>
      <c r="K24" s="354"/>
      <c r="L24" s="354"/>
      <c r="M24" s="178"/>
      <c r="N24" s="354"/>
      <c r="O24" s="354"/>
    </row>
    <row r="25" spans="1:15" s="7" customFormat="1" ht="14.15" customHeight="1" x14ac:dyDescent="0.3">
      <c r="C25" s="7" t="s">
        <v>325</v>
      </c>
      <c r="D25" s="137">
        <f ca="1">'ADC AUTO COST'!$K$79</f>
        <v>27.64804433396877</v>
      </c>
      <c r="E25" s="151">
        <f>'FY VOLUME AUTO'!H18</f>
        <v>34213503.785266832</v>
      </c>
      <c r="F25" s="179">
        <f t="shared" si="1"/>
        <v>2.057489665480608E-2</v>
      </c>
      <c r="G25" s="296"/>
      <c r="H25" s="134">
        <f t="shared" ca="1" si="0"/>
        <v>945936469.47546566</v>
      </c>
      <c r="I25" s="134"/>
      <c r="J25" s="354"/>
      <c r="K25" s="354"/>
      <c r="L25" s="354"/>
      <c r="M25" s="178"/>
      <c r="N25" s="354"/>
      <c r="O25" s="354"/>
    </row>
    <row r="26" spans="1:15" s="7" customFormat="1" ht="14.15" customHeight="1" x14ac:dyDescent="0.3">
      <c r="C26" s="7" t="s">
        <v>326</v>
      </c>
      <c r="D26" s="137">
        <f ca="1">'3D AUTO COST'!$K$79</f>
        <v>20.683031276278435</v>
      </c>
      <c r="E26" s="151">
        <f>'FY VOLUME AUTO'!H26</f>
        <v>440086196.77885246</v>
      </c>
      <c r="F26" s="179">
        <f t="shared" si="1"/>
        <v>0.26465363134864683</v>
      </c>
      <c r="G26" s="296"/>
      <c r="H26" s="134">
        <f t="shared" ca="1" si="0"/>
        <v>9102316572.2354317</v>
      </c>
      <c r="I26" s="134"/>
      <c r="J26" s="354"/>
      <c r="K26" s="354"/>
      <c r="L26" s="354"/>
      <c r="M26" s="178"/>
      <c r="N26" s="354"/>
      <c r="O26" s="354"/>
    </row>
    <row r="27" spans="1:15" s="7" customFormat="1" ht="14.15" customHeight="1" x14ac:dyDescent="0.3">
      <c r="C27" s="7" t="s">
        <v>327</v>
      </c>
      <c r="D27" s="137">
        <f ca="1">'5D AUTO COST'!$K$79</f>
        <v>10.045314588198993</v>
      </c>
      <c r="E27" s="151">
        <f>'FY VOLUME AUTO'!H35</f>
        <v>1070002676.8604578</v>
      </c>
      <c r="F27" s="179">
        <f t="shared" si="1"/>
        <v>0.64346506674508042</v>
      </c>
      <c r="G27" s="296"/>
      <c r="H27" s="134">
        <f t="shared" ca="1" si="0"/>
        <v>10748513499.27833</v>
      </c>
      <c r="I27" s="134"/>
      <c r="J27" s="354"/>
      <c r="K27" s="354"/>
      <c r="L27" s="354"/>
      <c r="M27" s="178"/>
      <c r="N27" s="354"/>
      <c r="O27" s="354"/>
    </row>
    <row r="28" spans="1:15" s="7" customFormat="1" ht="14.15" customHeight="1" x14ac:dyDescent="0.3">
      <c r="C28" s="155" t="s">
        <v>501</v>
      </c>
      <c r="D28" s="137"/>
      <c r="E28" s="151"/>
      <c r="F28" s="179"/>
      <c r="G28" s="296"/>
      <c r="H28" s="134"/>
      <c r="I28" s="134"/>
      <c r="J28" s="354"/>
      <c r="K28" s="354"/>
      <c r="L28" s="354"/>
      <c r="M28" s="178"/>
      <c r="N28" s="354"/>
      <c r="O28" s="354"/>
    </row>
    <row r="29" spans="1:15" s="7" customFormat="1" ht="14.15" customHeight="1" x14ac:dyDescent="0.3">
      <c r="C29" s="155" t="s">
        <v>502</v>
      </c>
      <c r="D29" s="137"/>
      <c r="E29" s="151"/>
      <c r="F29" s="179"/>
      <c r="G29" s="296"/>
      <c r="H29" s="134"/>
      <c r="I29" s="134"/>
      <c r="J29" s="354"/>
      <c r="K29" s="354"/>
      <c r="L29" s="354"/>
      <c r="M29" s="178"/>
      <c r="N29" s="354"/>
      <c r="O29" s="354"/>
    </row>
    <row r="30" spans="1:15" s="1" customFormat="1" ht="14.15" customHeight="1" x14ac:dyDescent="0.3">
      <c r="A30" s="145" t="str">
        <f>"(9)"</f>
        <v>(9)</v>
      </c>
      <c r="B30" s="1" t="s">
        <v>9</v>
      </c>
      <c r="C30" s="34"/>
      <c r="D30" s="41">
        <f ca="1">SUMPRODUCT(D18:D29,F18:F29)</f>
        <v>14.215382062167846</v>
      </c>
      <c r="E30" s="180">
        <f>SUM(E18:E29)</f>
        <v>1662876094.071409</v>
      </c>
      <c r="F30" s="14">
        <f>SUM(F18:F29)</f>
        <v>1</v>
      </c>
      <c r="H30" s="311"/>
      <c r="J30" s="354"/>
      <c r="K30" s="354"/>
      <c r="L30" s="354"/>
      <c r="N30" s="354"/>
      <c r="O30" s="354"/>
    </row>
    <row r="31" spans="1:15" s="1" customFormat="1" ht="14.15" customHeight="1" x14ac:dyDescent="0.3">
      <c r="D31" s="41"/>
      <c r="E31" s="330"/>
      <c r="F31" s="139"/>
      <c r="J31" s="354"/>
    </row>
    <row r="32" spans="1:15" s="1" customFormat="1" ht="14.15" customHeight="1" x14ac:dyDescent="0.3">
      <c r="B32" s="34" t="s">
        <v>10</v>
      </c>
      <c r="C32" s="172"/>
      <c r="D32" s="251"/>
      <c r="F32" s="41">
        <f ca="1">F7/D30</f>
        <v>2.6236857613383875</v>
      </c>
      <c r="G32" s="1" t="str">
        <f>"(10)"</f>
        <v>(10)</v>
      </c>
      <c r="H32" s="357"/>
      <c r="I32" s="313"/>
      <c r="J32" s="354"/>
    </row>
    <row r="33" spans="1:247" s="1" customFormat="1" ht="14.15" customHeight="1" x14ac:dyDescent="0.3">
      <c r="A33" s="172"/>
      <c r="B33" s="172"/>
      <c r="C33" s="172"/>
      <c r="D33" s="41"/>
      <c r="F33" s="139"/>
      <c r="G33" s="181"/>
      <c r="J33" s="153"/>
      <c r="IM33" s="1" t="s">
        <v>11</v>
      </c>
    </row>
    <row r="34" spans="1:247" s="148" customFormat="1" ht="14.15" customHeight="1" thickBot="1" x14ac:dyDescent="0.4">
      <c r="A34" s="182" t="s">
        <v>423</v>
      </c>
      <c r="B34" s="164"/>
      <c r="C34" s="164"/>
      <c r="D34" s="165"/>
      <c r="E34" s="183"/>
      <c r="F34" s="167"/>
      <c r="G34" s="168"/>
      <c r="H34" s="168"/>
      <c r="I34" s="168"/>
      <c r="J34" s="1"/>
      <c r="O34" s="384"/>
    </row>
    <row r="35" spans="1:247" s="7" customFormat="1" ht="14.15" customHeight="1" x14ac:dyDescent="0.3">
      <c r="B35" s="1"/>
      <c r="C35" s="1"/>
      <c r="D35" s="137"/>
      <c r="E35" s="151"/>
      <c r="F35" s="163"/>
      <c r="G35" s="163"/>
      <c r="J35" s="153"/>
      <c r="K35" s="155"/>
    </row>
    <row r="36" spans="1:247" s="7" customFormat="1" ht="14.15" customHeight="1" x14ac:dyDescent="0.3">
      <c r="B36" s="1"/>
      <c r="C36" s="1"/>
      <c r="D36" s="41" t="str">
        <f>"(11)"</f>
        <v>(11)</v>
      </c>
      <c r="E36" s="31" t="str">
        <f>"(12)"</f>
        <v>(12)</v>
      </c>
      <c r="F36" s="31" t="str">
        <f>"(13)"</f>
        <v>(13)</v>
      </c>
      <c r="G36" s="31" t="str">
        <f>"(14)"</f>
        <v>(14)</v>
      </c>
      <c r="H36" s="475"/>
      <c r="I36" s="8"/>
      <c r="J36" s="1"/>
      <c r="K36" s="155"/>
    </row>
    <row r="37" spans="1:247" s="7" customFormat="1" ht="14.15" customHeight="1" x14ac:dyDescent="0.3">
      <c r="D37" s="41"/>
      <c r="E37" s="31"/>
      <c r="F37" s="31"/>
      <c r="G37" s="181" t="s">
        <v>3</v>
      </c>
      <c r="H37" s="471"/>
      <c r="I37" s="473"/>
      <c r="J37" s="153"/>
      <c r="K37" s="155"/>
    </row>
    <row r="38" spans="1:247" s="7" customFormat="1" ht="14.15" customHeight="1" x14ac:dyDescent="0.3">
      <c r="B38" s="1"/>
      <c r="D38" s="41" t="s">
        <v>12</v>
      </c>
      <c r="E38" s="31" t="s">
        <v>328</v>
      </c>
      <c r="F38" s="31" t="s">
        <v>329</v>
      </c>
      <c r="G38" s="181" t="s">
        <v>13</v>
      </c>
      <c r="H38" s="471"/>
      <c r="I38" s="473"/>
      <c r="J38" s="1"/>
      <c r="K38" s="155"/>
    </row>
    <row r="39" spans="1:247" s="7" customFormat="1" ht="14.15" customHeight="1" x14ac:dyDescent="0.3">
      <c r="B39" s="36" t="s">
        <v>14</v>
      </c>
      <c r="C39" s="1"/>
      <c r="D39" s="43" t="s">
        <v>15</v>
      </c>
      <c r="E39" s="37" t="s">
        <v>15</v>
      </c>
      <c r="F39" s="37" t="s">
        <v>15</v>
      </c>
      <c r="G39" s="184" t="s">
        <v>15</v>
      </c>
      <c r="H39" s="472"/>
      <c r="I39" s="1"/>
      <c r="J39" s="153"/>
      <c r="K39" s="155"/>
    </row>
    <row r="40" spans="1:247" s="7" customFormat="1" ht="14.15" customHeight="1" x14ac:dyDescent="0.3">
      <c r="B40" s="1"/>
      <c r="C40" s="1"/>
      <c r="D40" s="41"/>
      <c r="E40" s="31"/>
      <c r="F40" s="31"/>
      <c r="G40" s="181"/>
      <c r="I40" s="1"/>
      <c r="J40" s="1"/>
      <c r="K40" s="155"/>
    </row>
    <row r="41" spans="1:247" s="1" customFormat="1" ht="14.15" customHeight="1" x14ac:dyDescent="0.3">
      <c r="A41" s="172"/>
      <c r="B41" s="1" t="str">
        <f>C18</f>
        <v>Nonauto MADC</v>
      </c>
      <c r="D41" s="41">
        <f ca="1">D18</f>
        <v>32.578092969438579</v>
      </c>
      <c r="E41" s="41">
        <f ca="1">D41*$F$32</f>
        <v>85.474678655474222</v>
      </c>
      <c r="F41" s="41">
        <f>$F$8</f>
        <v>14.327695122433566</v>
      </c>
      <c r="G41" s="41">
        <f ca="1">E41+F41</f>
        <v>99.802373777907789</v>
      </c>
      <c r="H41" s="469"/>
      <c r="I41" s="478"/>
      <c r="J41" s="356"/>
      <c r="K41" s="356"/>
      <c r="L41" s="356"/>
      <c r="M41" s="356"/>
    </row>
    <row r="42" spans="1:247" s="1" customFormat="1" ht="14.15" customHeight="1" x14ac:dyDescent="0.3">
      <c r="A42" s="172"/>
      <c r="D42" s="41"/>
      <c r="E42" s="41"/>
      <c r="F42" s="41"/>
      <c r="G42" s="41"/>
      <c r="H42" s="469"/>
      <c r="I42" s="478"/>
      <c r="J42" s="356"/>
      <c r="K42" s="356"/>
      <c r="L42" s="356"/>
      <c r="M42" s="356"/>
    </row>
    <row r="43" spans="1:247" s="1" customFormat="1" ht="14.15" customHeight="1" x14ac:dyDescent="0.3">
      <c r="A43" s="172"/>
      <c r="B43" s="1" t="str">
        <f>C19</f>
        <v>Nonauto ADC</v>
      </c>
      <c r="D43" s="41">
        <f ca="1">D19</f>
        <v>24.475448550971816</v>
      </c>
      <c r="E43" s="41">
        <f ca="1">D43*$F$32</f>
        <v>64.215885865555023</v>
      </c>
      <c r="F43" s="41">
        <f>$F$8</f>
        <v>14.327695122433566</v>
      </c>
      <c r="G43" s="41">
        <f ca="1">E43+F43</f>
        <v>78.543580987988591</v>
      </c>
      <c r="H43" s="469"/>
      <c r="I43" s="478"/>
      <c r="J43" s="356"/>
      <c r="K43" s="356"/>
      <c r="L43" s="356"/>
      <c r="M43" s="356"/>
    </row>
    <row r="44" spans="1:247" s="1" customFormat="1" ht="14.15" customHeight="1" x14ac:dyDescent="0.3">
      <c r="A44" s="172"/>
      <c r="D44" s="41"/>
      <c r="E44" s="41"/>
      <c r="F44" s="41"/>
      <c r="G44" s="41"/>
      <c r="H44" s="469"/>
      <c r="I44" s="478"/>
      <c r="J44" s="356"/>
      <c r="K44" s="356"/>
      <c r="L44" s="356"/>
      <c r="M44" s="356"/>
    </row>
    <row r="45" spans="1:247" s="1" customFormat="1" ht="14.15" customHeight="1" x14ac:dyDescent="0.3">
      <c r="A45" s="172"/>
      <c r="B45" s="1" t="str">
        <f>C20</f>
        <v>Nonauto 3-Digit</v>
      </c>
      <c r="D45" s="41">
        <f ca="1">D20</f>
        <v>20.739663388735956</v>
      </c>
      <c r="E45" s="41">
        <f ca="1">D45*$F$32</f>
        <v>54.414359527977574</v>
      </c>
      <c r="F45" s="41">
        <f>$F$8</f>
        <v>14.327695122433566</v>
      </c>
      <c r="G45" s="41">
        <f ca="1">E45+F45</f>
        <v>68.742054650411134</v>
      </c>
      <c r="H45" s="469"/>
      <c r="I45" s="478"/>
      <c r="J45" s="356"/>
      <c r="K45" s="356"/>
      <c r="L45" s="356"/>
      <c r="M45" s="356"/>
    </row>
    <row r="46" spans="1:247" s="1" customFormat="1" ht="14.15" customHeight="1" x14ac:dyDescent="0.3">
      <c r="A46" s="172"/>
      <c r="D46" s="41"/>
      <c r="E46" s="41"/>
      <c r="F46" s="41"/>
      <c r="G46" s="41"/>
      <c r="H46" s="469"/>
      <c r="I46" s="478"/>
      <c r="J46" s="356"/>
      <c r="K46" s="356"/>
      <c r="L46" s="356"/>
      <c r="M46" s="356"/>
    </row>
    <row r="47" spans="1:247" s="1" customFormat="1" ht="14.15" customHeight="1" x14ac:dyDescent="0.3">
      <c r="A47" s="172"/>
      <c r="C47" s="1" t="s">
        <v>550</v>
      </c>
      <c r="D47" s="41"/>
      <c r="E47" s="41"/>
      <c r="F47" s="41"/>
      <c r="G47" s="41"/>
      <c r="H47" s="469"/>
      <c r="I47" s="478"/>
      <c r="J47" s="356"/>
      <c r="K47" s="356"/>
      <c r="L47" s="356"/>
      <c r="M47" s="356"/>
    </row>
    <row r="48" spans="1:247" s="1" customFormat="1" ht="14.15" customHeight="1" x14ac:dyDescent="0.3">
      <c r="A48" s="172"/>
      <c r="C48" s="1" t="s">
        <v>556</v>
      </c>
      <c r="D48" s="41">
        <f>'3D NONAUTO COST NONFSS'!K79</f>
        <v>20.739663388735956</v>
      </c>
      <c r="E48" s="41">
        <f ca="1">D48*$F$32</f>
        <v>54.414359527977574</v>
      </c>
      <c r="F48" s="41">
        <f t="shared" ref="F48" si="2">$F$8</f>
        <v>14.327695122433566</v>
      </c>
      <c r="G48" s="41">
        <f ca="1">E48+F48</f>
        <v>68.742054650411134</v>
      </c>
      <c r="H48" s="469"/>
      <c r="I48" s="478"/>
      <c r="J48" s="356"/>
      <c r="K48" s="356"/>
      <c r="L48" s="356"/>
      <c r="M48" s="356"/>
    </row>
    <row r="49" spans="1:13" s="1" customFormat="1" ht="14.15" customHeight="1" x14ac:dyDescent="0.3">
      <c r="A49" s="172"/>
      <c r="D49" s="41"/>
      <c r="E49" s="41"/>
      <c r="F49" s="41"/>
      <c r="G49" s="41"/>
      <c r="H49" s="469"/>
      <c r="I49" s="478"/>
      <c r="J49" s="356"/>
      <c r="K49" s="356"/>
      <c r="L49" s="356"/>
      <c r="M49" s="356"/>
    </row>
    <row r="50" spans="1:13" s="1" customFormat="1" ht="14.15" customHeight="1" x14ac:dyDescent="0.3">
      <c r="A50" s="172"/>
      <c r="B50" s="1" t="str">
        <f>C21</f>
        <v>Nonauto 5-Digit</v>
      </c>
      <c r="D50" s="41">
        <f ca="1">D21</f>
        <v>11.602841106492608</v>
      </c>
      <c r="E50" s="41">
        <f ca="1">D50*$F$32</f>
        <v>30.442209002176398</v>
      </c>
      <c r="F50" s="41">
        <f>$F$8</f>
        <v>14.327695122433566</v>
      </c>
      <c r="G50" s="41">
        <f ca="1">E50+F50</f>
        <v>44.769904124609965</v>
      </c>
      <c r="H50" s="469"/>
      <c r="I50" s="478"/>
      <c r="J50" s="356"/>
      <c r="K50" s="356"/>
      <c r="L50" s="356"/>
      <c r="M50" s="356"/>
    </row>
    <row r="51" spans="1:13" s="1" customFormat="1" ht="14.15" customHeight="1" x14ac:dyDescent="0.3">
      <c r="A51" s="172"/>
      <c r="D51" s="41"/>
      <c r="E51" s="41"/>
      <c r="F51" s="41"/>
      <c r="G51" s="41"/>
      <c r="H51" s="469"/>
      <c r="I51" s="478"/>
      <c r="J51" s="356"/>
      <c r="K51" s="356"/>
      <c r="L51" s="356"/>
      <c r="M51" s="356"/>
    </row>
    <row r="52" spans="1:13" s="1" customFormat="1" ht="14.15" customHeight="1" x14ac:dyDescent="0.3">
      <c r="A52" s="172"/>
      <c r="B52" s="1" t="s">
        <v>499</v>
      </c>
      <c r="D52" s="41"/>
      <c r="E52" s="41"/>
      <c r="F52" s="41"/>
      <c r="G52" s="41"/>
      <c r="H52" s="469"/>
      <c r="I52" s="478"/>
      <c r="J52" s="356"/>
      <c r="K52" s="356"/>
      <c r="L52" s="356"/>
      <c r="M52" s="356"/>
    </row>
    <row r="53" spans="1:13" s="1" customFormat="1" ht="14.15" customHeight="1" x14ac:dyDescent="0.3">
      <c r="A53" s="172"/>
      <c r="D53" s="41"/>
      <c r="E53" s="41"/>
      <c r="F53" s="41"/>
      <c r="G53" s="41"/>
      <c r="H53" s="469"/>
      <c r="I53" s="478"/>
      <c r="J53" s="356"/>
      <c r="K53" s="356"/>
      <c r="L53" s="356"/>
      <c r="M53" s="356"/>
    </row>
    <row r="54" spans="1:13" s="1" customFormat="1" ht="14.15" customHeight="1" x14ac:dyDescent="0.3">
      <c r="A54" s="172"/>
      <c r="B54" s="1" t="s">
        <v>500</v>
      </c>
      <c r="D54" s="41"/>
      <c r="E54" s="41"/>
      <c r="F54" s="41"/>
      <c r="G54" s="41"/>
      <c r="H54" s="469"/>
      <c r="I54" s="478"/>
      <c r="J54" s="356"/>
      <c r="K54" s="356"/>
      <c r="L54" s="356"/>
      <c r="M54" s="356"/>
    </row>
    <row r="55" spans="1:13" s="1" customFormat="1" ht="14.15" customHeight="1" x14ac:dyDescent="0.3">
      <c r="A55" s="172"/>
      <c r="D55" s="41"/>
      <c r="E55" s="41"/>
      <c r="F55" s="41"/>
      <c r="G55" s="41"/>
      <c r="H55" s="469"/>
      <c r="I55" s="478"/>
      <c r="J55" s="356"/>
      <c r="K55" s="356"/>
      <c r="L55" s="356"/>
      <c r="M55" s="356"/>
    </row>
    <row r="56" spans="1:13" s="1" customFormat="1" ht="14.15" customHeight="1" x14ac:dyDescent="0.3">
      <c r="A56" s="172"/>
      <c r="B56" s="1" t="str">
        <f>C24</f>
        <v>Auto MADC</v>
      </c>
      <c r="D56" s="41">
        <f ca="1">D24</f>
        <v>32.870686927285881</v>
      </c>
      <c r="E56" s="41">
        <f ca="1">D56*$F$32</f>
        <v>86.242353256531842</v>
      </c>
      <c r="F56" s="41">
        <f>$F$8</f>
        <v>14.327695122433566</v>
      </c>
      <c r="G56" s="41">
        <f ca="1">E56+F56</f>
        <v>100.57004837896541</v>
      </c>
      <c r="H56" s="469"/>
      <c r="I56" s="478"/>
      <c r="J56" s="356"/>
      <c r="K56" s="356"/>
      <c r="L56" s="356"/>
      <c r="M56" s="356"/>
    </row>
    <row r="57" spans="1:13" s="1" customFormat="1" ht="14.15" customHeight="1" x14ac:dyDescent="0.3">
      <c r="A57" s="172"/>
      <c r="D57" s="41"/>
      <c r="E57" s="41"/>
      <c r="F57" s="41"/>
      <c r="G57" s="41"/>
      <c r="H57" s="469"/>
      <c r="I57" s="478"/>
      <c r="J57" s="356"/>
      <c r="K57" s="356"/>
      <c r="L57" s="356"/>
      <c r="M57" s="356"/>
    </row>
    <row r="58" spans="1:13" s="1" customFormat="1" ht="14.15" customHeight="1" x14ac:dyDescent="0.3">
      <c r="A58" s="172"/>
      <c r="B58" s="1" t="str">
        <f>C25</f>
        <v>Auto ADC</v>
      </c>
      <c r="D58" s="41">
        <f ca="1">D25</f>
        <v>27.64804433396877</v>
      </c>
      <c r="E58" s="41">
        <f ca="1">D58*$F$32</f>
        <v>72.539780247886341</v>
      </c>
      <c r="F58" s="41">
        <f>$F$8</f>
        <v>14.327695122433566</v>
      </c>
      <c r="G58" s="41">
        <f ca="1">E58+F58</f>
        <v>86.867475370319909</v>
      </c>
      <c r="H58" s="469"/>
      <c r="I58" s="478"/>
      <c r="J58" s="356"/>
      <c r="K58" s="356"/>
      <c r="L58" s="356"/>
      <c r="M58" s="356"/>
    </row>
    <row r="59" spans="1:13" s="1" customFormat="1" ht="14.15" customHeight="1" x14ac:dyDescent="0.3">
      <c r="A59" s="172"/>
      <c r="D59" s="41"/>
      <c r="E59" s="41"/>
      <c r="F59" s="41"/>
      <c r="G59" s="41"/>
      <c r="H59" s="469"/>
      <c r="I59" s="478"/>
      <c r="J59" s="356"/>
      <c r="K59" s="356"/>
      <c r="L59" s="356"/>
      <c r="M59" s="356"/>
    </row>
    <row r="60" spans="1:13" s="1" customFormat="1" ht="14.15" customHeight="1" x14ac:dyDescent="0.3">
      <c r="B60" s="34" t="str">
        <f>C26</f>
        <v>Auto 3-Digit</v>
      </c>
      <c r="D60" s="41">
        <f ca="1">D26</f>
        <v>20.683031276278435</v>
      </c>
      <c r="E60" s="41">
        <f ca="1">D60*$F$32</f>
        <v>54.265774660888262</v>
      </c>
      <c r="F60" s="41">
        <f>$F$8</f>
        <v>14.327695122433566</v>
      </c>
      <c r="G60" s="41">
        <f ca="1">E60+F60</f>
        <v>68.593469783321822</v>
      </c>
      <c r="H60" s="469"/>
      <c r="I60" s="478"/>
      <c r="J60" s="356"/>
      <c r="K60" s="356"/>
      <c r="L60" s="356"/>
      <c r="M60" s="356"/>
    </row>
    <row r="61" spans="1:13" s="1" customFormat="1" ht="14.15" customHeight="1" x14ac:dyDescent="0.3">
      <c r="B61" s="34"/>
      <c r="D61" s="41"/>
      <c r="E61" s="41"/>
      <c r="F61" s="41"/>
      <c r="G61" s="41"/>
      <c r="H61" s="469"/>
      <c r="I61" s="478"/>
      <c r="J61" s="356"/>
      <c r="K61" s="356"/>
      <c r="L61" s="356"/>
      <c r="M61" s="356"/>
    </row>
    <row r="62" spans="1:13" s="1" customFormat="1" ht="14.15" customHeight="1" x14ac:dyDescent="0.3">
      <c r="B62" s="34"/>
      <c r="C62" s="1" t="s">
        <v>550</v>
      </c>
      <c r="D62" s="41"/>
      <c r="E62" s="41"/>
      <c r="F62" s="41"/>
      <c r="G62" s="41"/>
      <c r="H62" s="469"/>
      <c r="I62" s="478"/>
      <c r="J62" s="356"/>
      <c r="K62" s="356"/>
      <c r="L62" s="356"/>
      <c r="M62" s="356"/>
    </row>
    <row r="63" spans="1:13" s="1" customFormat="1" ht="14.15" customHeight="1" x14ac:dyDescent="0.3">
      <c r="B63" s="34"/>
      <c r="C63" s="1" t="s">
        <v>556</v>
      </c>
      <c r="D63" s="41">
        <f>'3D AUTO COST NONFSS'!K79</f>
        <v>20.683031276278438</v>
      </c>
      <c r="E63" s="41">
        <f ca="1">D63*$F$32</f>
        <v>54.265774660888276</v>
      </c>
      <c r="F63" s="41">
        <f t="shared" ref="F63" si="3">$F$8</f>
        <v>14.327695122433566</v>
      </c>
      <c r="G63" s="41">
        <f ca="1">E63+F63</f>
        <v>68.593469783321837</v>
      </c>
      <c r="H63" s="469"/>
      <c r="I63" s="478"/>
      <c r="J63" s="356"/>
      <c r="K63" s="356"/>
      <c r="L63" s="356"/>
      <c r="M63" s="356"/>
    </row>
    <row r="64" spans="1:13" s="1" customFormat="1" ht="14.15" customHeight="1" x14ac:dyDescent="0.3">
      <c r="B64" s="34" t="s">
        <v>16</v>
      </c>
      <c r="D64" s="41"/>
      <c r="E64" s="41"/>
      <c r="F64" s="41"/>
      <c r="G64" s="41"/>
      <c r="H64" s="469"/>
      <c r="I64" s="478"/>
      <c r="J64" s="356"/>
      <c r="K64" s="356"/>
      <c r="L64" s="356"/>
      <c r="M64" s="356"/>
    </row>
    <row r="65" spans="1:13" s="7" customFormat="1" ht="14.15" customHeight="1" x14ac:dyDescent="0.3">
      <c r="B65" s="34" t="str">
        <f>C27</f>
        <v>Auto 5-Digit</v>
      </c>
      <c r="D65" s="41">
        <f ca="1">D27</f>
        <v>10.045314588198993</v>
      </c>
      <c r="E65" s="41">
        <f ca="1">D65*$F$32</f>
        <v>26.355748853222487</v>
      </c>
      <c r="F65" s="41">
        <f>$F$8</f>
        <v>14.327695122433566</v>
      </c>
      <c r="G65" s="41">
        <f ca="1">E65+F65</f>
        <v>40.683443975656054</v>
      </c>
      <c r="H65" s="469"/>
      <c r="I65" s="478"/>
      <c r="J65" s="356"/>
      <c r="K65" s="356"/>
      <c r="L65" s="356"/>
      <c r="M65" s="356"/>
    </row>
    <row r="66" spans="1:13" s="7" customFormat="1" ht="14.15" customHeight="1" x14ac:dyDescent="0.3">
      <c r="B66" s="34"/>
      <c r="D66" s="41"/>
      <c r="E66" s="41"/>
      <c r="F66" s="41"/>
      <c r="G66" s="41"/>
      <c r="H66" s="365"/>
      <c r="I66" s="224"/>
      <c r="J66" s="356"/>
      <c r="K66" s="356"/>
      <c r="L66" s="356"/>
      <c r="M66" s="356"/>
    </row>
    <row r="67" spans="1:13" s="7" customFormat="1" ht="14.15" customHeight="1" x14ac:dyDescent="0.3">
      <c r="B67" s="34" t="s">
        <v>501</v>
      </c>
      <c r="D67" s="41"/>
      <c r="E67" s="41"/>
      <c r="F67" s="41"/>
      <c r="G67" s="41"/>
      <c r="H67" s="365"/>
      <c r="J67" s="356"/>
      <c r="K67" s="356"/>
      <c r="L67" s="356"/>
      <c r="M67" s="356"/>
    </row>
    <row r="68" spans="1:13" s="7" customFormat="1" ht="14.15" customHeight="1" x14ac:dyDescent="0.3">
      <c r="B68" s="34"/>
      <c r="D68" s="41"/>
      <c r="E68" s="41"/>
      <c r="F68" s="41"/>
      <c r="G68" s="41"/>
      <c r="H68" s="365"/>
      <c r="J68" s="356"/>
      <c r="K68" s="356"/>
      <c r="L68" s="356"/>
      <c r="M68" s="356"/>
    </row>
    <row r="69" spans="1:13" s="7" customFormat="1" ht="14.15" customHeight="1" x14ac:dyDescent="0.3">
      <c r="B69" s="34" t="s">
        <v>502</v>
      </c>
      <c r="D69" s="41"/>
      <c r="E69" s="41"/>
      <c r="F69" s="41"/>
      <c r="G69" s="41"/>
      <c r="H69" s="365"/>
      <c r="I69" s="2"/>
      <c r="J69" s="356"/>
      <c r="K69" s="356"/>
      <c r="L69" s="356"/>
      <c r="M69" s="356"/>
    </row>
    <row r="70" spans="1:13" s="7" customFormat="1" ht="14.15" customHeight="1" thickBot="1" x14ac:dyDescent="0.35">
      <c r="A70" s="175"/>
      <c r="B70" s="185"/>
      <c r="C70" s="175"/>
      <c r="D70" s="186"/>
      <c r="E70" s="186"/>
      <c r="F70" s="186"/>
      <c r="G70" s="186"/>
      <c r="H70" s="186"/>
      <c r="I70" s="186"/>
      <c r="J70" s="1"/>
      <c r="K70" s="155"/>
    </row>
    <row r="71" spans="1:13" ht="14.15" customHeight="1" x14ac:dyDescent="0.25">
      <c r="I71" s="263"/>
    </row>
    <row r="72" spans="1:13" ht="14.15" customHeight="1" x14ac:dyDescent="0.25">
      <c r="A72" s="359" t="s">
        <v>597</v>
      </c>
      <c r="G72" s="315"/>
    </row>
    <row r="73" spans="1:13" ht="14.15" customHeight="1" x14ac:dyDescent="0.25">
      <c r="A73" s="191" t="str">
        <f>"(1)"</f>
        <v>(1)</v>
      </c>
      <c r="B73" s="192" t="s">
        <v>598</v>
      </c>
      <c r="E73" s="323"/>
      <c r="G73" s="314"/>
      <c r="H73" s="319"/>
    </row>
    <row r="74" spans="1:13" ht="14.15" customHeight="1" x14ac:dyDescent="0.25">
      <c r="A74" s="191" t="str">
        <f>"(2)"</f>
        <v>(2)</v>
      </c>
      <c r="B74" s="192" t="s">
        <v>599</v>
      </c>
      <c r="G74" s="314"/>
    </row>
    <row r="75" spans="1:13" ht="14.15" customHeight="1" x14ac:dyDescent="0.25">
      <c r="A75" s="191" t="str">
        <f>"(3)"</f>
        <v>(3)</v>
      </c>
      <c r="B75" s="192" t="s">
        <v>330</v>
      </c>
    </row>
    <row r="76" spans="1:13" ht="14.15" customHeight="1" x14ac:dyDescent="0.25">
      <c r="A76" s="191" t="str">
        <f>"(4)"</f>
        <v>(4)</v>
      </c>
      <c r="B76" s="192" t="s">
        <v>600</v>
      </c>
    </row>
    <row r="77" spans="1:13" ht="14.15" customHeight="1" x14ac:dyDescent="0.25">
      <c r="A77" s="191" t="str">
        <f>"(5)"</f>
        <v>(5)</v>
      </c>
      <c r="B77" s="192" t="s">
        <v>601</v>
      </c>
    </row>
    <row r="78" spans="1:13" ht="14.15" customHeight="1" x14ac:dyDescent="0.25">
      <c r="A78" s="191" t="str">
        <f>"(6)"</f>
        <v>(6)</v>
      </c>
      <c r="B78" s="192" t="s">
        <v>419</v>
      </c>
    </row>
    <row r="79" spans="1:13" ht="14.15" customHeight="1" x14ac:dyDescent="0.25">
      <c r="A79" s="191" t="str">
        <f>"(7)"</f>
        <v>(7)</v>
      </c>
      <c r="B79" s="192" t="s">
        <v>602</v>
      </c>
    </row>
    <row r="80" spans="1:13" ht="14.15" customHeight="1" x14ac:dyDescent="0.25">
      <c r="A80" s="191" t="str">
        <f>"(8)"</f>
        <v>(8)</v>
      </c>
      <c r="B80" s="192" t="s">
        <v>603</v>
      </c>
    </row>
    <row r="81" spans="1:2" ht="14.15" customHeight="1" x14ac:dyDescent="0.25">
      <c r="A81" s="191" t="str">
        <f>"(9)"</f>
        <v>(9)</v>
      </c>
      <c r="B81" s="192" t="s">
        <v>604</v>
      </c>
    </row>
    <row r="82" spans="1:2" ht="14.15" customHeight="1" x14ac:dyDescent="0.25">
      <c r="A82" s="191" t="str">
        <f>"(10)"</f>
        <v>(10)</v>
      </c>
      <c r="B82" s="192" t="s">
        <v>605</v>
      </c>
    </row>
    <row r="83" spans="1:2" ht="14.15" customHeight="1" x14ac:dyDescent="0.25">
      <c r="A83" s="191" t="str">
        <f>"(11)"</f>
        <v>(11)</v>
      </c>
      <c r="B83" s="192" t="s">
        <v>600</v>
      </c>
    </row>
    <row r="84" spans="1:2" ht="14.15" customHeight="1" x14ac:dyDescent="0.25">
      <c r="A84" s="191" t="str">
        <f>"(12)"</f>
        <v>(12)</v>
      </c>
      <c r="B84" s="192" t="s">
        <v>606</v>
      </c>
    </row>
    <row r="85" spans="1:2" ht="14.15" customHeight="1" x14ac:dyDescent="0.25">
      <c r="A85" s="191"/>
      <c r="B85" s="192" t="s">
        <v>607</v>
      </c>
    </row>
    <row r="86" spans="1:2" ht="14.15" customHeight="1" x14ac:dyDescent="0.25">
      <c r="A86" s="191" t="str">
        <f>"(13)"</f>
        <v>(13)</v>
      </c>
      <c r="B86" s="192" t="str">
        <f>"(2)"</f>
        <v>(2)</v>
      </c>
    </row>
    <row r="87" spans="1:2" ht="14.15" customHeight="1" x14ac:dyDescent="0.25">
      <c r="A87" s="191" t="str">
        <f>"(14)"</f>
        <v>(14)</v>
      </c>
      <c r="B87" s="192" t="s">
        <v>608</v>
      </c>
    </row>
    <row r="88" spans="1:2" ht="14.15" customHeight="1" x14ac:dyDescent="0.25"/>
    <row r="89" spans="1:2" ht="14.15" customHeight="1" x14ac:dyDescent="0.25"/>
    <row r="90" spans="1:2" ht="14.15" customHeight="1" x14ac:dyDescent="0.25"/>
    <row r="91" spans="1:2" ht="14.15" customHeight="1" x14ac:dyDescent="0.25"/>
    <row r="92" spans="1:2" ht="14.15" customHeight="1" x14ac:dyDescent="0.25"/>
    <row r="93" spans="1:2" ht="14.15" customHeight="1" x14ac:dyDescent="0.25"/>
    <row r="94" spans="1:2" ht="14.15" customHeight="1" x14ac:dyDescent="0.25"/>
    <row r="95" spans="1:2" ht="14.15" customHeight="1" x14ac:dyDescent="0.25"/>
    <row r="96" spans="1:2" ht="14.15" customHeight="1" x14ac:dyDescent="0.25"/>
    <row r="97" ht="14.15" customHeight="1" x14ac:dyDescent="0.25"/>
    <row r="98" ht="14.15" customHeight="1" x14ac:dyDescent="0.25"/>
    <row r="99" ht="14.15" customHeight="1" x14ac:dyDescent="0.25"/>
    <row r="100" ht="14.15" customHeight="1" x14ac:dyDescent="0.25"/>
    <row r="101" ht="14.15" customHeight="1" x14ac:dyDescent="0.25"/>
    <row r="102" ht="14.15" customHeight="1" x14ac:dyDescent="0.25"/>
    <row r="103" ht="14.15" customHeight="1" x14ac:dyDescent="0.25"/>
    <row r="104" ht="14.15" customHeight="1" x14ac:dyDescent="0.25"/>
    <row r="105" ht="14.15" customHeight="1" x14ac:dyDescent="0.25"/>
    <row r="106" ht="14.15" customHeight="1" x14ac:dyDescent="0.25"/>
    <row r="107" ht="14.15" customHeight="1" x14ac:dyDescent="0.25"/>
    <row r="108" ht="14.15" customHeight="1" x14ac:dyDescent="0.25"/>
    <row r="109" ht="14.15" customHeight="1" x14ac:dyDescent="0.25"/>
    <row r="110" ht="14.15" customHeight="1" x14ac:dyDescent="0.25"/>
    <row r="111" ht="14.15" customHeight="1" x14ac:dyDescent="0.25"/>
    <row r="112" ht="14.15" customHeight="1" x14ac:dyDescent="0.25"/>
    <row r="113" ht="14.15" customHeight="1" x14ac:dyDescent="0.25"/>
    <row r="114" ht="14.15" customHeight="1" x14ac:dyDescent="0.25"/>
    <row r="115" ht="14.15" customHeight="1" x14ac:dyDescent="0.25"/>
    <row r="116" ht="14.15" customHeight="1" x14ac:dyDescent="0.25"/>
    <row r="117" ht="14.15" customHeight="1" x14ac:dyDescent="0.25"/>
    <row r="118" ht="14.15" customHeight="1" x14ac:dyDescent="0.25"/>
    <row r="119" ht="14.15" customHeight="1" x14ac:dyDescent="0.25"/>
    <row r="120" ht="14.15" customHeight="1" x14ac:dyDescent="0.25"/>
    <row r="121" ht="14.15" customHeight="1" x14ac:dyDescent="0.25"/>
    <row r="122" ht="14.15" customHeight="1" x14ac:dyDescent="0.25"/>
    <row r="123" ht="14.15" customHeight="1" x14ac:dyDescent="0.25"/>
    <row r="124" ht="14.15" customHeight="1" x14ac:dyDescent="0.25"/>
    <row r="125" ht="14.15" customHeight="1" x14ac:dyDescent="0.25"/>
    <row r="126" ht="14.15" customHeight="1" x14ac:dyDescent="0.25"/>
    <row r="127" ht="14.15" customHeight="1" x14ac:dyDescent="0.25"/>
    <row r="128" ht="14.15" customHeight="1" x14ac:dyDescent="0.25"/>
    <row r="129" ht="14.15" customHeight="1" x14ac:dyDescent="0.25"/>
    <row r="130" ht="14.15" customHeight="1" x14ac:dyDescent="0.25"/>
    <row r="131" ht="14.15" customHeight="1" x14ac:dyDescent="0.25"/>
    <row r="132" ht="14.15" customHeight="1" x14ac:dyDescent="0.25"/>
    <row r="133" ht="14.15" customHeight="1" x14ac:dyDescent="0.25"/>
    <row r="134" ht="14.15" customHeight="1" x14ac:dyDescent="0.25"/>
    <row r="135" ht="14.15" customHeight="1" x14ac:dyDescent="0.25"/>
    <row r="136" ht="14.15" customHeight="1" x14ac:dyDescent="0.25"/>
    <row r="137" ht="14.15" customHeight="1" x14ac:dyDescent="0.25"/>
    <row r="138" ht="14.15" customHeight="1" x14ac:dyDescent="0.25"/>
    <row r="139" ht="14.15" customHeight="1" x14ac:dyDescent="0.25"/>
    <row r="140" ht="14.15" customHeight="1" x14ac:dyDescent="0.25"/>
    <row r="141" ht="14.15" customHeight="1" x14ac:dyDescent="0.25"/>
    <row r="142" ht="14.15" customHeight="1" x14ac:dyDescent="0.25"/>
    <row r="143" ht="14.15" customHeight="1" x14ac:dyDescent="0.25"/>
    <row r="144" ht="14.15" customHeight="1" x14ac:dyDescent="0.25"/>
    <row r="145" ht="14.15" customHeight="1" x14ac:dyDescent="0.25"/>
    <row r="146" ht="16" customHeight="1" x14ac:dyDescent="0.25"/>
    <row r="147" ht="16" customHeight="1" x14ac:dyDescent="0.25"/>
    <row r="148" ht="16" customHeight="1" x14ac:dyDescent="0.25"/>
    <row r="149" ht="16" customHeight="1" x14ac:dyDescent="0.25"/>
    <row r="150" ht="16" customHeight="1" x14ac:dyDescent="0.25"/>
    <row r="151" ht="16" customHeight="1" x14ac:dyDescent="0.25"/>
    <row r="152" ht="16" customHeight="1" x14ac:dyDescent="0.25"/>
    <row r="153" ht="16" customHeight="1" x14ac:dyDescent="0.25"/>
    <row r="154" ht="16" customHeight="1" x14ac:dyDescent="0.25"/>
    <row r="155" ht="16" customHeight="1" x14ac:dyDescent="0.25"/>
    <row r="156" ht="16" customHeight="1" x14ac:dyDescent="0.25"/>
    <row r="157" ht="16" customHeight="1" x14ac:dyDescent="0.25"/>
    <row r="158" ht="16" customHeight="1" x14ac:dyDescent="0.25"/>
    <row r="159" ht="16" customHeight="1" x14ac:dyDescent="0.25"/>
    <row r="160" ht="16" customHeight="1" x14ac:dyDescent="0.25"/>
    <row r="161" ht="16" customHeight="1" x14ac:dyDescent="0.25"/>
    <row r="162" ht="16" customHeight="1" x14ac:dyDescent="0.25"/>
    <row r="163" ht="16" customHeight="1" x14ac:dyDescent="0.25"/>
    <row r="164" ht="16" customHeight="1" x14ac:dyDescent="0.25"/>
    <row r="165" ht="16" customHeight="1" x14ac:dyDescent="0.25"/>
    <row r="166" ht="16" customHeight="1" x14ac:dyDescent="0.25"/>
    <row r="167" ht="16" customHeight="1" x14ac:dyDescent="0.25"/>
    <row r="168" ht="16" customHeight="1" x14ac:dyDescent="0.25"/>
    <row r="169" ht="16" customHeight="1" x14ac:dyDescent="0.25"/>
    <row r="170" ht="16" customHeight="1" x14ac:dyDescent="0.25"/>
    <row r="171" ht="16" customHeight="1" x14ac:dyDescent="0.25"/>
    <row r="172" ht="16" customHeight="1" x14ac:dyDescent="0.25"/>
    <row r="173" ht="16" customHeight="1" x14ac:dyDescent="0.25"/>
    <row r="174" ht="16" customHeight="1" x14ac:dyDescent="0.25"/>
    <row r="175" ht="16" customHeight="1" x14ac:dyDescent="0.25"/>
    <row r="176" ht="16" customHeight="1" x14ac:dyDescent="0.25"/>
    <row r="177" ht="16" customHeight="1" x14ac:dyDescent="0.25"/>
    <row r="178" ht="16" customHeight="1" x14ac:dyDescent="0.25"/>
    <row r="179" ht="16" customHeight="1" x14ac:dyDescent="0.25"/>
    <row r="180" ht="16" customHeight="1" x14ac:dyDescent="0.25"/>
    <row r="181" ht="16" customHeight="1" x14ac:dyDescent="0.25"/>
    <row r="182" ht="16" customHeight="1" x14ac:dyDescent="0.25"/>
    <row r="183" ht="16" customHeight="1" x14ac:dyDescent="0.25"/>
    <row r="184" ht="16" customHeight="1" x14ac:dyDescent="0.25"/>
    <row r="185" ht="16" customHeight="1" x14ac:dyDescent="0.25"/>
    <row r="186" ht="16" customHeight="1" x14ac:dyDescent="0.25"/>
    <row r="187" ht="16" customHeight="1" x14ac:dyDescent="0.25"/>
    <row r="188" ht="16" customHeight="1" x14ac:dyDescent="0.25"/>
    <row r="189" ht="16" customHeight="1" x14ac:dyDescent="0.25"/>
    <row r="190" ht="16" customHeight="1" x14ac:dyDescent="0.25"/>
    <row r="191" ht="16" customHeight="1" x14ac:dyDescent="0.25"/>
    <row r="192" ht="16" customHeight="1" x14ac:dyDescent="0.25"/>
    <row r="193" ht="16" customHeight="1" x14ac:dyDescent="0.25"/>
    <row r="194" ht="16" customHeight="1" x14ac:dyDescent="0.25"/>
    <row r="195" ht="16" customHeight="1" x14ac:dyDescent="0.25"/>
    <row r="196" ht="16" customHeight="1" x14ac:dyDescent="0.25"/>
    <row r="197" ht="16" customHeight="1" x14ac:dyDescent="0.25"/>
    <row r="198" ht="16" customHeight="1" x14ac:dyDescent="0.25"/>
    <row r="199" ht="16" customHeight="1" x14ac:dyDescent="0.25"/>
    <row r="200" ht="16" customHeight="1" x14ac:dyDescent="0.25"/>
    <row r="201" ht="16" customHeight="1" x14ac:dyDescent="0.25"/>
    <row r="202" ht="16" customHeight="1" x14ac:dyDescent="0.25"/>
    <row r="203" ht="16" customHeight="1" x14ac:dyDescent="0.25"/>
    <row r="204" ht="16" customHeight="1" x14ac:dyDescent="0.25"/>
    <row r="205" ht="16" customHeight="1" x14ac:dyDescent="0.25"/>
    <row r="206" ht="16" customHeight="1" x14ac:dyDescent="0.25"/>
    <row r="207" ht="16" customHeight="1" x14ac:dyDescent="0.25"/>
    <row r="208" ht="16" customHeight="1" x14ac:dyDescent="0.25"/>
    <row r="209" ht="16" customHeight="1" x14ac:dyDescent="0.25"/>
    <row r="210" ht="16" customHeight="1" x14ac:dyDescent="0.25"/>
    <row r="211" ht="16" customHeight="1" x14ac:dyDescent="0.25"/>
    <row r="212" ht="16" customHeight="1" x14ac:dyDescent="0.25"/>
    <row r="213" ht="16" customHeight="1" x14ac:dyDescent="0.25"/>
    <row r="214" ht="16" customHeight="1" x14ac:dyDescent="0.25"/>
    <row r="215" ht="16" customHeight="1" x14ac:dyDescent="0.25"/>
    <row r="216" ht="16" customHeight="1" x14ac:dyDescent="0.25"/>
    <row r="217" ht="16" customHeight="1" x14ac:dyDescent="0.25"/>
    <row r="218" ht="16" customHeight="1" x14ac:dyDescent="0.25"/>
    <row r="219" ht="16" customHeight="1" x14ac:dyDescent="0.25"/>
    <row r="220" ht="16" customHeight="1" x14ac:dyDescent="0.25"/>
    <row r="221" ht="16" customHeight="1" x14ac:dyDescent="0.25"/>
    <row r="222" ht="16" customHeight="1" x14ac:dyDescent="0.25"/>
    <row r="223" ht="16" customHeight="1" x14ac:dyDescent="0.25"/>
    <row r="224" ht="16" customHeight="1" x14ac:dyDescent="0.25"/>
    <row r="225" ht="16" customHeight="1" x14ac:dyDescent="0.25"/>
    <row r="226" ht="16" customHeight="1" x14ac:dyDescent="0.25"/>
    <row r="227" ht="16" customHeight="1" x14ac:dyDescent="0.25"/>
    <row r="228" ht="16" customHeight="1" x14ac:dyDescent="0.25"/>
    <row r="229" ht="16" customHeight="1" x14ac:dyDescent="0.25"/>
    <row r="230" ht="16" customHeight="1" x14ac:dyDescent="0.25"/>
    <row r="231" ht="16" customHeight="1" x14ac:dyDescent="0.25"/>
    <row r="232" ht="16" customHeight="1" x14ac:dyDescent="0.25"/>
    <row r="233" ht="16" customHeight="1" x14ac:dyDescent="0.25"/>
    <row r="234" ht="16" customHeight="1" x14ac:dyDescent="0.25"/>
    <row r="235" ht="16" customHeight="1" x14ac:dyDescent="0.25"/>
    <row r="236" ht="16" customHeight="1" x14ac:dyDescent="0.25"/>
    <row r="237" ht="16" customHeight="1" x14ac:dyDescent="0.25"/>
    <row r="238" ht="16" customHeight="1" x14ac:dyDescent="0.25"/>
    <row r="239" ht="16" customHeight="1" x14ac:dyDescent="0.25"/>
    <row r="240" ht="16" customHeight="1" x14ac:dyDescent="0.25"/>
    <row r="241" ht="16" customHeight="1" x14ac:dyDescent="0.25"/>
    <row r="242" ht="16" customHeight="1" x14ac:dyDescent="0.25"/>
    <row r="243" ht="16" customHeight="1" x14ac:dyDescent="0.25"/>
    <row r="244" ht="16" customHeight="1" x14ac:dyDescent="0.25"/>
    <row r="245" ht="16" customHeight="1" x14ac:dyDescent="0.25"/>
    <row r="246" ht="16" customHeight="1" x14ac:dyDescent="0.25"/>
    <row r="247" ht="16" customHeight="1" x14ac:dyDescent="0.25"/>
    <row r="248" ht="16" customHeight="1" x14ac:dyDescent="0.25"/>
    <row r="249" ht="16" customHeight="1" x14ac:dyDescent="0.25"/>
    <row r="250" ht="16" customHeight="1" x14ac:dyDescent="0.25"/>
    <row r="251" ht="16" customHeight="1" x14ac:dyDescent="0.25"/>
    <row r="252" ht="16" customHeight="1" x14ac:dyDescent="0.25"/>
    <row r="253" ht="16" customHeight="1" x14ac:dyDescent="0.25"/>
    <row r="254" ht="16" customHeight="1" x14ac:dyDescent="0.25"/>
    <row r="255" ht="16" customHeight="1" x14ac:dyDescent="0.25"/>
    <row r="256" ht="16" customHeight="1" x14ac:dyDescent="0.25"/>
    <row r="257" ht="16" customHeight="1" x14ac:dyDescent="0.25"/>
  </sheetData>
  <phoneticPr fontId="0" type="noConversion"/>
  <printOptions horizontalCentered="1"/>
  <pageMargins left="0.75" right="0.75" top="1" bottom="1" header="0.5" footer="0.5"/>
  <pageSetup scale="57" firstPageNumber="76" orientation="portrait" useFirstPageNumber="1" r:id="rId1"/>
  <headerFooter alignWithMargins="0">
    <oddFooter xml:space="preserve">&amp;CTab-'&amp;A'&amp;RPage 1
</oddFooter>
  </headerFooter>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33CFE-BC84-4CD7-B180-7AD066375666}">
  <sheetPr>
    <tabColor rgb="FFFFFF00"/>
  </sheetPr>
  <dimension ref="A1:IO227"/>
  <sheetViews>
    <sheetView zoomScale="75" zoomScaleNormal="75" workbookViewId="0">
      <selection activeCell="G35" sqref="G35"/>
    </sheetView>
  </sheetViews>
  <sheetFormatPr defaultColWidth="9.1796875" defaultRowHeight="11.5" x14ac:dyDescent="0.25"/>
  <cols>
    <col min="1" max="2" width="5.7265625" style="187" customWidth="1"/>
    <col min="3" max="3" width="26.7265625" style="187" customWidth="1"/>
    <col min="4" max="4" width="13.7265625" style="188" customWidth="1"/>
    <col min="5" max="5" width="22.26953125" style="189" customWidth="1"/>
    <col min="6" max="6" width="17.453125" style="190" customWidth="1"/>
    <col min="7" max="7" width="13.7265625" style="190" customWidth="1"/>
    <col min="8" max="8" width="22.7265625" style="188" customWidth="1"/>
    <col min="9" max="9" width="28.7265625" style="370" customWidth="1"/>
    <col min="10" max="10" width="14" style="187" customWidth="1"/>
    <col min="11" max="11" width="19.7265625" style="192" customWidth="1"/>
    <col min="12" max="12" width="19.26953125" style="192" customWidth="1"/>
    <col min="13" max="13" width="17" style="187" customWidth="1"/>
    <col min="14" max="14" width="13.54296875" style="187" customWidth="1"/>
    <col min="15" max="16384" width="9.1796875" style="187"/>
  </cols>
  <sheetData>
    <row r="1" spans="1:13" s="153" customFormat="1" ht="18" x14ac:dyDescent="0.4">
      <c r="A1" s="47" t="s">
        <v>609</v>
      </c>
      <c r="B1" s="159"/>
      <c r="C1" s="159"/>
      <c r="D1" s="160"/>
      <c r="E1" s="161"/>
      <c r="F1" s="162"/>
      <c r="G1" s="162"/>
      <c r="H1" s="382"/>
      <c r="I1" s="371"/>
      <c r="K1" s="246"/>
      <c r="L1" s="246"/>
    </row>
    <row r="2" spans="1:13" s="153" customFormat="1" ht="15.5" x14ac:dyDescent="0.35">
      <c r="A2" s="402" t="s">
        <v>656</v>
      </c>
      <c r="B2" s="159"/>
      <c r="C2" s="159"/>
      <c r="D2" s="160"/>
      <c r="E2" s="161"/>
      <c r="F2" s="162"/>
      <c r="G2" s="162"/>
      <c r="H2" s="382"/>
      <c r="I2" s="371"/>
      <c r="K2" s="246"/>
      <c r="L2" s="246"/>
    </row>
    <row r="3" spans="1:13" s="7" customFormat="1" ht="15.5" x14ac:dyDescent="0.35">
      <c r="A3" s="403" t="s">
        <v>657</v>
      </c>
      <c r="D3" s="137"/>
      <c r="F3" s="138"/>
      <c r="G3" s="163"/>
      <c r="H3" s="355"/>
      <c r="I3" s="367"/>
      <c r="K3" s="1"/>
      <c r="L3" s="1"/>
    </row>
    <row r="4" spans="1:13" s="7" customFormat="1" ht="14" x14ac:dyDescent="0.3">
      <c r="D4" s="137"/>
      <c r="E4" s="151"/>
      <c r="F4" s="138"/>
      <c r="G4" s="163"/>
      <c r="H4" s="355"/>
      <c r="I4" s="367"/>
      <c r="J4" s="153"/>
      <c r="K4" s="246"/>
      <c r="L4" s="246"/>
    </row>
    <row r="5" spans="1:13" s="148" customFormat="1" ht="14.15" customHeight="1" thickBot="1" x14ac:dyDescent="0.4">
      <c r="A5" s="164" t="s">
        <v>0</v>
      </c>
      <c r="B5" s="164"/>
      <c r="C5" s="164"/>
      <c r="D5" s="165"/>
      <c r="E5" s="166"/>
      <c r="F5" s="167"/>
      <c r="G5" s="168"/>
      <c r="H5" s="383"/>
      <c r="I5" s="369"/>
      <c r="J5" s="7"/>
      <c r="K5" s="1"/>
      <c r="L5" s="1"/>
    </row>
    <row r="6" spans="1:13" s="7" customFormat="1" ht="14.15" customHeight="1" x14ac:dyDescent="0.3">
      <c r="A6" s="1"/>
      <c r="B6" s="1"/>
      <c r="C6" s="1"/>
      <c r="D6" s="137"/>
      <c r="E6" s="151"/>
      <c r="F6" s="137"/>
      <c r="G6" s="163"/>
      <c r="H6" s="355"/>
      <c r="I6" s="367"/>
      <c r="J6" s="153"/>
      <c r="K6" s="246"/>
      <c r="L6" s="246"/>
    </row>
    <row r="7" spans="1:13" s="7" customFormat="1" ht="14.15" customHeight="1" x14ac:dyDescent="0.3">
      <c r="B7" s="169" t="s">
        <v>1</v>
      </c>
      <c r="C7" s="170"/>
      <c r="D7" s="137"/>
      <c r="F7" s="137">
        <v>5.4869526193357574</v>
      </c>
      <c r="G7" s="171" t="s">
        <v>424</v>
      </c>
      <c r="H7" s="355"/>
      <c r="I7" s="367"/>
      <c r="K7" s="1"/>
      <c r="L7" s="1"/>
    </row>
    <row r="8" spans="1:13" s="7" customFormat="1" ht="14.15" customHeight="1" x14ac:dyDescent="0.3">
      <c r="B8" s="169" t="s">
        <v>2</v>
      </c>
      <c r="C8" s="170"/>
      <c r="D8" s="137"/>
      <c r="F8" s="137">
        <v>3.5850616151152375</v>
      </c>
      <c r="G8" s="171" t="s">
        <v>418</v>
      </c>
      <c r="H8" s="355"/>
      <c r="I8" s="367"/>
      <c r="J8" s="153"/>
      <c r="K8" s="246"/>
      <c r="L8" s="246"/>
    </row>
    <row r="9" spans="1:13" s="7" customFormat="1" ht="14.15" customHeight="1" x14ac:dyDescent="0.3">
      <c r="B9" s="306"/>
      <c r="C9" s="170"/>
      <c r="D9" s="137"/>
      <c r="F9" s="137"/>
      <c r="G9" s="171"/>
      <c r="H9" s="355"/>
      <c r="I9" s="367"/>
      <c r="J9" s="153"/>
      <c r="K9" s="246"/>
      <c r="L9" s="246"/>
    </row>
    <row r="10" spans="1:13" s="7" customFormat="1" ht="14.15" customHeight="1" x14ac:dyDescent="0.3">
      <c r="B10" s="34" t="s">
        <v>3</v>
      </c>
      <c r="C10" s="172"/>
      <c r="D10" s="137"/>
      <c r="F10" s="41">
        <v>9.0720142344509949</v>
      </c>
      <c r="G10" s="171" t="s">
        <v>425</v>
      </c>
      <c r="H10" s="355"/>
      <c r="I10" s="367"/>
      <c r="K10" s="1"/>
      <c r="L10" s="1"/>
    </row>
    <row r="11" spans="1:13" s="7" customFormat="1" ht="14.15" customHeight="1" x14ac:dyDescent="0.3">
      <c r="A11" s="1"/>
      <c r="B11" s="1"/>
      <c r="C11" s="1"/>
      <c r="D11" s="137"/>
      <c r="F11" s="163"/>
      <c r="G11" s="163"/>
      <c r="H11" s="355"/>
      <c r="I11" s="367"/>
      <c r="J11" s="153"/>
      <c r="K11" s="246"/>
      <c r="L11" s="246"/>
    </row>
    <row r="12" spans="1:13" s="7" customFormat="1" ht="14.15" customHeight="1" thickBot="1" x14ac:dyDescent="0.4">
      <c r="A12" s="164" t="s">
        <v>4</v>
      </c>
      <c r="B12" s="173"/>
      <c r="C12" s="173"/>
      <c r="D12" s="174"/>
      <c r="E12" s="175"/>
      <c r="F12" s="176"/>
      <c r="G12" s="177"/>
      <c r="H12" s="355"/>
      <c r="I12" s="367"/>
      <c r="K12" s="1"/>
      <c r="L12" s="1"/>
    </row>
    <row r="13" spans="1:13" s="7" customFormat="1" ht="14.15" customHeight="1" x14ac:dyDescent="0.3">
      <c r="A13" s="1"/>
      <c r="B13" s="1"/>
      <c r="C13" s="1"/>
      <c r="D13" s="137"/>
      <c r="F13" s="138"/>
      <c r="G13" s="163"/>
      <c r="H13" s="355"/>
      <c r="I13" s="367"/>
      <c r="J13" s="153"/>
      <c r="K13" s="246"/>
      <c r="L13" s="246"/>
    </row>
    <row r="14" spans="1:13" s="7" customFormat="1" ht="14.15" customHeight="1" x14ac:dyDescent="0.3">
      <c r="A14" s="1"/>
      <c r="B14" s="1"/>
      <c r="C14" s="1"/>
      <c r="D14" s="41" t="s">
        <v>395</v>
      </c>
      <c r="E14" s="31" t="s">
        <v>396</v>
      </c>
      <c r="F14" s="31" t="s">
        <v>397</v>
      </c>
      <c r="G14" s="163"/>
      <c r="H14" s="355"/>
      <c r="I14" s="367"/>
      <c r="K14" s="1"/>
      <c r="L14" s="1"/>
    </row>
    <row r="15" spans="1:13" s="7" customFormat="1" ht="13.5" customHeight="1" x14ac:dyDescent="0.3">
      <c r="A15" s="1"/>
      <c r="B15" s="1"/>
      <c r="C15" s="1"/>
      <c r="D15" s="137"/>
      <c r="E15" s="31"/>
      <c r="F15" s="31"/>
      <c r="H15" s="355"/>
      <c r="I15" s="367"/>
      <c r="J15" s="153"/>
      <c r="K15" s="246"/>
      <c r="L15" s="246"/>
    </row>
    <row r="16" spans="1:13" s="7" customFormat="1" ht="14.15" customHeight="1" x14ac:dyDescent="0.3">
      <c r="A16" s="1"/>
      <c r="B16" s="1"/>
      <c r="C16" s="1"/>
      <c r="D16" s="178"/>
      <c r="E16" s="17" t="s">
        <v>378</v>
      </c>
      <c r="F16" s="31" t="s">
        <v>378</v>
      </c>
      <c r="H16" s="355"/>
      <c r="I16" s="367"/>
      <c r="K16" s="1"/>
      <c r="L16" s="1"/>
      <c r="M16" s="155"/>
    </row>
    <row r="17" spans="1:249" s="7" customFormat="1" ht="14.15" customHeight="1" x14ac:dyDescent="0.3">
      <c r="B17" s="1" t="s">
        <v>5</v>
      </c>
      <c r="C17" s="1"/>
      <c r="D17" s="41" t="s">
        <v>6</v>
      </c>
      <c r="E17" s="17" t="s">
        <v>7</v>
      </c>
      <c r="F17" s="31" t="s">
        <v>8</v>
      </c>
      <c r="H17" s="355"/>
      <c r="I17" s="372"/>
      <c r="J17" s="153"/>
      <c r="K17" s="153"/>
      <c r="L17" s="153"/>
      <c r="M17" s="153"/>
      <c r="N17" s="153"/>
      <c r="O17" s="155"/>
    </row>
    <row r="18" spans="1:249" s="7" customFormat="1" ht="14.15" customHeight="1" x14ac:dyDescent="0.3">
      <c r="C18" s="155" t="s">
        <v>507</v>
      </c>
      <c r="D18" s="137">
        <v>3.8137250949836599</v>
      </c>
      <c r="E18" s="151">
        <v>2425319811.6657734</v>
      </c>
      <c r="F18" s="179">
        <v>0.8869647037879872</v>
      </c>
      <c r="G18" s="296"/>
      <c r="H18" s="355"/>
      <c r="I18" s="355"/>
      <c r="J18" s="355"/>
      <c r="K18" s="137"/>
      <c r="L18" s="320"/>
      <c r="M18" s="321"/>
      <c r="N18" s="134"/>
      <c r="O18" s="178"/>
      <c r="P18" s="178"/>
    </row>
    <row r="19" spans="1:249" s="7" customFormat="1" ht="14.15" customHeight="1" x14ac:dyDescent="0.3">
      <c r="C19" s="155" t="s">
        <v>512</v>
      </c>
      <c r="D19" s="137">
        <v>0.95032668132325404</v>
      </c>
      <c r="E19" s="151">
        <v>309084163.27019238</v>
      </c>
      <c r="F19" s="179">
        <v>0.11303529621201291</v>
      </c>
      <c r="G19" s="296"/>
      <c r="H19" s="355"/>
      <c r="I19" s="355"/>
      <c r="J19" s="355"/>
      <c r="K19" s="137"/>
      <c r="L19" s="320"/>
      <c r="M19" s="321"/>
      <c r="N19" s="134"/>
      <c r="O19" s="178"/>
      <c r="P19" s="178"/>
    </row>
    <row r="20" spans="1:249" s="7" customFormat="1" ht="14.15" customHeight="1" x14ac:dyDescent="0.3">
      <c r="C20" s="155" t="s">
        <v>569</v>
      </c>
      <c r="D20" s="137"/>
      <c r="E20" s="151"/>
      <c r="F20" s="179"/>
      <c r="G20" s="296"/>
      <c r="H20" s="355"/>
      <c r="I20" s="355"/>
      <c r="J20" s="355"/>
      <c r="K20" s="137"/>
      <c r="L20" s="320"/>
      <c r="M20" s="321"/>
      <c r="N20" s="134"/>
      <c r="O20" s="178"/>
      <c r="P20" s="178"/>
    </row>
    <row r="21" spans="1:249" s="7" customFormat="1" ht="14.15" customHeight="1" x14ac:dyDescent="0.3">
      <c r="C21" s="155" t="s">
        <v>570</v>
      </c>
      <c r="D21" s="137"/>
      <c r="E21" s="151"/>
      <c r="F21" s="179"/>
      <c r="G21" s="296"/>
      <c r="H21" s="355"/>
      <c r="I21" s="355"/>
      <c r="J21" s="355"/>
      <c r="K21" s="137"/>
      <c r="L21" s="320"/>
      <c r="M21" s="321"/>
      <c r="N21" s="134"/>
      <c r="O21" s="178"/>
      <c r="P21" s="178"/>
    </row>
    <row r="22" spans="1:249" s="1" customFormat="1" ht="14.15" customHeight="1" x14ac:dyDescent="0.3">
      <c r="A22" s="145" t="s">
        <v>398</v>
      </c>
      <c r="B22" s="1" t="s">
        <v>9</v>
      </c>
      <c r="D22" s="41">
        <v>3.4900600071225485</v>
      </c>
      <c r="E22" s="180">
        <v>2734403974.9359655</v>
      </c>
      <c r="F22" s="14">
        <v>1</v>
      </c>
      <c r="H22" s="355"/>
      <c r="I22" s="355"/>
      <c r="J22" s="355"/>
      <c r="K22" s="318"/>
      <c r="L22" s="3"/>
    </row>
    <row r="23" spans="1:249" s="1" customFormat="1" ht="14.15" customHeight="1" x14ac:dyDescent="0.3">
      <c r="D23" s="41"/>
      <c r="E23" s="310"/>
      <c r="F23" s="139"/>
      <c r="H23" s="355"/>
      <c r="I23" s="367"/>
      <c r="J23" s="153"/>
      <c r="K23" s="311"/>
      <c r="L23" s="246"/>
    </row>
    <row r="24" spans="1:249" s="1" customFormat="1" ht="14.15" customHeight="1" x14ac:dyDescent="0.3">
      <c r="B24" s="34" t="s">
        <v>10</v>
      </c>
      <c r="C24" s="172"/>
      <c r="D24" s="251"/>
      <c r="F24" s="41">
        <v>1.5721656957582193</v>
      </c>
      <c r="G24" s="1" t="s">
        <v>437</v>
      </c>
      <c r="H24" s="355"/>
      <c r="I24" s="367"/>
      <c r="J24" s="355"/>
      <c r="K24" s="311"/>
    </row>
    <row r="25" spans="1:249" s="1" customFormat="1" ht="14.15" customHeight="1" x14ac:dyDescent="0.3">
      <c r="A25" s="172"/>
      <c r="B25" s="172"/>
      <c r="C25" s="172"/>
      <c r="D25" s="41"/>
      <c r="F25" s="139"/>
      <c r="G25" s="181"/>
      <c r="H25" s="355"/>
      <c r="I25" s="367"/>
      <c r="J25" s="153"/>
      <c r="K25" s="246"/>
      <c r="L25" s="246"/>
      <c r="IO25" s="1" t="s">
        <v>11</v>
      </c>
    </row>
    <row r="26" spans="1:249" s="148" customFormat="1" ht="14.15" customHeight="1" thickBot="1" x14ac:dyDescent="0.4">
      <c r="A26" s="182" t="s">
        <v>423</v>
      </c>
      <c r="B26" s="164"/>
      <c r="C26" s="164"/>
      <c r="D26" s="165"/>
      <c r="E26" s="183"/>
      <c r="F26" s="167"/>
      <c r="G26" s="168"/>
      <c r="H26" s="383"/>
      <c r="I26" s="369"/>
      <c r="J26" s="7"/>
      <c r="K26" s="1"/>
      <c r="L26" s="1"/>
    </row>
    <row r="27" spans="1:249" s="7" customFormat="1" ht="14.15" customHeight="1" x14ac:dyDescent="0.3">
      <c r="B27" s="1"/>
      <c r="C27" s="1"/>
      <c r="D27" s="137"/>
      <c r="E27" s="151"/>
      <c r="F27" s="163"/>
      <c r="G27" s="163"/>
      <c r="H27" s="355"/>
      <c r="I27" s="367"/>
      <c r="J27" s="153"/>
      <c r="K27" s="246"/>
      <c r="L27" s="246"/>
    </row>
    <row r="28" spans="1:249" s="7" customFormat="1" ht="14.15" customHeight="1" x14ac:dyDescent="0.3">
      <c r="B28" s="1"/>
      <c r="C28" s="1"/>
      <c r="D28" s="41" t="s">
        <v>455</v>
      </c>
      <c r="E28" s="31" t="s">
        <v>593</v>
      </c>
      <c r="F28" s="31" t="s">
        <v>594</v>
      </c>
      <c r="G28" s="31" t="s">
        <v>595</v>
      </c>
      <c r="H28" s="470"/>
      <c r="I28" s="470"/>
      <c r="J28" s="256"/>
      <c r="K28" s="1"/>
      <c r="L28" s="1"/>
    </row>
    <row r="29" spans="1:249" s="7" customFormat="1" ht="14.15" customHeight="1" x14ac:dyDescent="0.3">
      <c r="D29" s="41"/>
      <c r="E29" s="31"/>
      <c r="F29" s="31"/>
      <c r="G29" s="181" t="s">
        <v>3</v>
      </c>
      <c r="H29" s="471"/>
      <c r="I29" s="473"/>
      <c r="J29" s="153"/>
      <c r="K29" s="246"/>
      <c r="L29" s="246"/>
    </row>
    <row r="30" spans="1:249" s="7" customFormat="1" ht="14.15" customHeight="1" x14ac:dyDescent="0.3">
      <c r="B30" s="1"/>
      <c r="D30" s="41" t="s">
        <v>12</v>
      </c>
      <c r="E30" s="31" t="s">
        <v>328</v>
      </c>
      <c r="F30" s="31" t="s">
        <v>329</v>
      </c>
      <c r="G30" s="181" t="s">
        <v>13</v>
      </c>
      <c r="H30" s="471"/>
      <c r="I30" s="473"/>
      <c r="J30" s="2"/>
      <c r="K30"/>
      <c r="L30" s="1"/>
    </row>
    <row r="31" spans="1:249" s="7" customFormat="1" ht="14.15" customHeight="1" x14ac:dyDescent="0.3">
      <c r="B31" s="36" t="s">
        <v>14</v>
      </c>
      <c r="C31" s="1"/>
      <c r="D31" s="43" t="s">
        <v>15</v>
      </c>
      <c r="E31" s="37" t="s">
        <v>15</v>
      </c>
      <c r="F31" s="37" t="s">
        <v>15</v>
      </c>
      <c r="G31" s="184" t="s">
        <v>15</v>
      </c>
      <c r="H31" s="472"/>
      <c r="I31" s="475"/>
      <c r="J31" s="2"/>
      <c r="K31"/>
      <c r="L31" s="246"/>
    </row>
    <row r="32" spans="1:249" s="7" customFormat="1" ht="14.15" customHeight="1" x14ac:dyDescent="0.3">
      <c r="B32" s="1"/>
      <c r="C32" s="1"/>
      <c r="D32" s="41"/>
      <c r="E32" s="31"/>
      <c r="F32" s="31"/>
      <c r="G32" s="181"/>
      <c r="H32" s="474"/>
      <c r="I32" s="476"/>
      <c r="J32"/>
      <c r="K32"/>
      <c r="L32" s="1"/>
    </row>
    <row r="33" spans="1:13" s="1" customFormat="1" ht="14.15" customHeight="1" x14ac:dyDescent="0.3">
      <c r="A33" s="172"/>
      <c r="B33" s="1" t="s">
        <v>507</v>
      </c>
      <c r="D33" s="41">
        <v>3.8137250949836599</v>
      </c>
      <c r="E33" s="41">
        <v>5.9958077673855668</v>
      </c>
      <c r="F33" s="41">
        <v>3.5850616151152375</v>
      </c>
      <c r="G33" s="41">
        <v>9.5808693825008042</v>
      </c>
      <c r="H33" s="469"/>
      <c r="I33" s="477"/>
      <c r="J33" s="368"/>
      <c r="K33" s="368"/>
      <c r="L33" s="252"/>
      <c r="M33" s="253"/>
    </row>
    <row r="34" spans="1:13" s="1" customFormat="1" ht="14.15" customHeight="1" x14ac:dyDescent="0.3">
      <c r="A34" s="172"/>
      <c r="D34" s="41"/>
      <c r="E34" s="41"/>
      <c r="F34" s="41"/>
      <c r="G34" s="41"/>
      <c r="H34" s="469"/>
      <c r="I34" s="477"/>
      <c r="J34" s="368"/>
      <c r="K34" s="368"/>
      <c r="L34" s="252"/>
      <c r="M34" s="253"/>
    </row>
    <row r="35" spans="1:13" s="1" customFormat="1" ht="14.15" customHeight="1" x14ac:dyDescent="0.3">
      <c r="A35" s="172"/>
      <c r="B35" s="1" t="s">
        <v>512</v>
      </c>
      <c r="D35" s="41">
        <v>0.95032668132325404</v>
      </c>
      <c r="E35" s="41">
        <v>1.4940710081401731</v>
      </c>
      <c r="F35" s="41">
        <v>3.5850616151152375</v>
      </c>
      <c r="G35" s="41">
        <v>5.0791326232554104</v>
      </c>
      <c r="H35" s="469"/>
      <c r="I35" s="477"/>
      <c r="J35" s="368"/>
      <c r="K35" s="368"/>
      <c r="L35" s="252"/>
      <c r="M35" s="253"/>
    </row>
    <row r="36" spans="1:13" s="1" customFormat="1" ht="14.15" customHeight="1" x14ac:dyDescent="0.3">
      <c r="A36" s="172"/>
      <c r="D36" s="41"/>
      <c r="E36" s="41"/>
      <c r="F36" s="41"/>
      <c r="G36" s="41"/>
      <c r="H36" s="368"/>
      <c r="I36" s="368"/>
      <c r="J36" s="368"/>
      <c r="K36" s="368"/>
      <c r="L36" s="252"/>
      <c r="M36" s="253"/>
    </row>
    <row r="37" spans="1:13" s="1" customFormat="1" ht="14.15" customHeight="1" x14ac:dyDescent="0.3">
      <c r="A37" s="172"/>
      <c r="B37" s="1" t="s">
        <v>569</v>
      </c>
      <c r="D37" s="41"/>
      <c r="E37" s="41"/>
      <c r="F37" s="41"/>
      <c r="G37" s="41"/>
      <c r="H37" s="368"/>
      <c r="I37" s="368"/>
      <c r="J37" s="368"/>
      <c r="K37" s="368"/>
      <c r="L37" s="252"/>
      <c r="M37" s="253"/>
    </row>
    <row r="38" spans="1:13" s="1" customFormat="1" ht="14.15" customHeight="1" x14ac:dyDescent="0.3">
      <c r="A38" s="172"/>
      <c r="D38" s="41"/>
      <c r="E38" s="41"/>
      <c r="F38" s="41"/>
      <c r="G38" s="41"/>
      <c r="H38" s="368"/>
      <c r="I38" s="368"/>
      <c r="J38" s="368"/>
      <c r="K38" s="368"/>
      <c r="L38" s="252"/>
      <c r="M38" s="253"/>
    </row>
    <row r="39" spans="1:13" s="1" customFormat="1" ht="14.15" customHeight="1" x14ac:dyDescent="0.3">
      <c r="A39" s="172"/>
      <c r="B39" s="1" t="s">
        <v>570</v>
      </c>
      <c r="D39" s="41"/>
      <c r="E39" s="41"/>
      <c r="F39" s="41"/>
      <c r="G39" s="41"/>
      <c r="H39" s="368"/>
      <c r="I39" s="368"/>
      <c r="J39" s="368"/>
      <c r="K39" s="368"/>
      <c r="L39" s="252"/>
      <c r="M39" s="253"/>
    </row>
    <row r="40" spans="1:13" s="7" customFormat="1" ht="14.15" customHeight="1" thickBot="1" x14ac:dyDescent="0.35">
      <c r="A40" s="175"/>
      <c r="B40" s="185"/>
      <c r="C40" s="175"/>
      <c r="D40" s="186"/>
      <c r="E40" s="186"/>
      <c r="F40" s="186"/>
      <c r="G40" s="186"/>
      <c r="H40" s="355"/>
      <c r="I40" s="367"/>
      <c r="J40" s="134"/>
      <c r="K40" s="254"/>
      <c r="L40" s="1"/>
    </row>
    <row r="41" spans="1:13" ht="14.15" customHeight="1" x14ac:dyDescent="0.25">
      <c r="J41" s="8"/>
    </row>
    <row r="42" spans="1:13" ht="14.15" customHeight="1" x14ac:dyDescent="0.25">
      <c r="A42" s="359" t="s">
        <v>597</v>
      </c>
      <c r="G42" s="315"/>
    </row>
    <row r="43" spans="1:13" ht="14.15" customHeight="1" x14ac:dyDescent="0.25">
      <c r="A43" s="191" t="s">
        <v>424</v>
      </c>
      <c r="B43" s="192" t="s">
        <v>513</v>
      </c>
      <c r="E43" s="323"/>
      <c r="G43" s="314"/>
    </row>
    <row r="44" spans="1:13" ht="14.15" customHeight="1" x14ac:dyDescent="0.25">
      <c r="A44" s="191" t="s">
        <v>418</v>
      </c>
      <c r="B44" s="192" t="s">
        <v>514</v>
      </c>
    </row>
    <row r="45" spans="1:13" ht="14.15" customHeight="1" x14ac:dyDescent="0.25">
      <c r="A45" s="191" t="s">
        <v>425</v>
      </c>
      <c r="B45" s="192" t="s">
        <v>330</v>
      </c>
    </row>
    <row r="46" spans="1:13" ht="14.15" customHeight="1" x14ac:dyDescent="0.25">
      <c r="A46" s="191" t="s">
        <v>395</v>
      </c>
      <c r="B46" s="192" t="s">
        <v>17</v>
      </c>
    </row>
    <row r="47" spans="1:13" ht="14.15" customHeight="1" x14ac:dyDescent="0.25">
      <c r="A47" s="191" t="s">
        <v>396</v>
      </c>
      <c r="B47" s="192" t="s">
        <v>515</v>
      </c>
    </row>
    <row r="48" spans="1:13" ht="14.15" customHeight="1" x14ac:dyDescent="0.25">
      <c r="A48" s="191" t="s">
        <v>397</v>
      </c>
      <c r="B48" s="192" t="s">
        <v>419</v>
      </c>
    </row>
    <row r="49" spans="1:2" ht="14.15" customHeight="1" x14ac:dyDescent="0.25">
      <c r="A49" s="191" t="s">
        <v>398</v>
      </c>
      <c r="B49" s="192" t="s">
        <v>331</v>
      </c>
    </row>
    <row r="50" spans="1:2" ht="14.15" customHeight="1" x14ac:dyDescent="0.25">
      <c r="A50" s="191" t="s">
        <v>437</v>
      </c>
      <c r="B50" s="192" t="s">
        <v>332</v>
      </c>
    </row>
    <row r="51" spans="1:2" ht="14.15" customHeight="1" x14ac:dyDescent="0.25">
      <c r="A51" s="191" t="s">
        <v>455</v>
      </c>
      <c r="B51" s="192" t="s">
        <v>17</v>
      </c>
    </row>
    <row r="52" spans="1:2" ht="14.15" customHeight="1" x14ac:dyDescent="0.25">
      <c r="A52" s="191" t="s">
        <v>593</v>
      </c>
      <c r="B52" s="192" t="s">
        <v>333</v>
      </c>
    </row>
    <row r="53" spans="1:2" ht="14.15" customHeight="1" x14ac:dyDescent="0.25">
      <c r="A53" s="191" t="s">
        <v>594</v>
      </c>
      <c r="B53" s="192" t="s">
        <v>418</v>
      </c>
    </row>
    <row r="54" spans="1:2" ht="14.15" customHeight="1" x14ac:dyDescent="0.25">
      <c r="A54" s="191" t="s">
        <v>595</v>
      </c>
      <c r="B54" s="192" t="s">
        <v>334</v>
      </c>
    </row>
    <row r="55" spans="1:2" ht="14.15" customHeight="1" x14ac:dyDescent="0.25"/>
    <row r="56" spans="1:2" ht="14.15" customHeight="1" x14ac:dyDescent="0.25"/>
    <row r="57" spans="1:2" ht="14.15" customHeight="1" x14ac:dyDescent="0.25"/>
    <row r="58" spans="1:2" ht="14.15" customHeight="1" x14ac:dyDescent="0.25"/>
    <row r="59" spans="1:2" ht="14.15" customHeight="1" x14ac:dyDescent="0.25"/>
    <row r="60" spans="1:2" ht="14.15" customHeight="1" x14ac:dyDescent="0.25"/>
    <row r="61" spans="1:2" ht="14.15" customHeight="1" x14ac:dyDescent="0.25"/>
    <row r="62" spans="1:2" ht="14.15" customHeight="1" x14ac:dyDescent="0.25"/>
    <row r="63" spans="1:2" ht="14.15" customHeight="1" x14ac:dyDescent="0.25"/>
    <row r="64" spans="1:2" ht="14.15" customHeight="1" x14ac:dyDescent="0.25"/>
    <row r="65" ht="14.15" customHeight="1" x14ac:dyDescent="0.25"/>
    <row r="66" ht="14.15" customHeight="1" x14ac:dyDescent="0.25"/>
    <row r="67" ht="14.15" customHeight="1" x14ac:dyDescent="0.25"/>
    <row r="68" ht="14.15" customHeight="1" x14ac:dyDescent="0.25"/>
    <row r="69" ht="14.15" customHeight="1" x14ac:dyDescent="0.25"/>
    <row r="70" ht="14.15" customHeight="1" x14ac:dyDescent="0.25"/>
    <row r="71" ht="14.15" customHeight="1" x14ac:dyDescent="0.25"/>
    <row r="72" ht="14.15" customHeight="1" x14ac:dyDescent="0.25"/>
    <row r="73" ht="14.15" customHeight="1" x14ac:dyDescent="0.25"/>
    <row r="74" ht="14.15" customHeight="1" x14ac:dyDescent="0.25"/>
    <row r="75" ht="14.15" customHeight="1" x14ac:dyDescent="0.25"/>
    <row r="76" ht="14.15" customHeight="1" x14ac:dyDescent="0.25"/>
    <row r="77" ht="14.15" customHeight="1" x14ac:dyDescent="0.25"/>
    <row r="78" ht="14.15" customHeight="1" x14ac:dyDescent="0.25"/>
    <row r="79" ht="14.15" customHeight="1" x14ac:dyDescent="0.25"/>
    <row r="80" ht="14.15" customHeight="1" x14ac:dyDescent="0.25"/>
    <row r="81" ht="14.15" customHeight="1" x14ac:dyDescent="0.25"/>
    <row r="82" ht="14.15" customHeight="1" x14ac:dyDescent="0.25"/>
    <row r="83" ht="14.15" customHeight="1" x14ac:dyDescent="0.25"/>
    <row r="84" ht="14.15" customHeight="1" x14ac:dyDescent="0.25"/>
    <row r="85" ht="14.15" customHeight="1" x14ac:dyDescent="0.25"/>
    <row r="86" ht="14.15" customHeight="1" x14ac:dyDescent="0.25"/>
    <row r="87" ht="14.15" customHeight="1" x14ac:dyDescent="0.25"/>
    <row r="88" ht="14.15" customHeight="1" x14ac:dyDescent="0.25"/>
    <row r="89" ht="14.15" customHeight="1" x14ac:dyDescent="0.25"/>
    <row r="90" ht="14.15" customHeight="1" x14ac:dyDescent="0.25"/>
    <row r="91" ht="14.15" customHeight="1" x14ac:dyDescent="0.25"/>
    <row r="92" ht="14.15" customHeight="1" x14ac:dyDescent="0.25"/>
    <row r="93" ht="14.15" customHeight="1" x14ac:dyDescent="0.25"/>
    <row r="94" ht="14.15" customHeight="1" x14ac:dyDescent="0.25"/>
    <row r="95" ht="14.15" customHeight="1" x14ac:dyDescent="0.25"/>
    <row r="96" ht="14.15" customHeight="1" x14ac:dyDescent="0.25"/>
    <row r="97" ht="14.15" customHeight="1" x14ac:dyDescent="0.25"/>
    <row r="98" ht="14.15" customHeight="1" x14ac:dyDescent="0.25"/>
    <row r="99" ht="14.15" customHeight="1" x14ac:dyDescent="0.25"/>
    <row r="100" ht="14.15" customHeight="1" x14ac:dyDescent="0.25"/>
    <row r="101" ht="14.15" customHeight="1" x14ac:dyDescent="0.25"/>
    <row r="102" ht="14.15" customHeight="1" x14ac:dyDescent="0.25"/>
    <row r="103" ht="14.15" customHeight="1" x14ac:dyDescent="0.25"/>
    <row r="104" ht="14.15" customHeight="1" x14ac:dyDescent="0.25"/>
    <row r="105" ht="14.15" customHeight="1" x14ac:dyDescent="0.25"/>
    <row r="106" ht="14.15" customHeight="1" x14ac:dyDescent="0.25"/>
    <row r="107" ht="14.15" customHeight="1" x14ac:dyDescent="0.25"/>
    <row r="108" ht="14.15" customHeight="1" x14ac:dyDescent="0.25"/>
    <row r="109" ht="14.15" customHeight="1" x14ac:dyDescent="0.25"/>
    <row r="110" ht="14.15" customHeight="1" x14ac:dyDescent="0.25"/>
    <row r="111" ht="14.15" customHeight="1" x14ac:dyDescent="0.25"/>
    <row r="112" ht="14.15" customHeight="1" x14ac:dyDescent="0.25"/>
    <row r="113" ht="14.15" customHeight="1" x14ac:dyDescent="0.25"/>
    <row r="114" ht="14.15" customHeight="1" x14ac:dyDescent="0.25"/>
    <row r="115" ht="14.15" customHeight="1" x14ac:dyDescent="0.25"/>
    <row r="116" ht="16" customHeight="1" x14ac:dyDescent="0.25"/>
    <row r="117" ht="16" customHeight="1" x14ac:dyDescent="0.25"/>
    <row r="118" ht="16" customHeight="1" x14ac:dyDescent="0.25"/>
    <row r="119" ht="16" customHeight="1" x14ac:dyDescent="0.25"/>
    <row r="120" ht="16" customHeight="1" x14ac:dyDescent="0.25"/>
    <row r="121" ht="16" customHeight="1" x14ac:dyDescent="0.25"/>
    <row r="122" ht="16" customHeight="1" x14ac:dyDescent="0.25"/>
    <row r="123" ht="16" customHeight="1" x14ac:dyDescent="0.25"/>
    <row r="124" ht="16" customHeight="1" x14ac:dyDescent="0.25"/>
    <row r="125" ht="16" customHeight="1" x14ac:dyDescent="0.25"/>
    <row r="126" ht="16" customHeight="1" x14ac:dyDescent="0.25"/>
    <row r="127" ht="16" customHeight="1" x14ac:dyDescent="0.25"/>
    <row r="128" ht="16" customHeight="1" x14ac:dyDescent="0.25"/>
    <row r="129" ht="16" customHeight="1" x14ac:dyDescent="0.25"/>
    <row r="130" ht="16" customHeight="1" x14ac:dyDescent="0.25"/>
    <row r="131" ht="16" customHeight="1" x14ac:dyDescent="0.25"/>
    <row r="132" ht="16" customHeight="1" x14ac:dyDescent="0.25"/>
    <row r="133" ht="16" customHeight="1" x14ac:dyDescent="0.25"/>
    <row r="134" ht="16" customHeight="1" x14ac:dyDescent="0.25"/>
    <row r="135" ht="16" customHeight="1" x14ac:dyDescent="0.25"/>
    <row r="136" ht="16" customHeight="1" x14ac:dyDescent="0.25"/>
    <row r="137" ht="16" customHeight="1" x14ac:dyDescent="0.25"/>
    <row r="138" ht="16" customHeight="1" x14ac:dyDescent="0.25"/>
    <row r="139" ht="16" customHeight="1" x14ac:dyDescent="0.25"/>
    <row r="140" ht="16" customHeight="1" x14ac:dyDescent="0.25"/>
    <row r="141" ht="16" customHeight="1" x14ac:dyDescent="0.25"/>
    <row r="142" ht="16" customHeight="1" x14ac:dyDescent="0.25"/>
    <row r="143" ht="16" customHeight="1" x14ac:dyDescent="0.25"/>
    <row r="144" ht="16" customHeight="1" x14ac:dyDescent="0.25"/>
    <row r="145" ht="16" customHeight="1" x14ac:dyDescent="0.25"/>
    <row r="146" ht="16" customHeight="1" x14ac:dyDescent="0.25"/>
    <row r="147" ht="16" customHeight="1" x14ac:dyDescent="0.25"/>
    <row r="148" ht="16" customHeight="1" x14ac:dyDescent="0.25"/>
    <row r="149" ht="16" customHeight="1" x14ac:dyDescent="0.25"/>
    <row r="150" ht="16" customHeight="1" x14ac:dyDescent="0.25"/>
    <row r="151" ht="16" customHeight="1" x14ac:dyDescent="0.25"/>
    <row r="152" ht="16" customHeight="1" x14ac:dyDescent="0.25"/>
    <row r="153" ht="16" customHeight="1" x14ac:dyDescent="0.25"/>
    <row r="154" ht="16" customHeight="1" x14ac:dyDescent="0.25"/>
    <row r="155" ht="16" customHeight="1" x14ac:dyDescent="0.25"/>
    <row r="156" ht="16" customHeight="1" x14ac:dyDescent="0.25"/>
    <row r="157" ht="16" customHeight="1" x14ac:dyDescent="0.25"/>
    <row r="158" ht="16" customHeight="1" x14ac:dyDescent="0.25"/>
    <row r="159" ht="16" customHeight="1" x14ac:dyDescent="0.25"/>
    <row r="160" ht="16" customHeight="1" x14ac:dyDescent="0.25"/>
    <row r="161" ht="16" customHeight="1" x14ac:dyDescent="0.25"/>
    <row r="162" ht="16" customHeight="1" x14ac:dyDescent="0.25"/>
    <row r="163" ht="16" customHeight="1" x14ac:dyDescent="0.25"/>
    <row r="164" ht="16" customHeight="1" x14ac:dyDescent="0.25"/>
    <row r="165" ht="16" customHeight="1" x14ac:dyDescent="0.25"/>
    <row r="166" ht="16" customHeight="1" x14ac:dyDescent="0.25"/>
    <row r="167" ht="16" customHeight="1" x14ac:dyDescent="0.25"/>
    <row r="168" ht="16" customHeight="1" x14ac:dyDescent="0.25"/>
    <row r="169" ht="16" customHeight="1" x14ac:dyDescent="0.25"/>
    <row r="170" ht="16" customHeight="1" x14ac:dyDescent="0.25"/>
    <row r="171" ht="16" customHeight="1" x14ac:dyDescent="0.25"/>
    <row r="172" ht="16" customHeight="1" x14ac:dyDescent="0.25"/>
    <row r="173" ht="16" customHeight="1" x14ac:dyDescent="0.25"/>
    <row r="174" ht="16" customHeight="1" x14ac:dyDescent="0.25"/>
    <row r="175" ht="16" customHeight="1" x14ac:dyDescent="0.25"/>
    <row r="176" ht="16" customHeight="1" x14ac:dyDescent="0.25"/>
    <row r="177" ht="16" customHeight="1" x14ac:dyDescent="0.25"/>
    <row r="178" ht="16" customHeight="1" x14ac:dyDescent="0.25"/>
    <row r="179" ht="16" customHeight="1" x14ac:dyDescent="0.25"/>
    <row r="180" ht="16" customHeight="1" x14ac:dyDescent="0.25"/>
    <row r="181" ht="16" customHeight="1" x14ac:dyDescent="0.25"/>
    <row r="182" ht="16" customHeight="1" x14ac:dyDescent="0.25"/>
    <row r="183" ht="16" customHeight="1" x14ac:dyDescent="0.25"/>
    <row r="184" ht="16" customHeight="1" x14ac:dyDescent="0.25"/>
    <row r="185" ht="16" customHeight="1" x14ac:dyDescent="0.25"/>
    <row r="186" ht="16" customHeight="1" x14ac:dyDescent="0.25"/>
    <row r="187" ht="16" customHeight="1" x14ac:dyDescent="0.25"/>
    <row r="188" ht="16" customHeight="1" x14ac:dyDescent="0.25"/>
    <row r="189" ht="16" customHeight="1" x14ac:dyDescent="0.25"/>
    <row r="190" ht="16" customHeight="1" x14ac:dyDescent="0.25"/>
    <row r="191" ht="16" customHeight="1" x14ac:dyDescent="0.25"/>
    <row r="192" ht="16" customHeight="1" x14ac:dyDescent="0.25"/>
    <row r="193" ht="16" customHeight="1" x14ac:dyDescent="0.25"/>
    <row r="194" ht="16" customHeight="1" x14ac:dyDescent="0.25"/>
    <row r="195" ht="16" customHeight="1" x14ac:dyDescent="0.25"/>
    <row r="196" ht="16" customHeight="1" x14ac:dyDescent="0.25"/>
    <row r="197" ht="16" customHeight="1" x14ac:dyDescent="0.25"/>
    <row r="198" ht="16" customHeight="1" x14ac:dyDescent="0.25"/>
    <row r="199" ht="16" customHeight="1" x14ac:dyDescent="0.25"/>
    <row r="200" ht="16" customHeight="1" x14ac:dyDescent="0.25"/>
    <row r="201" ht="16" customHeight="1" x14ac:dyDescent="0.25"/>
    <row r="202" ht="16" customHeight="1" x14ac:dyDescent="0.25"/>
    <row r="203" ht="16" customHeight="1" x14ac:dyDescent="0.25"/>
    <row r="204" ht="16" customHeight="1" x14ac:dyDescent="0.25"/>
    <row r="205" ht="16" customHeight="1" x14ac:dyDescent="0.25"/>
    <row r="206" ht="16" customHeight="1" x14ac:dyDescent="0.25"/>
    <row r="207" ht="16" customHeight="1" x14ac:dyDescent="0.25"/>
    <row r="208" ht="16" customHeight="1" x14ac:dyDescent="0.25"/>
    <row r="209" ht="16" customHeight="1" x14ac:dyDescent="0.25"/>
    <row r="210" ht="16" customHeight="1" x14ac:dyDescent="0.25"/>
    <row r="211" ht="16" customHeight="1" x14ac:dyDescent="0.25"/>
    <row r="212" ht="16" customHeight="1" x14ac:dyDescent="0.25"/>
    <row r="213" ht="16" customHeight="1" x14ac:dyDescent="0.25"/>
    <row r="214" ht="16" customHeight="1" x14ac:dyDescent="0.25"/>
    <row r="215" ht="16" customHeight="1" x14ac:dyDescent="0.25"/>
    <row r="216" ht="16" customHeight="1" x14ac:dyDescent="0.25"/>
    <row r="217" ht="16" customHeight="1" x14ac:dyDescent="0.25"/>
    <row r="218" ht="16" customHeight="1" x14ac:dyDescent="0.25"/>
    <row r="219" ht="16" customHeight="1" x14ac:dyDescent="0.25"/>
    <row r="220" ht="16" customHeight="1" x14ac:dyDescent="0.25"/>
    <row r="221" ht="16" customHeight="1" x14ac:dyDescent="0.25"/>
    <row r="222" ht="16" customHeight="1" x14ac:dyDescent="0.25"/>
    <row r="223" ht="16" customHeight="1" x14ac:dyDescent="0.25"/>
    <row r="224" ht="16" customHeight="1" x14ac:dyDescent="0.25"/>
    <row r="225" ht="16" customHeight="1" x14ac:dyDescent="0.25"/>
    <row r="226" ht="16" customHeight="1" x14ac:dyDescent="0.25"/>
    <row r="227" ht="16" customHeight="1" x14ac:dyDescent="0.25"/>
  </sheetData>
  <pageMargins left="0.7" right="0.7" top="0.75" bottom="0.75" header="0.3" footer="0.3"/>
  <pageSetup orientation="portrait" horizontalDpi="300" r:id="rId1"/>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0">
    <tabColor rgb="FFFFFF00"/>
  </sheetPr>
  <dimension ref="A1:IO227"/>
  <sheetViews>
    <sheetView zoomScaleNormal="100" workbookViewId="0">
      <selection activeCell="H27" sqref="H27:J35"/>
    </sheetView>
  </sheetViews>
  <sheetFormatPr defaultColWidth="9.1796875" defaultRowHeight="11.5" x14ac:dyDescent="0.25"/>
  <cols>
    <col min="1" max="2" width="5.7265625" style="187" customWidth="1"/>
    <col min="3" max="3" width="26.7265625" style="187" customWidth="1"/>
    <col min="4" max="4" width="13.7265625" style="188" customWidth="1"/>
    <col min="5" max="5" width="22.26953125" style="189" customWidth="1"/>
    <col min="6" max="6" width="17.453125" style="190" customWidth="1"/>
    <col min="7" max="7" width="13.7265625" style="190" customWidth="1"/>
    <col min="8" max="8" width="22.7265625" style="188" customWidth="1"/>
    <col min="9" max="9" width="28.7265625" style="370" customWidth="1"/>
    <col min="10" max="10" width="14" style="187" customWidth="1"/>
    <col min="11" max="11" width="19.7265625" style="192" customWidth="1"/>
    <col min="12" max="12" width="19.26953125" style="192" customWidth="1"/>
    <col min="13" max="13" width="17" style="187" customWidth="1"/>
    <col min="14" max="14" width="13.54296875" style="187" customWidth="1"/>
    <col min="15" max="16384" width="9.1796875" style="187"/>
  </cols>
  <sheetData>
    <row r="1" spans="1:13" s="153" customFormat="1" ht="18" x14ac:dyDescent="0.4">
      <c r="A1" s="47" t="s">
        <v>609</v>
      </c>
      <c r="B1" s="159"/>
      <c r="C1" s="159"/>
      <c r="D1" s="160"/>
      <c r="E1" s="161"/>
      <c r="F1" s="162"/>
      <c r="G1" s="162"/>
      <c r="H1" s="382"/>
      <c r="I1" s="371"/>
      <c r="K1" s="246"/>
      <c r="L1" s="246"/>
    </row>
    <row r="2" spans="1:13" s="153" customFormat="1" ht="14" x14ac:dyDescent="0.3">
      <c r="B2" s="159"/>
      <c r="C2" s="159"/>
      <c r="D2" s="160"/>
      <c r="E2" s="161"/>
      <c r="F2" s="162"/>
      <c r="G2" s="162"/>
      <c r="H2" s="382"/>
      <c r="I2" s="371"/>
      <c r="K2" s="246"/>
      <c r="L2" s="246"/>
    </row>
    <row r="3" spans="1:13" s="7" customFormat="1" ht="13" x14ac:dyDescent="0.3">
      <c r="D3" s="137"/>
      <c r="F3" s="138"/>
      <c r="G3" s="163"/>
      <c r="H3" s="355"/>
      <c r="I3" s="367"/>
      <c r="K3" s="1"/>
      <c r="L3" s="1"/>
    </row>
    <row r="4" spans="1:13" s="7" customFormat="1" ht="14" x14ac:dyDescent="0.3">
      <c r="D4" s="137"/>
      <c r="E4" s="151"/>
      <c r="F4" s="138"/>
      <c r="G4" s="163"/>
      <c r="H4" s="355"/>
      <c r="I4" s="367"/>
      <c r="J4" s="153"/>
      <c r="K4" s="246"/>
      <c r="L4" s="246"/>
    </row>
    <row r="5" spans="1:13" s="148" customFormat="1" ht="14.15" customHeight="1" thickBot="1" x14ac:dyDescent="0.4">
      <c r="A5" s="164" t="s">
        <v>0</v>
      </c>
      <c r="B5" s="164"/>
      <c r="C5" s="164"/>
      <c r="D5" s="165"/>
      <c r="E5" s="166"/>
      <c r="F5" s="167"/>
      <c r="G5" s="168"/>
      <c r="H5" s="383"/>
      <c r="I5" s="369"/>
      <c r="J5" s="7"/>
      <c r="K5" s="1"/>
      <c r="L5" s="1"/>
    </row>
    <row r="6" spans="1:13" s="7" customFormat="1" ht="14.15" customHeight="1" x14ac:dyDescent="0.3">
      <c r="A6" s="1"/>
      <c r="B6" s="1"/>
      <c r="C6" s="1"/>
      <c r="D6" s="137"/>
      <c r="E6" s="151"/>
      <c r="F6" s="137"/>
      <c r="G6" s="163"/>
      <c r="H6" s="355"/>
      <c r="I6" s="367"/>
      <c r="J6" s="153"/>
      <c r="K6" s="246"/>
      <c r="L6" s="246"/>
    </row>
    <row r="7" spans="1:13" s="7" customFormat="1" ht="14.15" customHeight="1" x14ac:dyDescent="0.3">
      <c r="B7" s="169" t="s">
        <v>1</v>
      </c>
      <c r="C7" s="170"/>
      <c r="D7" s="137"/>
      <c r="F7" s="137">
        <f>'CRA CR'!G81</f>
        <v>5.4869526193357574</v>
      </c>
      <c r="G7" s="171" t="str">
        <f>"(1)"</f>
        <v>(1)</v>
      </c>
      <c r="H7" s="355"/>
      <c r="I7" s="367"/>
      <c r="K7" s="1"/>
      <c r="L7" s="1"/>
    </row>
    <row r="8" spans="1:13" s="7" customFormat="1" ht="14.15" customHeight="1" x14ac:dyDescent="0.3">
      <c r="B8" s="169" t="s">
        <v>2</v>
      </c>
      <c r="C8" s="170"/>
      <c r="D8" s="137"/>
      <c r="F8" s="137">
        <f>'CRA CR'!H81</f>
        <v>3.5850616151152375</v>
      </c>
      <c r="G8" s="171" t="str">
        <f>"(2)"</f>
        <v>(2)</v>
      </c>
      <c r="H8" s="355"/>
      <c r="I8" s="367"/>
      <c r="J8" s="153"/>
      <c r="K8" s="246"/>
      <c r="L8" s="246"/>
    </row>
    <row r="9" spans="1:13" s="7" customFormat="1" ht="14.15" customHeight="1" x14ac:dyDescent="0.3">
      <c r="B9" s="306"/>
      <c r="C9" s="170"/>
      <c r="D9" s="137"/>
      <c r="F9" s="137"/>
      <c r="G9" s="171"/>
      <c r="H9" s="355"/>
      <c r="I9" s="367"/>
      <c r="J9" s="153"/>
      <c r="K9" s="246"/>
      <c r="L9" s="246"/>
    </row>
    <row r="10" spans="1:13" s="7" customFormat="1" ht="14.15" customHeight="1" x14ac:dyDescent="0.3">
      <c r="B10" s="34" t="s">
        <v>3</v>
      </c>
      <c r="C10" s="172"/>
      <c r="D10" s="137"/>
      <c r="F10" s="41">
        <f>SUM(F7:F8)</f>
        <v>9.0720142344509949</v>
      </c>
      <c r="G10" s="171" t="str">
        <f>"(3)"</f>
        <v>(3)</v>
      </c>
      <c r="H10" s="355"/>
      <c r="I10" s="367"/>
      <c r="K10" s="1"/>
      <c r="L10" s="1"/>
    </row>
    <row r="11" spans="1:13" s="7" customFormat="1" ht="14.15" customHeight="1" x14ac:dyDescent="0.3">
      <c r="A11" s="1"/>
      <c r="B11" s="1"/>
      <c r="C11" s="1"/>
      <c r="D11" s="137"/>
      <c r="F11" s="163"/>
      <c r="G11" s="163"/>
      <c r="H11" s="355"/>
      <c r="I11" s="367"/>
      <c r="J11" s="153"/>
      <c r="K11" s="246"/>
      <c r="L11" s="246"/>
    </row>
    <row r="12" spans="1:13" s="7" customFormat="1" ht="14.15" customHeight="1" thickBot="1" x14ac:dyDescent="0.4">
      <c r="A12" s="164" t="s">
        <v>4</v>
      </c>
      <c r="B12" s="173"/>
      <c r="C12" s="173"/>
      <c r="D12" s="174"/>
      <c r="E12" s="175"/>
      <c r="F12" s="176"/>
      <c r="G12" s="177"/>
      <c r="H12" s="355"/>
      <c r="I12" s="367"/>
      <c r="K12" s="1"/>
      <c r="L12" s="1"/>
    </row>
    <row r="13" spans="1:13" s="7" customFormat="1" ht="14.15" customHeight="1" x14ac:dyDescent="0.3">
      <c r="A13" s="1"/>
      <c r="B13" s="1"/>
      <c r="C13" s="1"/>
      <c r="D13" s="137"/>
      <c r="F13" s="138"/>
      <c r="G13" s="163"/>
      <c r="H13" s="355"/>
      <c r="I13" s="367"/>
      <c r="J13" s="153"/>
      <c r="K13" s="246"/>
      <c r="L13" s="246"/>
    </row>
    <row r="14" spans="1:13" s="7" customFormat="1" ht="14.15" customHeight="1" x14ac:dyDescent="0.3">
      <c r="A14" s="1"/>
      <c r="B14" s="1"/>
      <c r="C14" s="1"/>
      <c r="D14" s="41" t="str">
        <f>"(4)"</f>
        <v>(4)</v>
      </c>
      <c r="E14" s="31" t="str">
        <f>"(5)"</f>
        <v>(5)</v>
      </c>
      <c r="F14" s="31" t="str">
        <f>"(6)"</f>
        <v>(6)</v>
      </c>
      <c r="G14" s="163"/>
      <c r="H14" s="355"/>
      <c r="I14" s="367"/>
      <c r="K14" s="1"/>
      <c r="L14" s="1"/>
    </row>
    <row r="15" spans="1:13" s="7" customFormat="1" ht="13.5" customHeight="1" x14ac:dyDescent="0.3">
      <c r="A15" s="1"/>
      <c r="B15" s="1"/>
      <c r="C15" s="1"/>
      <c r="D15" s="137"/>
      <c r="E15" s="31"/>
      <c r="F15" s="31"/>
      <c r="H15" s="355"/>
      <c r="I15" s="367"/>
      <c r="J15" s="153"/>
      <c r="K15" s="246"/>
      <c r="L15" s="246"/>
    </row>
    <row r="16" spans="1:13" s="7" customFormat="1" ht="14.15" customHeight="1" x14ac:dyDescent="0.3">
      <c r="A16" s="1"/>
      <c r="B16" s="1"/>
      <c r="C16" s="1"/>
      <c r="D16" s="178"/>
      <c r="E16" s="17" t="s">
        <v>378</v>
      </c>
      <c r="F16" s="31" t="s">
        <v>378</v>
      </c>
      <c r="H16" s="355"/>
      <c r="I16" s="367"/>
      <c r="K16" s="1"/>
      <c r="L16" s="1"/>
      <c r="M16" s="155"/>
    </row>
    <row r="17" spans="1:249" s="7" customFormat="1" ht="14.15" customHeight="1" x14ac:dyDescent="0.3">
      <c r="B17" s="1" t="s">
        <v>5</v>
      </c>
      <c r="C17" s="1"/>
      <c r="D17" s="41" t="s">
        <v>6</v>
      </c>
      <c r="E17" s="17" t="s">
        <v>7</v>
      </c>
      <c r="F17" s="31" t="s">
        <v>8</v>
      </c>
      <c r="H17" s="355"/>
      <c r="I17" s="372"/>
      <c r="J17" s="153"/>
      <c r="K17" s="153"/>
      <c r="L17" s="153"/>
      <c r="M17" s="153"/>
      <c r="N17" s="153"/>
      <c r="O17" s="155"/>
    </row>
    <row r="18" spans="1:249" s="7" customFormat="1" ht="14.15" customHeight="1" x14ac:dyDescent="0.3">
      <c r="C18" s="155" t="s">
        <v>507</v>
      </c>
      <c r="D18" s="137">
        <f ca="1">'CR COST'!K79</f>
        <v>3.8137250949836599</v>
      </c>
      <c r="E18" s="151">
        <f>'FY VOLUME CR'!H13</f>
        <v>2425319811.6657734</v>
      </c>
      <c r="F18" s="179">
        <f>E18/$E$22</f>
        <v>0.8869647037879872</v>
      </c>
      <c r="G18" s="296"/>
      <c r="H18" s="355"/>
      <c r="I18" s="355"/>
      <c r="J18" s="355"/>
      <c r="K18" s="137"/>
      <c r="L18" s="320"/>
      <c r="M18" s="321"/>
      <c r="N18" s="134"/>
      <c r="O18" s="178"/>
      <c r="P18" s="178"/>
    </row>
    <row r="19" spans="1:249" s="7" customFormat="1" ht="14.15" customHeight="1" x14ac:dyDescent="0.3">
      <c r="C19" s="155" t="s">
        <v>512</v>
      </c>
      <c r="D19" s="137">
        <f ca="1">'CR PALLET COST'!K79</f>
        <v>0.95032668132325404</v>
      </c>
      <c r="E19" s="151">
        <f>'FY VOLUME CR'!H19</f>
        <v>309084163.27019238</v>
      </c>
      <c r="F19" s="179">
        <f t="shared" ref="F19" si="0">E19/$E$22</f>
        <v>0.11303529621201291</v>
      </c>
      <c r="G19" s="296"/>
      <c r="H19" s="355"/>
      <c r="I19" s="355"/>
      <c r="J19" s="355"/>
      <c r="K19" s="137"/>
      <c r="L19" s="320"/>
      <c r="M19" s="321"/>
      <c r="N19" s="134"/>
      <c r="O19" s="178"/>
      <c r="P19" s="178"/>
    </row>
    <row r="20" spans="1:249" s="7" customFormat="1" ht="14.15" customHeight="1" x14ac:dyDescent="0.3">
      <c r="C20" s="155" t="s">
        <v>569</v>
      </c>
      <c r="D20" s="137"/>
      <c r="E20" s="151"/>
      <c r="F20" s="179"/>
      <c r="G20" s="296"/>
      <c r="H20" s="355"/>
      <c r="I20" s="355"/>
      <c r="J20" s="355"/>
      <c r="K20" s="137"/>
      <c r="L20" s="320"/>
      <c r="M20" s="321"/>
      <c r="N20" s="134"/>
      <c r="O20" s="178"/>
      <c r="P20" s="178"/>
    </row>
    <row r="21" spans="1:249" s="7" customFormat="1" ht="14.15" customHeight="1" x14ac:dyDescent="0.3">
      <c r="C21" s="155" t="s">
        <v>570</v>
      </c>
      <c r="D21" s="137"/>
      <c r="E21" s="151"/>
      <c r="F21" s="179"/>
      <c r="G21" s="296"/>
      <c r="H21" s="355"/>
      <c r="I21" s="355"/>
      <c r="J21" s="355"/>
      <c r="K21" s="137"/>
      <c r="L21" s="320"/>
      <c r="M21" s="321"/>
      <c r="N21" s="134"/>
      <c r="O21" s="178"/>
      <c r="P21" s="178"/>
    </row>
    <row r="22" spans="1:249" s="1" customFormat="1" ht="14.15" customHeight="1" x14ac:dyDescent="0.3">
      <c r="A22" s="145" t="str">
        <f>"(7)"</f>
        <v>(7)</v>
      </c>
      <c r="B22" s="1" t="s">
        <v>9</v>
      </c>
      <c r="D22" s="41">
        <f ca="1">SUMPRODUCT(D18:D21,F18:F21)</f>
        <v>3.4900600071225485</v>
      </c>
      <c r="E22" s="180">
        <f>SUM(E18:E21)</f>
        <v>2734403974.9359655</v>
      </c>
      <c r="F22" s="14">
        <f>SUM(F18:F21)</f>
        <v>1</v>
      </c>
      <c r="H22" s="355"/>
      <c r="I22" s="355"/>
      <c r="J22" s="355"/>
      <c r="K22" s="318"/>
      <c r="L22" s="3"/>
    </row>
    <row r="23" spans="1:249" s="1" customFormat="1" ht="14.15" customHeight="1" x14ac:dyDescent="0.3">
      <c r="D23" s="41"/>
      <c r="E23" s="310"/>
      <c r="F23" s="139"/>
      <c r="H23" s="355"/>
      <c r="I23" s="367"/>
      <c r="J23" s="153"/>
      <c r="K23" s="311"/>
      <c r="L23" s="246"/>
    </row>
    <row r="24" spans="1:249" s="1" customFormat="1" ht="14.15" customHeight="1" x14ac:dyDescent="0.3">
      <c r="B24" s="34" t="s">
        <v>10</v>
      </c>
      <c r="C24" s="172"/>
      <c r="D24" s="251"/>
      <c r="F24" s="41">
        <f ca="1">F7/D22</f>
        <v>1.5721656957582193</v>
      </c>
      <c r="G24" s="1" t="str">
        <f>"(8)"</f>
        <v>(8)</v>
      </c>
      <c r="H24" s="355"/>
      <c r="I24" s="367"/>
      <c r="J24" s="355"/>
      <c r="K24" s="311"/>
    </row>
    <row r="25" spans="1:249" s="1" customFormat="1" ht="14.15" customHeight="1" x14ac:dyDescent="0.3">
      <c r="A25" s="172"/>
      <c r="B25" s="172"/>
      <c r="C25" s="172"/>
      <c r="D25" s="41"/>
      <c r="F25" s="139"/>
      <c r="G25" s="181"/>
      <c r="H25" s="355"/>
      <c r="I25" s="367"/>
      <c r="J25" s="153"/>
      <c r="K25" s="246"/>
      <c r="L25" s="246"/>
      <c r="IO25" s="1" t="s">
        <v>11</v>
      </c>
    </row>
    <row r="26" spans="1:249" s="148" customFormat="1" ht="14.15" customHeight="1" thickBot="1" x14ac:dyDescent="0.4">
      <c r="A26" s="182" t="s">
        <v>423</v>
      </c>
      <c r="B26" s="164"/>
      <c r="C26" s="164"/>
      <c r="D26" s="165"/>
      <c r="E26" s="183"/>
      <c r="F26" s="167"/>
      <c r="G26" s="168"/>
      <c r="H26" s="383"/>
      <c r="I26" s="369"/>
      <c r="J26" s="7"/>
      <c r="K26" s="1"/>
      <c r="L26" s="1"/>
    </row>
    <row r="27" spans="1:249" s="7" customFormat="1" ht="14.15" customHeight="1" x14ac:dyDescent="0.3">
      <c r="B27" s="1"/>
      <c r="C27" s="1"/>
      <c r="D27" s="137"/>
      <c r="E27" s="151"/>
      <c r="F27" s="163"/>
      <c r="G27" s="163"/>
      <c r="H27" s="355"/>
      <c r="I27" s="367"/>
      <c r="J27" s="153"/>
      <c r="K27" s="246"/>
      <c r="L27" s="246"/>
    </row>
    <row r="28" spans="1:249" s="7" customFormat="1" ht="14.15" customHeight="1" x14ac:dyDescent="0.3">
      <c r="B28" s="1"/>
      <c r="C28" s="1"/>
      <c r="D28" s="41" t="str">
        <f>"(9)"</f>
        <v>(9)</v>
      </c>
      <c r="E28" s="31" t="str">
        <f>"(10)"</f>
        <v>(10)</v>
      </c>
      <c r="F28" s="31" t="str">
        <f>"(11)"</f>
        <v>(11)</v>
      </c>
      <c r="G28" s="31" t="str">
        <f>"(12)"</f>
        <v>(12)</v>
      </c>
      <c r="H28" s="470"/>
      <c r="I28" s="470"/>
      <c r="J28" s="256"/>
      <c r="K28" s="1"/>
      <c r="L28" s="1"/>
    </row>
    <row r="29" spans="1:249" s="7" customFormat="1" ht="14.15" customHeight="1" x14ac:dyDescent="0.3">
      <c r="D29" s="41"/>
      <c r="E29" s="31"/>
      <c r="F29" s="31"/>
      <c r="G29" s="181" t="s">
        <v>3</v>
      </c>
      <c r="H29" s="471"/>
      <c r="I29" s="473"/>
      <c r="J29" s="153"/>
      <c r="K29" s="246"/>
      <c r="L29" s="246"/>
    </row>
    <row r="30" spans="1:249" s="7" customFormat="1" ht="14.15" customHeight="1" x14ac:dyDescent="0.3">
      <c r="B30" s="1"/>
      <c r="D30" s="41" t="s">
        <v>12</v>
      </c>
      <c r="E30" s="31" t="s">
        <v>328</v>
      </c>
      <c r="F30" s="31" t="s">
        <v>329</v>
      </c>
      <c r="G30" s="181" t="s">
        <v>13</v>
      </c>
      <c r="H30" s="471"/>
      <c r="I30" s="473"/>
      <c r="J30" s="2"/>
      <c r="K30"/>
      <c r="L30" s="1"/>
    </row>
    <row r="31" spans="1:249" s="7" customFormat="1" ht="14.15" customHeight="1" x14ac:dyDescent="0.3">
      <c r="B31" s="36" t="s">
        <v>14</v>
      </c>
      <c r="C31" s="1"/>
      <c r="D31" s="43" t="s">
        <v>15</v>
      </c>
      <c r="E31" s="37" t="s">
        <v>15</v>
      </c>
      <c r="F31" s="37" t="s">
        <v>15</v>
      </c>
      <c r="G31" s="184" t="s">
        <v>15</v>
      </c>
      <c r="H31" s="472"/>
      <c r="I31" s="475"/>
      <c r="J31" s="2"/>
      <c r="K31"/>
      <c r="L31" s="246"/>
    </row>
    <row r="32" spans="1:249" s="7" customFormat="1" ht="14.15" customHeight="1" x14ac:dyDescent="0.3">
      <c r="B32" s="1"/>
      <c r="C32" s="1"/>
      <c r="D32" s="41"/>
      <c r="E32" s="31"/>
      <c r="F32" s="31"/>
      <c r="G32" s="181"/>
      <c r="H32" s="474"/>
      <c r="I32" s="476"/>
      <c r="J32"/>
      <c r="K32"/>
      <c r="L32" s="1"/>
    </row>
    <row r="33" spans="1:13" s="1" customFormat="1" ht="14.15" customHeight="1" x14ac:dyDescent="0.3">
      <c r="A33" s="172"/>
      <c r="B33" s="1" t="str">
        <f>C18</f>
        <v>Carrier Route</v>
      </c>
      <c r="D33" s="41">
        <f ca="1">D18</f>
        <v>3.8137250949836599</v>
      </c>
      <c r="E33" s="41">
        <f ca="1">D33*$F$24</f>
        <v>5.9958077673855668</v>
      </c>
      <c r="F33" s="41">
        <f>$F$8</f>
        <v>3.5850616151152375</v>
      </c>
      <c r="G33" s="41">
        <f ca="1">E33+F33</f>
        <v>9.5808693825008042</v>
      </c>
      <c r="H33" s="469"/>
      <c r="I33" s="477"/>
      <c r="J33" s="368"/>
      <c r="K33" s="368"/>
      <c r="L33" s="252"/>
      <c r="M33" s="253"/>
    </row>
    <row r="34" spans="1:13" s="1" customFormat="1" ht="14.15" customHeight="1" x14ac:dyDescent="0.3">
      <c r="A34" s="172"/>
      <c r="D34" s="41"/>
      <c r="E34" s="41"/>
      <c r="F34" s="41"/>
      <c r="G34" s="41"/>
      <c r="H34" s="469"/>
      <c r="I34" s="477"/>
      <c r="J34" s="368"/>
      <c r="K34" s="368"/>
      <c r="L34" s="252"/>
      <c r="M34" s="253"/>
    </row>
    <row r="35" spans="1:13" s="1" customFormat="1" ht="14.15" customHeight="1" x14ac:dyDescent="0.3">
      <c r="A35" s="172"/>
      <c r="B35" s="1" t="str">
        <f>C19</f>
        <v>Carrier Route - CRTS Pallet</v>
      </c>
      <c r="D35" s="41">
        <f ca="1">D19</f>
        <v>0.95032668132325404</v>
      </c>
      <c r="E35" s="41">
        <f ca="1">D35*$F$24</f>
        <v>1.4940710081401731</v>
      </c>
      <c r="F35" s="41">
        <f>$F$8</f>
        <v>3.5850616151152375</v>
      </c>
      <c r="G35" s="41">
        <f ca="1">E35+F35</f>
        <v>5.0791326232554104</v>
      </c>
      <c r="H35" s="469"/>
      <c r="I35" s="477"/>
      <c r="J35" s="368"/>
      <c r="K35" s="368"/>
      <c r="L35" s="252"/>
      <c r="M35" s="253"/>
    </row>
    <row r="36" spans="1:13" s="1" customFormat="1" ht="14.15" customHeight="1" x14ac:dyDescent="0.3">
      <c r="A36" s="172"/>
      <c r="D36" s="41"/>
      <c r="E36" s="41"/>
      <c r="F36" s="41"/>
      <c r="G36" s="41"/>
      <c r="H36" s="368"/>
      <c r="I36" s="368"/>
      <c r="J36" s="368"/>
      <c r="K36" s="368"/>
      <c r="L36" s="252"/>
      <c r="M36" s="253"/>
    </row>
    <row r="37" spans="1:13" s="1" customFormat="1" ht="14.15" customHeight="1" x14ac:dyDescent="0.3">
      <c r="A37" s="172"/>
      <c r="B37" s="1" t="s">
        <v>569</v>
      </c>
      <c r="D37" s="41"/>
      <c r="E37" s="41"/>
      <c r="F37" s="41"/>
      <c r="G37" s="41"/>
      <c r="H37" s="368"/>
      <c r="I37" s="368"/>
      <c r="J37" s="368"/>
      <c r="K37" s="368"/>
      <c r="L37" s="252"/>
      <c r="M37" s="253"/>
    </row>
    <row r="38" spans="1:13" s="1" customFormat="1" ht="14.15" customHeight="1" x14ac:dyDescent="0.3">
      <c r="A38" s="172"/>
      <c r="D38" s="41"/>
      <c r="E38" s="41"/>
      <c r="F38" s="41"/>
      <c r="G38" s="41"/>
      <c r="H38" s="368"/>
      <c r="I38" s="368"/>
      <c r="J38" s="368"/>
      <c r="K38" s="368"/>
      <c r="L38" s="252"/>
      <c r="M38" s="253"/>
    </row>
    <row r="39" spans="1:13" s="1" customFormat="1" ht="14.15" customHeight="1" x14ac:dyDescent="0.3">
      <c r="A39" s="172"/>
      <c r="B39" s="1" t="s">
        <v>570</v>
      </c>
      <c r="D39" s="41"/>
      <c r="E39" s="41"/>
      <c r="F39" s="41"/>
      <c r="G39" s="41"/>
      <c r="H39" s="368"/>
      <c r="I39" s="368"/>
      <c r="J39" s="368"/>
      <c r="K39" s="368"/>
      <c r="L39" s="252"/>
      <c r="M39" s="253"/>
    </row>
    <row r="40" spans="1:13" s="7" customFormat="1" ht="14.15" customHeight="1" thickBot="1" x14ac:dyDescent="0.35">
      <c r="A40" s="175"/>
      <c r="B40" s="185"/>
      <c r="C40" s="175"/>
      <c r="D40" s="186"/>
      <c r="E40" s="186"/>
      <c r="F40" s="186"/>
      <c r="G40" s="186"/>
      <c r="H40" s="355"/>
      <c r="I40" s="367"/>
      <c r="J40" s="134"/>
      <c r="K40" s="254"/>
      <c r="L40" s="1"/>
    </row>
    <row r="41" spans="1:13" ht="14.15" customHeight="1" x14ac:dyDescent="0.25">
      <c r="J41" s="8"/>
    </row>
    <row r="42" spans="1:13" ht="14.15" customHeight="1" x14ac:dyDescent="0.25">
      <c r="A42" s="359" t="s">
        <v>597</v>
      </c>
      <c r="G42" s="315"/>
    </row>
    <row r="43" spans="1:13" ht="14.15" customHeight="1" x14ac:dyDescent="0.25">
      <c r="A43" s="191" t="s">
        <v>424</v>
      </c>
      <c r="B43" s="192" t="s">
        <v>513</v>
      </c>
      <c r="E43" s="323"/>
      <c r="G43" s="314"/>
    </row>
    <row r="44" spans="1:13" ht="14.15" customHeight="1" x14ac:dyDescent="0.25">
      <c r="A44" s="191" t="s">
        <v>418</v>
      </c>
      <c r="B44" s="192" t="s">
        <v>514</v>
      </c>
    </row>
    <row r="45" spans="1:13" ht="14.15" customHeight="1" x14ac:dyDescent="0.25">
      <c r="A45" s="191" t="s">
        <v>425</v>
      </c>
      <c r="B45" s="192" t="s">
        <v>330</v>
      </c>
    </row>
    <row r="46" spans="1:13" ht="14.15" customHeight="1" x14ac:dyDescent="0.25">
      <c r="A46" s="191" t="s">
        <v>395</v>
      </c>
      <c r="B46" s="192" t="s">
        <v>17</v>
      </c>
    </row>
    <row r="47" spans="1:13" ht="14.15" customHeight="1" x14ac:dyDescent="0.25">
      <c r="A47" s="191" t="s">
        <v>396</v>
      </c>
      <c r="B47" s="192" t="s">
        <v>515</v>
      </c>
    </row>
    <row r="48" spans="1:13" ht="14.15" customHeight="1" x14ac:dyDescent="0.25">
      <c r="A48" s="191" t="s">
        <v>397</v>
      </c>
      <c r="B48" s="192" t="s">
        <v>419</v>
      </c>
    </row>
    <row r="49" spans="1:2" ht="14.15" customHeight="1" x14ac:dyDescent="0.25">
      <c r="A49" s="191" t="s">
        <v>398</v>
      </c>
      <c r="B49" s="192" t="s">
        <v>331</v>
      </c>
    </row>
    <row r="50" spans="1:2" ht="14.15" customHeight="1" x14ac:dyDescent="0.25">
      <c r="A50" s="191" t="s">
        <v>437</v>
      </c>
      <c r="B50" s="192" t="s">
        <v>332</v>
      </c>
    </row>
    <row r="51" spans="1:2" ht="14.15" customHeight="1" x14ac:dyDescent="0.25">
      <c r="A51" s="191" t="s">
        <v>455</v>
      </c>
      <c r="B51" s="192" t="s">
        <v>17</v>
      </c>
    </row>
    <row r="52" spans="1:2" ht="14.15" customHeight="1" x14ac:dyDescent="0.25">
      <c r="A52" s="191" t="s">
        <v>593</v>
      </c>
      <c r="B52" s="192" t="s">
        <v>333</v>
      </c>
    </row>
    <row r="53" spans="1:2" ht="14.15" customHeight="1" x14ac:dyDescent="0.25">
      <c r="A53" s="191" t="s">
        <v>594</v>
      </c>
      <c r="B53" s="192" t="s">
        <v>418</v>
      </c>
    </row>
    <row r="54" spans="1:2" ht="14.15" customHeight="1" x14ac:dyDescent="0.25">
      <c r="A54" s="191" t="s">
        <v>595</v>
      </c>
      <c r="B54" s="192" t="s">
        <v>334</v>
      </c>
    </row>
    <row r="55" spans="1:2" ht="14.15" customHeight="1" x14ac:dyDescent="0.25"/>
    <row r="56" spans="1:2" ht="14.15" customHeight="1" x14ac:dyDescent="0.25"/>
    <row r="57" spans="1:2" ht="14.15" customHeight="1" x14ac:dyDescent="0.25"/>
    <row r="58" spans="1:2" ht="14.15" customHeight="1" x14ac:dyDescent="0.25"/>
    <row r="59" spans="1:2" ht="14.15" customHeight="1" x14ac:dyDescent="0.25"/>
    <row r="60" spans="1:2" ht="14.15" customHeight="1" x14ac:dyDescent="0.25"/>
    <row r="61" spans="1:2" ht="14.15" customHeight="1" x14ac:dyDescent="0.25"/>
    <row r="62" spans="1:2" ht="14.15" customHeight="1" x14ac:dyDescent="0.25"/>
    <row r="63" spans="1:2" ht="14.15" customHeight="1" x14ac:dyDescent="0.25"/>
    <row r="64" spans="1:2" ht="14.15" customHeight="1" x14ac:dyDescent="0.25"/>
    <row r="65" ht="14.15" customHeight="1" x14ac:dyDescent="0.25"/>
    <row r="66" ht="14.15" customHeight="1" x14ac:dyDescent="0.25"/>
    <row r="67" ht="14.15" customHeight="1" x14ac:dyDescent="0.25"/>
    <row r="68" ht="14.15" customHeight="1" x14ac:dyDescent="0.25"/>
    <row r="69" ht="14.15" customHeight="1" x14ac:dyDescent="0.25"/>
    <row r="70" ht="14.15" customHeight="1" x14ac:dyDescent="0.25"/>
    <row r="71" ht="14.15" customHeight="1" x14ac:dyDescent="0.25"/>
    <row r="72" ht="14.15" customHeight="1" x14ac:dyDescent="0.25"/>
    <row r="73" ht="14.15" customHeight="1" x14ac:dyDescent="0.25"/>
    <row r="74" ht="14.15" customHeight="1" x14ac:dyDescent="0.25"/>
    <row r="75" ht="14.15" customHeight="1" x14ac:dyDescent="0.25"/>
    <row r="76" ht="14.15" customHeight="1" x14ac:dyDescent="0.25"/>
    <row r="77" ht="14.15" customHeight="1" x14ac:dyDescent="0.25"/>
    <row r="78" ht="14.15" customHeight="1" x14ac:dyDescent="0.25"/>
    <row r="79" ht="14.15" customHeight="1" x14ac:dyDescent="0.25"/>
    <row r="80" ht="14.15" customHeight="1" x14ac:dyDescent="0.25"/>
    <row r="81" ht="14.15" customHeight="1" x14ac:dyDescent="0.25"/>
    <row r="82" ht="14.15" customHeight="1" x14ac:dyDescent="0.25"/>
    <row r="83" ht="14.15" customHeight="1" x14ac:dyDescent="0.25"/>
    <row r="84" ht="14.15" customHeight="1" x14ac:dyDescent="0.25"/>
    <row r="85" ht="14.15" customHeight="1" x14ac:dyDescent="0.25"/>
    <row r="86" ht="14.15" customHeight="1" x14ac:dyDescent="0.25"/>
    <row r="87" ht="14.15" customHeight="1" x14ac:dyDescent="0.25"/>
    <row r="88" ht="14.15" customHeight="1" x14ac:dyDescent="0.25"/>
    <row r="89" ht="14.15" customHeight="1" x14ac:dyDescent="0.25"/>
    <row r="90" ht="14.15" customHeight="1" x14ac:dyDescent="0.25"/>
    <row r="91" ht="14.15" customHeight="1" x14ac:dyDescent="0.25"/>
    <row r="92" ht="14.15" customHeight="1" x14ac:dyDescent="0.25"/>
    <row r="93" ht="14.15" customHeight="1" x14ac:dyDescent="0.25"/>
    <row r="94" ht="14.15" customHeight="1" x14ac:dyDescent="0.25"/>
    <row r="95" ht="14.15" customHeight="1" x14ac:dyDescent="0.25"/>
    <row r="96" ht="14.15" customHeight="1" x14ac:dyDescent="0.25"/>
    <row r="97" ht="14.15" customHeight="1" x14ac:dyDescent="0.25"/>
    <row r="98" ht="14.15" customHeight="1" x14ac:dyDescent="0.25"/>
    <row r="99" ht="14.15" customHeight="1" x14ac:dyDescent="0.25"/>
    <row r="100" ht="14.15" customHeight="1" x14ac:dyDescent="0.25"/>
    <row r="101" ht="14.15" customHeight="1" x14ac:dyDescent="0.25"/>
    <row r="102" ht="14.15" customHeight="1" x14ac:dyDescent="0.25"/>
    <row r="103" ht="14.15" customHeight="1" x14ac:dyDescent="0.25"/>
    <row r="104" ht="14.15" customHeight="1" x14ac:dyDescent="0.25"/>
    <row r="105" ht="14.15" customHeight="1" x14ac:dyDescent="0.25"/>
    <row r="106" ht="14.15" customHeight="1" x14ac:dyDescent="0.25"/>
    <row r="107" ht="14.15" customHeight="1" x14ac:dyDescent="0.25"/>
    <row r="108" ht="14.15" customHeight="1" x14ac:dyDescent="0.25"/>
    <row r="109" ht="14.15" customHeight="1" x14ac:dyDescent="0.25"/>
    <row r="110" ht="14.15" customHeight="1" x14ac:dyDescent="0.25"/>
    <row r="111" ht="14.15" customHeight="1" x14ac:dyDescent="0.25"/>
    <row r="112" ht="14.15" customHeight="1" x14ac:dyDescent="0.25"/>
    <row r="113" ht="14.15" customHeight="1" x14ac:dyDescent="0.25"/>
    <row r="114" ht="14.15" customHeight="1" x14ac:dyDescent="0.25"/>
    <row r="115" ht="14.15" customHeight="1" x14ac:dyDescent="0.25"/>
    <row r="116" ht="16" customHeight="1" x14ac:dyDescent="0.25"/>
    <row r="117" ht="16" customHeight="1" x14ac:dyDescent="0.25"/>
    <row r="118" ht="16" customHeight="1" x14ac:dyDescent="0.25"/>
    <row r="119" ht="16" customHeight="1" x14ac:dyDescent="0.25"/>
    <row r="120" ht="16" customHeight="1" x14ac:dyDescent="0.25"/>
    <row r="121" ht="16" customHeight="1" x14ac:dyDescent="0.25"/>
    <row r="122" ht="16" customHeight="1" x14ac:dyDescent="0.25"/>
    <row r="123" ht="16" customHeight="1" x14ac:dyDescent="0.25"/>
    <row r="124" ht="16" customHeight="1" x14ac:dyDescent="0.25"/>
    <row r="125" ht="16" customHeight="1" x14ac:dyDescent="0.25"/>
    <row r="126" ht="16" customHeight="1" x14ac:dyDescent="0.25"/>
    <row r="127" ht="16" customHeight="1" x14ac:dyDescent="0.25"/>
    <row r="128" ht="16" customHeight="1" x14ac:dyDescent="0.25"/>
    <row r="129" ht="16" customHeight="1" x14ac:dyDescent="0.25"/>
    <row r="130" ht="16" customHeight="1" x14ac:dyDescent="0.25"/>
    <row r="131" ht="16" customHeight="1" x14ac:dyDescent="0.25"/>
    <row r="132" ht="16" customHeight="1" x14ac:dyDescent="0.25"/>
    <row r="133" ht="16" customHeight="1" x14ac:dyDescent="0.25"/>
    <row r="134" ht="16" customHeight="1" x14ac:dyDescent="0.25"/>
    <row r="135" ht="16" customHeight="1" x14ac:dyDescent="0.25"/>
    <row r="136" ht="16" customHeight="1" x14ac:dyDescent="0.25"/>
    <row r="137" ht="16" customHeight="1" x14ac:dyDescent="0.25"/>
    <row r="138" ht="16" customHeight="1" x14ac:dyDescent="0.25"/>
    <row r="139" ht="16" customHeight="1" x14ac:dyDescent="0.25"/>
    <row r="140" ht="16" customHeight="1" x14ac:dyDescent="0.25"/>
    <row r="141" ht="16" customHeight="1" x14ac:dyDescent="0.25"/>
    <row r="142" ht="16" customHeight="1" x14ac:dyDescent="0.25"/>
    <row r="143" ht="16" customHeight="1" x14ac:dyDescent="0.25"/>
    <row r="144" ht="16" customHeight="1" x14ac:dyDescent="0.25"/>
    <row r="145" ht="16" customHeight="1" x14ac:dyDescent="0.25"/>
    <row r="146" ht="16" customHeight="1" x14ac:dyDescent="0.25"/>
    <row r="147" ht="16" customHeight="1" x14ac:dyDescent="0.25"/>
    <row r="148" ht="16" customHeight="1" x14ac:dyDescent="0.25"/>
    <row r="149" ht="16" customHeight="1" x14ac:dyDescent="0.25"/>
    <row r="150" ht="16" customHeight="1" x14ac:dyDescent="0.25"/>
    <row r="151" ht="16" customHeight="1" x14ac:dyDescent="0.25"/>
    <row r="152" ht="16" customHeight="1" x14ac:dyDescent="0.25"/>
    <row r="153" ht="16" customHeight="1" x14ac:dyDescent="0.25"/>
    <row r="154" ht="16" customHeight="1" x14ac:dyDescent="0.25"/>
    <row r="155" ht="16" customHeight="1" x14ac:dyDescent="0.25"/>
    <row r="156" ht="16" customHeight="1" x14ac:dyDescent="0.25"/>
    <row r="157" ht="16" customHeight="1" x14ac:dyDescent="0.25"/>
    <row r="158" ht="16" customHeight="1" x14ac:dyDescent="0.25"/>
    <row r="159" ht="16" customHeight="1" x14ac:dyDescent="0.25"/>
    <row r="160" ht="16" customHeight="1" x14ac:dyDescent="0.25"/>
    <row r="161" ht="16" customHeight="1" x14ac:dyDescent="0.25"/>
    <row r="162" ht="16" customHeight="1" x14ac:dyDescent="0.25"/>
    <row r="163" ht="16" customHeight="1" x14ac:dyDescent="0.25"/>
    <row r="164" ht="16" customHeight="1" x14ac:dyDescent="0.25"/>
    <row r="165" ht="16" customHeight="1" x14ac:dyDescent="0.25"/>
    <row r="166" ht="16" customHeight="1" x14ac:dyDescent="0.25"/>
    <row r="167" ht="16" customHeight="1" x14ac:dyDescent="0.25"/>
    <row r="168" ht="16" customHeight="1" x14ac:dyDescent="0.25"/>
    <row r="169" ht="16" customHeight="1" x14ac:dyDescent="0.25"/>
    <row r="170" ht="16" customHeight="1" x14ac:dyDescent="0.25"/>
    <row r="171" ht="16" customHeight="1" x14ac:dyDescent="0.25"/>
    <row r="172" ht="16" customHeight="1" x14ac:dyDescent="0.25"/>
    <row r="173" ht="16" customHeight="1" x14ac:dyDescent="0.25"/>
    <row r="174" ht="16" customHeight="1" x14ac:dyDescent="0.25"/>
    <row r="175" ht="16" customHeight="1" x14ac:dyDescent="0.25"/>
    <row r="176" ht="16" customHeight="1" x14ac:dyDescent="0.25"/>
    <row r="177" ht="16" customHeight="1" x14ac:dyDescent="0.25"/>
    <row r="178" ht="16" customHeight="1" x14ac:dyDescent="0.25"/>
    <row r="179" ht="16" customHeight="1" x14ac:dyDescent="0.25"/>
    <row r="180" ht="16" customHeight="1" x14ac:dyDescent="0.25"/>
    <row r="181" ht="16" customHeight="1" x14ac:dyDescent="0.25"/>
    <row r="182" ht="16" customHeight="1" x14ac:dyDescent="0.25"/>
    <row r="183" ht="16" customHeight="1" x14ac:dyDescent="0.25"/>
    <row r="184" ht="16" customHeight="1" x14ac:dyDescent="0.25"/>
    <row r="185" ht="16" customHeight="1" x14ac:dyDescent="0.25"/>
    <row r="186" ht="16" customHeight="1" x14ac:dyDescent="0.25"/>
    <row r="187" ht="16" customHeight="1" x14ac:dyDescent="0.25"/>
    <row r="188" ht="16" customHeight="1" x14ac:dyDescent="0.25"/>
    <row r="189" ht="16" customHeight="1" x14ac:dyDescent="0.25"/>
    <row r="190" ht="16" customHeight="1" x14ac:dyDescent="0.25"/>
    <row r="191" ht="16" customHeight="1" x14ac:dyDescent="0.25"/>
    <row r="192" ht="16" customHeight="1" x14ac:dyDescent="0.25"/>
    <row r="193" ht="16" customHeight="1" x14ac:dyDescent="0.25"/>
    <row r="194" ht="16" customHeight="1" x14ac:dyDescent="0.25"/>
    <row r="195" ht="16" customHeight="1" x14ac:dyDescent="0.25"/>
    <row r="196" ht="16" customHeight="1" x14ac:dyDescent="0.25"/>
    <row r="197" ht="16" customHeight="1" x14ac:dyDescent="0.25"/>
    <row r="198" ht="16" customHeight="1" x14ac:dyDescent="0.25"/>
    <row r="199" ht="16" customHeight="1" x14ac:dyDescent="0.25"/>
    <row r="200" ht="16" customHeight="1" x14ac:dyDescent="0.25"/>
    <row r="201" ht="16" customHeight="1" x14ac:dyDescent="0.25"/>
    <row r="202" ht="16" customHeight="1" x14ac:dyDescent="0.25"/>
    <row r="203" ht="16" customHeight="1" x14ac:dyDescent="0.25"/>
    <row r="204" ht="16" customHeight="1" x14ac:dyDescent="0.25"/>
    <row r="205" ht="16" customHeight="1" x14ac:dyDescent="0.25"/>
    <row r="206" ht="16" customHeight="1" x14ac:dyDescent="0.25"/>
    <row r="207" ht="16" customHeight="1" x14ac:dyDescent="0.25"/>
    <row r="208" ht="16" customHeight="1" x14ac:dyDescent="0.25"/>
    <row r="209" ht="16" customHeight="1" x14ac:dyDescent="0.25"/>
    <row r="210" ht="16" customHeight="1" x14ac:dyDescent="0.25"/>
    <row r="211" ht="16" customHeight="1" x14ac:dyDescent="0.25"/>
    <row r="212" ht="16" customHeight="1" x14ac:dyDescent="0.25"/>
    <row r="213" ht="16" customHeight="1" x14ac:dyDescent="0.25"/>
    <row r="214" ht="16" customHeight="1" x14ac:dyDescent="0.25"/>
    <row r="215" ht="16" customHeight="1" x14ac:dyDescent="0.25"/>
    <row r="216" ht="16" customHeight="1" x14ac:dyDescent="0.25"/>
    <row r="217" ht="16" customHeight="1" x14ac:dyDescent="0.25"/>
    <row r="218" ht="16" customHeight="1" x14ac:dyDescent="0.25"/>
    <row r="219" ht="16" customHeight="1" x14ac:dyDescent="0.25"/>
    <row r="220" ht="16" customHeight="1" x14ac:dyDescent="0.25"/>
    <row r="221" ht="16" customHeight="1" x14ac:dyDescent="0.25"/>
    <row r="222" ht="16" customHeight="1" x14ac:dyDescent="0.25"/>
    <row r="223" ht="16" customHeight="1" x14ac:dyDescent="0.25"/>
    <row r="224" ht="16" customHeight="1" x14ac:dyDescent="0.25"/>
    <row r="225" ht="16" customHeight="1" x14ac:dyDescent="0.25"/>
    <row r="226" ht="16" customHeight="1" x14ac:dyDescent="0.25"/>
    <row r="227" ht="16" customHeight="1" x14ac:dyDescent="0.25"/>
  </sheetData>
  <pageMargins left="0.7" right="0.7" top="0.75" bottom="0.75" header="0.3" footer="0.3"/>
  <pageSetup scale="91" orientation="portrait" r:id="rId1"/>
  <colBreaks count="1" manualBreakCount="1">
    <brk id="7" max="1048575" man="1"/>
  </colBreaks>
  <ignoredErrors>
    <ignoredError sqref="A43:A54" numberStoredAsText="1"/>
  </ignoredErrors>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M226"/>
  <sheetViews>
    <sheetView zoomScale="75" zoomScaleNormal="75" workbookViewId="0">
      <selection activeCell="H24" sqref="H24"/>
    </sheetView>
  </sheetViews>
  <sheetFormatPr defaultColWidth="9.1796875" defaultRowHeight="11.5" x14ac:dyDescent="0.25"/>
  <cols>
    <col min="1" max="1" width="5.7265625" style="187" customWidth="1"/>
    <col min="2" max="2" width="9" style="187" customWidth="1"/>
    <col min="3" max="3" width="26.7265625" style="187" customWidth="1"/>
    <col min="4" max="4" width="13.7265625" style="188" customWidth="1"/>
    <col min="5" max="5" width="16" style="189" customWidth="1"/>
    <col min="6" max="7" width="13.7265625" style="190" customWidth="1"/>
    <col min="8" max="8" width="13.54296875" style="190" customWidth="1"/>
    <col min="9" max="9" width="26.26953125" style="187" customWidth="1"/>
    <col min="10" max="10" width="11.453125" style="187" bestFit="1" customWidth="1"/>
    <col min="11" max="16384" width="9.1796875" style="187"/>
  </cols>
  <sheetData>
    <row r="1" spans="1:13" s="153" customFormat="1" ht="18" x14ac:dyDescent="0.4">
      <c r="A1" s="47" t="s">
        <v>610</v>
      </c>
      <c r="B1" s="159"/>
      <c r="C1" s="159"/>
      <c r="D1" s="160"/>
      <c r="E1" s="161"/>
      <c r="F1" s="162"/>
      <c r="G1" s="162"/>
      <c r="H1" s="162"/>
    </row>
    <row r="2" spans="1:13" s="153" customFormat="1" ht="15.5" x14ac:dyDescent="0.35">
      <c r="A2" s="53" t="s">
        <v>367</v>
      </c>
      <c r="B2" s="159"/>
      <c r="C2" s="159"/>
      <c r="D2" s="160"/>
      <c r="E2" s="161"/>
      <c r="F2" s="162"/>
      <c r="G2" s="162"/>
      <c r="H2" s="162"/>
    </row>
    <row r="3" spans="1:13" s="7" customFormat="1" ht="12.5" x14ac:dyDescent="0.25">
      <c r="D3" s="137"/>
      <c r="F3" s="138"/>
      <c r="G3" s="138"/>
      <c r="H3" s="163"/>
    </row>
    <row r="4" spans="1:13" s="7" customFormat="1" ht="12.5" x14ac:dyDescent="0.25">
      <c r="D4" s="137"/>
      <c r="E4" s="151"/>
      <c r="F4" s="138"/>
      <c r="G4" s="138"/>
      <c r="H4" s="163"/>
    </row>
    <row r="5" spans="1:13" s="148" customFormat="1" ht="14.15" customHeight="1" thickBot="1" x14ac:dyDescent="0.4">
      <c r="A5" s="182" t="s">
        <v>423</v>
      </c>
      <c r="B5" s="164"/>
      <c r="C5" s="164"/>
      <c r="D5" s="165"/>
      <c r="E5" s="183"/>
      <c r="F5" s="167"/>
      <c r="G5" s="167"/>
      <c r="H5"/>
    </row>
    <row r="6" spans="1:13" s="7" customFormat="1" ht="14.15" customHeight="1" x14ac:dyDescent="0.3">
      <c r="B6" s="1"/>
      <c r="C6" s="1"/>
      <c r="D6" s="137"/>
      <c r="E6" s="151"/>
      <c r="F6" s="163"/>
      <c r="G6" s="163"/>
    </row>
    <row r="7" spans="1:13" s="7" customFormat="1" ht="14.15" customHeight="1" x14ac:dyDescent="0.3">
      <c r="B7" s="1"/>
      <c r="C7" s="1"/>
      <c r="D7" s="41" t="str">
        <f>"(1)"</f>
        <v>(1)</v>
      </c>
      <c r="E7" s="31" t="str">
        <f>"(2)"</f>
        <v>(2)</v>
      </c>
      <c r="F7" s="31" t="str">
        <f>"(3)"</f>
        <v>(3)</v>
      </c>
      <c r="G7" s="31" t="str">
        <f>"(4)"</f>
        <v>(4)</v>
      </c>
      <c r="I7" s="8"/>
      <c r="J7"/>
      <c r="K7"/>
      <c r="L7"/>
      <c r="M7"/>
    </row>
    <row r="8" spans="1:13" s="7" customFormat="1" ht="14.15" customHeight="1" x14ac:dyDescent="0.3">
      <c r="D8" s="41"/>
      <c r="E8" s="31"/>
      <c r="F8" s="31"/>
      <c r="G8" s="181" t="s">
        <v>3</v>
      </c>
      <c r="I8" s="8"/>
      <c r="J8"/>
      <c r="K8"/>
      <c r="L8"/>
      <c r="M8"/>
    </row>
    <row r="9" spans="1:13" s="7" customFormat="1" ht="14.15" customHeight="1" x14ac:dyDescent="0.3">
      <c r="B9" s="1"/>
      <c r="D9" s="41" t="s">
        <v>12</v>
      </c>
      <c r="E9" s="31" t="s">
        <v>328</v>
      </c>
      <c r="F9" s="31" t="s">
        <v>329</v>
      </c>
      <c r="G9" s="181" t="s">
        <v>13</v>
      </c>
      <c r="I9" s="8"/>
      <c r="J9"/>
      <c r="K9"/>
      <c r="L9"/>
      <c r="M9"/>
    </row>
    <row r="10" spans="1:13" s="7" customFormat="1" ht="14.15" customHeight="1" x14ac:dyDescent="0.3">
      <c r="B10" s="36" t="s">
        <v>14</v>
      </c>
      <c r="C10" s="1"/>
      <c r="D10" s="43" t="s">
        <v>15</v>
      </c>
      <c r="E10" s="37" t="s">
        <v>15</v>
      </c>
      <c r="F10" s="37" t="s">
        <v>15</v>
      </c>
      <c r="G10" s="184" t="s">
        <v>15</v>
      </c>
      <c r="I10" s="8"/>
      <c r="J10"/>
      <c r="K10"/>
      <c r="L10"/>
      <c r="M10"/>
    </row>
    <row r="11" spans="1:13" s="7" customFormat="1" ht="14.15" customHeight="1" x14ac:dyDescent="0.3">
      <c r="B11" s="1"/>
      <c r="C11" s="1"/>
      <c r="D11" s="41"/>
      <c r="E11" s="31"/>
      <c r="F11" s="31"/>
      <c r="G11" s="181"/>
      <c r="I11" s="8"/>
      <c r="J11"/>
      <c r="K11"/>
      <c r="L11"/>
      <c r="M11"/>
    </row>
    <row r="12" spans="1:13" s="1" customFormat="1" ht="14.15" customHeight="1" x14ac:dyDescent="0.3">
      <c r="A12" s="172"/>
      <c r="B12" s="1" t="str">
        <f>'CRA ADJ UNIT COSTS'!C18</f>
        <v>Nonauto MADC</v>
      </c>
      <c r="D12" s="41">
        <f ca="1">'CRA ADJ UNIT COSTS'!D18</f>
        <v>32.578092969438579</v>
      </c>
      <c r="E12" s="41">
        <f ca="1">D12*'CRA ADJ UNIT COSTS'!$F$32</f>
        <v>85.474678655474222</v>
      </c>
      <c r="F12" s="41">
        <f>'CRA ADJ UNIT COSTS'!$F$8</f>
        <v>14.327695122433566</v>
      </c>
      <c r="G12" s="41">
        <f ca="1">E12+F12</f>
        <v>99.802373777907789</v>
      </c>
      <c r="I12" s="262"/>
      <c r="J12" s="262"/>
      <c r="K12" s="262"/>
      <c r="L12" s="262"/>
      <c r="M12"/>
    </row>
    <row r="13" spans="1:13" s="1" customFormat="1" ht="14.15" customHeight="1" x14ac:dyDescent="0.3">
      <c r="A13" s="172"/>
      <c r="D13" s="41"/>
      <c r="E13" s="41"/>
      <c r="F13" s="41"/>
      <c r="G13" s="41"/>
      <c r="H13" s="150"/>
      <c r="I13" s="262"/>
      <c r="J13" s="262"/>
      <c r="K13" s="262"/>
      <c r="L13" s="262"/>
      <c r="M13"/>
    </row>
    <row r="14" spans="1:13" s="1" customFormat="1" ht="14.15" customHeight="1" x14ac:dyDescent="0.3">
      <c r="A14" s="172"/>
      <c r="B14" s="1" t="str">
        <f>'CRA ADJ UNIT COSTS'!C19</f>
        <v>Nonauto ADC</v>
      </c>
      <c r="D14" s="41">
        <f ca="1">'CRA ADJ UNIT COSTS'!D19</f>
        <v>24.475448550971816</v>
      </c>
      <c r="E14" s="41">
        <f ca="1">D14*'CRA ADJ UNIT COSTS'!$F$32</f>
        <v>64.215885865555023</v>
      </c>
      <c r="F14" s="41">
        <f>'CRA ADJ UNIT COSTS'!$F$8</f>
        <v>14.327695122433566</v>
      </c>
      <c r="G14" s="41">
        <f ca="1">E14+F14</f>
        <v>78.543580987988591</v>
      </c>
      <c r="I14" s="262"/>
      <c r="J14" s="262"/>
      <c r="K14" s="262"/>
      <c r="L14" s="262"/>
      <c r="M14"/>
    </row>
    <row r="15" spans="1:13" s="1" customFormat="1" ht="14.15" customHeight="1" x14ac:dyDescent="0.3">
      <c r="A15" s="172"/>
      <c r="D15" s="41"/>
      <c r="E15" s="41"/>
      <c r="F15" s="41"/>
      <c r="G15" s="41"/>
      <c r="H15" s="150"/>
      <c r="I15" s="262"/>
      <c r="J15" s="262"/>
      <c r="K15" s="262"/>
      <c r="L15" s="262"/>
      <c r="M15"/>
    </row>
    <row r="16" spans="1:13" s="1" customFormat="1" ht="14.15" customHeight="1" x14ac:dyDescent="0.3">
      <c r="A16" s="172"/>
      <c r="B16" s="1" t="str">
        <f>'CRA ADJ UNIT COSTS'!C20</f>
        <v>Nonauto 3-Digit</v>
      </c>
      <c r="D16" s="41">
        <f ca="1">'CRA ADJ UNIT COSTS'!D20</f>
        <v>20.739663388735956</v>
      </c>
      <c r="E16" s="41">
        <f ca="1">D16*'CRA ADJ UNIT COSTS'!$F$32</f>
        <v>54.414359527977574</v>
      </c>
      <c r="F16" s="41">
        <f>'CRA ADJ UNIT COSTS'!$F$8</f>
        <v>14.327695122433566</v>
      </c>
      <c r="G16" s="41">
        <f ca="1">E16+F16</f>
        <v>68.742054650411134</v>
      </c>
      <c r="I16" s="262"/>
      <c r="J16" s="262"/>
      <c r="K16" s="262"/>
      <c r="L16" s="262"/>
      <c r="M16"/>
    </row>
    <row r="17" spans="1:13" s="1" customFormat="1" ht="14.15" customHeight="1" x14ac:dyDescent="0.3">
      <c r="A17" s="172"/>
      <c r="D17" s="41"/>
      <c r="E17" s="41"/>
      <c r="F17" s="41"/>
      <c r="G17" s="41"/>
      <c r="H17" s="150"/>
      <c r="I17" s="262"/>
      <c r="J17" s="262"/>
      <c r="K17" s="262"/>
      <c r="L17" s="262"/>
      <c r="M17"/>
    </row>
    <row r="18" spans="1:13" s="1" customFormat="1" ht="14.15" customHeight="1" x14ac:dyDescent="0.3">
      <c r="A18" s="172"/>
      <c r="B18" s="1" t="str">
        <f>'CRA ADJ UNIT COSTS'!C21</f>
        <v>Nonauto 5-Digit</v>
      </c>
      <c r="D18" s="41">
        <f ca="1">'CRA ADJ UNIT COSTS'!D21</f>
        <v>11.602841106492608</v>
      </c>
      <c r="E18" s="41">
        <f ca="1">D18*'CRA ADJ UNIT COSTS'!$F$32</f>
        <v>30.442209002176398</v>
      </c>
      <c r="F18" s="41">
        <f>'CRA ADJ UNIT COSTS'!$F$8</f>
        <v>14.327695122433566</v>
      </c>
      <c r="G18" s="41">
        <f ca="1">E18+F18</f>
        <v>44.769904124609965</v>
      </c>
      <c r="I18" s="262"/>
      <c r="J18" s="262"/>
      <c r="K18" s="262"/>
      <c r="L18" s="262"/>
      <c r="M18"/>
    </row>
    <row r="19" spans="1:13" s="1" customFormat="1" ht="14.15" customHeight="1" x14ac:dyDescent="0.3">
      <c r="A19" s="172"/>
      <c r="D19" s="41"/>
      <c r="E19" s="41"/>
      <c r="F19" s="41"/>
      <c r="G19" s="41"/>
      <c r="H19" s="150"/>
      <c r="I19" s="262"/>
      <c r="J19" s="262"/>
      <c r="K19" s="262"/>
      <c r="L19" s="262"/>
      <c r="M19"/>
    </row>
    <row r="20" spans="1:13" s="1" customFormat="1" ht="14.15" customHeight="1" x14ac:dyDescent="0.3">
      <c r="A20" s="172"/>
      <c r="B20" s="1" t="s">
        <v>499</v>
      </c>
      <c r="D20" s="41"/>
      <c r="E20" s="41"/>
      <c r="F20" s="41"/>
      <c r="G20" s="41"/>
      <c r="H20" s="150"/>
      <c r="I20" s="262"/>
      <c r="J20" s="262"/>
      <c r="K20" s="262"/>
      <c r="L20" s="262"/>
      <c r="M20"/>
    </row>
    <row r="21" spans="1:13" s="1" customFormat="1" ht="14.15" customHeight="1" x14ac:dyDescent="0.3">
      <c r="A21" s="172"/>
      <c r="D21" s="41"/>
      <c r="E21" s="41"/>
      <c r="F21" s="41"/>
      <c r="G21" s="41"/>
      <c r="H21" s="150"/>
      <c r="I21" s="262"/>
      <c r="J21" s="262"/>
      <c r="K21" s="262"/>
      <c r="L21" s="262"/>
      <c r="M21"/>
    </row>
    <row r="22" spans="1:13" s="1" customFormat="1" ht="14.15" customHeight="1" x14ac:dyDescent="0.3">
      <c r="A22" s="172"/>
      <c r="B22" s="1" t="s">
        <v>500</v>
      </c>
      <c r="D22" s="41"/>
      <c r="E22" s="41"/>
      <c r="F22" s="41"/>
      <c r="G22" s="41"/>
      <c r="H22" s="150"/>
      <c r="I22" s="262"/>
      <c r="J22" s="262"/>
      <c r="K22" s="262"/>
      <c r="L22" s="262"/>
      <c r="M22"/>
    </row>
    <row r="23" spans="1:13" s="1" customFormat="1" ht="14.15" customHeight="1" x14ac:dyDescent="0.3">
      <c r="A23" s="172"/>
      <c r="D23" s="41"/>
      <c r="E23" s="41"/>
      <c r="F23" s="41"/>
      <c r="G23" s="41"/>
      <c r="H23" s="150"/>
      <c r="I23" s="262"/>
      <c r="J23" s="262"/>
      <c r="K23" s="262"/>
      <c r="L23" s="262"/>
      <c r="M23"/>
    </row>
    <row r="24" spans="1:13" s="1" customFormat="1" ht="14.15" customHeight="1" x14ac:dyDescent="0.3">
      <c r="A24" s="172"/>
      <c r="B24" s="1" t="s">
        <v>335</v>
      </c>
      <c r="D24" s="41">
        <f ca="1">'MADC AUTO COST REV'!$K$79</f>
        <v>30.846266957630203</v>
      </c>
      <c r="E24" s="41">
        <f ca="1">D24*'CRA ADJ UNIT COSTS'!$F$32</f>
        <v>80.930911407177149</v>
      </c>
      <c r="F24" s="41">
        <f>'CRA ADJ UNIT COSTS'!$F$8</f>
        <v>14.327695122433566</v>
      </c>
      <c r="G24" s="41">
        <f ca="1">E24+F24</f>
        <v>95.258606529610717</v>
      </c>
      <c r="I24" s="262"/>
      <c r="J24" s="262"/>
      <c r="K24" s="262"/>
      <c r="L24" s="262"/>
      <c r="M24"/>
    </row>
    <row r="25" spans="1:13" s="1" customFormat="1" ht="14.15" customHeight="1" x14ac:dyDescent="0.3">
      <c r="A25" s="172"/>
      <c r="D25" s="41"/>
      <c r="E25" s="41"/>
      <c r="F25" s="41"/>
      <c r="G25" s="41"/>
      <c r="H25" s="150"/>
      <c r="I25" s="262"/>
      <c r="J25" s="262"/>
      <c r="K25" s="262"/>
      <c r="L25" s="262"/>
      <c r="M25"/>
    </row>
    <row r="26" spans="1:13" s="1" customFormat="1" ht="14.15" customHeight="1" x14ac:dyDescent="0.3">
      <c r="A26" s="172"/>
      <c r="B26" s="1" t="s">
        <v>336</v>
      </c>
      <c r="D26" s="41">
        <f ca="1">'ADC AUTO COST REV'!$K$79</f>
        <v>22.745121318148719</v>
      </c>
      <c r="E26" s="41">
        <f ca="1">D26*'CRA ADJ UNIT COSTS'!$F$32</f>
        <v>59.676050942341007</v>
      </c>
      <c r="F26" s="41">
        <f>'CRA ADJ UNIT COSTS'!$F$8</f>
        <v>14.327695122433566</v>
      </c>
      <c r="G26" s="41">
        <f ca="1">E26+F26</f>
        <v>74.003746064774575</v>
      </c>
      <c r="H26" s="150"/>
      <c r="I26" s="262"/>
      <c r="J26" s="262"/>
      <c r="K26" s="262"/>
      <c r="L26" s="262"/>
      <c r="M26"/>
    </row>
    <row r="27" spans="1:13" s="1" customFormat="1" ht="14.15" customHeight="1" x14ac:dyDescent="0.3">
      <c r="A27" s="172"/>
      <c r="D27" s="41"/>
      <c r="E27" s="41"/>
      <c r="F27" s="41"/>
      <c r="G27" s="41"/>
      <c r="H27" s="150"/>
      <c r="I27" s="262"/>
      <c r="J27" s="262"/>
      <c r="K27" s="262"/>
      <c r="L27" s="262"/>
      <c r="M27"/>
    </row>
    <row r="28" spans="1:13" s="1" customFormat="1" ht="14.15" customHeight="1" x14ac:dyDescent="0.3">
      <c r="B28" s="34" t="s">
        <v>337</v>
      </c>
      <c r="D28" s="41">
        <f ca="1">'3D AUTO COST REV'!$K$79</f>
        <v>18.966299288812127</v>
      </c>
      <c r="E28" s="41">
        <f ca="1">D28*'CRA ADJ UNIT COSTS'!$F$32</f>
        <v>49.761609389338766</v>
      </c>
      <c r="F28" s="41">
        <f>'CRA ADJ UNIT COSTS'!$F$8</f>
        <v>14.327695122433566</v>
      </c>
      <c r="G28" s="41">
        <f ca="1">E28+F28</f>
        <v>64.089304511772326</v>
      </c>
      <c r="H28" s="150"/>
      <c r="I28" s="1" t="s">
        <v>551</v>
      </c>
      <c r="J28" s="348"/>
      <c r="K28" s="262"/>
      <c r="L28" s="262"/>
      <c r="M28"/>
    </row>
    <row r="29" spans="1:13" s="1" customFormat="1" ht="14.15" customHeight="1" x14ac:dyDescent="0.3">
      <c r="B29" s="34"/>
      <c r="D29" s="41"/>
      <c r="E29" s="41"/>
      <c r="F29" s="41"/>
      <c r="G29" s="41"/>
      <c r="H29" s="150"/>
      <c r="I29" s="322"/>
      <c r="J29" s="348"/>
      <c r="K29" s="262"/>
      <c r="L29" s="262"/>
      <c r="M29"/>
    </row>
    <row r="30" spans="1:13" s="1" customFormat="1" ht="14.15" customHeight="1" x14ac:dyDescent="0.3">
      <c r="B30" s="34"/>
      <c r="C30" s="1" t="s">
        <v>562</v>
      </c>
      <c r="D30" s="41"/>
      <c r="E30" s="41"/>
      <c r="F30" s="41"/>
      <c r="G30" s="41"/>
      <c r="H30" s="150"/>
      <c r="I30" s="349" t="s">
        <v>552</v>
      </c>
      <c r="J30" s="348"/>
      <c r="K30" s="262"/>
      <c r="L30" s="262"/>
      <c r="M30"/>
    </row>
    <row r="31" spans="1:13" s="1" customFormat="1" ht="14.15" customHeight="1" x14ac:dyDescent="0.3">
      <c r="B31" s="34"/>
      <c r="C31" s="1" t="s">
        <v>563</v>
      </c>
      <c r="D31" s="41">
        <f ca="1">'3D AUTO COST REV NONFSS'!K79</f>
        <v>18.966299288812117</v>
      </c>
      <c r="E31" s="41">
        <f ca="1">D31*'CRA ADJ UNIT COSTS'!$F$32</f>
        <v>49.761609389338737</v>
      </c>
      <c r="F31" s="41">
        <f>'CRA ADJ UNIT COSTS'!$F$8</f>
        <v>14.327695122433566</v>
      </c>
      <c r="G31" s="41">
        <f ca="1">E31+F31</f>
        <v>64.089304511772298</v>
      </c>
      <c r="H31" s="150"/>
      <c r="I31" s="349" t="s">
        <v>553</v>
      </c>
      <c r="J31" s="348"/>
      <c r="K31" s="262"/>
      <c r="L31" s="262"/>
      <c r="M31"/>
    </row>
    <row r="32" spans="1:13" s="1" customFormat="1" ht="14.15" customHeight="1" x14ac:dyDescent="0.3">
      <c r="B32" s="34" t="s">
        <v>16</v>
      </c>
      <c r="D32" s="41"/>
      <c r="E32" s="41"/>
      <c r="F32" s="41"/>
      <c r="G32" s="41"/>
      <c r="H32" s="150"/>
      <c r="I32" s="349" t="s">
        <v>554</v>
      </c>
      <c r="J32" s="348">
        <f ca="1">G31-G33</f>
        <v>23.533745954526481</v>
      </c>
      <c r="L32" s="262"/>
      <c r="M32"/>
    </row>
    <row r="33" spans="1:13" s="7" customFormat="1" ht="14.15" customHeight="1" x14ac:dyDescent="0.3">
      <c r="B33" s="34" t="s">
        <v>561</v>
      </c>
      <c r="D33" s="41">
        <f ca="1">'5D AUTO COST REV'!$K$79</f>
        <v>9.9965719299528324</v>
      </c>
      <c r="E33" s="41">
        <f ca="1">D33*'CRA ADJ UNIT COSTS'!$F$32</f>
        <v>26.227863434812249</v>
      </c>
      <c r="F33" s="41">
        <f>'CRA ADJ UNIT COSTS'!$F$8</f>
        <v>14.327695122433566</v>
      </c>
      <c r="G33" s="41">
        <f ca="1">E33+F33</f>
        <v>40.555558557245817</v>
      </c>
      <c r="H33" s="178"/>
      <c r="I33" s="2"/>
      <c r="J33" s="348"/>
      <c r="K33" s="262"/>
      <c r="L33" s="262"/>
      <c r="M33"/>
    </row>
    <row r="34" spans="1:13" s="7" customFormat="1" ht="14.15" customHeight="1" x14ac:dyDescent="0.3">
      <c r="B34" s="34"/>
      <c r="D34" s="41"/>
      <c r="E34" s="41"/>
      <c r="F34" s="41"/>
      <c r="G34" s="41"/>
      <c r="H34" s="178"/>
      <c r="I34" s="224" t="s">
        <v>555</v>
      </c>
      <c r="J34" s="348">
        <f ca="1">J31*J28+(1-J28)*J32</f>
        <v>23.533745954526481</v>
      </c>
      <c r="K34"/>
      <c r="L34"/>
      <c r="M34"/>
    </row>
    <row r="35" spans="1:13" s="7" customFormat="1" ht="14.15" customHeight="1" x14ac:dyDescent="0.3">
      <c r="B35" s="34" t="s">
        <v>504</v>
      </c>
      <c r="D35" s="41"/>
      <c r="E35" s="41"/>
      <c r="F35" s="41"/>
      <c r="G35" s="41"/>
      <c r="H35" s="178"/>
      <c r="I35" s="262"/>
      <c r="J35"/>
      <c r="K35"/>
      <c r="L35"/>
      <c r="M35"/>
    </row>
    <row r="36" spans="1:13" s="7" customFormat="1" ht="14.15" customHeight="1" x14ac:dyDescent="0.3">
      <c r="B36" s="34"/>
      <c r="D36" s="41"/>
      <c r="E36" s="41"/>
      <c r="F36" s="41"/>
      <c r="G36" s="41"/>
      <c r="H36" s="178"/>
      <c r="I36" s="262"/>
      <c r="J36"/>
      <c r="K36"/>
      <c r="L36"/>
      <c r="M36"/>
    </row>
    <row r="37" spans="1:13" s="7" customFormat="1" ht="14.15" customHeight="1" x14ac:dyDescent="0.3">
      <c r="B37" s="34" t="s">
        <v>505</v>
      </c>
      <c r="D37" s="41"/>
      <c r="E37" s="41"/>
      <c r="F37" s="41"/>
      <c r="G37" s="41"/>
      <c r="H37" s="178"/>
      <c r="I37" s="262"/>
      <c r="J37"/>
      <c r="K37"/>
      <c r="L37"/>
      <c r="M37"/>
    </row>
    <row r="38" spans="1:13" s="7" customFormat="1" ht="14.15" customHeight="1" thickBot="1" x14ac:dyDescent="0.35">
      <c r="A38" s="175"/>
      <c r="B38" s="185"/>
      <c r="C38" s="175"/>
      <c r="D38" s="186"/>
      <c r="E38" s="186"/>
      <c r="F38" s="186"/>
      <c r="G38" s="186"/>
      <c r="I38" s="178"/>
    </row>
    <row r="39" spans="1:13" ht="14.15" customHeight="1" x14ac:dyDescent="0.25"/>
    <row r="40" spans="1:13" ht="14.15" customHeight="1" x14ac:dyDescent="0.25">
      <c r="A40" s="191" t="str">
        <f>"(1)"</f>
        <v>(1)</v>
      </c>
      <c r="B40" s="192" t="s">
        <v>17</v>
      </c>
    </row>
    <row r="41" spans="1:13" ht="14.15" customHeight="1" x14ac:dyDescent="0.25">
      <c r="A41" s="191" t="str">
        <f>"(2)"</f>
        <v>(2)</v>
      </c>
      <c r="B41" s="192" t="s">
        <v>383</v>
      </c>
      <c r="G41" s="315"/>
      <c r="H41" s="315"/>
    </row>
    <row r="42" spans="1:13" ht="14.15" customHeight="1" x14ac:dyDescent="0.25">
      <c r="A42" s="191" t="str">
        <f>"(3)"</f>
        <v>(3)</v>
      </c>
      <c r="B42" s="192" t="s">
        <v>384</v>
      </c>
      <c r="H42" s="314"/>
    </row>
    <row r="43" spans="1:13" ht="14.15" customHeight="1" x14ac:dyDescent="0.25">
      <c r="A43" s="191" t="str">
        <f>"(4)"</f>
        <v>(4)</v>
      </c>
      <c r="B43" s="192" t="s">
        <v>18</v>
      </c>
    </row>
    <row r="44" spans="1:13" ht="14.15" customHeight="1" x14ac:dyDescent="0.25">
      <c r="A44" s="191"/>
      <c r="B44" s="192"/>
    </row>
    <row r="45" spans="1:13" ht="14.15" customHeight="1" x14ac:dyDescent="0.25">
      <c r="A45" s="191"/>
      <c r="B45" s="192"/>
    </row>
    <row r="46" spans="1:13" ht="14.15" customHeight="1" x14ac:dyDescent="0.25">
      <c r="A46" s="191"/>
      <c r="B46" s="192"/>
    </row>
    <row r="47" spans="1:13" ht="14.15" customHeight="1" x14ac:dyDescent="0.25">
      <c r="A47" s="191"/>
      <c r="B47" s="192"/>
    </row>
    <row r="48" spans="1:13" ht="14.15" customHeight="1" x14ac:dyDescent="0.25">
      <c r="A48" s="191"/>
      <c r="B48" s="192"/>
    </row>
    <row r="49" spans="1:2" ht="14.15" customHeight="1" x14ac:dyDescent="0.25">
      <c r="A49" s="191"/>
      <c r="B49" s="192"/>
    </row>
    <row r="50" spans="1:2" ht="14.15" customHeight="1" x14ac:dyDescent="0.25">
      <c r="A50" s="191"/>
      <c r="B50" s="192"/>
    </row>
    <row r="51" spans="1:2" ht="14.15" customHeight="1" x14ac:dyDescent="0.25">
      <c r="A51" s="191"/>
      <c r="B51" s="192"/>
    </row>
    <row r="52" spans="1:2" ht="14.15" customHeight="1" x14ac:dyDescent="0.25">
      <c r="A52" s="191"/>
      <c r="B52" s="192"/>
    </row>
    <row r="53" spans="1:2" ht="14.15" customHeight="1" x14ac:dyDescent="0.25"/>
    <row r="54" spans="1:2" ht="14.15" customHeight="1" x14ac:dyDescent="0.25"/>
    <row r="55" spans="1:2" ht="14.15" customHeight="1" x14ac:dyDescent="0.25"/>
    <row r="56" spans="1:2" ht="14.15" customHeight="1" x14ac:dyDescent="0.25"/>
    <row r="57" spans="1:2" ht="14.15" customHeight="1" x14ac:dyDescent="0.25"/>
    <row r="58" spans="1:2" ht="14.15" customHeight="1" x14ac:dyDescent="0.25"/>
    <row r="59" spans="1:2" ht="14.15" customHeight="1" x14ac:dyDescent="0.25"/>
    <row r="60" spans="1:2" ht="14.15" customHeight="1" x14ac:dyDescent="0.25"/>
    <row r="61" spans="1:2" ht="14.15" customHeight="1" x14ac:dyDescent="0.25"/>
    <row r="62" spans="1:2" ht="14.15" customHeight="1" x14ac:dyDescent="0.25"/>
    <row r="63" spans="1:2" ht="14.15" customHeight="1" x14ac:dyDescent="0.25"/>
    <row r="64" spans="1:2" ht="14.15" customHeight="1" x14ac:dyDescent="0.25"/>
    <row r="65" ht="14.15" customHeight="1" x14ac:dyDescent="0.25"/>
    <row r="66" ht="14.15" customHeight="1" x14ac:dyDescent="0.25"/>
    <row r="67" ht="14.15" customHeight="1" x14ac:dyDescent="0.25"/>
    <row r="68" ht="14.15" customHeight="1" x14ac:dyDescent="0.25"/>
    <row r="69" ht="14.15" customHeight="1" x14ac:dyDescent="0.25"/>
    <row r="70" ht="14.15" customHeight="1" x14ac:dyDescent="0.25"/>
    <row r="71" ht="14.15" customHeight="1" x14ac:dyDescent="0.25"/>
    <row r="72" ht="14.15" customHeight="1" x14ac:dyDescent="0.25"/>
    <row r="73" ht="14.15" customHeight="1" x14ac:dyDescent="0.25"/>
    <row r="74" ht="14.15" customHeight="1" x14ac:dyDescent="0.25"/>
    <row r="75" ht="14.15" customHeight="1" x14ac:dyDescent="0.25"/>
    <row r="76" ht="14.15" customHeight="1" x14ac:dyDescent="0.25"/>
    <row r="77" ht="14.15" customHeight="1" x14ac:dyDescent="0.25"/>
    <row r="78" ht="14.15" customHeight="1" x14ac:dyDescent="0.25"/>
    <row r="79" ht="14.15" customHeight="1" x14ac:dyDescent="0.25"/>
    <row r="80" ht="14.15" customHeight="1" x14ac:dyDescent="0.25"/>
    <row r="81" ht="14.15" customHeight="1" x14ac:dyDescent="0.25"/>
    <row r="82" ht="14.15" customHeight="1" x14ac:dyDescent="0.25"/>
    <row r="83" ht="14.15" customHeight="1" x14ac:dyDescent="0.25"/>
    <row r="84" ht="14.15" customHeight="1" x14ac:dyDescent="0.25"/>
    <row r="85" ht="14.15" customHeight="1" x14ac:dyDescent="0.25"/>
    <row r="86" ht="14.15" customHeight="1" x14ac:dyDescent="0.25"/>
    <row r="87" ht="14.15" customHeight="1" x14ac:dyDescent="0.25"/>
    <row r="88" ht="14.15" customHeight="1" x14ac:dyDescent="0.25"/>
    <row r="89" ht="14.15" customHeight="1" x14ac:dyDescent="0.25"/>
    <row r="90" ht="14.15" customHeight="1" x14ac:dyDescent="0.25"/>
    <row r="91" ht="14.15" customHeight="1" x14ac:dyDescent="0.25"/>
    <row r="92" ht="14.15" customHeight="1" x14ac:dyDescent="0.25"/>
    <row r="93" ht="14.15" customHeight="1" x14ac:dyDescent="0.25"/>
    <row r="94" ht="14.15" customHeight="1" x14ac:dyDescent="0.25"/>
    <row r="95" ht="14.15" customHeight="1" x14ac:dyDescent="0.25"/>
    <row r="96" ht="14.15" customHeight="1" x14ac:dyDescent="0.25"/>
    <row r="97" ht="14.15" customHeight="1" x14ac:dyDescent="0.25"/>
    <row r="98" ht="14.15" customHeight="1" x14ac:dyDescent="0.25"/>
    <row r="99" ht="14.15" customHeight="1" x14ac:dyDescent="0.25"/>
    <row r="100" ht="14.15" customHeight="1" x14ac:dyDescent="0.25"/>
    <row r="101" ht="14.15" customHeight="1" x14ac:dyDescent="0.25"/>
    <row r="102" ht="14.15" customHeight="1" x14ac:dyDescent="0.25"/>
    <row r="103" ht="14.15" customHeight="1" x14ac:dyDescent="0.25"/>
    <row r="104" ht="14.15" customHeight="1" x14ac:dyDescent="0.25"/>
    <row r="105" ht="14.15" customHeight="1" x14ac:dyDescent="0.25"/>
    <row r="106" ht="14.15" customHeight="1" x14ac:dyDescent="0.25"/>
    <row r="107" ht="14.15" customHeight="1" x14ac:dyDescent="0.25"/>
    <row r="108" ht="14.15" customHeight="1" x14ac:dyDescent="0.25"/>
    <row r="109" ht="14.15" customHeight="1" x14ac:dyDescent="0.25"/>
    <row r="110" ht="14.15" customHeight="1" x14ac:dyDescent="0.25"/>
    <row r="111" ht="14.15" customHeight="1" x14ac:dyDescent="0.25"/>
    <row r="112" ht="14.15" customHeight="1" x14ac:dyDescent="0.25"/>
    <row r="113" ht="14.15" customHeight="1" x14ac:dyDescent="0.25"/>
    <row r="114" ht="14.15" customHeight="1" x14ac:dyDescent="0.25"/>
    <row r="115" ht="16" customHeight="1" x14ac:dyDescent="0.25"/>
    <row r="116" ht="16" customHeight="1" x14ac:dyDescent="0.25"/>
    <row r="117" ht="16" customHeight="1" x14ac:dyDescent="0.25"/>
    <row r="118" ht="16" customHeight="1" x14ac:dyDescent="0.25"/>
    <row r="119" ht="16" customHeight="1" x14ac:dyDescent="0.25"/>
    <row r="120" ht="16" customHeight="1" x14ac:dyDescent="0.25"/>
    <row r="121" ht="16" customHeight="1" x14ac:dyDescent="0.25"/>
    <row r="122" ht="16" customHeight="1" x14ac:dyDescent="0.25"/>
    <row r="123" ht="16" customHeight="1" x14ac:dyDescent="0.25"/>
    <row r="124" ht="16" customHeight="1" x14ac:dyDescent="0.25"/>
    <row r="125" ht="16" customHeight="1" x14ac:dyDescent="0.25"/>
    <row r="126" ht="16" customHeight="1" x14ac:dyDescent="0.25"/>
    <row r="127" ht="16" customHeight="1" x14ac:dyDescent="0.25"/>
    <row r="128" ht="16" customHeight="1" x14ac:dyDescent="0.25"/>
    <row r="129" ht="16" customHeight="1" x14ac:dyDescent="0.25"/>
    <row r="130" ht="16" customHeight="1" x14ac:dyDescent="0.25"/>
    <row r="131" ht="16" customHeight="1" x14ac:dyDescent="0.25"/>
    <row r="132" ht="16" customHeight="1" x14ac:dyDescent="0.25"/>
    <row r="133" ht="16" customHeight="1" x14ac:dyDescent="0.25"/>
    <row r="134" ht="16" customHeight="1" x14ac:dyDescent="0.25"/>
    <row r="135" ht="16" customHeight="1" x14ac:dyDescent="0.25"/>
    <row r="136" ht="16" customHeight="1" x14ac:dyDescent="0.25"/>
    <row r="137" ht="16" customHeight="1" x14ac:dyDescent="0.25"/>
    <row r="138" ht="16" customHeight="1" x14ac:dyDescent="0.25"/>
    <row r="139" ht="16" customHeight="1" x14ac:dyDescent="0.25"/>
    <row r="140" ht="16" customHeight="1" x14ac:dyDescent="0.25"/>
    <row r="141" ht="16" customHeight="1" x14ac:dyDescent="0.25"/>
    <row r="142" ht="16" customHeight="1" x14ac:dyDescent="0.25"/>
    <row r="143" ht="16" customHeight="1" x14ac:dyDescent="0.25"/>
    <row r="144" ht="16" customHeight="1" x14ac:dyDescent="0.25"/>
    <row r="145" ht="16" customHeight="1" x14ac:dyDescent="0.25"/>
    <row r="146" ht="16" customHeight="1" x14ac:dyDescent="0.25"/>
    <row r="147" ht="16" customHeight="1" x14ac:dyDescent="0.25"/>
    <row r="148" ht="16" customHeight="1" x14ac:dyDescent="0.25"/>
    <row r="149" ht="16" customHeight="1" x14ac:dyDescent="0.25"/>
    <row r="150" ht="16" customHeight="1" x14ac:dyDescent="0.25"/>
    <row r="151" ht="16" customHeight="1" x14ac:dyDescent="0.25"/>
    <row r="152" ht="16" customHeight="1" x14ac:dyDescent="0.25"/>
    <row r="153" ht="16" customHeight="1" x14ac:dyDescent="0.25"/>
    <row r="154" ht="16" customHeight="1" x14ac:dyDescent="0.25"/>
    <row r="155" ht="16" customHeight="1" x14ac:dyDescent="0.25"/>
    <row r="156" ht="16" customHeight="1" x14ac:dyDescent="0.25"/>
    <row r="157" ht="16" customHeight="1" x14ac:dyDescent="0.25"/>
    <row r="158" ht="16" customHeight="1" x14ac:dyDescent="0.25"/>
    <row r="159" ht="16" customHeight="1" x14ac:dyDescent="0.25"/>
    <row r="160" ht="16" customHeight="1" x14ac:dyDescent="0.25"/>
    <row r="161" ht="16" customHeight="1" x14ac:dyDescent="0.25"/>
    <row r="162" ht="16" customHeight="1" x14ac:dyDescent="0.25"/>
    <row r="163" ht="16" customHeight="1" x14ac:dyDescent="0.25"/>
    <row r="164" ht="16" customHeight="1" x14ac:dyDescent="0.25"/>
    <row r="165" ht="16" customHeight="1" x14ac:dyDescent="0.25"/>
    <row r="166" ht="16" customHeight="1" x14ac:dyDescent="0.25"/>
    <row r="167" ht="16" customHeight="1" x14ac:dyDescent="0.25"/>
    <row r="168" ht="16" customHeight="1" x14ac:dyDescent="0.25"/>
    <row r="169" ht="16" customHeight="1" x14ac:dyDescent="0.25"/>
    <row r="170" ht="16" customHeight="1" x14ac:dyDescent="0.25"/>
    <row r="171" ht="16" customHeight="1" x14ac:dyDescent="0.25"/>
    <row r="172" ht="16" customHeight="1" x14ac:dyDescent="0.25"/>
    <row r="173" ht="16" customHeight="1" x14ac:dyDescent="0.25"/>
    <row r="174" ht="16" customHeight="1" x14ac:dyDescent="0.25"/>
    <row r="175" ht="16" customHeight="1" x14ac:dyDescent="0.25"/>
    <row r="176" ht="16" customHeight="1" x14ac:dyDescent="0.25"/>
    <row r="177" ht="16" customHeight="1" x14ac:dyDescent="0.25"/>
    <row r="178" ht="16" customHeight="1" x14ac:dyDescent="0.25"/>
    <row r="179" ht="16" customHeight="1" x14ac:dyDescent="0.25"/>
    <row r="180" ht="16" customHeight="1" x14ac:dyDescent="0.25"/>
    <row r="181" ht="16" customHeight="1" x14ac:dyDescent="0.25"/>
    <row r="182" ht="16" customHeight="1" x14ac:dyDescent="0.25"/>
    <row r="183" ht="16" customHeight="1" x14ac:dyDescent="0.25"/>
    <row r="184" ht="16" customHeight="1" x14ac:dyDescent="0.25"/>
    <row r="185" ht="16" customHeight="1" x14ac:dyDescent="0.25"/>
    <row r="186" ht="16" customHeight="1" x14ac:dyDescent="0.25"/>
    <row r="187" ht="16" customHeight="1" x14ac:dyDescent="0.25"/>
    <row r="188" ht="16" customHeight="1" x14ac:dyDescent="0.25"/>
    <row r="189" ht="16" customHeight="1" x14ac:dyDescent="0.25"/>
    <row r="190" ht="16" customHeight="1" x14ac:dyDescent="0.25"/>
    <row r="191" ht="16" customHeight="1" x14ac:dyDescent="0.25"/>
    <row r="192" ht="16" customHeight="1" x14ac:dyDescent="0.25"/>
    <row r="193" ht="16" customHeight="1" x14ac:dyDescent="0.25"/>
    <row r="194" ht="16" customHeight="1" x14ac:dyDescent="0.25"/>
    <row r="195" ht="16" customHeight="1" x14ac:dyDescent="0.25"/>
    <row r="196" ht="16" customHeight="1" x14ac:dyDescent="0.25"/>
    <row r="197" ht="16" customHeight="1" x14ac:dyDescent="0.25"/>
    <row r="198" ht="16" customHeight="1" x14ac:dyDescent="0.25"/>
    <row r="199" ht="16" customHeight="1" x14ac:dyDescent="0.25"/>
    <row r="200" ht="16" customHeight="1" x14ac:dyDescent="0.25"/>
    <row r="201" ht="16" customHeight="1" x14ac:dyDescent="0.25"/>
    <row r="202" ht="16" customHeight="1" x14ac:dyDescent="0.25"/>
    <row r="203" ht="16" customHeight="1" x14ac:dyDescent="0.25"/>
    <row r="204" ht="16" customHeight="1" x14ac:dyDescent="0.25"/>
    <row r="205" ht="16" customHeight="1" x14ac:dyDescent="0.25"/>
    <row r="206" ht="16" customHeight="1" x14ac:dyDescent="0.25"/>
    <row r="207" ht="16" customHeight="1" x14ac:dyDescent="0.25"/>
    <row r="208" ht="16" customHeight="1" x14ac:dyDescent="0.25"/>
    <row r="209" ht="16" customHeight="1" x14ac:dyDescent="0.25"/>
    <row r="210" ht="16" customHeight="1" x14ac:dyDescent="0.25"/>
    <row r="211" ht="16" customHeight="1" x14ac:dyDescent="0.25"/>
    <row r="212" ht="16" customHeight="1" x14ac:dyDescent="0.25"/>
    <row r="213" ht="16" customHeight="1" x14ac:dyDescent="0.25"/>
    <row r="214" ht="16" customHeight="1" x14ac:dyDescent="0.25"/>
    <row r="215" ht="16" customHeight="1" x14ac:dyDescent="0.25"/>
    <row r="216" ht="16" customHeight="1" x14ac:dyDescent="0.25"/>
    <row r="217" ht="16" customHeight="1" x14ac:dyDescent="0.25"/>
    <row r="218" ht="16" customHeight="1" x14ac:dyDescent="0.25"/>
    <row r="219" ht="16" customHeight="1" x14ac:dyDescent="0.25"/>
    <row r="220" ht="16" customHeight="1" x14ac:dyDescent="0.25"/>
    <row r="221" ht="16" customHeight="1" x14ac:dyDescent="0.25"/>
    <row r="222" ht="16" customHeight="1" x14ac:dyDescent="0.25"/>
    <row r="223" ht="16" customHeight="1" x14ac:dyDescent="0.25"/>
    <row r="224" ht="16" customHeight="1" x14ac:dyDescent="0.25"/>
    <row r="225" ht="16" customHeight="1" x14ac:dyDescent="0.25"/>
    <row r="226" ht="16" customHeight="1" x14ac:dyDescent="0.25"/>
  </sheetData>
  <phoneticPr fontId="0" type="noConversion"/>
  <printOptions horizontalCentered="1"/>
  <pageMargins left="0.75" right="0.75" top="1" bottom="1" header="0.5" footer="0.5"/>
  <pageSetup scale="95" firstPageNumber="76" orientation="portrait" useFirstPageNumber="1" r:id="rId1"/>
  <headerFooter alignWithMargins="0">
    <oddFooter>&amp;CTab-'&amp;A'&amp;RPage 2</oddFooter>
  </headerFooter>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24"/>
  <sheetViews>
    <sheetView tabSelected="1" zoomScale="75" zoomScaleNormal="75" workbookViewId="0">
      <selection activeCell="F21" sqref="F21"/>
    </sheetView>
  </sheetViews>
  <sheetFormatPr defaultRowHeight="12.5" x14ac:dyDescent="0.25"/>
  <cols>
    <col min="2" max="2" width="7.7265625" customWidth="1"/>
    <col min="3" max="3" width="15.453125" customWidth="1"/>
    <col min="4" max="4" width="14.81640625" customWidth="1"/>
    <col min="5" max="5" width="16" customWidth="1"/>
    <col min="6" max="6" width="14.54296875" customWidth="1"/>
    <col min="7" max="7" width="6.1796875" customWidth="1"/>
    <col min="8" max="8" width="14.1796875" customWidth="1"/>
    <col min="9" max="9" width="11.7265625" customWidth="1"/>
    <col min="10" max="10" width="12.54296875" customWidth="1"/>
    <col min="13" max="13" width="22.7265625" customWidth="1"/>
    <col min="15" max="15" width="15.54296875" customWidth="1"/>
    <col min="16" max="19" width="16.453125" customWidth="1"/>
  </cols>
  <sheetData>
    <row r="2" spans="2:8" ht="16" thickBot="1" x14ac:dyDescent="0.4">
      <c r="B2" s="182" t="s">
        <v>423</v>
      </c>
      <c r="C2" s="164"/>
      <c r="D2" s="164"/>
      <c r="E2" s="183"/>
      <c r="F2" s="167"/>
      <c r="G2" s="168"/>
      <c r="H2" s="168"/>
    </row>
    <row r="3" spans="2:8" ht="13" x14ac:dyDescent="0.3">
      <c r="B3" s="7"/>
      <c r="C3" s="1"/>
      <c r="D3" s="1"/>
      <c r="E3" s="151"/>
      <c r="F3" s="163"/>
      <c r="G3" s="163"/>
      <c r="H3" s="7"/>
    </row>
    <row r="4" spans="2:8" ht="13" x14ac:dyDescent="0.3">
      <c r="B4" s="7"/>
      <c r="C4" s="7"/>
      <c r="D4" s="7"/>
      <c r="E4" s="31" t="s">
        <v>547</v>
      </c>
      <c r="G4" s="181"/>
      <c r="H4" s="7"/>
    </row>
    <row r="5" spans="2:8" ht="13" x14ac:dyDescent="0.3">
      <c r="B5" s="7"/>
      <c r="C5" s="1"/>
      <c r="D5" s="7"/>
      <c r="E5" s="31" t="s">
        <v>13</v>
      </c>
      <c r="G5" s="181"/>
      <c r="H5" s="7"/>
    </row>
    <row r="6" spans="2:8" ht="13" x14ac:dyDescent="0.3">
      <c r="B6" s="7"/>
      <c r="C6" s="36" t="s">
        <v>14</v>
      </c>
      <c r="D6" s="1"/>
      <c r="E6" s="37" t="s">
        <v>15</v>
      </c>
      <c r="G6" s="184"/>
      <c r="H6" s="184"/>
    </row>
    <row r="7" spans="2:8" ht="13" x14ac:dyDescent="0.3">
      <c r="B7" s="7"/>
      <c r="C7" s="1"/>
      <c r="D7" s="1"/>
      <c r="E7" s="31"/>
      <c r="G7" s="181"/>
      <c r="H7" s="7"/>
    </row>
    <row r="8" spans="2:8" ht="13" x14ac:dyDescent="0.3">
      <c r="B8" s="172"/>
      <c r="C8" s="1" t="s">
        <v>507</v>
      </c>
      <c r="D8" s="1"/>
      <c r="E8" s="41"/>
      <c r="G8" s="41"/>
      <c r="H8" s="351"/>
    </row>
    <row r="9" spans="2:8" ht="13" x14ac:dyDescent="0.3">
      <c r="B9" s="172"/>
      <c r="C9" s="1"/>
      <c r="D9" s="1" t="s">
        <v>548</v>
      </c>
      <c r="E9" s="41">
        <f ca="1">'CR CRA ADJ UNIT COSTS'!G33</f>
        <v>9.5808693825008042</v>
      </c>
      <c r="G9" s="41"/>
      <c r="H9" s="351"/>
    </row>
    <row r="10" spans="2:8" ht="13" x14ac:dyDescent="0.3">
      <c r="B10" s="172"/>
      <c r="C10" s="1"/>
      <c r="D10" s="1" t="s">
        <v>545</v>
      </c>
      <c r="E10" s="41"/>
      <c r="G10" s="41"/>
      <c r="H10" s="351"/>
    </row>
    <row r="11" spans="2:8" ht="13" x14ac:dyDescent="0.3">
      <c r="B11" s="172"/>
      <c r="C11" s="1"/>
      <c r="D11" s="1"/>
      <c r="E11" s="41"/>
      <c r="G11" s="41"/>
      <c r="H11" s="351"/>
    </row>
    <row r="12" spans="2:8" ht="13" x14ac:dyDescent="0.3">
      <c r="B12" s="172"/>
      <c r="C12" s="1" t="s">
        <v>512</v>
      </c>
      <c r="D12" s="1"/>
      <c r="E12" s="41"/>
      <c r="G12" s="41"/>
      <c r="H12" s="351"/>
    </row>
    <row r="13" spans="2:8" ht="13" x14ac:dyDescent="0.3">
      <c r="B13" s="172"/>
      <c r="C13" s="1"/>
      <c r="D13" s="1" t="s">
        <v>548</v>
      </c>
      <c r="E13" s="41">
        <f ca="1">'CR CRA ADJ UNIT COSTS'!G35</f>
        <v>5.0791326232554104</v>
      </c>
      <c r="G13" s="41"/>
      <c r="H13" s="351"/>
    </row>
    <row r="14" spans="2:8" ht="13" x14ac:dyDescent="0.3">
      <c r="B14" s="172"/>
      <c r="C14" s="1"/>
      <c r="D14" s="1" t="s">
        <v>471</v>
      </c>
      <c r="E14" s="41">
        <f>'CR CRA ADJ UNIT COSTS'!G39</f>
        <v>0</v>
      </c>
      <c r="G14" s="41"/>
      <c r="H14" s="351"/>
    </row>
    <row r="15" spans="2:8" ht="13.5" thickBot="1" x14ac:dyDescent="0.35">
      <c r="B15" s="175"/>
      <c r="C15" s="185"/>
      <c r="D15" s="175"/>
      <c r="E15" s="186"/>
      <c r="F15" s="186"/>
      <c r="G15" s="186"/>
      <c r="H15" s="186"/>
    </row>
    <row r="17" spans="2:10" ht="13" x14ac:dyDescent="0.3">
      <c r="B17" s="1" t="s">
        <v>564</v>
      </c>
      <c r="E17" s="31" t="s">
        <v>565</v>
      </c>
      <c r="F17" s="31" t="s">
        <v>566</v>
      </c>
    </row>
    <row r="18" spans="2:10" ht="13" x14ac:dyDescent="0.3">
      <c r="D18" s="1" t="s">
        <v>546</v>
      </c>
      <c r="E18" s="41">
        <f ca="1">E9-E13</f>
        <v>4.5017367592453938</v>
      </c>
      <c r="F18" s="347">
        <f>('CR CRA ADJ UNIT COSTS'!E18+'CR CRA ADJ UNIT COSTS'!E19)/'CR CRA ADJ UNIT COSTS'!E22</f>
        <v>1</v>
      </c>
    </row>
    <row r="19" spans="2:10" ht="13" x14ac:dyDescent="0.3">
      <c r="D19" s="1" t="s">
        <v>366</v>
      </c>
      <c r="E19" s="41"/>
      <c r="F19" s="347">
        <f>1-F18</f>
        <v>0</v>
      </c>
    </row>
    <row r="20" spans="2:10" ht="13" x14ac:dyDescent="0.3">
      <c r="E20" s="41"/>
    </row>
    <row r="21" spans="2:10" ht="13" x14ac:dyDescent="0.3">
      <c r="D21" s="1" t="s">
        <v>474</v>
      </c>
      <c r="E21" s="41">
        <f ca="1">E18*F18+E19*F19</f>
        <v>4.5017367592453938</v>
      </c>
      <c r="I21" s="247"/>
      <c r="J21" s="373"/>
    </row>
    <row r="22" spans="2:10" ht="13" thickBot="1" x14ac:dyDescent="0.3">
      <c r="B22" s="352"/>
      <c r="C22" s="352"/>
      <c r="D22" s="352"/>
      <c r="E22" s="352"/>
      <c r="F22" s="352"/>
      <c r="G22" s="352"/>
      <c r="H22" s="352"/>
    </row>
    <row r="24" spans="2:10" x14ac:dyDescent="0.25">
      <c r="E24" s="247"/>
    </row>
  </sheetData>
  <pageMargins left="0.7" right="0.7" top="0.75" bottom="0.75" header="0.3" footer="0.3"/>
  <pageSetup orientation="portrait" r:id="rId1"/>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Y84"/>
  <sheetViews>
    <sheetView zoomScale="115" zoomScaleNormal="115" workbookViewId="0"/>
  </sheetViews>
  <sheetFormatPr defaultRowHeight="12.5" x14ac:dyDescent="0.25"/>
  <cols>
    <col min="1" max="1" width="6.7265625" style="154" customWidth="1"/>
    <col min="2" max="2" width="12.7265625" style="155" customWidth="1"/>
    <col min="3" max="3" width="13.7265625" style="155" customWidth="1"/>
    <col min="4" max="4" width="7.7265625" style="133" customWidth="1"/>
    <col min="5" max="5" width="13.7265625" style="42" customWidth="1"/>
    <col min="6" max="6" width="3.453125" style="42" customWidth="1"/>
    <col min="7" max="8" width="13.7265625" style="133" customWidth="1"/>
    <col min="9" max="9" width="16.453125" customWidth="1"/>
    <col min="10" max="10" width="14.26953125" customWidth="1"/>
    <col min="11" max="11" width="11.7265625" bestFit="1" customWidth="1"/>
    <col min="13" max="13" width="6.26953125" customWidth="1"/>
    <col min="14" max="14" width="16" customWidth="1"/>
    <col min="15" max="15" width="12.54296875" bestFit="1" customWidth="1"/>
    <col min="16" max="16" width="1.7265625" customWidth="1"/>
    <col min="18" max="18" width="16.7265625" bestFit="1" customWidth="1"/>
    <col min="23" max="23" width="16" customWidth="1"/>
  </cols>
  <sheetData>
    <row r="1" spans="1:25" s="153" customFormat="1" ht="15.5" x14ac:dyDescent="0.35">
      <c r="A1" s="53" t="s">
        <v>576</v>
      </c>
      <c r="B1" s="52"/>
      <c r="C1" s="52"/>
      <c r="D1" s="152"/>
      <c r="E1" s="160"/>
      <c r="F1" s="160"/>
      <c r="G1" s="152"/>
      <c r="H1" s="152"/>
      <c r="R1"/>
      <c r="S1"/>
      <c r="T1"/>
      <c r="U1"/>
    </row>
    <row r="2" spans="1:25" s="153" customFormat="1" ht="14" x14ac:dyDescent="0.3">
      <c r="A2" s="34" t="s">
        <v>632</v>
      </c>
      <c r="B2" s="1"/>
      <c r="C2" s="1"/>
      <c r="D2" s="152"/>
      <c r="E2" s="160"/>
      <c r="F2" s="160"/>
      <c r="G2" s="152"/>
      <c r="H2" s="152"/>
      <c r="R2"/>
      <c r="S2"/>
      <c r="T2"/>
      <c r="U2"/>
    </row>
    <row r="3" spans="1:25" s="153" customFormat="1" ht="14" x14ac:dyDescent="0.3">
      <c r="A3" s="34"/>
      <c r="B3" s="1"/>
      <c r="C3" s="1"/>
      <c r="D3" s="152"/>
      <c r="E3" s="160"/>
      <c r="F3" s="160"/>
      <c r="R3"/>
      <c r="S3"/>
      <c r="T3"/>
      <c r="U3"/>
      <c r="V3"/>
      <c r="W3"/>
      <c r="X3"/>
      <c r="Y3"/>
    </row>
    <row r="4" spans="1:25" s="153" customFormat="1" ht="15.5" x14ac:dyDescent="0.35">
      <c r="A4" s="53"/>
      <c r="B4" s="52"/>
      <c r="C4" s="243"/>
      <c r="D4" s="152"/>
      <c r="E4" s="160"/>
      <c r="F4" s="160"/>
      <c r="G4" s="152"/>
      <c r="H4" s="152"/>
      <c r="J4"/>
      <c r="K4"/>
      <c r="L4"/>
      <c r="M4"/>
      <c r="N4"/>
      <c r="O4"/>
      <c r="P4"/>
      <c r="R4"/>
      <c r="S4"/>
      <c r="T4"/>
      <c r="U4"/>
      <c r="V4"/>
      <c r="W4"/>
      <c r="X4"/>
      <c r="Y4"/>
    </row>
    <row r="5" spans="1:25" ht="13" x14ac:dyDescent="0.3">
      <c r="D5" s="139"/>
      <c r="E5" s="41" t="s">
        <v>3</v>
      </c>
      <c r="F5" s="41"/>
      <c r="G5" s="34"/>
      <c r="H5" s="139"/>
      <c r="J5" s="237"/>
      <c r="K5" s="238"/>
      <c r="L5" s="237"/>
      <c r="M5" s="237"/>
      <c r="N5" s="245"/>
      <c r="P5" s="279"/>
    </row>
    <row r="6" spans="1:25" ht="13" x14ac:dyDescent="0.3">
      <c r="A6" s="156"/>
      <c r="B6" s="157"/>
      <c r="C6" s="157"/>
      <c r="D6" s="139"/>
      <c r="E6" s="158" t="s">
        <v>19</v>
      </c>
      <c r="F6" s="158"/>
      <c r="G6" s="139"/>
      <c r="H6" s="139"/>
    </row>
    <row r="7" spans="1:25" ht="14" x14ac:dyDescent="0.3">
      <c r="A7" s="156"/>
      <c r="B7" s="157"/>
      <c r="C7" s="157" t="s">
        <v>20</v>
      </c>
      <c r="D7" s="31"/>
      <c r="E7" s="41" t="s">
        <v>21</v>
      </c>
      <c r="F7" s="41"/>
      <c r="G7" s="229" t="s">
        <v>351</v>
      </c>
      <c r="H7" s="229"/>
      <c r="I7" s="33"/>
    </row>
    <row r="8" spans="1:25" ht="26.5" thickBot="1" x14ac:dyDescent="0.35">
      <c r="A8" s="37"/>
      <c r="B8" s="36" t="s">
        <v>22</v>
      </c>
      <c r="C8" s="36" t="s">
        <v>23</v>
      </c>
      <c r="D8" s="141"/>
      <c r="E8" s="43" t="s">
        <v>24</v>
      </c>
      <c r="F8" s="43"/>
      <c r="G8" s="230" t="s">
        <v>352</v>
      </c>
      <c r="H8" s="231" t="s">
        <v>353</v>
      </c>
      <c r="J8" s="31" t="s">
        <v>354</v>
      </c>
      <c r="K8" s="31" t="s">
        <v>355</v>
      </c>
    </row>
    <row r="9" spans="1:25" ht="13" thickTop="1" x14ac:dyDescent="0.25">
      <c r="O9" s="280"/>
    </row>
    <row r="10" spans="1:25" x14ac:dyDescent="0.25">
      <c r="B10"/>
      <c r="C10"/>
      <c r="E10" s="137"/>
      <c r="F10" s="137"/>
      <c r="G10" s="42"/>
      <c r="H10" s="42"/>
      <c r="I10">
        <v>1</v>
      </c>
      <c r="J10" s="233" t="s">
        <v>356</v>
      </c>
      <c r="K10" t="s">
        <v>328</v>
      </c>
    </row>
    <row r="11" spans="1:25" x14ac:dyDescent="0.25">
      <c r="B11" t="s">
        <v>29</v>
      </c>
      <c r="C11" s="232" t="s">
        <v>372</v>
      </c>
      <c r="D11" s="18">
        <f>IF($L$12=1,3,2)</f>
        <v>3</v>
      </c>
      <c r="E11" s="400">
        <f>'[1]FLAT Unit Costs W Final Adj'!$I$6</f>
        <v>0.46456847409270596</v>
      </c>
      <c r="F11" s="137"/>
      <c r="G11" s="42">
        <f>IF($L$12=1,$E11*G$84,"")</f>
        <v>0.33563338393579273</v>
      </c>
      <c r="H11" s="42">
        <f>IF($L$12=1,$E11*H$84,"")</f>
        <v>0.12893509015691321</v>
      </c>
      <c r="I11">
        <v>2</v>
      </c>
      <c r="J11" s="234" t="s">
        <v>357</v>
      </c>
      <c r="K11" t="s">
        <v>329</v>
      </c>
      <c r="N11" s="255"/>
      <c r="T11" s="303"/>
      <c r="U11" s="303"/>
    </row>
    <row r="12" spans="1:25" hidden="1" x14ac:dyDescent="0.25">
      <c r="B12"/>
      <c r="C12"/>
      <c r="D12" s="18"/>
      <c r="E12" s="400"/>
      <c r="F12" s="137"/>
      <c r="G12" s="42"/>
      <c r="H12" s="42"/>
      <c r="I12">
        <v>3</v>
      </c>
      <c r="J12" s="232" t="s">
        <v>358</v>
      </c>
      <c r="K12" t="str">
        <f>IF(L12=1,"Piggybacked","Non WS")</f>
        <v>Piggybacked</v>
      </c>
      <c r="L12" s="155">
        <v>1</v>
      </c>
      <c r="N12" s="255"/>
    </row>
    <row r="13" spans="1:25" x14ac:dyDescent="0.25">
      <c r="B13" t="s">
        <v>30</v>
      </c>
      <c r="C13" s="233" t="s">
        <v>159</v>
      </c>
      <c r="D13" s="18">
        <v>1</v>
      </c>
      <c r="E13" s="400">
        <f>'[1]FLAT Unit Costs W Final Adj'!I7</f>
        <v>17.34726999348268</v>
      </c>
      <c r="F13" s="137"/>
      <c r="G13" s="42">
        <f>E13</f>
        <v>17.34726999348268</v>
      </c>
      <c r="H13" s="42"/>
      <c r="I13">
        <v>4</v>
      </c>
      <c r="J13" s="366" t="s">
        <v>359</v>
      </c>
      <c r="K13" t="s">
        <v>360</v>
      </c>
      <c r="N13" s="255"/>
      <c r="T13" s="303"/>
      <c r="U13" s="303"/>
    </row>
    <row r="14" spans="1:25" x14ac:dyDescent="0.25">
      <c r="B14" t="s">
        <v>30</v>
      </c>
      <c r="C14" s="233" t="s">
        <v>366</v>
      </c>
      <c r="D14" s="18">
        <v>1</v>
      </c>
      <c r="E14" s="400">
        <v>0</v>
      </c>
      <c r="F14" s="137"/>
      <c r="G14" s="42">
        <f>E14</f>
        <v>0</v>
      </c>
      <c r="H14" s="42"/>
      <c r="N14" s="255"/>
      <c r="T14" s="303"/>
      <c r="U14" s="303"/>
    </row>
    <row r="15" spans="1:25" hidden="1" x14ac:dyDescent="0.25">
      <c r="B15"/>
      <c r="C15"/>
      <c r="D15" s="18"/>
      <c r="E15" s="400"/>
      <c r="F15" s="137"/>
      <c r="G15" s="42"/>
      <c r="H15" s="42"/>
      <c r="N15" s="255"/>
    </row>
    <row r="16" spans="1:25" hidden="1" x14ac:dyDescent="0.25">
      <c r="B16"/>
      <c r="C16"/>
      <c r="D16" s="18"/>
      <c r="E16" s="400"/>
      <c r="F16" s="137"/>
      <c r="G16" s="42"/>
      <c r="H16" s="42"/>
      <c r="N16" s="255"/>
    </row>
    <row r="17" spans="2:21" x14ac:dyDescent="0.25">
      <c r="B17" t="s">
        <v>31</v>
      </c>
      <c r="C17" s="233" t="s">
        <v>582</v>
      </c>
      <c r="D17" s="18">
        <v>1</v>
      </c>
      <c r="E17" s="400">
        <f>'[1]FLAT Unit Costs W Final Adj'!I9</f>
        <v>1.2796002773103492</v>
      </c>
      <c r="F17" s="137"/>
      <c r="G17" s="42">
        <f>E17</f>
        <v>1.2796002773103492</v>
      </c>
      <c r="H17" s="42"/>
      <c r="J17" t="s">
        <v>361</v>
      </c>
      <c r="N17" s="255"/>
      <c r="T17" s="303"/>
      <c r="U17" s="303"/>
    </row>
    <row r="18" spans="2:21" x14ac:dyDescent="0.25">
      <c r="B18" t="s">
        <v>31</v>
      </c>
      <c r="C18" s="233" t="s">
        <v>531</v>
      </c>
      <c r="D18" s="18">
        <v>1</v>
      </c>
      <c r="E18" s="400">
        <f>'[1]FLAT Unit Costs W Final Adj'!I10</f>
        <v>1.4458045798987789</v>
      </c>
      <c r="F18" s="137"/>
      <c r="G18" s="42">
        <f>E18</f>
        <v>1.4458045798987789</v>
      </c>
      <c r="H18" s="42"/>
      <c r="J18" t="s">
        <v>362</v>
      </c>
      <c r="N18" s="255"/>
      <c r="T18" s="303"/>
      <c r="U18" s="303"/>
    </row>
    <row r="19" spans="2:21" x14ac:dyDescent="0.25">
      <c r="B19" t="s">
        <v>583</v>
      </c>
      <c r="C19" s="366" t="s">
        <v>584</v>
      </c>
      <c r="D19" s="18">
        <v>4</v>
      </c>
      <c r="E19" s="400">
        <f>'[1]FLAT Unit Costs W Final Adj'!I11</f>
        <v>0.17689944284266218</v>
      </c>
      <c r="F19" s="137"/>
      <c r="G19" s="42">
        <f>$E19*G$84</f>
        <v>0.12780324522363293</v>
      </c>
      <c r="H19" s="42">
        <f>$E19*H$84</f>
        <v>4.9096197619029253E-2</v>
      </c>
      <c r="J19" t="s">
        <v>363</v>
      </c>
      <c r="N19" s="255"/>
      <c r="T19" s="303"/>
      <c r="U19" s="303"/>
    </row>
    <row r="20" spans="2:21" x14ac:dyDescent="0.25">
      <c r="B20" t="s">
        <v>583</v>
      </c>
      <c r="C20" s="366" t="s">
        <v>277</v>
      </c>
      <c r="D20" s="18">
        <v>4</v>
      </c>
      <c r="E20" s="400">
        <f>'[1]FLAT Unit Costs W Final Adj'!I12</f>
        <v>1.0619541557591072</v>
      </c>
      <c r="F20" s="137"/>
      <c r="G20" s="42">
        <f>$E20*G$84</f>
        <v>0.76722224334787947</v>
      </c>
      <c r="H20" s="42">
        <f>$E20*H$84</f>
        <v>0.29473191241122776</v>
      </c>
      <c r="N20" s="255"/>
      <c r="T20" s="303"/>
      <c r="U20" s="303"/>
    </row>
    <row r="21" spans="2:21" x14ac:dyDescent="0.25">
      <c r="B21" t="s">
        <v>32</v>
      </c>
      <c r="C21" s="233" t="s">
        <v>33</v>
      </c>
      <c r="D21" s="18">
        <v>1</v>
      </c>
      <c r="E21" s="400">
        <f>'[1]FLAT Unit Costs W Final Adj'!I13</f>
        <v>1.8117014778088425</v>
      </c>
      <c r="F21" s="137"/>
      <c r="G21" s="42">
        <f>E21</f>
        <v>1.8117014778088425</v>
      </c>
      <c r="H21" s="42"/>
      <c r="N21" s="255"/>
      <c r="T21" s="303"/>
      <c r="U21" s="303"/>
    </row>
    <row r="22" spans="2:21" x14ac:dyDescent="0.25">
      <c r="B22" t="s">
        <v>32</v>
      </c>
      <c r="C22" s="232" t="s">
        <v>34</v>
      </c>
      <c r="D22" s="18">
        <f>IF($L$12=1,3,2)</f>
        <v>3</v>
      </c>
      <c r="E22" s="400">
        <f>'[1]FLAT Unit Costs W Final Adj'!I14</f>
        <v>0.192663980565525</v>
      </c>
      <c r="F22" s="137"/>
      <c r="G22" s="42">
        <f t="shared" ref="G22:H25" si="0">IF($L$12=1,$E22*G$84,"")</f>
        <v>0.13919253536528822</v>
      </c>
      <c r="H22" s="42">
        <f t="shared" si="0"/>
        <v>5.3471445200236764E-2</v>
      </c>
      <c r="N22" s="255"/>
      <c r="T22" s="303"/>
      <c r="U22" s="303"/>
    </row>
    <row r="23" spans="2:21" x14ac:dyDescent="0.25">
      <c r="B23" t="s">
        <v>32</v>
      </c>
      <c r="C23" s="232" t="s">
        <v>35</v>
      </c>
      <c r="D23" s="18">
        <f>IF($L$12=1,3,2)</f>
        <v>3</v>
      </c>
      <c r="E23" s="400">
        <f>'[1]FLAT Unit Costs W Final Adj'!I15</f>
        <v>6.7393582174233224E-4</v>
      </c>
      <c r="F23" s="137"/>
      <c r="G23" s="42">
        <f t="shared" si="0"/>
        <v>4.8689347861729902E-4</v>
      </c>
      <c r="H23" s="42">
        <f t="shared" si="0"/>
        <v>1.8704234312503316E-4</v>
      </c>
      <c r="N23" s="255"/>
      <c r="T23" s="303"/>
      <c r="U23" s="303"/>
    </row>
    <row r="24" spans="2:21" x14ac:dyDescent="0.25">
      <c r="B24" t="s">
        <v>32</v>
      </c>
      <c r="C24" s="232" t="s">
        <v>36</v>
      </c>
      <c r="D24" s="18">
        <f>IF($L$12=1,3,2)</f>
        <v>3</v>
      </c>
      <c r="E24" s="400">
        <f>'[1]FLAT Unit Costs W Final Adj'!I16</f>
        <v>0.34872984188498896</v>
      </c>
      <c r="F24" s="137"/>
      <c r="G24" s="42">
        <f t="shared" si="0"/>
        <v>0.25194429548806629</v>
      </c>
      <c r="H24" s="42">
        <f t="shared" si="0"/>
        <v>9.678554639692262E-2</v>
      </c>
      <c r="N24" s="255"/>
      <c r="T24" s="303"/>
      <c r="U24" s="303"/>
    </row>
    <row r="25" spans="2:21" x14ac:dyDescent="0.25">
      <c r="B25" t="s">
        <v>37</v>
      </c>
      <c r="C25" s="232" t="s">
        <v>38</v>
      </c>
      <c r="D25" s="18">
        <f>IF($L$12=1,3,2)</f>
        <v>3</v>
      </c>
      <c r="E25" s="400">
        <f>'[1]FLAT Unit Costs W Final Adj'!I17</f>
        <v>6.8048880320834518E-2</v>
      </c>
      <c r="F25" s="137"/>
      <c r="G25" s="42">
        <f t="shared" si="0"/>
        <v>4.9162776315651975E-2</v>
      </c>
      <c r="H25" s="42">
        <f t="shared" si="0"/>
        <v>1.8886104005182539E-2</v>
      </c>
      <c r="N25" s="255"/>
      <c r="T25" s="303"/>
      <c r="U25" s="303"/>
    </row>
    <row r="26" spans="2:21" x14ac:dyDescent="0.25">
      <c r="B26" t="s">
        <v>39</v>
      </c>
      <c r="C26" s="234" t="s">
        <v>278</v>
      </c>
      <c r="D26" s="18">
        <v>2</v>
      </c>
      <c r="E26" s="400">
        <f>'[1]FLAT Unit Costs W Final Adj'!I18</f>
        <v>0.46011988913202917</v>
      </c>
      <c r="F26" s="137"/>
      <c r="G26" s="42"/>
      <c r="H26" s="42">
        <f>E26</f>
        <v>0.46011988913202917</v>
      </c>
      <c r="N26" s="255"/>
      <c r="T26" s="303"/>
      <c r="U26" s="303"/>
    </row>
    <row r="27" spans="2:21" x14ac:dyDescent="0.25">
      <c r="B27" t="s">
        <v>39</v>
      </c>
      <c r="C27" s="234" t="s">
        <v>279</v>
      </c>
      <c r="D27" s="18">
        <v>2</v>
      </c>
      <c r="E27" s="400">
        <f>'[1]FLAT Unit Costs W Final Adj'!I19</f>
        <v>0.41313959953934093</v>
      </c>
      <c r="F27" s="137"/>
      <c r="G27" s="42"/>
      <c r="H27" s="42">
        <f>E27</f>
        <v>0.41313959953934093</v>
      </c>
      <c r="N27" s="255"/>
      <c r="T27" s="303"/>
      <c r="U27" s="303"/>
    </row>
    <row r="28" spans="2:21" hidden="1" x14ac:dyDescent="0.25">
      <c r="B28"/>
      <c r="C28"/>
      <c r="D28" s="18"/>
      <c r="E28" s="400"/>
      <c r="F28" s="137"/>
      <c r="G28" s="42"/>
      <c r="H28" s="42"/>
      <c r="N28" s="255"/>
    </row>
    <row r="29" spans="2:21" x14ac:dyDescent="0.25">
      <c r="B29" t="s">
        <v>39</v>
      </c>
      <c r="C29" s="234" t="s">
        <v>280</v>
      </c>
      <c r="D29" s="18">
        <v>2</v>
      </c>
      <c r="E29" s="400">
        <f>'[1]FLAT Unit Costs W Final Adj'!I20</f>
        <v>0</v>
      </c>
      <c r="F29" s="137"/>
      <c r="G29" s="42"/>
      <c r="H29" s="42">
        <f>E29</f>
        <v>0</v>
      </c>
      <c r="N29" s="255"/>
      <c r="T29" s="303"/>
      <c r="U29" s="303"/>
    </row>
    <row r="30" spans="2:21" x14ac:dyDescent="0.25">
      <c r="B30" t="s">
        <v>39</v>
      </c>
      <c r="C30" s="234" t="s">
        <v>40</v>
      </c>
      <c r="D30" s="18">
        <v>2</v>
      </c>
      <c r="E30" s="400">
        <f>'[1]FLAT Unit Costs W Final Adj'!I21</f>
        <v>9.0130784258397309E-2</v>
      </c>
      <c r="F30" s="137"/>
      <c r="G30" s="42"/>
      <c r="H30" s="42">
        <f>E30</f>
        <v>9.0130784258397309E-2</v>
      </c>
      <c r="N30" s="255"/>
      <c r="T30" s="303"/>
      <c r="U30" s="303"/>
    </row>
    <row r="31" spans="2:21" x14ac:dyDescent="0.25">
      <c r="B31" t="s">
        <v>39</v>
      </c>
      <c r="C31" s="234" t="s">
        <v>41</v>
      </c>
      <c r="D31" s="18">
        <v>2</v>
      </c>
      <c r="E31" s="400">
        <f>'[1]FLAT Unit Costs W Final Adj'!I22</f>
        <v>0.55123463900057001</v>
      </c>
      <c r="F31" s="137"/>
      <c r="G31" s="42"/>
      <c r="H31" s="42">
        <f>E31</f>
        <v>0.55123463900057001</v>
      </c>
      <c r="N31" s="255"/>
      <c r="T31" s="303"/>
      <c r="U31" s="303"/>
    </row>
    <row r="32" spans="2:21" x14ac:dyDescent="0.25">
      <c r="B32" t="s">
        <v>39</v>
      </c>
      <c r="C32" s="366" t="s">
        <v>281</v>
      </c>
      <c r="D32" s="18">
        <v>4</v>
      </c>
      <c r="E32" s="400">
        <f>'[1]FLAT Unit Costs W Final Adj'!I23</f>
        <v>5.9631310679749215E-2</v>
      </c>
      <c r="F32" s="137"/>
      <c r="G32" s="42">
        <f>$E32*G$84</f>
        <v>4.3081396409987358E-2</v>
      </c>
      <c r="H32" s="42">
        <f>$E32*H$84</f>
        <v>1.6549914269761858E-2</v>
      </c>
      <c r="N32" s="255"/>
      <c r="T32" s="303"/>
      <c r="U32" s="303"/>
    </row>
    <row r="33" spans="2:21" x14ac:dyDescent="0.25">
      <c r="B33" t="s">
        <v>39</v>
      </c>
      <c r="C33" s="234" t="s">
        <v>42</v>
      </c>
      <c r="D33" s="18">
        <v>2</v>
      </c>
      <c r="E33" s="400">
        <f>'[1]FLAT Unit Costs W Final Adj'!I24</f>
        <v>5.188420144344021</v>
      </c>
      <c r="F33" s="137"/>
      <c r="G33" s="42"/>
      <c r="H33" s="42">
        <f>E33</f>
        <v>5.188420144344021</v>
      </c>
      <c r="N33" s="255"/>
      <c r="T33" s="303"/>
      <c r="U33" s="303"/>
    </row>
    <row r="34" spans="2:21" x14ac:dyDescent="0.25">
      <c r="B34" t="s">
        <v>39</v>
      </c>
      <c r="C34" s="234" t="s">
        <v>43</v>
      </c>
      <c r="D34" s="18">
        <v>2</v>
      </c>
      <c r="E34" s="400">
        <f>'[1]FLAT Unit Costs W Final Adj'!I25</f>
        <v>3.6359331650368851E-2</v>
      </c>
      <c r="F34" s="137"/>
      <c r="G34" s="42"/>
      <c r="H34" s="42">
        <f>E34</f>
        <v>3.6359331650368851E-2</v>
      </c>
      <c r="N34" s="255"/>
      <c r="T34" s="303"/>
      <c r="U34" s="303"/>
    </row>
    <row r="35" spans="2:21" x14ac:dyDescent="0.25">
      <c r="B35" t="s">
        <v>39</v>
      </c>
      <c r="C35" s="366" t="s">
        <v>282</v>
      </c>
      <c r="D35" s="18">
        <v>4</v>
      </c>
      <c r="E35" s="400">
        <f>'[1]FLAT Unit Costs W Final Adj'!I26</f>
        <v>3.3927873146276655E-2</v>
      </c>
      <c r="F35" s="137"/>
      <c r="G35" s="42">
        <f>$E35*G$84</f>
        <v>2.45116220941776E-2</v>
      </c>
      <c r="H35" s="42">
        <f>$E35*H$84</f>
        <v>9.4162510520990547E-3</v>
      </c>
      <c r="N35" s="255"/>
      <c r="T35" s="303"/>
      <c r="U35" s="303"/>
    </row>
    <row r="36" spans="2:21" x14ac:dyDescent="0.25">
      <c r="B36" t="s">
        <v>39</v>
      </c>
      <c r="C36" s="366" t="s">
        <v>44</v>
      </c>
      <c r="D36" s="18">
        <v>4</v>
      </c>
      <c r="E36" s="400">
        <f>'[1]FLAT Unit Costs W Final Adj'!I27</f>
        <v>6.492796865254985E-2</v>
      </c>
      <c r="F36" s="137"/>
      <c r="G36" s="42">
        <f>$E36*G$84</f>
        <v>4.6908034113790777E-2</v>
      </c>
      <c r="H36" s="42">
        <f>$E36*H$84</f>
        <v>1.8019934538759066E-2</v>
      </c>
      <c r="N36" s="255"/>
      <c r="T36" s="303"/>
      <c r="U36" s="303"/>
    </row>
    <row r="37" spans="2:21" x14ac:dyDescent="0.25">
      <c r="B37" t="s">
        <v>39</v>
      </c>
      <c r="C37" s="234" t="s">
        <v>45</v>
      </c>
      <c r="D37" s="18">
        <v>2</v>
      </c>
      <c r="E37" s="400">
        <f>'[1]FLAT Unit Costs W Final Adj'!I28</f>
        <v>0.2103564277352522</v>
      </c>
      <c r="F37" s="137"/>
      <c r="G37" s="42"/>
      <c r="H37" s="42">
        <f>E37</f>
        <v>0.2103564277352522</v>
      </c>
      <c r="N37" s="255"/>
      <c r="T37" s="303"/>
      <c r="U37" s="303"/>
    </row>
    <row r="38" spans="2:21" x14ac:dyDescent="0.25">
      <c r="B38" t="s">
        <v>46</v>
      </c>
      <c r="C38" s="234" t="s">
        <v>47</v>
      </c>
      <c r="D38" s="18">
        <v>2</v>
      </c>
      <c r="E38" s="400">
        <f>'[1]FLAT Unit Costs W Final Adj'!I29</f>
        <v>0</v>
      </c>
      <c r="F38" s="137"/>
      <c r="G38" s="42"/>
      <c r="H38" s="42">
        <f>E38</f>
        <v>0</v>
      </c>
      <c r="N38" s="255"/>
      <c r="T38" s="303"/>
      <c r="U38" s="303"/>
    </row>
    <row r="39" spans="2:21" x14ac:dyDescent="0.25">
      <c r="B39" t="s">
        <v>46</v>
      </c>
      <c r="C39" s="232" t="s">
        <v>48</v>
      </c>
      <c r="D39" s="18">
        <v>4</v>
      </c>
      <c r="E39" s="400">
        <f>'[1]FLAT Unit Costs W Final Adj'!I30</f>
        <v>5.3706310729997229E-2</v>
      </c>
      <c r="F39" s="137"/>
      <c r="G39" s="42">
        <f t="shared" ref="G39:H41" si="1">IF($L$12=1,$E39*G$84,"")</f>
        <v>3.880080507877743E-2</v>
      </c>
      <c r="H39" s="42">
        <f t="shared" si="1"/>
        <v>1.49055056512198E-2</v>
      </c>
      <c r="N39" s="255"/>
      <c r="T39" s="303"/>
      <c r="U39" s="303"/>
    </row>
    <row r="40" spans="2:21" hidden="1" x14ac:dyDescent="0.25">
      <c r="B40"/>
      <c r="C40"/>
      <c r="D40" s="18"/>
      <c r="E40" s="400"/>
      <c r="F40" s="137"/>
      <c r="G40" s="42"/>
      <c r="H40" s="42"/>
      <c r="N40" s="255"/>
    </row>
    <row r="41" spans="2:21" x14ac:dyDescent="0.25">
      <c r="B41" t="s">
        <v>46</v>
      </c>
      <c r="C41" s="232" t="s">
        <v>49</v>
      </c>
      <c r="D41" s="18">
        <v>4</v>
      </c>
      <c r="E41" s="400">
        <f>'[1]FLAT Unit Costs W Final Adj'!I31</f>
        <v>7.850915349228901E-3</v>
      </c>
      <c r="F41" s="137"/>
      <c r="G41" s="42">
        <f t="shared" si="1"/>
        <v>5.6719933284352063E-3</v>
      </c>
      <c r="H41" s="42">
        <f t="shared" si="1"/>
        <v>2.1789220207936947E-3</v>
      </c>
      <c r="N41" s="255"/>
      <c r="T41" s="303"/>
      <c r="U41" s="303"/>
    </row>
    <row r="42" spans="2:21" x14ac:dyDescent="0.25">
      <c r="B42" t="s">
        <v>46</v>
      </c>
      <c r="C42" s="234" t="s">
        <v>50</v>
      </c>
      <c r="D42" s="18">
        <v>2</v>
      </c>
      <c r="E42" s="400">
        <f>'[1]FLAT Unit Costs W Final Adj'!I32</f>
        <v>3.5919261231731371E-2</v>
      </c>
      <c r="F42" s="137"/>
      <c r="G42" s="42"/>
      <c r="H42" s="42">
        <f>E42</f>
        <v>3.5919261231731371E-2</v>
      </c>
      <c r="N42" s="255"/>
      <c r="T42" s="303"/>
      <c r="U42" s="303"/>
    </row>
    <row r="43" spans="2:21" x14ac:dyDescent="0.25">
      <c r="B43" t="s">
        <v>46</v>
      </c>
      <c r="C43" s="366" t="s">
        <v>51</v>
      </c>
      <c r="D43" s="18">
        <v>4</v>
      </c>
      <c r="E43" s="400">
        <f>'[1]FLAT Unit Costs W Final Adj'!I33</f>
        <v>0.3821840617918788</v>
      </c>
      <c r="F43" s="137"/>
      <c r="G43" s="42">
        <f t="shared" ref="G43:H45" si="2">$E43*G$84</f>
        <v>0.27611372079444418</v>
      </c>
      <c r="H43" s="42">
        <f t="shared" si="2"/>
        <v>0.10607034099743459</v>
      </c>
      <c r="N43" s="255"/>
      <c r="T43" s="303"/>
      <c r="U43" s="303"/>
    </row>
    <row r="44" spans="2:21" x14ac:dyDescent="0.25">
      <c r="B44" t="s">
        <v>46</v>
      </c>
      <c r="C44" s="366" t="s">
        <v>283</v>
      </c>
      <c r="D44" s="18">
        <v>4</v>
      </c>
      <c r="E44" s="400">
        <f>'[1]FLAT Unit Costs W Final Adj'!I34</f>
        <v>0.14869315378147496</v>
      </c>
      <c r="F44" s="137"/>
      <c r="G44" s="42">
        <f t="shared" si="2"/>
        <v>0.10742525409032103</v>
      </c>
      <c r="H44" s="42">
        <f t="shared" si="2"/>
        <v>4.1267899691153929E-2</v>
      </c>
      <c r="N44" s="255"/>
      <c r="T44" s="303"/>
      <c r="U44" s="303"/>
    </row>
    <row r="45" spans="2:21" x14ac:dyDescent="0.25">
      <c r="B45" t="s">
        <v>46</v>
      </c>
      <c r="C45" s="366" t="s">
        <v>284</v>
      </c>
      <c r="D45" s="18">
        <v>4</v>
      </c>
      <c r="E45" s="400">
        <f>'[1]FLAT Unit Costs W Final Adj'!I35</f>
        <v>0.1666877063025699</v>
      </c>
      <c r="F45" s="137"/>
      <c r="G45" s="42">
        <f t="shared" si="2"/>
        <v>0.12042564669522307</v>
      </c>
      <c r="H45" s="42">
        <f t="shared" si="2"/>
        <v>4.626205960734682E-2</v>
      </c>
      <c r="N45" s="255"/>
      <c r="T45" s="303"/>
      <c r="U45" s="303"/>
    </row>
    <row r="46" spans="2:21" x14ac:dyDescent="0.25">
      <c r="B46" t="s">
        <v>52</v>
      </c>
      <c r="C46" s="232" t="s">
        <v>285</v>
      </c>
      <c r="D46" s="18">
        <f>IF($L$12=1,3,2)</f>
        <v>3</v>
      </c>
      <c r="E46" s="400">
        <f>'[1]FLAT Unit Costs W Final Adj'!I36</f>
        <v>1.9088869156309338E-2</v>
      </c>
      <c r="F46" s="137"/>
      <c r="G46" s="42">
        <f>IF($L$12=1,$E46*G$84,"")</f>
        <v>1.37909955318259E-2</v>
      </c>
      <c r="H46" s="42">
        <f>IF($L$12=1,$E46*H$84,"")</f>
        <v>5.2978736244834379E-3</v>
      </c>
      <c r="N46" s="255"/>
      <c r="T46" s="303"/>
      <c r="U46" s="303"/>
    </row>
    <row r="47" spans="2:21" hidden="1" x14ac:dyDescent="0.25">
      <c r="B47"/>
      <c r="C47"/>
      <c r="D47" s="18"/>
      <c r="E47" s="400"/>
      <c r="F47" s="137"/>
      <c r="G47" s="42"/>
      <c r="H47" s="42"/>
      <c r="N47" s="255"/>
    </row>
    <row r="48" spans="2:21" hidden="1" x14ac:dyDescent="0.25">
      <c r="B48"/>
      <c r="C48"/>
      <c r="D48" s="18"/>
      <c r="E48" s="400"/>
      <c r="F48" s="137"/>
      <c r="G48" s="42"/>
      <c r="H48" s="42"/>
      <c r="N48" s="255"/>
    </row>
    <row r="49" spans="1:25" hidden="1" x14ac:dyDescent="0.25">
      <c r="B49"/>
      <c r="C49"/>
      <c r="D49" s="18"/>
      <c r="E49" s="400"/>
      <c r="F49" s="137"/>
      <c r="G49" s="42"/>
      <c r="H49" s="42"/>
      <c r="N49" s="255"/>
    </row>
    <row r="50" spans="1:25" hidden="1" x14ac:dyDescent="0.25">
      <c r="B50"/>
      <c r="C50"/>
      <c r="D50" s="18"/>
      <c r="E50" s="400"/>
      <c r="F50" s="137"/>
      <c r="G50" s="42"/>
      <c r="H50" s="42"/>
      <c r="N50" s="255"/>
    </row>
    <row r="51" spans="1:25" hidden="1" x14ac:dyDescent="0.25">
      <c r="B51"/>
      <c r="C51"/>
      <c r="D51" s="18"/>
      <c r="E51" s="400"/>
      <c r="F51" s="137"/>
      <c r="G51" s="42"/>
      <c r="H51" s="42"/>
      <c r="N51" s="255"/>
    </row>
    <row r="52" spans="1:25" hidden="1" x14ac:dyDescent="0.25">
      <c r="B52"/>
      <c r="C52"/>
      <c r="D52" s="18"/>
      <c r="E52" s="400"/>
      <c r="F52" s="137"/>
      <c r="G52" s="42"/>
      <c r="H52" s="42"/>
      <c r="N52" s="255"/>
    </row>
    <row r="53" spans="1:25" hidden="1" x14ac:dyDescent="0.25">
      <c r="B53"/>
      <c r="C53"/>
      <c r="D53" s="18"/>
      <c r="E53" s="400"/>
      <c r="F53" s="137"/>
      <c r="G53" s="42"/>
      <c r="H53" s="42"/>
      <c r="N53" s="255"/>
    </row>
    <row r="54" spans="1:25" hidden="1" x14ac:dyDescent="0.25">
      <c r="B54"/>
      <c r="C54"/>
      <c r="D54" s="18"/>
      <c r="E54" s="400"/>
      <c r="F54" s="137"/>
      <c r="G54" s="42"/>
      <c r="H54" s="42"/>
      <c r="N54" s="255"/>
    </row>
    <row r="55" spans="1:25" hidden="1" x14ac:dyDescent="0.25">
      <c r="B55"/>
      <c r="C55"/>
      <c r="D55" s="18"/>
      <c r="E55" s="400"/>
      <c r="F55" s="137"/>
      <c r="G55" s="42"/>
      <c r="H55" s="42"/>
      <c r="N55" s="255"/>
    </row>
    <row r="56" spans="1:25" hidden="1" x14ac:dyDescent="0.25">
      <c r="B56"/>
      <c r="C56"/>
      <c r="D56" s="18"/>
      <c r="E56" s="400"/>
      <c r="F56" s="137"/>
      <c r="G56" s="42"/>
      <c r="H56" s="42"/>
      <c r="N56" s="255"/>
    </row>
    <row r="57" spans="1:25" hidden="1" x14ac:dyDescent="0.25">
      <c r="B57"/>
      <c r="C57"/>
      <c r="D57" s="18"/>
      <c r="E57" s="400"/>
      <c r="F57" s="137"/>
      <c r="G57" s="42"/>
      <c r="H57" s="42"/>
      <c r="N57" s="255"/>
    </row>
    <row r="58" spans="1:25" x14ac:dyDescent="0.25">
      <c r="B58" t="s">
        <v>430</v>
      </c>
      <c r="C58" s="233" t="s">
        <v>366</v>
      </c>
      <c r="D58" s="18">
        <v>1</v>
      </c>
      <c r="E58" s="400">
        <v>0</v>
      </c>
      <c r="F58" s="137"/>
      <c r="G58" s="42">
        <f>E58</f>
        <v>0</v>
      </c>
      <c r="H58" s="42"/>
      <c r="N58" s="255"/>
      <c r="T58" s="303"/>
      <c r="U58" s="303"/>
    </row>
    <row r="59" spans="1:25" x14ac:dyDescent="0.25">
      <c r="B59" s="155" t="s">
        <v>430</v>
      </c>
      <c r="C59" s="232" t="s">
        <v>35</v>
      </c>
      <c r="D59" s="18">
        <f t="shared" ref="D59:D66" si="3">IF($L$12=1,3,2)</f>
        <v>3</v>
      </c>
      <c r="E59" s="400">
        <f>'[1]FLAT Unit Costs W Final Adj'!$I$38</f>
        <v>1.7436644443068474E-3</v>
      </c>
      <c r="G59" s="42">
        <f t="shared" ref="G59:H66" si="4">IF($L$12=1,$E59*G$84,"")</f>
        <v>1.2597324840739109E-3</v>
      </c>
      <c r="H59" s="42">
        <f t="shared" si="4"/>
        <v>4.839319602329364E-4</v>
      </c>
      <c r="N59" s="255"/>
      <c r="T59" s="303"/>
      <c r="U59" s="303"/>
    </row>
    <row r="60" spans="1:25" hidden="1" x14ac:dyDescent="0.25">
      <c r="C60"/>
      <c r="D60" s="18"/>
      <c r="E60" s="400"/>
      <c r="F60" s="137"/>
      <c r="G60" s="42"/>
      <c r="H60" s="42"/>
      <c r="N60" s="255"/>
    </row>
    <row r="61" spans="1:25" x14ac:dyDescent="0.25">
      <c r="B61" s="155" t="s">
        <v>430</v>
      </c>
      <c r="C61" s="232" t="s">
        <v>25</v>
      </c>
      <c r="D61" s="18">
        <f t="shared" si="3"/>
        <v>3</v>
      </c>
      <c r="E61" s="400">
        <f>'[1]FLAT Unit Costs W Final Adj'!I39</f>
        <v>0.74865900851532075</v>
      </c>
      <c r="F61" s="137"/>
      <c r="G61" s="42">
        <f t="shared" si="4"/>
        <v>0.54087819224657496</v>
      </c>
      <c r="H61" s="42">
        <f t="shared" si="4"/>
        <v>0.20778081626874578</v>
      </c>
      <c r="N61" s="255"/>
      <c r="T61" s="303"/>
      <c r="U61" s="303"/>
    </row>
    <row r="62" spans="1:25" x14ac:dyDescent="0.25">
      <c r="B62" s="155" t="s">
        <v>430</v>
      </c>
      <c r="C62" s="232" t="s">
        <v>26</v>
      </c>
      <c r="D62" s="18">
        <f t="shared" si="3"/>
        <v>3</v>
      </c>
      <c r="E62" s="400">
        <f>'[1]FLAT Unit Costs W Final Adj'!I40</f>
        <v>1.1880196877723526</v>
      </c>
      <c r="F62" s="137"/>
      <c r="G62" s="42">
        <f t="shared" si="4"/>
        <v>0.85829988521737077</v>
      </c>
      <c r="H62" s="42">
        <f t="shared" si="4"/>
        <v>0.32971980255498173</v>
      </c>
      <c r="N62" s="255"/>
      <c r="T62" s="303"/>
      <c r="U62" s="303"/>
    </row>
    <row r="63" spans="1:25" s="7" customFormat="1" x14ac:dyDescent="0.25">
      <c r="A63" s="154"/>
      <c r="B63" s="155" t="s">
        <v>430</v>
      </c>
      <c r="C63" s="232" t="s">
        <v>27</v>
      </c>
      <c r="D63" s="18">
        <f t="shared" si="3"/>
        <v>3</v>
      </c>
      <c r="E63" s="400">
        <f>'[1]FLAT Unit Costs W Final Adj'!I41</f>
        <v>0.14652411865580353</v>
      </c>
      <c r="F63" s="137"/>
      <c r="G63" s="42">
        <f t="shared" si="4"/>
        <v>0.10585820716461976</v>
      </c>
      <c r="H63" s="42">
        <f t="shared" si="4"/>
        <v>4.0665911491183759E-2</v>
      </c>
      <c r="I63"/>
      <c r="M63"/>
      <c r="N63" s="255"/>
      <c r="P63"/>
      <c r="Q63"/>
      <c r="R63"/>
      <c r="S63"/>
      <c r="T63" s="303"/>
      <c r="U63" s="303"/>
      <c r="V63"/>
      <c r="W63"/>
      <c r="X63"/>
      <c r="Y63"/>
    </row>
    <row r="64" spans="1:25" s="157" customFormat="1" ht="13" x14ac:dyDescent="0.3">
      <c r="A64" s="154"/>
      <c r="B64" s="155" t="s">
        <v>430</v>
      </c>
      <c r="C64" s="232" t="s">
        <v>532</v>
      </c>
      <c r="D64" s="18">
        <f t="shared" si="3"/>
        <v>3</v>
      </c>
      <c r="E64" s="400">
        <f>'[1]FLAT Unit Costs W Final Adj'!I42</f>
        <v>0.56112607959966732</v>
      </c>
      <c r="F64" s="137"/>
      <c r="G64" s="42">
        <f t="shared" si="4"/>
        <v>0.40539265019752291</v>
      </c>
      <c r="H64" s="42">
        <f t="shared" si="4"/>
        <v>0.15573342940214438</v>
      </c>
      <c r="I64" s="7"/>
      <c r="M64"/>
      <c r="N64" s="255"/>
      <c r="P64"/>
      <c r="Q64"/>
      <c r="R64"/>
      <c r="S64"/>
      <c r="T64" s="303"/>
      <c r="U64" s="303"/>
      <c r="V64"/>
      <c r="W64"/>
      <c r="X64"/>
      <c r="Y64"/>
    </row>
    <row r="65" spans="1:25" s="1" customFormat="1" ht="13" x14ac:dyDescent="0.3">
      <c r="A65" s="154"/>
      <c r="B65" s="155" t="s">
        <v>430</v>
      </c>
      <c r="C65" s="232" t="s">
        <v>28</v>
      </c>
      <c r="D65" s="18">
        <f t="shared" si="3"/>
        <v>3</v>
      </c>
      <c r="E65" s="400">
        <f>'[1]FLAT Unit Costs W Final Adj'!I43</f>
        <v>0</v>
      </c>
      <c r="F65" s="137"/>
      <c r="G65" s="42">
        <f t="shared" si="4"/>
        <v>0</v>
      </c>
      <c r="H65" s="42">
        <f t="shared" si="4"/>
        <v>0</v>
      </c>
      <c r="I65" s="157"/>
      <c r="M65"/>
      <c r="N65" s="255"/>
      <c r="P65"/>
      <c r="Q65"/>
      <c r="R65"/>
      <c r="S65"/>
      <c r="T65" s="303"/>
      <c r="U65" s="303"/>
      <c r="V65"/>
      <c r="W65"/>
      <c r="X65"/>
      <c r="Y65"/>
    </row>
    <row r="66" spans="1:25" x14ac:dyDescent="0.25">
      <c r="B66" s="155" t="s">
        <v>430</v>
      </c>
      <c r="C66" s="232" t="s">
        <v>371</v>
      </c>
      <c r="D66" s="18">
        <f t="shared" si="3"/>
        <v>3</v>
      </c>
      <c r="E66" s="400">
        <f>'[1]FLAT Unit Costs W Final Adj'!I44</f>
        <v>3.2207184623216548E-2</v>
      </c>
      <c r="G66" s="42">
        <f t="shared" si="4"/>
        <v>2.326848885569853E-2</v>
      </c>
      <c r="H66" s="42">
        <f t="shared" si="4"/>
        <v>8.9386957675180161E-3</v>
      </c>
      <c r="N66" s="255"/>
      <c r="T66" s="303"/>
      <c r="U66" s="303"/>
    </row>
    <row r="67" spans="1:25" ht="13" x14ac:dyDescent="0.3">
      <c r="B67" t="s">
        <v>431</v>
      </c>
      <c r="C67" s="234" t="s">
        <v>53</v>
      </c>
      <c r="D67" s="18">
        <v>2</v>
      </c>
      <c r="E67" s="400">
        <f>'[1]FLAT Unit Costs W Final Adj'!I45</f>
        <v>4.7043754399048163</v>
      </c>
      <c r="F67" s="137"/>
      <c r="G67" s="42"/>
      <c r="H67" s="42">
        <f>E67</f>
        <v>4.7043754399048163</v>
      </c>
      <c r="I67" s="1"/>
      <c r="N67" s="255"/>
      <c r="T67" s="303"/>
      <c r="U67" s="303"/>
    </row>
    <row r="68" spans="1:25" x14ac:dyDescent="0.25">
      <c r="B68" t="s">
        <v>431</v>
      </c>
      <c r="C68" s="233" t="s">
        <v>373</v>
      </c>
      <c r="D68" s="18">
        <v>1</v>
      </c>
      <c r="E68" s="400">
        <f>'[1]FLAT Unit Costs W Final Adj'!I46</f>
        <v>8.8846928818711937E-2</v>
      </c>
      <c r="F68" s="137"/>
      <c r="G68" s="42">
        <f>E68</f>
        <v>8.8846928818711937E-2</v>
      </c>
      <c r="H68" s="42"/>
      <c r="N68" s="255"/>
      <c r="T68" s="303"/>
      <c r="U68" s="303"/>
    </row>
    <row r="69" spans="1:25" x14ac:dyDescent="0.25">
      <c r="B69" t="s">
        <v>431</v>
      </c>
      <c r="C69" s="277" t="s">
        <v>432</v>
      </c>
      <c r="D69" s="18">
        <v>2</v>
      </c>
      <c r="E69" s="400">
        <f>'[1]FLAT Unit Costs W Final Adj'!I47</f>
        <v>0.24381421779315393</v>
      </c>
      <c r="H69" s="42">
        <f>E69</f>
        <v>0.24381421779315393</v>
      </c>
      <c r="N69" s="255"/>
      <c r="T69" s="303"/>
      <c r="U69" s="303"/>
    </row>
    <row r="70" spans="1:25" x14ac:dyDescent="0.25">
      <c r="B70" t="s">
        <v>431</v>
      </c>
      <c r="C70" s="278" t="s">
        <v>47</v>
      </c>
      <c r="D70" s="18">
        <v>1</v>
      </c>
      <c r="E70" s="400">
        <f>'[1]FLAT Unit Costs W Final Adj'!I48</f>
        <v>2.2103174137718864E-2</v>
      </c>
      <c r="G70" s="42">
        <f>E70</f>
        <v>2.2103174137718864E-2</v>
      </c>
      <c r="N70" s="255"/>
      <c r="T70" s="303"/>
      <c r="U70" s="303"/>
    </row>
    <row r="71" spans="1:25" x14ac:dyDescent="0.25">
      <c r="B71" t="s">
        <v>431</v>
      </c>
      <c r="C71" s="277" t="s">
        <v>433</v>
      </c>
      <c r="D71" s="18">
        <v>2</v>
      </c>
      <c r="E71" s="400">
        <f>'[1]FLAT Unit Costs W Final Adj'!I49</f>
        <v>0.27879035752422787</v>
      </c>
      <c r="H71" s="42">
        <f>E71</f>
        <v>0.27879035752422787</v>
      </c>
      <c r="N71" s="255"/>
      <c r="T71" s="303"/>
      <c r="U71" s="303"/>
    </row>
    <row r="72" spans="1:25" x14ac:dyDescent="0.25">
      <c r="B72" t="s">
        <v>431</v>
      </c>
      <c r="C72" s="278" t="s">
        <v>434</v>
      </c>
      <c r="D72" s="18">
        <v>1</v>
      </c>
      <c r="E72" s="400">
        <f>'[1]FLAT Unit Costs W Final Adj'!I50</f>
        <v>2.48971640778093</v>
      </c>
      <c r="G72" s="42">
        <f>E72</f>
        <v>2.48971640778093</v>
      </c>
      <c r="H72" s="42"/>
      <c r="N72" s="255"/>
      <c r="T72" s="303"/>
      <c r="U72" s="303"/>
    </row>
    <row r="73" spans="1:25" x14ac:dyDescent="0.25">
      <c r="B73" t="s">
        <v>431</v>
      </c>
      <c r="C73" s="232" t="s">
        <v>48</v>
      </c>
      <c r="D73" s="18">
        <f>IF($L$12=1,3,2)</f>
        <v>3</v>
      </c>
      <c r="E73" s="400">
        <f>'[1]FLAT Unit Costs W Final Adj'!I51</f>
        <v>0</v>
      </c>
      <c r="F73" s="137"/>
      <c r="G73" s="42">
        <f>IF($L$12=1,$E73*G$84,"")</f>
        <v>0</v>
      </c>
      <c r="H73" s="42">
        <f>IF($L$12=1,$E73*H$84,"")</f>
        <v>0</v>
      </c>
      <c r="N73" s="255"/>
      <c r="T73" s="303"/>
      <c r="U73" s="303"/>
    </row>
    <row r="74" spans="1:25" x14ac:dyDescent="0.25">
      <c r="B74" t="s">
        <v>431</v>
      </c>
      <c r="C74" s="233" t="s">
        <v>33</v>
      </c>
      <c r="D74" s="18">
        <v>1</v>
      </c>
      <c r="E74" s="400">
        <f>'[1]FLAT Unit Costs W Final Adj'!I52</f>
        <v>7.3199779999314805</v>
      </c>
      <c r="F74" s="137"/>
      <c r="G74" s="42">
        <f>E74</f>
        <v>7.3199779999314805</v>
      </c>
      <c r="H74" s="42"/>
      <c r="N74" s="255"/>
      <c r="T74" s="303"/>
      <c r="U74" s="303"/>
    </row>
    <row r="75" spans="1:25" x14ac:dyDescent="0.25">
      <c r="B75" t="s">
        <v>431</v>
      </c>
      <c r="C75" s="232" t="s">
        <v>34</v>
      </c>
      <c r="D75" s="18">
        <f>IF($L$12=1,3,2)</f>
        <v>3</v>
      </c>
      <c r="E75" s="400">
        <f>'[1]FLAT Unit Costs W Final Adj'!I53</f>
        <v>0.17450440667796344</v>
      </c>
      <c r="F75" s="137"/>
      <c r="G75" s="42">
        <f>IF($L$12=1,$E75*G$84,"")</f>
        <v>0.12607292098203138</v>
      </c>
      <c r="H75" s="42">
        <f>IF($L$12=1,$E75*H$84,"")</f>
        <v>4.8431485695932038E-2</v>
      </c>
      <c r="N75" s="255"/>
      <c r="T75" s="303"/>
      <c r="U75" s="303"/>
    </row>
    <row r="76" spans="1:25" x14ac:dyDescent="0.25">
      <c r="B76" t="s">
        <v>431</v>
      </c>
      <c r="C76" s="232" t="s">
        <v>35</v>
      </c>
      <c r="D76" s="18">
        <f>IF($L$12=1,3,2)</f>
        <v>3</v>
      </c>
      <c r="E76" s="400">
        <f>'[1]FLAT Unit Costs W Final Adj'!I54</f>
        <v>0.85549471099457364</v>
      </c>
      <c r="F76" s="137"/>
      <c r="G76" s="42">
        <f>IF($L$12=1,$E76*G$84,"")</f>
        <v>0.61806299997227887</v>
      </c>
      <c r="H76" s="42">
        <f>IF($L$12=1,$E76*H$84,"")</f>
        <v>0.23743171102229468</v>
      </c>
      <c r="N76" s="255"/>
      <c r="T76" s="303"/>
      <c r="U76" s="303"/>
    </row>
    <row r="77" spans="1:25" x14ac:dyDescent="0.25">
      <c r="B77" t="s">
        <v>431</v>
      </c>
      <c r="C77" s="366" t="s">
        <v>54</v>
      </c>
      <c r="D77" s="18">
        <v>4</v>
      </c>
      <c r="E77" s="400">
        <f>'[1]FLAT Unit Costs W Final Adj'!I55</f>
        <v>0.6428107153709981</v>
      </c>
      <c r="F77" s="137"/>
      <c r="G77" s="42">
        <f>$E77*G$84</f>
        <v>0.46440675091332717</v>
      </c>
      <c r="H77" s="42">
        <f>$E77*H$84</f>
        <v>0.17840396445767087</v>
      </c>
      <c r="N77" s="255"/>
      <c r="T77" s="303"/>
      <c r="U77" s="303"/>
    </row>
    <row r="78" spans="1:25" x14ac:dyDescent="0.25">
      <c r="B78" t="s">
        <v>431</v>
      </c>
      <c r="C78" s="234" t="s">
        <v>435</v>
      </c>
      <c r="D78" s="18">
        <v>2</v>
      </c>
      <c r="E78" s="400">
        <f>'[1]FLAT Unit Costs W Final Adj'!I56</f>
        <v>5.383242113260845E-3</v>
      </c>
      <c r="H78" s="42">
        <f>E78</f>
        <v>5.383242113260845E-3</v>
      </c>
      <c r="N78" s="255"/>
      <c r="T78" s="303"/>
      <c r="U78" s="303"/>
    </row>
    <row r="79" spans="1:25" x14ac:dyDescent="0.25">
      <c r="B79" t="s">
        <v>431</v>
      </c>
      <c r="C79" s="232" t="s">
        <v>49</v>
      </c>
      <c r="D79" s="18">
        <f>IF($L$12=1,3,2)</f>
        <v>3</v>
      </c>
      <c r="E79" s="400">
        <f>'[1]FLAT Unit Costs W Final Adj'!I57</f>
        <v>0</v>
      </c>
      <c r="G79" s="42">
        <f>IF($L$12=1,$E79*G$84,"")</f>
        <v>0</v>
      </c>
      <c r="H79" s="42">
        <f>IF($L$12=1,$E79*H$84,"")</f>
        <v>0</v>
      </c>
      <c r="N79" s="255"/>
      <c r="T79" s="303"/>
      <c r="U79" s="303"/>
    </row>
    <row r="80" spans="1:25" x14ac:dyDescent="0.25">
      <c r="E80"/>
      <c r="T80" s="303"/>
      <c r="U80" s="303"/>
    </row>
    <row r="81" spans="3:10" ht="13" x14ac:dyDescent="0.3">
      <c r="E81" s="401">
        <f>SUM(E11:E80)</f>
        <v>51.624390630928467</v>
      </c>
      <c r="F81" s="41"/>
      <c r="G81" s="41">
        <f>SUM(G10:G79)</f>
        <v>37.296695508494899</v>
      </c>
      <c r="H81" s="41">
        <f>SUM(H10:H79)</f>
        <v>14.327695122433566</v>
      </c>
      <c r="J81" s="350"/>
    </row>
    <row r="82" spans="3:10" ht="13" x14ac:dyDescent="0.3">
      <c r="G82" s="14">
        <f>G81/$E$81</f>
        <v>0.72246267806113795</v>
      </c>
      <c r="H82" s="14">
        <f>H81/$E$81</f>
        <v>0.27753732193886199</v>
      </c>
      <c r="I82" s="4"/>
    </row>
    <row r="83" spans="3:10" x14ac:dyDescent="0.25">
      <c r="C83" s="133" t="s">
        <v>364</v>
      </c>
      <c r="E83" s="42">
        <f>G83+H83</f>
        <v>44.023064173396662</v>
      </c>
      <c r="G83" s="42">
        <f>SUMIF($D$11:$D$79,1,$E$11:$E$79)</f>
        <v>31.80502083916949</v>
      </c>
      <c r="H83" s="42">
        <f>SUMIF($D$11:$D$79,2,$E$11:$E$79)</f>
        <v>12.21804333422717</v>
      </c>
    </row>
    <row r="84" spans="3:10" x14ac:dyDescent="0.25">
      <c r="C84" s="133" t="s">
        <v>365</v>
      </c>
      <c r="G84" s="236">
        <f>G83/E83</f>
        <v>0.72246267806113795</v>
      </c>
      <c r="H84" s="236">
        <f>H83/E83</f>
        <v>0.27753732193886199</v>
      </c>
    </row>
  </sheetData>
  <phoneticPr fontId="0" type="noConversion"/>
  <printOptions horizontalCentered="1"/>
  <pageMargins left="0.75" right="0.75" top="1" bottom="1" header="0.5" footer="0.5"/>
  <pageSetup scale="66" firstPageNumber="76" orientation="portrait" useFirstPageNumber="1" r:id="rId1"/>
  <headerFooter alignWithMargins="0">
    <oddFooter>&amp;CTab-'&amp;A'&amp;RPage 3</oddFooter>
  </headerFooter>
  <ignoredErrors>
    <ignoredError sqref="G74 H32" formula="1"/>
  </ignoredErrors>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59"/>
  <dimension ref="A1:Z84"/>
  <sheetViews>
    <sheetView zoomScale="130" zoomScaleNormal="130" workbookViewId="0"/>
  </sheetViews>
  <sheetFormatPr defaultRowHeight="12.5" x14ac:dyDescent="0.25"/>
  <cols>
    <col min="1" max="1" width="6.7265625" style="154" customWidth="1"/>
    <col min="2" max="2" width="12.7265625" style="155" customWidth="1"/>
    <col min="3" max="3" width="13.7265625" style="155" customWidth="1"/>
    <col min="4" max="4" width="7.7265625" style="133" customWidth="1"/>
    <col min="5" max="5" width="13.7265625" style="42" customWidth="1"/>
    <col min="6" max="6" width="3.453125" style="42" customWidth="1"/>
    <col min="7" max="8" width="13.7265625" style="133" customWidth="1"/>
    <col min="9" max="9" width="5.453125" customWidth="1"/>
    <col min="10" max="10" width="14.26953125" customWidth="1"/>
    <col min="11" max="11" width="11.7265625" bestFit="1" customWidth="1"/>
    <col min="13" max="13" width="8.26953125" customWidth="1"/>
    <col min="14" max="14" width="9.1796875" customWidth="1"/>
    <col min="15" max="15" width="12.54296875" bestFit="1" customWidth="1"/>
    <col min="16" max="16" width="1.7265625" customWidth="1"/>
    <col min="18" max="18" width="16.7265625" bestFit="1" customWidth="1"/>
    <col min="23" max="23" width="16" customWidth="1"/>
  </cols>
  <sheetData>
    <row r="1" spans="1:26" s="153" customFormat="1" ht="15.5" x14ac:dyDescent="0.35">
      <c r="A1" s="53" t="s">
        <v>639</v>
      </c>
      <c r="B1" s="52"/>
      <c r="C1" s="52"/>
      <c r="D1" s="152"/>
      <c r="E1" s="160"/>
      <c r="F1" s="160"/>
      <c r="G1" s="152"/>
      <c r="H1" s="152"/>
      <c r="U1"/>
      <c r="V1"/>
      <c r="W1"/>
      <c r="X1"/>
      <c r="Y1"/>
      <c r="Z1"/>
    </row>
    <row r="2" spans="1:26" s="153" customFormat="1" ht="14" x14ac:dyDescent="0.3">
      <c r="A2" s="34" t="s">
        <v>632</v>
      </c>
      <c r="B2" s="1"/>
      <c r="C2" s="1"/>
      <c r="D2" s="152"/>
      <c r="E2" s="160"/>
      <c r="F2" s="160"/>
      <c r="G2" s="152"/>
      <c r="H2" s="152"/>
      <c r="U2"/>
      <c r="V2"/>
      <c r="W2"/>
      <c r="X2"/>
      <c r="Y2"/>
      <c r="Z2"/>
    </row>
    <row r="3" spans="1:26" s="153" customFormat="1" ht="14" x14ac:dyDescent="0.3">
      <c r="A3" s="34"/>
      <c r="B3" s="1"/>
      <c r="C3" s="1"/>
      <c r="D3" s="152"/>
      <c r="E3" s="160"/>
      <c r="F3" s="160"/>
      <c r="U3"/>
      <c r="V3"/>
      <c r="W3"/>
      <c r="X3"/>
      <c r="Y3"/>
      <c r="Z3"/>
    </row>
    <row r="4" spans="1:26" s="153" customFormat="1" ht="15.5" x14ac:dyDescent="0.35">
      <c r="A4" s="53"/>
      <c r="B4" s="52"/>
      <c r="C4" s="243"/>
      <c r="D4" s="152"/>
      <c r="E4" s="160"/>
      <c r="F4" s="160"/>
      <c r="G4" s="152"/>
      <c r="H4" s="152"/>
      <c r="J4"/>
      <c r="K4"/>
      <c r="L4"/>
      <c r="M4"/>
      <c r="N4"/>
      <c r="O4"/>
      <c r="P4"/>
      <c r="U4"/>
      <c r="V4"/>
      <c r="W4"/>
      <c r="X4"/>
      <c r="Y4"/>
      <c r="Z4"/>
    </row>
    <row r="5" spans="1:26" ht="13" x14ac:dyDescent="0.3">
      <c r="D5" s="139"/>
      <c r="E5" s="41" t="s">
        <v>3</v>
      </c>
      <c r="F5" s="41"/>
      <c r="G5" s="34"/>
      <c r="H5" s="139"/>
      <c r="J5" s="237"/>
      <c r="K5" s="238"/>
      <c r="L5" s="237"/>
      <c r="M5" s="237"/>
      <c r="N5" s="245"/>
      <c r="P5" s="279"/>
    </row>
    <row r="6" spans="1:26" ht="13" x14ac:dyDescent="0.3">
      <c r="A6" s="156"/>
      <c r="B6" s="157"/>
      <c r="C6" s="157"/>
      <c r="D6" s="139"/>
      <c r="E6" s="158" t="s">
        <v>19</v>
      </c>
      <c r="F6" s="158"/>
      <c r="G6" s="139"/>
      <c r="H6" s="139"/>
    </row>
    <row r="7" spans="1:26" ht="14" x14ac:dyDescent="0.3">
      <c r="A7" s="156"/>
      <c r="B7" s="157"/>
      <c r="C7" s="157" t="s">
        <v>20</v>
      </c>
      <c r="D7" s="31"/>
      <c r="E7" s="41" t="s">
        <v>21</v>
      </c>
      <c r="F7" s="41"/>
      <c r="G7" s="229" t="s">
        <v>544</v>
      </c>
      <c r="H7" s="229"/>
      <c r="I7" s="33"/>
    </row>
    <row r="8" spans="1:26" ht="26.5" thickBot="1" x14ac:dyDescent="0.35">
      <c r="A8" s="37"/>
      <c r="B8" s="36" t="s">
        <v>22</v>
      </c>
      <c r="C8" s="36" t="s">
        <v>23</v>
      </c>
      <c r="D8" s="141"/>
      <c r="E8" s="43" t="s">
        <v>24</v>
      </c>
      <c r="F8" s="43"/>
      <c r="G8" s="230" t="s">
        <v>352</v>
      </c>
      <c r="H8" s="231" t="s">
        <v>353</v>
      </c>
      <c r="J8" s="31" t="s">
        <v>354</v>
      </c>
      <c r="K8" s="31" t="s">
        <v>355</v>
      </c>
    </row>
    <row r="9" spans="1:26" ht="13" thickTop="1" x14ac:dyDescent="0.25">
      <c r="O9" s="280"/>
    </row>
    <row r="10" spans="1:26" x14ac:dyDescent="0.25">
      <c r="B10"/>
      <c r="C10"/>
      <c r="E10" s="137"/>
      <c r="F10" s="137"/>
      <c r="G10" s="42"/>
      <c r="H10" s="42"/>
      <c r="I10">
        <v>1</v>
      </c>
      <c r="J10" s="233" t="s">
        <v>356</v>
      </c>
      <c r="K10" t="s">
        <v>328</v>
      </c>
    </row>
    <row r="11" spans="1:26" x14ac:dyDescent="0.25">
      <c r="B11" t="s">
        <v>29</v>
      </c>
      <c r="C11" s="232" t="s">
        <v>372</v>
      </c>
      <c r="D11" s="18">
        <f>IF($L$12=1,3,2)</f>
        <v>3</v>
      </c>
      <c r="E11" s="400">
        <f>'[1]FLAT Unit Costs W Final Adj'!$H$6</f>
        <v>1.1443387291484829E-2</v>
      </c>
      <c r="F11" s="137"/>
      <c r="G11" s="42">
        <f>IF($L$12=1,$E11*G$84,"")</f>
        <v>6.9212109075670976E-3</v>
      </c>
      <c r="H11" s="42">
        <f>IF($L$12=1,$E11*H$84,"")</f>
        <v>4.5221763839177311E-3</v>
      </c>
      <c r="I11">
        <v>2</v>
      </c>
      <c r="J11" s="234" t="s">
        <v>357</v>
      </c>
      <c r="K11" t="s">
        <v>329</v>
      </c>
      <c r="M11" s="303"/>
      <c r="N11" s="255"/>
      <c r="T11" s="303"/>
    </row>
    <row r="12" spans="1:26" x14ac:dyDescent="0.25">
      <c r="B12"/>
      <c r="C12"/>
      <c r="D12" s="18"/>
      <c r="E12" s="400"/>
      <c r="F12" s="137"/>
      <c r="G12" s="42"/>
      <c r="H12" s="42"/>
      <c r="I12">
        <v>3</v>
      </c>
      <c r="J12" s="232" t="s">
        <v>358</v>
      </c>
      <c r="K12" t="str">
        <f>IF(L12=1,"Piggybacked","Non WS")</f>
        <v>Piggybacked</v>
      </c>
      <c r="L12" s="155">
        <v>1</v>
      </c>
      <c r="M12" s="303"/>
      <c r="N12" s="255"/>
    </row>
    <row r="13" spans="1:26" x14ac:dyDescent="0.25">
      <c r="B13" t="s">
        <v>30</v>
      </c>
      <c r="C13" s="233" t="s">
        <v>159</v>
      </c>
      <c r="D13" s="18">
        <v>1</v>
      </c>
      <c r="E13" s="400">
        <f>'[1]FLAT Unit Costs W Final Adj'!$H$7</f>
        <v>1.3070078211747769</v>
      </c>
      <c r="F13" s="137"/>
      <c r="G13" s="42">
        <f>E13</f>
        <v>1.3070078211747769</v>
      </c>
      <c r="H13" s="42"/>
      <c r="I13">
        <v>4</v>
      </c>
      <c r="J13" s="235" t="s">
        <v>359</v>
      </c>
      <c r="K13" t="s">
        <v>360</v>
      </c>
      <c r="M13" s="303"/>
      <c r="N13" s="255"/>
      <c r="T13" s="303"/>
    </row>
    <row r="14" spans="1:26" x14ac:dyDescent="0.25">
      <c r="B14" t="s">
        <v>30</v>
      </c>
      <c r="C14" s="233" t="s">
        <v>366</v>
      </c>
      <c r="D14" s="18">
        <v>1</v>
      </c>
      <c r="E14" s="400">
        <v>0</v>
      </c>
      <c r="F14" s="137"/>
      <c r="G14" s="42">
        <f>E14</f>
        <v>0</v>
      </c>
      <c r="H14" s="42"/>
      <c r="M14" s="303"/>
      <c r="N14" s="255"/>
      <c r="T14" s="303"/>
    </row>
    <row r="15" spans="1:26" x14ac:dyDescent="0.25">
      <c r="B15"/>
      <c r="C15"/>
      <c r="D15" s="18"/>
      <c r="E15" s="400"/>
      <c r="F15" s="137"/>
      <c r="G15" s="42"/>
      <c r="H15" s="42"/>
      <c r="M15" s="303"/>
      <c r="N15" s="255"/>
      <c r="T15" s="303"/>
    </row>
    <row r="16" spans="1:26" x14ac:dyDescent="0.25">
      <c r="B16"/>
      <c r="C16"/>
      <c r="D16" s="18"/>
      <c r="E16" s="400"/>
      <c r="F16" s="137"/>
      <c r="G16" s="42"/>
      <c r="H16" s="42"/>
      <c r="M16" s="303"/>
      <c r="N16" s="255"/>
      <c r="T16" s="303"/>
    </row>
    <row r="17" spans="2:20" x14ac:dyDescent="0.25">
      <c r="B17" t="s">
        <v>31</v>
      </c>
      <c r="C17" s="233" t="s">
        <v>530</v>
      </c>
      <c r="D17" s="18">
        <v>1</v>
      </c>
      <c r="E17" s="400">
        <f>'[1]FLAT Unit Costs W Final Adj'!H9</f>
        <v>0.74495243280885848</v>
      </c>
      <c r="F17" s="137"/>
      <c r="G17" s="42">
        <f>E17</f>
        <v>0.74495243280885848</v>
      </c>
      <c r="H17" s="42"/>
      <c r="J17" t="s">
        <v>361</v>
      </c>
      <c r="M17" s="303"/>
      <c r="N17" s="255"/>
      <c r="T17" s="303"/>
    </row>
    <row r="18" spans="2:20" x14ac:dyDescent="0.25">
      <c r="B18" t="s">
        <v>31</v>
      </c>
      <c r="C18" s="233" t="s">
        <v>531</v>
      </c>
      <c r="D18" s="18">
        <v>1</v>
      </c>
      <c r="E18" s="400">
        <f>'[1]FLAT Unit Costs W Final Adj'!H10</f>
        <v>0.69538399556143182</v>
      </c>
      <c r="F18" s="137"/>
      <c r="G18" s="42">
        <f>E18</f>
        <v>0.69538399556143182</v>
      </c>
      <c r="H18" s="42"/>
      <c r="J18" t="s">
        <v>362</v>
      </c>
      <c r="M18" s="303"/>
      <c r="N18" s="255"/>
      <c r="T18" s="303"/>
    </row>
    <row r="19" spans="2:20" x14ac:dyDescent="0.25">
      <c r="B19" t="s">
        <v>583</v>
      </c>
      <c r="C19" s="235" t="s">
        <v>584</v>
      </c>
      <c r="D19" s="18">
        <v>4</v>
      </c>
      <c r="E19" s="400">
        <f>'[1]FLAT Unit Costs W Final Adj'!H11</f>
        <v>2.2468973070776613E-3</v>
      </c>
      <c r="F19" s="137"/>
      <c r="G19" s="42">
        <f>$E19*G$84</f>
        <v>1.3589726322992609E-3</v>
      </c>
      <c r="H19" s="42">
        <f>$E19*H$84</f>
        <v>8.8792467477840037E-4</v>
      </c>
      <c r="J19" t="s">
        <v>363</v>
      </c>
      <c r="M19" s="303"/>
      <c r="N19" s="255"/>
      <c r="T19" s="303"/>
    </row>
    <row r="20" spans="2:20" x14ac:dyDescent="0.25">
      <c r="B20" t="s">
        <v>583</v>
      </c>
      <c r="C20" s="235" t="s">
        <v>277</v>
      </c>
      <c r="D20" s="18">
        <v>4</v>
      </c>
      <c r="E20" s="400">
        <f>'[1]FLAT Unit Costs W Final Adj'!H12</f>
        <v>0.12865338466047757</v>
      </c>
      <c r="F20" s="137"/>
      <c r="G20" s="42">
        <f>$E20*G$84</f>
        <v>7.7812380768595382E-2</v>
      </c>
      <c r="H20" s="42">
        <f>$E20*H$84</f>
        <v>5.0841003891882189E-2</v>
      </c>
      <c r="M20" s="303"/>
      <c r="N20" s="255"/>
      <c r="T20" s="303"/>
    </row>
    <row r="21" spans="2:20" x14ac:dyDescent="0.25">
      <c r="B21" t="s">
        <v>32</v>
      </c>
      <c r="C21" s="233" t="s">
        <v>33</v>
      </c>
      <c r="D21" s="18">
        <v>1</v>
      </c>
      <c r="E21" s="400">
        <f>'[1]FLAT Unit Costs W Final Adj'!H13</f>
        <v>0.10956702172790396</v>
      </c>
      <c r="F21" s="137"/>
      <c r="G21" s="42">
        <f>E21</f>
        <v>0.10956702172790396</v>
      </c>
      <c r="H21" s="42"/>
      <c r="M21" s="303"/>
      <c r="N21" s="255"/>
      <c r="T21" s="303"/>
    </row>
    <row r="22" spans="2:20" x14ac:dyDescent="0.25">
      <c r="B22" t="s">
        <v>32</v>
      </c>
      <c r="C22" s="232" t="s">
        <v>34</v>
      </c>
      <c r="D22" s="18">
        <f>IF($L$12=1,3,2)</f>
        <v>3</v>
      </c>
      <c r="E22" s="400">
        <f>'[1]FLAT Unit Costs W Final Adj'!H14</f>
        <v>5.2613481388339801E-2</v>
      </c>
      <c r="F22" s="137"/>
      <c r="G22" s="42">
        <f t="shared" ref="G22:H25" si="0">IF($L$12=1,$E22*G$84,"")</f>
        <v>3.1821784231756613E-2</v>
      </c>
      <c r="H22" s="42">
        <f t="shared" si="0"/>
        <v>2.0791697156583189E-2</v>
      </c>
      <c r="M22" s="303"/>
      <c r="N22" s="255"/>
      <c r="T22" s="303"/>
    </row>
    <row r="23" spans="2:20" x14ac:dyDescent="0.25">
      <c r="B23" t="s">
        <v>32</v>
      </c>
      <c r="C23" s="232" t="s">
        <v>35</v>
      </c>
      <c r="D23" s="18">
        <f>IF($L$12=1,3,2)</f>
        <v>3</v>
      </c>
      <c r="E23" s="400">
        <f>'[1]FLAT Unit Costs W Final Adj'!H15</f>
        <v>3.6863505125290204E-5</v>
      </c>
      <c r="F23" s="137"/>
      <c r="G23" s="42">
        <f t="shared" si="0"/>
        <v>2.2295854126528354E-5</v>
      </c>
      <c r="H23" s="42">
        <f t="shared" si="0"/>
        <v>1.4567650998761847E-5</v>
      </c>
      <c r="M23" s="303"/>
      <c r="N23" s="255"/>
      <c r="T23" s="303"/>
    </row>
    <row r="24" spans="2:20" x14ac:dyDescent="0.25">
      <c r="B24" t="s">
        <v>32</v>
      </c>
      <c r="C24" s="232" t="s">
        <v>36</v>
      </c>
      <c r="D24" s="18">
        <f>IF($L$12=1,3,2)</f>
        <v>3</v>
      </c>
      <c r="E24" s="400">
        <f>'[1]FLAT Unit Costs W Final Adj'!H16</f>
        <v>4.8633922474255471E-2</v>
      </c>
      <c r="F24" s="137"/>
      <c r="G24" s="42">
        <f t="shared" si="0"/>
        <v>2.9414859965201223E-2</v>
      </c>
      <c r="H24" s="42">
        <f t="shared" si="0"/>
        <v>1.9219062509054245E-2</v>
      </c>
      <c r="M24" s="303"/>
      <c r="N24" s="255"/>
      <c r="T24" s="303"/>
    </row>
    <row r="25" spans="2:20" x14ac:dyDescent="0.25">
      <c r="B25" t="s">
        <v>37</v>
      </c>
      <c r="C25" s="232" t="s">
        <v>38</v>
      </c>
      <c r="D25" s="18">
        <f>IF($L$12=1,3,2)</f>
        <v>3</v>
      </c>
      <c r="E25" s="400">
        <f>'[1]FLAT Unit Costs W Final Adj'!H17</f>
        <v>1.4416814153325507E-2</v>
      </c>
      <c r="F25" s="137"/>
      <c r="G25" s="42">
        <f t="shared" si="0"/>
        <v>8.7196045042199286E-3</v>
      </c>
      <c r="H25" s="42">
        <f t="shared" si="0"/>
        <v>5.6972096491055774E-3</v>
      </c>
      <c r="M25" s="303"/>
      <c r="N25" s="255"/>
      <c r="T25" s="303"/>
    </row>
    <row r="26" spans="2:20" x14ac:dyDescent="0.25">
      <c r="B26" t="s">
        <v>39</v>
      </c>
      <c r="C26" s="234" t="s">
        <v>278</v>
      </c>
      <c r="D26" s="18">
        <v>2</v>
      </c>
      <c r="E26" s="400">
        <f>'[1]FLAT Unit Costs W Final Adj'!H18</f>
        <v>7.7719036240719588E-2</v>
      </c>
      <c r="F26" s="137"/>
      <c r="G26" s="42"/>
      <c r="H26" s="42">
        <f>E26</f>
        <v>7.7719036240719588E-2</v>
      </c>
      <c r="M26" s="303"/>
      <c r="N26" s="255"/>
      <c r="T26" s="303"/>
    </row>
    <row r="27" spans="2:20" x14ac:dyDescent="0.25">
      <c r="B27" t="s">
        <v>39</v>
      </c>
      <c r="C27" s="234" t="s">
        <v>279</v>
      </c>
      <c r="D27" s="18">
        <v>2</v>
      </c>
      <c r="E27" s="400">
        <f>'[1]FLAT Unit Costs W Final Adj'!H19</f>
        <v>5.9274669153137262E-2</v>
      </c>
      <c r="F27" s="137"/>
      <c r="G27" s="42"/>
      <c r="H27" s="42">
        <f>E27</f>
        <v>5.9274669153137262E-2</v>
      </c>
      <c r="M27" s="303"/>
      <c r="N27" s="255"/>
      <c r="T27" s="303"/>
    </row>
    <row r="28" spans="2:20" x14ac:dyDescent="0.25">
      <c r="B28"/>
      <c r="C28"/>
      <c r="D28" s="18"/>
      <c r="E28" s="400"/>
      <c r="F28" s="137"/>
      <c r="G28" s="42"/>
      <c r="H28" s="42"/>
      <c r="M28" s="303"/>
      <c r="N28" s="255"/>
      <c r="T28" s="303"/>
    </row>
    <row r="29" spans="2:20" x14ac:dyDescent="0.25">
      <c r="B29" t="s">
        <v>39</v>
      </c>
      <c r="C29" s="234" t="s">
        <v>280</v>
      </c>
      <c r="D29" s="18">
        <v>2</v>
      </c>
      <c r="E29" s="400">
        <v>0</v>
      </c>
      <c r="F29" s="137"/>
      <c r="G29" s="42"/>
      <c r="H29" s="42">
        <f>E29</f>
        <v>0</v>
      </c>
      <c r="M29" s="303"/>
      <c r="N29" s="255"/>
      <c r="T29" s="303"/>
    </row>
    <row r="30" spans="2:20" x14ac:dyDescent="0.25">
      <c r="B30" t="s">
        <v>39</v>
      </c>
      <c r="C30" s="234" t="s">
        <v>40</v>
      </c>
      <c r="D30" s="18">
        <v>2</v>
      </c>
      <c r="E30" s="400">
        <f>'[1]FLAT Unit Costs W Final Adj'!H21</f>
        <v>3.7340782508981131E-3</v>
      </c>
      <c r="F30" s="137"/>
      <c r="G30" s="42"/>
      <c r="H30" s="42">
        <f>E30</f>
        <v>3.7340782508981131E-3</v>
      </c>
      <c r="M30" s="303"/>
      <c r="N30" s="255"/>
      <c r="T30" s="303"/>
    </row>
    <row r="31" spans="2:20" x14ac:dyDescent="0.25">
      <c r="B31" t="s">
        <v>39</v>
      </c>
      <c r="C31" s="234" t="s">
        <v>41</v>
      </c>
      <c r="D31" s="18">
        <v>2</v>
      </c>
      <c r="E31" s="400">
        <f>'[1]FLAT Unit Costs W Final Adj'!H22</f>
        <v>0.10314337548241728</v>
      </c>
      <c r="F31" s="137"/>
      <c r="G31" s="42"/>
      <c r="H31" s="42">
        <f>E31</f>
        <v>0.10314337548241728</v>
      </c>
      <c r="M31" s="303"/>
      <c r="N31" s="255"/>
      <c r="T31" s="303"/>
    </row>
    <row r="32" spans="2:20" x14ac:dyDescent="0.25">
      <c r="B32" t="s">
        <v>39</v>
      </c>
      <c r="C32" s="235" t="s">
        <v>281</v>
      </c>
      <c r="D32" s="18">
        <v>4</v>
      </c>
      <c r="E32" s="400">
        <f>'[1]FLAT Unit Costs W Final Adj'!H23</f>
        <v>3.4883982783293938E-2</v>
      </c>
      <c r="F32" s="137"/>
      <c r="G32" s="42">
        <f>$E32*G$84</f>
        <v>2.109859572075962E-2</v>
      </c>
      <c r="H32" s="42">
        <f>$E32*H$84</f>
        <v>1.3785387062534316E-2</v>
      </c>
      <c r="M32" s="303"/>
      <c r="N32" s="255"/>
      <c r="T32" s="303"/>
    </row>
    <row r="33" spans="2:20" x14ac:dyDescent="0.25">
      <c r="B33" t="s">
        <v>39</v>
      </c>
      <c r="C33" s="234" t="s">
        <v>42</v>
      </c>
      <c r="D33" s="18">
        <v>2</v>
      </c>
      <c r="E33" s="400">
        <f>'[1]FLAT Unit Costs W Final Adj'!H24</f>
        <v>1.0317588478561321</v>
      </c>
      <c r="F33" s="137"/>
      <c r="G33" s="42"/>
      <c r="H33" s="42">
        <f>E33</f>
        <v>1.0317588478561321</v>
      </c>
      <c r="M33" s="303"/>
      <c r="N33" s="255"/>
      <c r="T33" s="303"/>
    </row>
    <row r="34" spans="2:20" x14ac:dyDescent="0.25">
      <c r="B34" t="s">
        <v>39</v>
      </c>
      <c r="C34" s="234" t="s">
        <v>43</v>
      </c>
      <c r="D34" s="18">
        <v>2</v>
      </c>
      <c r="E34" s="400">
        <f>'[1]FLAT Unit Costs W Final Adj'!H25</f>
        <v>3.9743777095040692E-4</v>
      </c>
      <c r="F34" s="137"/>
      <c r="G34" s="42"/>
      <c r="H34" s="42">
        <f>E34</f>
        <v>3.9743777095040692E-4</v>
      </c>
      <c r="M34" s="303"/>
      <c r="N34" s="255"/>
      <c r="T34" s="303"/>
    </row>
    <row r="35" spans="2:20" x14ac:dyDescent="0.25">
      <c r="B35" t="s">
        <v>39</v>
      </c>
      <c r="C35" s="235" t="s">
        <v>282</v>
      </c>
      <c r="D35" s="18">
        <v>4</v>
      </c>
      <c r="E35" s="400">
        <f>'[1]FLAT Unit Costs W Final Adj'!H26</f>
        <v>1.2584608406898788E-2</v>
      </c>
      <c r="F35" s="137"/>
      <c r="G35" s="42">
        <f>$E35*G$84</f>
        <v>7.6114463973531027E-3</v>
      </c>
      <c r="H35" s="42">
        <f>$E35*H$84</f>
        <v>4.9731620095456843E-3</v>
      </c>
      <c r="M35" s="303"/>
      <c r="N35" s="255"/>
      <c r="T35" s="303"/>
    </row>
    <row r="36" spans="2:20" x14ac:dyDescent="0.25">
      <c r="B36" t="s">
        <v>39</v>
      </c>
      <c r="C36" s="235" t="s">
        <v>44</v>
      </c>
      <c r="D36" s="18">
        <v>4</v>
      </c>
      <c r="E36" s="400">
        <f>'[1]FLAT Unit Costs W Final Adj'!H27</f>
        <v>3.0474473485367923E-3</v>
      </c>
      <c r="F36" s="137"/>
      <c r="G36" s="42">
        <f>$E36*G$84</f>
        <v>1.8431628058786513E-3</v>
      </c>
      <c r="H36" s="42">
        <f>$E36*H$84</f>
        <v>1.2042845426581408E-3</v>
      </c>
      <c r="M36" s="303"/>
      <c r="N36" s="255"/>
      <c r="T36" s="303"/>
    </row>
    <row r="37" spans="2:20" x14ac:dyDescent="0.25">
      <c r="B37" t="s">
        <v>39</v>
      </c>
      <c r="C37" s="234" t="s">
        <v>45</v>
      </c>
      <c r="D37" s="18">
        <v>2</v>
      </c>
      <c r="E37" s="400">
        <f>'[1]FLAT Unit Costs W Final Adj'!H28</f>
        <v>1.0067842053248404E-2</v>
      </c>
      <c r="F37" s="137"/>
      <c r="G37" s="42"/>
      <c r="H37" s="42">
        <f>E37</f>
        <v>1.0067842053248404E-2</v>
      </c>
      <c r="M37" s="303"/>
      <c r="N37" s="255"/>
      <c r="T37" s="303"/>
    </row>
    <row r="38" spans="2:20" x14ac:dyDescent="0.25">
      <c r="B38" t="s">
        <v>46</v>
      </c>
      <c r="C38" s="234" t="s">
        <v>47</v>
      </c>
      <c r="D38" s="18">
        <v>2</v>
      </c>
      <c r="E38" s="400">
        <f>'[1]FLAT Unit Costs W Final Adj'!H29</f>
        <v>0</v>
      </c>
      <c r="F38" s="137"/>
      <c r="G38" s="42"/>
      <c r="H38" s="42">
        <f>E38</f>
        <v>0</v>
      </c>
      <c r="M38" s="303"/>
      <c r="N38" s="255"/>
      <c r="T38" s="303"/>
    </row>
    <row r="39" spans="2:20" x14ac:dyDescent="0.25">
      <c r="B39" t="s">
        <v>46</v>
      </c>
      <c r="C39" s="232" t="s">
        <v>48</v>
      </c>
      <c r="D39" s="18">
        <v>4</v>
      </c>
      <c r="E39" s="400">
        <f>'[1]FLAT Unit Costs W Final Adj'!H30</f>
        <v>1.0536222101882847E-2</v>
      </c>
      <c r="F39" s="137"/>
      <c r="G39" s="42">
        <f t="shared" ref="G39:H41" si="1">IF($L$12=1,$E39*G$84,"")</f>
        <v>6.3725375606542949E-3</v>
      </c>
      <c r="H39" s="42">
        <f t="shared" si="1"/>
        <v>4.1636845412285515E-3</v>
      </c>
      <c r="M39" s="303"/>
      <c r="N39" s="255"/>
      <c r="T39" s="303"/>
    </row>
    <row r="40" spans="2:20" x14ac:dyDescent="0.25">
      <c r="B40"/>
      <c r="C40"/>
      <c r="D40" s="18"/>
      <c r="E40" s="400"/>
      <c r="F40" s="137"/>
      <c r="G40" s="42"/>
      <c r="H40" s="42"/>
      <c r="M40" s="303"/>
      <c r="N40" s="255"/>
    </row>
    <row r="41" spans="2:20" x14ac:dyDescent="0.25">
      <c r="B41" t="s">
        <v>46</v>
      </c>
      <c r="C41" s="232" t="s">
        <v>49</v>
      </c>
      <c r="D41" s="18">
        <v>4</v>
      </c>
      <c r="E41" s="400">
        <f>'[1]FLAT Unit Costs W Final Adj'!H31</f>
        <v>8.9858328873726977E-4</v>
      </c>
      <c r="F41" s="137"/>
      <c r="G41" s="42">
        <f t="shared" si="1"/>
        <v>5.4348282557855536E-4</v>
      </c>
      <c r="H41" s="42">
        <f t="shared" si="1"/>
        <v>3.5510046315871441E-4</v>
      </c>
      <c r="M41" s="303"/>
      <c r="N41" s="255"/>
      <c r="T41" s="303"/>
    </row>
    <row r="42" spans="2:20" x14ac:dyDescent="0.25">
      <c r="B42" t="s">
        <v>46</v>
      </c>
      <c r="C42" s="234" t="s">
        <v>50</v>
      </c>
      <c r="D42" s="18">
        <v>2</v>
      </c>
      <c r="E42" s="400">
        <f>'[1]FLAT Unit Costs W Final Adj'!H32</f>
        <v>1.2997133146753295E-3</v>
      </c>
      <c r="F42" s="137"/>
      <c r="G42" s="42"/>
      <c r="H42" s="42">
        <f>E42</f>
        <v>1.2997133146753295E-3</v>
      </c>
      <c r="M42" s="303"/>
      <c r="N42" s="255"/>
      <c r="T42" s="303"/>
    </row>
    <row r="43" spans="2:20" x14ac:dyDescent="0.25">
      <c r="B43" t="s">
        <v>46</v>
      </c>
      <c r="C43" s="235" t="s">
        <v>51</v>
      </c>
      <c r="D43" s="18">
        <v>4</v>
      </c>
      <c r="E43" s="400">
        <f>'[1]FLAT Unit Costs W Final Adj'!H33</f>
        <v>4.1699349574744644E-2</v>
      </c>
      <c r="F43" s="137"/>
      <c r="G43" s="42">
        <f t="shared" ref="G43:H45" si="2">$E43*G$84</f>
        <v>2.5220678612348849E-2</v>
      </c>
      <c r="H43" s="42">
        <f t="shared" si="2"/>
        <v>1.6478670962395796E-2</v>
      </c>
      <c r="M43" s="303"/>
      <c r="N43" s="255"/>
      <c r="T43" s="303"/>
    </row>
    <row r="44" spans="2:20" x14ac:dyDescent="0.25">
      <c r="B44" t="s">
        <v>46</v>
      </c>
      <c r="C44" s="235" t="s">
        <v>283</v>
      </c>
      <c r="D44" s="18">
        <v>4</v>
      </c>
      <c r="E44" s="400">
        <f>'[1]FLAT Unit Costs W Final Adj'!H34</f>
        <v>2.967816133842064E-2</v>
      </c>
      <c r="F44" s="137"/>
      <c r="G44" s="42">
        <f t="shared" si="2"/>
        <v>1.7950001056493158E-2</v>
      </c>
      <c r="H44" s="42">
        <f t="shared" si="2"/>
        <v>1.1728160281927481E-2</v>
      </c>
      <c r="M44" s="303"/>
      <c r="N44" s="255"/>
      <c r="T44" s="303"/>
    </row>
    <row r="45" spans="2:20" x14ac:dyDescent="0.25">
      <c r="B45" t="s">
        <v>46</v>
      </c>
      <c r="C45" s="235" t="s">
        <v>284</v>
      </c>
      <c r="D45" s="18">
        <v>4</v>
      </c>
      <c r="E45" s="400">
        <f>'[1]FLAT Unit Costs W Final Adj'!H35</f>
        <v>1.1847013027867666E-2</v>
      </c>
      <c r="F45" s="137"/>
      <c r="G45" s="42">
        <f t="shared" si="2"/>
        <v>7.1653325804660328E-3</v>
      </c>
      <c r="H45" s="42">
        <f t="shared" si="2"/>
        <v>4.6816804474016328E-3</v>
      </c>
      <c r="M45" s="303"/>
      <c r="N45" s="255"/>
      <c r="T45" s="303"/>
    </row>
    <row r="46" spans="2:20" x14ac:dyDescent="0.25">
      <c r="B46" t="s">
        <v>52</v>
      </c>
      <c r="C46" s="232" t="s">
        <v>285</v>
      </c>
      <c r="D46" s="18">
        <f>IF($L$12=1,3,2)</f>
        <v>3</v>
      </c>
      <c r="E46" s="400">
        <f>'[1]FLAT Unit Costs W Final Adj'!H36</f>
        <v>1.0674658966637813E-2</v>
      </c>
      <c r="F46" s="137"/>
      <c r="G46" s="42">
        <f>IF($L$12=1,$E46*G$84,"")</f>
        <v>6.4562672041545578E-3</v>
      </c>
      <c r="H46" s="42">
        <f>IF($L$12=1,$E46*H$84,"")</f>
        <v>4.2183917624832546E-3</v>
      </c>
      <c r="M46" s="303"/>
      <c r="N46" s="255"/>
      <c r="T46" s="303"/>
    </row>
    <row r="47" spans="2:20" x14ac:dyDescent="0.25">
      <c r="B47" t="s">
        <v>374</v>
      </c>
      <c r="C47"/>
      <c r="D47" s="18"/>
      <c r="E47" s="400"/>
      <c r="F47" s="137"/>
      <c r="G47" s="42"/>
      <c r="H47" s="42"/>
      <c r="M47" s="303"/>
      <c r="N47" s="255"/>
    </row>
    <row r="48" spans="2:20" x14ac:dyDescent="0.25">
      <c r="B48"/>
      <c r="C48"/>
      <c r="D48" s="18"/>
      <c r="E48" s="400"/>
      <c r="F48" s="137"/>
      <c r="G48" s="42"/>
      <c r="H48" s="42"/>
      <c r="M48" s="303"/>
      <c r="N48" s="255"/>
      <c r="T48" s="303"/>
    </row>
    <row r="49" spans="1:26" x14ac:dyDescent="0.25">
      <c r="B49"/>
      <c r="C49"/>
      <c r="D49" s="18"/>
      <c r="E49" s="400"/>
      <c r="F49" s="137"/>
      <c r="G49" s="42"/>
      <c r="H49" s="42"/>
      <c r="M49" s="303"/>
      <c r="N49" s="255"/>
      <c r="T49" s="303"/>
    </row>
    <row r="50" spans="1:26" x14ac:dyDescent="0.25">
      <c r="B50"/>
      <c r="C50"/>
      <c r="D50" s="18"/>
      <c r="E50" s="400"/>
      <c r="F50" s="137"/>
      <c r="G50" s="42"/>
      <c r="H50" s="42"/>
      <c r="M50" s="303"/>
      <c r="N50" s="255"/>
      <c r="T50" s="303"/>
    </row>
    <row r="51" spans="1:26" x14ac:dyDescent="0.25">
      <c r="B51"/>
      <c r="C51"/>
      <c r="D51" s="18"/>
      <c r="E51" s="400"/>
      <c r="F51" s="137"/>
      <c r="G51" s="42"/>
      <c r="H51" s="42"/>
      <c r="M51" s="303"/>
      <c r="N51" s="255"/>
      <c r="T51" s="303"/>
    </row>
    <row r="52" spans="1:26" x14ac:dyDescent="0.25">
      <c r="B52"/>
      <c r="C52"/>
      <c r="D52" s="18"/>
      <c r="E52" s="400"/>
      <c r="F52" s="137"/>
      <c r="G52" s="42"/>
      <c r="H52" s="42"/>
      <c r="M52" s="303"/>
      <c r="N52" s="255"/>
      <c r="T52" s="303"/>
    </row>
    <row r="53" spans="1:26" x14ac:dyDescent="0.25">
      <c r="B53"/>
      <c r="C53"/>
      <c r="D53" s="18"/>
      <c r="E53" s="400"/>
      <c r="F53" s="137"/>
      <c r="G53" s="42"/>
      <c r="H53" s="42"/>
      <c r="M53" s="303"/>
      <c r="N53" s="255"/>
      <c r="T53" s="303"/>
    </row>
    <row r="54" spans="1:26" x14ac:dyDescent="0.25">
      <c r="B54"/>
      <c r="C54"/>
      <c r="D54" s="18"/>
      <c r="E54" s="400"/>
      <c r="F54" s="137"/>
      <c r="G54" s="42"/>
      <c r="H54" s="42"/>
      <c r="M54" s="303"/>
      <c r="N54" s="255"/>
      <c r="T54" s="303"/>
    </row>
    <row r="55" spans="1:26" x14ac:dyDescent="0.25">
      <c r="B55"/>
      <c r="C55"/>
      <c r="D55" s="18"/>
      <c r="E55" s="400"/>
      <c r="F55" s="137"/>
      <c r="G55" s="42"/>
      <c r="H55" s="42"/>
      <c r="M55" s="303"/>
      <c r="N55" s="255"/>
      <c r="T55" s="303"/>
    </row>
    <row r="56" spans="1:26" x14ac:dyDescent="0.25">
      <c r="B56"/>
      <c r="C56"/>
      <c r="D56" s="18"/>
      <c r="E56" s="400"/>
      <c r="F56" s="137"/>
      <c r="G56" s="42"/>
      <c r="H56" s="42"/>
      <c r="M56" s="303"/>
      <c r="N56" s="255"/>
      <c r="T56" s="303"/>
    </row>
    <row r="57" spans="1:26" x14ac:dyDescent="0.25">
      <c r="B57"/>
      <c r="C57"/>
      <c r="D57" s="18"/>
      <c r="E57" s="400"/>
      <c r="F57" s="137"/>
      <c r="G57" s="42"/>
      <c r="H57" s="42"/>
      <c r="M57" s="303"/>
      <c r="N57" s="255"/>
      <c r="T57" s="303"/>
    </row>
    <row r="58" spans="1:26" x14ac:dyDescent="0.25">
      <c r="B58" t="s">
        <v>430</v>
      </c>
      <c r="C58" s="233" t="s">
        <v>366</v>
      </c>
      <c r="D58" s="18">
        <v>1</v>
      </c>
      <c r="E58" s="400">
        <v>0</v>
      </c>
      <c r="F58" s="137"/>
      <c r="G58" s="42">
        <f>E58</f>
        <v>0</v>
      </c>
      <c r="H58" s="42"/>
      <c r="M58" s="303"/>
      <c r="N58" s="255"/>
      <c r="T58" s="303"/>
    </row>
    <row r="59" spans="1:26" x14ac:dyDescent="0.25">
      <c r="B59" s="155" t="s">
        <v>430</v>
      </c>
      <c r="C59" s="232" t="s">
        <v>35</v>
      </c>
      <c r="D59" s="18">
        <f t="shared" ref="D59:D66" si="3">IF($L$12=1,3,2)</f>
        <v>3</v>
      </c>
      <c r="E59" s="400">
        <f>'[1]FLAT Unit Costs W Final Adj'!H38</f>
        <v>9.897416882797282E-5</v>
      </c>
      <c r="G59" s="42">
        <f t="shared" ref="G59:H66" si="4">IF($L$12=1,$E59*G$84,"")</f>
        <v>5.9861741931017736E-5</v>
      </c>
      <c r="H59" s="42">
        <f t="shared" si="4"/>
        <v>3.9112426896955077E-5</v>
      </c>
      <c r="M59" s="303"/>
      <c r="N59" s="255"/>
      <c r="T59" s="303"/>
    </row>
    <row r="60" spans="1:26" x14ac:dyDescent="0.25">
      <c r="C60"/>
      <c r="D60" s="18"/>
      <c r="E60" s="400"/>
      <c r="F60" s="137"/>
      <c r="G60" s="42"/>
      <c r="H60" s="42"/>
      <c r="M60" s="303"/>
      <c r="N60" s="255"/>
      <c r="T60" s="303"/>
    </row>
    <row r="61" spans="1:26" x14ac:dyDescent="0.25">
      <c r="B61" s="155" t="s">
        <v>430</v>
      </c>
      <c r="C61" s="232" t="s">
        <v>25</v>
      </c>
      <c r="D61" s="18">
        <f t="shared" si="3"/>
        <v>3</v>
      </c>
      <c r="E61" s="400">
        <f>'[1]FLAT Unit Costs W Final Adj'!H39</f>
        <v>6.0921291599919138E-2</v>
      </c>
      <c r="F61" s="137"/>
      <c r="G61" s="42">
        <f t="shared" si="4"/>
        <v>3.6846529544463692E-2</v>
      </c>
      <c r="H61" s="42">
        <f t="shared" si="4"/>
        <v>2.4074762055455442E-2</v>
      </c>
      <c r="M61" s="303"/>
      <c r="N61" s="255"/>
      <c r="T61" s="303"/>
    </row>
    <row r="62" spans="1:26" x14ac:dyDescent="0.25">
      <c r="B62" s="155" t="s">
        <v>430</v>
      </c>
      <c r="C62" s="232" t="s">
        <v>26</v>
      </c>
      <c r="D62" s="18">
        <f t="shared" si="3"/>
        <v>3</v>
      </c>
      <c r="E62" s="400">
        <f>'[1]FLAT Unit Costs W Final Adj'!H40</f>
        <v>0.12726693630994451</v>
      </c>
      <c r="F62" s="137"/>
      <c r="G62" s="42">
        <f t="shared" si="4"/>
        <v>7.6973826483744054E-2</v>
      </c>
      <c r="H62" s="42">
        <f t="shared" si="4"/>
        <v>5.0293109826200451E-2</v>
      </c>
      <c r="M62" s="303"/>
      <c r="N62" s="255"/>
      <c r="T62" s="303"/>
    </row>
    <row r="63" spans="1:26" s="7" customFormat="1" x14ac:dyDescent="0.25">
      <c r="A63" s="154"/>
      <c r="B63" s="155" t="s">
        <v>430</v>
      </c>
      <c r="C63" s="232" t="s">
        <v>27</v>
      </c>
      <c r="D63" s="18">
        <f t="shared" si="3"/>
        <v>3</v>
      </c>
      <c r="E63" s="400">
        <f>'[1]FLAT Unit Costs W Final Adj'!H41</f>
        <v>1.4729828625604801E-2</v>
      </c>
      <c r="F63" s="137"/>
      <c r="G63" s="42">
        <f t="shared" si="4"/>
        <v>8.9089225028668746E-3</v>
      </c>
      <c r="H63" s="42">
        <f t="shared" si="4"/>
        <v>5.8209061227379247E-3</v>
      </c>
      <c r="I63"/>
      <c r="M63" s="303"/>
      <c r="N63" s="255"/>
      <c r="P63"/>
      <c r="Q63"/>
      <c r="R63"/>
      <c r="S63"/>
      <c r="T63" s="303"/>
      <c r="U63"/>
      <c r="V63"/>
      <c r="W63"/>
      <c r="X63"/>
      <c r="Y63"/>
      <c r="Z63"/>
    </row>
    <row r="64" spans="1:26" s="157" customFormat="1" ht="13" x14ac:dyDescent="0.3">
      <c r="A64" s="154"/>
      <c r="B64" s="155" t="s">
        <v>430</v>
      </c>
      <c r="C64" s="232" t="s">
        <v>532</v>
      </c>
      <c r="D64" s="18">
        <f t="shared" si="3"/>
        <v>3</v>
      </c>
      <c r="E64" s="400">
        <f>'[1]FLAT Unit Costs W Final Adj'!H42</f>
        <v>0.12027960009992267</v>
      </c>
      <c r="F64" s="137"/>
      <c r="G64" s="42">
        <f t="shared" si="4"/>
        <v>7.2747732726729672E-2</v>
      </c>
      <c r="H64" s="42">
        <f t="shared" si="4"/>
        <v>4.7531867373192989E-2</v>
      </c>
      <c r="I64" s="7"/>
      <c r="M64" s="303"/>
      <c r="N64" s="255"/>
      <c r="P64"/>
      <c r="Q64"/>
      <c r="R64"/>
      <c r="S64"/>
      <c r="T64" s="303"/>
      <c r="U64"/>
      <c r="V64"/>
      <c r="W64"/>
      <c r="X64"/>
      <c r="Y64"/>
      <c r="Z64"/>
    </row>
    <row r="65" spans="1:26" s="1" customFormat="1" ht="13" x14ac:dyDescent="0.3">
      <c r="A65" s="154"/>
      <c r="B65" s="155" t="s">
        <v>430</v>
      </c>
      <c r="C65" s="232" t="s">
        <v>28</v>
      </c>
      <c r="D65" s="18">
        <f t="shared" si="3"/>
        <v>3</v>
      </c>
      <c r="E65" s="400">
        <f>'[1]FLAT Unit Costs W Final Adj'!H43</f>
        <v>0</v>
      </c>
      <c r="F65" s="137"/>
      <c r="G65" s="42">
        <f t="shared" si="4"/>
        <v>0</v>
      </c>
      <c r="H65" s="42">
        <f t="shared" si="4"/>
        <v>0</v>
      </c>
      <c r="I65" s="157"/>
      <c r="M65" s="303"/>
      <c r="N65" s="255"/>
      <c r="P65"/>
      <c r="Q65"/>
      <c r="R65"/>
      <c r="S65"/>
      <c r="T65" s="303"/>
      <c r="U65"/>
      <c r="V65"/>
      <c r="W65"/>
      <c r="X65"/>
      <c r="Y65"/>
      <c r="Z65"/>
    </row>
    <row r="66" spans="1:26" x14ac:dyDescent="0.25">
      <c r="B66" s="155" t="s">
        <v>430</v>
      </c>
      <c r="C66" s="232" t="s">
        <v>371</v>
      </c>
      <c r="D66" s="18">
        <f t="shared" si="3"/>
        <v>3</v>
      </c>
      <c r="E66" s="400">
        <f>'[1]FLAT Unit Costs W Final Adj'!H44</f>
        <v>4.2507372640577193E-5</v>
      </c>
      <c r="G66" s="42">
        <f t="shared" si="4"/>
        <v>2.5709388634508764E-5</v>
      </c>
      <c r="H66" s="42">
        <f t="shared" si="4"/>
        <v>1.6797984006068429E-5</v>
      </c>
      <c r="M66" s="303"/>
      <c r="N66" s="255"/>
      <c r="S66" s="155"/>
      <c r="T66" s="303"/>
    </row>
    <row r="67" spans="1:26" ht="13" x14ac:dyDescent="0.3">
      <c r="B67" t="s">
        <v>431</v>
      </c>
      <c r="C67" s="234" t="s">
        <v>53</v>
      </c>
      <c r="D67" s="18">
        <v>2</v>
      </c>
      <c r="E67" s="400">
        <f>'[1]FLAT Unit Costs W Final Adj'!H45</f>
        <v>1.7966945412407713</v>
      </c>
      <c r="F67" s="137"/>
      <c r="G67" s="42"/>
      <c r="H67" s="42">
        <f>E67</f>
        <v>1.7966945412407713</v>
      </c>
      <c r="I67" s="1"/>
      <c r="M67" s="303"/>
      <c r="N67" s="255"/>
      <c r="T67" s="303"/>
    </row>
    <row r="68" spans="1:26" x14ac:dyDescent="0.25">
      <c r="B68" t="s">
        <v>431</v>
      </c>
      <c r="C68" s="233" t="s">
        <v>373</v>
      </c>
      <c r="D68" s="18">
        <v>1</v>
      </c>
      <c r="E68" s="400">
        <f>'[1]FLAT Unit Costs W Final Adj'!H46</f>
        <v>3.641240335492734E-2</v>
      </c>
      <c r="F68" s="137"/>
      <c r="G68" s="42">
        <f>E68</f>
        <v>3.641240335492734E-2</v>
      </c>
      <c r="H68" s="42"/>
      <c r="M68" s="303"/>
      <c r="N68" s="255"/>
      <c r="T68" s="303"/>
    </row>
    <row r="69" spans="1:26" x14ac:dyDescent="0.25">
      <c r="B69" t="s">
        <v>431</v>
      </c>
      <c r="C69" s="277" t="s">
        <v>432</v>
      </c>
      <c r="D69" s="18">
        <v>2</v>
      </c>
      <c r="E69" s="400">
        <f>'[1]FLAT Unit Costs W Final Adj'!H47</f>
        <v>6.7007672176411508E-4</v>
      </c>
      <c r="H69" s="42">
        <f>E69</f>
        <v>6.7007672176411508E-4</v>
      </c>
      <c r="M69" s="303"/>
      <c r="N69" s="255"/>
      <c r="T69" s="303"/>
    </row>
    <row r="70" spans="1:26" x14ac:dyDescent="0.25">
      <c r="B70" t="s">
        <v>431</v>
      </c>
      <c r="C70" s="278" t="s">
        <v>47</v>
      </c>
      <c r="D70" s="18">
        <v>1</v>
      </c>
      <c r="E70" s="400">
        <f>'[1]FLAT Unit Costs W Final Adj'!H48</f>
        <v>6.6552474733770248E-4</v>
      </c>
      <c r="G70" s="42">
        <f>E70</f>
        <v>6.6552474733770248E-4</v>
      </c>
      <c r="M70" s="303"/>
      <c r="N70" s="255"/>
      <c r="S70" s="154"/>
      <c r="T70" s="303"/>
    </row>
    <row r="71" spans="1:26" x14ac:dyDescent="0.25">
      <c r="B71" t="s">
        <v>431</v>
      </c>
      <c r="C71" s="277" t="s">
        <v>433</v>
      </c>
      <c r="D71" s="18">
        <v>2</v>
      </c>
      <c r="E71" s="400">
        <f>'[1]FLAT Unit Costs W Final Adj'!H49</f>
        <v>3.6526272544294733E-2</v>
      </c>
      <c r="H71" s="42">
        <f>E71</f>
        <v>3.6526272544294733E-2</v>
      </c>
      <c r="M71" s="303"/>
      <c r="N71" s="255"/>
      <c r="S71" s="154"/>
      <c r="T71" s="303"/>
    </row>
    <row r="72" spans="1:26" x14ac:dyDescent="0.25">
      <c r="B72" t="s">
        <v>431</v>
      </c>
      <c r="C72" s="278" t="s">
        <v>434</v>
      </c>
      <c r="D72" s="18">
        <v>1</v>
      </c>
      <c r="E72" s="400">
        <f>'[1]FLAT Unit Costs W Final Adj'!H50</f>
        <v>0.18129127591737002</v>
      </c>
      <c r="G72" s="42">
        <f>E72</f>
        <v>0.18129127591737002</v>
      </c>
      <c r="H72" s="42"/>
      <c r="M72" s="303"/>
      <c r="N72" s="255"/>
      <c r="S72" s="154"/>
      <c r="T72" s="303"/>
    </row>
    <row r="73" spans="1:26" x14ac:dyDescent="0.25">
      <c r="B73" t="s">
        <v>431</v>
      </c>
      <c r="C73" s="232" t="s">
        <v>48</v>
      </c>
      <c r="D73" s="18">
        <f>IF($L$12=1,3,2)</f>
        <v>3</v>
      </c>
      <c r="E73" s="400">
        <f>'[1]FLAT Unit Costs W Final Adj'!H51</f>
        <v>0</v>
      </c>
      <c r="F73" s="137"/>
      <c r="G73" s="42">
        <f>IF($L$12=1,$E73*G$84,"")</f>
        <v>0</v>
      </c>
      <c r="H73" s="42">
        <f>IF($L$12=1,$E73*H$84,"")</f>
        <v>0</v>
      </c>
      <c r="M73" s="303"/>
      <c r="N73" s="255"/>
      <c r="T73" s="303"/>
    </row>
    <row r="74" spans="1:26" x14ac:dyDescent="0.25">
      <c r="B74" t="s">
        <v>431</v>
      </c>
      <c r="C74" s="233" t="s">
        <v>33</v>
      </c>
      <c r="D74" s="18">
        <v>1</v>
      </c>
      <c r="E74" s="400">
        <f>'[1]FLAT Unit Costs W Final Adj'!H52</f>
        <v>1.7028992648871015</v>
      </c>
      <c r="F74" s="137"/>
      <c r="G74" s="42">
        <f>E74</f>
        <v>1.7028992648871015</v>
      </c>
      <c r="H74" s="42"/>
      <c r="M74" s="303"/>
      <c r="N74" s="255"/>
      <c r="T74" s="303"/>
    </row>
    <row r="75" spans="1:26" x14ac:dyDescent="0.25">
      <c r="B75" t="s">
        <v>431</v>
      </c>
      <c r="C75" s="232" t="s">
        <v>34</v>
      </c>
      <c r="D75" s="18">
        <f>IF($L$12=1,3,2)</f>
        <v>3</v>
      </c>
      <c r="E75" s="400">
        <f>'[1]FLAT Unit Costs W Final Adj'!H53</f>
        <v>8.7411484211324442E-2</v>
      </c>
      <c r="F75" s="137"/>
      <c r="G75" s="42">
        <f>IF($L$12=1,$E75*G$84,"")</f>
        <v>5.2868377392088363E-2</v>
      </c>
      <c r="H75" s="42">
        <f>IF($L$12=1,$E75*H$84,"")</f>
        <v>3.4543106819236072E-2</v>
      </c>
      <c r="M75" s="303"/>
      <c r="N75" s="255"/>
      <c r="T75" s="303"/>
    </row>
    <row r="76" spans="1:26" x14ac:dyDescent="0.25">
      <c r="B76" t="s">
        <v>431</v>
      </c>
      <c r="C76" s="232" t="s">
        <v>35</v>
      </c>
      <c r="D76" s="18">
        <f>IF($L$12=1,3,2)</f>
        <v>3</v>
      </c>
      <c r="E76" s="400">
        <f>'[1]FLAT Unit Costs W Final Adj'!H54</f>
        <v>0.25525584957766828</v>
      </c>
      <c r="F76" s="137"/>
      <c r="G76" s="42">
        <f>IF($L$12=1,$E76*G$84,"")</f>
        <v>0.1543843204216179</v>
      </c>
      <c r="H76" s="42">
        <f>IF($L$12=1,$E76*H$84,"")</f>
        <v>0.10087152915605037</v>
      </c>
      <c r="M76" s="303"/>
      <c r="N76" s="255"/>
      <c r="T76" s="303"/>
    </row>
    <row r="77" spans="1:26" x14ac:dyDescent="0.25">
      <c r="B77" t="s">
        <v>431</v>
      </c>
      <c r="C77" s="235" t="s">
        <v>54</v>
      </c>
      <c r="D77" s="18">
        <v>4</v>
      </c>
      <c r="E77" s="400">
        <f>'[1]FLAT Unit Costs W Final Adj'!H55</f>
        <v>9.1969202885958182E-2</v>
      </c>
      <c r="F77" s="137"/>
      <c r="G77" s="42">
        <f>$E77*G$84</f>
        <v>5.5624985326521402E-2</v>
      </c>
      <c r="H77" s="42">
        <f>$E77*H$84</f>
        <v>3.6344217559436773E-2</v>
      </c>
      <c r="M77" s="303"/>
      <c r="N77" s="255"/>
      <c r="T77" s="303"/>
    </row>
    <row r="78" spans="1:26" x14ac:dyDescent="0.25">
      <c r="B78" t="s">
        <v>431</v>
      </c>
      <c r="C78" s="234" t="s">
        <v>435</v>
      </c>
      <c r="D78" s="18">
        <v>2</v>
      </c>
      <c r="E78" s="400">
        <f>'[1]FLAT Unit Costs W Final Adj'!H56</f>
        <v>6.7815117336297935E-4</v>
      </c>
      <c r="H78" s="42">
        <f>E78</f>
        <v>6.7815117336297935E-4</v>
      </c>
      <c r="M78" s="303"/>
      <c r="N78" s="255"/>
      <c r="S78" s="154"/>
      <c r="T78" s="303"/>
    </row>
    <row r="79" spans="1:26" x14ac:dyDescent="0.25">
      <c r="B79" t="s">
        <v>431</v>
      </c>
      <c r="C79" s="232" t="s">
        <v>49</v>
      </c>
      <c r="D79" s="18">
        <f>IF($L$12=1,3,2)</f>
        <v>3</v>
      </c>
      <c r="E79" s="400">
        <f>'[1]FLAT Unit Costs W Final Adj'!H57</f>
        <v>0</v>
      </c>
      <c r="G79" s="42">
        <f>IF($L$12=1,$E79*G$84,"")</f>
        <v>0</v>
      </c>
      <c r="H79" s="42">
        <f>IF($L$12=1,$E79*H$84,"")</f>
        <v>0</v>
      </c>
      <c r="M79" s="303"/>
      <c r="N79" s="255"/>
      <c r="T79" s="303"/>
    </row>
    <row r="80" spans="1:26" x14ac:dyDescent="0.25">
      <c r="E80" s="303"/>
      <c r="N80" s="255"/>
      <c r="R80" s="4"/>
    </row>
    <row r="81" spans="3:18" ht="13" x14ac:dyDescent="0.3">
      <c r="E81" s="401">
        <f>SUM(E11:E80)</f>
        <v>9.0720142344509966</v>
      </c>
      <c r="F81" s="41"/>
      <c r="G81" s="41">
        <f>SUM(G10:G79)</f>
        <v>5.4869526193357574</v>
      </c>
      <c r="H81" s="41">
        <f>SUM(H10:H79)</f>
        <v>3.5850616151152375</v>
      </c>
      <c r="M81" s="358"/>
      <c r="N81" s="255"/>
      <c r="R81" s="4"/>
    </row>
    <row r="82" spans="3:18" ht="13" x14ac:dyDescent="0.3">
      <c r="G82" s="14">
        <f>G81/$E$81</f>
        <v>0.60482187059396808</v>
      </c>
      <c r="H82" s="14">
        <f>H81/$E$81</f>
        <v>0.3951781294060317</v>
      </c>
      <c r="I82" s="4"/>
    </row>
    <row r="83" spans="3:18" x14ac:dyDescent="0.25">
      <c r="C83" s="133" t="s">
        <v>364</v>
      </c>
      <c r="E83" s="42">
        <f>G83+H83</f>
        <v>7.900143781982079</v>
      </c>
      <c r="G83" s="42">
        <f>SUMIF($D$11:$D$79,1,$E$11:$E$79)</f>
        <v>4.7781797401797075</v>
      </c>
      <c r="H83" s="42">
        <f>SUMIF($D$11:$D$79,2,$E$11:$E$79)</f>
        <v>3.1219640418023711</v>
      </c>
    </row>
    <row r="84" spans="3:18" x14ac:dyDescent="0.25">
      <c r="C84" s="133" t="s">
        <v>365</v>
      </c>
      <c r="G84" s="236">
        <f>G83/E83</f>
        <v>0.60482187059396819</v>
      </c>
      <c r="H84" s="236">
        <f>H83/E83</f>
        <v>0.39517812940603175</v>
      </c>
    </row>
  </sheetData>
  <pageMargins left="0.7" right="0.7" top="0.75" bottom="0.75" header="0.3" footer="0.3"/>
  <pageSetup scale="64" orientation="portrait" r:id="rId1"/>
  <ignoredErrors>
    <ignoredError sqref="G74 H32" formula="1"/>
  </ignoredErrors>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pageSetUpPr fitToPage="1"/>
  </sheetPr>
  <dimension ref="A1:L87"/>
  <sheetViews>
    <sheetView zoomScaleNormal="100" workbookViewId="0">
      <pane ySplit="8" topLeftCell="A9" activePane="bottomLeft" state="frozen"/>
      <selection activeCell="I103" sqref="I103"/>
      <selection pane="bottomLeft" activeCell="A9" sqref="A9"/>
    </sheetView>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2" ht="23" x14ac:dyDescent="0.5">
      <c r="A1" s="126" t="s">
        <v>338</v>
      </c>
    </row>
    <row r="2" spans="1:12" ht="18" x14ac:dyDescent="0.4">
      <c r="A2" s="5" t="s">
        <v>55</v>
      </c>
    </row>
    <row r="3" spans="1:12" s="7" customFormat="1" ht="12.75" customHeight="1" x14ac:dyDescent="0.3">
      <c r="A3" s="1"/>
      <c r="C3" s="134"/>
      <c r="D3" s="134"/>
      <c r="E3" s="135"/>
      <c r="F3" s="136"/>
      <c r="G3" s="137"/>
      <c r="H3" s="138"/>
      <c r="I3" s="138"/>
      <c r="J3" s="136"/>
    </row>
    <row r="4" spans="1:12"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2" s="7" customFormat="1" ht="12.75" customHeight="1" x14ac:dyDescent="0.3">
      <c r="A5" s="1"/>
      <c r="C5" s="134"/>
      <c r="D5" s="134"/>
      <c r="E5" s="135"/>
      <c r="F5" s="136"/>
      <c r="G5" s="137"/>
      <c r="H5" s="138"/>
      <c r="I5" s="138"/>
      <c r="J5" s="136"/>
      <c r="K5" s="1"/>
    </row>
    <row r="6" spans="1:12" ht="13" x14ac:dyDescent="0.3">
      <c r="D6" s="17" t="s">
        <v>251</v>
      </c>
      <c r="F6" s="139" t="s">
        <v>56</v>
      </c>
      <c r="H6" s="31" t="s">
        <v>57</v>
      </c>
      <c r="I6" s="31" t="s">
        <v>57</v>
      </c>
      <c r="J6" s="139" t="s">
        <v>3</v>
      </c>
      <c r="K6" s="139" t="s">
        <v>58</v>
      </c>
    </row>
    <row r="7" spans="1:12" ht="13" x14ac:dyDescent="0.3">
      <c r="C7" s="140"/>
      <c r="D7" s="17" t="s">
        <v>59</v>
      </c>
      <c r="E7" s="39" t="s">
        <v>60</v>
      </c>
      <c r="F7" s="139" t="s">
        <v>61</v>
      </c>
      <c r="G7" s="41" t="s">
        <v>62</v>
      </c>
      <c r="H7" s="31" t="s">
        <v>63</v>
      </c>
      <c r="I7" s="31" t="s">
        <v>63</v>
      </c>
      <c r="J7" s="139" t="s">
        <v>61</v>
      </c>
      <c r="K7" s="139" t="s">
        <v>61</v>
      </c>
    </row>
    <row r="8" spans="1:12" ht="13" x14ac:dyDescent="0.3">
      <c r="A8" s="36" t="s">
        <v>64</v>
      </c>
      <c r="C8" s="140" t="s">
        <v>7</v>
      </c>
      <c r="D8" s="140" t="s">
        <v>65</v>
      </c>
      <c r="E8" s="40" t="s">
        <v>66</v>
      </c>
      <c r="F8" s="141" t="s">
        <v>67</v>
      </c>
      <c r="G8" s="43" t="s">
        <v>68</v>
      </c>
      <c r="H8" s="37" t="s">
        <v>68</v>
      </c>
      <c r="I8" s="37" t="s">
        <v>69</v>
      </c>
      <c r="J8" s="141" t="s">
        <v>67</v>
      </c>
      <c r="K8" s="141" t="s">
        <v>67</v>
      </c>
    </row>
    <row r="9" spans="1:12" ht="13" x14ac:dyDescent="0.3">
      <c r="A9" s="36"/>
      <c r="C9" s="140"/>
      <c r="D9" s="140"/>
      <c r="E9" s="40"/>
      <c r="F9" s="141"/>
      <c r="G9" s="43"/>
      <c r="H9" s="37"/>
      <c r="I9" s="37"/>
      <c r="J9" s="141"/>
    </row>
    <row r="10" spans="1:12" ht="13" x14ac:dyDescent="0.3">
      <c r="A10" s="1" t="s">
        <v>252</v>
      </c>
      <c r="C10" s="140"/>
      <c r="D10" s="140"/>
      <c r="E10" s="40"/>
      <c r="F10" s="141"/>
      <c r="G10" s="43"/>
      <c r="H10" s="37"/>
      <c r="I10" s="37"/>
      <c r="J10" s="141"/>
    </row>
    <row r="11" spans="1:12" ht="13" x14ac:dyDescent="0.3">
      <c r="A11" s="36"/>
      <c r="B11" t="s">
        <v>234</v>
      </c>
      <c r="C11" s="151">
        <f>'BUNDLE SORT'!$I$10*('COVERAGE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C11*$J11/'MADC NONAUTO MODEL'!$G$6</f>
        <v>0</v>
      </c>
      <c r="L11" s="42"/>
    </row>
    <row r="12" spans="1:12" ht="13" x14ac:dyDescent="0.3">
      <c r="A12" s="36"/>
      <c r="B12" t="s">
        <v>529</v>
      </c>
      <c r="C12" s="151">
        <f>'BUNDLE SORT'!$I$10*('COVERAGE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C12*$J12/'MADC NONAUTO MODEL'!$G$6</f>
        <v>0</v>
      </c>
      <c r="L12" s="42"/>
    </row>
    <row r="13" spans="1:12" ht="13" x14ac:dyDescent="0.3">
      <c r="A13" s="36"/>
      <c r="B13" t="s">
        <v>70</v>
      </c>
      <c r="C13" s="151">
        <f>'BUNDLE SORT'!$J$10</f>
        <v>687.20420235915128</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C13*$J13/'MADC NONAUTO MODEL'!$G$6</f>
        <v>1.3938504965193799</v>
      </c>
      <c r="L13" s="42"/>
    </row>
    <row r="14" spans="1:12" ht="13" x14ac:dyDescent="0.3">
      <c r="A14" s="36"/>
      <c r="C14" s="151"/>
      <c r="D14" s="151"/>
      <c r="E14" s="135"/>
      <c r="F14" s="136"/>
      <c r="G14" s="137"/>
      <c r="H14" s="137"/>
      <c r="I14" s="138"/>
      <c r="J14" s="136"/>
      <c r="K14" s="42"/>
      <c r="L14" s="42"/>
    </row>
    <row r="15" spans="1:12" ht="13" x14ac:dyDescent="0.3">
      <c r="A15" s="1" t="s">
        <v>253</v>
      </c>
      <c r="C15" s="151"/>
      <c r="D15" s="151"/>
      <c r="E15" s="135"/>
      <c r="F15" s="136"/>
      <c r="G15" s="137"/>
      <c r="H15" s="137"/>
      <c r="I15" s="138"/>
      <c r="J15" s="136"/>
      <c r="K15" s="42"/>
      <c r="L15" s="42"/>
    </row>
    <row r="16" spans="1:12" s="7" customFormat="1" x14ac:dyDescent="0.25">
      <c r="B16" s="7" t="s">
        <v>234</v>
      </c>
      <c r="C16" s="151">
        <f>'BUNDLE SORT'!$M$10*('COVERAGE FACTORS'!$E$30/('COVERAGE FACTORS'!$E$30+'COVERAGE FACTORS'!$E$32))</f>
        <v>129.0089682232655</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C16*$J16/'MADC NONAUTO MODEL'!$G$6</f>
        <v>0.48720824842543792</v>
      </c>
      <c r="L16" s="42"/>
    </row>
    <row r="17" spans="1:12" ht="13" x14ac:dyDescent="0.3">
      <c r="A17" s="1"/>
      <c r="B17" t="s">
        <v>529</v>
      </c>
      <c r="C17" s="151">
        <f>'BUNDLE SORT'!$M$10*('COVERAGE FACTORS'!$E$32/('COVERAGE FACTORS'!$E$30+'COVERAGE FACTORS'!$E$32))</f>
        <v>155.95081722876151</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C17*$J17/'MADC NONAUTO MODEL'!$G$6</f>
        <v>0.68123186607327568</v>
      </c>
      <c r="L17" s="42"/>
    </row>
    <row r="18" spans="1:12" ht="13" x14ac:dyDescent="0.3">
      <c r="A18" s="1"/>
      <c r="B18" t="s">
        <v>70</v>
      </c>
      <c r="C18" s="151">
        <f>'BUNDLE SORT'!$N$10</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C18*$J18/'MADC NONAUTO MODEL'!$G$6</f>
        <v>0</v>
      </c>
      <c r="L18" s="42"/>
    </row>
    <row r="19" spans="1:12" ht="13" x14ac:dyDescent="0.3">
      <c r="A19" s="1"/>
      <c r="C19" s="151"/>
      <c r="D19" s="151"/>
      <c r="E19" s="135"/>
      <c r="F19" s="136"/>
      <c r="G19" s="137"/>
      <c r="H19" s="137"/>
      <c r="I19" s="138"/>
      <c r="J19" s="136"/>
      <c r="K19" s="42"/>
      <c r="L19" s="42"/>
    </row>
    <row r="20" spans="1:12" ht="13" x14ac:dyDescent="0.3">
      <c r="A20" s="1" t="s">
        <v>254</v>
      </c>
      <c r="C20" s="151"/>
      <c r="D20" s="151"/>
      <c r="E20" s="135"/>
      <c r="F20" s="136"/>
      <c r="G20" s="137"/>
      <c r="H20" s="137"/>
      <c r="I20" s="138"/>
      <c r="J20" s="136"/>
      <c r="K20" s="42"/>
      <c r="L20" s="42"/>
    </row>
    <row r="21" spans="1:12" ht="13" x14ac:dyDescent="0.3">
      <c r="A21" s="1"/>
      <c r="B21" t="s">
        <v>234</v>
      </c>
      <c r="C21" s="151">
        <f>'BUNDLE SORT'!$Q$10*('COVERAGE FACTORS'!$E$30/('COVERAGE FACTORS'!$E$30+'COVERAGE FACTORS'!$E$32))</f>
        <v>52.394200700695542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C21*$J21/'MADC NONAUTO MODEL'!$G$6</f>
        <v>0.19786908695261698</v>
      </c>
      <c r="L21" s="42"/>
    </row>
    <row r="22" spans="1:12" ht="13" x14ac:dyDescent="0.3">
      <c r="A22" s="1"/>
      <c r="B22" t="s">
        <v>529</v>
      </c>
      <c r="C22" s="151">
        <f>'BUNDLE SORT'!$Q$10*('COVERAGE FACTORS'!$E$32/('COVERAGE FACTORS'!$E$30+'COVERAGE FACTORS'!$E$32))</f>
        <v>63.336049654939217</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C22*$J22/'MADC NONAUTO MODEL'!$G$6</f>
        <v>0.27666758060557639</v>
      </c>
      <c r="L22" s="42"/>
    </row>
    <row r="23" spans="1:12" ht="13" x14ac:dyDescent="0.3">
      <c r="A23" s="1"/>
      <c r="B23" t="s">
        <v>70</v>
      </c>
      <c r="C23" s="151">
        <f>'BUNDLE SORT'!$R$10</f>
        <v>3.3375286529851516</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C23*$J23/'MADC NONAUTO MODEL'!$G$6</f>
        <v>6.7694812606511733E-3</v>
      </c>
      <c r="L23" s="42"/>
    </row>
    <row r="24" spans="1:12" ht="13" x14ac:dyDescent="0.3">
      <c r="A24" s="1"/>
      <c r="C24" s="151"/>
      <c r="D24" s="151"/>
      <c r="E24" s="135"/>
      <c r="F24" s="136"/>
      <c r="G24" s="137"/>
      <c r="H24" s="137"/>
      <c r="I24" s="138"/>
      <c r="J24" s="136"/>
      <c r="K24" s="42"/>
      <c r="L24" s="42"/>
    </row>
    <row r="25" spans="1:12" ht="13" x14ac:dyDescent="0.3">
      <c r="A25" s="1" t="s">
        <v>255</v>
      </c>
      <c r="C25" s="151"/>
      <c r="D25" s="151"/>
      <c r="E25" s="135"/>
      <c r="F25" s="136"/>
      <c r="G25" s="137"/>
      <c r="H25" s="137"/>
      <c r="I25" s="138"/>
      <c r="J25" s="136"/>
      <c r="K25" s="42"/>
      <c r="L25" s="42"/>
    </row>
    <row r="26" spans="1:12" ht="13" x14ac:dyDescent="0.3">
      <c r="A26" s="1"/>
      <c r="B26" t="s">
        <v>234</v>
      </c>
      <c r="C26" s="151">
        <f>'BUNDLE SORT'!$U$10*('COVERAGE FACTORS'!$E$30/('COVERAGE FACTORS'!$E$30+'COVERAGE FACTORS'!$E$32))</f>
        <v>6.9469343697262011E-4</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C26*$J26/'MADC NONAUTO MODEL'!$G$6</f>
        <v>2.6235414272466026E-6</v>
      </c>
      <c r="L26" s="42"/>
    </row>
    <row r="27" spans="1:12" ht="13" x14ac:dyDescent="0.3">
      <c r="A27" s="1"/>
      <c r="B27" t="s">
        <v>529</v>
      </c>
      <c r="C27" s="151">
        <f>'BUNDLE SORT'!$U$10*('COVERAGE FACTORS'!$E$32/('COVERAGE FACTORS'!$E$30+'COVERAGE FACTORS'!$E$32))</f>
        <v>8.3977114700929418E-4</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C27*$J27/'MADC NONAUTO MODEL'!$G$6</f>
        <v>3.6683287443916636E-6</v>
      </c>
      <c r="L27" s="42"/>
    </row>
    <row r="28" spans="1:12" ht="13" x14ac:dyDescent="0.3">
      <c r="A28" s="1"/>
      <c r="B28" t="s">
        <v>70</v>
      </c>
      <c r="C28" s="151">
        <f>'BUNDLE SORT'!$V$10</f>
        <v>0.15191199381420953</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C28*$J28/'MADC NONAUTO MODEL'!$G$6</f>
        <v>4.2914672565006287E-4</v>
      </c>
      <c r="L28" s="42"/>
    </row>
    <row r="29" spans="1:12" ht="13" x14ac:dyDescent="0.3">
      <c r="A29" s="1"/>
      <c r="C29" s="149"/>
      <c r="D29" s="149"/>
      <c r="E29" s="135"/>
      <c r="F29" s="136"/>
      <c r="G29" s="137"/>
      <c r="H29" s="138"/>
      <c r="I29" s="138"/>
      <c r="J29" s="136"/>
      <c r="K29" s="42"/>
      <c r="L29" s="42"/>
    </row>
    <row r="30" spans="1:12" ht="13" x14ac:dyDescent="0.3">
      <c r="A30" s="1" t="s">
        <v>71</v>
      </c>
      <c r="F30" s="42"/>
      <c r="H30" s="42"/>
      <c r="I30" s="42"/>
      <c r="J30" s="42"/>
      <c r="K30" s="42"/>
      <c r="L30" s="42"/>
    </row>
    <row r="31" spans="1:12" ht="13" x14ac:dyDescent="0.3">
      <c r="A31" s="36"/>
      <c r="B31" t="s">
        <v>72</v>
      </c>
      <c r="C31" s="2">
        <f>SUM('MADC NONAUTO MODEL'!$B$25:$B$29)</f>
        <v>5161.465141193662</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C31*$J31/'MADC NONAUTO MODEL'!$G$6</f>
        <v>2.6409548114097854</v>
      </c>
      <c r="L31" s="42"/>
    </row>
    <row r="32" spans="1:12" ht="13" x14ac:dyDescent="0.3">
      <c r="A32" s="36"/>
      <c r="B32" t="s">
        <v>244</v>
      </c>
      <c r="C32" s="2">
        <f>SUM('MADC NONAUTO MODEL'!$A$25:$A$29)</f>
        <v>1360.9969638186706</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C32*$J32/'MADC NONAUTO MODEL'!$G$6</f>
        <v>1.0262856502825117</v>
      </c>
      <c r="L32" s="42"/>
    </row>
    <row r="33" spans="1:12" ht="13" x14ac:dyDescent="0.3">
      <c r="A33" s="36"/>
      <c r="B33" t="s">
        <v>291</v>
      </c>
      <c r="C33" s="2">
        <f>SUM('MADC NONAUTO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C33*$J33/'MADC NONAUTO MODEL'!$G$6</f>
        <v>0</v>
      </c>
      <c r="L33" s="42"/>
    </row>
    <row r="34" spans="1:12" x14ac:dyDescent="0.25">
      <c r="B34" t="s">
        <v>292</v>
      </c>
      <c r="C34" s="2">
        <f>SUM('MADC NONAUTO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C34*$J34/'MADC NONAUTO MODEL'!$G$6</f>
        <v>0</v>
      </c>
      <c r="L34" s="42"/>
    </row>
    <row r="35" spans="1:12" x14ac:dyDescent="0.25">
      <c r="B35" t="s">
        <v>70</v>
      </c>
      <c r="C35" s="2">
        <f>SUM('MADC NONAUTO MODEL'!$M$25:$M$29)</f>
        <v>325.38965335792579</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C35*$J35/'MADC NONAUTO MODEL'!$G$6</f>
        <v>0.35157587806601737</v>
      </c>
      <c r="L35" s="42"/>
    </row>
    <row r="36" spans="1:12" x14ac:dyDescent="0.25">
      <c r="F36" s="42"/>
      <c r="H36" s="42"/>
      <c r="I36" s="42"/>
      <c r="J36" s="42"/>
      <c r="K36" s="42"/>
      <c r="L36" s="42"/>
    </row>
    <row r="37" spans="1:12" ht="13" x14ac:dyDescent="0.3">
      <c r="A37" s="1" t="s">
        <v>73</v>
      </c>
      <c r="F37" s="42"/>
      <c r="H37" s="42"/>
      <c r="I37" s="42"/>
      <c r="J37" s="42"/>
      <c r="K37" s="42"/>
      <c r="L37" s="42"/>
    </row>
    <row r="38" spans="1:12" ht="13" x14ac:dyDescent="0.3">
      <c r="A38" s="36"/>
      <c r="B38" t="s">
        <v>72</v>
      </c>
      <c r="C38" s="2">
        <f>SUM('MADC NONAUTO MODEL'!$B$38:$B$42)</f>
        <v>626.85581508756741</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C38*$J38/'MADC NONAUTO MODEL'!$G$6</f>
        <v>0.22241024680707905</v>
      </c>
      <c r="L38" s="42"/>
    </row>
    <row r="39" spans="1:12" ht="13" x14ac:dyDescent="0.3">
      <c r="A39" s="36"/>
      <c r="B39" t="s">
        <v>244</v>
      </c>
      <c r="C39" s="2">
        <f>SUM('MADC NONAUTO MODEL'!$A$38:$A$42)</f>
        <v>38.426047070613869</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C39*$J39/'MADC NONAUTO MODEL'!$G$6</f>
        <v>2.8975891757320293E-2</v>
      </c>
      <c r="L39" s="42"/>
    </row>
    <row r="40" spans="1:12" x14ac:dyDescent="0.25">
      <c r="B40" t="s">
        <v>291</v>
      </c>
      <c r="C40" s="2">
        <f>SUM('MADC NONAUTO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C40*$J40/'MADC NONAUTO MODEL'!$G$6</f>
        <v>0</v>
      </c>
      <c r="L40" s="42"/>
    </row>
    <row r="41" spans="1:12" x14ac:dyDescent="0.25">
      <c r="B41" t="s">
        <v>292</v>
      </c>
      <c r="C41" s="2">
        <f>SUM('MADC NONAUTO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C41*$J41/'MADC NONAUTO MODEL'!$G$6</f>
        <v>0</v>
      </c>
      <c r="L41" s="42"/>
    </row>
    <row r="42" spans="1:12" x14ac:dyDescent="0.25">
      <c r="B42" t="s">
        <v>70</v>
      </c>
      <c r="C42" s="2">
        <f>SUM('MADC NONAUTO MODEL'!$M$38:$M$42)</f>
        <v>87.21999584065847</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C42*$J42/'MADC NONAUTO MODEL'!$G$6</f>
        <v>0.11914103900206499</v>
      </c>
      <c r="L42" s="42"/>
    </row>
    <row r="43" spans="1:12" x14ac:dyDescent="0.25">
      <c r="F43" s="42"/>
      <c r="H43" s="42"/>
      <c r="I43" s="42"/>
      <c r="J43" s="42"/>
      <c r="K43" s="42"/>
      <c r="L43" s="42"/>
    </row>
    <row r="44" spans="1:12" ht="13" x14ac:dyDescent="0.3">
      <c r="A44" s="1" t="s">
        <v>74</v>
      </c>
      <c r="F44" s="42"/>
      <c r="H44" s="42"/>
      <c r="I44" s="42"/>
      <c r="J44" s="42"/>
      <c r="K44" s="42"/>
      <c r="L44" s="42"/>
    </row>
    <row r="45" spans="1:12" ht="13" x14ac:dyDescent="0.3">
      <c r="A45" s="36"/>
      <c r="B45" t="s">
        <v>72</v>
      </c>
      <c r="C45" s="2">
        <f>SUM('MADC NONAUTO MODEL'!$B$53:$B$57)</f>
        <v>4498.7075441593543</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C45*$J45/'MADC NONAUTO MODEL'!$G$6</f>
        <v>2.3011871812193805</v>
      </c>
      <c r="L45" s="42"/>
    </row>
    <row r="46" spans="1:12" ht="13" x14ac:dyDescent="0.3">
      <c r="A46" s="36"/>
      <c r="B46" t="s">
        <v>244</v>
      </c>
      <c r="C46" s="2">
        <f>SUM('MADC NONAUTO MODEL'!$A$53:$A$57)</f>
        <v>589.37598382855958</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C46*$J46/'MADC NONAUTO MODEL'!$G$6</f>
        <v>0.44443017207566426</v>
      </c>
      <c r="L46" s="42"/>
    </row>
    <row r="47" spans="1:12" x14ac:dyDescent="0.25">
      <c r="B47" t="s">
        <v>291</v>
      </c>
      <c r="C47" s="2">
        <f>SUM('MADC NONAUTO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C47*$J47/'MADC NONAUTO MODEL'!$G$6</f>
        <v>0</v>
      </c>
      <c r="L47" s="42"/>
    </row>
    <row r="48" spans="1:12" x14ac:dyDescent="0.25">
      <c r="B48" t="s">
        <v>292</v>
      </c>
      <c r="C48" s="2">
        <f>SUM('MADC NONAUTO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C48*$J48/'MADC NONAUTO MODEL'!$G$6</f>
        <v>0</v>
      </c>
      <c r="L48" s="42"/>
    </row>
    <row r="49" spans="1:12" x14ac:dyDescent="0.25">
      <c r="B49" t="s">
        <v>70</v>
      </c>
      <c r="C49" s="2">
        <f>SUM('MADC NONAUTO MODEL'!$M$53:$M$57)</f>
        <v>626.27317280054956</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C49*$J49/'MADC NONAUTO MODEL'!$G$6</f>
        <v>0.60568247225492822</v>
      </c>
      <c r="L49" s="42"/>
    </row>
    <row r="50" spans="1:12" x14ac:dyDescent="0.25">
      <c r="F50" s="42"/>
      <c r="H50" s="42"/>
      <c r="I50" s="42"/>
      <c r="J50" s="42"/>
      <c r="K50" s="42"/>
      <c r="L50" s="42"/>
    </row>
    <row r="51" spans="1:12" ht="13" x14ac:dyDescent="0.3">
      <c r="A51" s="1" t="s">
        <v>75</v>
      </c>
      <c r="F51" s="42"/>
      <c r="H51" s="42"/>
      <c r="I51" s="42"/>
      <c r="J51" s="42"/>
      <c r="K51" s="42"/>
      <c r="L51" s="42"/>
    </row>
    <row r="52" spans="1:12" ht="13" x14ac:dyDescent="0.3">
      <c r="A52" s="36"/>
      <c r="B52" t="s">
        <v>72</v>
      </c>
      <c r="C52" s="2">
        <f>SUM('MADC NONAUTO MODEL'!$B$64:$B$68)</f>
        <v>5199.9185644612571</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C52*$J52/'MADC NONAUTO MODEL'!$G$6</f>
        <v>2.0177544498248445</v>
      </c>
      <c r="L52" s="42"/>
    </row>
    <row r="53" spans="1:12" ht="13" x14ac:dyDescent="0.3">
      <c r="A53" s="36"/>
      <c r="B53" t="s">
        <v>244</v>
      </c>
      <c r="C53" s="2">
        <f>SUM('MADC NONAUTO MODEL'!$A$64:$A$68)</f>
        <v>902.72540739290059</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C53*$J53/'MADC NONAUTO MODEL'!$G$6</f>
        <v>0.68071726563836943</v>
      </c>
      <c r="L53" s="42"/>
    </row>
    <row r="54" spans="1:12" x14ac:dyDescent="0.25">
      <c r="B54" t="s">
        <v>291</v>
      </c>
      <c r="C54" s="2">
        <f>SUM('MADC NONAUTO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C54*$J54/'MADC NONAUTO MODEL'!$G$6</f>
        <v>0</v>
      </c>
      <c r="L54" s="42"/>
    </row>
    <row r="55" spans="1:12" x14ac:dyDescent="0.25">
      <c r="B55" t="s">
        <v>292</v>
      </c>
      <c r="C55" s="2">
        <f>SUM('MADC NONAUTO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C55*$J55/'MADC NONAUTO MODEL'!$G$6</f>
        <v>0</v>
      </c>
      <c r="L55" s="42"/>
    </row>
    <row r="56" spans="1:12" x14ac:dyDescent="0.25">
      <c r="B56" t="s">
        <v>70</v>
      </c>
      <c r="C56" s="2">
        <f>SUM('MADC NONAUTO MODEL'!$M$64:$M$68)</f>
        <v>577.91014902271968</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C56*$J56/'MADC NONAUTO MODEL'!$G$6</f>
        <v>0.64479835146205811</v>
      </c>
      <c r="L56" s="42"/>
    </row>
    <row r="57" spans="1:12" x14ac:dyDescent="0.25">
      <c r="F57" s="42"/>
      <c r="H57" s="42"/>
      <c r="I57" s="42"/>
      <c r="J57" s="42"/>
      <c r="K57" s="42"/>
      <c r="L57" s="42"/>
    </row>
    <row r="58" spans="1:12" ht="13" x14ac:dyDescent="0.3">
      <c r="A58" s="1" t="s">
        <v>76</v>
      </c>
      <c r="F58" s="42"/>
      <c r="H58" s="42"/>
      <c r="I58" s="42"/>
      <c r="J58" s="42"/>
      <c r="K58" s="42"/>
      <c r="L58" s="42"/>
    </row>
    <row r="59" spans="1:12" ht="13" x14ac:dyDescent="0.3">
      <c r="A59" s="36"/>
      <c r="B59" t="s">
        <v>72</v>
      </c>
      <c r="C59" s="2">
        <f ca="1">SUM('MADC NONAUTO MODEL'!$B$74:$B$78)+SUM('MADC NONAUTO MODEL'!$B$108:$B$112)</f>
        <v>726.88180707359345</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C59*$J59/'MADC NONAUTO MODEL'!$G$6</f>
        <v>0.52340185120929694</v>
      </c>
      <c r="L59" s="42"/>
    </row>
    <row r="60" spans="1:12" ht="13" x14ac:dyDescent="0.3">
      <c r="A60" s="36"/>
      <c r="B60" t="s">
        <v>244</v>
      </c>
      <c r="C60" s="2">
        <f ca="1">SUM('MADC NONAUTO MODEL'!$A$74:$A$78)+SUM('MADC NONAUTO MODEL'!$A$108:$A$112)</f>
        <v>44.557606168941703</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C60*$J60/'MADC NONAUTO MODEL'!$G$6</f>
        <v>3.3599510533674465E-2</v>
      </c>
      <c r="L60" s="42"/>
    </row>
    <row r="61" spans="1:12" x14ac:dyDescent="0.25">
      <c r="B61" t="s">
        <v>291</v>
      </c>
      <c r="C61" s="2">
        <f>SUM('MADC NONAUTO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C61*$J61/'MADC NONAUTO MODEL'!$G$6</f>
        <v>0</v>
      </c>
      <c r="L61" s="42"/>
    </row>
    <row r="62" spans="1:12" x14ac:dyDescent="0.25">
      <c r="B62" t="s">
        <v>292</v>
      </c>
      <c r="C62" s="2">
        <f>SUM('MADC NONAUTO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C62*$J62/'MADC NONAUTO MODEL'!$G$6</f>
        <v>0</v>
      </c>
      <c r="L62" s="42"/>
    </row>
    <row r="63" spans="1:12" x14ac:dyDescent="0.25">
      <c r="B63" t="s">
        <v>70</v>
      </c>
      <c r="C63" s="2">
        <f ca="1">SUM('MADC NONAUTO MODEL'!$M$74:$M$78)</f>
        <v>107.05590122685214</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C63*$J63/'MADC NONAUTO MODEL'!$G$6</f>
        <v>9.5229480901599994E-2</v>
      </c>
      <c r="L63" s="42"/>
    </row>
    <row r="64" spans="1:12" ht="13" x14ac:dyDescent="0.3">
      <c r="A64" s="36"/>
      <c r="F64" s="42"/>
      <c r="H64" s="42"/>
      <c r="I64" s="42"/>
      <c r="J64" s="42"/>
      <c r="K64" s="42"/>
      <c r="L64" s="42"/>
    </row>
    <row r="65" spans="1:12" ht="13" x14ac:dyDescent="0.3">
      <c r="A65" s="1" t="s">
        <v>77</v>
      </c>
      <c r="F65" s="42"/>
      <c r="H65" s="42"/>
      <c r="I65" s="42"/>
      <c r="J65" s="42"/>
      <c r="K65" s="42"/>
      <c r="L65" s="42"/>
    </row>
    <row r="66" spans="1:12" ht="13" x14ac:dyDescent="0.3">
      <c r="A66" s="36"/>
      <c r="B66" t="s">
        <v>72</v>
      </c>
      <c r="C66" s="2">
        <f ca="1">SUM('MADC NONAUTO MODEL'!$B$83:$B$87)+SUM('MADC NONAUTO MODEL'!$B$122:$B$126)</f>
        <v>8546.2705150357524</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C66*$J66/'MADC NONAUTO MODEL'!$G$6</f>
        <v>3.7004702112294718</v>
      </c>
      <c r="L66" s="42"/>
    </row>
    <row r="67" spans="1:12" ht="13" x14ac:dyDescent="0.3">
      <c r="A67" s="36"/>
      <c r="B67" t="s">
        <v>244</v>
      </c>
      <c r="C67" s="2">
        <f ca="1">SUM('MADC NONAUTO MODEL'!$A$83:$A$87)+SUM('MADC NONAUTO MODEL'!$A$122:$A$126)</f>
        <v>649.65599484229097</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C67*$J67/'MADC NONAUTO MODEL'!$G$6</f>
        <v>0.48988546106373482</v>
      </c>
      <c r="L67" s="42"/>
    </row>
    <row r="68" spans="1:12" x14ac:dyDescent="0.25">
      <c r="B68" t="s">
        <v>291</v>
      </c>
      <c r="C68" s="2">
        <f>SUM('MADC NONAUTO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C68*$J68/'MADC NONAUTO MODEL'!$G$6</f>
        <v>0</v>
      </c>
      <c r="L68" s="42"/>
    </row>
    <row r="69" spans="1:12" x14ac:dyDescent="0.25">
      <c r="B69" t="s">
        <v>292</v>
      </c>
      <c r="C69" s="2">
        <f>SUM('MADC NONAUTO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C69*$J69/'MADC NONAUTO MODEL'!$G$6</f>
        <v>0</v>
      </c>
      <c r="L69" s="42"/>
    </row>
    <row r="70" spans="1:12" x14ac:dyDescent="0.25">
      <c r="B70" t="s">
        <v>70</v>
      </c>
      <c r="C70" s="2">
        <f ca="1">SUM('MADC NONAUTO MODEL'!$M$83:$M$87)</f>
        <v>1968.1019810669691</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C70*$J70/'MADC NONAUTO MODEL'!$G$6</f>
        <v>1.951467212142695</v>
      </c>
      <c r="L70" s="42"/>
    </row>
    <row r="71" spans="1:12" x14ac:dyDescent="0.25">
      <c r="F71" s="42"/>
      <c r="H71" s="42"/>
      <c r="I71" s="42"/>
      <c r="J71" s="42"/>
      <c r="K71" s="42"/>
      <c r="L71" s="42"/>
    </row>
    <row r="72" spans="1:12" ht="13" x14ac:dyDescent="0.3">
      <c r="A72" s="1" t="s">
        <v>368</v>
      </c>
      <c r="F72" s="42"/>
      <c r="H72" s="42"/>
      <c r="I72" s="42"/>
      <c r="J72" s="42"/>
      <c r="K72" s="42"/>
      <c r="L72" s="42"/>
    </row>
    <row r="73" spans="1:12" x14ac:dyDescent="0.25">
      <c r="B73" t="s">
        <v>366</v>
      </c>
      <c r="C73" s="2">
        <v>0</v>
      </c>
      <c r="D73" s="2">
        <v>0</v>
      </c>
      <c r="E73" s="38">
        <v>0</v>
      </c>
      <c r="F73" s="42">
        <v>0</v>
      </c>
      <c r="G73" s="42">
        <v>0</v>
      </c>
      <c r="H73" s="42">
        <v>0</v>
      </c>
      <c r="I73" s="42">
        <v>0</v>
      </c>
      <c r="J73" s="42">
        <v>0</v>
      </c>
      <c r="K73" s="42">
        <v>0</v>
      </c>
      <c r="L73" s="42"/>
    </row>
    <row r="74" spans="1:12" x14ac:dyDescent="0.25">
      <c r="B74" t="s">
        <v>244</v>
      </c>
      <c r="C74" s="2">
        <f ca="1">SUM('MADC NONAUTO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C74*$J74/'MADC NONAUTO MODEL'!$G$6</f>
        <v>0</v>
      </c>
      <c r="L74" s="42"/>
    </row>
    <row r="75" spans="1:12" x14ac:dyDescent="0.25">
      <c r="L75" s="42"/>
    </row>
    <row r="76" spans="1:12" x14ac:dyDescent="0.25">
      <c r="B76" s="155" t="s">
        <v>486</v>
      </c>
      <c r="C76" s="2">
        <f>SUM('MADC NONAUTO MODEL'!C26,'MADC NONAUTO MODEL'!I26,'MADC NONAUTO MODEL'!C39,'MADC NONAUTO MODEL'!I39,'MADC NONAUTO MODEL'!C54,'MADC NONAUTO MODEL'!I54,'MADC NONAUTO MODEL'!C65,'MADC NONAUTO MODEL'!I65,'MADC NONAUTO MODEL'!C75,'MADC NONAUTO MODEL'!I75,'MADC NONAUTO MODEL'!C84,'MADC NONAUTO MODEL'!I84,)</f>
        <v>9961.9480542876718</v>
      </c>
      <c r="D76" s="2">
        <f>PRODUCTIVITIES!$C$49*'FY VOLUME NONAUTO'!C61</f>
        <v>1334.4176110054964</v>
      </c>
      <c r="E76" s="38">
        <f>'WAGE RATES'!$C$6</f>
        <v>50.10717457546064</v>
      </c>
      <c r="F76" s="42">
        <f t="shared" ref="F76:F77" si="0">E76*100/D76</f>
        <v>3.7549845087629206</v>
      </c>
      <c r="G76" s="42">
        <f>PIGGYBACKS!$B$13</f>
        <v>1.6305774272183733</v>
      </c>
      <c r="H76" s="42">
        <f>'WAGE RATES'!$C$9</f>
        <v>0.9752031228402912</v>
      </c>
      <c r="I76" s="42">
        <f t="shared" ref="I76:I77" si="1">(H76-1)*F76</f>
        <v>-9.3111889600403619E-2</v>
      </c>
      <c r="J76" s="42">
        <f t="shared" ref="J76:J77" si="2">F76*G76+I76</f>
        <v>6.0296810899430868</v>
      </c>
      <c r="K76" s="42">
        <f ca="1">C76*$J76/'5D AUTO MODEL'!$G$6</f>
        <v>6.0067369801933701</v>
      </c>
      <c r="L76" s="42"/>
    </row>
    <row r="77" spans="1:12" x14ac:dyDescent="0.25">
      <c r="B77" s="155" t="s">
        <v>491</v>
      </c>
      <c r="C77" s="2">
        <f ca="1">SUM(C31,C33,C34,C38,C40,C41,C45,C47,C48,C52,C54,C55,C59,C61,C62,C66,C68,C69)-C76</f>
        <v>14798.151332723517</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5.6493566539319549</v>
      </c>
      <c r="L77" s="42"/>
    </row>
    <row r="78" spans="1:12" ht="13.5" thickBot="1" x14ac:dyDescent="0.35">
      <c r="F78" s="42"/>
      <c r="H78" s="42"/>
      <c r="I78" s="42"/>
      <c r="J78" s="42"/>
      <c r="K78" s="41" t="str">
        <f>"(10)"</f>
        <v>(10)</v>
      </c>
    </row>
    <row r="79" spans="1:12" ht="13.5" thickBot="1" x14ac:dyDescent="0.35">
      <c r="F79" s="42"/>
      <c r="H79" s="42"/>
      <c r="I79" s="42"/>
      <c r="J79" s="142" t="s">
        <v>78</v>
      </c>
      <c r="K79" s="143">
        <f ca="1">SUM(K11:K77)</f>
        <v>32.578092969438579</v>
      </c>
      <c r="L79" s="42"/>
    </row>
    <row r="80" spans="1:12" ht="13.5" thickBot="1" x14ac:dyDescent="0.35">
      <c r="J80" s="142" t="s">
        <v>485</v>
      </c>
      <c r="K80" s="143">
        <f ca="1">SUM(K31,K33,K34,K38,K40,K41,K45,K47,K48,K52,K54,K55,K59,K61,K62,K66,K68,K69,K76,K77)</f>
        <v>23.062272385825182</v>
      </c>
    </row>
    <row r="83" spans="1:8" ht="13" x14ac:dyDescent="0.3">
      <c r="A83" s="145" t="str">
        <f>"(1)"</f>
        <v>(1)</v>
      </c>
      <c r="B83" s="1" t="s">
        <v>399</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4</oddFooter>
  </headerFooter>
  <ignoredErrors>
    <ignoredError sqref="E4" numberStoredAsText="1"/>
  </ignoredErrors>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'MADC NONAUTO COST'!A1</f>
        <v>MADC NONAUTO PRESORT</v>
      </c>
    </row>
    <row r="2" spans="1:30" ht="23" x14ac:dyDescent="0.5">
      <c r="A2" s="57" t="s">
        <v>84</v>
      </c>
    </row>
    <row r="6" spans="1:30" s="228" customFormat="1" ht="18" x14ac:dyDescent="0.4">
      <c r="A6" s="48" t="s">
        <v>85</v>
      </c>
      <c r="B6" s="226"/>
      <c r="C6" s="49">
        <f>SUM(C11:C16)+SUM(G11:G16)+SUM(K11:K16)+SUM(O11:O16)</f>
        <v>9999.9999999999982</v>
      </c>
      <c r="D6" s="227"/>
      <c r="E6" s="48" t="s">
        <v>86</v>
      </c>
      <c r="F6" s="226"/>
      <c r="G6" s="49">
        <f ca="1">D88+J88+O88+D100+D127</f>
        <v>10000.000000000016</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v>0</v>
      </c>
      <c r="D11" s="59"/>
      <c r="E11" s="28"/>
      <c r="F11" s="61" t="s">
        <v>89</v>
      </c>
      <c r="G11" s="62">
        <f>'ENTRY PROFILE'!K5+'ENTRY PROFILE'!K6+'ENTRY PROFILE'!K7+'ENTRY PROFILE'!K8+'ENTRY PROFILE'!K9+'ENTRY PROFILE'!L5+'ENTRY PROFILE'!L9</f>
        <v>5105.5264047958044</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v>0</v>
      </c>
      <c r="E13" s="18"/>
      <c r="F13" s="63" t="s">
        <v>97</v>
      </c>
      <c r="G13" s="64">
        <f>'ENTRY PROFILE'!L6+'ENTRY PROFILE'!O6+'ENTRY PROFILE'!O7+'ENTRY PROFILE'!O8+'ENTRY PROFILE'!P6</f>
        <v>1542.1623405249895</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f>'ENTRY PROFILE'!L7+'ENTRY PROFILE'!P7+'ENTRY PROFILE'!S7+'ENTRY PROFILE'!S8+'ENTRY PROFILE'!T7</f>
        <v>2733.1477070618384</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f>'ENTRY PROFILE'!L8+'ENTRY PROFILE'!P8+'ENTRY PROFILE'!T8+'ENTRY PROFILE'!W8+'ENTRY PROFILE'!X8</f>
        <v>619.16354761736739</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316.56424063857884</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1360.9969638186706</v>
      </c>
      <c r="B26" s="86">
        <f>C26*(1+'ACCEPT RATES'!F14)</f>
        <v>5161.465141193662</v>
      </c>
      <c r="C26" s="85">
        <f>G11*('COVERAGE FACTORS'!E14+'COVERAGE FACTORS'!E18)</f>
        <v>5096.7009920764585</v>
      </c>
      <c r="G26" s="194">
        <f>H26*(1-'ACCEPT RATES'!D19)</f>
        <v>0</v>
      </c>
      <c r="H26" s="86">
        <f>I26</f>
        <v>0</v>
      </c>
      <c r="I26" s="85">
        <f>G11*'COVERAGE FACTORS'!E16</f>
        <v>0</v>
      </c>
      <c r="J26" s="58"/>
      <c r="L26"/>
      <c r="M26" s="86">
        <f>N26</f>
        <v>8.825412719346982</v>
      </c>
      <c r="N26" s="85">
        <f>G11*'COVERAGE FACTORS'!E20</f>
        <v>8.825412719346982</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316.56424063857884</v>
      </c>
      <c r="N29" s="206">
        <f>D23+J23</f>
        <v>316.56424063857884</v>
      </c>
      <c r="P29" s="20"/>
      <c r="Q29" s="109"/>
      <c r="S29" s="20"/>
      <c r="U29" s="20"/>
      <c r="Y29"/>
      <c r="Z29"/>
      <c r="AA29"/>
      <c r="AB29"/>
      <c r="AC29"/>
      <c r="AD29"/>
    </row>
    <row r="30" spans="1:30" ht="13" x14ac:dyDescent="0.3">
      <c r="A30" s="114"/>
      <c r="C30" s="98"/>
      <c r="D30" s="196">
        <f>(SUM(C25:C29)-D23)*'PIECE DENSITIES'!C6</f>
        <v>612.09771401449996</v>
      </c>
      <c r="E30" s="24" t="s">
        <v>290</v>
      </c>
      <c r="G30" s="114"/>
      <c r="I30" s="99"/>
      <c r="J30" s="201">
        <f>(SUM(I25:I29)-J23)*'PIECE DENSITIES'!C11</f>
        <v>0</v>
      </c>
      <c r="K30" s="24" t="s">
        <v>289</v>
      </c>
      <c r="L30"/>
      <c r="M30" s="20"/>
      <c r="O30" s="96">
        <f>SUM(N25:N29)*'PIECE DENSITIES'!C16</f>
        <v>29.115127430352956</v>
      </c>
      <c r="P30" s="24" t="s">
        <v>120</v>
      </c>
      <c r="Q30" s="109"/>
      <c r="S30" s="20"/>
      <c r="U30" s="20"/>
      <c r="Y30"/>
      <c r="Z30"/>
      <c r="AA30"/>
      <c r="AB30"/>
      <c r="AC30"/>
      <c r="AD30"/>
    </row>
    <row r="31" spans="1:30" ht="13" x14ac:dyDescent="0.3">
      <c r="A31" s="114"/>
      <c r="C31" s="98"/>
      <c r="D31" s="196">
        <f>(SUM(C25:C29)-D23)*'PIECE DENSITIES'!D6</f>
        <v>2477.588522335795</v>
      </c>
      <c r="E31" s="24" t="s">
        <v>121</v>
      </c>
      <c r="G31" s="114"/>
      <c r="I31" s="99"/>
      <c r="J31" s="201">
        <f>(SUM(I25:I29)-J23)*'PIECE DENSITIES'!D11</f>
        <v>0</v>
      </c>
      <c r="K31" s="24" t="s">
        <v>122</v>
      </c>
      <c r="L31"/>
      <c r="M31" s="20"/>
      <c r="O31" s="96">
        <f>SUM(N25:N29)*'PIECE DENSITIES'!D16</f>
        <v>188.93807733323686</v>
      </c>
      <c r="P31" s="24" t="s">
        <v>123</v>
      </c>
      <c r="Q31" s="109"/>
      <c r="S31" s="20"/>
      <c r="U31" s="20"/>
      <c r="Y31"/>
      <c r="Z31"/>
      <c r="AA31"/>
      <c r="AB31"/>
      <c r="AC31"/>
      <c r="AD31"/>
    </row>
    <row r="32" spans="1:30" ht="13" x14ac:dyDescent="0.3">
      <c r="A32" s="114"/>
      <c r="C32" s="89"/>
      <c r="D32" s="197">
        <f>(SUM(C25:C29)-D23)*'PIECE DENSITIES'!E6</f>
        <v>1338.0738070080363</v>
      </c>
      <c r="E32" s="24" t="s">
        <v>124</v>
      </c>
      <c r="G32" s="114"/>
      <c r="I32" s="94"/>
      <c r="J32" s="202">
        <f>(SUM(I25:I29)-J23)*'PIECE DENSITIES'!E11</f>
        <v>0</v>
      </c>
      <c r="K32" s="24" t="s">
        <v>125</v>
      </c>
      <c r="L32"/>
      <c r="M32" s="20"/>
      <c r="N32" s="46"/>
      <c r="O32" s="97">
        <f>SUM(N25:N29)*'PIECE DENSITIES'!E16</f>
        <v>83.236972965066471</v>
      </c>
      <c r="P32" s="24" t="s">
        <v>126</v>
      </c>
      <c r="Q32" s="109"/>
      <c r="S32" s="20"/>
      <c r="U32" s="20"/>
      <c r="Y32"/>
      <c r="Z32"/>
      <c r="AA32"/>
      <c r="AB32"/>
      <c r="AC32"/>
      <c r="AD32"/>
    </row>
    <row r="33" spans="1:30" ht="13" x14ac:dyDescent="0.3">
      <c r="A33" s="114"/>
      <c r="C33" s="89"/>
      <c r="D33" s="197">
        <f>(SUM(C25:C29)-D23)*'PIECE DENSITIES'!F6</f>
        <v>352.37670807954873</v>
      </c>
      <c r="E33" s="24" t="s">
        <v>127</v>
      </c>
      <c r="G33" s="114"/>
      <c r="I33" s="94"/>
      <c r="J33" s="202">
        <f>(SUM(I25:I29)-J23)*'PIECE DENSITIES'!F11</f>
        <v>0</v>
      </c>
      <c r="K33" s="24" t="s">
        <v>128</v>
      </c>
      <c r="L33"/>
      <c r="M33" s="20"/>
      <c r="N33" s="46"/>
      <c r="O33" s="97">
        <f>SUM(N25:N29)*'PIECE DENSITIES'!F16</f>
        <v>24.099475629269552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58.104868410305521</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38.426047070613869</v>
      </c>
      <c r="B42" s="199">
        <f>C42*(1+'ACCEPT RATES'!F15+'PIECE DENSITIES'!C7)</f>
        <v>626.85581508756741</v>
      </c>
      <c r="C42" s="198">
        <f>D30</f>
        <v>612.09771401449996</v>
      </c>
      <c r="G42" s="205">
        <f>IF(SUM(C11:C16)&gt;0,H42*(1-'ACCEPT RATES'!C20),H42*(1-'ACCEPT RATES'!D20))</f>
        <v>0</v>
      </c>
      <c r="H42" s="204">
        <f>I42*(1+'PIECE DENSITIES'!C12)</f>
        <v>0</v>
      </c>
      <c r="I42" s="203">
        <f>J30</f>
        <v>0</v>
      </c>
      <c r="J42" s="58"/>
      <c r="L42"/>
      <c r="M42" s="102">
        <f>N42</f>
        <v>87.21999584065847</v>
      </c>
      <c r="N42" s="101">
        <f>D36+J36+O30</f>
        <v>87.21999584065847</v>
      </c>
      <c r="P42" s="20"/>
      <c r="Q42" s="109"/>
      <c r="S42" s="20"/>
      <c r="U42" s="20"/>
      <c r="Y42"/>
      <c r="Z42"/>
      <c r="AA42"/>
      <c r="AB42"/>
      <c r="AC42"/>
      <c r="AD42"/>
    </row>
    <row r="43" spans="1:30" ht="13" x14ac:dyDescent="0.3">
      <c r="A43" s="114"/>
      <c r="C43" s="98"/>
      <c r="D43" s="196">
        <f>(SUM(C38:C42)-D36)*'PIECE DENSITIES'!D7</f>
        <v>457.48379072106036</v>
      </c>
      <c r="E43" s="24" t="s">
        <v>121</v>
      </c>
      <c r="G43" s="114"/>
      <c r="I43" s="99"/>
      <c r="J43" s="201">
        <f>(SUM(I38:I42)-J36)*'PIECE DENSITIES'!D12</f>
        <v>0</v>
      </c>
      <c r="K43" s="24" t="s">
        <v>122</v>
      </c>
      <c r="L43"/>
      <c r="M43" s="20"/>
      <c r="O43" s="96">
        <f>SUM(N38:N42)*'PIECE DENSITIES'!D17</f>
        <v>61.738117275751129</v>
      </c>
      <c r="P43" s="24" t="s">
        <v>123</v>
      </c>
      <c r="Q43" s="109"/>
      <c r="S43" s="20"/>
      <c r="U43" s="20"/>
      <c r="Y43"/>
      <c r="Z43"/>
      <c r="AA43"/>
      <c r="AB43"/>
      <c r="AC43"/>
      <c r="AD43"/>
    </row>
    <row r="44" spans="1:30" ht="13" x14ac:dyDescent="0.3">
      <c r="A44" s="114"/>
      <c r="C44" s="98"/>
      <c r="D44" s="196">
        <f>(SUM(C38:C42)-D36)*'PIECE DENSITIES'!E7</f>
        <v>38.234025438060883</v>
      </c>
      <c r="E44" s="24" t="s">
        <v>124</v>
      </c>
      <c r="G44" s="114"/>
      <c r="I44" s="99"/>
      <c r="J44" s="201">
        <f>(SUM(I38:I42)-J36)*'PIECE DENSITIES'!E12</f>
        <v>0</v>
      </c>
      <c r="K44" s="24" t="s">
        <v>125</v>
      </c>
      <c r="L44"/>
      <c r="M44" s="20"/>
      <c r="O44" s="96">
        <f>SUM(N38:N42)*'PIECE DENSITIES'!E17</f>
        <v>0.27066437316465791</v>
      </c>
      <c r="P44" s="24" t="s">
        <v>126</v>
      </c>
      <c r="Q44" s="109"/>
      <c r="S44" s="20"/>
      <c r="U44" s="20"/>
      <c r="Y44"/>
      <c r="Z44"/>
      <c r="AA44"/>
      <c r="AB44"/>
      <c r="AC44"/>
      <c r="AD44"/>
    </row>
    <row r="45" spans="1:30" ht="13" x14ac:dyDescent="0.3">
      <c r="A45" s="114"/>
      <c r="C45" s="89"/>
      <c r="D45" s="197">
        <f>(SUM(C38:C42)-D36)*'PIECE DENSITIES'!F7</f>
        <v>4.0726214659780746</v>
      </c>
      <c r="E45" s="24" t="s">
        <v>127</v>
      </c>
      <c r="G45" s="114"/>
      <c r="I45" s="94"/>
      <c r="J45" s="202">
        <f>(SUM(I38:I42)-J36)*'PIECE DENSITIES'!F12</f>
        <v>0</v>
      </c>
      <c r="K45" s="24" t="s">
        <v>128</v>
      </c>
      <c r="L45"/>
      <c r="M45" s="20"/>
      <c r="N45" s="46"/>
      <c r="O45" s="97">
        <f>SUM(N38:N42)*'PIECE DENSITIES'!F17</f>
        <v>1.7326782313611566</v>
      </c>
      <c r="P45" s="24" t="s">
        <v>129</v>
      </c>
      <c r="Q45" s="109"/>
      <c r="S45" s="20"/>
      <c r="U45" s="20"/>
      <c r="Y45"/>
      <c r="Z45"/>
      <c r="AA45"/>
      <c r="AB45"/>
      <c r="AC45"/>
      <c r="AD45"/>
    </row>
    <row r="46" spans="1:30" ht="13" x14ac:dyDescent="0.3">
      <c r="A46" s="114"/>
      <c r="C46" s="89"/>
      <c r="D46" s="197">
        <f>(SUM(C38:C42)-D36)*'PIECE DENSITIES'!G7</f>
        <v>54.20240797909517</v>
      </c>
      <c r="E46" s="24" t="s">
        <v>130</v>
      </c>
      <c r="G46" s="114"/>
      <c r="I46" s="94"/>
      <c r="J46" s="202">
        <f>(SUM(I38:I42)-J36)*'PIECE DENSITIES'!G12</f>
        <v>0</v>
      </c>
      <c r="K46" s="24" t="s">
        <v>288</v>
      </c>
      <c r="L46"/>
      <c r="M46" s="20"/>
      <c r="N46" s="46"/>
      <c r="O46" s="97">
        <f>SUM(N38:N42)*'PIECE DENSITIES'!G17</f>
        <v>23.478535960381528</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348.86191797007399</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408.59416075372775</v>
      </c>
      <c r="B54" s="86">
        <f>C54*(1+'ACCEPT RATES'!F16+'PIECE DENSITIES'!D8)</f>
        <v>1549.5585763162846</v>
      </c>
      <c r="C54" s="85">
        <f>G13*('COVERAGE FACTORS'!E38+'COVERAGE FACTORS'!E42)</f>
        <v>1532.9535752412107</v>
      </c>
      <c r="G54" s="194">
        <f>H54*(1-'ACCEPT RATES'!D21)</f>
        <v>0</v>
      </c>
      <c r="H54" s="86">
        <f>I54*(1+'PIECE DENSITIES'!D13)</f>
        <v>0</v>
      </c>
      <c r="I54" s="85">
        <f>G13*'COVERAGE FACTORS'!E40</f>
        <v>0</v>
      </c>
      <c r="J54" s="58"/>
      <c r="L54"/>
      <c r="M54" s="86">
        <f>N54</f>
        <v>9.2087652837809983</v>
      </c>
      <c r="N54" s="85">
        <f>G13*'COVERAGE FACTORS'!E44</f>
        <v>9.2087652837809983</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180.78182307483181</v>
      </c>
      <c r="B57" s="199">
        <f>C57*(1+'ACCEPT RATES'!F16+'PIECE DENSITIES'!D8)</f>
        <v>2949.1489678430694</v>
      </c>
      <c r="C57" s="198">
        <f>(D31+D43)*('COVERAGE FACTORS'!E38+'COVERAGE FACTORS'!E42)</f>
        <v>2917.5460181191529</v>
      </c>
      <c r="G57" s="210">
        <f>IF(SUM(C11:C16)&gt;0,H57*(1-'ACCEPT RATES'!C21),H57*(1-'ACCEPT RATES'!D21))</f>
        <v>0</v>
      </c>
      <c r="H57" s="209">
        <f>I57*(1+'PIECE DENSITIES'!D13)</f>
        <v>0</v>
      </c>
      <c r="I57" s="208">
        <f>(D31+D43)*'COVERAGE FACTORS'!E40+(J31+J43)*('COVERAGE FACTORS'!E40+'COVERAGE FACTORS'!E42)</f>
        <v>0</v>
      </c>
      <c r="J57" s="58"/>
      <c r="L57"/>
      <c r="M57" s="102">
        <f>N57</f>
        <v>617.0644075167686</v>
      </c>
      <c r="N57" s="101">
        <f>D51+J51+O31+O43+(D31+D43)*'COVERAGE FACTORS'!E44+(J31+J43)*(1-('COVERAGE FACTORS'!E40+'COVERAGE FACTORS'!E42))</f>
        <v>617.0644075167686</v>
      </c>
      <c r="P57" s="20"/>
      <c r="Q57" s="109"/>
      <c r="S57" s="20"/>
      <c r="U57" s="20"/>
      <c r="Y57"/>
      <c r="Z57"/>
      <c r="AA57"/>
      <c r="AB57"/>
      <c r="AC57"/>
      <c r="AD57"/>
    </row>
    <row r="58" spans="1:30" ht="13" x14ac:dyDescent="0.3">
      <c r="A58" s="114"/>
      <c r="C58" s="98"/>
      <c r="D58" s="196">
        <f>(SUM(C53:C57)-D51)*'PIECE DENSITIES'!E8</f>
        <v>815.98286394675802</v>
      </c>
      <c r="E58" s="24" t="s">
        <v>124</v>
      </c>
      <c r="G58" s="114"/>
      <c r="I58" s="99"/>
      <c r="J58" s="201">
        <f>(SUM(I53:I57)-J51)*'PIECE DENSITIES'!E13</f>
        <v>0</v>
      </c>
      <c r="K58" s="24" t="s">
        <v>125</v>
      </c>
      <c r="L58"/>
      <c r="M58" s="20"/>
      <c r="O58" s="96">
        <f>SUM(N53:N57)*'PIECE DENSITIES'!E18</f>
        <v>165.50137147559727</v>
      </c>
      <c r="P58" s="24" t="s">
        <v>126</v>
      </c>
      <c r="Q58" s="109"/>
      <c r="S58" s="20"/>
      <c r="U58" s="20"/>
      <c r="Y58"/>
      <c r="Z58"/>
      <c r="AA58"/>
      <c r="AB58"/>
      <c r="AC58"/>
      <c r="AD58"/>
    </row>
    <row r="59" spans="1:30" ht="13" x14ac:dyDescent="0.3">
      <c r="A59" s="114"/>
      <c r="C59" s="98"/>
      <c r="D59" s="196">
        <f>(SUM(C53:C57)-D51)*'PIECE DENSITIES'!F8</f>
        <v>264.92081806183984</v>
      </c>
      <c r="E59" s="24" t="s">
        <v>127</v>
      </c>
      <c r="G59" s="114"/>
      <c r="I59" s="99"/>
      <c r="J59" s="201">
        <f>(SUM(I53:I57)-J51)*'PIECE DENSITIES'!F13</f>
        <v>0</v>
      </c>
      <c r="K59" s="24" t="s">
        <v>128</v>
      </c>
      <c r="L59"/>
      <c r="M59" s="20"/>
      <c r="O59" s="96">
        <f>SUM(N53:N57)*'PIECE DENSITIES'!F18</f>
        <v>25.975770717650992</v>
      </c>
      <c r="P59" s="24" t="s">
        <v>129</v>
      </c>
      <c r="Q59" s="109"/>
      <c r="S59" s="20"/>
      <c r="U59" s="20"/>
      <c r="Y59"/>
      <c r="Z59"/>
      <c r="AA59"/>
      <c r="AB59"/>
      <c r="AC59"/>
      <c r="AD59"/>
    </row>
    <row r="60" spans="1:30" ht="13" x14ac:dyDescent="0.3">
      <c r="A60" s="114"/>
      <c r="C60" s="89"/>
      <c r="D60" s="197">
        <f>(SUM(C53:C57)-D51)*'PIECE DENSITIES'!G8</f>
        <v>3020.7339933816925</v>
      </c>
      <c r="E60" s="24" t="s">
        <v>130</v>
      </c>
      <c r="G60" s="114"/>
      <c r="I60" s="94"/>
      <c r="J60" s="202">
        <f>(SUM(I53:I57)-J51)*'PIECE DENSITIES'!G13</f>
        <v>0</v>
      </c>
      <c r="K60" s="24" t="s">
        <v>288</v>
      </c>
      <c r="L60"/>
      <c r="M60" s="20"/>
      <c r="N60" s="46"/>
      <c r="O60" s="97">
        <f>SUM(N53:N57)*'PIECE DENSITIES'!G18</f>
        <v>434.7960306073013</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299.48970602635609</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760.84976458769154</v>
      </c>
      <c r="B65" s="86">
        <f>C65*(1+'ACCEPT RATES'!F17+'PIECE DENSITIES'!E9)</f>
        <v>2885.4579708878705</v>
      </c>
      <c r="C65" s="85">
        <f>G14*('COVERAGE FACTORS'!E38+'COVERAGE FACTORS'!E42)</f>
        <v>2716.827171240906</v>
      </c>
      <c r="G65" s="194">
        <f>H65*(1-'ACCEPT RATES'!D22)</f>
        <v>0</v>
      </c>
      <c r="H65" s="86">
        <f>I65*(1+'PIECE DENSITIES'!E14)</f>
        <v>0</v>
      </c>
      <c r="I65" s="85">
        <f>G14*'COVERAGE FACTORS'!E40</f>
        <v>0</v>
      </c>
      <c r="J65" s="58"/>
      <c r="L65"/>
      <c r="M65" s="86">
        <f>N65</f>
        <v>16.320535820936065</v>
      </c>
      <c r="N65" s="85">
        <f>G14*'COVERAGE FACTORS'!E44</f>
        <v>16.320535820936065</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141.87564280520905</v>
      </c>
      <c r="B68" s="211">
        <f>C68*(1+'ACCEPT RATES'!F17+'PIECE DENSITIES'!E9)</f>
        <v>2314.4605935733871</v>
      </c>
      <c r="C68" s="212">
        <f>(D32+D44+D58)*('COVERAGE FACTORS'!E38+'COVERAGE FACTORS'!E42)</f>
        <v>2179.199798031259</v>
      </c>
      <c r="G68" s="205">
        <f>IF(SUM(C11:C16)&gt;0, H68*(1-'ACCEPT RATES'!C22),H68*(1-'ACCEPT RATES'!D22))</f>
        <v>0</v>
      </c>
      <c r="H68" s="204">
        <f>I68*(1+'PIECE DENSITIES'!E14)</f>
        <v>0</v>
      </c>
      <c r="I68" s="203">
        <f>(D32+D44+D58)*'COVERAGE FACTORS'!E40+(J32+J44+J58)*('COVERAGE FACTORS'!E40+'COVERAGE FACTORS'!E42)</f>
        <v>0</v>
      </c>
      <c r="J68" s="58"/>
      <c r="L68"/>
      <c r="M68" s="102">
        <f>N68</f>
        <v>561.58961320178366</v>
      </c>
      <c r="N68" s="101">
        <f>D62+J62+O32+O44+O58+(D32+D44+D58)*'COVERAGE FACTORS'!E44+(J32+J44+J58)*(1-('COVERAGE FACTORS'!E40+'COVERAGE FACTORS'!E42))</f>
        <v>561.58961320178366</v>
      </c>
      <c r="P68" s="20"/>
      <c r="Q68" s="109"/>
      <c r="S68" s="20"/>
      <c r="U68" s="20"/>
      <c r="Y68"/>
      <c r="Z68"/>
      <c r="AA68"/>
      <c r="AB68"/>
      <c r="AC68"/>
      <c r="AD68"/>
    </row>
    <row r="69" spans="1:30" ht="13" x14ac:dyDescent="0.3">
      <c r="A69" s="114"/>
      <c r="C69" s="98"/>
      <c r="D69" s="196">
        <f>(SUM(C64:C68)-D62)*'PIECE DENSITIES'!F9</f>
        <v>102.8335996054651</v>
      </c>
      <c r="E69" s="24" t="s">
        <v>127</v>
      </c>
      <c r="G69" s="114"/>
      <c r="I69" s="99"/>
      <c r="J69" s="201">
        <f>(SUM(I64:I68)-J62)*'PIECE DENSITIES'!F14</f>
        <v>0</v>
      </c>
      <c r="K69" s="24" t="s">
        <v>128</v>
      </c>
      <c r="L69"/>
      <c r="M69" s="20"/>
      <c r="O69" s="96">
        <f>SUM(N64:N68)*'PIECE DENSITIES'!F19</f>
        <v>14.949280354976027</v>
      </c>
      <c r="P69" s="24" t="s">
        <v>129</v>
      </c>
      <c r="Q69" s="109"/>
      <c r="S69" s="20"/>
      <c r="U69" s="20"/>
      <c r="Y69"/>
      <c r="Z69"/>
      <c r="AA69"/>
      <c r="AB69"/>
      <c r="AC69"/>
      <c r="AD69"/>
    </row>
    <row r="70" spans="1:30" ht="13" x14ac:dyDescent="0.3">
      <c r="A70" s="114"/>
      <c r="C70" s="98"/>
      <c r="D70" s="196">
        <f>(SUM(C64:C68)-D62)*'PIECE DENSITIES'!G9</f>
        <v>4493.7036636403445</v>
      </c>
      <c r="E70" s="24" t="s">
        <v>130</v>
      </c>
      <c r="G70" s="114"/>
      <c r="I70" s="99"/>
      <c r="J70" s="201">
        <f>(SUM(I64:I68)-J62)*'PIECE DENSITIES'!G14</f>
        <v>0</v>
      </c>
      <c r="K70" s="24" t="s">
        <v>288</v>
      </c>
      <c r="L70"/>
      <c r="M70" s="20"/>
      <c r="O70" s="96">
        <f>SUM(N64:N68)*'PIECE DENSITIES'!G19</f>
        <v>562.96086866774363</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35.974234367330979</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44.557606168941703</v>
      </c>
      <c r="B78" s="211">
        <f>C78*(1+'ACCEPT RATES'!F17)</f>
        <v>726.88180707359345</v>
      </c>
      <c r="C78" s="212">
        <f>(D33+D45+D59+D69)*('COVERAGE FACTORS'!E38+'COVERAGE FACTORS'!E42)</f>
        <v>719.87928528656937</v>
      </c>
      <c r="G78" s="205">
        <f>IF(SUM(C11:C16)&gt;0,H78*(1-'ACCEPT RATES'!C22),H78*(1-'ACCEPT RATES'!D22))</f>
        <v>0</v>
      </c>
      <c r="H78" s="204">
        <f>I78</f>
        <v>0</v>
      </c>
      <c r="I78" s="203">
        <f>(D33+D45+D59+D69)*'COVERAGE FACTORS'!E40+(J33+J45+J59+J69)*('COVERAGE FACTORS'!E40+'COVERAGE FACTORS'!E42)</f>
        <v>0</v>
      </c>
      <c r="J78" s="58"/>
      <c r="L78"/>
      <c r="M78" s="102">
        <f ca="1">N78</f>
        <v>107.05590122685214</v>
      </c>
      <c r="N78" s="294">
        <f ca="1">D72+J72+O33+O45+O59+O69+(D33+D45+D59+D69)*'COVERAGE FACTORS'!E44+(J33+J45+J59+J69)*(1-('COVERAGE FACTORS'!E40+'COVERAGE FACTORS'!E42))+D106</f>
        <v>107.05590122685214</v>
      </c>
      <c r="P78" s="20"/>
      <c r="Q78" s="109"/>
      <c r="S78" s="20"/>
      <c r="U78" s="20"/>
      <c r="Y78"/>
      <c r="Z78"/>
      <c r="AA78"/>
      <c r="AB78"/>
      <c r="AC78"/>
      <c r="AD78"/>
    </row>
    <row r="79" spans="1:30" ht="13" x14ac:dyDescent="0.3">
      <c r="A79" s="114"/>
      <c r="C79" s="98"/>
      <c r="D79" s="196">
        <f>SUM(C74:C78)-D72</f>
        <v>683.90505091923842</v>
      </c>
      <c r="E79" s="24" t="s">
        <v>130</v>
      </c>
      <c r="G79" s="114"/>
      <c r="I79" s="99"/>
      <c r="J79" s="201">
        <f>SUM(I74:I78)-J72</f>
        <v>0</v>
      </c>
      <c r="K79" s="24" t="s">
        <v>288</v>
      </c>
      <c r="L79"/>
      <c r="M79" s="20"/>
      <c r="O79" s="96">
        <f ca="1">SUM(N74:N78)</f>
        <v>107.05590122685214</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432.04075399971282</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163.86740233312474</v>
      </c>
      <c r="B84" s="86">
        <f>C84*(1+'ACCEPT RATES'!F17)</f>
        <v>621.45317543343765</v>
      </c>
      <c r="C84" s="85">
        <f>G16*('COVERAGE FACTORS'!E54+'COVERAGE FACTORS'!E58+(1-'COVERAGE FACTORS'!B119)*'COVERAGE FACTORS'!E52)</f>
        <v>615.46631572909598</v>
      </c>
      <c r="G84" s="194">
        <v>0</v>
      </c>
      <c r="H84" s="86">
        <f>I84</f>
        <v>0</v>
      </c>
      <c r="I84" s="85">
        <f>G16*'COVERAGE FACTORS'!E56</f>
        <v>0</v>
      </c>
      <c r="J84" s="58"/>
      <c r="L84"/>
      <c r="M84" s="86">
        <f>N84</f>
        <v>3.6972318882722086</v>
      </c>
      <c r="N84" s="85">
        <f>G16*'COVERAGE FACTORS'!E60</f>
        <v>3.6972318882722086</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485.78859250916622</v>
      </c>
      <c r="B87" s="211">
        <f>C87*(1+'ACCEPT RATES'!F17)</f>
        <v>7924.8173396023149</v>
      </c>
      <c r="C87" s="212">
        <f>(D34+D46+D60+D70+D79)*('COVERAGE FACTORS'!E54+'COVERAGE FACTORS'!E58+(1-'COVERAGE FACTORS'!B119)*'COVERAGE FACTORS'!E52)*'COVERAGE FACTORS'!E104</f>
        <v>7848.4724572036657</v>
      </c>
      <c r="G87" s="205">
        <v>0</v>
      </c>
      <c r="H87" s="204">
        <f>I87</f>
        <v>0</v>
      </c>
      <c r="I87" s="203">
        <f>(D34+D46+D60+D70+D79)*'COVERAGE FACTORS'!E56*'COVERAGE FACTORS'!E104+(J34+J46+J60+J70+J79)*('COVERAGE FACTORS'!E56+'COVERAGE FACTORS'!E58)*'COVERAGE FACTORS'!E104</f>
        <v>0</v>
      </c>
      <c r="J87" s="213"/>
      <c r="L87"/>
      <c r="M87" s="102">
        <f ca="1">N87</f>
        <v>1964.4047491786969</v>
      </c>
      <c r="N87" s="294">
        <f ca="1">D81+J81+(O34+O46+O60+O70+O79)+(D34+D46+D60+D70+D79)*'COVERAGE FACTORS'!E106+(J34+J46+J60+J70+J79)*(1-('COVERAGE FACTORS'!E56+'COVERAGE FACTORS'!E58)*'COVERAGE FACTORS'!E104)+D120</f>
        <v>1964.4047491786969</v>
      </c>
      <c r="P87" s="20"/>
      <c r="Q87" s="109"/>
      <c r="S87" s="20"/>
      <c r="U87" s="20"/>
      <c r="Y87"/>
      <c r="Z87"/>
      <c r="AA87"/>
      <c r="AB87"/>
      <c r="AC87"/>
      <c r="AD87"/>
    </row>
    <row r="88" spans="1:30" ht="13" x14ac:dyDescent="0.3">
      <c r="A88" s="114"/>
      <c r="C88" s="98"/>
      <c r="D88" s="103">
        <f>SUM(C83:C87)-D81</f>
        <v>8031.8980189330478</v>
      </c>
      <c r="E88" s="24"/>
      <c r="G88" s="218"/>
      <c r="H88" s="214"/>
      <c r="I88" s="214"/>
      <c r="J88" s="215">
        <f>SUM(I83:I87)-J81</f>
        <v>0</v>
      </c>
      <c r="K88" s="24"/>
      <c r="L88"/>
      <c r="M88" s="20"/>
      <c r="O88" s="216">
        <f ca="1">SUM(N83:N87)</f>
        <v>1968.1019810669691</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FACTORS'!E52*'COVERAGE FACTORS'!B119</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FACTORS'!E52*'COVERAGE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2.75" customHeight="1" x14ac:dyDescent="0.3">
      <c r="A106" s="114"/>
      <c r="D106" s="285">
        <f ca="1">A112*(1-'ACCEPT RATES'!G17)+B112*('ACCEPT RATES'!I17+'ACCEPT RATES'!J17)</f>
        <v>0</v>
      </c>
      <c r="E106" s="24" t="s">
        <v>114</v>
      </c>
      <c r="G106" s="481" t="s">
        <v>525</v>
      </c>
      <c r="H106" s="481"/>
      <c r="I106" s="481"/>
      <c r="J106" s="481"/>
      <c r="K106" s="481"/>
    </row>
    <row r="107" spans="1:11" ht="13" x14ac:dyDescent="0.3">
      <c r="A107" s="127" t="s">
        <v>256</v>
      </c>
      <c r="B107" s="87" t="s">
        <v>444</v>
      </c>
      <c r="C107" s="88"/>
      <c r="D107"/>
      <c r="E107" s="24" t="s">
        <v>139</v>
      </c>
      <c r="G107" s="481"/>
      <c r="H107" s="481"/>
      <c r="I107" s="481"/>
      <c r="J107" s="481"/>
      <c r="K107" s="481"/>
    </row>
    <row r="108" spans="1:11" ht="13" x14ac:dyDescent="0.3">
      <c r="A108" s="51"/>
      <c r="B108" s="29"/>
      <c r="C108" s="51"/>
      <c r="E108" s="24" t="s">
        <v>70</v>
      </c>
      <c r="G108" s="481"/>
      <c r="H108" s="481"/>
      <c r="I108" s="481"/>
      <c r="J108" s="481"/>
      <c r="K108" s="481"/>
    </row>
    <row r="109" spans="1:11" x14ac:dyDescent="0.25">
      <c r="A109" s="194"/>
      <c r="B109" s="86"/>
      <c r="C109" s="85"/>
      <c r="G109" s="481"/>
      <c r="H109" s="481"/>
      <c r="I109" s="481"/>
      <c r="J109" s="481"/>
      <c r="K109" s="481"/>
    </row>
    <row r="110" spans="1:11" ht="13" x14ac:dyDescent="0.3">
      <c r="A110" s="122"/>
      <c r="B110" s="86"/>
      <c r="C110" s="85"/>
      <c r="G110" s="481"/>
      <c r="H110" s="481"/>
      <c r="I110" s="481"/>
      <c r="J110" s="481"/>
      <c r="K110" s="481"/>
    </row>
    <row r="111" spans="1:11" ht="13" x14ac:dyDescent="0.3">
      <c r="A111" s="122"/>
      <c r="B111" s="86"/>
      <c r="C111" s="85"/>
      <c r="G111" s="481"/>
      <c r="H111" s="481"/>
      <c r="I111" s="481"/>
      <c r="J111" s="481"/>
      <c r="K111" s="481"/>
    </row>
    <row r="112" spans="1:11" x14ac:dyDescent="0.25">
      <c r="A112" s="288">
        <f ca="1">B112*(1-'ACCEPT RATES'!$C$17)</f>
        <v>0</v>
      </c>
      <c r="B112" s="289">
        <f ca="1">C112*(1+'ACCEPT RATES'!$F$17)</f>
        <v>0</v>
      </c>
      <c r="C112" s="290">
        <f ca="1">E93</f>
        <v>0</v>
      </c>
      <c r="G112" s="481"/>
      <c r="H112" s="481"/>
      <c r="I112" s="481"/>
      <c r="J112" s="481"/>
      <c r="K112" s="481"/>
    </row>
    <row r="113" spans="1:11" ht="13" x14ac:dyDescent="0.3">
      <c r="A113" s="114"/>
      <c r="C113" s="120"/>
      <c r="D113" s="293">
        <f ca="1">($C$112-$D$106)*(1-'COVERAGE FACTORS'!$E$80)</f>
        <v>0</v>
      </c>
      <c r="E113" s="24" t="s">
        <v>130</v>
      </c>
      <c r="G113" s="481"/>
      <c r="H113" s="481"/>
      <c r="I113" s="481"/>
      <c r="J113" s="481"/>
      <c r="K113" s="481"/>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drawing r:id="rId2"/>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339</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'BUNDLE SORT'!$I$22*('COVERAGE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C11*$J11/'ADC NONAUTO MODEL'!$G$6</f>
        <v>0</v>
      </c>
    </row>
    <row r="12" spans="1:11" ht="13" x14ac:dyDescent="0.3">
      <c r="A12" s="36"/>
      <c r="B12" t="s">
        <v>529</v>
      </c>
      <c r="C12" s="151">
        <f>'BUNDLE SORT'!$I$22*('COVERAGE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C12*$J12/'ADC NONAUTO MODEL'!$G$6</f>
        <v>0</v>
      </c>
    </row>
    <row r="13" spans="1:11" ht="13" x14ac:dyDescent="0.3">
      <c r="A13" s="36"/>
      <c r="B13" t="s">
        <v>70</v>
      </c>
      <c r="C13" s="151">
        <f>'BUNDLE SORT'!$J$22</f>
        <v>139.01437769154163</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C13*$J13/'ADC NONAUTO MODEL'!$G$6</f>
        <v>0.28196169159544948</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'BUNDLE SORT'!$M$22*('COVERAGE FACTORS'!$E$30/('COVERAGE FACTORS'!$E$30+'COVERAGE FACTORS'!$E$32))</f>
        <v>226.23388107787784</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C16*$J16/'ADC NONAUTO MODEL'!$G$6</f>
        <v>0.85438256310745386</v>
      </c>
    </row>
    <row r="17" spans="1:11" ht="13" x14ac:dyDescent="0.3">
      <c r="A17" s="1"/>
      <c r="B17" t="s">
        <v>529</v>
      </c>
      <c r="C17" s="151">
        <f>'BUNDLE SORT'!$M$22*('COVERAGE FACTORS'!$E$32/('COVERAGE FACTORS'!$E$30+'COVERAGE FACTORS'!$E$32))</f>
        <v>273.47989155196461</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C17*$J17/'ADC NONAUTO MODEL'!$G$6</f>
        <v>1.1946280254638035</v>
      </c>
    </row>
    <row r="18" spans="1:11" ht="13" x14ac:dyDescent="0.3">
      <c r="A18" s="1"/>
      <c r="B18" t="s">
        <v>70</v>
      </c>
      <c r="C18" s="151">
        <f>'BUNDLE SORT'!$N$22</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C18*$J18/'ADC NONAUTO MODEL'!$G$6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'BUNDLE SORT'!$Q$22*('COVERAGE FACTORS'!$E$30/('COVERAGE FACTORS'!$E$30+'COVERAGE FACTORS'!$E$32))</f>
        <v>84.719994328730706</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C21*$J21/'ADC NONAUTO MODEL'!$G$6</f>
        <v>0.31994891992377117</v>
      </c>
    </row>
    <row r="22" spans="1:11" ht="13" x14ac:dyDescent="0.3">
      <c r="A22" s="1"/>
      <c r="B22" t="s">
        <v>529</v>
      </c>
      <c r="C22" s="151">
        <f>'BUNDLE SORT'!$Q$22*('COVERAGE FACTORS'!$E$32/('COVERAGE FACTORS'!$E$30+'COVERAGE FACTORS'!$E$32))</f>
        <v>102.41266582580816</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C22*$J22/'ADC NONAUTO MODEL'!$G$6</f>
        <v>0.4473639362063388</v>
      </c>
    </row>
    <row r="23" spans="1:11" ht="13" x14ac:dyDescent="0.3">
      <c r="A23" s="1"/>
      <c r="B23" t="s">
        <v>70</v>
      </c>
      <c r="C23" s="151">
        <f>'BUNDLE SORT'!$R$22</f>
        <v>5.3966928547709418</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C23*$J23/'ADC NONAUTO MODEL'!$G$6</f>
        <v>1.0946066670374888E-2</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'BUNDLE SORT'!$U$22*('COVERAGE FACTORS'!$E$30/('COVERAGE FACTORS'!$E$30+'COVERAGE FACTORS'!$E$32))</f>
        <v>2.1189559967399519E-3</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C26*$J26/'ADC NONAUTO MODEL'!$G$6</f>
        <v>8.002333898800001E-6</v>
      </c>
    </row>
    <row r="27" spans="1:11" ht="13" x14ac:dyDescent="0.3">
      <c r="A27" s="1"/>
      <c r="B27" t="s">
        <v>529</v>
      </c>
      <c r="C27" s="151">
        <f>'BUNDLE SORT'!$U$22*('COVERAGE FACTORS'!$E$32/('COVERAGE FACTORS'!$E$30+'COVERAGE FACTORS'!$E$32))</f>
        <v>2.5614724612903809E-3</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C27*$J27/'ADC NONAUTO MODEL'!$G$6</f>
        <v>1.1189147294691673E-5</v>
      </c>
    </row>
    <row r="28" spans="1:11" ht="13" x14ac:dyDescent="0.3">
      <c r="A28" s="1"/>
      <c r="B28" t="s">
        <v>70</v>
      </c>
      <c r="C28" s="151">
        <f>'BUNDLE SORT'!$V$22</f>
        <v>0.46336241734500289</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C28*$J28/'ADC NONAUTO MODEL'!$G$6</f>
        <v>1.3089846245853552E-3</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SUM('ADC NONAUTO MODEL'!$B$25:$B$29)</f>
        <v>12.899233325390318</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C31*$J31/'ADC NONAUTO MODEL'!$G$6</f>
        <v>6.6001205824880735E-3</v>
      </c>
    </row>
    <row r="32" spans="1:11" ht="13" x14ac:dyDescent="0.3">
      <c r="A32" s="36"/>
      <c r="B32" t="s">
        <v>244</v>
      </c>
      <c r="C32" s="2">
        <f>SUM('ADC NONAUTO MODEL'!$A$25:$A$29)</f>
        <v>3.4013244129717797</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C32*$J32/'ADC NONAUTO MODEL'!$G$6</f>
        <v>2.5648333756706342E-3</v>
      </c>
    </row>
    <row r="33" spans="1:11" ht="13" x14ac:dyDescent="0.3">
      <c r="A33" s="36"/>
      <c r="B33" t="s">
        <v>291</v>
      </c>
      <c r="C33" s="2">
        <f>SUM('ADC NONAUTO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C33*$J33/'ADC NONAUTO MODEL'!$G$6</f>
        <v>0</v>
      </c>
    </row>
    <row r="34" spans="1:11" x14ac:dyDescent="0.25">
      <c r="B34" t="s">
        <v>292</v>
      </c>
      <c r="C34" s="2">
        <f>SUM('ADC NONAUTO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C34*$J34/'ADC NONAUTO MODEL'!$G$6</f>
        <v>0</v>
      </c>
    </row>
    <row r="35" spans="1:11" x14ac:dyDescent="0.25">
      <c r="B35" t="s">
        <v>70</v>
      </c>
      <c r="C35" s="2">
        <f>SUM('ADC NONAUTO MODEL'!$M$25:$M$29)</f>
        <v>0.81319488662885353</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C35*$J35/'ADC NONAUTO MODEL'!$G$6</f>
        <v>8.7863797559305733E-4</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SUM('ADC NONAUTO MODEL'!$B$38:$B$42)</f>
        <v>1.5666015751338129</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C38*$J38/'ADC NONAUTO MODEL'!$G$6</f>
        <v>5.5583474634465508E-4</v>
      </c>
    </row>
    <row r="39" spans="1:11" ht="13" x14ac:dyDescent="0.3">
      <c r="A39" s="36"/>
      <c r="B39" t="s">
        <v>244</v>
      </c>
      <c r="C39" s="2">
        <f>SUM('ADC NONAUTO MODEL'!$A$38:$A$42)</f>
        <v>9.6032140754059123E-2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C39*$J39/'ADC NONAUTO MODEL'!$G$6</f>
        <v>7.2414862517600881E-5</v>
      </c>
    </row>
    <row r="40" spans="1:11" x14ac:dyDescent="0.25">
      <c r="B40" t="s">
        <v>291</v>
      </c>
      <c r="C40" s="2">
        <f>SUM('ADC NONAUTO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C40*$J40/'ADC NONAUTO MODEL'!$G$6</f>
        <v>0</v>
      </c>
    </row>
    <row r="41" spans="1:11" x14ac:dyDescent="0.25">
      <c r="B41" t="s">
        <v>292</v>
      </c>
      <c r="C41" s="2">
        <f>SUM('ADC NONAUTO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C41*$J41/'ADC NONAUTO MODEL'!$G$6</f>
        <v>0</v>
      </c>
    </row>
    <row r="42" spans="1:11" x14ac:dyDescent="0.25">
      <c r="B42" t="s">
        <v>70</v>
      </c>
      <c r="C42" s="2">
        <f>SUM('ADC NONAUTO MODEL'!$M$38:$M$42)</f>
        <v>0.21797513810740141</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C42*$J42/'ADC NONAUTO MODEL'!$G$6</f>
        <v>2.977503516301285E-4</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SUM('ADC NONAUTO MODEL'!$B$53:$B$57)</f>
        <v>3748.8245747982278</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C45*$J45/'ADC NONAUTO MODEL'!$G$6</f>
        <v>1.9176056615118118</v>
      </c>
    </row>
    <row r="46" spans="1:11" ht="13" x14ac:dyDescent="0.3">
      <c r="A46" s="36"/>
      <c r="B46" t="s">
        <v>244</v>
      </c>
      <c r="C46" s="2">
        <f>SUM('ADC NONAUTO MODEL'!$A$53:$A$57)</f>
        <v>987.01427973725731</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C46*$J46/'ADC NONAUTO MODEL'!$G$6</f>
        <v>0.74427689322401391</v>
      </c>
    </row>
    <row r="47" spans="1:11" x14ac:dyDescent="0.25">
      <c r="B47" t="s">
        <v>291</v>
      </c>
      <c r="C47" s="2">
        <f>SUM('ADC NONAUTO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C47*$J47/'ADC NONAUTO MODEL'!$G$6</f>
        <v>0</v>
      </c>
    </row>
    <row r="48" spans="1:11" x14ac:dyDescent="0.25">
      <c r="B48" t="s">
        <v>292</v>
      </c>
      <c r="C48" s="2">
        <f>SUM('ADC NONAUTO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C48*$J48/'ADC NONAUTO MODEL'!$G$6</f>
        <v>0</v>
      </c>
    </row>
    <row r="49" spans="1:11" x14ac:dyDescent="0.25">
      <c r="B49" t="s">
        <v>70</v>
      </c>
      <c r="C49" s="2">
        <f>SUM('ADC NONAUTO MODEL'!$M$53:$M$57)</f>
        <v>349.39864840305597</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C49*$J49/'ADC NONAUTO MODEL'!$G$6</f>
        <v>0.33791106877683524</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SUM('ADC NONAUTO MODEL'!$B$64:$B$68)</f>
        <v>4918.5833128984505</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C52*$J52/'ADC NONAUTO MODEL'!$G$6</f>
        <v>1.9085863063825326</v>
      </c>
    </row>
    <row r="53" spans="1:11" ht="13" x14ac:dyDescent="0.3">
      <c r="A53" s="36"/>
      <c r="B53" t="s">
        <v>244</v>
      </c>
      <c r="C53" s="2">
        <f>SUM('ADC NONAUTO MODEL'!$A$64:$A$68)</f>
        <v>1152.455054092597</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C53*$J53/'ADC NONAUTO MODEL'!$G$6</f>
        <v>0.86903065624205811</v>
      </c>
    </row>
    <row r="54" spans="1:11" x14ac:dyDescent="0.25">
      <c r="B54" t="s">
        <v>291</v>
      </c>
      <c r="C54" s="2">
        <f>SUM('ADC NONAUTO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C54*$J54/'ADC NONAUTO MODEL'!$G$6</f>
        <v>0</v>
      </c>
    </row>
    <row r="55" spans="1:11" x14ac:dyDescent="0.25">
      <c r="B55" t="s">
        <v>292</v>
      </c>
      <c r="C55" s="2">
        <f>SUM('ADC NONAUTO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C55*$J55/'ADC NONAUTO MODEL'!$G$6</f>
        <v>0</v>
      </c>
    </row>
    <row r="56" spans="1:11" x14ac:dyDescent="0.25">
      <c r="B56" t="s">
        <v>70</v>
      </c>
      <c r="C56" s="2">
        <f>SUM('ADC NONAUTO MODEL'!$M$64:$M$68)</f>
        <v>425.1934291683981</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C56*$J56/'ADC NONAUTO MODEL'!$G$6</f>
        <v>0.47440596543236013</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 ca="1">SUM('ADC NONAUTO MODEL'!$B$74:$B$78)+SUM('ADC NONAUTO MODEL'!$B$108:$B$112)</f>
        <v>317.29812485381581</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C59*$J59/'ADC NONAUTO MODEL'!$G$6</f>
        <v>0.22847514453874829</v>
      </c>
    </row>
    <row r="60" spans="1:11" ht="13" x14ac:dyDescent="0.3">
      <c r="A60" s="36"/>
      <c r="B60" t="s">
        <v>244</v>
      </c>
      <c r="C60" s="2">
        <f ca="1">SUM('ADC NONAUTO MODEL'!$A$74:$A$78)+SUM('ADC NONAUTO MODEL'!$A$108:$A$112)</f>
        <v>19.450266532738528</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C60*$J60/'ADC NONAUTO MODEL'!$G$6</f>
        <v>1.4666843473854555E-2</v>
      </c>
    </row>
    <row r="61" spans="1:11" x14ac:dyDescent="0.25">
      <c r="B61" t="s">
        <v>291</v>
      </c>
      <c r="C61" s="2">
        <f>SUM('ADC NONAUTO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C61*$J61/'ADC NONAUTO MODEL'!$G$6</f>
        <v>0</v>
      </c>
    </row>
    <row r="62" spans="1:11" x14ac:dyDescent="0.25">
      <c r="B62" t="s">
        <v>292</v>
      </c>
      <c r="C62" s="2">
        <f>SUM('ADC NONAUTO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C62*$J62/'ADC NONAUTO MODEL'!$G$6</f>
        <v>0</v>
      </c>
    </row>
    <row r="63" spans="1:11" x14ac:dyDescent="0.25">
      <c r="B63" t="s">
        <v>70</v>
      </c>
      <c r="C63" s="2">
        <f ca="1">SUM('ADC NONAUTO MODEL'!$M$74:$M$78)</f>
        <v>43.146475344970035</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C63*$J63/'ADC NONAUTO MODEL'!$G$6</f>
        <v>3.8380102383413411E-2</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 ca="1">SUM('ADC NONAUTO MODEL'!$B$83:$B$87)+SUM('ADC NONAUTO MODEL'!$B$122:$B$126)</f>
        <v>9029.7191837947848</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C66*$J66/'ADC NONAUTO MODEL'!$G$6</f>
        <v>3.9097998122822242</v>
      </c>
    </row>
    <row r="67" spans="1:11" ht="13" x14ac:dyDescent="0.3">
      <c r="A67" s="36"/>
      <c r="B67" t="s">
        <v>244</v>
      </c>
      <c r="C67" s="2">
        <f ca="1">SUM('ADC NONAUTO MODEL'!$A$83:$A$87)+SUM('ADC NONAUTO MODEL'!$A$122:$A$126)</f>
        <v>1016.860953258783</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C67*$J67/'ADC NONAUTO MODEL'!$G$6</f>
        <v>0.76678334515456348</v>
      </c>
    </row>
    <row r="68" spans="1:11" x14ac:dyDescent="0.25">
      <c r="B68" t="s">
        <v>291</v>
      </c>
      <c r="C68" s="2">
        <f>SUM('ADC NONAUTO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C68*$J68/'ADC NONAUTO MODEL'!$G$6</f>
        <v>0</v>
      </c>
    </row>
    <row r="69" spans="1:11" x14ac:dyDescent="0.25">
      <c r="B69" t="s">
        <v>292</v>
      </c>
      <c r="C69" s="2">
        <f>SUM('ADC NONAUTO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C69*$J69/'ADC NONAUTO MODEL'!$G$6</f>
        <v>0</v>
      </c>
    </row>
    <row r="70" spans="1:11" x14ac:dyDescent="0.25">
      <c r="B70" t="s">
        <v>70</v>
      </c>
      <c r="C70" s="2">
        <f ca="1">SUM('ADC NONAUTO MODEL'!$M$83:$M$87)</f>
        <v>1537.596272551079</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C70*$J70/'ADC NONAUTO MODEL'!$G$6</f>
        <v>1.5246002190239916</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 ca="1">SUM('ADC NONAUTO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C74*$J74/'ADC NONAUTO MODEL'!$G$6</f>
        <v>0</v>
      </c>
    </row>
    <row r="76" spans="1:11" x14ac:dyDescent="0.25">
      <c r="B76" s="155" t="s">
        <v>486</v>
      </c>
      <c r="C76" s="2">
        <f>SUM('ADC NONAUTO MODEL'!C54,'ADC NONAUTO MODEL'!I54,'ADC NONAUTO MODEL'!C65,'ADC NONAUTO MODEL'!C75,'ADC NONAUTO MODEL'!I75,'ADC NONAUTO MODEL'!C84,'ADC NONAUTO MODEL'!I84)</f>
        <v>9927.6034236965279</v>
      </c>
      <c r="D76" s="2">
        <f>PRODUCTIVITIES!$C$49*'FY VOLUME NONAUTO'!C62</f>
        <v>1445.3372156486621</v>
      </c>
      <c r="E76" s="38">
        <f>'WAGE RATES'!$C$6</f>
        <v>50.10717457546064</v>
      </c>
      <c r="F76" s="42">
        <f t="shared" ref="F76:F77" si="0">E76*100/D76</f>
        <v>3.466815496961567</v>
      </c>
      <c r="G76" s="42">
        <f>PIGGYBACKS!$B$13</f>
        <v>1.6305774272183733</v>
      </c>
      <c r="H76" s="42">
        <f>'WAGE RATES'!$C$9</f>
        <v>0.9752031228402912</v>
      </c>
      <c r="I76" s="42">
        <f t="shared" ref="I76:I77" si="1">(H76-1)*F76</f>
        <v>-8.5966198013530781E-2</v>
      </c>
      <c r="J76" s="42">
        <f t="shared" ref="J76:J77" si="2">F76*G76+I76</f>
        <v>5.5669448956628473</v>
      </c>
      <c r="K76" s="42">
        <f ca="1">C76*$J76/'5D AUTO MODEL'!$G$6</f>
        <v>5.5266421205712399</v>
      </c>
    </row>
    <row r="77" spans="1:11" x14ac:dyDescent="0.25">
      <c r="B77" s="155" t="s">
        <v>491</v>
      </c>
      <c r="C77" s="2">
        <f ca="1">SUM(C31,C33,C34,C38,C40,C41,C45,C47,C48,C52,C54,C55,C59,C61,C62,C66,C68,C69)-C76</f>
        <v>8101.287607549275</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3.0927554410069553</v>
      </c>
    </row>
    <row r="78" spans="1:11" ht="13.5" thickBot="1" x14ac:dyDescent="0.35">
      <c r="F78" s="42"/>
      <c r="H78" s="42"/>
      <c r="I78" s="42"/>
      <c r="J78" s="42"/>
      <c r="K78" s="41" t="str">
        <f>"(10)"</f>
        <v>(10)</v>
      </c>
    </row>
    <row r="79" spans="1:11" ht="13.5" thickBot="1" x14ac:dyDescent="0.35">
      <c r="F79" s="42"/>
      <c r="H79" s="42"/>
      <c r="I79" s="42"/>
      <c r="J79" s="142" t="s">
        <v>78</v>
      </c>
      <c r="K79" s="143">
        <f ca="1">SUM(K11:K77)</f>
        <v>24.475448550971816</v>
      </c>
    </row>
    <row r="80" spans="1:11" ht="13.5" thickBot="1" x14ac:dyDescent="0.35">
      <c r="J80" s="142" t="s">
        <v>485</v>
      </c>
      <c r="K80" s="143">
        <f ca="1">SUM(K31,K33,K34,K38,K40,K41,K45,K47,K48,K52,K54,K55,K59,K61,K62,K66,K68,K69,K76,K77)</f>
        <v>16.591020441622344</v>
      </c>
    </row>
    <row r="83" spans="1:8" ht="13" x14ac:dyDescent="0.3">
      <c r="A83" s="145" t="str">
        <f>"(1)"</f>
        <v>(1)</v>
      </c>
      <c r="B83" s="1" t="s">
        <v>403</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6</oddFooter>
  </headerFooter>
  <ignoredErrors>
    <ignoredError sqref="E4" numberStoredAsText="1"/>
  </ignoredErrors>
</worksheet>
</file>

<file path=xl/worksheets/sheet1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'ADC NONAUTO COST'!A1</f>
        <v>ADC NONAUTO PRESORT</v>
      </c>
    </row>
    <row r="2" spans="1:30" ht="23" x14ac:dyDescent="0.5">
      <c r="A2" s="57" t="s">
        <v>84</v>
      </c>
    </row>
    <row r="6" spans="1:30" s="228" customFormat="1" ht="18" x14ac:dyDescent="0.4">
      <c r="A6" s="48" t="s">
        <v>85</v>
      </c>
      <c r="B6" s="226"/>
      <c r="C6" s="49">
        <f>SUM(C11:C16)+SUM(G11:G16)+SUM(K11:K16)+SUM(O11:O16)</f>
        <v>10000.000000000002</v>
      </c>
      <c r="D6" s="227"/>
      <c r="E6" s="48" t="s">
        <v>86</v>
      </c>
      <c r="F6" s="226"/>
      <c r="G6" s="49">
        <f ca="1">D88+J88+O88+D100+D127</f>
        <v>10000.000000000018</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v>0</v>
      </c>
      <c r="D11" s="59"/>
      <c r="E11" s="28"/>
      <c r="F11" s="61" t="s">
        <v>89</v>
      </c>
      <c r="G11" s="62">
        <f>'ENTRY PROFILE'!K15</f>
        <v>12.759434490566337</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v>0</v>
      </c>
      <c r="E13" s="18"/>
      <c r="F13" s="63" t="s">
        <v>97</v>
      </c>
      <c r="G13" s="64">
        <f>'ENTRY PROFILE'!L15+'ENTRY PROFILE'!O15+'ENTRY PROFILE'!O16+'ENTRY PROFILE'!O17+'ENTRY PROFILE'!O18+'ENTRY PROFILE'!P15+'ENTRY PROFILE'!P16</f>
        <v>3723.5958069632393</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f>'ENTRY PROFILE'!P17+'ENTRY PROFILE'!S17+'ENTRY PROFILE'!S18+'ENTRY PROFILE'!S19+'ENTRY PROFILE'!S20+'ENTRY PROFILE'!S21+'ENTRY PROFILE'!T17+'ENTRY PROFILE'!T19+'ENTRY PROFILE'!T20</f>
        <v>3982.664779728545</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f>'ENTRY PROFILE'!P18+'ENTRY PROFILE'!T18+'ENTRY PROFILE'!T21+'ENTRY PROFILE'!W18+'ENTRY PROFILE'!W21+'ENTRY PROFILE'!X18+'ENTRY PROFILE'!X21</f>
        <v>2280.979978817651</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0.791138928728226</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3.4013244129717797</v>
      </c>
      <c r="B26" s="86">
        <f>C26*(1+'ACCEPT RATES'!F14)</f>
        <v>12.899233325390318</v>
      </c>
      <c r="C26" s="85">
        <f>G11*('COVERAGE FACTORS'!E14+'COVERAGE FACTORS'!E18)</f>
        <v>12.737378532665712</v>
      </c>
      <c r="G26" s="194">
        <f>H26*(1-'ACCEPT RATES'!D19)</f>
        <v>0</v>
      </c>
      <c r="H26" s="86">
        <f>I26</f>
        <v>0</v>
      </c>
      <c r="I26" s="85">
        <f>G11*'COVERAGE FACTORS'!E16</f>
        <v>0</v>
      </c>
      <c r="J26" s="58"/>
      <c r="L26"/>
      <c r="M26" s="86">
        <f>N26</f>
        <v>2.2055957900627577E-2</v>
      </c>
      <c r="N26" s="85">
        <f>G11*'COVERAGE FACTORS'!E20</f>
        <v>2.2055957900627577E-2</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0.791138928728226</v>
      </c>
      <c r="N29" s="206">
        <f>D23+J23</f>
        <v>0.791138928728226</v>
      </c>
      <c r="P29" s="20"/>
      <c r="Q29" s="109"/>
      <c r="S29" s="20"/>
      <c r="U29" s="20"/>
      <c r="Y29"/>
      <c r="Z29"/>
      <c r="AA29"/>
      <c r="AB29"/>
      <c r="AC29"/>
      <c r="AD29"/>
    </row>
    <row r="30" spans="1:30" ht="13" x14ac:dyDescent="0.3">
      <c r="A30" s="114"/>
      <c r="C30" s="98"/>
      <c r="D30" s="196">
        <f>(SUM(C25:C29)-D23)*'PIECE DENSITIES'!C6</f>
        <v>1.5297189877339947</v>
      </c>
      <c r="E30" s="24" t="s">
        <v>290</v>
      </c>
      <c r="G30" s="114"/>
      <c r="I30" s="99"/>
      <c r="J30" s="201">
        <f>(SUM(I25:I29)-J23)*'PIECE DENSITIES'!C11</f>
        <v>0</v>
      </c>
      <c r="K30" s="24" t="s">
        <v>289</v>
      </c>
      <c r="L30"/>
      <c r="M30" s="20"/>
      <c r="O30" s="96">
        <f>SUM(N25:N29)*'PIECE DENSITIES'!C16</f>
        <v>7.2762832209255279E-2</v>
      </c>
      <c r="P30" s="24" t="s">
        <v>120</v>
      </c>
      <c r="Q30" s="109"/>
      <c r="S30" s="20"/>
      <c r="U30" s="20"/>
      <c r="Y30"/>
      <c r="Z30"/>
      <c r="AA30"/>
      <c r="AB30"/>
      <c r="AC30"/>
      <c r="AD30"/>
    </row>
    <row r="31" spans="1:30" ht="13" x14ac:dyDescent="0.3">
      <c r="A31" s="114"/>
      <c r="C31" s="98"/>
      <c r="D31" s="196">
        <f>(SUM(C25:C29)-D23)*'PIECE DENSITIES'!D6</f>
        <v>6.1918450594296699</v>
      </c>
      <c r="E31" s="24" t="s">
        <v>121</v>
      </c>
      <c r="G31" s="114"/>
      <c r="I31" s="99"/>
      <c r="J31" s="201">
        <f>(SUM(I25:I29)-J23)*'PIECE DENSITIES'!D11</f>
        <v>0</v>
      </c>
      <c r="K31" s="24" t="s">
        <v>122</v>
      </c>
      <c r="L31"/>
      <c r="M31" s="20"/>
      <c r="O31" s="96">
        <f>SUM(N25:N29)*'PIECE DENSITIES'!D16</f>
        <v>0.47218304820488133</v>
      </c>
      <c r="P31" s="24" t="s">
        <v>123</v>
      </c>
      <c r="Q31" s="109"/>
      <c r="S31" s="20"/>
      <c r="U31" s="20"/>
      <c r="Y31"/>
      <c r="Z31"/>
      <c r="AA31"/>
      <c r="AB31"/>
      <c r="AC31"/>
      <c r="AD31"/>
    </row>
    <row r="32" spans="1:30" ht="13" x14ac:dyDescent="0.3">
      <c r="A32" s="114"/>
      <c r="C32" s="89"/>
      <c r="D32" s="197">
        <f>(SUM(C25:C29)-D23)*'PIECE DENSITIES'!E6</f>
        <v>3.3440361934127689</v>
      </c>
      <c r="E32" s="24" t="s">
        <v>124</v>
      </c>
      <c r="G32" s="114"/>
      <c r="I32" s="94"/>
      <c r="J32" s="202">
        <f>(SUM(I25:I29)-J23)*'PIECE DENSITIES'!E11</f>
        <v>0</v>
      </c>
      <c r="K32" s="24" t="s">
        <v>125</v>
      </c>
      <c r="L32"/>
      <c r="M32" s="20"/>
      <c r="N32" s="46"/>
      <c r="O32" s="97">
        <f>SUM(N25:N29)*'PIECE DENSITIES'!E16</f>
        <v>0.20802099911640429</v>
      </c>
      <c r="P32" s="24" t="s">
        <v>126</v>
      </c>
      <c r="Q32" s="109"/>
      <c r="S32" s="20"/>
      <c r="U32" s="20"/>
      <c r="Y32"/>
      <c r="Z32"/>
      <c r="AA32"/>
      <c r="AB32"/>
      <c r="AC32"/>
      <c r="AD32"/>
    </row>
    <row r="33" spans="1:30" ht="13" x14ac:dyDescent="0.3">
      <c r="A33" s="114"/>
      <c r="C33" s="89"/>
      <c r="D33" s="197">
        <f>(SUM(C25:C29)-D23)*'PIECE DENSITIES'!F6</f>
        <v>0.88063936336105231</v>
      </c>
      <c r="E33" s="24" t="s">
        <v>127</v>
      </c>
      <c r="G33" s="114"/>
      <c r="I33" s="94"/>
      <c r="J33" s="202">
        <f>(SUM(I25:I29)-J23)*'PIECE DENSITIES'!F11</f>
        <v>0</v>
      </c>
      <c r="K33" s="24" t="s">
        <v>128</v>
      </c>
      <c r="L33"/>
      <c r="M33" s="20"/>
      <c r="N33" s="46"/>
      <c r="O33" s="97">
        <f>SUM(N25:N29)*'PIECE DENSITIES'!F16</f>
        <v>6.0228007098312726E-2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0.14521230589814613</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9.6032140754059123E-2</v>
      </c>
      <c r="B42" s="199">
        <f>C42*(1+'ACCEPT RATES'!F15+'PIECE DENSITIES'!C7)</f>
        <v>1.5666015751338129</v>
      </c>
      <c r="C42" s="198">
        <f>D30</f>
        <v>1.5297189877339947</v>
      </c>
      <c r="G42" s="205">
        <f>IF(SUM(C11:C16)&gt;0,H42*(1-'ACCEPT RATES'!C20),H42*(1-'ACCEPT RATES'!D20))</f>
        <v>0</v>
      </c>
      <c r="H42" s="204">
        <f>I42*(1+'PIECE DENSITIES'!C12)</f>
        <v>0</v>
      </c>
      <c r="I42" s="203">
        <f>J30</f>
        <v>0</v>
      </c>
      <c r="J42" s="58"/>
      <c r="L42"/>
      <c r="M42" s="102">
        <f>N42</f>
        <v>0.21797513810740141</v>
      </c>
      <c r="N42" s="101">
        <f>D36+J36+O30</f>
        <v>0.21797513810740141</v>
      </c>
      <c r="P42" s="20"/>
      <c r="Q42" s="109"/>
      <c r="S42" s="20"/>
      <c r="U42" s="20"/>
      <c r="Y42"/>
      <c r="Z42"/>
      <c r="AA42"/>
      <c r="AB42"/>
      <c r="AC42"/>
      <c r="AD42"/>
    </row>
    <row r="43" spans="1:30" ht="13" x14ac:dyDescent="0.3">
      <c r="A43" s="114"/>
      <c r="C43" s="98"/>
      <c r="D43" s="196">
        <f>(SUM(C38:C42)-D36)*'PIECE DENSITIES'!D7</f>
        <v>1.1433168679175187</v>
      </c>
      <c r="E43" s="24" t="s">
        <v>121</v>
      </c>
      <c r="G43" s="114"/>
      <c r="I43" s="99"/>
      <c r="J43" s="201">
        <f>(SUM(I38:I42)-J36)*'PIECE DENSITIES'!D12</f>
        <v>0</v>
      </c>
      <c r="K43" s="24" t="s">
        <v>122</v>
      </c>
      <c r="L43"/>
      <c r="M43" s="20"/>
      <c r="O43" s="96">
        <f>SUM(N38:N42)*'PIECE DENSITIES'!D17</f>
        <v>0.15429231003700081</v>
      </c>
      <c r="P43" s="24" t="s">
        <v>123</v>
      </c>
      <c r="Q43" s="109"/>
      <c r="S43" s="20"/>
      <c r="U43" s="20"/>
      <c r="Y43"/>
      <c r="Z43"/>
      <c r="AA43"/>
      <c r="AB43"/>
      <c r="AC43"/>
      <c r="AD43"/>
    </row>
    <row r="44" spans="1:30" ht="13" x14ac:dyDescent="0.3">
      <c r="A44" s="114"/>
      <c r="C44" s="98"/>
      <c r="D44" s="196">
        <f>(SUM(C38:C42)-D36)*'PIECE DENSITIES'!E7</f>
        <v>9.5552251464086968E-2</v>
      </c>
      <c r="E44" s="24" t="s">
        <v>124</v>
      </c>
      <c r="G44" s="114"/>
      <c r="I44" s="99"/>
      <c r="J44" s="201">
        <f>(SUM(I38:I42)-J36)*'PIECE DENSITIES'!E12</f>
        <v>0</v>
      </c>
      <c r="K44" s="24" t="s">
        <v>125</v>
      </c>
      <c r="L44"/>
      <c r="M44" s="20"/>
      <c r="O44" s="96">
        <f>SUM(N38:N42)*'PIECE DENSITIES'!E17</f>
        <v>6.764286509380569E-4</v>
      </c>
      <c r="P44" s="24" t="s">
        <v>126</v>
      </c>
      <c r="Q44" s="109"/>
      <c r="S44" s="20"/>
      <c r="U44" s="20"/>
      <c r="Y44"/>
      <c r="Z44"/>
      <c r="AA44"/>
      <c r="AB44"/>
      <c r="AC44"/>
      <c r="AD44"/>
    </row>
    <row r="45" spans="1:30" ht="13" x14ac:dyDescent="0.3">
      <c r="A45" s="114"/>
      <c r="C45" s="89"/>
      <c r="D45" s="197">
        <f>(SUM(C38:C42)-D36)*'PIECE DENSITIES'!F7</f>
        <v>1.0178058574177482E-2</v>
      </c>
      <c r="E45" s="24" t="s">
        <v>127</v>
      </c>
      <c r="G45" s="114"/>
      <c r="I45" s="94"/>
      <c r="J45" s="202">
        <f>(SUM(I38:I42)-J36)*'PIECE DENSITIES'!F12</f>
        <v>0</v>
      </c>
      <c r="K45" s="24" t="s">
        <v>128</v>
      </c>
      <c r="L45"/>
      <c r="M45" s="20"/>
      <c r="N45" s="46"/>
      <c r="O45" s="97">
        <f>SUM(N38:N42)*'PIECE DENSITIES'!F17</f>
        <v>4.3302086079735451E-3</v>
      </c>
      <c r="P45" s="24" t="s">
        <v>129</v>
      </c>
      <c r="Q45" s="109"/>
      <c r="S45" s="20"/>
      <c r="U45" s="20"/>
      <c r="Y45"/>
      <c r="Z45"/>
      <c r="AA45"/>
      <c r="AB45"/>
      <c r="AC45"/>
      <c r="AD45"/>
    </row>
    <row r="46" spans="1:30" ht="13" x14ac:dyDescent="0.3">
      <c r="A46" s="114"/>
      <c r="C46" s="89"/>
      <c r="D46" s="197">
        <f>(SUM(C38:C42)-D36)*'PIECE DENSITIES'!G7</f>
        <v>0.13545950388006564</v>
      </c>
      <c r="E46" s="24" t="s">
        <v>130</v>
      </c>
      <c r="G46" s="114"/>
      <c r="I46" s="94"/>
      <c r="J46" s="202">
        <f>(SUM(I38:I42)-J36)*'PIECE DENSITIES'!G12</f>
        <v>0</v>
      </c>
      <c r="K46" s="24" t="s">
        <v>288</v>
      </c>
      <c r="L46"/>
      <c r="M46" s="20"/>
      <c r="N46" s="46"/>
      <c r="O46" s="97">
        <f>SUM(N38:N42)*'PIECE DENSITIES'!G17</f>
        <v>5.8676190811489011E-2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326.49354084140612</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986.5624803250671</v>
      </c>
      <c r="B54" s="86">
        <f>C54*(1+'ACCEPT RATES'!F16+'PIECE DENSITIES'!D8)</f>
        <v>3741.4542333143863</v>
      </c>
      <c r="C54" s="85">
        <f>G13*('COVERAGE FACTORS'!E38+'COVERAGE FACTORS'!E42)</f>
        <v>3701.3609754562563</v>
      </c>
      <c r="G54" s="194">
        <f>H54*(1-'ACCEPT RATES'!D21)</f>
        <v>0</v>
      </c>
      <c r="H54" s="86">
        <f>I54*(1+'PIECE DENSITIES'!D13)</f>
        <v>0</v>
      </c>
      <c r="I54" s="85">
        <f>G13*'COVERAGE FACTORS'!E40</f>
        <v>0</v>
      </c>
      <c r="J54" s="58"/>
      <c r="L54"/>
      <c r="M54" s="86">
        <f>N54</f>
        <v>22.234831506988115</v>
      </c>
      <c r="N54" s="85">
        <f>G13*'COVERAGE FACTORS'!E44</f>
        <v>22.234831506988115</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0.45179941219023539</v>
      </c>
      <c r="B57" s="199">
        <f>C57*(1+'ACCEPT RATES'!F16+'PIECE DENSITIES'!D8)</f>
        <v>7.3703414838415595</v>
      </c>
      <c r="C57" s="198">
        <f>(D31+D43)*('COVERAGE FACTORS'!E38+'COVERAGE FACTORS'!E42)</f>
        <v>7.2913612309273441</v>
      </c>
      <c r="G57" s="210">
        <f>IF(SUM(C11:C16)&gt;0,H57*(1-'ACCEPT RATES'!C21),H57*(1-'ACCEPT RATES'!D21))</f>
        <v>0</v>
      </c>
      <c r="H57" s="209">
        <f>I57*(1+'PIECE DENSITIES'!D13)</f>
        <v>0</v>
      </c>
      <c r="I57" s="208">
        <f>(D31+D43)*'COVERAGE FACTORS'!E40+(J31+J43)*('COVERAGE FACTORS'!E40+'COVERAGE FACTORS'!E42)</f>
        <v>0</v>
      </c>
      <c r="J57" s="58"/>
      <c r="L57"/>
      <c r="M57" s="102">
        <f>N57</f>
        <v>327.16381689606789</v>
      </c>
      <c r="N57" s="101">
        <f>D51+J51+O31+O43+(D31+D43)*'COVERAGE FACTORS'!E44+(J31+J43)*(1-('COVERAGE FACTORS'!E40+'COVERAGE FACTORS'!E42))</f>
        <v>327.16381689606789</v>
      </c>
      <c r="P57" s="20"/>
      <c r="Q57" s="109"/>
      <c r="S57" s="20"/>
      <c r="U57" s="20"/>
      <c r="Y57"/>
      <c r="Z57"/>
      <c r="AA57"/>
      <c r="AB57"/>
      <c r="AC57"/>
      <c r="AD57"/>
    </row>
    <row r="58" spans="1:30" ht="13" x14ac:dyDescent="0.3">
      <c r="A58" s="114"/>
      <c r="C58" s="98"/>
      <c r="D58" s="196">
        <f>(SUM(C53:C57)-D51)*'PIECE DENSITIES'!E8</f>
        <v>672.84919804486367</v>
      </c>
      <c r="E58" s="24" t="s">
        <v>124</v>
      </c>
      <c r="G58" s="114"/>
      <c r="I58" s="99"/>
      <c r="J58" s="201">
        <f>(SUM(I53:I57)-J51)*'PIECE DENSITIES'!E13</f>
        <v>0</v>
      </c>
      <c r="K58" s="24" t="s">
        <v>125</v>
      </c>
      <c r="L58"/>
      <c r="M58" s="20"/>
      <c r="O58" s="96">
        <f>SUM(N53:N57)*'PIECE DENSITIES'!E18</f>
        <v>92.33343852785741</v>
      </c>
      <c r="P58" s="24" t="s">
        <v>126</v>
      </c>
      <c r="Q58" s="109"/>
      <c r="S58" s="20"/>
      <c r="U58" s="20"/>
      <c r="Y58"/>
      <c r="Z58"/>
      <c r="AA58"/>
      <c r="AB58"/>
      <c r="AC58"/>
      <c r="AD58"/>
    </row>
    <row r="59" spans="1:30" ht="13" x14ac:dyDescent="0.3">
      <c r="A59" s="114"/>
      <c r="C59" s="98"/>
      <c r="D59" s="196">
        <f>(SUM(C53:C57)-D51)*'PIECE DENSITIES'!F8</f>
        <v>218.4503717591904</v>
      </c>
      <c r="E59" s="24" t="s">
        <v>127</v>
      </c>
      <c r="G59" s="114"/>
      <c r="I59" s="99"/>
      <c r="J59" s="201">
        <f>(SUM(I53:I57)-J51)*'PIECE DENSITIES'!F13</f>
        <v>0</v>
      </c>
      <c r="K59" s="24" t="s">
        <v>128</v>
      </c>
      <c r="L59"/>
      <c r="M59" s="20"/>
      <c r="O59" s="96">
        <f>SUM(N53:N57)*'PIECE DENSITIES'!F18</f>
        <v>14.491917543569052</v>
      </c>
      <c r="P59" s="24" t="s">
        <v>129</v>
      </c>
      <c r="Q59" s="109"/>
      <c r="S59" s="20"/>
      <c r="U59" s="20"/>
      <c r="Y59"/>
      <c r="Z59"/>
      <c r="AA59"/>
      <c r="AB59"/>
      <c r="AC59"/>
      <c r="AD59"/>
    </row>
    <row r="60" spans="1:30" ht="13" x14ac:dyDescent="0.3">
      <c r="A60" s="114"/>
      <c r="C60" s="89"/>
      <c r="D60" s="197">
        <f>(SUM(C53:C57)-D51)*'PIECE DENSITIES'!G8</f>
        <v>2490.8592260417231</v>
      </c>
      <c r="E60" s="24" t="s">
        <v>130</v>
      </c>
      <c r="G60" s="114"/>
      <c r="I60" s="94"/>
      <c r="J60" s="202">
        <f>(SUM(I53:I57)-J51)*'PIECE DENSITIES'!G13</f>
        <v>0</v>
      </c>
      <c r="K60" s="24" t="s">
        <v>288</v>
      </c>
      <c r="L60"/>
      <c r="M60" s="20"/>
      <c r="N60" s="46"/>
      <c r="O60" s="97">
        <f>SUM(N53:N57)*'PIECE DENSITIES'!G18</f>
        <v>242.57329233162952</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304.83112880340684</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1108.6885470034329</v>
      </c>
      <c r="B65" s="86">
        <f>C65*(1+'ACCEPT RATES'!F17+'PIECE DENSITIES'!E9)</f>
        <v>4204.6069461777934</v>
      </c>
      <c r="C65" s="85">
        <f>G14*('COVERAGE FACTORS'!E38+'COVERAGE FACTORS'!E42)</f>
        <v>3958.8829610465973</v>
      </c>
      <c r="G65" s="194">
        <f>H65*(1-'ACCEPT RATES'!D22)</f>
        <v>0</v>
      </c>
      <c r="H65" s="86">
        <f>I65*(1+'PIECE DENSITIES'!E14)</f>
        <v>0</v>
      </c>
      <c r="I65" s="85">
        <f>G14*'COVERAGE FACTORS'!E40</f>
        <v>0</v>
      </c>
      <c r="J65" s="58"/>
      <c r="L65"/>
      <c r="M65" s="86">
        <f>N65</f>
        <v>23.781818681952977</v>
      </c>
      <c r="N65" s="85">
        <f>G14*'COVERAGE FACTORS'!E44</f>
        <v>23.781818681952977</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43.766507089164257</v>
      </c>
      <c r="B68" s="211">
        <f>C68*(1+'ACCEPT RATES'!F17+'PIECE DENSITIES'!E9)</f>
        <v>713.97636672065755</v>
      </c>
      <c r="C68" s="212">
        <f>(D32+D44+D58)*('COVERAGE FACTORS'!E38+'COVERAGE FACTORS'!E42)</f>
        <v>672.25044076232803</v>
      </c>
      <c r="G68" s="205">
        <f>IF(SUM(C11:C16)&gt;0, H68*(1-'ACCEPT RATES'!C22),H68*(1-'ACCEPT RATES'!D22))</f>
        <v>0</v>
      </c>
      <c r="H68" s="204">
        <f>I68*(1+'PIECE DENSITIES'!E14)</f>
        <v>0</v>
      </c>
      <c r="I68" s="203">
        <f>(D32+D44+D58)*'COVERAGE FACTORS'!E40+(J32+J44+J58)*('COVERAGE FACTORS'!E40+'COVERAGE FACTORS'!E42)</f>
        <v>0</v>
      </c>
      <c r="J68" s="58"/>
      <c r="L68"/>
      <c r="M68" s="102">
        <f>N68</f>
        <v>401.41161048644511</v>
      </c>
      <c r="N68" s="101">
        <f>D62+J62+O32+O44+O58+(D32+D44+D58)*'COVERAGE FACTORS'!E44+(J32+J44+J58)*(1-('COVERAGE FACTORS'!E40+'COVERAGE FACTORS'!E42))</f>
        <v>401.41161048644511</v>
      </c>
      <c r="P68" s="20"/>
      <c r="Q68" s="109"/>
      <c r="S68" s="20"/>
      <c r="U68" s="20"/>
      <c r="Y68"/>
      <c r="Z68"/>
      <c r="AA68"/>
      <c r="AB68"/>
      <c r="AC68"/>
      <c r="AD68"/>
    </row>
    <row r="69" spans="1:30" ht="13" x14ac:dyDescent="0.3">
      <c r="A69" s="114"/>
      <c r="C69" s="98"/>
      <c r="D69" s="196">
        <f>(SUM(C64:C68)-D62)*'PIECE DENSITIES'!F9</f>
        <v>96.787910167034738</v>
      </c>
      <c r="E69" s="24" t="s">
        <v>127</v>
      </c>
      <c r="G69" s="114"/>
      <c r="I69" s="99"/>
      <c r="J69" s="201">
        <f>(SUM(I64:I68)-J62)*'PIECE DENSITIES'!F14</f>
        <v>0</v>
      </c>
      <c r="K69" s="24" t="s">
        <v>128</v>
      </c>
      <c r="L69"/>
      <c r="M69" s="20"/>
      <c r="O69" s="96">
        <f>SUM(N64:N68)*'PIECE DENSITIES'!F19</f>
        <v>10.998830507616047</v>
      </c>
      <c r="P69" s="24" t="s">
        <v>129</v>
      </c>
      <c r="Q69" s="109"/>
      <c r="S69" s="20"/>
      <c r="U69" s="20"/>
      <c r="Y69"/>
      <c r="Z69"/>
      <c r="AA69"/>
      <c r="AB69"/>
      <c r="AC69"/>
      <c r="AD69"/>
    </row>
    <row r="70" spans="1:30" ht="13" x14ac:dyDescent="0.3">
      <c r="A70" s="114"/>
      <c r="C70" s="98"/>
      <c r="D70" s="196">
        <f>(SUM(C64:C68)-D62)*'PIECE DENSITIES'!G9</f>
        <v>4229.5143628384849</v>
      </c>
      <c r="E70" s="24" t="s">
        <v>130</v>
      </c>
      <c r="G70" s="114"/>
      <c r="I70" s="99"/>
      <c r="J70" s="201">
        <f>(SUM(I64:I68)-J62)*'PIECE DENSITIES'!G14</f>
        <v>0</v>
      </c>
      <c r="K70" s="24" t="s">
        <v>288</v>
      </c>
      <c r="L70"/>
      <c r="M70" s="20"/>
      <c r="O70" s="96">
        <f>SUM(N64:N68)*'PIECE DENSITIES'!G19</f>
        <v>414.19459866078205</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15.703456871152845</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19.450266532738528</v>
      </c>
      <c r="B78" s="211">
        <f>C78*(1+'ACCEPT RATES'!F17)</f>
        <v>317.29812485381581</v>
      </c>
      <c r="C78" s="212">
        <f>(D33+D45+D59+D69)*('COVERAGE FACTORS'!E38+'COVERAGE FACTORS'!E42)</f>
        <v>314.24138714123501</v>
      </c>
      <c r="G78" s="205">
        <f>IF(SUM(C11:C16)&gt;0,H78*(1-'ACCEPT RATES'!C22),H78*(1-'ACCEPT RATES'!D22))</f>
        <v>0</v>
      </c>
      <c r="H78" s="204">
        <f>I78</f>
        <v>0</v>
      </c>
      <c r="I78" s="203">
        <f>(D33+D45+D59+D69)*'COVERAGE FACTORS'!E40+(J33+J45+J59+J69)*('COVERAGE FACTORS'!E40+'COVERAGE FACTORS'!E42)</f>
        <v>0</v>
      </c>
      <c r="J78" s="58"/>
      <c r="L78"/>
      <c r="M78" s="102">
        <f ca="1">N78</f>
        <v>43.146475344970035</v>
      </c>
      <c r="N78" s="294">
        <f ca="1">D72+J72+O33+O45+O59+O69+(D33+D45+D59+D69)*'COVERAGE FACTORS'!E44+(J33+J45+J59+J69)*(1-('COVERAGE FACTORS'!E40+'COVERAGE FACTORS'!E42))+D106</f>
        <v>43.146475344970035</v>
      </c>
      <c r="P78" s="20"/>
      <c r="Q78" s="109"/>
      <c r="S78" s="20"/>
      <c r="U78" s="20"/>
      <c r="Y78"/>
      <c r="Z78"/>
      <c r="AA78"/>
      <c r="AB78"/>
      <c r="AC78"/>
      <c r="AD78"/>
    </row>
    <row r="79" spans="1:30" ht="13" x14ac:dyDescent="0.3">
      <c r="A79" s="114"/>
      <c r="C79" s="98"/>
      <c r="D79" s="196">
        <f>SUM(C74:C78)-D72</f>
        <v>298.53793027008214</v>
      </c>
      <c r="E79" s="24" t="s">
        <v>130</v>
      </c>
      <c r="G79" s="114"/>
      <c r="I79" s="99"/>
      <c r="J79" s="201">
        <f>SUM(I74:I78)-J72</f>
        <v>0</v>
      </c>
      <c r="K79" s="24" t="s">
        <v>288</v>
      </c>
      <c r="L79"/>
      <c r="M79" s="20"/>
      <c r="O79" s="96">
        <f ca="1">SUM(N74:N78)</f>
        <v>43.146475344970035</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480.32634105928037</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603.68260589801866</v>
      </c>
      <c r="B84" s="86">
        <f>C84*(1+'ACCEPT RATES'!F17)</f>
        <v>2289.414899167044</v>
      </c>
      <c r="C84" s="85">
        <f>G16*('COVERAGE FACTORS'!E54+'COVERAGE FACTORS'!E58+(1-'COVERAGE FACTORS'!B119)*'COVERAGE FACTORS'!E52)</f>
        <v>2267.3594871936757</v>
      </c>
      <c r="G84" s="194">
        <v>0</v>
      </c>
      <c r="H84" s="86">
        <f>I84</f>
        <v>0</v>
      </c>
      <c r="I84" s="85">
        <f>G16*'COVERAGE FACTORS'!E56</f>
        <v>0</v>
      </c>
      <c r="J84" s="58"/>
      <c r="L84"/>
      <c r="M84" s="86">
        <f>N84</f>
        <v>13.620491623978372</v>
      </c>
      <c r="N84" s="85">
        <f>G16*'COVERAGE FACTORS'!E60</f>
        <v>13.620491623978372</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413.17834736076423</v>
      </c>
      <c r="B87" s="211">
        <f>C87*(1+'ACCEPT RATES'!F17)</f>
        <v>6740.3042846277403</v>
      </c>
      <c r="C87" s="212">
        <f>(D34+D46+D60+D70+D79)*('COVERAGE FACTORS'!E54+'COVERAGE FACTORS'!E58+(1-'COVERAGE FACTORS'!B119)*'COVERAGE FACTORS'!E52)*'COVERAGE FACTORS'!E104</f>
        <v>6675.3705813145434</v>
      </c>
      <c r="G87" s="205">
        <v>0</v>
      </c>
      <c r="H87" s="204">
        <f>I87</f>
        <v>0</v>
      </c>
      <c r="I87" s="203">
        <f>(D34+D46+D60+D70+D79)*'COVERAGE FACTORS'!E56*'COVERAGE FACTORS'!E104+(J34+J46+J60+J70+J79)*('COVERAGE FACTORS'!E56+'COVERAGE FACTORS'!E58)*'COVERAGE FACTORS'!E104</f>
        <v>0</v>
      </c>
      <c r="J87" s="213"/>
      <c r="L87"/>
      <c r="M87" s="102">
        <f ca="1">N87</f>
        <v>1523.9757809271007</v>
      </c>
      <c r="N87" s="294">
        <f ca="1">D81+J81+(O34+O46+O60+O70+O79)+(D34+D46+D60+D70+D79)*'COVERAGE FACTORS'!E106+(J34+J46+J60+J70+J79)*(1-('COVERAGE FACTORS'!E56+'COVERAGE FACTORS'!E58)*'COVERAGE FACTORS'!E104)+D120</f>
        <v>1523.9757809271007</v>
      </c>
      <c r="P87" s="20"/>
      <c r="Q87" s="109"/>
      <c r="S87" s="20"/>
      <c r="U87" s="20"/>
      <c r="Y87"/>
      <c r="Z87"/>
      <c r="AA87"/>
      <c r="AB87"/>
      <c r="AC87"/>
      <c r="AD87"/>
    </row>
    <row r="88" spans="1:30" ht="13" x14ac:dyDescent="0.3">
      <c r="A88" s="114"/>
      <c r="C88" s="98"/>
      <c r="D88" s="103">
        <f>SUM(C83:C87)-D81</f>
        <v>8462.4037274489383</v>
      </c>
      <c r="E88" s="24"/>
      <c r="G88" s="218"/>
      <c r="H88" s="214"/>
      <c r="I88" s="214"/>
      <c r="J88" s="215">
        <f>SUM(I83:I87)-J81</f>
        <v>0</v>
      </c>
      <c r="K88" s="24"/>
      <c r="L88"/>
      <c r="M88" s="20"/>
      <c r="O88" s="216">
        <f ca="1">SUM(N83:N87)</f>
        <v>1537.596272551079</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FACTORS'!E52*'COVERAGE FACTORS'!B119</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FACTORS'!E52*'COVERAGE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2.75" customHeight="1" x14ac:dyDescent="0.3">
      <c r="A106" s="114"/>
      <c r="D106" s="285">
        <f ca="1">A112*(1-'ACCEPT RATES'!G17)+B112*('ACCEPT RATES'!I17+'ACCEPT RATES'!J17)</f>
        <v>0</v>
      </c>
      <c r="E106" s="24" t="s">
        <v>114</v>
      </c>
      <c r="G106" s="482" t="s">
        <v>526</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drawing r:id="rId2"/>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pageSetUpPr fitToPage="1"/>
  </sheetPr>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340</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'BUNDLE SORT'!$I$31*('COVERAGE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C11*$J11/'3D NONAUTO MODEL'!$G$6</f>
        <v>0</v>
      </c>
    </row>
    <row r="12" spans="1:11" ht="13" x14ac:dyDescent="0.3">
      <c r="A12" s="36"/>
      <c r="B12" t="s">
        <v>529</v>
      </c>
      <c r="C12" s="151">
        <f>'BUNDLE SORT'!$I$31*('COVERAGE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C12*$J12/'3D NONAUTO MODEL'!$G$6</f>
        <v>0</v>
      </c>
    </row>
    <row r="13" spans="1:11" ht="13" x14ac:dyDescent="0.3">
      <c r="A13" s="36"/>
      <c r="B13" t="s">
        <v>70</v>
      </c>
      <c r="C13" s="151">
        <f>'BUNDLE SORT'!$J$31</f>
        <v>43.487454050286303</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C13*$J13/'3D NONAUTO MODEL'!$G$6</f>
        <v>8.8205236831011502E-2</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'BUNDLE SORT'!$M$31*('COVERAGE FACTORS'!$E$30/('COVERAGE FACTORS'!$E$30+'COVERAGE FACTORS'!$E$32))</f>
        <v>36.080739442985667</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C16*$J16/'3D NONAUTO MODEL'!$G$6</f>
        <v>0.13626055698305697</v>
      </c>
    </row>
    <row r="17" spans="1:11" ht="13" x14ac:dyDescent="0.3">
      <c r="A17" s="1"/>
      <c r="B17" t="s">
        <v>529</v>
      </c>
      <c r="C17" s="151">
        <f>'BUNDLE SORT'!$M$31*('COVERAGE FACTORS'!$E$32/('COVERAGE FACTORS'!$E$30+'COVERAGE FACTORS'!$E$32))</f>
        <v>43.615733695457017</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C17*$J17/'3D NONAUTO MODEL'!$G$6</f>
        <v>0.19052434724934203</v>
      </c>
    </row>
    <row r="18" spans="1:11" ht="13" x14ac:dyDescent="0.3">
      <c r="A18" s="1"/>
      <c r="B18" t="s">
        <v>70</v>
      </c>
      <c r="C18" s="151">
        <f>'BUNDLE SORT'!$N$31</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C18*$J18/'3D NONAUTO MODEL'!$G$6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'BUNDLE SORT'!$Q$31*('COVERAGE FACTORS'!$E$30/('COVERAGE FACTORS'!$E$30+'COVERAGE FACTORS'!$E$32))</f>
        <v>154.19594159077212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C21*$J21/'3D NONAUTO MODEL'!$G$6</f>
        <v>0.58232800131179607</v>
      </c>
    </row>
    <row r="22" spans="1:11" ht="13" x14ac:dyDescent="0.3">
      <c r="A22" s="1"/>
      <c r="B22" t="s">
        <v>529</v>
      </c>
      <c r="C22" s="151">
        <f>'BUNDLE SORT'!$Q$31*('COVERAGE FACTORS'!$E$32/('COVERAGE FACTORS'!$E$30+'COVERAGE FACTORS'!$E$32))</f>
        <v>186.39776316033394</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C22*$J22/'3D NONAUTO MODEL'!$G$6</f>
        <v>0.81423168076980257</v>
      </c>
    </row>
    <row r="23" spans="1:11" ht="13" x14ac:dyDescent="0.3">
      <c r="A23" s="1"/>
      <c r="B23" t="s">
        <v>70</v>
      </c>
      <c r="C23" s="151">
        <f>'BUNDLE SORT'!$R$31</f>
        <v>9.822334654422832</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C23*$J23/'3D NONAUTO MODEL'!$G$6</f>
        <v>1.9922558663125818E-2</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'BUNDLE SORT'!$U$31*('COVERAGE FACTORS'!$E$30/('COVERAGE FACTORS'!$E$30+'COVERAGE FACTORS'!$E$32))</f>
        <v>1.5488765427053707E-3</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C26*$J26/'3D NONAUTO MODEL'!$G$6</f>
        <v>5.8494028577359183E-6</v>
      </c>
    </row>
    <row r="27" spans="1:11" ht="13" x14ac:dyDescent="0.3">
      <c r="A27" s="1"/>
      <c r="B27" t="s">
        <v>529</v>
      </c>
      <c r="C27" s="151">
        <f>'BUNDLE SORT'!$U$31*('COVERAGE FACTORS'!$E$32/('COVERAGE FACTORS'!$E$30+'COVERAGE FACTORS'!$E$32))</f>
        <v>1.8723393105767076E-3</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C27*$J27/'3D NONAUTO MODEL'!$G$6</f>
        <v>8.1788426962554264E-6</v>
      </c>
    </row>
    <row r="28" spans="1:11" ht="13" x14ac:dyDescent="0.3">
      <c r="A28" s="1"/>
      <c r="B28" t="s">
        <v>70</v>
      </c>
      <c r="C28" s="151">
        <f>'BUNDLE SORT'!$V$31</f>
        <v>0.33870036947492571</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C28*$J28/'3D NONAUTO MODEL'!$G$6</f>
        <v>9.5681816087805796E-4</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SUM('3D NONAUTO MODEL'!$B$25:$B$29)</f>
        <v>5.8400471303969921</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C31*$J31/'3D NONAUTO MODEL'!$G$6</f>
        <v>2.9881632726313423E-3</v>
      </c>
    </row>
    <row r="32" spans="1:11" ht="13" x14ac:dyDescent="0.3">
      <c r="A32" s="36"/>
      <c r="B32" t="s">
        <v>244</v>
      </c>
      <c r="C32" s="2">
        <f>SUM('3D NONAUTO MODEL'!$A$25:$A$29)</f>
        <v>1.5399283334479892</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C32*$J32/'3D NONAUTO MODEL'!$G$6</f>
        <v>1.1612122532932382E-3</v>
      </c>
    </row>
    <row r="33" spans="1:11" ht="13" x14ac:dyDescent="0.3">
      <c r="A33" s="36"/>
      <c r="B33" t="s">
        <v>291</v>
      </c>
      <c r="C33" s="2">
        <f>SUM('3D NONAUTO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C33*$J33/'3D NONAUTO MODEL'!$G$6</f>
        <v>0</v>
      </c>
    </row>
    <row r="34" spans="1:11" x14ac:dyDescent="0.25">
      <c r="B34" t="s">
        <v>292</v>
      </c>
      <c r="C34" s="2">
        <f>SUM('3D NONAUTO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C34*$J34/'3D NONAUTO MODEL'!$G$6</f>
        <v>0</v>
      </c>
    </row>
    <row r="35" spans="1:11" x14ac:dyDescent="0.25">
      <c r="B35" t="s">
        <v>70</v>
      </c>
      <c r="C35" s="2">
        <f>SUM('3D NONAUTO MODEL'!$M$25:$M$29)</f>
        <v>0.3681688937870764</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C35*$J35/'3D NONAUTO MODEL'!$G$6</f>
        <v>3.9779784259889655E-4</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SUM('3D NONAUTO MODEL'!$B$38:$B$42)</f>
        <v>0.70926905518695194</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C38*$J38/'3D NONAUTO MODEL'!$G$6</f>
        <v>2.5165070151693072E-4</v>
      </c>
    </row>
    <row r="39" spans="1:11" ht="13" x14ac:dyDescent="0.3">
      <c r="A39" s="36"/>
      <c r="B39" t="s">
        <v>244</v>
      </c>
      <c r="C39" s="2">
        <f>SUM('3D NONAUTO MODEL'!$A$38:$A$42)</f>
        <v>4.3477950502120478E-2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C39*$J39/'3D NONAUTO MODEL'!$G$6</f>
        <v>3.2785375640238775E-5</v>
      </c>
    </row>
    <row r="40" spans="1:11" x14ac:dyDescent="0.25">
      <c r="B40" t="s">
        <v>291</v>
      </c>
      <c r="C40" s="2">
        <f>SUM('3D NONAUTO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C40*$J40/'3D NONAUTO MODEL'!$G$6</f>
        <v>0</v>
      </c>
    </row>
    <row r="41" spans="1:11" x14ac:dyDescent="0.25">
      <c r="B41" t="s">
        <v>292</v>
      </c>
      <c r="C41" s="2">
        <f>SUM('3D NONAUTO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C41*$J41/'3D NONAUTO MODEL'!$G$6</f>
        <v>0</v>
      </c>
    </row>
    <row r="42" spans="1:11" x14ac:dyDescent="0.25">
      <c r="B42" t="s">
        <v>70</v>
      </c>
      <c r="C42" s="2">
        <f>SUM('3D NONAUTO MODEL'!$M$38:$M$42)</f>
        <v>9.8686879110584547E-2</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C42*$J42/'3D NONAUTO MODEL'!$G$6</f>
        <v>1.3480460758776231E-4</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SUM('3D NONAUTO MODEL'!$B$53:$B$57)</f>
        <v>425.9629941982119</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C45*$J45/'3D NONAUTO MODEL'!$G$6</f>
        <v>0.21788937651556509</v>
      </c>
    </row>
    <row r="46" spans="1:11" ht="13" x14ac:dyDescent="0.3">
      <c r="A46" s="36"/>
      <c r="B46" t="s">
        <v>244</v>
      </c>
      <c r="C46" s="2">
        <f>SUM('3D NONAUTO MODEL'!$A$53:$A$57)</f>
        <v>111.64439211567482</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C46*$J46/'3D NONAUTO MODEL'!$G$6</f>
        <v>8.4187577642602845E-2</v>
      </c>
    </row>
    <row r="47" spans="1:11" x14ac:dyDescent="0.25">
      <c r="B47" t="s">
        <v>291</v>
      </c>
      <c r="C47" s="2">
        <f>SUM('3D NONAUTO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C47*$J47/'3D NONAUTO MODEL'!$G$6</f>
        <v>0</v>
      </c>
    </row>
    <row r="48" spans="1:11" x14ac:dyDescent="0.25">
      <c r="B48" t="s">
        <v>292</v>
      </c>
      <c r="C48" s="2">
        <f>SUM('3D NONAUTO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C48*$J48/'3D NONAUTO MODEL'!$G$6</f>
        <v>0</v>
      </c>
    </row>
    <row r="49" spans="1:11" x14ac:dyDescent="0.25">
      <c r="B49" t="s">
        <v>70</v>
      </c>
      <c r="C49" s="2">
        <f>SUM('3D NONAUTO MODEL'!$M$53:$M$57)</f>
        <v>39.876629822633717</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C49*$J49/'3D NONAUTO MODEL'!$G$6</f>
        <v>3.8565560182248632E-2</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SUM('3D NONAUTO MODEL'!$B$64:$B$68)</f>
        <v>8760.2956704146891</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C52*$J52/'3D NONAUTO MODEL'!$G$6</f>
        <v>3.3993081529329512</v>
      </c>
    </row>
    <row r="53" spans="1:11" ht="13" x14ac:dyDescent="0.3">
      <c r="A53" s="36"/>
      <c r="B53" t="s">
        <v>244</v>
      </c>
      <c r="C53" s="2">
        <f>SUM('3D NONAUTO MODEL'!$A$64:$A$68)</f>
        <v>2293.2823782139317</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C53*$J53/'3D NONAUTO MODEL'!$G$6</f>
        <v>1.7292932015095088</v>
      </c>
    </row>
    <row r="54" spans="1:11" x14ac:dyDescent="0.25">
      <c r="B54" t="s">
        <v>291</v>
      </c>
      <c r="C54" s="2">
        <f>SUM('3D NONAUTO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C54*$J54/'3D NONAUTO MODEL'!$G$6</f>
        <v>0</v>
      </c>
    </row>
    <row r="55" spans="1:11" x14ac:dyDescent="0.25">
      <c r="B55" t="s">
        <v>292</v>
      </c>
      <c r="C55" s="2">
        <f>SUM('3D NONAUTO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C55*$J55/'3D NONAUTO MODEL'!$G$6</f>
        <v>0</v>
      </c>
    </row>
    <row r="56" spans="1:11" x14ac:dyDescent="0.25">
      <c r="B56" t="s">
        <v>70</v>
      </c>
      <c r="C56" s="2">
        <f>SUM('3D NONAUTO MODEL'!$M$64:$M$68)</f>
        <v>620.47286528002894</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C56*$J56/'3D NONAUTO MODEL'!$G$6</f>
        <v>0.69228734144236981</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 ca="1">SUM('3D NONAUTO MODEL'!$B$74:$B$78)+SUM('3D NONAUTO MODEL'!$B$108:$B$112)</f>
        <v>197.95316300266856</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C59*$J59/'3D NONAUTO MODEL'!$G$6</f>
        <v>0.14253906338013836</v>
      </c>
    </row>
    <row r="60" spans="1:11" ht="13" x14ac:dyDescent="0.3">
      <c r="A60" s="36"/>
      <c r="B60" t="s">
        <v>244</v>
      </c>
      <c r="C60" s="2">
        <f ca="1">SUM('3D NONAUTO MODEL'!$A$74:$A$78)+SUM('3D NONAUTO MODEL'!$A$108:$A$112)</f>
        <v>12.13446118906125</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C60*$J60/'3D NONAUTO MODEL'!$G$6</f>
        <v>9.1502212887396486E-3</v>
      </c>
    </row>
    <row r="61" spans="1:11" x14ac:dyDescent="0.25">
      <c r="B61" t="s">
        <v>291</v>
      </c>
      <c r="C61" s="2">
        <f>SUM('3D NONAUTO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C61*$J61/'3D NONAUTO MODEL'!$G$6</f>
        <v>0</v>
      </c>
    </row>
    <row r="62" spans="1:11" x14ac:dyDescent="0.25">
      <c r="B62" t="s">
        <v>292</v>
      </c>
      <c r="C62" s="2">
        <f>SUM('3D NONAUTO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C62*$J62/'3D NONAUTO MODEL'!$G$6</f>
        <v>0</v>
      </c>
    </row>
    <row r="63" spans="1:11" x14ac:dyDescent="0.25">
      <c r="B63" t="s">
        <v>70</v>
      </c>
      <c r="C63" s="2">
        <f ca="1">SUM('3D NONAUTO MODEL'!$M$74:$M$78)</f>
        <v>28.708090211657119</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C63*$J63/'3D NONAUTO MODEL'!$G$6</f>
        <v>2.5536719575498707E-2</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 ca="1">SUM('3D NONAUTO MODEL'!$B$83:$B$87)+SUM('3D NONAUTO MODEL'!$B$122:$B$126)</f>
        <v>9027.0450922020864</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C66*$J66/'3D NONAUTO MODEL'!$G$6</f>
        <v>3.9086419509363348</v>
      </c>
    </row>
    <row r="67" spans="1:11" ht="13" x14ac:dyDescent="0.3">
      <c r="A67" s="36"/>
      <c r="B67" t="s">
        <v>244</v>
      </c>
      <c r="C67" s="2">
        <f ca="1">SUM('3D NONAUTO MODEL'!$A$83:$A$87)+SUM('3D NONAUTO MODEL'!$A$122:$A$126)</f>
        <v>828.34656595386571</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C67*$J67/'3D NONAUTO MODEL'!$G$6</f>
        <v>0.62463048537154009</v>
      </c>
    </row>
    <row r="68" spans="1:11" x14ac:dyDescent="0.25">
      <c r="B68" t="s">
        <v>291</v>
      </c>
      <c r="C68" s="2">
        <f>SUM('3D NONAUTO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C68*$J68/'3D NONAUTO MODEL'!$G$6</f>
        <v>0</v>
      </c>
    </row>
    <row r="69" spans="1:11" x14ac:dyDescent="0.25">
      <c r="B69" t="s">
        <v>292</v>
      </c>
      <c r="C69" s="2">
        <f>SUM('3D NONAUTO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C69*$J69/'3D NONAUTO MODEL'!$G$6</f>
        <v>0</v>
      </c>
    </row>
    <row r="70" spans="1:11" x14ac:dyDescent="0.25">
      <c r="B70" t="s">
        <v>70</v>
      </c>
      <c r="C70" s="2">
        <f ca="1">SUM('3D NONAUTO MODEL'!$M$83:$M$87)</f>
        <v>1526.5208259179301</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C70*$J70/'3D NONAUTO MODEL'!$G$6</f>
        <v>1.5136183841534692</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 ca="1">SUM('3D NONAUTO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C74*$J74/'3D NONAUTO MODEL'!$G$6</f>
        <v>0</v>
      </c>
    </row>
    <row r="76" spans="1:11" x14ac:dyDescent="0.25">
      <c r="B76" s="155" t="s">
        <v>486</v>
      </c>
      <c r="C76" s="2">
        <f>SUM('3D NONAUTO MODEL'!C65,'3D NONAUTO MODEL'!I65,'3D NONAUTO MODEL'!C75,'3D NONAUTO MODEL'!I75,'3D NONAUTO MODEL'!C84,'3D NONAUTO MODEL'!I84)</f>
        <v>9516.4471327227802</v>
      </c>
      <c r="D76" s="2">
        <f>PRODUCTIVITIES!$C$49*'FY VOLUME NONAUTO'!C63</f>
        <v>2455.4276841308706</v>
      </c>
      <c r="E76" s="38">
        <f>'WAGE RATES'!$C$6</f>
        <v>50.10717457546064</v>
      </c>
      <c r="F76" s="42">
        <f t="shared" ref="F76:F77" si="0">E76*100/D76</f>
        <v>2.0406699370255206</v>
      </c>
      <c r="G76" s="42">
        <f>PIGGYBACKS!$B$13</f>
        <v>1.6305774272183733</v>
      </c>
      <c r="H76" s="42">
        <f>'WAGE RATES'!$C$9</f>
        <v>0.9752031228402912</v>
      </c>
      <c r="I76" s="42">
        <f t="shared" ref="I76:I77" si="1">(H76-1)*F76</f>
        <v>-5.0602241751932522E-2</v>
      </c>
      <c r="J76" s="42">
        <f t="shared" ref="J76:J77" si="2">F76*G76+I76</f>
        <v>3.2768680939650205</v>
      </c>
      <c r="K76" s="42">
        <f ca="1">C76*$J76/'5D AUTO MODEL'!$G$6</f>
        <v>3.118414197712418</v>
      </c>
    </row>
    <row r="77" spans="1:11" x14ac:dyDescent="0.25">
      <c r="B77" s="155" t="s">
        <v>491</v>
      </c>
      <c r="C77" s="2">
        <f ca="1">SUM(C31,C33,C34,C38,C40,C41,C45,C47,C48,C52,C54,C55,C59,C61,C62,C66,C68,C69)-C76</f>
        <v>8901.3591032804616</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3.3981915138247358</v>
      </c>
    </row>
    <row r="78" spans="1:11" ht="13.5" thickBot="1" x14ac:dyDescent="0.35">
      <c r="F78" s="42"/>
      <c r="H78" s="42"/>
      <c r="I78" s="42"/>
      <c r="J78" s="42"/>
      <c r="K78" s="41" t="str">
        <f>"(10)"</f>
        <v>(10)</v>
      </c>
    </row>
    <row r="79" spans="1:11" ht="13.5" thickBot="1" x14ac:dyDescent="0.35">
      <c r="F79" s="42"/>
      <c r="H79" s="42"/>
      <c r="I79" s="42"/>
      <c r="J79" s="142" t="s">
        <v>78</v>
      </c>
      <c r="K79" s="143">
        <f ca="1">SUM(K11:K77)</f>
        <v>20.739663388735956</v>
      </c>
    </row>
    <row r="80" spans="1:11" ht="13.5" thickBot="1" x14ac:dyDescent="0.35">
      <c r="J80" s="142" t="s">
        <v>485</v>
      </c>
      <c r="K80" s="143">
        <f ca="1">SUM(K31,K33,K34,K38,K40,K41,K45,K47,K48,K52,K54,K55,K59,K61,K62,K66,K68,K69,K76,K77)</f>
        <v>14.188224069276291</v>
      </c>
    </row>
    <row r="83" spans="1:8" ht="13" x14ac:dyDescent="0.3">
      <c r="A83" s="145" t="str">
        <f>"(1)"</f>
        <v>(1)</v>
      </c>
      <c r="B83" s="1" t="s">
        <v>404</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8</oddFooter>
  </headerFooter>
  <ignoredErrors>
    <ignoredError sqref="E4" numberStoredAsText="1"/>
  </ignoredErrors>
</worksheet>
</file>

<file path=xl/worksheets/sheet1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'3D NONAUTO COST'!A1</f>
        <v>3-DIGIT NONAUTO PRESORT</v>
      </c>
    </row>
    <row r="2" spans="1:30" ht="23" x14ac:dyDescent="0.5">
      <c r="A2" s="57" t="s">
        <v>84</v>
      </c>
    </row>
    <row r="6" spans="1:30" s="228" customFormat="1" ht="18" x14ac:dyDescent="0.4">
      <c r="A6" s="48" t="s">
        <v>85</v>
      </c>
      <c r="B6" s="226"/>
      <c r="C6" s="49">
        <f>SUM(C11:C16)+SUM(G11:G16)+SUM(K11:K16)+SUM(O11:O16)</f>
        <v>10000.000000000002</v>
      </c>
      <c r="D6" s="227"/>
      <c r="E6" s="48" t="s">
        <v>86</v>
      </c>
      <c r="F6" s="226"/>
      <c r="G6" s="49">
        <f ca="1">D88+J88+O88+D100+D127</f>
        <v>10000.000000000016</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v>0</v>
      </c>
      <c r="D11" s="59"/>
      <c r="E11" s="28"/>
      <c r="F11" s="61" t="s">
        <v>89</v>
      </c>
      <c r="G11" s="62">
        <f>'ENTRY PROFILE'!K27</f>
        <v>5.7767540831629676</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v>0</v>
      </c>
      <c r="E13" s="18"/>
      <c r="F13" s="63" t="s">
        <v>97</v>
      </c>
      <c r="G13" s="64">
        <f>'ENTRY PROFILE'!L27+'ENTRY PROFILE'!O27+'ENTRY PROFILE'!O28+'ENTRY PROFILE'!P27</f>
        <v>420.60887121352755</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f>'ENTRY PROFILE'!P28+'ENTRY PROFILE'!S27+'ENTRY PROFILE'!S28+'ENTRY PROFILE'!S29+'ENTRY PROFILE'!S30+'ENTRY PROFILE'!T27+'ENTRY PROFILE'!T28+'ENTRY PROFILE'!T29</f>
        <v>8219.8618129486149</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f>'ENTRY PROFILE'!T30+'ENTRY PROFILE'!W30+'ENTRY PROFILE'!X30</f>
        <v>1353.7525617546958</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0.35818319693235118</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1.5399283334479892</v>
      </c>
      <c r="B26" s="86">
        <f>C26*(1+'ACCEPT RATES'!F14)</f>
        <v>5.8400471303969921</v>
      </c>
      <c r="C26" s="85">
        <f>G11*('COVERAGE FACTORS'!E14+'COVERAGE FACTORS'!E18)</f>
        <v>5.766768386308244</v>
      </c>
      <c r="G26" s="194">
        <f>H26*(1-'ACCEPT RATES'!D19)</f>
        <v>0</v>
      </c>
      <c r="H26" s="86">
        <f>I26</f>
        <v>0</v>
      </c>
      <c r="I26" s="85">
        <f>G11*'COVERAGE FACTORS'!E16</f>
        <v>0</v>
      </c>
      <c r="J26" s="58"/>
      <c r="L26"/>
      <c r="M26" s="86">
        <f>N26</f>
        <v>9.9856968547252286E-3</v>
      </c>
      <c r="N26" s="85">
        <f>G11*'COVERAGE FACTORS'!E20</f>
        <v>9.9856968547252286E-3</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0.35818319693235118</v>
      </c>
      <c r="N29" s="206">
        <f>D23+J23</f>
        <v>0.35818319693235118</v>
      </c>
      <c r="P29" s="20"/>
      <c r="Q29" s="109"/>
      <c r="S29" s="20"/>
      <c r="U29" s="20"/>
      <c r="Y29"/>
      <c r="Z29"/>
      <c r="AA29"/>
      <c r="AB29"/>
      <c r="AC29"/>
      <c r="AD29"/>
    </row>
    <row r="30" spans="1:30" ht="13" x14ac:dyDescent="0.3">
      <c r="A30" s="114"/>
      <c r="C30" s="98"/>
      <c r="D30" s="196">
        <f>(SUM(C25:C29)-D23)*'PIECE DENSITIES'!C6</f>
        <v>0.69257069465090759</v>
      </c>
      <c r="E30" s="24" t="s">
        <v>290</v>
      </c>
      <c r="G30" s="114"/>
      <c r="I30" s="99"/>
      <c r="J30" s="201">
        <f>(SUM(I25:I29)-J23)*'PIECE DENSITIES'!C11</f>
        <v>0</v>
      </c>
      <c r="K30" s="24" t="s">
        <v>289</v>
      </c>
      <c r="L30"/>
      <c r="M30" s="20"/>
      <c r="O30" s="96">
        <f>SUM(N25:N29)*'PIECE DENSITIES'!C16</f>
        <v>3.2942916739616461E-2</v>
      </c>
      <c r="P30" s="24" t="s">
        <v>120</v>
      </c>
      <c r="Q30" s="109"/>
      <c r="S30" s="20"/>
      <c r="U30" s="20"/>
      <c r="Y30"/>
      <c r="Z30"/>
      <c r="AA30"/>
      <c r="AB30"/>
      <c r="AC30"/>
      <c r="AD30"/>
    </row>
    <row r="31" spans="1:30" ht="13" x14ac:dyDescent="0.3">
      <c r="A31" s="114"/>
      <c r="C31" s="98"/>
      <c r="D31" s="196">
        <f>(SUM(C25:C29)-D23)*'PIECE DENSITIES'!D6</f>
        <v>2.8033190856396</v>
      </c>
      <c r="E31" s="24" t="s">
        <v>121</v>
      </c>
      <c r="G31" s="114"/>
      <c r="I31" s="99"/>
      <c r="J31" s="201">
        <f>(SUM(I25:I29)-J23)*'PIECE DENSITIES'!D11</f>
        <v>0</v>
      </c>
      <c r="K31" s="24" t="s">
        <v>122</v>
      </c>
      <c r="L31"/>
      <c r="M31" s="20"/>
      <c r="O31" s="96">
        <f>SUM(N25:N29)*'PIECE DENSITIES'!D16</f>
        <v>0.21377791889872502</v>
      </c>
      <c r="P31" s="24" t="s">
        <v>123</v>
      </c>
      <c r="Q31" s="109"/>
      <c r="S31" s="20"/>
      <c r="U31" s="20"/>
      <c r="Y31"/>
      <c r="Z31"/>
      <c r="AA31"/>
      <c r="AB31"/>
      <c r="AC31"/>
      <c r="AD31"/>
    </row>
    <row r="32" spans="1:30" ht="13" x14ac:dyDescent="0.3">
      <c r="A32" s="114"/>
      <c r="C32" s="89"/>
      <c r="D32" s="197">
        <f>(SUM(C25:C29)-D23)*'PIECE DENSITIES'!E6</f>
        <v>1.5139914507045316</v>
      </c>
      <c r="E32" s="24" t="s">
        <v>124</v>
      </c>
      <c r="G32" s="114"/>
      <c r="I32" s="94"/>
      <c r="J32" s="202">
        <f>(SUM(I25:I29)-J23)*'PIECE DENSITIES'!E11</f>
        <v>0</v>
      </c>
      <c r="K32" s="24" t="s">
        <v>125</v>
      </c>
      <c r="L32"/>
      <c r="M32" s="20"/>
      <c r="N32" s="46"/>
      <c r="O32" s="97">
        <f>SUM(N25:N29)*'PIECE DENSITIES'!E16</f>
        <v>9.4180205001859058E-2</v>
      </c>
      <c r="P32" s="24" t="s">
        <v>126</v>
      </c>
      <c r="Q32" s="109"/>
      <c r="S32" s="20"/>
      <c r="U32" s="20"/>
      <c r="Y32"/>
      <c r="Z32"/>
      <c r="AA32"/>
      <c r="AB32"/>
      <c r="AC32"/>
      <c r="AD32"/>
    </row>
    <row r="33" spans="1:30" ht="13" x14ac:dyDescent="0.3">
      <c r="A33" s="114"/>
      <c r="C33" s="89"/>
      <c r="D33" s="197">
        <f>(SUM(C25:C29)-D23)*'PIECE DENSITIES'!F6</f>
        <v>0.39870395838085415</v>
      </c>
      <c r="E33" s="24" t="s">
        <v>127</v>
      </c>
      <c r="G33" s="114"/>
      <c r="I33" s="94"/>
      <c r="J33" s="202">
        <f>(SUM(I25:I29)-J23)*'PIECE DENSITIES'!F11</f>
        <v>0</v>
      </c>
      <c r="K33" s="24" t="s">
        <v>128</v>
      </c>
      <c r="L33"/>
      <c r="M33" s="20"/>
      <c r="N33" s="46"/>
      <c r="O33" s="97">
        <f>SUM(N25:N29)*'PIECE DENSITIES'!F16</f>
        <v>2.7267853146875909E-2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6.5743962370968093E-2</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4.3477950502120478E-2</v>
      </c>
      <c r="B42" s="199">
        <f>C42*(1+'ACCEPT RATES'!F15+'PIECE DENSITIES'!C7)</f>
        <v>0.70926905518695194</v>
      </c>
      <c r="C42" s="198">
        <f>D30</f>
        <v>0.69257069465090759</v>
      </c>
      <c r="G42" s="205">
        <f>IF(SUM(C11:C16)&gt;0,H42*(1-'ACCEPT RATES'!C20),H42*(1-'ACCEPT RATES'!D20))</f>
        <v>0</v>
      </c>
      <c r="H42" s="204">
        <f>I42*(1+'PIECE DENSITIES'!C12)</f>
        <v>0</v>
      </c>
      <c r="I42" s="203">
        <f>J30</f>
        <v>0</v>
      </c>
      <c r="J42" s="58"/>
      <c r="L42"/>
      <c r="M42" s="102">
        <f>N42</f>
        <v>9.8686879110584547E-2</v>
      </c>
      <c r="N42" s="101">
        <f>D36+J36+O30</f>
        <v>9.8686879110584547E-2</v>
      </c>
      <c r="P42" s="20"/>
      <c r="Q42" s="109"/>
      <c r="S42" s="20"/>
      <c r="U42" s="20"/>
      <c r="Y42"/>
      <c r="Z42"/>
      <c r="AA42"/>
      <c r="AB42"/>
      <c r="AC42"/>
      <c r="AD42"/>
    </row>
    <row r="43" spans="1:30" ht="13" x14ac:dyDescent="0.3">
      <c r="A43" s="114"/>
      <c r="C43" s="98"/>
      <c r="D43" s="196">
        <f>(SUM(C38:C42)-D36)*'PIECE DENSITIES'!D7</f>
        <v>0.51762955403507616</v>
      </c>
      <c r="E43" s="24" t="s">
        <v>121</v>
      </c>
      <c r="G43" s="114"/>
      <c r="I43" s="99"/>
      <c r="J43" s="201">
        <f>(SUM(I38:I42)-J36)*'PIECE DENSITIES'!D12</f>
        <v>0</v>
      </c>
      <c r="K43" s="24" t="s">
        <v>122</v>
      </c>
      <c r="L43"/>
      <c r="M43" s="20"/>
      <c r="O43" s="96">
        <f>SUM(N38:N42)*'PIECE DENSITIES'!D17</f>
        <v>6.985487739804444E-2</v>
      </c>
      <c r="P43" s="24" t="s">
        <v>123</v>
      </c>
      <c r="Q43" s="109"/>
      <c r="S43" s="20"/>
      <c r="U43" s="20"/>
      <c r="Y43"/>
      <c r="Z43"/>
      <c r="AA43"/>
      <c r="AB43"/>
      <c r="AC43"/>
      <c r="AD43"/>
    </row>
    <row r="44" spans="1:30" ht="13" x14ac:dyDescent="0.3">
      <c r="A44" s="114"/>
      <c r="C44" s="98"/>
      <c r="D44" s="196">
        <f>(SUM(C38:C42)-D36)*'PIECE DENSITIES'!E7</f>
        <v>4.3260683630507744E-2</v>
      </c>
      <c r="E44" s="24" t="s">
        <v>124</v>
      </c>
      <c r="G44" s="114"/>
      <c r="I44" s="99"/>
      <c r="J44" s="201">
        <f>(SUM(I38:I42)-J36)*'PIECE DENSITIES'!E12</f>
        <v>0</v>
      </c>
      <c r="K44" s="24" t="s">
        <v>125</v>
      </c>
      <c r="L44"/>
      <c r="M44" s="20"/>
      <c r="O44" s="96">
        <f>SUM(N38:N42)*'PIECE DENSITIES'!E17</f>
        <v>3.0624883682453844E-4</v>
      </c>
      <c r="P44" s="24" t="s">
        <v>126</v>
      </c>
      <c r="Q44" s="109"/>
      <c r="S44" s="20"/>
      <c r="U44" s="20"/>
      <c r="Y44"/>
      <c r="Z44"/>
      <c r="AA44"/>
      <c r="AB44"/>
      <c r="AC44"/>
      <c r="AD44"/>
    </row>
    <row r="45" spans="1:30" ht="13" x14ac:dyDescent="0.3">
      <c r="A45" s="114"/>
      <c r="C45" s="89"/>
      <c r="D45" s="197">
        <f>(SUM(C38:C42)-D36)*'PIECE DENSITIES'!F7</f>
        <v>4.6080522981267261E-3</v>
      </c>
      <c r="E45" s="24" t="s">
        <v>127</v>
      </c>
      <c r="G45" s="114"/>
      <c r="I45" s="94"/>
      <c r="J45" s="202">
        <f>(SUM(I38:I42)-J36)*'PIECE DENSITIES'!F12</f>
        <v>0</v>
      </c>
      <c r="K45" s="24" t="s">
        <v>128</v>
      </c>
      <c r="L45"/>
      <c r="M45" s="20"/>
      <c r="N45" s="46"/>
      <c r="O45" s="97">
        <f>SUM(N38:N42)*'PIECE DENSITIES'!F17</f>
        <v>1.9604748373098406E-3</v>
      </c>
      <c r="P45" s="24" t="s">
        <v>129</v>
      </c>
      <c r="Q45" s="109"/>
      <c r="S45" s="20"/>
      <c r="U45" s="20"/>
      <c r="Y45"/>
      <c r="Z45"/>
      <c r="AA45"/>
      <c r="AB45"/>
      <c r="AC45"/>
      <c r="AD45"/>
    </row>
    <row r="46" spans="1:30" ht="13" x14ac:dyDescent="0.3">
      <c r="A46" s="114"/>
      <c r="C46" s="89"/>
      <c r="D46" s="197">
        <f>(SUM(C38:C42)-D36)*'PIECE DENSITIES'!G7</f>
        <v>6.1328442316228894E-2</v>
      </c>
      <c r="E46" s="24" t="s">
        <v>130</v>
      </c>
      <c r="G46" s="114"/>
      <c r="I46" s="94"/>
      <c r="J46" s="202">
        <f>(SUM(I38:I42)-J36)*'PIECE DENSITIES'!G12</f>
        <v>0</v>
      </c>
      <c r="K46" s="24" t="s">
        <v>288</v>
      </c>
      <c r="L46"/>
      <c r="M46" s="20"/>
      <c r="N46" s="46"/>
      <c r="O46" s="97">
        <f>SUM(N38:N42)*'PIECE DENSITIES'!G17</f>
        <v>2.6565278038405735E-2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37.061570791084229</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111.43984276036677</v>
      </c>
      <c r="B54" s="86">
        <f>C54*(1+'ACCEPT RATES'!F16+'PIECE DENSITIES'!D8)</f>
        <v>422.62611823458155</v>
      </c>
      <c r="C54" s="85">
        <f>G13*('COVERAGE FACTORS'!E38+'COVERAGE FACTORS'!E42)</f>
        <v>418.09727546935835</v>
      </c>
      <c r="G54" s="194">
        <f>H54*(1-'ACCEPT RATES'!D21)</f>
        <v>0</v>
      </c>
      <c r="H54" s="86">
        <f>I54*(1+'PIECE DENSITIES'!D13)</f>
        <v>0</v>
      </c>
      <c r="I54" s="85">
        <f>G13*'COVERAGE FACTORS'!E40</f>
        <v>0</v>
      </c>
      <c r="J54" s="58"/>
      <c r="L54"/>
      <c r="M54" s="86">
        <f>N54</f>
        <v>2.5115957441697638</v>
      </c>
      <c r="N54" s="85">
        <f>G13*'COVERAGE FACTORS'!E44</f>
        <v>2.5115957441697638</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0.20454935530804452</v>
      </c>
      <c r="B57" s="199">
        <f>C57*(1+'ACCEPT RATES'!F16+'PIECE DENSITIES'!D8)</f>
        <v>3.3368759636303715</v>
      </c>
      <c r="C57" s="198">
        <f>(D31+D43)*('COVERAGE FACTORS'!E38+'COVERAGE FACTORS'!E42)</f>
        <v>3.3011181485917218</v>
      </c>
      <c r="G57" s="210">
        <f>IF(SUM(C11:C16)&gt;0,H57*(1-'ACCEPT RATES'!C21),H57*(1-'ACCEPT RATES'!D21))</f>
        <v>0</v>
      </c>
      <c r="H57" s="209">
        <f>I57*(1+'PIECE DENSITIES'!D13)</f>
        <v>0</v>
      </c>
      <c r="I57" s="208">
        <f>(D31+D43)*'COVERAGE FACTORS'!E40+(J31+J43)*('COVERAGE FACTORS'!E40+'COVERAGE FACTORS'!E42)</f>
        <v>0</v>
      </c>
      <c r="J57" s="58"/>
      <c r="L57"/>
      <c r="M57" s="102">
        <f>N57</f>
        <v>37.365034078463957</v>
      </c>
      <c r="N57" s="101">
        <f>D51+J51+O31+O43+(D31+D43)*'COVERAGE FACTORS'!E44+(J31+J43)*(1-('COVERAGE FACTORS'!E40+'COVERAGE FACTORS'!E42))</f>
        <v>37.365034078463957</v>
      </c>
      <c r="P57" s="20"/>
      <c r="Q57" s="109"/>
      <c r="S57" s="20"/>
      <c r="U57" s="20"/>
      <c r="Y57"/>
      <c r="Z57"/>
      <c r="AA57"/>
      <c r="AB57"/>
      <c r="AC57"/>
      <c r="AD57"/>
    </row>
    <row r="58" spans="1:30" ht="13" x14ac:dyDescent="0.3">
      <c r="A58" s="114"/>
      <c r="C58" s="98"/>
      <c r="D58" s="196">
        <f>(SUM(C53:C57)-D51)*'PIECE DENSITIES'!E8</f>
        <v>76.460254715361216</v>
      </c>
      <c r="E58" s="24" t="s">
        <v>124</v>
      </c>
      <c r="G58" s="114"/>
      <c r="I58" s="99"/>
      <c r="J58" s="201">
        <f>(SUM(I53:I57)-J51)*'PIECE DENSITIES'!E13</f>
        <v>0</v>
      </c>
      <c r="K58" s="24" t="s">
        <v>125</v>
      </c>
      <c r="L58"/>
      <c r="M58" s="20"/>
      <c r="O58" s="96">
        <f>SUM(N53:N57)*'PIECE DENSITIES'!E18</f>
        <v>10.537952465628576</v>
      </c>
      <c r="P58" s="24" t="s">
        <v>126</v>
      </c>
      <c r="Q58" s="109"/>
      <c r="S58" s="20"/>
      <c r="U58" s="20"/>
      <c r="Y58"/>
      <c r="Z58"/>
      <c r="AA58"/>
      <c r="AB58"/>
      <c r="AC58"/>
      <c r="AD58"/>
    </row>
    <row r="59" spans="1:30" ht="13" x14ac:dyDescent="0.3">
      <c r="A59" s="114"/>
      <c r="C59" s="98"/>
      <c r="D59" s="196">
        <f>(SUM(C53:C57)-D51)*'PIECE DENSITIES'!F8</f>
        <v>24.823944378483688</v>
      </c>
      <c r="E59" s="24" t="s">
        <v>127</v>
      </c>
      <c r="G59" s="114"/>
      <c r="I59" s="99"/>
      <c r="J59" s="201">
        <f>(SUM(I53:I57)-J51)*'PIECE DENSITIES'!F13</f>
        <v>0</v>
      </c>
      <c r="K59" s="24" t="s">
        <v>128</v>
      </c>
      <c r="L59"/>
      <c r="M59" s="20"/>
      <c r="O59" s="96">
        <f>SUM(N53:N57)*'PIECE DENSITIES'!F18</f>
        <v>1.6539526811174121</v>
      </c>
      <c r="P59" s="24" t="s">
        <v>129</v>
      </c>
      <c r="Q59" s="109"/>
      <c r="S59" s="20"/>
      <c r="U59" s="20"/>
      <c r="Y59"/>
      <c r="Z59"/>
      <c r="AA59"/>
      <c r="AB59"/>
      <c r="AC59"/>
      <c r="AD59"/>
    </row>
    <row r="60" spans="1:30" ht="13" x14ac:dyDescent="0.3">
      <c r="A60" s="114"/>
      <c r="C60" s="89"/>
      <c r="D60" s="197">
        <f>(SUM(C53:C57)-D51)*'PIECE DENSITIES'!G8</f>
        <v>283.05262373302094</v>
      </c>
      <c r="E60" s="24" t="s">
        <v>130</v>
      </c>
      <c r="G60" s="114"/>
      <c r="I60" s="94"/>
      <c r="J60" s="202">
        <f>(SUM(I53:I57)-J51)*'PIECE DENSITIES'!G13</f>
        <v>0</v>
      </c>
      <c r="K60" s="24" t="s">
        <v>288</v>
      </c>
      <c r="L60"/>
      <c r="M60" s="20"/>
      <c r="N60" s="46"/>
      <c r="O60" s="97">
        <f>SUM(N53:N57)*'PIECE DENSITIES'!G18</f>
        <v>27.684724675887729</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560.29102355051123</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2288.2334200841669</v>
      </c>
      <c r="B65" s="86">
        <f>C65*(1+'ACCEPT RATES'!F17+'PIECE DENSITIES'!E9)</f>
        <v>8677.9304779201138</v>
      </c>
      <c r="C65" s="85">
        <f>G14*('COVERAGE FACTORS'!E38+'COVERAGE FACTORS'!E42)</f>
        <v>8170.7782786724683</v>
      </c>
      <c r="G65" s="194">
        <f>H65*(1-'ACCEPT RATES'!D22)</f>
        <v>0</v>
      </c>
      <c r="H65" s="86">
        <f>I65*(1+'PIECE DENSITIES'!E14)</f>
        <v>0</v>
      </c>
      <c r="I65" s="85">
        <f>G14*'COVERAGE FACTORS'!E40</f>
        <v>0</v>
      </c>
      <c r="J65" s="58"/>
      <c r="L65"/>
      <c r="M65" s="86">
        <f>N65</f>
        <v>49.083534276157984</v>
      </c>
      <c r="N65" s="85">
        <f>G14*'COVERAGE FACTORS'!E44</f>
        <v>49.083534276157984</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5.0489581297648085</v>
      </c>
      <c r="B68" s="211">
        <f>C68*(1+'ACCEPT RATES'!F17+'PIECE DENSITIES'!E9)</f>
        <v>82.365192494575197</v>
      </c>
      <c r="C68" s="212">
        <f>(D32+D44+D58)*('COVERAGE FACTORS'!E38+'COVERAGE FACTORS'!E42)</f>
        <v>77.551638315803856</v>
      </c>
      <c r="G68" s="205">
        <f>IF(SUM(C11:C16)&gt;0, H68*(1-'ACCEPT RATES'!C22),H68*(1-'ACCEPT RATES'!D22))</f>
        <v>0</v>
      </c>
      <c r="H68" s="204">
        <f>I68*(1+'PIECE DENSITIES'!E14)</f>
        <v>0</v>
      </c>
      <c r="I68" s="203">
        <f>(D32+D44+D58)*'COVERAGE FACTORS'!E40+(J32+J44+J58)*('COVERAGE FACTORS'!E40+'COVERAGE FACTORS'!E42)</f>
        <v>0</v>
      </c>
      <c r="J68" s="58"/>
      <c r="L68"/>
      <c r="M68" s="102">
        <f>N68</f>
        <v>571.38933100387101</v>
      </c>
      <c r="N68" s="101">
        <f>D62+J62+O32+O44+O58+(D32+D44+D58)*'COVERAGE FACTORS'!E44+(J32+J44+J58)*(1-('COVERAGE FACTORS'!E40+'COVERAGE FACTORS'!E42))</f>
        <v>571.38933100387101</v>
      </c>
      <c r="P68" s="20"/>
      <c r="Q68" s="109"/>
      <c r="S68" s="20"/>
      <c r="U68" s="20"/>
      <c r="Y68"/>
      <c r="Z68"/>
      <c r="AA68"/>
      <c r="AB68"/>
      <c r="AC68"/>
      <c r="AD68"/>
    </row>
    <row r="69" spans="1:30" ht="13" x14ac:dyDescent="0.3">
      <c r="A69" s="114"/>
      <c r="C69" s="98"/>
      <c r="D69" s="196">
        <f>(SUM(C64:C68)-D62)*'PIECE DENSITIES'!F9</f>
        <v>171.99658526443741</v>
      </c>
      <c r="E69" s="24" t="s">
        <v>127</v>
      </c>
      <c r="G69" s="114"/>
      <c r="I69" s="99"/>
      <c r="J69" s="201">
        <f>(SUM(I64:I68)-J62)*'PIECE DENSITIES'!F14</f>
        <v>0</v>
      </c>
      <c r="K69" s="24" t="s">
        <v>128</v>
      </c>
      <c r="L69"/>
      <c r="M69" s="20"/>
      <c r="O69" s="96">
        <f>SUM(N64:N68)*'PIECE DENSITIES'!F19</f>
        <v>16.050285379850227</v>
      </c>
      <c r="P69" s="24" t="s">
        <v>129</v>
      </c>
      <c r="Q69" s="109"/>
      <c r="S69" s="20"/>
      <c r="U69" s="20"/>
      <c r="Y69"/>
      <c r="Z69"/>
      <c r="AA69"/>
      <c r="AB69"/>
      <c r="AC69"/>
      <c r="AD69"/>
    </row>
    <row r="70" spans="1:30" ht="13" x14ac:dyDescent="0.3">
      <c r="A70" s="114"/>
      <c r="C70" s="98"/>
      <c r="D70" s="196">
        <f>(SUM(C64:C68)-D62)*'PIECE DENSITIES'!G9</f>
        <v>7516.0423081733234</v>
      </c>
      <c r="E70" s="24" t="s">
        <v>130</v>
      </c>
      <c r="G70" s="114"/>
      <c r="I70" s="99"/>
      <c r="J70" s="201">
        <f>(SUM(I64:I68)-J62)*'PIECE DENSITIES'!G14</f>
        <v>0</v>
      </c>
      <c r="K70" s="24" t="s">
        <v>288</v>
      </c>
      <c r="L70"/>
      <c r="M70" s="20"/>
      <c r="O70" s="96">
        <f>SUM(N64:N68)*'PIECE DENSITIES'!G19</f>
        <v>604.42257990017868</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9.7969345364169786</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12.13446118906125</v>
      </c>
      <c r="B78" s="211">
        <f>C78*(1+'ACCEPT RATES'!F17)</f>
        <v>197.95316300266856</v>
      </c>
      <c r="C78" s="212">
        <f>(D33+D45+D59+D69)*('COVERAGE FACTORS'!E38+'COVERAGE FACTORS'!E42)</f>
        <v>196.04615236731203</v>
      </c>
      <c r="G78" s="205">
        <f>IF(SUM(C11:C16)&gt;0,H78*(1-'ACCEPT RATES'!C22),H78*(1-'ACCEPT RATES'!D22))</f>
        <v>0</v>
      </c>
      <c r="H78" s="204">
        <f>I78</f>
        <v>0</v>
      </c>
      <c r="I78" s="203">
        <f>(D33+D45+D59+D69)*'COVERAGE FACTORS'!E40+(J33+J45+J59+J69)*('COVERAGE FACTORS'!E40+'COVERAGE FACTORS'!E42)</f>
        <v>0</v>
      </c>
      <c r="J78" s="58"/>
      <c r="L78"/>
      <c r="M78" s="102">
        <f ca="1">N78</f>
        <v>28.708090211657119</v>
      </c>
      <c r="N78" s="294">
        <f ca="1">D72+J72+O33+O45+O59+O69+(D33+D45+D59+D69)*'COVERAGE FACTORS'!E44+(J33+J45+J59+J69)*(1-('COVERAGE FACTORS'!E40+'COVERAGE FACTORS'!E42))+D106</f>
        <v>28.708090211657119</v>
      </c>
      <c r="P78" s="20"/>
      <c r="Q78" s="109"/>
      <c r="S78" s="20"/>
      <c r="U78" s="20"/>
      <c r="Y78"/>
      <c r="Z78"/>
      <c r="AA78"/>
      <c r="AB78"/>
      <c r="AC78"/>
      <c r="AD78"/>
    </row>
    <row r="79" spans="1:30" ht="13" x14ac:dyDescent="0.3">
      <c r="A79" s="114"/>
      <c r="C79" s="98"/>
      <c r="D79" s="196">
        <f>SUM(C74:C78)-D72</f>
        <v>186.24921783089505</v>
      </c>
      <c r="E79" s="24" t="s">
        <v>130</v>
      </c>
      <c r="G79" s="114"/>
      <c r="I79" s="99"/>
      <c r="J79" s="201">
        <f>SUM(I74:I78)-J72</f>
        <v>0</v>
      </c>
      <c r="K79" s="24" t="s">
        <v>288</v>
      </c>
      <c r="L79"/>
      <c r="M79" s="20"/>
      <c r="O79" s="96">
        <f ca="1">SUM(N74:N78)</f>
        <v>28.708090211657119</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466.60256408438045</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358.28322993207911</v>
      </c>
      <c r="B84" s="86">
        <f>C84*(1+'ACCEPT RATES'!F17)</f>
        <v>1358.75865349475</v>
      </c>
      <c r="C84" s="85">
        <f>G16*('COVERAGE FACTORS'!E54+'COVERAGE FACTORS'!E58+(1-'COVERAGE FACTORS'!B119)*'COVERAGE FACTORS'!E52)</f>
        <v>1345.6688540503114</v>
      </c>
      <c r="G84" s="194">
        <v>0</v>
      </c>
      <c r="H84" s="86">
        <f>I84</f>
        <v>0</v>
      </c>
      <c r="I84" s="85">
        <f>G16*'COVERAGE FACTORS'!E56</f>
        <v>0</v>
      </c>
      <c r="J84" s="58"/>
      <c r="L84"/>
      <c r="M84" s="86">
        <f>N84</f>
        <v>8.0837077043862795</v>
      </c>
      <c r="N84" s="85">
        <f>G16*'COVERAGE FACTORS'!E60</f>
        <v>8.0837077043862795</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470.0633360217866</v>
      </c>
      <c r="B87" s="211">
        <f>C87*(1+'ACCEPT RATES'!F17)</f>
        <v>7668.2864387073369</v>
      </c>
      <c r="C87" s="212">
        <f>(D34+D46+D60+D70+D79)*('COVERAGE FACTORS'!E54+'COVERAGE FACTORS'!E58+(1-'COVERAGE FACTORS'!B119)*'COVERAGE FACTORS'!E52)*'COVERAGE FACTORS'!E104</f>
        <v>7594.4128841161537</v>
      </c>
      <c r="G87" s="205">
        <v>0</v>
      </c>
      <c r="H87" s="204">
        <f>I87</f>
        <v>0</v>
      </c>
      <c r="I87" s="203">
        <f>(D34+D46+D60+D70+D79)*'COVERAGE FACTORS'!E56*'COVERAGE FACTORS'!E104+(J34+J46+J60+J70+J79)*('COVERAGE FACTORS'!E56+'COVERAGE FACTORS'!E58)*'COVERAGE FACTORS'!E104</f>
        <v>0</v>
      </c>
      <c r="J87" s="213"/>
      <c r="L87"/>
      <c r="M87" s="102">
        <f ca="1">N87</f>
        <v>1518.4371182135437</v>
      </c>
      <c r="N87" s="294">
        <f ca="1">D81+J81+(O34+O46+O60+O70+O79)+(D34+D46+D60+D70+D79)*'COVERAGE FACTORS'!E106+(J34+J46+J60+J70+J79)*(1-('COVERAGE FACTORS'!E56+'COVERAGE FACTORS'!E58)*'COVERAGE FACTORS'!E104)+D120</f>
        <v>1518.4371182135437</v>
      </c>
      <c r="P87" s="20"/>
      <c r="Q87" s="109"/>
      <c r="S87" s="20"/>
      <c r="U87" s="20"/>
      <c r="Y87"/>
      <c r="Z87"/>
      <c r="AA87"/>
      <c r="AB87"/>
      <c r="AC87"/>
      <c r="AD87"/>
    </row>
    <row r="88" spans="1:30" ht="13" x14ac:dyDescent="0.3">
      <c r="A88" s="114"/>
      <c r="C88" s="98"/>
      <c r="D88" s="103">
        <f>SUM(C83:C87)-D81</f>
        <v>8473.4791740820856</v>
      </c>
      <c r="E88" s="24"/>
      <c r="G88" s="218"/>
      <c r="H88" s="214"/>
      <c r="I88" s="214"/>
      <c r="J88" s="215">
        <f>SUM(I83:I87)-J81</f>
        <v>0</v>
      </c>
      <c r="K88" s="24"/>
      <c r="L88"/>
      <c r="M88" s="20"/>
      <c r="O88" s="216">
        <f ca="1">SUM(N83:N87)</f>
        <v>1526.5208259179301</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FACTORS'!E52*'COVERAGE FACTORS'!B119</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FACTORS'!E52*'COVERAGE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527</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drawing r:id="rId2"/>
</worksheet>
</file>

<file path=xl/worksheets/sheet1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619</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'BUNDLE SORT'!$I$31*('COVERAGE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C11*$J11/'3D NONAUTO MODEL FSS'!$G$6</f>
        <v>0</v>
      </c>
    </row>
    <row r="12" spans="1:11" ht="13" x14ac:dyDescent="0.3">
      <c r="A12" s="36"/>
      <c r="B12" t="s">
        <v>529</v>
      </c>
      <c r="C12" s="151">
        <f>'BUNDLE SORT'!$I$31*('COVERAGE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C12*$J12/'3D NONAUTO MODEL FSS'!$G$6</f>
        <v>0</v>
      </c>
    </row>
    <row r="13" spans="1:11" ht="13" x14ac:dyDescent="0.3">
      <c r="A13" s="36"/>
      <c r="B13" t="s">
        <v>70</v>
      </c>
      <c r="C13" s="151">
        <f>'BUNDLE SORT'!$J$31</f>
        <v>43.487454050286303</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C13*$J13/'3D NONAUTO MODEL FSS'!$G$6</f>
        <v>8.820523683101153E-2</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'BUNDLE SORT'!$M$31*('COVERAGE FACTORS'!$E$30/('COVERAGE FACTORS'!$E$30+'COVERAGE FACTORS'!$E$32))</f>
        <v>36.080739442985667</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C16*$J16/'3D NONAUTO MODEL FSS'!$G$6</f>
        <v>0.13626055698305703</v>
      </c>
    </row>
    <row r="17" spans="1:11" ht="13" x14ac:dyDescent="0.3">
      <c r="A17" s="1"/>
      <c r="B17" t="s">
        <v>529</v>
      </c>
      <c r="C17" s="151">
        <f>'BUNDLE SORT'!$M$31*('COVERAGE FACTORS'!$E$32/('COVERAGE FACTORS'!$E$30+'COVERAGE FACTORS'!$E$32))</f>
        <v>43.615733695457017</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C17*$J17/'3D NONAUTO MODEL FSS'!$G$6</f>
        <v>0.19052434724934211</v>
      </c>
    </row>
    <row r="18" spans="1:11" ht="13" x14ac:dyDescent="0.3">
      <c r="A18" s="1"/>
      <c r="B18" t="s">
        <v>70</v>
      </c>
      <c r="C18" s="151">
        <f>'BUNDLE SORT'!$N$31</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C18*$J18/'3D NONAUTO MODEL FSS'!$G$6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'BUNDLE SORT'!$Q$31*('COVERAGE FACTORS'!$E$30/('COVERAGE FACTORS'!$E$30+'COVERAGE FACTORS'!$E$32))</f>
        <v>154.19594159077212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C21*$J21/'3D NONAUTO MODEL FSS'!$G$6</f>
        <v>0.58232800131179629</v>
      </c>
    </row>
    <row r="22" spans="1:11" ht="13" x14ac:dyDescent="0.3">
      <c r="A22" s="1"/>
      <c r="B22" t="s">
        <v>529</v>
      </c>
      <c r="C22" s="151">
        <f>'BUNDLE SORT'!$Q$31*('COVERAGE FACTORS'!$E$32/('COVERAGE FACTORS'!$E$30+'COVERAGE FACTORS'!$E$32))</f>
        <v>186.39776316033394</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C22*$J22/'3D NONAUTO MODEL FSS'!$G$6</f>
        <v>0.8142316807698029</v>
      </c>
    </row>
    <row r="23" spans="1:11" ht="13" x14ac:dyDescent="0.3">
      <c r="A23" s="1"/>
      <c r="B23" t="s">
        <v>70</v>
      </c>
      <c r="C23" s="151">
        <f>'BUNDLE SORT'!$R$31</f>
        <v>9.822334654422832</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C23*$J23/'3D NONAUTO MODEL FSS'!$G$6</f>
        <v>1.9922558663125828E-2</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'BUNDLE SORT'!$U$31*('COVERAGE FACTORS'!$E$30/('COVERAGE FACTORS'!$E$30+'COVERAGE FACTORS'!$E$32))</f>
        <v>1.5488765427053707E-3</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C26*$J26/'3D NONAUTO MODEL FSS'!$G$6</f>
        <v>5.8494028577359208E-6</v>
      </c>
    </row>
    <row r="27" spans="1:11" ht="13" x14ac:dyDescent="0.3">
      <c r="A27" s="1"/>
      <c r="B27" t="s">
        <v>529</v>
      </c>
      <c r="C27" s="151">
        <f>'BUNDLE SORT'!$U$31*('COVERAGE FACTORS'!$E$32/('COVERAGE FACTORS'!$E$30+'COVERAGE FACTORS'!$E$32))</f>
        <v>1.8723393105767076E-3</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C27*$J27/'3D NONAUTO MODEL FSS'!$G$6</f>
        <v>8.1788426962554298E-6</v>
      </c>
    </row>
    <row r="28" spans="1:11" ht="13" x14ac:dyDescent="0.3">
      <c r="A28" s="1"/>
      <c r="B28" t="s">
        <v>70</v>
      </c>
      <c r="C28" s="151">
        <f>'BUNDLE SORT'!$V$31</f>
        <v>0.33870036947492571</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C28*$J28/'3D NONAUTO MODEL FSS'!$G$6</f>
        <v>9.5681816087805828E-4</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SUM('3D NONAUTO MODEL FSS'!$B$25:$B$29)</f>
        <v>5.8400471303969921</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C31*$J31/'3D NONAUTO MODEL FSS'!$G$6</f>
        <v>2.9881632726313431E-3</v>
      </c>
    </row>
    <row r="32" spans="1:11" ht="13" x14ac:dyDescent="0.3">
      <c r="A32" s="36"/>
      <c r="B32" t="s">
        <v>244</v>
      </c>
      <c r="C32" s="2">
        <f>SUM('3D NONAUTO MODEL FSS'!$A$25:$A$29)</f>
        <v>1.5399283334479892</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C32*$J32/'3D NONAUTO MODEL FSS'!$G$6</f>
        <v>1.1612122532932386E-3</v>
      </c>
    </row>
    <row r="33" spans="1:11" ht="13" x14ac:dyDescent="0.3">
      <c r="A33" s="36"/>
      <c r="B33" t="s">
        <v>291</v>
      </c>
      <c r="C33" s="2">
        <f>SUM('3D NONAUTO MODEL FSS'!$H$25:$H$29)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C33*$J33/'3D NONAUTO MODEL FSS'!$G$6</f>
        <v>0</v>
      </c>
    </row>
    <row r="34" spans="1:11" x14ac:dyDescent="0.25">
      <c r="B34" t="s">
        <v>292</v>
      </c>
      <c r="C34" s="2">
        <f>SUM('3D NONAUTO MODEL FSS'!$G$25:$G$29)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C34*$J34/'3D NONAUTO MODEL FSS'!$G$6</f>
        <v>0</v>
      </c>
    </row>
    <row r="35" spans="1:11" x14ac:dyDescent="0.25">
      <c r="B35" t="s">
        <v>70</v>
      </c>
      <c r="C35" s="2">
        <f>SUM('3D NONAUTO MODEL FSS'!$M$25:$M$29)</f>
        <v>0.3681688937870764</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C35*$J35/'3D NONAUTO MODEL FSS'!$G$6</f>
        <v>3.9779784259889666E-4</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SUM('3D NONAUTO MODEL FSS'!$B$38:$B$42)</f>
        <v>0.70926905518695194</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C38*$J38/'3D NONAUTO MODEL FSS'!$G$6</f>
        <v>2.5165070151693083E-4</v>
      </c>
    </row>
    <row r="39" spans="1:11" ht="13" x14ac:dyDescent="0.3">
      <c r="A39" s="36"/>
      <c r="B39" t="s">
        <v>244</v>
      </c>
      <c r="C39" s="2">
        <f>SUM('3D NONAUTO MODEL FSS'!$A$38:$A$42)</f>
        <v>4.3477950502120478E-2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C39*$J39/'3D NONAUTO MODEL FSS'!$G$6</f>
        <v>3.2785375640238789E-5</v>
      </c>
    </row>
    <row r="40" spans="1:11" x14ac:dyDescent="0.25">
      <c r="B40" t="s">
        <v>291</v>
      </c>
      <c r="C40" s="2">
        <f>SUM('3D NONAUTO MODEL FSS'!$H$38:$H$42)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C40*$J40/'3D NONAUTO MODEL FSS'!$G$6</f>
        <v>0</v>
      </c>
    </row>
    <row r="41" spans="1:11" x14ac:dyDescent="0.25">
      <c r="B41" t="s">
        <v>292</v>
      </c>
      <c r="C41" s="2">
        <f>SUM('3D NONAUTO MODEL FSS'!$G$38:$G$42)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C41*$J41/'3D NONAUTO MODEL FSS'!$G$6</f>
        <v>0</v>
      </c>
    </row>
    <row r="42" spans="1:11" x14ac:dyDescent="0.25">
      <c r="B42" t="s">
        <v>70</v>
      </c>
      <c r="C42" s="2">
        <f>SUM('3D NONAUTO MODEL FSS'!$M$38:$M$42)</f>
        <v>9.8686879110584547E-2</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C42*$J42/'3D NONAUTO MODEL FSS'!$G$6</f>
        <v>1.3480460758776236E-4</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SUM('3D NONAUTO MODEL FSS'!$B$53:$B$57)</f>
        <v>425.9629941982119</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C45*$J45/'3D NONAUTO MODEL FSS'!$G$6</f>
        <v>0.21788937651556517</v>
      </c>
    </row>
    <row r="46" spans="1:11" ht="13" x14ac:dyDescent="0.3">
      <c r="A46" s="36"/>
      <c r="B46" t="s">
        <v>244</v>
      </c>
      <c r="C46" s="2">
        <f>SUM('3D NONAUTO MODEL FSS'!$A$53:$A$57)</f>
        <v>111.64439211567482</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C46*$J46/'3D NONAUTO MODEL FSS'!$G$6</f>
        <v>8.4187577642602873E-2</v>
      </c>
    </row>
    <row r="47" spans="1:11" x14ac:dyDescent="0.25">
      <c r="B47" t="s">
        <v>291</v>
      </c>
      <c r="C47" s="2">
        <f>SUM('3D NONAUTO MODEL FSS'!$H$53:$H$57)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C47*$J47/'3D NONAUTO MODEL FSS'!$G$6</f>
        <v>0</v>
      </c>
    </row>
    <row r="48" spans="1:11" x14ac:dyDescent="0.25">
      <c r="B48" t="s">
        <v>292</v>
      </c>
      <c r="C48" s="2">
        <f>SUM('3D NONAUTO MODEL FSS'!$G$53:$G$57)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C48*$J48/'3D NONAUTO MODEL FSS'!$G$6</f>
        <v>0</v>
      </c>
    </row>
    <row r="49" spans="1:11" x14ac:dyDescent="0.25">
      <c r="B49" t="s">
        <v>70</v>
      </c>
      <c r="C49" s="2">
        <f>SUM('3D NONAUTO MODEL FSS'!$M$53:$M$57)</f>
        <v>39.876629822633717</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C49*$J49/'3D NONAUTO MODEL FSS'!$G$6</f>
        <v>3.8565560182248645E-2</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SUM('3D NONAUTO MODEL FSS'!$B$64:$B$68)</f>
        <v>8760.2956704146891</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C52*$J52/'3D NONAUTO MODEL FSS'!$G$6</f>
        <v>3.3993081529329525</v>
      </c>
    </row>
    <row r="53" spans="1:11" ht="13" x14ac:dyDescent="0.3">
      <c r="A53" s="36"/>
      <c r="B53" t="s">
        <v>244</v>
      </c>
      <c r="C53" s="2">
        <f>SUM('3D NONAUTO MODEL FSS'!$A$64:$A$68)</f>
        <v>2293.2823782139317</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C53*$J53/'3D NONAUTO MODEL FSS'!$G$6</f>
        <v>1.7292932015095095</v>
      </c>
    </row>
    <row r="54" spans="1:11" x14ac:dyDescent="0.25">
      <c r="B54" t="s">
        <v>291</v>
      </c>
      <c r="C54" s="2">
        <f>SUM('3D NONAUTO MODEL FSS'!$H$64:$H$68)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C54*$J54/'3D NONAUTO MODEL FSS'!$G$6</f>
        <v>0</v>
      </c>
    </row>
    <row r="55" spans="1:11" x14ac:dyDescent="0.25">
      <c r="B55" t="s">
        <v>292</v>
      </c>
      <c r="C55" s="2">
        <f>SUM('3D NONAUTO MODEL FSS'!$G$64:$G$68)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C55*$J55/'3D NONAUTO MODEL FSS'!$G$6</f>
        <v>0</v>
      </c>
    </row>
    <row r="56" spans="1:11" x14ac:dyDescent="0.25">
      <c r="B56" t="s">
        <v>70</v>
      </c>
      <c r="C56" s="2">
        <f>SUM('3D NONAUTO MODEL FSS'!$M$64:$M$68)</f>
        <v>620.47286528002894</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C56*$J56/'3D NONAUTO MODEL FSS'!$G$6</f>
        <v>0.69228734144237003</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 ca="1">SUM('3D NONAUTO MODEL FSS'!$B$74:$B$78)+SUM('3D NONAUTO MODEL FSS'!$B$108:$B$112)</f>
        <v>197.95316300266856</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C59*$J59/'3D NONAUTO MODEL FSS'!$G$6</f>
        <v>0.14253906338013841</v>
      </c>
    </row>
    <row r="60" spans="1:11" ht="13" x14ac:dyDescent="0.3">
      <c r="A60" s="36"/>
      <c r="B60" t="s">
        <v>244</v>
      </c>
      <c r="C60" s="2">
        <f ca="1">SUM('3D NONAUTO MODEL FSS'!$A$74:$A$78)+SUM('3D NONAUTO MODEL FSS'!$A$108:$A$112)</f>
        <v>12.13446118906125</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C60*$J60/'3D NONAUTO MODEL FSS'!$G$6</f>
        <v>9.150221288739652E-3</v>
      </c>
    </row>
    <row r="61" spans="1:11" x14ac:dyDescent="0.25">
      <c r="B61" t="s">
        <v>291</v>
      </c>
      <c r="C61" s="2">
        <f>SUM('3D NONAUTO MODEL FSS'!$H$74:$H$78)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C61*$J61/'3D NONAUTO MODEL FSS'!$G$6</f>
        <v>0</v>
      </c>
    </row>
    <row r="62" spans="1:11" x14ac:dyDescent="0.25">
      <c r="B62" t="s">
        <v>292</v>
      </c>
      <c r="C62" s="2">
        <f>SUM('3D NONAUTO MODEL FSS'!$G$74:$G$78)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C62*$J62/'3D NONAUTO MODEL FSS'!$G$6</f>
        <v>0</v>
      </c>
    </row>
    <row r="63" spans="1:11" x14ac:dyDescent="0.25">
      <c r="B63" t="s">
        <v>70</v>
      </c>
      <c r="C63" s="2">
        <f ca="1">SUM('3D NONAUTO MODEL FSS'!$M$74:$M$78)</f>
        <v>28.708090211657119</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C63*$J63/'3D NONAUTO MODEL FSS'!$G$6</f>
        <v>2.5536719575498718E-2</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 ca="1">SUM('3D NONAUTO MODEL FSS'!$B$83:$B$87)+SUM('3D NONAUTO MODEL FSS'!$B$122:$B$126)</f>
        <v>9022.1526150841692</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C66*$J66/'3D NONAUTO MODEL FSS'!$G$6</f>
        <v>3.906523545510002</v>
      </c>
    </row>
    <row r="67" spans="1:11" ht="13" x14ac:dyDescent="0.3">
      <c r="A67" s="36"/>
      <c r="B67" t="s">
        <v>244</v>
      </c>
      <c r="C67" s="2">
        <f ca="1">SUM('3D NONAUTO MODEL FSS'!$A$83:$A$87)+SUM('3D NONAUTO MODEL FSS'!$A$122:$A$126)</f>
        <v>817.73365901810894</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C67*$J67/'3D NONAUTO MODEL FSS'!$G$6</f>
        <v>0.61662762101143864</v>
      </c>
    </row>
    <row r="68" spans="1:11" x14ac:dyDescent="0.25">
      <c r="B68" t="s">
        <v>291</v>
      </c>
      <c r="C68" s="2">
        <f>SUM('3D NONAUTO MODEL FSS'!$H$83:$H$87)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C68*$J68/'3D NONAUTO MODEL FSS'!$G$6</f>
        <v>0</v>
      </c>
    </row>
    <row r="69" spans="1:11" x14ac:dyDescent="0.25">
      <c r="B69" t="s">
        <v>292</v>
      </c>
      <c r="C69" s="2">
        <f>SUM('3D NONAUTO MODEL FSS'!$G$83:$G$87)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C69*$J69/'3D NONAUTO MODEL FSS'!$G$6</f>
        <v>0</v>
      </c>
    </row>
    <row r="70" spans="1:11" x14ac:dyDescent="0.25">
      <c r="B70" t="s">
        <v>70</v>
      </c>
      <c r="C70" s="2">
        <f ca="1">SUM('3D NONAUTO MODEL FSS'!$M$83:$M$87)</f>
        <v>1530.3798466724543</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C70*$J70/'3D NONAUTO MODEL FSS'!$G$6</f>
        <v>1.5174447877371646</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 ca="1">SUM('3D NONAUTO MODEL FSS'!$A$95:$A$99)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C74*$J74/'3D NONAUTO MODEL FSS'!$G$6</f>
        <v>0</v>
      </c>
    </row>
    <row r="76" spans="1:11" x14ac:dyDescent="0.25">
      <c r="B76" s="155" t="s">
        <v>486</v>
      </c>
      <c r="C76" s="2">
        <f>SUM('3D NONAUTO MODEL FSS'!C65,'3D NONAUTO MODEL FSS'!I65,'3D NONAUTO MODEL FSS'!C75,'3D NONAUTO MODEL FSS'!I75,'3D NONAUTO MODEL FSS'!C84,'3D NONAUTO MODEL FSS'!I84)</f>
        <v>9465.9805983869192</v>
      </c>
      <c r="D76" s="2">
        <f>PRODUCTIVITIES!$C$49*'FY VOLUME NONAUTO'!C63</f>
        <v>2455.4276841308706</v>
      </c>
      <c r="E76" s="38">
        <f>'WAGE RATES'!$C$6</f>
        <v>50.10717457546064</v>
      </c>
      <c r="F76" s="42">
        <f t="shared" ref="F76:F77" si="0">E76*100/D76</f>
        <v>2.0406699370255206</v>
      </c>
      <c r="G76" s="42">
        <f>PIGGYBACKS!$B$13</f>
        <v>1.6305774272183733</v>
      </c>
      <c r="H76" s="42">
        <f>'WAGE RATES'!$C$9</f>
        <v>0.9752031228402912</v>
      </c>
      <c r="I76" s="42">
        <f t="shared" ref="I76:I77" si="1">(H76-1)*F76</f>
        <v>-5.0602241751932522E-2</v>
      </c>
      <c r="J76" s="42">
        <f t="shared" ref="J76:J77" si="2">F76*G76+I76</f>
        <v>3.2768680939650205</v>
      </c>
      <c r="K76" s="42">
        <f ca="1">C76*$J76/'3D AUTO MODEL FSS'!$G$6</f>
        <v>3.101876980094596</v>
      </c>
    </row>
    <row r="77" spans="1:11" x14ac:dyDescent="0.25">
      <c r="B77" s="155" t="s">
        <v>491</v>
      </c>
      <c r="C77" s="2">
        <f ca="1">SUM(C31,C33,C34,C38,C40,C41,C45,C47,C48,C52,C54,C55,C59,C61,C62,C66,C68,C69)-C76</f>
        <v>8946.9331604984036</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C77*$J77/'3D AUTO MODEL FSS'!$G$6</f>
        <v>3.4155899102596639</v>
      </c>
    </row>
    <row r="78" spans="1:11" ht="13.5" thickBot="1" x14ac:dyDescent="0.35">
      <c r="F78" s="42"/>
      <c r="H78" s="42"/>
      <c r="I78" s="42"/>
      <c r="J78" s="42"/>
      <c r="K78" s="41" t="str">
        <f>"(10)"</f>
        <v>(10)</v>
      </c>
    </row>
    <row r="79" spans="1:11" ht="13.5" thickBot="1" x14ac:dyDescent="0.35">
      <c r="F79" s="42"/>
      <c r="H79" s="42"/>
      <c r="I79" s="42"/>
      <c r="J79" s="142" t="s">
        <v>557</v>
      </c>
      <c r="K79" s="143">
        <f ca="1">SUM(K11:K77)</f>
        <v>20.734229701350323</v>
      </c>
    </row>
    <row r="80" spans="1:11" ht="13.5" thickBot="1" x14ac:dyDescent="0.35">
      <c r="J80" s="142" t="s">
        <v>558</v>
      </c>
      <c r="K80" s="143">
        <f ca="1">SUM(K31,K33,K34,K38,K40,K41,K45,K47,K48,K52,K54,K55,K59,K61,K62,K66,K68,K69,K76,K77)</f>
        <v>14.186966842667067</v>
      </c>
    </row>
    <row r="83" spans="1:8" ht="13" x14ac:dyDescent="0.3">
      <c r="A83" s="145" t="str">
        <f>"(1)"</f>
        <v>(1)</v>
      </c>
      <c r="B83" s="1" t="s">
        <v>404</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orientation="portrait" horizontalDpi="300" r:id="rId1"/>
  <ignoredErrors>
    <ignoredError sqref="E4" numberStoredAsText="1"/>
  </ignoredErrors>
</worksheet>
</file>

<file path=xl/worksheets/sheet1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'3D NONAUTO COST FSS'!A1</f>
        <v>3-DIGIT NONAUTO PRESORT FSS</v>
      </c>
    </row>
    <row r="2" spans="1:30" ht="23" x14ac:dyDescent="0.5">
      <c r="A2" s="57" t="s">
        <v>84</v>
      </c>
    </row>
    <row r="6" spans="1:30" s="228" customFormat="1" ht="18" x14ac:dyDescent="0.4">
      <c r="A6" s="48" t="s">
        <v>85</v>
      </c>
      <c r="B6" s="226"/>
      <c r="C6" s="49">
        <f>SUM(C11:C16)+SUM(G11:G16)+SUM(K11:K16)+SUM(O11:O16)</f>
        <v>10000.000000000002</v>
      </c>
      <c r="D6" s="227"/>
      <c r="E6" s="48" t="s">
        <v>86</v>
      </c>
      <c r="F6" s="226"/>
      <c r="G6" s="49">
        <f ca="1">D88+J88+O88+D100+D127</f>
        <v>10000.000000000013</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v>0</v>
      </c>
      <c r="D11" s="59"/>
      <c r="E11" s="28"/>
      <c r="F11" s="61" t="s">
        <v>89</v>
      </c>
      <c r="G11" s="62">
        <f>'ENTRY PROFILE'!K27</f>
        <v>5.7767540831629676</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v>0</v>
      </c>
      <c r="E13" s="18"/>
      <c r="F13" s="63" t="s">
        <v>97</v>
      </c>
      <c r="G13" s="64">
        <f>'ENTRY PROFILE'!L27+'ENTRY PROFILE'!O27+'ENTRY PROFILE'!O28+'ENTRY PROFILE'!P27</f>
        <v>420.60887121352755</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f>'ENTRY PROFILE'!P28+'ENTRY PROFILE'!S27+'ENTRY PROFILE'!S28+'ENTRY PROFILE'!S29+'ENTRY PROFILE'!S30+'ENTRY PROFILE'!T27+'ENTRY PROFILE'!T28+'ENTRY PROFILE'!T29</f>
        <v>8219.8618129486149</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f>'ENTRY PROFILE'!T30+'ENTRY PROFILE'!W30+'ENTRY PROFILE'!X30</f>
        <v>1353.7525617546958</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0.35818319693235118</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1.5399283334479892</v>
      </c>
      <c r="B26" s="86">
        <f>C26*(1+'ACCEPT RATES'!F14)</f>
        <v>5.8400471303969921</v>
      </c>
      <c r="C26" s="85">
        <f>G11*('COVERAGE FACTORS'!E14+'COVERAGE FACTORS'!E18)</f>
        <v>5.766768386308244</v>
      </c>
      <c r="G26" s="194">
        <f>H26*(1-'ACCEPT RATES'!D19)</f>
        <v>0</v>
      </c>
      <c r="H26" s="86">
        <f>I26</f>
        <v>0</v>
      </c>
      <c r="I26" s="85">
        <f>G11*'COVERAGE FACTORS'!E16</f>
        <v>0</v>
      </c>
      <c r="J26" s="58"/>
      <c r="L26"/>
      <c r="M26" s="86">
        <f>N26</f>
        <v>9.9856968547252286E-3</v>
      </c>
      <c r="N26" s="85">
        <f>G11*'COVERAGE FACTORS'!E20</f>
        <v>9.9856968547252286E-3</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0.35818319693235118</v>
      </c>
      <c r="N29" s="206">
        <f>D23+J23</f>
        <v>0.35818319693235118</v>
      </c>
      <c r="P29" s="20"/>
      <c r="Q29" s="109"/>
      <c r="S29" s="20"/>
      <c r="U29" s="20"/>
      <c r="Y29"/>
      <c r="Z29"/>
      <c r="AA29"/>
      <c r="AB29"/>
      <c r="AC29"/>
      <c r="AD29"/>
    </row>
    <row r="30" spans="1:30" ht="13" x14ac:dyDescent="0.3">
      <c r="A30" s="114"/>
      <c r="C30" s="98"/>
      <c r="D30" s="196">
        <f>(SUM(C25:C29)-D23)*'PIECE DENSITIES'!C6</f>
        <v>0.69257069465090759</v>
      </c>
      <c r="E30" s="24" t="s">
        <v>290</v>
      </c>
      <c r="G30" s="114"/>
      <c r="I30" s="99"/>
      <c r="J30" s="201">
        <f>(SUM(I25:I29)-J23)*'PIECE DENSITIES'!C11</f>
        <v>0</v>
      </c>
      <c r="K30" s="24" t="s">
        <v>289</v>
      </c>
      <c r="L30"/>
      <c r="M30" s="20"/>
      <c r="O30" s="96">
        <f>SUM(N25:N29)*'PIECE DENSITIES'!C16</f>
        <v>3.2942916739616461E-2</v>
      </c>
      <c r="P30" s="24" t="s">
        <v>120</v>
      </c>
      <c r="Q30" s="109"/>
      <c r="S30" s="20"/>
      <c r="U30" s="20"/>
      <c r="Y30"/>
      <c r="Z30"/>
      <c r="AA30"/>
      <c r="AB30"/>
      <c r="AC30"/>
      <c r="AD30"/>
    </row>
    <row r="31" spans="1:30" ht="13" x14ac:dyDescent="0.3">
      <c r="A31" s="114"/>
      <c r="C31" s="98"/>
      <c r="D31" s="196">
        <f>(SUM(C25:C29)-D23)*'PIECE DENSITIES'!D6</f>
        <v>2.8033190856396</v>
      </c>
      <c r="E31" s="24" t="s">
        <v>121</v>
      </c>
      <c r="G31" s="114"/>
      <c r="I31" s="99"/>
      <c r="J31" s="201">
        <f>(SUM(I25:I29)-J23)*'PIECE DENSITIES'!D11</f>
        <v>0</v>
      </c>
      <c r="K31" s="24" t="s">
        <v>122</v>
      </c>
      <c r="L31"/>
      <c r="M31" s="20"/>
      <c r="O31" s="96">
        <f>SUM(N25:N29)*'PIECE DENSITIES'!D16</f>
        <v>0.21377791889872502</v>
      </c>
      <c r="P31" s="24" t="s">
        <v>123</v>
      </c>
      <c r="Q31" s="109"/>
      <c r="S31" s="20"/>
      <c r="U31" s="20"/>
      <c r="Y31"/>
      <c r="Z31"/>
      <c r="AA31"/>
      <c r="AB31"/>
      <c r="AC31"/>
      <c r="AD31"/>
    </row>
    <row r="32" spans="1:30" ht="13" x14ac:dyDescent="0.3">
      <c r="A32" s="114"/>
      <c r="C32" s="89"/>
      <c r="D32" s="197">
        <f>(SUM(C25:C29)-D23)*'PIECE DENSITIES'!E6</f>
        <v>1.5139914507045316</v>
      </c>
      <c r="E32" s="24" t="s">
        <v>124</v>
      </c>
      <c r="G32" s="114"/>
      <c r="I32" s="94"/>
      <c r="J32" s="202">
        <f>(SUM(I25:I29)-J23)*'PIECE DENSITIES'!E11</f>
        <v>0</v>
      </c>
      <c r="K32" s="24" t="s">
        <v>125</v>
      </c>
      <c r="L32"/>
      <c r="M32" s="20"/>
      <c r="N32" s="46"/>
      <c r="O32" s="97">
        <f>SUM(N25:N29)*'PIECE DENSITIES'!E16</f>
        <v>9.4180205001859058E-2</v>
      </c>
      <c r="P32" s="24" t="s">
        <v>126</v>
      </c>
      <c r="Q32" s="109"/>
      <c r="S32" s="20"/>
      <c r="U32" s="20"/>
      <c r="Y32"/>
      <c r="Z32"/>
      <c r="AA32"/>
      <c r="AB32"/>
      <c r="AC32"/>
      <c r="AD32"/>
    </row>
    <row r="33" spans="1:30" ht="13" x14ac:dyDescent="0.3">
      <c r="A33" s="114"/>
      <c r="C33" s="89"/>
      <c r="D33" s="197">
        <f>(SUM(C25:C29)-D23)*'PIECE DENSITIES'!F6</f>
        <v>0.39870395838085415</v>
      </c>
      <c r="E33" s="24" t="s">
        <v>127</v>
      </c>
      <c r="G33" s="114"/>
      <c r="I33" s="94"/>
      <c r="J33" s="202">
        <f>(SUM(I25:I29)-J23)*'PIECE DENSITIES'!F11</f>
        <v>0</v>
      </c>
      <c r="K33" s="24" t="s">
        <v>128</v>
      </c>
      <c r="L33"/>
      <c r="M33" s="20"/>
      <c r="N33" s="46"/>
      <c r="O33" s="97">
        <f>SUM(N25:N29)*'PIECE DENSITIES'!F16</f>
        <v>2.7267853146875909E-2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6.5743962370968093E-2</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4.3477950502120478E-2</v>
      </c>
      <c r="B42" s="199">
        <f>C42*(1+'ACCEPT RATES'!F15+'PIECE DENSITIES'!C7)</f>
        <v>0.70926905518695194</v>
      </c>
      <c r="C42" s="198">
        <f>D30</f>
        <v>0.69257069465090759</v>
      </c>
      <c r="G42" s="205">
        <f>IF(SUM(C11:C16)&gt;0,H42*(1-'ACCEPT RATES'!C20),H42*(1-'ACCEPT RATES'!D20))</f>
        <v>0</v>
      </c>
      <c r="H42" s="204">
        <f>I42*(1+'PIECE DENSITIES'!C12)</f>
        <v>0</v>
      </c>
      <c r="I42" s="203">
        <f>J30</f>
        <v>0</v>
      </c>
      <c r="J42" s="58"/>
      <c r="L42"/>
      <c r="M42" s="102">
        <f>N42</f>
        <v>9.8686879110584547E-2</v>
      </c>
      <c r="N42" s="101">
        <f>D36+J36+O30</f>
        <v>9.8686879110584547E-2</v>
      </c>
      <c r="P42" s="20"/>
      <c r="Q42" s="109"/>
      <c r="S42" s="20"/>
      <c r="U42" s="20"/>
      <c r="Y42"/>
      <c r="Z42"/>
      <c r="AA42"/>
      <c r="AB42"/>
      <c r="AC42"/>
      <c r="AD42"/>
    </row>
    <row r="43" spans="1:30" ht="13" x14ac:dyDescent="0.3">
      <c r="A43" s="114"/>
      <c r="C43" s="98"/>
      <c r="D43" s="196">
        <f>(SUM(C38:C42)-D36)*'PIECE DENSITIES'!D7</f>
        <v>0.51762955403507616</v>
      </c>
      <c r="E43" s="24" t="s">
        <v>121</v>
      </c>
      <c r="G43" s="114"/>
      <c r="I43" s="99"/>
      <c r="J43" s="201">
        <f>(SUM(I38:I42)-J36)*'PIECE DENSITIES'!D12</f>
        <v>0</v>
      </c>
      <c r="K43" s="24" t="s">
        <v>122</v>
      </c>
      <c r="L43"/>
      <c r="M43" s="20"/>
      <c r="O43" s="96">
        <f>SUM(N38:N42)*'PIECE DENSITIES'!D17</f>
        <v>6.985487739804444E-2</v>
      </c>
      <c r="P43" s="24" t="s">
        <v>123</v>
      </c>
      <c r="Q43" s="109"/>
      <c r="S43" s="20"/>
      <c r="U43" s="20"/>
      <c r="Y43"/>
      <c r="Z43"/>
      <c r="AA43"/>
      <c r="AB43"/>
      <c r="AC43"/>
      <c r="AD43"/>
    </row>
    <row r="44" spans="1:30" ht="13" x14ac:dyDescent="0.3">
      <c r="A44" s="114"/>
      <c r="C44" s="98"/>
      <c r="D44" s="196">
        <f>(SUM(C38:C42)-D36)*'PIECE DENSITIES'!E7</f>
        <v>4.3260683630507744E-2</v>
      </c>
      <c r="E44" s="24" t="s">
        <v>124</v>
      </c>
      <c r="G44" s="114"/>
      <c r="I44" s="99"/>
      <c r="J44" s="201">
        <f>(SUM(I38:I42)-J36)*'PIECE DENSITIES'!E12</f>
        <v>0</v>
      </c>
      <c r="K44" s="24" t="s">
        <v>125</v>
      </c>
      <c r="L44"/>
      <c r="M44" s="20"/>
      <c r="O44" s="96">
        <f>SUM(N38:N42)*'PIECE DENSITIES'!E17</f>
        <v>3.0624883682453844E-4</v>
      </c>
      <c r="P44" s="24" t="s">
        <v>126</v>
      </c>
      <c r="Q44" s="109"/>
      <c r="S44" s="20"/>
      <c r="U44" s="20"/>
      <c r="Y44"/>
      <c r="Z44"/>
      <c r="AA44"/>
      <c r="AB44"/>
      <c r="AC44"/>
      <c r="AD44"/>
    </row>
    <row r="45" spans="1:30" ht="13" x14ac:dyDescent="0.3">
      <c r="A45" s="114"/>
      <c r="C45" s="89"/>
      <c r="D45" s="197">
        <f>(SUM(C38:C42)-D36)*'PIECE DENSITIES'!F7</f>
        <v>4.6080522981267261E-3</v>
      </c>
      <c r="E45" s="24" t="s">
        <v>127</v>
      </c>
      <c r="G45" s="114"/>
      <c r="I45" s="94"/>
      <c r="J45" s="202">
        <f>(SUM(I38:I42)-J36)*'PIECE DENSITIES'!F12</f>
        <v>0</v>
      </c>
      <c r="K45" s="24" t="s">
        <v>128</v>
      </c>
      <c r="L45"/>
      <c r="M45" s="20"/>
      <c r="N45" s="46"/>
      <c r="O45" s="97">
        <f>SUM(N38:N42)*'PIECE DENSITIES'!F17</f>
        <v>1.9604748373098406E-3</v>
      </c>
      <c r="P45" s="24" t="s">
        <v>129</v>
      </c>
      <c r="Q45" s="109"/>
      <c r="S45" s="20"/>
      <c r="U45" s="20"/>
      <c r="Y45"/>
      <c r="Z45"/>
      <c r="AA45"/>
      <c r="AB45"/>
      <c r="AC45"/>
      <c r="AD45"/>
    </row>
    <row r="46" spans="1:30" ht="13" x14ac:dyDescent="0.3">
      <c r="A46" s="114"/>
      <c r="C46" s="89"/>
      <c r="D46" s="197">
        <f>(SUM(C38:C42)-D36)*'PIECE DENSITIES'!G7</f>
        <v>6.1328442316228894E-2</v>
      </c>
      <c r="E46" s="24" t="s">
        <v>130</v>
      </c>
      <c r="G46" s="114"/>
      <c r="I46" s="94"/>
      <c r="J46" s="202">
        <f>(SUM(I38:I42)-J36)*'PIECE DENSITIES'!G12</f>
        <v>0</v>
      </c>
      <c r="K46" s="24" t="s">
        <v>288</v>
      </c>
      <c r="L46"/>
      <c r="M46" s="20"/>
      <c r="N46" s="46"/>
      <c r="O46" s="97">
        <f>SUM(N38:N42)*'PIECE DENSITIES'!G17</f>
        <v>2.6565278038405735E-2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37.061570791084229</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111.43984276036677</v>
      </c>
      <c r="B54" s="86">
        <f>C54*(1+'ACCEPT RATES'!F16+'PIECE DENSITIES'!D8)</f>
        <v>422.62611823458155</v>
      </c>
      <c r="C54" s="85">
        <f>G13*('COVERAGE FACTORS'!E38+'COVERAGE FACTORS'!E42)</f>
        <v>418.09727546935835</v>
      </c>
      <c r="G54" s="194">
        <f>H54*(1-'ACCEPT RATES'!D21)</f>
        <v>0</v>
      </c>
      <c r="H54" s="86">
        <f>I54*(1+'PIECE DENSITIES'!D13)</f>
        <v>0</v>
      </c>
      <c r="I54" s="85">
        <f>G13*'COVERAGE FACTORS'!E40</f>
        <v>0</v>
      </c>
      <c r="J54" s="58"/>
      <c r="L54"/>
      <c r="M54" s="86">
        <f>N54</f>
        <v>2.5115957441697638</v>
      </c>
      <c r="N54" s="85">
        <f>G13*'COVERAGE FACTORS'!E44</f>
        <v>2.5115957441697638</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0.20454935530804452</v>
      </c>
      <c r="B57" s="199">
        <f>C57*(1+'ACCEPT RATES'!F16+'PIECE DENSITIES'!D8)</f>
        <v>3.3368759636303715</v>
      </c>
      <c r="C57" s="198">
        <f>(D31+D43)*('COVERAGE FACTORS'!E38+'COVERAGE FACTORS'!E42)</f>
        <v>3.3011181485917218</v>
      </c>
      <c r="G57" s="210">
        <f>IF(SUM(C11:C16)&gt;0,H57*(1-'ACCEPT RATES'!C21),H57*(1-'ACCEPT RATES'!D21))</f>
        <v>0</v>
      </c>
      <c r="H57" s="209">
        <f>I57*(1+'PIECE DENSITIES'!D13)</f>
        <v>0</v>
      </c>
      <c r="I57" s="208">
        <f>(D31+D43)*'COVERAGE FACTORS'!E40+(J31+J43)*('COVERAGE FACTORS'!E40+'COVERAGE FACTORS'!E42)</f>
        <v>0</v>
      </c>
      <c r="J57" s="58"/>
      <c r="L57"/>
      <c r="M57" s="102">
        <f>N57</f>
        <v>37.365034078463957</v>
      </c>
      <c r="N57" s="101">
        <f>D51+J51+O31+O43+(D31+D43)*'COVERAGE FACTORS'!E44+(J31+J43)*(1-('COVERAGE FACTORS'!E40+'COVERAGE FACTORS'!E42))</f>
        <v>37.365034078463957</v>
      </c>
      <c r="P57" s="20"/>
      <c r="Q57" s="109"/>
      <c r="S57" s="20"/>
      <c r="U57" s="20"/>
      <c r="Y57"/>
      <c r="Z57"/>
      <c r="AA57"/>
      <c r="AB57"/>
      <c r="AC57"/>
      <c r="AD57"/>
    </row>
    <row r="58" spans="1:30" ht="13" x14ac:dyDescent="0.3">
      <c r="A58" s="114"/>
      <c r="C58" s="98"/>
      <c r="D58" s="196">
        <f>(SUM(C53:C57)-D51)*'PIECE DENSITIES'!E8</f>
        <v>76.460254715361216</v>
      </c>
      <c r="E58" s="24" t="s">
        <v>124</v>
      </c>
      <c r="G58" s="114"/>
      <c r="I58" s="99"/>
      <c r="J58" s="201">
        <f>(SUM(I53:I57)-J51)*'PIECE DENSITIES'!E13</f>
        <v>0</v>
      </c>
      <c r="K58" s="24" t="s">
        <v>125</v>
      </c>
      <c r="L58"/>
      <c r="M58" s="20"/>
      <c r="O58" s="96">
        <f>SUM(N53:N57)*'PIECE DENSITIES'!E18</f>
        <v>10.537952465628576</v>
      </c>
      <c r="P58" s="24" t="s">
        <v>126</v>
      </c>
      <c r="Q58" s="109"/>
      <c r="S58" s="20"/>
      <c r="U58" s="20"/>
      <c r="Y58"/>
      <c r="Z58"/>
      <c r="AA58"/>
      <c r="AB58"/>
      <c r="AC58"/>
      <c r="AD58"/>
    </row>
    <row r="59" spans="1:30" ht="13" x14ac:dyDescent="0.3">
      <c r="A59" s="114"/>
      <c r="C59" s="98"/>
      <c r="D59" s="196">
        <f>(SUM(C53:C57)-D51)*'PIECE DENSITIES'!F8</f>
        <v>24.823944378483688</v>
      </c>
      <c r="E59" s="24" t="s">
        <v>127</v>
      </c>
      <c r="G59" s="114"/>
      <c r="I59" s="99"/>
      <c r="J59" s="201">
        <f>(SUM(I53:I57)-J51)*'PIECE DENSITIES'!F13</f>
        <v>0</v>
      </c>
      <c r="K59" s="24" t="s">
        <v>128</v>
      </c>
      <c r="L59"/>
      <c r="M59" s="20"/>
      <c r="O59" s="96">
        <f>SUM(N53:N57)*'PIECE DENSITIES'!F18</f>
        <v>1.6539526811174121</v>
      </c>
      <c r="P59" s="24" t="s">
        <v>129</v>
      </c>
      <c r="Q59" s="109"/>
      <c r="S59" s="20"/>
      <c r="U59" s="20"/>
      <c r="Y59"/>
      <c r="Z59"/>
      <c r="AA59"/>
      <c r="AB59"/>
      <c r="AC59"/>
      <c r="AD59"/>
    </row>
    <row r="60" spans="1:30" ht="13" x14ac:dyDescent="0.3">
      <c r="A60" s="114"/>
      <c r="C60" s="89"/>
      <c r="D60" s="197">
        <f>(SUM(C53:C57)-D51)*'PIECE DENSITIES'!G8</f>
        <v>283.05262373302094</v>
      </c>
      <c r="E60" s="24" t="s">
        <v>130</v>
      </c>
      <c r="G60" s="114"/>
      <c r="I60" s="94"/>
      <c r="J60" s="202">
        <f>(SUM(I53:I57)-J51)*'PIECE DENSITIES'!G13</f>
        <v>0</v>
      </c>
      <c r="K60" s="24" t="s">
        <v>288</v>
      </c>
      <c r="L60"/>
      <c r="M60" s="20"/>
      <c r="N60" s="46"/>
      <c r="O60" s="97">
        <f>SUM(N53:N57)*'PIECE DENSITIES'!G18</f>
        <v>27.684724675887729</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560.29102355051123</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2288.2334200841669</v>
      </c>
      <c r="B65" s="86">
        <f>C65*(1+'ACCEPT RATES'!F17+'PIECE DENSITIES'!E9)</f>
        <v>8677.9304779201138</v>
      </c>
      <c r="C65" s="85">
        <f>G14*('COVERAGE FACTORS'!E38+'COVERAGE FACTORS'!E42)</f>
        <v>8170.7782786724683</v>
      </c>
      <c r="G65" s="194">
        <f>H65*(1-'ACCEPT RATES'!D22)</f>
        <v>0</v>
      </c>
      <c r="H65" s="86">
        <f>I65*(1+'PIECE DENSITIES'!E14)</f>
        <v>0</v>
      </c>
      <c r="I65" s="85">
        <f>G14*'COVERAGE FACTORS'!E40</f>
        <v>0</v>
      </c>
      <c r="J65" s="58"/>
      <c r="L65"/>
      <c r="M65" s="86">
        <f>N65</f>
        <v>49.083534276157984</v>
      </c>
      <c r="N65" s="85">
        <f>G14*'COVERAGE FACTORS'!E44</f>
        <v>49.083534276157984</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5.0489581297648085</v>
      </c>
      <c r="B68" s="211">
        <f>C68*(1+'ACCEPT RATES'!F17+'PIECE DENSITIES'!E9)</f>
        <v>82.365192494575197</v>
      </c>
      <c r="C68" s="212">
        <f>(D32+D44+D58)*('COVERAGE FACTORS'!E38+'COVERAGE FACTORS'!E42)</f>
        <v>77.551638315803856</v>
      </c>
      <c r="G68" s="205">
        <f>IF(SUM(C11:C16)&gt;0, H68*(1-'ACCEPT RATES'!C22),H68*(1-'ACCEPT RATES'!D22))</f>
        <v>0</v>
      </c>
      <c r="H68" s="204">
        <f>I68*(1+'PIECE DENSITIES'!E14)</f>
        <v>0</v>
      </c>
      <c r="I68" s="203">
        <f>(D32+D44+D58)*'COVERAGE FACTORS'!E40+(J32+J44+J58)*('COVERAGE FACTORS'!E40+'COVERAGE FACTORS'!E42)</f>
        <v>0</v>
      </c>
      <c r="J68" s="58"/>
      <c r="L68"/>
      <c r="M68" s="102">
        <f>N68</f>
        <v>571.38933100387101</v>
      </c>
      <c r="N68" s="101">
        <f>D62+J62+O32+O44+O58+(D32+D44+D58)*'COVERAGE FACTORS'!E44+(J32+J44+J58)*(1-('COVERAGE FACTORS'!E40+'COVERAGE FACTORS'!E42))</f>
        <v>571.38933100387101</v>
      </c>
      <c r="P68" s="20"/>
      <c r="Q68" s="109"/>
      <c r="S68" s="20"/>
      <c r="U68" s="20"/>
      <c r="Y68"/>
      <c r="Z68"/>
      <c r="AA68"/>
      <c r="AB68"/>
      <c r="AC68"/>
      <c r="AD68"/>
    </row>
    <row r="69" spans="1:30" ht="13" x14ac:dyDescent="0.3">
      <c r="A69" s="114"/>
      <c r="C69" s="98"/>
      <c r="D69" s="196">
        <f>(SUM(C64:C68)-D62)*'PIECE DENSITIES'!F9</f>
        <v>171.99658526443741</v>
      </c>
      <c r="E69" s="24" t="s">
        <v>127</v>
      </c>
      <c r="G69" s="114"/>
      <c r="I69" s="99"/>
      <c r="J69" s="201">
        <f>(SUM(I64:I68)-J62)*'PIECE DENSITIES'!F14</f>
        <v>0</v>
      </c>
      <c r="K69" s="24" t="s">
        <v>128</v>
      </c>
      <c r="L69"/>
      <c r="M69" s="20"/>
      <c r="O69" s="96">
        <f>SUM(N64:N68)*'PIECE DENSITIES'!F19</f>
        <v>16.050285379850227</v>
      </c>
      <c r="P69" s="24" t="s">
        <v>129</v>
      </c>
      <c r="Q69" s="109"/>
      <c r="S69" s="20"/>
      <c r="U69" s="20"/>
      <c r="Y69"/>
      <c r="Z69"/>
      <c r="AA69"/>
      <c r="AB69"/>
      <c r="AC69"/>
      <c r="AD69"/>
    </row>
    <row r="70" spans="1:30" ht="13" x14ac:dyDescent="0.3">
      <c r="A70" s="114"/>
      <c r="C70" s="98"/>
      <c r="D70" s="196">
        <f>(SUM(C64:C68)-D62)*'PIECE DENSITIES'!G9</f>
        <v>7516.0423081733234</v>
      </c>
      <c r="E70" s="24" t="s">
        <v>130</v>
      </c>
      <c r="G70" s="114"/>
      <c r="I70" s="99"/>
      <c r="J70" s="201">
        <f>(SUM(I64:I68)-J62)*'PIECE DENSITIES'!G14</f>
        <v>0</v>
      </c>
      <c r="K70" s="24" t="s">
        <v>288</v>
      </c>
      <c r="L70"/>
      <c r="M70" s="20"/>
      <c r="O70" s="96">
        <f>SUM(N64:N68)*'PIECE DENSITIES'!G19</f>
        <v>604.42257990017868</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9.7969345364169786</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12.13446118906125</v>
      </c>
      <c r="B78" s="211">
        <f>C78*(1+'ACCEPT RATES'!F17)</f>
        <v>197.95316300266856</v>
      </c>
      <c r="C78" s="212">
        <f>(D33+D45+D59+D69)*('COVERAGE FACTORS'!E38+'COVERAGE FACTORS'!E42)</f>
        <v>196.04615236731203</v>
      </c>
      <c r="G78" s="205">
        <f>IF(SUM(C11:C16)&gt;0,H78*(1-'ACCEPT RATES'!C22),H78*(1-'ACCEPT RATES'!D22))</f>
        <v>0</v>
      </c>
      <c r="H78" s="204">
        <f>I78</f>
        <v>0</v>
      </c>
      <c r="I78" s="203">
        <f>(D33+D45+D59+D69)*'COVERAGE FACTORS'!E40+(J33+J45+J59+J69)*('COVERAGE FACTORS'!E40+'COVERAGE FACTORS'!E42)</f>
        <v>0</v>
      </c>
      <c r="J78" s="58"/>
      <c r="L78"/>
      <c r="M78" s="102">
        <f ca="1">N78</f>
        <v>28.708090211657119</v>
      </c>
      <c r="N78" s="294">
        <f ca="1">D72+J72+O33+O45+O59+O69+(D33+D45+D59+D69)*'COVERAGE FACTORS'!E44+(J33+J45+J59+J69)*(1-('COVERAGE FACTORS'!E40+'COVERAGE FACTORS'!E42))+D106</f>
        <v>28.708090211657119</v>
      </c>
      <c r="P78" s="20"/>
      <c r="Q78" s="109"/>
      <c r="S78" s="20"/>
      <c r="U78" s="20"/>
      <c r="Y78"/>
      <c r="Z78"/>
      <c r="AA78"/>
      <c r="AB78"/>
      <c r="AC78"/>
      <c r="AD78"/>
    </row>
    <row r="79" spans="1:30" ht="13" x14ac:dyDescent="0.3">
      <c r="A79" s="114"/>
      <c r="C79" s="98"/>
      <c r="D79" s="196">
        <f>SUM(C74:C78)-D72</f>
        <v>186.24921783089505</v>
      </c>
      <c r="E79" s="24" t="s">
        <v>130</v>
      </c>
      <c r="G79" s="114"/>
      <c r="I79" s="99"/>
      <c r="J79" s="201">
        <f>SUM(I74:I78)-J72</f>
        <v>0</v>
      </c>
      <c r="K79" s="24" t="s">
        <v>288</v>
      </c>
      <c r="L79"/>
      <c r="M79" s="20"/>
      <c r="O79" s="96">
        <f ca="1">SUM(N74:N78)</f>
        <v>28.708090211657119</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465.61624011208352</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344.84655651059978</v>
      </c>
      <c r="B84" s="86">
        <f>C84*(1+'ACCEPT RATES'!F17)</f>
        <v>1307.801213234208</v>
      </c>
      <c r="C84" s="85">
        <f>G16*(1-'COVERAGE FACTORS'!B119)*'COVERAGE FACTORS'!E104</f>
        <v>1295.2023197144506</v>
      </c>
      <c r="G84" s="194">
        <v>0</v>
      </c>
      <c r="H84" s="86">
        <f>I84</f>
        <v>0</v>
      </c>
      <c r="I84" s="85">
        <v>0</v>
      </c>
      <c r="J84" s="58"/>
      <c r="L84"/>
      <c r="M84" s="86">
        <f>N84</f>
        <v>58.550242040245081</v>
      </c>
      <c r="N84" s="85">
        <f>G16*(1-'COVERAGE FACTORS'!E104)</f>
        <v>58.550242040245081</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472.88710250750921</v>
      </c>
      <c r="B87" s="211">
        <f>C87*(1+'ACCEPT RATES'!F17)</f>
        <v>7714.3514018499618</v>
      </c>
      <c r="C87" s="212">
        <f>(D34+D46+D60+D70+D79)*((1-'COVERAGE FACTORS'!B119))*'COVERAGE FACTORS'!E104</f>
        <v>7640.0340737251918</v>
      </c>
      <c r="G87" s="205">
        <v>0</v>
      </c>
      <c r="H87" s="204">
        <f>I87</f>
        <v>0</v>
      </c>
      <c r="I87" s="203">
        <f>+(J34+J46+J60+J70+J79)*'COVERAGE FACTORS'!E104</f>
        <v>0</v>
      </c>
      <c r="J87" s="213"/>
      <c r="L87"/>
      <c r="M87" s="102">
        <f ca="1">N87</f>
        <v>1471.8296046322091</v>
      </c>
      <c r="N87" s="294">
        <f ca="1">D81+J81+(O34+O46+O60+O70+O79)+(D34+D46+D60+D70+D79)*(1-'COVERAGE FACTORS'!E104)+(J34+J46+J60+J70+J79)*(1-'COVERAGE FACTORS'!E104)+D120</f>
        <v>1471.8296046322091</v>
      </c>
      <c r="P87" s="20"/>
      <c r="Q87" s="109"/>
      <c r="S87" s="20"/>
      <c r="U87" s="20"/>
      <c r="Y87"/>
      <c r="Z87"/>
      <c r="AA87"/>
      <c r="AB87"/>
      <c r="AC87"/>
      <c r="AD87"/>
    </row>
    <row r="88" spans="1:30" ht="13" x14ac:dyDescent="0.3">
      <c r="A88" s="114"/>
      <c r="C88" s="98"/>
      <c r="D88" s="103">
        <f>SUM(C83:C87)-D81</f>
        <v>8469.620153327558</v>
      </c>
      <c r="E88" s="24"/>
      <c r="G88" s="218"/>
      <c r="H88" s="214"/>
      <c r="I88" s="214"/>
      <c r="J88" s="215">
        <f>SUM(I83:I87)-J81</f>
        <v>0</v>
      </c>
      <c r="K88" s="24"/>
      <c r="L88"/>
      <c r="M88" s="20"/>
      <c r="O88" s="216">
        <f ca="1">SUM(N83:N87)</f>
        <v>1530.3798466724543</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FACTORS'!B119*'COVERAGE FACTORS'!E104</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527</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ageMargins left="0.7" right="0.7" top="0.75" bottom="0.75" header="0.3" footer="0.3"/>
  <pageSetup orientation="portrait" horizontalDpi="300" r:id="rId1"/>
  <drawing r:id="rId2"/>
</worksheet>
</file>

<file path=xl/worksheets/sheet1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620</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'BUNDLE SORT'!$I$31*('COVERAGE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C11*$J11/'3D NONAUTO MODEL NONFSS'!$G$6</f>
        <v>0</v>
      </c>
    </row>
    <row r="12" spans="1:11" ht="13" x14ac:dyDescent="0.3">
      <c r="A12" s="36"/>
      <c r="B12" t="s">
        <v>529</v>
      </c>
      <c r="C12" s="151">
        <f>'BUNDLE SORT'!$I$31*('COVERAGE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C12*$J12/'3D NONAUTO MODEL NONFSS'!$G$6</f>
        <v>0</v>
      </c>
    </row>
    <row r="13" spans="1:11" ht="13" x14ac:dyDescent="0.3">
      <c r="A13" s="36"/>
      <c r="B13" t="s">
        <v>70</v>
      </c>
      <c r="C13" s="151">
        <f>'BUNDLE SORT'!$J$31</f>
        <v>43.487454050286303</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C13*$J13/'3D NONAUTO MODEL NONFSS'!$G$6</f>
        <v>8.8205236831011613E-2</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'BUNDLE SORT'!$M$31*('COVERAGE FACTORS'!$E$30/('COVERAGE FACTORS'!$E$30+'COVERAGE FACTORS'!$E$32))</f>
        <v>36.080739442985667</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C16*$J16/'3D NONAUTO MODEL NONFSS'!$G$6</f>
        <v>0.13626055698305714</v>
      </c>
    </row>
    <row r="17" spans="1:11" ht="13" x14ac:dyDescent="0.3">
      <c r="A17" s="1"/>
      <c r="B17" t="s">
        <v>529</v>
      </c>
      <c r="C17" s="151">
        <f>'BUNDLE SORT'!$M$31*('COVERAGE FACTORS'!$E$32/('COVERAGE FACTORS'!$E$30+'COVERAGE FACTORS'!$E$32))</f>
        <v>43.615733695457017</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C17*$J17/'3D NONAUTO MODEL NONFSS'!$G$6</f>
        <v>0.19052434724934228</v>
      </c>
    </row>
    <row r="18" spans="1:11" ht="13" x14ac:dyDescent="0.3">
      <c r="A18" s="1"/>
      <c r="B18" t="s">
        <v>70</v>
      </c>
      <c r="C18" s="151">
        <f>'BUNDLE SORT'!$N$31</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C18*$J18/'3D NONAUTO MODEL NONFSS'!$G$6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'BUNDLE SORT'!$Q$31*('COVERAGE FACTORS'!$E$30/('COVERAGE FACTORS'!$E$30+'COVERAGE FACTORS'!$E$32))</f>
        <v>154.19594159077212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C21*$J21/'3D NONAUTO MODEL NONFSS'!$G$6</f>
        <v>0.58232800131179685</v>
      </c>
    </row>
    <row r="22" spans="1:11" ht="13" x14ac:dyDescent="0.3">
      <c r="A22" s="1"/>
      <c r="B22" t="s">
        <v>529</v>
      </c>
      <c r="C22" s="151">
        <f>'BUNDLE SORT'!$Q$31*('COVERAGE FACTORS'!$E$32/('COVERAGE FACTORS'!$E$30+'COVERAGE FACTORS'!$E$32))</f>
        <v>186.39776316033394</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C22*$J22/'3D NONAUTO MODEL NONFSS'!$G$6</f>
        <v>0.81423168076980357</v>
      </c>
    </row>
    <row r="23" spans="1:11" ht="13" x14ac:dyDescent="0.3">
      <c r="A23" s="1"/>
      <c r="B23" t="s">
        <v>70</v>
      </c>
      <c r="C23" s="151">
        <f>'BUNDLE SORT'!$R$31</f>
        <v>9.822334654422832</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C23*$J23/'3D NONAUTO MODEL NONFSS'!$G$6</f>
        <v>1.9922558663125846E-2</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'BUNDLE SORT'!$U$31*('COVERAGE FACTORS'!$E$30/('COVERAGE FACTORS'!$E$30+'COVERAGE FACTORS'!$E$32))</f>
        <v>1.5488765427053707E-3</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C26*$J26/'3D NONAUTO MODEL NONFSS'!$G$6</f>
        <v>5.8494028577359259E-6</v>
      </c>
    </row>
    <row r="27" spans="1:11" ht="13" x14ac:dyDescent="0.3">
      <c r="A27" s="1"/>
      <c r="B27" t="s">
        <v>529</v>
      </c>
      <c r="C27" s="151">
        <f>'BUNDLE SORT'!$U$31*('COVERAGE FACTORS'!$E$32/('COVERAGE FACTORS'!$E$30+'COVERAGE FACTORS'!$E$32))</f>
        <v>1.8723393105767076E-3</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C27*$J27/'3D NONAUTO MODEL NONFSS'!$G$6</f>
        <v>8.1788426962554366E-6</v>
      </c>
    </row>
    <row r="28" spans="1:11" ht="13" x14ac:dyDescent="0.3">
      <c r="A28" s="1"/>
      <c r="B28" t="s">
        <v>70</v>
      </c>
      <c r="C28" s="151">
        <f>'BUNDLE SORT'!$V$31</f>
        <v>0.33870036947492571</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C28*$J28/'3D NONAUTO MODEL NONFSS'!$G$6</f>
        <v>9.5681816087805915E-4</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SUM('3D NONAUTO MODEL NONFSS'!$B$25:$B$29)</f>
        <v>5.8400471303969921</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C31*$J31/'3D NONAUTO MODEL NONFSS'!$G$6</f>
        <v>2.9881632726313457E-3</v>
      </c>
    </row>
    <row r="32" spans="1:11" ht="13" x14ac:dyDescent="0.3">
      <c r="A32" s="36"/>
      <c r="B32" t="s">
        <v>244</v>
      </c>
      <c r="C32" s="2">
        <f>SUM('3D NONAUTO MODEL NONFSS'!$A$25:$A$29)</f>
        <v>1.5399283334479892</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C32*$J32/'3D NONAUTO MODEL NONFSS'!$G$6</f>
        <v>1.1612122532932395E-3</v>
      </c>
    </row>
    <row r="33" spans="1:11" ht="13" x14ac:dyDescent="0.3">
      <c r="A33" s="36"/>
      <c r="B33" t="s">
        <v>291</v>
      </c>
      <c r="C33" s="2">
        <f>SUM('3D NONAUTO MODEL NONFSS'!$H$25:$H$29)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C33*$J33/'3D NONAUTO MODEL NONFSS'!$G$6</f>
        <v>0</v>
      </c>
    </row>
    <row r="34" spans="1:11" x14ac:dyDescent="0.25">
      <c r="B34" t="s">
        <v>292</v>
      </c>
      <c r="C34" s="2">
        <f>SUM('3D NONAUTO MODEL NONFSS'!$G$25:$G$29)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C34*$J34/'3D NONAUTO MODEL NONFSS'!$G$6</f>
        <v>0</v>
      </c>
    </row>
    <row r="35" spans="1:11" x14ac:dyDescent="0.25">
      <c r="B35" t="s">
        <v>70</v>
      </c>
      <c r="C35" s="2">
        <f>SUM('3D NONAUTO MODEL NONFSS'!$M$25:$M$29)</f>
        <v>0.3681688937870764</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C35*$J35/'3D NONAUTO MODEL NONFSS'!$G$6</f>
        <v>3.9779784259889704E-4</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SUM('3D NONAUTO MODEL NONFSS'!$B$38:$B$42)</f>
        <v>0.70926905518695194</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C38*$J38/'3D NONAUTO MODEL NONFSS'!$G$6</f>
        <v>2.5165070151693104E-4</v>
      </c>
    </row>
    <row r="39" spans="1:11" ht="13" x14ac:dyDescent="0.3">
      <c r="A39" s="36"/>
      <c r="B39" t="s">
        <v>244</v>
      </c>
      <c r="C39" s="2">
        <f>SUM('3D NONAUTO MODEL NONFSS'!$A$38:$A$42)</f>
        <v>4.3477950502120478E-2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C39*$J39/'3D NONAUTO MODEL NONFSS'!$G$6</f>
        <v>3.2785375640238816E-5</v>
      </c>
    </row>
    <row r="40" spans="1:11" x14ac:dyDescent="0.25">
      <c r="B40" t="s">
        <v>291</v>
      </c>
      <c r="C40" s="2">
        <f>SUM('3D NONAUTO MODEL NONFSS'!$H$38:$H$42)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C40*$J40/'3D NONAUTO MODEL NONFSS'!$G$6</f>
        <v>0</v>
      </c>
    </row>
    <row r="41" spans="1:11" x14ac:dyDescent="0.25">
      <c r="B41" t="s">
        <v>292</v>
      </c>
      <c r="C41" s="2">
        <f>SUM('3D NONAUTO MODEL NONFSS'!$G$38:$G$42)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C41*$J41/'3D NONAUTO MODEL NONFSS'!$G$6</f>
        <v>0</v>
      </c>
    </row>
    <row r="42" spans="1:11" x14ac:dyDescent="0.25">
      <c r="B42" t="s">
        <v>70</v>
      </c>
      <c r="C42" s="2">
        <f>SUM('3D NONAUTO MODEL NONFSS'!$M$38:$M$42)</f>
        <v>9.8686879110584547E-2</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C42*$J42/'3D NONAUTO MODEL NONFSS'!$G$6</f>
        <v>1.348046075877625E-4</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SUM('3D NONAUTO MODEL NONFSS'!$B$53:$B$57)</f>
        <v>425.9629941982119</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C45*$J45/'3D NONAUTO MODEL NONFSS'!$G$6</f>
        <v>0.21788937651556536</v>
      </c>
    </row>
    <row r="46" spans="1:11" ht="13" x14ac:dyDescent="0.3">
      <c r="A46" s="36"/>
      <c r="B46" t="s">
        <v>244</v>
      </c>
      <c r="C46" s="2">
        <f>SUM('3D NONAUTO MODEL NONFSS'!$A$53:$A$57)</f>
        <v>111.64439211567482</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C46*$J46/'3D NONAUTO MODEL NONFSS'!$G$6</f>
        <v>8.4187577642602943E-2</v>
      </c>
    </row>
    <row r="47" spans="1:11" x14ac:dyDescent="0.25">
      <c r="B47" t="s">
        <v>291</v>
      </c>
      <c r="C47" s="2">
        <f>SUM('3D NONAUTO MODEL NONFSS'!$H$53:$H$57)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C47*$J47/'3D NONAUTO MODEL NONFSS'!$G$6</f>
        <v>0</v>
      </c>
    </row>
    <row r="48" spans="1:11" x14ac:dyDescent="0.25">
      <c r="B48" t="s">
        <v>292</v>
      </c>
      <c r="C48" s="2">
        <f>SUM('3D NONAUTO MODEL NONFSS'!$G$53:$G$57)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C48*$J48/'3D NONAUTO MODEL NONFSS'!$G$6</f>
        <v>0</v>
      </c>
    </row>
    <row r="49" spans="1:11" x14ac:dyDescent="0.25">
      <c r="B49" t="s">
        <v>70</v>
      </c>
      <c r="C49" s="2">
        <f>SUM('3D NONAUTO MODEL NONFSS'!$M$53:$M$57)</f>
        <v>39.876629822633717</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C49*$J49/'3D NONAUTO MODEL NONFSS'!$G$6</f>
        <v>3.856556018224868E-2</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SUM('3D NONAUTO MODEL NONFSS'!$B$64:$B$68)</f>
        <v>8760.2956704146891</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C52*$J52/'3D NONAUTO MODEL NONFSS'!$G$6</f>
        <v>3.3993081529329556</v>
      </c>
    </row>
    <row r="53" spans="1:11" ht="13" x14ac:dyDescent="0.3">
      <c r="A53" s="36"/>
      <c r="B53" t="s">
        <v>244</v>
      </c>
      <c r="C53" s="2">
        <f>SUM('3D NONAUTO MODEL NONFSS'!$A$64:$A$68)</f>
        <v>2293.2823782139317</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C53*$J53/'3D NONAUTO MODEL NONFSS'!$G$6</f>
        <v>1.729293201509511</v>
      </c>
    </row>
    <row r="54" spans="1:11" x14ac:dyDescent="0.25">
      <c r="B54" t="s">
        <v>291</v>
      </c>
      <c r="C54" s="2">
        <f>SUM('3D NONAUTO MODEL NONFSS'!$H$64:$H$68)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C54*$J54/'3D NONAUTO MODEL NONFSS'!$G$6</f>
        <v>0</v>
      </c>
    </row>
    <row r="55" spans="1:11" x14ac:dyDescent="0.25">
      <c r="B55" t="s">
        <v>292</v>
      </c>
      <c r="C55" s="2">
        <f>SUM('3D NONAUTO MODEL NONFSS'!$G$64:$G$68)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C55*$J55/'3D NONAUTO MODEL NONFSS'!$G$6</f>
        <v>0</v>
      </c>
    </row>
    <row r="56" spans="1:11" x14ac:dyDescent="0.25">
      <c r="B56" t="s">
        <v>70</v>
      </c>
      <c r="C56" s="2">
        <f>SUM('3D NONAUTO MODEL NONFSS'!$M$64:$M$68)</f>
        <v>620.47286528002894</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C56*$J56/'3D NONAUTO MODEL NONFSS'!$G$6</f>
        <v>0.6922873414423707</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SUM('3D NONAUTO MODEL NONFSS'!$B$74:$B$78)+SUM('3D NONAUTO MODEL NONFSS'!$B$108:$B$112)</f>
        <v>197.95316300266856</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C59*$J59/'3D NONAUTO MODEL NONFSS'!$G$6</f>
        <v>0.14253906338013855</v>
      </c>
    </row>
    <row r="60" spans="1:11" ht="13" x14ac:dyDescent="0.3">
      <c r="A60" s="36"/>
      <c r="B60" t="s">
        <v>244</v>
      </c>
      <c r="C60" s="2">
        <f>SUM('3D NONAUTO MODEL NONFSS'!$A$74:$A$78)+SUM('3D NONAUTO MODEL NONFSS'!$A$108:$A$112)</f>
        <v>12.13446118906125</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C60*$J60/'3D NONAUTO MODEL NONFSS'!$G$6</f>
        <v>9.1502212887396607E-3</v>
      </c>
    </row>
    <row r="61" spans="1:11" x14ac:dyDescent="0.25">
      <c r="B61" t="s">
        <v>291</v>
      </c>
      <c r="C61" s="2">
        <f>SUM('3D NONAUTO MODEL NONFSS'!$H$74:$H$78)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C61*$J61/'3D NONAUTO MODEL NONFSS'!$G$6</f>
        <v>0</v>
      </c>
    </row>
    <row r="62" spans="1:11" x14ac:dyDescent="0.25">
      <c r="B62" t="s">
        <v>292</v>
      </c>
      <c r="C62" s="2">
        <f>SUM('3D NONAUTO MODEL NONFSS'!$G$74:$G$78)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C62*$J62/'3D NONAUTO MODEL NONFSS'!$G$6</f>
        <v>0</v>
      </c>
    </row>
    <row r="63" spans="1:11" x14ac:dyDescent="0.25">
      <c r="B63" t="s">
        <v>70</v>
      </c>
      <c r="C63" s="2">
        <f>SUM('3D NONAUTO MODEL NONFSS'!$M$74:$M$78)</f>
        <v>28.708090211657119</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C63*$J63/'3D NONAUTO MODEL NONFSS'!$G$6</f>
        <v>2.5536719575498742E-2</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SUM('3D NONAUTO MODEL NONFSS'!$B$83:$B$87)+SUM('3D NONAUTO MODEL NONFSS'!$B$122:$B$126)</f>
        <v>9027.0450922020755</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C66*$J66/'3D NONAUTO MODEL NONFSS'!$G$6</f>
        <v>3.9086419509363353</v>
      </c>
    </row>
    <row r="67" spans="1:11" ht="13" x14ac:dyDescent="0.3">
      <c r="A67" s="36"/>
      <c r="B67" t="s">
        <v>244</v>
      </c>
      <c r="C67" s="2">
        <f>SUM('3D NONAUTO MODEL NONFSS'!$A$83:$A$87)+SUM('3D NONAUTO MODEL NONFSS'!$A$122:$A$126)</f>
        <v>828.34656595386468</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C67*$J67/'3D NONAUTO MODEL NONFSS'!$G$6</f>
        <v>0.62463048537154009</v>
      </c>
    </row>
    <row r="68" spans="1:11" x14ac:dyDescent="0.25">
      <c r="B68" t="s">
        <v>291</v>
      </c>
      <c r="C68" s="2">
        <f>SUM('3D NONAUTO MODEL NONFSS'!$H$83:$H$87)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C68*$J68/'3D NONAUTO MODEL NONFSS'!$G$6</f>
        <v>0</v>
      </c>
    </row>
    <row r="69" spans="1:11" x14ac:dyDescent="0.25">
      <c r="B69" t="s">
        <v>292</v>
      </c>
      <c r="C69" s="2">
        <f>SUM('3D NONAUTO MODEL NONFSS'!$G$83:$G$87)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C69*$J69/'3D NONAUTO MODEL NONFSS'!$G$6</f>
        <v>0</v>
      </c>
    </row>
    <row r="70" spans="1:11" x14ac:dyDescent="0.25">
      <c r="B70" t="s">
        <v>70</v>
      </c>
      <c r="C70" s="2">
        <f>SUM('3D NONAUTO MODEL NONFSS'!$M$83:$M$87)</f>
        <v>1526.5208259179296</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C70*$J70/'3D NONAUTO MODEL NONFSS'!$G$6</f>
        <v>1.5136183841534705</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SUM('3D NONAUTO MODEL NONFSS'!$A$95:$A$99)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C74*$J74/'3D NONAUTO MODEL NONFSS'!$G$6</f>
        <v>0</v>
      </c>
    </row>
    <row r="76" spans="1:11" x14ac:dyDescent="0.25">
      <c r="B76" s="155" t="s">
        <v>486</v>
      </c>
      <c r="C76" s="2">
        <f>SUM('3D NONAUTO MODEL NONFSS'!C65,'3D NONAUTO MODEL NONFSS'!I65,'3D NONAUTO MODEL NONFSS'!C75,'3D NONAUTO MODEL NONFSS'!I75,'3D NONAUTO MODEL NONFSS'!C84,'3D NONAUTO MODEL NONFSS'!I84)</f>
        <v>9516.4471327227784</v>
      </c>
      <c r="D76" s="2">
        <f>PRODUCTIVITIES!$C$49*'FY VOLUME NONAUTO'!C63</f>
        <v>2455.4276841308706</v>
      </c>
      <c r="E76" s="38">
        <f>'WAGE RATES'!$C$6</f>
        <v>50.10717457546064</v>
      </c>
      <c r="F76" s="42">
        <f t="shared" ref="F76:F77" si="0">E76*100/D76</f>
        <v>2.0406699370255206</v>
      </c>
      <c r="G76" s="42">
        <f>PIGGYBACKS!$B$13</f>
        <v>1.6305774272183733</v>
      </c>
      <c r="H76" s="42">
        <f>'WAGE RATES'!$C$9</f>
        <v>0.9752031228402912</v>
      </c>
      <c r="I76" s="42">
        <f t="shared" ref="I76:I77" si="1">(H76-1)*F76</f>
        <v>-5.0602241751932522E-2</v>
      </c>
      <c r="J76" s="42">
        <f t="shared" ref="J76:J77" si="2">F76*G76+I76</f>
        <v>3.2768680939650205</v>
      </c>
      <c r="K76" s="42">
        <f>C76*$J76/'3D AUTO MODEL NONFSS'!$G$6</f>
        <v>3.1184141977124131</v>
      </c>
    </row>
    <row r="77" spans="1:11" x14ac:dyDescent="0.25">
      <c r="B77" s="155" t="s">
        <v>491</v>
      </c>
      <c r="C77" s="2">
        <f>SUM(C31,C33,C34,C38,C40,C41,C45,C47,C48,C52,C54,C55,C59,C61,C62,C66,C68,C69)-C76</f>
        <v>8901.3591032804488</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C77*$J77/'3D AUTO MODEL NONFSS'!$G$6</f>
        <v>3.3981915138247256</v>
      </c>
    </row>
    <row r="78" spans="1:11" ht="13.5" thickBot="1" x14ac:dyDescent="0.35">
      <c r="F78" s="42"/>
      <c r="H78" s="42"/>
      <c r="I78" s="42"/>
      <c r="J78" s="42"/>
      <c r="K78" s="41" t="str">
        <f>"(10)"</f>
        <v>(10)</v>
      </c>
    </row>
    <row r="79" spans="1:11" ht="13.5" thickBot="1" x14ac:dyDescent="0.35">
      <c r="F79" s="42"/>
      <c r="H79" s="42"/>
      <c r="I79" s="42"/>
      <c r="J79" s="142" t="s">
        <v>559</v>
      </c>
      <c r="K79" s="143">
        <f>SUM(K11:K77)</f>
        <v>20.739663388735956</v>
      </c>
    </row>
    <row r="80" spans="1:11" ht="13.5" thickBot="1" x14ac:dyDescent="0.35">
      <c r="J80" s="142" t="s">
        <v>560</v>
      </c>
      <c r="K80" s="143">
        <f>SUM(K31,K33,K34,K38,K40,K41,K45,K47,K48,K52,K54,K55,K59,K61,K62,K66,K68,K69,K76,K77)</f>
        <v>14.188224069276282</v>
      </c>
    </row>
    <row r="83" spans="1:8" ht="13" x14ac:dyDescent="0.3">
      <c r="A83" s="145" t="str">
        <f>"(1)"</f>
        <v>(1)</v>
      </c>
      <c r="B83" s="1" t="s">
        <v>404</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orientation="portrait" horizontalDpi="300" r:id="rId1"/>
  <ignoredErrors>
    <ignoredError sqref="E4" numberStoredAsText="1"/>
  </ignoredErrors>
</worksheet>
</file>

<file path=xl/worksheets/sheet1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'3D NONAUTO COST NONFSS'!A1</f>
        <v>3-DIGIT NONAUTO PRESORT NON-FSS</v>
      </c>
    </row>
    <row r="2" spans="1:30" ht="23" x14ac:dyDescent="0.5">
      <c r="A2" s="57" t="s">
        <v>84</v>
      </c>
    </row>
    <row r="6" spans="1:30" s="228" customFormat="1" ht="18" x14ac:dyDescent="0.4">
      <c r="A6" s="48" t="s">
        <v>85</v>
      </c>
      <c r="B6" s="226"/>
      <c r="C6" s="49">
        <f>SUM(C11:C16)+SUM(G11:G16)+SUM(K11:K16)+SUM(O11:O16)</f>
        <v>10000.000000000002</v>
      </c>
      <c r="D6" s="227"/>
      <c r="E6" s="48" t="s">
        <v>86</v>
      </c>
      <c r="F6" s="226"/>
      <c r="G6" s="49">
        <f>D88+J88+O88+D100+D127</f>
        <v>10000.000000000004</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v>0</v>
      </c>
      <c r="D11" s="59"/>
      <c r="E11" s="28"/>
      <c r="F11" s="61" t="s">
        <v>89</v>
      </c>
      <c r="G11" s="62">
        <f>'ENTRY PROFILE'!K27</f>
        <v>5.7767540831629676</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v>0</v>
      </c>
      <c r="E13" s="18"/>
      <c r="F13" s="63" t="s">
        <v>97</v>
      </c>
      <c r="G13" s="64">
        <f>'ENTRY PROFILE'!L27+'ENTRY PROFILE'!O27+'ENTRY PROFILE'!O28+'ENTRY PROFILE'!P27</f>
        <v>420.60887121352755</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f>'ENTRY PROFILE'!P28+'ENTRY PROFILE'!S27+'ENTRY PROFILE'!S28+'ENTRY PROFILE'!S29+'ENTRY PROFILE'!S30+'ENTRY PROFILE'!T27+'ENTRY PROFILE'!T28+'ENTRY PROFILE'!T29</f>
        <v>8219.8618129486149</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f>'ENTRY PROFILE'!T30+'ENTRY PROFILE'!W30+'ENTRY PROFILE'!X30</f>
        <v>1353.7525617546958</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0.35818319693235118</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1.5399283334479892</v>
      </c>
      <c r="B26" s="86">
        <f>C26*(1+'ACCEPT RATES'!F14)</f>
        <v>5.8400471303969921</v>
      </c>
      <c r="C26" s="85">
        <f>G11*('COVERAGE FACTORS'!E14+'COVERAGE FACTORS'!E18)</f>
        <v>5.766768386308244</v>
      </c>
      <c r="G26" s="194">
        <f>H26*(1-'ACCEPT RATES'!D19)</f>
        <v>0</v>
      </c>
      <c r="H26" s="86">
        <f>I26</f>
        <v>0</v>
      </c>
      <c r="I26" s="85">
        <f>G11*'COVERAGE FACTORS'!E16</f>
        <v>0</v>
      </c>
      <c r="J26" s="58"/>
      <c r="L26"/>
      <c r="M26" s="86">
        <f>N26</f>
        <v>9.9856968547252286E-3</v>
      </c>
      <c r="N26" s="85">
        <f>G11*'COVERAGE FACTORS'!E20</f>
        <v>9.9856968547252286E-3</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0.35818319693235118</v>
      </c>
      <c r="N29" s="206">
        <f>D23+J23</f>
        <v>0.35818319693235118</v>
      </c>
      <c r="P29" s="20"/>
      <c r="Q29" s="109"/>
      <c r="S29" s="20"/>
      <c r="U29" s="20"/>
      <c r="Y29"/>
      <c r="Z29"/>
      <c r="AA29"/>
      <c r="AB29"/>
      <c r="AC29"/>
      <c r="AD29"/>
    </row>
    <row r="30" spans="1:30" ht="13" x14ac:dyDescent="0.3">
      <c r="A30" s="114"/>
      <c r="C30" s="98"/>
      <c r="D30" s="196">
        <f>(SUM(C25:C29)-D23)*'PIECE DENSITIES'!C6</f>
        <v>0.69257069465090759</v>
      </c>
      <c r="E30" s="24" t="s">
        <v>290</v>
      </c>
      <c r="G30" s="114"/>
      <c r="I30" s="99"/>
      <c r="J30" s="201">
        <f>(SUM(I25:I29)-J23)*'PIECE DENSITIES'!C11</f>
        <v>0</v>
      </c>
      <c r="K30" s="24" t="s">
        <v>289</v>
      </c>
      <c r="L30"/>
      <c r="M30" s="20"/>
      <c r="O30" s="96">
        <f>SUM(N25:N29)*'PIECE DENSITIES'!C16</f>
        <v>3.2942916739616461E-2</v>
      </c>
      <c r="P30" s="24" t="s">
        <v>120</v>
      </c>
      <c r="Q30" s="109"/>
      <c r="S30" s="20"/>
      <c r="U30" s="20"/>
      <c r="Y30"/>
      <c r="Z30"/>
      <c r="AA30"/>
      <c r="AB30"/>
      <c r="AC30"/>
      <c r="AD30"/>
    </row>
    <row r="31" spans="1:30" ht="13" x14ac:dyDescent="0.3">
      <c r="A31" s="114"/>
      <c r="C31" s="98"/>
      <c r="D31" s="196">
        <f>(SUM(C25:C29)-D23)*'PIECE DENSITIES'!D6</f>
        <v>2.8033190856396</v>
      </c>
      <c r="E31" s="24" t="s">
        <v>121</v>
      </c>
      <c r="G31" s="114"/>
      <c r="I31" s="99"/>
      <c r="J31" s="201">
        <f>(SUM(I25:I29)-J23)*'PIECE DENSITIES'!D11</f>
        <v>0</v>
      </c>
      <c r="K31" s="24" t="s">
        <v>122</v>
      </c>
      <c r="L31"/>
      <c r="M31" s="20"/>
      <c r="O31" s="96">
        <f>SUM(N25:N29)*'PIECE DENSITIES'!D16</f>
        <v>0.21377791889872502</v>
      </c>
      <c r="P31" s="24" t="s">
        <v>123</v>
      </c>
      <c r="Q31" s="109"/>
      <c r="S31" s="20"/>
      <c r="U31" s="20"/>
      <c r="Y31"/>
      <c r="Z31"/>
      <c r="AA31"/>
      <c r="AB31"/>
      <c r="AC31"/>
      <c r="AD31"/>
    </row>
    <row r="32" spans="1:30" ht="13" x14ac:dyDescent="0.3">
      <c r="A32" s="114"/>
      <c r="C32" s="89"/>
      <c r="D32" s="197">
        <f>(SUM(C25:C29)-D23)*'PIECE DENSITIES'!E6</f>
        <v>1.5139914507045316</v>
      </c>
      <c r="E32" s="24" t="s">
        <v>124</v>
      </c>
      <c r="G32" s="114"/>
      <c r="I32" s="94"/>
      <c r="J32" s="202">
        <f>(SUM(I25:I29)-J23)*'PIECE DENSITIES'!E11</f>
        <v>0</v>
      </c>
      <c r="K32" s="24" t="s">
        <v>125</v>
      </c>
      <c r="L32"/>
      <c r="M32" s="20"/>
      <c r="N32" s="46"/>
      <c r="O32" s="97">
        <f>SUM(N25:N29)*'PIECE DENSITIES'!E16</f>
        <v>9.4180205001859058E-2</v>
      </c>
      <c r="P32" s="24" t="s">
        <v>126</v>
      </c>
      <c r="Q32" s="109"/>
      <c r="S32" s="20"/>
      <c r="U32" s="20"/>
      <c r="Y32"/>
      <c r="Z32"/>
      <c r="AA32"/>
      <c r="AB32"/>
      <c r="AC32"/>
      <c r="AD32"/>
    </row>
    <row r="33" spans="1:30" ht="13" x14ac:dyDescent="0.3">
      <c r="A33" s="114"/>
      <c r="C33" s="89"/>
      <c r="D33" s="197">
        <f>(SUM(C25:C29)-D23)*'PIECE DENSITIES'!F6</f>
        <v>0.39870395838085415</v>
      </c>
      <c r="E33" s="24" t="s">
        <v>127</v>
      </c>
      <c r="G33" s="114"/>
      <c r="I33" s="94"/>
      <c r="J33" s="202">
        <f>(SUM(I25:I29)-J23)*'PIECE DENSITIES'!F11</f>
        <v>0</v>
      </c>
      <c r="K33" s="24" t="s">
        <v>128</v>
      </c>
      <c r="L33"/>
      <c r="M33" s="20"/>
      <c r="N33" s="46"/>
      <c r="O33" s="97">
        <f>SUM(N25:N29)*'PIECE DENSITIES'!F16</f>
        <v>2.7267853146875909E-2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6.5743962370968093E-2</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4.3477950502120478E-2</v>
      </c>
      <c r="B42" s="199">
        <f>C42*(1+'ACCEPT RATES'!F15+'PIECE DENSITIES'!C7)</f>
        <v>0.70926905518695194</v>
      </c>
      <c r="C42" s="198">
        <f>D30</f>
        <v>0.69257069465090759</v>
      </c>
      <c r="G42" s="205">
        <f>IF(SUM(C11:C16)&gt;0,H42*(1-'ACCEPT RATES'!C20),H42*(1-'ACCEPT RATES'!D20))</f>
        <v>0</v>
      </c>
      <c r="H42" s="204">
        <f>I42*(1+'PIECE DENSITIES'!C12)</f>
        <v>0</v>
      </c>
      <c r="I42" s="203">
        <f>J30</f>
        <v>0</v>
      </c>
      <c r="J42" s="58"/>
      <c r="L42"/>
      <c r="M42" s="102">
        <f>N42</f>
        <v>9.8686879110584547E-2</v>
      </c>
      <c r="N42" s="101">
        <f>D36+J36+O30</f>
        <v>9.8686879110584547E-2</v>
      </c>
      <c r="P42" s="20"/>
      <c r="Q42" s="109"/>
      <c r="S42" s="20"/>
      <c r="U42" s="20"/>
      <c r="Y42"/>
      <c r="Z42"/>
      <c r="AA42"/>
      <c r="AB42"/>
      <c r="AC42"/>
      <c r="AD42"/>
    </row>
    <row r="43" spans="1:30" ht="13" x14ac:dyDescent="0.3">
      <c r="A43" s="114"/>
      <c r="C43" s="98"/>
      <c r="D43" s="196">
        <f>(SUM(C38:C42)-D36)*'PIECE DENSITIES'!D7</f>
        <v>0.51762955403507616</v>
      </c>
      <c r="E43" s="24" t="s">
        <v>121</v>
      </c>
      <c r="G43" s="114"/>
      <c r="I43" s="99"/>
      <c r="J43" s="201">
        <f>(SUM(I38:I42)-J36)*'PIECE DENSITIES'!D12</f>
        <v>0</v>
      </c>
      <c r="K43" s="24" t="s">
        <v>122</v>
      </c>
      <c r="L43"/>
      <c r="M43" s="20"/>
      <c r="O43" s="96">
        <f>SUM(N38:N42)*'PIECE DENSITIES'!D17</f>
        <v>6.985487739804444E-2</v>
      </c>
      <c r="P43" s="24" t="s">
        <v>123</v>
      </c>
      <c r="Q43" s="109"/>
      <c r="S43" s="20"/>
      <c r="U43" s="20"/>
      <c r="Y43"/>
      <c r="Z43"/>
      <c r="AA43"/>
      <c r="AB43"/>
      <c r="AC43"/>
      <c r="AD43"/>
    </row>
    <row r="44" spans="1:30" ht="13" x14ac:dyDescent="0.3">
      <c r="A44" s="114"/>
      <c r="C44" s="98"/>
      <c r="D44" s="196">
        <f>(SUM(C38:C42)-D36)*'PIECE DENSITIES'!E7</f>
        <v>4.3260683630507744E-2</v>
      </c>
      <c r="E44" s="24" t="s">
        <v>124</v>
      </c>
      <c r="G44" s="114"/>
      <c r="I44" s="99"/>
      <c r="J44" s="201">
        <f>(SUM(I38:I42)-J36)*'PIECE DENSITIES'!E12</f>
        <v>0</v>
      </c>
      <c r="K44" s="24" t="s">
        <v>125</v>
      </c>
      <c r="L44"/>
      <c r="M44" s="20"/>
      <c r="O44" s="96">
        <f>SUM(N38:N42)*'PIECE DENSITIES'!E17</f>
        <v>3.0624883682453844E-4</v>
      </c>
      <c r="P44" s="24" t="s">
        <v>126</v>
      </c>
      <c r="Q44" s="109"/>
      <c r="S44" s="20"/>
      <c r="U44" s="20"/>
      <c r="Y44"/>
      <c r="Z44"/>
      <c r="AA44"/>
      <c r="AB44"/>
      <c r="AC44"/>
      <c r="AD44"/>
    </row>
    <row r="45" spans="1:30" ht="13" x14ac:dyDescent="0.3">
      <c r="A45" s="114"/>
      <c r="C45" s="89"/>
      <c r="D45" s="197">
        <f>(SUM(C38:C42)-D36)*'PIECE DENSITIES'!F7</f>
        <v>4.6080522981267261E-3</v>
      </c>
      <c r="E45" s="24" t="s">
        <v>127</v>
      </c>
      <c r="G45" s="114"/>
      <c r="I45" s="94"/>
      <c r="J45" s="202">
        <f>(SUM(I38:I42)-J36)*'PIECE DENSITIES'!F12</f>
        <v>0</v>
      </c>
      <c r="K45" s="24" t="s">
        <v>128</v>
      </c>
      <c r="L45"/>
      <c r="M45" s="20"/>
      <c r="N45" s="46"/>
      <c r="O45" s="97">
        <f>SUM(N38:N42)*'PIECE DENSITIES'!F17</f>
        <v>1.9604748373098406E-3</v>
      </c>
      <c r="P45" s="24" t="s">
        <v>129</v>
      </c>
      <c r="Q45" s="109"/>
      <c r="S45" s="20"/>
      <c r="U45" s="20"/>
      <c r="Y45"/>
      <c r="Z45"/>
      <c r="AA45"/>
      <c r="AB45"/>
      <c r="AC45"/>
      <c r="AD45"/>
    </row>
    <row r="46" spans="1:30" ht="13" x14ac:dyDescent="0.3">
      <c r="A46" s="114"/>
      <c r="C46" s="89"/>
      <c r="D46" s="197">
        <f>(SUM(C38:C42)-D36)*'PIECE DENSITIES'!G7</f>
        <v>6.1328442316228894E-2</v>
      </c>
      <c r="E46" s="24" t="s">
        <v>130</v>
      </c>
      <c r="G46" s="114"/>
      <c r="I46" s="94"/>
      <c r="J46" s="202">
        <f>(SUM(I38:I42)-J36)*'PIECE DENSITIES'!G12</f>
        <v>0</v>
      </c>
      <c r="K46" s="24" t="s">
        <v>288</v>
      </c>
      <c r="L46"/>
      <c r="M46" s="20"/>
      <c r="N46" s="46"/>
      <c r="O46" s="97">
        <f>SUM(N38:N42)*'PIECE DENSITIES'!G17</f>
        <v>2.6565278038405735E-2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37.061570791084229</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111.43984276036677</v>
      </c>
      <c r="B54" s="86">
        <f>C54*(1+'ACCEPT RATES'!F16+'PIECE DENSITIES'!D8)</f>
        <v>422.62611823458155</v>
      </c>
      <c r="C54" s="85">
        <f>G13*('COVERAGE FACTORS'!E38+'COVERAGE FACTORS'!E42)</f>
        <v>418.09727546935835</v>
      </c>
      <c r="G54" s="194">
        <f>H54*(1-'ACCEPT RATES'!D21)</f>
        <v>0</v>
      </c>
      <c r="H54" s="86">
        <f>I54*(1+'PIECE DENSITIES'!D13)</f>
        <v>0</v>
      </c>
      <c r="I54" s="85">
        <f>G13*'COVERAGE FACTORS'!E40</f>
        <v>0</v>
      </c>
      <c r="J54" s="58"/>
      <c r="L54"/>
      <c r="M54" s="86">
        <f>N54</f>
        <v>2.5115957441697638</v>
      </c>
      <c r="N54" s="85">
        <f>G13*'COVERAGE FACTORS'!E44</f>
        <v>2.5115957441697638</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0.20454935530804452</v>
      </c>
      <c r="B57" s="199">
        <f>C57*(1+'ACCEPT RATES'!F16+'PIECE DENSITIES'!D8)</f>
        <v>3.3368759636303715</v>
      </c>
      <c r="C57" s="198">
        <f>(D31+D43)*('COVERAGE FACTORS'!E38+'COVERAGE FACTORS'!E42)</f>
        <v>3.3011181485917218</v>
      </c>
      <c r="G57" s="210">
        <f>IF(SUM(C11:C16)&gt;0,H57*(1-'ACCEPT RATES'!C21),H57*(1-'ACCEPT RATES'!D21))</f>
        <v>0</v>
      </c>
      <c r="H57" s="209">
        <f>I57*(1+'PIECE DENSITIES'!D13)</f>
        <v>0</v>
      </c>
      <c r="I57" s="208">
        <f>(D31+D43)*'COVERAGE FACTORS'!E40+(J31+J43)*('COVERAGE FACTORS'!E40+'COVERAGE FACTORS'!E42)</f>
        <v>0</v>
      </c>
      <c r="J57" s="58"/>
      <c r="L57"/>
      <c r="M57" s="102">
        <f>N57</f>
        <v>37.365034078463957</v>
      </c>
      <c r="N57" s="101">
        <f>D51+J51+O31+O43+(D31+D43)*'COVERAGE FACTORS'!E44+(J31+J43)*(1-('COVERAGE FACTORS'!E40+'COVERAGE FACTORS'!E42))</f>
        <v>37.365034078463957</v>
      </c>
      <c r="P57" s="20"/>
      <c r="Q57" s="109"/>
      <c r="S57" s="20"/>
      <c r="U57" s="20"/>
      <c r="Y57"/>
      <c r="Z57"/>
      <c r="AA57"/>
      <c r="AB57"/>
      <c r="AC57"/>
      <c r="AD57"/>
    </row>
    <row r="58" spans="1:30" ht="13" x14ac:dyDescent="0.3">
      <c r="A58" s="114"/>
      <c r="C58" s="98"/>
      <c r="D58" s="196">
        <f>(SUM(C53:C57)-D51)*'PIECE DENSITIES'!E8</f>
        <v>76.460254715361216</v>
      </c>
      <c r="E58" s="24" t="s">
        <v>124</v>
      </c>
      <c r="G58" s="114"/>
      <c r="I58" s="99"/>
      <c r="J58" s="201">
        <f>(SUM(I53:I57)-J51)*'PIECE DENSITIES'!E13</f>
        <v>0</v>
      </c>
      <c r="K58" s="24" t="s">
        <v>125</v>
      </c>
      <c r="L58"/>
      <c r="M58" s="20"/>
      <c r="O58" s="96">
        <f>SUM(N53:N57)*'PIECE DENSITIES'!E18</f>
        <v>10.537952465628576</v>
      </c>
      <c r="P58" s="24" t="s">
        <v>126</v>
      </c>
      <c r="Q58" s="109"/>
      <c r="S58" s="20"/>
      <c r="U58" s="20"/>
      <c r="Y58"/>
      <c r="Z58"/>
      <c r="AA58"/>
      <c r="AB58"/>
      <c r="AC58"/>
      <c r="AD58"/>
    </row>
    <row r="59" spans="1:30" ht="13" x14ac:dyDescent="0.3">
      <c r="A59" s="114"/>
      <c r="C59" s="98"/>
      <c r="D59" s="196">
        <f>(SUM(C53:C57)-D51)*'PIECE DENSITIES'!F8</f>
        <v>24.823944378483688</v>
      </c>
      <c r="E59" s="24" t="s">
        <v>127</v>
      </c>
      <c r="G59" s="114"/>
      <c r="I59" s="99"/>
      <c r="J59" s="201">
        <f>(SUM(I53:I57)-J51)*'PIECE DENSITIES'!F13</f>
        <v>0</v>
      </c>
      <c r="K59" s="24" t="s">
        <v>128</v>
      </c>
      <c r="L59"/>
      <c r="M59" s="20"/>
      <c r="O59" s="96">
        <f>SUM(N53:N57)*'PIECE DENSITIES'!F18</f>
        <v>1.6539526811174121</v>
      </c>
      <c r="P59" s="24" t="s">
        <v>129</v>
      </c>
      <c r="Q59" s="109"/>
      <c r="S59" s="20"/>
      <c r="U59" s="20"/>
      <c r="Y59"/>
      <c r="Z59"/>
      <c r="AA59"/>
      <c r="AB59"/>
      <c r="AC59"/>
      <c r="AD59"/>
    </row>
    <row r="60" spans="1:30" ht="13" x14ac:dyDescent="0.3">
      <c r="A60" s="114"/>
      <c r="C60" s="89"/>
      <c r="D60" s="197">
        <f>(SUM(C53:C57)-D51)*'PIECE DENSITIES'!G8</f>
        <v>283.05262373302094</v>
      </c>
      <c r="E60" s="24" t="s">
        <v>130</v>
      </c>
      <c r="G60" s="114"/>
      <c r="I60" s="94"/>
      <c r="J60" s="202">
        <f>(SUM(I53:I57)-J51)*'PIECE DENSITIES'!G13</f>
        <v>0</v>
      </c>
      <c r="K60" s="24" t="s">
        <v>288</v>
      </c>
      <c r="L60"/>
      <c r="M60" s="20"/>
      <c r="N60" s="46"/>
      <c r="O60" s="97">
        <f>SUM(N53:N57)*'PIECE DENSITIES'!G18</f>
        <v>27.684724675887729</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560.29102355051123</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2288.2334200841669</v>
      </c>
      <c r="B65" s="86">
        <f>C65*(1+'ACCEPT RATES'!F17+'PIECE DENSITIES'!E9)</f>
        <v>8677.9304779201138</v>
      </c>
      <c r="C65" s="85">
        <f>G14*('COVERAGE FACTORS'!E38+'COVERAGE FACTORS'!E42)</f>
        <v>8170.7782786724683</v>
      </c>
      <c r="G65" s="194">
        <f>H65*(1-'ACCEPT RATES'!D22)</f>
        <v>0</v>
      </c>
      <c r="H65" s="86">
        <f>I65*(1+'PIECE DENSITIES'!E14)</f>
        <v>0</v>
      </c>
      <c r="I65" s="85">
        <f>G14*'COVERAGE FACTORS'!E40</f>
        <v>0</v>
      </c>
      <c r="J65" s="58"/>
      <c r="L65"/>
      <c r="M65" s="86">
        <f>N65</f>
        <v>49.083534276157984</v>
      </c>
      <c r="N65" s="85">
        <f>G14*'COVERAGE FACTORS'!E44</f>
        <v>49.083534276157984</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5.0489581297648085</v>
      </c>
      <c r="B68" s="211">
        <f>C68*(1+'ACCEPT RATES'!F17+'PIECE DENSITIES'!E9)</f>
        <v>82.365192494575197</v>
      </c>
      <c r="C68" s="212">
        <f>(D32+D44+D58)*('COVERAGE FACTORS'!E38+'COVERAGE FACTORS'!E42)</f>
        <v>77.551638315803856</v>
      </c>
      <c r="G68" s="205">
        <f>IF(SUM(C11:C16)&gt;0, H68*(1-'ACCEPT RATES'!C22),H68*(1-'ACCEPT RATES'!D22))</f>
        <v>0</v>
      </c>
      <c r="H68" s="204">
        <f>I68*(1+'PIECE DENSITIES'!E14)</f>
        <v>0</v>
      </c>
      <c r="I68" s="203">
        <f>(D32+D44+D58)*'COVERAGE FACTORS'!E40+(J32+J44+J58)*('COVERAGE FACTORS'!E40+'COVERAGE FACTORS'!E42)</f>
        <v>0</v>
      </c>
      <c r="J68" s="58"/>
      <c r="L68"/>
      <c r="M68" s="102">
        <f>N68</f>
        <v>571.38933100387101</v>
      </c>
      <c r="N68" s="101">
        <f>D62+J62+O32+O44+O58+(D32+D44+D58)*'COVERAGE FACTORS'!E44+(J32+J44+J58)*(1-('COVERAGE FACTORS'!E40+'COVERAGE FACTORS'!E42))</f>
        <v>571.38933100387101</v>
      </c>
      <c r="P68" s="20"/>
      <c r="Q68" s="109"/>
      <c r="S68" s="20"/>
      <c r="U68" s="20"/>
      <c r="Y68"/>
      <c r="Z68"/>
      <c r="AA68"/>
      <c r="AB68"/>
      <c r="AC68"/>
      <c r="AD68"/>
    </row>
    <row r="69" spans="1:30" ht="13" x14ac:dyDescent="0.3">
      <c r="A69" s="114"/>
      <c r="C69" s="98"/>
      <c r="D69" s="196">
        <f>(SUM(C64:C68)-D62)*'PIECE DENSITIES'!F9</f>
        <v>171.99658526443741</v>
      </c>
      <c r="E69" s="24" t="s">
        <v>127</v>
      </c>
      <c r="G69" s="114"/>
      <c r="I69" s="99"/>
      <c r="J69" s="201">
        <f>(SUM(I64:I68)-J62)*'PIECE DENSITIES'!F14</f>
        <v>0</v>
      </c>
      <c r="K69" s="24" t="s">
        <v>128</v>
      </c>
      <c r="L69"/>
      <c r="M69" s="20"/>
      <c r="O69" s="96">
        <f>SUM(N64:N68)*'PIECE DENSITIES'!F19</f>
        <v>16.050285379850227</v>
      </c>
      <c r="P69" s="24" t="s">
        <v>129</v>
      </c>
      <c r="Q69" s="109"/>
      <c r="S69" s="20"/>
      <c r="U69" s="20"/>
      <c r="Y69"/>
      <c r="Z69"/>
      <c r="AA69"/>
      <c r="AB69"/>
      <c r="AC69"/>
      <c r="AD69"/>
    </row>
    <row r="70" spans="1:30" ht="13" x14ac:dyDescent="0.3">
      <c r="A70" s="114"/>
      <c r="C70" s="98"/>
      <c r="D70" s="196">
        <f>(SUM(C64:C68)-D62)*'PIECE DENSITIES'!G9</f>
        <v>7516.0423081733234</v>
      </c>
      <c r="E70" s="24" t="s">
        <v>130</v>
      </c>
      <c r="G70" s="114"/>
      <c r="I70" s="99"/>
      <c r="J70" s="201">
        <f>(SUM(I64:I68)-J62)*'PIECE DENSITIES'!G14</f>
        <v>0</v>
      </c>
      <c r="K70" s="24" t="s">
        <v>288</v>
      </c>
      <c r="L70"/>
      <c r="M70" s="20"/>
      <c r="O70" s="96">
        <f>SUM(N64:N68)*'PIECE DENSITIES'!G19</f>
        <v>604.42257990017868</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9.7969345364169786</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12.13446118906125</v>
      </c>
      <c r="B78" s="211">
        <f>C78*(1+'ACCEPT RATES'!F17)</f>
        <v>197.95316300266856</v>
      </c>
      <c r="C78" s="212">
        <f>(D33+D45+D59+D69)*('COVERAGE FACTORS'!E38+'COVERAGE FACTORS'!E42)</f>
        <v>196.04615236731203</v>
      </c>
      <c r="G78" s="205">
        <f>IF(SUM(C11:C16)&gt;0,H78*(1-'ACCEPT RATES'!C22),H78*(1-'ACCEPT RATES'!D22))</f>
        <v>0</v>
      </c>
      <c r="H78" s="204">
        <f>I78</f>
        <v>0</v>
      </c>
      <c r="I78" s="203">
        <f>(D33+D45+D59+D69)*'COVERAGE FACTORS'!E40+(J33+J45+J59+J69)*('COVERAGE FACTORS'!E40+'COVERAGE FACTORS'!E42)</f>
        <v>0</v>
      </c>
      <c r="J78" s="58"/>
      <c r="L78"/>
      <c r="M78" s="102">
        <f>N78</f>
        <v>28.708090211657119</v>
      </c>
      <c r="N78" s="294">
        <f>D72+J72+O33+O45+O59+O69+(D33+D45+D59+D69)*'COVERAGE FACTORS'!E44+(J33+J45+J59+J69)*(1-('COVERAGE FACTORS'!E40+'COVERAGE FACTORS'!E42))+D106</f>
        <v>28.708090211657119</v>
      </c>
      <c r="P78" s="20"/>
      <c r="Q78" s="109"/>
      <c r="S78" s="20"/>
      <c r="U78" s="20"/>
      <c r="Y78"/>
      <c r="Z78"/>
      <c r="AA78"/>
      <c r="AB78"/>
      <c r="AC78"/>
      <c r="AD78"/>
    </row>
    <row r="79" spans="1:30" ht="13" x14ac:dyDescent="0.3">
      <c r="A79" s="114"/>
      <c r="C79" s="98"/>
      <c r="D79" s="196">
        <f>SUM(C74:C78)-D72</f>
        <v>186.24921783089505</v>
      </c>
      <c r="E79" s="24" t="s">
        <v>130</v>
      </c>
      <c r="G79" s="114"/>
      <c r="I79" s="99"/>
      <c r="J79" s="201">
        <f>SUM(I74:I78)-J72</f>
        <v>0</v>
      </c>
      <c r="K79" s="24" t="s">
        <v>288</v>
      </c>
      <c r="L79"/>
      <c r="M79" s="20"/>
      <c r="O79" s="96">
        <f>SUM(N74:N78)</f>
        <v>28.708090211657119</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466.60256408437994</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358.2832299320786</v>
      </c>
      <c r="B84" s="86">
        <f>C84*(1+'ACCEPT RATES'!F17)</f>
        <v>1358.7586534947482</v>
      </c>
      <c r="C84" s="85">
        <f>G16*(1-'COVERAGE FACTORS'!E56-'COVERAGE FACTORS'!E60)</f>
        <v>1345.6688540503096</v>
      </c>
      <c r="G84" s="194">
        <v>0</v>
      </c>
      <c r="H84" s="86">
        <f>I84</f>
        <v>0</v>
      </c>
      <c r="I84" s="85">
        <f>G16*'COVERAGE FACTORS'!E56</f>
        <v>0</v>
      </c>
      <c r="J84" s="58"/>
      <c r="L84"/>
      <c r="M84" s="86">
        <f>N84</f>
        <v>8.0837077043862795</v>
      </c>
      <c r="N84" s="85">
        <f>G16*'COVERAGE FACTORS'!E60</f>
        <v>8.0837077043862795</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470.06333602178609</v>
      </c>
      <c r="B87" s="211">
        <f>C87*(1+'ACCEPT RATES'!F17)</f>
        <v>7668.2864387073278</v>
      </c>
      <c r="C87" s="212">
        <f>(D34+D46+D60+D70+D79)*(1-'COVERAGE FACTORS'!E56-'COVERAGE FACTORS'!E60)*'COVERAGE FACTORS'!E104</f>
        <v>7594.4128841161446</v>
      </c>
      <c r="G87" s="205">
        <v>0</v>
      </c>
      <c r="H87" s="204">
        <f>I87</f>
        <v>0</v>
      </c>
      <c r="I87" s="203">
        <f>(D34+D46+D60+D70+D79)*'COVERAGE FACTORS'!E56*'COVERAGE FACTORS'!E104+(J34+J46+J60+J70+J79)*('COVERAGE FACTORS'!E56+'COVERAGE FACTORS'!E58)*'COVERAGE FACTORS'!E104</f>
        <v>0</v>
      </c>
      <c r="J87" s="213"/>
      <c r="L87"/>
      <c r="M87" s="102">
        <f>N87</f>
        <v>1518.4371182135433</v>
      </c>
      <c r="N87" s="294">
        <f>D81+J81+(O34+O46+O60+O70+O79)+(D34+D46+D60+D70+D79)*'COVERAGE FACTORS'!E106+(J34+J46+J60+J70+J79)*(1-('COVERAGE FACTORS'!E56+'COVERAGE FACTORS'!E58)*'COVERAGE FACTORS'!E104)+D120</f>
        <v>1518.4371182135433</v>
      </c>
      <c r="P87" s="20"/>
      <c r="Q87" s="109"/>
      <c r="S87" s="20"/>
      <c r="U87" s="20"/>
      <c r="Y87"/>
      <c r="Z87"/>
      <c r="AA87"/>
      <c r="AB87"/>
      <c r="AC87"/>
      <c r="AD87"/>
    </row>
    <row r="88" spans="1:30" ht="13" x14ac:dyDescent="0.3">
      <c r="A88" s="114"/>
      <c r="C88" s="98"/>
      <c r="D88" s="103">
        <f>SUM(C83:C87)-D81</f>
        <v>8473.4791740820747</v>
      </c>
      <c r="E88" s="24"/>
      <c r="G88" s="218"/>
      <c r="H88" s="214"/>
      <c r="I88" s="214"/>
      <c r="J88" s="215">
        <f>SUM(I83:I87)-J81</f>
        <v>0</v>
      </c>
      <c r="K88" s="24"/>
      <c r="L88"/>
      <c r="M88" s="20"/>
      <c r="O88" s="216">
        <f>SUM(N83:N87)</f>
        <v>1526.5208259179296</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SUM(A95:A99)*(1-'ACCEPT RATES'!G24)+SUM(B95:B99)*'ACCEPT RATES'!J24</f>
        <v>0</v>
      </c>
      <c r="E93" s="282">
        <f>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B99*(1-'ACCEPT RATES'!C24)</f>
        <v>0</v>
      </c>
      <c r="B99" s="244">
        <f>C99*(1+'ACCEPT RATES'!F17)</f>
        <v>0</v>
      </c>
      <c r="C99" s="287">
        <v>0</v>
      </c>
    </row>
    <row r="100" spans="1:11" x14ac:dyDescent="0.25">
      <c r="D100" s="242">
        <f>SUM(C95:C99)-D93-E93</f>
        <v>0</v>
      </c>
    </row>
    <row r="101" spans="1:11" ht="13" x14ac:dyDescent="0.3">
      <c r="D101" s="23" t="s">
        <v>369</v>
      </c>
    </row>
    <row r="105" spans="1:11" ht="13" x14ac:dyDescent="0.3">
      <c r="D105" s="23"/>
    </row>
    <row r="106" spans="1:11" ht="13" x14ac:dyDescent="0.3">
      <c r="A106" s="114"/>
      <c r="D106" s="285">
        <f>A112*(1-'ACCEPT RATES'!G17)+B112*('ACCEPT RATES'!I17+'ACCEPT RATES'!J17)</f>
        <v>0</v>
      </c>
      <c r="E106" s="24" t="s">
        <v>114</v>
      </c>
      <c r="G106" s="482" t="s">
        <v>527</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B112*(1-'ACCEPT RATES'!$C$17)</f>
        <v>0</v>
      </c>
      <c r="B112" s="289">
        <f>C112*(1+'ACCEPT RATES'!$F$17)</f>
        <v>0</v>
      </c>
      <c r="C112" s="290">
        <f>E93</f>
        <v>0</v>
      </c>
      <c r="G112" s="482"/>
      <c r="H112" s="482"/>
      <c r="I112" s="482"/>
      <c r="J112" s="482"/>
      <c r="K112" s="482"/>
    </row>
    <row r="113" spans="1:11" ht="13" x14ac:dyDescent="0.3">
      <c r="A113" s="114"/>
      <c r="C113" s="120"/>
      <c r="D113" s="293">
        <f>($C$112-$D$106)*(1-'COVERAGE FACTORS'!$E$80)</f>
        <v>0</v>
      </c>
      <c r="E113" s="24" t="s">
        <v>130</v>
      </c>
      <c r="G113" s="482"/>
      <c r="H113" s="482"/>
      <c r="I113" s="482"/>
      <c r="J113" s="482"/>
      <c r="K113" s="482"/>
    </row>
    <row r="114" spans="1:11" ht="13" x14ac:dyDescent="0.3">
      <c r="A114" s="114"/>
      <c r="C114" s="120"/>
      <c r="D114" s="293">
        <f>($C$112-$D$106)*'COVERAGE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B126*(1-'ACCEPT RATES'!$C$17)</f>
        <v>0</v>
      </c>
      <c r="B126" s="289">
        <f>C126*(1+'ACCEPT RATES'!$F$17)</f>
        <v>0</v>
      </c>
      <c r="C126" s="290">
        <f>$D$93+$D$113</f>
        <v>0</v>
      </c>
    </row>
    <row r="127" spans="1:11" ht="13" x14ac:dyDescent="0.3">
      <c r="A127" s="122"/>
      <c r="C127" s="120"/>
      <c r="D127" s="292">
        <f>C126-D120</f>
        <v>0</v>
      </c>
      <c r="E127" s="24"/>
    </row>
    <row r="128" spans="1:11" ht="13" x14ac:dyDescent="0.3">
      <c r="A128" s="122"/>
      <c r="D128" s="23" t="s">
        <v>142</v>
      </c>
      <c r="E128" s="24"/>
    </row>
  </sheetData>
  <mergeCells count="2">
    <mergeCell ref="D91:E91"/>
    <mergeCell ref="G106:K113"/>
  </mergeCells>
  <pageMargins left="0.7" right="0.7" top="0.75" bottom="0.75" header="0.3" footer="0.3"/>
  <pageSetup orientation="portrait" horizontalDpi="300" r:id="rId1"/>
  <drawing r:id="rId2"/>
</worksheet>
</file>

<file path=xl/worksheets/sheet1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pageSetUpPr fitToPage="1"/>
  </sheetPr>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341</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'BUNDLE SORT'!$I$40*('COVERAGE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C11*$J11/'5D NONAUTO MODEL'!$G$6</f>
        <v>0</v>
      </c>
    </row>
    <row r="12" spans="1:11" ht="13" x14ac:dyDescent="0.3">
      <c r="A12" s="36"/>
      <c r="B12" t="s">
        <v>529</v>
      </c>
      <c r="C12" s="151">
        <f>'BUNDLE SORT'!$I$40*('COVERAGE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C12*$J12/'5D NONAUTO MODEL'!$G$6</f>
        <v>0</v>
      </c>
    </row>
    <row r="13" spans="1:11" ht="13" x14ac:dyDescent="0.3">
      <c r="A13" s="36"/>
      <c r="B13" t="s">
        <v>70</v>
      </c>
      <c r="C13" s="151">
        <f>'BUNDLE SORT'!$J$40</f>
        <v>20.793301332962844</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C13*$J13/'5D NONAUTO MODEL'!$G$6</f>
        <v>4.2174877987838949E-2</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'BUNDLE SORT'!$M$40*('COVERAGE FACTORS'!$E$30/('COVERAGE FACTORS'!$E$30+'COVERAGE FACTORS'!$E$32))</f>
        <v>19.069018389981395</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C16*$J16/'5D NONAUTO MODEL'!$G$6</f>
        <v>7.2015017071501902E-2</v>
      </c>
    </row>
    <row r="17" spans="1:11" ht="13" x14ac:dyDescent="0.3">
      <c r="A17" s="1"/>
      <c r="B17" t="s">
        <v>529</v>
      </c>
      <c r="C17" s="151">
        <f>'BUNDLE SORT'!$M$40*('COVERAGE FACTORS'!$E$32/('COVERAGE FACTORS'!$E$30+'COVERAGE FACTORS'!$E$32))</f>
        <v>23.051335442984961</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C17*$J17/'5D NONAUTO MODEL'!$G$6</f>
        <v>0.10069395299333896</v>
      </c>
    </row>
    <row r="18" spans="1:11" ht="13" x14ac:dyDescent="0.3">
      <c r="A18" s="1"/>
      <c r="B18" t="s">
        <v>70</v>
      </c>
      <c r="C18" s="151">
        <f>'BUNDLE SORT'!$N$40</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C18*$J18/'5D NONAUTO MODEL'!$G$6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'BUNDLE SORT'!$Q$40*('COVERAGE FACTORS'!$E$30/('COVERAGE FACTORS'!$E$30+'COVERAGE FACTORS'!$E$32))</f>
        <v>131.77072527506095</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C21*$J21/'5D NONAUTO MODEL'!$G$6</f>
        <v>0.49763814980604049</v>
      </c>
    </row>
    <row r="22" spans="1:11" ht="13" x14ac:dyDescent="0.3">
      <c r="A22" s="1"/>
      <c r="B22" t="s">
        <v>529</v>
      </c>
      <c r="C22" s="151">
        <f>'BUNDLE SORT'!$Q$40*('COVERAGE FACTORS'!$E$32/('COVERAGE FACTORS'!$E$30+'COVERAGE FACTORS'!$E$32))</f>
        <v>159.28933140453123</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C22*$J22/'5D NONAUTO MODEL'!$G$6</f>
        <v>0.69581532438587756</v>
      </c>
    </row>
    <row r="23" spans="1:11" ht="13" x14ac:dyDescent="0.3">
      <c r="A23" s="1"/>
      <c r="B23" t="s">
        <v>70</v>
      </c>
      <c r="C23" s="151">
        <f>'BUNDLE SORT'!$R$40</f>
        <v>8.393840641685987</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C23*$J23/'5D NONAUTO MODEL'!$G$6</f>
        <v>1.7025156286812074E-2</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'BUNDLE SORT'!$U$40*('COVERAGE FACTORS'!$E$30/('COVERAGE FACTORS'!$E$30+'COVERAGE FACTORS'!$E$32))</f>
        <v>4.6474950372757583E-2</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C26*$J26/'5D NONAUTO MODEL'!$G$6</f>
        <v>1.7551476830342532E-4</v>
      </c>
    </row>
    <row r="27" spans="1:11" ht="13" x14ac:dyDescent="0.3">
      <c r="A27" s="1"/>
      <c r="B27" t="s">
        <v>529</v>
      </c>
      <c r="C27" s="151">
        <f>'BUNDLE SORT'!$U$40*('COVERAGE FACTORS'!$E$32/('COVERAGE FACTORS'!$E$30+'COVERAGE FACTORS'!$E$32))</f>
        <v>5.6180640703632947E-2</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C27*$J27/'5D NONAUTO MODEL'!$G$6</f>
        <v>2.4541097881896679E-4</v>
      </c>
    </row>
    <row r="28" spans="1:11" ht="13" x14ac:dyDescent="0.3">
      <c r="A28" s="1"/>
      <c r="B28" t="s">
        <v>70</v>
      </c>
      <c r="C28" s="151">
        <f>'BUNDLE SORT'!$V$40</f>
        <v>12.53402383310215</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C28*$J28/'5D NONAUTO MODEL'!$G$6</f>
        <v>3.5408233096947947E-2</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SUM('5D NONAUTO MODEL'!$B$25:$B$29)</f>
        <v>6.172920074343625</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C31*$J31/'5D NONAUTO MODEL'!$G$6</f>
        <v>3.1584835942562823E-3</v>
      </c>
    </row>
    <row r="32" spans="1:11" ht="13" x14ac:dyDescent="0.3">
      <c r="A32" s="36"/>
      <c r="B32" t="s">
        <v>244</v>
      </c>
      <c r="C32" s="2">
        <f>SUM('5D NONAUTO MODEL'!$A$25:$A$29)</f>
        <v>1.627701679514602</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C32*$J32/'5D NONAUTO MODEL'!$G$6</f>
        <v>1.2273994145729379E-3</v>
      </c>
    </row>
    <row r="33" spans="1:11" ht="13" x14ac:dyDescent="0.3">
      <c r="A33" s="36"/>
      <c r="B33" t="s">
        <v>291</v>
      </c>
      <c r="C33" s="2">
        <f>SUM('5D NONAUTO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C33*$J33/'5D NONAUTO MODEL'!$G$6</f>
        <v>0</v>
      </c>
    </row>
    <row r="34" spans="1:11" x14ac:dyDescent="0.25">
      <c r="B34" t="s">
        <v>292</v>
      </c>
      <c r="C34" s="2">
        <f>SUM('5D NONAUTO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C34*$J34/'5D NONAUTO MODEL'!$G$6</f>
        <v>0</v>
      </c>
    </row>
    <row r="35" spans="1:11" x14ac:dyDescent="0.25">
      <c r="B35" t="s">
        <v>70</v>
      </c>
      <c r="C35" s="2">
        <f>SUM('5D NONAUTO MODEL'!$M$25:$M$29)</f>
        <v>0.38915390654606563</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C35*$J35/'5D NONAUTO MODEL'!$G$6</f>
        <v>4.2047165601254209E-4</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SUM('5D NONAUTO MODEL'!$B$38:$B$42)</f>
        <v>0.74969620811547244</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C38*$J38/'5D NONAUTO MODEL'!$G$6</f>
        <v>2.6599437169455201E-4</v>
      </c>
    </row>
    <row r="39" spans="1:11" ht="13" x14ac:dyDescent="0.3">
      <c r="A39" s="36"/>
      <c r="B39" t="s">
        <v>244</v>
      </c>
      <c r="C39" s="2">
        <f>SUM('5D NONAUTO MODEL'!$A$38:$A$42)</f>
        <v>4.5956121149935601E-2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C39*$J39/'5D NONAUTO MODEL'!$G$6</f>
        <v>3.4654087358498633E-5</v>
      </c>
    </row>
    <row r="40" spans="1:11" x14ac:dyDescent="0.25">
      <c r="B40" t="s">
        <v>291</v>
      </c>
      <c r="C40" s="2">
        <f>SUM('5D NONAUTO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C40*$J40/'5D NONAUTO MODEL'!$G$6</f>
        <v>0</v>
      </c>
    </row>
    <row r="41" spans="1:11" x14ac:dyDescent="0.25">
      <c r="B41" t="s">
        <v>292</v>
      </c>
      <c r="C41" s="2">
        <f>SUM('5D NONAUTO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C41*$J41/'5D NONAUTO MODEL'!$G$6</f>
        <v>0</v>
      </c>
    </row>
    <row r="42" spans="1:11" x14ac:dyDescent="0.25">
      <c r="B42" t="s">
        <v>70</v>
      </c>
      <c r="C42" s="2">
        <f>SUM('5D NONAUTO MODEL'!$M$38:$M$42)</f>
        <v>0.10431186658841893</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C42*$J42/'5D NONAUTO MODEL'!$G$6</f>
        <v>1.4248824533646311E-4</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SUM('5D NONAUTO MODEL'!$B$53:$B$57)</f>
        <v>25.026257006289995</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C45*$J45/'5D NONAUTO MODEL'!$G$6</f>
        <v>1.2801477146818585E-2</v>
      </c>
    </row>
    <row r="46" spans="1:11" ht="13" x14ac:dyDescent="0.3">
      <c r="A46" s="36"/>
      <c r="B46" t="s">
        <v>244</v>
      </c>
      <c r="C46" s="2">
        <f>SUM('5D NONAUTO MODEL'!$A$53:$A$57)</f>
        <v>5.8852042950966474</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C46*$J46/'5D NONAUTO MODEL'!$G$6</f>
        <v>4.4378502506662578E-3</v>
      </c>
    </row>
    <row r="47" spans="1:11" x14ac:dyDescent="0.25">
      <c r="B47" t="s">
        <v>291</v>
      </c>
      <c r="C47" s="2">
        <f>SUM('5D NONAUTO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C47*$J47/'5D NONAUTO MODEL'!$G$6</f>
        <v>0</v>
      </c>
    </row>
    <row r="48" spans="1:11" x14ac:dyDescent="0.25">
      <c r="B48" t="s">
        <v>292</v>
      </c>
      <c r="C48" s="2">
        <f>SUM('5D NONAUTO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C48*$J48/'5D NONAUTO MODEL'!$G$6</f>
        <v>0</v>
      </c>
    </row>
    <row r="49" spans="1:11" x14ac:dyDescent="0.25">
      <c r="B49" t="s">
        <v>70</v>
      </c>
      <c r="C49" s="2">
        <f>SUM('5D NONAUTO MODEL'!$M$53:$M$57)</f>
        <v>2.5773277819669356</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C49*$J49/'5D NONAUTO MODEL'!$G$6</f>
        <v>2.492590023954602E-3</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SUM('5D NONAUTO MODEL'!$B$64:$B$68)</f>
        <v>86.838445802922209</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C52*$J52/'5D NONAUTO MODEL'!$G$6</f>
        <v>3.3696423946376522E-2</v>
      </c>
    </row>
    <row r="53" spans="1:11" ht="13" x14ac:dyDescent="0.3">
      <c r="A53" s="36"/>
      <c r="B53" t="s">
        <v>244</v>
      </c>
      <c r="C53" s="2">
        <f>SUM('5D NONAUTO MODEL'!$A$64:$A$68)</f>
        <v>21.584351275297799</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C53*$J53/'5D NONAUTO MODEL'!$G$6</f>
        <v>1.6276090669844086E-2</v>
      </c>
    </row>
    <row r="54" spans="1:11" x14ac:dyDescent="0.25">
      <c r="B54" t="s">
        <v>291</v>
      </c>
      <c r="C54" s="2">
        <f>SUM('5D NONAUTO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C54*$J54/'5D NONAUTO MODEL'!$G$6</f>
        <v>0</v>
      </c>
    </row>
    <row r="55" spans="1:11" x14ac:dyDescent="0.25">
      <c r="B55" t="s">
        <v>292</v>
      </c>
      <c r="C55" s="2">
        <f>SUM('5D NONAUTO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C55*$J55/'5D NONAUTO MODEL'!$G$6</f>
        <v>0</v>
      </c>
    </row>
    <row r="56" spans="1:11" x14ac:dyDescent="0.25">
      <c r="B56" t="s">
        <v>70</v>
      </c>
      <c r="C56" s="2">
        <f>SUM('5D NONAUTO MODEL'!$M$64:$M$68)</f>
        <v>6.7432856905350906</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C56*$J56/'5D NONAUTO MODEL'!$G$6</f>
        <v>7.523763865451308E-3</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 ca="1">SUM('5D NONAUTO MODEL'!$B$74:$B$78)+SUM('5D NONAUTO MODEL'!$B$108:$B$112)</f>
        <v>3.6080057366866054</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C59*$J59/'5D NONAUTO MODEL'!$G$6</f>
        <v>2.5979971755770467E-3</v>
      </c>
    </row>
    <row r="60" spans="1:11" ht="13" x14ac:dyDescent="0.3">
      <c r="A60" s="36"/>
      <c r="B60" t="s">
        <v>244</v>
      </c>
      <c r="C60" s="2">
        <f ca="1">SUM('5D NONAUTO MODEL'!$A$74:$A$78)+SUM('5D NONAUTO MODEL'!$A$108:$A$112)</f>
        <v>0.22116951766587206</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C60*$J60/'5D NONAUTO MODEL'!$G$6</f>
        <v>1.6677708201752526E-4</v>
      </c>
    </row>
    <row r="61" spans="1:11" x14ac:dyDescent="0.25">
      <c r="B61" t="s">
        <v>291</v>
      </c>
      <c r="C61" s="2">
        <f>SUM('5D NONAUTO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C61*$J61/'5D NONAUTO MODEL'!$G$6</f>
        <v>0</v>
      </c>
    </row>
    <row r="62" spans="1:11" x14ac:dyDescent="0.25">
      <c r="B62" t="s">
        <v>292</v>
      </c>
      <c r="C62" s="2">
        <f>SUM('5D NONAUTO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C62*$J62/'5D NONAUTO MODEL'!$G$6</f>
        <v>0</v>
      </c>
    </row>
    <row r="63" spans="1:11" x14ac:dyDescent="0.25">
      <c r="B63" t="s">
        <v>70</v>
      </c>
      <c r="C63" s="2">
        <f ca="1">SUM('5D NONAUTO MODEL'!$M$74:$M$78)</f>
        <v>0.51225727682976818</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C63*$J63/'5D NONAUTO MODEL'!$G$6</f>
        <v>4.5566843117967633E-4</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 ca="1">SUM('5D NONAUTO MODEL'!$B$83:$B$87)+SUM('5D NONAUTO MODEL'!$B$122:$B$126)</f>
        <v>9594.3315813710014</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C66*$J66/'5D NONAUTO MODEL'!$G$6</f>
        <v>4.1542726913522072</v>
      </c>
    </row>
    <row r="67" spans="1:11" ht="13" x14ac:dyDescent="0.3">
      <c r="A67" s="36"/>
      <c r="B67" t="s">
        <v>244</v>
      </c>
      <c r="C67" s="2">
        <f ca="1">SUM('5D NONAUTO MODEL'!$A$83:$A$87)+SUM('5D NONAUTO MODEL'!$A$122:$A$126)</f>
        <v>2511.467140562801</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C67*$J67/'5D NONAUTO MODEL'!$G$6</f>
        <v>1.8938195720024131</v>
      </c>
    </row>
    <row r="68" spans="1:11" x14ac:dyDescent="0.25">
      <c r="B68" t="s">
        <v>291</v>
      </c>
      <c r="C68" s="2">
        <f>SUM('5D NONAUTO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C68*$J68/'5D NONAUTO MODEL'!$G$6</f>
        <v>0</v>
      </c>
    </row>
    <row r="69" spans="1:11" x14ac:dyDescent="0.25">
      <c r="B69" t="s">
        <v>292</v>
      </c>
      <c r="C69" s="2">
        <f>SUM('5D NONAUTO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C69*$J69/'5D NONAUTO MODEL'!$G$6</f>
        <v>0</v>
      </c>
    </row>
    <row r="70" spans="1:11" x14ac:dyDescent="0.25">
      <c r="B70" t="s">
        <v>70</v>
      </c>
      <c r="C70" s="2">
        <f ca="1">SUM('5D NONAUTO MODEL'!$M$83:$M$87)</f>
        <v>1111.7202582129532</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C70*$J70/'5D NONAUTO MODEL'!$G$6</f>
        <v>1.1023237890351834</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 ca="1">SUM('5D NONAUTO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C74*$J74/'5D NONAUTO MODEL'!$G$6</f>
        <v>0</v>
      </c>
    </row>
    <row r="76" spans="1:11" x14ac:dyDescent="0.25">
      <c r="B76" s="155" t="s">
        <v>486</v>
      </c>
      <c r="C76" s="2">
        <f>SUM('5D NONAUTO MODEL'!C84,'5D NONAUTO MODEL'!I84)</f>
        <v>9411.8297500381868</v>
      </c>
      <c r="D76" s="2">
        <f>PRODUCTIVITIES!$C$49*'FY VOLUME NONAUTO'!C64</f>
        <v>2715.1276544410266</v>
      </c>
      <c r="E76" s="38">
        <f>'WAGE RATES'!$C$6</f>
        <v>50.10717457546064</v>
      </c>
      <c r="F76" s="42">
        <f t="shared" ref="F76:F77" si="0">E76*100/D76</f>
        <v>1.845481353095952</v>
      </c>
      <c r="G76" s="42">
        <f>PIGGYBACKS!$B$13</f>
        <v>1.6305774272183733</v>
      </c>
      <c r="H76" s="42">
        <f>'WAGE RATES'!$C$9</f>
        <v>0.9752031228402912</v>
      </c>
      <c r="I76" s="42">
        <f t="shared" ref="I76:I77" si="1">(H76-1)*F76</f>
        <v>-4.5762174413253497E-2</v>
      </c>
      <c r="J76" s="42">
        <f t="shared" ref="J76:J77" si="2">F76*G76+I76</f>
        <v>2.9634380622974263</v>
      </c>
      <c r="K76" s="42">
        <f ca="1">C76*$J76/'5D AUTO MODEL'!$G$6</f>
        <v>2.7891374517126435</v>
      </c>
    </row>
    <row r="77" spans="1:11" x14ac:dyDescent="0.25">
      <c r="B77" s="155" t="s">
        <v>491</v>
      </c>
      <c r="C77" s="2">
        <f ca="1">SUM(C31,C33,C34,C38,C40,C41,C45,C47,C48,C52,C54,C55,C59,C61,C62,C66,C68,C69)-C76</f>
        <v>304.89715616117246</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0.11639783505356534</v>
      </c>
    </row>
    <row r="78" spans="1:11" ht="13.5" thickBot="1" x14ac:dyDescent="0.35">
      <c r="F78" s="42"/>
      <c r="H78" s="42"/>
      <c r="I78" s="42"/>
      <c r="J78" s="42"/>
      <c r="K78" s="41" t="str">
        <f>"(10)"</f>
        <v>(10)</v>
      </c>
    </row>
    <row r="79" spans="1:11" ht="13.5" thickBot="1" x14ac:dyDescent="0.35">
      <c r="F79" s="42"/>
      <c r="H79" s="42"/>
      <c r="I79" s="42"/>
      <c r="J79" s="142" t="s">
        <v>78</v>
      </c>
      <c r="K79" s="143">
        <f ca="1">SUM(K11:K77)</f>
        <v>11.602841106492608</v>
      </c>
    </row>
    <row r="80" spans="1:11" ht="13.5" thickBot="1" x14ac:dyDescent="0.35">
      <c r="J80" s="142" t="s">
        <v>485</v>
      </c>
      <c r="K80" s="143">
        <f ca="1">SUM(K31,K33,K34,K38,K40,K41,K45,K47,K48,K52,K54,K55,K59,K61,K62,K66,K68,K69,K76,K77)</f>
        <v>7.1123283543531386</v>
      </c>
    </row>
    <row r="83" spans="1:8" ht="13" x14ac:dyDescent="0.3">
      <c r="A83" s="145" t="str">
        <f>"(1)"</f>
        <v>(1)</v>
      </c>
      <c r="B83" s="1" t="s">
        <v>405</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10</oddFooter>
  </headerFooter>
  <ignoredErrors>
    <ignoredError sqref="E4" numberStoredAsText="1"/>
  </ignoredErrors>
</worksheet>
</file>

<file path=xl/worksheets/sheet2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6" width="10.7265625" style="20" customWidth="1"/>
    <col min="7" max="7" width="13.453125"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'5D NONAUTO COST'!A1</f>
        <v>5-DIGIT NONAUTO PRESORT</v>
      </c>
    </row>
    <row r="2" spans="1:30" ht="23" x14ac:dyDescent="0.5">
      <c r="A2" s="57" t="s">
        <v>84</v>
      </c>
    </row>
    <row r="6" spans="1:30" s="228" customFormat="1" ht="18" x14ac:dyDescent="0.4">
      <c r="A6" s="48" t="s">
        <v>85</v>
      </c>
      <c r="B6" s="226"/>
      <c r="C6" s="49">
        <f>SUM(C11:C16)+SUM(G11:G16)+SUM(K11:K16)+SUM(O11:O16)</f>
        <v>10000</v>
      </c>
      <c r="D6" s="227"/>
      <c r="E6" s="48" t="s">
        <v>86</v>
      </c>
      <c r="F6" s="226"/>
      <c r="G6" s="49">
        <f ca="1">D88+J88+O88+D100+D127</f>
        <v>10000.000000000002</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v>0</v>
      </c>
      <c r="D11" s="59"/>
      <c r="E11" s="28"/>
      <c r="F11" s="61" t="s">
        <v>89</v>
      </c>
      <c r="G11" s="62">
        <f>'ENTRY PROFILE'!K36</f>
        <v>6.1060194290040162</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v>0</v>
      </c>
      <c r="E13" s="18"/>
      <c r="F13" s="63" t="s">
        <v>97</v>
      </c>
      <c r="G13" s="64">
        <f>'ENTRY PROFILE'!O36+'ENTRY PROFILE'!O37</f>
        <v>21.396566397216478</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f>'ENTRY PROFILE'!S36+'ENTRY PROFILE'!S37+'ENTRY PROFILE'!S38</f>
        <v>76.106739544936858</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f>'ENTRY PROFILE'!L36+'ENTRY PROFILE'!P36+'ENTRY PROFILE'!P37+'ENTRY PROFILE'!T36+'ENTRY PROFILE'!T37+'ENTRY PROFILE'!T38+'ENTRY PROFILE'!W36+'ENTRY PROFILE'!W37+'ENTRY PROFILE'!W38+'ENTRY PROFILE'!X37+'ENTRY PROFILE'!X38+'ENTRY PROFILE'!W39+'ENTRY PROFILE'!X39+'ENTRY PROFILE'!X36</f>
        <v>9896.390674628843</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0.37859904162896468</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1.627701679514602</v>
      </c>
      <c r="B26" s="86">
        <f>C26*(1+'ACCEPT RATES'!F14)</f>
        <v>6.172920074343625</v>
      </c>
      <c r="C26" s="85">
        <f>G11*('COVERAGE FACTORS'!E14+'COVERAGE FACTORS'!E18)</f>
        <v>6.0954645640869165</v>
      </c>
      <c r="G26" s="194">
        <f>H26*(1-'ACCEPT RATES'!D19)</f>
        <v>0</v>
      </c>
      <c r="H26" s="86">
        <f>I26</f>
        <v>0</v>
      </c>
      <c r="I26" s="85">
        <f>G11*'COVERAGE FACTORS'!E16</f>
        <v>0</v>
      </c>
      <c r="J26" s="58"/>
      <c r="L26"/>
      <c r="M26" s="86">
        <f>N26</f>
        <v>1.0554864917100963E-2</v>
      </c>
      <c r="N26" s="85">
        <f>G11*'COVERAGE FACTORS'!E20</f>
        <v>1.0554864917100963E-2</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0.37859904162896468</v>
      </c>
      <c r="N29" s="206">
        <f>D23+J23</f>
        <v>0.37859904162896468</v>
      </c>
      <c r="P29" s="20"/>
      <c r="Q29" s="109"/>
      <c r="S29" s="20"/>
      <c r="U29" s="20"/>
      <c r="Y29"/>
      <c r="Z29"/>
      <c r="AA29"/>
      <c r="AB29"/>
      <c r="AC29"/>
      <c r="AD29"/>
    </row>
    <row r="30" spans="1:30" ht="13" x14ac:dyDescent="0.3">
      <c r="A30" s="114"/>
      <c r="C30" s="98"/>
      <c r="D30" s="196">
        <f>(SUM(C25:C29)-D23)*'PIECE DENSITIES'!C6</f>
        <v>0.73204606888542001</v>
      </c>
      <c r="E30" s="24" t="s">
        <v>290</v>
      </c>
      <c r="G30" s="114"/>
      <c r="I30" s="99"/>
      <c r="J30" s="201">
        <f>(SUM(I25:I29)-J23)*'PIECE DENSITIES'!C11</f>
        <v>0</v>
      </c>
      <c r="K30" s="24" t="s">
        <v>289</v>
      </c>
      <c r="L30"/>
      <c r="M30" s="20"/>
      <c r="O30" s="96">
        <f>SUM(N25:N29)*'PIECE DENSITIES'!C16</f>
        <v>3.4820608037727532E-2</v>
      </c>
      <c r="P30" s="24" t="s">
        <v>120</v>
      </c>
      <c r="Q30" s="109"/>
      <c r="S30" s="20"/>
      <c r="U30" s="20"/>
      <c r="Y30"/>
      <c r="Z30"/>
      <c r="AA30"/>
      <c r="AB30"/>
      <c r="AC30"/>
      <c r="AD30"/>
    </row>
    <row r="31" spans="1:30" ht="13" x14ac:dyDescent="0.3">
      <c r="A31" s="114"/>
      <c r="C31" s="98"/>
      <c r="D31" s="196">
        <f>(SUM(C25:C29)-D23)*'PIECE DENSITIES'!D6</f>
        <v>2.9631035969668575</v>
      </c>
      <c r="E31" s="24" t="s">
        <v>121</v>
      </c>
      <c r="G31" s="114"/>
      <c r="I31" s="99"/>
      <c r="J31" s="201">
        <f>(SUM(I25:I29)-J23)*'PIECE DENSITIES'!D11</f>
        <v>0</v>
      </c>
      <c r="K31" s="24" t="s">
        <v>122</v>
      </c>
      <c r="L31"/>
      <c r="M31" s="20"/>
      <c r="O31" s="96">
        <f>SUM(N25:N29)*'PIECE DENSITIES'!D16</f>
        <v>0.22596290364725832</v>
      </c>
      <c r="P31" s="24" t="s">
        <v>123</v>
      </c>
      <c r="Q31" s="109"/>
      <c r="S31" s="20"/>
      <c r="U31" s="20"/>
      <c r="Y31"/>
      <c r="Z31"/>
      <c r="AA31"/>
      <c r="AB31"/>
      <c r="AC31"/>
      <c r="AD31"/>
    </row>
    <row r="32" spans="1:30" ht="13" x14ac:dyDescent="0.3">
      <c r="A32" s="114"/>
      <c r="C32" s="89"/>
      <c r="D32" s="197">
        <f>(SUM(C25:C29)-D23)*'PIECE DENSITIES'!E6</f>
        <v>1.6002864377232049</v>
      </c>
      <c r="E32" s="24" t="s">
        <v>124</v>
      </c>
      <c r="G32" s="114"/>
      <c r="I32" s="94"/>
      <c r="J32" s="202">
        <f>(SUM(I25:I29)-J23)*'PIECE DENSITIES'!E11</f>
        <v>0</v>
      </c>
      <c r="K32" s="24" t="s">
        <v>125</v>
      </c>
      <c r="L32"/>
      <c r="M32" s="20"/>
      <c r="N32" s="46"/>
      <c r="O32" s="97">
        <f>SUM(N25:N29)*'PIECE DENSITIES'!E16</f>
        <v>9.9548319573621966E-2</v>
      </c>
      <c r="P32" s="24" t="s">
        <v>126</v>
      </c>
      <c r="Q32" s="109"/>
      <c r="S32" s="20"/>
      <c r="U32" s="20"/>
      <c r="Y32"/>
      <c r="Z32"/>
      <c r="AA32"/>
      <c r="AB32"/>
      <c r="AC32"/>
      <c r="AD32"/>
    </row>
    <row r="33" spans="1:30" ht="13" x14ac:dyDescent="0.3">
      <c r="A33" s="114"/>
      <c r="C33" s="89"/>
      <c r="D33" s="197">
        <f>(SUM(C25:C29)-D23)*'PIECE DENSITIES'!F6</f>
        <v>0.42142941888246976</v>
      </c>
      <c r="E33" s="24" t="s">
        <v>127</v>
      </c>
      <c r="G33" s="114"/>
      <c r="I33" s="94"/>
      <c r="J33" s="202">
        <f>(SUM(I25:I29)-J23)*'PIECE DENSITIES'!F11</f>
        <v>0</v>
      </c>
      <c r="K33" s="24" t="s">
        <v>128</v>
      </c>
      <c r="L33"/>
      <c r="M33" s="20"/>
      <c r="N33" s="46"/>
      <c r="O33" s="97">
        <f>SUM(N25:N29)*'PIECE DENSITIES'!F16</f>
        <v>2.8822075287457852E-2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6.9491258550691395E-2</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4.5956121149935601E-2</v>
      </c>
      <c r="B42" s="199">
        <f>C42*(1+'ACCEPT RATES'!F15+'PIECE DENSITIES'!C7)</f>
        <v>0.74969620811547244</v>
      </c>
      <c r="C42" s="198">
        <f>D30</f>
        <v>0.73204606888542001</v>
      </c>
      <c r="G42" s="205">
        <f>IF(SUM(C11:C16)&gt;0,H42*(1-'ACCEPT RATES'!C20),H42*(1-'ACCEPT RATES'!D20))</f>
        <v>0</v>
      </c>
      <c r="H42" s="204">
        <f>I42*(1+'PIECE DENSITIES'!C12)</f>
        <v>0</v>
      </c>
      <c r="I42" s="203">
        <f>J30</f>
        <v>0</v>
      </c>
      <c r="J42" s="58"/>
      <c r="L42"/>
      <c r="M42" s="102">
        <f>N42</f>
        <v>0.10431186658841893</v>
      </c>
      <c r="N42" s="101">
        <f>D36+J36+O30</f>
        <v>0.10431186658841893</v>
      </c>
      <c r="P42" s="20"/>
      <c r="Q42" s="109"/>
      <c r="S42" s="20"/>
      <c r="U42" s="20"/>
      <c r="Y42"/>
      <c r="Z42"/>
      <c r="AA42"/>
      <c r="AB42"/>
      <c r="AC42"/>
      <c r="AD42"/>
    </row>
    <row r="43" spans="1:30" ht="13" x14ac:dyDescent="0.3">
      <c r="A43" s="114"/>
      <c r="C43" s="98"/>
      <c r="D43" s="196">
        <f>(SUM(C38:C42)-D36)*'PIECE DENSITIES'!D7</f>
        <v>0.54713357509487281</v>
      </c>
      <c r="E43" s="24" t="s">
        <v>121</v>
      </c>
      <c r="G43" s="114"/>
      <c r="I43" s="99"/>
      <c r="J43" s="201">
        <f>(SUM(I38:I42)-J36)*'PIECE DENSITIES'!D12</f>
        <v>0</v>
      </c>
      <c r="K43" s="24" t="s">
        <v>122</v>
      </c>
      <c r="L43"/>
      <c r="M43" s="20"/>
      <c r="O43" s="96">
        <f>SUM(N38:N42)*'PIECE DENSITIES'!D17</f>
        <v>7.3836488876398626E-2</v>
      </c>
      <c r="P43" s="24" t="s">
        <v>123</v>
      </c>
      <c r="Q43" s="109"/>
      <c r="S43" s="20"/>
      <c r="U43" s="20"/>
      <c r="Y43"/>
      <c r="Z43"/>
      <c r="AA43"/>
      <c r="AB43"/>
      <c r="AC43"/>
      <c r="AD43"/>
    </row>
    <row r="44" spans="1:30" ht="13" x14ac:dyDescent="0.3">
      <c r="A44" s="114"/>
      <c r="C44" s="98"/>
      <c r="D44" s="196">
        <f>(SUM(C38:C42)-D36)*'PIECE DENSITIES'!E7</f>
        <v>4.5726470429089991E-2</v>
      </c>
      <c r="E44" s="24" t="s">
        <v>124</v>
      </c>
      <c r="G44" s="114"/>
      <c r="I44" s="99"/>
      <c r="J44" s="201">
        <f>(SUM(I38:I42)-J36)*'PIECE DENSITIES'!E12</f>
        <v>0</v>
      </c>
      <c r="K44" s="24" t="s">
        <v>125</v>
      </c>
      <c r="L44"/>
      <c r="M44" s="20"/>
      <c r="O44" s="96">
        <f>SUM(N38:N42)*'PIECE DENSITIES'!E17</f>
        <v>3.2370450963296768E-4</v>
      </c>
      <c r="P44" s="24" t="s">
        <v>126</v>
      </c>
      <c r="Q44" s="109"/>
      <c r="S44" s="20"/>
      <c r="U44" s="20"/>
      <c r="Y44"/>
      <c r="Z44"/>
      <c r="AA44"/>
      <c r="AB44"/>
      <c r="AC44"/>
      <c r="AD44"/>
    </row>
    <row r="45" spans="1:30" ht="13" x14ac:dyDescent="0.3">
      <c r="A45" s="114"/>
      <c r="C45" s="89"/>
      <c r="D45" s="197">
        <f>(SUM(C38:C42)-D36)*'PIECE DENSITIES'!F7</f>
        <v>4.8707035918729158E-3</v>
      </c>
      <c r="E45" s="24" t="s">
        <v>127</v>
      </c>
      <c r="G45" s="114"/>
      <c r="I45" s="94"/>
      <c r="J45" s="202">
        <f>(SUM(I38:I42)-J36)*'PIECE DENSITIES'!F12</f>
        <v>0</v>
      </c>
      <c r="K45" s="24" t="s">
        <v>128</v>
      </c>
      <c r="L45"/>
      <c r="M45" s="20"/>
      <c r="N45" s="46"/>
      <c r="O45" s="97">
        <f>SUM(N38:N42)*'PIECE DENSITIES'!F17</f>
        <v>2.072218632532305E-3</v>
      </c>
      <c r="P45" s="24" t="s">
        <v>129</v>
      </c>
      <c r="Q45" s="109"/>
      <c r="S45" s="20"/>
      <c r="U45" s="20"/>
      <c r="Y45"/>
      <c r="Z45"/>
      <c r="AA45"/>
      <c r="AB45"/>
      <c r="AC45"/>
      <c r="AD45"/>
    </row>
    <row r="46" spans="1:30" ht="13" x14ac:dyDescent="0.3">
      <c r="A46" s="114"/>
      <c r="C46" s="89"/>
      <c r="D46" s="197">
        <f>(SUM(C38:C42)-D36)*'PIECE DENSITIES'!G7</f>
        <v>6.4824061218892892E-2</v>
      </c>
      <c r="E46" s="24" t="s">
        <v>130</v>
      </c>
      <c r="G46" s="114"/>
      <c r="I46" s="94"/>
      <c r="J46" s="202">
        <f>(SUM(I38:I42)-J36)*'PIECE DENSITIES'!G12</f>
        <v>0</v>
      </c>
      <c r="K46" s="24" t="s">
        <v>288</v>
      </c>
      <c r="L46"/>
      <c r="M46" s="20"/>
      <c r="N46" s="46"/>
      <c r="O46" s="97">
        <f>SUM(N38:N42)*'PIECE DENSITIES'!G17</f>
        <v>2.8079454569855031E-2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2.1288015647688794</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5.6689959677694599</v>
      </c>
      <c r="B54" s="86">
        <f>C54*(1+'ACCEPT RATES'!F16+'PIECE DENSITIES'!D8)</f>
        <v>21.499184679377382</v>
      </c>
      <c r="C54" s="85">
        <f>G13*('COVERAGE FACTORS'!E38+'COVERAGE FACTORS'!E42)</f>
        <v>21.268800368535164</v>
      </c>
      <c r="G54" s="194">
        <f>H54*(1-'ACCEPT RATES'!D21)</f>
        <v>0</v>
      </c>
      <c r="H54" s="86">
        <f>I54*(1+'PIECE DENSITIES'!D13)</f>
        <v>0</v>
      </c>
      <c r="I54" s="85">
        <f>G13*'COVERAGE FACTORS'!E40</f>
        <v>0</v>
      </c>
      <c r="J54" s="58"/>
      <c r="L54"/>
      <c r="M54" s="86">
        <f>N54</f>
        <v>0.12776602868134257</v>
      </c>
      <c r="N54" s="85">
        <f>G13*'COVERAGE FACTORS'!E44</f>
        <v>0.12776602868134257</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0.21620832732718745</v>
      </c>
      <c r="B57" s="199">
        <f>C57*(1+'ACCEPT RATES'!F16+'PIECE DENSITIES'!D8)</f>
        <v>3.527072326912613</v>
      </c>
      <c r="C57" s="198">
        <f>(D31+D43)*('COVERAGE FACTORS'!E38+'COVERAGE FACTORS'!E42)</f>
        <v>3.4892763760686782</v>
      </c>
      <c r="G57" s="210">
        <f>IF(SUM(C11:C16)&gt;0,H57*(1-'ACCEPT RATES'!C21),H57*(1-'ACCEPT RATES'!D21))</f>
        <v>0</v>
      </c>
      <c r="H57" s="209">
        <f>I57*(1+'PIECE DENSITIES'!D13)</f>
        <v>0</v>
      </c>
      <c r="I57" s="208">
        <f>(D31+D43)*'COVERAGE FACTORS'!E40+(J31+J43)*('COVERAGE FACTORS'!E40+'COVERAGE FACTORS'!E42)</f>
        <v>0</v>
      </c>
      <c r="J57" s="58"/>
      <c r="L57"/>
      <c r="M57" s="102">
        <f>N57</f>
        <v>2.4495617532855931</v>
      </c>
      <c r="N57" s="101">
        <f>D51+J51+O31+O43+(D31+D43)*'COVERAGE FACTORS'!E44+(J31+J43)*(1-('COVERAGE FACTORS'!E40+'COVERAGE FACTORS'!E42))</f>
        <v>2.4495617532855931</v>
      </c>
      <c r="P57" s="20"/>
      <c r="Q57" s="109"/>
      <c r="S57" s="20"/>
      <c r="U57" s="20"/>
      <c r="Y57"/>
      <c r="Z57"/>
      <c r="AA57"/>
      <c r="AB57"/>
      <c r="AC57"/>
      <c r="AD57"/>
    </row>
    <row r="58" spans="1:30" ht="13" x14ac:dyDescent="0.3">
      <c r="A58" s="114"/>
      <c r="C58" s="98"/>
      <c r="D58" s="196">
        <f>(SUM(C53:C57)-D51)*'PIECE DENSITIES'!E8</f>
        <v>4.50188491320701</v>
      </c>
      <c r="E58" s="24" t="s">
        <v>124</v>
      </c>
      <c r="G58" s="114"/>
      <c r="I58" s="99"/>
      <c r="J58" s="201">
        <f>(SUM(I53:I57)-J51)*'PIECE DENSITIES'!E13</f>
        <v>0</v>
      </c>
      <c r="K58" s="24" t="s">
        <v>125</v>
      </c>
      <c r="L58"/>
      <c r="M58" s="20"/>
      <c r="O58" s="96">
        <f>SUM(N53:N57)*'PIECE DENSITIES'!E18</f>
        <v>0.68109461044011788</v>
      </c>
      <c r="P58" s="24" t="s">
        <v>126</v>
      </c>
      <c r="Q58" s="109"/>
      <c r="S58" s="20"/>
      <c r="U58" s="20"/>
      <c r="Y58"/>
      <c r="Z58"/>
      <c r="AA58"/>
      <c r="AB58"/>
      <c r="AC58"/>
      <c r="AD58"/>
    </row>
    <row r="59" spans="1:30" ht="13" x14ac:dyDescent="0.3">
      <c r="A59" s="114"/>
      <c r="C59" s="98"/>
      <c r="D59" s="196">
        <f>(SUM(C53:C57)-D51)*'PIECE DENSITIES'!F8</f>
        <v>1.4616030393805852</v>
      </c>
      <c r="E59" s="24" t="s">
        <v>127</v>
      </c>
      <c r="G59" s="114"/>
      <c r="I59" s="99"/>
      <c r="J59" s="201">
        <f>(SUM(I53:I57)-J51)*'PIECE DENSITIES'!F13</f>
        <v>0</v>
      </c>
      <c r="K59" s="24" t="s">
        <v>128</v>
      </c>
      <c r="L59"/>
      <c r="M59" s="20"/>
      <c r="O59" s="96">
        <f>SUM(N53:N57)*'PIECE DENSITIES'!F18</f>
        <v>0.10689915908297447</v>
      </c>
      <c r="P59" s="24" t="s">
        <v>129</v>
      </c>
      <c r="Q59" s="109"/>
      <c r="S59" s="20"/>
      <c r="U59" s="20"/>
      <c r="Y59"/>
      <c r="Z59"/>
      <c r="AA59"/>
      <c r="AB59"/>
      <c r="AC59"/>
      <c r="AD59"/>
    </row>
    <row r="60" spans="1:30" ht="13" x14ac:dyDescent="0.3">
      <c r="A60" s="114"/>
      <c r="C60" s="89"/>
      <c r="D60" s="197">
        <f>(SUM(C53:C57)-D51)*'PIECE DENSITIES'!G8</f>
        <v>16.665787227247367</v>
      </c>
      <c r="E60" s="24" t="s">
        <v>130</v>
      </c>
      <c r="G60" s="114"/>
      <c r="I60" s="94"/>
      <c r="J60" s="202">
        <f>(SUM(I53:I57)-J51)*'PIECE DENSITIES'!G13</f>
        <v>0</v>
      </c>
      <c r="K60" s="24" t="s">
        <v>288</v>
      </c>
      <c r="L60"/>
      <c r="M60" s="20"/>
      <c r="N60" s="46"/>
      <c r="O60" s="97">
        <f>SUM(N53:N57)*'PIECE DENSITIES'!G18</f>
        <v>1.7893340124438433</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5.4711492037179026</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21.186485719994728</v>
      </c>
      <c r="B65" s="86">
        <f>C65*(1+'ACCEPT RATES'!F17+'PIECE DENSITIES'!E9)</f>
        <v>80.347943761261419</v>
      </c>
      <c r="C65" s="85">
        <f>G14*('COVERAGE FACTORS'!E38+'COVERAGE FACTORS'!E42)</f>
        <v>75.652280839412754</v>
      </c>
      <c r="G65" s="194">
        <f>H65*(1-'ACCEPT RATES'!D22)</f>
        <v>0</v>
      </c>
      <c r="H65" s="86">
        <f>I65*(1+'PIECE DENSITIES'!E14)</f>
        <v>0</v>
      </c>
      <c r="I65" s="85">
        <f>G14*'COVERAGE FACTORS'!E40</f>
        <v>0</v>
      </c>
      <c r="J65" s="58"/>
      <c r="L65"/>
      <c r="M65" s="86">
        <f>N65</f>
        <v>0.4544587055242128</v>
      </c>
      <c r="N65" s="85">
        <f>G14*'COVERAGE FACTORS'!E44</f>
        <v>0.4544587055242128</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0.39786555530306922</v>
      </c>
      <c r="B68" s="211">
        <f>C68*(1+'ACCEPT RATES'!F17+'PIECE DENSITIES'!E9)</f>
        <v>6.4905020416607933</v>
      </c>
      <c r="C68" s="212">
        <f>(D32+D44+D58)*('COVERAGE FACTORS'!E38+'COVERAGE FACTORS'!E42)</f>
        <v>6.1111866745897103</v>
      </c>
      <c r="G68" s="205">
        <f>IF(SUM(C11:C16)&gt;0, H68*(1-'ACCEPT RATES'!C22),H68*(1-'ACCEPT RATES'!D22))</f>
        <v>0</v>
      </c>
      <c r="H68" s="204">
        <f>I68*(1+'PIECE DENSITIES'!E14)</f>
        <v>0</v>
      </c>
      <c r="I68" s="203">
        <f>(D32+D44+D58)*'COVERAGE FACTORS'!E40+(J32+J44+J58)*('COVERAGE FACTORS'!E40+'COVERAGE FACTORS'!E42)</f>
        <v>0</v>
      </c>
      <c r="J68" s="58"/>
      <c r="L68"/>
      <c r="M68" s="102">
        <f>N68</f>
        <v>6.2888269850108776</v>
      </c>
      <c r="N68" s="101">
        <f>D62+J62+O32+O44+O58+(D32+D44+D58)*'COVERAGE FACTORS'!E44+(J32+J44+J58)*(1-('COVERAGE FACTORS'!E40+'COVERAGE FACTORS'!E42))</f>
        <v>6.2888269850108776</v>
      </c>
      <c r="P68" s="20"/>
      <c r="Q68" s="109"/>
      <c r="S68" s="20"/>
      <c r="U68" s="20"/>
      <c r="Y68"/>
      <c r="Z68"/>
      <c r="AA68"/>
      <c r="AB68"/>
      <c r="AC68"/>
      <c r="AD68"/>
    </row>
    <row r="69" spans="1:30" ht="13" x14ac:dyDescent="0.3">
      <c r="A69" s="114"/>
      <c r="C69" s="98"/>
      <c r="D69" s="196">
        <f>(SUM(C64:C68)-D62)*'PIECE DENSITIES'!F9</f>
        <v>1.7068095535360714</v>
      </c>
      <c r="E69" s="24" t="s">
        <v>127</v>
      </c>
      <c r="G69" s="114"/>
      <c r="I69" s="99"/>
      <c r="J69" s="201">
        <f>(SUM(I64:I68)-J62)*'PIECE DENSITIES'!F14</f>
        <v>0</v>
      </c>
      <c r="K69" s="24" t="s">
        <v>128</v>
      </c>
      <c r="L69"/>
      <c r="M69" s="20"/>
      <c r="O69" s="96">
        <f>SUM(N64:N68)*'PIECE DENSITIES'!F19</f>
        <v>0.17443415463801468</v>
      </c>
      <c r="P69" s="24" t="s">
        <v>129</v>
      </c>
      <c r="Q69" s="109"/>
      <c r="S69" s="20"/>
      <c r="U69" s="20"/>
      <c r="Y69"/>
      <c r="Z69"/>
      <c r="AA69"/>
      <c r="AB69"/>
      <c r="AC69"/>
      <c r="AD69"/>
    </row>
    <row r="70" spans="1:30" ht="13" x14ac:dyDescent="0.3">
      <c r="A70" s="114"/>
      <c r="C70" s="98"/>
      <c r="D70" s="196">
        <f>(SUM(C64:C68)-D62)*'PIECE DENSITIES'!G9</f>
        <v>74.585508756748482</v>
      </c>
      <c r="E70" s="24" t="s">
        <v>130</v>
      </c>
      <c r="G70" s="114"/>
      <c r="I70" s="99"/>
      <c r="J70" s="201">
        <f>(SUM(I64:I68)-J62)*'PIECE DENSITIES'!G14</f>
        <v>0</v>
      </c>
      <c r="K70" s="24" t="s">
        <v>288</v>
      </c>
      <c r="L70"/>
      <c r="M70" s="20"/>
      <c r="O70" s="96">
        <f>SUM(N64:N68)*'PIECE DENSITIES'!G19</f>
        <v>6.5688515358970765</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0.17856444157378318</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0.22116951766587206</v>
      </c>
      <c r="B78" s="211">
        <f>C78*(1+'ACCEPT RATES'!F17)</f>
        <v>3.6080057366866054</v>
      </c>
      <c r="C78" s="212">
        <f>(D33+D45+D59+D69)*('COVERAGE FACTORS'!E38+'COVERAGE FACTORS'!E42)</f>
        <v>3.5732474877759985</v>
      </c>
      <c r="G78" s="205">
        <f>IF(SUM(C11:C16)&gt;0,H78*(1-'ACCEPT RATES'!C22),H78*(1-'ACCEPT RATES'!D22))</f>
        <v>0</v>
      </c>
      <c r="H78" s="204">
        <f>I78</f>
        <v>0</v>
      </c>
      <c r="I78" s="203">
        <f>(D33+D45+D59+D69)*'COVERAGE FACTORS'!E40+(J33+J45+J59+J69)*('COVERAGE FACTORS'!E40+'COVERAGE FACTORS'!E42)</f>
        <v>0</v>
      </c>
      <c r="J78" s="58"/>
      <c r="L78"/>
      <c r="M78" s="102">
        <f ca="1">N78</f>
        <v>0.51225727682976818</v>
      </c>
      <c r="N78" s="294">
        <f ca="1">D72+J72+O33+O45+O59+O69+(D33+D45+D59+D69)*'COVERAGE FACTORS'!E44+(J33+J45+J59+J69)*(1-('COVERAGE FACTORS'!E40+'COVERAGE FACTORS'!E42))+D106</f>
        <v>0.51225727682976818</v>
      </c>
      <c r="P78" s="20"/>
      <c r="Q78" s="109"/>
      <c r="S78" s="20"/>
      <c r="U78" s="20"/>
      <c r="Y78"/>
      <c r="Z78"/>
      <c r="AA78"/>
      <c r="AB78"/>
      <c r="AC78"/>
      <c r="AD78"/>
    </row>
    <row r="79" spans="1:30" ht="13" x14ac:dyDescent="0.3">
      <c r="A79" s="114"/>
      <c r="C79" s="98"/>
      <c r="D79" s="196">
        <f>SUM(C74:C78)-D72</f>
        <v>3.3946830462022155</v>
      </c>
      <c r="E79" s="24" t="s">
        <v>130</v>
      </c>
      <c r="G79" s="114"/>
      <c r="I79" s="99"/>
      <c r="J79" s="201">
        <f>SUM(I74:I78)-J72</f>
        <v>0</v>
      </c>
      <c r="K79" s="24" t="s">
        <v>288</v>
      </c>
      <c r="L79"/>
      <c r="M79" s="20"/>
      <c r="O79" s="96">
        <f ca="1">SUM(N74:N78)</f>
        <v>0.51225727682976818</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613.6234485076028</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2505.8919601690054</v>
      </c>
      <c r="B84" s="86">
        <f>C84*(1+'ACCEPT RATES'!F17)</f>
        <v>9503.3819647323035</v>
      </c>
      <c r="C84" s="327">
        <f>(G16-C96)*('COVERAGE FACTORS'!E67+'COVERAGE FACTORS'!E71)*'COVERAGE FACTORS'!E112</f>
        <v>9411.8297500381868</v>
      </c>
      <c r="G84" s="194">
        <v>0</v>
      </c>
      <c r="H84" s="86">
        <f>I84</f>
        <v>0</v>
      </c>
      <c r="I84" s="327">
        <f>(G16-C96)*'COVERAGE FACTORS'!E69*'COVERAGE FACTORS'!E112</f>
        <v>0</v>
      </c>
      <c r="J84" s="58"/>
      <c r="L84"/>
      <c r="M84" s="86">
        <f>N84</f>
        <v>484.56092459065673</v>
      </c>
      <c r="N84" s="327">
        <f>(G16-C96)*'COVERAGE FACTORS'!E114</f>
        <v>484.56092459065673</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5.575180393795522</v>
      </c>
      <c r="B87" s="211">
        <f>C87*(1+'ACCEPT RATES'!F17)</f>
        <v>90.949616638698544</v>
      </c>
      <c r="C87" s="212">
        <f>(D34+D46+D60+D70+D79)*('COVERAGE FACTORS'!E67+'COVERAGE FACTORS'!E71)*'COVERAGE FACTORS'!E112</f>
        <v>90.073440256463826</v>
      </c>
      <c r="G87" s="205">
        <v>0</v>
      </c>
      <c r="H87" s="204">
        <f>I87</f>
        <v>0</v>
      </c>
      <c r="I87" s="203">
        <f>(D34+D46+D60+D70+D79)*'COVERAGE FACTORS'!E69*'COVERAGE FACTORS'!E112+(J34+J46+J60+J70+J79)*('COVERAGE FACTORS'!E69+'COVERAGE FACTORS'!E71)*'COVERAGE FACTORS'!E112</f>
        <v>0</v>
      </c>
      <c r="J87" s="213"/>
      <c r="L87"/>
      <c r="M87" s="102">
        <f ca="1">N87</f>
        <v>627.15933362229646</v>
      </c>
      <c r="N87" s="294">
        <f ca="1">D81+J81+(O34+O46+O60+O70+O79)+(D34+D46+D60+D70+D79)*'COVERAGE FACTORS'!E114+(J34+J46+J60+J70+J79)*(1-('COVERAGE FACTORS'!E71+'COVERAGE FACTORS'!E69)*'COVERAGE FACTORS'!E112)+D120</f>
        <v>627.15933362229646</v>
      </c>
      <c r="P87" s="20"/>
      <c r="Q87" s="109"/>
      <c r="S87" s="20"/>
      <c r="U87" s="20"/>
      <c r="Y87"/>
      <c r="Z87"/>
      <c r="AA87"/>
      <c r="AB87"/>
      <c r="AC87"/>
      <c r="AD87"/>
    </row>
    <row r="88" spans="1:30" ht="13" x14ac:dyDescent="0.3">
      <c r="A88" s="114"/>
      <c r="C88" s="98"/>
      <c r="D88" s="103">
        <f>SUM(C83:C87)-D81</f>
        <v>8888.2797417870479</v>
      </c>
      <c r="E88" s="24"/>
      <c r="G88" s="218"/>
      <c r="H88" s="214"/>
      <c r="I88" s="214"/>
      <c r="J88" s="215">
        <f>SUM(I83:I87)-J81</f>
        <v>0</v>
      </c>
      <c r="K88" s="24"/>
      <c r="L88"/>
      <c r="M88" s="20"/>
      <c r="O88" s="216">
        <f ca="1">SUM(N83:N87)</f>
        <v>1111.7202582129532</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327">
        <f>G16*'COVERAGE FACTORS'!G129*'COVERAGE FACTORS'!B119</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326">
        <f ca="1">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528</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drawing r:id="rId2"/>
</worksheet>
</file>

<file path=xl/worksheets/sheet2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497</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'BUNDLE SORT'!$I$49*('COVERAGE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C11*$J11/'5D NONAUTO MODEL'!$G$6</f>
        <v>0</v>
      </c>
    </row>
    <row r="12" spans="1:11" ht="13" x14ac:dyDescent="0.3">
      <c r="A12" s="36"/>
      <c r="B12" t="s">
        <v>529</v>
      </c>
      <c r="C12" s="151">
        <f>'BUNDLE SORT'!$I$49*('COVERAGE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C12*$J12/'5D NONAUTO MODEL'!$G$6</f>
        <v>0</v>
      </c>
    </row>
    <row r="13" spans="1:11" ht="13" x14ac:dyDescent="0.3">
      <c r="A13" s="36"/>
      <c r="B13" t="s">
        <v>70</v>
      </c>
      <c r="C13" s="151">
        <f>'BUNDLE SORT'!$J$49</f>
        <v>0</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C13*$J13/'5D NONAUTO MODEL'!$G$6</f>
        <v>0</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'BUNDLE SORT'!$M$49*('COVERAGE FACTORS'!$E$30/('COVERAGE FACTORS'!$E$30+'COVERAGE FACTORS'!$E$32))</f>
        <v>0</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C16*$J16/'5D NONAUTO MODEL'!$G$6</f>
        <v>0</v>
      </c>
    </row>
    <row r="17" spans="1:11" ht="13" x14ac:dyDescent="0.3">
      <c r="A17" s="1"/>
      <c r="B17" t="s">
        <v>529</v>
      </c>
      <c r="C17" s="151">
        <f>'BUNDLE SORT'!$M$49*('COVERAGE FACTORS'!$E$32/('COVERAGE FACTORS'!$E$30+'COVERAGE FACTORS'!$E$32))</f>
        <v>0</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C17*$J17/'5D NONAUTO MODEL'!$G$6</f>
        <v>0</v>
      </c>
    </row>
    <row r="18" spans="1:11" ht="13" x14ac:dyDescent="0.3">
      <c r="A18" s="1"/>
      <c r="B18" t="s">
        <v>70</v>
      </c>
      <c r="C18" s="151">
        <f>'BUNDLE SORT'!$N$49</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C18*$J18/'5D NONAUTO MODEL'!$G$6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'BUNDLE SORT'!$Q$49*('COVERAGE FACTORS'!$E$30/('COVERAGE FACTORS'!$E$30+'COVERAGE FACTORS'!$E$32))</f>
        <v>0</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C21*$J21/'5D NONAUTO MODEL'!$G$6</f>
        <v>0</v>
      </c>
    </row>
    <row r="22" spans="1:11" ht="13" x14ac:dyDescent="0.3">
      <c r="A22" s="1"/>
      <c r="B22" t="s">
        <v>529</v>
      </c>
      <c r="C22" s="151">
        <f>'BUNDLE SORT'!$Q$49*('COVERAGE FACTORS'!$E$32/('COVERAGE FACTORS'!$E$30+'COVERAGE FACTORS'!$E$32))</f>
        <v>0</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C22*$J22/'5D NONAUTO MODEL'!$G$6</f>
        <v>0</v>
      </c>
    </row>
    <row r="23" spans="1:11" ht="13" x14ac:dyDescent="0.3">
      <c r="A23" s="1"/>
      <c r="B23" t="s">
        <v>70</v>
      </c>
      <c r="C23" s="151">
        <f>'BUNDLE SORT'!$R$49</f>
        <v>0</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C23*$J23/'5D NONAUTO MODEL'!$G$6</f>
        <v>0</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'BUNDLE SORT'!$U$49*('COVERAGE FACTORS'!$E$30/('COVERAGE FACTORS'!$E$30+'COVERAGE FACTORS'!$E$32))</f>
        <v>0</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C26*$J26/'5D NONAUTO MODEL'!$G$6</f>
        <v>0</v>
      </c>
    </row>
    <row r="27" spans="1:11" ht="13" x14ac:dyDescent="0.3">
      <c r="A27" s="1"/>
      <c r="B27" t="s">
        <v>529</v>
      </c>
      <c r="C27" s="151">
        <f>'BUNDLE SORT'!$U$49*('COVERAGE FACTORS'!$E$32/('COVERAGE FACTORS'!$E$30+'COVERAGE FACTORS'!$E$32))</f>
        <v>0</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C27*$J27/'5D NONAUTO MODEL'!$G$6</f>
        <v>0</v>
      </c>
    </row>
    <row r="28" spans="1:11" ht="13" x14ac:dyDescent="0.3">
      <c r="A28" s="1"/>
      <c r="B28" t="s">
        <v>70</v>
      </c>
      <c r="C28" s="151">
        <f>'BUNDLE SORT'!$V$49</f>
        <v>0</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C28*$J28/'5D NONAUTO MODEL'!$G$6</f>
        <v>0</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SUM('FSS OTHER NONAUTO MODEL'!$B$25:$B$29)</f>
        <v>0</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C31*$J31/'5D NONAUTO MODEL'!$G$6</f>
        <v>0</v>
      </c>
    </row>
    <row r="32" spans="1:11" ht="13" x14ac:dyDescent="0.3">
      <c r="A32" s="36"/>
      <c r="B32" t="s">
        <v>244</v>
      </c>
      <c r="C32" s="2">
        <f>SUM('FSS OTHER NONAUTO MODEL'!$A$25:$A$29)</f>
        <v>0</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C32*$J32/'5D NONAUTO MODEL'!$G$6</f>
        <v>0</v>
      </c>
    </row>
    <row r="33" spans="1:11" ht="13" x14ac:dyDescent="0.3">
      <c r="A33" s="36"/>
      <c r="B33" t="s">
        <v>291</v>
      </c>
      <c r="C33" s="2">
        <f>SUM('FSS OTHER NONAUTO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C33*$J33/'5D NONAUTO MODEL'!$G$6</f>
        <v>0</v>
      </c>
    </row>
    <row r="34" spans="1:11" x14ac:dyDescent="0.25">
      <c r="B34" t="s">
        <v>292</v>
      </c>
      <c r="C34" s="2">
        <f>SUM('FSS OTHER NONAUTO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C34*$J34/'5D NONAUTO MODEL'!$G$6</f>
        <v>0</v>
      </c>
    </row>
    <row r="35" spans="1:11" x14ac:dyDescent="0.25">
      <c r="B35" t="s">
        <v>70</v>
      </c>
      <c r="C35" s="2">
        <f>SUM('FSS OTHER NONAUTO MODEL'!$M$25:$M$29)</f>
        <v>0</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C35*$J35/'5D NONAUTO MODEL'!$G$6</f>
        <v>0</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SUM('FSS OTHER NONAUTO MODEL'!$B$38:$B$42)</f>
        <v>0</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C38*$J38/'5D NONAUTO MODEL'!$G$6</f>
        <v>0</v>
      </c>
    </row>
    <row r="39" spans="1:11" ht="13" x14ac:dyDescent="0.3">
      <c r="A39" s="36"/>
      <c r="B39" t="s">
        <v>244</v>
      </c>
      <c r="C39" s="2">
        <f>SUM('FSS OTHER NONAUTO MODEL'!$A$38:$A$42)</f>
        <v>0</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C39*$J39/'5D NONAUTO MODEL'!$G$6</f>
        <v>0</v>
      </c>
    </row>
    <row r="40" spans="1:11" x14ac:dyDescent="0.25">
      <c r="B40" t="s">
        <v>291</v>
      </c>
      <c r="C40" s="2">
        <f>SUM('FSS OTHER NONAUTO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C40*$J40/'5D NONAUTO MODEL'!$G$6</f>
        <v>0</v>
      </c>
    </row>
    <row r="41" spans="1:11" x14ac:dyDescent="0.25">
      <c r="B41" t="s">
        <v>292</v>
      </c>
      <c r="C41" s="2">
        <f>SUM('FSS OTHER NONAUTO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C41*$J41/'5D NONAUTO MODEL'!$G$6</f>
        <v>0</v>
      </c>
    </row>
    <row r="42" spans="1:11" x14ac:dyDescent="0.25">
      <c r="B42" t="s">
        <v>70</v>
      </c>
      <c r="C42" s="2">
        <f>SUM('FSS OTHER NONAUTO MODEL'!$M$38:$M$42)</f>
        <v>0</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C42*$J42/'5D NONAUTO MODEL'!$G$6</f>
        <v>0</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SUM('FSS OTHER NONAUTO MODEL'!$B$53:$B$57)</f>
        <v>0</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C45*$J45/'5D NONAUTO MODEL'!$G$6</f>
        <v>0</v>
      </c>
    </row>
    <row r="46" spans="1:11" ht="13" x14ac:dyDescent="0.3">
      <c r="A46" s="36"/>
      <c r="B46" t="s">
        <v>244</v>
      </c>
      <c r="C46" s="2">
        <f>SUM('FSS OTHER NONAUTO MODEL'!$A$53:$A$57)</f>
        <v>0</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C46*$J46/'5D NONAUTO MODEL'!$G$6</f>
        <v>0</v>
      </c>
    </row>
    <row r="47" spans="1:11" x14ac:dyDescent="0.25">
      <c r="B47" t="s">
        <v>291</v>
      </c>
      <c r="C47" s="2">
        <f>SUM('FSS OTHER NONAUTO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C47*$J47/'5D NONAUTO MODEL'!$G$6</f>
        <v>0</v>
      </c>
    </row>
    <row r="48" spans="1:11" x14ac:dyDescent="0.25">
      <c r="B48" t="s">
        <v>292</v>
      </c>
      <c r="C48" s="2">
        <f>SUM('FSS OTHER NONAUTO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C48*$J48/'5D NONAUTO MODEL'!$G$6</f>
        <v>0</v>
      </c>
    </row>
    <row r="49" spans="1:11" x14ac:dyDescent="0.25">
      <c r="B49" t="s">
        <v>70</v>
      </c>
      <c r="C49" s="2">
        <f>SUM('FSS OTHER NONAUTO MODEL'!$M$53:$M$57)</f>
        <v>0</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C49*$J49/'5D NONAUTO MODEL'!$G$6</f>
        <v>0</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SUM('FSS OTHER NONAUTO MODEL'!$B$64:$B$68)</f>
        <v>0</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C52*$J52/'5D NONAUTO MODEL'!$G$6</f>
        <v>0</v>
      </c>
    </row>
    <row r="53" spans="1:11" ht="13" x14ac:dyDescent="0.3">
      <c r="A53" s="36"/>
      <c r="B53" t="s">
        <v>244</v>
      </c>
      <c r="C53" s="2">
        <f>SUM('FSS OTHER NONAUTO MODEL'!$A$64:$A$68)</f>
        <v>0</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C53*$J53/'5D NONAUTO MODEL'!$G$6</f>
        <v>0</v>
      </c>
    </row>
    <row r="54" spans="1:11" x14ac:dyDescent="0.25">
      <c r="B54" t="s">
        <v>291</v>
      </c>
      <c r="C54" s="2">
        <f>SUM('FSS OTHER NONAUTO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C54*$J54/'5D NONAUTO MODEL'!$G$6</f>
        <v>0</v>
      </c>
    </row>
    <row r="55" spans="1:11" x14ac:dyDescent="0.25">
      <c r="B55" t="s">
        <v>292</v>
      </c>
      <c r="C55" s="2">
        <f>SUM('FSS OTHER NONAUTO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C55*$J55/'5D NONAUTO MODEL'!$G$6</f>
        <v>0</v>
      </c>
    </row>
    <row r="56" spans="1:11" x14ac:dyDescent="0.25">
      <c r="B56" t="s">
        <v>70</v>
      </c>
      <c r="C56" s="2">
        <f>SUM('FSS OTHER NONAUTO MODEL'!$M$64:$M$68)</f>
        <v>0</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C56*$J56/'5D NONAUTO MODEL'!$G$6</f>
        <v>0</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t="e">
        <f ca="1">SUM('FSS OTHER NONAUTO MODEL'!$B$74:$B$78)+SUM('FSS OTHER NONAUTO MODEL'!$B$108:$B$112)</f>
        <v>#VALUE!</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t="e">
        <f ca="1">C59*$J59/'5D NONAUTO MODEL'!$G$6</f>
        <v>#VALUE!</v>
      </c>
    </row>
    <row r="60" spans="1:11" ht="13" x14ac:dyDescent="0.3">
      <c r="A60" s="36"/>
      <c r="B60" t="s">
        <v>244</v>
      </c>
      <c r="C60" s="2" t="e">
        <f ca="1">SUM('FSS OTHER NONAUTO MODEL'!$A$74:$A$78)+SUM('FSS OTHER NONAUTO MODEL'!$A$108:$A$112)</f>
        <v>#VALUE!</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t="e">
        <f ca="1">C60*$J60/'5D NONAUTO MODEL'!$G$6</f>
        <v>#VALUE!</v>
      </c>
    </row>
    <row r="61" spans="1:11" x14ac:dyDescent="0.25">
      <c r="B61" t="s">
        <v>291</v>
      </c>
      <c r="C61" s="2">
        <f>SUM('FSS OTHER NONAUTO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C61*$J61/'5D NONAUTO MODEL'!$G$6</f>
        <v>0</v>
      </c>
    </row>
    <row r="62" spans="1:11" x14ac:dyDescent="0.25">
      <c r="B62" t="s">
        <v>292</v>
      </c>
      <c r="C62" s="2">
        <f>SUM('FSS OTHER NONAUTO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C62*$J62/'5D NONAUTO MODEL'!$G$6</f>
        <v>0</v>
      </c>
    </row>
    <row r="63" spans="1:11" x14ac:dyDescent="0.25">
      <c r="B63" t="s">
        <v>70</v>
      </c>
      <c r="C63" s="2" t="e">
        <f ca="1">SUM('FSS OTHER NONAUTO MODEL'!$M$74:$M$78)</f>
        <v>#VALUE!</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t="e">
        <f ca="1">C63*$J63/'5D NONAUTO MODEL'!$G$6</f>
        <v>#VALUE!</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t="e">
        <f ca="1">SUM('FSS OTHER NONAUTO MODEL'!$B$83:$B$87)+SUM('FSS OTHER NONAUTO MODEL'!$B$122:$B$126)</f>
        <v>#VALUE!</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t="e">
        <f ca="1">C66*$J66/'5D NONAUTO MODEL'!$G$6</f>
        <v>#VALUE!</v>
      </c>
    </row>
    <row r="67" spans="1:11" ht="13" x14ac:dyDescent="0.3">
      <c r="A67" s="36"/>
      <c r="B67" t="s">
        <v>244</v>
      </c>
      <c r="C67" s="2" t="e">
        <f ca="1">SUM('FSS OTHER NONAUTO MODEL'!$A$83:$A$87)+SUM('FSS OTHER NONAUTO MODEL'!$A$122:$A$126)</f>
        <v>#VALUE!</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t="e">
        <f ca="1">C67*$J67/'5D NONAUTO MODEL'!$G$6</f>
        <v>#VALUE!</v>
      </c>
    </row>
    <row r="68" spans="1:11" x14ac:dyDescent="0.25">
      <c r="B68" t="s">
        <v>291</v>
      </c>
      <c r="C68" s="2">
        <f>SUM('FSS OTHER NONAUTO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C68*$J68/'5D NONAUTO MODEL'!$G$6</f>
        <v>0</v>
      </c>
    </row>
    <row r="69" spans="1:11" x14ac:dyDescent="0.25">
      <c r="B69" t="s">
        <v>292</v>
      </c>
      <c r="C69" s="2">
        <f>SUM('FSS OTHER NONAUTO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C69*$J69/'5D NONAUTO MODEL'!$G$6</f>
        <v>0</v>
      </c>
    </row>
    <row r="70" spans="1:11" x14ac:dyDescent="0.25">
      <c r="B70" t="s">
        <v>70</v>
      </c>
      <c r="C70" s="2" t="e">
        <f ca="1">SUM('FSS OTHER NONAUTO MODEL'!$M$83:$M$87)</f>
        <v>#VALUE!</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t="e">
        <f ca="1">C70*$J70/'5D NONAUTO MODEL'!$G$6</f>
        <v>#VALUE!</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t="e">
        <f ca="1">SUM('FSS OTHER NONAUTO MODEL'!$A$95:$A$99)</f>
        <v>#VALUE!</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t="e">
        <f ca="1">C74*$J74/'5D NONAUTO MODEL'!$G$6</f>
        <v>#VALUE!</v>
      </c>
    </row>
    <row r="76" spans="1:11" x14ac:dyDescent="0.25">
      <c r="B76" s="155" t="s">
        <v>486</v>
      </c>
      <c r="C76" s="2">
        <v>0</v>
      </c>
      <c r="D76" s="2">
        <f>PRODUCTIVITIES!$C$49*'FY VOLUME NONAUTO'!C64</f>
        <v>2715.1276544410266</v>
      </c>
      <c r="E76" s="38">
        <f>'WAGE RATES'!$C$6</f>
        <v>50.10717457546064</v>
      </c>
      <c r="F76" s="42">
        <f t="shared" ref="F76:F77" si="0">E76*100/D76</f>
        <v>1.845481353095952</v>
      </c>
      <c r="G76" s="42">
        <f>PIGGYBACKS!B13</f>
        <v>1.6305774272183733</v>
      </c>
      <c r="H76" s="42">
        <f>'WAGE RATES'!$C$9</f>
        <v>0.9752031228402912</v>
      </c>
      <c r="I76" s="42">
        <f t="shared" ref="I76:I77" si="1">(H76-1)*F76</f>
        <v>-4.5762174413253497E-2</v>
      </c>
      <c r="J76" s="42">
        <f t="shared" ref="J76:J77" si="2">F76*G76+I76</f>
        <v>2.9634380622974263</v>
      </c>
      <c r="K76" s="42">
        <f ca="1">C76*$J76/'5D AUTO MODEL'!$G$6</f>
        <v>0</v>
      </c>
    </row>
    <row r="77" spans="1:11" x14ac:dyDescent="0.25">
      <c r="B77" s="155" t="s">
        <v>491</v>
      </c>
      <c r="C77" s="2" t="e">
        <f ca="1">SUM(C31,C33,C34,C38,C40,C41,C45,C47,C48,C52,C54,C55,C59,C61,C62,C66,C68,C69)-C76</f>
        <v>#VALUE!</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t="e">
        <f ca="1">C77*$J77/'5D AUTO MODEL'!$G$6</f>
        <v>#VALUE!</v>
      </c>
    </row>
    <row r="78" spans="1:11" ht="13.5" thickBot="1" x14ac:dyDescent="0.35">
      <c r="F78" s="42"/>
      <c r="H78" s="42"/>
      <c r="I78" s="42"/>
      <c r="J78" s="42"/>
      <c r="K78" s="41" t="str">
        <f>"(10)"</f>
        <v>(10)</v>
      </c>
    </row>
    <row r="79" spans="1:11" ht="13.5" thickBot="1" x14ac:dyDescent="0.35">
      <c r="F79" s="42"/>
      <c r="H79" s="42"/>
      <c r="I79" s="42"/>
      <c r="J79" s="142" t="s">
        <v>78</v>
      </c>
      <c r="K79" s="143">
        <v>0</v>
      </c>
    </row>
    <row r="80" spans="1:11" ht="13.5" thickBot="1" x14ac:dyDescent="0.35">
      <c r="J80" s="142" t="s">
        <v>485</v>
      </c>
      <c r="K80" s="143">
        <v>0</v>
      </c>
    </row>
    <row r="83" spans="1:8" ht="13" x14ac:dyDescent="0.3">
      <c r="A83" s="145" t="str">
        <f>"(1)"</f>
        <v>(1)</v>
      </c>
      <c r="B83" s="1" t="s">
        <v>405</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scale="62" orientation="portrait" r:id="rId1"/>
  <ignoredErrors>
    <ignoredError sqref="E4" numberStoredAsText="1"/>
  </ignoredErrors>
</worksheet>
</file>

<file path=xl/worksheets/sheet2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'FSS OTHER NONAUTO COST'!A1</f>
        <v>FSS OTHER NONAUTO PRESORT</v>
      </c>
    </row>
    <row r="2" spans="1:30" ht="23" x14ac:dyDescent="0.5">
      <c r="A2" s="57" t="s">
        <v>84</v>
      </c>
    </row>
    <row r="6" spans="1:30" s="228" customFormat="1" ht="18" x14ac:dyDescent="0.4">
      <c r="A6" s="48" t="s">
        <v>85</v>
      </c>
      <c r="B6" s="226"/>
      <c r="C6" s="49">
        <f>SUM(C11:C16)+SUM(G11:G16)+SUM(K11:K16)+SUM(O11:O16)</f>
        <v>0</v>
      </c>
      <c r="D6" s="227"/>
      <c r="E6" s="48" t="s">
        <v>86</v>
      </c>
      <c r="F6" s="226"/>
      <c r="G6" s="49">
        <v>0</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G10" s="19"/>
      <c r="H10" s="26"/>
      <c r="J10" s="18"/>
      <c r="K10" s="18"/>
      <c r="N10" s="18"/>
      <c r="Q10" s="18"/>
      <c r="R10" s="18"/>
      <c r="V10" s="18"/>
      <c r="W10" s="18"/>
      <c r="X10" s="18"/>
      <c r="Y10" s="18"/>
      <c r="AA10" s="18"/>
      <c r="AC10" s="18"/>
      <c r="AD10" s="18"/>
    </row>
    <row r="11" spans="1:30" ht="13" x14ac:dyDescent="0.3">
      <c r="A11" s="25"/>
      <c r="B11" s="67" t="s">
        <v>88</v>
      </c>
      <c r="C11" s="68">
        <v>0</v>
      </c>
      <c r="D11" s="59"/>
      <c r="E11" s="28"/>
      <c r="F11" s="61" t="s">
        <v>89</v>
      </c>
      <c r="G11" s="64">
        <f>'ENTRY PROFILE'!K48</f>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v>0</v>
      </c>
      <c r="E13" s="18"/>
      <c r="F13" s="63" t="s">
        <v>97</v>
      </c>
      <c r="G13" s="64">
        <f>'ENTRY PROFILE'!O48</f>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f>'ENTRY PROFILE'!S48</f>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f>'ENTRY PROFILE'!L48+'ENTRY PROFILE'!P48+'ENTRY PROFILE'!T48+'ENTRY PROFILE'!X48</f>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v>
      </c>
      <c r="N29" s="206">
        <f>D23+J23</f>
        <v>0</v>
      </c>
      <c r="P29" s="20"/>
      <c r="Q29" s="109"/>
      <c r="S29" s="20"/>
      <c r="U29" s="20"/>
      <c r="Y29"/>
      <c r="Z29"/>
      <c r="AA29"/>
      <c r="AB29"/>
      <c r="AC29"/>
      <c r="AD29"/>
    </row>
    <row r="30" spans="1:30" ht="13" x14ac:dyDescent="0.3">
      <c r="A30" s="114"/>
      <c r="C30" s="98"/>
      <c r="D30" s="196">
        <f>(SUM(C25:C29)-D23)*'PIECE DENSITIES'!C6</f>
        <v>0</v>
      </c>
      <c r="E30" s="24" t="s">
        <v>290</v>
      </c>
      <c r="G30" s="114"/>
      <c r="I30" s="99"/>
      <c r="J30" s="201">
        <f>(SUM(I25:I29)-J23)*'PIECE DENSITIES'!C11</f>
        <v>0</v>
      </c>
      <c r="K30" s="24" t="s">
        <v>289</v>
      </c>
      <c r="L30"/>
      <c r="M30" s="20"/>
      <c r="O30" s="96">
        <f>SUM(N25:N29)*'PIECE DENSITIES'!C16</f>
        <v>0</v>
      </c>
      <c r="P30" s="24" t="s">
        <v>120</v>
      </c>
      <c r="Q30" s="109"/>
      <c r="S30" s="20"/>
      <c r="U30" s="20"/>
      <c r="Y30"/>
      <c r="Z30"/>
      <c r="AA30"/>
      <c r="AB30"/>
      <c r="AC30"/>
      <c r="AD30"/>
    </row>
    <row r="31" spans="1:30" ht="13" x14ac:dyDescent="0.3">
      <c r="A31" s="114"/>
      <c r="C31" s="98"/>
      <c r="D31" s="196">
        <f>(SUM(C25:C29)-D23)*'PIECE DENSITIES'!D6</f>
        <v>0</v>
      </c>
      <c r="E31" s="24" t="s">
        <v>121</v>
      </c>
      <c r="G31" s="114"/>
      <c r="I31" s="99"/>
      <c r="J31" s="201">
        <f>(SUM(I25:I29)-J23)*'PIECE DENSITIES'!D11</f>
        <v>0</v>
      </c>
      <c r="K31" s="24" t="s">
        <v>122</v>
      </c>
      <c r="L31"/>
      <c r="M31" s="20"/>
      <c r="O31" s="96">
        <f>SUM(N25:N29)*'PIECE DENSITIES'!D16</f>
        <v>0</v>
      </c>
      <c r="P31" s="24" t="s">
        <v>123</v>
      </c>
      <c r="Q31" s="109"/>
      <c r="S31" s="20"/>
      <c r="U31" s="20"/>
      <c r="Y31"/>
      <c r="Z31"/>
      <c r="AA31"/>
      <c r="AB31"/>
      <c r="AC31"/>
      <c r="AD31"/>
    </row>
    <row r="32" spans="1:30" ht="13" x14ac:dyDescent="0.3">
      <c r="A32" s="114"/>
      <c r="C32" s="89"/>
      <c r="D32" s="197">
        <f>(SUM(C25:C29)-D23)*'PIECE DENSITIES'!E6</f>
        <v>0</v>
      </c>
      <c r="E32" s="24" t="s">
        <v>124</v>
      </c>
      <c r="G32" s="114"/>
      <c r="I32" s="94"/>
      <c r="J32" s="202">
        <f>(SUM(I25:I29)-J23)*'PIECE DENSITIES'!E11</f>
        <v>0</v>
      </c>
      <c r="K32" s="24" t="s">
        <v>125</v>
      </c>
      <c r="L32"/>
      <c r="M32" s="20"/>
      <c r="N32" s="46"/>
      <c r="O32" s="97">
        <f>SUM(N25:N29)*'PIECE DENSITIES'!E16</f>
        <v>0</v>
      </c>
      <c r="P32" s="24" t="s">
        <v>126</v>
      </c>
      <c r="Q32" s="109"/>
      <c r="S32" s="20"/>
      <c r="U32" s="20"/>
      <c r="Y32"/>
      <c r="Z32"/>
      <c r="AA32"/>
      <c r="AB32"/>
      <c r="AC32"/>
      <c r="AD32"/>
    </row>
    <row r="33" spans="1:30" ht="13" x14ac:dyDescent="0.3">
      <c r="A33" s="114"/>
      <c r="C33" s="89"/>
      <c r="D33" s="197">
        <f>(SUM(C25:C29)-D23)*'PIECE DENSITIES'!F6</f>
        <v>0</v>
      </c>
      <c r="E33" s="24" t="s">
        <v>127</v>
      </c>
      <c r="G33" s="114"/>
      <c r="I33" s="94"/>
      <c r="J33" s="202">
        <f>(SUM(I25:I29)-J23)*'PIECE DENSITIES'!F11</f>
        <v>0</v>
      </c>
      <c r="K33" s="24" t="s">
        <v>128</v>
      </c>
      <c r="L33"/>
      <c r="M33" s="20"/>
      <c r="N33" s="46"/>
      <c r="O33" s="97">
        <f>SUM(N25:N29)*'PIECE DENSITIES'!F16</f>
        <v>0</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0</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0</v>
      </c>
      <c r="B42" s="199">
        <f>C42*(1+'ACCEPT RATES'!F15+'PIECE DENSITIES'!C7)</f>
        <v>0</v>
      </c>
      <c r="C42" s="198">
        <f>D30</f>
        <v>0</v>
      </c>
      <c r="G42" s="205">
        <f>IF(SUM(C11:C16)&gt;0,H42*(1-'ACCEPT RATES'!C20),H42*(1-'ACCEPT RATES'!D20))</f>
        <v>0</v>
      </c>
      <c r="H42" s="204">
        <f>I42*(1+'PIECE DENSITIES'!C12)</f>
        <v>0</v>
      </c>
      <c r="I42" s="203">
        <f>J30</f>
        <v>0</v>
      </c>
      <c r="J42" s="58"/>
      <c r="L42"/>
      <c r="M42" s="102">
        <f>N42</f>
        <v>0</v>
      </c>
      <c r="N42" s="101">
        <f>D36+J36+O30</f>
        <v>0</v>
      </c>
      <c r="P42" s="20"/>
      <c r="Q42" s="109"/>
      <c r="S42" s="20"/>
      <c r="U42" s="20"/>
      <c r="Y42"/>
      <c r="Z42"/>
      <c r="AA42"/>
      <c r="AB42"/>
      <c r="AC42"/>
      <c r="AD42"/>
    </row>
    <row r="43" spans="1:30" ht="13" x14ac:dyDescent="0.3">
      <c r="A43" s="114"/>
      <c r="C43" s="98"/>
      <c r="D43" s="196">
        <f>(SUM(C38:C42)-D36)*'PIECE DENSITIES'!D7</f>
        <v>0</v>
      </c>
      <c r="E43" s="24" t="s">
        <v>121</v>
      </c>
      <c r="G43" s="114"/>
      <c r="I43" s="99"/>
      <c r="J43" s="201">
        <f>(SUM(I38:I42)-J36)*'PIECE DENSITIES'!D12</f>
        <v>0</v>
      </c>
      <c r="K43" s="24" t="s">
        <v>122</v>
      </c>
      <c r="L43"/>
      <c r="M43" s="20"/>
      <c r="O43" s="96">
        <f>SUM(N38:N42)*'PIECE DENSITIES'!D17</f>
        <v>0</v>
      </c>
      <c r="P43" s="24" t="s">
        <v>123</v>
      </c>
      <c r="Q43" s="109"/>
      <c r="S43" s="20"/>
      <c r="U43" s="20"/>
      <c r="Y43"/>
      <c r="Z43"/>
      <c r="AA43"/>
      <c r="AB43"/>
      <c r="AC43"/>
      <c r="AD43"/>
    </row>
    <row r="44" spans="1:30" ht="13" x14ac:dyDescent="0.3">
      <c r="A44" s="114"/>
      <c r="C44" s="98"/>
      <c r="D44" s="196">
        <f>(SUM(C38:C42)-D36)*'PIECE DENSITIES'!E7</f>
        <v>0</v>
      </c>
      <c r="E44" s="24" t="s">
        <v>124</v>
      </c>
      <c r="G44" s="114"/>
      <c r="I44" s="99"/>
      <c r="J44" s="201">
        <f>(SUM(I38:I42)-J36)*'PIECE DENSITIES'!E12</f>
        <v>0</v>
      </c>
      <c r="K44" s="24" t="s">
        <v>125</v>
      </c>
      <c r="L44"/>
      <c r="M44" s="20"/>
      <c r="O44" s="96">
        <f>SUM(N38:N42)*'PIECE DENSITIES'!E17</f>
        <v>0</v>
      </c>
      <c r="P44" s="24" t="s">
        <v>126</v>
      </c>
      <c r="Q44" s="109"/>
      <c r="S44" s="20"/>
      <c r="U44" s="20"/>
      <c r="Y44"/>
      <c r="Z44"/>
      <c r="AA44"/>
      <c r="AB44"/>
      <c r="AC44"/>
      <c r="AD44"/>
    </row>
    <row r="45" spans="1:30" ht="13" x14ac:dyDescent="0.3">
      <c r="A45" s="114"/>
      <c r="C45" s="89"/>
      <c r="D45" s="197">
        <f>(SUM(C38:C42)-D36)*'PIECE DENSITIES'!F7</f>
        <v>0</v>
      </c>
      <c r="E45" s="24" t="s">
        <v>127</v>
      </c>
      <c r="G45" s="114"/>
      <c r="I45" s="94"/>
      <c r="J45" s="202">
        <f>(SUM(I38:I42)-J36)*'PIECE DENSITIES'!F12</f>
        <v>0</v>
      </c>
      <c r="K45" s="24" t="s">
        <v>128</v>
      </c>
      <c r="L45"/>
      <c r="M45" s="20"/>
      <c r="N45" s="46"/>
      <c r="O45" s="97">
        <f>SUM(N38:N42)*'PIECE DENSITIES'!F17</f>
        <v>0</v>
      </c>
      <c r="P45" s="24" t="s">
        <v>129</v>
      </c>
      <c r="Q45" s="109"/>
      <c r="S45" s="20"/>
      <c r="U45" s="20"/>
      <c r="Y45"/>
      <c r="Z45"/>
      <c r="AA45"/>
      <c r="AB45"/>
      <c r="AC45"/>
      <c r="AD45"/>
    </row>
    <row r="46" spans="1:30" ht="13" x14ac:dyDescent="0.3">
      <c r="A46" s="114"/>
      <c r="C46" s="89"/>
      <c r="D46" s="197">
        <f>(SUM(C38:C42)-D36)*'PIECE DENSITIES'!G7</f>
        <v>0</v>
      </c>
      <c r="E46" s="24" t="s">
        <v>130</v>
      </c>
      <c r="G46" s="114"/>
      <c r="I46" s="94"/>
      <c r="J46" s="202">
        <f>(SUM(I38:I42)-J36)*'PIECE DENSITIES'!G12</f>
        <v>0</v>
      </c>
      <c r="K46" s="24" t="s">
        <v>288</v>
      </c>
      <c r="L46"/>
      <c r="M46" s="20"/>
      <c r="N46" s="46"/>
      <c r="O46" s="97">
        <f>SUM(N38:N42)*'PIECE DENSITIES'!G17</f>
        <v>0</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0</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v>
      </c>
      <c r="B57" s="199">
        <f>C57*(1+'ACCEPT RATES'!F16+'PIECE DENSITIES'!D8)</f>
        <v>0</v>
      </c>
      <c r="C57" s="198">
        <f>(D31+D43)*('COVERAGE FACTORS'!E38+'COVERAGE FACTORS'!E42)</f>
        <v>0</v>
      </c>
      <c r="G57" s="210">
        <f>IF(SUM(C11:C16)&gt;0,H57*(1-'ACCEPT RATES'!C21),H57*(1-'ACCEPT RATES'!D21))</f>
        <v>0</v>
      </c>
      <c r="H57" s="209">
        <f>I57*(1+'PIECE DENSITIES'!D13)</f>
        <v>0</v>
      </c>
      <c r="I57" s="208">
        <f>(D31+D43)*'COVERAGE FACTORS'!E40+(J31+J43)*('COVERAGE FACTORS'!E40+'COVERAGE FACTORS'!E42)</f>
        <v>0</v>
      </c>
      <c r="J57" s="58"/>
      <c r="L57"/>
      <c r="M57" s="102">
        <f>N57</f>
        <v>0</v>
      </c>
      <c r="N57" s="101">
        <f>D51+J51+O31+O43+(D31+D43)*'COVERAGE FACTORS'!E44+(J31+J43)*(1-('COVERAGE FACTORS'!E40+'COVERAGE FACTORS'!E42))</f>
        <v>0</v>
      </c>
      <c r="P57" s="20"/>
      <c r="Q57" s="109"/>
      <c r="S57" s="20"/>
      <c r="U57" s="20"/>
      <c r="Y57"/>
      <c r="Z57"/>
      <c r="AA57"/>
      <c r="AB57"/>
      <c r="AC57"/>
      <c r="AD57"/>
    </row>
    <row r="58" spans="1:30" ht="13" x14ac:dyDescent="0.3">
      <c r="A58" s="114"/>
      <c r="C58" s="98"/>
      <c r="D58" s="196">
        <f>(SUM(C53:C57)-D51)*'PIECE DENSITIES'!E8</f>
        <v>0</v>
      </c>
      <c r="E58" s="24" t="s">
        <v>124</v>
      </c>
      <c r="G58" s="114"/>
      <c r="I58" s="99"/>
      <c r="J58" s="201">
        <f>(SUM(I53:I57)-J51)*'PIECE DENSITIES'!E13</f>
        <v>0</v>
      </c>
      <c r="K58" s="24" t="s">
        <v>125</v>
      </c>
      <c r="L58"/>
      <c r="M58" s="20"/>
      <c r="O58" s="96">
        <f>SUM(N53:N57)*'PIECE DENSITIES'!E18</f>
        <v>0</v>
      </c>
      <c r="P58" s="24" t="s">
        <v>126</v>
      </c>
      <c r="Q58" s="109"/>
      <c r="S58" s="20"/>
      <c r="U58" s="20"/>
      <c r="Y58"/>
      <c r="Z58"/>
      <c r="AA58"/>
      <c r="AB58"/>
      <c r="AC58"/>
      <c r="AD58"/>
    </row>
    <row r="59" spans="1:30" ht="13" x14ac:dyDescent="0.3">
      <c r="A59" s="114"/>
      <c r="C59" s="98"/>
      <c r="D59" s="196">
        <f>(SUM(C53:C57)-D51)*'PIECE DENSITIES'!F8</f>
        <v>0</v>
      </c>
      <c r="E59" s="24" t="s">
        <v>127</v>
      </c>
      <c r="G59" s="114"/>
      <c r="I59" s="99"/>
      <c r="J59" s="201">
        <f>(SUM(I53:I57)-J51)*'PIECE DENSITIES'!F13</f>
        <v>0</v>
      </c>
      <c r="K59" s="24" t="s">
        <v>128</v>
      </c>
      <c r="L59"/>
      <c r="M59" s="20"/>
      <c r="O59" s="96">
        <f>SUM(N53:N57)*'PIECE DENSITIES'!F18</f>
        <v>0</v>
      </c>
      <c r="P59" s="24" t="s">
        <v>129</v>
      </c>
      <c r="Q59" s="109"/>
      <c r="S59" s="20"/>
      <c r="U59" s="20"/>
      <c r="Y59"/>
      <c r="Z59"/>
      <c r="AA59"/>
      <c r="AB59"/>
      <c r="AC59"/>
      <c r="AD59"/>
    </row>
    <row r="60" spans="1:30" ht="13" x14ac:dyDescent="0.3">
      <c r="A60" s="114"/>
      <c r="C60" s="89"/>
      <c r="D60" s="197">
        <f>(SUM(C53:C57)-D51)*'PIECE DENSITIES'!G8</f>
        <v>0</v>
      </c>
      <c r="E60" s="24" t="s">
        <v>130</v>
      </c>
      <c r="G60" s="114"/>
      <c r="I60" s="94"/>
      <c r="J60" s="202">
        <f>(SUM(I53:I57)-J51)*'PIECE DENSITIES'!G13</f>
        <v>0</v>
      </c>
      <c r="K60" s="24" t="s">
        <v>288</v>
      </c>
      <c r="L60"/>
      <c r="M60" s="20"/>
      <c r="N60" s="46"/>
      <c r="O60" s="97">
        <f>SUM(N53:N57)*'PIECE DENSITIES'!G18</f>
        <v>0</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0</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0</v>
      </c>
      <c r="B68" s="211">
        <f>C68*(1+'ACCEPT RATES'!F17+'PIECE DENSITIES'!E9)</f>
        <v>0</v>
      </c>
      <c r="C68" s="212">
        <f>(D32+D44+D58)*('COVERAGE FACTORS'!E38+'COVERAGE FACTORS'!E42)</f>
        <v>0</v>
      </c>
      <c r="G68" s="205">
        <f>IF(SUM(C11:C16)&gt;0, H68*(1-'ACCEPT RATES'!C22),H68*(1-'ACCEPT RATES'!D22))</f>
        <v>0</v>
      </c>
      <c r="H68" s="204">
        <f>I68*(1+'PIECE DENSITIES'!E14)</f>
        <v>0</v>
      </c>
      <c r="I68" s="203">
        <f>(D32+D44+D58)*'COVERAGE FACTORS'!E40+(J32+J44+J58)*('COVERAGE FACTORS'!E40+'COVERAGE FACTORS'!E42)</f>
        <v>0</v>
      </c>
      <c r="J68" s="58"/>
      <c r="L68"/>
      <c r="M68" s="102">
        <f>N68</f>
        <v>0</v>
      </c>
      <c r="N68" s="101">
        <f>D62+J62+O32+O44+O58+(D32+D44+D58)*'COVERAGE FACTORS'!E44+(J32+J44+J58)*(1-('COVERAGE FACTORS'!E40+'COVERAGE FACTORS'!E42))</f>
        <v>0</v>
      </c>
      <c r="P68" s="20"/>
      <c r="Q68" s="109"/>
      <c r="S68" s="20"/>
      <c r="U68" s="20"/>
      <c r="Y68"/>
      <c r="Z68"/>
      <c r="AA68"/>
      <c r="AB68"/>
      <c r="AC68"/>
      <c r="AD68"/>
    </row>
    <row r="69" spans="1:30" ht="13" x14ac:dyDescent="0.3">
      <c r="A69" s="114"/>
      <c r="C69" s="98"/>
      <c r="D69" s="196">
        <f>(SUM(C64:C68)-D62)*'PIECE DENSITIES'!F9</f>
        <v>0</v>
      </c>
      <c r="E69" s="24" t="s">
        <v>127</v>
      </c>
      <c r="G69" s="114"/>
      <c r="I69" s="99"/>
      <c r="J69" s="201">
        <f>(SUM(I64:I68)-J62)*'PIECE DENSITIES'!F14</f>
        <v>0</v>
      </c>
      <c r="K69" s="24" t="s">
        <v>128</v>
      </c>
      <c r="L69"/>
      <c r="M69" s="20"/>
      <c r="O69" s="96">
        <f>SUM(N64:N68)*'PIECE DENSITIES'!F19</f>
        <v>0</v>
      </c>
      <c r="P69" s="24" t="s">
        <v>129</v>
      </c>
      <c r="Q69" s="109"/>
      <c r="S69" s="20"/>
      <c r="U69" s="20"/>
      <c r="Y69"/>
      <c r="Z69"/>
      <c r="AA69"/>
      <c r="AB69"/>
      <c r="AC69"/>
      <c r="AD69"/>
    </row>
    <row r="70" spans="1:30" ht="13" x14ac:dyDescent="0.3">
      <c r="A70" s="114"/>
      <c r="C70" s="98"/>
      <c r="D70" s="196">
        <f>(SUM(C64:C68)-D62)*'PIECE DENSITIES'!G9</f>
        <v>0</v>
      </c>
      <c r="E70" s="24" t="s">
        <v>130</v>
      </c>
      <c r="G70" s="114"/>
      <c r="I70" s="99"/>
      <c r="J70" s="201">
        <f>(SUM(I64:I68)-J62)*'PIECE DENSITIES'!G14</f>
        <v>0</v>
      </c>
      <c r="K70" s="24" t="s">
        <v>288</v>
      </c>
      <c r="L70"/>
      <c r="M70" s="20"/>
      <c r="O70" s="96">
        <f>SUM(N64:N68)*'PIECE DENSITIES'!G19</f>
        <v>0</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0</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0</v>
      </c>
      <c r="B78" s="211">
        <f>C78*(1+'ACCEPT RATES'!F17)</f>
        <v>0</v>
      </c>
      <c r="C78" s="212">
        <f>(D33+D45+D59+D69)*('COVERAGE FACTORS'!E38+'COVERAGE FACTORS'!E42)</f>
        <v>0</v>
      </c>
      <c r="G78" s="205">
        <f>IF(SUM(C11:C16)&gt;0,H78*(1-'ACCEPT RATES'!C22),H78*(1-'ACCEPT RATES'!D22))</f>
        <v>0</v>
      </c>
      <c r="H78" s="204">
        <f>I78</f>
        <v>0</v>
      </c>
      <c r="I78" s="203">
        <f>(D33+D45+D59+D69)*'COVERAGE FACTORS'!E40+(J33+J45+J59+J69)*('COVERAGE FACTORS'!E40+'COVERAGE FACTORS'!E42)</f>
        <v>0</v>
      </c>
      <c r="J78" s="58"/>
      <c r="L78"/>
      <c r="M78" s="102" t="e">
        <f ca="1">N78</f>
        <v>#VALUE!</v>
      </c>
      <c r="N78" s="294" t="e">
        <f ca="1">D72+J72+O33+O45+O59+O69+(D33+D45+D59+D69)*'COVERAGE FACTORS'!E44+(J33+J45+J59+J69)*(1-('COVERAGE FACTORS'!E40+'COVERAGE FACTORS'!E42))+D106</f>
        <v>#VALUE!</v>
      </c>
      <c r="P78" s="20"/>
      <c r="Q78" s="109"/>
      <c r="S78" s="20"/>
      <c r="U78" s="20"/>
      <c r="Y78"/>
      <c r="Z78"/>
      <c r="AA78"/>
      <c r="AB78"/>
      <c r="AC78"/>
      <c r="AD78"/>
    </row>
    <row r="79" spans="1:30" ht="13" x14ac:dyDescent="0.3">
      <c r="A79" s="114"/>
      <c r="C79" s="98"/>
      <c r="D79" s="196">
        <f>SUM(C74:C78)-D72</f>
        <v>0</v>
      </c>
      <c r="E79" s="24" t="s">
        <v>130</v>
      </c>
      <c r="G79" s="114"/>
      <c r="I79" s="99"/>
      <c r="J79" s="201">
        <f>SUM(I74:I78)-J72</f>
        <v>0</v>
      </c>
      <c r="K79" s="24" t="s">
        <v>288</v>
      </c>
      <c r="L79"/>
      <c r="M79" s="20"/>
      <c r="O79" s="96" t="e">
        <f ca="1">SUM(N74:N78)</f>
        <v>#VALUE!</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0</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0</v>
      </c>
      <c r="B84" s="86">
        <f>C84*(1+'ACCEPT RATES'!F17)</f>
        <v>0</v>
      </c>
      <c r="C84" s="85">
        <f>G16*(1-'COVERAGE FACTORS'!B119)</f>
        <v>0</v>
      </c>
      <c r="G84" s="194">
        <v>0</v>
      </c>
      <c r="H84" s="86">
        <f>I84</f>
        <v>0</v>
      </c>
      <c r="I84" s="85">
        <v>0</v>
      </c>
      <c r="J84" s="58"/>
      <c r="L84"/>
      <c r="M84" s="86">
        <f>N84</f>
        <v>0</v>
      </c>
      <c r="N84" s="85">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0</v>
      </c>
      <c r="B87" s="211">
        <f>C87*(1+'ACCEPT RATES'!F17)</f>
        <v>0</v>
      </c>
      <c r="C87" s="212">
        <f>(D34+D46+D60+D70+D79)*('COVERAGE FACTORS'!E54+'COVERAGE FACTORS'!E58)</f>
        <v>0</v>
      </c>
      <c r="G87" s="205">
        <v>0</v>
      </c>
      <c r="H87" s="204">
        <f>I87</f>
        <v>0</v>
      </c>
      <c r="I87" s="203">
        <f>(D34+D46+D60+D70+D79)*'COVERAGE FACTORS'!E56+(J34+J46+J60+J70+J79)*('COVERAGE FACTORS'!E56+'COVERAGE FACTORS'!E58)</f>
        <v>0</v>
      </c>
      <c r="J87" s="213"/>
      <c r="L87"/>
      <c r="M87" s="102" t="e">
        <f ca="1">N87</f>
        <v>#VALUE!</v>
      </c>
      <c r="N87" s="294" t="e">
        <f ca="1">D81+J81+(O34+O46+O60+O70+O79)+(D34+D46+D60+D70+D79)*'COVERAGE FACTORS'!E60+(J34+J46+J60+J70+J79)*(1-('COVERAGE FACTORS'!E56+'COVERAGE FACTORS'!E58))+D120</f>
        <v>#VALUE!</v>
      </c>
      <c r="P87" s="20"/>
      <c r="Q87" s="109"/>
      <c r="S87" s="20"/>
      <c r="U87" s="20"/>
      <c r="Y87"/>
      <c r="Z87"/>
      <c r="AA87"/>
      <c r="AB87"/>
      <c r="AC87"/>
      <c r="AD87"/>
    </row>
    <row r="88" spans="1:30" ht="13" x14ac:dyDescent="0.3">
      <c r="A88" s="114"/>
      <c r="C88" s="98"/>
      <c r="D88" s="103">
        <f>SUM(C83:C87)-D81</f>
        <v>0</v>
      </c>
      <c r="E88" s="24"/>
      <c r="G88" s="218"/>
      <c r="H88" s="214"/>
      <c r="I88" s="214"/>
      <c r="J88" s="215">
        <f>SUM(I83:I87)-J81</f>
        <v>0</v>
      </c>
      <c r="K88" s="24"/>
      <c r="L88"/>
      <c r="M88" s="20"/>
      <c r="O88" s="216" t="e">
        <f ca="1">SUM(N83:N87)</f>
        <v>#VALUE!</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t="e">
        <f ca="1">SUM(A95:A99)*(1-'ACCEPT RATES'!G24)+SUM(B95:B99)*'ACCEPT RATES'!J24</f>
        <v>#VALUE!</v>
      </c>
      <c r="E93" s="282" t="e">
        <f ca="1">SUM(B95:B99)*'ACCEPT RATES'!I24</f>
        <v>#VALUE!</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FACTORS'!B119</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t="e">
        <f ca="1">B99*(1-'ACCEPT RATES'!C24)</f>
        <v>#VALUE!</v>
      </c>
      <c r="B99" s="244" t="e">
        <f ca="1">C99*(1+'ACCEPT RATES'!F17)</f>
        <v>#VALUE!</v>
      </c>
      <c r="C99" s="287" t="e">
        <f ca="1">(D16+D34+D46+D60+D70+D79)*'COVERAGE FACTORS'!E52+D114</f>
        <v>#VALUE!</v>
      </c>
    </row>
    <row r="100" spans="1:11" x14ac:dyDescent="0.25">
      <c r="D100" s="242" t="e">
        <f ca="1">SUM(C95:C99)-D93-E93</f>
        <v>#VALUE!</v>
      </c>
    </row>
    <row r="101" spans="1:11" ht="13" x14ac:dyDescent="0.3">
      <c r="D101" s="23" t="s">
        <v>369</v>
      </c>
    </row>
    <row r="105" spans="1:11" ht="13" x14ac:dyDescent="0.3">
      <c r="D105" s="23"/>
    </row>
    <row r="106" spans="1:11" ht="13" x14ac:dyDescent="0.3">
      <c r="A106" s="114"/>
      <c r="D106" s="285" t="e">
        <f ca="1">A112*(1-'ACCEPT RATES'!G17)+B112*('ACCEPT RATES'!I17+'ACCEPT RATES'!J17)</f>
        <v>#VALUE!</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t="e">
        <f ca="1">B112*(1-'ACCEPT RATES'!$C$17)</f>
        <v>#VALUE!</v>
      </c>
      <c r="B112" s="289" t="e">
        <f ca="1">C112*(1+'ACCEPT RATES'!$F$17)</f>
        <v>#VALUE!</v>
      </c>
      <c r="C112" s="290" t="e">
        <f ca="1">E93</f>
        <v>#VALUE!</v>
      </c>
      <c r="G112" s="482"/>
      <c r="H112" s="482"/>
      <c r="I112" s="482"/>
      <c r="J112" s="482"/>
      <c r="K112" s="482"/>
    </row>
    <row r="113" spans="1:11" ht="13" x14ac:dyDescent="0.3">
      <c r="A113" s="114"/>
      <c r="C113" s="120"/>
      <c r="D113" s="293" t="e">
        <f ca="1">($C$112-$D$106)*(1-'COVERAGE FACTORS'!$E$80)</f>
        <v>#VALUE!</v>
      </c>
      <c r="E113" s="24" t="s">
        <v>130</v>
      </c>
      <c r="G113" s="482"/>
      <c r="H113" s="482"/>
      <c r="I113" s="482"/>
      <c r="J113" s="482"/>
      <c r="K113" s="482"/>
    </row>
    <row r="114" spans="1:11" ht="13" x14ac:dyDescent="0.3">
      <c r="A114" s="114"/>
      <c r="C114" s="120"/>
      <c r="D114" s="293" t="e">
        <f ca="1">($C$112-$D$106)*'COVERAGE FACTORS'!$E$80</f>
        <v>#VALUE!</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t="e">
        <f ca="1">A126*'ACCEPT RATES'!H17+B126*('ACCEPT RATES'!I17+'ACCEPT RATES'!J17)</f>
        <v>#VALUE!</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t="e">
        <f ca="1">B126*(1-'ACCEPT RATES'!$C$17)</f>
        <v>#VALUE!</v>
      </c>
      <c r="B126" s="289" t="e">
        <f ca="1">C126*(1+'ACCEPT RATES'!$F$17)</f>
        <v>#VALUE!</v>
      </c>
      <c r="C126" s="290" t="e">
        <f ca="1">$D$93+$D$113</f>
        <v>#VALUE!</v>
      </c>
    </row>
    <row r="127" spans="1:11" ht="13" x14ac:dyDescent="0.3">
      <c r="A127" s="122"/>
      <c r="C127" s="120"/>
      <c r="D127" s="292" t="e">
        <f ca="1">C126-D120</f>
        <v>#VALUE!</v>
      </c>
      <c r="E127" s="24"/>
    </row>
    <row r="128" spans="1:11" ht="13" x14ac:dyDescent="0.3">
      <c r="A128" s="122"/>
      <c r="D128" s="23" t="s">
        <v>142</v>
      </c>
      <c r="E128" s="24"/>
    </row>
  </sheetData>
  <mergeCells count="2">
    <mergeCell ref="D91:E91"/>
    <mergeCell ref="G106:K113"/>
  </mergeCells>
  <pageMargins left="0.7" right="0.7" top="0.75" bottom="0.75" header="0.3" footer="0.3"/>
  <pageSetup scale="41" orientation="portrait" r:id="rId1"/>
  <drawing r:id="rId2"/>
</worksheet>
</file>

<file path=xl/worksheets/sheet2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498</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C11*$J11/'5D NONAUTO MODEL'!$G$6</f>
        <v>0</v>
      </c>
    </row>
    <row r="12" spans="1:11" ht="13" x14ac:dyDescent="0.3">
      <c r="A12" s="36"/>
      <c r="B12" t="s">
        <v>529</v>
      </c>
      <c r="C12" s="151">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C12*$J12/'5D NONAUTO MODEL'!$G$6</f>
        <v>0</v>
      </c>
    </row>
    <row r="13" spans="1:11" ht="13" x14ac:dyDescent="0.3">
      <c r="A13" s="36"/>
      <c r="B13" t="s">
        <v>70</v>
      </c>
      <c r="C13" s="151">
        <v>0</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C13*$J13/'5D NONAUTO MODEL'!$G$6</f>
        <v>0</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v>0</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C16*$J16/'5D NONAUTO MODEL'!$G$6</f>
        <v>0</v>
      </c>
    </row>
    <row r="17" spans="1:11" ht="13" x14ac:dyDescent="0.3">
      <c r="A17" s="1"/>
      <c r="B17" t="s">
        <v>529</v>
      </c>
      <c r="C17" s="151">
        <v>0</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C17*$J17/'5D NONAUTO MODEL'!$G$6</f>
        <v>0</v>
      </c>
    </row>
    <row r="18" spans="1:11" ht="13" x14ac:dyDescent="0.3">
      <c r="A18" s="1"/>
      <c r="B18" t="s">
        <v>70</v>
      </c>
      <c r="C18" s="151">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C18*$J18/'5D NONAUTO MODEL'!$G$6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v>0</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C21*$J21/'5D NONAUTO MODEL'!$G$6</f>
        <v>0</v>
      </c>
    </row>
    <row r="22" spans="1:11" ht="13" x14ac:dyDescent="0.3">
      <c r="A22" s="1"/>
      <c r="B22" t="s">
        <v>529</v>
      </c>
      <c r="C22" s="151">
        <v>0</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C22*$J22/'5D NONAUTO MODEL'!$G$6</f>
        <v>0</v>
      </c>
    </row>
    <row r="23" spans="1:11" ht="13" x14ac:dyDescent="0.3">
      <c r="A23" s="1"/>
      <c r="B23" t="s">
        <v>70</v>
      </c>
      <c r="C23" s="151">
        <v>0</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C23*$J23/'5D NONAUTO MODEL'!$G$6</f>
        <v>0</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v>0</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C26*$J26/'5D NONAUTO MODEL'!$G$6</f>
        <v>0</v>
      </c>
    </row>
    <row r="27" spans="1:11" ht="13" x14ac:dyDescent="0.3">
      <c r="A27" s="1"/>
      <c r="B27" t="s">
        <v>529</v>
      </c>
      <c r="C27" s="151">
        <v>0</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C27*$J27/'5D NONAUTO MODEL'!$G$6</f>
        <v>0</v>
      </c>
    </row>
    <row r="28" spans="1:11" ht="13" x14ac:dyDescent="0.3">
      <c r="A28" s="1"/>
      <c r="B28" t="s">
        <v>70</v>
      </c>
      <c r="C28" s="151">
        <v>0</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C28*$J28/'5D NONAUTO MODEL'!$G$6</f>
        <v>0</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SUM('FSS SCHEME NONAUTO MODEL'!$B$25:$B$29)</f>
        <v>0</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C31*$J31/'5D NONAUTO MODEL'!$G$6</f>
        <v>0</v>
      </c>
    </row>
    <row r="32" spans="1:11" ht="13" x14ac:dyDescent="0.3">
      <c r="A32" s="36"/>
      <c r="B32" t="s">
        <v>244</v>
      </c>
      <c r="C32" s="2">
        <f>SUM('FSS SCHEME NONAUTO MODEL'!$A$25:$A$29)</f>
        <v>0</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C32*$J32/'5D NONAUTO MODEL'!$G$6</f>
        <v>0</v>
      </c>
    </row>
    <row r="33" spans="1:11" ht="13" x14ac:dyDescent="0.3">
      <c r="A33" s="36"/>
      <c r="B33" t="s">
        <v>291</v>
      </c>
      <c r="C33" s="2">
        <f>SUM('FSS SCHEME NONAUTO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C33*$J33/'5D NONAUTO MODEL'!$G$6</f>
        <v>0</v>
      </c>
    </row>
    <row r="34" spans="1:11" x14ac:dyDescent="0.25">
      <c r="B34" t="s">
        <v>292</v>
      </c>
      <c r="C34" s="2">
        <f>SUM('FSS SCHEME NONAUTO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C34*$J34/'5D NONAUTO MODEL'!$G$6</f>
        <v>0</v>
      </c>
    </row>
    <row r="35" spans="1:11" x14ac:dyDescent="0.25">
      <c r="B35" t="s">
        <v>70</v>
      </c>
      <c r="C35" s="2">
        <f>SUM('FSS SCHEME NONAUTO MODEL'!$M$25:$M$29)</f>
        <v>0</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C35*$J35/'5D NONAUTO MODEL'!$G$6</f>
        <v>0</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SUM('FSS SCHEME NONAUTO MODEL'!$B$38:$B$42)</f>
        <v>0</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C38*$J38/'5D NONAUTO MODEL'!$G$6</f>
        <v>0</v>
      </c>
    </row>
    <row r="39" spans="1:11" ht="13" x14ac:dyDescent="0.3">
      <c r="A39" s="36"/>
      <c r="B39" t="s">
        <v>244</v>
      </c>
      <c r="C39" s="2">
        <f>SUM('FSS SCHEME NONAUTO MODEL'!$A$38:$A$42)</f>
        <v>0</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C39*$J39/'5D NONAUTO MODEL'!$G$6</f>
        <v>0</v>
      </c>
    </row>
    <row r="40" spans="1:11" x14ac:dyDescent="0.25">
      <c r="B40" t="s">
        <v>291</v>
      </c>
      <c r="C40" s="2">
        <f>SUM('FSS SCHEME NONAUTO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C40*$J40/'5D NONAUTO MODEL'!$G$6</f>
        <v>0</v>
      </c>
    </row>
    <row r="41" spans="1:11" x14ac:dyDescent="0.25">
      <c r="B41" t="s">
        <v>292</v>
      </c>
      <c r="C41" s="2">
        <f>SUM('FSS SCHEME NONAUTO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C41*$J41/'5D NONAUTO MODEL'!$G$6</f>
        <v>0</v>
      </c>
    </row>
    <row r="42" spans="1:11" x14ac:dyDescent="0.25">
      <c r="B42" t="s">
        <v>70</v>
      </c>
      <c r="C42" s="2">
        <f>SUM('FSS SCHEME NONAUTO MODEL'!$M$38:$M$42)</f>
        <v>0</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C42*$J42/'5D NONAUTO MODEL'!$G$6</f>
        <v>0</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SUM('FSS SCHEME NONAUTO MODEL'!$B$53:$B$57)</f>
        <v>0</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C45*$J45/'5D NONAUTO MODEL'!$G$6</f>
        <v>0</v>
      </c>
    </row>
    <row r="46" spans="1:11" ht="13" x14ac:dyDescent="0.3">
      <c r="A46" s="36"/>
      <c r="B46" t="s">
        <v>244</v>
      </c>
      <c r="C46" s="2">
        <f>SUM('FSS SCHEME NONAUTO MODEL'!$A$53:$A$57)</f>
        <v>0</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C46*$J46/'5D NONAUTO MODEL'!$G$6</f>
        <v>0</v>
      </c>
    </row>
    <row r="47" spans="1:11" x14ac:dyDescent="0.25">
      <c r="B47" t="s">
        <v>291</v>
      </c>
      <c r="C47" s="2">
        <f>SUM('FSS SCHEME NONAUTO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C47*$J47/'5D NONAUTO MODEL'!$G$6</f>
        <v>0</v>
      </c>
    </row>
    <row r="48" spans="1:11" x14ac:dyDescent="0.25">
      <c r="B48" t="s">
        <v>292</v>
      </c>
      <c r="C48" s="2">
        <f>SUM('FSS SCHEME NONAUTO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C48*$J48/'5D NONAUTO MODEL'!$G$6</f>
        <v>0</v>
      </c>
    </row>
    <row r="49" spans="1:11" x14ac:dyDescent="0.25">
      <c r="B49" t="s">
        <v>70</v>
      </c>
      <c r="C49" s="2">
        <f>SUM('FSS SCHEME NONAUTO MODEL'!$M$53:$M$57)</f>
        <v>0</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C49*$J49/'5D NONAUTO MODEL'!$G$6</f>
        <v>0</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SUM('FSS SCHEME NONAUTO MODEL'!$B$64:$B$68)</f>
        <v>0</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C52*$J52/'5D NONAUTO MODEL'!$G$6</f>
        <v>0</v>
      </c>
    </row>
    <row r="53" spans="1:11" ht="13" x14ac:dyDescent="0.3">
      <c r="A53" s="36"/>
      <c r="B53" t="s">
        <v>244</v>
      </c>
      <c r="C53" s="2">
        <f>SUM('FSS SCHEME NONAUTO MODEL'!$A$64:$A$68)</f>
        <v>0</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C53*$J53/'5D NONAUTO MODEL'!$G$6</f>
        <v>0</v>
      </c>
    </row>
    <row r="54" spans="1:11" x14ac:dyDescent="0.25">
      <c r="B54" t="s">
        <v>291</v>
      </c>
      <c r="C54" s="2">
        <f>SUM('FSS SCHEME NONAUTO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C54*$J54/'5D NONAUTO MODEL'!$G$6</f>
        <v>0</v>
      </c>
    </row>
    <row r="55" spans="1:11" x14ac:dyDescent="0.25">
      <c r="B55" t="s">
        <v>292</v>
      </c>
      <c r="C55" s="2">
        <f>SUM('FSS SCHEME NONAUTO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C55*$J55/'5D NONAUTO MODEL'!$G$6</f>
        <v>0</v>
      </c>
    </row>
    <row r="56" spans="1:11" x14ac:dyDescent="0.25">
      <c r="B56" t="s">
        <v>70</v>
      </c>
      <c r="C56" s="2">
        <f>SUM('FSS SCHEME NONAUTO MODEL'!$M$64:$M$68)</f>
        <v>0</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C56*$J56/'5D NONAUTO MODEL'!$G$6</f>
        <v>0</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 ca="1">SUM('FSS SCHEME NONAUTO MODEL'!$B$74:$B$78)+SUM('FSS SCHEME NONAUTO MODEL'!$B$108:$B$112)</f>
        <v>0</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C59*$J59/'5D NONAUTO MODEL'!$G$6</f>
        <v>0</v>
      </c>
    </row>
    <row r="60" spans="1:11" ht="13" x14ac:dyDescent="0.3">
      <c r="A60" s="36"/>
      <c r="B60" t="s">
        <v>244</v>
      </c>
      <c r="C60" s="2">
        <f ca="1">SUM('FSS SCHEME NONAUTO MODEL'!$A$74:$A$78)+SUM('FSS SCHEME NONAUTO MODEL'!$A$108:$A$112)</f>
        <v>0</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C60*$J60/'5D NONAUTO MODEL'!$G$6</f>
        <v>0</v>
      </c>
    </row>
    <row r="61" spans="1:11" x14ac:dyDescent="0.25">
      <c r="B61" t="s">
        <v>291</v>
      </c>
      <c r="C61" s="2">
        <f>SUM('FSS SCHEME NONAUTO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C61*$J61/'5D NONAUTO MODEL'!$G$6</f>
        <v>0</v>
      </c>
    </row>
    <row r="62" spans="1:11" x14ac:dyDescent="0.25">
      <c r="B62" t="s">
        <v>292</v>
      </c>
      <c r="C62" s="2">
        <f>SUM('FSS SCHEME NONAUTO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C62*$J62/'5D NONAUTO MODEL'!$G$6</f>
        <v>0</v>
      </c>
    </row>
    <row r="63" spans="1:11" x14ac:dyDescent="0.25">
      <c r="B63" t="s">
        <v>70</v>
      </c>
      <c r="C63" s="2">
        <f ca="1">SUM('FSS SCHEME NONAUTO MODEL'!$M$74:$M$78)</f>
        <v>0</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C63*$J63/'5D NONAUTO MODEL'!$G$6</f>
        <v>0</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 ca="1">SUM('FSS SCHEME NONAUTO MODEL'!$B$83:$B$87)+SUM('FSS SCHEME NONAUTO MODEL'!$B$122:$B$126)</f>
        <v>10097.27355586064</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C66*$J66/'5D NONAUTO MODEL'!$G$6</f>
        <v>4.3720427457053326</v>
      </c>
    </row>
    <row r="67" spans="1:11" ht="13" x14ac:dyDescent="0.3">
      <c r="A67" s="36"/>
      <c r="B67" t="s">
        <v>244</v>
      </c>
      <c r="C67" s="2">
        <f ca="1">SUM('FSS SCHEME NONAUTO MODEL'!$A$83:$A$87)+SUM('FSS SCHEME NONAUTO MODEL'!$A$122:$A$126)</f>
        <v>2662.4918073542908</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C67*$J67/'5D NONAUTO MODEL'!$G$6</f>
        <v>2.0077025948799383</v>
      </c>
    </row>
    <row r="68" spans="1:11" x14ac:dyDescent="0.25">
      <c r="B68" t="s">
        <v>291</v>
      </c>
      <c r="C68" s="2">
        <f>SUM('FSS SCHEME NONAUTO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C68*$J68/'5D NONAUTO MODEL'!$G$6</f>
        <v>0</v>
      </c>
    </row>
    <row r="69" spans="1:11" x14ac:dyDescent="0.25">
      <c r="B69" t="s">
        <v>292</v>
      </c>
      <c r="C69" s="2">
        <f>SUM('FSS SCHEME NONAUTO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C69*$J69/'5D NONAUTO MODEL'!$G$6</f>
        <v>0</v>
      </c>
    </row>
    <row r="70" spans="1:11" x14ac:dyDescent="0.25">
      <c r="B70" t="s">
        <v>70</v>
      </c>
      <c r="C70" s="2">
        <f ca="1">SUM('FSS SCHEME NONAUTO MODEL'!$M$83:$M$87)</f>
        <v>647.18791280280425</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C70*$J70/'5D NONAUTO MODEL'!$G$6</f>
        <v>0.64171775857115221</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 ca="1">SUM('FSS SCHEME NONAUTO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C74*$J74/'5D NONAUTO MODEL'!$G$6</f>
        <v>0</v>
      </c>
    </row>
    <row r="76" spans="1:11" x14ac:dyDescent="0.25">
      <c r="B76" s="155" t="s">
        <v>486</v>
      </c>
      <c r="C76" s="2">
        <v>0</v>
      </c>
      <c r="D76" s="2">
        <f>PRODUCTIVITIES!$C$49*'FY VOLUME NONAUTO'!C64</f>
        <v>2715.1276544410266</v>
      </c>
      <c r="E76" s="38">
        <f>'WAGE RATES'!$C$6</f>
        <v>50.10717457546064</v>
      </c>
      <c r="F76" s="42">
        <f t="shared" ref="F76:F77" si="0">E76*100/D76</f>
        <v>1.845481353095952</v>
      </c>
      <c r="G76" s="42">
        <f>PIGGYBACKS!B13</f>
        <v>1.6305774272183733</v>
      </c>
      <c r="H76" s="42">
        <f>'WAGE RATES'!$C$9</f>
        <v>0.9752031228402912</v>
      </c>
      <c r="I76" s="42">
        <f t="shared" ref="I76:I77" si="1">(H76-1)*F76</f>
        <v>-4.5762174413253497E-2</v>
      </c>
      <c r="J76" s="42">
        <f t="shared" ref="J76:J77" si="2">F76*G76+I76</f>
        <v>2.9634380622974263</v>
      </c>
      <c r="K76" s="42">
        <f ca="1">C76*$J76/'5D AUTO MODEL'!$G$6</f>
        <v>0</v>
      </c>
    </row>
    <row r="77" spans="1:11" x14ac:dyDescent="0.25">
      <c r="B77" s="155" t="s">
        <v>491</v>
      </c>
      <c r="C77" s="2">
        <f ca="1">SUM(C31,C33,C34,C38,C40,C41,C45,C47,C48,C52,C54,C55,C59,C61,C62,C66,C68,C69)-C76</f>
        <v>10097.27355586064</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3.8547449790726001</v>
      </c>
    </row>
    <row r="78" spans="1:11" ht="13.5" thickBot="1" x14ac:dyDescent="0.35">
      <c r="F78" s="42"/>
      <c r="H78" s="42"/>
      <c r="I78" s="42"/>
      <c r="J78" s="42"/>
      <c r="K78" s="41" t="str">
        <f>"(10)"</f>
        <v>(10)</v>
      </c>
    </row>
    <row r="79" spans="1:11" ht="13.5" thickBot="1" x14ac:dyDescent="0.35">
      <c r="F79" s="42"/>
      <c r="H79" s="42"/>
      <c r="I79" s="42"/>
      <c r="J79" s="142" t="s">
        <v>78</v>
      </c>
      <c r="K79" s="143">
        <f ca="1">SUM(K11:K77)</f>
        <v>10.876208078229023</v>
      </c>
    </row>
    <row r="80" spans="1:11" ht="13.5" thickBot="1" x14ac:dyDescent="0.35">
      <c r="J80" s="142" t="s">
        <v>485</v>
      </c>
      <c r="K80" s="143">
        <f ca="1">SUM(K31,K33,K34,K38,K40,K41,K45,K47,K48,K52,K54,K55,K59,K61,K62,K66,K68,K69,K76,K77)</f>
        <v>8.2267877247779317</v>
      </c>
    </row>
    <row r="83" spans="1:8" ht="13" x14ac:dyDescent="0.3">
      <c r="A83" s="145" t="str">
        <f>"(1)"</f>
        <v>(1)</v>
      </c>
      <c r="B83" s="1" t="s">
        <v>405</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scale="62" orientation="portrait" r:id="rId1"/>
  <ignoredErrors>
    <ignoredError sqref="E4" numberStoredAsText="1"/>
  </ignoredErrors>
</worksheet>
</file>

<file path=xl/worksheets/sheet2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'FSS SCHEME NONAUTO COST'!A1</f>
        <v>FSS SCHEME NONAUTO PRESORT</v>
      </c>
    </row>
    <row r="2" spans="1:30" ht="23" x14ac:dyDescent="0.5">
      <c r="A2" s="57" t="s">
        <v>84</v>
      </c>
    </row>
    <row r="6" spans="1:30" s="228" customFormat="1" ht="18" x14ac:dyDescent="0.4">
      <c r="A6" s="48" t="s">
        <v>85</v>
      </c>
      <c r="B6" s="226"/>
      <c r="C6" s="49">
        <f>SUM(C11:C16)+SUM(G11:G16)+SUM(K11:K16)+SUM(O11:O16)</f>
        <v>10000</v>
      </c>
      <c r="D6" s="227"/>
      <c r="E6" s="48" t="s">
        <v>86</v>
      </c>
      <c r="F6" s="226"/>
      <c r="G6" s="49">
        <f ca="1">D88+J88+O88+D100+D127</f>
        <v>10000</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G10" s="19"/>
      <c r="H10" s="26"/>
      <c r="J10" s="18"/>
      <c r="K10" s="18"/>
      <c r="N10" s="18"/>
      <c r="Q10" s="18"/>
      <c r="R10" s="18"/>
      <c r="V10" s="18"/>
      <c r="W10" s="18"/>
      <c r="X10" s="18"/>
      <c r="Y10" s="18"/>
      <c r="AA10" s="18"/>
      <c r="AC10" s="18"/>
      <c r="AD10" s="18"/>
    </row>
    <row r="11" spans="1:30" ht="13" x14ac:dyDescent="0.3">
      <c r="A11" s="25"/>
      <c r="B11" s="67" t="s">
        <v>88</v>
      </c>
      <c r="C11" s="68">
        <v>0</v>
      </c>
      <c r="D11" s="59"/>
      <c r="E11" s="28"/>
      <c r="F11" s="61" t="s">
        <v>89</v>
      </c>
      <c r="G11" s="64">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v>0</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v>10000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v>
      </c>
      <c r="N29" s="206">
        <f>D23+J23</f>
        <v>0</v>
      </c>
      <c r="P29" s="20"/>
      <c r="Q29" s="109"/>
      <c r="S29" s="20"/>
      <c r="U29" s="20"/>
      <c r="Y29"/>
      <c r="Z29"/>
      <c r="AA29"/>
      <c r="AB29"/>
      <c r="AC29"/>
      <c r="AD29"/>
    </row>
    <row r="30" spans="1:30" ht="13" x14ac:dyDescent="0.3">
      <c r="A30" s="114"/>
      <c r="C30" s="98"/>
      <c r="D30" s="196">
        <f>(SUM(C25:C29)-D23)*'PIECE DENSITIES'!C6</f>
        <v>0</v>
      </c>
      <c r="E30" s="24" t="s">
        <v>290</v>
      </c>
      <c r="G30" s="114"/>
      <c r="I30" s="99"/>
      <c r="J30" s="201">
        <f>(SUM(I25:I29)-J23)*'PIECE DENSITIES'!C11</f>
        <v>0</v>
      </c>
      <c r="K30" s="24" t="s">
        <v>289</v>
      </c>
      <c r="L30"/>
      <c r="M30" s="20"/>
      <c r="O30" s="96">
        <f>SUM(N25:N29)*'PIECE DENSITIES'!C16</f>
        <v>0</v>
      </c>
      <c r="P30" s="24" t="s">
        <v>120</v>
      </c>
      <c r="Q30" s="109"/>
      <c r="S30" s="20"/>
      <c r="U30" s="20"/>
      <c r="Y30"/>
      <c r="Z30"/>
      <c r="AA30"/>
      <c r="AB30"/>
      <c r="AC30"/>
      <c r="AD30"/>
    </row>
    <row r="31" spans="1:30" ht="13" x14ac:dyDescent="0.3">
      <c r="A31" s="114"/>
      <c r="C31" s="98"/>
      <c r="D31" s="196">
        <f>(SUM(C25:C29)-D23)*'PIECE DENSITIES'!D6</f>
        <v>0</v>
      </c>
      <c r="E31" s="24" t="s">
        <v>121</v>
      </c>
      <c r="G31" s="114"/>
      <c r="I31" s="99"/>
      <c r="J31" s="201">
        <f>(SUM(I25:I29)-J23)*'PIECE DENSITIES'!D11</f>
        <v>0</v>
      </c>
      <c r="K31" s="24" t="s">
        <v>122</v>
      </c>
      <c r="L31"/>
      <c r="M31" s="20"/>
      <c r="O31" s="96">
        <f>SUM(N25:N29)*'PIECE DENSITIES'!D16</f>
        <v>0</v>
      </c>
      <c r="P31" s="24" t="s">
        <v>123</v>
      </c>
      <c r="Q31" s="109"/>
      <c r="S31" s="20"/>
      <c r="U31" s="20"/>
      <c r="Y31"/>
      <c r="Z31"/>
      <c r="AA31"/>
      <c r="AB31"/>
      <c r="AC31"/>
      <c r="AD31"/>
    </row>
    <row r="32" spans="1:30" ht="13" x14ac:dyDescent="0.3">
      <c r="A32" s="114"/>
      <c r="C32" s="89"/>
      <c r="D32" s="197">
        <f>(SUM(C25:C29)-D23)*'PIECE DENSITIES'!E6</f>
        <v>0</v>
      </c>
      <c r="E32" s="24" t="s">
        <v>124</v>
      </c>
      <c r="G32" s="114"/>
      <c r="I32" s="94"/>
      <c r="J32" s="202">
        <f>(SUM(I25:I29)-J23)*'PIECE DENSITIES'!E11</f>
        <v>0</v>
      </c>
      <c r="K32" s="24" t="s">
        <v>125</v>
      </c>
      <c r="L32"/>
      <c r="M32" s="20"/>
      <c r="N32" s="46"/>
      <c r="O32" s="97">
        <f>SUM(N25:N29)*'PIECE DENSITIES'!E16</f>
        <v>0</v>
      </c>
      <c r="P32" s="24" t="s">
        <v>126</v>
      </c>
      <c r="Q32" s="109"/>
      <c r="S32" s="20"/>
      <c r="U32" s="20"/>
      <c r="Y32"/>
      <c r="Z32"/>
      <c r="AA32"/>
      <c r="AB32"/>
      <c r="AC32"/>
      <c r="AD32"/>
    </row>
    <row r="33" spans="1:30" ht="13" x14ac:dyDescent="0.3">
      <c r="A33" s="114"/>
      <c r="C33" s="89"/>
      <c r="D33" s="197">
        <f>(SUM(C25:C29)-D23)*'PIECE DENSITIES'!F6</f>
        <v>0</v>
      </c>
      <c r="E33" s="24" t="s">
        <v>127</v>
      </c>
      <c r="G33" s="114"/>
      <c r="I33" s="94"/>
      <c r="J33" s="202">
        <f>(SUM(I25:I29)-J23)*'PIECE DENSITIES'!F11</f>
        <v>0</v>
      </c>
      <c r="K33" s="24" t="s">
        <v>128</v>
      </c>
      <c r="L33"/>
      <c r="M33" s="20"/>
      <c r="N33" s="46"/>
      <c r="O33" s="97">
        <f>SUM(N25:N29)*'PIECE DENSITIES'!F16</f>
        <v>0</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0</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0</v>
      </c>
      <c r="B42" s="199">
        <f>C42*(1+'ACCEPT RATES'!F15+'PIECE DENSITIES'!C7)</f>
        <v>0</v>
      </c>
      <c r="C42" s="198">
        <f>D30</f>
        <v>0</v>
      </c>
      <c r="G42" s="205">
        <f>IF(SUM(C11:C16)&gt;0,H42*(1-'ACCEPT RATES'!C20),H42*(1-'ACCEPT RATES'!D20))</f>
        <v>0</v>
      </c>
      <c r="H42" s="204">
        <f>I42*(1+'PIECE DENSITIES'!C12)</f>
        <v>0</v>
      </c>
      <c r="I42" s="203">
        <f>J30</f>
        <v>0</v>
      </c>
      <c r="J42" s="58"/>
      <c r="L42"/>
      <c r="M42" s="102">
        <f>N42</f>
        <v>0</v>
      </c>
      <c r="N42" s="101">
        <f>D36+J36+O30</f>
        <v>0</v>
      </c>
      <c r="P42" s="20"/>
      <c r="Q42" s="109"/>
      <c r="S42" s="20"/>
      <c r="U42" s="20"/>
      <c r="Y42"/>
      <c r="Z42"/>
      <c r="AA42"/>
      <c r="AB42"/>
      <c r="AC42"/>
      <c r="AD42"/>
    </row>
    <row r="43" spans="1:30" ht="13" x14ac:dyDescent="0.3">
      <c r="A43" s="114"/>
      <c r="C43" s="98"/>
      <c r="D43" s="196">
        <f>(SUM(C38:C42)-D36)*'PIECE DENSITIES'!D7</f>
        <v>0</v>
      </c>
      <c r="E43" s="24" t="s">
        <v>121</v>
      </c>
      <c r="G43" s="114"/>
      <c r="I43" s="99"/>
      <c r="J43" s="201">
        <f>(SUM(I38:I42)-J36)*'PIECE DENSITIES'!D12</f>
        <v>0</v>
      </c>
      <c r="K43" s="24" t="s">
        <v>122</v>
      </c>
      <c r="L43"/>
      <c r="M43" s="20"/>
      <c r="O43" s="96">
        <f>SUM(N38:N42)*'PIECE DENSITIES'!D17</f>
        <v>0</v>
      </c>
      <c r="P43" s="24" t="s">
        <v>123</v>
      </c>
      <c r="Q43" s="109"/>
      <c r="S43" s="20"/>
      <c r="U43" s="20"/>
      <c r="Y43"/>
      <c r="Z43"/>
      <c r="AA43"/>
      <c r="AB43"/>
      <c r="AC43"/>
      <c r="AD43"/>
    </row>
    <row r="44" spans="1:30" ht="13" x14ac:dyDescent="0.3">
      <c r="A44" s="114"/>
      <c r="C44" s="98"/>
      <c r="D44" s="196">
        <f>(SUM(C38:C42)-D36)*'PIECE DENSITIES'!E7</f>
        <v>0</v>
      </c>
      <c r="E44" s="24" t="s">
        <v>124</v>
      </c>
      <c r="G44" s="114"/>
      <c r="I44" s="99"/>
      <c r="J44" s="201">
        <f>(SUM(I38:I42)-J36)*'PIECE DENSITIES'!E12</f>
        <v>0</v>
      </c>
      <c r="K44" s="24" t="s">
        <v>125</v>
      </c>
      <c r="L44"/>
      <c r="M44" s="20"/>
      <c r="O44" s="96">
        <f>SUM(N38:N42)*'PIECE DENSITIES'!E17</f>
        <v>0</v>
      </c>
      <c r="P44" s="24" t="s">
        <v>126</v>
      </c>
      <c r="Q44" s="109"/>
      <c r="S44" s="20"/>
      <c r="U44" s="20"/>
      <c r="Y44"/>
      <c r="Z44"/>
      <c r="AA44"/>
      <c r="AB44"/>
      <c r="AC44"/>
      <c r="AD44"/>
    </row>
    <row r="45" spans="1:30" ht="13" x14ac:dyDescent="0.3">
      <c r="A45" s="114"/>
      <c r="C45" s="89"/>
      <c r="D45" s="197">
        <f>(SUM(C38:C42)-D36)*'PIECE DENSITIES'!F7</f>
        <v>0</v>
      </c>
      <c r="E45" s="24" t="s">
        <v>127</v>
      </c>
      <c r="G45" s="114"/>
      <c r="I45" s="94"/>
      <c r="J45" s="202">
        <f>(SUM(I38:I42)-J36)*'PIECE DENSITIES'!F12</f>
        <v>0</v>
      </c>
      <c r="K45" s="24" t="s">
        <v>128</v>
      </c>
      <c r="L45"/>
      <c r="M45" s="20"/>
      <c r="N45" s="46"/>
      <c r="O45" s="97">
        <f>SUM(N38:N42)*'PIECE DENSITIES'!F17</f>
        <v>0</v>
      </c>
      <c r="P45" s="24" t="s">
        <v>129</v>
      </c>
      <c r="Q45" s="109"/>
      <c r="S45" s="20"/>
      <c r="U45" s="20"/>
      <c r="Y45"/>
      <c r="Z45"/>
      <c r="AA45"/>
      <c r="AB45"/>
      <c r="AC45"/>
      <c r="AD45"/>
    </row>
    <row r="46" spans="1:30" ht="13" x14ac:dyDescent="0.3">
      <c r="A46" s="114"/>
      <c r="C46" s="89"/>
      <c r="D46" s="197">
        <f>(SUM(C38:C42)-D36)*'PIECE DENSITIES'!G7</f>
        <v>0</v>
      </c>
      <c r="E46" s="24" t="s">
        <v>130</v>
      </c>
      <c r="G46" s="114"/>
      <c r="I46" s="94"/>
      <c r="J46" s="202">
        <f>(SUM(I38:I42)-J36)*'PIECE DENSITIES'!G12</f>
        <v>0</v>
      </c>
      <c r="K46" s="24" t="s">
        <v>288</v>
      </c>
      <c r="L46"/>
      <c r="M46" s="20"/>
      <c r="N46" s="46"/>
      <c r="O46" s="97">
        <f>SUM(N38:N42)*'PIECE DENSITIES'!G17</f>
        <v>0</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0</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v>
      </c>
      <c r="B57" s="199">
        <f>C57*(1+'ACCEPT RATES'!F16+'PIECE DENSITIES'!D8)</f>
        <v>0</v>
      </c>
      <c r="C57" s="198">
        <f>(D31+D43)*('COVERAGE FACTORS'!E38+'COVERAGE FACTORS'!E42)</f>
        <v>0</v>
      </c>
      <c r="G57" s="210">
        <f>IF(SUM(C11:C16)&gt;0,H57*(1-'ACCEPT RATES'!C21),H57*(1-'ACCEPT RATES'!D21))</f>
        <v>0</v>
      </c>
      <c r="H57" s="209">
        <f>I57*(1+'PIECE DENSITIES'!D13)</f>
        <v>0</v>
      </c>
      <c r="I57" s="208">
        <f>(D31+D43)*'COVERAGE FACTORS'!E40+(J31+J43)*('COVERAGE FACTORS'!E40+'COVERAGE FACTORS'!E42)</f>
        <v>0</v>
      </c>
      <c r="J57" s="58"/>
      <c r="L57"/>
      <c r="M57" s="102">
        <f>N57</f>
        <v>0</v>
      </c>
      <c r="N57" s="101">
        <f>D51+J51+O31+O43+(D31+D43)*'COVERAGE FACTORS'!E44+(J31+J43)*(1-('COVERAGE FACTORS'!E40+'COVERAGE FACTORS'!E42))</f>
        <v>0</v>
      </c>
      <c r="P57" s="20"/>
      <c r="Q57" s="109"/>
      <c r="S57" s="20"/>
      <c r="U57" s="20"/>
      <c r="Y57"/>
      <c r="Z57"/>
      <c r="AA57"/>
      <c r="AB57"/>
      <c r="AC57"/>
      <c r="AD57"/>
    </row>
    <row r="58" spans="1:30" ht="13" x14ac:dyDescent="0.3">
      <c r="A58" s="114"/>
      <c r="C58" s="98"/>
      <c r="D58" s="196">
        <f>(SUM(C53:C57)-D51)*'PIECE DENSITIES'!E8</f>
        <v>0</v>
      </c>
      <c r="E58" s="24" t="s">
        <v>124</v>
      </c>
      <c r="G58" s="114"/>
      <c r="I58" s="99"/>
      <c r="J58" s="201">
        <f>(SUM(I53:I57)-J51)*'PIECE DENSITIES'!E13</f>
        <v>0</v>
      </c>
      <c r="K58" s="24" t="s">
        <v>125</v>
      </c>
      <c r="L58"/>
      <c r="M58" s="20"/>
      <c r="O58" s="96">
        <f>SUM(N53:N57)*'PIECE DENSITIES'!E18</f>
        <v>0</v>
      </c>
      <c r="P58" s="24" t="s">
        <v>126</v>
      </c>
      <c r="Q58" s="109"/>
      <c r="S58" s="20"/>
      <c r="U58" s="20"/>
      <c r="Y58"/>
      <c r="Z58"/>
      <c r="AA58"/>
      <c r="AB58"/>
      <c r="AC58"/>
      <c r="AD58"/>
    </row>
    <row r="59" spans="1:30" ht="13" x14ac:dyDescent="0.3">
      <c r="A59" s="114"/>
      <c r="C59" s="98"/>
      <c r="D59" s="196">
        <f>(SUM(C53:C57)-D51)*'PIECE DENSITIES'!F8</f>
        <v>0</v>
      </c>
      <c r="E59" s="24" t="s">
        <v>127</v>
      </c>
      <c r="G59" s="114"/>
      <c r="I59" s="99"/>
      <c r="J59" s="201">
        <f>(SUM(I53:I57)-J51)*'PIECE DENSITIES'!F13</f>
        <v>0</v>
      </c>
      <c r="K59" s="24" t="s">
        <v>128</v>
      </c>
      <c r="L59"/>
      <c r="M59" s="20"/>
      <c r="O59" s="96">
        <f>SUM(N53:N57)*'PIECE DENSITIES'!F18</f>
        <v>0</v>
      </c>
      <c r="P59" s="24" t="s">
        <v>129</v>
      </c>
      <c r="Q59" s="109"/>
      <c r="S59" s="20"/>
      <c r="U59" s="20"/>
      <c r="Y59"/>
      <c r="Z59"/>
      <c r="AA59"/>
      <c r="AB59"/>
      <c r="AC59"/>
      <c r="AD59"/>
    </row>
    <row r="60" spans="1:30" ht="13" x14ac:dyDescent="0.3">
      <c r="A60" s="114"/>
      <c r="C60" s="89"/>
      <c r="D60" s="197">
        <f>(SUM(C53:C57)-D51)*'PIECE DENSITIES'!G8</f>
        <v>0</v>
      </c>
      <c r="E60" s="24" t="s">
        <v>130</v>
      </c>
      <c r="G60" s="114"/>
      <c r="I60" s="94"/>
      <c r="J60" s="202">
        <f>(SUM(I53:I57)-J51)*'PIECE DENSITIES'!G13</f>
        <v>0</v>
      </c>
      <c r="K60" s="24" t="s">
        <v>288</v>
      </c>
      <c r="L60"/>
      <c r="M60" s="20"/>
      <c r="N60" s="46"/>
      <c r="O60" s="97">
        <f>SUM(N53:N57)*'PIECE DENSITIES'!G18</f>
        <v>0</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0</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0</v>
      </c>
      <c r="B68" s="211">
        <f>C68*(1+'ACCEPT RATES'!F17+'PIECE DENSITIES'!E9)</f>
        <v>0</v>
      </c>
      <c r="C68" s="212">
        <f>(D32+D44+D58)*('COVERAGE FACTORS'!E38+'COVERAGE FACTORS'!E42)</f>
        <v>0</v>
      </c>
      <c r="G68" s="205">
        <f>IF(SUM(C11:C16)&gt;0, H68*(1-'ACCEPT RATES'!C22),H68*(1-'ACCEPT RATES'!D22))</f>
        <v>0</v>
      </c>
      <c r="H68" s="204">
        <f>I68*(1+'PIECE DENSITIES'!E14)</f>
        <v>0</v>
      </c>
      <c r="I68" s="203">
        <f>(D32+D44+D58)*'COVERAGE FACTORS'!E40+(J32+J44+J58)*('COVERAGE FACTORS'!E40+'COVERAGE FACTORS'!E42)</f>
        <v>0</v>
      </c>
      <c r="J68" s="58"/>
      <c r="L68"/>
      <c r="M68" s="102">
        <f>N68</f>
        <v>0</v>
      </c>
      <c r="N68" s="101">
        <f>D62+J62+O32+O44+O58+(D32+D44+D58)*'COVERAGE FACTORS'!E44+(J32+J44+J58)*(1-('COVERAGE FACTORS'!E40+'COVERAGE FACTORS'!E42))</f>
        <v>0</v>
      </c>
      <c r="P68" s="20"/>
      <c r="Q68" s="109"/>
      <c r="S68" s="20"/>
      <c r="U68" s="20"/>
      <c r="Y68"/>
      <c r="Z68"/>
      <c r="AA68"/>
      <c r="AB68"/>
      <c r="AC68"/>
      <c r="AD68"/>
    </row>
    <row r="69" spans="1:30" ht="13" x14ac:dyDescent="0.3">
      <c r="A69" s="114"/>
      <c r="C69" s="98"/>
      <c r="D69" s="196">
        <f>(SUM(C64:C68)-D62)*'PIECE DENSITIES'!F9</f>
        <v>0</v>
      </c>
      <c r="E69" s="24" t="s">
        <v>127</v>
      </c>
      <c r="G69" s="114"/>
      <c r="I69" s="99"/>
      <c r="J69" s="201">
        <f>(SUM(I64:I68)-J62)*'PIECE DENSITIES'!F14</f>
        <v>0</v>
      </c>
      <c r="K69" s="24" t="s">
        <v>128</v>
      </c>
      <c r="L69"/>
      <c r="M69" s="20"/>
      <c r="O69" s="96">
        <f>SUM(N64:N68)*'PIECE DENSITIES'!F19</f>
        <v>0</v>
      </c>
      <c r="P69" s="24" t="s">
        <v>129</v>
      </c>
      <c r="Q69" s="109"/>
      <c r="S69" s="20"/>
      <c r="U69" s="20"/>
      <c r="Y69"/>
      <c r="Z69"/>
      <c r="AA69"/>
      <c r="AB69"/>
      <c r="AC69"/>
      <c r="AD69"/>
    </row>
    <row r="70" spans="1:30" ht="13" x14ac:dyDescent="0.3">
      <c r="A70" s="114"/>
      <c r="C70" s="98"/>
      <c r="D70" s="196">
        <f>(SUM(C64:C68)-D62)*'PIECE DENSITIES'!G9</f>
        <v>0</v>
      </c>
      <c r="E70" s="24" t="s">
        <v>130</v>
      </c>
      <c r="G70" s="114"/>
      <c r="I70" s="99"/>
      <c r="J70" s="201">
        <f>(SUM(I64:I68)-J62)*'PIECE DENSITIES'!G14</f>
        <v>0</v>
      </c>
      <c r="K70" s="24" t="s">
        <v>288</v>
      </c>
      <c r="L70"/>
      <c r="M70" s="20"/>
      <c r="O70" s="96">
        <f>SUM(N64:N68)*'PIECE DENSITIES'!G19</f>
        <v>0</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0</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0</v>
      </c>
      <c r="B78" s="211">
        <f>C78*(1+'ACCEPT RATES'!F17)</f>
        <v>0</v>
      </c>
      <c r="C78" s="212">
        <f>(D33+D45+D59+D69)*('COVERAGE FACTORS'!E38+'COVERAGE FACTORS'!E42)</f>
        <v>0</v>
      </c>
      <c r="G78" s="205">
        <f>IF(SUM(C11:C16)&gt;0,H78*(1-'ACCEPT RATES'!C22),H78*(1-'ACCEPT RATES'!D22))</f>
        <v>0</v>
      </c>
      <c r="H78" s="204">
        <f>I78</f>
        <v>0</v>
      </c>
      <c r="I78" s="203">
        <f>(D33+D45+D59+D69)*'COVERAGE FACTORS'!E40+(J33+J45+J59+J69)*('COVERAGE FACTORS'!E40+'COVERAGE FACTORS'!E42)</f>
        <v>0</v>
      </c>
      <c r="J78" s="58"/>
      <c r="L78"/>
      <c r="M78" s="102">
        <f ca="1">N78</f>
        <v>0</v>
      </c>
      <c r="N78" s="294">
        <f ca="1">D72+J72+O33+O45+O59+O69+(D33+D45+D59+D69)*'COVERAGE FACTORS'!E44+(J33+J45+J59+J69)*(1-('COVERAGE FACTORS'!E40+'COVERAGE FACTORS'!E42))+D106</f>
        <v>0</v>
      </c>
      <c r="P78" s="20"/>
      <c r="Q78" s="109"/>
      <c r="S78" s="20"/>
      <c r="U78" s="20"/>
      <c r="Y78"/>
      <c r="Z78"/>
      <c r="AA78"/>
      <c r="AB78"/>
      <c r="AC78"/>
      <c r="AD78"/>
    </row>
    <row r="79" spans="1:30" ht="13" x14ac:dyDescent="0.3">
      <c r="A79" s="114"/>
      <c r="C79" s="98"/>
      <c r="D79" s="196">
        <f>SUM(C74:C78)-D72</f>
        <v>0</v>
      </c>
      <c r="E79" s="24" t="s">
        <v>130</v>
      </c>
      <c r="G79" s="114"/>
      <c r="I79" s="99"/>
      <c r="J79" s="201">
        <f>SUM(I74:I78)-J72</f>
        <v>0</v>
      </c>
      <c r="K79" s="24" t="s">
        <v>288</v>
      </c>
      <c r="L79"/>
      <c r="M79" s="20"/>
      <c r="O79" s="96">
        <f ca="1">SUM(N74:N78)</f>
        <v>0</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647.18791280280425</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2662.4918073542908</v>
      </c>
      <c r="B84" s="86">
        <f>C84*(1+'ACCEPT RATES'!F17)</f>
        <v>10097.27355586064</v>
      </c>
      <c r="C84" s="85">
        <f>G16*(1-'COVERAGE FACTORS'!B119)</f>
        <v>10000</v>
      </c>
      <c r="G84" s="194">
        <v>0</v>
      </c>
      <c r="H84" s="86">
        <f>I84</f>
        <v>0</v>
      </c>
      <c r="I84" s="85">
        <v>0</v>
      </c>
      <c r="J84" s="58"/>
      <c r="L84"/>
      <c r="M84" s="86">
        <f>N84</f>
        <v>0</v>
      </c>
      <c r="N84" s="85">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0</v>
      </c>
      <c r="B87" s="211">
        <f>C87*(1+'ACCEPT RATES'!F17)</f>
        <v>0</v>
      </c>
      <c r="C87" s="212">
        <f>(D34+D46+D60+D70+D79)*('COVERAGE FACTORS'!E54+'COVERAGE FACTORS'!E58)</f>
        <v>0</v>
      </c>
      <c r="G87" s="205">
        <v>0</v>
      </c>
      <c r="H87" s="204">
        <f>I87</f>
        <v>0</v>
      </c>
      <c r="I87" s="203">
        <f>(D34+D46+D60+D70+D79)*'COVERAGE FACTORS'!E56+(J34+J46+J60+J70+J79)*('COVERAGE FACTORS'!E56+'COVERAGE FACTORS'!E58)</f>
        <v>0</v>
      </c>
      <c r="J87" s="213"/>
      <c r="L87"/>
      <c r="M87" s="102">
        <f ca="1">N87</f>
        <v>647.18791280280425</v>
      </c>
      <c r="N87" s="294">
        <f ca="1">D81+J81+(O34+O46+O60+O70+O79)+(D34+D46+D60+D70+D79)*'COVERAGE FACTORS'!E60+(J34+J46+J60+J70+J79)*(1-('COVERAGE FACTORS'!E56+'COVERAGE FACTORS'!E58))+D120</f>
        <v>647.18791280280425</v>
      </c>
      <c r="P87" s="20"/>
      <c r="Q87" s="109"/>
      <c r="S87" s="20"/>
      <c r="U87" s="20"/>
      <c r="Y87"/>
      <c r="Z87"/>
      <c r="AA87"/>
      <c r="AB87"/>
      <c r="AC87"/>
      <c r="AD87"/>
    </row>
    <row r="88" spans="1:30" ht="13" x14ac:dyDescent="0.3">
      <c r="A88" s="114"/>
      <c r="C88" s="98"/>
      <c r="D88" s="103">
        <f>SUM(C83:C87)-D81</f>
        <v>9352.8120871971951</v>
      </c>
      <c r="E88" s="24"/>
      <c r="G88" s="218"/>
      <c r="H88" s="214"/>
      <c r="I88" s="214"/>
      <c r="J88" s="215">
        <f>SUM(I83:I87)-J81</f>
        <v>0</v>
      </c>
      <c r="K88" s="24"/>
      <c r="L88"/>
      <c r="M88" s="20"/>
      <c r="O88" s="216">
        <f ca="1">SUM(N83:N87)</f>
        <v>647.18791280280425</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FACTORS'!B119</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FACTORS'!E52+D114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ageMargins left="0.7" right="0.7" top="0.75" bottom="0.75" header="0.3" footer="0.3"/>
  <pageSetup scale="41" orientation="portrait" r:id="rId1"/>
  <drawing r:id="rId2"/>
</worksheet>
</file>

<file path=xl/worksheets/sheet2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M87"/>
  <sheetViews>
    <sheetView zoomScale="75" zoomScaleNormal="75" workbookViewId="0"/>
  </sheetViews>
  <sheetFormatPr defaultRowHeight="12.5" x14ac:dyDescent="0.25"/>
  <cols>
    <col min="1" max="1" width="5.7265625" customWidth="1"/>
    <col min="2" max="2" width="25.7265625" customWidth="1"/>
    <col min="3" max="3" width="11.1796875" style="2" customWidth="1"/>
    <col min="4"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11" width="9.7265625" style="259" customWidth="1"/>
    <col min="12" max="26" width="9.7265625" customWidth="1"/>
  </cols>
  <sheetData>
    <row r="1" spans="1:13" ht="23" x14ac:dyDescent="0.5">
      <c r="A1" s="126" t="s">
        <v>581</v>
      </c>
    </row>
    <row r="2" spans="1:13" ht="18" x14ac:dyDescent="0.4">
      <c r="A2" s="5" t="s">
        <v>55</v>
      </c>
    </row>
    <row r="3" spans="1:13" s="7" customFormat="1" ht="12.75" customHeight="1" x14ac:dyDescent="0.3">
      <c r="A3" s="1"/>
      <c r="C3" s="134"/>
      <c r="D3" s="134"/>
      <c r="E3" s="135"/>
      <c r="F3" s="136"/>
      <c r="G3" s="137"/>
      <c r="H3" s="138"/>
      <c r="I3" s="138"/>
      <c r="J3" s="136"/>
      <c r="K3" s="259"/>
    </row>
    <row r="4" spans="1:13" s="7" customFormat="1" ht="12.75" customHeight="1" x14ac:dyDescent="0.3">
      <c r="A4" s="1"/>
      <c r="C4" s="17" t="str">
        <f>"(1)"</f>
        <v>(1)</v>
      </c>
      <c r="D4" s="17" t="str">
        <f>"(2)"</f>
        <v>(2)</v>
      </c>
      <c r="E4" s="39" t="s">
        <v>425</v>
      </c>
      <c r="F4" s="17" t="str">
        <f>"(4)"</f>
        <v>(4)</v>
      </c>
      <c r="G4" s="41" t="str">
        <f>"(5)"</f>
        <v>(5)</v>
      </c>
      <c r="H4" s="17" t="str">
        <f>"(6)"</f>
        <v>(6)</v>
      </c>
      <c r="I4" s="17" t="str">
        <f>"(7)"</f>
        <v>(7)</v>
      </c>
      <c r="J4" s="17" t="str">
        <f>"(8)"</f>
        <v>(8)</v>
      </c>
      <c r="K4" s="259"/>
    </row>
    <row r="5" spans="1:13" s="7" customFormat="1" ht="12.75" customHeight="1" x14ac:dyDescent="0.3">
      <c r="A5" s="1"/>
      <c r="C5" s="134"/>
      <c r="D5" s="134"/>
      <c r="E5" s="135"/>
      <c r="F5" s="136"/>
      <c r="G5" s="137"/>
      <c r="H5" s="138"/>
      <c r="I5" s="138"/>
      <c r="J5" s="136"/>
      <c r="K5" s="1"/>
    </row>
    <row r="6" spans="1:13" ht="13" x14ac:dyDescent="0.3">
      <c r="D6" s="17" t="s">
        <v>251</v>
      </c>
      <c r="F6" s="139" t="s">
        <v>56</v>
      </c>
      <c r="H6" s="31" t="s">
        <v>57</v>
      </c>
      <c r="I6" s="31" t="s">
        <v>57</v>
      </c>
      <c r="J6" s="139" t="s">
        <v>3</v>
      </c>
      <c r="K6" s="139" t="s">
        <v>58</v>
      </c>
    </row>
    <row r="7" spans="1:13" ht="13" x14ac:dyDescent="0.3">
      <c r="C7" s="140"/>
      <c r="D7" s="17" t="s">
        <v>59</v>
      </c>
      <c r="E7" s="39" t="s">
        <v>60</v>
      </c>
      <c r="F7" s="139" t="s">
        <v>61</v>
      </c>
      <c r="G7" s="41" t="s">
        <v>62</v>
      </c>
      <c r="H7" s="31" t="s">
        <v>63</v>
      </c>
      <c r="I7" s="31" t="s">
        <v>63</v>
      </c>
      <c r="J7" s="139" t="s">
        <v>61</v>
      </c>
      <c r="K7" s="139" t="s">
        <v>61</v>
      </c>
    </row>
    <row r="8" spans="1:13" ht="13" x14ac:dyDescent="0.3">
      <c r="A8" s="36" t="s">
        <v>64</v>
      </c>
      <c r="C8" s="140" t="s">
        <v>7</v>
      </c>
      <c r="D8" s="140" t="s">
        <v>65</v>
      </c>
      <c r="E8" s="40" t="s">
        <v>66</v>
      </c>
      <c r="F8" s="141" t="s">
        <v>67</v>
      </c>
      <c r="G8" s="43" t="s">
        <v>68</v>
      </c>
      <c r="H8" s="37" t="s">
        <v>68</v>
      </c>
      <c r="I8" s="37" t="s">
        <v>69</v>
      </c>
      <c r="J8" s="141" t="s">
        <v>67</v>
      </c>
      <c r="K8" s="141" t="s">
        <v>67</v>
      </c>
    </row>
    <row r="9" spans="1:13" ht="13" x14ac:dyDescent="0.3">
      <c r="A9" s="36"/>
      <c r="C9" s="140"/>
      <c r="D9" s="140"/>
      <c r="E9" s="40"/>
      <c r="F9" s="141"/>
      <c r="G9" s="43"/>
      <c r="H9" s="37"/>
      <c r="I9" s="37"/>
      <c r="J9" s="141"/>
    </row>
    <row r="10" spans="1:13" ht="13" x14ac:dyDescent="0.3">
      <c r="A10" s="1" t="s">
        <v>252</v>
      </c>
      <c r="C10" s="140"/>
      <c r="D10" s="140"/>
      <c r="E10" s="40"/>
      <c r="F10" s="141"/>
      <c r="G10" s="43"/>
      <c r="H10" s="37"/>
      <c r="I10" s="37"/>
      <c r="J10" s="141"/>
    </row>
    <row r="11" spans="1:13" ht="13" x14ac:dyDescent="0.3">
      <c r="A11" s="36"/>
      <c r="B11" t="s">
        <v>234</v>
      </c>
      <c r="C11" s="151">
        <f>'BUNDLE SORT'!$I$56*('COVERAGE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$C11*$J11/'MADC AUTO MODEL'!$G$6</f>
        <v>0</v>
      </c>
      <c r="L11" s="247"/>
      <c r="M11" s="247"/>
    </row>
    <row r="12" spans="1:13" ht="13" x14ac:dyDescent="0.3">
      <c r="A12" s="36"/>
      <c r="B12" t="s">
        <v>529</v>
      </c>
      <c r="C12" s="151">
        <f>'BUNDLE SORT'!$I$56*('COVERAGE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$C12*$J12/'MADC AUTO MODEL'!$G$6</f>
        <v>0</v>
      </c>
    </row>
    <row r="13" spans="1:13" ht="13" x14ac:dyDescent="0.3">
      <c r="A13" s="36"/>
      <c r="B13" t="s">
        <v>70</v>
      </c>
      <c r="C13" s="151">
        <f>'BUNDLE SORT'!$J$56</f>
        <v>447.29544504820035</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$C13*$J13/'MADC AUTO MODEL'!$G$6</f>
        <v>0.90724558439974845</v>
      </c>
    </row>
    <row r="14" spans="1:13" ht="13" x14ac:dyDescent="0.3">
      <c r="A14" s="36"/>
      <c r="C14" s="151"/>
      <c r="D14" s="151"/>
      <c r="E14" s="135"/>
      <c r="F14" s="136"/>
      <c r="G14" s="137"/>
      <c r="H14" s="137"/>
      <c r="I14" s="138"/>
      <c r="J14" s="136"/>
      <c r="K14" s="261"/>
    </row>
    <row r="15" spans="1:13" ht="13" x14ac:dyDescent="0.3">
      <c r="A15" s="1" t="s">
        <v>253</v>
      </c>
      <c r="C15" s="151"/>
      <c r="D15" s="151"/>
      <c r="E15" s="135"/>
      <c r="F15" s="136"/>
      <c r="G15" s="137"/>
      <c r="H15" s="137"/>
      <c r="I15" s="138"/>
      <c r="J15" s="136"/>
      <c r="K15" s="261"/>
    </row>
    <row r="16" spans="1:13" s="7" customFormat="1" x14ac:dyDescent="0.25">
      <c r="B16" s="7" t="s">
        <v>234</v>
      </c>
      <c r="C16" s="151">
        <f>'BUNDLE SORT'!$M$56*('COVERAGE FACTORS'!$E$30/('COVERAGE FACTORS'!$E$30+'COVERAGE FACTORS'!$E$32))</f>
        <v>0</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$C16*$J16/'MADC AUTO MODEL'!$G$6</f>
        <v>0</v>
      </c>
      <c r="L16" s="178"/>
      <c r="M16" s="178"/>
    </row>
    <row r="17" spans="1:13" ht="13" x14ac:dyDescent="0.3">
      <c r="A17" s="1"/>
      <c r="B17" t="s">
        <v>529</v>
      </c>
      <c r="C17" s="151">
        <f>'BUNDLE SORT'!$M$56*('COVERAGE FACTORS'!$E$32/('COVERAGE FACTORS'!$E$30+'COVERAGE FACTORS'!$E$32))</f>
        <v>0</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$C17*$J17/'MADC AUTO MODEL'!$G$6</f>
        <v>0</v>
      </c>
    </row>
    <row r="18" spans="1:13" ht="13" x14ac:dyDescent="0.3">
      <c r="A18" s="1"/>
      <c r="B18" t="s">
        <v>70</v>
      </c>
      <c r="C18" s="151">
        <f>'BUNDLE SORT'!$N$56</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$C18*$J18/'MADC AUTO MODEL'!$G$6</f>
        <v>0</v>
      </c>
    </row>
    <row r="19" spans="1:13" ht="13" x14ac:dyDescent="0.3">
      <c r="A19" s="1"/>
      <c r="C19" s="151"/>
      <c r="D19" s="151"/>
      <c r="E19" s="135"/>
      <c r="F19" s="136"/>
      <c r="G19" s="137"/>
      <c r="H19" s="137"/>
      <c r="I19" s="138"/>
      <c r="J19" s="136"/>
      <c r="K19" s="261"/>
    </row>
    <row r="20" spans="1:13" ht="13" x14ac:dyDescent="0.3">
      <c r="A20" s="1" t="s">
        <v>254</v>
      </c>
      <c r="C20" s="151"/>
      <c r="D20" s="151"/>
      <c r="E20" s="135"/>
      <c r="F20" s="136"/>
      <c r="G20" s="137"/>
      <c r="H20" s="137"/>
      <c r="I20" s="138"/>
      <c r="J20" s="136"/>
      <c r="K20" s="261"/>
    </row>
    <row r="21" spans="1:13" ht="13" x14ac:dyDescent="0.3">
      <c r="A21" s="1"/>
      <c r="B21" t="s">
        <v>234</v>
      </c>
      <c r="C21" s="151">
        <f>'BUNDLE SORT'!$Q$56*('COVERAGE FACTORS'!$E$30/('COVERAGE FACTORS'!$E$30+'COVERAGE FACTORS'!$E$32))</f>
        <v>0</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$C21*$J21/'MADC AUTO MODEL'!$G$6</f>
        <v>0</v>
      </c>
      <c r="L21" s="247"/>
      <c r="M21" s="247"/>
    </row>
    <row r="22" spans="1:13" ht="13" x14ac:dyDescent="0.3">
      <c r="A22" s="1"/>
      <c r="B22" t="s">
        <v>529</v>
      </c>
      <c r="C22" s="151">
        <f>'BUNDLE SORT'!$Q$56*('COVERAGE FACTORS'!$E$32/('COVERAGE FACTORS'!$E$30+'COVERAGE FACTORS'!$E$32))</f>
        <v>0</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$C22*$J22/'MADC AUTO MODEL'!$G$6</f>
        <v>0</v>
      </c>
    </row>
    <row r="23" spans="1:13" ht="13" x14ac:dyDescent="0.3">
      <c r="A23" s="1"/>
      <c r="B23" t="s">
        <v>70</v>
      </c>
      <c r="C23" s="151">
        <f>'BUNDLE SORT'!$R$56</f>
        <v>0</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$C23*$J23/'MADC AUTO MODEL'!$G$6</f>
        <v>0</v>
      </c>
    </row>
    <row r="24" spans="1:13" ht="13" x14ac:dyDescent="0.3">
      <c r="A24" s="1"/>
      <c r="C24" s="151"/>
      <c r="D24" s="151"/>
      <c r="E24" s="135"/>
      <c r="F24" s="136"/>
      <c r="G24" s="137"/>
      <c r="H24" s="137"/>
      <c r="I24" s="138"/>
      <c r="J24" s="136"/>
      <c r="K24" s="261"/>
    </row>
    <row r="25" spans="1:13" ht="13" x14ac:dyDescent="0.3">
      <c r="A25" s="1" t="s">
        <v>255</v>
      </c>
      <c r="C25" s="151"/>
      <c r="D25" s="151"/>
      <c r="E25" s="135"/>
      <c r="F25" s="136"/>
      <c r="G25" s="137"/>
      <c r="H25" s="137"/>
      <c r="I25" s="138"/>
      <c r="J25" s="136"/>
      <c r="K25" s="261"/>
    </row>
    <row r="26" spans="1:13" ht="13" x14ac:dyDescent="0.3">
      <c r="A26" s="1"/>
      <c r="B26" t="s">
        <v>234</v>
      </c>
      <c r="C26" s="151">
        <f>'BUNDLE SORT'!$U$56*('COVERAGE FACTORS'!$E$30/('COVERAGE FACTORS'!$E$30+'COVERAGE FACTORS'!$E$32))</f>
        <v>0</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$C26*$J26/'MADC AUTO MODEL'!$G$6</f>
        <v>0</v>
      </c>
    </row>
    <row r="27" spans="1:13" ht="13" x14ac:dyDescent="0.3">
      <c r="A27" s="1"/>
      <c r="B27" t="s">
        <v>529</v>
      </c>
      <c r="C27" s="151">
        <f>'BUNDLE SORT'!$U$56*('COVERAGE FACTORS'!$E$32/('COVERAGE FACTORS'!$E$30+'COVERAGE FACTORS'!$E$32))</f>
        <v>0</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$C27*$J27/'MADC AUTO MODEL'!$G$6</f>
        <v>0</v>
      </c>
    </row>
    <row r="28" spans="1:13" ht="13" x14ac:dyDescent="0.3">
      <c r="A28" s="1"/>
      <c r="B28" t="s">
        <v>70</v>
      </c>
      <c r="C28" s="151">
        <f>'BUNDLE SORT'!$V$56</f>
        <v>0</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$C28*$J28/'MADC AUTO MODEL'!$G$6</f>
        <v>0</v>
      </c>
    </row>
    <row r="29" spans="1:13" ht="13" x14ac:dyDescent="0.3">
      <c r="A29" s="1"/>
      <c r="C29" s="149"/>
      <c r="D29" s="149"/>
      <c r="E29" s="135"/>
      <c r="F29" s="136"/>
      <c r="G29" s="137"/>
      <c r="H29" s="138"/>
      <c r="I29" s="138"/>
      <c r="J29" s="136"/>
      <c r="K29" s="261"/>
    </row>
    <row r="30" spans="1:13" ht="13" x14ac:dyDescent="0.3">
      <c r="A30" s="1" t="s">
        <v>71</v>
      </c>
      <c r="F30" s="42"/>
      <c r="H30" s="42"/>
      <c r="I30" s="42"/>
      <c r="J30" s="42"/>
      <c r="K30" s="260"/>
    </row>
    <row r="31" spans="1:13" ht="13" x14ac:dyDescent="0.3">
      <c r="A31" s="36"/>
      <c r="B31" t="s">
        <v>72</v>
      </c>
      <c r="C31" s="2">
        <f>SUM('MADC AUTO MODEL'!$B$25:$B$29)</f>
        <v>10109.565071185043</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$C31*$J31/'MADC AUTO MODEL'!$G$6</f>
        <v>5.1727375436331915</v>
      </c>
    </row>
    <row r="32" spans="1:13" ht="13" x14ac:dyDescent="0.3">
      <c r="A32" s="36"/>
      <c r="B32" t="s">
        <v>244</v>
      </c>
      <c r="C32" s="2">
        <f>SUM('MADC AUTO MODEL'!$A$25:$A$29)</f>
        <v>619.71288123812599</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$C32*$J32/'MADC AUTO MODEL'!$G$6</f>
        <v>0.467306286654329</v>
      </c>
    </row>
    <row r="33" spans="1:11" ht="13" x14ac:dyDescent="0.3">
      <c r="A33" s="36"/>
      <c r="B33" t="s">
        <v>291</v>
      </c>
      <c r="C33" s="2">
        <f>SUM('MADC AUTO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$C33*$J33/'MADC AUTO MODEL'!$G$6</f>
        <v>0</v>
      </c>
    </row>
    <row r="34" spans="1:11" x14ac:dyDescent="0.25">
      <c r="B34" t="s">
        <v>292</v>
      </c>
      <c r="C34" s="2">
        <f>SUM('MADC AUTO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$C34*$J34/'MADC AUTO MODEL'!$G$6</f>
        <v>0</v>
      </c>
    </row>
    <row r="35" spans="1:11" x14ac:dyDescent="0.25">
      <c r="B35" t="s">
        <v>70</v>
      </c>
      <c r="C35" s="2">
        <f>SUM('MADC AUTO MODEL'!$M$25:$M$29)</f>
        <v>489.6868214968722</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$C35*$J35/'MADC AUTO MODEL'!$G$6</f>
        <v>0.52909510941253923</v>
      </c>
    </row>
    <row r="36" spans="1:11" x14ac:dyDescent="0.25">
      <c r="F36" s="42"/>
      <c r="H36" s="42"/>
      <c r="I36" s="42"/>
      <c r="J36" s="42"/>
      <c r="K36" s="260"/>
    </row>
    <row r="37" spans="1:11" ht="13" x14ac:dyDescent="0.3">
      <c r="A37" s="1" t="s">
        <v>73</v>
      </c>
      <c r="F37" s="42"/>
      <c r="H37" s="42"/>
      <c r="I37" s="42"/>
      <c r="J37" s="42"/>
      <c r="K37" s="260"/>
    </row>
    <row r="38" spans="1:11" ht="13" x14ac:dyDescent="0.3">
      <c r="A38" s="36"/>
      <c r="B38" t="s">
        <v>72</v>
      </c>
      <c r="C38" s="2">
        <f>SUM('MADC AUTO MODEL'!$B$38:$B$42)</f>
        <v>1247.1599515338858</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$C38*$J38/'MADC AUTO MODEL'!$G$6</f>
        <v>0.44249593918149749</v>
      </c>
    </row>
    <row r="39" spans="1:11" ht="13" x14ac:dyDescent="0.3">
      <c r="A39" s="36"/>
      <c r="B39" t="s">
        <v>244</v>
      </c>
      <c r="C39" s="2">
        <f>SUM('MADC AUTO MODEL'!$A$38:$A$42)</f>
        <v>76.450478481293246</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$C39*$J39/'MADC AUTO MODEL'!$G$6</f>
        <v>5.7648937586488737E-2</v>
      </c>
    </row>
    <row r="40" spans="1:11" x14ac:dyDescent="0.25">
      <c r="B40" t="s">
        <v>291</v>
      </c>
      <c r="C40" s="2">
        <f>SUM('MADC AUTO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$C40*$J40/'MADC AUTO MODEL'!$G$6</f>
        <v>0</v>
      </c>
    </row>
    <row r="41" spans="1:11" x14ac:dyDescent="0.25">
      <c r="B41" t="s">
        <v>292</v>
      </c>
      <c r="C41" s="2">
        <f>SUM('MADC AUTO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$C41*$J41/'MADC AUTO MODEL'!$G$6</f>
        <v>0</v>
      </c>
    </row>
    <row r="42" spans="1:11" x14ac:dyDescent="0.25">
      <c r="B42" t="s">
        <v>70</v>
      </c>
      <c r="C42" s="2">
        <f>SUM('MADC AUTO MODEL'!$M$38:$M$42)</f>
        <v>159.41850999577287</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$C42*$J42/'MADC AUTO MODEL'!$G$6</f>
        <v>0.21776298810832495</v>
      </c>
    </row>
    <row r="43" spans="1:11" x14ac:dyDescent="0.25">
      <c r="F43" s="42"/>
      <c r="H43" s="42"/>
      <c r="I43" s="42"/>
      <c r="J43" s="42"/>
      <c r="K43" s="260"/>
    </row>
    <row r="44" spans="1:11" ht="13" x14ac:dyDescent="0.3">
      <c r="A44" s="1" t="s">
        <v>74</v>
      </c>
      <c r="F44" s="42"/>
      <c r="H44" s="42"/>
      <c r="I44" s="42"/>
      <c r="J44" s="42"/>
      <c r="K44" s="260"/>
    </row>
    <row r="45" spans="1:11" ht="13" x14ac:dyDescent="0.3">
      <c r="A45" s="36"/>
      <c r="B45" t="s">
        <v>72</v>
      </c>
      <c r="C45" s="2">
        <f>SUM('MADC AUTO MODEL'!$B$53:$B$57)</f>
        <v>5867.4744578824284</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$C45*$J45/'MADC AUTO MODEL'!$G$6</f>
        <v>3.0013413577286108</v>
      </c>
    </row>
    <row r="46" spans="1:11" ht="13" x14ac:dyDescent="0.3">
      <c r="A46" s="36"/>
      <c r="B46" t="s">
        <v>244</v>
      </c>
      <c r="C46" s="2">
        <f>SUM('MADC AUTO MODEL'!$A$53:$A$57)</f>
        <v>359.67417750239593</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$C46*$J46/'MADC AUTO MODEL'!$G$6</f>
        <v>0.27121915548744308</v>
      </c>
    </row>
    <row r="47" spans="1:11" x14ac:dyDescent="0.25">
      <c r="B47" t="s">
        <v>291</v>
      </c>
      <c r="C47" s="2">
        <f>SUM('MADC AUTO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$C47*$J47/'MADC AUTO MODEL'!$G$6</f>
        <v>0</v>
      </c>
    </row>
    <row r="48" spans="1:11" x14ac:dyDescent="0.25">
      <c r="B48" t="s">
        <v>292</v>
      </c>
      <c r="C48" s="2">
        <f>SUM('MADC AUTO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$C48*$J48/'MADC AUTO MODEL'!$G$6</f>
        <v>0</v>
      </c>
    </row>
    <row r="49" spans="1:11" x14ac:dyDescent="0.25">
      <c r="B49" t="s">
        <v>70</v>
      </c>
      <c r="C49" s="2">
        <f>SUM('MADC AUTO MODEL'!$M$53:$M$57)</f>
        <v>857.5408726090842</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$C49*$J49/'MADC AUTO MODEL'!$G$6</f>
        <v>0.82934651896215283</v>
      </c>
    </row>
    <row r="50" spans="1:11" x14ac:dyDescent="0.25">
      <c r="F50" s="42"/>
      <c r="H50" s="42"/>
      <c r="I50" s="42"/>
      <c r="J50" s="42"/>
      <c r="K50" s="260"/>
    </row>
    <row r="51" spans="1:11" ht="13" x14ac:dyDescent="0.3">
      <c r="A51" s="1" t="s">
        <v>75</v>
      </c>
      <c r="F51" s="42"/>
      <c r="H51" s="42"/>
      <c r="I51" s="42"/>
      <c r="J51" s="42"/>
      <c r="K51" s="260"/>
    </row>
    <row r="52" spans="1:11" ht="13" x14ac:dyDescent="0.3">
      <c r="A52" s="36"/>
      <c r="B52" t="s">
        <v>72</v>
      </c>
      <c r="C52" s="2">
        <f>SUM('MADC AUTO MODEL'!$B$64:$B$68)</f>
        <v>4020.5831830368438</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$C52*$J52/'MADC AUTO MODEL'!$G$6</f>
        <v>1.5601301266347887</v>
      </c>
    </row>
    <row r="53" spans="1:11" ht="13" x14ac:dyDescent="0.3">
      <c r="A53" s="36"/>
      <c r="B53" t="s">
        <v>244</v>
      </c>
      <c r="C53" s="2">
        <f>SUM('MADC AUTO MODEL'!$A$64:$A$68)</f>
        <v>246.46037401935948</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$C53*$J53/'MADC AUTO MODEL'!$G$6</f>
        <v>0.18584813334898015</v>
      </c>
    </row>
    <row r="54" spans="1:11" x14ac:dyDescent="0.25">
      <c r="B54" t="s">
        <v>291</v>
      </c>
      <c r="C54" s="2">
        <f>SUM('MADC AUTO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$C54*$J54/'MADC AUTO MODEL'!$G$6</f>
        <v>0</v>
      </c>
    </row>
    <row r="55" spans="1:11" x14ac:dyDescent="0.25">
      <c r="B55" t="s">
        <v>292</v>
      </c>
      <c r="C55" s="2">
        <f>SUM('MADC AUTO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$C55*$J55/'MADC AUTO MODEL'!$G$6</f>
        <v>0</v>
      </c>
    </row>
    <row r="56" spans="1:11" x14ac:dyDescent="0.25">
      <c r="B56" t="s">
        <v>70</v>
      </c>
      <c r="C56" s="2">
        <f>SUM('MADC AUTO MODEL'!$M$64:$M$68)</f>
        <v>574.10147141957327</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$C56*$J56/'MADC AUTO MODEL'!$G$6</f>
        <v>0.64054885170173692</v>
      </c>
    </row>
    <row r="57" spans="1:11" x14ac:dyDescent="0.25">
      <c r="F57" s="42"/>
      <c r="H57" s="42"/>
      <c r="I57" s="42"/>
      <c r="J57" s="42"/>
      <c r="K57" s="260"/>
    </row>
    <row r="58" spans="1:11" ht="13" x14ac:dyDescent="0.3">
      <c r="A58" s="1" t="s">
        <v>76</v>
      </c>
      <c r="F58" s="42"/>
      <c r="H58" s="42"/>
      <c r="I58" s="42"/>
      <c r="J58" s="42"/>
      <c r="K58" s="260"/>
    </row>
    <row r="59" spans="1:11" ht="13" x14ac:dyDescent="0.3">
      <c r="A59" s="36"/>
      <c r="B59" t="s">
        <v>72</v>
      </c>
      <c r="C59" s="2">
        <f ca="1">SUM('MADC AUTO MODEL'!$B$74:$B$78)+SUM('MADC AUTO MODEL'!$B$108:$B$112)</f>
        <v>1141.048560199504</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$C59*$J59/'MADC AUTO MODEL'!$G$6</f>
        <v>0.82162866495798381</v>
      </c>
    </row>
    <row r="60" spans="1:11" ht="13" x14ac:dyDescent="0.3">
      <c r="A60" s="36"/>
      <c r="B60" t="s">
        <v>244</v>
      </c>
      <c r="C60" s="2">
        <f ca="1">SUM('MADC AUTO MODEL'!$A$74:$A$78)+SUM('MADC AUTO MODEL'!$A$108:$A$112)</f>
        <v>69.945886484210646</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$C60*$J60/'MADC AUTO MODEL'!$G$6</f>
        <v>5.2744026256769008E-2</v>
      </c>
    </row>
    <row r="61" spans="1:11" x14ac:dyDescent="0.25">
      <c r="B61" t="s">
        <v>291</v>
      </c>
      <c r="C61" s="2">
        <f>SUM('MADC AUTO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$C61*$J61/'MADC AUTO MODEL'!$G$6</f>
        <v>0</v>
      </c>
    </row>
    <row r="62" spans="1:11" x14ac:dyDescent="0.25">
      <c r="B62" t="s">
        <v>292</v>
      </c>
      <c r="C62" s="2">
        <f>SUM('MADC AUTO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$C62*$J62/'MADC AUTO MODEL'!$G$6</f>
        <v>0</v>
      </c>
    </row>
    <row r="63" spans="1:11" x14ac:dyDescent="0.25">
      <c r="B63" t="s">
        <v>70</v>
      </c>
      <c r="C63" s="2">
        <f ca="1">SUM('MADC AUTO MODEL'!$M$74:$M$78)</f>
        <v>153.11390478147601</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$C63*$J63/'MADC AUTO MODEL'!$G$6</f>
        <v>0.13619947619944675</v>
      </c>
    </row>
    <row r="64" spans="1:11" ht="13" x14ac:dyDescent="0.3">
      <c r="A64" s="36"/>
      <c r="F64" s="42"/>
      <c r="H64" s="42"/>
      <c r="I64" s="42"/>
      <c r="J64" s="42"/>
      <c r="K64" s="260"/>
    </row>
    <row r="65" spans="1:11" ht="13" x14ac:dyDescent="0.3">
      <c r="A65" s="1" t="s">
        <v>77</v>
      </c>
      <c r="F65" s="42"/>
      <c r="H65" s="42"/>
      <c r="I65" s="42"/>
      <c r="J65" s="42"/>
      <c r="K65" s="260"/>
    </row>
    <row r="66" spans="1:11" ht="13" x14ac:dyDescent="0.3">
      <c r="A66" s="36"/>
      <c r="B66" t="s">
        <v>72</v>
      </c>
      <c r="C66" s="2">
        <f ca="1">SUM('MADC AUTO MODEL'!$B$83:$B$87)+SUM('MADC AUTO MODEL'!$B$122:$B$126)</f>
        <v>8305.8796415932029</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$C66*$J66/'MADC AUTO MODEL'!$G$6</f>
        <v>3.5963827891591595</v>
      </c>
    </row>
    <row r="67" spans="1:11" ht="13" x14ac:dyDescent="0.3">
      <c r="A67" s="36"/>
      <c r="B67" t="s">
        <v>244</v>
      </c>
      <c r="C67" s="2">
        <f ca="1">SUM('MADC AUTO MODEL'!$A$83:$A$87)+SUM('MADC AUTO MODEL'!$A$122:$A$126)</f>
        <v>509.1475812920857</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$C67*$J67/'MADC AUTO MODEL'!$G$6</f>
        <v>0.38393241898938907</v>
      </c>
    </row>
    <row r="68" spans="1:11" x14ac:dyDescent="0.25">
      <c r="B68" t="s">
        <v>291</v>
      </c>
      <c r="C68" s="2">
        <f>SUM('MADC AUTO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$C68*$J68/'MADC AUTO MODEL'!$G$6</f>
        <v>0</v>
      </c>
    </row>
    <row r="69" spans="1:11" x14ac:dyDescent="0.25">
      <c r="B69" t="s">
        <v>292</v>
      </c>
      <c r="C69" s="2">
        <f>SUM('MADC AUTO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$C69*$J69/'MADC AUTO MODEL'!$G$6</f>
        <v>0</v>
      </c>
    </row>
    <row r="70" spans="1:11" x14ac:dyDescent="0.25">
      <c r="B70" t="s">
        <v>70</v>
      </c>
      <c r="C70" s="2">
        <f ca="1">SUM('MADC AUTO MODEL'!$M$83:$M$87)</f>
        <v>2185.2039988700176</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$C70*$J70/'MADC AUTO MODEL'!$G$6</f>
        <v>2.1667342427683058</v>
      </c>
    </row>
    <row r="71" spans="1:11" x14ac:dyDescent="0.25">
      <c r="F71" s="42"/>
      <c r="H71" s="42"/>
      <c r="I71" s="42"/>
      <c r="J71" s="42"/>
      <c r="K71" s="260"/>
    </row>
    <row r="72" spans="1:11" ht="13" x14ac:dyDescent="0.3">
      <c r="A72" s="1" t="s">
        <v>368</v>
      </c>
      <c r="F72" s="42"/>
      <c r="H72" s="42"/>
      <c r="I72" s="42"/>
      <c r="J72" s="42"/>
      <c r="K72" s="260"/>
    </row>
    <row r="73" spans="1:11" x14ac:dyDescent="0.25">
      <c r="B73" t="s">
        <v>366</v>
      </c>
      <c r="C73" s="2">
        <v>0</v>
      </c>
      <c r="D73" s="2">
        <v>0</v>
      </c>
      <c r="E73" s="38">
        <v>0</v>
      </c>
      <c r="F73" s="42">
        <v>0</v>
      </c>
      <c r="G73" s="42">
        <v>0</v>
      </c>
      <c r="H73" s="42">
        <v>0</v>
      </c>
      <c r="I73" s="42">
        <v>0</v>
      </c>
      <c r="J73" s="42">
        <v>0</v>
      </c>
      <c r="K73" s="42">
        <v>0</v>
      </c>
    </row>
    <row r="74" spans="1:11" x14ac:dyDescent="0.25">
      <c r="B74" t="s">
        <v>244</v>
      </c>
      <c r="C74" s="2">
        <f ca="1">SUM('MADC AUTO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$C74*$J74/'MADC AUTO MODEL'!$G$6</f>
        <v>0</v>
      </c>
    </row>
    <row r="76" spans="1:11" x14ac:dyDescent="0.25">
      <c r="B76" s="155" t="s">
        <v>486</v>
      </c>
      <c r="C76" s="2">
        <f>SUM('MADC AUTO MODEL'!C25,'MADC AUTO MODEL'!I25)</f>
        <v>9982.7140004387093</v>
      </c>
      <c r="D76" s="2">
        <f>PRODUCTIVITIES!$C$49*'FY VOLUME AUTO'!C55</f>
        <v>2278.9937760278381</v>
      </c>
      <c r="E76" s="38">
        <f>'WAGE RATES'!$C$6</f>
        <v>50.10717457546064</v>
      </c>
      <c r="F76" s="42">
        <f t="shared" ref="F76:F77" si="0">E76*100/D76</f>
        <v>2.198653419001201</v>
      </c>
      <c r="G76" s="42">
        <f>PIGGYBACKS!$B$13</f>
        <v>1.6305774272183733</v>
      </c>
      <c r="H76" s="42">
        <f>'WAGE RATES'!$C$9</f>
        <v>0.9752031228402912</v>
      </c>
      <c r="I76" s="42">
        <f t="shared" ref="I76:I77" si="1">(H76-1)*F76</f>
        <v>-5.4519738747746536E-2</v>
      </c>
      <c r="J76" s="42">
        <f t="shared" ref="J76:J77" si="2">F76*G76+I76</f>
        <v>3.5305548965521121</v>
      </c>
      <c r="K76" s="42">
        <f ca="1">C76*$J76/'5D AUTO MODEL'!$G$6</f>
        <v>3.5244519795128211</v>
      </c>
    </row>
    <row r="77" spans="1:11" x14ac:dyDescent="0.25">
      <c r="B77" s="155" t="s">
        <v>491</v>
      </c>
      <c r="C77" s="2">
        <f ca="1">SUM(C31,C33,C34,C38,C40,C41,C45,C47,C48,C52,C54,C55,C59,C61,C62,C66,C68,C69)-C76</f>
        <v>20708.996864992194</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7.9058867966021706</v>
      </c>
    </row>
    <row r="78" spans="1:11" ht="13" thickBot="1" x14ac:dyDescent="0.3">
      <c r="F78" s="42"/>
      <c r="H78" s="42"/>
      <c r="I78" s="42"/>
      <c r="J78" s="42"/>
    </row>
    <row r="79" spans="1:11" ht="13.5" thickBot="1" x14ac:dyDescent="0.35">
      <c r="F79" s="42"/>
      <c r="H79" s="42"/>
      <c r="I79" s="42"/>
      <c r="J79" s="142" t="s">
        <v>78</v>
      </c>
      <c r="K79" s="143">
        <f ca="1">SUM(K11:K77)</f>
        <v>32.870686927285881</v>
      </c>
    </row>
    <row r="80" spans="1:11" ht="13.5" thickBot="1" x14ac:dyDescent="0.35">
      <c r="J80" s="142" t="s">
        <v>485</v>
      </c>
      <c r="K80" s="143">
        <f ca="1">SUM(K31,K33,K34,K38,K40,K41,K45,K47,K48,K52,K54,K55,K59,K61,K62,K66,K68,K69,K76,K77)</f>
        <v>26.025055197410225</v>
      </c>
    </row>
    <row r="83" spans="1:8" ht="13" x14ac:dyDescent="0.3">
      <c r="A83" s="145" t="str">
        <f>"(1)"</f>
        <v>(1)</v>
      </c>
      <c r="B83" s="1" t="s">
        <v>406</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12</oddFooter>
  </headerFooter>
  <ignoredErrors>
    <ignoredError sqref="E4" numberStoredAsText="1"/>
  </ignoredErrors>
</worksheet>
</file>

<file path=xl/worksheets/sheet2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8"/>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'MADC AUTO COST'!A1</f>
        <v>MADC AUTO COST</v>
      </c>
    </row>
    <row r="2" spans="1:30" ht="23" x14ac:dyDescent="0.5">
      <c r="A2" s="57" t="s">
        <v>84</v>
      </c>
    </row>
    <row r="6" spans="1:30" s="228" customFormat="1" ht="18" x14ac:dyDescent="0.4">
      <c r="A6" s="48" t="s">
        <v>85</v>
      </c>
      <c r="B6" s="226"/>
      <c r="C6" s="49">
        <f>SUM(C11:C16)+SUM(G11:G16)+SUM(K11:K16)+SUM(O11:O16)</f>
        <v>10000</v>
      </c>
      <c r="D6" s="227"/>
      <c r="E6" s="48" t="s">
        <v>86</v>
      </c>
      <c r="F6" s="226"/>
      <c r="G6" s="49">
        <f ca="1">D88+J88+O88+D100+D127</f>
        <v>10000.000000000016</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'ENTRY PROFILE'!K53+'ENTRY PROFILE'!K54+'ENTRY PROFILE'!L53+'ENTRY PROFILE'!L54</f>
        <v>10000</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v>0</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472.40082193557924</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619.71288123812599</v>
      </c>
      <c r="B25" s="29">
        <f>C25*(1+'ACCEPT RATES'!F14)</f>
        <v>10109.565071185043</v>
      </c>
      <c r="C25" s="51">
        <f>C11*('COVERAGE FACTORS'!E14+'COVERAGE FACTORS'!E18)</f>
        <v>9982.7140004387093</v>
      </c>
      <c r="E25" s="24" t="s">
        <v>70</v>
      </c>
      <c r="G25" s="217">
        <f>H25*(1-'ACCEPT RATES'!C19)</f>
        <v>0</v>
      </c>
      <c r="H25" s="29">
        <f>I25</f>
        <v>0</v>
      </c>
      <c r="I25" s="51">
        <f>C11*'COVERAGE FACTORS'!E16</f>
        <v>0</v>
      </c>
      <c r="J25" s="23"/>
      <c r="K25" s="23" t="s">
        <v>70</v>
      </c>
      <c r="L25"/>
      <c r="M25" s="29">
        <f>N25</f>
        <v>17.285999561292947</v>
      </c>
      <c r="N25" s="51">
        <f>C11*'COVERAGE FACTORS'!E20</f>
        <v>17.285999561292947</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472.40082193557924</v>
      </c>
      <c r="N29" s="206">
        <f>D23+J23</f>
        <v>472.40082193557924</v>
      </c>
      <c r="P29" s="20"/>
      <c r="Q29" s="109"/>
      <c r="S29" s="20"/>
      <c r="U29" s="20"/>
      <c r="Y29"/>
      <c r="Z29"/>
      <c r="AA29"/>
      <c r="AB29"/>
      <c r="AC29"/>
      <c r="AD29"/>
    </row>
    <row r="30" spans="1:30" ht="13" x14ac:dyDescent="0.3">
      <c r="A30" s="114"/>
      <c r="C30" s="98"/>
      <c r="D30" s="196">
        <f>(SUM(C25:C29)-D23)*'PIECE DENSITIES'!C6</f>
        <v>1217.7979959198219</v>
      </c>
      <c r="E30" s="24" t="s">
        <v>290</v>
      </c>
      <c r="G30" s="114"/>
      <c r="I30" s="99"/>
      <c r="J30" s="201">
        <f>(SUM(I25:I29)-J23)*'PIECE DENSITIES'!C11</f>
        <v>0</v>
      </c>
      <c r="K30" s="24" t="s">
        <v>289</v>
      </c>
      <c r="L30"/>
      <c r="M30" s="20"/>
      <c r="O30" s="96">
        <f>SUM(N25:N29)*'PIECE DENSITIES'!C16</f>
        <v>43.816065021474529</v>
      </c>
      <c r="P30" s="24" t="s">
        <v>120</v>
      </c>
      <c r="Q30" s="109"/>
      <c r="S30" s="20"/>
      <c r="U30" s="20"/>
      <c r="Y30"/>
      <c r="Z30"/>
      <c r="AA30"/>
      <c r="AB30"/>
      <c r="AC30"/>
      <c r="AD30"/>
    </row>
    <row r="31" spans="1:30" ht="13" x14ac:dyDescent="0.3">
      <c r="A31" s="114"/>
      <c r="C31" s="98"/>
      <c r="D31" s="196">
        <f>(SUM(C25:C29)-D23)*'PIECE DENSITIES'!D6</f>
        <v>4929.2821523966841</v>
      </c>
      <c r="E31" s="24" t="s">
        <v>121</v>
      </c>
      <c r="G31" s="114"/>
      <c r="I31" s="99"/>
      <c r="J31" s="201">
        <f>(SUM(I25:I29)-J23)*'PIECE DENSITIES'!D11</f>
        <v>0</v>
      </c>
      <c r="K31" s="24" t="s">
        <v>122</v>
      </c>
      <c r="L31"/>
      <c r="M31" s="20"/>
      <c r="O31" s="96">
        <f>SUM(N25:N29)*'PIECE DENSITIES'!D16</f>
        <v>284.3375184006581</v>
      </c>
      <c r="P31" s="24" t="s">
        <v>123</v>
      </c>
      <c r="Q31" s="109"/>
      <c r="S31" s="20"/>
      <c r="U31" s="20"/>
      <c r="Y31"/>
      <c r="Z31"/>
      <c r="AA31"/>
      <c r="AB31"/>
      <c r="AC31"/>
      <c r="AD31"/>
    </row>
    <row r="32" spans="1:30" ht="13" x14ac:dyDescent="0.3">
      <c r="A32" s="114"/>
      <c r="C32" s="89"/>
      <c r="D32" s="197">
        <f>(SUM(C25:C29)-D23)*'PIECE DENSITIES'!E6</f>
        <v>2662.162532645224</v>
      </c>
      <c r="E32" s="24" t="s">
        <v>124</v>
      </c>
      <c r="G32" s="114"/>
      <c r="I32" s="94"/>
      <c r="J32" s="202">
        <f>(SUM(I25:I29)-J23)*'PIECE DENSITIES'!E11</f>
        <v>0</v>
      </c>
      <c r="K32" s="24" t="s">
        <v>125</v>
      </c>
      <c r="L32"/>
      <c r="M32" s="20"/>
      <c r="N32" s="46"/>
      <c r="O32" s="97">
        <f>SUM(N25:N29)*'PIECE DENSITIES'!E16</f>
        <v>125.2653497173396</v>
      </c>
      <c r="P32" s="24" t="s">
        <v>126</v>
      </c>
      <c r="Q32" s="109"/>
      <c r="S32" s="20"/>
      <c r="U32" s="20"/>
      <c r="Y32"/>
      <c r="Z32"/>
      <c r="AA32"/>
      <c r="AB32"/>
      <c r="AC32"/>
      <c r="AD32"/>
    </row>
    <row r="33" spans="1:30" ht="13" x14ac:dyDescent="0.3">
      <c r="A33" s="114"/>
      <c r="C33" s="89"/>
      <c r="D33" s="197">
        <f>(SUM(C25:C29)-D23)*'PIECE DENSITIES'!F6</f>
        <v>701.07049754139928</v>
      </c>
      <c r="E33" s="24" t="s">
        <v>127</v>
      </c>
      <c r="G33" s="114"/>
      <c r="I33" s="94"/>
      <c r="J33" s="202">
        <f>(SUM(I25:I29)-J23)*'PIECE DENSITIES'!F11</f>
        <v>0</v>
      </c>
      <c r="K33" s="24" t="s">
        <v>128</v>
      </c>
      <c r="L33"/>
      <c r="M33" s="20"/>
      <c r="N33" s="46"/>
      <c r="O33" s="97">
        <f>SUM(N25:N29)*'PIECE DENSITIES'!F16</f>
        <v>36.267888357400011</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115.60244497429834</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76.450478481293246</v>
      </c>
      <c r="B42" s="199">
        <f>C42*(1+'ACCEPT RATES'!F15+'PIECE DENSITIES'!C7)</f>
        <v>1247.1599515338858</v>
      </c>
      <c r="C42" s="198">
        <f>D30</f>
        <v>1217.7979959198219</v>
      </c>
      <c r="G42" s="205">
        <f>IF(SUM(C11:C16)&gt;0,H42*(1-'ACCEPT RATES'!C20),H42*(1-'ACCEPT RATES'!D20))</f>
        <v>0</v>
      </c>
      <c r="H42" s="204">
        <f>I42*(1+'PIECE DENSITIES'!C12)</f>
        <v>0</v>
      </c>
      <c r="I42" s="203">
        <f>J30</f>
        <v>0</v>
      </c>
      <c r="J42" s="58"/>
      <c r="L42"/>
      <c r="M42" s="102">
        <f>N42</f>
        <v>159.41850999577287</v>
      </c>
      <c r="N42" s="101">
        <f>D36+J36+O30</f>
        <v>159.41850999577287</v>
      </c>
      <c r="P42" s="20"/>
      <c r="Q42" s="109"/>
      <c r="S42" s="20"/>
      <c r="U42" s="20"/>
      <c r="Y42"/>
      <c r="Z42"/>
      <c r="AA42"/>
      <c r="AB42"/>
      <c r="AC42"/>
      <c r="AD42"/>
    </row>
    <row r="43" spans="1:30" ht="13" x14ac:dyDescent="0.3">
      <c r="A43" s="114"/>
      <c r="C43" s="98"/>
      <c r="D43" s="196">
        <f>(SUM(C38:C42)-D36)*'PIECE DENSITIES'!D7</f>
        <v>910.18612020614876</v>
      </c>
      <c r="E43" s="24" t="s">
        <v>121</v>
      </c>
      <c r="G43" s="114"/>
      <c r="I43" s="99"/>
      <c r="J43" s="201">
        <f>(SUM(I38:I42)-J36)*'PIECE DENSITIES'!D12</f>
        <v>0</v>
      </c>
      <c r="K43" s="24" t="s">
        <v>122</v>
      </c>
      <c r="L43"/>
      <c r="M43" s="20"/>
      <c r="O43" s="96">
        <f>SUM(N38:N42)*'PIECE DENSITIES'!D17</f>
        <v>112.84337463194981</v>
      </c>
      <c r="P43" s="24" t="s">
        <v>123</v>
      </c>
      <c r="Q43" s="109"/>
      <c r="S43" s="20"/>
      <c r="U43" s="20"/>
      <c r="Y43"/>
      <c r="Z43"/>
      <c r="AA43"/>
      <c r="AB43"/>
      <c r="AC43"/>
      <c r="AD43"/>
    </row>
    <row r="44" spans="1:30" ht="13" x14ac:dyDescent="0.3">
      <c r="A44" s="114"/>
      <c r="C44" s="98"/>
      <c r="D44" s="196">
        <f>(SUM(C38:C42)-D36)*'PIECE DENSITIES'!E7</f>
        <v>76.068442159408292</v>
      </c>
      <c r="E44" s="24" t="s">
        <v>124</v>
      </c>
      <c r="G44" s="114"/>
      <c r="I44" s="99"/>
      <c r="J44" s="201">
        <f>(SUM(I38:I42)-J36)*'PIECE DENSITIES'!E12</f>
        <v>0</v>
      </c>
      <c r="K44" s="24" t="s">
        <v>125</v>
      </c>
      <c r="L44"/>
      <c r="M44" s="20"/>
      <c r="O44" s="96">
        <f>SUM(N38:N42)*'PIECE DENSITIES'!E17</f>
        <v>0.49471351910722428</v>
      </c>
      <c r="P44" s="24" t="s">
        <v>126</v>
      </c>
      <c r="Q44" s="109"/>
      <c r="S44" s="20"/>
      <c r="U44" s="20"/>
      <c r="Y44"/>
      <c r="Z44"/>
      <c r="AA44"/>
      <c r="AB44"/>
      <c r="AC44"/>
      <c r="AD44"/>
    </row>
    <row r="45" spans="1:30" ht="13" x14ac:dyDescent="0.3">
      <c r="A45" s="114"/>
      <c r="C45" s="89"/>
      <c r="D45" s="197">
        <f>(SUM(C38:C42)-D36)*'PIECE DENSITIES'!F7</f>
        <v>8.1026773109148671</v>
      </c>
      <c r="E45" s="24" t="s">
        <v>127</v>
      </c>
      <c r="G45" s="114"/>
      <c r="I45" s="94"/>
      <c r="J45" s="202">
        <f>(SUM(I38:I42)-J36)*'PIECE DENSITIES'!F12</f>
        <v>0</v>
      </c>
      <c r="K45" s="24" t="s">
        <v>128</v>
      </c>
      <c r="L45"/>
      <c r="M45" s="20"/>
      <c r="N45" s="46"/>
      <c r="O45" s="97">
        <f>SUM(N38:N42)*'PIECE DENSITIES'!F17</f>
        <v>3.1669455986942783</v>
      </c>
      <c r="P45" s="24" t="s">
        <v>129</v>
      </c>
      <c r="Q45" s="109"/>
      <c r="S45" s="20"/>
      <c r="U45" s="20"/>
      <c r="Y45"/>
      <c r="Z45"/>
      <c r="AA45"/>
      <c r="AB45"/>
      <c r="AC45"/>
      <c r="AD45"/>
    </row>
    <row r="46" spans="1:30" ht="13" x14ac:dyDescent="0.3">
      <c r="A46" s="114"/>
      <c r="C46" s="89"/>
      <c r="D46" s="197">
        <f>(SUM(C38:C42)-D36)*'PIECE DENSITIES'!G7</f>
        <v>107.83831126905173</v>
      </c>
      <c r="E46" s="24" t="s">
        <v>130</v>
      </c>
      <c r="G46" s="114"/>
      <c r="I46" s="94"/>
      <c r="J46" s="202">
        <f>(SUM(I38:I42)-J36)*'PIECE DENSITIES'!G12</f>
        <v>0</v>
      </c>
      <c r="K46" s="24" t="s">
        <v>288</v>
      </c>
      <c r="L46"/>
      <c r="M46" s="20"/>
      <c r="N46" s="46"/>
      <c r="O46" s="97">
        <f>SUM(N38:N42)*'PIECE DENSITIES'!G17</f>
        <v>42.913476246021546</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425.49056843122708</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359.67417750239593</v>
      </c>
      <c r="B57" s="199">
        <f>C57*(1+'ACCEPT RATES'!F16+'PIECE DENSITIES'!D8)</f>
        <v>5867.4744578824284</v>
      </c>
      <c r="C57" s="198">
        <f>(D31+D43)*('COVERAGE FACTORS'!E38+'COVERAGE FACTORS'!E42)</f>
        <v>5804.5988614575917</v>
      </c>
      <c r="G57" s="210">
        <f>IF(SUM(C11:C16)&gt;0,H57*(1-'ACCEPT RATES'!C21),H57*(1-'ACCEPT RATES'!D21))</f>
        <v>0</v>
      </c>
      <c r="H57" s="209">
        <f>I57*(1+'PIECE DENSITIES'!D13)</f>
        <v>0</v>
      </c>
      <c r="I57" s="208">
        <f>(D31+D43)*'COVERAGE FACTORS'!E40+(J31+J43)*('COVERAGE FACTORS'!E40+'COVERAGE FACTORS'!E42)</f>
        <v>0</v>
      </c>
      <c r="J57" s="58"/>
      <c r="L57"/>
      <c r="M57" s="102">
        <f>N57</f>
        <v>857.5408726090842</v>
      </c>
      <c r="N57" s="101">
        <f>D51+J51+O31+O43+(D31+D43)*'COVERAGE FACTORS'!E44+(J31+J43)*(1-('COVERAGE FACTORS'!E40+'COVERAGE FACTORS'!E42))</f>
        <v>857.5408726090842</v>
      </c>
      <c r="P57" s="20"/>
      <c r="Q57" s="109"/>
      <c r="S57" s="20"/>
      <c r="U57" s="20"/>
      <c r="Y57"/>
      <c r="Z57"/>
      <c r="AA57"/>
      <c r="AB57"/>
      <c r="AC57"/>
      <c r="AD57"/>
    </row>
    <row r="58" spans="1:30" ht="13" x14ac:dyDescent="0.3">
      <c r="A58" s="114"/>
      <c r="C58" s="98"/>
      <c r="D58" s="196">
        <f>(SUM(C53:C57)-D51)*'PIECE DENSITIES'!E8</f>
        <v>1070.1238231643049</v>
      </c>
      <c r="E58" s="24" t="s">
        <v>124</v>
      </c>
      <c r="G58" s="114"/>
      <c r="I58" s="99"/>
      <c r="J58" s="201">
        <f>(SUM(I53:I57)-J51)*'PIECE DENSITIES'!E13</f>
        <v>0</v>
      </c>
      <c r="K58" s="24" t="s">
        <v>125</v>
      </c>
      <c r="L58"/>
      <c r="M58" s="20"/>
      <c r="O58" s="96">
        <f>SUM(N53:N57)*'PIECE DENSITIES'!E18</f>
        <v>226.61706852064498</v>
      </c>
      <c r="P58" s="24" t="s">
        <v>126</v>
      </c>
      <c r="Q58" s="109"/>
      <c r="S58" s="20"/>
      <c r="U58" s="20"/>
      <c r="Y58"/>
      <c r="Z58"/>
      <c r="AA58"/>
      <c r="AB58"/>
      <c r="AC58"/>
      <c r="AD58"/>
    </row>
    <row r="59" spans="1:30" ht="13" x14ac:dyDescent="0.3">
      <c r="A59" s="114"/>
      <c r="C59" s="98"/>
      <c r="D59" s="196">
        <f>(SUM(C53:C57)-D51)*'PIECE DENSITIES'!F8</f>
        <v>347.43141208741025</v>
      </c>
      <c r="E59" s="24" t="s">
        <v>127</v>
      </c>
      <c r="G59" s="114"/>
      <c r="I59" s="99"/>
      <c r="J59" s="201">
        <f>(SUM(I53:I57)-J51)*'PIECE DENSITIES'!F13</f>
        <v>0</v>
      </c>
      <c r="K59" s="24" t="s">
        <v>128</v>
      </c>
      <c r="L59"/>
      <c r="M59" s="20"/>
      <c r="O59" s="96">
        <f>SUM(N53:N57)*'PIECE DENSITIES'!F18</f>
        <v>35.568001401525756</v>
      </c>
      <c r="P59" s="24" t="s">
        <v>129</v>
      </c>
      <c r="Q59" s="109"/>
      <c r="S59" s="20"/>
      <c r="U59" s="20"/>
      <c r="Y59"/>
      <c r="Z59"/>
      <c r="AA59"/>
      <c r="AB59"/>
      <c r="AC59"/>
      <c r="AD59"/>
    </row>
    <row r="60" spans="1:30" ht="13" x14ac:dyDescent="0.3">
      <c r="A60" s="114"/>
      <c r="C60" s="89"/>
      <c r="D60" s="197">
        <f>(SUM(C53:C57)-D51)*'PIECE DENSITIES'!G8</f>
        <v>3961.5530577746495</v>
      </c>
      <c r="E60" s="24" t="s">
        <v>130</v>
      </c>
      <c r="G60" s="114"/>
      <c r="I60" s="94"/>
      <c r="J60" s="202">
        <f>(SUM(I53:I57)-J51)*'PIECE DENSITIES'!G13</f>
        <v>0</v>
      </c>
      <c r="K60" s="24" t="s">
        <v>288</v>
      </c>
      <c r="L60"/>
      <c r="M60" s="20"/>
      <c r="N60" s="46"/>
      <c r="O60" s="97">
        <f>SUM(N53:N57)*'PIECE DENSITIES'!G18</f>
        <v>595.35580268691353</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198.9833839730056</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246.46037401935948</v>
      </c>
      <c r="B68" s="211">
        <f>C68*(1+'ACCEPT RATES'!F17+'PIECE DENSITIES'!E9)</f>
        <v>4020.5831830368438</v>
      </c>
      <c r="C68" s="212">
        <f>(D32+D44+D58)*('COVERAGE FACTORS'!E38+'COVERAGE FACTORS'!E42)</f>
        <v>3785.613842279467</v>
      </c>
      <c r="G68" s="205">
        <f>IF(SUM(C11:C16)&gt;0, H68*(1-'ACCEPT RATES'!C22),H68*(1-'ACCEPT RATES'!D22))</f>
        <v>0</v>
      </c>
      <c r="H68" s="204">
        <f>I68*(1+'PIECE DENSITIES'!E14)</f>
        <v>0</v>
      </c>
      <c r="I68" s="203">
        <f>(D32+D44+D58)*'COVERAGE FACTORS'!E40+(J32+J44+J58)*('COVERAGE FACTORS'!E40+'COVERAGE FACTORS'!E42)</f>
        <v>0</v>
      </c>
      <c r="J68" s="58"/>
      <c r="L68"/>
      <c r="M68" s="102">
        <f>N68</f>
        <v>574.10147141957327</v>
      </c>
      <c r="N68" s="101">
        <f>D62+J62+O32+O44+O58+(D32+D44+D58)*'COVERAGE FACTORS'!E44+(J32+J44+J58)*(1-('COVERAGE FACTORS'!E40+'COVERAGE FACTORS'!E42))</f>
        <v>574.10147141957327</v>
      </c>
      <c r="P68" s="20"/>
      <c r="Q68" s="109"/>
      <c r="S68" s="20"/>
      <c r="U68" s="20"/>
      <c r="Y68"/>
      <c r="Z68"/>
      <c r="AA68"/>
      <c r="AB68"/>
      <c r="AC68"/>
      <c r="AD68"/>
    </row>
    <row r="69" spans="1:30" ht="13" x14ac:dyDescent="0.3">
      <c r="A69" s="114"/>
      <c r="C69" s="98"/>
      <c r="D69" s="196">
        <f>(SUM(C64:C68)-D62)*'PIECE DENSITIES'!F9</f>
        <v>80.239993577645606</v>
      </c>
      <c r="E69" s="24" t="s">
        <v>127</v>
      </c>
      <c r="G69" s="114"/>
      <c r="I69" s="99"/>
      <c r="J69" s="201">
        <f>(SUM(I64:I68)-J62)*'PIECE DENSITIES'!F14</f>
        <v>0</v>
      </c>
      <c r="K69" s="24" t="s">
        <v>128</v>
      </c>
      <c r="L69"/>
      <c r="M69" s="20"/>
      <c r="O69" s="96">
        <f>SUM(N64:N68)*'PIECE DENSITIES'!F19</f>
        <v>14.850758137694609</v>
      </c>
      <c r="P69" s="24" t="s">
        <v>129</v>
      </c>
      <c r="Q69" s="109"/>
      <c r="S69" s="20"/>
      <c r="U69" s="20"/>
      <c r="Y69"/>
      <c r="Z69"/>
      <c r="AA69"/>
      <c r="AB69"/>
      <c r="AC69"/>
      <c r="AD69"/>
    </row>
    <row r="70" spans="1:30" ht="13" x14ac:dyDescent="0.3">
      <c r="A70" s="114"/>
      <c r="C70" s="98"/>
      <c r="D70" s="196">
        <f>(SUM(C64:C68)-D62)*'PIECE DENSITIES'!G9</f>
        <v>3506.3904647288159</v>
      </c>
      <c r="E70" s="24" t="s">
        <v>130</v>
      </c>
      <c r="G70" s="114"/>
      <c r="I70" s="99"/>
      <c r="J70" s="201">
        <f>(SUM(I64:I68)-J62)*'PIECE DENSITIES'!G14</f>
        <v>0</v>
      </c>
      <c r="K70" s="24" t="s">
        <v>288</v>
      </c>
      <c r="L70"/>
      <c r="M70" s="20"/>
      <c r="O70" s="96">
        <f>SUM(N64:N68)*'PIECE DENSITIES'!G19</f>
        <v>559.25071328187869</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56.471833425549704</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69.945886484210646</v>
      </c>
      <c r="B78" s="211">
        <f>C78*(1+'ACCEPT RATES'!F17)</f>
        <v>1141.048560199504</v>
      </c>
      <c r="C78" s="212">
        <f>(D33+D45+D59+D69)*('COVERAGE FACTORS'!E38+'COVERAGE FACTORS'!E42)</f>
        <v>1130.05610265676</v>
      </c>
      <c r="G78" s="205">
        <f>IF(SUM(C11:C16)&gt;0,H78*(1-'ACCEPT RATES'!C22),H78*(1-'ACCEPT RATES'!D22))</f>
        <v>0</v>
      </c>
      <c r="H78" s="204">
        <f>I78</f>
        <v>0</v>
      </c>
      <c r="I78" s="203">
        <f>(D33+D45+D59+D69)*'COVERAGE FACTORS'!E40+(J33+J45+J59+J69)*('COVERAGE FACTORS'!E40+'COVERAGE FACTORS'!E42)</f>
        <v>0</v>
      </c>
      <c r="J78" s="58"/>
      <c r="L78"/>
      <c r="M78" s="102">
        <f ca="1">N78</f>
        <v>153.11390478147601</v>
      </c>
      <c r="N78" s="294">
        <f ca="1">D72+J72+O33+O45+O59+O69+(D33+D45+D59+D69)*'COVERAGE FACTORS'!E44+(J33+J45+J59+J69)*(1-('COVERAGE FACTORS'!E40+'COVERAGE FACTORS'!E42))+D106</f>
        <v>153.11390478147601</v>
      </c>
      <c r="P78" s="20"/>
      <c r="Q78" s="109"/>
      <c r="S78" s="20"/>
      <c r="U78" s="20"/>
      <c r="Y78"/>
      <c r="Z78"/>
      <c r="AA78"/>
      <c r="AB78"/>
      <c r="AC78"/>
      <c r="AD78"/>
    </row>
    <row r="79" spans="1:30" ht="13" x14ac:dyDescent="0.3">
      <c r="A79" s="114"/>
      <c r="C79" s="98"/>
      <c r="D79" s="196">
        <f>SUM(C74:C78)-D72</f>
        <v>1073.5842692312103</v>
      </c>
      <c r="E79" s="24" t="s">
        <v>130</v>
      </c>
      <c r="G79" s="114"/>
      <c r="I79" s="99"/>
      <c r="J79" s="201">
        <f>SUM(I74:I78)-J72</f>
        <v>0</v>
      </c>
      <c r="K79" s="24" t="s">
        <v>288</v>
      </c>
      <c r="L79"/>
      <c r="M79" s="20"/>
      <c r="O79" s="96">
        <f ca="1">SUM(N74:N78)</f>
        <v>153.11390478147601</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411.06773886179411</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509.1475812920857</v>
      </c>
      <c r="B87" s="211">
        <f>C87*(1+'ACCEPT RATES'!F17)</f>
        <v>8305.8796415932029</v>
      </c>
      <c r="C87" s="212">
        <f>(D34+D46+D60+D70+D79)*('COVERAGE FACTORS'!E54+'COVERAGE FACTORS'!E58+(1-'COVERAGE FACTORS'!B119)*'COVERAGE FACTORS'!E52)*'COVERAGE FACTORS'!E104</f>
        <v>8225.8637399917934</v>
      </c>
      <c r="G87" s="205">
        <v>0</v>
      </c>
      <c r="H87" s="204">
        <f>I87</f>
        <v>0</v>
      </c>
      <c r="I87" s="203">
        <f>(D34+D46+D60+D70+D79)*'COVERAGE FACTORS'!E56*'COVERAGE FACTORS'!E104+(J34+J46+J60+J70+J79)*('COVERAGE FACTORS'!E56+'COVERAGE FACTORS'!E58)*'COVERAGE FACTORS'!E104</f>
        <v>0</v>
      </c>
      <c r="J87" s="213"/>
      <c r="L87"/>
      <c r="M87" s="102">
        <f ca="1">N87</f>
        <v>2185.2039988700176</v>
      </c>
      <c r="N87" s="294">
        <f ca="1">D81+J81+(O34+O46+O60+O70+O79)+(D34+D46+D60+D70+D79)*'COVERAGE FACTORS'!E106+(J34+J46+J60+J70+J79)*(1-('COVERAGE FACTORS'!E56+'COVERAGE FACTORS'!E58)*'COVERAGE FACTORS'!E104)+D120</f>
        <v>2185.2039988700176</v>
      </c>
      <c r="P87" s="20"/>
      <c r="Q87" s="109"/>
      <c r="S87" s="20"/>
      <c r="U87" s="20"/>
      <c r="Y87"/>
      <c r="Z87"/>
      <c r="AA87"/>
      <c r="AB87"/>
      <c r="AC87"/>
      <c r="AD87"/>
    </row>
    <row r="88" spans="1:30" ht="13" x14ac:dyDescent="0.3">
      <c r="A88" s="114"/>
      <c r="C88" s="98"/>
      <c r="D88" s="103">
        <f>SUM(C83:C87)-D81</f>
        <v>7814.7960011299992</v>
      </c>
      <c r="E88" s="24"/>
      <c r="G88" s="218"/>
      <c r="H88" s="214"/>
      <c r="I88" s="214"/>
      <c r="J88" s="215">
        <f>SUM(I83:I87)-J81</f>
        <v>0</v>
      </c>
      <c r="K88" s="24"/>
      <c r="L88"/>
      <c r="M88" s="20"/>
      <c r="O88" s="216">
        <f ca="1">SUM(N83:N87)</f>
        <v>2185.2039988700176</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FACTORS'!E52*'COVERAGE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drawing r:id="rId2"/>
</worksheet>
</file>

<file path=xl/worksheets/sheet2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0">
    <pageSetUpPr fitToPage="1"/>
  </sheetPr>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342</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'BUNDLE SORT'!$I$64*('COVERAGE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C11*$J11/'ADC AUTO MODEL'!$G$6</f>
        <v>0</v>
      </c>
    </row>
    <row r="12" spans="1:11" ht="13" x14ac:dyDescent="0.3">
      <c r="A12" s="36"/>
      <c r="B12" t="s">
        <v>529</v>
      </c>
      <c r="C12" s="151">
        <f>'BUNDLE SORT'!$I$64*('COVERAGE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C12*$J12/'ADC AUTO MODEL'!$G$6</f>
        <v>0</v>
      </c>
    </row>
    <row r="13" spans="1:11" ht="13" x14ac:dyDescent="0.3">
      <c r="A13" s="36"/>
      <c r="B13" t="s">
        <v>70</v>
      </c>
      <c r="C13" s="151">
        <f>'BUNDLE SORT'!$J$64</f>
        <v>563.47957764427247</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C13*$J13/'ADC AUTO MODEL'!$G$6</f>
        <v>1.1429008821275013</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'BUNDLE SORT'!$M$64*('COVERAGE FACTORS'!$E$30/('COVERAGE FACTORS'!$E$30+'COVERAGE FACTORS'!$E$32))</f>
        <v>269.68778376145417</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C16*$J16/'ADC AUTO MODEL'!$G$6</f>
        <v>1.0184882071203227</v>
      </c>
    </row>
    <row r="17" spans="1:11" ht="13" x14ac:dyDescent="0.3">
      <c r="A17" s="1"/>
      <c r="B17" t="s">
        <v>529</v>
      </c>
      <c r="C17" s="151">
        <f>'BUNDLE SORT'!$M$64*('COVERAGE FACTORS'!$E$32/('COVERAGE FACTORS'!$E$30+'COVERAGE FACTORS'!$E$32))</f>
        <v>326.00857795735436</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C17*$J17/'ADC AUTO MODEL'!$G$6</f>
        <v>1.424086361740621</v>
      </c>
    </row>
    <row r="18" spans="1:11" ht="13" x14ac:dyDescent="0.3">
      <c r="A18" s="1"/>
      <c r="B18" t="s">
        <v>70</v>
      </c>
      <c r="C18" s="151">
        <f>'BUNDLE SORT'!$N$64</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C18*$J18/'ADC AUTO MODEL'!$G$6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'BUNDLE SORT'!$Q$64*('COVERAGE FACTORS'!$E$30/('COVERAGE FACTORS'!$E$30+'COVERAGE FACTORS'!$E$32))</f>
        <v>0.5306016382670653</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C21*$J21/'ADC AUTO MODEL'!$G$6</f>
        <v>2.0038412705105594E-3</v>
      </c>
    </row>
    <row r="22" spans="1:11" ht="13" x14ac:dyDescent="0.3">
      <c r="A22" s="1"/>
      <c r="B22" t="s">
        <v>529</v>
      </c>
      <c r="C22" s="151">
        <f>'BUNDLE SORT'!$Q$64*('COVERAGE FACTORS'!$E$32/('COVERAGE FACTORS'!$E$30+'COVERAGE FACTORS'!$E$32))</f>
        <v>0.64141090538344292</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C22*$J22/'ADC AUTO MODEL'!$G$6</f>
        <v>2.8018419894084851E-3</v>
      </c>
    </row>
    <row r="23" spans="1:11" ht="13" x14ac:dyDescent="0.3">
      <c r="A23" s="1"/>
      <c r="B23" t="s">
        <v>70</v>
      </c>
      <c r="C23" s="151">
        <f>'BUNDLE SORT'!$R$64</f>
        <v>3.3799507337721142E-2</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C23*$J23/'ADC AUTO MODEL'!$G$6</f>
        <v>6.8555256098639715E-5</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'BUNDLE SORT'!$U$64*('COVERAGE FACTORS'!$E$30/('COVERAGE FACTORS'!$E$30+'COVERAGE FACTORS'!$E$32))</f>
        <v>0</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C26*$J26/'ADC AUTO MODEL'!$G$6</f>
        <v>0</v>
      </c>
    </row>
    <row r="27" spans="1:11" ht="13" x14ac:dyDescent="0.3">
      <c r="A27" s="1"/>
      <c r="B27" t="s">
        <v>529</v>
      </c>
      <c r="C27" s="151">
        <f>'BUNDLE SORT'!$U$64*('COVERAGE FACTORS'!$E$32/('COVERAGE FACTORS'!$E$30+'COVERAGE FACTORS'!$E$32))</f>
        <v>0</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C27*$J27/'ADC AUTO MODEL'!$G$6</f>
        <v>0</v>
      </c>
    </row>
    <row r="28" spans="1:11" ht="13" x14ac:dyDescent="0.3">
      <c r="A28" s="1"/>
      <c r="B28" t="s">
        <v>70</v>
      </c>
      <c r="C28" s="151">
        <f>'BUNDLE SORT'!$V$64</f>
        <v>0</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C28*$J28/'ADC AUTO MODEL'!$G$6</f>
        <v>0</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SUM('ADC AUTO MODEL'!$B$25:$B$29)</f>
        <v>499.45863098412144</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C31*$J31/'ADC AUTO MODEL'!$G$6</f>
        <v>0.25555683096071663</v>
      </c>
    </row>
    <row r="32" spans="1:11" ht="13" x14ac:dyDescent="0.3">
      <c r="A32" s="36"/>
      <c r="B32" t="s">
        <v>244</v>
      </c>
      <c r="C32" s="2">
        <f>SUM('ADC AUTO MODEL'!$A$25:$A$29)</f>
        <v>30.616643256853564</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C32*$J32/'ADC AUTO MODEL'!$G$6</f>
        <v>2.3087062256307876E-2</v>
      </c>
    </row>
    <row r="33" spans="1:11" ht="13" x14ac:dyDescent="0.3">
      <c r="A33" s="36"/>
      <c r="B33" t="s">
        <v>291</v>
      </c>
      <c r="C33" s="2">
        <f>SUM('ADC AUTO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C33*$J33/'ADC AUTO MODEL'!$G$6</f>
        <v>0</v>
      </c>
    </row>
    <row r="34" spans="1:11" x14ac:dyDescent="0.25">
      <c r="B34" t="s">
        <v>292</v>
      </c>
      <c r="C34" s="2">
        <f>SUM('ADC AUTO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C34*$J34/'ADC AUTO MODEL'!$G$6</f>
        <v>0</v>
      </c>
    </row>
    <row r="35" spans="1:11" x14ac:dyDescent="0.25">
      <c r="B35" t="s">
        <v>70</v>
      </c>
      <c r="C35" s="2">
        <f>SUM('ADC AUTO MODEL'!$M$25:$M$29)</f>
        <v>24.192762770072775</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C35*$J35/'ADC AUTO MODEL'!$G$6</f>
        <v>2.6139711960586266E-2</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SUM('ADC AUTO MODEL'!$B$38:$B$42)</f>
        <v>61.615390733947869</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C38*$J38/'ADC AUTO MODEL'!$G$6</f>
        <v>2.1861317914611066E-2</v>
      </c>
    </row>
    <row r="39" spans="1:11" ht="13" x14ac:dyDescent="0.3">
      <c r="A39" s="36"/>
      <c r="B39" t="s">
        <v>244</v>
      </c>
      <c r="C39" s="2">
        <f>SUM('ADC AUTO MODEL'!$A$38:$A$42)</f>
        <v>3.7770023785871785</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C39*$J39/'ADC AUTO MODEL'!$G$6</f>
        <v>2.8481204920185149E-3</v>
      </c>
    </row>
    <row r="40" spans="1:11" x14ac:dyDescent="0.25">
      <c r="B40" t="s">
        <v>291</v>
      </c>
      <c r="C40" s="2">
        <f>SUM('ADC AUTO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C40*$J40/'ADC AUTO MODEL'!$G$6</f>
        <v>0</v>
      </c>
    </row>
    <row r="41" spans="1:11" x14ac:dyDescent="0.25">
      <c r="B41" t="s">
        <v>292</v>
      </c>
      <c r="C41" s="2">
        <f>SUM('ADC AUTO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C41*$J41/'ADC AUTO MODEL'!$G$6</f>
        <v>0</v>
      </c>
    </row>
    <row r="42" spans="1:11" x14ac:dyDescent="0.25">
      <c r="B42" t="s">
        <v>70</v>
      </c>
      <c r="C42" s="2">
        <f>SUM('ADC AUTO MODEL'!$M$38:$M$42)</f>
        <v>7.8760016079192017</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C42*$J42/'ADC AUTO MODEL'!$G$6</f>
        <v>1.0758484974749389E-2</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SUM('ADC AUTO MODEL'!$B$53:$B$57)</f>
        <v>9788.0245153785272</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C45*$J45/'ADC AUTO MODEL'!$G$6</f>
        <v>5.0067883549116212</v>
      </c>
    </row>
    <row r="46" spans="1:11" ht="13" x14ac:dyDescent="0.3">
      <c r="A46" s="36"/>
      <c r="B46" t="s">
        <v>244</v>
      </c>
      <c r="C46" s="2">
        <f>SUM('ADC AUTO MODEL'!$A$53:$A$57)</f>
        <v>600.00255513896309</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C46*$J46/'ADC AUTO MODEL'!$G$6</f>
        <v>0.45244334031740041</v>
      </c>
    </row>
    <row r="47" spans="1:11" x14ac:dyDescent="0.25">
      <c r="B47" t="s">
        <v>291</v>
      </c>
      <c r="C47" s="2">
        <f>SUM('ADC AUTO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C47*$J47/'ADC AUTO MODEL'!$G$6</f>
        <v>0</v>
      </c>
    </row>
    <row r="48" spans="1:11" x14ac:dyDescent="0.25">
      <c r="B48" t="s">
        <v>292</v>
      </c>
      <c r="C48" s="2">
        <f>SUM('ADC AUTO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C48*$J48/'ADC AUTO MODEL'!$G$6</f>
        <v>0</v>
      </c>
    </row>
    <row r="49" spans="1:11" x14ac:dyDescent="0.25">
      <c r="B49" t="s">
        <v>70</v>
      </c>
      <c r="C49" s="2">
        <f>SUM('ADC AUTO MODEL'!$M$53:$M$57)</f>
        <v>787.58750428315886</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C49*$J49/'ADC AUTO MODEL'!$G$6</f>
        <v>0.76169308766357247</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SUM('ADC AUTO MODEL'!$B$64:$B$68)</f>
        <v>2027.464772735641</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C52*$J52/'ADC AUTO MODEL'!$G$6</f>
        <v>0.78672887206538433</v>
      </c>
    </row>
    <row r="53" spans="1:11" ht="13" x14ac:dyDescent="0.3">
      <c r="A53" s="36"/>
      <c r="B53" t="s">
        <v>244</v>
      </c>
      <c r="C53" s="2">
        <f>SUM('ADC AUTO MODEL'!$A$64:$A$68)</f>
        <v>124.28289714480525</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C53*$J53/'ADC AUTO MODEL'!$G$6</f>
        <v>9.3717882777176284E-2</v>
      </c>
    </row>
    <row r="54" spans="1:11" x14ac:dyDescent="0.25">
      <c r="B54" t="s">
        <v>291</v>
      </c>
      <c r="C54" s="2">
        <f>SUM('ADC AUTO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C54*$J54/'ADC AUTO MODEL'!$G$6</f>
        <v>0</v>
      </c>
    </row>
    <row r="55" spans="1:11" x14ac:dyDescent="0.25">
      <c r="B55" t="s">
        <v>292</v>
      </c>
      <c r="C55" s="2">
        <f>SUM('ADC AUTO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C55*$J55/'ADC AUTO MODEL'!$G$6</f>
        <v>0</v>
      </c>
    </row>
    <row r="56" spans="1:11" x14ac:dyDescent="0.25">
      <c r="B56" t="s">
        <v>70</v>
      </c>
      <c r="C56" s="2">
        <f>SUM('ADC AUTO MODEL'!$M$64:$M$68)</f>
        <v>326.1532661285907</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C56*$J56/'ADC AUTO MODEL'!$G$6</f>
        <v>0.36390274280407819</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 ca="1">SUM('ADC AUTO MODEL'!$B$74:$B$78)+SUM('ADC AUTO MODEL'!$B$108:$B$112)</f>
        <v>710.84315703051618</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C59*$J59/'ADC AUTO MODEL'!$G$6</f>
        <v>0.51185298722377326</v>
      </c>
    </row>
    <row r="60" spans="1:11" ht="13" x14ac:dyDescent="0.3">
      <c r="A60" s="36"/>
      <c r="B60" t="s">
        <v>244</v>
      </c>
      <c r="C60" s="2">
        <f ca="1">SUM('ADC AUTO MODEL'!$A$74:$A$78)+SUM('ADC AUTO MODEL'!$A$108:$A$112)</f>
        <v>43.574442406764113</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C60*$J60/'ADC AUTO MODEL'!$G$6</f>
        <v>3.2858137196463223E-2</v>
      </c>
    </row>
    <row r="61" spans="1:11" x14ac:dyDescent="0.25">
      <c r="B61" t="s">
        <v>291</v>
      </c>
      <c r="C61" s="2">
        <f>SUM('ADC AUTO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C61*$J61/'ADC AUTO MODEL'!$G$6</f>
        <v>0</v>
      </c>
    </row>
    <row r="62" spans="1:11" x14ac:dyDescent="0.25">
      <c r="B62" t="s">
        <v>292</v>
      </c>
      <c r="C62" s="2">
        <f>SUM('ADC AUTO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C62*$J62/'ADC AUTO MODEL'!$G$6</f>
        <v>0</v>
      </c>
    </row>
    <row r="63" spans="1:11" x14ac:dyDescent="0.25">
      <c r="B63" t="s">
        <v>70</v>
      </c>
      <c r="C63" s="2">
        <f ca="1">SUM('ADC AUTO MODEL'!$M$74:$M$78)</f>
        <v>82.461206284432365</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C63*$J63/'ADC AUTO MODEL'!$G$6</f>
        <v>7.3351751552175062E-2</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 ca="1">SUM('ADC AUTO MODEL'!$B$83:$B$87)+SUM('ADC AUTO MODEL'!$B$122:$B$126)</f>
        <v>8691.4794686946934</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C66*$J66/'ADC AUTO MODEL'!$G$6</f>
        <v>3.7633445850833476</v>
      </c>
    </row>
    <row r="67" spans="1:11" ht="13" x14ac:dyDescent="0.3">
      <c r="A67" s="36"/>
      <c r="B67" t="s">
        <v>244</v>
      </c>
      <c r="C67" s="2">
        <f ca="1">SUM('ADC AUTO MODEL'!$A$83:$A$87)+SUM('ADC AUTO MODEL'!$A$122:$A$126)</f>
        <v>532.78471881238227</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C67*$J67/'ADC AUTO MODEL'!$G$6</f>
        <v>0.40175645217662753</v>
      </c>
    </row>
    <row r="68" spans="1:11" x14ac:dyDescent="0.25">
      <c r="B68" t="s">
        <v>291</v>
      </c>
      <c r="C68" s="2">
        <f>SUM('ADC AUTO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C68*$J68/'ADC AUTO MODEL'!$G$6</f>
        <v>0</v>
      </c>
    </row>
    <row r="69" spans="1:11" x14ac:dyDescent="0.25">
      <c r="B69" t="s">
        <v>292</v>
      </c>
      <c r="C69" s="2">
        <f>SUM('ADC AUTO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C69*$J69/'ADC AUTO MODEL'!$G$6</f>
        <v>0</v>
      </c>
    </row>
    <row r="70" spans="1:11" x14ac:dyDescent="0.25">
      <c r="B70" t="s">
        <v>70</v>
      </c>
      <c r="C70" s="2">
        <f ca="1">SUM('ADC AUTO MODEL'!$M$83:$M$87)</f>
        <v>1822.4026922174278</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C70*$J70/'ADC AUTO MODEL'!$G$6</f>
        <v>1.8069994011463135</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 ca="1">SUM('ADC AUTO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C74*$J74/'ADC AUTO MODEL'!$G$6</f>
        <v>0</v>
      </c>
    </row>
    <row r="76" spans="1:11" x14ac:dyDescent="0.25">
      <c r="B76" s="155" t="s">
        <v>486</v>
      </c>
      <c r="C76" s="2">
        <f>SUM('ADC AUTO MODEL'!C53,'ADC AUTO MODEL'!I53)</f>
        <v>9396.3628157735911</v>
      </c>
      <c r="D76" s="2">
        <f>PRODUCTIVITIES!$C$49*'FY VOLUME AUTO'!C56</f>
        <v>1532.0490927148153</v>
      </c>
      <c r="E76" s="38">
        <f>'WAGE RATES'!$C$6</f>
        <v>50.10717457546064</v>
      </c>
      <c r="F76" s="42">
        <f t="shared" ref="F76:F77" si="0">E76*100/D76</f>
        <v>3.2705984954222278</v>
      </c>
      <c r="G76" s="42">
        <f>PIGGYBACKS!$B$13</f>
        <v>1.6305774272183733</v>
      </c>
      <c r="H76" s="42">
        <f>'WAGE RATES'!$C$9</f>
        <v>0.9752031228402912</v>
      </c>
      <c r="I76" s="42">
        <f t="shared" ref="I76:I77" si="1">(H76-1)*F76</f>
        <v>-8.11006291297134E-2</v>
      </c>
      <c r="J76" s="42">
        <f t="shared" ref="J76:J77" si="2">F76*G76+I76</f>
        <v>5.251863451000145</v>
      </c>
      <c r="K76" s="42">
        <f ca="1">C76*$J76/'5D AUTO MODEL'!$G$6</f>
        <v>4.9348414444498125</v>
      </c>
    </row>
    <row r="77" spans="1:11" x14ac:dyDescent="0.25">
      <c r="B77" s="155" t="s">
        <v>491</v>
      </c>
      <c r="C77" s="2">
        <f ca="1">SUM(C31,C33,C34,C38,C40,C41,C45,C47,C48,C52,C54,C55,C59,C61,C62,C66,C68,C69)-C76</f>
        <v>12382.523119783855</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4.7271640765375711</v>
      </c>
    </row>
    <row r="78" spans="1:11" ht="13.5" thickBot="1" x14ac:dyDescent="0.35">
      <c r="F78" s="42"/>
      <c r="H78" s="42"/>
      <c r="I78" s="42"/>
      <c r="J78" s="42"/>
      <c r="K78" s="41" t="str">
        <f>"(10)"</f>
        <v>(10)</v>
      </c>
    </row>
    <row r="79" spans="1:11" ht="13.5" thickBot="1" x14ac:dyDescent="0.35">
      <c r="F79" s="42"/>
      <c r="H79" s="42"/>
      <c r="I79" s="42"/>
      <c r="J79" s="142" t="s">
        <v>78</v>
      </c>
      <c r="K79" s="143">
        <f ca="1">SUM(K11:K77)</f>
        <v>27.64804433396877</v>
      </c>
    </row>
    <row r="80" spans="1:11" ht="13.5" thickBot="1" x14ac:dyDescent="0.35">
      <c r="J80" s="142" t="s">
        <v>485</v>
      </c>
      <c r="K80" s="143">
        <f ca="1">SUM(K31,K33,K34,K38,K40,K41,K45,K47,K48,K52,K54,K55,K59,K61,K62,K66,K68,K69,K76,K77)</f>
        <v>20.008138469146836</v>
      </c>
    </row>
    <row r="83" spans="1:8" ht="13" x14ac:dyDescent="0.3">
      <c r="A83" s="145" t="str">
        <f>"(1)"</f>
        <v>(1)</v>
      </c>
      <c r="B83" s="1" t="s">
        <v>407</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14</oddFooter>
  </headerFooter>
  <ignoredErrors>
    <ignoredError sqref="E4" numberStoredAsText="1"/>
  </ignoredErrors>
</worksheet>
</file>

<file path=xl/worksheets/sheet2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1"/>
  <dimension ref="A1:AD128"/>
  <sheetViews>
    <sheetView zoomScale="70" zoomScaleNormal="70"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'ADC AUTO COST'!A1</f>
        <v>ADC AUTO PRESORT</v>
      </c>
    </row>
    <row r="2" spans="1:30" ht="23" x14ac:dyDescent="0.5">
      <c r="A2" s="57" t="s">
        <v>84</v>
      </c>
    </row>
    <row r="6" spans="1:30" s="228" customFormat="1" ht="18" x14ac:dyDescent="0.4">
      <c r="A6" s="48" t="s">
        <v>85</v>
      </c>
      <c r="B6" s="226"/>
      <c r="C6" s="49">
        <f>SUM(C11:C16)+SUM(G11:G16)+SUM(K11:K16)+SUM(O11:O16)</f>
        <v>9999.9999999999964</v>
      </c>
      <c r="D6" s="227"/>
      <c r="E6" s="48" t="s">
        <v>86</v>
      </c>
      <c r="F6" s="226"/>
      <c r="G6" s="49">
        <f ca="1">D88+J88+O88+D100+D127</f>
        <v>10000.000000000015</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'ENTRY PROFILE'!K60</f>
        <v>494.04561666823008</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'ENTRY PROFILE'!L60+'ENTRY PROFILE'!O60+'ENTRY PROFILE'!O61+'ENTRY PROFILE'!P60+'ENTRY PROFILE'!P61</f>
        <v>9452.8086867309503</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f>'ENTRY PROFILE'!S62+'ENTRY PROFILE'!T62</f>
        <v>53.145696600815157</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23.338755538774201</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30.616643256853564</v>
      </c>
      <c r="B25" s="29">
        <f>C25*(1+'ACCEPT RATES'!F14)</f>
        <v>499.45863098412144</v>
      </c>
      <c r="C25" s="51">
        <f>C11*('COVERAGE FACTORS'!E14+'COVERAGE FACTORS'!E18)</f>
        <v>493.19160943693163</v>
      </c>
      <c r="E25" s="24" t="s">
        <v>70</v>
      </c>
      <c r="G25" s="217">
        <f>H25*(1-'ACCEPT RATES'!C19)</f>
        <v>0</v>
      </c>
      <c r="H25" s="29">
        <f>I25</f>
        <v>0</v>
      </c>
      <c r="I25" s="51">
        <f>C11*'COVERAGE FACTORS'!E16</f>
        <v>0</v>
      </c>
      <c r="J25" s="23"/>
      <c r="K25" s="23" t="s">
        <v>70</v>
      </c>
      <c r="L25"/>
      <c r="M25" s="29">
        <f>N25</f>
        <v>0.85400723129857281</v>
      </c>
      <c r="N25" s="51">
        <f>C11*'COVERAGE FACTORS'!E20</f>
        <v>0.85400723129857281</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23.338755538774201</v>
      </c>
      <c r="N29" s="206">
        <f>D23+J23</f>
        <v>23.338755538774201</v>
      </c>
      <c r="P29" s="20"/>
      <c r="Q29" s="109"/>
      <c r="S29" s="20"/>
      <c r="U29" s="20"/>
      <c r="Y29"/>
      <c r="Z29"/>
      <c r="AA29"/>
      <c r="AB29"/>
      <c r="AC29"/>
      <c r="AD29"/>
    </row>
    <row r="30" spans="1:30" ht="13" x14ac:dyDescent="0.3">
      <c r="A30" s="114"/>
      <c r="C30" s="98"/>
      <c r="D30" s="196">
        <f>(SUM(C25:C29)-D23)*'PIECE DENSITIES'!C6</f>
        <v>60.164776187154324</v>
      </c>
      <c r="E30" s="24" t="s">
        <v>290</v>
      </c>
      <c r="G30" s="114"/>
      <c r="I30" s="99"/>
      <c r="J30" s="201">
        <f>(SUM(I25:I29)-J23)*'PIECE DENSITIES'!C11</f>
        <v>0</v>
      </c>
      <c r="K30" s="24" t="s">
        <v>289</v>
      </c>
      <c r="L30"/>
      <c r="M30" s="20"/>
      <c r="O30" s="96">
        <f>SUM(N25:N29)*'PIECE DENSITIES'!C16</f>
        <v>2.1647134863509652</v>
      </c>
      <c r="P30" s="24" t="s">
        <v>120</v>
      </c>
      <c r="Q30" s="109"/>
      <c r="S30" s="20"/>
      <c r="U30" s="20"/>
      <c r="Y30"/>
      <c r="Z30"/>
      <c r="AA30"/>
      <c r="AB30"/>
      <c r="AC30"/>
      <c r="AD30"/>
    </row>
    <row r="31" spans="1:30" ht="13" x14ac:dyDescent="0.3">
      <c r="A31" s="114"/>
      <c r="C31" s="98"/>
      <c r="D31" s="196">
        <f>(SUM(C25:C29)-D23)*'PIECE DENSITIES'!D6</f>
        <v>243.52902407125208</v>
      </c>
      <c r="E31" s="24" t="s">
        <v>121</v>
      </c>
      <c r="G31" s="114"/>
      <c r="I31" s="99"/>
      <c r="J31" s="201">
        <f>(SUM(I25:I29)-J23)*'PIECE DENSITIES'!D11</f>
        <v>0</v>
      </c>
      <c r="K31" s="24" t="s">
        <v>122</v>
      </c>
      <c r="L31"/>
      <c r="M31" s="20"/>
      <c r="O31" s="96">
        <f>SUM(N25:N29)*'PIECE DENSITIES'!D16</f>
        <v>14.047570462016736</v>
      </c>
      <c r="P31" s="24" t="s">
        <v>123</v>
      </c>
      <c r="Q31" s="109"/>
      <c r="S31" s="20"/>
      <c r="U31" s="20"/>
      <c r="Y31"/>
      <c r="Z31"/>
      <c r="AA31"/>
      <c r="AB31"/>
      <c r="AC31"/>
      <c r="AD31"/>
    </row>
    <row r="32" spans="1:30" ht="13" x14ac:dyDescent="0.3">
      <c r="A32" s="114"/>
      <c r="C32" s="89"/>
      <c r="D32" s="197">
        <f>(SUM(C25:C29)-D23)*'PIECE DENSITIES'!E6</f>
        <v>131.5229730111767</v>
      </c>
      <c r="E32" s="24" t="s">
        <v>124</v>
      </c>
      <c r="G32" s="114"/>
      <c r="I32" s="94"/>
      <c r="J32" s="202">
        <f>(SUM(I25:I29)-J23)*'PIECE DENSITIES'!E11</f>
        <v>0</v>
      </c>
      <c r="K32" s="24" t="s">
        <v>125</v>
      </c>
      <c r="L32"/>
      <c r="M32" s="20"/>
      <c r="N32" s="46"/>
      <c r="O32" s="97">
        <f>SUM(N25:N29)*'PIECE DENSITIES'!E16</f>
        <v>6.1886796948264555</v>
      </c>
      <c r="P32" s="24" t="s">
        <v>126</v>
      </c>
      <c r="Q32" s="109"/>
      <c r="S32" s="20"/>
      <c r="U32" s="20"/>
      <c r="Y32"/>
      <c r="Z32"/>
      <c r="AA32"/>
      <c r="AB32"/>
      <c r="AC32"/>
      <c r="AD32"/>
    </row>
    <row r="33" spans="1:30" ht="13" x14ac:dyDescent="0.3">
      <c r="A33" s="114"/>
      <c r="C33" s="89"/>
      <c r="D33" s="197">
        <f>(SUM(C25:C29)-D23)*'PIECE DENSITIES'!F6</f>
        <v>34.636080628574355</v>
      </c>
      <c r="E33" s="24" t="s">
        <v>127</v>
      </c>
      <c r="G33" s="114"/>
      <c r="I33" s="94"/>
      <c r="J33" s="202">
        <f>(SUM(I25:I29)-J23)*'PIECE DENSITIES'!F11</f>
        <v>0</v>
      </c>
      <c r="K33" s="24" t="s">
        <v>128</v>
      </c>
      <c r="L33"/>
      <c r="M33" s="20"/>
      <c r="N33" s="46"/>
      <c r="O33" s="97">
        <f>SUM(N25:N29)*'PIECE DENSITIES'!F16</f>
        <v>1.7917991268786211</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5.711288121568237</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3.7770023785871785</v>
      </c>
      <c r="B42" s="199">
        <f>C42*(1+'ACCEPT RATES'!F15+'PIECE DENSITIES'!C7)</f>
        <v>61.615390733947869</v>
      </c>
      <c r="C42" s="198">
        <f>D30</f>
        <v>60.164776187154324</v>
      </c>
      <c r="G42" s="205">
        <f>IF(SUM(C11:C16)&gt;0,H42*(1-'ACCEPT RATES'!C20),H42*(1-'ACCEPT RATES'!D20))</f>
        <v>0</v>
      </c>
      <c r="H42" s="204">
        <f>I42*(1+'PIECE DENSITIES'!C12)</f>
        <v>0</v>
      </c>
      <c r="I42" s="203">
        <f>J30</f>
        <v>0</v>
      </c>
      <c r="J42" s="58"/>
      <c r="L42"/>
      <c r="M42" s="102">
        <f>N42</f>
        <v>7.8760016079192017</v>
      </c>
      <c r="N42" s="101">
        <f>D36+J36+O30</f>
        <v>7.8760016079192017</v>
      </c>
      <c r="P42" s="20"/>
      <c r="Q42" s="109"/>
      <c r="S42" s="20"/>
      <c r="U42" s="20"/>
      <c r="Y42"/>
      <c r="Z42"/>
      <c r="AA42"/>
      <c r="AB42"/>
      <c r="AC42"/>
      <c r="AD42"/>
    </row>
    <row r="43" spans="1:30" ht="13" x14ac:dyDescent="0.3">
      <c r="A43" s="114"/>
      <c r="C43" s="98"/>
      <c r="D43" s="196">
        <f>(SUM(C38:C42)-D36)*'PIECE DENSITIES'!D7</f>
        <v>44.967346304011059</v>
      </c>
      <c r="E43" s="24" t="s">
        <v>121</v>
      </c>
      <c r="G43" s="114"/>
      <c r="I43" s="99"/>
      <c r="J43" s="201">
        <f>(SUM(I38:I42)-J36)*'PIECE DENSITIES'!D12</f>
        <v>0</v>
      </c>
      <c r="K43" s="24" t="s">
        <v>122</v>
      </c>
      <c r="L43"/>
      <c r="M43" s="20"/>
      <c r="O43" s="96">
        <f>SUM(N38:N42)*'PIECE DENSITIES'!D17</f>
        <v>5.5749774606965765</v>
      </c>
      <c r="P43" s="24" t="s">
        <v>123</v>
      </c>
      <c r="Q43" s="109"/>
      <c r="S43" s="20"/>
      <c r="U43" s="20"/>
      <c r="Y43"/>
      <c r="Z43"/>
      <c r="AA43"/>
      <c r="AB43"/>
      <c r="AC43"/>
      <c r="AD43"/>
    </row>
    <row r="44" spans="1:30" ht="13" x14ac:dyDescent="0.3">
      <c r="A44" s="114"/>
      <c r="C44" s="98"/>
      <c r="D44" s="196">
        <f>(SUM(C38:C42)-D36)*'PIECE DENSITIES'!E7</f>
        <v>3.7581280415636464</v>
      </c>
      <c r="E44" s="24" t="s">
        <v>124</v>
      </c>
      <c r="G44" s="114"/>
      <c r="I44" s="99"/>
      <c r="J44" s="201">
        <f>(SUM(I38:I42)-J36)*'PIECE DENSITIES'!E12</f>
        <v>0</v>
      </c>
      <c r="K44" s="24" t="s">
        <v>125</v>
      </c>
      <c r="L44"/>
      <c r="M44" s="20"/>
      <c r="O44" s="96">
        <f>SUM(N38:N42)*'PIECE DENSITIES'!E17</f>
        <v>2.4441104562143885E-2</v>
      </c>
      <c r="P44" s="24" t="s">
        <v>126</v>
      </c>
      <c r="Q44" s="109"/>
      <c r="S44" s="20"/>
      <c r="U44" s="20"/>
      <c r="Y44"/>
      <c r="Z44"/>
      <c r="AA44"/>
      <c r="AB44"/>
      <c r="AC44"/>
      <c r="AD44"/>
    </row>
    <row r="45" spans="1:30" ht="13" x14ac:dyDescent="0.3">
      <c r="A45" s="114"/>
      <c r="C45" s="89"/>
      <c r="D45" s="197">
        <f>(SUM(C38:C42)-D36)*'PIECE DENSITIES'!F7</f>
        <v>0.40030922087346121</v>
      </c>
      <c r="E45" s="24" t="s">
        <v>127</v>
      </c>
      <c r="G45" s="114"/>
      <c r="I45" s="94"/>
      <c r="J45" s="202">
        <f>(SUM(I38:I42)-J36)*'PIECE DENSITIES'!F12</f>
        <v>0</v>
      </c>
      <c r="K45" s="24" t="s">
        <v>128</v>
      </c>
      <c r="L45"/>
      <c r="M45" s="20"/>
      <c r="N45" s="46"/>
      <c r="O45" s="97">
        <f>SUM(N38:N42)*'PIECE DENSITIES'!F17</f>
        <v>0.15646155912616519</v>
      </c>
      <c r="P45" s="24" t="s">
        <v>129</v>
      </c>
      <c r="Q45" s="109"/>
      <c r="S45" s="20"/>
      <c r="U45" s="20"/>
      <c r="Y45"/>
      <c r="Z45"/>
      <c r="AA45"/>
      <c r="AB45"/>
      <c r="AC45"/>
      <c r="AD45"/>
    </row>
    <row r="46" spans="1:30" ht="13" x14ac:dyDescent="0.3">
      <c r="A46" s="114"/>
      <c r="C46" s="89"/>
      <c r="D46" s="197">
        <f>(SUM(C38:C42)-D36)*'PIECE DENSITIES'!G7</f>
        <v>5.327704499137921</v>
      </c>
      <c r="E46" s="24" t="s">
        <v>130</v>
      </c>
      <c r="G46" s="114"/>
      <c r="I46" s="94"/>
      <c r="J46" s="202">
        <f>(SUM(I38:I42)-J36)*'PIECE DENSITIES'!G12</f>
        <v>0</v>
      </c>
      <c r="K46" s="24" t="s">
        <v>288</v>
      </c>
      <c r="L46"/>
      <c r="M46" s="20"/>
      <c r="N46" s="46"/>
      <c r="O46" s="97">
        <f>SUM(N38:N42)*'PIECE DENSITIES'!G17</f>
        <v>2.1201214835343163</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709.79637742986279</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582.23301005658209</v>
      </c>
      <c r="B53" s="29">
        <f>C53*(1+'ACCEPT RATES'!F16+'PIECE DENSITIES'!D8)</f>
        <v>9498.1445116955656</v>
      </c>
      <c r="C53" s="51">
        <f>C13*('COVERAGE FACTORS'!E38+'COVERAGE FACTORS'!E42)</f>
        <v>9396.3628157735911</v>
      </c>
      <c r="E53" s="24" t="s">
        <v>70</v>
      </c>
      <c r="G53" s="217">
        <f>H53*(1-'ACCEPT RATES'!C21)</f>
        <v>0</v>
      </c>
      <c r="H53" s="29">
        <f>I53*(1+'PIECE DENSITIES'!D13)</f>
        <v>0</v>
      </c>
      <c r="I53" s="51">
        <f>C13*'COVERAGE FACTORS'!E40</f>
        <v>0</v>
      </c>
      <c r="J53" s="113"/>
      <c r="K53" s="23" t="s">
        <v>70</v>
      </c>
      <c r="L53"/>
      <c r="M53" s="29">
        <f>N53</f>
        <v>56.445870957371412</v>
      </c>
      <c r="N53" s="51">
        <f>C13*'COVERAGE FACTORS'!E44</f>
        <v>56.445870957371412</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17.769545082380969</v>
      </c>
      <c r="B57" s="199">
        <f>C57*(1+'ACCEPT RATES'!F16+'PIECE DENSITIES'!D8)</f>
        <v>289.88000368296139</v>
      </c>
      <c r="C57" s="198">
        <f>(D31+D43)*('COVERAGE FACTORS'!E38+'COVERAGE FACTORS'!E42)</f>
        <v>286.77366240205231</v>
      </c>
      <c r="G57" s="210">
        <f>IF(SUM(C11:C16)&gt;0,H57*(1-'ACCEPT RATES'!C21),H57*(1-'ACCEPT RATES'!D21))</f>
        <v>0</v>
      </c>
      <c r="H57" s="209">
        <f>I57*(1+'PIECE DENSITIES'!D13)</f>
        <v>0</v>
      </c>
      <c r="I57" s="208">
        <f>(D31+D43)*'COVERAGE FACTORS'!E40+(J31+J43)*('COVERAGE FACTORS'!E40+'COVERAGE FACTORS'!E42)</f>
        <v>0</v>
      </c>
      <c r="J57" s="58"/>
      <c r="L57"/>
      <c r="M57" s="102">
        <f>N57</f>
        <v>731.14163332578744</v>
      </c>
      <c r="N57" s="101">
        <f>D51+J51+O31+O43+(D31+D43)*'COVERAGE FACTORS'!E44+(J31+J43)*(1-('COVERAGE FACTORS'!E40+'COVERAGE FACTORS'!E42))</f>
        <v>731.14163332578744</v>
      </c>
      <c r="P57" s="20"/>
      <c r="Q57" s="109"/>
      <c r="S57" s="20"/>
      <c r="U57" s="20"/>
      <c r="Y57"/>
      <c r="Z57"/>
      <c r="AA57"/>
      <c r="AB57"/>
      <c r="AC57"/>
      <c r="AD57"/>
    </row>
    <row r="58" spans="1:30" ht="13" x14ac:dyDescent="0.3">
      <c r="A58" s="114"/>
      <c r="C58" s="98"/>
      <c r="D58" s="196">
        <f>(SUM(C53:C57)-D51)*'PIECE DENSITIES'!E8</f>
        <v>1785.1629846554158</v>
      </c>
      <c r="E58" s="24" t="s">
        <v>124</v>
      </c>
      <c r="G58" s="114"/>
      <c r="I58" s="99"/>
      <c r="J58" s="201">
        <f>(SUM(I53:I57)-J51)*'PIECE DENSITIES'!E13</f>
        <v>0</v>
      </c>
      <c r="K58" s="24" t="s">
        <v>125</v>
      </c>
      <c r="L58"/>
      <c r="M58" s="20"/>
      <c r="O58" s="96">
        <f>SUM(N53:N57)*'PIECE DENSITIES'!E18</f>
        <v>208.13092078178067</v>
      </c>
      <c r="P58" s="24" t="s">
        <v>126</v>
      </c>
      <c r="Q58" s="109"/>
      <c r="S58" s="20"/>
      <c r="U58" s="20"/>
      <c r="Y58"/>
      <c r="Z58"/>
      <c r="AA58"/>
      <c r="AB58"/>
      <c r="AC58"/>
      <c r="AD58"/>
    </row>
    <row r="59" spans="1:30" ht="13" x14ac:dyDescent="0.3">
      <c r="A59" s="114"/>
      <c r="C59" s="98"/>
      <c r="D59" s="196">
        <f>(SUM(C53:C57)-D51)*'PIECE DENSITIES'!F8</f>
        <v>579.57937496526449</v>
      </c>
      <c r="E59" s="24" t="s">
        <v>127</v>
      </c>
      <c r="G59" s="114"/>
      <c r="I59" s="99"/>
      <c r="J59" s="201">
        <f>(SUM(I53:I57)-J51)*'PIECE DENSITIES'!F13</f>
        <v>0</v>
      </c>
      <c r="K59" s="24" t="s">
        <v>128</v>
      </c>
      <c r="L59"/>
      <c r="M59" s="20"/>
      <c r="O59" s="96">
        <f>SUM(N53:N57)*'PIECE DENSITIES'!F18</f>
        <v>32.666563601729855</v>
      </c>
      <c r="P59" s="24" t="s">
        <v>129</v>
      </c>
      <c r="Q59" s="109"/>
      <c r="S59" s="20"/>
      <c r="U59" s="20"/>
      <c r="Y59"/>
      <c r="Z59"/>
      <c r="AA59"/>
      <c r="AB59"/>
      <c r="AC59"/>
      <c r="AD59"/>
    </row>
    <row r="60" spans="1:30" ht="13" x14ac:dyDescent="0.3">
      <c r="A60" s="114"/>
      <c r="C60" s="89"/>
      <c r="D60" s="197">
        <f>(SUM(C53:C57)-D51)*'PIECE DENSITIES'!G8</f>
        <v>6608.5977411251015</v>
      </c>
      <c r="E60" s="24" t="s">
        <v>130</v>
      </c>
      <c r="G60" s="114"/>
      <c r="I60" s="94"/>
      <c r="J60" s="202">
        <f>(SUM(I53:I57)-J51)*'PIECE DENSITIES'!G13</f>
        <v>0</v>
      </c>
      <c r="K60" s="24" t="s">
        <v>288</v>
      </c>
      <c r="L60"/>
      <c r="M60" s="20"/>
      <c r="N60" s="46"/>
      <c r="O60" s="97">
        <f>SUM(N53:N57)*'PIECE DENSITIES'!G18</f>
        <v>546.79001989964831</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100.34161289514142</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124.28289714480525</v>
      </c>
      <c r="B68" s="211">
        <f>C68*(1+'ACCEPT RATES'!F17+'PIECE DENSITIES'!E9)</f>
        <v>2027.464772735641</v>
      </c>
      <c r="C68" s="212">
        <f>(D32+D44+D58)*('COVERAGE FACTORS'!E38+'COVERAGE FACTORS'!E42)</f>
        <v>1908.9764740558787</v>
      </c>
      <c r="G68" s="205">
        <f>IF(SUM(C11:C16)&gt;0, H68*(1-'ACCEPT RATES'!C22),H68*(1-'ACCEPT RATES'!D22))</f>
        <v>0</v>
      </c>
      <c r="H68" s="204">
        <f>I68*(1+'PIECE DENSITIES'!E14)</f>
        <v>0</v>
      </c>
      <c r="I68" s="203">
        <f>(D32+D44+D58)*'COVERAGE FACTORS'!E40+(J32+J44+J58)*('COVERAGE FACTORS'!E40+'COVERAGE FACTORS'!E42)</f>
        <v>0</v>
      </c>
      <c r="J68" s="58"/>
      <c r="L68"/>
      <c r="M68" s="102">
        <f>N68</f>
        <v>326.1532661285907</v>
      </c>
      <c r="N68" s="101">
        <f>D62+J62+O32+O44+O58+(D32+D44+D58)*'COVERAGE FACTORS'!E44+(J32+J44+J58)*(1-('COVERAGE FACTORS'!E40+'COVERAGE FACTORS'!E42))</f>
        <v>326.1532661285907</v>
      </c>
      <c r="P68" s="20"/>
      <c r="Q68" s="109"/>
      <c r="S68" s="20"/>
      <c r="U68" s="20"/>
      <c r="Y68"/>
      <c r="Z68"/>
      <c r="AA68"/>
      <c r="AB68"/>
      <c r="AC68"/>
      <c r="AD68"/>
    </row>
    <row r="69" spans="1:30" ht="13" x14ac:dyDescent="0.3">
      <c r="A69" s="114"/>
      <c r="C69" s="98"/>
      <c r="D69" s="196">
        <f>(SUM(C64:C68)-D62)*'PIECE DENSITIES'!F9</f>
        <v>40.462727155997193</v>
      </c>
      <c r="E69" s="24" t="s">
        <v>127</v>
      </c>
      <c r="G69" s="114"/>
      <c r="I69" s="99"/>
      <c r="J69" s="201">
        <f>(SUM(I64:I68)-J62)*'PIECE DENSITIES'!F14</f>
        <v>0</v>
      </c>
      <c r="K69" s="24" t="s">
        <v>128</v>
      </c>
      <c r="L69"/>
      <c r="M69" s="20"/>
      <c r="O69" s="96">
        <f>SUM(N64:N68)*'PIECE DENSITIES'!F19</f>
        <v>8.4368766014796641</v>
      </c>
      <c r="P69" s="24" t="s">
        <v>129</v>
      </c>
      <c r="Q69" s="109"/>
      <c r="S69" s="20"/>
      <c r="U69" s="20"/>
      <c r="Y69"/>
      <c r="Z69"/>
      <c r="AA69"/>
      <c r="AB69"/>
      <c r="AC69"/>
      <c r="AD69"/>
    </row>
    <row r="70" spans="1:30" ht="13" x14ac:dyDescent="0.3">
      <c r="A70" s="114"/>
      <c r="C70" s="98"/>
      <c r="D70" s="196">
        <f>(SUM(C64:C68)-D62)*'PIECE DENSITIES'!G9</f>
        <v>1768.1721340047402</v>
      </c>
      <c r="E70" s="24" t="s">
        <v>130</v>
      </c>
      <c r="G70" s="114"/>
      <c r="I70" s="99"/>
      <c r="J70" s="201">
        <f>(SUM(I64:I68)-J62)*'PIECE DENSITIES'!G14</f>
        <v>0</v>
      </c>
      <c r="K70" s="24" t="s">
        <v>288</v>
      </c>
      <c r="L70"/>
      <c r="M70" s="20"/>
      <c r="O70" s="96">
        <f>SUM(N64:N68)*'PIECE DENSITIES'!G19</f>
        <v>317.71638952711106</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35.180462739027114</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3.2698602124427496</v>
      </c>
      <c r="B74" s="29">
        <f>C74*(1+'ACCEPT RATES'!F17)</f>
        <v>53.34222604075056</v>
      </c>
      <c r="C74" s="51">
        <f>C15*('COVERAGE FACTORS'!E38+'COVERAGE FACTORS'!E42)</f>
        <v>52.828345934818977</v>
      </c>
      <c r="E74" s="24" t="s">
        <v>70</v>
      </c>
      <c r="G74" s="217">
        <f>H74*(1-'ACCEPT RATES'!C22)</f>
        <v>0</v>
      </c>
      <c r="H74" s="29">
        <f>I74</f>
        <v>0</v>
      </c>
      <c r="I74" s="51">
        <f>C15*'COVERAGE FACTORS'!E40</f>
        <v>0</v>
      </c>
      <c r="J74" s="113"/>
      <c r="K74" s="23" t="s">
        <v>70</v>
      </c>
      <c r="L74"/>
      <c r="M74" s="29">
        <f>N74</f>
        <v>0.31735066599625217</v>
      </c>
      <c r="N74" s="51">
        <f>C15*'COVERAGE FACTORS'!E44</f>
        <v>0.31735066599625217</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40.304582194321362</v>
      </c>
      <c r="B78" s="211">
        <f>C78*(1+'ACCEPT RATES'!F17)</f>
        <v>657.50093098976561</v>
      </c>
      <c r="C78" s="212">
        <f>(D33+D45+D59+D69)*('COVERAGE FACTORS'!E38+'COVERAGE FACTORS'!E42)</f>
        <v>651.16679998051575</v>
      </c>
      <c r="G78" s="205">
        <f>IF(SUM(C11:C16)&gt;0,H78*(1-'ACCEPT RATES'!C22),H78*(1-'ACCEPT RATES'!D22))</f>
        <v>0</v>
      </c>
      <c r="H78" s="204">
        <f>I78</f>
        <v>0</v>
      </c>
      <c r="I78" s="203">
        <f>(D33+D45+D59+D69)*'COVERAGE FACTORS'!E40+(J33+J45+J59+J69)*('COVERAGE FACTORS'!E40+'COVERAGE FACTORS'!E42)</f>
        <v>0</v>
      </c>
      <c r="J78" s="58"/>
      <c r="L78"/>
      <c r="M78" s="102">
        <f ca="1">N78</f>
        <v>82.143855618436106</v>
      </c>
      <c r="N78" s="294">
        <f ca="1">D72+J72+O33+O45+O59+O69+(D33+D45+D59+D69)*'COVERAGE FACTORS'!E44+(J33+J45+J59+J69)*(1-('COVERAGE FACTORS'!E40+'COVERAGE FACTORS'!E42))+D106</f>
        <v>82.143855618436106</v>
      </c>
      <c r="P78" s="20"/>
      <c r="Q78" s="109"/>
      <c r="S78" s="20"/>
      <c r="U78" s="20"/>
      <c r="Y78"/>
      <c r="Z78"/>
      <c r="AA78"/>
      <c r="AB78"/>
      <c r="AC78"/>
      <c r="AD78"/>
    </row>
    <row r="79" spans="1:30" ht="13" x14ac:dyDescent="0.3">
      <c r="A79" s="114"/>
      <c r="C79" s="98"/>
      <c r="D79" s="196">
        <f>SUM(C74:C78)-D72</f>
        <v>668.81468317630765</v>
      </c>
      <c r="E79" s="24" t="s">
        <v>130</v>
      </c>
      <c r="G79" s="114"/>
      <c r="I79" s="99"/>
      <c r="J79" s="201">
        <f>SUM(I74:I78)-J72</f>
        <v>0</v>
      </c>
      <c r="K79" s="24" t="s">
        <v>288</v>
      </c>
      <c r="L79"/>
      <c r="M79" s="20"/>
      <c r="O79" s="96">
        <f ca="1">SUM(N74:N78)</f>
        <v>82.461206284432365</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430.15152719871543</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532.78471881238227</v>
      </c>
      <c r="B87" s="211">
        <f>C87*(1+'ACCEPT RATES'!F17)</f>
        <v>8691.4794686946934</v>
      </c>
      <c r="C87" s="212">
        <f>(D34+D46+D60+D70+D79)*('COVERAGE FACTORS'!E54+'COVERAGE FACTORS'!E58+(1-'COVERAGE FACTORS'!B119)*'COVERAGE FACTORS'!E52)*'COVERAGE FACTORS'!E104</f>
        <v>8607.7488349813029</v>
      </c>
      <c r="G87" s="205">
        <v>0</v>
      </c>
      <c r="H87" s="204">
        <f>I87</f>
        <v>0</v>
      </c>
      <c r="I87" s="203">
        <f>(D34+D46+D60+D70+D79)*'COVERAGE FACTORS'!E56*'COVERAGE FACTORS'!E104+(J34+J46+J60+J70+J79)*('COVERAGE FACTORS'!E56+'COVERAGE FACTORS'!E58)*'COVERAGE FACTORS'!E104</f>
        <v>0</v>
      </c>
      <c r="J87" s="213"/>
      <c r="L87"/>
      <c r="M87" s="102">
        <f ca="1">N87</f>
        <v>1822.4026922174278</v>
      </c>
      <c r="N87" s="294">
        <f ca="1">D81+J81+(O34+O46+O60+O70+O79)+(D34+D46+D60+D70+D79)*'COVERAGE FACTORS'!E106+(J34+J46+J60+J70+J79)*(1-('COVERAGE FACTORS'!E56+'COVERAGE FACTORS'!E58)*'COVERAGE FACTORS'!E104)+D120</f>
        <v>1822.4026922174278</v>
      </c>
      <c r="P87" s="20"/>
      <c r="Q87" s="109"/>
      <c r="S87" s="20"/>
      <c r="U87" s="20"/>
      <c r="Y87"/>
      <c r="Z87"/>
      <c r="AA87"/>
      <c r="AB87"/>
      <c r="AC87"/>
      <c r="AD87"/>
    </row>
    <row r="88" spans="1:30" ht="13" x14ac:dyDescent="0.3">
      <c r="A88" s="114"/>
      <c r="C88" s="98"/>
      <c r="D88" s="103">
        <f>SUM(C83:C87)-D81</f>
        <v>8177.5973077825874</v>
      </c>
      <c r="E88" s="24"/>
      <c r="G88" s="218"/>
      <c r="H88" s="214"/>
      <c r="I88" s="214"/>
      <c r="J88" s="215">
        <f>SUM(I83:I87)-J81</f>
        <v>0</v>
      </c>
      <c r="K88" s="24"/>
      <c r="L88"/>
      <c r="M88" s="20"/>
      <c r="O88" s="216">
        <f ca="1">SUM(N83:N87)</f>
        <v>1822.4026922174278</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FACTORS'!E52*'COVERAGE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drawing r:id="rId2"/>
</worksheet>
</file>

<file path=xl/worksheets/sheet2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3">
    <pageSetUpPr fitToPage="1"/>
  </sheetPr>
  <dimension ref="A1:L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2" ht="23" x14ac:dyDescent="0.5">
      <c r="A1" s="126" t="s">
        <v>343</v>
      </c>
    </row>
    <row r="2" spans="1:12" ht="18" x14ac:dyDescent="0.4">
      <c r="A2" s="5" t="s">
        <v>55</v>
      </c>
    </row>
    <row r="3" spans="1:12" s="7" customFormat="1" ht="12.75" customHeight="1" x14ac:dyDescent="0.3">
      <c r="A3" s="1"/>
      <c r="C3" s="134"/>
      <c r="D3" s="134"/>
      <c r="E3" s="135"/>
      <c r="F3" s="136"/>
      <c r="G3" s="137"/>
      <c r="H3" s="138"/>
      <c r="I3" s="138"/>
      <c r="J3" s="136"/>
    </row>
    <row r="4" spans="1:12"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2" s="7" customFormat="1" ht="12.75" customHeight="1" x14ac:dyDescent="0.3">
      <c r="A5" s="1"/>
      <c r="C5" s="134"/>
      <c r="D5" s="134"/>
      <c r="E5" s="135"/>
      <c r="F5" s="136"/>
      <c r="G5" s="137"/>
      <c r="H5" s="138"/>
      <c r="I5" s="138"/>
      <c r="J5" s="136"/>
      <c r="K5" s="1"/>
    </row>
    <row r="6" spans="1:12" ht="13" x14ac:dyDescent="0.3">
      <c r="D6" s="17" t="s">
        <v>251</v>
      </c>
      <c r="F6" s="139" t="s">
        <v>56</v>
      </c>
      <c r="H6" s="31" t="s">
        <v>57</v>
      </c>
      <c r="I6" s="31" t="s">
        <v>57</v>
      </c>
      <c r="J6" s="139" t="s">
        <v>3</v>
      </c>
      <c r="K6" s="139" t="s">
        <v>58</v>
      </c>
    </row>
    <row r="7" spans="1:12" ht="13" x14ac:dyDescent="0.3">
      <c r="C7" s="140"/>
      <c r="D7" s="17" t="s">
        <v>59</v>
      </c>
      <c r="E7" s="39" t="s">
        <v>60</v>
      </c>
      <c r="F7" s="139" t="s">
        <v>61</v>
      </c>
      <c r="G7" s="41" t="s">
        <v>62</v>
      </c>
      <c r="H7" s="31" t="s">
        <v>63</v>
      </c>
      <c r="I7" s="31" t="s">
        <v>63</v>
      </c>
      <c r="J7" s="139" t="s">
        <v>61</v>
      </c>
      <c r="K7" s="139" t="s">
        <v>61</v>
      </c>
    </row>
    <row r="8" spans="1:12" ht="13" x14ac:dyDescent="0.3">
      <c r="A8" s="36" t="s">
        <v>64</v>
      </c>
      <c r="C8" s="140" t="s">
        <v>7</v>
      </c>
      <c r="D8" s="140" t="s">
        <v>65</v>
      </c>
      <c r="E8" s="40" t="s">
        <v>66</v>
      </c>
      <c r="F8" s="141" t="s">
        <v>67</v>
      </c>
      <c r="G8" s="43" t="s">
        <v>68</v>
      </c>
      <c r="H8" s="37" t="s">
        <v>68</v>
      </c>
      <c r="I8" s="37" t="s">
        <v>69</v>
      </c>
      <c r="J8" s="141" t="s">
        <v>67</v>
      </c>
      <c r="K8" s="141" t="s">
        <v>67</v>
      </c>
    </row>
    <row r="9" spans="1:12" ht="13" x14ac:dyDescent="0.3">
      <c r="A9" s="36"/>
      <c r="C9" s="140"/>
      <c r="D9" s="140"/>
      <c r="E9" s="40"/>
      <c r="F9" s="141"/>
      <c r="G9" s="43"/>
      <c r="H9" s="37"/>
      <c r="I9" s="37"/>
      <c r="J9" s="141"/>
    </row>
    <row r="10" spans="1:12" ht="13" x14ac:dyDescent="0.3">
      <c r="A10" s="1" t="s">
        <v>252</v>
      </c>
      <c r="C10" s="140"/>
      <c r="D10" s="140"/>
      <c r="E10" s="40"/>
      <c r="F10" s="141"/>
      <c r="G10" s="43"/>
      <c r="H10" s="37"/>
      <c r="I10" s="37"/>
      <c r="J10" s="141"/>
    </row>
    <row r="11" spans="1:12" ht="13" x14ac:dyDescent="0.3">
      <c r="A11" s="36"/>
      <c r="B11" t="s">
        <v>234</v>
      </c>
      <c r="C11" s="151">
        <f>'BUNDLE SORT'!$I$72*('COVERAGE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C11*$J11/'3D AUTO MODEL'!$G$6</f>
        <v>0</v>
      </c>
      <c r="L11" s="247"/>
    </row>
    <row r="12" spans="1:12" ht="13" x14ac:dyDescent="0.3">
      <c r="A12" s="36"/>
      <c r="B12" t="s">
        <v>529</v>
      </c>
      <c r="C12" s="151">
        <f>'BUNDLE SORT'!$I$72*('COVERAGE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C12*$J12/'3D AUTO MODEL'!$G$6</f>
        <v>0</v>
      </c>
      <c r="L12" s="247"/>
    </row>
    <row r="13" spans="1:12" ht="13" x14ac:dyDescent="0.3">
      <c r="A13" s="36"/>
      <c r="B13" t="s">
        <v>70</v>
      </c>
      <c r="C13" s="151">
        <f>'BUNDLE SORT'!$J$72</f>
        <v>134.64226662876661</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C13*$J13/'3D AUTO MODEL'!$G$6</f>
        <v>0.27309377554550979</v>
      </c>
      <c r="L13" s="247"/>
    </row>
    <row r="14" spans="1:12" ht="13" x14ac:dyDescent="0.3">
      <c r="A14" s="36"/>
      <c r="C14" s="151"/>
      <c r="D14" s="151"/>
      <c r="E14" s="135"/>
      <c r="F14" s="136"/>
      <c r="G14" s="137"/>
      <c r="H14" s="137"/>
      <c r="I14" s="138"/>
      <c r="J14" s="136"/>
      <c r="L14" s="247"/>
    </row>
    <row r="15" spans="1:12" ht="13" x14ac:dyDescent="0.3">
      <c r="A15" s="1" t="s">
        <v>253</v>
      </c>
      <c r="C15" s="151"/>
      <c r="D15" s="151"/>
      <c r="E15" s="135"/>
      <c r="F15" s="136"/>
      <c r="G15" s="137"/>
      <c r="H15" s="137"/>
      <c r="I15" s="138"/>
      <c r="J15" s="136"/>
      <c r="L15" s="247"/>
    </row>
    <row r="16" spans="1:12" s="7" customFormat="1" x14ac:dyDescent="0.25">
      <c r="B16" s="7" t="s">
        <v>234</v>
      </c>
      <c r="C16" s="151">
        <f>'BUNDLE SORT'!$M$72*('COVERAGE FACTORS'!$E$30/('COVERAGE FACTORS'!$E$30+'COVERAGE FACTORS'!$E$32))</f>
        <v>108.59487216204994</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C16*$J16/'3D AUTO MODEL'!$G$6</f>
        <v>0.41011348422299237</v>
      </c>
      <c r="L16" s="247"/>
    </row>
    <row r="17" spans="1:12" ht="13" x14ac:dyDescent="0.3">
      <c r="A17" s="1"/>
      <c r="B17" t="s">
        <v>529</v>
      </c>
      <c r="C17" s="151">
        <f>'BUNDLE SORT'!$M$72*('COVERAGE FACTORS'!$E$32/('COVERAGE FACTORS'!$E$30+'COVERAGE FACTORS'!$E$32))</f>
        <v>131.27350209650331</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C17*$J17/'3D AUTO MODEL'!$G$6</f>
        <v>0.57343523033928789</v>
      </c>
      <c r="L17" s="247"/>
    </row>
    <row r="18" spans="1:12" ht="13" x14ac:dyDescent="0.3">
      <c r="A18" s="1"/>
      <c r="B18" t="s">
        <v>70</v>
      </c>
      <c r="C18" s="151">
        <f>'BUNDLE SORT'!$N$72</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C18*$J18/'3D AUTO MODEL'!$G$6</f>
        <v>0</v>
      </c>
      <c r="L18" s="247"/>
    </row>
    <row r="19" spans="1:12" ht="13" x14ac:dyDescent="0.3">
      <c r="A19" s="1"/>
      <c r="C19" s="151"/>
      <c r="D19" s="151"/>
      <c r="E19" s="135"/>
      <c r="F19" s="136"/>
      <c r="G19" s="137"/>
      <c r="H19" s="137"/>
      <c r="I19" s="138"/>
      <c r="J19" s="136"/>
      <c r="L19" s="247"/>
    </row>
    <row r="20" spans="1:12" ht="13" x14ac:dyDescent="0.3">
      <c r="A20" s="1" t="s">
        <v>254</v>
      </c>
      <c r="C20" s="151"/>
      <c r="D20" s="151"/>
      <c r="E20" s="135"/>
      <c r="F20" s="136"/>
      <c r="G20" s="137"/>
      <c r="H20" s="137"/>
      <c r="I20" s="138"/>
      <c r="J20" s="136"/>
      <c r="L20" s="247"/>
    </row>
    <row r="21" spans="1:12" ht="13" x14ac:dyDescent="0.3">
      <c r="A21" s="1"/>
      <c r="B21" t="s">
        <v>234</v>
      </c>
      <c r="C21" s="151">
        <f>'BUNDLE SORT'!$Q$72*('COVERAGE FACTORS'!$E$30/('COVERAGE FACTORS'!$E$30+'COVERAGE FACTORS'!$E$32))</f>
        <v>123.67518478021722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C21*$J21/'3D AUTO MODEL'!$G$6</f>
        <v>0.46706497215125797</v>
      </c>
      <c r="L21" s="247"/>
    </row>
    <row r="22" spans="1:12" ht="13" x14ac:dyDescent="0.3">
      <c r="A22" s="1"/>
      <c r="B22" t="s">
        <v>529</v>
      </c>
      <c r="C22" s="151">
        <f>'BUNDLE SORT'!$Q$72*('COVERAGE FACTORS'!$E$32/('COVERAGE FACTORS'!$E$30+'COVERAGE FACTORS'!$E$32))</f>
        <v>149.5031423242923</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C22*$J22/'3D AUTO MODEL'!$G$6</f>
        <v>0.65306682221485024</v>
      </c>
      <c r="L22" s="247"/>
    </row>
    <row r="23" spans="1:12" ht="13" x14ac:dyDescent="0.3">
      <c r="A23" s="1"/>
      <c r="B23" t="s">
        <v>70</v>
      </c>
      <c r="C23" s="151">
        <f>'BUNDLE SORT'!$R$72</f>
        <v>7.8781519203847417</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C23*$J23/'3D AUTO MODEL'!$G$6</f>
        <v>1.5979189196145861E-2</v>
      </c>
      <c r="L23" s="247"/>
    </row>
    <row r="24" spans="1:12" ht="13" x14ac:dyDescent="0.3">
      <c r="A24" s="1"/>
      <c r="C24" s="151"/>
      <c r="D24" s="151"/>
      <c r="E24" s="135"/>
      <c r="F24" s="136"/>
      <c r="G24" s="137"/>
      <c r="H24" s="137"/>
      <c r="I24" s="138"/>
      <c r="J24" s="136"/>
      <c r="L24" s="247"/>
    </row>
    <row r="25" spans="1:12" ht="13" x14ac:dyDescent="0.3">
      <c r="A25" s="1" t="s">
        <v>255</v>
      </c>
      <c r="C25" s="151"/>
      <c r="D25" s="151"/>
      <c r="E25" s="135"/>
      <c r="F25" s="136"/>
      <c r="G25" s="137"/>
      <c r="H25" s="137"/>
      <c r="I25" s="138"/>
      <c r="J25" s="136"/>
      <c r="L25" s="247"/>
    </row>
    <row r="26" spans="1:12" ht="13" x14ac:dyDescent="0.3">
      <c r="A26" s="1"/>
      <c r="B26" t="s">
        <v>234</v>
      </c>
      <c r="C26" s="151">
        <f>'BUNDLE SORT'!$U$72*('COVERAGE FACTORS'!$E$30/('COVERAGE FACTORS'!$E$30+'COVERAGE FACTORS'!$E$32))</f>
        <v>0</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C26*$J26/'3D AUTO MODEL'!$G$6</f>
        <v>0</v>
      </c>
      <c r="L26" s="247"/>
    </row>
    <row r="27" spans="1:12" ht="13" x14ac:dyDescent="0.3">
      <c r="A27" s="1"/>
      <c r="B27" t="s">
        <v>529</v>
      </c>
      <c r="C27" s="151">
        <f>'BUNDLE SORT'!$U$72*('COVERAGE FACTORS'!$E$32/('COVERAGE FACTORS'!$E$30+'COVERAGE FACTORS'!$E$32))</f>
        <v>0</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C27*$J27/'3D AUTO MODEL'!$G$6</f>
        <v>0</v>
      </c>
      <c r="L27" s="247"/>
    </row>
    <row r="28" spans="1:12" ht="13" x14ac:dyDescent="0.3">
      <c r="A28" s="1"/>
      <c r="B28" t="s">
        <v>70</v>
      </c>
      <c r="C28" s="151">
        <f>'BUNDLE SORT'!$V$72</f>
        <v>0</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C28*$J28/'3D AUTO MODEL'!$G$6</f>
        <v>0</v>
      </c>
      <c r="L28" s="247"/>
    </row>
    <row r="29" spans="1:12" ht="13" x14ac:dyDescent="0.3">
      <c r="A29" s="1"/>
      <c r="C29" s="149"/>
      <c r="D29" s="149"/>
      <c r="E29" s="135"/>
      <c r="F29" s="136"/>
      <c r="G29" s="137"/>
      <c r="H29" s="138"/>
      <c r="I29" s="138"/>
      <c r="J29" s="136"/>
      <c r="L29" s="247"/>
    </row>
    <row r="30" spans="1:12" ht="13" x14ac:dyDescent="0.3">
      <c r="A30" s="1" t="s">
        <v>71</v>
      </c>
      <c r="F30" s="42"/>
      <c r="H30" s="42"/>
      <c r="I30" s="42"/>
      <c r="J30" s="42"/>
      <c r="L30" s="247"/>
    </row>
    <row r="31" spans="1:12" ht="13" x14ac:dyDescent="0.3">
      <c r="A31" s="36"/>
      <c r="B31" t="s">
        <v>72</v>
      </c>
      <c r="C31" s="2">
        <f>SUM('3D AUTO MODEL'!$B$25:$B$29)</f>
        <v>105.21045576213606</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C31*$J31/'3D AUTO MODEL'!$G$6</f>
        <v>5.3832788124065778E-2</v>
      </c>
      <c r="L31" s="247"/>
    </row>
    <row r="32" spans="1:12" ht="13" x14ac:dyDescent="0.3">
      <c r="A32" s="36"/>
      <c r="B32" t="s">
        <v>244</v>
      </c>
      <c r="C32" s="2">
        <f>SUM('3D AUTO MODEL'!$A$25:$A$29)</f>
        <v>6.4493649546376544</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C32*$J32/'3D AUTO MODEL'!$G$6</f>
        <v>4.8632663278015973E-3</v>
      </c>
      <c r="L32" s="247"/>
    </row>
    <row r="33" spans="1:12" ht="13" x14ac:dyDescent="0.3">
      <c r="A33" s="36"/>
      <c r="B33" t="s">
        <v>291</v>
      </c>
      <c r="C33" s="2">
        <f>SUM('3D AUTO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C33*$J33/'3D AUTO MODEL'!$G$6</f>
        <v>0</v>
      </c>
      <c r="L33" s="247"/>
    </row>
    <row r="34" spans="1:12" x14ac:dyDescent="0.25">
      <c r="B34" t="s">
        <v>292</v>
      </c>
      <c r="C34" s="2">
        <f>SUM('3D AUTO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C34*$J34/'3D AUTO MODEL'!$G$6</f>
        <v>0</v>
      </c>
      <c r="L34" s="247"/>
    </row>
    <row r="35" spans="1:12" x14ac:dyDescent="0.25">
      <c r="B35" t="s">
        <v>70</v>
      </c>
      <c r="C35" s="2">
        <f>SUM('3D AUTO MODEL'!$M$25:$M$29)</f>
        <v>5.0961810233799198</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C35*$J35/'3D AUTO MODEL'!$G$6</f>
        <v>5.5063039023779984E-3</v>
      </c>
      <c r="L35" s="247"/>
    </row>
    <row r="36" spans="1:12" x14ac:dyDescent="0.25">
      <c r="F36" s="42"/>
      <c r="H36" s="42"/>
      <c r="I36" s="42"/>
      <c r="J36" s="42"/>
      <c r="L36" s="247"/>
    </row>
    <row r="37" spans="1:12" ht="13" x14ac:dyDescent="0.3">
      <c r="A37" s="1" t="s">
        <v>73</v>
      </c>
      <c r="F37" s="42"/>
      <c r="H37" s="42"/>
      <c r="I37" s="42"/>
      <c r="J37" s="42"/>
      <c r="L37" s="247"/>
    </row>
    <row r="38" spans="1:12" ht="13" x14ac:dyDescent="0.3">
      <c r="A38" s="36"/>
      <c r="B38" t="s">
        <v>72</v>
      </c>
      <c r="C38" s="2">
        <f>SUM('3D AUTO MODEL'!$B$38:$B$42)</f>
        <v>12.979219777036631</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C38*$J38/'3D AUTO MODEL'!$G$6</f>
        <v>4.6050645212101695E-3</v>
      </c>
      <c r="L38" s="247"/>
    </row>
    <row r="39" spans="1:12" ht="13" x14ac:dyDescent="0.3">
      <c r="A39" s="36"/>
      <c r="B39" t="s">
        <v>244</v>
      </c>
      <c r="C39" s="2">
        <f>SUM('3D AUTO MODEL'!$A$38:$A$42)</f>
        <v>0.79562173324113061</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C39*$J39/'3D AUTO MODEL'!$G$6</f>
        <v>5.999537027527583E-4</v>
      </c>
      <c r="L39" s="247"/>
    </row>
    <row r="40" spans="1:12" x14ac:dyDescent="0.25">
      <c r="B40" t="s">
        <v>291</v>
      </c>
      <c r="C40" s="2">
        <f>SUM('3D AUTO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C40*$J40/'3D AUTO MODEL'!$G$6</f>
        <v>0</v>
      </c>
      <c r="L40" s="247"/>
    </row>
    <row r="41" spans="1:12" x14ac:dyDescent="0.25">
      <c r="B41" t="s">
        <v>292</v>
      </c>
      <c r="C41" s="2">
        <f>SUM('3D AUTO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C41*$J41/'3D AUTO MODEL'!$G$6</f>
        <v>0</v>
      </c>
      <c r="L41" s="247"/>
    </row>
    <row r="42" spans="1:12" x14ac:dyDescent="0.25">
      <c r="B42" t="s">
        <v>70</v>
      </c>
      <c r="C42" s="2">
        <f>SUM('3D AUTO MODEL'!$M$38:$M$42)</f>
        <v>1.6590717776160311</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C42*$J42/'3D AUTO MODEL'!$G$6</f>
        <v>2.2662639852137449E-3</v>
      </c>
      <c r="L42" s="247"/>
    </row>
    <row r="43" spans="1:12" x14ac:dyDescent="0.25">
      <c r="F43" s="42"/>
      <c r="H43" s="42"/>
      <c r="I43" s="42"/>
      <c r="J43" s="42"/>
      <c r="L43" s="247"/>
    </row>
    <row r="44" spans="1:12" ht="13" x14ac:dyDescent="0.3">
      <c r="A44" s="1" t="s">
        <v>74</v>
      </c>
      <c r="F44" s="42"/>
      <c r="H44" s="42"/>
      <c r="I44" s="42"/>
      <c r="J44" s="42"/>
      <c r="L44" s="247"/>
    </row>
    <row r="45" spans="1:12" ht="13" x14ac:dyDescent="0.3">
      <c r="A45" s="36"/>
      <c r="B45" t="s">
        <v>72</v>
      </c>
      <c r="C45" s="2">
        <f>SUM('3D AUTO MODEL'!$B$53:$B$57)</f>
        <v>225.09057736734735</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C45*$J45/'3D AUTO MODEL'!$G$6</f>
        <v>0.11513874733277422</v>
      </c>
      <c r="L45" s="247"/>
    </row>
    <row r="46" spans="1:12" ht="13" x14ac:dyDescent="0.3">
      <c r="A46" s="36"/>
      <c r="B46" t="s">
        <v>244</v>
      </c>
      <c r="C46" s="2">
        <f>SUM('3D AUTO MODEL'!$A$53:$A$57)</f>
        <v>13.797975408206256</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C46*$J46/'3D AUTO MODEL'!$G$6</f>
        <v>1.0404625830068884E-2</v>
      </c>
      <c r="L46" s="247"/>
    </row>
    <row r="47" spans="1:12" x14ac:dyDescent="0.25">
      <c r="B47" t="s">
        <v>291</v>
      </c>
      <c r="C47" s="2">
        <f>SUM('3D AUTO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C47*$J47/'3D AUTO MODEL'!$G$6</f>
        <v>0</v>
      </c>
      <c r="L47" s="247"/>
    </row>
    <row r="48" spans="1:12" x14ac:dyDescent="0.25">
      <c r="B48" t="s">
        <v>292</v>
      </c>
      <c r="C48" s="2">
        <f>SUM('3D AUTO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C48*$J48/'3D AUTO MODEL'!$G$6</f>
        <v>0</v>
      </c>
      <c r="L48" s="247"/>
    </row>
    <row r="49" spans="1:12" x14ac:dyDescent="0.25">
      <c r="B49" t="s">
        <v>70</v>
      </c>
      <c r="C49" s="2">
        <f>SUM('3D AUTO MODEL'!$M$53:$M$57)</f>
        <v>21.793997313913856</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C49*$J49/'3D AUTO MODEL'!$G$6</f>
        <v>2.1077451097546086E-2</v>
      </c>
      <c r="L49" s="247"/>
    </row>
    <row r="50" spans="1:12" x14ac:dyDescent="0.25">
      <c r="F50" s="42"/>
      <c r="H50" s="42"/>
      <c r="I50" s="42"/>
      <c r="J50" s="42"/>
      <c r="L50" s="247"/>
    </row>
    <row r="51" spans="1:12" ht="13" x14ac:dyDescent="0.3">
      <c r="A51" s="1" t="s">
        <v>75</v>
      </c>
      <c r="F51" s="42"/>
      <c r="H51" s="42"/>
      <c r="I51" s="42"/>
      <c r="J51" s="42"/>
      <c r="L51" s="247"/>
    </row>
    <row r="52" spans="1:12" ht="13" x14ac:dyDescent="0.3">
      <c r="A52" s="36"/>
      <c r="B52" t="s">
        <v>72</v>
      </c>
      <c r="C52" s="2">
        <f>SUM('3D AUTO MODEL'!$B$64:$B$68)</f>
        <v>10348.484070847671</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C52*$J52/'3D AUTO MODEL'!$G$6</f>
        <v>4.0155820757661775</v>
      </c>
      <c r="L52" s="247"/>
    </row>
    <row r="53" spans="1:12" ht="13" x14ac:dyDescent="0.3">
      <c r="A53" s="36"/>
      <c r="B53" t="s">
        <v>244</v>
      </c>
      <c r="C53" s="2">
        <f>SUM('3D AUTO MODEL'!$A$64:$A$68)</f>
        <v>634.35853420350156</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C53*$J53/'3D AUTO MODEL'!$G$6</f>
        <v>0.47835011987142156</v>
      </c>
      <c r="L53" s="247"/>
    </row>
    <row r="54" spans="1:12" x14ac:dyDescent="0.25">
      <c r="B54" t="s">
        <v>291</v>
      </c>
      <c r="C54" s="2">
        <f>SUM('3D AUTO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C54*$J54/'3D AUTO MODEL'!$G$6</f>
        <v>0</v>
      </c>
      <c r="L54" s="247"/>
    </row>
    <row r="55" spans="1:12" x14ac:dyDescent="0.25">
      <c r="B55" t="s">
        <v>292</v>
      </c>
      <c r="C55" s="2">
        <f>SUM('3D AUTO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C55*$J55/'3D AUTO MODEL'!$G$6</f>
        <v>0</v>
      </c>
      <c r="L55" s="247"/>
    </row>
    <row r="56" spans="1:12" x14ac:dyDescent="0.25">
      <c r="B56" t="s">
        <v>70</v>
      </c>
      <c r="C56" s="2">
        <f>SUM('3D AUTO MODEL'!$M$64:$M$68)</f>
        <v>577.75919340660687</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C56*$J56/'3D AUTO MODEL'!$G$6</f>
        <v>0.64462992401260433</v>
      </c>
      <c r="L56" s="247"/>
    </row>
    <row r="57" spans="1:12" x14ac:dyDescent="0.25">
      <c r="F57" s="42"/>
      <c r="H57" s="42"/>
      <c r="I57" s="42"/>
      <c r="J57" s="42"/>
      <c r="L57" s="247"/>
    </row>
    <row r="58" spans="1:12" ht="13" x14ac:dyDescent="0.3">
      <c r="A58" s="1" t="s">
        <v>76</v>
      </c>
      <c r="F58" s="42"/>
      <c r="H58" s="42"/>
      <c r="I58" s="42"/>
      <c r="J58" s="42"/>
      <c r="L58" s="247"/>
    </row>
    <row r="59" spans="1:12" ht="13" x14ac:dyDescent="0.3">
      <c r="A59" s="36"/>
      <c r="B59" t="s">
        <v>72</v>
      </c>
      <c r="C59" s="2">
        <f ca="1">SUM('3D AUTO MODEL'!$B$74:$B$78)+SUM('3D AUTO MODEL'!$B$108:$B$112)</f>
        <v>228.07682346456295</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C59*$J59/'3D AUTO MODEL'!$G$6</f>
        <v>0.16423004463393051</v>
      </c>
      <c r="L59" s="247"/>
    </row>
    <row r="60" spans="1:12" ht="13" x14ac:dyDescent="0.3">
      <c r="A60" s="36"/>
      <c r="B60" t="s">
        <v>244</v>
      </c>
      <c r="C60" s="2">
        <f ca="1">SUM('3D AUTO MODEL'!$A$74:$A$78)+SUM('3D AUTO MODEL'!$A$108:$A$112)</f>
        <v>13.981031272623838</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C60*$J60/'3D AUTO MODEL'!$G$6</f>
        <v>1.0542662586833359E-2</v>
      </c>
      <c r="L60" s="247"/>
    </row>
    <row r="61" spans="1:12" x14ac:dyDescent="0.25">
      <c r="B61" t="s">
        <v>291</v>
      </c>
      <c r="C61" s="2">
        <f>SUM('3D AUTO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C61*$J61/'3D AUTO MODEL'!$G$6</f>
        <v>0</v>
      </c>
      <c r="L61" s="247"/>
    </row>
    <row r="62" spans="1:12" x14ac:dyDescent="0.25">
      <c r="B62" t="s">
        <v>292</v>
      </c>
      <c r="C62" s="2">
        <f>SUM('3D AUTO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C62*$J62/'3D AUTO MODEL'!$G$6</f>
        <v>0</v>
      </c>
      <c r="L62" s="247"/>
    </row>
    <row r="63" spans="1:12" x14ac:dyDescent="0.25">
      <c r="B63" t="s">
        <v>70</v>
      </c>
      <c r="C63" s="2">
        <f ca="1">SUM('3D AUTO MODEL'!$M$74:$M$78)</f>
        <v>28.904413452958764</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C63*$J63/'3D AUTO MODEL'!$G$6</f>
        <v>2.5711355071009225E-2</v>
      </c>
      <c r="L63" s="247"/>
    </row>
    <row r="64" spans="1:12" ht="13" x14ac:dyDescent="0.3">
      <c r="A64" s="36"/>
      <c r="F64" s="42"/>
      <c r="H64" s="42"/>
      <c r="I64" s="42"/>
      <c r="J64" s="42"/>
      <c r="L64" s="247"/>
    </row>
    <row r="65" spans="1:12" ht="13" x14ac:dyDescent="0.3">
      <c r="A65" s="1" t="s">
        <v>77</v>
      </c>
      <c r="F65" s="42"/>
      <c r="H65" s="42"/>
      <c r="I65" s="42"/>
      <c r="J65" s="42"/>
      <c r="L65" s="247"/>
    </row>
    <row r="66" spans="1:12" ht="13" x14ac:dyDescent="0.3">
      <c r="A66" s="36"/>
      <c r="B66" t="s">
        <v>72</v>
      </c>
      <c r="C66" s="2">
        <f ca="1">SUM('3D AUTO MODEL'!$B$83:$B$87)+SUM('3D AUTO MODEL'!$B$122:$B$126)</f>
        <v>9019.6983212305422</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C66*$J66/'3D AUTO MODEL'!$G$6</f>
        <v>3.905460854915435</v>
      </c>
      <c r="L66" s="247"/>
    </row>
    <row r="67" spans="1:12" ht="13" x14ac:dyDescent="0.3">
      <c r="A67" s="36"/>
      <c r="B67" t="s">
        <v>244</v>
      </c>
      <c r="C67" s="2">
        <f ca="1">SUM('3D AUTO MODEL'!$A$83:$A$87)+SUM('3D AUTO MODEL'!$A$122:$A$126)</f>
        <v>552.90442221697401</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C67*$J67/'3D AUTO MODEL'!$G$6</f>
        <v>0.4169280972581399</v>
      </c>
      <c r="L67" s="247"/>
    </row>
    <row r="68" spans="1:12" x14ac:dyDescent="0.25">
      <c r="B68" t="s">
        <v>291</v>
      </c>
      <c r="C68" s="2">
        <f>SUM('3D AUTO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C68*$J68/'3D AUTO MODEL'!$G$6</f>
        <v>0</v>
      </c>
      <c r="L68" s="247"/>
    </row>
    <row r="69" spans="1:12" x14ac:dyDescent="0.25">
      <c r="B69" t="s">
        <v>292</v>
      </c>
      <c r="C69" s="2">
        <f>SUM('3D AUTO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C69*$J69/'3D AUTO MODEL'!$G$6</f>
        <v>0</v>
      </c>
      <c r="L69" s="247"/>
    </row>
    <row r="70" spans="1:12" x14ac:dyDescent="0.25">
      <c r="B70" t="s">
        <v>70</v>
      </c>
      <c r="C70" s="2">
        <f ca="1">SUM('3D AUTO MODEL'!$M$83:$M$87)</f>
        <v>1513.5897203260324</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C70*$J70/'3D AUTO MODEL'!$G$6</f>
        <v>1.5007965747035026</v>
      </c>
      <c r="L70" s="247"/>
    </row>
    <row r="71" spans="1:12" x14ac:dyDescent="0.25">
      <c r="F71" s="42"/>
      <c r="H71" s="42"/>
      <c r="I71" s="42"/>
      <c r="J71" s="42"/>
      <c r="L71" s="247"/>
    </row>
    <row r="72" spans="1:12" ht="13" x14ac:dyDescent="0.3">
      <c r="A72" s="1" t="s">
        <v>368</v>
      </c>
      <c r="F72" s="42"/>
      <c r="H72" s="42"/>
      <c r="I72" s="42"/>
      <c r="J72" s="42"/>
      <c r="L72" s="247"/>
    </row>
    <row r="73" spans="1:12" x14ac:dyDescent="0.25">
      <c r="B73" t="s">
        <v>366</v>
      </c>
      <c r="C73" s="2">
        <v>0</v>
      </c>
      <c r="D73" s="2">
        <v>0</v>
      </c>
      <c r="E73" s="38">
        <v>0</v>
      </c>
      <c r="F73" s="42">
        <v>0</v>
      </c>
      <c r="G73" s="42">
        <v>0</v>
      </c>
      <c r="H73" s="42">
        <v>0</v>
      </c>
      <c r="I73" s="42">
        <v>0</v>
      </c>
      <c r="J73" s="42">
        <v>0</v>
      </c>
      <c r="K73" s="42">
        <v>0</v>
      </c>
      <c r="L73" s="247"/>
    </row>
    <row r="74" spans="1:12" x14ac:dyDescent="0.25">
      <c r="B74" t="s">
        <v>244</v>
      </c>
      <c r="C74" s="2">
        <f ca="1">SUM('3D AUTO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C74*$J74/'3D AUTO MODEL'!$G$6</f>
        <v>0</v>
      </c>
      <c r="L74" s="247"/>
    </row>
    <row r="75" spans="1:12" x14ac:dyDescent="0.25">
      <c r="L75" s="247"/>
    </row>
    <row r="76" spans="1:12" x14ac:dyDescent="0.25">
      <c r="B76" s="155" t="s">
        <v>486</v>
      </c>
      <c r="C76" s="2">
        <f>SUM('3D AUTO MODEL'!C64,'3D AUTO MODEL'!I64)</f>
        <v>9674.5679608926876</v>
      </c>
      <c r="D76" s="2">
        <f>PRODUCTIVITIES!$C$49*'FY VOLUME AUTO'!C57</f>
        <v>2602.5752201414102</v>
      </c>
      <c r="E76" s="38">
        <f>'WAGE RATES'!$C$6</f>
        <v>50.10717457546064</v>
      </c>
      <c r="F76" s="42">
        <f t="shared" ref="F76:F77" si="0">E76*100/D76</f>
        <v>1.9252920794634354</v>
      </c>
      <c r="G76" s="42">
        <f>PIGGYBACKS!$B$13</f>
        <v>1.6305774272183733</v>
      </c>
      <c r="H76" s="42">
        <f>'WAGE RATES'!$C$9</f>
        <v>0.9752031228402912</v>
      </c>
      <c r="I76" s="42">
        <f t="shared" ref="I76:I77" si="1">(H76-1)*F76</f>
        <v>-4.7741231191015115E-2</v>
      </c>
      <c r="J76" s="42">
        <f t="shared" ref="J76:J77" si="2">F76*G76+I76</f>
        <v>3.0915965743843854</v>
      </c>
      <c r="K76" s="42">
        <f ca="1">C76*$J76/'3D AUTO MODEL'!$G$6</f>
        <v>2.9909861166544722</v>
      </c>
      <c r="L76" s="247"/>
    </row>
    <row r="77" spans="1:12" x14ac:dyDescent="0.25">
      <c r="B77" s="155" t="s">
        <v>491</v>
      </c>
      <c r="C77" s="2">
        <f ca="1">SUM(C31,C33,C34,C38,C40,C41,C45,C47,C48,C52,C54,C55,C59,C61,C62,C66,C68,C69)-C76</f>
        <v>10264.971507556609</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C77*$J77/'3D AUTO MODEL'!$G$6</f>
        <v>3.918765512311055</v>
      </c>
      <c r="L77" s="247"/>
    </row>
    <row r="78" spans="1:12" ht="13" thickBot="1" x14ac:dyDescent="0.3">
      <c r="F78" s="42"/>
      <c r="H78" s="42"/>
      <c r="I78" s="42"/>
      <c r="J78" s="42"/>
      <c r="L78" s="247"/>
    </row>
    <row r="79" spans="1:12" ht="13.5" thickBot="1" x14ac:dyDescent="0.35">
      <c r="F79" s="42"/>
      <c r="H79" s="42"/>
      <c r="I79" s="42"/>
      <c r="J79" s="142" t="s">
        <v>78</v>
      </c>
      <c r="K79" s="143">
        <f ca="1">SUM(K11:K77)</f>
        <v>20.683031276278435</v>
      </c>
      <c r="L79" s="247"/>
    </row>
    <row r="80" spans="1:12" ht="13.5" thickBot="1" x14ac:dyDescent="0.35">
      <c r="J80" s="142" t="s">
        <v>485</v>
      </c>
      <c r="K80" s="143">
        <f ca="1">SUM(K31,K33,K34,K38,K40,K41,K45,K47,K48,K52,K54,K55,K59,K61,K62,K66,K68,K69,K76,K77)</f>
        <v>15.168601204259119</v>
      </c>
    </row>
    <row r="83" spans="1:8" ht="13" x14ac:dyDescent="0.3">
      <c r="A83" s="145" t="str">
        <f>"(1)"</f>
        <v>(1)</v>
      </c>
      <c r="B83" s="1" t="s">
        <v>408</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16</oddFooter>
  </headerFooter>
  <ignoredErrors>
    <ignoredError sqref="E4" numberStoredAsText="1"/>
  </ignoredErrors>
</worksheet>
</file>

<file path=xl/worksheets/sheet3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4"/>
  <dimension ref="A1:AD128"/>
  <sheetViews>
    <sheetView zoomScale="70" zoomScaleNormal="70" workbookViewId="0"/>
  </sheetViews>
  <sheetFormatPr defaultRowHeight="12.5" x14ac:dyDescent="0.25"/>
  <cols>
    <col min="1" max="2" width="10.7265625" style="20" customWidth="1"/>
    <col min="3" max="3" width="17.81640625" style="20" customWidth="1"/>
    <col min="4" max="4" width="10.7265625" style="58" customWidth="1"/>
    <col min="5" max="6" width="10.7265625" style="20" customWidth="1"/>
    <col min="7" max="7" width="17"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'3D AUTO COST'!A1</f>
        <v>3-DIGIT AUTO PRESORT</v>
      </c>
    </row>
    <row r="2" spans="1:30" ht="23" x14ac:dyDescent="0.5">
      <c r="A2" s="57" t="s">
        <v>84</v>
      </c>
    </row>
    <row r="6" spans="1:30" s="228" customFormat="1" ht="18" x14ac:dyDescent="0.4">
      <c r="A6" s="48" t="s">
        <v>85</v>
      </c>
      <c r="B6" s="226"/>
      <c r="C6" s="49">
        <f>SUM(C11:C16)+SUM(G11:G16)+SUM(K11:K16)+SUM(O11:O16)</f>
        <v>10000</v>
      </c>
      <c r="D6" s="227"/>
      <c r="E6" s="48" t="s">
        <v>86</v>
      </c>
      <c r="F6" s="226"/>
      <c r="G6" s="49">
        <f ca="1">D88+J88+O88+D100+D127</f>
        <v>10000.000000000013</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'ENTRY PROFILE'!K68</f>
        <v>104.07020976798884</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'ENTRY PROFILE'!O68+'ENTRY PROFILE'!O69</f>
        <v>163.24472324248092</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'ENTRY PROFILE'!L68+'ENTRY PROFILE'!P68+'ENTRY PROFILE'!P69+'ENTRY PROFILE'!S68+'ENTRY PROFILE'!S69+'ENTRY PROFILE'!S70+'ENTRY PROFILE'!T68+'ENTRY PROFILE'!T69+'ENTRY PROFILE'!T70</f>
        <v>9732.6850669895302</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4.9162852633406082</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6.4493649546376544</v>
      </c>
      <c r="B25" s="29">
        <f>C25*(1+'ACCEPT RATES'!F14)</f>
        <v>105.21045576213606</v>
      </c>
      <c r="C25" s="51">
        <f>C11*('COVERAGE FACTORS'!E14+'COVERAGE FACTORS'!E18)</f>
        <v>103.89031400794956</v>
      </c>
      <c r="E25" s="24" t="s">
        <v>70</v>
      </c>
      <c r="G25" s="217">
        <f>H25*(1-'ACCEPT RATES'!C19)</f>
        <v>0</v>
      </c>
      <c r="H25" s="29">
        <f>I25</f>
        <v>0</v>
      </c>
      <c r="I25" s="51">
        <f>C11*'COVERAGE FACTORS'!E16</f>
        <v>0</v>
      </c>
      <c r="J25" s="23"/>
      <c r="K25" s="23" t="s">
        <v>70</v>
      </c>
      <c r="L25"/>
      <c r="M25" s="29">
        <f>N25</f>
        <v>0.17989576003931199</v>
      </c>
      <c r="N25" s="51">
        <f>C11*'COVERAGE FACTORS'!E20</f>
        <v>0.17989576003931199</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4.9162852633406082</v>
      </c>
      <c r="N29" s="206">
        <f>D23+J23</f>
        <v>4.9162852633406082</v>
      </c>
      <c r="P29" s="20"/>
      <c r="Q29" s="109"/>
      <c r="S29" s="20"/>
      <c r="U29" s="20"/>
      <c r="Y29"/>
      <c r="Z29"/>
      <c r="AA29"/>
      <c r="AB29"/>
      <c r="AC29"/>
      <c r="AD29"/>
    </row>
    <row r="30" spans="1:30" ht="13" x14ac:dyDescent="0.3">
      <c r="A30" s="114"/>
      <c r="C30" s="98"/>
      <c r="D30" s="196">
        <f>(SUM(C25:C29)-D23)*'PIECE DENSITIES'!C6</f>
        <v>12.673649289041229</v>
      </c>
      <c r="E30" s="24" t="s">
        <v>290</v>
      </c>
      <c r="G30" s="114"/>
      <c r="I30" s="99"/>
      <c r="J30" s="201">
        <f>(SUM(I25:I29)-J23)*'PIECE DENSITIES'!C11</f>
        <v>0</v>
      </c>
      <c r="K30" s="24" t="s">
        <v>289</v>
      </c>
      <c r="L30"/>
      <c r="M30" s="20"/>
      <c r="O30" s="96">
        <f>SUM(N25:N29)*'PIECE DENSITIES'!C16</f>
        <v>0.45599470779926932</v>
      </c>
      <c r="P30" s="24" t="s">
        <v>120</v>
      </c>
      <c r="Q30" s="109"/>
      <c r="S30" s="20"/>
      <c r="U30" s="20"/>
      <c r="Y30"/>
      <c r="Z30"/>
      <c r="AA30"/>
      <c r="AB30"/>
      <c r="AC30"/>
      <c r="AD30"/>
    </row>
    <row r="31" spans="1:30" ht="13" x14ac:dyDescent="0.3">
      <c r="A31" s="114"/>
      <c r="C31" s="98"/>
      <c r="D31" s="196">
        <f>(SUM(C25:C29)-D23)*'PIECE DENSITIES'!D6</f>
        <v>51.299142760552655</v>
      </c>
      <c r="E31" s="24" t="s">
        <v>121</v>
      </c>
      <c r="G31" s="114"/>
      <c r="I31" s="99"/>
      <c r="J31" s="201">
        <f>(SUM(I25:I29)-J23)*'PIECE DENSITIES'!D11</f>
        <v>0</v>
      </c>
      <c r="K31" s="24" t="s">
        <v>122</v>
      </c>
      <c r="L31"/>
      <c r="M31" s="20"/>
      <c r="O31" s="96">
        <f>SUM(N25:N29)*'PIECE DENSITIES'!D16</f>
        <v>2.9591065184865877</v>
      </c>
      <c r="P31" s="24" t="s">
        <v>123</v>
      </c>
      <c r="Q31" s="109"/>
      <c r="S31" s="20"/>
      <c r="U31" s="20"/>
      <c r="Y31"/>
      <c r="Z31"/>
      <c r="AA31"/>
      <c r="AB31"/>
      <c r="AC31"/>
      <c r="AD31"/>
    </row>
    <row r="32" spans="1:30" ht="13" x14ac:dyDescent="0.3">
      <c r="A32" s="114"/>
      <c r="C32" s="89"/>
      <c r="D32" s="197">
        <f>(SUM(C25:C29)-D23)*'PIECE DENSITIES'!E6</f>
        <v>27.705181320886894</v>
      </c>
      <c r="E32" s="24" t="s">
        <v>124</v>
      </c>
      <c r="G32" s="114"/>
      <c r="I32" s="94"/>
      <c r="J32" s="202">
        <f>(SUM(I25:I29)-J23)*'PIECE DENSITIES'!E11</f>
        <v>0</v>
      </c>
      <c r="K32" s="24" t="s">
        <v>125</v>
      </c>
      <c r="L32"/>
      <c r="M32" s="20"/>
      <c r="N32" s="46"/>
      <c r="O32" s="97">
        <f>SUM(N25:N29)*'PIECE DENSITIES'!E16</f>
        <v>1.3036391221744015</v>
      </c>
      <c r="P32" s="24" t="s">
        <v>126</v>
      </c>
      <c r="Q32" s="109"/>
      <c r="S32" s="20"/>
      <c r="U32" s="20"/>
      <c r="Y32"/>
      <c r="Z32"/>
      <c r="AA32"/>
      <c r="AB32"/>
      <c r="AC32"/>
      <c r="AD32"/>
    </row>
    <row r="33" spans="1:30" ht="13" x14ac:dyDescent="0.3">
      <c r="A33" s="114"/>
      <c r="C33" s="89"/>
      <c r="D33" s="197">
        <f>(SUM(C25:C29)-D23)*'PIECE DENSITIES'!F6</f>
        <v>7.2960553741281728</v>
      </c>
      <c r="E33" s="24" t="s">
        <v>127</v>
      </c>
      <c r="G33" s="114"/>
      <c r="I33" s="94"/>
      <c r="J33" s="202">
        <f>(SUM(I25:I29)-J23)*'PIECE DENSITIES'!F11</f>
        <v>0</v>
      </c>
      <c r="K33" s="24" t="s">
        <v>128</v>
      </c>
      <c r="L33"/>
      <c r="M33" s="20"/>
      <c r="N33" s="46"/>
      <c r="O33" s="97">
        <f>SUM(N25:N29)*'PIECE DENSITIES'!F16</f>
        <v>0.37744067491966193</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1.2030770698167617</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0.79562173324113061</v>
      </c>
      <c r="B42" s="199">
        <f>C42*(1+'ACCEPT RATES'!F15+'PIECE DENSITIES'!C7)</f>
        <v>12.979219777036631</v>
      </c>
      <c r="C42" s="198">
        <f>D30</f>
        <v>12.673649289041229</v>
      </c>
      <c r="G42" s="205">
        <f>IF(SUM(C11:C16)&gt;0,H42*(1-'ACCEPT RATES'!C20),H42*(1-'ACCEPT RATES'!D20))</f>
        <v>0</v>
      </c>
      <c r="H42" s="204">
        <f>I42*(1+'PIECE DENSITIES'!C12)</f>
        <v>0</v>
      </c>
      <c r="I42" s="203">
        <f>J30</f>
        <v>0</v>
      </c>
      <c r="J42" s="58"/>
      <c r="L42"/>
      <c r="M42" s="102">
        <f>N42</f>
        <v>1.6590717776160311</v>
      </c>
      <c r="N42" s="101">
        <f>D36+J36+O30</f>
        <v>1.6590717776160311</v>
      </c>
      <c r="P42" s="20"/>
      <c r="Q42" s="109"/>
      <c r="S42" s="20"/>
      <c r="U42" s="20"/>
      <c r="Y42"/>
      <c r="Z42"/>
      <c r="AA42"/>
      <c r="AB42"/>
      <c r="AC42"/>
      <c r="AD42"/>
    </row>
    <row r="43" spans="1:30" ht="13" x14ac:dyDescent="0.3">
      <c r="A43" s="114"/>
      <c r="C43" s="98"/>
      <c r="D43" s="196">
        <f>(SUM(C38:C42)-D36)*'PIECE DENSITIES'!D7</f>
        <v>9.4723260457765814</v>
      </c>
      <c r="E43" s="24" t="s">
        <v>121</v>
      </c>
      <c r="G43" s="114"/>
      <c r="I43" s="99"/>
      <c r="J43" s="201">
        <f>(SUM(I38:I42)-J36)*'PIECE DENSITIES'!D12</f>
        <v>0</v>
      </c>
      <c r="K43" s="24" t="s">
        <v>122</v>
      </c>
      <c r="L43"/>
      <c r="M43" s="20"/>
      <c r="O43" s="96">
        <f>SUM(N38:N42)*'PIECE DENSITIES'!D17</f>
        <v>1.1743633668874771</v>
      </c>
      <c r="P43" s="24" t="s">
        <v>123</v>
      </c>
      <c r="Q43" s="109"/>
      <c r="S43" s="20"/>
      <c r="U43" s="20"/>
      <c r="Y43"/>
      <c r="Z43"/>
      <c r="AA43"/>
      <c r="AB43"/>
      <c r="AC43"/>
      <c r="AD43"/>
    </row>
    <row r="44" spans="1:30" ht="13" x14ac:dyDescent="0.3">
      <c r="A44" s="114"/>
      <c r="C44" s="98"/>
      <c r="D44" s="196">
        <f>(SUM(C38:C42)-D36)*'PIECE DENSITIES'!E7</f>
        <v>0.79164587322537472</v>
      </c>
      <c r="E44" s="24" t="s">
        <v>124</v>
      </c>
      <c r="G44" s="114"/>
      <c r="I44" s="99"/>
      <c r="J44" s="201">
        <f>(SUM(I38:I42)-J36)*'PIECE DENSITIES'!E12</f>
        <v>0</v>
      </c>
      <c r="K44" s="24" t="s">
        <v>125</v>
      </c>
      <c r="L44"/>
      <c r="M44" s="20"/>
      <c r="O44" s="96">
        <f>SUM(N38:N42)*'PIECE DENSITIES'!E17</f>
        <v>5.1484939708548796E-3</v>
      </c>
      <c r="P44" s="24" t="s">
        <v>126</v>
      </c>
      <c r="Q44" s="109"/>
      <c r="S44" s="20"/>
      <c r="U44" s="20"/>
      <c r="Y44"/>
      <c r="Z44"/>
      <c r="AA44"/>
      <c r="AB44"/>
      <c r="AC44"/>
      <c r="AD44"/>
    </row>
    <row r="45" spans="1:30" ht="13" x14ac:dyDescent="0.3">
      <c r="A45" s="114"/>
      <c r="C45" s="89"/>
      <c r="D45" s="197">
        <f>(SUM(C38:C42)-D36)*'PIECE DENSITIES'!F7</f>
        <v>8.4324732742923403E-2</v>
      </c>
      <c r="E45" s="24" t="s">
        <v>127</v>
      </c>
      <c r="G45" s="114"/>
      <c r="I45" s="94"/>
      <c r="J45" s="202">
        <f>(SUM(I38:I42)-J36)*'PIECE DENSITIES'!F12</f>
        <v>0</v>
      </c>
      <c r="K45" s="24" t="s">
        <v>128</v>
      </c>
      <c r="L45"/>
      <c r="M45" s="20"/>
      <c r="N45" s="46"/>
      <c r="O45" s="97">
        <f>SUM(N38:N42)*'PIECE DENSITIES'!F17</f>
        <v>3.2958469277992258E-2</v>
      </c>
      <c r="P45" s="24" t="s">
        <v>129</v>
      </c>
      <c r="Q45" s="109"/>
      <c r="S45" s="20"/>
      <c r="U45" s="20"/>
      <c r="Y45"/>
      <c r="Z45"/>
      <c r="AA45"/>
      <c r="AB45"/>
      <c r="AC45"/>
      <c r="AD45"/>
    </row>
    <row r="46" spans="1:30" ht="13" x14ac:dyDescent="0.3">
      <c r="A46" s="114"/>
      <c r="C46" s="89"/>
      <c r="D46" s="197">
        <f>(SUM(C38:C42)-D36)*'PIECE DENSITIES'!G7</f>
        <v>1.122275567479589</v>
      </c>
      <c r="E46" s="24" t="s">
        <v>130</v>
      </c>
      <c r="G46" s="114"/>
      <c r="I46" s="94"/>
      <c r="J46" s="202">
        <f>(SUM(I38:I42)-J36)*'PIECE DENSITIES'!G12</f>
        <v>0</v>
      </c>
      <c r="K46" s="24" t="s">
        <v>288</v>
      </c>
      <c r="L46"/>
      <c r="M46" s="20"/>
      <c r="N46" s="46"/>
      <c r="O46" s="97">
        <f>SUM(N38:N42)*'PIECE DENSITIES'!G17</f>
        <v>0.44660144747970698</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16.322852089092951</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10.054838698125936</v>
      </c>
      <c r="B53" s="29">
        <f>C53*(1+'ACCEPT RATES'!F16+'PIECE DENSITIES'!D8)</f>
        <v>164.02764760333326</v>
      </c>
      <c r="C53" s="51">
        <f>C13*('COVERAGE FACTORS'!E38+'COVERAGE FACTORS'!E42)</f>
        <v>162.26993459627153</v>
      </c>
      <c r="E53" s="24" t="s">
        <v>70</v>
      </c>
      <c r="G53" s="217">
        <f>H53*(1-'ACCEPT RATES'!C21)</f>
        <v>0</v>
      </c>
      <c r="H53" s="29">
        <f>I53*(1+'PIECE DENSITIES'!D13)</f>
        <v>0</v>
      </c>
      <c r="I53" s="51">
        <f>C13*'COVERAGE FACTORS'!E40</f>
        <v>0</v>
      </c>
      <c r="J53" s="113"/>
      <c r="K53" s="23" t="s">
        <v>70</v>
      </c>
      <c r="L53"/>
      <c r="M53" s="29">
        <f>N53</f>
        <v>0.97478864620960826</v>
      </c>
      <c r="N53" s="51">
        <f>C13*'COVERAGE FACTORS'!E44</f>
        <v>0.97478864620960826</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3.7431367100803201</v>
      </c>
      <c r="B57" s="199">
        <f>C57*(1+'ACCEPT RATES'!F16+'PIECE DENSITIES'!D8)</f>
        <v>61.0629297640141</v>
      </c>
      <c r="C57" s="198">
        <f>(D31+D43)*('COVERAGE FACTORS'!E38+'COVERAGE FACTORS'!E42)</f>
        <v>60.408582113092088</v>
      </c>
      <c r="G57" s="210">
        <f>IF(SUM(C11:C16)&gt;0,H57*(1-'ACCEPT RATES'!C21),H57*(1-'ACCEPT RATES'!D21))</f>
        <v>0</v>
      </c>
      <c r="H57" s="209">
        <f>I57*(1+'PIECE DENSITIES'!D13)</f>
        <v>0</v>
      </c>
      <c r="I57" s="208">
        <f>(D31+D43)*'COVERAGE FACTORS'!E40+(J31+J43)*('COVERAGE FACTORS'!E40+'COVERAGE FACTORS'!E42)</f>
        <v>0</v>
      </c>
      <c r="J57" s="58"/>
      <c r="L57"/>
      <c r="M57" s="102">
        <f>N57</f>
        <v>20.819208667704249</v>
      </c>
      <c r="N57" s="101">
        <f>D51+J51+O31+O43+(D31+D43)*'COVERAGE FACTORS'!E44+(J31+J43)*(1-('COVERAGE FACTORS'!E40+'COVERAGE FACTORS'!E42))</f>
        <v>20.819208667704249</v>
      </c>
      <c r="P57" s="20"/>
      <c r="Q57" s="109"/>
      <c r="S57" s="20"/>
      <c r="U57" s="20"/>
      <c r="Y57"/>
      <c r="Z57"/>
      <c r="AA57"/>
      <c r="AB57"/>
      <c r="AC57"/>
      <c r="AD57"/>
    </row>
    <row r="58" spans="1:30" ht="13" x14ac:dyDescent="0.3">
      <c r="A58" s="114"/>
      <c r="C58" s="98"/>
      <c r="D58" s="196">
        <f>(SUM(C53:C57)-D51)*'PIECE DENSITIES'!E8</f>
        <v>41.0525501115753</v>
      </c>
      <c r="E58" s="24" t="s">
        <v>124</v>
      </c>
      <c r="G58" s="114"/>
      <c r="I58" s="99"/>
      <c r="J58" s="201">
        <f>(SUM(I53:I57)-J51)*'PIECE DENSITIES'!E13</f>
        <v>0</v>
      </c>
      <c r="K58" s="24" t="s">
        <v>125</v>
      </c>
      <c r="L58"/>
      <c r="M58" s="20"/>
      <c r="O58" s="96">
        <f>SUM(N53:N57)*'PIECE DENSITIES'!E18</f>
        <v>5.7593660435091545</v>
      </c>
      <c r="P58" s="24" t="s">
        <v>126</v>
      </c>
      <c r="Q58" s="109"/>
      <c r="S58" s="20"/>
      <c r="U58" s="20"/>
      <c r="Y58"/>
      <c r="Z58"/>
      <c r="AA58"/>
      <c r="AB58"/>
      <c r="AC58"/>
      <c r="AD58"/>
    </row>
    <row r="59" spans="1:30" ht="13" x14ac:dyDescent="0.3">
      <c r="A59" s="114"/>
      <c r="C59" s="98"/>
      <c r="D59" s="196">
        <f>(SUM(C53:C57)-D51)*'PIECE DENSITIES'!F8</f>
        <v>13.328313178636593</v>
      </c>
      <c r="E59" s="24" t="s">
        <v>127</v>
      </c>
      <c r="G59" s="114"/>
      <c r="I59" s="99"/>
      <c r="J59" s="201">
        <f>(SUM(I53:I57)-J51)*'PIECE DENSITIES'!F13</f>
        <v>0</v>
      </c>
      <c r="K59" s="24" t="s">
        <v>128</v>
      </c>
      <c r="L59"/>
      <c r="M59" s="20"/>
      <c r="O59" s="96">
        <f>SUM(N53:N57)*'PIECE DENSITIES'!F18</f>
        <v>0.90394400053220858</v>
      </c>
      <c r="P59" s="24" t="s">
        <v>129</v>
      </c>
      <c r="Q59" s="109"/>
      <c r="S59" s="20"/>
      <c r="U59" s="20"/>
      <c r="Y59"/>
      <c r="Z59"/>
      <c r="AA59"/>
      <c r="AB59"/>
      <c r="AC59"/>
      <c r="AD59"/>
    </row>
    <row r="60" spans="1:30" ht="13" x14ac:dyDescent="0.3">
      <c r="A60" s="114"/>
      <c r="C60" s="89"/>
      <c r="D60" s="197">
        <f>(SUM(C53:C57)-D51)*'PIECE DENSITIES'!G8</f>
        <v>151.97480133005877</v>
      </c>
      <c r="E60" s="24" t="s">
        <v>130</v>
      </c>
      <c r="G60" s="114"/>
      <c r="I60" s="94"/>
      <c r="J60" s="202">
        <f>(SUM(I53:I57)-J51)*'PIECE DENSITIES'!G13</f>
        <v>0</v>
      </c>
      <c r="K60" s="24" t="s">
        <v>288</v>
      </c>
      <c r="L60"/>
      <c r="M60" s="20"/>
      <c r="N60" s="46"/>
      <c r="O60" s="97">
        <f>SUM(N53:N57)*'PIECE DENSITIES'!G18</f>
        <v>15.130687269872494</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512.15863113984085</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629.85759706583917</v>
      </c>
      <c r="B64" s="29">
        <f>C64*(1+'ACCEPT RATES'!F17+'PIECE DENSITIES'!E9)</f>
        <v>10275.058911790784</v>
      </c>
      <c r="C64" s="51">
        <f>C14*('COVERAGE FACTORS'!E38+'COVERAGE FACTORS'!E42)</f>
        <v>9674.5679608926876</v>
      </c>
      <c r="E64" s="24" t="s">
        <v>70</v>
      </c>
      <c r="G64" s="217">
        <f>H64*(1-'ACCEPT RATES'!C22)</f>
        <v>0</v>
      </c>
      <c r="H64" s="29">
        <f>I64*(1+'PIECE DENSITIES'!E14)</f>
        <v>0</v>
      </c>
      <c r="I64" s="51">
        <f>C14*'COVERAGE FACTORS'!E40</f>
        <v>0</v>
      </c>
      <c r="J64" s="113"/>
      <c r="K64" s="23" t="s">
        <v>70</v>
      </c>
      <c r="L64"/>
      <c r="M64" s="29">
        <f>N64</f>
        <v>58.117106096856219</v>
      </c>
      <c r="N64" s="51">
        <f>C14*'COVERAGE FACTORS'!E44</f>
        <v>58.117106096856219</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4.5009371376624348</v>
      </c>
      <c r="B68" s="211">
        <f>C68*(1+'ACCEPT RATES'!F17+'PIECE DENSITIES'!E9)</f>
        <v>73.425159056887992</v>
      </c>
      <c r="C68" s="212">
        <f>(D32+D44+D58)*('COVERAGE FACTORS'!E38+'COVERAGE FACTORS'!E42)</f>
        <v>69.134074795432383</v>
      </c>
      <c r="G68" s="205">
        <f>IF(SUM(C11:C16)&gt;0, H68*(1-'ACCEPT RATES'!C22),H68*(1-'ACCEPT RATES'!D22))</f>
        <v>0</v>
      </c>
      <c r="H68" s="204">
        <f>I68*(1+'PIECE DENSITIES'!E14)</f>
        <v>0</v>
      </c>
      <c r="I68" s="203">
        <f>(D32+D44+D58)*'COVERAGE FACTORS'!E40+(J32+J44+J58)*('COVERAGE FACTORS'!E40+'COVERAGE FACTORS'!E42)</f>
        <v>0</v>
      </c>
      <c r="J68" s="58"/>
      <c r="L68"/>
      <c r="M68" s="102">
        <f>N68</f>
        <v>519.64208730975065</v>
      </c>
      <c r="N68" s="101">
        <f>D62+J62+O32+O44+O58+(D32+D44+D58)*'COVERAGE FACTORS'!E44+(J32+J44+J58)*(1-('COVERAGE FACTORS'!E40+'COVERAGE FACTORS'!E42))</f>
        <v>519.64208730975065</v>
      </c>
      <c r="P68" s="20"/>
      <c r="Q68" s="109"/>
      <c r="S68" s="20"/>
      <c r="U68" s="20"/>
      <c r="Y68"/>
      <c r="Z68"/>
      <c r="AA68"/>
      <c r="AB68"/>
      <c r="AC68"/>
      <c r="AD68"/>
    </row>
    <row r="69" spans="1:30" ht="13" x14ac:dyDescent="0.3">
      <c r="A69" s="114"/>
      <c r="C69" s="98"/>
      <c r="D69" s="196">
        <f>(SUM(C64:C68)-D62)*'PIECE DENSITIES'!F9</f>
        <v>206.52782384569204</v>
      </c>
      <c r="E69" s="24" t="s">
        <v>127</v>
      </c>
      <c r="G69" s="114"/>
      <c r="I69" s="99"/>
      <c r="J69" s="201">
        <f>(SUM(I64:I68)-J62)*'PIECE DENSITIES'!F14</f>
        <v>0</v>
      </c>
      <c r="K69" s="24" t="s">
        <v>128</v>
      </c>
      <c r="L69"/>
      <c r="M69" s="20"/>
      <c r="O69" s="96">
        <f>SUM(N64:N68)*'PIECE DENSITIES'!F19</f>
        <v>14.945375461057406</v>
      </c>
      <c r="P69" s="24" t="s">
        <v>129</v>
      </c>
      <c r="Q69" s="109"/>
      <c r="S69" s="20"/>
      <c r="U69" s="20"/>
      <c r="Y69"/>
      <c r="Z69"/>
      <c r="AA69"/>
      <c r="AB69"/>
      <c r="AC69"/>
      <c r="AD69"/>
    </row>
    <row r="70" spans="1:30" ht="13" x14ac:dyDescent="0.3">
      <c r="A70" s="114"/>
      <c r="C70" s="98"/>
      <c r="D70" s="196">
        <f>(SUM(C64:C68)-D62)*'PIECE DENSITIES'!G9</f>
        <v>9025.0155807025876</v>
      </c>
      <c r="E70" s="24" t="s">
        <v>130</v>
      </c>
      <c r="G70" s="114"/>
      <c r="I70" s="99"/>
      <c r="J70" s="201">
        <f>(SUM(I64:I68)-J62)*'PIECE DENSITIES'!G14</f>
        <v>0</v>
      </c>
      <c r="K70" s="24" t="s">
        <v>288</v>
      </c>
      <c r="L70"/>
      <c r="M70" s="20"/>
      <c r="O70" s="96">
        <f>SUM(N64:N68)*'PIECE DENSITIES'!G19</f>
        <v>562.81381794554943</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11.287789873436541</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13.981031272623838</v>
      </c>
      <c r="B78" s="211">
        <f>C78*(1+'ACCEPT RATES'!F17)</f>
        <v>228.07682346456295</v>
      </c>
      <c r="C78" s="212">
        <f>(D33+D45+D59+D69)*('COVERAGE FACTORS'!E38+'COVERAGE FACTORS'!E42)</f>
        <v>225.87961215746506</v>
      </c>
      <c r="G78" s="205">
        <f>IF(SUM(C11:C16)&gt;0,H78*(1-'ACCEPT RATES'!C22),H78*(1-'ACCEPT RATES'!D22))</f>
        <v>0</v>
      </c>
      <c r="H78" s="204">
        <f>I78</f>
        <v>0</v>
      </c>
      <c r="I78" s="203">
        <f>(D33+D45+D59+D69)*'COVERAGE FACTORS'!E40+(J33+J45+J59+J69)*('COVERAGE FACTORS'!E40+'COVERAGE FACTORS'!E42)</f>
        <v>0</v>
      </c>
      <c r="J78" s="58"/>
      <c r="L78"/>
      <c r="M78" s="102">
        <f ca="1">N78</f>
        <v>28.904413452958764</v>
      </c>
      <c r="N78" s="294">
        <f ca="1">D72+J72+O33+O45+O59+O69+(D33+D45+D59+D69)*'COVERAGE FACTORS'!E44+(J33+J45+J59+J69)*(1-('COVERAGE FACTORS'!E40+'COVERAGE FACTORS'!E42))+D106</f>
        <v>28.904413452958764</v>
      </c>
      <c r="P78" s="20"/>
      <c r="Q78" s="109"/>
      <c r="S78" s="20"/>
      <c r="U78" s="20"/>
      <c r="Y78"/>
      <c r="Z78"/>
      <c r="AA78"/>
      <c r="AB78"/>
      <c r="AC78"/>
      <c r="AD78"/>
    </row>
    <row r="79" spans="1:30" ht="13" x14ac:dyDescent="0.3">
      <c r="A79" s="114"/>
      <c r="C79" s="98"/>
      <c r="D79" s="196">
        <f>SUM(C74:C78)-D72</f>
        <v>214.59182228402852</v>
      </c>
      <c r="E79" s="24" t="s">
        <v>130</v>
      </c>
      <c r="G79" s="114"/>
      <c r="I79" s="99"/>
      <c r="J79" s="201">
        <f>SUM(I74:I78)-J72</f>
        <v>0</v>
      </c>
      <c r="K79" s="24" t="s">
        <v>288</v>
      </c>
      <c r="L79"/>
      <c r="M79" s="20"/>
      <c r="O79" s="96">
        <f ca="1">SUM(N74:N78)</f>
        <v>28.904413452958764</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446.39546370943572</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552.90442221697401</v>
      </c>
      <c r="B87" s="211">
        <f>C87*(1+'ACCEPT RATES'!F17)</f>
        <v>9019.6983212305422</v>
      </c>
      <c r="C87" s="212">
        <f>(D34+D46+D60+D70+D79)*('COVERAGE FACTORS'!E54+'COVERAGE FACTORS'!E58+(1-'COVERAGE FACTORS'!B119)*'COVERAGE FACTORS'!E52)*'COVERAGE FACTORS'!E104</f>
        <v>8932.8057433834165</v>
      </c>
      <c r="G87" s="205">
        <v>0</v>
      </c>
      <c r="H87" s="204">
        <f>I87</f>
        <v>0</v>
      </c>
      <c r="I87" s="203">
        <f>(D34+D46+D60+D70+D79)*'COVERAGE FACTORS'!E56*'COVERAGE FACTORS'!E104+(J34+J46+J60+J70+J79)*('COVERAGE FACTORS'!E56+'COVERAGE FACTORS'!E58)*'COVERAGE FACTORS'!E104</f>
        <v>0</v>
      </c>
      <c r="J87" s="213"/>
      <c r="L87"/>
      <c r="M87" s="102">
        <f ca="1">N87</f>
        <v>1513.5897203260324</v>
      </c>
      <c r="N87" s="294">
        <f ca="1">D81+J81+(O34+O46+O60+O70+O79)+(D34+D46+D60+D70+D79)*'COVERAGE FACTORS'!E106+(J34+J46+J60+J70+J79)*(1-('COVERAGE FACTORS'!E56+'COVERAGE FACTORS'!E58)*'COVERAGE FACTORS'!E104)+D120</f>
        <v>1513.5897203260324</v>
      </c>
      <c r="P87" s="20"/>
      <c r="Q87" s="109"/>
      <c r="S87" s="20"/>
      <c r="U87" s="20"/>
      <c r="Y87"/>
      <c r="Z87"/>
      <c r="AA87"/>
      <c r="AB87"/>
      <c r="AC87"/>
      <c r="AD87"/>
    </row>
    <row r="88" spans="1:30" ht="13" x14ac:dyDescent="0.3">
      <c r="A88" s="114"/>
      <c r="C88" s="98"/>
      <c r="D88" s="103">
        <f>SUM(C83:C87)-D81</f>
        <v>8486.4102796739808</v>
      </c>
      <c r="E88" s="24"/>
      <c r="G88" s="218"/>
      <c r="H88" s="214"/>
      <c r="I88" s="214"/>
      <c r="J88" s="215">
        <f>SUM(I83:I87)-J81</f>
        <v>0</v>
      </c>
      <c r="K88" s="24"/>
      <c r="L88"/>
      <c r="M88" s="20"/>
      <c r="O88" s="216">
        <f ca="1">SUM(N83:N87)</f>
        <v>1513.5897203260324</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FACTORS'!E52*'COVERAGE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drawing r:id="rId2"/>
</worksheet>
</file>

<file path=xl/worksheets/sheet3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2" ht="23" x14ac:dyDescent="0.5">
      <c r="A1" s="126" t="s">
        <v>621</v>
      </c>
    </row>
    <row r="2" spans="1:12" ht="18" x14ac:dyDescent="0.4">
      <c r="A2" s="5" t="s">
        <v>55</v>
      </c>
    </row>
    <row r="3" spans="1:12" s="7" customFormat="1" ht="12.75" customHeight="1" x14ac:dyDescent="0.3">
      <c r="A3" s="1"/>
      <c r="C3" s="134"/>
      <c r="D3" s="134"/>
      <c r="E3" s="135"/>
      <c r="F3" s="136"/>
      <c r="G3" s="137"/>
      <c r="H3" s="138"/>
      <c r="I3" s="138"/>
      <c r="J3" s="136"/>
    </row>
    <row r="4" spans="1:12"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2" s="7" customFormat="1" ht="12.75" customHeight="1" x14ac:dyDescent="0.3">
      <c r="A5" s="1"/>
      <c r="C5" s="134"/>
      <c r="D5" s="134"/>
      <c r="E5" s="135"/>
      <c r="F5" s="136"/>
      <c r="G5" s="137"/>
      <c r="H5" s="138"/>
      <c r="I5" s="138"/>
      <c r="J5" s="136"/>
      <c r="K5" s="1"/>
    </row>
    <row r="6" spans="1:12" ht="13" x14ac:dyDescent="0.3">
      <c r="D6" s="17" t="s">
        <v>251</v>
      </c>
      <c r="F6" s="139" t="s">
        <v>56</v>
      </c>
      <c r="H6" s="31" t="s">
        <v>57</v>
      </c>
      <c r="I6" s="31" t="s">
        <v>57</v>
      </c>
      <c r="J6" s="139" t="s">
        <v>3</v>
      </c>
      <c r="K6" s="139" t="s">
        <v>58</v>
      </c>
    </row>
    <row r="7" spans="1:12" ht="13" x14ac:dyDescent="0.3">
      <c r="C7" s="140"/>
      <c r="D7" s="17" t="s">
        <v>59</v>
      </c>
      <c r="E7" s="39" t="s">
        <v>60</v>
      </c>
      <c r="F7" s="139" t="s">
        <v>61</v>
      </c>
      <c r="G7" s="41" t="s">
        <v>62</v>
      </c>
      <c r="H7" s="31" t="s">
        <v>63</v>
      </c>
      <c r="I7" s="31" t="s">
        <v>63</v>
      </c>
      <c r="J7" s="139" t="s">
        <v>61</v>
      </c>
      <c r="K7" s="139" t="s">
        <v>61</v>
      </c>
    </row>
    <row r="8" spans="1:12" ht="13" x14ac:dyDescent="0.3">
      <c r="A8" s="36" t="s">
        <v>64</v>
      </c>
      <c r="C8" s="140" t="s">
        <v>7</v>
      </c>
      <c r="D8" s="140" t="s">
        <v>65</v>
      </c>
      <c r="E8" s="40" t="s">
        <v>66</v>
      </c>
      <c r="F8" s="141" t="s">
        <v>67</v>
      </c>
      <c r="G8" s="43" t="s">
        <v>68</v>
      </c>
      <c r="H8" s="37" t="s">
        <v>68</v>
      </c>
      <c r="I8" s="37" t="s">
        <v>69</v>
      </c>
      <c r="J8" s="141" t="s">
        <v>67</v>
      </c>
      <c r="K8" s="141" t="s">
        <v>67</v>
      </c>
    </row>
    <row r="9" spans="1:12" ht="13" x14ac:dyDescent="0.3">
      <c r="A9" s="36"/>
      <c r="C9" s="140"/>
      <c r="D9" s="140"/>
      <c r="E9" s="40"/>
      <c r="F9" s="141"/>
      <c r="G9" s="43"/>
      <c r="H9" s="37"/>
      <c r="I9" s="37"/>
      <c r="J9" s="141"/>
    </row>
    <row r="10" spans="1:12" ht="13" x14ac:dyDescent="0.3">
      <c r="A10" s="1" t="s">
        <v>252</v>
      </c>
      <c r="C10" s="140"/>
      <c r="D10" s="140"/>
      <c r="E10" s="40"/>
      <c r="F10" s="141"/>
      <c r="G10" s="43"/>
      <c r="H10" s="37"/>
      <c r="I10" s="37"/>
      <c r="J10" s="141"/>
    </row>
    <row r="11" spans="1:12" ht="13" x14ac:dyDescent="0.3">
      <c r="A11" s="36"/>
      <c r="B11" t="s">
        <v>234</v>
      </c>
      <c r="C11" s="151">
        <f>'BUNDLE SORT'!$I$72*('COVERAGE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C11*$J11/'3D AUTO MODEL FSS'!$G$6</f>
        <v>0</v>
      </c>
      <c r="L11" s="247"/>
    </row>
    <row r="12" spans="1:12" ht="13" x14ac:dyDescent="0.3">
      <c r="A12" s="36"/>
      <c r="B12" t="s">
        <v>529</v>
      </c>
      <c r="C12" s="151">
        <f>'BUNDLE SORT'!$I$72*('COVERAGE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C12*$J12/'3D AUTO MODEL FSS'!$G$6</f>
        <v>0</v>
      </c>
      <c r="L12" s="247"/>
    </row>
    <row r="13" spans="1:12" ht="13" x14ac:dyDescent="0.3">
      <c r="A13" s="36"/>
      <c r="B13" t="s">
        <v>70</v>
      </c>
      <c r="C13" s="151">
        <f>'BUNDLE SORT'!$J$72</f>
        <v>134.64226662876661</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C13*$J13/'3D AUTO MODEL FSS'!$G$6</f>
        <v>0.27309377554550973</v>
      </c>
      <c r="L13" s="247"/>
    </row>
    <row r="14" spans="1:12" ht="13" x14ac:dyDescent="0.3">
      <c r="A14" s="36"/>
      <c r="C14" s="151"/>
      <c r="D14" s="151"/>
      <c r="E14" s="135"/>
      <c r="F14" s="136"/>
      <c r="G14" s="137"/>
      <c r="H14" s="137"/>
      <c r="I14" s="138"/>
      <c r="J14" s="136"/>
      <c r="L14" s="247"/>
    </row>
    <row r="15" spans="1:12" ht="13" x14ac:dyDescent="0.3">
      <c r="A15" s="1" t="s">
        <v>253</v>
      </c>
      <c r="C15" s="151"/>
      <c r="D15" s="151"/>
      <c r="E15" s="135"/>
      <c r="F15" s="136"/>
      <c r="G15" s="137"/>
      <c r="H15" s="137"/>
      <c r="I15" s="138"/>
      <c r="J15" s="136"/>
      <c r="L15" s="247"/>
    </row>
    <row r="16" spans="1:12" s="7" customFormat="1" x14ac:dyDescent="0.25">
      <c r="B16" s="7" t="s">
        <v>234</v>
      </c>
      <c r="C16" s="151">
        <f>'BUNDLE SORT'!$M$72*('COVERAGE FACTORS'!$E$30/('COVERAGE FACTORS'!$E$30+'COVERAGE FACTORS'!$E$32))</f>
        <v>108.59487216204994</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C16*$J16/'3D AUTO MODEL FSS'!$G$6</f>
        <v>0.41011348422299226</v>
      </c>
      <c r="L16" s="247"/>
    </row>
    <row r="17" spans="1:12" ht="13" x14ac:dyDescent="0.3">
      <c r="A17" s="1"/>
      <c r="B17" t="s">
        <v>529</v>
      </c>
      <c r="C17" s="151">
        <f>'BUNDLE SORT'!$M$72*('COVERAGE FACTORS'!$E$32/('COVERAGE FACTORS'!$E$30+'COVERAGE FACTORS'!$E$32))</f>
        <v>131.27350209650331</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C17*$J17/'3D AUTO MODEL FSS'!$G$6</f>
        <v>0.57343523033928778</v>
      </c>
      <c r="L17" s="247"/>
    </row>
    <row r="18" spans="1:12" ht="13" x14ac:dyDescent="0.3">
      <c r="A18" s="1"/>
      <c r="B18" t="s">
        <v>70</v>
      </c>
      <c r="C18" s="151">
        <f>'BUNDLE SORT'!$N$72</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C18*$J18/'3D AUTO MODEL FSS'!$G$6</f>
        <v>0</v>
      </c>
      <c r="L18" s="247"/>
    </row>
    <row r="19" spans="1:12" ht="13" x14ac:dyDescent="0.3">
      <c r="A19" s="1"/>
      <c r="C19" s="151"/>
      <c r="D19" s="151"/>
      <c r="E19" s="135"/>
      <c r="F19" s="136"/>
      <c r="G19" s="137"/>
      <c r="H19" s="137"/>
      <c r="I19" s="138"/>
      <c r="J19" s="136"/>
      <c r="L19" s="247"/>
    </row>
    <row r="20" spans="1:12" ht="13" x14ac:dyDescent="0.3">
      <c r="A20" s="1" t="s">
        <v>254</v>
      </c>
      <c r="C20" s="151"/>
      <c r="D20" s="151"/>
      <c r="E20" s="135"/>
      <c r="F20" s="136"/>
      <c r="G20" s="137"/>
      <c r="H20" s="137"/>
      <c r="I20" s="138"/>
      <c r="J20" s="136"/>
      <c r="L20" s="247"/>
    </row>
    <row r="21" spans="1:12" ht="13" x14ac:dyDescent="0.3">
      <c r="A21" s="1"/>
      <c r="B21" t="s">
        <v>234</v>
      </c>
      <c r="C21" s="151">
        <f>'BUNDLE SORT'!$Q$72*('COVERAGE FACTORS'!$E$30/('COVERAGE FACTORS'!$E$30+'COVERAGE FACTORS'!$E$32))</f>
        <v>123.67518478021722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C21*$J21/'3D AUTO MODEL FSS'!$G$6</f>
        <v>0.46706497215125786</v>
      </c>
      <c r="L21" s="247"/>
    </row>
    <row r="22" spans="1:12" ht="13" x14ac:dyDescent="0.3">
      <c r="A22" s="1"/>
      <c r="B22" t="s">
        <v>529</v>
      </c>
      <c r="C22" s="151">
        <f>'BUNDLE SORT'!$Q$72*('COVERAGE FACTORS'!$E$32/('COVERAGE FACTORS'!$E$30+'COVERAGE FACTORS'!$E$32))</f>
        <v>149.5031423242923</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C22*$J22/'3D AUTO MODEL FSS'!$G$6</f>
        <v>0.65306682221485013</v>
      </c>
      <c r="L22" s="247"/>
    </row>
    <row r="23" spans="1:12" ht="13" x14ac:dyDescent="0.3">
      <c r="A23" s="1"/>
      <c r="B23" t="s">
        <v>70</v>
      </c>
      <c r="C23" s="151">
        <f>'BUNDLE SORT'!$R$72</f>
        <v>7.8781519203847417</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C23*$J23/'3D AUTO MODEL FSS'!$G$6</f>
        <v>1.5979189196145858E-2</v>
      </c>
      <c r="L23" s="247"/>
    </row>
    <row r="24" spans="1:12" ht="13" x14ac:dyDescent="0.3">
      <c r="A24" s="1"/>
      <c r="C24" s="151"/>
      <c r="D24" s="151"/>
      <c r="E24" s="135"/>
      <c r="F24" s="136"/>
      <c r="G24" s="137"/>
      <c r="H24" s="137"/>
      <c r="I24" s="138"/>
      <c r="J24" s="136"/>
      <c r="L24" s="247"/>
    </row>
    <row r="25" spans="1:12" ht="13" x14ac:dyDescent="0.3">
      <c r="A25" s="1" t="s">
        <v>255</v>
      </c>
      <c r="C25" s="151"/>
      <c r="D25" s="151"/>
      <c r="E25" s="135"/>
      <c r="F25" s="136"/>
      <c r="G25" s="137"/>
      <c r="H25" s="137"/>
      <c r="I25" s="138"/>
      <c r="J25" s="136"/>
      <c r="L25" s="247"/>
    </row>
    <row r="26" spans="1:12" ht="13" x14ac:dyDescent="0.3">
      <c r="A26" s="1"/>
      <c r="B26" t="s">
        <v>234</v>
      </c>
      <c r="C26" s="151">
        <f>'BUNDLE SORT'!$U$72*('COVERAGE FACTORS'!$E$30/('COVERAGE FACTORS'!$E$30+'COVERAGE FACTORS'!$E$32))</f>
        <v>0</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C26*$J26/'3D AUTO MODEL FSS'!$G$6</f>
        <v>0</v>
      </c>
      <c r="L26" s="247"/>
    </row>
    <row r="27" spans="1:12" ht="13" x14ac:dyDescent="0.3">
      <c r="A27" s="1"/>
      <c r="B27" t="s">
        <v>529</v>
      </c>
      <c r="C27" s="151">
        <f>'BUNDLE SORT'!$U$72*('COVERAGE FACTORS'!$E$32/('COVERAGE FACTORS'!$E$30+'COVERAGE FACTORS'!$E$32))</f>
        <v>0</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C27*$J27/'3D AUTO MODEL FSS'!$G$6</f>
        <v>0</v>
      </c>
      <c r="L27" s="247"/>
    </row>
    <row r="28" spans="1:12" ht="13" x14ac:dyDescent="0.3">
      <c r="A28" s="1"/>
      <c r="B28" t="s">
        <v>70</v>
      </c>
      <c r="C28" s="151">
        <f>'BUNDLE SORT'!$V$72</f>
        <v>0</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C28*$J28/'3D AUTO MODEL FSS'!$G$6</f>
        <v>0</v>
      </c>
      <c r="L28" s="247"/>
    </row>
    <row r="29" spans="1:12" ht="13" x14ac:dyDescent="0.3">
      <c r="A29" s="1"/>
      <c r="C29" s="149"/>
      <c r="D29" s="149"/>
      <c r="E29" s="135"/>
      <c r="F29" s="136"/>
      <c r="G29" s="137"/>
      <c r="H29" s="138"/>
      <c r="I29" s="138"/>
      <c r="J29" s="136"/>
      <c r="L29" s="247"/>
    </row>
    <row r="30" spans="1:12" ht="13" x14ac:dyDescent="0.3">
      <c r="A30" s="1" t="s">
        <v>71</v>
      </c>
      <c r="F30" s="42"/>
      <c r="H30" s="42"/>
      <c r="I30" s="42"/>
      <c r="J30" s="42"/>
      <c r="L30" s="247"/>
    </row>
    <row r="31" spans="1:12" ht="13" x14ac:dyDescent="0.3">
      <c r="A31" s="36"/>
      <c r="B31" t="s">
        <v>72</v>
      </c>
      <c r="C31" s="2">
        <f>SUM('3D AUTO MODEL FSS'!$B$25:$B$29)</f>
        <v>105.21045576213606</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C31*$J31/'3D AUTO MODEL FSS'!$G$6</f>
        <v>5.3832788124065771E-2</v>
      </c>
      <c r="L31" s="247"/>
    </row>
    <row r="32" spans="1:12" ht="13" x14ac:dyDescent="0.3">
      <c r="A32" s="36"/>
      <c r="B32" t="s">
        <v>244</v>
      </c>
      <c r="C32" s="2">
        <f>SUM('3D AUTO MODEL FSS'!$A$25:$A$29)</f>
        <v>6.4493649546376544</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C32*$J32/'3D AUTO MODEL FSS'!$G$6</f>
        <v>4.8632663278015964E-3</v>
      </c>
      <c r="L32" s="247"/>
    </row>
    <row r="33" spans="1:12" ht="13" x14ac:dyDescent="0.3">
      <c r="A33" s="36"/>
      <c r="B33" t="s">
        <v>291</v>
      </c>
      <c r="C33" s="2">
        <f>SUM('3D AUTO MODEL FSS'!$H$25:$H$29)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C33*$J33/'3D AUTO MODEL FSS'!$G$6</f>
        <v>0</v>
      </c>
      <c r="L33" s="247"/>
    </row>
    <row r="34" spans="1:12" x14ac:dyDescent="0.25">
      <c r="B34" t="s">
        <v>292</v>
      </c>
      <c r="C34" s="2">
        <f>SUM('3D AUTO MODEL FSS'!$G$25:$G$29)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C34*$J34/'3D AUTO MODEL FSS'!$G$6</f>
        <v>0</v>
      </c>
      <c r="L34" s="247"/>
    </row>
    <row r="35" spans="1:12" x14ac:dyDescent="0.25">
      <c r="B35" t="s">
        <v>70</v>
      </c>
      <c r="C35" s="2">
        <f>SUM('3D AUTO MODEL FSS'!$M$25:$M$29)</f>
        <v>5.0961810233799198</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C35*$J35/'3D AUTO MODEL FSS'!$G$6</f>
        <v>5.5063039023779976E-3</v>
      </c>
      <c r="L35" s="247"/>
    </row>
    <row r="36" spans="1:12" x14ac:dyDescent="0.25">
      <c r="F36" s="42"/>
      <c r="H36" s="42"/>
      <c r="I36" s="42"/>
      <c r="J36" s="42"/>
      <c r="L36" s="247"/>
    </row>
    <row r="37" spans="1:12" ht="13" x14ac:dyDescent="0.3">
      <c r="A37" s="1" t="s">
        <v>73</v>
      </c>
      <c r="F37" s="42"/>
      <c r="H37" s="42"/>
      <c r="I37" s="42"/>
      <c r="J37" s="42"/>
      <c r="L37" s="247"/>
    </row>
    <row r="38" spans="1:12" ht="13" x14ac:dyDescent="0.3">
      <c r="A38" s="36"/>
      <c r="B38" t="s">
        <v>72</v>
      </c>
      <c r="C38" s="2">
        <f>SUM('3D AUTO MODEL FSS'!$B$38:$B$42)</f>
        <v>12.979219777036631</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C38*$J38/'3D AUTO MODEL FSS'!$G$6</f>
        <v>4.6050645212101686E-3</v>
      </c>
      <c r="L38" s="247"/>
    </row>
    <row r="39" spans="1:12" ht="13" x14ac:dyDescent="0.3">
      <c r="A39" s="36"/>
      <c r="B39" t="s">
        <v>244</v>
      </c>
      <c r="C39" s="2">
        <f>SUM('3D AUTO MODEL FSS'!$A$38:$A$42)</f>
        <v>0.79562173324113061</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C39*$J39/'3D AUTO MODEL FSS'!$G$6</f>
        <v>5.9995370275275819E-4</v>
      </c>
      <c r="L39" s="247"/>
    </row>
    <row r="40" spans="1:12" x14ac:dyDescent="0.25">
      <c r="B40" t="s">
        <v>291</v>
      </c>
      <c r="C40" s="2">
        <f>SUM('3D AUTO MODEL FSS'!$H$38:$H$42)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C40*$J40/'3D AUTO MODEL FSS'!$G$6</f>
        <v>0</v>
      </c>
      <c r="L40" s="247"/>
    </row>
    <row r="41" spans="1:12" x14ac:dyDescent="0.25">
      <c r="B41" t="s">
        <v>292</v>
      </c>
      <c r="C41" s="2">
        <f>SUM('3D AUTO MODEL FSS'!$G$38:$G$42)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C41*$J41/'3D AUTO MODEL FSS'!$G$6</f>
        <v>0</v>
      </c>
      <c r="L41" s="247"/>
    </row>
    <row r="42" spans="1:12" x14ac:dyDescent="0.25">
      <c r="B42" t="s">
        <v>70</v>
      </c>
      <c r="C42" s="2">
        <f>SUM('3D AUTO MODEL FSS'!$M$38:$M$42)</f>
        <v>1.6590717776160311</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C42*$J42/'3D AUTO MODEL FSS'!$G$6</f>
        <v>2.2662639852137445E-3</v>
      </c>
      <c r="L42" s="247"/>
    </row>
    <row r="43" spans="1:12" x14ac:dyDescent="0.25">
      <c r="F43" s="42"/>
      <c r="H43" s="42"/>
      <c r="I43" s="42"/>
      <c r="J43" s="42"/>
      <c r="L43" s="247"/>
    </row>
    <row r="44" spans="1:12" ht="13" x14ac:dyDescent="0.3">
      <c r="A44" s="1" t="s">
        <v>74</v>
      </c>
      <c r="F44" s="42"/>
      <c r="H44" s="42"/>
      <c r="I44" s="42"/>
      <c r="J44" s="42"/>
      <c r="L44" s="247"/>
    </row>
    <row r="45" spans="1:12" ht="13" x14ac:dyDescent="0.3">
      <c r="A45" s="36"/>
      <c r="B45" t="s">
        <v>72</v>
      </c>
      <c r="C45" s="2">
        <f>SUM('3D AUTO MODEL FSS'!$B$53:$B$57)</f>
        <v>225.09057736734735</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C45*$J45/'3D AUTO MODEL FSS'!$G$6</f>
        <v>0.1151387473327742</v>
      </c>
      <c r="L45" s="247"/>
    </row>
    <row r="46" spans="1:12" ht="13" x14ac:dyDescent="0.3">
      <c r="A46" s="36"/>
      <c r="B46" t="s">
        <v>244</v>
      </c>
      <c r="C46" s="2">
        <f>SUM('3D AUTO MODEL FSS'!$A$53:$A$57)</f>
        <v>13.797975408206256</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C46*$J46/'3D AUTO MODEL FSS'!$G$6</f>
        <v>1.0404625830068882E-2</v>
      </c>
      <c r="L46" s="247"/>
    </row>
    <row r="47" spans="1:12" x14ac:dyDescent="0.25">
      <c r="B47" t="s">
        <v>291</v>
      </c>
      <c r="C47" s="2">
        <f>SUM('3D AUTO MODEL FSS'!$H$53:$H$57)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C47*$J47/'3D AUTO MODEL FSS'!$G$6</f>
        <v>0</v>
      </c>
      <c r="L47" s="247"/>
    </row>
    <row r="48" spans="1:12" x14ac:dyDescent="0.25">
      <c r="B48" t="s">
        <v>292</v>
      </c>
      <c r="C48" s="2">
        <f>SUM('3D AUTO MODEL FSS'!$G$53:$G$57)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C48*$J48/'3D AUTO MODEL FSS'!$G$6</f>
        <v>0</v>
      </c>
      <c r="L48" s="247"/>
    </row>
    <row r="49" spans="1:12" x14ac:dyDescent="0.25">
      <c r="B49" t="s">
        <v>70</v>
      </c>
      <c r="C49" s="2">
        <f>SUM('3D AUTO MODEL FSS'!$M$53:$M$57)</f>
        <v>21.793997313913856</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C49*$J49/'3D AUTO MODEL FSS'!$G$6</f>
        <v>2.1077451097546083E-2</v>
      </c>
      <c r="L49" s="247"/>
    </row>
    <row r="50" spans="1:12" x14ac:dyDescent="0.25">
      <c r="F50" s="42"/>
      <c r="H50" s="42"/>
      <c r="I50" s="42"/>
      <c r="J50" s="42"/>
      <c r="L50" s="247"/>
    </row>
    <row r="51" spans="1:12" ht="13" x14ac:dyDescent="0.3">
      <c r="A51" s="1" t="s">
        <v>75</v>
      </c>
      <c r="F51" s="42"/>
      <c r="H51" s="42"/>
      <c r="I51" s="42"/>
      <c r="J51" s="42"/>
      <c r="L51" s="247"/>
    </row>
    <row r="52" spans="1:12" ht="13" x14ac:dyDescent="0.3">
      <c r="A52" s="36"/>
      <c r="B52" t="s">
        <v>72</v>
      </c>
      <c r="C52" s="2">
        <f>SUM('3D AUTO MODEL FSS'!$B$64:$B$68)</f>
        <v>10348.484070847671</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C52*$J52/'3D AUTO MODEL FSS'!$G$6</f>
        <v>4.0155820757661775</v>
      </c>
      <c r="L52" s="247"/>
    </row>
    <row r="53" spans="1:12" ht="13" x14ac:dyDescent="0.3">
      <c r="A53" s="36"/>
      <c r="B53" t="s">
        <v>244</v>
      </c>
      <c r="C53" s="2">
        <f>SUM('3D AUTO MODEL FSS'!$A$64:$A$68)</f>
        <v>634.35853420350156</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C53*$J53/'3D AUTO MODEL FSS'!$G$6</f>
        <v>0.47835011987142145</v>
      </c>
      <c r="L53" s="247"/>
    </row>
    <row r="54" spans="1:12" x14ac:dyDescent="0.25">
      <c r="B54" t="s">
        <v>291</v>
      </c>
      <c r="C54" s="2">
        <f>SUM('3D AUTO MODEL FSS'!$H$64:$H$68)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C54*$J54/'3D AUTO MODEL FSS'!$G$6</f>
        <v>0</v>
      </c>
      <c r="L54" s="247"/>
    </row>
    <row r="55" spans="1:12" x14ac:dyDescent="0.25">
      <c r="B55" t="s">
        <v>292</v>
      </c>
      <c r="C55" s="2">
        <f>SUM('3D AUTO MODEL FSS'!$G$64:$G$68)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C55*$J55/'3D AUTO MODEL FSS'!$G$6</f>
        <v>0</v>
      </c>
      <c r="L55" s="247"/>
    </row>
    <row r="56" spans="1:12" x14ac:dyDescent="0.25">
      <c r="B56" t="s">
        <v>70</v>
      </c>
      <c r="C56" s="2">
        <f>SUM('3D AUTO MODEL FSS'!$M$64:$M$68)</f>
        <v>577.75919340660687</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C56*$J56/'3D AUTO MODEL FSS'!$G$6</f>
        <v>0.64462992401260422</v>
      </c>
      <c r="L56" s="247"/>
    </row>
    <row r="57" spans="1:12" x14ac:dyDescent="0.25">
      <c r="F57" s="42"/>
      <c r="H57" s="42"/>
      <c r="I57" s="42"/>
      <c r="J57" s="42"/>
      <c r="L57" s="247"/>
    </row>
    <row r="58" spans="1:12" ht="13" x14ac:dyDescent="0.3">
      <c r="A58" s="1" t="s">
        <v>76</v>
      </c>
      <c r="F58" s="42"/>
      <c r="H58" s="42"/>
      <c r="I58" s="42"/>
      <c r="J58" s="42"/>
      <c r="L58" s="247"/>
    </row>
    <row r="59" spans="1:12" ht="13" x14ac:dyDescent="0.3">
      <c r="A59" s="36"/>
      <c r="B59" t="s">
        <v>72</v>
      </c>
      <c r="C59" s="2">
        <f ca="1">SUM('3D AUTO MODEL FSS'!$B$74:$B$78)+SUM('3D AUTO MODEL FSS'!$B$108:$B$112)</f>
        <v>228.07682346456295</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C59*$J59/'3D AUTO MODEL FSS'!$G$6</f>
        <v>0.16423004463393048</v>
      </c>
      <c r="L59" s="247"/>
    </row>
    <row r="60" spans="1:12" ht="13" x14ac:dyDescent="0.3">
      <c r="A60" s="36"/>
      <c r="B60" t="s">
        <v>244</v>
      </c>
      <c r="C60" s="2">
        <f ca="1">SUM('3D AUTO MODEL FSS'!$A$74:$A$78)+SUM('3D AUTO MODEL FSS'!$A$108:$A$112)</f>
        <v>13.981031272623838</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C60*$J60/'3D AUTO MODEL FSS'!$G$6</f>
        <v>1.0542662586833357E-2</v>
      </c>
      <c r="L60" s="247"/>
    </row>
    <row r="61" spans="1:12" x14ac:dyDescent="0.25">
      <c r="B61" t="s">
        <v>291</v>
      </c>
      <c r="C61" s="2">
        <f>SUM('3D AUTO MODEL FSS'!$H$74:$H$78)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C61*$J61/'3D AUTO MODEL FSS'!$G$6</f>
        <v>0</v>
      </c>
      <c r="L61" s="247"/>
    </row>
    <row r="62" spans="1:12" x14ac:dyDescent="0.25">
      <c r="B62" t="s">
        <v>292</v>
      </c>
      <c r="C62" s="2">
        <f>SUM('3D AUTO MODEL FSS'!$G$74:$G$78)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C62*$J62/'3D AUTO MODEL FSS'!$G$6</f>
        <v>0</v>
      </c>
      <c r="L62" s="247"/>
    </row>
    <row r="63" spans="1:12" x14ac:dyDescent="0.25">
      <c r="B63" t="s">
        <v>70</v>
      </c>
      <c r="C63" s="2">
        <f ca="1">SUM('3D AUTO MODEL FSS'!$M$74:$M$78)</f>
        <v>28.904413452958764</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C63*$J63/'3D AUTO MODEL FSS'!$G$6</f>
        <v>2.5711355071009221E-2</v>
      </c>
      <c r="L63" s="247"/>
    </row>
    <row r="64" spans="1:12" ht="13" x14ac:dyDescent="0.3">
      <c r="A64" s="36"/>
      <c r="F64" s="42"/>
      <c r="H64" s="42"/>
      <c r="I64" s="42"/>
      <c r="J64" s="42"/>
      <c r="L64" s="247"/>
    </row>
    <row r="65" spans="1:12" ht="13" x14ac:dyDescent="0.3">
      <c r="A65" s="1" t="s">
        <v>77</v>
      </c>
      <c r="F65" s="42"/>
      <c r="H65" s="42"/>
      <c r="I65" s="42"/>
      <c r="J65" s="42"/>
      <c r="L65" s="247"/>
    </row>
    <row r="66" spans="1:12" ht="13" x14ac:dyDescent="0.3">
      <c r="A66" s="36"/>
      <c r="B66" t="s">
        <v>72</v>
      </c>
      <c r="C66" s="2">
        <f ca="1">SUM('3D AUTO MODEL FSS'!$B$83:$B$87)+SUM('3D AUTO MODEL FSS'!$B$122:$B$126)</f>
        <v>9073.8814916227948</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C66*$J66/'3D AUTO MODEL FSS'!$G$6</f>
        <v>3.9289217560925906</v>
      </c>
      <c r="L66" s="247"/>
    </row>
    <row r="67" spans="1:12" ht="13" x14ac:dyDescent="0.3">
      <c r="A67" s="36"/>
      <c r="B67" t="s">
        <v>244</v>
      </c>
      <c r="C67" s="2">
        <f ca="1">SUM('3D AUTO MODEL FSS'!$A$83:$A$87)+SUM('3D AUTO MODEL FSS'!$A$122:$A$126)</f>
        <v>556.22583203054796</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C67*$J67/'3D AUTO MODEL FSS'!$G$6</f>
        <v>0.41943266950995023</v>
      </c>
      <c r="L67" s="247"/>
    </row>
    <row r="68" spans="1:12" x14ac:dyDescent="0.25">
      <c r="B68" t="s">
        <v>291</v>
      </c>
      <c r="C68" s="2">
        <f>SUM('3D AUTO MODEL FSS'!$H$83:$H$87)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C68*$J68/'3D AUTO MODEL FSS'!$G$6</f>
        <v>0</v>
      </c>
      <c r="L68" s="247"/>
    </row>
    <row r="69" spans="1:12" x14ac:dyDescent="0.25">
      <c r="B69" t="s">
        <v>292</v>
      </c>
      <c r="C69" s="2">
        <f>SUM('3D AUTO MODEL FSS'!$G$83:$G$87)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C69*$J69/'3D AUTO MODEL FSS'!$G$6</f>
        <v>0</v>
      </c>
      <c r="L69" s="247"/>
    </row>
    <row r="70" spans="1:12" x14ac:dyDescent="0.25">
      <c r="B70" t="s">
        <v>70</v>
      </c>
      <c r="C70" s="2">
        <f ca="1">SUM('3D AUTO MODEL FSS'!$M$83:$M$87)</f>
        <v>1462.6101201414224</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C70*$J70/'3D AUTO MODEL FSS'!$G$6</f>
        <v>1.4502478637091278</v>
      </c>
      <c r="L70" s="247"/>
    </row>
    <row r="71" spans="1:12" x14ac:dyDescent="0.25">
      <c r="F71" s="42"/>
      <c r="H71" s="42"/>
      <c r="I71" s="42"/>
      <c r="J71" s="42"/>
      <c r="L71" s="247"/>
    </row>
    <row r="72" spans="1:12" ht="13" x14ac:dyDescent="0.3">
      <c r="A72" s="1" t="s">
        <v>368</v>
      </c>
      <c r="F72" s="42"/>
      <c r="H72" s="42"/>
      <c r="I72" s="42"/>
      <c r="J72" s="42"/>
      <c r="L72" s="247"/>
    </row>
    <row r="73" spans="1:12" x14ac:dyDescent="0.25">
      <c r="B73" t="s">
        <v>366</v>
      </c>
      <c r="C73" s="2">
        <v>0</v>
      </c>
      <c r="D73" s="2">
        <v>0</v>
      </c>
      <c r="E73" s="38">
        <v>0</v>
      </c>
      <c r="F73" s="42">
        <v>0</v>
      </c>
      <c r="G73" s="42">
        <v>0</v>
      </c>
      <c r="H73" s="42">
        <v>0</v>
      </c>
      <c r="I73" s="42">
        <v>0</v>
      </c>
      <c r="J73" s="42">
        <v>0</v>
      </c>
      <c r="K73" s="42">
        <v>0</v>
      </c>
      <c r="L73" s="247"/>
    </row>
    <row r="74" spans="1:12" x14ac:dyDescent="0.25">
      <c r="B74" t="s">
        <v>244</v>
      </c>
      <c r="C74" s="2">
        <f ca="1">SUM('3D AUTO MODEL FSS'!$A$95:$A$99)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C74*$J74/'3D AUTO MODEL FSS'!$G$6</f>
        <v>0</v>
      </c>
      <c r="L74" s="247"/>
    </row>
    <row r="75" spans="1:12" x14ac:dyDescent="0.25">
      <c r="L75" s="247"/>
    </row>
    <row r="76" spans="1:12" x14ac:dyDescent="0.25">
      <c r="B76" s="155" t="s">
        <v>486</v>
      </c>
      <c r="C76" s="2">
        <f>SUM('3D AUTO MODEL FSS'!C64,'3D AUTO MODEL FSS'!I64)</f>
        <v>9674.5679608926876</v>
      </c>
      <c r="D76" s="2">
        <f>PRODUCTIVITIES!$C$49*'FY VOLUME AUTO'!C57</f>
        <v>2602.5752201414102</v>
      </c>
      <c r="E76" s="38">
        <f>'WAGE RATES'!$C$6</f>
        <v>50.10717457546064</v>
      </c>
      <c r="F76" s="42">
        <f t="shared" ref="F76:F77" si="0">E76*100/D76</f>
        <v>1.9252920794634354</v>
      </c>
      <c r="G76" s="42">
        <f>PIGGYBACKS!$B$13</f>
        <v>1.6305774272183733</v>
      </c>
      <c r="H76" s="42">
        <f>'WAGE RATES'!$C$9</f>
        <v>0.9752031228402912</v>
      </c>
      <c r="I76" s="42">
        <f t="shared" ref="I76:I77" si="1">(H76-1)*F76</f>
        <v>-4.7741231191015115E-2</v>
      </c>
      <c r="J76" s="42">
        <f t="shared" ref="J76:J77" si="2">F76*G76+I76</f>
        <v>3.0915965743843854</v>
      </c>
      <c r="K76" s="42">
        <f ca="1">C76*$J76/'5D AUTO MODEL'!$G$6</f>
        <v>2.9909861166544762</v>
      </c>
      <c r="L76" s="247"/>
    </row>
    <row r="77" spans="1:12" x14ac:dyDescent="0.25">
      <c r="B77" s="155" t="s">
        <v>491</v>
      </c>
      <c r="C77" s="2">
        <f ca="1">SUM(C31,C33,C34,C38,C40,C41,C45,C47,C48,C52,C54,C55,C59,C61,C62,C66,C68,C69)-C76</f>
        <v>10319.154677948864</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C77*$J77/'3D AUTO MODEL'!$G$6</f>
        <v>3.9394505321695639</v>
      </c>
      <c r="L77" s="247"/>
    </row>
    <row r="78" spans="1:12" ht="13" thickBot="1" x14ac:dyDescent="0.3">
      <c r="F78" s="42"/>
      <c r="H78" s="42"/>
      <c r="I78" s="42"/>
      <c r="J78" s="42"/>
      <c r="L78" s="247"/>
    </row>
    <row r="79" spans="1:12" ht="13.5" thickBot="1" x14ac:dyDescent="0.35">
      <c r="F79" s="42"/>
      <c r="H79" s="42"/>
      <c r="I79" s="42"/>
      <c r="J79" s="142" t="s">
        <v>78</v>
      </c>
      <c r="K79" s="143">
        <f ca="1">SUM(K11:K77)</f>
        <v>20.679133058571541</v>
      </c>
      <c r="L79" s="247"/>
    </row>
    <row r="80" spans="1:12" ht="13.5" thickBot="1" x14ac:dyDescent="0.35">
      <c r="J80" s="142" t="s">
        <v>485</v>
      </c>
      <c r="K80" s="143">
        <f ca="1">SUM(K31,K33,K34,K38,K40,K41,K45,K47,K48,K52,K54,K55,K59,K61,K62,K66,K68,K69,K76,K77)</f>
        <v>15.212747125294788</v>
      </c>
    </row>
    <row r="83" spans="1:8" ht="13" x14ac:dyDescent="0.3">
      <c r="A83" s="145" t="str">
        <f>"(1)"</f>
        <v>(1)</v>
      </c>
      <c r="B83" s="1" t="s">
        <v>408</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orientation="portrait" horizontalDpi="300" r:id="rId1"/>
  <ignoredErrors>
    <ignoredError sqref="E4" numberStoredAsText="1"/>
  </ignoredErrors>
</worksheet>
</file>

<file path=xl/worksheets/sheet3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6" width="10.7265625" style="20" customWidth="1"/>
    <col min="7" max="7" width="17"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'3D AUTO COST FSS'!A1</f>
        <v>3-DIGIT AUTO FSS</v>
      </c>
    </row>
    <row r="2" spans="1:30" ht="23" x14ac:dyDescent="0.5">
      <c r="A2" s="57" t="s">
        <v>84</v>
      </c>
    </row>
    <row r="6" spans="1:30" s="228" customFormat="1" ht="18" x14ac:dyDescent="0.4">
      <c r="A6" s="48" t="s">
        <v>85</v>
      </c>
      <c r="B6" s="226"/>
      <c r="C6" s="49">
        <f>SUM(C11:C16)+SUM(G11:G16)+SUM(K11:K16)+SUM(O11:O16)</f>
        <v>10000</v>
      </c>
      <c r="D6" s="227"/>
      <c r="E6" s="48" t="s">
        <v>86</v>
      </c>
      <c r="F6" s="226"/>
      <c r="G6" s="49">
        <f ca="1">D88+J88+O88+D100+D127</f>
        <v>10000.000000000015</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'ENTRY PROFILE'!K68</f>
        <v>104.07020976798884</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'ENTRY PROFILE'!O68+'ENTRY PROFILE'!O69</f>
        <v>163.24472324248092</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'ENTRY PROFILE'!L68+'ENTRY PROFILE'!P68+'ENTRY PROFILE'!P69+'ENTRY PROFILE'!S68+'ENTRY PROFILE'!S69+'ENTRY PROFILE'!S70+'ENTRY PROFILE'!T68+'ENTRY PROFILE'!T69+'ENTRY PROFILE'!T70</f>
        <v>9732.6850669895302</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4.9162852633406082</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6.4493649546376544</v>
      </c>
      <c r="B25" s="29">
        <f>C25*(1+'ACCEPT RATES'!F14)</f>
        <v>105.21045576213606</v>
      </c>
      <c r="C25" s="51">
        <f>C11*('COVERAGE FACTORS'!E14+'COVERAGE FACTORS'!E18)</f>
        <v>103.89031400794956</v>
      </c>
      <c r="E25" s="24" t="s">
        <v>70</v>
      </c>
      <c r="G25" s="217">
        <f>H25*(1-'ACCEPT RATES'!C19)</f>
        <v>0</v>
      </c>
      <c r="H25" s="29">
        <f>I25</f>
        <v>0</v>
      </c>
      <c r="I25" s="51">
        <f>C11*'COVERAGE FACTORS'!E16</f>
        <v>0</v>
      </c>
      <c r="J25" s="23"/>
      <c r="K25" s="23" t="s">
        <v>70</v>
      </c>
      <c r="L25"/>
      <c r="M25" s="29">
        <f>N25</f>
        <v>0.17989576003931199</v>
      </c>
      <c r="N25" s="51">
        <f>C11*'COVERAGE FACTORS'!E20</f>
        <v>0.17989576003931199</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4.9162852633406082</v>
      </c>
      <c r="N29" s="206">
        <f>D23+J23</f>
        <v>4.9162852633406082</v>
      </c>
      <c r="P29" s="20"/>
      <c r="Q29" s="109"/>
      <c r="S29" s="20"/>
      <c r="U29" s="20"/>
      <c r="Y29"/>
      <c r="Z29"/>
      <c r="AA29"/>
      <c r="AB29"/>
      <c r="AC29"/>
      <c r="AD29"/>
    </row>
    <row r="30" spans="1:30" ht="13" x14ac:dyDescent="0.3">
      <c r="A30" s="114"/>
      <c r="C30" s="98"/>
      <c r="D30" s="196">
        <f>(SUM(C25:C29)-D23)*'PIECE DENSITIES'!C6</f>
        <v>12.673649289041229</v>
      </c>
      <c r="E30" s="24" t="s">
        <v>290</v>
      </c>
      <c r="G30" s="114"/>
      <c r="I30" s="99"/>
      <c r="J30" s="201">
        <f>(SUM(I25:I29)-J23)*'PIECE DENSITIES'!C11</f>
        <v>0</v>
      </c>
      <c r="K30" s="24" t="s">
        <v>289</v>
      </c>
      <c r="L30"/>
      <c r="M30" s="20"/>
      <c r="O30" s="96">
        <f>SUM(N25:N29)*'PIECE DENSITIES'!C16</f>
        <v>0.45599470779926932</v>
      </c>
      <c r="P30" s="24" t="s">
        <v>120</v>
      </c>
      <c r="Q30" s="109"/>
      <c r="S30" s="20"/>
      <c r="U30" s="20"/>
      <c r="Y30"/>
      <c r="Z30"/>
      <c r="AA30"/>
      <c r="AB30"/>
      <c r="AC30"/>
      <c r="AD30"/>
    </row>
    <row r="31" spans="1:30" ht="13" x14ac:dyDescent="0.3">
      <c r="A31" s="114"/>
      <c r="C31" s="98"/>
      <c r="D31" s="196">
        <f>(SUM(C25:C29)-D23)*'PIECE DENSITIES'!D6</f>
        <v>51.299142760552655</v>
      </c>
      <c r="E31" s="24" t="s">
        <v>121</v>
      </c>
      <c r="G31" s="114"/>
      <c r="I31" s="99"/>
      <c r="J31" s="201">
        <f>(SUM(I25:I29)-J23)*'PIECE DENSITIES'!D11</f>
        <v>0</v>
      </c>
      <c r="K31" s="24" t="s">
        <v>122</v>
      </c>
      <c r="L31"/>
      <c r="M31" s="20"/>
      <c r="O31" s="96">
        <f>SUM(N25:N29)*'PIECE DENSITIES'!D16</f>
        <v>2.9591065184865877</v>
      </c>
      <c r="P31" s="24" t="s">
        <v>123</v>
      </c>
      <c r="Q31" s="109"/>
      <c r="S31" s="20"/>
      <c r="U31" s="20"/>
      <c r="Y31"/>
      <c r="Z31"/>
      <c r="AA31"/>
      <c r="AB31"/>
      <c r="AC31"/>
      <c r="AD31"/>
    </row>
    <row r="32" spans="1:30" ht="13" x14ac:dyDescent="0.3">
      <c r="A32" s="114"/>
      <c r="C32" s="89"/>
      <c r="D32" s="197">
        <f>(SUM(C25:C29)-D23)*'PIECE DENSITIES'!E6</f>
        <v>27.705181320886894</v>
      </c>
      <c r="E32" s="24" t="s">
        <v>124</v>
      </c>
      <c r="G32" s="114"/>
      <c r="I32" s="94"/>
      <c r="J32" s="202">
        <f>(SUM(I25:I29)-J23)*'PIECE DENSITIES'!E11</f>
        <v>0</v>
      </c>
      <c r="K32" s="24" t="s">
        <v>125</v>
      </c>
      <c r="L32"/>
      <c r="M32" s="20"/>
      <c r="N32" s="46"/>
      <c r="O32" s="97">
        <f>SUM(N25:N29)*'PIECE DENSITIES'!E16</f>
        <v>1.3036391221744015</v>
      </c>
      <c r="P32" s="24" t="s">
        <v>126</v>
      </c>
      <c r="Q32" s="109"/>
      <c r="S32" s="20"/>
      <c r="U32" s="20"/>
      <c r="Y32"/>
      <c r="Z32"/>
      <c r="AA32"/>
      <c r="AB32"/>
      <c r="AC32"/>
      <c r="AD32"/>
    </row>
    <row r="33" spans="1:30" ht="13" x14ac:dyDescent="0.3">
      <c r="A33" s="114"/>
      <c r="C33" s="89"/>
      <c r="D33" s="197">
        <f>(SUM(C25:C29)-D23)*'PIECE DENSITIES'!F6</f>
        <v>7.2960553741281728</v>
      </c>
      <c r="E33" s="24" t="s">
        <v>127</v>
      </c>
      <c r="G33" s="114"/>
      <c r="I33" s="94"/>
      <c r="J33" s="202">
        <f>(SUM(I25:I29)-J23)*'PIECE DENSITIES'!F11</f>
        <v>0</v>
      </c>
      <c r="K33" s="24" t="s">
        <v>128</v>
      </c>
      <c r="L33"/>
      <c r="M33" s="20"/>
      <c r="N33" s="46"/>
      <c r="O33" s="97">
        <f>SUM(N25:N29)*'PIECE DENSITIES'!F16</f>
        <v>0.37744067491966193</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1.2030770698167617</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0.79562173324113061</v>
      </c>
      <c r="B42" s="199">
        <f>C42*(1+'ACCEPT RATES'!F15+'PIECE DENSITIES'!C7)</f>
        <v>12.979219777036631</v>
      </c>
      <c r="C42" s="198">
        <f>D30</f>
        <v>12.673649289041229</v>
      </c>
      <c r="G42" s="205">
        <f>IF(SUM(C11:C16)&gt;0,H42*(1-'ACCEPT RATES'!C20),H42*(1-'ACCEPT RATES'!D20))</f>
        <v>0</v>
      </c>
      <c r="H42" s="204">
        <f>I42*(1+'PIECE DENSITIES'!C12)</f>
        <v>0</v>
      </c>
      <c r="I42" s="203">
        <f>J30</f>
        <v>0</v>
      </c>
      <c r="J42" s="58"/>
      <c r="L42"/>
      <c r="M42" s="102">
        <f>N42</f>
        <v>1.6590717776160311</v>
      </c>
      <c r="N42" s="101">
        <f>D36+J36+O30</f>
        <v>1.6590717776160311</v>
      </c>
      <c r="P42" s="20"/>
      <c r="Q42" s="109"/>
      <c r="S42" s="20"/>
      <c r="U42" s="20"/>
      <c r="Y42"/>
      <c r="Z42"/>
      <c r="AA42"/>
      <c r="AB42"/>
      <c r="AC42"/>
      <c r="AD42"/>
    </row>
    <row r="43" spans="1:30" ht="13" x14ac:dyDescent="0.3">
      <c r="A43" s="114"/>
      <c r="C43" s="98"/>
      <c r="D43" s="196">
        <f>(SUM(C38:C42)-D36)*'PIECE DENSITIES'!D7</f>
        <v>9.4723260457765814</v>
      </c>
      <c r="E43" s="24" t="s">
        <v>121</v>
      </c>
      <c r="G43" s="114"/>
      <c r="I43" s="99"/>
      <c r="J43" s="201">
        <f>(SUM(I38:I42)-J36)*'PIECE DENSITIES'!D12</f>
        <v>0</v>
      </c>
      <c r="K43" s="24" t="s">
        <v>122</v>
      </c>
      <c r="L43"/>
      <c r="M43" s="20"/>
      <c r="O43" s="96">
        <f>SUM(N38:N42)*'PIECE DENSITIES'!D17</f>
        <v>1.1743633668874771</v>
      </c>
      <c r="P43" s="24" t="s">
        <v>123</v>
      </c>
      <c r="Q43" s="109"/>
      <c r="S43" s="20"/>
      <c r="U43" s="20"/>
      <c r="Y43"/>
      <c r="Z43"/>
      <c r="AA43"/>
      <c r="AB43"/>
      <c r="AC43"/>
      <c r="AD43"/>
    </row>
    <row r="44" spans="1:30" ht="13" x14ac:dyDescent="0.3">
      <c r="A44" s="114"/>
      <c r="C44" s="98"/>
      <c r="D44" s="196">
        <f>(SUM(C38:C42)-D36)*'PIECE DENSITIES'!E7</f>
        <v>0.79164587322537472</v>
      </c>
      <c r="E44" s="24" t="s">
        <v>124</v>
      </c>
      <c r="G44" s="114"/>
      <c r="I44" s="99"/>
      <c r="J44" s="201">
        <f>(SUM(I38:I42)-J36)*'PIECE DENSITIES'!E12</f>
        <v>0</v>
      </c>
      <c r="K44" s="24" t="s">
        <v>125</v>
      </c>
      <c r="L44"/>
      <c r="M44" s="20"/>
      <c r="O44" s="96">
        <f>SUM(N38:N42)*'PIECE DENSITIES'!E17</f>
        <v>5.1484939708548796E-3</v>
      </c>
      <c r="P44" s="24" t="s">
        <v>126</v>
      </c>
      <c r="Q44" s="109"/>
      <c r="S44" s="20"/>
      <c r="U44" s="20"/>
      <c r="Y44"/>
      <c r="Z44"/>
      <c r="AA44"/>
      <c r="AB44"/>
      <c r="AC44"/>
      <c r="AD44"/>
    </row>
    <row r="45" spans="1:30" ht="13" x14ac:dyDescent="0.3">
      <c r="A45" s="114"/>
      <c r="C45" s="89"/>
      <c r="D45" s="197">
        <f>(SUM(C38:C42)-D36)*'PIECE DENSITIES'!F7</f>
        <v>8.4324732742923403E-2</v>
      </c>
      <c r="E45" s="24" t="s">
        <v>127</v>
      </c>
      <c r="G45" s="114"/>
      <c r="I45" s="94"/>
      <c r="J45" s="202">
        <f>(SUM(I38:I42)-J36)*'PIECE DENSITIES'!F12</f>
        <v>0</v>
      </c>
      <c r="K45" s="24" t="s">
        <v>128</v>
      </c>
      <c r="L45"/>
      <c r="M45" s="20"/>
      <c r="N45" s="46"/>
      <c r="O45" s="97">
        <f>SUM(N38:N42)*'PIECE DENSITIES'!F17</f>
        <v>3.2958469277992258E-2</v>
      </c>
      <c r="P45" s="24" t="s">
        <v>129</v>
      </c>
      <c r="Q45" s="109"/>
      <c r="S45" s="20"/>
      <c r="U45" s="20"/>
      <c r="Y45"/>
      <c r="Z45"/>
      <c r="AA45"/>
      <c r="AB45"/>
      <c r="AC45"/>
      <c r="AD45"/>
    </row>
    <row r="46" spans="1:30" ht="13" x14ac:dyDescent="0.3">
      <c r="A46" s="114"/>
      <c r="C46" s="89"/>
      <c r="D46" s="197">
        <f>(SUM(C38:C42)-D36)*'PIECE DENSITIES'!G7</f>
        <v>1.122275567479589</v>
      </c>
      <c r="E46" s="24" t="s">
        <v>130</v>
      </c>
      <c r="G46" s="114"/>
      <c r="I46" s="94"/>
      <c r="J46" s="202">
        <f>(SUM(I38:I42)-J36)*'PIECE DENSITIES'!G12</f>
        <v>0</v>
      </c>
      <c r="K46" s="24" t="s">
        <v>288</v>
      </c>
      <c r="L46"/>
      <c r="M46" s="20"/>
      <c r="N46" s="46"/>
      <c r="O46" s="97">
        <f>SUM(N38:N42)*'PIECE DENSITIES'!G17</f>
        <v>0.44660144747970698</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16.322852089092951</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10.054838698125936</v>
      </c>
      <c r="B53" s="29">
        <f>C53*(1+'ACCEPT RATES'!F16+'PIECE DENSITIES'!D8)</f>
        <v>164.02764760333326</v>
      </c>
      <c r="C53" s="51">
        <f>C13*('COVERAGE FACTORS'!E38+'COVERAGE FACTORS'!E42)</f>
        <v>162.26993459627153</v>
      </c>
      <c r="E53" s="24" t="s">
        <v>70</v>
      </c>
      <c r="G53" s="217">
        <f>H53*(1-'ACCEPT RATES'!C21)</f>
        <v>0</v>
      </c>
      <c r="H53" s="29">
        <f>I53*(1+'PIECE DENSITIES'!D13)</f>
        <v>0</v>
      </c>
      <c r="I53" s="51">
        <f>C13*'COVERAGE FACTORS'!E40</f>
        <v>0</v>
      </c>
      <c r="J53" s="113"/>
      <c r="K53" s="23" t="s">
        <v>70</v>
      </c>
      <c r="L53"/>
      <c r="M53" s="29">
        <f>N53</f>
        <v>0.97478864620960826</v>
      </c>
      <c r="N53" s="51">
        <f>C13*'COVERAGE FACTORS'!E44</f>
        <v>0.97478864620960826</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3.7431367100803201</v>
      </c>
      <c r="B57" s="199">
        <f>C57*(1+'ACCEPT RATES'!F16+'PIECE DENSITIES'!D8)</f>
        <v>61.0629297640141</v>
      </c>
      <c r="C57" s="198">
        <f>(D31+D43)*('COVERAGE FACTORS'!E38+'COVERAGE FACTORS'!E42)</f>
        <v>60.408582113092088</v>
      </c>
      <c r="G57" s="210">
        <f>IF(SUM(C11:C16)&gt;0,H57*(1-'ACCEPT RATES'!C21),H57*(1-'ACCEPT RATES'!D21))</f>
        <v>0</v>
      </c>
      <c r="H57" s="209">
        <f>I57*(1+'PIECE DENSITIES'!D13)</f>
        <v>0</v>
      </c>
      <c r="I57" s="208">
        <f>(D31+D43)*'COVERAGE FACTORS'!E40+(J31+J43)*('COVERAGE FACTORS'!E40+'COVERAGE FACTORS'!E42)</f>
        <v>0</v>
      </c>
      <c r="J57" s="58"/>
      <c r="L57"/>
      <c r="M57" s="102">
        <f>N57</f>
        <v>20.819208667704249</v>
      </c>
      <c r="N57" s="101">
        <f>D51+J51+O31+O43+(D31+D43)*'COVERAGE FACTORS'!E44+(J31+J43)*(1-('COVERAGE FACTORS'!E40+'COVERAGE FACTORS'!E42))</f>
        <v>20.819208667704249</v>
      </c>
      <c r="P57" s="20"/>
      <c r="Q57" s="109"/>
      <c r="S57" s="20"/>
      <c r="U57" s="20"/>
      <c r="Y57"/>
      <c r="Z57"/>
      <c r="AA57"/>
      <c r="AB57"/>
      <c r="AC57"/>
      <c r="AD57"/>
    </row>
    <row r="58" spans="1:30" ht="13" x14ac:dyDescent="0.3">
      <c r="A58" s="114"/>
      <c r="C58" s="98"/>
      <c r="D58" s="196">
        <f>(SUM(C53:C57)-D51)*'PIECE DENSITIES'!E8</f>
        <v>41.0525501115753</v>
      </c>
      <c r="E58" s="24" t="s">
        <v>124</v>
      </c>
      <c r="G58" s="114"/>
      <c r="I58" s="99"/>
      <c r="J58" s="201">
        <f>(SUM(I53:I57)-J51)*'PIECE DENSITIES'!E13</f>
        <v>0</v>
      </c>
      <c r="K58" s="24" t="s">
        <v>125</v>
      </c>
      <c r="L58"/>
      <c r="M58" s="20"/>
      <c r="O58" s="96">
        <f>SUM(N53:N57)*'PIECE DENSITIES'!E18</f>
        <v>5.7593660435091545</v>
      </c>
      <c r="P58" s="24" t="s">
        <v>126</v>
      </c>
      <c r="Q58" s="109"/>
      <c r="S58" s="20"/>
      <c r="U58" s="20"/>
      <c r="Y58"/>
      <c r="Z58"/>
      <c r="AA58"/>
      <c r="AB58"/>
      <c r="AC58"/>
      <c r="AD58"/>
    </row>
    <row r="59" spans="1:30" ht="13" x14ac:dyDescent="0.3">
      <c r="A59" s="114"/>
      <c r="C59" s="98"/>
      <c r="D59" s="196">
        <f>(SUM(C53:C57)-D51)*'PIECE DENSITIES'!F8</f>
        <v>13.328313178636593</v>
      </c>
      <c r="E59" s="24" t="s">
        <v>127</v>
      </c>
      <c r="G59" s="114"/>
      <c r="I59" s="99"/>
      <c r="J59" s="201">
        <f>(SUM(I53:I57)-J51)*'PIECE DENSITIES'!F13</f>
        <v>0</v>
      </c>
      <c r="K59" s="24" t="s">
        <v>128</v>
      </c>
      <c r="L59"/>
      <c r="M59" s="20"/>
      <c r="O59" s="96">
        <f>SUM(N53:N57)*'PIECE DENSITIES'!F18</f>
        <v>0.90394400053220858</v>
      </c>
      <c r="P59" s="24" t="s">
        <v>129</v>
      </c>
      <c r="Q59" s="109"/>
      <c r="S59" s="20"/>
      <c r="U59" s="20"/>
      <c r="Y59"/>
      <c r="Z59"/>
      <c r="AA59"/>
      <c r="AB59"/>
      <c r="AC59"/>
      <c r="AD59"/>
    </row>
    <row r="60" spans="1:30" ht="13" x14ac:dyDescent="0.3">
      <c r="A60" s="114"/>
      <c r="C60" s="89"/>
      <c r="D60" s="197">
        <f>(SUM(C53:C57)-D51)*'PIECE DENSITIES'!G8</f>
        <v>151.97480133005877</v>
      </c>
      <c r="E60" s="24" t="s">
        <v>130</v>
      </c>
      <c r="G60" s="114"/>
      <c r="I60" s="94"/>
      <c r="J60" s="202">
        <f>(SUM(I53:I57)-J51)*'PIECE DENSITIES'!G13</f>
        <v>0</v>
      </c>
      <c r="K60" s="24" t="s">
        <v>288</v>
      </c>
      <c r="L60"/>
      <c r="M60" s="20"/>
      <c r="N60" s="46"/>
      <c r="O60" s="97">
        <f>SUM(N53:N57)*'PIECE DENSITIES'!G18</f>
        <v>15.130687269872494</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512.15863113984085</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629.85759706583917</v>
      </c>
      <c r="B64" s="29">
        <f>C64*(1+'ACCEPT RATES'!F17+'PIECE DENSITIES'!E9)</f>
        <v>10275.058911790784</v>
      </c>
      <c r="C64" s="51">
        <f>C14*('COVERAGE FACTORS'!E38+'COVERAGE FACTORS'!E42)</f>
        <v>9674.5679608926876</v>
      </c>
      <c r="E64" s="24" t="s">
        <v>70</v>
      </c>
      <c r="G64" s="217">
        <f>H64*(1-'ACCEPT RATES'!C22)</f>
        <v>0</v>
      </c>
      <c r="H64" s="29">
        <f>I64*(1+'PIECE DENSITIES'!E14)</f>
        <v>0</v>
      </c>
      <c r="I64" s="51">
        <f>C14*'COVERAGE FACTORS'!E40</f>
        <v>0</v>
      </c>
      <c r="J64" s="113"/>
      <c r="K64" s="23" t="s">
        <v>70</v>
      </c>
      <c r="L64"/>
      <c r="M64" s="29">
        <f>N64</f>
        <v>58.117106096856219</v>
      </c>
      <c r="N64" s="51">
        <f>C14*'COVERAGE FACTORS'!E44</f>
        <v>58.117106096856219</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4.5009371376624348</v>
      </c>
      <c r="B68" s="211">
        <f>C68*(1+'ACCEPT RATES'!F17+'PIECE DENSITIES'!E9)</f>
        <v>73.425159056887992</v>
      </c>
      <c r="C68" s="212">
        <f>(D32+D44+D58)*('COVERAGE FACTORS'!E38+'COVERAGE FACTORS'!E42)</f>
        <v>69.134074795432383</v>
      </c>
      <c r="G68" s="205">
        <f>IF(SUM(C11:C16)&gt;0, H68*(1-'ACCEPT RATES'!C22),H68*(1-'ACCEPT RATES'!D22))</f>
        <v>0</v>
      </c>
      <c r="H68" s="204">
        <f>I68*(1+'PIECE DENSITIES'!E14)</f>
        <v>0</v>
      </c>
      <c r="I68" s="203">
        <f>(D32+D44+D58)*'COVERAGE FACTORS'!E40+(J32+J44+J58)*('COVERAGE FACTORS'!E40+'COVERAGE FACTORS'!E42)</f>
        <v>0</v>
      </c>
      <c r="J68" s="58"/>
      <c r="L68"/>
      <c r="M68" s="102">
        <f>N68</f>
        <v>519.64208730975065</v>
      </c>
      <c r="N68" s="101">
        <f>D62+J62+O32+O44+O58+(D32+D44+D58)*'COVERAGE FACTORS'!E44+(J32+J44+J58)*(1-('COVERAGE FACTORS'!E40+'COVERAGE FACTORS'!E42))</f>
        <v>519.64208730975065</v>
      </c>
      <c r="P68" s="20"/>
      <c r="Q68" s="109"/>
      <c r="S68" s="20"/>
      <c r="U68" s="20"/>
      <c r="Y68"/>
      <c r="Z68"/>
      <c r="AA68"/>
      <c r="AB68"/>
      <c r="AC68"/>
      <c r="AD68"/>
    </row>
    <row r="69" spans="1:30" ht="13" x14ac:dyDescent="0.3">
      <c r="A69" s="114"/>
      <c r="C69" s="98"/>
      <c r="D69" s="196">
        <f>(SUM(C64:C68)-D62)*'PIECE DENSITIES'!F9</f>
        <v>206.52782384569204</v>
      </c>
      <c r="E69" s="24" t="s">
        <v>127</v>
      </c>
      <c r="G69" s="114"/>
      <c r="I69" s="99"/>
      <c r="J69" s="201">
        <f>(SUM(I64:I68)-J62)*'PIECE DENSITIES'!F14</f>
        <v>0</v>
      </c>
      <c r="K69" s="24" t="s">
        <v>128</v>
      </c>
      <c r="L69"/>
      <c r="M69" s="20"/>
      <c r="O69" s="96">
        <f>SUM(N64:N68)*'PIECE DENSITIES'!F19</f>
        <v>14.945375461057406</v>
      </c>
      <c r="P69" s="24" t="s">
        <v>129</v>
      </c>
      <c r="Q69" s="109"/>
      <c r="S69" s="20"/>
      <c r="U69" s="20"/>
      <c r="Y69"/>
      <c r="Z69"/>
      <c r="AA69"/>
      <c r="AB69"/>
      <c r="AC69"/>
      <c r="AD69"/>
    </row>
    <row r="70" spans="1:30" ht="13" x14ac:dyDescent="0.3">
      <c r="A70" s="114"/>
      <c r="C70" s="98"/>
      <c r="D70" s="196">
        <f>(SUM(C64:C68)-D62)*'PIECE DENSITIES'!G9</f>
        <v>9025.0155807025876</v>
      </c>
      <c r="E70" s="24" t="s">
        <v>130</v>
      </c>
      <c r="G70" s="114"/>
      <c r="I70" s="99"/>
      <c r="J70" s="201">
        <f>(SUM(I64:I68)-J62)*'PIECE DENSITIES'!G14</f>
        <v>0</v>
      </c>
      <c r="K70" s="24" t="s">
        <v>288</v>
      </c>
      <c r="L70"/>
      <c r="M70" s="20"/>
      <c r="O70" s="96">
        <f>SUM(N64:N68)*'PIECE DENSITIES'!G19</f>
        <v>562.81381794554943</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11.287789873436541</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13.981031272623838</v>
      </c>
      <c r="B78" s="211">
        <f>C78*(1+'ACCEPT RATES'!F17)</f>
        <v>228.07682346456295</v>
      </c>
      <c r="C78" s="212">
        <f>(D33+D45+D59+D69)*('COVERAGE FACTORS'!E38+'COVERAGE FACTORS'!E42)</f>
        <v>225.87961215746506</v>
      </c>
      <c r="G78" s="205">
        <f>IF(SUM(C11:C16)&gt;0,H78*(1-'ACCEPT RATES'!C22),H78*(1-'ACCEPT RATES'!D22))</f>
        <v>0</v>
      </c>
      <c r="H78" s="204">
        <f>I78</f>
        <v>0</v>
      </c>
      <c r="I78" s="203">
        <f>(D33+D45+D59+D69)*'COVERAGE FACTORS'!E40+(J33+J45+J59+J69)*('COVERAGE FACTORS'!E40+'COVERAGE FACTORS'!E42)</f>
        <v>0</v>
      </c>
      <c r="J78" s="58"/>
      <c r="L78"/>
      <c r="M78" s="102">
        <f ca="1">N78</f>
        <v>28.904413452958764</v>
      </c>
      <c r="N78" s="294">
        <f ca="1">D72+J72+O33+O45+O59+O69+(D33+D45+D59+D69)*'COVERAGE FACTORS'!E44+(J33+J45+J59+J69)*(1-('COVERAGE FACTORS'!E40+'COVERAGE FACTORS'!E42))+D106</f>
        <v>28.904413452958764</v>
      </c>
      <c r="P78" s="20"/>
      <c r="Q78" s="109"/>
      <c r="S78" s="20"/>
      <c r="U78" s="20"/>
      <c r="Y78"/>
      <c r="Z78"/>
      <c r="AA78"/>
      <c r="AB78"/>
      <c r="AC78"/>
      <c r="AD78"/>
    </row>
    <row r="79" spans="1:30" ht="13" x14ac:dyDescent="0.3">
      <c r="A79" s="114"/>
      <c r="C79" s="98"/>
      <c r="D79" s="196">
        <f>SUM(C74:C78)-D72</f>
        <v>214.59182228402852</v>
      </c>
      <c r="E79" s="24" t="s">
        <v>130</v>
      </c>
      <c r="G79" s="114"/>
      <c r="I79" s="99"/>
      <c r="J79" s="201">
        <f>SUM(I74:I78)-J72</f>
        <v>0</v>
      </c>
      <c r="K79" s="24" t="s">
        <v>288</v>
      </c>
      <c r="L79"/>
      <c r="M79" s="20"/>
      <c r="O79" s="96">
        <f ca="1">SUM(N74:N78)</f>
        <v>28.904413452958764</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449.07705245121934</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556.22583203054796</v>
      </c>
      <c r="B87" s="211">
        <f>C87*(1+'ACCEPT RATES'!F17)</f>
        <v>9073.8814916227948</v>
      </c>
      <c r="C87" s="212">
        <f>(D34+D46+D60+D70+D79)*((1-'COVERAGE FACTORS'!B119))*'COVERAGE FACTORS'!E104</f>
        <v>8986.4669323098115</v>
      </c>
      <c r="G87" s="205">
        <v>0</v>
      </c>
      <c r="H87" s="204">
        <f>I87</f>
        <v>0</v>
      </c>
      <c r="I87" s="203">
        <f>+(J34+J46+J60+J70+J79)*'COVERAGE FACTORS'!E104</f>
        <v>0</v>
      </c>
      <c r="J87" s="213"/>
      <c r="L87"/>
      <c r="M87" s="102">
        <f ca="1">N87</f>
        <v>1462.6101201414224</v>
      </c>
      <c r="N87" s="294">
        <f ca="1">D81+J81+(O34+O46+O60+O70+O79)+(D34+D46+D60+D70+D79)*(1-'COVERAGE FACTORS'!E104)+(J34+J46+J60+J70+J79)*(1-'COVERAGE FACTORS'!E104)+D120</f>
        <v>1462.6101201414224</v>
      </c>
      <c r="P87" s="20"/>
      <c r="Q87" s="109"/>
      <c r="S87" s="20"/>
      <c r="U87" s="20"/>
      <c r="Y87"/>
      <c r="Z87"/>
      <c r="AA87"/>
      <c r="AB87"/>
      <c r="AC87"/>
      <c r="AD87"/>
    </row>
    <row r="88" spans="1:30" ht="13" x14ac:dyDescent="0.3">
      <c r="A88" s="114"/>
      <c r="C88" s="98"/>
      <c r="D88" s="103">
        <f>SUM(C83:C87)-D81</f>
        <v>8537.3898798585924</v>
      </c>
      <c r="E88" s="24"/>
      <c r="G88" s="218"/>
      <c r="H88" s="214"/>
      <c r="I88" s="214"/>
      <c r="J88" s="215">
        <f>SUM(I83:I87)-J81</f>
        <v>0</v>
      </c>
      <c r="K88" s="24"/>
      <c r="L88"/>
      <c r="M88" s="20"/>
      <c r="O88" s="216">
        <f ca="1">SUM(N83:N87)</f>
        <v>1462.6101201414224</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ageMargins left="0.7" right="0.7" top="0.75" bottom="0.75" header="0.3" footer="0.3"/>
  <pageSetup orientation="portrait" horizontalDpi="300" r:id="rId1"/>
  <drawing r:id="rId2"/>
</worksheet>
</file>

<file path=xl/worksheets/sheet3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2" ht="23" x14ac:dyDescent="0.5">
      <c r="A1" s="126" t="s">
        <v>549</v>
      </c>
    </row>
    <row r="2" spans="1:12" ht="18" x14ac:dyDescent="0.4">
      <c r="A2" s="5" t="s">
        <v>55</v>
      </c>
    </row>
    <row r="3" spans="1:12" s="7" customFormat="1" ht="12.75" customHeight="1" x14ac:dyDescent="0.3">
      <c r="A3" s="1"/>
      <c r="C3" s="134"/>
      <c r="D3" s="134"/>
      <c r="E3" s="135"/>
      <c r="F3" s="136"/>
      <c r="G3" s="137"/>
      <c r="H3" s="138"/>
      <c r="I3" s="138"/>
      <c r="J3" s="136"/>
    </row>
    <row r="4" spans="1:12"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2" s="7" customFormat="1" ht="12.75" customHeight="1" x14ac:dyDescent="0.3">
      <c r="A5" s="1"/>
      <c r="C5" s="134"/>
      <c r="D5" s="134"/>
      <c r="E5" s="135"/>
      <c r="F5" s="136"/>
      <c r="G5" s="137"/>
      <c r="H5" s="138"/>
      <c r="I5" s="138"/>
      <c r="J5" s="136"/>
      <c r="K5" s="1"/>
    </row>
    <row r="6" spans="1:12" ht="13" x14ac:dyDescent="0.3">
      <c r="D6" s="17" t="s">
        <v>251</v>
      </c>
      <c r="F6" s="139" t="s">
        <v>56</v>
      </c>
      <c r="H6" s="31" t="s">
        <v>57</v>
      </c>
      <c r="I6" s="31" t="s">
        <v>57</v>
      </c>
      <c r="J6" s="139" t="s">
        <v>3</v>
      </c>
      <c r="K6" s="139" t="s">
        <v>58</v>
      </c>
    </row>
    <row r="7" spans="1:12" ht="13" x14ac:dyDescent="0.3">
      <c r="C7" s="140"/>
      <c r="D7" s="17" t="s">
        <v>59</v>
      </c>
      <c r="E7" s="39" t="s">
        <v>60</v>
      </c>
      <c r="F7" s="139" t="s">
        <v>61</v>
      </c>
      <c r="G7" s="41" t="s">
        <v>62</v>
      </c>
      <c r="H7" s="31" t="s">
        <v>63</v>
      </c>
      <c r="I7" s="31" t="s">
        <v>63</v>
      </c>
      <c r="J7" s="139" t="s">
        <v>61</v>
      </c>
      <c r="K7" s="139" t="s">
        <v>61</v>
      </c>
    </row>
    <row r="8" spans="1:12" ht="13" x14ac:dyDescent="0.3">
      <c r="A8" s="36" t="s">
        <v>64</v>
      </c>
      <c r="C8" s="140" t="s">
        <v>7</v>
      </c>
      <c r="D8" s="140" t="s">
        <v>65</v>
      </c>
      <c r="E8" s="40" t="s">
        <v>66</v>
      </c>
      <c r="F8" s="141" t="s">
        <v>67</v>
      </c>
      <c r="G8" s="43" t="s">
        <v>68</v>
      </c>
      <c r="H8" s="37" t="s">
        <v>68</v>
      </c>
      <c r="I8" s="37" t="s">
        <v>69</v>
      </c>
      <c r="J8" s="141" t="s">
        <v>67</v>
      </c>
      <c r="K8" s="141" t="s">
        <v>67</v>
      </c>
    </row>
    <row r="9" spans="1:12" ht="13" x14ac:dyDescent="0.3">
      <c r="A9" s="36"/>
      <c r="C9" s="140"/>
      <c r="D9" s="140"/>
      <c r="E9" s="40"/>
      <c r="F9" s="141"/>
      <c r="G9" s="43"/>
      <c r="H9" s="37"/>
      <c r="I9" s="37"/>
      <c r="J9" s="141"/>
    </row>
    <row r="10" spans="1:12" ht="13" x14ac:dyDescent="0.3">
      <c r="A10" s="1" t="s">
        <v>252</v>
      </c>
      <c r="C10" s="140"/>
      <c r="D10" s="140"/>
      <c r="E10" s="40"/>
      <c r="F10" s="141"/>
      <c r="G10" s="43"/>
      <c r="H10" s="37"/>
      <c r="I10" s="37"/>
      <c r="J10" s="141"/>
    </row>
    <row r="11" spans="1:12" ht="13" x14ac:dyDescent="0.3">
      <c r="A11" s="36"/>
      <c r="B11" t="s">
        <v>234</v>
      </c>
      <c r="C11" s="151">
        <f>'BUNDLE SORT'!$I$72*('COVERAGE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C11*$J11/'3D AUTO MODEL NONFSS'!$G$6</f>
        <v>0</v>
      </c>
      <c r="L11" s="247"/>
    </row>
    <row r="12" spans="1:12" ht="13" x14ac:dyDescent="0.3">
      <c r="A12" s="36"/>
      <c r="B12" t="s">
        <v>529</v>
      </c>
      <c r="C12" s="151">
        <f>'BUNDLE SORT'!$I$72*('COVERAGE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C12*$J12/'3D AUTO MODEL NONFSS'!$G$6</f>
        <v>0</v>
      </c>
      <c r="L12" s="247"/>
    </row>
    <row r="13" spans="1:12" ht="13" x14ac:dyDescent="0.3">
      <c r="A13" s="36"/>
      <c r="B13" t="s">
        <v>70</v>
      </c>
      <c r="C13" s="151">
        <f>'BUNDLE SORT'!$J$72</f>
        <v>134.64226662876661</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C13*$J13/'3D AUTO MODEL NONFSS'!$G$6</f>
        <v>0.27309377554550973</v>
      </c>
      <c r="L13" s="247"/>
    </row>
    <row r="14" spans="1:12" ht="13" x14ac:dyDescent="0.3">
      <c r="A14" s="36"/>
      <c r="C14" s="151"/>
      <c r="D14" s="151"/>
      <c r="E14" s="135"/>
      <c r="F14" s="136"/>
      <c r="G14" s="137"/>
      <c r="H14" s="137"/>
      <c r="I14" s="138"/>
      <c r="J14" s="136"/>
      <c r="L14" s="247"/>
    </row>
    <row r="15" spans="1:12" ht="13" x14ac:dyDescent="0.3">
      <c r="A15" s="1" t="s">
        <v>253</v>
      </c>
      <c r="C15" s="151"/>
      <c r="D15" s="151"/>
      <c r="E15" s="135"/>
      <c r="F15" s="136"/>
      <c r="G15" s="137"/>
      <c r="H15" s="137"/>
      <c r="I15" s="138"/>
      <c r="J15" s="136"/>
      <c r="L15" s="247"/>
    </row>
    <row r="16" spans="1:12" s="7" customFormat="1" x14ac:dyDescent="0.25">
      <c r="B16" s="7" t="s">
        <v>234</v>
      </c>
      <c r="C16" s="151">
        <f>'BUNDLE SORT'!$M$72*('COVERAGE FACTORS'!$E$30/('COVERAGE FACTORS'!$E$30+'COVERAGE FACTORS'!$E$32))</f>
        <v>108.59487216204994</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C16*$J16/'3D AUTO MODEL NONFSS'!$G$6</f>
        <v>0.41011348422299226</v>
      </c>
      <c r="L16" s="247"/>
    </row>
    <row r="17" spans="1:12" ht="13" x14ac:dyDescent="0.3">
      <c r="A17" s="1"/>
      <c r="B17" t="s">
        <v>529</v>
      </c>
      <c r="C17" s="151">
        <f>'BUNDLE SORT'!$M$72*('COVERAGE FACTORS'!$E$32/('COVERAGE FACTORS'!$E$30+'COVERAGE FACTORS'!$E$32))</f>
        <v>131.27350209650331</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C17*$J17/'3D AUTO MODEL NONFSS'!$G$6</f>
        <v>0.57343523033928778</v>
      </c>
      <c r="L17" s="247"/>
    </row>
    <row r="18" spans="1:12" ht="13" x14ac:dyDescent="0.3">
      <c r="A18" s="1"/>
      <c r="B18" t="s">
        <v>70</v>
      </c>
      <c r="C18" s="151">
        <f>'BUNDLE SORT'!$N$72</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C18*$J18/'3D AUTO MODEL NONFSS'!$G$6</f>
        <v>0</v>
      </c>
      <c r="L18" s="247"/>
    </row>
    <row r="19" spans="1:12" ht="13" x14ac:dyDescent="0.3">
      <c r="A19" s="1"/>
      <c r="C19" s="151"/>
      <c r="D19" s="151"/>
      <c r="E19" s="135"/>
      <c r="F19" s="136"/>
      <c r="G19" s="137"/>
      <c r="H19" s="137"/>
      <c r="I19" s="138"/>
      <c r="J19" s="136"/>
      <c r="L19" s="247"/>
    </row>
    <row r="20" spans="1:12" ht="13" x14ac:dyDescent="0.3">
      <c r="A20" s="1" t="s">
        <v>254</v>
      </c>
      <c r="C20" s="151"/>
      <c r="D20" s="151"/>
      <c r="E20" s="135"/>
      <c r="F20" s="136"/>
      <c r="G20" s="137"/>
      <c r="H20" s="137"/>
      <c r="I20" s="138"/>
      <c r="J20" s="136"/>
      <c r="L20" s="247"/>
    </row>
    <row r="21" spans="1:12" ht="13" x14ac:dyDescent="0.3">
      <c r="A21" s="1"/>
      <c r="B21" t="s">
        <v>234</v>
      </c>
      <c r="C21" s="151">
        <f>'BUNDLE SORT'!$Q$72*('COVERAGE FACTORS'!$E$30/('COVERAGE FACTORS'!$E$30+'COVERAGE FACTORS'!$E$32))</f>
        <v>123.67518478021722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C21*$J21/'3D AUTO MODEL NONFSS'!$G$6</f>
        <v>0.46706497215125786</v>
      </c>
      <c r="L21" s="247"/>
    </row>
    <row r="22" spans="1:12" ht="13" x14ac:dyDescent="0.3">
      <c r="A22" s="1"/>
      <c r="B22" t="s">
        <v>529</v>
      </c>
      <c r="C22" s="151">
        <f>'BUNDLE SORT'!$Q$72*('COVERAGE FACTORS'!$E$32/('COVERAGE FACTORS'!$E$30+'COVERAGE FACTORS'!$E$32))</f>
        <v>149.5031423242923</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C22*$J22/'3D AUTO MODEL NONFSS'!$G$6</f>
        <v>0.65306682221485013</v>
      </c>
      <c r="L22" s="247"/>
    </row>
    <row r="23" spans="1:12" ht="13" x14ac:dyDescent="0.3">
      <c r="A23" s="1"/>
      <c r="B23" t="s">
        <v>70</v>
      </c>
      <c r="C23" s="151">
        <f>'BUNDLE SORT'!$R$72</f>
        <v>7.8781519203847417</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C23*$J23/'3D AUTO MODEL NONFSS'!$G$6</f>
        <v>1.5979189196145858E-2</v>
      </c>
      <c r="L23" s="247"/>
    </row>
    <row r="24" spans="1:12" ht="13" x14ac:dyDescent="0.3">
      <c r="A24" s="1"/>
      <c r="C24" s="151"/>
      <c r="D24" s="151"/>
      <c r="E24" s="135"/>
      <c r="F24" s="136"/>
      <c r="G24" s="137"/>
      <c r="H24" s="137"/>
      <c r="I24" s="138"/>
      <c r="J24" s="136"/>
      <c r="L24" s="247"/>
    </row>
    <row r="25" spans="1:12" ht="13" x14ac:dyDescent="0.3">
      <c r="A25" s="1" t="s">
        <v>255</v>
      </c>
      <c r="C25" s="151"/>
      <c r="D25" s="151"/>
      <c r="E25" s="135"/>
      <c r="F25" s="136"/>
      <c r="G25" s="137"/>
      <c r="H25" s="137"/>
      <c r="I25" s="138"/>
      <c r="J25" s="136"/>
      <c r="L25" s="247"/>
    </row>
    <row r="26" spans="1:12" ht="13" x14ac:dyDescent="0.3">
      <c r="A26" s="1"/>
      <c r="B26" t="s">
        <v>234</v>
      </c>
      <c r="C26" s="151">
        <f>'BUNDLE SORT'!$U$72*('COVERAGE FACTORS'!$E$30/('COVERAGE FACTORS'!$E$30+'COVERAGE FACTORS'!$E$32))</f>
        <v>0</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C26*$J26/'3D AUTO MODEL NONFSS'!$G$6</f>
        <v>0</v>
      </c>
      <c r="L26" s="247"/>
    </row>
    <row r="27" spans="1:12" ht="13" x14ac:dyDescent="0.3">
      <c r="A27" s="1"/>
      <c r="B27" t="s">
        <v>529</v>
      </c>
      <c r="C27" s="151">
        <f>'BUNDLE SORT'!$U$72*('COVERAGE FACTORS'!$E$32/('COVERAGE FACTORS'!$E$30+'COVERAGE FACTORS'!$E$32))</f>
        <v>0</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C27*$J27/'3D AUTO MODEL NONFSS'!$G$6</f>
        <v>0</v>
      </c>
      <c r="L27" s="247"/>
    </row>
    <row r="28" spans="1:12" ht="13" x14ac:dyDescent="0.3">
      <c r="A28" s="1"/>
      <c r="B28" t="s">
        <v>70</v>
      </c>
      <c r="C28" s="151">
        <f>'BUNDLE SORT'!$V$72</f>
        <v>0</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C28*$J28/'3D AUTO MODEL NONFSS'!$G$6</f>
        <v>0</v>
      </c>
      <c r="L28" s="247"/>
    </row>
    <row r="29" spans="1:12" ht="13" x14ac:dyDescent="0.3">
      <c r="A29" s="1"/>
      <c r="C29" s="149"/>
      <c r="D29" s="149"/>
      <c r="E29" s="135"/>
      <c r="F29" s="136"/>
      <c r="G29" s="137"/>
      <c r="H29" s="138"/>
      <c r="I29" s="138"/>
      <c r="J29" s="136"/>
      <c r="L29" s="247"/>
    </row>
    <row r="30" spans="1:12" ht="13" x14ac:dyDescent="0.3">
      <c r="A30" s="1" t="s">
        <v>71</v>
      </c>
      <c r="F30" s="42"/>
      <c r="H30" s="42"/>
      <c r="I30" s="42"/>
      <c r="J30" s="42"/>
      <c r="L30" s="247"/>
    </row>
    <row r="31" spans="1:12" ht="13" x14ac:dyDescent="0.3">
      <c r="A31" s="36"/>
      <c r="B31" t="s">
        <v>72</v>
      </c>
      <c r="C31" s="2">
        <f>SUM('3D AUTO MODEL NONFSS'!$B$25:$B$29)</f>
        <v>105.21045576213606</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C31*$J31/'3D AUTO MODEL NONFSS'!$G$6</f>
        <v>5.3832788124065771E-2</v>
      </c>
      <c r="L31" s="247"/>
    </row>
    <row r="32" spans="1:12" ht="13" x14ac:dyDescent="0.3">
      <c r="A32" s="36"/>
      <c r="B32" t="s">
        <v>244</v>
      </c>
      <c r="C32" s="2">
        <f>SUM('3D AUTO MODEL NONFSS'!$A$25:$A$29)</f>
        <v>6.4493649546376544</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C32*$J32/'3D AUTO MODEL NONFSS'!$G$6</f>
        <v>4.8632663278015964E-3</v>
      </c>
      <c r="L32" s="247"/>
    </row>
    <row r="33" spans="1:12" ht="13" x14ac:dyDescent="0.3">
      <c r="A33" s="36"/>
      <c r="B33" t="s">
        <v>291</v>
      </c>
      <c r="C33" s="2">
        <f>SUM('3D AUTO MODEL NONFSS'!$H$25:$H$29)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C33*$J33/'3D AUTO MODEL NONFSS'!$G$6</f>
        <v>0</v>
      </c>
      <c r="L33" s="247"/>
    </row>
    <row r="34" spans="1:12" x14ac:dyDescent="0.25">
      <c r="B34" t="s">
        <v>292</v>
      </c>
      <c r="C34" s="2">
        <f>SUM('3D AUTO MODEL NONFSS'!$G$25:$G$29)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C34*$J34/'3D AUTO MODEL NONFSS'!$G$6</f>
        <v>0</v>
      </c>
      <c r="L34" s="247"/>
    </row>
    <row r="35" spans="1:12" x14ac:dyDescent="0.25">
      <c r="B35" t="s">
        <v>70</v>
      </c>
      <c r="C35" s="2">
        <f>SUM('3D AUTO MODEL NONFSS'!$M$25:$M$29)</f>
        <v>5.0961810233799198</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C35*$J35/'3D AUTO MODEL NONFSS'!$G$6</f>
        <v>5.5063039023779976E-3</v>
      </c>
      <c r="L35" s="247"/>
    </row>
    <row r="36" spans="1:12" x14ac:dyDescent="0.25">
      <c r="F36" s="42"/>
      <c r="H36" s="42"/>
      <c r="I36" s="42"/>
      <c r="J36" s="42"/>
      <c r="L36" s="247"/>
    </row>
    <row r="37" spans="1:12" ht="13" x14ac:dyDescent="0.3">
      <c r="A37" s="1" t="s">
        <v>73</v>
      </c>
      <c r="F37" s="42"/>
      <c r="H37" s="42"/>
      <c r="I37" s="42"/>
      <c r="J37" s="42"/>
      <c r="L37" s="247"/>
    </row>
    <row r="38" spans="1:12" ht="13" x14ac:dyDescent="0.3">
      <c r="A38" s="36"/>
      <c r="B38" t="s">
        <v>72</v>
      </c>
      <c r="C38" s="2">
        <f>SUM('3D AUTO MODEL NONFSS'!$B$38:$B$42)</f>
        <v>12.979219777036631</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C38*$J38/'3D AUTO MODEL NONFSS'!$G$6</f>
        <v>4.6050645212101686E-3</v>
      </c>
      <c r="L38" s="247"/>
    </row>
    <row r="39" spans="1:12" ht="13" x14ac:dyDescent="0.3">
      <c r="A39" s="36"/>
      <c r="B39" t="s">
        <v>244</v>
      </c>
      <c r="C39" s="2">
        <f>SUM('3D AUTO MODEL NONFSS'!$A$38:$A$42)</f>
        <v>0.79562173324113061</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C39*$J39/'3D AUTO MODEL NONFSS'!$G$6</f>
        <v>5.9995370275275819E-4</v>
      </c>
      <c r="L39" s="247"/>
    </row>
    <row r="40" spans="1:12" x14ac:dyDescent="0.25">
      <c r="B40" t="s">
        <v>291</v>
      </c>
      <c r="C40" s="2">
        <f>SUM('3D AUTO MODEL NONFSS'!$H$38:$H$42)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C40*$J40/'3D AUTO MODEL NONFSS'!$G$6</f>
        <v>0</v>
      </c>
      <c r="L40" s="247"/>
    </row>
    <row r="41" spans="1:12" x14ac:dyDescent="0.25">
      <c r="B41" t="s">
        <v>292</v>
      </c>
      <c r="C41" s="2">
        <f>SUM('3D AUTO MODEL NONFSS'!$G$38:$G$42)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C41*$J41/'3D AUTO MODEL NONFSS'!$G$6</f>
        <v>0</v>
      </c>
      <c r="L41" s="247"/>
    </row>
    <row r="42" spans="1:12" x14ac:dyDescent="0.25">
      <c r="B42" t="s">
        <v>70</v>
      </c>
      <c r="C42" s="2">
        <f>SUM('3D AUTO MODEL NONFSS'!$M$38:$M$42)</f>
        <v>1.6590717776160311</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C42*$J42/'3D AUTO MODEL NONFSS'!$G$6</f>
        <v>2.2662639852137445E-3</v>
      </c>
      <c r="L42" s="247"/>
    </row>
    <row r="43" spans="1:12" x14ac:dyDescent="0.25">
      <c r="F43" s="42"/>
      <c r="H43" s="42"/>
      <c r="I43" s="42"/>
      <c r="J43" s="42"/>
      <c r="L43" s="247"/>
    </row>
    <row r="44" spans="1:12" ht="13" x14ac:dyDescent="0.3">
      <c r="A44" s="1" t="s">
        <v>74</v>
      </c>
      <c r="F44" s="42"/>
      <c r="H44" s="42"/>
      <c r="I44" s="42"/>
      <c r="J44" s="42"/>
      <c r="L44" s="247"/>
    </row>
    <row r="45" spans="1:12" ht="13" x14ac:dyDescent="0.3">
      <c r="A45" s="36"/>
      <c r="B45" t="s">
        <v>72</v>
      </c>
      <c r="C45" s="2">
        <f>SUM('3D AUTO MODEL NONFSS'!$B$53:$B$57)</f>
        <v>225.09057736734735</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C45*$J45/'3D AUTO MODEL NONFSS'!$G$6</f>
        <v>0.1151387473327742</v>
      </c>
      <c r="L45" s="247"/>
    </row>
    <row r="46" spans="1:12" ht="13" x14ac:dyDescent="0.3">
      <c r="A46" s="36"/>
      <c r="B46" t="s">
        <v>244</v>
      </c>
      <c r="C46" s="2">
        <f>SUM('3D AUTO MODEL NONFSS'!$A$53:$A$57)</f>
        <v>13.797975408206256</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C46*$J46/'3D AUTO MODEL NONFSS'!$G$6</f>
        <v>1.0404625830068882E-2</v>
      </c>
      <c r="L46" s="247"/>
    </row>
    <row r="47" spans="1:12" x14ac:dyDescent="0.25">
      <c r="B47" t="s">
        <v>291</v>
      </c>
      <c r="C47" s="2">
        <f>SUM('3D AUTO MODEL NONFSS'!$H$53:$H$57)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C47*$J47/'3D AUTO MODEL NONFSS'!$G$6</f>
        <v>0</v>
      </c>
      <c r="L47" s="247"/>
    </row>
    <row r="48" spans="1:12" x14ac:dyDescent="0.25">
      <c r="B48" t="s">
        <v>292</v>
      </c>
      <c r="C48" s="2">
        <f>SUM('3D AUTO MODEL NONFSS'!$G$53:$G$57)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C48*$J48/'3D AUTO MODEL NONFSS'!$G$6</f>
        <v>0</v>
      </c>
      <c r="L48" s="247"/>
    </row>
    <row r="49" spans="1:12" x14ac:dyDescent="0.25">
      <c r="B49" t="s">
        <v>70</v>
      </c>
      <c r="C49" s="2">
        <f>SUM('3D AUTO MODEL NONFSS'!$M$53:$M$57)</f>
        <v>21.793997313913856</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C49*$J49/'3D AUTO MODEL NONFSS'!$G$6</f>
        <v>2.1077451097546083E-2</v>
      </c>
      <c r="L49" s="247"/>
    </row>
    <row r="50" spans="1:12" x14ac:dyDescent="0.25">
      <c r="F50" s="42"/>
      <c r="H50" s="42"/>
      <c r="I50" s="42"/>
      <c r="J50" s="42"/>
      <c r="L50" s="247"/>
    </row>
    <row r="51" spans="1:12" ht="13" x14ac:dyDescent="0.3">
      <c r="A51" s="1" t="s">
        <v>75</v>
      </c>
      <c r="F51" s="42"/>
      <c r="H51" s="42"/>
      <c r="I51" s="42"/>
      <c r="J51" s="42"/>
      <c r="L51" s="247"/>
    </row>
    <row r="52" spans="1:12" ht="13" x14ac:dyDescent="0.3">
      <c r="A52" s="36"/>
      <c r="B52" t="s">
        <v>72</v>
      </c>
      <c r="C52" s="2">
        <f>SUM('3D AUTO MODEL NONFSS'!$B$64:$B$68)</f>
        <v>10348.484070847671</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C52*$J52/'3D AUTO MODEL NONFSS'!$G$6</f>
        <v>4.0155820757661775</v>
      </c>
      <c r="L52" s="247"/>
    </row>
    <row r="53" spans="1:12" ht="13" x14ac:dyDescent="0.3">
      <c r="A53" s="36"/>
      <c r="B53" t="s">
        <v>244</v>
      </c>
      <c r="C53" s="2">
        <f>SUM('3D AUTO MODEL NONFSS'!$A$64:$A$68)</f>
        <v>634.35853420350156</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C53*$J53/'3D AUTO MODEL NONFSS'!$G$6</f>
        <v>0.47835011987142145</v>
      </c>
      <c r="L53" s="247"/>
    </row>
    <row r="54" spans="1:12" x14ac:dyDescent="0.25">
      <c r="B54" t="s">
        <v>291</v>
      </c>
      <c r="C54" s="2">
        <f>SUM('3D AUTO MODEL NONFSS'!$H$64:$H$68)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C54*$J54/'3D AUTO MODEL NONFSS'!$G$6</f>
        <v>0</v>
      </c>
      <c r="L54" s="247"/>
    </row>
    <row r="55" spans="1:12" x14ac:dyDescent="0.25">
      <c r="B55" t="s">
        <v>292</v>
      </c>
      <c r="C55" s="2">
        <f>SUM('3D AUTO MODEL NONFSS'!$G$64:$G$68)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C55*$J55/'3D AUTO MODEL NONFSS'!$G$6</f>
        <v>0</v>
      </c>
      <c r="L55" s="247"/>
    </row>
    <row r="56" spans="1:12" x14ac:dyDescent="0.25">
      <c r="B56" t="s">
        <v>70</v>
      </c>
      <c r="C56" s="2">
        <f>SUM('3D AUTO MODEL NONFSS'!$M$64:$M$68)</f>
        <v>577.75919340660687</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C56*$J56/'3D AUTO MODEL NONFSS'!$G$6</f>
        <v>0.64462992401260422</v>
      </c>
      <c r="L56" s="247"/>
    </row>
    <row r="57" spans="1:12" x14ac:dyDescent="0.25">
      <c r="F57" s="42"/>
      <c r="H57" s="42"/>
      <c r="I57" s="42"/>
      <c r="J57" s="42"/>
      <c r="L57" s="247"/>
    </row>
    <row r="58" spans="1:12" ht="13" x14ac:dyDescent="0.3">
      <c r="A58" s="1" t="s">
        <v>76</v>
      </c>
      <c r="F58" s="42"/>
      <c r="H58" s="42"/>
      <c r="I58" s="42"/>
      <c r="J58" s="42"/>
      <c r="L58" s="247"/>
    </row>
    <row r="59" spans="1:12" ht="13" x14ac:dyDescent="0.3">
      <c r="A59" s="36"/>
      <c r="B59" t="s">
        <v>72</v>
      </c>
      <c r="C59" s="2">
        <f>SUM('3D AUTO MODEL NONFSS'!$B$74:$B$78)+SUM('3D AUTO MODEL NONFSS'!$B$108:$B$112)</f>
        <v>228.07682346456295</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C59*$J59/'3D AUTO MODEL NONFSS'!$G$6</f>
        <v>0.16423004463393048</v>
      </c>
      <c r="L59" s="247"/>
    </row>
    <row r="60" spans="1:12" ht="13" x14ac:dyDescent="0.3">
      <c r="A60" s="36"/>
      <c r="B60" t="s">
        <v>244</v>
      </c>
      <c r="C60" s="2">
        <f>SUM('3D AUTO MODEL NONFSS'!$A$74:$A$78)+SUM('3D AUTO MODEL NONFSS'!$A$108:$A$112)</f>
        <v>13.981031272623838</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C60*$J60/'3D AUTO MODEL NONFSS'!$G$6</f>
        <v>1.0542662586833357E-2</v>
      </c>
      <c r="L60" s="247"/>
    </row>
    <row r="61" spans="1:12" x14ac:dyDescent="0.25">
      <c r="B61" t="s">
        <v>291</v>
      </c>
      <c r="C61" s="2">
        <f>SUM('3D AUTO MODEL NONFSS'!$H$74:$H$78)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C61*$J61/'3D AUTO MODEL NONFSS'!$G$6</f>
        <v>0</v>
      </c>
      <c r="L61" s="247"/>
    </row>
    <row r="62" spans="1:12" x14ac:dyDescent="0.25">
      <c r="B62" t="s">
        <v>292</v>
      </c>
      <c r="C62" s="2">
        <f>SUM('3D AUTO MODEL NONFSS'!$G$74:$G$78)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C62*$J62/'3D AUTO MODEL NONFSS'!$G$6</f>
        <v>0</v>
      </c>
      <c r="L62" s="247"/>
    </row>
    <row r="63" spans="1:12" x14ac:dyDescent="0.25">
      <c r="B63" t="s">
        <v>70</v>
      </c>
      <c r="C63" s="2">
        <f>SUM('3D AUTO MODEL NONFSS'!$M$74:$M$78)</f>
        <v>28.904413452958764</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C63*$J63/'3D AUTO MODEL NONFSS'!$G$6</f>
        <v>2.5711355071009221E-2</v>
      </c>
      <c r="L63" s="247"/>
    </row>
    <row r="64" spans="1:12" ht="13" x14ac:dyDescent="0.3">
      <c r="A64" s="36"/>
      <c r="F64" s="42"/>
      <c r="H64" s="42"/>
      <c r="I64" s="42"/>
      <c r="J64" s="42"/>
      <c r="L64" s="247"/>
    </row>
    <row r="65" spans="1:12" ht="13" x14ac:dyDescent="0.3">
      <c r="A65" s="1" t="s">
        <v>77</v>
      </c>
      <c r="F65" s="42"/>
      <c r="H65" s="42"/>
      <c r="I65" s="42"/>
      <c r="J65" s="42"/>
      <c r="L65" s="247"/>
    </row>
    <row r="66" spans="1:12" ht="13" x14ac:dyDescent="0.3">
      <c r="A66" s="36"/>
      <c r="B66" t="s">
        <v>72</v>
      </c>
      <c r="C66" s="2">
        <f>SUM('3D AUTO MODEL NONFSS'!$B$83:$B$87)+SUM('3D AUTO MODEL NONFSS'!$B$122:$B$126)</f>
        <v>9019.6983212305313</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C66*$J66/'3D AUTO MODEL NONFSS'!$G$6</f>
        <v>3.9054608549154302</v>
      </c>
      <c r="L66" s="247"/>
    </row>
    <row r="67" spans="1:12" ht="13" x14ac:dyDescent="0.3">
      <c r="A67" s="36"/>
      <c r="B67" t="s">
        <v>244</v>
      </c>
      <c r="C67" s="2">
        <f>SUM('3D AUTO MODEL NONFSS'!$A$83:$A$87)+SUM('3D AUTO MODEL NONFSS'!$A$122:$A$126)</f>
        <v>552.90442221697333</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C67*$J67/'3D AUTO MODEL NONFSS'!$G$6</f>
        <v>0.41692809725813934</v>
      </c>
      <c r="L67" s="247"/>
    </row>
    <row r="68" spans="1:12" x14ac:dyDescent="0.25">
      <c r="B68" t="s">
        <v>291</v>
      </c>
      <c r="C68" s="2">
        <f>SUM('3D AUTO MODEL NONFSS'!$H$83:$H$87)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C68*$J68/'3D AUTO MODEL NONFSS'!$G$6</f>
        <v>0</v>
      </c>
      <c r="L68" s="247"/>
    </row>
    <row r="69" spans="1:12" x14ac:dyDescent="0.25">
      <c r="B69" t="s">
        <v>292</v>
      </c>
      <c r="C69" s="2">
        <f>SUM('3D AUTO MODEL NONFSS'!$G$83:$G$87)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C69*$J69/'3D AUTO MODEL NONFSS'!$G$6</f>
        <v>0</v>
      </c>
      <c r="L69" s="247"/>
    </row>
    <row r="70" spans="1:12" x14ac:dyDescent="0.25">
      <c r="B70" t="s">
        <v>70</v>
      </c>
      <c r="C70" s="2">
        <f>SUM('3D AUTO MODEL NONFSS'!$M$83:$M$87)</f>
        <v>1513.5897203260447</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C70*$J70/'3D AUTO MODEL NONFSS'!$G$6</f>
        <v>1.5007965747035144</v>
      </c>
      <c r="L70" s="247"/>
    </row>
    <row r="71" spans="1:12" x14ac:dyDescent="0.25">
      <c r="F71" s="42"/>
      <c r="H71" s="42"/>
      <c r="I71" s="42"/>
      <c r="J71" s="42"/>
      <c r="L71" s="247"/>
    </row>
    <row r="72" spans="1:12" ht="13" x14ac:dyDescent="0.3">
      <c r="A72" s="1" t="s">
        <v>368</v>
      </c>
      <c r="F72" s="42"/>
      <c r="H72" s="42"/>
      <c r="I72" s="42"/>
      <c r="J72" s="42"/>
      <c r="L72" s="247"/>
    </row>
    <row r="73" spans="1:12" x14ac:dyDescent="0.25">
      <c r="B73" t="s">
        <v>366</v>
      </c>
      <c r="C73" s="2">
        <v>0</v>
      </c>
      <c r="D73" s="2">
        <v>0</v>
      </c>
      <c r="E73" s="38">
        <v>0</v>
      </c>
      <c r="F73" s="42">
        <v>0</v>
      </c>
      <c r="G73" s="42">
        <v>0</v>
      </c>
      <c r="H73" s="42">
        <v>0</v>
      </c>
      <c r="I73" s="42">
        <v>0</v>
      </c>
      <c r="J73" s="42">
        <v>0</v>
      </c>
      <c r="K73" s="42">
        <v>0</v>
      </c>
      <c r="L73" s="247"/>
    </row>
    <row r="74" spans="1:12" x14ac:dyDescent="0.25">
      <c r="B74" t="s">
        <v>244</v>
      </c>
      <c r="C74" s="2">
        <f>SUM('3D AUTO MODEL NONFSS'!$A$95:$A$99)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C74*$J74/'3D AUTO MODEL NONFSS'!$G$6</f>
        <v>0</v>
      </c>
      <c r="L74" s="247"/>
    </row>
    <row r="75" spans="1:12" x14ac:dyDescent="0.25">
      <c r="L75" s="247"/>
    </row>
    <row r="76" spans="1:12" x14ac:dyDescent="0.25">
      <c r="B76" s="155" t="s">
        <v>486</v>
      </c>
      <c r="C76" s="2">
        <f>SUM('3D AUTO MODEL NONFSS'!C64,'3D AUTO MODEL NONFSS'!I64)</f>
        <v>9674.5679608926876</v>
      </c>
      <c r="D76" s="2">
        <f>PRODUCTIVITIES!$C$49*'FY VOLUME AUTO'!C57</f>
        <v>2602.5752201414102</v>
      </c>
      <c r="E76" s="38">
        <f>'WAGE RATES'!$C$6</f>
        <v>50.10717457546064</v>
      </c>
      <c r="F76" s="42">
        <f t="shared" ref="F76:F77" si="0">E76*100/D76</f>
        <v>1.9252920794634354</v>
      </c>
      <c r="G76" s="42">
        <f>PIGGYBACKS!$B$13</f>
        <v>1.6305774272183733</v>
      </c>
      <c r="H76" s="42">
        <f>'WAGE RATES'!$C$9</f>
        <v>0.9752031228402912</v>
      </c>
      <c r="I76" s="42">
        <f t="shared" ref="I76:I77" si="1">(H76-1)*F76</f>
        <v>-4.7741231191015115E-2</v>
      </c>
      <c r="J76" s="42">
        <f t="shared" ref="J76:J77" si="2">F76*G76+I76</f>
        <v>3.0915965743843854</v>
      </c>
      <c r="K76" s="42">
        <f>C76*$J76/'3D AUTO MODEL NONFSS'!$G$6</f>
        <v>2.9909861166544718</v>
      </c>
      <c r="L76" s="247"/>
    </row>
    <row r="77" spans="1:12" x14ac:dyDescent="0.25">
      <c r="B77" s="155" t="s">
        <v>491</v>
      </c>
      <c r="C77" s="2">
        <f>SUM(C31,C33,C34,C38,C40,C41,C45,C47,C48,C52,C54,C55,C59,C61,C62,C66,C68,C69)-C76</f>
        <v>10264.971507556598</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C77*$J77/'3D AUTO MODEL NONFSS'!$G$6</f>
        <v>3.9187655123110496</v>
      </c>
      <c r="L77" s="247"/>
    </row>
    <row r="78" spans="1:12" ht="13" thickBot="1" x14ac:dyDescent="0.3">
      <c r="F78" s="42"/>
      <c r="H78" s="42"/>
      <c r="I78" s="42"/>
      <c r="J78" s="42"/>
      <c r="L78" s="247"/>
    </row>
    <row r="79" spans="1:12" ht="13.5" thickBot="1" x14ac:dyDescent="0.35">
      <c r="F79" s="42"/>
      <c r="H79" s="42"/>
      <c r="I79" s="42"/>
      <c r="J79" s="142" t="s">
        <v>78</v>
      </c>
      <c r="K79" s="143">
        <f>SUM(K11:K77)</f>
        <v>20.683031276278438</v>
      </c>
      <c r="L79" s="247"/>
    </row>
    <row r="80" spans="1:12" ht="13.5" thickBot="1" x14ac:dyDescent="0.35">
      <c r="J80" s="142" t="s">
        <v>485</v>
      </c>
      <c r="K80" s="143">
        <f>SUM(K31,K33,K34,K38,K40,K41,K45,K47,K48,K52,K54,K55,K59,K61,K62,K66,K68,K69,K76,K77)</f>
        <v>15.16860120425911</v>
      </c>
    </row>
    <row r="83" spans="1:8" ht="13" x14ac:dyDescent="0.3">
      <c r="A83" s="145" t="str">
        <f>"(1)"</f>
        <v>(1)</v>
      </c>
      <c r="B83" s="1" t="s">
        <v>408</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orientation="portrait" horizontalDpi="300" r:id="rId1"/>
  <ignoredErrors>
    <ignoredError sqref="E4" numberStoredAsText="1"/>
  </ignoredErrors>
</worksheet>
</file>

<file path=xl/worksheets/sheet3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6" width="10.7265625" style="20" customWidth="1"/>
    <col min="7" max="7" width="17"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'3D AUTO COST'!A1</f>
        <v>3-DIGIT AUTO PRESORT</v>
      </c>
    </row>
    <row r="2" spans="1:30" ht="23" x14ac:dyDescent="0.5">
      <c r="A2" s="57" t="s">
        <v>84</v>
      </c>
    </row>
    <row r="6" spans="1:30" s="228" customFormat="1" ht="18" x14ac:dyDescent="0.4">
      <c r="A6" s="48" t="s">
        <v>85</v>
      </c>
      <c r="B6" s="226"/>
      <c r="C6" s="49">
        <f>SUM(C11:C16)+SUM(G11:G16)+SUM(K11:K16)+SUM(O11:O16)</f>
        <v>10000</v>
      </c>
      <c r="D6" s="227"/>
      <c r="E6" s="48" t="s">
        <v>86</v>
      </c>
      <c r="F6" s="226"/>
      <c r="G6" s="49">
        <f>D88+J88+O88+D100+D127</f>
        <v>10000.000000000015</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'ENTRY PROFILE'!K68</f>
        <v>104.07020976798884</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'ENTRY PROFILE'!O68+'ENTRY PROFILE'!O69</f>
        <v>163.24472324248092</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'ENTRY PROFILE'!L68+'ENTRY PROFILE'!P68+'ENTRY PROFILE'!P69+'ENTRY PROFILE'!S68+'ENTRY PROFILE'!S69+'ENTRY PROFILE'!S70+'ENTRY PROFILE'!T68+'ENTRY PROFILE'!T69+'ENTRY PROFILE'!T70</f>
        <v>9732.6850669895302</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0</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4.9162852633406082</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6.4493649546376544</v>
      </c>
      <c r="B25" s="29">
        <f>C25*(1+'ACCEPT RATES'!F14)</f>
        <v>105.21045576213606</v>
      </c>
      <c r="C25" s="51">
        <f>C11*('COVERAGE FACTORS'!E14+'COVERAGE FACTORS'!E18)</f>
        <v>103.89031400794956</v>
      </c>
      <c r="E25" s="24" t="s">
        <v>70</v>
      </c>
      <c r="G25" s="217">
        <f>H25*(1-'ACCEPT RATES'!C19)</f>
        <v>0</v>
      </c>
      <c r="H25" s="29">
        <f>I25</f>
        <v>0</v>
      </c>
      <c r="I25" s="51">
        <f>C11*'COVERAGE FACTORS'!E16</f>
        <v>0</v>
      </c>
      <c r="J25" s="23"/>
      <c r="K25" s="23" t="s">
        <v>70</v>
      </c>
      <c r="L25"/>
      <c r="M25" s="29">
        <f>N25</f>
        <v>0.17989576003931199</v>
      </c>
      <c r="N25" s="51">
        <f>C11*'COVERAGE FACTORS'!E20</f>
        <v>0.17989576003931199</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4.9162852633406082</v>
      </c>
      <c r="N29" s="206">
        <f>D23+J23</f>
        <v>4.9162852633406082</v>
      </c>
      <c r="P29" s="20"/>
      <c r="Q29" s="109"/>
      <c r="S29" s="20"/>
      <c r="U29" s="20"/>
      <c r="Y29"/>
      <c r="Z29"/>
      <c r="AA29"/>
      <c r="AB29"/>
      <c r="AC29"/>
      <c r="AD29"/>
    </row>
    <row r="30" spans="1:30" ht="13" x14ac:dyDescent="0.3">
      <c r="A30" s="114"/>
      <c r="C30" s="98"/>
      <c r="D30" s="196">
        <f>(SUM(C25:C29)-D23)*'PIECE DENSITIES'!C6</f>
        <v>12.673649289041229</v>
      </c>
      <c r="E30" s="24" t="s">
        <v>290</v>
      </c>
      <c r="G30" s="114"/>
      <c r="I30" s="99"/>
      <c r="J30" s="201">
        <f>(SUM(I25:I29)-J23)*'PIECE DENSITIES'!C11</f>
        <v>0</v>
      </c>
      <c r="K30" s="24" t="s">
        <v>289</v>
      </c>
      <c r="L30"/>
      <c r="M30" s="20"/>
      <c r="O30" s="96">
        <f>SUM(N25:N29)*'PIECE DENSITIES'!C16</f>
        <v>0.45599470779926932</v>
      </c>
      <c r="P30" s="24" t="s">
        <v>120</v>
      </c>
      <c r="Q30" s="109"/>
      <c r="S30" s="20"/>
      <c r="U30" s="20"/>
      <c r="Y30"/>
      <c r="Z30"/>
      <c r="AA30"/>
      <c r="AB30"/>
      <c r="AC30"/>
      <c r="AD30"/>
    </row>
    <row r="31" spans="1:30" ht="13" x14ac:dyDescent="0.3">
      <c r="A31" s="114"/>
      <c r="C31" s="98"/>
      <c r="D31" s="196">
        <f>(SUM(C25:C29)-D23)*'PIECE DENSITIES'!D6</f>
        <v>51.299142760552655</v>
      </c>
      <c r="E31" s="24" t="s">
        <v>121</v>
      </c>
      <c r="G31" s="114"/>
      <c r="I31" s="99"/>
      <c r="J31" s="201">
        <f>(SUM(I25:I29)-J23)*'PIECE DENSITIES'!D11</f>
        <v>0</v>
      </c>
      <c r="K31" s="24" t="s">
        <v>122</v>
      </c>
      <c r="L31"/>
      <c r="M31" s="20"/>
      <c r="O31" s="96">
        <f>SUM(N25:N29)*'PIECE DENSITIES'!D16</f>
        <v>2.9591065184865877</v>
      </c>
      <c r="P31" s="24" t="s">
        <v>123</v>
      </c>
      <c r="Q31" s="109"/>
      <c r="S31" s="20"/>
      <c r="U31" s="20"/>
      <c r="Y31"/>
      <c r="Z31"/>
      <c r="AA31"/>
      <c r="AB31"/>
      <c r="AC31"/>
      <c r="AD31"/>
    </row>
    <row r="32" spans="1:30" ht="13" x14ac:dyDescent="0.3">
      <c r="A32" s="114"/>
      <c r="C32" s="89"/>
      <c r="D32" s="197">
        <f>(SUM(C25:C29)-D23)*'PIECE DENSITIES'!E6</f>
        <v>27.705181320886894</v>
      </c>
      <c r="E32" s="24" t="s">
        <v>124</v>
      </c>
      <c r="G32" s="114"/>
      <c r="I32" s="94"/>
      <c r="J32" s="202">
        <f>(SUM(I25:I29)-J23)*'PIECE DENSITIES'!E11</f>
        <v>0</v>
      </c>
      <c r="K32" s="24" t="s">
        <v>125</v>
      </c>
      <c r="L32"/>
      <c r="M32" s="20"/>
      <c r="N32" s="46"/>
      <c r="O32" s="97">
        <f>SUM(N25:N29)*'PIECE DENSITIES'!E16</f>
        <v>1.3036391221744015</v>
      </c>
      <c r="P32" s="24" t="s">
        <v>126</v>
      </c>
      <c r="Q32" s="109"/>
      <c r="S32" s="20"/>
      <c r="U32" s="20"/>
      <c r="Y32"/>
      <c r="Z32"/>
      <c r="AA32"/>
      <c r="AB32"/>
      <c r="AC32"/>
      <c r="AD32"/>
    </row>
    <row r="33" spans="1:30" ht="13" x14ac:dyDescent="0.3">
      <c r="A33" s="114"/>
      <c r="C33" s="89"/>
      <c r="D33" s="197">
        <f>(SUM(C25:C29)-D23)*'PIECE DENSITIES'!F6</f>
        <v>7.2960553741281728</v>
      </c>
      <c r="E33" s="24" t="s">
        <v>127</v>
      </c>
      <c r="G33" s="114"/>
      <c r="I33" s="94"/>
      <c r="J33" s="202">
        <f>(SUM(I25:I29)-J23)*'PIECE DENSITIES'!F11</f>
        <v>0</v>
      </c>
      <c r="K33" s="24" t="s">
        <v>128</v>
      </c>
      <c r="L33"/>
      <c r="M33" s="20"/>
      <c r="N33" s="46"/>
      <c r="O33" s="97">
        <f>SUM(N25:N29)*'PIECE DENSITIES'!F16</f>
        <v>0.37744067491966193</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1.2030770698167617</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0.79562173324113061</v>
      </c>
      <c r="B42" s="199">
        <f>C42*(1+'ACCEPT RATES'!F15+'PIECE DENSITIES'!C7)</f>
        <v>12.979219777036631</v>
      </c>
      <c r="C42" s="198">
        <f>D30</f>
        <v>12.673649289041229</v>
      </c>
      <c r="G42" s="205">
        <f>IF(SUM(C11:C16)&gt;0,H42*(1-'ACCEPT RATES'!C20),H42*(1-'ACCEPT RATES'!D20))</f>
        <v>0</v>
      </c>
      <c r="H42" s="204">
        <f>I42*(1+'PIECE DENSITIES'!C12)</f>
        <v>0</v>
      </c>
      <c r="I42" s="203">
        <f>J30</f>
        <v>0</v>
      </c>
      <c r="J42" s="58"/>
      <c r="L42"/>
      <c r="M42" s="102">
        <f>N42</f>
        <v>1.6590717776160311</v>
      </c>
      <c r="N42" s="101">
        <f>D36+J36+O30</f>
        <v>1.6590717776160311</v>
      </c>
      <c r="P42" s="20"/>
      <c r="Q42" s="109"/>
      <c r="S42" s="20"/>
      <c r="U42" s="20"/>
      <c r="Y42"/>
      <c r="Z42"/>
      <c r="AA42"/>
      <c r="AB42"/>
      <c r="AC42"/>
      <c r="AD42"/>
    </row>
    <row r="43" spans="1:30" ht="13" x14ac:dyDescent="0.3">
      <c r="A43" s="114"/>
      <c r="C43" s="98"/>
      <c r="D43" s="196">
        <f>(SUM(C38:C42)-D36)*'PIECE DENSITIES'!D7</f>
        <v>9.4723260457765814</v>
      </c>
      <c r="E43" s="24" t="s">
        <v>121</v>
      </c>
      <c r="G43" s="114"/>
      <c r="I43" s="99"/>
      <c r="J43" s="201">
        <f>(SUM(I38:I42)-J36)*'PIECE DENSITIES'!D12</f>
        <v>0</v>
      </c>
      <c r="K43" s="24" t="s">
        <v>122</v>
      </c>
      <c r="L43"/>
      <c r="M43" s="20"/>
      <c r="O43" s="96">
        <f>SUM(N38:N42)*'PIECE DENSITIES'!D17</f>
        <v>1.1743633668874771</v>
      </c>
      <c r="P43" s="24" t="s">
        <v>123</v>
      </c>
      <c r="Q43" s="109"/>
      <c r="S43" s="20"/>
      <c r="U43" s="20"/>
      <c r="Y43"/>
      <c r="Z43"/>
      <c r="AA43"/>
      <c r="AB43"/>
      <c r="AC43"/>
      <c r="AD43"/>
    </row>
    <row r="44" spans="1:30" ht="13" x14ac:dyDescent="0.3">
      <c r="A44" s="114"/>
      <c r="C44" s="98"/>
      <c r="D44" s="196">
        <f>(SUM(C38:C42)-D36)*'PIECE DENSITIES'!E7</f>
        <v>0.79164587322537472</v>
      </c>
      <c r="E44" s="24" t="s">
        <v>124</v>
      </c>
      <c r="G44" s="114"/>
      <c r="I44" s="99"/>
      <c r="J44" s="201">
        <f>(SUM(I38:I42)-J36)*'PIECE DENSITIES'!E12</f>
        <v>0</v>
      </c>
      <c r="K44" s="24" t="s">
        <v>125</v>
      </c>
      <c r="L44"/>
      <c r="M44" s="20"/>
      <c r="O44" s="96">
        <f>SUM(N38:N42)*'PIECE DENSITIES'!E17</f>
        <v>5.1484939708548796E-3</v>
      </c>
      <c r="P44" s="24" t="s">
        <v>126</v>
      </c>
      <c r="Q44" s="109"/>
      <c r="S44" s="20"/>
      <c r="U44" s="20"/>
      <c r="Y44"/>
      <c r="Z44"/>
      <c r="AA44"/>
      <c r="AB44"/>
      <c r="AC44"/>
      <c r="AD44"/>
    </row>
    <row r="45" spans="1:30" ht="13" x14ac:dyDescent="0.3">
      <c r="A45" s="114"/>
      <c r="C45" s="89"/>
      <c r="D45" s="197">
        <f>(SUM(C38:C42)-D36)*'PIECE DENSITIES'!F7</f>
        <v>8.4324732742923403E-2</v>
      </c>
      <c r="E45" s="24" t="s">
        <v>127</v>
      </c>
      <c r="G45" s="114"/>
      <c r="I45" s="94"/>
      <c r="J45" s="202">
        <f>(SUM(I38:I42)-J36)*'PIECE DENSITIES'!F12</f>
        <v>0</v>
      </c>
      <c r="K45" s="24" t="s">
        <v>128</v>
      </c>
      <c r="L45"/>
      <c r="M45" s="20"/>
      <c r="N45" s="46"/>
      <c r="O45" s="97">
        <f>SUM(N38:N42)*'PIECE DENSITIES'!F17</f>
        <v>3.2958469277992258E-2</v>
      </c>
      <c r="P45" s="24" t="s">
        <v>129</v>
      </c>
      <c r="Q45" s="109"/>
      <c r="S45" s="20"/>
      <c r="U45" s="20"/>
      <c r="Y45"/>
      <c r="Z45"/>
      <c r="AA45"/>
      <c r="AB45"/>
      <c r="AC45"/>
      <c r="AD45"/>
    </row>
    <row r="46" spans="1:30" ht="13" x14ac:dyDescent="0.3">
      <c r="A46" s="114"/>
      <c r="C46" s="89"/>
      <c r="D46" s="197">
        <f>(SUM(C38:C42)-D36)*'PIECE DENSITIES'!G7</f>
        <v>1.122275567479589</v>
      </c>
      <c r="E46" s="24" t="s">
        <v>130</v>
      </c>
      <c r="G46" s="114"/>
      <c r="I46" s="94"/>
      <c r="J46" s="202">
        <f>(SUM(I38:I42)-J36)*'PIECE DENSITIES'!G12</f>
        <v>0</v>
      </c>
      <c r="K46" s="24" t="s">
        <v>288</v>
      </c>
      <c r="L46"/>
      <c r="M46" s="20"/>
      <c r="N46" s="46"/>
      <c r="O46" s="97">
        <f>SUM(N38:N42)*'PIECE DENSITIES'!G17</f>
        <v>0.44660144747970698</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16.322852089092951</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10.054838698125936</v>
      </c>
      <c r="B53" s="29">
        <f>C53*(1+'ACCEPT RATES'!F16+'PIECE DENSITIES'!D8)</f>
        <v>164.02764760333326</v>
      </c>
      <c r="C53" s="51">
        <f>C13*('COVERAGE FACTORS'!E38+'COVERAGE FACTORS'!E42)</f>
        <v>162.26993459627153</v>
      </c>
      <c r="E53" s="24" t="s">
        <v>70</v>
      </c>
      <c r="G53" s="217">
        <f>H53*(1-'ACCEPT RATES'!C21)</f>
        <v>0</v>
      </c>
      <c r="H53" s="29">
        <f>I53*(1+'PIECE DENSITIES'!D13)</f>
        <v>0</v>
      </c>
      <c r="I53" s="51">
        <f>C13*'COVERAGE FACTORS'!E40</f>
        <v>0</v>
      </c>
      <c r="J53" s="113"/>
      <c r="K53" s="23" t="s">
        <v>70</v>
      </c>
      <c r="L53"/>
      <c r="M53" s="29">
        <f>N53</f>
        <v>0.97478864620960826</v>
      </c>
      <c r="N53" s="51">
        <f>C13*'COVERAGE FACTORS'!E44</f>
        <v>0.97478864620960826</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3.7431367100803201</v>
      </c>
      <c r="B57" s="199">
        <f>C57*(1+'ACCEPT RATES'!F16+'PIECE DENSITIES'!D8)</f>
        <v>61.0629297640141</v>
      </c>
      <c r="C57" s="198">
        <f>(D31+D43)*('COVERAGE FACTORS'!E38+'COVERAGE FACTORS'!E42)</f>
        <v>60.408582113092088</v>
      </c>
      <c r="G57" s="210">
        <f>IF(SUM(C11:C16)&gt;0,H57*(1-'ACCEPT RATES'!C21),H57*(1-'ACCEPT RATES'!D21))</f>
        <v>0</v>
      </c>
      <c r="H57" s="209">
        <f>I57*(1+'PIECE DENSITIES'!D13)</f>
        <v>0</v>
      </c>
      <c r="I57" s="208">
        <f>(D31+D43)*'COVERAGE FACTORS'!E40+(J31+J43)*('COVERAGE FACTORS'!E40+'COVERAGE FACTORS'!E42)</f>
        <v>0</v>
      </c>
      <c r="J57" s="58"/>
      <c r="L57"/>
      <c r="M57" s="102">
        <f>N57</f>
        <v>20.819208667704249</v>
      </c>
      <c r="N57" s="101">
        <f>D51+J51+O31+O43+(D31+D43)*'COVERAGE FACTORS'!E44+(J31+J43)*(1-('COVERAGE FACTORS'!E40+'COVERAGE FACTORS'!E42))</f>
        <v>20.819208667704249</v>
      </c>
      <c r="P57" s="20"/>
      <c r="Q57" s="109"/>
      <c r="S57" s="20"/>
      <c r="U57" s="20"/>
      <c r="Y57"/>
      <c r="Z57"/>
      <c r="AA57"/>
      <c r="AB57"/>
      <c r="AC57"/>
      <c r="AD57"/>
    </row>
    <row r="58" spans="1:30" ht="13" x14ac:dyDescent="0.3">
      <c r="A58" s="114"/>
      <c r="C58" s="98"/>
      <c r="D58" s="196">
        <f>(SUM(C53:C57)-D51)*'PIECE DENSITIES'!E8</f>
        <v>41.0525501115753</v>
      </c>
      <c r="E58" s="24" t="s">
        <v>124</v>
      </c>
      <c r="G58" s="114"/>
      <c r="I58" s="99"/>
      <c r="J58" s="201">
        <f>(SUM(I53:I57)-J51)*'PIECE DENSITIES'!E13</f>
        <v>0</v>
      </c>
      <c r="K58" s="24" t="s">
        <v>125</v>
      </c>
      <c r="L58"/>
      <c r="M58" s="20"/>
      <c r="O58" s="96">
        <f>SUM(N53:N57)*'PIECE DENSITIES'!E18</f>
        <v>5.7593660435091545</v>
      </c>
      <c r="P58" s="24" t="s">
        <v>126</v>
      </c>
      <c r="Q58" s="109"/>
      <c r="S58" s="20"/>
      <c r="U58" s="20"/>
      <c r="Y58"/>
      <c r="Z58"/>
      <c r="AA58"/>
      <c r="AB58"/>
      <c r="AC58"/>
      <c r="AD58"/>
    </row>
    <row r="59" spans="1:30" ht="13" x14ac:dyDescent="0.3">
      <c r="A59" s="114"/>
      <c r="C59" s="98"/>
      <c r="D59" s="196">
        <f>(SUM(C53:C57)-D51)*'PIECE DENSITIES'!F8</f>
        <v>13.328313178636593</v>
      </c>
      <c r="E59" s="24" t="s">
        <v>127</v>
      </c>
      <c r="G59" s="114"/>
      <c r="I59" s="99"/>
      <c r="J59" s="201">
        <f>(SUM(I53:I57)-J51)*'PIECE DENSITIES'!F13</f>
        <v>0</v>
      </c>
      <c r="K59" s="24" t="s">
        <v>128</v>
      </c>
      <c r="L59"/>
      <c r="M59" s="20"/>
      <c r="O59" s="96">
        <f>SUM(N53:N57)*'PIECE DENSITIES'!F18</f>
        <v>0.90394400053220858</v>
      </c>
      <c r="P59" s="24" t="s">
        <v>129</v>
      </c>
      <c r="Q59" s="109"/>
      <c r="S59" s="20"/>
      <c r="U59" s="20"/>
      <c r="Y59"/>
      <c r="Z59"/>
      <c r="AA59"/>
      <c r="AB59"/>
      <c r="AC59"/>
      <c r="AD59"/>
    </row>
    <row r="60" spans="1:30" ht="13" x14ac:dyDescent="0.3">
      <c r="A60" s="114"/>
      <c r="C60" s="89"/>
      <c r="D60" s="197">
        <f>(SUM(C53:C57)-D51)*'PIECE DENSITIES'!G8</f>
        <v>151.97480133005877</v>
      </c>
      <c r="E60" s="24" t="s">
        <v>130</v>
      </c>
      <c r="G60" s="114"/>
      <c r="I60" s="94"/>
      <c r="J60" s="202">
        <f>(SUM(I53:I57)-J51)*'PIECE DENSITIES'!G13</f>
        <v>0</v>
      </c>
      <c r="K60" s="24" t="s">
        <v>288</v>
      </c>
      <c r="L60"/>
      <c r="M60" s="20"/>
      <c r="N60" s="46"/>
      <c r="O60" s="97">
        <f>SUM(N53:N57)*'PIECE DENSITIES'!G18</f>
        <v>15.130687269872494</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512.15863113984085</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629.85759706583917</v>
      </c>
      <c r="B64" s="29">
        <f>C64*(1+'ACCEPT RATES'!F17+'PIECE DENSITIES'!E9)</f>
        <v>10275.058911790784</v>
      </c>
      <c r="C64" s="51">
        <f>C14*('COVERAGE FACTORS'!E38+'COVERAGE FACTORS'!E42)</f>
        <v>9674.5679608926876</v>
      </c>
      <c r="E64" s="24" t="s">
        <v>70</v>
      </c>
      <c r="G64" s="217">
        <f>H64*(1-'ACCEPT RATES'!C22)</f>
        <v>0</v>
      </c>
      <c r="H64" s="29">
        <f>I64*(1+'PIECE DENSITIES'!E14)</f>
        <v>0</v>
      </c>
      <c r="I64" s="51">
        <f>C14*'COVERAGE FACTORS'!E40</f>
        <v>0</v>
      </c>
      <c r="J64" s="113"/>
      <c r="K64" s="23" t="s">
        <v>70</v>
      </c>
      <c r="L64"/>
      <c r="M64" s="29">
        <f>N64</f>
        <v>58.117106096856219</v>
      </c>
      <c r="N64" s="51">
        <f>C14*'COVERAGE FACTORS'!E44</f>
        <v>58.117106096856219</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4.5009371376624348</v>
      </c>
      <c r="B68" s="211">
        <f>C68*(1+'ACCEPT RATES'!F17+'PIECE DENSITIES'!E9)</f>
        <v>73.425159056887992</v>
      </c>
      <c r="C68" s="212">
        <f>(D32+D44+D58)*('COVERAGE FACTORS'!E38+'COVERAGE FACTORS'!E42)</f>
        <v>69.134074795432383</v>
      </c>
      <c r="G68" s="205">
        <f>IF(SUM(C11:C16)&gt;0, H68*(1-'ACCEPT RATES'!C22),H68*(1-'ACCEPT RATES'!D22))</f>
        <v>0</v>
      </c>
      <c r="H68" s="204">
        <f>I68*(1+'PIECE DENSITIES'!E14)</f>
        <v>0</v>
      </c>
      <c r="I68" s="203">
        <f>(D32+D44+D58)*'COVERAGE FACTORS'!E40+(J32+J44+J58)*('COVERAGE FACTORS'!E40+'COVERAGE FACTORS'!E42)</f>
        <v>0</v>
      </c>
      <c r="J68" s="58"/>
      <c r="L68"/>
      <c r="M68" s="102">
        <f>N68</f>
        <v>519.64208730975065</v>
      </c>
      <c r="N68" s="101">
        <f>D62+J62+O32+O44+O58+(D32+D44+D58)*'COVERAGE FACTORS'!E44+(J32+J44+J58)*(1-('COVERAGE FACTORS'!E40+'COVERAGE FACTORS'!E42))</f>
        <v>519.64208730975065</v>
      </c>
      <c r="P68" s="20"/>
      <c r="Q68" s="109"/>
      <c r="S68" s="20"/>
      <c r="U68" s="20"/>
      <c r="Y68"/>
      <c r="Z68"/>
      <c r="AA68"/>
      <c r="AB68"/>
      <c r="AC68"/>
      <c r="AD68"/>
    </row>
    <row r="69" spans="1:30" ht="13" x14ac:dyDescent="0.3">
      <c r="A69" s="114"/>
      <c r="C69" s="98"/>
      <c r="D69" s="196">
        <f>(SUM(C64:C68)-D62)*'PIECE DENSITIES'!F9</f>
        <v>206.52782384569204</v>
      </c>
      <c r="E69" s="24" t="s">
        <v>127</v>
      </c>
      <c r="G69" s="114"/>
      <c r="I69" s="99"/>
      <c r="J69" s="201">
        <f>(SUM(I64:I68)-J62)*'PIECE DENSITIES'!F14</f>
        <v>0</v>
      </c>
      <c r="K69" s="24" t="s">
        <v>128</v>
      </c>
      <c r="L69"/>
      <c r="M69" s="20"/>
      <c r="O69" s="96">
        <f>SUM(N64:N68)*'PIECE DENSITIES'!F19</f>
        <v>14.945375461057406</v>
      </c>
      <c r="P69" s="24" t="s">
        <v>129</v>
      </c>
      <c r="Q69" s="109"/>
      <c r="S69" s="20"/>
      <c r="U69" s="20"/>
      <c r="Y69"/>
      <c r="Z69"/>
      <c r="AA69"/>
      <c r="AB69"/>
      <c r="AC69"/>
      <c r="AD69"/>
    </row>
    <row r="70" spans="1:30" ht="13" x14ac:dyDescent="0.3">
      <c r="A70" s="114"/>
      <c r="C70" s="98"/>
      <c r="D70" s="196">
        <f>(SUM(C64:C68)-D62)*'PIECE DENSITIES'!G9</f>
        <v>9025.0155807025876</v>
      </c>
      <c r="E70" s="24" t="s">
        <v>130</v>
      </c>
      <c r="G70" s="114"/>
      <c r="I70" s="99"/>
      <c r="J70" s="201">
        <f>(SUM(I64:I68)-J62)*'PIECE DENSITIES'!G14</f>
        <v>0</v>
      </c>
      <c r="K70" s="24" t="s">
        <v>288</v>
      </c>
      <c r="L70"/>
      <c r="M70" s="20"/>
      <c r="O70" s="96">
        <f>SUM(N64:N68)*'PIECE DENSITIES'!G19</f>
        <v>562.81381794554943</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11.287789873436541</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13.981031272623838</v>
      </c>
      <c r="B78" s="211">
        <f>C78*(1+'ACCEPT RATES'!F17)</f>
        <v>228.07682346456295</v>
      </c>
      <c r="C78" s="212">
        <f>(D33+D45+D59+D69)*('COVERAGE FACTORS'!E38+'COVERAGE FACTORS'!E42)</f>
        <v>225.87961215746506</v>
      </c>
      <c r="G78" s="205">
        <f>IF(SUM(C11:C16)&gt;0,H78*(1-'ACCEPT RATES'!C22),H78*(1-'ACCEPT RATES'!D22))</f>
        <v>0</v>
      </c>
      <c r="H78" s="204">
        <f>I78</f>
        <v>0</v>
      </c>
      <c r="I78" s="203">
        <f>(D33+D45+D59+D69)*'COVERAGE FACTORS'!E40+(J33+J45+J59+J69)*('COVERAGE FACTORS'!E40+'COVERAGE FACTORS'!E42)</f>
        <v>0</v>
      </c>
      <c r="J78" s="58"/>
      <c r="L78"/>
      <c r="M78" s="102">
        <f>N78</f>
        <v>28.904413452958764</v>
      </c>
      <c r="N78" s="294">
        <f>D72+J72+O33+O45+O59+O69+(D33+D45+D59+D69)*'COVERAGE FACTORS'!E44+(J33+J45+J59+J69)*(1-('COVERAGE FACTORS'!E40+'COVERAGE FACTORS'!E42))+D106</f>
        <v>28.904413452958764</v>
      </c>
      <c r="P78" s="20"/>
      <c r="Q78" s="109"/>
      <c r="S78" s="20"/>
      <c r="U78" s="20"/>
      <c r="Y78"/>
      <c r="Z78"/>
      <c r="AA78"/>
      <c r="AB78"/>
      <c r="AC78"/>
      <c r="AD78"/>
    </row>
    <row r="79" spans="1:30" ht="13" x14ac:dyDescent="0.3">
      <c r="A79" s="114"/>
      <c r="C79" s="98"/>
      <c r="D79" s="196">
        <f>SUM(C74:C78)-D72</f>
        <v>214.59182228402852</v>
      </c>
      <c r="E79" s="24" t="s">
        <v>130</v>
      </c>
      <c r="G79" s="114"/>
      <c r="I79" s="99"/>
      <c r="J79" s="201">
        <f>SUM(I74:I78)-J72</f>
        <v>0</v>
      </c>
      <c r="K79" s="24" t="s">
        <v>288</v>
      </c>
      <c r="L79"/>
      <c r="M79" s="20"/>
      <c r="O79" s="96">
        <f>SUM(N74:N78)</f>
        <v>28.904413452958764</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446.39546370943515</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C16*('COVERAGE FACTORS'!E54+'COVERAGE FACTORS'!E58)</f>
        <v>0</v>
      </c>
      <c r="E83" s="24" t="s">
        <v>70</v>
      </c>
      <c r="G83" s="217">
        <v>0</v>
      </c>
      <c r="H83" s="29">
        <f>I83</f>
        <v>0</v>
      </c>
      <c r="I83" s="51">
        <f>C16*'COVERAGE FACTORS'!E56</f>
        <v>0</v>
      </c>
      <c r="J83" s="113"/>
      <c r="K83" s="23" t="s">
        <v>70</v>
      </c>
      <c r="L83"/>
      <c r="M83" s="29">
        <f>N83</f>
        <v>0</v>
      </c>
      <c r="N83" s="51">
        <f>C16*'COVERAGE FACTORS'!E60</f>
        <v>0</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552.90442221697333</v>
      </c>
      <c r="B87" s="211">
        <f>C87*(1+'ACCEPT RATES'!F17)</f>
        <v>9019.6983212305313</v>
      </c>
      <c r="C87" s="212">
        <f>(D34+D46+D60+D70+D79)*(1-'COVERAGE FACTORS'!E56-'COVERAGE FACTORS'!E60)*'COVERAGE FACTORS'!E104</f>
        <v>8932.8057433834056</v>
      </c>
      <c r="G87" s="205">
        <v>0</v>
      </c>
      <c r="H87" s="204">
        <f>I87</f>
        <v>0</v>
      </c>
      <c r="I87" s="203">
        <f>(D34+D46+D60+D70+D79)*'COVERAGE FACTORS'!E56*'COVERAGE FACTORS'!E104+(J34+J46+J60+J70+J79)*('COVERAGE FACTORS'!E56+'COVERAGE FACTORS'!E58)*'COVERAGE FACTORS'!E104</f>
        <v>0</v>
      </c>
      <c r="J87" s="213"/>
      <c r="L87"/>
      <c r="M87" s="102">
        <f>N87</f>
        <v>1513.5897203260447</v>
      </c>
      <c r="N87" s="294">
        <f>D81+J81+(O34+O46+O60+O70+O79)+(D34+D46+D60+D70+D79)*((1-'COVERAGE FACTORS'!E104)*(1-'COVERAGE FACTORS'!E60)+'COVERAGE FACTORS'!E60)+(J34+J46+J60+J70+J79)*(1-('COVERAGE FACTORS'!E56+'COVERAGE FACTORS'!E58)*'COVERAGE FACTORS'!E104)+D120</f>
        <v>1513.5897203260447</v>
      </c>
      <c r="P87" s="20"/>
      <c r="Q87" s="109"/>
      <c r="S87" s="20"/>
      <c r="U87" s="20"/>
      <c r="Y87"/>
      <c r="Z87"/>
      <c r="AA87"/>
      <c r="AB87"/>
      <c r="AC87"/>
      <c r="AD87"/>
    </row>
    <row r="88" spans="1:30" ht="13" x14ac:dyDescent="0.3">
      <c r="A88" s="114"/>
      <c r="C88" s="98"/>
      <c r="D88" s="103">
        <f>SUM(C83:C87)-D81</f>
        <v>8486.4102796739699</v>
      </c>
      <c r="E88" s="24"/>
      <c r="G88" s="218"/>
      <c r="H88" s="214"/>
      <c r="I88" s="214"/>
      <c r="J88" s="215">
        <f>SUM(I83:I87)-J81</f>
        <v>0</v>
      </c>
      <c r="K88" s="24"/>
      <c r="L88"/>
      <c r="M88" s="20"/>
      <c r="O88" s="216">
        <f>SUM(N83:N87)</f>
        <v>1513.5897203260447</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SUM(A95:A99)*(1-'ACCEPT RATES'!G24)+SUM(B95:B99)*'ACCEPT RATES'!J24</f>
        <v>0</v>
      </c>
      <c r="E93" s="282">
        <f>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B99*(1-'ACCEPT RATES'!C24)</f>
        <v>0</v>
      </c>
      <c r="B99" s="244">
        <f>C99*(1+'ACCEPT RATES'!F17)</f>
        <v>0</v>
      </c>
      <c r="C99" s="287">
        <v>0</v>
      </c>
    </row>
    <row r="100" spans="1:11" x14ac:dyDescent="0.25">
      <c r="D100" s="242">
        <f>SUM(C95:C99)-D93-E93</f>
        <v>0</v>
      </c>
    </row>
    <row r="101" spans="1:11" ht="13" x14ac:dyDescent="0.3">
      <c r="D101" s="23" t="s">
        <v>369</v>
      </c>
    </row>
    <row r="105" spans="1:11" ht="13" x14ac:dyDescent="0.3">
      <c r="D105" s="23"/>
    </row>
    <row r="106" spans="1:11" ht="13" x14ac:dyDescent="0.3">
      <c r="A106" s="114"/>
      <c r="D106" s="285">
        <f>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B112*(1-'ACCEPT RATES'!$C$17)</f>
        <v>0</v>
      </c>
      <c r="B112" s="289">
        <f>C112*(1+'ACCEPT RATES'!$F$17)</f>
        <v>0</v>
      </c>
      <c r="C112" s="290">
        <f>E93</f>
        <v>0</v>
      </c>
      <c r="G112" s="482"/>
      <c r="H112" s="482"/>
      <c r="I112" s="482"/>
      <c r="J112" s="482"/>
      <c r="K112" s="482"/>
    </row>
    <row r="113" spans="1:11" ht="13" x14ac:dyDescent="0.3">
      <c r="A113" s="114"/>
      <c r="C113" s="120"/>
      <c r="D113" s="293">
        <f>($C$112-$D$106)*(1-'COVERAGE FACTORS'!$E$80)</f>
        <v>0</v>
      </c>
      <c r="E113" s="24" t="s">
        <v>130</v>
      </c>
      <c r="G113" s="482"/>
      <c r="H113" s="482"/>
      <c r="I113" s="482"/>
      <c r="J113" s="482"/>
      <c r="K113" s="482"/>
    </row>
    <row r="114" spans="1:11" ht="13" x14ac:dyDescent="0.3">
      <c r="A114" s="114"/>
      <c r="C114" s="120"/>
      <c r="D114" s="293">
        <f>($C$112-$D$106)*'COVERAGE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B126*(1-'ACCEPT RATES'!$C$17)</f>
        <v>0</v>
      </c>
      <c r="B126" s="289">
        <f>C126*(1+'ACCEPT RATES'!$F$17)</f>
        <v>0</v>
      </c>
      <c r="C126" s="290">
        <f>$D$93+$D$113</f>
        <v>0</v>
      </c>
    </row>
    <row r="127" spans="1:11" ht="13" x14ac:dyDescent="0.3">
      <c r="A127" s="122"/>
      <c r="C127" s="120"/>
      <c r="D127" s="292">
        <f>C126-D120</f>
        <v>0</v>
      </c>
      <c r="E127" s="24"/>
    </row>
    <row r="128" spans="1:11" ht="13" x14ac:dyDescent="0.3">
      <c r="A128" s="122"/>
      <c r="D128" s="23" t="s">
        <v>142</v>
      </c>
      <c r="E128" s="24"/>
    </row>
  </sheetData>
  <mergeCells count="2">
    <mergeCell ref="D91:E91"/>
    <mergeCell ref="G106:K113"/>
  </mergeCells>
  <pageMargins left="0.7" right="0.7" top="0.75" bottom="0.75" header="0.3" footer="0.3"/>
  <pageSetup orientation="portrait" horizontalDpi="300" r:id="rId1"/>
  <drawing r:id="rId2"/>
</worksheet>
</file>

<file path=xl/worksheets/sheet3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6">
    <pageSetUpPr fitToPage="1"/>
  </sheetPr>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344</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'BUNDLE SORT'!$I$81*('COVERAGE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C11*$J11/'5D AUTO MODEL'!$G$6</f>
        <v>0</v>
      </c>
    </row>
    <row r="12" spans="1:11" ht="13" x14ac:dyDescent="0.3">
      <c r="A12" s="36"/>
      <c r="B12" t="s">
        <v>529</v>
      </c>
      <c r="C12" s="151">
        <f>'BUNDLE SORT'!$I$81*('COVERAGE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C12*$J12/'5D AUTO MODEL'!$G$6</f>
        <v>0</v>
      </c>
    </row>
    <row r="13" spans="1:11" ht="13" x14ac:dyDescent="0.3">
      <c r="A13" s="36"/>
      <c r="B13" t="s">
        <v>70</v>
      </c>
      <c r="C13" s="151">
        <f>'BUNDLE SORT'!$J$81</f>
        <v>17.409443165164252</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C13*$J13/'5D AUTO MODEL'!$G$6</f>
        <v>3.5311426962444582E-2</v>
      </c>
    </row>
    <row r="14" spans="1:11" ht="13" x14ac:dyDescent="0.3">
      <c r="A14" s="36"/>
      <c r="C14" s="151"/>
      <c r="D14" s="151"/>
      <c r="E14" s="135"/>
      <c r="F14" s="136"/>
      <c r="G14" s="137"/>
      <c r="H14" s="137"/>
      <c r="I14" s="138"/>
      <c r="J14" s="136"/>
    </row>
    <row r="15" spans="1:11" ht="13" x14ac:dyDescent="0.3">
      <c r="A15" s="1" t="s">
        <v>253</v>
      </c>
      <c r="C15" s="151"/>
      <c r="D15" s="151"/>
      <c r="E15" s="135"/>
      <c r="F15" s="136"/>
      <c r="G15" s="137"/>
      <c r="H15" s="137"/>
      <c r="I15" s="138"/>
      <c r="J15" s="136"/>
    </row>
    <row r="16" spans="1:11" s="7" customFormat="1" x14ac:dyDescent="0.25">
      <c r="B16" s="7" t="s">
        <v>234</v>
      </c>
      <c r="C16" s="151">
        <f>'BUNDLE SORT'!$M$81*('COVERAGE FACTORS'!$E$30/('COVERAGE FACTORS'!$E$30+'COVERAGE FACTORS'!$E$32))</f>
        <v>28.908833319844245</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C16*$J16/'5D AUTO MODEL'!$G$6</f>
        <v>0.10917552663012657</v>
      </c>
    </row>
    <row r="17" spans="1:11" ht="13" x14ac:dyDescent="0.3">
      <c r="A17" s="1"/>
      <c r="B17" t="s">
        <v>529</v>
      </c>
      <c r="C17" s="151">
        <f>'BUNDLE SORT'!$M$81*('COVERAGE FACTORS'!$E$32/('COVERAGE FACTORS'!$E$30+'COVERAGE FACTORS'!$E$32))</f>
        <v>34.94606804045987</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C17*$J17/'5D AUTO MODEL'!$G$6</f>
        <v>0.15265309644517619</v>
      </c>
    </row>
    <row r="18" spans="1:11" ht="13" x14ac:dyDescent="0.3">
      <c r="A18" s="1"/>
      <c r="B18" t="s">
        <v>70</v>
      </c>
      <c r="C18" s="151">
        <f>'BUNDLE SORT'!$N$81</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C18*$J18/'5D AUTO MODEL'!$G$6</f>
        <v>0</v>
      </c>
    </row>
    <row r="19" spans="1:11" ht="13" x14ac:dyDescent="0.3">
      <c r="A19" s="1"/>
      <c r="C19" s="151"/>
      <c r="D19" s="151"/>
      <c r="E19" s="135"/>
      <c r="F19" s="136"/>
      <c r="G19" s="137"/>
      <c r="H19" s="137"/>
      <c r="I19" s="138"/>
      <c r="J19" s="136"/>
    </row>
    <row r="20" spans="1:11" ht="13" x14ac:dyDescent="0.3">
      <c r="A20" s="1" t="s">
        <v>254</v>
      </c>
      <c r="C20" s="151"/>
      <c r="D20" s="151"/>
      <c r="E20" s="135"/>
      <c r="F20" s="136"/>
      <c r="G20" s="137"/>
      <c r="H20" s="137"/>
      <c r="I20" s="138"/>
      <c r="J20" s="136"/>
    </row>
    <row r="21" spans="1:11" ht="13" x14ac:dyDescent="0.3">
      <c r="A21" s="1"/>
      <c r="B21" t="s">
        <v>234</v>
      </c>
      <c r="C21" s="151">
        <f>'BUNDLE SORT'!$Q$81*('COVERAGE FACTORS'!$E$30/('COVERAGE FACTORS'!$E$30+'COVERAGE FACTORS'!$E$32))</f>
        <v>141.70042182838563</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C21*$J21/'5D AUTO MODEL'!$G$6</f>
        <v>0.53513810141226525</v>
      </c>
    </row>
    <row r="22" spans="1:11" ht="13" x14ac:dyDescent="0.3">
      <c r="A22" s="1"/>
      <c r="B22" t="s">
        <v>529</v>
      </c>
      <c r="C22" s="151">
        <f>'BUNDLE SORT'!$Q$81*('COVERAGE FACTORS'!$E$32/('COVERAGE FACTORS'!$E$30+'COVERAGE FACTORS'!$E$32))</f>
        <v>171.29271623623268</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C22*$J22/'5D AUTO MODEL'!$G$6</f>
        <v>0.74824908775693344</v>
      </c>
    </row>
    <row r="23" spans="1:11" ht="13" x14ac:dyDescent="0.3">
      <c r="A23" s="1"/>
      <c r="B23" t="s">
        <v>70</v>
      </c>
      <c r="C23" s="151">
        <f>'BUNDLE SORT'!$R$81</f>
        <v>9.0263657364285628</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C23*$J23/'5D AUTO MODEL'!$G$6</f>
        <v>1.8308101609819775E-2</v>
      </c>
    </row>
    <row r="24" spans="1:11" ht="13" x14ac:dyDescent="0.3">
      <c r="A24" s="1"/>
      <c r="C24" s="151"/>
      <c r="D24" s="151"/>
      <c r="E24" s="135"/>
      <c r="F24" s="136"/>
      <c r="G24" s="137"/>
      <c r="H24" s="137"/>
      <c r="I24" s="138"/>
      <c r="J24" s="136"/>
    </row>
    <row r="25" spans="1:11" ht="13" x14ac:dyDescent="0.3">
      <c r="A25" s="1" t="s">
        <v>255</v>
      </c>
      <c r="C25" s="151"/>
      <c r="D25" s="151"/>
      <c r="E25" s="135"/>
      <c r="F25" s="136"/>
      <c r="G25" s="137"/>
      <c r="H25" s="137"/>
      <c r="I25" s="138"/>
      <c r="J25" s="136"/>
    </row>
    <row r="26" spans="1:11" ht="13" x14ac:dyDescent="0.3">
      <c r="A26" s="1"/>
      <c r="B26" t="s">
        <v>234</v>
      </c>
      <c r="C26" s="151">
        <f>'BUNDLE SORT'!$U$81*('COVERAGE FACTORS'!$E$30/('COVERAGE FACTORS'!$E$30+'COVERAGE FACTORS'!$E$32))</f>
        <v>8.7388962959843372E-3</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C26*$J26/'5D AUTO MODEL'!$G$6</f>
        <v>3.3002840160458355E-5</v>
      </c>
    </row>
    <row r="27" spans="1:11" ht="13" x14ac:dyDescent="0.3">
      <c r="A27" s="1"/>
      <c r="B27" t="s">
        <v>529</v>
      </c>
      <c r="C27" s="151">
        <f>'BUNDLE SORT'!$U$81*('COVERAGE FACTORS'!$E$32/('COVERAGE FACTORS'!$E$30+'COVERAGE FACTORS'!$E$32))</f>
        <v>1.0563901392324909E-2</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C27*$J27/'5D AUTO MODEL'!$G$6</f>
        <v>4.6145742525678557E-5</v>
      </c>
    </row>
    <row r="28" spans="1:11" ht="13" x14ac:dyDescent="0.3">
      <c r="A28" s="1"/>
      <c r="B28" t="s">
        <v>70</v>
      </c>
      <c r="C28" s="151">
        <f>'BUNDLE SORT'!$V$81</f>
        <v>1.9109769711426152</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C28*$J28/'5D AUTO MODEL'!$G$6</f>
        <v>5.3984513623164618E-3</v>
      </c>
    </row>
    <row r="29" spans="1:11" ht="13" x14ac:dyDescent="0.3">
      <c r="A29" s="1"/>
      <c r="C29" s="149"/>
      <c r="D29" s="149"/>
      <c r="E29" s="135"/>
      <c r="F29" s="136"/>
      <c r="G29" s="137"/>
      <c r="H29" s="138"/>
      <c r="I29" s="138"/>
      <c r="J29" s="136"/>
    </row>
    <row r="30" spans="1:11" ht="13" x14ac:dyDescent="0.3">
      <c r="A30" s="1" t="s">
        <v>71</v>
      </c>
      <c r="F30" s="42"/>
      <c r="H30" s="42"/>
      <c r="I30" s="42"/>
      <c r="J30" s="42"/>
    </row>
    <row r="31" spans="1:11" ht="13" x14ac:dyDescent="0.3">
      <c r="A31" s="36"/>
      <c r="B31" t="s">
        <v>72</v>
      </c>
      <c r="C31" s="2">
        <f>SUM('5D AUTO MODEL'!$B$25:$B$29)</f>
        <v>6.7755254414698456</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C31*$J31/'5D AUTO MODEL'!$G$6</f>
        <v>3.4668172747440119E-3</v>
      </c>
    </row>
    <row r="32" spans="1:11" ht="13" x14ac:dyDescent="0.3">
      <c r="A32" s="36"/>
      <c r="B32" t="s">
        <v>244</v>
      </c>
      <c r="C32" s="2">
        <f>SUM('5D AUTO MODEL'!$A$25:$A$29)</f>
        <v>0.41533739222901217</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C32*$J32/'5D AUTO MODEL'!$G$6</f>
        <v>3.1319306141169774E-4</v>
      </c>
    </row>
    <row r="33" spans="1:11" ht="13" x14ac:dyDescent="0.3">
      <c r="A33" s="36"/>
      <c r="B33" t="s">
        <v>291</v>
      </c>
      <c r="C33" s="2">
        <f>SUM('5D AUTO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C33*$J33/'5D AUTO MODEL'!$G$6</f>
        <v>0</v>
      </c>
    </row>
    <row r="34" spans="1:11" x14ac:dyDescent="0.25">
      <c r="B34" t="s">
        <v>292</v>
      </c>
      <c r="C34" s="2">
        <f>SUM('5D AUTO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C34*$J34/'5D AUTO MODEL'!$G$6</f>
        <v>0</v>
      </c>
    </row>
    <row r="35" spans="1:11" x14ac:dyDescent="0.25">
      <c r="B35" t="s">
        <v>70</v>
      </c>
      <c r="C35" s="2">
        <f>SUM('5D AUTO MODEL'!$M$25:$M$29)</f>
        <v>0.32819270602069905</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C35*$J35/'5D AUTO MODEL'!$G$6</f>
        <v>3.5460451063318744E-4</v>
      </c>
    </row>
    <row r="36" spans="1:11" x14ac:dyDescent="0.25">
      <c r="F36" s="42"/>
      <c r="H36" s="42"/>
      <c r="I36" s="42"/>
      <c r="J36" s="42"/>
    </row>
    <row r="37" spans="1:11" ht="13" x14ac:dyDescent="0.3">
      <c r="A37" s="1" t="s">
        <v>73</v>
      </c>
      <c r="F37" s="42"/>
      <c r="H37" s="42"/>
      <c r="I37" s="42"/>
      <c r="J37" s="42"/>
    </row>
    <row r="38" spans="1:11" ht="13" x14ac:dyDescent="0.3">
      <c r="A38" s="36"/>
      <c r="B38" t="s">
        <v>72</v>
      </c>
      <c r="C38" s="2">
        <f>SUM('5D AUTO MODEL'!$B$38:$B$42)</f>
        <v>0.83585831058997428</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C38*$J38/'5D AUTO MODEL'!$G$6</f>
        <v>2.965649335614685E-4</v>
      </c>
    </row>
    <row r="39" spans="1:11" ht="13" x14ac:dyDescent="0.3">
      <c r="A39" s="36"/>
      <c r="B39" t="s">
        <v>244</v>
      </c>
      <c r="C39" s="2">
        <f>SUM('5D AUTO MODEL'!$A$38:$A$42)</f>
        <v>5.1237828562868765E-2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C39*$J39/'5D AUTO MODEL'!$G$6</f>
        <v>3.8636859305083436E-5</v>
      </c>
    </row>
    <row r="40" spans="1:11" x14ac:dyDescent="0.25">
      <c r="B40" t="s">
        <v>291</v>
      </c>
      <c r="C40" s="2">
        <f>SUM('5D AUTO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C40*$J40/'5D AUTO MODEL'!$G$6</f>
        <v>0</v>
      </c>
    </row>
    <row r="41" spans="1:11" x14ac:dyDescent="0.25">
      <c r="B41" t="s">
        <v>292</v>
      </c>
      <c r="C41" s="2">
        <f>SUM('5D AUTO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C41*$J41/'5D AUTO MODEL'!$G$6</f>
        <v>0</v>
      </c>
    </row>
    <row r="42" spans="1:11" x14ac:dyDescent="0.25">
      <c r="B42" t="s">
        <v>70</v>
      </c>
      <c r="C42" s="2">
        <f>SUM('5D AUTO MODEL'!$M$38:$M$42)</f>
        <v>0.10684378236965635</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C42*$J42/'5D AUTO MODEL'!$G$6</f>
        <v>1.4594679946656702E-4</v>
      </c>
    </row>
    <row r="43" spans="1:11" x14ac:dyDescent="0.25">
      <c r="F43" s="42"/>
      <c r="H43" s="42"/>
      <c r="I43" s="42"/>
      <c r="J43" s="42"/>
    </row>
    <row r="44" spans="1:11" ht="13" x14ac:dyDescent="0.3">
      <c r="A44" s="1" t="s">
        <v>74</v>
      </c>
      <c r="F44" s="42"/>
      <c r="H44" s="42"/>
      <c r="I44" s="42"/>
      <c r="J44" s="42"/>
    </row>
    <row r="45" spans="1:11" ht="13" x14ac:dyDescent="0.3">
      <c r="A45" s="36"/>
      <c r="B45" t="s">
        <v>72</v>
      </c>
      <c r="C45" s="2">
        <f>SUM('5D AUTO MODEL'!$B$53:$B$57)</f>
        <v>30.741716091231183</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C45*$J45/'5D AUTO MODEL'!$G$6</f>
        <v>1.5725059320575614E-2</v>
      </c>
    </row>
    <row r="46" spans="1:11" ht="13" x14ac:dyDescent="0.3">
      <c r="A46" s="36"/>
      <c r="B46" t="s">
        <v>244</v>
      </c>
      <c r="C46" s="2">
        <f>SUM('5D AUTO MODEL'!$A$53:$A$57)</f>
        <v>1.8844566822564774</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C46*$J46/'5D AUTO MODEL'!$G$6</f>
        <v>1.4210104085408436E-3</v>
      </c>
    </row>
    <row r="47" spans="1:11" x14ac:dyDescent="0.25">
      <c r="B47" t="s">
        <v>291</v>
      </c>
      <c r="C47" s="2">
        <f>SUM('5D AUTO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C47*$J47/'5D AUTO MODEL'!$G$6</f>
        <v>0</v>
      </c>
    </row>
    <row r="48" spans="1:11" x14ac:dyDescent="0.25">
      <c r="B48" t="s">
        <v>292</v>
      </c>
      <c r="C48" s="2">
        <f>SUM('5D AUTO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C48*$J48/'5D AUTO MODEL'!$G$6</f>
        <v>0</v>
      </c>
    </row>
    <row r="49" spans="1:11" x14ac:dyDescent="0.25">
      <c r="B49" t="s">
        <v>70</v>
      </c>
      <c r="C49" s="2">
        <f>SUM('5D AUTO MODEL'!$M$53:$M$57)</f>
        <v>2.6781785821111312</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C49*$J49/'5D AUTO MODEL'!$G$6</f>
        <v>2.5901250368102107E-3</v>
      </c>
    </row>
    <row r="50" spans="1:11" x14ac:dyDescent="0.25">
      <c r="F50" s="42"/>
      <c r="H50" s="42"/>
      <c r="I50" s="42"/>
      <c r="J50" s="42"/>
    </row>
    <row r="51" spans="1:11" ht="13" x14ac:dyDescent="0.3">
      <c r="A51" s="1" t="s">
        <v>75</v>
      </c>
      <c r="F51" s="42"/>
      <c r="H51" s="42"/>
      <c r="I51" s="42"/>
      <c r="J51" s="42"/>
    </row>
    <row r="52" spans="1:11" ht="13" x14ac:dyDescent="0.3">
      <c r="A52" s="36"/>
      <c r="B52" t="s">
        <v>72</v>
      </c>
      <c r="C52" s="224">
        <f>SUM('5D AUTO MODEL'!$B$64:$B$68)</f>
        <v>161.71581065810412</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C52*$J52/'5D AUTO MODEL'!$G$6</f>
        <v>6.2751520531981464E-2</v>
      </c>
    </row>
    <row r="53" spans="1:11" ht="13" x14ac:dyDescent="0.3">
      <c r="A53" s="36"/>
      <c r="B53" t="s">
        <v>244</v>
      </c>
      <c r="C53" s="2">
        <f>SUM('5D AUTO MODEL'!$A$64:$A$68)</f>
        <v>9.9131238840669003</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C53*$J53/'5D AUTO MODEL'!$G$6</f>
        <v>7.4751796382744786E-3</v>
      </c>
    </row>
    <row r="54" spans="1:11" x14ac:dyDescent="0.25">
      <c r="B54" t="s">
        <v>291</v>
      </c>
      <c r="C54" s="2">
        <f>SUM('5D AUTO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C54*$J54/'5D AUTO MODEL'!$G$6</f>
        <v>0</v>
      </c>
    </row>
    <row r="55" spans="1:11" x14ac:dyDescent="0.25">
      <c r="B55" t="s">
        <v>292</v>
      </c>
      <c r="C55" s="2">
        <f>SUM('5D AUTO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C55*$J55/'5D AUTO MODEL'!$G$6</f>
        <v>0</v>
      </c>
    </row>
    <row r="56" spans="1:11" x14ac:dyDescent="0.25">
      <c r="B56" t="s">
        <v>70</v>
      </c>
      <c r="C56" s="2">
        <f>SUM('5D AUTO MODEL'!$M$64:$M$68)</f>
        <v>9.7102230484013408</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C56*$J56/'5D AUTO MODEL'!$G$6</f>
        <v>1.0834099080152905E-2</v>
      </c>
    </row>
    <row r="57" spans="1:11" x14ac:dyDescent="0.25">
      <c r="F57" s="42"/>
      <c r="H57" s="42"/>
      <c r="I57" s="42"/>
      <c r="J57" s="42"/>
    </row>
    <row r="58" spans="1:11" ht="13" x14ac:dyDescent="0.3">
      <c r="A58" s="1" t="s">
        <v>76</v>
      </c>
      <c r="F58" s="42"/>
      <c r="H58" s="42"/>
      <c r="I58" s="42"/>
      <c r="J58" s="42"/>
    </row>
    <row r="59" spans="1:11" ht="13" x14ac:dyDescent="0.3">
      <c r="A59" s="36"/>
      <c r="B59" t="s">
        <v>72</v>
      </c>
      <c r="C59" s="2">
        <f ca="1">SUM('5D AUTO MODEL'!$B$74:$B$78)+SUM('5D AUTO MODEL'!$B$108:$B$112)</f>
        <v>5.5434422231384151</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C59*$J59/'5D AUTO MODEL'!$G$6</f>
        <v>3.9916364578494309E-3</v>
      </c>
    </row>
    <row r="60" spans="1:11" ht="13" x14ac:dyDescent="0.3">
      <c r="A60" s="36"/>
      <c r="B60" t="s">
        <v>244</v>
      </c>
      <c r="C60" s="2">
        <f ca="1">SUM('5D AUTO MODEL'!$A$74:$A$78)+SUM('5D AUTO MODEL'!$A$108:$A$112)</f>
        <v>0.33981111233655664</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C60*$J60/'5D AUTO MODEL'!$G$6</f>
        <v>2.5624103335179169E-4</v>
      </c>
    </row>
    <row r="61" spans="1:11" x14ac:dyDescent="0.25">
      <c r="B61" t="s">
        <v>291</v>
      </c>
      <c r="C61" s="2">
        <f>SUM('5D AUTO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C61*$J61/'5D AUTO MODEL'!$G$6</f>
        <v>0</v>
      </c>
    </row>
    <row r="62" spans="1:11" x14ac:dyDescent="0.25">
      <c r="B62" t="s">
        <v>292</v>
      </c>
      <c r="C62" s="2">
        <f>SUM('5D AUTO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C62*$J62/'5D AUTO MODEL'!$G$6</f>
        <v>0</v>
      </c>
    </row>
    <row r="63" spans="1:11" x14ac:dyDescent="0.25">
      <c r="B63" t="s">
        <v>70</v>
      </c>
      <c r="C63" s="2">
        <f ca="1">SUM('5D AUTO MODEL'!$M$74:$M$78)</f>
        <v>0.69602534798485005</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C63*$J63/'5D AUTO MODEL'!$G$6</f>
        <v>6.1913572090249009E-4</v>
      </c>
    </row>
    <row r="64" spans="1:11" ht="13" x14ac:dyDescent="0.3">
      <c r="A64" s="36"/>
      <c r="F64" s="42"/>
      <c r="H64" s="42"/>
      <c r="I64" s="42"/>
      <c r="J64" s="42"/>
    </row>
    <row r="65" spans="1:11" ht="13" x14ac:dyDescent="0.3">
      <c r="A65" s="1" t="s">
        <v>77</v>
      </c>
      <c r="F65" s="42"/>
      <c r="H65" s="42"/>
      <c r="I65" s="42"/>
      <c r="J65" s="42"/>
    </row>
    <row r="66" spans="1:11" ht="13" x14ac:dyDescent="0.3">
      <c r="A66" s="36"/>
      <c r="B66" t="s">
        <v>72</v>
      </c>
      <c r="C66" s="2">
        <f ca="1">SUM('5D AUTO MODEL'!$B$83:$B$87)+SUM('5D AUTO MODEL'!$B$122:$B$126)</f>
        <v>9591.3118075772563</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C66*$J66/'5D AUTO MODEL'!$G$6</f>
        <v>4.1529651522392417</v>
      </c>
    </row>
    <row r="67" spans="1:11" ht="13" x14ac:dyDescent="0.3">
      <c r="A67" s="36"/>
      <c r="B67" t="s">
        <v>244</v>
      </c>
      <c r="C67" s="2">
        <f ca="1">SUM('5D AUTO MODEL'!$A$83:$A$87)+SUM('5D AUTO MODEL'!$A$122:$A$126)</f>
        <v>587.94413342949292</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C67*$J67/'5D AUTO MODEL'!$G$6</f>
        <v>0.44335045804471646</v>
      </c>
    </row>
    <row r="68" spans="1:11" x14ac:dyDescent="0.25">
      <c r="B68" t="s">
        <v>291</v>
      </c>
      <c r="C68" s="2">
        <f>SUM('5D AUTO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C68*$J68/'5D AUTO MODEL'!$G$6</f>
        <v>0</v>
      </c>
    </row>
    <row r="69" spans="1:11" x14ac:dyDescent="0.25">
      <c r="B69" t="s">
        <v>292</v>
      </c>
      <c r="C69" s="2">
        <f>SUM('5D AUTO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C69*$J69/'5D AUTO MODEL'!$G$6</f>
        <v>0</v>
      </c>
    </row>
    <row r="70" spans="1:11" x14ac:dyDescent="0.25">
      <c r="B70" t="s">
        <v>70</v>
      </c>
      <c r="C70" s="2">
        <f ca="1">SUM('5D AUTO MODEL'!$M$83:$M$87)</f>
        <v>975.77277858696971</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C70*$J70/'5D AUTO MODEL'!$G$6</f>
        <v>0.96752536313261994</v>
      </c>
    </row>
    <row r="71" spans="1:11" x14ac:dyDescent="0.25">
      <c r="F71" s="42"/>
      <c r="H71" s="42"/>
      <c r="I71" s="42"/>
      <c r="J71" s="42"/>
    </row>
    <row r="72" spans="1:11" ht="13" x14ac:dyDescent="0.3">
      <c r="A72" s="1" t="s">
        <v>368</v>
      </c>
      <c r="F72" s="42"/>
      <c r="H72" s="42"/>
      <c r="I72" s="42"/>
      <c r="J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 ca="1">SUM('5D AUTO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C74*$J74/'5D AUTO MODEL'!$G$6</f>
        <v>0</v>
      </c>
    </row>
    <row r="75" spans="1:11" x14ac:dyDescent="0.25">
      <c r="F75" s="42"/>
      <c r="H75" s="42"/>
      <c r="I75" s="42"/>
      <c r="J75" s="42"/>
      <c r="K75" s="42"/>
    </row>
    <row r="76" spans="1:11" x14ac:dyDescent="0.25">
      <c r="B76" s="155" t="s">
        <v>486</v>
      </c>
      <c r="C76" s="2">
        <f>SUM('5D AUTO MODEL'!C83,'5D AUTO MODEL'!I83)</f>
        <v>9340.0153457796714</v>
      </c>
      <c r="D76" s="2">
        <f>PRODUCTIVITIES!$C$49*'FY VOLUME AUTO'!C58</f>
        <v>2898.8326855670452</v>
      </c>
      <c r="E76" s="38">
        <f>'WAGE RATES'!$C$6</f>
        <v>50.10717457546064</v>
      </c>
      <c r="F76" s="42">
        <f t="shared" ref="F76:F77" si="0">E76*100/D76</f>
        <v>1.7285293775297381</v>
      </c>
      <c r="G76" s="42">
        <f>PIGGYBACKS!$B$13</f>
        <v>1.6305774272183733</v>
      </c>
      <c r="H76" s="42">
        <f>'WAGE RATES'!$C$9</f>
        <v>0.9752031228402912</v>
      </c>
      <c r="I76" s="42">
        <f t="shared" ref="I76:I77" si="1">(H76-1)*F76</f>
        <v>-4.286213064155283E-2</v>
      </c>
      <c r="J76" s="42">
        <f t="shared" ref="J76:J77" si="2">F76*G76+I76</f>
        <v>2.7756388546422639</v>
      </c>
      <c r="K76" s="42">
        <f ca="1">C76*$J76/'5D AUTO MODEL'!$G$6</f>
        <v>2.5924509496701056</v>
      </c>
    </row>
    <row r="77" spans="1:11" x14ac:dyDescent="0.25">
      <c r="B77" s="155" t="s">
        <v>491</v>
      </c>
      <c r="C77" s="2">
        <f ca="1">SUM(C31,C33,C34,C38,C40,C41,C45,C47,C48,C52,C54,C55,C59,C61,C62,C66,C68,C69)-C76</f>
        <v>456.90881452211761</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0.17442995368297967</v>
      </c>
    </row>
    <row r="78" spans="1:11" ht="13" thickBot="1" x14ac:dyDescent="0.3">
      <c r="F78" s="42"/>
      <c r="H78" s="42"/>
      <c r="I78" s="42"/>
      <c r="J78" s="42"/>
    </row>
    <row r="79" spans="1:11" ht="13.5" thickBot="1" x14ac:dyDescent="0.35">
      <c r="F79" s="42"/>
      <c r="H79" s="42"/>
      <c r="I79" s="42"/>
      <c r="J79" s="142" t="s">
        <v>78</v>
      </c>
      <c r="K79" s="143">
        <f ca="1">SUM(K11:K77)</f>
        <v>10.045314588198993</v>
      </c>
    </row>
    <row r="80" spans="1:11" ht="13.5" thickBot="1" x14ac:dyDescent="0.35">
      <c r="J80" s="142" t="s">
        <v>485</v>
      </c>
      <c r="K80" s="143">
        <f ca="1">SUM(K31,K33,K34,K38,K40,K41,K45,K47,K48,K52,K54,K55,K59,K61,K62,K66,K68,K69,K76,K77)</f>
        <v>7.0060776541110386</v>
      </c>
    </row>
    <row r="83" spans="1:8" ht="13" x14ac:dyDescent="0.3">
      <c r="A83" s="145" t="str">
        <f>"(1)"</f>
        <v>(1)</v>
      </c>
      <c r="B83" s="1" t="s">
        <v>409</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18</oddFooter>
  </headerFooter>
  <ignoredErrors>
    <ignoredError sqref="E4" numberStoredAsText="1"/>
  </ignoredErrors>
</worksheet>
</file>

<file path=xl/worksheets/sheet3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7"/>
  <dimension ref="A1:AD128"/>
  <sheetViews>
    <sheetView zoomScale="70" zoomScaleNormal="70" workbookViewId="0"/>
  </sheetViews>
  <sheetFormatPr defaultRowHeight="12.5" x14ac:dyDescent="0.25"/>
  <cols>
    <col min="1" max="2" width="10.7265625" style="20" customWidth="1"/>
    <col min="3" max="3" width="17.81640625" style="20" customWidth="1"/>
    <col min="4" max="4" width="10.7265625" style="58" customWidth="1"/>
    <col min="5" max="6" width="10.7265625" style="20" customWidth="1"/>
    <col min="7" max="7" width="16.1796875"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'5D AUTO COST'!A1</f>
        <v>5-DIGIT AUTO PRESORT</v>
      </c>
    </row>
    <row r="2" spans="1:30" ht="23" x14ac:dyDescent="0.5">
      <c r="A2" s="57" t="s">
        <v>84</v>
      </c>
    </row>
    <row r="6" spans="1:30" s="228" customFormat="1" ht="18" x14ac:dyDescent="0.4">
      <c r="A6" s="48" t="s">
        <v>85</v>
      </c>
      <c r="B6" s="226"/>
      <c r="C6" s="49">
        <f>SUM(C11:C16)+SUM(G11:G16)+SUM(K11:K16)+SUM(O11:O16)</f>
        <v>10000</v>
      </c>
      <c r="D6" s="227"/>
      <c r="E6" s="48" t="s">
        <v>86</v>
      </c>
      <c r="F6" s="226"/>
      <c r="G6" s="49">
        <f ca="1">D88+J88+O88+D100+D127</f>
        <v>10000</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'ENTRY PROFILE'!K76</f>
        <v>6.702093901924524</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'ENTRY PROFILE'!O76+'ENTRY PROFILE'!O77</f>
        <v>26.681315587190497</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'ENTRY PROFILE'!S76+'ENTRY PROFILE'!S77+'ENTRY PROFILE'!S78</f>
        <v>145.73763033959588</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'ENTRY PROFILE'!L76+'ENTRY PROFILE'!P76+'ENTRY PROFILE'!P77+'ENTRY PROFILE'!T76+'ENTRY PROFILE'!T77+'ENTRY PROFILE'!T78+'ENTRY PROFILE'!W76+'ENTRY PROFILE'!W77+'ENTRY PROFILE'!W78+'ENTRY PROFILE'!W79+'ENTRY PROFILE'!X76+'ENTRY PROFILE'!X77+'ENTRY PROFILE'!X78+'ENTRY PROFILE'!X79</f>
        <v>9820.8789601712888</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0.31660746679585788</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0.41533739222901217</v>
      </c>
      <c r="B25" s="29">
        <f>C25*(1+'ACCEPT RATES'!F14)</f>
        <v>6.7755254414698456</v>
      </c>
      <c r="C25" s="51">
        <f>C11*('COVERAGE FACTORS'!E14+'COVERAGE FACTORS'!E18)</f>
        <v>6.6905086626996848</v>
      </c>
      <c r="E25" s="24" t="s">
        <v>70</v>
      </c>
      <c r="G25" s="217">
        <f>H25*(1-'ACCEPT RATES'!C19)</f>
        <v>0</v>
      </c>
      <c r="H25" s="29">
        <f>I25</f>
        <v>0</v>
      </c>
      <c r="I25" s="51">
        <f>C11*'COVERAGE FACTORS'!E16</f>
        <v>0</v>
      </c>
      <c r="J25" s="23"/>
      <c r="K25" s="23" t="s">
        <v>70</v>
      </c>
      <c r="L25"/>
      <c r="M25" s="29">
        <f>N25</f>
        <v>1.1585239224841145E-2</v>
      </c>
      <c r="N25" s="51">
        <f>C11*'COVERAGE FACTORS'!E20</f>
        <v>1.1585239224841145E-2</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0.31660746679585788</v>
      </c>
      <c r="N29" s="206">
        <f>D23+J23</f>
        <v>0.31660746679585788</v>
      </c>
      <c r="P29" s="20"/>
      <c r="Q29" s="109"/>
      <c r="S29" s="20"/>
      <c r="U29" s="20"/>
      <c r="Y29"/>
      <c r="Z29"/>
      <c r="AA29"/>
      <c r="AB29"/>
      <c r="AC29"/>
      <c r="AD29"/>
    </row>
    <row r="30" spans="1:30" ht="13" x14ac:dyDescent="0.3">
      <c r="A30" s="114"/>
      <c r="C30" s="98"/>
      <c r="D30" s="196">
        <f>(SUM(C25:C29)-D23)*'PIECE DENSITIES'!C6</f>
        <v>0.81617965222301458</v>
      </c>
      <c r="E30" s="24" t="s">
        <v>290</v>
      </c>
      <c r="G30" s="114"/>
      <c r="I30" s="99"/>
      <c r="J30" s="201">
        <f>(SUM(I25:I29)-J23)*'PIECE DENSITIES'!C11</f>
        <v>0</v>
      </c>
      <c r="K30" s="24" t="s">
        <v>289</v>
      </c>
      <c r="L30"/>
      <c r="M30" s="20"/>
      <c r="O30" s="96">
        <f>SUM(N25:N29)*'PIECE DENSITIES'!C16</f>
        <v>2.9365938218675294E-2</v>
      </c>
      <c r="P30" s="24" t="s">
        <v>120</v>
      </c>
      <c r="Q30" s="109"/>
      <c r="S30" s="20"/>
      <c r="U30" s="20"/>
      <c r="Y30"/>
      <c r="Z30"/>
      <c r="AA30"/>
      <c r="AB30"/>
      <c r="AC30"/>
      <c r="AD30"/>
    </row>
    <row r="31" spans="1:30" ht="13" x14ac:dyDescent="0.3">
      <c r="A31" s="114"/>
      <c r="C31" s="98"/>
      <c r="D31" s="196">
        <f>(SUM(C25:C29)-D23)*'PIECE DENSITIES'!D6</f>
        <v>3.3036511854443216</v>
      </c>
      <c r="E31" s="24" t="s">
        <v>121</v>
      </c>
      <c r="G31" s="114"/>
      <c r="I31" s="99"/>
      <c r="J31" s="201">
        <f>(SUM(I25:I29)-J23)*'PIECE DENSITIES'!D11</f>
        <v>0</v>
      </c>
      <c r="K31" s="24" t="s">
        <v>122</v>
      </c>
      <c r="L31"/>
      <c r="M31" s="20"/>
      <c r="O31" s="96">
        <f>SUM(N25:N29)*'PIECE DENSITIES'!D16</f>
        <v>0.19056567481614031</v>
      </c>
      <c r="P31" s="24" t="s">
        <v>123</v>
      </c>
      <c r="Q31" s="109"/>
      <c r="S31" s="20"/>
      <c r="U31" s="20"/>
      <c r="Y31"/>
      <c r="Z31"/>
      <c r="AA31"/>
      <c r="AB31"/>
      <c r="AC31"/>
      <c r="AD31"/>
    </row>
    <row r="32" spans="1:30" ht="13" x14ac:dyDescent="0.3">
      <c r="A32" s="114"/>
      <c r="C32" s="89"/>
      <c r="D32" s="197">
        <f>(SUM(C25:C29)-D23)*'PIECE DENSITIES'!E6</f>
        <v>1.7842063275973503</v>
      </c>
      <c r="E32" s="24" t="s">
        <v>124</v>
      </c>
      <c r="G32" s="114"/>
      <c r="I32" s="94"/>
      <c r="J32" s="202">
        <f>(SUM(I25:I29)-J23)*'PIECE DENSITIES'!E11</f>
        <v>0</v>
      </c>
      <c r="K32" s="24" t="s">
        <v>125</v>
      </c>
      <c r="L32"/>
      <c r="M32" s="20"/>
      <c r="N32" s="46"/>
      <c r="O32" s="97">
        <f>SUM(N25:N29)*'PIECE DENSITIES'!E16</f>
        <v>8.3954013646302478E-2</v>
      </c>
      <c r="P32" s="24" t="s">
        <v>126</v>
      </c>
      <c r="Q32" s="109"/>
      <c r="S32" s="20"/>
      <c r="U32" s="20"/>
      <c r="Y32"/>
      <c r="Z32"/>
      <c r="AA32"/>
      <c r="AB32"/>
      <c r="AC32"/>
      <c r="AD32"/>
    </row>
    <row r="33" spans="1:30" ht="13" x14ac:dyDescent="0.3">
      <c r="A33" s="114"/>
      <c r="C33" s="89"/>
      <c r="D33" s="197">
        <f>(SUM(C25:C29)-D23)*'PIECE DENSITIES'!F6</f>
        <v>0.46986403063914045</v>
      </c>
      <c r="E33" s="24" t="s">
        <v>127</v>
      </c>
      <c r="G33" s="114"/>
      <c r="I33" s="94"/>
      <c r="J33" s="202">
        <f>(SUM(I25:I29)-J23)*'PIECE DENSITIES'!F11</f>
        <v>0</v>
      </c>
      <c r="K33" s="24" t="s">
        <v>128</v>
      </c>
      <c r="L33"/>
      <c r="M33" s="20"/>
      <c r="N33" s="46"/>
      <c r="O33" s="97">
        <f>SUM(N25:N29)*'PIECE DENSITIES'!F16</f>
        <v>2.4307079339581008E-2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7.7477844150981051E-2</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5.1237828562868765E-2</v>
      </c>
      <c r="B42" s="199">
        <f>C42*(1+'ACCEPT RATES'!F15+'PIECE DENSITIES'!C7)</f>
        <v>0.83585831058997428</v>
      </c>
      <c r="C42" s="198">
        <f>D30</f>
        <v>0.81617965222301458</v>
      </c>
      <c r="G42" s="205">
        <f>IF(SUM(C11:C16)&gt;0,H42*(1-'ACCEPT RATES'!C20),H42*(1-'ACCEPT RATES'!D20))</f>
        <v>0</v>
      </c>
      <c r="H42" s="204">
        <f>I42*(1+'PIECE DENSITIES'!C12)</f>
        <v>0</v>
      </c>
      <c r="I42" s="203">
        <f>J30</f>
        <v>0</v>
      </c>
      <c r="J42" s="58"/>
      <c r="L42"/>
      <c r="M42" s="102">
        <f>N42</f>
        <v>0.10684378236965635</v>
      </c>
      <c r="N42" s="101">
        <f>D36+J36+O30</f>
        <v>0.10684378236965635</v>
      </c>
      <c r="P42" s="20"/>
      <c r="Q42" s="109"/>
      <c r="S42" s="20"/>
      <c r="U42" s="20"/>
      <c r="Y42"/>
      <c r="Z42"/>
      <c r="AA42"/>
      <c r="AB42"/>
      <c r="AC42"/>
      <c r="AD42"/>
    </row>
    <row r="43" spans="1:30" ht="13" x14ac:dyDescent="0.3">
      <c r="A43" s="114"/>
      <c r="C43" s="98"/>
      <c r="D43" s="196">
        <f>(SUM(C38:C42)-D36)*'PIECE DENSITIES'!D7</f>
        <v>0.61001528458499721</v>
      </c>
      <c r="E43" s="24" t="s">
        <v>121</v>
      </c>
      <c r="G43" s="114"/>
      <c r="I43" s="99"/>
      <c r="J43" s="201">
        <f>(SUM(I38:I42)-J36)*'PIECE DENSITIES'!D12</f>
        <v>0</v>
      </c>
      <c r="K43" s="24" t="s">
        <v>122</v>
      </c>
      <c r="L43"/>
      <c r="M43" s="20"/>
      <c r="O43" s="96">
        <f>SUM(N38:N42)*'PIECE DENSITIES'!D17</f>
        <v>7.5628689299337568E-2</v>
      </c>
      <c r="P43" s="24" t="s">
        <v>123</v>
      </c>
      <c r="Q43" s="109"/>
      <c r="S43" s="20"/>
      <c r="U43" s="20"/>
      <c r="Y43"/>
      <c r="Z43"/>
      <c r="AA43"/>
      <c r="AB43"/>
      <c r="AC43"/>
      <c r="AD43"/>
    </row>
    <row r="44" spans="1:30" ht="13" x14ac:dyDescent="0.3">
      <c r="A44" s="114"/>
      <c r="C44" s="98"/>
      <c r="D44" s="196">
        <f>(SUM(C38:C42)-D36)*'PIECE DENSITIES'!E7</f>
        <v>5.0981784232546873E-2</v>
      </c>
      <c r="E44" s="24" t="s">
        <v>124</v>
      </c>
      <c r="G44" s="114"/>
      <c r="I44" s="99"/>
      <c r="J44" s="201">
        <f>(SUM(I38:I42)-J36)*'PIECE DENSITIES'!E12</f>
        <v>0</v>
      </c>
      <c r="K44" s="24" t="s">
        <v>125</v>
      </c>
      <c r="L44"/>
      <c r="M44" s="20"/>
      <c r="O44" s="96">
        <f>SUM(N38:N42)*'PIECE DENSITIES'!E17</f>
        <v>3.3156164596081502E-4</v>
      </c>
      <c r="P44" s="24" t="s">
        <v>126</v>
      </c>
      <c r="Q44" s="109"/>
      <c r="S44" s="20"/>
      <c r="U44" s="20"/>
      <c r="Y44"/>
      <c r="Z44"/>
      <c r="AA44"/>
      <c r="AB44"/>
      <c r="AC44"/>
      <c r="AD44"/>
    </row>
    <row r="45" spans="1:30" ht="13" x14ac:dyDescent="0.3">
      <c r="A45" s="114"/>
      <c r="C45" s="89"/>
      <c r="D45" s="197">
        <f>(SUM(C38:C42)-D36)*'PIECE DENSITIES'!F7</f>
        <v>5.4304904194744739E-3</v>
      </c>
      <c r="E45" s="24" t="s">
        <v>127</v>
      </c>
      <c r="G45" s="114"/>
      <c r="I45" s="94"/>
      <c r="J45" s="202">
        <f>(SUM(I38:I42)-J36)*'PIECE DENSITIES'!F12</f>
        <v>0</v>
      </c>
      <c r="K45" s="24" t="s">
        <v>128</v>
      </c>
      <c r="L45"/>
      <c r="M45" s="20"/>
      <c r="N45" s="46"/>
      <c r="O45" s="97">
        <f>SUM(N38:N42)*'PIECE DENSITIES'!F17</f>
        <v>2.1225166784735639E-3</v>
      </c>
      <c r="P45" s="24" t="s">
        <v>129</v>
      </c>
      <c r="Q45" s="109"/>
      <c r="S45" s="20"/>
      <c r="U45" s="20"/>
      <c r="Y45"/>
      <c r="Z45"/>
      <c r="AA45"/>
      <c r="AB45"/>
      <c r="AC45"/>
      <c r="AD45"/>
    </row>
    <row r="46" spans="1:30" ht="13" x14ac:dyDescent="0.3">
      <c r="A46" s="114"/>
      <c r="C46" s="89"/>
      <c r="D46" s="197">
        <f>(SUM(C38:C42)-D36)*'PIECE DENSITIES'!G7</f>
        <v>7.2274248835015042E-2</v>
      </c>
      <c r="E46" s="24" t="s">
        <v>130</v>
      </c>
      <c r="G46" s="114"/>
      <c r="I46" s="94"/>
      <c r="J46" s="202">
        <f>(SUM(I38:I42)-J36)*'PIECE DENSITIES'!G12</f>
        <v>0</v>
      </c>
      <c r="K46" s="24" t="s">
        <v>288</v>
      </c>
      <c r="L46"/>
      <c r="M46" s="20"/>
      <c r="N46" s="46"/>
      <c r="O46" s="97">
        <f>SUM(N38:N42)*'PIECE DENSITIES'!G17</f>
        <v>2.8761014745884404E-2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2.2292913838997848</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1.6433996710846248</v>
      </c>
      <c r="B53" s="29">
        <f>C53*(1+'ACCEPT RATES'!F16+'PIECE DENSITIES'!D8)</f>
        <v>26.809279612844009</v>
      </c>
      <c r="C53" s="51">
        <f>C13*('COVERAGE FACTORS'!E38+'COVERAGE FACTORS'!E42)</f>
        <v>26.521992559874693</v>
      </c>
      <c r="E53" s="24" t="s">
        <v>70</v>
      </c>
      <c r="G53" s="217">
        <f>H53*(1-'ACCEPT RATES'!C21)</f>
        <v>0</v>
      </c>
      <c r="H53" s="29">
        <f>I53*(1+'PIECE DENSITIES'!D13)</f>
        <v>0</v>
      </c>
      <c r="I53" s="51">
        <f>C13*'COVERAGE FACTORS'!E40</f>
        <v>0</v>
      </c>
      <c r="J53" s="113"/>
      <c r="K53" s="23" t="s">
        <v>70</v>
      </c>
      <c r="L53"/>
      <c r="M53" s="29">
        <f>N53</f>
        <v>0.1593230273158413</v>
      </c>
      <c r="N53" s="51">
        <f>C13*'COVERAGE FACTORS'!E44</f>
        <v>0.1593230273158413</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0.24105701117185269</v>
      </c>
      <c r="B57" s="199">
        <f>C57*(1+'ACCEPT RATES'!F16+'PIECE DENSITIES'!D8)</f>
        <v>3.932436478387173</v>
      </c>
      <c r="C57" s="198">
        <f>(D31+D43)*('COVERAGE FACTORS'!E38+'COVERAGE FACTORS'!E42)</f>
        <v>3.8902966632492966</v>
      </c>
      <c r="G57" s="210">
        <f>IF(SUM(C11:C16)&gt;0,H57*(1-'ACCEPT RATES'!C21),H57*(1-'ACCEPT RATES'!D21))</f>
        <v>0</v>
      </c>
      <c r="H57" s="209">
        <f>I57*(1+'PIECE DENSITIES'!D13)</f>
        <v>0</v>
      </c>
      <c r="I57" s="208">
        <f>(D31+D43)*'COVERAGE FACTORS'!E40+(J31+J43)*('COVERAGE FACTORS'!E40+'COVERAGE FACTORS'!E42)</f>
        <v>0</v>
      </c>
      <c r="J57" s="58"/>
      <c r="L57"/>
      <c r="M57" s="102">
        <f>N57</f>
        <v>2.51885555479529</v>
      </c>
      <c r="N57" s="101">
        <f>D51+J51+O31+O43+(D31+D43)*'COVERAGE FACTORS'!E44+(J31+J43)*(1-('COVERAGE FACTORS'!E40+'COVERAGE FACTORS'!E42))</f>
        <v>2.51885555479529</v>
      </c>
      <c r="P57" s="20"/>
      <c r="Q57" s="109"/>
      <c r="S57" s="20"/>
      <c r="U57" s="20"/>
      <c r="Y57"/>
      <c r="Z57"/>
      <c r="AA57"/>
      <c r="AB57"/>
      <c r="AC57"/>
      <c r="AD57"/>
    </row>
    <row r="58" spans="1:30" ht="13" x14ac:dyDescent="0.3">
      <c r="A58" s="114"/>
      <c r="C58" s="98"/>
      <c r="D58" s="196">
        <f>(SUM(C53:C57)-D51)*'PIECE DENSITIES'!E8</f>
        <v>5.6067466488899953</v>
      </c>
      <c r="E58" s="24" t="s">
        <v>124</v>
      </c>
      <c r="G58" s="114"/>
      <c r="I58" s="99"/>
      <c r="J58" s="201">
        <f>(SUM(I53:I57)-J51)*'PIECE DENSITIES'!E13</f>
        <v>0</v>
      </c>
      <c r="K58" s="24" t="s">
        <v>125</v>
      </c>
      <c r="L58"/>
      <c r="M58" s="20"/>
      <c r="O58" s="96">
        <f>SUM(N53:N57)*'PIECE DENSITIES'!E18</f>
        <v>0.70774583304260885</v>
      </c>
      <c r="P58" s="24" t="s">
        <v>126</v>
      </c>
      <c r="Q58" s="109"/>
      <c r="S58" s="20"/>
      <c r="U58" s="20"/>
      <c r="Y58"/>
      <c r="Z58"/>
      <c r="AA58"/>
      <c r="AB58"/>
      <c r="AC58"/>
      <c r="AD58"/>
    </row>
    <row r="59" spans="1:30" ht="13" x14ac:dyDescent="0.3">
      <c r="A59" s="114"/>
      <c r="C59" s="98"/>
      <c r="D59" s="196">
        <f>(SUM(C53:C57)-D51)*'PIECE DENSITIES'!F8</f>
        <v>1.8203126248326873</v>
      </c>
      <c r="E59" s="24" t="s">
        <v>127</v>
      </c>
      <c r="G59" s="114"/>
      <c r="I59" s="99"/>
      <c r="J59" s="201">
        <f>(SUM(I53:I57)-J51)*'PIECE DENSITIES'!F13</f>
        <v>0</v>
      </c>
      <c r="K59" s="24" t="s">
        <v>128</v>
      </c>
      <c r="L59"/>
      <c r="M59" s="20"/>
      <c r="O59" s="96">
        <f>SUM(N53:N57)*'PIECE DENSITIES'!F18</f>
        <v>0.11108212168621465</v>
      </c>
      <c r="P59" s="24" t="s">
        <v>129</v>
      </c>
      <c r="Q59" s="109"/>
      <c r="S59" s="20"/>
      <c r="U59" s="20"/>
      <c r="Y59"/>
      <c r="Z59"/>
      <c r="AA59"/>
      <c r="AB59"/>
      <c r="AC59"/>
      <c r="AD59"/>
    </row>
    <row r="60" spans="1:30" ht="13" x14ac:dyDescent="0.3">
      <c r="A60" s="114"/>
      <c r="C60" s="89"/>
      <c r="D60" s="197">
        <f>(SUM(C53:C57)-D51)*'PIECE DENSITIES'!G8</f>
        <v>20.755938565501523</v>
      </c>
      <c r="E60" s="24" t="s">
        <v>130</v>
      </c>
      <c r="G60" s="114"/>
      <c r="I60" s="94"/>
      <c r="J60" s="202">
        <f>(SUM(I53:I57)-J51)*'PIECE DENSITIES'!G13</f>
        <v>0</v>
      </c>
      <c r="K60" s="24" t="s">
        <v>288</v>
      </c>
      <c r="L60"/>
      <c r="M60" s="20"/>
      <c r="N60" s="46"/>
      <c r="O60" s="97">
        <f>SUM(N53:N57)*'PIECE DENSITIES'!G18</f>
        <v>1.8593506273823077</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8.0035054074871805</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9.4315138130900902</v>
      </c>
      <c r="B64" s="29">
        <f>C64*(1+'ACCEPT RATES'!F17+'PIECE DENSITIES'!E9)</f>
        <v>153.85915881354251</v>
      </c>
      <c r="C64" s="51">
        <f>C14*('COVERAGE FACTORS'!E38+'COVERAGE FACTORS'!E42)</f>
        <v>144.86738237960836</v>
      </c>
      <c r="E64" s="24" t="s">
        <v>70</v>
      </c>
      <c r="G64" s="217">
        <f>H64*(1-'ACCEPT RATES'!C22)</f>
        <v>0</v>
      </c>
      <c r="H64" s="29">
        <f>I64*(1+'PIECE DENSITIES'!E14)</f>
        <v>0</v>
      </c>
      <c r="I64" s="51">
        <f>C14*'COVERAGE FACTORS'!E40</f>
        <v>0</v>
      </c>
      <c r="J64" s="113"/>
      <c r="K64" s="23" t="s">
        <v>70</v>
      </c>
      <c r="L64"/>
      <c r="M64" s="29">
        <f>N64</f>
        <v>0.87024795998773252</v>
      </c>
      <c r="N64" s="51">
        <f>C14*'COVERAGE FACTORS'!E44</f>
        <v>0.87024795998773252</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0.48161007097681052</v>
      </c>
      <c r="B68" s="211">
        <f>C68*(1+'ACCEPT RATES'!F17+'PIECE DENSITIES'!E9)</f>
        <v>7.8566518445616111</v>
      </c>
      <c r="C68" s="212">
        <f>(D32+D44+D58)*('COVERAGE FACTORS'!E38+'COVERAGE FACTORS'!E42)</f>
        <v>7.3974964881283469</v>
      </c>
      <c r="G68" s="205">
        <f>IF(SUM(C11:C16)&gt;0, H68*(1-'ACCEPT RATES'!C22),H68*(1-'ACCEPT RATES'!D22))</f>
        <v>0</v>
      </c>
      <c r="H68" s="204">
        <f>I68*(1+'PIECE DENSITIES'!E14)</f>
        <v>0</v>
      </c>
      <c r="I68" s="203">
        <f>(D32+D44+D58)*'COVERAGE FACTORS'!E40+(J32+J44+J58)*('COVERAGE FACTORS'!E40+'COVERAGE FACTORS'!E42)</f>
        <v>0</v>
      </c>
      <c r="J68" s="58"/>
      <c r="L68"/>
      <c r="M68" s="102">
        <f>N68</f>
        <v>8.8399750884136079</v>
      </c>
      <c r="N68" s="101">
        <f>D62+J62+O32+O44+O58+(D32+D44+D58)*'COVERAGE FACTORS'!E44+(J32+J44+J58)*(1-('COVERAGE FACTORS'!E40+'COVERAGE FACTORS'!E42))</f>
        <v>8.8399750884136079</v>
      </c>
      <c r="P68" s="20"/>
      <c r="Q68" s="109"/>
      <c r="S68" s="20"/>
      <c r="U68" s="20"/>
      <c r="Y68"/>
      <c r="Z68"/>
      <c r="AA68"/>
      <c r="AB68"/>
      <c r="AC68"/>
      <c r="AD68"/>
    </row>
    <row r="69" spans="1:30" ht="13" x14ac:dyDescent="0.3">
      <c r="A69" s="114"/>
      <c r="C69" s="98"/>
      <c r="D69" s="196">
        <f>(SUM(C64:C68)-D62)*'PIECE DENSITIES'!F9</f>
        <v>3.2274113027575475</v>
      </c>
      <c r="E69" s="24" t="s">
        <v>127</v>
      </c>
      <c r="G69" s="114"/>
      <c r="I69" s="99"/>
      <c r="J69" s="201">
        <f>(SUM(I64:I68)-J62)*'PIECE DENSITIES'!F14</f>
        <v>0</v>
      </c>
      <c r="K69" s="24" t="s">
        <v>128</v>
      </c>
      <c r="L69"/>
      <c r="M69" s="20"/>
      <c r="O69" s="96">
        <f>SUM(N64:N68)*'PIECE DENSITIES'!F19</f>
        <v>0.2511823800038418</v>
      </c>
      <c r="P69" s="24" t="s">
        <v>129</v>
      </c>
      <c r="Q69" s="109"/>
      <c r="S69" s="20"/>
      <c r="U69" s="20"/>
      <c r="Y69"/>
      <c r="Z69"/>
      <c r="AA69"/>
      <c r="AB69"/>
      <c r="AC69"/>
      <c r="AD69"/>
    </row>
    <row r="70" spans="1:30" ht="13" x14ac:dyDescent="0.3">
      <c r="A70" s="114"/>
      <c r="C70" s="98"/>
      <c r="D70" s="196">
        <f>(SUM(C64:C68)-D62)*'PIECE DENSITIES'!G9</f>
        <v>141.033962157492</v>
      </c>
      <c r="E70" s="24" t="s">
        <v>130</v>
      </c>
      <c r="G70" s="114"/>
      <c r="I70" s="99"/>
      <c r="J70" s="201">
        <f>(SUM(I64:I68)-J62)*'PIECE DENSITIES'!G14</f>
        <v>0</v>
      </c>
      <c r="K70" s="24" t="s">
        <v>288</v>
      </c>
      <c r="L70"/>
      <c r="M70" s="20"/>
      <c r="O70" s="96">
        <f>SUM(N64:N68)*'PIECE DENSITIES'!G19</f>
        <v>9.459040668397499</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0.27435146649192332</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0.33981111233655664</v>
      </c>
      <c r="B78" s="211">
        <f>C78*(1+'ACCEPT RATES'!F17)</f>
        <v>5.5434422231384151</v>
      </c>
      <c r="C78" s="212">
        <f>(D33+D45+D59+D69)*('COVERAGE FACTORS'!E38+'COVERAGE FACTORS'!E42)</f>
        <v>5.4900386648640422</v>
      </c>
      <c r="G78" s="205">
        <f>IF(SUM(C11:C16)&gt;0,H78*(1-'ACCEPT RATES'!C22),H78*(1-'ACCEPT RATES'!D22))</f>
        <v>0</v>
      </c>
      <c r="H78" s="204">
        <f>I78</f>
        <v>0</v>
      </c>
      <c r="I78" s="203">
        <f>(D33+D45+D59+D69)*'COVERAGE FACTORS'!E40+(J33+J45+J59+J69)*('COVERAGE FACTORS'!E40+'COVERAGE FACTORS'!E42)</f>
        <v>0</v>
      </c>
      <c r="J78" s="58"/>
      <c r="L78"/>
      <c r="M78" s="102">
        <f ca="1">N78</f>
        <v>0.69602534798485005</v>
      </c>
      <c r="N78" s="294">
        <f ca="1">D72+J72+O33+O45+O59+O69+(D33+D45+D59+D69)*'COVERAGE FACTORS'!E44+(J33+J45+J59+J69)*(1-('COVERAGE FACTORS'!E40+'COVERAGE FACTORS'!E42))+D106</f>
        <v>0.69602534798485005</v>
      </c>
      <c r="P78" s="20"/>
      <c r="Q78" s="109"/>
      <c r="S78" s="20"/>
      <c r="U78" s="20"/>
      <c r="Y78"/>
      <c r="Z78"/>
      <c r="AA78"/>
      <c r="AB78"/>
      <c r="AC78"/>
      <c r="AD78"/>
    </row>
    <row r="79" spans="1:30" ht="13" x14ac:dyDescent="0.3">
      <c r="A79" s="114"/>
      <c r="C79" s="98"/>
      <c r="D79" s="196">
        <f>SUM(C74:C78)-D72</f>
        <v>5.2156871983721187</v>
      </c>
      <c r="E79" s="24" t="s">
        <v>130</v>
      </c>
      <c r="G79" s="114"/>
      <c r="I79" s="99"/>
      <c r="J79" s="201">
        <f>SUM(I74:I78)-J72</f>
        <v>0</v>
      </c>
      <c r="K79" s="24" t="s">
        <v>288</v>
      </c>
      <c r="L79"/>
      <c r="M79" s="20"/>
      <c r="O79" s="96">
        <f ca="1">SUM(N74:N78)</f>
        <v>0.69602534798485005</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474.68528651866427</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578.10904396763419</v>
      </c>
      <c r="B83" s="29">
        <f>C83*(1+'ACCEPT RATES'!F17)</f>
        <v>9430.8689962273638</v>
      </c>
      <c r="C83" s="325">
        <f>(C16-C95)*('COVERAGE FACTORS'!E67+'COVERAGE FACTORS'!E71)*'COVERAGE FACTORS'!E112</f>
        <v>9340.0153457796714</v>
      </c>
      <c r="E83" s="24" t="s">
        <v>70</v>
      </c>
      <c r="G83" s="217">
        <v>0</v>
      </c>
      <c r="H83" s="29">
        <f>I83</f>
        <v>0</v>
      </c>
      <c r="I83" s="325">
        <f>(C16-C95)*'COVERAGE FACTORS'!E69*'COVERAGE FACTORS'!E112</f>
        <v>0</v>
      </c>
      <c r="J83" s="113"/>
      <c r="K83" s="23" t="s">
        <v>70</v>
      </c>
      <c r="L83"/>
      <c r="M83" s="29">
        <f>N83</f>
        <v>480.86361439161789</v>
      </c>
      <c r="N83" s="325">
        <f>(C16-C95)*'COVERAGE FACTORS'!E114</f>
        <v>480.86361439161789</v>
      </c>
      <c r="P83" s="316"/>
      <c r="Q83" s="317"/>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9.8350894618587414</v>
      </c>
      <c r="B87" s="211">
        <f>C87*(1+'ACCEPT RATES'!F17)</f>
        <v>160.44281134989291</v>
      </c>
      <c r="C87" s="212">
        <f>(D34+D46+D60+D70+D79)*('COVERAGE FACTORS'!E67+'COVERAGE FACTORS'!E71)*'COVERAGE FACTORS'!E112</f>
        <v>158.8971621520237</v>
      </c>
      <c r="G87" s="205">
        <v>0</v>
      </c>
      <c r="H87" s="204">
        <f>I87</f>
        <v>0</v>
      </c>
      <c r="I87" s="203">
        <f>(D34+D46+D60+D70+D79)*'COVERAGE FACTORS'!E69*'COVERAGE FACTORS'!E112+(J34+J46+J60+J70+J79)*('COVERAGE FACTORS'!E69+'COVERAGE FACTORS'!E71)*'COVERAGE FACTORS'!E112</f>
        <v>0</v>
      </c>
      <c r="J87" s="213"/>
      <c r="L87"/>
      <c r="M87" s="102">
        <f ca="1">N87</f>
        <v>494.90916419535182</v>
      </c>
      <c r="N87" s="294">
        <f ca="1">D81+J81+(O34+O46+O60+O70+O79)+(D34+D46+D60+D70+D79)*'COVERAGE FACTORS'!E114+(J34+J46+J60+J70+J79)*(1-('COVERAGE FACTORS'!E71+'COVERAGE FACTORS'!E69)*'COVERAGE FACTORS'!E112)+D120</f>
        <v>494.90916419535182</v>
      </c>
      <c r="P87" s="20"/>
      <c r="Q87" s="109"/>
      <c r="S87" s="20"/>
      <c r="U87" s="20"/>
      <c r="Y87"/>
      <c r="Z87"/>
      <c r="AA87"/>
      <c r="AB87"/>
      <c r="AC87"/>
      <c r="AD87"/>
    </row>
    <row r="88" spans="1:30" ht="13" x14ac:dyDescent="0.3">
      <c r="A88" s="114"/>
      <c r="C88" s="98"/>
      <c r="D88" s="103">
        <f>SUM(C83:C87)-D81</f>
        <v>9024.2272214130298</v>
      </c>
      <c r="E88" s="24"/>
      <c r="G88" s="218"/>
      <c r="H88" s="214"/>
      <c r="I88" s="214"/>
      <c r="J88" s="215">
        <f>SUM(I83:I87)-J81</f>
        <v>0</v>
      </c>
      <c r="K88" s="24"/>
      <c r="L88"/>
      <c r="M88" s="20"/>
      <c r="O88" s="216">
        <f ca="1">SUM(N83:N87)</f>
        <v>975.77277858696971</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325">
        <f>C16*'COVERAGE FACTORS'!F129*'COVERAGE FACTORS'!B119</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326">
        <f ca="1">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worksheet>
</file>

<file path=xl/worksheets/sheet3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2"/>
  <dimension ref="A1:L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495</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'BUNDLE SORT'!$I$91*('COVERAGE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v>0</v>
      </c>
    </row>
    <row r="12" spans="1:11" ht="13" x14ac:dyDescent="0.3">
      <c r="A12" s="36"/>
      <c r="B12" t="s">
        <v>529</v>
      </c>
      <c r="C12" s="151">
        <f>'BUNDLE SORT'!$I$91*('COVERAGE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v>0</v>
      </c>
    </row>
    <row r="13" spans="1:11" ht="13" x14ac:dyDescent="0.3">
      <c r="A13" s="36"/>
      <c r="B13" t="s">
        <v>70</v>
      </c>
      <c r="C13" s="151">
        <f>'BUNDLE SORT'!$J$91</f>
        <v>0</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v>0</v>
      </c>
    </row>
    <row r="14" spans="1:11" ht="13" x14ac:dyDescent="0.3">
      <c r="A14" s="36"/>
      <c r="C14" s="151"/>
      <c r="D14" s="151"/>
      <c r="E14" s="135"/>
      <c r="F14" s="136"/>
      <c r="G14" s="137"/>
      <c r="H14" s="137"/>
      <c r="I14" s="138"/>
      <c r="J14" s="136"/>
    </row>
    <row r="15" spans="1:11" ht="13" x14ac:dyDescent="0.3">
      <c r="A15" s="1" t="s">
        <v>253</v>
      </c>
      <c r="C15" s="151"/>
      <c r="D15" s="151"/>
      <c r="E15" s="135"/>
      <c r="F15" s="136"/>
      <c r="G15" s="137"/>
      <c r="H15" s="137"/>
      <c r="I15" s="138"/>
      <c r="J15" s="136"/>
    </row>
    <row r="16" spans="1:11" s="7" customFormat="1" x14ac:dyDescent="0.25">
      <c r="B16" s="7" t="s">
        <v>234</v>
      </c>
      <c r="C16" s="151">
        <f>'BUNDLE SORT'!$M$91*('COVERAGE FACTORS'!$E$30/('COVERAGE FACTORS'!$E$30+'COVERAGE FACTORS'!$E$32))</f>
        <v>0</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v>0</v>
      </c>
    </row>
    <row r="17" spans="1:11" ht="13" x14ac:dyDescent="0.3">
      <c r="A17" s="1"/>
      <c r="B17" t="s">
        <v>529</v>
      </c>
      <c r="C17" s="151">
        <f>'BUNDLE SORT'!$M$91*('COVERAGE FACTORS'!$E$32/('COVERAGE FACTORS'!$E$30+'COVERAGE FACTORS'!$E$32))</f>
        <v>0</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v>0</v>
      </c>
    </row>
    <row r="18" spans="1:11" ht="13" x14ac:dyDescent="0.3">
      <c r="A18" s="1"/>
      <c r="B18" t="s">
        <v>70</v>
      </c>
      <c r="C18" s="151">
        <f>'BUNDLE SORT'!$N$91</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v>0</v>
      </c>
    </row>
    <row r="19" spans="1:11" ht="13" x14ac:dyDescent="0.3">
      <c r="A19" s="1"/>
      <c r="C19" s="151"/>
      <c r="D19" s="151"/>
      <c r="E19" s="135"/>
      <c r="F19" s="136"/>
      <c r="G19" s="137"/>
      <c r="H19" s="137"/>
      <c r="I19" s="138"/>
      <c r="J19" s="136"/>
    </row>
    <row r="20" spans="1:11" ht="13" x14ac:dyDescent="0.3">
      <c r="A20" s="1" t="s">
        <v>254</v>
      </c>
      <c r="C20" s="151"/>
      <c r="D20" s="151"/>
      <c r="E20" s="135"/>
      <c r="F20" s="136"/>
      <c r="G20" s="137"/>
      <c r="H20" s="137"/>
      <c r="I20" s="138"/>
      <c r="J20" s="136"/>
    </row>
    <row r="21" spans="1:11" ht="13" x14ac:dyDescent="0.3">
      <c r="A21" s="1"/>
      <c r="B21" t="s">
        <v>234</v>
      </c>
      <c r="C21" s="151">
        <f>'BUNDLE SORT'!$Q$91*('COVERAGE FACTORS'!$E$30/('COVERAGE FACTORS'!$E$30+'COVERAGE FACTORS'!$E$32))</f>
        <v>0</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v>0</v>
      </c>
    </row>
    <row r="22" spans="1:11" ht="13" x14ac:dyDescent="0.3">
      <c r="A22" s="1"/>
      <c r="B22" t="s">
        <v>529</v>
      </c>
      <c r="C22" s="151">
        <f>'BUNDLE SORT'!$Q$91*('COVERAGE FACTORS'!$E$32/('COVERAGE FACTORS'!$E$30+'COVERAGE FACTORS'!$E$32))</f>
        <v>0</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v>0</v>
      </c>
    </row>
    <row r="23" spans="1:11" ht="13" x14ac:dyDescent="0.3">
      <c r="A23" s="1"/>
      <c r="B23" t="s">
        <v>70</v>
      </c>
      <c r="C23" s="151">
        <f>'BUNDLE SORT'!$R$91</f>
        <v>0</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v>0</v>
      </c>
    </row>
    <row r="24" spans="1:11" ht="13" x14ac:dyDescent="0.3">
      <c r="A24" s="1"/>
      <c r="C24" s="151"/>
      <c r="D24" s="151"/>
      <c r="E24" s="135"/>
      <c r="F24" s="136"/>
      <c r="G24" s="137"/>
      <c r="H24" s="137"/>
      <c r="I24" s="138"/>
      <c r="J24" s="136"/>
    </row>
    <row r="25" spans="1:11" ht="13" x14ac:dyDescent="0.3">
      <c r="A25" s="1" t="s">
        <v>255</v>
      </c>
      <c r="C25" s="151"/>
      <c r="D25" s="151"/>
      <c r="E25" s="135"/>
      <c r="F25" s="136"/>
      <c r="G25" s="137"/>
      <c r="H25" s="137"/>
      <c r="I25" s="138"/>
      <c r="J25" s="136"/>
    </row>
    <row r="26" spans="1:11" ht="13" x14ac:dyDescent="0.3">
      <c r="A26" s="1"/>
      <c r="B26" t="s">
        <v>234</v>
      </c>
      <c r="C26" s="151">
        <f>'BUNDLE SORT'!$U$91*('COVERAGE FACTORS'!$E$30/('COVERAGE FACTORS'!$E$30+'COVERAGE FACTORS'!$E$32))</f>
        <v>0</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v>0</v>
      </c>
    </row>
    <row r="27" spans="1:11" ht="13" x14ac:dyDescent="0.3">
      <c r="A27" s="1"/>
      <c r="B27" t="s">
        <v>529</v>
      </c>
      <c r="C27" s="151">
        <f>'BUNDLE SORT'!$U$91*('COVERAGE FACTORS'!$E$32/('COVERAGE FACTORS'!$E$30+'COVERAGE FACTORS'!$E$32))</f>
        <v>0</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v>0</v>
      </c>
    </row>
    <row r="28" spans="1:11" ht="13" x14ac:dyDescent="0.3">
      <c r="A28" s="1"/>
      <c r="B28" t="s">
        <v>70</v>
      </c>
      <c r="C28" s="151">
        <f>'BUNDLE SORT'!$V$91</f>
        <v>0</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v>0</v>
      </c>
    </row>
    <row r="29" spans="1:11" ht="13" x14ac:dyDescent="0.3">
      <c r="A29" s="1"/>
      <c r="C29" s="149"/>
      <c r="D29" s="149"/>
      <c r="E29" s="135"/>
      <c r="F29" s="136"/>
      <c r="G29" s="137"/>
      <c r="H29" s="138"/>
      <c r="I29" s="138"/>
      <c r="J29" s="136"/>
    </row>
    <row r="30" spans="1:11" ht="13" x14ac:dyDescent="0.3">
      <c r="A30" s="1" t="s">
        <v>71</v>
      </c>
      <c r="F30" s="42"/>
      <c r="H30" s="42"/>
      <c r="I30" s="42"/>
      <c r="J30" s="42"/>
    </row>
    <row r="31" spans="1:11" ht="13" x14ac:dyDescent="0.3">
      <c r="A31" s="36"/>
      <c r="B31" t="s">
        <v>72</v>
      </c>
      <c r="C31" s="2">
        <f>SUM('FSS AUTO OTHER MODEL'!$B$25:$B$29)</f>
        <v>0</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C31*$J31/'5D AUTO MODEL'!$G$6</f>
        <v>0</v>
      </c>
    </row>
    <row r="32" spans="1:11" ht="13" x14ac:dyDescent="0.3">
      <c r="A32" s="36"/>
      <c r="B32" t="s">
        <v>244</v>
      </c>
      <c r="C32" s="2">
        <f>SUM('FSS AUTO OTHER MODEL'!$A$25:$A$29)</f>
        <v>0</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C32*$J32/'5D AUTO MODEL'!$G$6</f>
        <v>0</v>
      </c>
    </row>
    <row r="33" spans="1:11" ht="13" x14ac:dyDescent="0.3">
      <c r="A33" s="36"/>
      <c r="B33" t="s">
        <v>291</v>
      </c>
      <c r="C33" s="2">
        <f>SUM('FSS AUTO OTHER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C33*$J33/'5D AUTO MODEL'!$G$6</f>
        <v>0</v>
      </c>
    </row>
    <row r="34" spans="1:11" x14ac:dyDescent="0.25">
      <c r="B34" t="s">
        <v>292</v>
      </c>
      <c r="C34" s="2">
        <f>SUM('FSS AUTO OTHER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C34*$J34/'5D AUTO MODEL'!$G$6</f>
        <v>0</v>
      </c>
    </row>
    <row r="35" spans="1:11" x14ac:dyDescent="0.25">
      <c r="B35" t="s">
        <v>70</v>
      </c>
      <c r="C35" s="2">
        <f>SUM('FSS AUTO OTHER MODEL'!$M$25:$M$29)</f>
        <v>0</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C35*$J35/'5D AUTO MODEL'!$G$6</f>
        <v>0</v>
      </c>
    </row>
    <row r="36" spans="1:11" x14ac:dyDescent="0.25">
      <c r="F36" s="42"/>
      <c r="H36" s="42"/>
      <c r="I36" s="42"/>
      <c r="J36" s="42"/>
    </row>
    <row r="37" spans="1:11" ht="13" x14ac:dyDescent="0.3">
      <c r="A37" s="1" t="s">
        <v>73</v>
      </c>
      <c r="F37" s="42"/>
      <c r="H37" s="42"/>
      <c r="I37" s="42"/>
      <c r="J37" s="42"/>
    </row>
    <row r="38" spans="1:11" ht="13" x14ac:dyDescent="0.3">
      <c r="A38" s="36"/>
      <c r="B38" t="s">
        <v>72</v>
      </c>
      <c r="C38" s="2">
        <f>SUM('FSS AUTO OTHER MODEL'!$B$38:$B$42)</f>
        <v>0</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C38*$J38/'5D AUTO MODEL'!$G$6</f>
        <v>0</v>
      </c>
    </row>
    <row r="39" spans="1:11" ht="13" x14ac:dyDescent="0.3">
      <c r="A39" s="36"/>
      <c r="B39" t="s">
        <v>244</v>
      </c>
      <c r="C39" s="2">
        <f>SUM('FSS AUTO OTHER MODEL'!$A$38:$A$42)</f>
        <v>0</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C39*$J39/'5D AUTO MODEL'!$G$6</f>
        <v>0</v>
      </c>
    </row>
    <row r="40" spans="1:11" x14ac:dyDescent="0.25">
      <c r="B40" t="s">
        <v>291</v>
      </c>
      <c r="C40" s="2">
        <f>SUM('FSS AUTO OTHER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C40*$J40/'5D AUTO MODEL'!$G$6</f>
        <v>0</v>
      </c>
    </row>
    <row r="41" spans="1:11" x14ac:dyDescent="0.25">
      <c r="B41" t="s">
        <v>292</v>
      </c>
      <c r="C41" s="2">
        <f>SUM('FSS AUTO OTHER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C41*$J41/'5D AUTO MODEL'!$G$6</f>
        <v>0</v>
      </c>
    </row>
    <row r="42" spans="1:11" x14ac:dyDescent="0.25">
      <c r="B42" t="s">
        <v>70</v>
      </c>
      <c r="C42" s="2">
        <f>SUM('FSS AUTO OTHER MODEL'!$M$38:$M$42)</f>
        <v>0</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C42*$J42/'5D AUTO MODEL'!$G$6</f>
        <v>0</v>
      </c>
    </row>
    <row r="43" spans="1:11" x14ac:dyDescent="0.25">
      <c r="F43" s="42"/>
      <c r="H43" s="42"/>
      <c r="I43" s="42"/>
      <c r="J43" s="42"/>
    </row>
    <row r="44" spans="1:11" ht="13" x14ac:dyDescent="0.3">
      <c r="A44" s="1" t="s">
        <v>74</v>
      </c>
      <c r="F44" s="42"/>
      <c r="H44" s="42"/>
      <c r="I44" s="42"/>
      <c r="J44" s="42"/>
    </row>
    <row r="45" spans="1:11" ht="13" x14ac:dyDescent="0.3">
      <c r="A45" s="36"/>
      <c r="B45" t="s">
        <v>72</v>
      </c>
      <c r="C45" s="2">
        <f>SUM('FSS AUTO OTHER MODEL'!$B$53:$B$57)</f>
        <v>0</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C45*$J45/'5D AUTO MODEL'!$G$6</f>
        <v>0</v>
      </c>
    </row>
    <row r="46" spans="1:11" ht="13" x14ac:dyDescent="0.3">
      <c r="A46" s="36"/>
      <c r="B46" t="s">
        <v>244</v>
      </c>
      <c r="C46" s="2">
        <f>SUM('FSS AUTO OTHER MODEL'!$A$53:$A$57)</f>
        <v>0</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C46*$J46/'5D AUTO MODEL'!$G$6</f>
        <v>0</v>
      </c>
    </row>
    <row r="47" spans="1:11" x14ac:dyDescent="0.25">
      <c r="B47" t="s">
        <v>291</v>
      </c>
      <c r="C47" s="2">
        <f>SUM('FSS AUTO OTHER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C47*$J47/'5D AUTO MODEL'!$G$6</f>
        <v>0</v>
      </c>
    </row>
    <row r="48" spans="1:11" x14ac:dyDescent="0.25">
      <c r="B48" t="s">
        <v>292</v>
      </c>
      <c r="C48" s="2">
        <f>SUM('FSS AUTO OTHER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C48*$J48/'5D AUTO MODEL'!$G$6</f>
        <v>0</v>
      </c>
    </row>
    <row r="49" spans="1:11" x14ac:dyDescent="0.25">
      <c r="B49" t="s">
        <v>70</v>
      </c>
      <c r="C49" s="2">
        <f>SUM('FSS AUTO OTHER MODEL'!$M$53:$M$57)</f>
        <v>0</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C49*$J49/'5D AUTO MODEL'!$G$6</f>
        <v>0</v>
      </c>
    </row>
    <row r="50" spans="1:11" x14ac:dyDescent="0.25">
      <c r="F50" s="42"/>
      <c r="H50" s="42"/>
      <c r="I50" s="42"/>
      <c r="J50" s="42"/>
    </row>
    <row r="51" spans="1:11" ht="13" x14ac:dyDescent="0.3">
      <c r="A51" s="1" t="s">
        <v>75</v>
      </c>
      <c r="F51" s="42"/>
      <c r="H51" s="42"/>
      <c r="I51" s="42"/>
      <c r="J51" s="42"/>
    </row>
    <row r="52" spans="1:11" ht="13" x14ac:dyDescent="0.3">
      <c r="A52" s="36"/>
      <c r="B52" t="s">
        <v>72</v>
      </c>
      <c r="C52" s="2">
        <f>SUM('FSS AUTO OTHER MODEL'!$B$64:$B$68)</f>
        <v>0</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C52*$J52/'5D AUTO MODEL'!$G$6</f>
        <v>0</v>
      </c>
    </row>
    <row r="53" spans="1:11" ht="13" x14ac:dyDescent="0.3">
      <c r="A53" s="36"/>
      <c r="B53" t="s">
        <v>244</v>
      </c>
      <c r="C53" s="2">
        <f>SUM('FSS AUTO OTHER MODEL'!$A$64:$A$68)</f>
        <v>0</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C53*$J53/'5D AUTO MODEL'!$G$6</f>
        <v>0</v>
      </c>
    </row>
    <row r="54" spans="1:11" x14ac:dyDescent="0.25">
      <c r="B54" t="s">
        <v>291</v>
      </c>
      <c r="C54" s="2">
        <f>SUM('FSS AUTO OTHER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C54*$J54/'5D AUTO MODEL'!$G$6</f>
        <v>0</v>
      </c>
    </row>
    <row r="55" spans="1:11" x14ac:dyDescent="0.25">
      <c r="B55" t="s">
        <v>292</v>
      </c>
      <c r="C55" s="2">
        <f>SUM('FSS AUTO OTHER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C55*$J55/'5D AUTO MODEL'!$G$6</f>
        <v>0</v>
      </c>
    </row>
    <row r="56" spans="1:11" x14ac:dyDescent="0.25">
      <c r="B56" t="s">
        <v>70</v>
      </c>
      <c r="C56" s="2">
        <f>SUM('FSS AUTO OTHER MODEL'!$M$64:$M$68)</f>
        <v>0</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C56*$J56/'5D AUTO MODEL'!$G$6</f>
        <v>0</v>
      </c>
    </row>
    <row r="57" spans="1:11" x14ac:dyDescent="0.25">
      <c r="F57" s="42"/>
      <c r="H57" s="42"/>
      <c r="I57" s="42"/>
      <c r="J57" s="42"/>
    </row>
    <row r="58" spans="1:11" ht="13" x14ac:dyDescent="0.3">
      <c r="A58" s="1" t="s">
        <v>76</v>
      </c>
      <c r="F58" s="42"/>
      <c r="H58" s="42"/>
      <c r="I58" s="42"/>
      <c r="J58" s="42"/>
    </row>
    <row r="59" spans="1:11" ht="13" x14ac:dyDescent="0.3">
      <c r="A59" s="36"/>
      <c r="B59" t="s">
        <v>72</v>
      </c>
      <c r="C59" s="2">
        <f>SUM('FSS AUTO OTHER MODEL'!$B$74:$B$78)+SUM('FSS AUTO OTHER MODEL'!$B$108:$B$112)</f>
        <v>0</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C59*$J59/'5D AUTO MODEL'!$G$6</f>
        <v>0</v>
      </c>
    </row>
    <row r="60" spans="1:11" ht="13" x14ac:dyDescent="0.3">
      <c r="A60" s="36"/>
      <c r="B60" t="s">
        <v>244</v>
      </c>
      <c r="C60" s="2">
        <f>SUM('FSS AUTO OTHER MODEL'!$A$74:$A$78)+SUM('FSS AUTO OTHER MODEL'!$A$108:$A$112)</f>
        <v>0</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C60*$J60/'5D AUTO MODEL'!$G$6</f>
        <v>0</v>
      </c>
    </row>
    <row r="61" spans="1:11" x14ac:dyDescent="0.25">
      <c r="B61" t="s">
        <v>291</v>
      </c>
      <c r="C61" s="2">
        <f>SUM('FSS AUTO OTHER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C61*$J61/'5D AUTO MODEL'!$G$6</f>
        <v>0</v>
      </c>
    </row>
    <row r="62" spans="1:11" x14ac:dyDescent="0.25">
      <c r="B62" t="s">
        <v>292</v>
      </c>
      <c r="C62" s="2">
        <f>SUM('FSS AUTO OTHER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C62*$J62/'5D AUTO MODEL'!$G$6</f>
        <v>0</v>
      </c>
    </row>
    <row r="63" spans="1:11" x14ac:dyDescent="0.25">
      <c r="B63" t="s">
        <v>70</v>
      </c>
      <c r="C63" s="2">
        <f>SUM('FSS AUTO OTHER MODEL'!$M$74:$M$78)</f>
        <v>0</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C63*$J63/'5D AUTO MODEL'!$G$6</f>
        <v>0</v>
      </c>
    </row>
    <row r="64" spans="1:11" ht="13" x14ac:dyDescent="0.3">
      <c r="A64" s="36"/>
      <c r="F64" s="42"/>
      <c r="H64" s="42"/>
      <c r="I64" s="42"/>
      <c r="J64" s="42"/>
    </row>
    <row r="65" spans="1:12" ht="13" x14ac:dyDescent="0.3">
      <c r="A65" s="1" t="s">
        <v>77</v>
      </c>
      <c r="F65" s="42"/>
      <c r="H65" s="42"/>
      <c r="I65" s="42"/>
      <c r="J65" s="42"/>
    </row>
    <row r="66" spans="1:12" ht="13" x14ac:dyDescent="0.3">
      <c r="A66" s="36"/>
      <c r="B66" t="s">
        <v>72</v>
      </c>
      <c r="C66" s="2">
        <f>SUM('FSS AUTO OTHER MODEL'!$B$83:$B$87)+SUM('FSS AUTO OTHER MODEL'!$B$122:$B$126)</f>
        <v>0</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C66*$J66/'5D AUTO MODEL'!$G$6</f>
        <v>0</v>
      </c>
    </row>
    <row r="67" spans="1:12" ht="13" x14ac:dyDescent="0.3">
      <c r="A67" s="36"/>
      <c r="B67" t="s">
        <v>244</v>
      </c>
      <c r="C67" s="2">
        <f>SUM('FSS AUTO OTHER MODEL'!$A$83:$A$87)+SUM('FSS AUTO OTHER MODEL'!$A$122:$A$126)</f>
        <v>0</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C67*$J67/'5D AUTO MODEL'!$G$6</f>
        <v>0</v>
      </c>
    </row>
    <row r="68" spans="1:12" x14ac:dyDescent="0.25">
      <c r="B68" t="s">
        <v>291</v>
      </c>
      <c r="C68" s="2">
        <f>SUM('FSS AUTO OTHER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C68*$J68/'5D AUTO MODEL'!$G$6</f>
        <v>0</v>
      </c>
    </row>
    <row r="69" spans="1:12" x14ac:dyDescent="0.25">
      <c r="B69" t="s">
        <v>292</v>
      </c>
      <c r="C69" s="2">
        <f>SUM('FSS AUTO OTHER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C69*$J69/'5D AUTO MODEL'!$G$6</f>
        <v>0</v>
      </c>
    </row>
    <row r="70" spans="1:12" x14ac:dyDescent="0.25">
      <c r="B70" t="s">
        <v>70</v>
      </c>
      <c r="C70" s="2">
        <f>SUM('FSS AUTO OTHER MODEL'!$M$83:$M$87)</f>
        <v>0</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C70*$J70/'5D AUTO MODEL'!$G$6</f>
        <v>0</v>
      </c>
    </row>
    <row r="71" spans="1:12" x14ac:dyDescent="0.25">
      <c r="F71" s="42"/>
      <c r="H71" s="42"/>
      <c r="I71" s="42"/>
      <c r="J71" s="42"/>
    </row>
    <row r="72" spans="1:12" ht="13" x14ac:dyDescent="0.3">
      <c r="A72" s="1" t="s">
        <v>368</v>
      </c>
      <c r="F72" s="42"/>
      <c r="H72" s="42"/>
      <c r="I72" s="42"/>
      <c r="J72" s="42"/>
    </row>
    <row r="73" spans="1:12" x14ac:dyDescent="0.25">
      <c r="B73" t="s">
        <v>366</v>
      </c>
      <c r="C73" s="2">
        <v>0</v>
      </c>
      <c r="D73" s="2">
        <v>0</v>
      </c>
      <c r="E73" s="38">
        <v>0</v>
      </c>
      <c r="F73" s="42">
        <v>0</v>
      </c>
      <c r="G73" s="42">
        <v>0</v>
      </c>
      <c r="H73" s="42">
        <v>0</v>
      </c>
      <c r="I73" s="42">
        <v>0</v>
      </c>
      <c r="J73" s="42">
        <v>0</v>
      </c>
      <c r="K73" s="42">
        <v>0</v>
      </c>
      <c r="L73" s="42"/>
    </row>
    <row r="74" spans="1:12" x14ac:dyDescent="0.25">
      <c r="B74" t="s">
        <v>244</v>
      </c>
      <c r="C74" s="2">
        <f>SUM('FSS AUTO OTHER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C74*$J74/'5D AUTO MODEL'!$G$6</f>
        <v>0</v>
      </c>
    </row>
    <row r="76" spans="1:12" x14ac:dyDescent="0.25">
      <c r="B76" s="155" t="s">
        <v>486</v>
      </c>
      <c r="C76" s="2">
        <v>0</v>
      </c>
      <c r="D76" s="2">
        <f>PRODUCTIVITIES!$C$49*'FY VOLUME AUTO'!C59</f>
        <v>0</v>
      </c>
      <c r="E76" s="38">
        <f>'WAGE RATES'!$C$6</f>
        <v>50.10717457546064</v>
      </c>
      <c r="F76" s="42" t="e">
        <f t="shared" ref="F76:F77" si="0">E76*100/D76</f>
        <v>#DIV/0!</v>
      </c>
      <c r="G76" s="42">
        <f>PIGGYBACKS!B13</f>
        <v>1.6305774272183733</v>
      </c>
      <c r="H76" s="42">
        <f>'WAGE RATES'!$C$9</f>
        <v>0.9752031228402912</v>
      </c>
      <c r="I76" s="42" t="e">
        <f t="shared" ref="I76:I77" si="1">(H76-1)*F76</f>
        <v>#DIV/0!</v>
      </c>
      <c r="J76" s="42" t="e">
        <f t="shared" ref="J76:J77" si="2">F76*G76+I76</f>
        <v>#DIV/0!</v>
      </c>
      <c r="K76" s="42" t="e">
        <f ca="1">C76*$J76/'5D AUTO MODEL'!$G$6</f>
        <v>#DIV/0!</v>
      </c>
    </row>
    <row r="77" spans="1:12" x14ac:dyDescent="0.25">
      <c r="B77" s="155" t="s">
        <v>491</v>
      </c>
      <c r="C77" s="2">
        <f>SUM(C31,C33,C34,C38,C40,C41,C45,C47,C48,C52,C54,C55,C59,C61,C62,C66,C68,C69)</f>
        <v>0</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0</v>
      </c>
    </row>
    <row r="78" spans="1:12" ht="13" thickBot="1" x14ac:dyDescent="0.3">
      <c r="F78" s="42"/>
      <c r="H78" s="42"/>
      <c r="I78" s="42"/>
      <c r="J78" s="42"/>
    </row>
    <row r="79" spans="1:12" ht="13.5" thickBot="1" x14ac:dyDescent="0.35">
      <c r="F79" s="42"/>
      <c r="H79" s="42"/>
      <c r="I79" s="42"/>
      <c r="J79" s="142" t="s">
        <v>78</v>
      </c>
      <c r="K79" s="143">
        <v>0</v>
      </c>
    </row>
    <row r="80" spans="1:12" ht="13.5" thickBot="1" x14ac:dyDescent="0.35">
      <c r="J80" s="142" t="s">
        <v>485</v>
      </c>
      <c r="K80" s="143">
        <v>0</v>
      </c>
    </row>
    <row r="83" spans="1:8" ht="13" x14ac:dyDescent="0.3">
      <c r="A83" s="145" t="str">
        <f>"(1)"</f>
        <v>(1)</v>
      </c>
      <c r="B83" s="1" t="s">
        <v>409</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scale="62" orientation="portrait" r:id="rId1"/>
  <ignoredErrors>
    <ignoredError sqref="E4" numberStoredAsText="1"/>
  </ignoredErrors>
</worksheet>
</file>

<file path=xl/worksheets/sheet3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5"/>
  <dimension ref="A1:AD128"/>
  <sheetViews>
    <sheetView zoomScale="70" zoomScaleNormal="70" workbookViewId="0"/>
  </sheetViews>
  <sheetFormatPr defaultRowHeight="12.5" x14ac:dyDescent="0.25"/>
  <cols>
    <col min="1" max="2" width="10.7265625" style="20" customWidth="1"/>
    <col min="3" max="3" width="20.26953125" style="20" customWidth="1"/>
    <col min="4" max="4" width="10.7265625" style="58" customWidth="1"/>
    <col min="5" max="6" width="10.7265625" style="20" customWidth="1"/>
    <col min="7" max="7" width="11.81640625"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3" x14ac:dyDescent="0.5">
      <c r="A1" s="126" t="s">
        <v>495</v>
      </c>
    </row>
    <row r="2" spans="1:30" ht="23" x14ac:dyDescent="0.5">
      <c r="A2" s="57" t="s">
        <v>84</v>
      </c>
    </row>
    <row r="6" spans="1:30" s="228" customFormat="1" ht="18" x14ac:dyDescent="0.4">
      <c r="A6" s="48" t="s">
        <v>85</v>
      </c>
      <c r="B6" s="226"/>
      <c r="C6" s="49">
        <f>SUM(C11:C16)+SUM(G11:G16)+SUM(K11:K16)+SUM(O11:O16)</f>
        <v>0</v>
      </c>
      <c r="D6" s="227"/>
      <c r="E6" s="48" t="s">
        <v>86</v>
      </c>
      <c r="F6" s="226"/>
      <c r="G6" s="49">
        <f>D88+J88+O88+D100+D127</f>
        <v>0</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'ENTRY PROFILE'!K85</f>
        <v>0</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'ENTRY PROFILE'!O85+'ENTRY PROFILE'!O86</f>
        <v>0</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'ENTRY PROFILE'!S85+'ENTRY PROFILE'!S86+'ENTRY PROFILE'!S87+'ENTRY PROFILE'!S88</f>
        <v>0</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'ENTRY PROFILE'!L85+'ENTRY PROFILE'!P85+'ENTRY PROFILE'!P86+'ENTRY PROFILE'!T85+'ENTRY PROFILE'!T86+'ENTRY PROFILE'!T87+'ENTRY PROFILE'!T88+'ENTRY PROFILE'!W85+'ENTRY PROFILE'!W86+'ENTRY PROFILE'!W87+'ENTRY PROFILE'!W88+'ENTRY PROFILE'!X85+'ENTRY PROFILE'!X86+'ENTRY PROFILE'!X87+'ENTRY PROFILE'!X88</f>
        <v>0</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v>
      </c>
      <c r="N29" s="206">
        <f>D23+J23</f>
        <v>0</v>
      </c>
      <c r="P29" s="20"/>
      <c r="Q29" s="109"/>
      <c r="S29" s="20"/>
      <c r="U29" s="20"/>
      <c r="Y29"/>
      <c r="Z29"/>
      <c r="AA29"/>
      <c r="AB29"/>
      <c r="AC29"/>
      <c r="AD29"/>
    </row>
    <row r="30" spans="1:30" ht="13" x14ac:dyDescent="0.3">
      <c r="A30" s="114"/>
      <c r="C30" s="98"/>
      <c r="D30" s="196">
        <f>(SUM(C25:C29)-D23)*'PIECE DENSITIES'!C6</f>
        <v>0</v>
      </c>
      <c r="E30" s="24" t="s">
        <v>290</v>
      </c>
      <c r="G30" s="114"/>
      <c r="I30" s="99"/>
      <c r="J30" s="201">
        <f>(SUM(I25:I29)-J23)*'PIECE DENSITIES'!C11</f>
        <v>0</v>
      </c>
      <c r="K30" s="24" t="s">
        <v>289</v>
      </c>
      <c r="L30"/>
      <c r="M30" s="20"/>
      <c r="O30" s="96">
        <f>SUM(N25:N29)*'PIECE DENSITIES'!C16</f>
        <v>0</v>
      </c>
      <c r="P30" s="24" t="s">
        <v>120</v>
      </c>
      <c r="Q30" s="109"/>
      <c r="S30" s="20"/>
      <c r="U30" s="20"/>
      <c r="Y30"/>
      <c r="Z30"/>
      <c r="AA30"/>
      <c r="AB30"/>
      <c r="AC30"/>
      <c r="AD30"/>
    </row>
    <row r="31" spans="1:30" ht="13" x14ac:dyDescent="0.3">
      <c r="A31" s="114"/>
      <c r="C31" s="98"/>
      <c r="D31" s="196">
        <f>(SUM(C25:C29)-D23)*'PIECE DENSITIES'!D6</f>
        <v>0</v>
      </c>
      <c r="E31" s="24" t="s">
        <v>121</v>
      </c>
      <c r="G31" s="114"/>
      <c r="I31" s="99"/>
      <c r="J31" s="201">
        <f>(SUM(I25:I29)-J23)*'PIECE DENSITIES'!D11</f>
        <v>0</v>
      </c>
      <c r="K31" s="24" t="s">
        <v>122</v>
      </c>
      <c r="L31"/>
      <c r="M31" s="20"/>
      <c r="O31" s="96">
        <f>SUM(N25:N29)*'PIECE DENSITIES'!D16</f>
        <v>0</v>
      </c>
      <c r="P31" s="24" t="s">
        <v>123</v>
      </c>
      <c r="Q31" s="109"/>
      <c r="S31" s="20"/>
      <c r="U31" s="20"/>
      <c r="Y31"/>
      <c r="Z31"/>
      <c r="AA31"/>
      <c r="AB31"/>
      <c r="AC31"/>
      <c r="AD31"/>
    </row>
    <row r="32" spans="1:30" ht="13" x14ac:dyDescent="0.3">
      <c r="A32" s="114"/>
      <c r="C32" s="89"/>
      <c r="D32" s="197">
        <f>(SUM(C25:C29)-D23)*'PIECE DENSITIES'!E6</f>
        <v>0</v>
      </c>
      <c r="E32" s="24" t="s">
        <v>124</v>
      </c>
      <c r="G32" s="114"/>
      <c r="I32" s="94"/>
      <c r="J32" s="202">
        <f>(SUM(I25:I29)-J23)*'PIECE DENSITIES'!E11</f>
        <v>0</v>
      </c>
      <c r="K32" s="24" t="s">
        <v>125</v>
      </c>
      <c r="L32"/>
      <c r="M32" s="20"/>
      <c r="N32" s="46"/>
      <c r="O32" s="97">
        <f>SUM(N25:N29)*'PIECE DENSITIES'!E16</f>
        <v>0</v>
      </c>
      <c r="P32" s="24" t="s">
        <v>126</v>
      </c>
      <c r="Q32" s="109"/>
      <c r="S32" s="20"/>
      <c r="U32" s="20"/>
      <c r="Y32"/>
      <c r="Z32"/>
      <c r="AA32"/>
      <c r="AB32"/>
      <c r="AC32"/>
      <c r="AD32"/>
    </row>
    <row r="33" spans="1:30" ht="13" x14ac:dyDescent="0.3">
      <c r="A33" s="114"/>
      <c r="C33" s="89"/>
      <c r="D33" s="197">
        <f>(SUM(C25:C29)-D23)*'PIECE DENSITIES'!F6</f>
        <v>0</v>
      </c>
      <c r="E33" s="24" t="s">
        <v>127</v>
      </c>
      <c r="G33" s="114"/>
      <c r="I33" s="94"/>
      <c r="J33" s="202">
        <f>(SUM(I25:I29)-J23)*'PIECE DENSITIES'!F11</f>
        <v>0</v>
      </c>
      <c r="K33" s="24" t="s">
        <v>128</v>
      </c>
      <c r="L33"/>
      <c r="M33" s="20"/>
      <c r="N33" s="46"/>
      <c r="O33" s="97">
        <f>SUM(N25:N29)*'PIECE DENSITIES'!F16</f>
        <v>0</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0</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0</v>
      </c>
      <c r="B42" s="199">
        <f>C42*(1+'ACCEPT RATES'!F15+'PIECE DENSITIES'!C7)</f>
        <v>0</v>
      </c>
      <c r="C42" s="198">
        <f>D30</f>
        <v>0</v>
      </c>
      <c r="G42" s="205">
        <f>IF(SUM(C11:C16)&gt;0,H42*(1-'ACCEPT RATES'!C20),H42*(1-'ACCEPT RATES'!D20))</f>
        <v>0</v>
      </c>
      <c r="H42" s="204">
        <f>I42*(1+'PIECE DENSITIES'!C12)</f>
        <v>0</v>
      </c>
      <c r="I42" s="203">
        <f>J30</f>
        <v>0</v>
      </c>
      <c r="J42" s="58"/>
      <c r="L42"/>
      <c r="M42" s="102">
        <f>N42</f>
        <v>0</v>
      </c>
      <c r="N42" s="101">
        <f>D36+J36+O30</f>
        <v>0</v>
      </c>
      <c r="P42" s="20"/>
      <c r="Q42" s="109"/>
      <c r="S42" s="20"/>
      <c r="U42" s="20"/>
      <c r="Y42"/>
      <c r="Z42"/>
      <c r="AA42"/>
      <c r="AB42"/>
      <c r="AC42"/>
      <c r="AD42"/>
    </row>
    <row r="43" spans="1:30" ht="13" x14ac:dyDescent="0.3">
      <c r="A43" s="114"/>
      <c r="C43" s="98"/>
      <c r="D43" s="196">
        <f>(SUM(C38:C42)-D36)*'PIECE DENSITIES'!D7</f>
        <v>0</v>
      </c>
      <c r="E43" s="24" t="s">
        <v>121</v>
      </c>
      <c r="G43" s="114"/>
      <c r="I43" s="99"/>
      <c r="J43" s="201">
        <f>(SUM(I38:I42)-J36)*'PIECE DENSITIES'!D12</f>
        <v>0</v>
      </c>
      <c r="K43" s="24" t="s">
        <v>122</v>
      </c>
      <c r="L43"/>
      <c r="M43" s="20"/>
      <c r="O43" s="96">
        <f>SUM(N38:N42)*'PIECE DENSITIES'!D17</f>
        <v>0</v>
      </c>
      <c r="P43" s="24" t="s">
        <v>123</v>
      </c>
      <c r="Q43" s="109"/>
      <c r="S43" s="20"/>
      <c r="U43" s="20"/>
      <c r="Y43"/>
      <c r="Z43"/>
      <c r="AA43"/>
      <c r="AB43"/>
      <c r="AC43"/>
      <c r="AD43"/>
    </row>
    <row r="44" spans="1:30" ht="13" x14ac:dyDescent="0.3">
      <c r="A44" s="114"/>
      <c r="C44" s="98"/>
      <c r="D44" s="196">
        <f>(SUM(C38:C42)-D36)*'PIECE DENSITIES'!E7</f>
        <v>0</v>
      </c>
      <c r="E44" s="24" t="s">
        <v>124</v>
      </c>
      <c r="G44" s="114"/>
      <c r="I44" s="99"/>
      <c r="J44" s="201">
        <f>(SUM(I38:I42)-J36)*'PIECE DENSITIES'!E12</f>
        <v>0</v>
      </c>
      <c r="K44" s="24" t="s">
        <v>125</v>
      </c>
      <c r="L44"/>
      <c r="M44" s="20"/>
      <c r="O44" s="96">
        <f>SUM(N38:N42)*'PIECE DENSITIES'!E17</f>
        <v>0</v>
      </c>
      <c r="P44" s="24" t="s">
        <v>126</v>
      </c>
      <c r="Q44" s="109"/>
      <c r="S44" s="20"/>
      <c r="U44" s="20"/>
      <c r="Y44"/>
      <c r="Z44"/>
      <c r="AA44"/>
      <c r="AB44"/>
      <c r="AC44"/>
      <c r="AD44"/>
    </row>
    <row r="45" spans="1:30" ht="13" x14ac:dyDescent="0.3">
      <c r="A45" s="114"/>
      <c r="C45" s="89"/>
      <c r="D45" s="197">
        <f>(SUM(C38:C42)-D36)*'PIECE DENSITIES'!F7</f>
        <v>0</v>
      </c>
      <c r="E45" s="24" t="s">
        <v>127</v>
      </c>
      <c r="G45" s="114"/>
      <c r="I45" s="94"/>
      <c r="J45" s="202">
        <f>(SUM(I38:I42)-J36)*'PIECE DENSITIES'!F12</f>
        <v>0</v>
      </c>
      <c r="K45" s="24" t="s">
        <v>128</v>
      </c>
      <c r="L45"/>
      <c r="M45" s="20"/>
      <c r="N45" s="46"/>
      <c r="O45" s="97">
        <f>SUM(N38:N42)*'PIECE DENSITIES'!F17</f>
        <v>0</v>
      </c>
      <c r="P45" s="24" t="s">
        <v>129</v>
      </c>
      <c r="Q45" s="109"/>
      <c r="S45" s="20"/>
      <c r="U45" s="20"/>
      <c r="Y45"/>
      <c r="Z45"/>
      <c r="AA45"/>
      <c r="AB45"/>
      <c r="AC45"/>
      <c r="AD45"/>
    </row>
    <row r="46" spans="1:30" ht="13" x14ac:dyDescent="0.3">
      <c r="A46" s="114"/>
      <c r="C46" s="89"/>
      <c r="D46" s="197">
        <f>(SUM(C38:C42)-D36)*'PIECE DENSITIES'!G7</f>
        <v>0</v>
      </c>
      <c r="E46" s="24" t="s">
        <v>130</v>
      </c>
      <c r="G46" s="114"/>
      <c r="I46" s="94"/>
      <c r="J46" s="202">
        <f>(SUM(I38:I42)-J36)*'PIECE DENSITIES'!G12</f>
        <v>0</v>
      </c>
      <c r="K46" s="24" t="s">
        <v>288</v>
      </c>
      <c r="L46"/>
      <c r="M46" s="20"/>
      <c r="N46" s="46"/>
      <c r="O46" s="97">
        <f>SUM(N38:N42)*'PIECE DENSITIES'!G17</f>
        <v>0</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0</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v>
      </c>
      <c r="B57" s="199">
        <f>C57*(1+'ACCEPT RATES'!F16+'PIECE DENSITIES'!D8)</f>
        <v>0</v>
      </c>
      <c r="C57" s="198">
        <f>(D31+D43)*('COVERAGE FACTORS'!E38+'COVERAGE FACTORS'!E42)</f>
        <v>0</v>
      </c>
      <c r="G57" s="210">
        <f>IF(SUM(C11:C16)&gt;0,H57*(1-'ACCEPT RATES'!C21),H57*(1-'ACCEPT RATES'!D21))</f>
        <v>0</v>
      </c>
      <c r="H57" s="209">
        <f>I57*(1+'PIECE DENSITIES'!D13)</f>
        <v>0</v>
      </c>
      <c r="I57" s="208">
        <f>(D31+D43)*'COVERAGE FACTORS'!E40+(J31+J43)*('COVERAGE FACTORS'!E40+'COVERAGE FACTORS'!E42)</f>
        <v>0</v>
      </c>
      <c r="J57" s="58"/>
      <c r="L57"/>
      <c r="M57" s="102">
        <f>N57</f>
        <v>0</v>
      </c>
      <c r="N57" s="101">
        <f>D51+J51+O31+O43+(D31+D43)*'COVERAGE FACTORS'!E44+(J31+J43)*(1-('COVERAGE FACTORS'!E40+'COVERAGE FACTORS'!E42))</f>
        <v>0</v>
      </c>
      <c r="P57" s="20"/>
      <c r="Q57" s="109"/>
      <c r="S57" s="20"/>
      <c r="U57" s="20"/>
      <c r="Y57"/>
      <c r="Z57"/>
      <c r="AA57"/>
      <c r="AB57"/>
      <c r="AC57"/>
      <c r="AD57"/>
    </row>
    <row r="58" spans="1:30" ht="13" x14ac:dyDescent="0.3">
      <c r="A58" s="114"/>
      <c r="C58" s="98"/>
      <c r="D58" s="196">
        <f>(SUM(C53:C57)-D51)*'PIECE DENSITIES'!E8</f>
        <v>0</v>
      </c>
      <c r="E58" s="24" t="s">
        <v>124</v>
      </c>
      <c r="G58" s="114"/>
      <c r="I58" s="99"/>
      <c r="J58" s="201">
        <f>(SUM(I53:I57)-J51)*'PIECE DENSITIES'!E13</f>
        <v>0</v>
      </c>
      <c r="K58" s="24" t="s">
        <v>125</v>
      </c>
      <c r="L58"/>
      <c r="M58" s="20"/>
      <c r="O58" s="96">
        <f>SUM(N53:N57)*'PIECE DENSITIES'!E18</f>
        <v>0</v>
      </c>
      <c r="P58" s="24" t="s">
        <v>126</v>
      </c>
      <c r="Q58" s="109"/>
      <c r="S58" s="20"/>
      <c r="U58" s="20"/>
      <c r="Y58"/>
      <c r="Z58"/>
      <c r="AA58"/>
      <c r="AB58"/>
      <c r="AC58"/>
      <c r="AD58"/>
    </row>
    <row r="59" spans="1:30" ht="13" x14ac:dyDescent="0.3">
      <c r="A59" s="114"/>
      <c r="C59" s="98"/>
      <c r="D59" s="196">
        <f>(SUM(C53:C57)-D51)*'PIECE DENSITIES'!F8</f>
        <v>0</v>
      </c>
      <c r="E59" s="24" t="s">
        <v>127</v>
      </c>
      <c r="G59" s="114"/>
      <c r="I59" s="99"/>
      <c r="J59" s="201">
        <f>(SUM(I53:I57)-J51)*'PIECE DENSITIES'!F13</f>
        <v>0</v>
      </c>
      <c r="K59" s="24" t="s">
        <v>128</v>
      </c>
      <c r="L59"/>
      <c r="M59" s="20"/>
      <c r="O59" s="96">
        <f>SUM(N53:N57)*'PIECE DENSITIES'!F18</f>
        <v>0</v>
      </c>
      <c r="P59" s="24" t="s">
        <v>129</v>
      </c>
      <c r="Q59" s="109"/>
      <c r="S59" s="20"/>
      <c r="U59" s="20"/>
      <c r="Y59"/>
      <c r="Z59"/>
      <c r="AA59"/>
      <c r="AB59"/>
      <c r="AC59"/>
      <c r="AD59"/>
    </row>
    <row r="60" spans="1:30" ht="13" x14ac:dyDescent="0.3">
      <c r="A60" s="114"/>
      <c r="C60" s="89"/>
      <c r="D60" s="197">
        <f>(SUM(C53:C57)-D51)*'PIECE DENSITIES'!G8</f>
        <v>0</v>
      </c>
      <c r="E60" s="24" t="s">
        <v>130</v>
      </c>
      <c r="G60" s="114"/>
      <c r="I60" s="94"/>
      <c r="J60" s="202">
        <f>(SUM(I53:I57)-J51)*'PIECE DENSITIES'!G13</f>
        <v>0</v>
      </c>
      <c r="K60" s="24" t="s">
        <v>288</v>
      </c>
      <c r="L60"/>
      <c r="M60" s="20"/>
      <c r="N60" s="46"/>
      <c r="O60" s="97">
        <f>SUM(N53:N57)*'PIECE DENSITIES'!G18</f>
        <v>0</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0</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0</v>
      </c>
      <c r="B68" s="211">
        <f>C68*(1+'ACCEPT RATES'!F17+'PIECE DENSITIES'!E9)</f>
        <v>0</v>
      </c>
      <c r="C68" s="212">
        <f>(D32+D44+D58)*('COVERAGE FACTORS'!E38+'COVERAGE FACTORS'!E42)</f>
        <v>0</v>
      </c>
      <c r="G68" s="205">
        <f>IF(SUM(C11:C16)&gt;0, H68*(1-'ACCEPT RATES'!C22),H68*(1-'ACCEPT RATES'!D22))</f>
        <v>0</v>
      </c>
      <c r="H68" s="204">
        <f>I68*(1+'PIECE DENSITIES'!E14)</f>
        <v>0</v>
      </c>
      <c r="I68" s="203">
        <f>(D32+D44+D58)*'COVERAGE FACTORS'!E40+(J32+J44+J58)*('COVERAGE FACTORS'!E40+'COVERAGE FACTORS'!E42)</f>
        <v>0</v>
      </c>
      <c r="J68" s="58"/>
      <c r="L68"/>
      <c r="M68" s="102">
        <f>N68</f>
        <v>0</v>
      </c>
      <c r="N68" s="101">
        <f>D62+J62+O32+O44+O58+(D32+D44+D58)*'COVERAGE FACTORS'!E44+(J32+J44+J58)*(1-('COVERAGE FACTORS'!E40+'COVERAGE FACTORS'!E42))</f>
        <v>0</v>
      </c>
      <c r="P68" s="20"/>
      <c r="Q68" s="109"/>
      <c r="S68" s="20"/>
      <c r="U68" s="20"/>
      <c r="Y68"/>
      <c r="Z68"/>
      <c r="AA68"/>
      <c r="AB68"/>
      <c r="AC68"/>
      <c r="AD68"/>
    </row>
    <row r="69" spans="1:30" ht="13" x14ac:dyDescent="0.3">
      <c r="A69" s="114"/>
      <c r="C69" s="98"/>
      <c r="D69" s="196">
        <f>(SUM(C64:C68)-D62)*'PIECE DENSITIES'!F9</f>
        <v>0</v>
      </c>
      <c r="E69" s="24" t="s">
        <v>127</v>
      </c>
      <c r="G69" s="114"/>
      <c r="I69" s="99"/>
      <c r="J69" s="201">
        <f>(SUM(I64:I68)-J62)*'PIECE DENSITIES'!F14</f>
        <v>0</v>
      </c>
      <c r="K69" s="24" t="s">
        <v>128</v>
      </c>
      <c r="L69"/>
      <c r="M69" s="20"/>
      <c r="O69" s="96">
        <f>SUM(N64:N68)*'PIECE DENSITIES'!F19</f>
        <v>0</v>
      </c>
      <c r="P69" s="24" t="s">
        <v>129</v>
      </c>
      <c r="Q69" s="109"/>
      <c r="S69" s="20"/>
      <c r="U69" s="20"/>
      <c r="Y69"/>
      <c r="Z69"/>
      <c r="AA69"/>
      <c r="AB69"/>
      <c r="AC69"/>
      <c r="AD69"/>
    </row>
    <row r="70" spans="1:30" ht="13" x14ac:dyDescent="0.3">
      <c r="A70" s="114"/>
      <c r="C70" s="98"/>
      <c r="D70" s="196">
        <f>(SUM(C64:C68)-D62)*'PIECE DENSITIES'!G9</f>
        <v>0</v>
      </c>
      <c r="E70" s="24" t="s">
        <v>130</v>
      </c>
      <c r="G70" s="114"/>
      <c r="I70" s="99"/>
      <c r="J70" s="201">
        <f>(SUM(I64:I68)-J62)*'PIECE DENSITIES'!G14</f>
        <v>0</v>
      </c>
      <c r="K70" s="24" t="s">
        <v>288</v>
      </c>
      <c r="L70"/>
      <c r="M70" s="20"/>
      <c r="O70" s="96">
        <f>SUM(N64:N68)*'PIECE DENSITIES'!G19</f>
        <v>0</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0</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0</v>
      </c>
      <c r="B78" s="211">
        <f>C78*(1+'ACCEPT RATES'!F17)</f>
        <v>0</v>
      </c>
      <c r="C78" s="212">
        <f>(D33+D45+D59+D69)*('COVERAGE FACTORS'!E38+'COVERAGE FACTORS'!E42)</f>
        <v>0</v>
      </c>
      <c r="G78" s="205">
        <f>IF(SUM(C11:C16)&gt;0,H78*(1-'ACCEPT RATES'!C22),H78*(1-'ACCEPT RATES'!D22))</f>
        <v>0</v>
      </c>
      <c r="H78" s="204">
        <f>I78</f>
        <v>0</v>
      </c>
      <c r="I78" s="203">
        <f>(D33+D45+D59+D69)*'COVERAGE FACTORS'!E40+(J33+J45+J59+J69)*('COVERAGE FACTORS'!E40+'COVERAGE FACTORS'!E42)</f>
        <v>0</v>
      </c>
      <c r="J78" s="58"/>
      <c r="L78"/>
      <c r="M78" s="102">
        <v>0</v>
      </c>
      <c r="N78" s="294">
        <v>0</v>
      </c>
      <c r="P78" s="20"/>
      <c r="Q78" s="109"/>
      <c r="S78" s="20"/>
      <c r="U78" s="20"/>
      <c r="Y78"/>
      <c r="Z78"/>
      <c r="AA78"/>
      <c r="AB78"/>
      <c r="AC78"/>
      <c r="AD78"/>
    </row>
    <row r="79" spans="1:30" ht="13" x14ac:dyDescent="0.3">
      <c r="A79" s="114"/>
      <c r="C79" s="98"/>
      <c r="D79" s="196">
        <f>SUM(C74:C78)-D72</f>
        <v>0</v>
      </c>
      <c r="E79" s="24" t="s">
        <v>130</v>
      </c>
      <c r="G79" s="114"/>
      <c r="I79" s="99"/>
      <c r="J79" s="201">
        <f>SUM(I74:I78)-J72</f>
        <v>0</v>
      </c>
      <c r="K79" s="24" t="s">
        <v>288</v>
      </c>
      <c r="L79"/>
      <c r="M79" s="20"/>
      <c r="O79" s="96">
        <f>SUM(N74:N78)</f>
        <v>0</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0</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f>C16*(1-'COVERAGE FACTORS'!B119)</f>
        <v>0</v>
      </c>
      <c r="E83" s="24" t="s">
        <v>70</v>
      </c>
      <c r="G83" s="217">
        <v>0</v>
      </c>
      <c r="H83" s="29">
        <f>I83</f>
        <v>0</v>
      </c>
      <c r="I83" s="51">
        <v>0</v>
      </c>
      <c r="J83" s="113"/>
      <c r="K83" s="23" t="s">
        <v>70</v>
      </c>
      <c r="L83"/>
      <c r="M83" s="29">
        <f>N83</f>
        <v>0</v>
      </c>
      <c r="N83" s="51">
        <v>0</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0</v>
      </c>
      <c r="B87" s="211">
        <f>C87*(1+'ACCEPT RATES'!F17)</f>
        <v>0</v>
      </c>
      <c r="C87" s="212">
        <f>(D34+D46+D60+D70+D79)*('COVERAGE FACTORS'!E54+'COVERAGE FACTORS'!E58)</f>
        <v>0</v>
      </c>
      <c r="G87" s="205">
        <v>0</v>
      </c>
      <c r="H87" s="204">
        <f>I87</f>
        <v>0</v>
      </c>
      <c r="I87" s="203">
        <f>(D34+D46+D60+D70+D79)*'COVERAGE FACTORS'!E56+(J34+J46+J60+J70+J79)*('COVERAGE FACTORS'!E56+'COVERAGE FACTORS'!E58)</f>
        <v>0</v>
      </c>
      <c r="J87" s="213"/>
      <c r="L87"/>
      <c r="M87" s="102">
        <v>0</v>
      </c>
      <c r="N87" s="294">
        <v>0</v>
      </c>
      <c r="P87" s="20"/>
      <c r="Q87" s="109"/>
      <c r="S87" s="20"/>
      <c r="U87" s="20"/>
      <c r="Y87"/>
      <c r="Z87"/>
      <c r="AA87"/>
      <c r="AB87"/>
      <c r="AC87"/>
      <c r="AD87"/>
    </row>
    <row r="88" spans="1:30" ht="13" x14ac:dyDescent="0.3">
      <c r="A88" s="114"/>
      <c r="C88" s="98"/>
      <c r="D88" s="103">
        <f>SUM(C83:C87)-D81</f>
        <v>0</v>
      </c>
      <c r="E88" s="24"/>
      <c r="G88" s="218"/>
      <c r="H88" s="214"/>
      <c r="I88" s="214"/>
      <c r="J88" s="215">
        <f>SUM(I83:I87)-J81</f>
        <v>0</v>
      </c>
      <c r="K88" s="24"/>
      <c r="L88"/>
      <c r="M88" s="20"/>
      <c r="O88" s="216">
        <f>SUM(N83:N87)</f>
        <v>0</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SUM(A95:A99)*(1-'ACCEPT RATES'!G24)+SUM(B95:B99)*'ACCEPT RATES'!J24</f>
        <v>0</v>
      </c>
      <c r="E93" s="282">
        <f>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FACTORS'!B119</f>
        <v>0</v>
      </c>
      <c r="E95" s="24"/>
    </row>
    <row r="96" spans="1:30" x14ac:dyDescent="0.25">
      <c r="A96" s="85">
        <f>B96*(1-'ACCEPT RATES'!D24)</f>
        <v>0</v>
      </c>
      <c r="B96" s="86">
        <f>C96*(1+'ACCEPT RATES'!F17)</f>
        <v>0</v>
      </c>
      <c r="C96" s="85">
        <f>G16*'COVERAGE FACTORS'!E52</f>
        <v>0</v>
      </c>
    </row>
    <row r="97" spans="1:14" x14ac:dyDescent="0.25">
      <c r="A97" s="91">
        <f>B97*(1-'ACCEPT RATES'!C24)</f>
        <v>0</v>
      </c>
      <c r="B97" s="90">
        <f>C97*(1+'ACCEPT RATES'!F17)</f>
        <v>0</v>
      </c>
      <c r="C97" s="91">
        <f>K16*'COVERAGE FACTORS'!E52</f>
        <v>0</v>
      </c>
    </row>
    <row r="98" spans="1:14" x14ac:dyDescent="0.25">
      <c r="A98" s="93">
        <f>B98*(1-'ACCEPT RATES'!D24)</f>
        <v>0</v>
      </c>
      <c r="B98" s="95">
        <f>C98*(1+'ACCEPT RATES'!F17)</f>
        <v>0</v>
      </c>
      <c r="C98" s="93">
        <f>O16*'COVERAGE FACTORS'!E52</f>
        <v>0</v>
      </c>
      <c r="N98" s="280"/>
    </row>
    <row r="99" spans="1:14" x14ac:dyDescent="0.25">
      <c r="A99" s="241">
        <v>0</v>
      </c>
      <c r="B99" s="244">
        <v>0</v>
      </c>
      <c r="C99" s="287">
        <v>0</v>
      </c>
    </row>
    <row r="100" spans="1:14" x14ac:dyDescent="0.25">
      <c r="A100" s="20" t="s">
        <v>11</v>
      </c>
      <c r="D100" s="242">
        <f>SUM(C95:C99)-D93-E93</f>
        <v>0</v>
      </c>
    </row>
    <row r="101" spans="1:14" ht="13" x14ac:dyDescent="0.3">
      <c r="D101" s="23" t="s">
        <v>369</v>
      </c>
    </row>
    <row r="105" spans="1:14" ht="13" x14ac:dyDescent="0.3">
      <c r="D105" s="23"/>
    </row>
    <row r="106" spans="1:14" ht="13" x14ac:dyDescent="0.3">
      <c r="A106" s="114"/>
      <c r="D106" s="285">
        <f>A112*(1-'ACCEPT RATES'!G17)+B112*('ACCEPT RATES'!I17+'ACCEPT RATES'!J17)</f>
        <v>0</v>
      </c>
      <c r="E106" s="24" t="s">
        <v>114</v>
      </c>
      <c r="G106" s="482" t="s">
        <v>525</v>
      </c>
      <c r="H106" s="482"/>
      <c r="I106" s="482"/>
      <c r="J106" s="482"/>
      <c r="K106" s="482"/>
    </row>
    <row r="107" spans="1:14" ht="13" x14ac:dyDescent="0.3">
      <c r="A107" s="127" t="s">
        <v>256</v>
      </c>
      <c r="B107" s="87" t="s">
        <v>444</v>
      </c>
      <c r="C107" s="88"/>
      <c r="D107"/>
      <c r="E107" s="24" t="s">
        <v>139</v>
      </c>
      <c r="G107" s="482"/>
      <c r="H107" s="482"/>
      <c r="I107" s="482"/>
      <c r="J107" s="482"/>
      <c r="K107" s="482"/>
    </row>
    <row r="108" spans="1:14" ht="13" x14ac:dyDescent="0.3">
      <c r="A108" s="51"/>
      <c r="B108" s="29"/>
      <c r="C108" s="51"/>
      <c r="E108" s="24" t="s">
        <v>70</v>
      </c>
      <c r="G108" s="482"/>
      <c r="H108" s="482"/>
      <c r="I108" s="482"/>
      <c r="J108" s="482"/>
      <c r="K108" s="482"/>
    </row>
    <row r="109" spans="1:14" x14ac:dyDescent="0.25">
      <c r="A109" s="194"/>
      <c r="B109" s="86"/>
      <c r="C109" s="85"/>
      <c r="G109" s="482"/>
      <c r="H109" s="482"/>
      <c r="I109" s="482"/>
      <c r="J109" s="482"/>
      <c r="K109" s="482"/>
    </row>
    <row r="110" spans="1:14" ht="13" x14ac:dyDescent="0.3">
      <c r="A110" s="122"/>
      <c r="B110" s="86"/>
      <c r="C110" s="85"/>
      <c r="G110" s="482"/>
      <c r="H110" s="482"/>
      <c r="I110" s="482"/>
      <c r="J110" s="482"/>
      <c r="K110" s="482"/>
    </row>
    <row r="111" spans="1:14" ht="13" x14ac:dyDescent="0.3">
      <c r="A111" s="122"/>
      <c r="B111" s="86"/>
      <c r="C111" s="85"/>
      <c r="G111" s="482"/>
      <c r="H111" s="482"/>
      <c r="I111" s="482"/>
      <c r="J111" s="482"/>
      <c r="K111" s="482"/>
    </row>
    <row r="112" spans="1:14" x14ac:dyDescent="0.25">
      <c r="A112" s="288">
        <f>B112*(1-'ACCEPT RATES'!$C$17)</f>
        <v>0</v>
      </c>
      <c r="B112" s="289">
        <f>C112*(1+'ACCEPT RATES'!$F$17)</f>
        <v>0</v>
      </c>
      <c r="C112" s="290">
        <f>E93</f>
        <v>0</v>
      </c>
      <c r="G112" s="482"/>
      <c r="H112" s="482"/>
      <c r="I112" s="482"/>
      <c r="J112" s="482"/>
      <c r="K112" s="482"/>
    </row>
    <row r="113" spans="1:11" ht="13" x14ac:dyDescent="0.3">
      <c r="A113" s="114"/>
      <c r="C113" s="120"/>
      <c r="D113" s="293">
        <f>($C$112-$D$106)*(1-'COVERAGE FACTORS'!$E$80)</f>
        <v>0</v>
      </c>
      <c r="E113" s="24" t="s">
        <v>130</v>
      </c>
      <c r="G113" s="482"/>
      <c r="H113" s="482"/>
      <c r="I113" s="482"/>
      <c r="J113" s="482"/>
      <c r="K113" s="482"/>
    </row>
    <row r="114" spans="1:11" ht="13" x14ac:dyDescent="0.3">
      <c r="A114" s="114"/>
      <c r="C114" s="120"/>
      <c r="D114" s="293">
        <f>($C$112-$D$106)*'COVERAGE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B126*(1-'ACCEPT RATES'!$C$17)</f>
        <v>0</v>
      </c>
      <c r="B126" s="289">
        <f>C126*(1+'ACCEPT RATES'!$F$17)</f>
        <v>0</v>
      </c>
      <c r="C126" s="290">
        <f>$D$93+$D$113</f>
        <v>0</v>
      </c>
    </row>
    <row r="127" spans="1:11" ht="13" x14ac:dyDescent="0.3">
      <c r="A127" s="122"/>
      <c r="C127" s="120"/>
      <c r="D127" s="292">
        <f>C126-D120</f>
        <v>0</v>
      </c>
      <c r="E127" s="24"/>
    </row>
    <row r="128" spans="1:11" ht="13" x14ac:dyDescent="0.3">
      <c r="A128" s="122"/>
      <c r="D128" s="23" t="s">
        <v>142</v>
      </c>
      <c r="E128" s="24"/>
    </row>
  </sheetData>
  <mergeCells count="2">
    <mergeCell ref="D91:E91"/>
    <mergeCell ref="G106:K113"/>
  </mergeCells>
  <pageMargins left="0.7" right="0.7" top="0.75" bottom="0.75" header="0.3" footer="0.3"/>
  <pageSetup scale="41" orientation="portrait" r:id="rId1"/>
</worksheet>
</file>

<file path=xl/worksheets/sheet3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8"/>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622</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t="e">
        <f>C11*$J11/'FSS AUTO OTHER MODEL'!$G$6</f>
        <v>#DIV/0!</v>
      </c>
    </row>
    <row r="12" spans="1:11" ht="13" x14ac:dyDescent="0.3">
      <c r="A12" s="36"/>
      <c r="B12" t="s">
        <v>529</v>
      </c>
      <c r="C12" s="151">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t="e">
        <f>C12*$J12/'FSS AUTO OTHER MODEL'!$G$6</f>
        <v>#DIV/0!</v>
      </c>
    </row>
    <row r="13" spans="1:11" ht="13" x14ac:dyDescent="0.3">
      <c r="A13" s="36"/>
      <c r="B13" t="s">
        <v>70</v>
      </c>
      <c r="C13" s="151">
        <v>0</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t="e">
        <f>C13*$J13/'FSS AUTO OTHER MODEL'!$G$6</f>
        <v>#DIV/0!</v>
      </c>
    </row>
    <row r="14" spans="1:11" ht="13" x14ac:dyDescent="0.3">
      <c r="A14" s="36"/>
      <c r="C14" s="151"/>
      <c r="D14" s="151"/>
      <c r="E14" s="135"/>
      <c r="F14" s="136"/>
      <c r="G14" s="137"/>
      <c r="H14" s="137"/>
      <c r="I14" s="138"/>
      <c r="J14" s="136"/>
    </row>
    <row r="15" spans="1:11" ht="13" x14ac:dyDescent="0.3">
      <c r="A15" s="1" t="s">
        <v>253</v>
      </c>
      <c r="C15" s="151"/>
      <c r="D15" s="151"/>
      <c r="E15" s="135"/>
      <c r="F15" s="136"/>
      <c r="G15" s="137"/>
      <c r="H15" s="137"/>
      <c r="I15" s="138"/>
      <c r="J15" s="136"/>
    </row>
    <row r="16" spans="1:11" s="7" customFormat="1" x14ac:dyDescent="0.25">
      <c r="B16" s="7" t="s">
        <v>234</v>
      </c>
      <c r="C16" s="151">
        <v>0</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t="e">
        <f>C16*$J16/'FSS AUTO OTHER MODEL'!$G$6</f>
        <v>#DIV/0!</v>
      </c>
    </row>
    <row r="17" spans="1:11" ht="13" x14ac:dyDescent="0.3">
      <c r="A17" s="1"/>
      <c r="B17" t="s">
        <v>529</v>
      </c>
      <c r="C17" s="151">
        <v>0</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t="e">
        <f>C17*$J17/'FSS AUTO OTHER MODEL'!$G$6</f>
        <v>#DIV/0!</v>
      </c>
    </row>
    <row r="18" spans="1:11" ht="13" x14ac:dyDescent="0.3">
      <c r="A18" s="1"/>
      <c r="B18" t="s">
        <v>70</v>
      </c>
      <c r="C18" s="151">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t="e">
        <f>C18*$J18/'FSS AUTO OTHER MODEL'!$G$6</f>
        <v>#DIV/0!</v>
      </c>
    </row>
    <row r="19" spans="1:11" ht="13" x14ac:dyDescent="0.3">
      <c r="A19" s="1"/>
      <c r="C19" s="151"/>
      <c r="D19" s="151"/>
      <c r="E19" s="135"/>
      <c r="F19" s="136"/>
      <c r="G19" s="137"/>
      <c r="H19" s="137"/>
      <c r="I19" s="138"/>
      <c r="J19" s="136"/>
    </row>
    <row r="20" spans="1:11" ht="13" x14ac:dyDescent="0.3">
      <c r="A20" s="1" t="s">
        <v>254</v>
      </c>
      <c r="C20" s="151"/>
      <c r="D20" s="151"/>
      <c r="E20" s="135"/>
      <c r="F20" s="136"/>
      <c r="G20" s="137"/>
      <c r="H20" s="137"/>
      <c r="I20" s="138"/>
      <c r="J20" s="136"/>
    </row>
    <row r="21" spans="1:11" ht="13" x14ac:dyDescent="0.3">
      <c r="A21" s="1"/>
      <c r="B21" t="s">
        <v>234</v>
      </c>
      <c r="C21" s="151">
        <v>0</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t="e">
        <f>C21*$J21/'FSS AUTO OTHER MODEL'!$G$6</f>
        <v>#DIV/0!</v>
      </c>
    </row>
    <row r="22" spans="1:11" ht="13" x14ac:dyDescent="0.3">
      <c r="A22" s="1"/>
      <c r="B22" t="s">
        <v>529</v>
      </c>
      <c r="C22" s="151">
        <v>0</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t="e">
        <f>C22*$J22/'FSS AUTO OTHER MODEL'!$G$6</f>
        <v>#DIV/0!</v>
      </c>
    </row>
    <row r="23" spans="1:11" ht="13" x14ac:dyDescent="0.3">
      <c r="A23" s="1"/>
      <c r="B23" t="s">
        <v>70</v>
      </c>
      <c r="C23" s="151">
        <v>0</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t="e">
        <f>C23*$J23/'FSS AUTO OTHER MODEL'!$G$6</f>
        <v>#DIV/0!</v>
      </c>
    </row>
    <row r="24" spans="1:11" ht="13" x14ac:dyDescent="0.3">
      <c r="A24" s="1"/>
      <c r="C24" s="151"/>
      <c r="D24" s="151"/>
      <c r="E24" s="135"/>
      <c r="F24" s="136"/>
      <c r="G24" s="137"/>
      <c r="H24" s="137"/>
      <c r="I24" s="138"/>
      <c r="J24" s="136"/>
    </row>
    <row r="25" spans="1:11" ht="13" x14ac:dyDescent="0.3">
      <c r="A25" s="1" t="s">
        <v>255</v>
      </c>
      <c r="C25" s="151"/>
      <c r="D25" s="151"/>
      <c r="E25" s="135"/>
      <c r="F25" s="136"/>
      <c r="G25" s="137"/>
      <c r="H25" s="137"/>
      <c r="I25" s="138"/>
      <c r="J25" s="136"/>
    </row>
    <row r="26" spans="1:11" ht="13" x14ac:dyDescent="0.3">
      <c r="A26" s="1"/>
      <c r="B26" t="s">
        <v>234</v>
      </c>
      <c r="C26" s="151">
        <v>0</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t="e">
        <f>C26*$J26/'FSS AUTO OTHER MODEL'!$G$6</f>
        <v>#DIV/0!</v>
      </c>
    </row>
    <row r="27" spans="1:11" ht="13" x14ac:dyDescent="0.3">
      <c r="A27" s="1"/>
      <c r="B27" t="s">
        <v>529</v>
      </c>
      <c r="C27" s="151">
        <v>0</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t="e">
        <f>C27*$J27/'FSS AUTO OTHER MODEL'!$G$6</f>
        <v>#DIV/0!</v>
      </c>
    </row>
    <row r="28" spans="1:11" ht="13" x14ac:dyDescent="0.3">
      <c r="A28" s="1"/>
      <c r="B28" t="s">
        <v>70</v>
      </c>
      <c r="C28" s="151">
        <v>0</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t="e">
        <f>C28*$J28/'FSS AUTO OTHER MODEL'!$G$6</f>
        <v>#DIV/0!</v>
      </c>
    </row>
    <row r="29" spans="1:11" ht="13" x14ac:dyDescent="0.3">
      <c r="A29" s="1"/>
      <c r="C29" s="149"/>
      <c r="D29" s="149"/>
      <c r="E29" s="135"/>
      <c r="F29" s="136"/>
      <c r="G29" s="137"/>
      <c r="H29" s="138"/>
      <c r="I29" s="138"/>
      <c r="J29" s="136"/>
    </row>
    <row r="30" spans="1:11" ht="13" x14ac:dyDescent="0.3">
      <c r="A30" s="1" t="s">
        <v>71</v>
      </c>
      <c r="F30" s="42"/>
      <c r="H30" s="42"/>
      <c r="I30" s="42"/>
      <c r="J30" s="42"/>
    </row>
    <row r="31" spans="1:11" ht="13" x14ac:dyDescent="0.3">
      <c r="A31" s="36"/>
      <c r="B31" t="s">
        <v>72</v>
      </c>
      <c r="C31" s="2">
        <f>SUM('FSS AUTO SCHEME MODEL'!$B$25:$B$29)</f>
        <v>0</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C31*$J31/'5D AUTO MODEL'!$G$6</f>
        <v>0</v>
      </c>
    </row>
    <row r="32" spans="1:11" ht="13" x14ac:dyDescent="0.3">
      <c r="A32" s="36"/>
      <c r="B32" t="s">
        <v>244</v>
      </c>
      <c r="C32" s="2">
        <f>SUM('FSS AUTO SCHEME MODEL'!$A$25:$A$29)</f>
        <v>0</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C32*$J32/'5D AUTO MODEL'!$G$6</f>
        <v>0</v>
      </c>
    </row>
    <row r="33" spans="1:11" ht="13" x14ac:dyDescent="0.3">
      <c r="A33" s="36"/>
      <c r="B33" t="s">
        <v>291</v>
      </c>
      <c r="C33" s="2">
        <f>SUM('FSS AUTO SCHEME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C33*$J33/'5D AUTO MODEL'!$G$6</f>
        <v>0</v>
      </c>
    </row>
    <row r="34" spans="1:11" x14ac:dyDescent="0.25">
      <c r="B34" t="s">
        <v>292</v>
      </c>
      <c r="C34" s="2">
        <f>SUM('FSS AUTO SCHEME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C34*$J34/'5D AUTO MODEL'!$G$6</f>
        <v>0</v>
      </c>
    </row>
    <row r="35" spans="1:11" x14ac:dyDescent="0.25">
      <c r="B35" t="s">
        <v>70</v>
      </c>
      <c r="C35" s="2">
        <f>SUM('FSS AUTO SCHEME MODEL'!$M$25:$M$29)</f>
        <v>0</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C35*$J35/'5D AUTO MODEL'!$G$6</f>
        <v>0</v>
      </c>
    </row>
    <row r="36" spans="1:11" x14ac:dyDescent="0.25">
      <c r="F36" s="42"/>
      <c r="H36" s="42"/>
      <c r="I36" s="42"/>
      <c r="J36" s="42"/>
    </row>
    <row r="37" spans="1:11" ht="13" x14ac:dyDescent="0.3">
      <c r="A37" s="1" t="s">
        <v>73</v>
      </c>
      <c r="F37" s="42"/>
      <c r="H37" s="42"/>
      <c r="I37" s="42"/>
      <c r="J37" s="42"/>
    </row>
    <row r="38" spans="1:11" ht="13" x14ac:dyDescent="0.3">
      <c r="A38" s="36"/>
      <c r="B38" t="s">
        <v>72</v>
      </c>
      <c r="C38" s="2">
        <f>SUM('FSS AUTO SCHEME MODEL'!$B$38:$B$42)</f>
        <v>0</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C38*$J38/'5D AUTO MODEL'!$G$6</f>
        <v>0</v>
      </c>
    </row>
    <row r="39" spans="1:11" ht="13" x14ac:dyDescent="0.3">
      <c r="A39" s="36"/>
      <c r="B39" t="s">
        <v>244</v>
      </c>
      <c r="C39" s="2">
        <f>SUM('FSS AUTO SCHEME MODEL'!$A$38:$A$42)</f>
        <v>0</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C39*$J39/'5D AUTO MODEL'!$G$6</f>
        <v>0</v>
      </c>
    </row>
    <row r="40" spans="1:11" x14ac:dyDescent="0.25">
      <c r="B40" t="s">
        <v>291</v>
      </c>
      <c r="C40" s="2">
        <f>SUM('FSS AUTO SCHEME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C40*$J40/'5D AUTO MODEL'!$G$6</f>
        <v>0</v>
      </c>
    </row>
    <row r="41" spans="1:11" x14ac:dyDescent="0.25">
      <c r="B41" t="s">
        <v>292</v>
      </c>
      <c r="C41" s="2">
        <f>SUM('FSS AUTO SCHEME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C41*$J41/'5D AUTO MODEL'!$G$6</f>
        <v>0</v>
      </c>
    </row>
    <row r="42" spans="1:11" x14ac:dyDescent="0.25">
      <c r="B42" t="s">
        <v>70</v>
      </c>
      <c r="C42" s="2">
        <f>SUM('FSS AUTO SCHEME MODEL'!$M$38:$M$42)</f>
        <v>0</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C42*$J42/'5D AUTO MODEL'!$G$6</f>
        <v>0</v>
      </c>
    </row>
    <row r="43" spans="1:11" x14ac:dyDescent="0.25">
      <c r="F43" s="42"/>
      <c r="H43" s="42"/>
      <c r="I43" s="42"/>
      <c r="J43" s="42"/>
    </row>
    <row r="44" spans="1:11" ht="13" x14ac:dyDescent="0.3">
      <c r="A44" s="1" t="s">
        <v>74</v>
      </c>
      <c r="F44" s="42"/>
      <c r="H44" s="42"/>
      <c r="I44" s="42"/>
      <c r="J44" s="42"/>
    </row>
    <row r="45" spans="1:11" ht="13" x14ac:dyDescent="0.3">
      <c r="A45" s="36"/>
      <c r="B45" t="s">
        <v>72</v>
      </c>
      <c r="C45" s="2">
        <f>SUM('FSS AUTO SCHEME MODEL'!$B$53:$B$57)</f>
        <v>0</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C45*$J45/'5D AUTO MODEL'!$G$6</f>
        <v>0</v>
      </c>
    </row>
    <row r="46" spans="1:11" ht="13" x14ac:dyDescent="0.3">
      <c r="A46" s="36"/>
      <c r="B46" t="s">
        <v>244</v>
      </c>
      <c r="C46" s="2">
        <f>SUM('FSS AUTO SCHEME MODEL'!$A$53:$A$57)</f>
        <v>0</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C46*$J46/'5D AUTO MODEL'!$G$6</f>
        <v>0</v>
      </c>
    </row>
    <row r="47" spans="1:11" x14ac:dyDescent="0.25">
      <c r="B47" t="s">
        <v>291</v>
      </c>
      <c r="C47" s="2">
        <f>SUM('FSS AUTO SCHEME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C47*$J47/'5D AUTO MODEL'!$G$6</f>
        <v>0</v>
      </c>
    </row>
    <row r="48" spans="1:11" x14ac:dyDescent="0.25">
      <c r="B48" t="s">
        <v>292</v>
      </c>
      <c r="C48" s="2">
        <f>SUM('FSS AUTO SCHEME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C48*$J48/'5D AUTO MODEL'!$G$6</f>
        <v>0</v>
      </c>
    </row>
    <row r="49" spans="1:11" x14ac:dyDescent="0.25">
      <c r="B49" t="s">
        <v>70</v>
      </c>
      <c r="C49" s="2">
        <f>SUM('FSS AUTO SCHEME MODEL'!$M$53:$M$57)</f>
        <v>0</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C49*$J49/'5D AUTO MODEL'!$G$6</f>
        <v>0</v>
      </c>
    </row>
    <row r="50" spans="1:11" x14ac:dyDescent="0.25">
      <c r="F50" s="42"/>
      <c r="H50" s="42"/>
      <c r="I50" s="42"/>
      <c r="J50" s="42"/>
    </row>
    <row r="51" spans="1:11" ht="13" x14ac:dyDescent="0.3">
      <c r="A51" s="1" t="s">
        <v>75</v>
      </c>
      <c r="F51" s="42"/>
      <c r="H51" s="42"/>
      <c r="I51" s="42"/>
      <c r="J51" s="42"/>
    </row>
    <row r="52" spans="1:11" ht="13" x14ac:dyDescent="0.3">
      <c r="A52" s="36"/>
      <c r="B52" t="s">
        <v>72</v>
      </c>
      <c r="C52" s="2">
        <f>SUM('FSS AUTO SCHEME MODEL'!$B$64:$B$68)</f>
        <v>0</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C52*$J52/'5D AUTO MODEL'!$G$6</f>
        <v>0</v>
      </c>
    </row>
    <row r="53" spans="1:11" ht="13" x14ac:dyDescent="0.3">
      <c r="A53" s="36"/>
      <c r="B53" t="s">
        <v>244</v>
      </c>
      <c r="C53" s="2">
        <f>SUM('FSS AUTO SCHEME MODEL'!$A$64:$A$68)</f>
        <v>0</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C53*$J53/'5D AUTO MODEL'!$G$6</f>
        <v>0</v>
      </c>
    </row>
    <row r="54" spans="1:11" x14ac:dyDescent="0.25">
      <c r="B54" t="s">
        <v>291</v>
      </c>
      <c r="C54" s="2">
        <f>SUM('FSS AUTO SCHEME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C54*$J54/'5D AUTO MODEL'!$G$6</f>
        <v>0</v>
      </c>
    </row>
    <row r="55" spans="1:11" x14ac:dyDescent="0.25">
      <c r="B55" t="s">
        <v>292</v>
      </c>
      <c r="C55" s="2">
        <f>SUM('FSS AUTO SCHEME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C55*$J55/'5D AUTO MODEL'!$G$6</f>
        <v>0</v>
      </c>
    </row>
    <row r="56" spans="1:11" x14ac:dyDescent="0.25">
      <c r="B56" t="s">
        <v>70</v>
      </c>
      <c r="C56" s="2">
        <f>SUM('FSS AUTO SCHEME MODEL'!$M$64:$M$68)</f>
        <v>0</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C56*$J56/'5D AUTO MODEL'!$G$6</f>
        <v>0</v>
      </c>
    </row>
    <row r="57" spans="1:11" x14ac:dyDescent="0.25">
      <c r="F57" s="42"/>
      <c r="H57" s="42"/>
      <c r="I57" s="42"/>
      <c r="J57" s="42"/>
    </row>
    <row r="58" spans="1:11" ht="13" x14ac:dyDescent="0.3">
      <c r="A58" s="1" t="s">
        <v>76</v>
      </c>
      <c r="F58" s="42"/>
      <c r="H58" s="42"/>
      <c r="I58" s="42"/>
      <c r="J58" s="42"/>
    </row>
    <row r="59" spans="1:11" ht="13" x14ac:dyDescent="0.3">
      <c r="A59" s="36"/>
      <c r="B59" t="s">
        <v>72</v>
      </c>
      <c r="C59" s="2">
        <f ca="1">SUM('FSS AUTO SCHEME MODEL'!$B$74:$B$78)+SUM('FSS AUTO SCHEME MODEL'!$B$108:$B$112)</f>
        <v>0</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C59*$J59/'5D AUTO MODEL'!$G$6</f>
        <v>0</v>
      </c>
    </row>
    <row r="60" spans="1:11" ht="13" x14ac:dyDescent="0.3">
      <c r="A60" s="36"/>
      <c r="B60" t="s">
        <v>244</v>
      </c>
      <c r="C60" s="2">
        <f ca="1">SUM('FSS AUTO SCHEME MODEL'!$A$74:$A$78)+SUM('FSS AUTO SCHEME MODEL'!$A$108:$A$112)</f>
        <v>0</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C60*$J60/'5D AUTO MODEL'!$G$6</f>
        <v>0</v>
      </c>
    </row>
    <row r="61" spans="1:11" x14ac:dyDescent="0.25">
      <c r="B61" t="s">
        <v>291</v>
      </c>
      <c r="C61" s="2">
        <f>SUM('FSS AUTO SCHEME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C61*$J61/'5D AUTO MODEL'!$G$6</f>
        <v>0</v>
      </c>
    </row>
    <row r="62" spans="1:11" x14ac:dyDescent="0.25">
      <c r="B62" t="s">
        <v>292</v>
      </c>
      <c r="C62" s="2">
        <f>SUM('FSS AUTO SCHEME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C62*$J62/'5D AUTO MODEL'!$G$6</f>
        <v>0</v>
      </c>
    </row>
    <row r="63" spans="1:11" x14ac:dyDescent="0.25">
      <c r="B63" t="s">
        <v>70</v>
      </c>
      <c r="C63" s="2">
        <f ca="1">SUM('FSS AUTO SCHEME MODEL'!$M$74:$M$78)</f>
        <v>0</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C63*$J63/'5D AUTO MODEL'!$G$6</f>
        <v>0</v>
      </c>
    </row>
    <row r="64" spans="1:11" ht="13" x14ac:dyDescent="0.3">
      <c r="A64" s="36"/>
      <c r="F64" s="42"/>
      <c r="H64" s="42"/>
      <c r="I64" s="42"/>
      <c r="J64" s="42"/>
    </row>
    <row r="65" spans="1:11" ht="13" x14ac:dyDescent="0.3">
      <c r="A65" s="1" t="s">
        <v>77</v>
      </c>
      <c r="F65" s="42"/>
      <c r="H65" s="42"/>
      <c r="I65" s="42"/>
      <c r="J65" s="42"/>
    </row>
    <row r="66" spans="1:11" ht="13" x14ac:dyDescent="0.3">
      <c r="A66" s="36"/>
      <c r="B66" t="s">
        <v>72</v>
      </c>
      <c r="C66" s="2">
        <f ca="1">SUM('FSS AUTO SCHEME MODEL'!$B$83:$B$87)+SUM('FSS AUTO SCHEME MODEL'!$B$122:$B$126)</f>
        <v>10097.27355586064</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C66*$J66/'5D AUTO MODEL'!$G$6</f>
        <v>4.3720427457053335</v>
      </c>
    </row>
    <row r="67" spans="1:11" ht="13" x14ac:dyDescent="0.3">
      <c r="A67" s="36"/>
      <c r="B67" t="s">
        <v>244</v>
      </c>
      <c r="C67" s="2">
        <f ca="1">SUM('FSS AUTO SCHEME MODEL'!$A$83:$A$87)+SUM('FSS AUTO SCHEME MODEL'!$A$122:$A$126)</f>
        <v>618.95941555262584</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C67*$J67/'5D AUTO MODEL'!$G$6</f>
        <v>0.46673812152129412</v>
      </c>
    </row>
    <row r="68" spans="1:11" x14ac:dyDescent="0.25">
      <c r="B68" t="s">
        <v>291</v>
      </c>
      <c r="C68" s="2">
        <f>SUM('FSS AUTO SCHEME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C68*$J68/'5D AUTO MODEL'!$G$6</f>
        <v>0</v>
      </c>
    </row>
    <row r="69" spans="1:11" x14ac:dyDescent="0.25">
      <c r="B69" t="s">
        <v>292</v>
      </c>
      <c r="C69" s="2">
        <f>SUM('FSS AUTO SCHEME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C69*$J69/'5D AUTO MODEL'!$G$6</f>
        <v>0</v>
      </c>
    </row>
    <row r="70" spans="1:11" x14ac:dyDescent="0.25">
      <c r="B70" t="s">
        <v>70</v>
      </c>
      <c r="C70" s="2">
        <f ca="1">SUM('FSS AUTO SCHEME MODEL'!$M$83:$M$87)</f>
        <v>499.72592770203642</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C70*$J70/'5D AUTO MODEL'!$G$6</f>
        <v>0.49550214996452113</v>
      </c>
    </row>
    <row r="71" spans="1:11" x14ac:dyDescent="0.25">
      <c r="F71" s="42"/>
      <c r="H71" s="42"/>
      <c r="I71" s="42"/>
      <c r="J71" s="42"/>
    </row>
    <row r="72" spans="1:11" ht="13" x14ac:dyDescent="0.3">
      <c r="A72" s="1" t="s">
        <v>368</v>
      </c>
      <c r="F72" s="42"/>
      <c r="H72" s="42"/>
      <c r="I72" s="42"/>
      <c r="J72" s="42"/>
    </row>
    <row r="73" spans="1:11" x14ac:dyDescent="0.25">
      <c r="B73" t="s">
        <v>366</v>
      </c>
      <c r="C73" s="2">
        <v>0</v>
      </c>
      <c r="D73" s="2">
        <v>0</v>
      </c>
      <c r="E73" s="38">
        <v>0</v>
      </c>
      <c r="F73" s="42">
        <v>0</v>
      </c>
      <c r="G73" s="42">
        <v>0</v>
      </c>
      <c r="H73" s="42">
        <v>0</v>
      </c>
      <c r="I73" s="42">
        <v>0</v>
      </c>
      <c r="J73" s="42">
        <v>0</v>
      </c>
      <c r="K73" s="42">
        <f ca="1">C73*$J73/'5D AUTO MODEL'!$G$6</f>
        <v>0</v>
      </c>
    </row>
    <row r="74" spans="1:11" x14ac:dyDescent="0.25">
      <c r="B74" t="s">
        <v>244</v>
      </c>
      <c r="C74" s="2">
        <f ca="1">SUM('FSS AUTO SCHEME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C74*$J74/'5D AUTO MODEL'!$G$6</f>
        <v>0</v>
      </c>
    </row>
    <row r="76" spans="1:11" x14ac:dyDescent="0.25">
      <c r="B76" s="155" t="s">
        <v>486</v>
      </c>
      <c r="C76" s="2">
        <v>0</v>
      </c>
      <c r="D76" s="2">
        <f>PRODUCTIVITIES!$C$49*'FY VOLUME AUTO'!C59</f>
        <v>0</v>
      </c>
      <c r="E76" s="38">
        <f>'WAGE RATES'!$C$6</f>
        <v>50.10717457546064</v>
      </c>
      <c r="F76" s="42" t="e">
        <f t="shared" ref="F76:F77" si="0">E76*100/D76</f>
        <v>#DIV/0!</v>
      </c>
      <c r="G76" s="42">
        <f>PIGGYBACKS!B13</f>
        <v>1.6305774272183733</v>
      </c>
      <c r="H76" s="42">
        <f>'WAGE RATES'!$C$9</f>
        <v>0.9752031228402912</v>
      </c>
      <c r="I76" s="42" t="e">
        <f t="shared" ref="I76:I77" si="1">(H76-1)*F76</f>
        <v>#DIV/0!</v>
      </c>
      <c r="J76" s="42" t="e">
        <f t="shared" ref="J76:J77" si="2">F76*G76+I76</f>
        <v>#DIV/0!</v>
      </c>
      <c r="K76" s="42" t="e">
        <f ca="1">C76*$J76/'5D AUTO MODEL'!$G$6</f>
        <v>#DIV/0!</v>
      </c>
    </row>
    <row r="77" spans="1:11" x14ac:dyDescent="0.25">
      <c r="B77" s="155" t="s">
        <v>491</v>
      </c>
      <c r="C77" s="2">
        <f ca="1">SUM(C31,C33,C34,C38,C40,C41,C45,C47,C48,C52,C54,C55,C59,C61,C62,C66,C68,C69)</f>
        <v>10097.27355586064</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3.8547449790726001</v>
      </c>
    </row>
    <row r="78" spans="1:11" ht="13" thickBot="1" x14ac:dyDescent="0.3">
      <c r="F78" s="42"/>
      <c r="H78" s="42"/>
      <c r="I78" s="42"/>
      <c r="J78" s="42"/>
    </row>
    <row r="79" spans="1:11" ht="13.5" thickBot="1" x14ac:dyDescent="0.35">
      <c r="F79" s="42"/>
      <c r="H79" s="42"/>
      <c r="I79" s="42"/>
      <c r="J79" s="142" t="s">
        <v>78</v>
      </c>
      <c r="K79" s="143">
        <v>0</v>
      </c>
    </row>
    <row r="80" spans="1:11" ht="13.5" thickBot="1" x14ac:dyDescent="0.35">
      <c r="J80" s="142" t="s">
        <v>485</v>
      </c>
      <c r="K80" s="143">
        <v>0</v>
      </c>
    </row>
    <row r="83" spans="1:8" ht="13" x14ac:dyDescent="0.3">
      <c r="A83" s="145" t="str">
        <f>"(1)"</f>
        <v>(1)</v>
      </c>
      <c r="B83" s="1" t="s">
        <v>409</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scale="62" orientation="portrait" r:id="rId1"/>
  <ignoredErrors>
    <ignoredError sqref="E4" numberStoredAsText="1"/>
  </ignoredErrors>
</worksheet>
</file>

<file path=xl/worksheets/sheet4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1"/>
  <dimension ref="A1:AD128"/>
  <sheetViews>
    <sheetView zoomScale="75" zoomScaleNormal="75" workbookViewId="0"/>
  </sheetViews>
  <sheetFormatPr defaultRowHeight="12.5" x14ac:dyDescent="0.25"/>
  <cols>
    <col min="1" max="2" width="10.7265625" style="20" customWidth="1"/>
    <col min="3" max="3" width="20.26953125" style="20" customWidth="1"/>
    <col min="4" max="4" width="10.7265625" style="58" customWidth="1"/>
    <col min="5" max="6" width="10.7265625" style="20" customWidth="1"/>
    <col min="7" max="7" width="11.81640625"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3" x14ac:dyDescent="0.5">
      <c r="A1" s="126" t="str">
        <f>'FSS AUTO SCHEME COST'!A1</f>
        <v>FSS AUTO SCHEME AUTO PRESORT</v>
      </c>
    </row>
    <row r="2" spans="1:30" ht="23" x14ac:dyDescent="0.5">
      <c r="A2" s="57" t="s">
        <v>84</v>
      </c>
    </row>
    <row r="6" spans="1:30" s="228" customFormat="1" ht="18" x14ac:dyDescent="0.4">
      <c r="A6" s="48" t="s">
        <v>85</v>
      </c>
      <c r="B6" s="226"/>
      <c r="C6" s="49">
        <f>SUM(C11:C16)+SUM(G11:G16)+SUM(K11:K16)+SUM(O11:O16)</f>
        <v>10000</v>
      </c>
      <c r="D6" s="227"/>
      <c r="E6" s="48" t="s">
        <v>86</v>
      </c>
      <c r="F6" s="226"/>
      <c r="G6" s="49">
        <f ca="1">D88+J88+O88+D100+D127</f>
        <v>10000</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v>0</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v>0</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v>0</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v>10000</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v>
      </c>
      <c r="N29" s="206">
        <f>D23+J23</f>
        <v>0</v>
      </c>
      <c r="P29" s="20"/>
      <c r="Q29" s="109"/>
      <c r="S29" s="20"/>
      <c r="U29" s="20"/>
      <c r="Y29"/>
      <c r="Z29"/>
      <c r="AA29"/>
      <c r="AB29"/>
      <c r="AC29"/>
      <c r="AD29"/>
    </row>
    <row r="30" spans="1:30" ht="13" x14ac:dyDescent="0.3">
      <c r="A30" s="114"/>
      <c r="C30" s="98"/>
      <c r="D30" s="196">
        <f>(SUM(C25:C29)-D23)*'PIECE DENSITIES'!C6</f>
        <v>0</v>
      </c>
      <c r="E30" s="24" t="s">
        <v>290</v>
      </c>
      <c r="G30" s="114"/>
      <c r="I30" s="99"/>
      <c r="J30" s="201">
        <f>(SUM(I25:I29)-J23)*'PIECE DENSITIES'!C11</f>
        <v>0</v>
      </c>
      <c r="K30" s="24" t="s">
        <v>289</v>
      </c>
      <c r="L30"/>
      <c r="M30" s="20"/>
      <c r="O30" s="96">
        <f>SUM(N25:N29)*'PIECE DENSITIES'!C16</f>
        <v>0</v>
      </c>
      <c r="P30" s="24" t="s">
        <v>120</v>
      </c>
      <c r="Q30" s="109"/>
      <c r="S30" s="20"/>
      <c r="U30" s="20"/>
      <c r="Y30"/>
      <c r="Z30"/>
      <c r="AA30"/>
      <c r="AB30"/>
      <c r="AC30"/>
      <c r="AD30"/>
    </row>
    <row r="31" spans="1:30" ht="13" x14ac:dyDescent="0.3">
      <c r="A31" s="114"/>
      <c r="C31" s="98"/>
      <c r="D31" s="196">
        <f>(SUM(C25:C29)-D23)*'PIECE DENSITIES'!D6</f>
        <v>0</v>
      </c>
      <c r="E31" s="24" t="s">
        <v>121</v>
      </c>
      <c r="G31" s="114"/>
      <c r="I31" s="99"/>
      <c r="J31" s="201">
        <f>(SUM(I25:I29)-J23)*'PIECE DENSITIES'!D11</f>
        <v>0</v>
      </c>
      <c r="K31" s="24" t="s">
        <v>122</v>
      </c>
      <c r="L31"/>
      <c r="M31" s="20"/>
      <c r="O31" s="96">
        <f>SUM(N25:N29)*'PIECE DENSITIES'!D16</f>
        <v>0</v>
      </c>
      <c r="P31" s="24" t="s">
        <v>123</v>
      </c>
      <c r="Q31" s="109"/>
      <c r="S31" s="20"/>
      <c r="U31" s="20"/>
      <c r="Y31"/>
      <c r="Z31"/>
      <c r="AA31"/>
      <c r="AB31"/>
      <c r="AC31"/>
      <c r="AD31"/>
    </row>
    <row r="32" spans="1:30" ht="13" x14ac:dyDescent="0.3">
      <c r="A32" s="114"/>
      <c r="C32" s="89"/>
      <c r="D32" s="197">
        <f>(SUM(C25:C29)-D23)*'PIECE DENSITIES'!E6</f>
        <v>0</v>
      </c>
      <c r="E32" s="24" t="s">
        <v>124</v>
      </c>
      <c r="G32" s="114"/>
      <c r="I32" s="94"/>
      <c r="J32" s="202">
        <f>(SUM(I25:I29)-J23)*'PIECE DENSITIES'!E11</f>
        <v>0</v>
      </c>
      <c r="K32" s="24" t="s">
        <v>125</v>
      </c>
      <c r="L32"/>
      <c r="M32" s="20"/>
      <c r="N32" s="46"/>
      <c r="O32" s="97">
        <f>SUM(N25:N29)*'PIECE DENSITIES'!E16</f>
        <v>0</v>
      </c>
      <c r="P32" s="24" t="s">
        <v>126</v>
      </c>
      <c r="Q32" s="109"/>
      <c r="S32" s="20"/>
      <c r="U32" s="20"/>
      <c r="Y32"/>
      <c r="Z32"/>
      <c r="AA32"/>
      <c r="AB32"/>
      <c r="AC32"/>
      <c r="AD32"/>
    </row>
    <row r="33" spans="1:30" ht="13" x14ac:dyDescent="0.3">
      <c r="A33" s="114"/>
      <c r="C33" s="89"/>
      <c r="D33" s="197">
        <f>(SUM(C25:C29)-D23)*'PIECE DENSITIES'!F6</f>
        <v>0</v>
      </c>
      <c r="E33" s="24" t="s">
        <v>127</v>
      </c>
      <c r="G33" s="114"/>
      <c r="I33" s="94"/>
      <c r="J33" s="202">
        <f>(SUM(I25:I29)-J23)*'PIECE DENSITIES'!F11</f>
        <v>0</v>
      </c>
      <c r="K33" s="24" t="s">
        <v>128</v>
      </c>
      <c r="L33"/>
      <c r="M33" s="20"/>
      <c r="N33" s="46"/>
      <c r="O33" s="97">
        <f>SUM(N25:N29)*'PIECE DENSITIES'!F16</f>
        <v>0</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0</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0</v>
      </c>
      <c r="B42" s="199">
        <f>C42*(1+'ACCEPT RATES'!F15+'PIECE DENSITIES'!C7)</f>
        <v>0</v>
      </c>
      <c r="C42" s="198">
        <f>D30</f>
        <v>0</v>
      </c>
      <c r="G42" s="205">
        <f>IF(SUM(C11:C16)&gt;0,H42*(1-'ACCEPT RATES'!C20),H42*(1-'ACCEPT RATES'!D20))</f>
        <v>0</v>
      </c>
      <c r="H42" s="204">
        <f>I42*(1+'PIECE DENSITIES'!C12)</f>
        <v>0</v>
      </c>
      <c r="I42" s="203">
        <f>J30</f>
        <v>0</v>
      </c>
      <c r="J42" s="58"/>
      <c r="L42"/>
      <c r="M42" s="102">
        <f>N42</f>
        <v>0</v>
      </c>
      <c r="N42" s="101">
        <f>D36+J36+O30</f>
        <v>0</v>
      </c>
      <c r="P42" s="20"/>
      <c r="Q42" s="109"/>
      <c r="S42" s="20"/>
      <c r="U42" s="20"/>
      <c r="Y42"/>
      <c r="Z42"/>
      <c r="AA42"/>
      <c r="AB42"/>
      <c r="AC42"/>
      <c r="AD42"/>
    </row>
    <row r="43" spans="1:30" ht="13" x14ac:dyDescent="0.3">
      <c r="A43" s="114"/>
      <c r="C43" s="98"/>
      <c r="D43" s="196">
        <f>(SUM(C38:C42)-D36)*'PIECE DENSITIES'!D7</f>
        <v>0</v>
      </c>
      <c r="E43" s="24" t="s">
        <v>121</v>
      </c>
      <c r="G43" s="114"/>
      <c r="I43" s="99"/>
      <c r="J43" s="201">
        <f>(SUM(I38:I42)-J36)*'PIECE DENSITIES'!D12</f>
        <v>0</v>
      </c>
      <c r="K43" s="24" t="s">
        <v>122</v>
      </c>
      <c r="L43"/>
      <c r="M43" s="20"/>
      <c r="O43" s="96">
        <f>SUM(N38:N42)*'PIECE DENSITIES'!D17</f>
        <v>0</v>
      </c>
      <c r="P43" s="24" t="s">
        <v>123</v>
      </c>
      <c r="Q43" s="109"/>
      <c r="S43" s="20"/>
      <c r="U43" s="20"/>
      <c r="Y43"/>
      <c r="Z43"/>
      <c r="AA43"/>
      <c r="AB43"/>
      <c r="AC43"/>
      <c r="AD43"/>
    </row>
    <row r="44" spans="1:30" ht="13" x14ac:dyDescent="0.3">
      <c r="A44" s="114"/>
      <c r="C44" s="98"/>
      <c r="D44" s="196">
        <f>(SUM(C38:C42)-D36)*'PIECE DENSITIES'!E7</f>
        <v>0</v>
      </c>
      <c r="E44" s="24" t="s">
        <v>124</v>
      </c>
      <c r="G44" s="114"/>
      <c r="I44" s="99"/>
      <c r="J44" s="201">
        <f>(SUM(I38:I42)-J36)*'PIECE DENSITIES'!E12</f>
        <v>0</v>
      </c>
      <c r="K44" s="24" t="s">
        <v>125</v>
      </c>
      <c r="L44"/>
      <c r="M44" s="20"/>
      <c r="O44" s="96">
        <f>SUM(N38:N42)*'PIECE DENSITIES'!E17</f>
        <v>0</v>
      </c>
      <c r="P44" s="24" t="s">
        <v>126</v>
      </c>
      <c r="Q44" s="109"/>
      <c r="S44" s="20"/>
      <c r="U44" s="20"/>
      <c r="Y44"/>
      <c r="Z44"/>
      <c r="AA44"/>
      <c r="AB44"/>
      <c r="AC44"/>
      <c r="AD44"/>
    </row>
    <row r="45" spans="1:30" ht="13" x14ac:dyDescent="0.3">
      <c r="A45" s="114"/>
      <c r="C45" s="89"/>
      <c r="D45" s="197">
        <f>(SUM(C38:C42)-D36)*'PIECE DENSITIES'!F7</f>
        <v>0</v>
      </c>
      <c r="E45" s="24" t="s">
        <v>127</v>
      </c>
      <c r="G45" s="114"/>
      <c r="I45" s="94"/>
      <c r="J45" s="202">
        <f>(SUM(I38:I42)-J36)*'PIECE DENSITIES'!F12</f>
        <v>0</v>
      </c>
      <c r="K45" s="24" t="s">
        <v>128</v>
      </c>
      <c r="L45"/>
      <c r="M45" s="20"/>
      <c r="N45" s="46"/>
      <c r="O45" s="97">
        <f>SUM(N38:N42)*'PIECE DENSITIES'!F17</f>
        <v>0</v>
      </c>
      <c r="P45" s="24" t="s">
        <v>129</v>
      </c>
      <c r="Q45" s="109"/>
      <c r="S45" s="20"/>
      <c r="U45" s="20"/>
      <c r="Y45"/>
      <c r="Z45"/>
      <c r="AA45"/>
      <c r="AB45"/>
      <c r="AC45"/>
      <c r="AD45"/>
    </row>
    <row r="46" spans="1:30" ht="13" x14ac:dyDescent="0.3">
      <c r="A46" s="114"/>
      <c r="C46" s="89"/>
      <c r="D46" s="197">
        <f>(SUM(C38:C42)-D36)*'PIECE DENSITIES'!G7</f>
        <v>0</v>
      </c>
      <c r="E46" s="24" t="s">
        <v>130</v>
      </c>
      <c r="G46" s="114"/>
      <c r="I46" s="94"/>
      <c r="J46" s="202">
        <f>(SUM(I38:I42)-J36)*'PIECE DENSITIES'!G12</f>
        <v>0</v>
      </c>
      <c r="K46" s="24" t="s">
        <v>288</v>
      </c>
      <c r="L46"/>
      <c r="M46" s="20"/>
      <c r="N46" s="46"/>
      <c r="O46" s="97">
        <f>SUM(N38:N42)*'PIECE DENSITIES'!G17</f>
        <v>0</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0</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v>
      </c>
      <c r="B57" s="199">
        <f>C57*(1+'ACCEPT RATES'!F16+'PIECE DENSITIES'!D8)</f>
        <v>0</v>
      </c>
      <c r="C57" s="198">
        <f>(D31+D43)*('COVERAGE FACTORS'!E38+'COVERAGE FACTORS'!E42)</f>
        <v>0</v>
      </c>
      <c r="G57" s="210">
        <f>IF(SUM(C11:C16)&gt;0,H57*(1-'ACCEPT RATES'!C21),H57*(1-'ACCEPT RATES'!D21))</f>
        <v>0</v>
      </c>
      <c r="H57" s="209">
        <f>I57*(1+'PIECE DENSITIES'!D13)</f>
        <v>0</v>
      </c>
      <c r="I57" s="208">
        <f>(D31+D43)*'COVERAGE FACTORS'!E40+(J31+J43)*('COVERAGE FACTORS'!E40+'COVERAGE FACTORS'!E42)</f>
        <v>0</v>
      </c>
      <c r="J57" s="58"/>
      <c r="L57"/>
      <c r="M57" s="102">
        <f>N57</f>
        <v>0</v>
      </c>
      <c r="N57" s="101">
        <f>D51+J51+O31+O43+(D31+D43)*'COVERAGE FACTORS'!E44+(J31+J43)*(1-('COVERAGE FACTORS'!E40+'COVERAGE FACTORS'!E42))</f>
        <v>0</v>
      </c>
      <c r="P57" s="20"/>
      <c r="Q57" s="109"/>
      <c r="S57" s="20"/>
      <c r="U57" s="20"/>
      <c r="Y57"/>
      <c r="Z57"/>
      <c r="AA57"/>
      <c r="AB57"/>
      <c r="AC57"/>
      <c r="AD57"/>
    </row>
    <row r="58" spans="1:30" ht="13" x14ac:dyDescent="0.3">
      <c r="A58" s="114"/>
      <c r="C58" s="98"/>
      <c r="D58" s="196">
        <f>(SUM(C53:C57)-D51)*'PIECE DENSITIES'!E8</f>
        <v>0</v>
      </c>
      <c r="E58" s="24" t="s">
        <v>124</v>
      </c>
      <c r="G58" s="114"/>
      <c r="I58" s="99"/>
      <c r="J58" s="201">
        <f>(SUM(I53:I57)-J51)*'PIECE DENSITIES'!E13</f>
        <v>0</v>
      </c>
      <c r="K58" s="24" t="s">
        <v>125</v>
      </c>
      <c r="L58"/>
      <c r="M58" s="20"/>
      <c r="O58" s="96">
        <f>SUM(N53:N57)*'PIECE DENSITIES'!E18</f>
        <v>0</v>
      </c>
      <c r="P58" s="24" t="s">
        <v>126</v>
      </c>
      <c r="Q58" s="109"/>
      <c r="S58" s="20"/>
      <c r="U58" s="20"/>
      <c r="Y58"/>
      <c r="Z58"/>
      <c r="AA58"/>
      <c r="AB58"/>
      <c r="AC58"/>
      <c r="AD58"/>
    </row>
    <row r="59" spans="1:30" ht="13" x14ac:dyDescent="0.3">
      <c r="A59" s="114"/>
      <c r="C59" s="98"/>
      <c r="D59" s="196">
        <f>(SUM(C53:C57)-D51)*'PIECE DENSITIES'!F8</f>
        <v>0</v>
      </c>
      <c r="E59" s="24" t="s">
        <v>127</v>
      </c>
      <c r="G59" s="114"/>
      <c r="I59" s="99"/>
      <c r="J59" s="201">
        <f>(SUM(I53:I57)-J51)*'PIECE DENSITIES'!F13</f>
        <v>0</v>
      </c>
      <c r="K59" s="24" t="s">
        <v>128</v>
      </c>
      <c r="L59"/>
      <c r="M59" s="20"/>
      <c r="O59" s="96">
        <f>SUM(N53:N57)*'PIECE DENSITIES'!F18</f>
        <v>0</v>
      </c>
      <c r="P59" s="24" t="s">
        <v>129</v>
      </c>
      <c r="Q59" s="109"/>
      <c r="S59" s="20"/>
      <c r="U59" s="20"/>
      <c r="Y59"/>
      <c r="Z59"/>
      <c r="AA59"/>
      <c r="AB59"/>
      <c r="AC59"/>
      <c r="AD59"/>
    </row>
    <row r="60" spans="1:30" ht="13" x14ac:dyDescent="0.3">
      <c r="A60" s="114"/>
      <c r="C60" s="89"/>
      <c r="D60" s="197">
        <f>(SUM(C53:C57)-D51)*'PIECE DENSITIES'!G8</f>
        <v>0</v>
      </c>
      <c r="E60" s="24" t="s">
        <v>130</v>
      </c>
      <c r="G60" s="114"/>
      <c r="I60" s="94"/>
      <c r="J60" s="202">
        <f>(SUM(I53:I57)-J51)*'PIECE DENSITIES'!G13</f>
        <v>0</v>
      </c>
      <c r="K60" s="24" t="s">
        <v>288</v>
      </c>
      <c r="L60"/>
      <c r="M60" s="20"/>
      <c r="N60" s="46"/>
      <c r="O60" s="97">
        <f>SUM(N53:N57)*'PIECE DENSITIES'!G18</f>
        <v>0</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0</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0</v>
      </c>
      <c r="B68" s="211">
        <f>C68*(1+'ACCEPT RATES'!F17+'PIECE DENSITIES'!E9)</f>
        <v>0</v>
      </c>
      <c r="C68" s="212">
        <f>(D32+D44+D58)*('COVERAGE FACTORS'!E38+'COVERAGE FACTORS'!E42)</f>
        <v>0</v>
      </c>
      <c r="G68" s="205">
        <f>IF(SUM(C11:C16)&gt;0, H68*(1-'ACCEPT RATES'!C22),H68*(1-'ACCEPT RATES'!D22))</f>
        <v>0</v>
      </c>
      <c r="H68" s="204">
        <f>I68*(1+'PIECE DENSITIES'!E14)</f>
        <v>0</v>
      </c>
      <c r="I68" s="203">
        <f>(D32+D44+D58)*'COVERAGE FACTORS'!E40+(J32+J44+J58)*('COVERAGE FACTORS'!E40+'COVERAGE FACTORS'!E42)</f>
        <v>0</v>
      </c>
      <c r="J68" s="58"/>
      <c r="L68"/>
      <c r="M68" s="102">
        <f>N68</f>
        <v>0</v>
      </c>
      <c r="N68" s="101">
        <f>D62+J62+O32+O44+O58+(D32+D44+D58)*'COVERAGE FACTORS'!E44+(J32+J44+J58)*(1-('COVERAGE FACTORS'!E40+'COVERAGE FACTORS'!E42))</f>
        <v>0</v>
      </c>
      <c r="P68" s="20"/>
      <c r="Q68" s="109"/>
      <c r="S68" s="20"/>
      <c r="U68" s="20"/>
      <c r="Y68"/>
      <c r="Z68"/>
      <c r="AA68"/>
      <c r="AB68"/>
      <c r="AC68"/>
      <c r="AD68"/>
    </row>
    <row r="69" spans="1:30" ht="13" x14ac:dyDescent="0.3">
      <c r="A69" s="114"/>
      <c r="C69" s="98"/>
      <c r="D69" s="196">
        <f>(SUM(C64:C68)-D62)*'PIECE DENSITIES'!F9</f>
        <v>0</v>
      </c>
      <c r="E69" s="24" t="s">
        <v>127</v>
      </c>
      <c r="G69" s="114"/>
      <c r="I69" s="99"/>
      <c r="J69" s="201">
        <f>(SUM(I64:I68)-J62)*'PIECE DENSITIES'!F14</f>
        <v>0</v>
      </c>
      <c r="K69" s="24" t="s">
        <v>128</v>
      </c>
      <c r="L69"/>
      <c r="M69" s="20"/>
      <c r="O69" s="96">
        <f>SUM(N64:N68)*'PIECE DENSITIES'!F19</f>
        <v>0</v>
      </c>
      <c r="P69" s="24" t="s">
        <v>129</v>
      </c>
      <c r="Q69" s="109"/>
      <c r="S69" s="20"/>
      <c r="U69" s="20"/>
      <c r="Y69"/>
      <c r="Z69"/>
      <c r="AA69"/>
      <c r="AB69"/>
      <c r="AC69"/>
      <c r="AD69"/>
    </row>
    <row r="70" spans="1:30" ht="13" x14ac:dyDescent="0.3">
      <c r="A70" s="114"/>
      <c r="C70" s="98"/>
      <c r="D70" s="196">
        <f>(SUM(C64:C68)-D62)*'PIECE DENSITIES'!G9</f>
        <v>0</v>
      </c>
      <c r="E70" s="24" t="s">
        <v>130</v>
      </c>
      <c r="G70" s="114"/>
      <c r="I70" s="99"/>
      <c r="J70" s="201">
        <f>(SUM(I64:I68)-J62)*'PIECE DENSITIES'!G14</f>
        <v>0</v>
      </c>
      <c r="K70" s="24" t="s">
        <v>288</v>
      </c>
      <c r="L70"/>
      <c r="M70" s="20"/>
      <c r="O70" s="96">
        <f>SUM(N64:N68)*'PIECE DENSITIES'!G19</f>
        <v>0</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0</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0</v>
      </c>
      <c r="B78" s="211">
        <f>C78*(1+'ACCEPT RATES'!F17)</f>
        <v>0</v>
      </c>
      <c r="C78" s="212">
        <f>(D33+D45+D59+D69)*('COVERAGE FACTORS'!E38+'COVERAGE FACTORS'!E42)</f>
        <v>0</v>
      </c>
      <c r="G78" s="205">
        <f>IF(SUM(C11:C16)&gt;0,H78*(1-'ACCEPT RATES'!C22),H78*(1-'ACCEPT RATES'!D22))</f>
        <v>0</v>
      </c>
      <c r="H78" s="204">
        <f>I78</f>
        <v>0</v>
      </c>
      <c r="I78" s="203">
        <f>(D33+D45+D59+D69)*'COVERAGE FACTORS'!E40+(J33+J45+J59+J69)*('COVERAGE FACTORS'!E40+'COVERAGE FACTORS'!E42)</f>
        <v>0</v>
      </c>
      <c r="J78" s="58"/>
      <c r="L78"/>
      <c r="M78" s="102">
        <f ca="1">N78</f>
        <v>0</v>
      </c>
      <c r="N78" s="294">
        <f ca="1">D72+J72+O33+O45+O59+O69+(D33+D45+D59+D69)*'COVERAGE FACTORS'!E44+(J33+J45+J59+J69)*(1-('COVERAGE FACTORS'!E40+'COVERAGE FACTORS'!E42))+D106</f>
        <v>0</v>
      </c>
      <c r="P78" s="20"/>
      <c r="Q78" s="109"/>
      <c r="S78" s="20"/>
      <c r="U78" s="20"/>
      <c r="Y78"/>
      <c r="Z78"/>
      <c r="AA78"/>
      <c r="AB78"/>
      <c r="AC78"/>
      <c r="AD78"/>
    </row>
    <row r="79" spans="1:30" ht="13" x14ac:dyDescent="0.3">
      <c r="A79" s="114"/>
      <c r="C79" s="98"/>
      <c r="D79" s="196">
        <f>SUM(C74:C78)-D72</f>
        <v>0</v>
      </c>
      <c r="E79" s="24" t="s">
        <v>130</v>
      </c>
      <c r="G79" s="114"/>
      <c r="I79" s="99"/>
      <c r="J79" s="201">
        <f>SUM(I74:I78)-J72</f>
        <v>0</v>
      </c>
      <c r="K79" s="24" t="s">
        <v>288</v>
      </c>
      <c r="L79"/>
      <c r="M79" s="20"/>
      <c r="O79" s="96">
        <f ca="1">SUM(N74:N78)</f>
        <v>0</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499.72592770203642</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618.95941555262584</v>
      </c>
      <c r="B83" s="29">
        <f>C83*(1+'ACCEPT RATES'!F17)</f>
        <v>10097.27355586064</v>
      </c>
      <c r="C83" s="51">
        <f>C16*(1-'COVERAGE FACTORS'!B119)</f>
        <v>10000</v>
      </c>
      <c r="E83" s="24" t="s">
        <v>70</v>
      </c>
      <c r="G83" s="217">
        <v>0</v>
      </c>
      <c r="H83" s="29">
        <f>I83</f>
        <v>0</v>
      </c>
      <c r="I83" s="51">
        <v>0</v>
      </c>
      <c r="J83" s="113"/>
      <c r="K83" s="23" t="s">
        <v>70</v>
      </c>
      <c r="L83"/>
      <c r="M83" s="29">
        <f>N83</f>
        <v>0</v>
      </c>
      <c r="N83" s="51">
        <v>0</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0</v>
      </c>
      <c r="B87" s="211">
        <f>C87*(1+'ACCEPT RATES'!F17)</f>
        <v>0</v>
      </c>
      <c r="C87" s="212">
        <f>(D34+D46+D60+D70+D79)*('COVERAGE FACTORS'!E54+'COVERAGE FACTORS'!E58)</f>
        <v>0</v>
      </c>
      <c r="G87" s="205">
        <v>0</v>
      </c>
      <c r="H87" s="204">
        <f>I87</f>
        <v>0</v>
      </c>
      <c r="I87" s="203">
        <f>(D34+D46+D60+D70+D79)*'COVERAGE FACTORS'!E56+(J34+J46+J60+J70+J79)*('COVERAGE FACTORS'!E56+'COVERAGE FACTORS'!E58)</f>
        <v>0</v>
      </c>
      <c r="J87" s="213"/>
      <c r="L87"/>
      <c r="M87" s="102">
        <f ca="1">N87</f>
        <v>499.72592770203642</v>
      </c>
      <c r="N87" s="294">
        <f ca="1">D81+J81+(O34+O46+O60+O70+O79)+(D34+D46+D60+D70+D79)*'COVERAGE FACTORS'!E60+(J34+J46+J60+J70+J79)*(1-('COVERAGE FACTORS'!E56+'COVERAGE FACTORS'!E58))+D120</f>
        <v>499.72592770203642</v>
      </c>
      <c r="P87" s="20"/>
      <c r="Q87" s="109"/>
      <c r="S87" s="20"/>
      <c r="U87" s="20"/>
      <c r="Y87"/>
      <c r="Z87"/>
      <c r="AA87"/>
      <c r="AB87"/>
      <c r="AC87"/>
      <c r="AD87"/>
    </row>
    <row r="88" spans="1:30" ht="13" x14ac:dyDescent="0.3">
      <c r="A88" s="114"/>
      <c r="C88" s="98"/>
      <c r="D88" s="103">
        <f>SUM(C83:C87)-D81</f>
        <v>9500.2740722979634</v>
      </c>
      <c r="E88" s="24"/>
      <c r="G88" s="218"/>
      <c r="H88" s="214"/>
      <c r="I88" s="214"/>
      <c r="J88" s="215">
        <f>SUM(I83:I87)-J81</f>
        <v>0</v>
      </c>
      <c r="K88" s="24"/>
      <c r="L88"/>
      <c r="M88" s="20"/>
      <c r="O88" s="216">
        <f ca="1">SUM(N83:N87)</f>
        <v>499.72592770203642</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FACTORS'!B119</f>
        <v>0</v>
      </c>
      <c r="E95" s="24"/>
    </row>
    <row r="96" spans="1:30" x14ac:dyDescent="0.25">
      <c r="A96" s="85">
        <f>B96*(1-'ACCEPT RATES'!D24)</f>
        <v>0</v>
      </c>
      <c r="B96" s="86">
        <f>C96*(1+'ACCEPT RATES'!F17)</f>
        <v>0</v>
      </c>
      <c r="C96" s="85">
        <f>G16*'COVERAGE FACTORS'!E52</f>
        <v>0</v>
      </c>
    </row>
    <row r="97" spans="1:14" x14ac:dyDescent="0.25">
      <c r="A97" s="91">
        <f>B97*(1-'ACCEPT RATES'!C24)</f>
        <v>0</v>
      </c>
      <c r="B97" s="90">
        <f>C97*(1+'ACCEPT RATES'!F17)</f>
        <v>0</v>
      </c>
      <c r="C97" s="91">
        <f>K16*'COVERAGE FACTORS'!E52</f>
        <v>0</v>
      </c>
    </row>
    <row r="98" spans="1:14" x14ac:dyDescent="0.25">
      <c r="A98" s="93">
        <f>B98*(1-'ACCEPT RATES'!D24)</f>
        <v>0</v>
      </c>
      <c r="B98" s="95">
        <f>C98*(1+'ACCEPT RATES'!F17)</f>
        <v>0</v>
      </c>
      <c r="C98" s="93">
        <f>O16*'COVERAGE FACTORS'!E52</f>
        <v>0</v>
      </c>
      <c r="N98" s="280"/>
    </row>
    <row r="99" spans="1:14" x14ac:dyDescent="0.25">
      <c r="A99" s="241">
        <f ca="1">B99*(1-'ACCEPT RATES'!C24)</f>
        <v>0</v>
      </c>
      <c r="B99" s="244">
        <f ca="1">C99*(1+'ACCEPT RATES'!F17)</f>
        <v>0</v>
      </c>
      <c r="C99" s="287">
        <f ca="1">(D16+D34+D46+D60+D70+D79)*'COVERAGE FACTORS'!E52+D114</f>
        <v>0</v>
      </c>
    </row>
    <row r="100" spans="1:14" x14ac:dyDescent="0.25">
      <c r="D100" s="242">
        <f ca="1">SUM(C95:C99)-D93-E93</f>
        <v>0</v>
      </c>
    </row>
    <row r="101" spans="1:14" ht="13" x14ac:dyDescent="0.3">
      <c r="D101" s="23" t="s">
        <v>369</v>
      </c>
    </row>
    <row r="105" spans="1:14" ht="13" x14ac:dyDescent="0.3">
      <c r="D105" s="23"/>
    </row>
    <row r="106" spans="1:14" ht="13" x14ac:dyDescent="0.3">
      <c r="A106" s="114"/>
      <c r="D106" s="285">
        <f ca="1">A112*(1-'ACCEPT RATES'!G17)+B112*('ACCEPT RATES'!I17+'ACCEPT RATES'!J17)</f>
        <v>0</v>
      </c>
      <c r="E106" s="24" t="s">
        <v>114</v>
      </c>
      <c r="G106" s="482" t="s">
        <v>525</v>
      </c>
      <c r="H106" s="482"/>
      <c r="I106" s="482"/>
      <c r="J106" s="482"/>
      <c r="K106" s="482"/>
    </row>
    <row r="107" spans="1:14" ht="13" x14ac:dyDescent="0.3">
      <c r="A107" s="127" t="s">
        <v>256</v>
      </c>
      <c r="B107" s="87" t="s">
        <v>444</v>
      </c>
      <c r="C107" s="88"/>
      <c r="D107"/>
      <c r="E107" s="24" t="s">
        <v>139</v>
      </c>
      <c r="G107" s="482"/>
      <c r="H107" s="482"/>
      <c r="I107" s="482"/>
      <c r="J107" s="482"/>
      <c r="K107" s="482"/>
    </row>
    <row r="108" spans="1:14" ht="13" x14ac:dyDescent="0.3">
      <c r="A108" s="51"/>
      <c r="B108" s="29"/>
      <c r="C108" s="51"/>
      <c r="E108" s="24" t="s">
        <v>70</v>
      </c>
      <c r="G108" s="482"/>
      <c r="H108" s="482"/>
      <c r="I108" s="482"/>
      <c r="J108" s="482"/>
      <c r="K108" s="482"/>
    </row>
    <row r="109" spans="1:14" x14ac:dyDescent="0.25">
      <c r="A109" s="194"/>
      <c r="B109" s="86"/>
      <c r="C109" s="85"/>
      <c r="G109" s="482"/>
      <c r="H109" s="482"/>
      <c r="I109" s="482"/>
      <c r="J109" s="482"/>
      <c r="K109" s="482"/>
    </row>
    <row r="110" spans="1:14" ht="13" x14ac:dyDescent="0.3">
      <c r="A110" s="122"/>
      <c r="B110" s="86"/>
      <c r="C110" s="85"/>
      <c r="G110" s="482"/>
      <c r="H110" s="482"/>
      <c r="I110" s="482"/>
      <c r="J110" s="482"/>
      <c r="K110" s="482"/>
    </row>
    <row r="111" spans="1:14" ht="13" x14ac:dyDescent="0.3">
      <c r="A111" s="122"/>
      <c r="B111" s="86"/>
      <c r="C111" s="85"/>
      <c r="G111" s="482"/>
      <c r="H111" s="482"/>
      <c r="I111" s="482"/>
      <c r="J111" s="482"/>
      <c r="K111" s="482"/>
    </row>
    <row r="112" spans="1:14"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ageMargins left="0.7" right="0.7" top="0.75" bottom="0.75" header="0.3" footer="0.3"/>
  <pageSetup scale="41" orientation="portrait" r:id="rId1"/>
</worksheet>
</file>

<file path=xl/worksheets/sheet4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9">
    <pageSetUpPr fitToPage="1"/>
  </sheetPr>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345</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'MADC NONAUTO COST'!C11</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C11*$J11/'MADC AUTO MODEL REV'!$G$6</f>
        <v>0</v>
      </c>
    </row>
    <row r="12" spans="1:11" ht="13" x14ac:dyDescent="0.3">
      <c r="A12" s="36"/>
      <c r="B12" t="s">
        <v>529</v>
      </c>
      <c r="C12" s="151">
        <f>'MADC NONAUTO COST'!C12</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C12*$J12/'MADC AUTO MODEL REV'!$G$6</f>
        <v>0</v>
      </c>
    </row>
    <row r="13" spans="1:11" ht="13" x14ac:dyDescent="0.3">
      <c r="A13" s="36"/>
      <c r="B13" t="s">
        <v>70</v>
      </c>
      <c r="C13" s="151">
        <f>'MADC NONAUTO COST'!C13</f>
        <v>687.20420235915128</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C13*$J13/'MADC AUTO MODEL REV'!$G$6</f>
        <v>1.3938504965193799</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'MADC NONAUTO COST'!C16</f>
        <v>129.0089682232655</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C16*$J16/'MADC AUTO MODEL REV'!$G$6</f>
        <v>0.48720824842543792</v>
      </c>
    </row>
    <row r="17" spans="1:11" ht="13" x14ac:dyDescent="0.3">
      <c r="A17" s="1"/>
      <c r="B17" t="s">
        <v>529</v>
      </c>
      <c r="C17" s="151">
        <f>'MADC NONAUTO COST'!C17</f>
        <v>155.95081722876151</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C17*$J17/'MADC AUTO MODEL REV'!$G$6</f>
        <v>0.68123186607327568</v>
      </c>
    </row>
    <row r="18" spans="1:11" ht="13" x14ac:dyDescent="0.3">
      <c r="A18" s="1"/>
      <c r="B18" t="s">
        <v>70</v>
      </c>
      <c r="C18" s="151">
        <f>'MADC NONAUTO COST'!C18</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C18*$J18/'MADC AUTO MODEL REV'!$G$6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'MADC NONAUTO COST'!C21</f>
        <v>52.394200700695542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C21*$J21/'MADC AUTO MODEL REV'!$G$6</f>
        <v>0.19786908695261698</v>
      </c>
    </row>
    <row r="22" spans="1:11" ht="13" x14ac:dyDescent="0.3">
      <c r="A22" s="1"/>
      <c r="B22" t="s">
        <v>529</v>
      </c>
      <c r="C22" s="151">
        <f>'MADC NONAUTO COST'!C22</f>
        <v>63.336049654939217</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C22*$J22/'MADC AUTO MODEL REV'!$G$6</f>
        <v>0.27666758060557639</v>
      </c>
    </row>
    <row r="23" spans="1:11" ht="13" x14ac:dyDescent="0.3">
      <c r="A23" s="1"/>
      <c r="B23" t="s">
        <v>70</v>
      </c>
      <c r="C23" s="151">
        <f>'MADC NONAUTO COST'!C23</f>
        <v>3.3375286529851516</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C23*$J23/'MADC AUTO MODEL REV'!$G$6</f>
        <v>6.7694812606511733E-3</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'MADC NONAUTO COST'!C26</f>
        <v>6.9469343697262011E-4</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C26*$J26/'MADC AUTO MODEL REV'!$G$6</f>
        <v>2.6235414272466026E-6</v>
      </c>
    </row>
    <row r="27" spans="1:11" ht="13" x14ac:dyDescent="0.3">
      <c r="A27" s="1"/>
      <c r="B27" t="s">
        <v>529</v>
      </c>
      <c r="C27" s="151">
        <f>'MADC NONAUTO COST'!C27</f>
        <v>8.3977114700929418E-4</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C27*$J27/'MADC AUTO MODEL REV'!$G$6</f>
        <v>3.6683287443916636E-6</v>
      </c>
    </row>
    <row r="28" spans="1:11" ht="13" x14ac:dyDescent="0.3">
      <c r="A28" s="1"/>
      <c r="B28" t="s">
        <v>70</v>
      </c>
      <c r="C28" s="151">
        <f>'MADC NONAUTO COST'!C28</f>
        <v>0.15191199381420953</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C28*$J28/'MADC AUTO MODEL REV'!$G$6</f>
        <v>4.2914672565006287E-4</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SUM('MADC AUTO MODEL REV'!$B$25:$B$29)</f>
        <v>5161.465141193662</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C31*$J31/'MADC AUTO MODEL REV'!$G$6</f>
        <v>2.6409548114097854</v>
      </c>
    </row>
    <row r="32" spans="1:11" ht="13" x14ac:dyDescent="0.3">
      <c r="A32" s="36"/>
      <c r="B32" t="s">
        <v>244</v>
      </c>
      <c r="C32" s="2">
        <f>SUM('MADC AUTO MODEL REV'!$A$25:$A$29)</f>
        <v>316.3960478553339</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C32*$J32/'MADC AUTO MODEL REV'!$G$6</f>
        <v>0.2385844585640754</v>
      </c>
    </row>
    <row r="33" spans="1:11" ht="13" x14ac:dyDescent="0.3">
      <c r="A33" s="36"/>
      <c r="B33" t="s">
        <v>291</v>
      </c>
      <c r="C33" s="2">
        <f>SUM('MADC AUTO MODEL REV'!$H$25:$H$29)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C33*$J33/'MADC AUTO MODEL REV'!$G$6</f>
        <v>0</v>
      </c>
    </row>
    <row r="34" spans="1:11" x14ac:dyDescent="0.25">
      <c r="B34" t="s">
        <v>292</v>
      </c>
      <c r="C34" s="2">
        <f>SUM('MADC AUTO MODEL REV'!$G$25:$G$29)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C34*$J34/'MADC AUTO MODEL REV'!$G$6</f>
        <v>0</v>
      </c>
    </row>
    <row r="35" spans="1:11" x14ac:dyDescent="0.25">
      <c r="B35" t="s">
        <v>70</v>
      </c>
      <c r="C35" s="2">
        <f>SUM('MADC AUTO MODEL REV'!$M$25:$M$29)</f>
        <v>250.01089972328109</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C35*$J35/'MADC AUTO MODEL REV'!$G$6</f>
        <v>0.27013090517540439</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SUM('MADC AUTO MODEL REV'!$B$38:$B$42)</f>
        <v>636.74080635601103</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C38*$J38/'MADC AUTO MODEL REV'!$G$6</f>
        <v>0.2259174701506054</v>
      </c>
    </row>
    <row r="39" spans="1:11" ht="13" x14ac:dyDescent="0.3">
      <c r="A39" s="36"/>
      <c r="B39" t="s">
        <v>244</v>
      </c>
      <c r="C39" s="2">
        <f>SUM('MADC AUTO MODEL REV'!$A$38:$A$42)</f>
        <v>39.031993654551613</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C39*$J39/'MADC AUTO MODEL REV'!$G$6</f>
        <v>2.9432817305624356E-2</v>
      </c>
    </row>
    <row r="40" spans="1:11" x14ac:dyDescent="0.25">
      <c r="B40" t="s">
        <v>291</v>
      </c>
      <c r="C40" s="2">
        <f>SUM('MADC AUTO MODEL REV'!$H$38:$H$42)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C40*$J40/'MADC AUTO MODEL REV'!$G$6</f>
        <v>0</v>
      </c>
    </row>
    <row r="41" spans="1:11" x14ac:dyDescent="0.25">
      <c r="B41" t="s">
        <v>292</v>
      </c>
      <c r="C41" s="2">
        <f>SUM('MADC AUTO MODEL REV'!$G$38:$G$42)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C41*$J41/'MADC AUTO MODEL REV'!$G$6</f>
        <v>0</v>
      </c>
    </row>
    <row r="42" spans="1:11" x14ac:dyDescent="0.25">
      <c r="B42" t="s">
        <v>70</v>
      </c>
      <c r="C42" s="2">
        <f>SUM('MADC AUTO MODEL REV'!$M$38:$M$42)</f>
        <v>81.39154121966223</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C42*$J42/'MADC AUTO MODEL REV'!$G$6</f>
        <v>0.11117946857742879</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SUM('MADC AUTO MODEL REV'!$B$53:$B$57)</f>
        <v>4545.213153734654</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C45*$J45/'MADC AUTO MODEL REV'!$G$6</f>
        <v>2.324975816412707</v>
      </c>
    </row>
    <row r="46" spans="1:11" ht="13" x14ac:dyDescent="0.3">
      <c r="A46" s="36"/>
      <c r="B46" t="s">
        <v>244</v>
      </c>
      <c r="C46" s="2">
        <f>SUM('MADC AUTO MODEL REV'!$A$53:$A$57)</f>
        <v>278.62001179167987</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C46*$J46/'MADC AUTO MODEL REV'!$G$6</f>
        <v>0.21009871997145935</v>
      </c>
    </row>
    <row r="47" spans="1:11" x14ac:dyDescent="0.25">
      <c r="B47" t="s">
        <v>291</v>
      </c>
      <c r="C47" s="2">
        <f>SUM('MADC AUTO MODEL REV'!$H$53:$H$57)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C47*$J47/'MADC AUTO MODEL REV'!$G$6</f>
        <v>0</v>
      </c>
    </row>
    <row r="48" spans="1:11" x14ac:dyDescent="0.25">
      <c r="B48" t="s">
        <v>292</v>
      </c>
      <c r="C48" s="2">
        <f>SUM('MADC AUTO MODEL REV'!$G$53:$G$57)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C48*$J48/'MADC AUTO MODEL REV'!$G$6</f>
        <v>0</v>
      </c>
    </row>
    <row r="49" spans="1:11" x14ac:dyDescent="0.25">
      <c r="B49" t="s">
        <v>70</v>
      </c>
      <c r="C49" s="2">
        <f>SUM('MADC AUTO MODEL REV'!$M$53:$M$57)</f>
        <v>559.39757700876771</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C49*$J49/'MADC AUTO MODEL REV'!$G$6</f>
        <v>0.54100562203706404</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SUM('MADC AUTO MODEL REV'!$B$64:$B$68)</f>
        <v>5236.5386189094843</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C52*$J52/'MADC AUTO MODEL REV'!$G$6</f>
        <v>2.0319643411721322</v>
      </c>
    </row>
    <row r="53" spans="1:11" ht="13" x14ac:dyDescent="0.3">
      <c r="A53" s="36"/>
      <c r="B53" t="s">
        <v>244</v>
      </c>
      <c r="C53" s="2">
        <f>SUM('MADC AUTO MODEL REV'!$A$64:$A$68)</f>
        <v>320.99802636303889</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C53*$J53/'MADC AUTO MODEL REV'!$G$6</f>
        <v>0.24205466799945471</v>
      </c>
    </row>
    <row r="54" spans="1:11" x14ac:dyDescent="0.25">
      <c r="B54" t="s">
        <v>291</v>
      </c>
      <c r="C54" s="2">
        <f>SUM('MADC AUTO MODEL REV'!$H$64:$H$68)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C54*$J54/'MADC AUTO MODEL REV'!$G$6</f>
        <v>0</v>
      </c>
    </row>
    <row r="55" spans="1:11" x14ac:dyDescent="0.25">
      <c r="B55" t="s">
        <v>292</v>
      </c>
      <c r="C55" s="2">
        <f>SUM('MADC AUTO MODEL REV'!$G$64:$G$68)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C55*$J55/'MADC AUTO MODEL REV'!$G$6</f>
        <v>0</v>
      </c>
    </row>
    <row r="56" spans="1:11" x14ac:dyDescent="0.25">
      <c r="B56" t="s">
        <v>70</v>
      </c>
      <c r="C56" s="2">
        <f>SUM('MADC AUTO MODEL REV'!$M$64:$M$68)</f>
        <v>500.8167089241623</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C56*$J56/'MADC AUTO MODEL REV'!$G$6</f>
        <v>0.55878199897516923</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 ca="1">SUM('MADC AUTO MODEL REV'!$B$74:$B$78)+SUM('MADC AUTO MODEL REV'!$B$108:$B$112)</f>
        <v>738.43425099736066</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C59*$J59/'MADC AUTO MODEL REV'!$G$6</f>
        <v>0.53172035701980103</v>
      </c>
    </row>
    <row r="60" spans="1:11" ht="13" x14ac:dyDescent="0.3">
      <c r="A60" s="36"/>
      <c r="B60" t="s">
        <v>244</v>
      </c>
      <c r="C60" s="2">
        <f ca="1">SUM('MADC AUTO MODEL REV'!$A$74:$A$78)+SUM('MADC AUTO MODEL REV'!$A$108:$A$112)</f>
        <v>45.265767030356528</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C60*$J60/'MADC AUTO MODEL REV'!$G$6</f>
        <v>3.4133512702292507E-2</v>
      </c>
    </row>
    <row r="61" spans="1:11" x14ac:dyDescent="0.25">
      <c r="B61" t="s">
        <v>291</v>
      </c>
      <c r="C61" s="2">
        <f>SUM('MADC AUTO MODEL REV'!$H$74:$H$78)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C61*$J61/'MADC AUTO MODEL REV'!$G$6</f>
        <v>0</v>
      </c>
    </row>
    <row r="62" spans="1:11" x14ac:dyDescent="0.25">
      <c r="B62" t="s">
        <v>292</v>
      </c>
      <c r="C62" s="2">
        <f>SUM('MADC AUTO MODEL REV'!$G$74:$G$78)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C62*$J62/'MADC AUTO MODEL REV'!$G$6</f>
        <v>0</v>
      </c>
    </row>
    <row r="63" spans="1:11" x14ac:dyDescent="0.25">
      <c r="B63" t="s">
        <v>70</v>
      </c>
      <c r="C63" s="2">
        <f ca="1">SUM('MADC AUTO MODEL REV'!$M$74:$M$78)</f>
        <v>97.229757649585665</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C63*$J63/'MADC AUTO MODEL REV'!$G$6</f>
        <v>8.6488827267338003E-2</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 ca="1">SUM('MADC AUTO MODEL REV'!$B$83:$B$87)+SUM('MADC AUTO MODEL REV'!$B$122:$B$126)</f>
        <v>8673.9151228054343</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C66*$J66/'MADC AUTO MODEL REV'!$G$6</f>
        <v>3.7557393567409276</v>
      </c>
    </row>
    <row r="67" spans="1:11" ht="13" x14ac:dyDescent="0.3">
      <c r="A67" s="36"/>
      <c r="B67" t="s">
        <v>244</v>
      </c>
      <c r="C67" s="2">
        <f ca="1">SUM('MADC AUTO MODEL REV'!$A$83:$A$87)+SUM('MADC AUTO MODEL REV'!$A$122:$A$126)</f>
        <v>531.70803041664499</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C67*$J67/'MADC AUTO MODEL REV'!$G$6</f>
        <v>0.40094455481039781</v>
      </c>
    </row>
    <row r="68" spans="1:11" x14ac:dyDescent="0.25">
      <c r="B68" t="s">
        <v>291</v>
      </c>
      <c r="C68" s="2">
        <f>SUM('MADC AUTO MODEL REV'!$H$83:$H$87)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C68*$J68/'MADC AUTO MODEL REV'!$G$6</f>
        <v>0</v>
      </c>
    </row>
    <row r="69" spans="1:11" x14ac:dyDescent="0.25">
      <c r="B69" t="s">
        <v>292</v>
      </c>
      <c r="C69" s="2">
        <f>SUM('MADC AUTO MODEL REV'!$G$83:$G$87)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C69*$J69/'MADC AUTO MODEL REV'!$G$6</f>
        <v>0</v>
      </c>
    </row>
    <row r="70" spans="1:11" x14ac:dyDescent="0.25">
      <c r="B70" t="s">
        <v>70</v>
      </c>
      <c r="C70" s="2">
        <f ca="1">SUM('MADC AUTO MODEL REV'!$M$83:$M$87)</f>
        <v>1838.9285493139475</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C70*$J70/'MADC AUTO MODEL REV'!$G$6</f>
        <v>1.8233855785835873</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f ca="1">C73*$J73/'5D AUTO MODEL'!$G$6</f>
        <v>0</v>
      </c>
    </row>
    <row r="74" spans="1:11" x14ac:dyDescent="0.25">
      <c r="B74" t="s">
        <v>244</v>
      </c>
      <c r="C74" s="2">
        <f ca="1">SUM('MADC AUTO MODEL REV'!$A$95:$A$99)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C74*$J74/'MADC AUTO MODEL REV'!$G$6</f>
        <v>0</v>
      </c>
    </row>
    <row r="76" spans="1:11" x14ac:dyDescent="0.25">
      <c r="B76" s="155" t="s">
        <v>486</v>
      </c>
      <c r="C76" s="2">
        <f>SUM('MADC AUTO MODEL REV'!C25,'MADC AUTO MODEL REV'!I25,'MADC AUTO MODEL REV'!C38,'MADC AUTO MODEL REV'!I38,'MADC AUTO MODEL REV'!C53,'MADC AUTO MODEL REV'!I53,'MADC AUTO MODEL REV'!C64,'MADC AUTO MODEL REV'!I64,'MADC AUTO MODEL REV'!C74,'MADC AUTO MODEL REV'!I74,'MADC AUTO MODEL REV'!C83,'MADC AUTO MODEL REV'!I83)</f>
        <v>9961.9480542876718</v>
      </c>
      <c r="D76" s="2">
        <f>PRODUCTIVITIES!$C$49*'FY VOLUME NONAUTO'!C61</f>
        <v>1334.4176110054964</v>
      </c>
      <c r="E76" s="38">
        <f>'WAGE RATES'!$C$6</f>
        <v>50.10717457546064</v>
      </c>
      <c r="F76" s="42">
        <f t="shared" ref="F76:F77" si="0">E76*100/D76</f>
        <v>3.7549845087629206</v>
      </c>
      <c r="G76" s="42">
        <f>PIGGYBACKS!$B$13</f>
        <v>1.6305774272183733</v>
      </c>
      <c r="H76" s="42">
        <f>'WAGE RATES'!$C$9</f>
        <v>0.9752031228402912</v>
      </c>
      <c r="I76" s="42">
        <f t="shared" ref="I76:I77" si="1">(H76-1)*F76</f>
        <v>-9.3111889600403619E-2</v>
      </c>
      <c r="J76" s="42">
        <f t="shared" ref="J76:J77" si="2">F76*G76+I76</f>
        <v>6.0296810899430868</v>
      </c>
      <c r="K76" s="42">
        <f ca="1">C76*$J76/'5D AUTO MODEL'!$G$6</f>
        <v>6.0067369801933701</v>
      </c>
    </row>
    <row r="77" spans="1:11" x14ac:dyDescent="0.25">
      <c r="B77" s="155" t="s">
        <v>491</v>
      </c>
      <c r="C77" s="2">
        <f ca="1">SUM(C31,C33,C34,C38,C40,C41,C45,C47,C48,C52,C54,C55,C59,C61,C62,C66,C68,C69)-C76</f>
        <v>15030.359039708934</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5.7380044941288233</v>
      </c>
    </row>
    <row r="78" spans="1:11" ht="13.5" thickBot="1" x14ac:dyDescent="0.35">
      <c r="F78" s="42"/>
      <c r="H78" s="42"/>
      <c r="I78" s="42"/>
      <c r="J78" s="42"/>
      <c r="K78" s="41" t="str">
        <f>"(10)"</f>
        <v>(10)</v>
      </c>
    </row>
    <row r="79" spans="1:11" ht="13.5" thickBot="1" x14ac:dyDescent="0.35">
      <c r="F79" s="42"/>
      <c r="H79" s="42"/>
      <c r="I79" s="42"/>
      <c r="J79" s="142" t="s">
        <v>78</v>
      </c>
      <c r="K79" s="143">
        <f ca="1">SUM(K11:K77)</f>
        <v>30.846266957630203</v>
      </c>
    </row>
    <row r="80" spans="1:11" ht="13.5" thickBot="1" x14ac:dyDescent="0.35">
      <c r="J80" s="142" t="s">
        <v>485</v>
      </c>
      <c r="K80" s="143">
        <f ca="1">SUM(K31,K33,K34,K38,K40,K41,K45,K47,K48,K52,K54,K55,K59,K61,K62,K66,K68,K69,K76,K77)</f>
        <v>23.256013627228153</v>
      </c>
    </row>
    <row r="83" spans="1:8" ht="13" x14ac:dyDescent="0.3">
      <c r="A83" s="145" t="str">
        <f>"(1)"</f>
        <v>(1)</v>
      </c>
      <c r="B83" s="1" t="s">
        <v>410</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20</oddFooter>
  </headerFooter>
  <ignoredErrors>
    <ignoredError sqref="E4" numberStoredAsText="1"/>
  </ignoredErrors>
</worksheet>
</file>

<file path=xl/worksheets/sheet4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0"/>
  <dimension ref="A1:AD128"/>
  <sheetViews>
    <sheetView zoomScale="70" zoomScaleNormal="70"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'MADC AUTO COST REV'!A1</f>
        <v>MADC AUTO PRESORT (PRESORT LEVELS HELD CONSTANT)</v>
      </c>
    </row>
    <row r="2" spans="1:30" ht="23" x14ac:dyDescent="0.5">
      <c r="A2" s="57" t="s">
        <v>84</v>
      </c>
    </row>
    <row r="6" spans="1:30" s="228" customFormat="1" ht="18" x14ac:dyDescent="0.4">
      <c r="A6" s="48" t="s">
        <v>85</v>
      </c>
      <c r="B6" s="226"/>
      <c r="C6" s="49">
        <f>SUM(C11:C16)+SUM(G11:G16)+SUM(K11:K16)+SUM(O11:O16)</f>
        <v>9999.9999999999982</v>
      </c>
      <c r="D6" s="227"/>
      <c r="E6" s="48" t="s">
        <v>86</v>
      </c>
      <c r="F6" s="226"/>
      <c r="G6" s="49">
        <f ca="1">D88+J88+O88+D100+D127</f>
        <v>10000.000000000016</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'MADC NONAUTO MODEL'!G11</f>
        <v>5105.5264047958044</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f>'MADC NONAUTO MODEL'!G12</f>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'MADC NONAUTO MODEL'!G13</f>
        <v>1542.1623405249895</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'MADC NONAUTO MODEL'!G14</f>
        <v>2733.1477070618384</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f>'MADC NONAUTO MODEL'!G15</f>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'MADC NONAUTO MODEL'!G16</f>
        <v>619.16354761736739</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241.1854870039341</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316.3960478553339</v>
      </c>
      <c r="B25" s="29">
        <f>C25*(1+'ACCEPT RATES'!F14)</f>
        <v>5161.465141193662</v>
      </c>
      <c r="C25" s="51">
        <f>C11*('COVERAGE FACTORS'!E14+'COVERAGE FACTORS'!E18)</f>
        <v>5096.7009920764585</v>
      </c>
      <c r="E25" s="24" t="s">
        <v>70</v>
      </c>
      <c r="G25" s="217">
        <f>H25*(1-'ACCEPT RATES'!C19)</f>
        <v>0</v>
      </c>
      <c r="H25" s="29">
        <f>I25</f>
        <v>0</v>
      </c>
      <c r="I25" s="51">
        <f>C11*'COVERAGE FACTORS'!E16</f>
        <v>0</v>
      </c>
      <c r="J25" s="23"/>
      <c r="K25" s="23" t="s">
        <v>70</v>
      </c>
      <c r="L25"/>
      <c r="M25" s="29">
        <f>N25</f>
        <v>8.825412719346982</v>
      </c>
      <c r="N25" s="51">
        <f>C11*'COVERAGE FACTORS'!E20</f>
        <v>8.825412719346982</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241.1854870039341</v>
      </c>
      <c r="N29" s="206">
        <f>D23+J23</f>
        <v>241.1854870039341</v>
      </c>
      <c r="P29" s="20"/>
      <c r="Q29" s="109"/>
      <c r="S29" s="20"/>
      <c r="U29" s="20"/>
      <c r="Y29"/>
      <c r="Z29"/>
      <c r="AA29"/>
      <c r="AB29"/>
      <c r="AC29"/>
      <c r="AD29"/>
    </row>
    <row r="30" spans="1:30" ht="13" x14ac:dyDescent="0.3">
      <c r="A30" s="114"/>
      <c r="C30" s="98"/>
      <c r="D30" s="196">
        <f>(SUM(C25:C29)-D23)*'PIECE DENSITIES'!C6</f>
        <v>621.74998238760645</v>
      </c>
      <c r="E30" s="24" t="s">
        <v>290</v>
      </c>
      <c r="G30" s="114"/>
      <c r="I30" s="99"/>
      <c r="J30" s="201">
        <f>(SUM(I25:I29)-J23)*'PIECE DENSITIES'!C11</f>
        <v>0</v>
      </c>
      <c r="K30" s="24" t="s">
        <v>289</v>
      </c>
      <c r="L30"/>
      <c r="M30" s="20"/>
      <c r="O30" s="96">
        <f>SUM(N25:N29)*'PIECE DENSITIES'!C16</f>
        <v>22.370407692138805</v>
      </c>
      <c r="P30" s="24" t="s">
        <v>120</v>
      </c>
      <c r="Q30" s="109"/>
      <c r="S30" s="20"/>
      <c r="U30" s="20"/>
      <c r="Y30"/>
      <c r="Z30"/>
      <c r="AA30"/>
      <c r="AB30"/>
      <c r="AC30"/>
      <c r="AD30"/>
    </row>
    <row r="31" spans="1:30" ht="13" x14ac:dyDescent="0.3">
      <c r="A31" s="114"/>
      <c r="C31" s="98"/>
      <c r="D31" s="196">
        <f>(SUM(C25:C29)-D23)*'PIECE DENSITIES'!D6</f>
        <v>2516.6580185749972</v>
      </c>
      <c r="E31" s="24" t="s">
        <v>121</v>
      </c>
      <c r="G31" s="114"/>
      <c r="I31" s="99"/>
      <c r="J31" s="201">
        <f>(SUM(I25:I29)-J23)*'PIECE DENSITIES'!D11</f>
        <v>0</v>
      </c>
      <c r="K31" s="24" t="s">
        <v>122</v>
      </c>
      <c r="L31"/>
      <c r="M31" s="20"/>
      <c r="O31" s="96">
        <f>SUM(N25:N29)*'PIECE DENSITIES'!D16</f>
        <v>145.1692708068673</v>
      </c>
      <c r="P31" s="24" t="s">
        <v>123</v>
      </c>
      <c r="Q31" s="109"/>
      <c r="S31" s="20"/>
      <c r="U31" s="20"/>
      <c r="Y31"/>
      <c r="Z31"/>
      <c r="AA31"/>
      <c r="AB31"/>
      <c r="AC31"/>
      <c r="AD31"/>
    </row>
    <row r="32" spans="1:30" ht="13" x14ac:dyDescent="0.3">
      <c r="A32" s="114"/>
      <c r="C32" s="89"/>
      <c r="D32" s="197">
        <f>(SUM(C25:C29)-D23)*'PIECE DENSITIES'!E6</f>
        <v>1359.1741104278265</v>
      </c>
      <c r="E32" s="24" t="s">
        <v>124</v>
      </c>
      <c r="G32" s="114"/>
      <c r="I32" s="94"/>
      <c r="J32" s="202">
        <f>(SUM(I25:I29)-J23)*'PIECE DENSITIES'!E11</f>
        <v>0</v>
      </c>
      <c r="K32" s="24" t="s">
        <v>125</v>
      </c>
      <c r="L32"/>
      <c r="M32" s="20"/>
      <c r="N32" s="46"/>
      <c r="O32" s="97">
        <f>SUM(N25:N29)*'PIECE DENSITIES'!E16</f>
        <v>63.9545550587858</v>
      </c>
      <c r="P32" s="24" t="s">
        <v>126</v>
      </c>
      <c r="Q32" s="109"/>
      <c r="S32" s="20"/>
      <c r="U32" s="20"/>
      <c r="Y32"/>
      <c r="Z32"/>
      <c r="AA32"/>
      <c r="AB32"/>
      <c r="AC32"/>
      <c r="AD32"/>
    </row>
    <row r="33" spans="1:30" ht="13" x14ac:dyDescent="0.3">
      <c r="A33" s="114"/>
      <c r="C33" s="89"/>
      <c r="D33" s="197">
        <f>(SUM(C25:C29)-D23)*'PIECE DENSITIES'!F6</f>
        <v>357.93339368209462</v>
      </c>
      <c r="E33" s="24" t="s">
        <v>127</v>
      </c>
      <c r="G33" s="114"/>
      <c r="I33" s="94"/>
      <c r="J33" s="202">
        <f>(SUM(I25:I29)-J23)*'PIECE DENSITIES'!F11</f>
        <v>0</v>
      </c>
      <c r="K33" s="24" t="s">
        <v>128</v>
      </c>
      <c r="L33"/>
      <c r="M33" s="20"/>
      <c r="N33" s="46"/>
      <c r="O33" s="97">
        <f>SUM(N25:N29)*'PIECE DENSITIES'!F16</f>
        <v>18.516666165489209</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59.021133527523425</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39.031993654551613</v>
      </c>
      <c r="B42" s="199">
        <f>C42*(1+'ACCEPT RATES'!F15+'PIECE DENSITIES'!C7)</f>
        <v>636.74080635601103</v>
      </c>
      <c r="C42" s="198">
        <f>D30</f>
        <v>621.74998238760645</v>
      </c>
      <c r="G42" s="205">
        <f>IF(SUM(C11:C16)&gt;0,H42*(1-'ACCEPT RATES'!C20),H42*(1-'ACCEPT RATES'!D20))</f>
        <v>0</v>
      </c>
      <c r="H42" s="204">
        <f>I42*(1+'PIECE DENSITIES'!C12)</f>
        <v>0</v>
      </c>
      <c r="I42" s="203">
        <f>J30</f>
        <v>0</v>
      </c>
      <c r="J42" s="58"/>
      <c r="L42"/>
      <c r="M42" s="102">
        <f>N42</f>
        <v>81.39154121966223</v>
      </c>
      <c r="N42" s="101">
        <f>D36+J36+O30</f>
        <v>81.39154121966223</v>
      </c>
      <c r="P42" s="20"/>
      <c r="Q42" s="109"/>
      <c r="S42" s="20"/>
      <c r="U42" s="20"/>
      <c r="Y42"/>
      <c r="Z42"/>
      <c r="AA42"/>
      <c r="AB42"/>
      <c r="AC42"/>
      <c r="AD42"/>
    </row>
    <row r="43" spans="1:30" ht="13" x14ac:dyDescent="0.3">
      <c r="A43" s="114"/>
      <c r="C43" s="98"/>
      <c r="D43" s="196">
        <f>(SUM(C38:C42)-D36)*'PIECE DENSITIES'!D7</f>
        <v>464.69792699911409</v>
      </c>
      <c r="E43" s="24" t="s">
        <v>121</v>
      </c>
      <c r="G43" s="114"/>
      <c r="I43" s="99"/>
      <c r="J43" s="201">
        <f>(SUM(I38:I42)-J36)*'PIECE DENSITIES'!D12</f>
        <v>0</v>
      </c>
      <c r="K43" s="24" t="s">
        <v>122</v>
      </c>
      <c r="L43"/>
      <c r="M43" s="20"/>
      <c r="O43" s="96">
        <f>SUM(N38:N42)*'PIECE DENSITIES'!D17</f>
        <v>57.612482878968486</v>
      </c>
      <c r="P43" s="24" t="s">
        <v>123</v>
      </c>
      <c r="Q43" s="109"/>
      <c r="S43" s="20"/>
      <c r="U43" s="20"/>
      <c r="Y43"/>
      <c r="Z43"/>
      <c r="AA43"/>
      <c r="AB43"/>
      <c r="AC43"/>
      <c r="AD43"/>
    </row>
    <row r="44" spans="1:30" ht="13" x14ac:dyDescent="0.3">
      <c r="A44" s="114"/>
      <c r="C44" s="98"/>
      <c r="D44" s="196">
        <f>(SUM(C38:C42)-D36)*'PIECE DENSITIES'!E7</f>
        <v>38.836944001654146</v>
      </c>
      <c r="E44" s="24" t="s">
        <v>124</v>
      </c>
      <c r="G44" s="114"/>
      <c r="I44" s="99"/>
      <c r="J44" s="201">
        <f>(SUM(I38:I42)-J36)*'PIECE DENSITIES'!E12</f>
        <v>0</v>
      </c>
      <c r="K44" s="24" t="s">
        <v>125</v>
      </c>
      <c r="L44"/>
      <c r="M44" s="20"/>
      <c r="O44" s="96">
        <f>SUM(N38:N42)*'PIECE DENSITIES'!E17</f>
        <v>0.25257729346113872</v>
      </c>
      <c r="P44" s="24" t="s">
        <v>126</v>
      </c>
      <c r="Q44" s="109"/>
      <c r="S44" s="20"/>
      <c r="U44" s="20"/>
      <c r="Y44"/>
      <c r="Z44"/>
      <c r="AA44"/>
      <c r="AB44"/>
      <c r="AC44"/>
      <c r="AD44"/>
    </row>
    <row r="45" spans="1:30" ht="13" x14ac:dyDescent="0.3">
      <c r="A45" s="114"/>
      <c r="C45" s="89"/>
      <c r="D45" s="197">
        <f>(SUM(C38:C42)-D36)*'PIECE DENSITIES'!F7</f>
        <v>4.1368432960415724</v>
      </c>
      <c r="E45" s="24" t="s">
        <v>127</v>
      </c>
      <c r="G45" s="114"/>
      <c r="I45" s="94"/>
      <c r="J45" s="202">
        <f>(SUM(I38:I42)-J36)*'PIECE DENSITIES'!F12</f>
        <v>0</v>
      </c>
      <c r="K45" s="24" t="s">
        <v>128</v>
      </c>
      <c r="L45"/>
      <c r="M45" s="20"/>
      <c r="N45" s="46"/>
      <c r="O45" s="97">
        <f>SUM(N38:N42)*'PIECE DENSITIES'!F17</f>
        <v>1.6168924376685494</v>
      </c>
      <c r="P45" s="24" t="s">
        <v>129</v>
      </c>
      <c r="Q45" s="109"/>
      <c r="S45" s="20"/>
      <c r="U45" s="20"/>
      <c r="Y45"/>
      <c r="Z45"/>
      <c r="AA45"/>
      <c r="AB45"/>
      <c r="AC45"/>
      <c r="AD45"/>
    </row>
    <row r="46" spans="1:30" ht="13" x14ac:dyDescent="0.3">
      <c r="A46" s="114"/>
      <c r="C46" s="89"/>
      <c r="D46" s="197">
        <f>(SUM(C38:C42)-D36)*'PIECE DENSITIES'!G7</f>
        <v>55.057134563273266</v>
      </c>
      <c r="E46" s="24" t="s">
        <v>130</v>
      </c>
      <c r="G46" s="114"/>
      <c r="I46" s="94"/>
      <c r="J46" s="202">
        <f>(SUM(I38:I42)-J36)*'PIECE DENSITIES'!G12</f>
        <v>0</v>
      </c>
      <c r="K46" s="24" t="s">
        <v>288</v>
      </c>
      <c r="L46"/>
      <c r="M46" s="20"/>
      <c r="N46" s="46"/>
      <c r="O46" s="97">
        <f>SUM(N38:N42)*'PIECE DENSITIES'!G17</f>
        <v>21.909588609564057</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329.60438810697593</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94.987410755510297</v>
      </c>
      <c r="B53" s="29">
        <f>C53*(1+'ACCEPT RATES'!F16+'PIECE DENSITIES'!D8)</f>
        <v>1549.5585763162846</v>
      </c>
      <c r="C53" s="51">
        <f>C13*('COVERAGE FACTORS'!E38+'COVERAGE FACTORS'!E42)</f>
        <v>1532.9535752412107</v>
      </c>
      <c r="E53" s="24" t="s">
        <v>70</v>
      </c>
      <c r="G53" s="217">
        <f>H53*(1-'ACCEPT RATES'!C21)</f>
        <v>0</v>
      </c>
      <c r="H53" s="29">
        <f>I53*(1+'PIECE DENSITIES'!D13)</f>
        <v>0</v>
      </c>
      <c r="I53" s="51">
        <f>C13*'COVERAGE FACTORS'!E40</f>
        <v>0</v>
      </c>
      <c r="J53" s="113"/>
      <c r="K53" s="23" t="s">
        <v>70</v>
      </c>
      <c r="L53"/>
      <c r="M53" s="29">
        <f>N53</f>
        <v>9.2087652837809983</v>
      </c>
      <c r="N53" s="51">
        <f>C13*'COVERAGE FACTORS'!E44</f>
        <v>9.2087652837809983</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183.63260103616958</v>
      </c>
      <c r="B57" s="199">
        <f>C57*(1+'ACCEPT RATES'!F16+'PIECE DENSITIES'!D8)</f>
        <v>2995.6545774183692</v>
      </c>
      <c r="C57" s="198">
        <f>(D31+D43)*('COVERAGE FACTORS'!E38+'COVERAGE FACTORS'!E42)</f>
        <v>2963.5532756419407</v>
      </c>
      <c r="G57" s="210">
        <f>IF(SUM(C11:C16)&gt;0,H57*(1-'ACCEPT RATES'!C21),H57*(1-'ACCEPT RATES'!D21))</f>
        <v>0</v>
      </c>
      <c r="H57" s="209">
        <f>I57*(1+'PIECE DENSITIES'!D13)</f>
        <v>0</v>
      </c>
      <c r="I57" s="208">
        <f>(D31+D43)*'COVERAGE FACTORS'!E40+(J31+J43)*('COVERAGE FACTORS'!E40+'COVERAGE FACTORS'!E42)</f>
        <v>0</v>
      </c>
      <c r="J57" s="58"/>
      <c r="L57"/>
      <c r="M57" s="102">
        <f>N57</f>
        <v>550.18881172498675</v>
      </c>
      <c r="N57" s="101">
        <f>D51+J51+O31+O43+(D31+D43)*'COVERAGE FACTORS'!E44+(J31+J43)*(1-('COVERAGE FACTORS'!E40+'COVERAGE FACTORS'!E42))</f>
        <v>550.18881172498675</v>
      </c>
      <c r="P57" s="20"/>
      <c r="Q57" s="109"/>
      <c r="S57" s="20"/>
      <c r="U57" s="20"/>
      <c r="Y57"/>
      <c r="Z57"/>
      <c r="AA57"/>
      <c r="AB57"/>
      <c r="AC57"/>
      <c r="AD57"/>
    </row>
    <row r="58" spans="1:30" ht="13" x14ac:dyDescent="0.3">
      <c r="A58" s="114"/>
      <c r="C58" s="98"/>
      <c r="D58" s="196">
        <f>(SUM(C53:C57)-D51)*'PIECE DENSITIES'!E8</f>
        <v>828.9666895161248</v>
      </c>
      <c r="E58" s="24" t="s">
        <v>124</v>
      </c>
      <c r="G58" s="114"/>
      <c r="I58" s="99"/>
      <c r="J58" s="201">
        <f>(SUM(I53:I57)-J51)*'PIECE DENSITIES'!E13</f>
        <v>0</v>
      </c>
      <c r="K58" s="24" t="s">
        <v>125</v>
      </c>
      <c r="L58"/>
      <c r="M58" s="20"/>
      <c r="O58" s="96">
        <f>SUM(N53:N57)*'PIECE DENSITIES'!E18</f>
        <v>147.82856781342855</v>
      </c>
      <c r="P58" s="24" t="s">
        <v>126</v>
      </c>
      <c r="Q58" s="109"/>
      <c r="S58" s="20"/>
      <c r="U58" s="20"/>
      <c r="Y58"/>
      <c r="Z58"/>
      <c r="AA58"/>
      <c r="AB58"/>
      <c r="AC58"/>
      <c r="AD58"/>
    </row>
    <row r="59" spans="1:30" ht="13" x14ac:dyDescent="0.3">
      <c r="A59" s="114"/>
      <c r="C59" s="98"/>
      <c r="D59" s="196">
        <f>(SUM(C53:C57)-D51)*'PIECE DENSITIES'!F8</f>
        <v>269.13620767770971</v>
      </c>
      <c r="E59" s="24" t="s">
        <v>127</v>
      </c>
      <c r="G59" s="114"/>
      <c r="I59" s="99"/>
      <c r="J59" s="201">
        <f>(SUM(I53:I57)-J51)*'PIECE DENSITIES'!F13</f>
        <v>0</v>
      </c>
      <c r="K59" s="24" t="s">
        <v>128</v>
      </c>
      <c r="L59"/>
      <c r="M59" s="20"/>
      <c r="O59" s="96">
        <f>SUM(N53:N57)*'PIECE DENSITIES'!F18</f>
        <v>23.201988894735734</v>
      </c>
      <c r="P59" s="24" t="s">
        <v>129</v>
      </c>
      <c r="Q59" s="109"/>
      <c r="S59" s="20"/>
      <c r="U59" s="20"/>
      <c r="Y59"/>
      <c r="Z59"/>
      <c r="AA59"/>
      <c r="AB59"/>
      <c r="AC59"/>
      <c r="AD59"/>
    </row>
    <row r="60" spans="1:30" ht="13" x14ac:dyDescent="0.3">
      <c r="A60" s="114"/>
      <c r="C60" s="89"/>
      <c r="D60" s="197">
        <f>(SUM(C53:C57)-D51)*'PIECE DENSITIES'!G8</f>
        <v>3068.7995655823411</v>
      </c>
      <c r="E60" s="24" t="s">
        <v>130</v>
      </c>
      <c r="G60" s="114"/>
      <c r="I60" s="94"/>
      <c r="J60" s="202">
        <f>(SUM(I53:I57)-J51)*'PIECE DENSITIES'!G13</f>
        <v>0</v>
      </c>
      <c r="K60" s="24" t="s">
        <v>288</v>
      </c>
      <c r="L60"/>
      <c r="M60" s="20"/>
      <c r="N60" s="46"/>
      <c r="O60" s="97">
        <f>SUM(N53:N57)*'PIECE DENSITIES'!G18</f>
        <v>388.36702030060343</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259.1624466550403</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176.87758674477095</v>
      </c>
      <c r="B64" s="29">
        <f>C64*(1+'ACCEPT RATES'!F17+'PIECE DENSITIES'!E9)</f>
        <v>2885.4579708878705</v>
      </c>
      <c r="C64" s="51">
        <f>C14*('COVERAGE FACTORS'!E38+'COVERAGE FACTORS'!E42)</f>
        <v>2716.827171240906</v>
      </c>
      <c r="E64" s="24" t="s">
        <v>70</v>
      </c>
      <c r="G64" s="217">
        <f>H64*(1-'ACCEPT RATES'!C22)</f>
        <v>0</v>
      </c>
      <c r="H64" s="29">
        <f>I64*(1+'PIECE DENSITIES'!E14)</f>
        <v>0</v>
      </c>
      <c r="I64" s="51">
        <f>C14*'COVERAGE FACTORS'!E40</f>
        <v>0</v>
      </c>
      <c r="J64" s="113"/>
      <c r="K64" s="23" t="s">
        <v>70</v>
      </c>
      <c r="L64"/>
      <c r="M64" s="29">
        <f>N64</f>
        <v>16.320535820936065</v>
      </c>
      <c r="N64" s="51">
        <f>C14*'COVERAGE FACTORS'!E44</f>
        <v>16.320535820936065</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144.12043961826791</v>
      </c>
      <c r="B68" s="211">
        <f>C68*(1+'ACCEPT RATES'!F17+'PIECE DENSITIES'!E9)</f>
        <v>2351.0806480216133</v>
      </c>
      <c r="C68" s="212">
        <f>(D32+D44+D58)*('COVERAGE FACTORS'!E38+'COVERAGE FACTORS'!E42)</f>
        <v>2213.6797176630976</v>
      </c>
      <c r="G68" s="205">
        <f>IF(SUM(C11:C16)&gt;0, H68*(1-'ACCEPT RATES'!C22),H68*(1-'ACCEPT RATES'!D22))</f>
        <v>0</v>
      </c>
      <c r="H68" s="204">
        <f>I68*(1+'PIECE DENSITIES'!E14)</f>
        <v>0</v>
      </c>
      <c r="I68" s="203">
        <f>(D32+D44+D58)*'COVERAGE FACTORS'!E40+(J32+J44+J58)*('COVERAGE FACTORS'!E40+'COVERAGE FACTORS'!E42)</f>
        <v>0</v>
      </c>
      <c r="J68" s="58"/>
      <c r="L68"/>
      <c r="M68" s="102">
        <f>N68</f>
        <v>484.49617310322623</v>
      </c>
      <c r="N68" s="101">
        <f>D62+J62+O32+O44+O58+(D32+D44+D58)*'COVERAGE FACTORS'!E44+(J32+J44+J58)*(1-('COVERAGE FACTORS'!E40+'COVERAGE FACTORS'!E42))</f>
        <v>484.49617310322623</v>
      </c>
      <c r="P68" s="20"/>
      <c r="Q68" s="109"/>
      <c r="S68" s="20"/>
      <c r="U68" s="20"/>
      <c r="Y68"/>
      <c r="Z68"/>
      <c r="AA68"/>
      <c r="AB68"/>
      <c r="AC68"/>
      <c r="AD68"/>
    </row>
    <row r="69" spans="1:30" ht="13" x14ac:dyDescent="0.3">
      <c r="A69" s="114"/>
      <c r="C69" s="98"/>
      <c r="D69" s="196">
        <f>(SUM(C64:C68)-D62)*'PIECE DENSITIES'!F9</f>
        <v>104.50718366508664</v>
      </c>
      <c r="E69" s="24" t="s">
        <v>127</v>
      </c>
      <c r="G69" s="114"/>
      <c r="I69" s="99"/>
      <c r="J69" s="201">
        <f>(SUM(I64:I68)-J62)*'PIECE DENSITIES'!F14</f>
        <v>0</v>
      </c>
      <c r="K69" s="24" t="s">
        <v>128</v>
      </c>
      <c r="L69"/>
      <c r="M69" s="20"/>
      <c r="O69" s="96">
        <f>SUM(N64:N68)*'PIECE DENSITIES'!F19</f>
        <v>12.955040503829935</v>
      </c>
      <c r="P69" s="24" t="s">
        <v>129</v>
      </c>
      <c r="Q69" s="109"/>
      <c r="S69" s="20"/>
      <c r="U69" s="20"/>
      <c r="Y69"/>
      <c r="Z69"/>
      <c r="AA69"/>
      <c r="AB69"/>
      <c r="AC69"/>
      <c r="AD69"/>
    </row>
    <row r="70" spans="1:30" ht="13" x14ac:dyDescent="0.3">
      <c r="A70" s="114"/>
      <c r="C70" s="98"/>
      <c r="D70" s="196">
        <f>(SUM(C64:C68)-D62)*'PIECE DENSITIES'!G9</f>
        <v>4566.8372585838761</v>
      </c>
      <c r="E70" s="24" t="s">
        <v>130</v>
      </c>
      <c r="G70" s="114"/>
      <c r="I70" s="99"/>
      <c r="J70" s="201">
        <f>(SUM(I64:I68)-J62)*'PIECE DENSITIES'!G14</f>
        <v>0</v>
      </c>
      <c r="K70" s="24" t="s">
        <v>288</v>
      </c>
      <c r="L70"/>
      <c r="M70" s="20"/>
      <c r="O70" s="96">
        <f>SUM(N64:N68)*'PIECE DENSITIES'!G19</f>
        <v>487.86166842033236</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36.545978385663489</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45.265767030356528</v>
      </c>
      <c r="B78" s="211">
        <f>C78*(1+'ACCEPT RATES'!F17)</f>
        <v>738.43425099736066</v>
      </c>
      <c r="C78" s="212">
        <f>(D33+D45+D59+D69)*('COVERAGE FACTORS'!E38+'COVERAGE FACTORS'!E42)</f>
        <v>731.32043705873468</v>
      </c>
      <c r="G78" s="205">
        <f>IF(SUM(C11:C16)&gt;0,H78*(1-'ACCEPT RATES'!C22),H78*(1-'ACCEPT RATES'!D22))</f>
        <v>0</v>
      </c>
      <c r="H78" s="204">
        <f>I78</f>
        <v>0</v>
      </c>
      <c r="I78" s="203">
        <f>(D33+D45+D59+D69)*'COVERAGE FACTORS'!E40+(J33+J45+J59+J69)*('COVERAGE FACTORS'!E40+'COVERAGE FACTORS'!E42)</f>
        <v>0</v>
      </c>
      <c r="J78" s="58"/>
      <c r="L78"/>
      <c r="M78" s="102">
        <f ca="1">N78</f>
        <v>97.229757649585665</v>
      </c>
      <c r="N78" s="294">
        <f ca="1">D72+J72+O33+O45+O59+O69+(D33+D45+D59+D69)*'COVERAGE FACTORS'!E44+(J33+J45+J59+J69)*(1-('COVERAGE FACTORS'!E40+'COVERAGE FACTORS'!E42))+D106</f>
        <v>97.229757649585665</v>
      </c>
      <c r="P78" s="20"/>
      <c r="Q78" s="109"/>
      <c r="S78" s="20"/>
      <c r="U78" s="20"/>
      <c r="Y78"/>
      <c r="Z78"/>
      <c r="AA78"/>
      <c r="AB78"/>
      <c r="AC78"/>
      <c r="AD78"/>
    </row>
    <row r="79" spans="1:30" ht="13" x14ac:dyDescent="0.3">
      <c r="A79" s="114"/>
      <c r="C79" s="98"/>
      <c r="D79" s="196">
        <f>SUM(C74:C78)-D72</f>
        <v>694.77445867307119</v>
      </c>
      <c r="E79" s="24" t="s">
        <v>130</v>
      </c>
      <c r="G79" s="114"/>
      <c r="I79" s="99"/>
      <c r="J79" s="201">
        <f>SUM(I74:I78)-J72</f>
        <v>0</v>
      </c>
      <c r="K79" s="24" t="s">
        <v>288</v>
      </c>
      <c r="L79"/>
      <c r="M79" s="20"/>
      <c r="O79" s="96">
        <f ca="1">SUM(N74:N78)</f>
        <v>97.229757649585665</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429.28224709102784</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38.094867107600919</v>
      </c>
      <c r="B83" s="29">
        <f>C83*(1+'ACCEPT RATES'!F17)</f>
        <v>621.45317543343765</v>
      </c>
      <c r="C83" s="51">
        <f>C16*('COVERAGE FACTORS'!E54+'COVERAGE FACTORS'!E58+(1-'COVERAGE FACTORS'!B119)*'COVERAGE FACTORS'!E52)</f>
        <v>615.46631572909598</v>
      </c>
      <c r="E83" s="24" t="s">
        <v>70</v>
      </c>
      <c r="G83" s="217">
        <v>0</v>
      </c>
      <c r="H83" s="29">
        <f>I83</f>
        <v>0</v>
      </c>
      <c r="I83" s="51">
        <f>C16*'COVERAGE FACTORS'!E56</f>
        <v>0</v>
      </c>
      <c r="J83" s="113"/>
      <c r="K83" s="23" t="s">
        <v>70</v>
      </c>
      <c r="L83"/>
      <c r="M83" s="29">
        <f>N83</f>
        <v>3.6972318882722086</v>
      </c>
      <c r="N83" s="51">
        <f>C16*'COVERAGE FACTORS'!E60</f>
        <v>3.6972318882722086</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493.61316330904407</v>
      </c>
      <c r="B87" s="211">
        <f>C87*(1+'ACCEPT RATES'!F17)</f>
        <v>8052.4619473719958</v>
      </c>
      <c r="C87" s="212">
        <f>(D34+D46+D60+D70+D79)*('COVERAGE FACTORS'!E54+'COVERAGE FACTORS'!E58+(1-'COVERAGE FACTORS'!B119)*'COVERAGE FACTORS'!E52)*'COVERAGE FACTORS'!E104</f>
        <v>7974.8873820480003</v>
      </c>
      <c r="G87" s="205">
        <v>0</v>
      </c>
      <c r="H87" s="204">
        <f>I87</f>
        <v>0</v>
      </c>
      <c r="I87" s="203">
        <f>(D34+D46+D60+D70+D79)*'COVERAGE FACTORS'!E56*'COVERAGE FACTORS'!E104+(J34+J46+J60+J70+J79)*('COVERAGE FACTORS'!E56+'COVERAGE FACTORS'!E58)*'COVERAGE FACTORS'!E104</f>
        <v>0</v>
      </c>
      <c r="J87" s="213"/>
      <c r="L87"/>
      <c r="M87" s="102">
        <f ca="1">N87</f>
        <v>1835.2313174256753</v>
      </c>
      <c r="N87" s="294">
        <f ca="1">D81+J81+(O34+O46+O60+O70+O79)+(D34+D46+D60+D70+D79)*'COVERAGE FACTORS'!E106+(J34+J46+J60+J70+J79)*(1-('COVERAGE FACTORS'!E56+'COVERAGE FACTORS'!E58)*'COVERAGE FACTORS'!E104)+D120</f>
        <v>1835.2313174256753</v>
      </c>
      <c r="P87" s="20"/>
      <c r="Q87" s="109"/>
      <c r="S87" s="20"/>
      <c r="U87" s="20"/>
      <c r="Y87"/>
      <c r="Z87"/>
      <c r="AA87"/>
      <c r="AB87"/>
      <c r="AC87"/>
      <c r="AD87"/>
    </row>
    <row r="88" spans="1:30" ht="13" x14ac:dyDescent="0.3">
      <c r="A88" s="114"/>
      <c r="C88" s="98"/>
      <c r="D88" s="103">
        <f>SUM(C83:C87)-D81</f>
        <v>8161.0714506860686</v>
      </c>
      <c r="E88" s="24"/>
      <c r="G88" s="218"/>
      <c r="H88" s="214"/>
      <c r="I88" s="214"/>
      <c r="J88" s="215">
        <f>SUM(I83:I87)-J81</f>
        <v>0</v>
      </c>
      <c r="K88" s="24"/>
      <c r="L88"/>
      <c r="M88" s="20"/>
      <c r="O88" s="216">
        <f ca="1">SUM(N83:N87)</f>
        <v>1838.9285493139475</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FACTORS'!E52*'COVERAGE FACTORS'!B119</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FACTORS'!E52*'COVERAGE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worksheet>
</file>

<file path=xl/worksheets/sheet4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2">
    <pageSetUpPr fitToPage="1"/>
  </sheetPr>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346</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'ADC NONAUTO COST'!C11</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C11*J11/'ADC AUTO MODEL REV'!$G$6</f>
        <v>0</v>
      </c>
    </row>
    <row r="12" spans="1:11" ht="13" x14ac:dyDescent="0.3">
      <c r="A12" s="36"/>
      <c r="B12" t="s">
        <v>529</v>
      </c>
      <c r="C12" s="151">
        <f>'ADC NONAUTO COST'!C12</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C12*J12/'ADC AUTO MODEL REV'!$G$6</f>
        <v>0</v>
      </c>
    </row>
    <row r="13" spans="1:11" ht="13" x14ac:dyDescent="0.3">
      <c r="A13" s="36"/>
      <c r="B13" t="s">
        <v>70</v>
      </c>
      <c r="C13" s="151">
        <f>'ADC NONAUTO COST'!C13</f>
        <v>139.01437769154163</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C13*J13/'ADC AUTO MODEL REV'!$G$6</f>
        <v>0.28196169159544954</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'ADC NONAUTO COST'!C16</f>
        <v>226.23388107787784</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C16*J16/'ADC AUTO MODEL REV'!$G$6</f>
        <v>0.85438256310745408</v>
      </c>
    </row>
    <row r="17" spans="1:11" ht="13" x14ac:dyDescent="0.3">
      <c r="A17" s="1"/>
      <c r="B17" t="s">
        <v>529</v>
      </c>
      <c r="C17" s="151">
        <f>'ADC NONAUTO COST'!C17</f>
        <v>273.47989155196461</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C17*J17/'ADC AUTO MODEL REV'!$G$6</f>
        <v>1.1946280254638038</v>
      </c>
    </row>
    <row r="18" spans="1:11" ht="13" x14ac:dyDescent="0.3">
      <c r="A18" s="1"/>
      <c r="B18" t="s">
        <v>70</v>
      </c>
      <c r="C18" s="151">
        <f>'ADC NONAUTO COST'!C18</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C18*J18/'ADC AUTO MODEL REV'!$G$6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'ADC NONAUTO COST'!C21</f>
        <v>84.719994328730706</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C21*J21/'ADC AUTO MODEL REV'!$G$6</f>
        <v>0.31994891992377122</v>
      </c>
    </row>
    <row r="22" spans="1:11" ht="13" x14ac:dyDescent="0.3">
      <c r="A22" s="1"/>
      <c r="B22" t="s">
        <v>529</v>
      </c>
      <c r="C22" s="151">
        <f>'ADC NONAUTO COST'!C22</f>
        <v>102.41266582580816</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C22*J22/'ADC AUTO MODEL REV'!$G$6</f>
        <v>0.44736393620633891</v>
      </c>
    </row>
    <row r="23" spans="1:11" ht="13" x14ac:dyDescent="0.3">
      <c r="A23" s="1"/>
      <c r="B23" t="s">
        <v>70</v>
      </c>
      <c r="C23" s="151">
        <f>'ADC NONAUTO COST'!C23</f>
        <v>5.3966928547709418</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C23*J23/'ADC AUTO MODEL REV'!$G$6</f>
        <v>1.094606667037489E-2</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'ADC NONAUTO COST'!C26</f>
        <v>2.1189559967399519E-3</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C26*J26/'ADC AUTO MODEL REV'!$G$6</f>
        <v>8.0023338988000027E-6</v>
      </c>
    </row>
    <row r="27" spans="1:11" ht="13" x14ac:dyDescent="0.3">
      <c r="A27" s="1"/>
      <c r="B27" t="s">
        <v>529</v>
      </c>
      <c r="C27" s="151">
        <f>'ADC NONAUTO COST'!C27</f>
        <v>2.5614724612903809E-3</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C27*J27/'ADC AUTO MODEL REV'!$G$6</f>
        <v>1.1189147294691674E-5</v>
      </c>
    </row>
    <row r="28" spans="1:11" ht="13" x14ac:dyDescent="0.3">
      <c r="A28" s="1"/>
      <c r="B28" t="s">
        <v>70</v>
      </c>
      <c r="C28" s="151">
        <f>'ADC NONAUTO COST'!C28</f>
        <v>0.46336241734500289</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C28*J28/'ADC AUTO MODEL REV'!$G$6</f>
        <v>1.3089846245853555E-3</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SUM('ADC AUTO MODEL REV'!$B$25:$B$29)</f>
        <v>12.899233325390318</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C31*J31/'ADC AUTO MODEL REV'!$G$6</f>
        <v>6.6001205824880744E-3</v>
      </c>
    </row>
    <row r="32" spans="1:11" ht="13" x14ac:dyDescent="0.3">
      <c r="A32" s="36"/>
      <c r="B32" t="s">
        <v>244</v>
      </c>
      <c r="C32" s="2">
        <f>SUM('ADC AUTO MODEL REV'!$A$25:$A$29)</f>
        <v>0.79071859111179865</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C32*J32/'ADC AUTO MODEL REV'!$G$6</f>
        <v>5.9625639515957258E-4</v>
      </c>
    </row>
    <row r="33" spans="1:11" ht="13" x14ac:dyDescent="0.3">
      <c r="A33" s="36"/>
      <c r="B33" t="s">
        <v>291</v>
      </c>
      <c r="C33" s="2">
        <f>SUM('ADC AUTO MODEL REV'!$H$25:$H$29)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C33*J33/'ADC AUTO MODEL REV'!$G$6</f>
        <v>0</v>
      </c>
    </row>
    <row r="34" spans="1:11" x14ac:dyDescent="0.25">
      <c r="B34" t="s">
        <v>292</v>
      </c>
      <c r="C34" s="2">
        <f>SUM('ADC AUTO MODEL REV'!$G$25:$G$29)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C34*J34/'ADC AUTO MODEL REV'!$G$6</f>
        <v>0</v>
      </c>
    </row>
    <row r="35" spans="1:11" x14ac:dyDescent="0.25">
      <c r="B35" t="s">
        <v>70</v>
      </c>
      <c r="C35" s="2">
        <f>SUM('ADC AUTO MODEL REV'!$M$25:$M$29)</f>
        <v>0.62481269197829914</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C35*J35/'ADC AUTO MODEL REV'!$G$6</f>
        <v>6.7509543878283213E-4</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SUM('ADC AUTO MODEL REV'!$B$38:$B$42)</f>
        <v>1.5913055700854506</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C38*J38/'ADC AUTO MODEL REV'!$G$6</f>
        <v>5.6459979483279446E-4</v>
      </c>
    </row>
    <row r="39" spans="1:11" ht="13" x14ac:dyDescent="0.3">
      <c r="A39" s="36"/>
      <c r="B39" t="s">
        <v>244</v>
      </c>
      <c r="C39" s="2">
        <f>SUM('ADC AUTO MODEL REV'!$A$38:$A$42)</f>
        <v>9.7546487195451267E-2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C39*J39/'ADC AUTO MODEL REV'!$G$6</f>
        <v>7.3556784258555055E-5</v>
      </c>
    </row>
    <row r="40" spans="1:11" x14ac:dyDescent="0.25">
      <c r="B40" t="s">
        <v>291</v>
      </c>
      <c r="C40" s="2">
        <f>SUM('ADC AUTO MODEL REV'!$H$38:$H$42)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C40*J40/'ADC AUTO MODEL REV'!$G$6</f>
        <v>0</v>
      </c>
    </row>
    <row r="41" spans="1:11" x14ac:dyDescent="0.25">
      <c r="B41" t="s">
        <v>292</v>
      </c>
      <c r="C41" s="2">
        <f>SUM('ADC AUTO MODEL REV'!$G$38:$G$42)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C41*J41/'ADC AUTO MODEL REV'!$G$6</f>
        <v>0</v>
      </c>
    </row>
    <row r="42" spans="1:11" x14ac:dyDescent="0.25">
      <c r="B42" t="s">
        <v>70</v>
      </c>
      <c r="C42" s="2">
        <f>SUM('ADC AUTO MODEL REV'!$M$38:$M$42)</f>
        <v>0.2034090034874759</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C42*J42/'ADC AUTO MODEL REV'!$G$6</f>
        <v>2.7785325812381491E-4</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SUM('ADC AUTO MODEL REV'!$B$53:$B$57)</f>
        <v>3748.9407989114284</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C45*J45/'ADC AUTO MODEL REV'!$G$6</f>
        <v>1.917665112684581</v>
      </c>
    </row>
    <row r="46" spans="1:11" ht="13" x14ac:dyDescent="0.3">
      <c r="A46" s="36"/>
      <c r="B46" t="s">
        <v>244</v>
      </c>
      <c r="C46" s="2">
        <f>SUM('ADC AUTO MODEL REV'!$A$53:$A$57)</f>
        <v>229.80878877831191</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C46*J46/'ADC AUTO MODEL REV'!$G$6</f>
        <v>0.17329168874134909</v>
      </c>
    </row>
    <row r="47" spans="1:11" x14ac:dyDescent="0.25">
      <c r="B47" t="s">
        <v>291</v>
      </c>
      <c r="C47" s="2">
        <f>SUM('ADC AUTO MODEL REV'!$H$53:$H$57)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C47*J47/'ADC AUTO MODEL REV'!$G$6</f>
        <v>0</v>
      </c>
    </row>
    <row r="48" spans="1:11" x14ac:dyDescent="0.25">
      <c r="B48" t="s">
        <v>292</v>
      </c>
      <c r="C48" s="2">
        <f>SUM('ADC AUTO MODEL REV'!$G$53:$G$57)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C48*J48/'ADC AUTO MODEL REV'!$G$6</f>
        <v>0</v>
      </c>
    </row>
    <row r="49" spans="1:11" x14ac:dyDescent="0.25">
      <c r="B49" t="s">
        <v>70</v>
      </c>
      <c r="C49" s="2">
        <f>SUM('ADC AUTO MODEL REV'!$M$53:$M$57)</f>
        <v>294.64735515078848</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C49*J49/'ADC AUTO MODEL REV'!$G$6</f>
        <v>0.28495989651458503</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SUM('ADC AUTO MODEL REV'!$B$64:$B$68)</f>
        <v>4930.1389863435879</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C52*J52/'ADC AUTO MODEL REV'!$G$6</f>
        <v>1.9130703211273032</v>
      </c>
    </row>
    <row r="53" spans="1:11" ht="13" x14ac:dyDescent="0.3">
      <c r="A53" s="36"/>
      <c r="B53" t="s">
        <v>244</v>
      </c>
      <c r="C53" s="2">
        <f>SUM('ADC AUTO MODEL REV'!$A$64:$A$68)</f>
        <v>302.21583368009919</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C53*J53/'ADC AUTO MODEL REV'!$G$6</f>
        <v>0.22789159832054956</v>
      </c>
    </row>
    <row r="54" spans="1:11" x14ac:dyDescent="0.25">
      <c r="B54" t="s">
        <v>291</v>
      </c>
      <c r="C54" s="2">
        <f>SUM('ADC AUTO MODEL REV'!$H$64:$H$68)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C54*J54/'ADC AUTO MODEL REV'!$G$6</f>
        <v>0</v>
      </c>
    </row>
    <row r="55" spans="1:11" x14ac:dyDescent="0.25">
      <c r="B55" t="s">
        <v>292</v>
      </c>
      <c r="C55" s="2">
        <f>SUM('ADC AUTO MODEL REV'!$G$64:$G$68)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C55*J55/'ADC AUTO MODEL REV'!$G$6</f>
        <v>0</v>
      </c>
    </row>
    <row r="56" spans="1:11" x14ac:dyDescent="0.25">
      <c r="B56" t="s">
        <v>70</v>
      </c>
      <c r="C56" s="2">
        <f>SUM('ADC AUTO MODEL REV'!$M$64:$M$68)</f>
        <v>349.90900649835214</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C56*J56/'ADC AUTO MODEL REV'!$G$6</f>
        <v>0.39040800881140797</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SUM('ADC AUTO MODEL REV'!$B$74:$B$78)+SUM('ADC AUTO MODEL REV'!$B$108:$B$112)</f>
        <v>322.47166986159863</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C59*J59/'ADC AUTO MODEL REV'!$G$6</f>
        <v>0.23220043110946312</v>
      </c>
    </row>
    <row r="60" spans="1:11" ht="13" x14ac:dyDescent="0.3">
      <c r="A60" s="36"/>
      <c r="B60" t="s">
        <v>244</v>
      </c>
      <c r="C60" s="2">
        <f>SUM('ADC AUTO MODEL REV'!$A$74:$A$78)+SUM('ADC AUTO MODEL REV'!$A$108:$A$112)</f>
        <v>19.767403072284278</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C60*J60/'ADC AUTO MODEL REV'!$G$6</f>
        <v>1.4905986314263875E-2</v>
      </c>
    </row>
    <row r="61" spans="1:11" x14ac:dyDescent="0.25">
      <c r="B61" t="s">
        <v>291</v>
      </c>
      <c r="C61" s="2">
        <f>SUM('ADC AUTO MODEL REV'!$H$74:$H$78)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C61*J61/'ADC AUTO MODEL REV'!$G$6</f>
        <v>0</v>
      </c>
    </row>
    <row r="62" spans="1:11" x14ac:dyDescent="0.25">
      <c r="B62" t="s">
        <v>292</v>
      </c>
      <c r="C62" s="2">
        <f>SUM('ADC AUTO MODEL REV'!$G$74:$G$78)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C62*J62/'ADC AUTO MODEL REV'!$G$6</f>
        <v>0</v>
      </c>
    </row>
    <row r="63" spans="1:11" x14ac:dyDescent="0.25">
      <c r="B63" t="s">
        <v>70</v>
      </c>
      <c r="C63" s="2">
        <f>SUM('ADC AUTO MODEL REV'!$M$74:$M$78)</f>
        <v>39.200707952511522</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C63*J63/'ADC AUTO MODEL REV'!$G$6</f>
        <v>3.4870222253162025E-2</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SUM('ADC AUTO MODEL REV'!$B$83:$B$87)+SUM('ADC AUTO MODEL REV'!$B$122:$B$126)</f>
        <v>9140.4386872798023</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C66*J66/'ADC AUTO MODEL REV'!$G$6</f>
        <v>3.9577405162100492</v>
      </c>
    </row>
    <row r="67" spans="1:11" ht="13" x14ac:dyDescent="0.3">
      <c r="A67" s="36"/>
      <c r="B67" t="s">
        <v>244</v>
      </c>
      <c r="C67" s="2">
        <f>SUM('ADC AUTO MODEL REV'!$A$83:$A$87)+SUM('ADC AUTO MODEL REV'!$A$122:$A$126)</f>
        <v>560.30576536074602</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C67*J67/'ADC AUTO MODEL REV'!$G$6</f>
        <v>0.42250922084856835</v>
      </c>
    </row>
    <row r="68" spans="1:11" x14ac:dyDescent="0.25">
      <c r="B68" t="s">
        <v>291</v>
      </c>
      <c r="C68" s="2">
        <f>SUM('ADC AUTO MODEL REV'!$H$83:$H$87)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C68*J68/'ADC AUTO MODEL REV'!$G$6</f>
        <v>0</v>
      </c>
    </row>
    <row r="69" spans="1:11" x14ac:dyDescent="0.25">
      <c r="B69" t="s">
        <v>292</v>
      </c>
      <c r="C69" s="2">
        <f>SUM('ADC AUTO MODEL REV'!$G$83:$G$87)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C69*J69/'ADC AUTO MODEL REV'!$G$6</f>
        <v>0</v>
      </c>
    </row>
    <row r="70" spans="1:11" x14ac:dyDescent="0.25">
      <c r="B70" t="s">
        <v>70</v>
      </c>
      <c r="C70" s="2">
        <f>SUM('ADC AUTO MODEL REV'!$M$83:$M$87)</f>
        <v>1399.9881067110632</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C70*J70/'ADC AUTO MODEL REV'!$G$6</f>
        <v>1.3881551433403108</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f ca="1">C73*$J73/'5D AUTO MODEL'!$G$6</f>
        <v>0</v>
      </c>
    </row>
    <row r="74" spans="1:11" x14ac:dyDescent="0.25">
      <c r="B74" t="s">
        <v>244</v>
      </c>
      <c r="C74" s="2">
        <f>SUM('ADC AUTO MODEL REV'!$A$95:$A$99)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C74*J74/'ADC AUTO MODEL REV'!$G$6</f>
        <v>0</v>
      </c>
    </row>
    <row r="76" spans="1:11" x14ac:dyDescent="0.25">
      <c r="B76" s="155" t="s">
        <v>486</v>
      </c>
      <c r="C76" s="2">
        <f>SUM('ADC AUTO MODEL REV'!C53,'ADC AUTO MODEL REV'!I53,'ADC AUTO MODEL REV'!C64,'ADC AUTO MODEL REV'!I64,'ADC AUTO MODEL REV'!C83,'ADC AUTO MODEL REV'!I83)</f>
        <v>9927.6034236965279</v>
      </c>
      <c r="D76" s="2">
        <f>PRODUCTIVITIES!$C$49*'FY VOLUME NONAUTO'!C62</f>
        <v>1445.3372156486621</v>
      </c>
      <c r="E76" s="38">
        <f>'WAGE RATES'!$C$6</f>
        <v>50.10717457546064</v>
      </c>
      <c r="F76" s="42">
        <f t="shared" ref="F76:F77" si="0">E76*100/D76</f>
        <v>3.466815496961567</v>
      </c>
      <c r="G76" s="42">
        <f>PIGGYBACKS!$B$13</f>
        <v>1.6305774272183733</v>
      </c>
      <c r="H76" s="42">
        <f>'WAGE RATES'!$C$9</f>
        <v>0.9752031228402912</v>
      </c>
      <c r="I76" s="42">
        <f t="shared" ref="I76:I77" si="1">(H76-1)*F76</f>
        <v>-8.5966198013530781E-2</v>
      </c>
      <c r="J76" s="42">
        <f t="shared" ref="J76:J77" si="2">F76*G76+I76</f>
        <v>5.5669448956628473</v>
      </c>
      <c r="K76" s="42">
        <f ca="1">C76*$J76/'5D AUTO MODEL'!$G$6</f>
        <v>5.5266421205712399</v>
      </c>
    </row>
    <row r="77" spans="1:11" x14ac:dyDescent="0.25">
      <c r="B77" s="155" t="s">
        <v>491</v>
      </c>
      <c r="C77" s="2">
        <f>SUM(C31,C33,C34,C38,C40,C41,C45,C47,C48,C52,C54,C55,C59,C61,C62,C66,C68,C69)-C76</f>
        <v>8228.8772575953662</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3.1414641899752684</v>
      </c>
    </row>
    <row r="78" spans="1:11" ht="13.5" thickBot="1" x14ac:dyDescent="0.35">
      <c r="F78" s="42"/>
      <c r="H78" s="42"/>
      <c r="I78" s="42"/>
      <c r="J78" s="42"/>
      <c r="K78" s="41" t="str">
        <f>"(10)"</f>
        <v>(10)</v>
      </c>
    </row>
    <row r="79" spans="1:11" ht="13.5" thickBot="1" x14ac:dyDescent="0.35">
      <c r="F79" s="42"/>
      <c r="H79" s="42"/>
      <c r="I79" s="42"/>
      <c r="J79" s="142" t="s">
        <v>78</v>
      </c>
      <c r="K79" s="143">
        <f ca="1">SUM(K11:K77)</f>
        <v>22.745121318148719</v>
      </c>
    </row>
    <row r="80" spans="1:11" ht="13.5" thickBot="1" x14ac:dyDescent="0.35">
      <c r="J80" s="142" t="s">
        <v>485</v>
      </c>
      <c r="K80" s="143">
        <f ca="1">SUM(K31,K33,K34,K38,K40,K41,K45,K47,K48,K52,K54,K55,K59,K61,K62,K66,K68,K69,K76,K77)</f>
        <v>16.695947412055226</v>
      </c>
    </row>
    <row r="83" spans="1:8" ht="13" x14ac:dyDescent="0.3">
      <c r="A83" s="145" t="str">
        <f>"(1)"</f>
        <v>(1)</v>
      </c>
      <c r="B83" s="1" t="s">
        <v>411</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22</oddFooter>
  </headerFooter>
  <ignoredErrors>
    <ignoredError sqref="E4" numberStoredAsText="1"/>
  </ignoredErrors>
</worksheet>
</file>

<file path=xl/worksheets/sheet4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3"/>
  <dimension ref="A1:AD128"/>
  <sheetViews>
    <sheetView zoomScale="70" zoomScaleNormal="70"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'ADC AUTO COST REV'!A1</f>
        <v>ADC AUTO PRESORT (PRESORT LEVELS HELD CONSTANT)</v>
      </c>
    </row>
    <row r="2" spans="1:30" ht="23" x14ac:dyDescent="0.5">
      <c r="A2" s="57" t="s">
        <v>84</v>
      </c>
    </row>
    <row r="6" spans="1:30" s="228" customFormat="1" ht="18" x14ac:dyDescent="0.4">
      <c r="A6" s="48" t="s">
        <v>85</v>
      </c>
      <c r="B6" s="226"/>
      <c r="C6" s="49">
        <f>SUM(C11:C16)+SUM(G11:G16)+SUM(K11:K16)+SUM(O11:O16)</f>
        <v>10000.000000000002</v>
      </c>
      <c r="D6" s="227"/>
      <c r="E6" s="48" t="s">
        <v>86</v>
      </c>
      <c r="F6" s="226"/>
      <c r="G6" s="49">
        <f>D88+J88+O88+D100+D127</f>
        <v>10000.000000000016</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'ADC NONAUTO MODEL'!G11</f>
        <v>12.759434490566337</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f>'ADC NONAUTO MODEL'!G12</f>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'ADC NONAUTO MODEL'!G13</f>
        <v>3723.5958069632393</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'ADC NONAUTO MODEL'!G14</f>
        <v>3982.664779728545</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f>'ADC NONAUTO MODEL'!G15</f>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'ADC NONAUTO MODEL'!G16</f>
        <v>2280.979978817651</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0.60275673407767161</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0.79071859111179865</v>
      </c>
      <c r="B25" s="29">
        <f>C25*(1+'ACCEPT RATES'!F14)</f>
        <v>12.899233325390318</v>
      </c>
      <c r="C25" s="51">
        <f>C11*('COVERAGE FACTORS'!E14+'COVERAGE FACTORS'!E18)</f>
        <v>12.737378532665712</v>
      </c>
      <c r="E25" s="24" t="s">
        <v>70</v>
      </c>
      <c r="G25" s="217">
        <f>H25*(1-'ACCEPT RATES'!C19)</f>
        <v>0</v>
      </c>
      <c r="H25" s="29">
        <f>I25</f>
        <v>0</v>
      </c>
      <c r="I25" s="51">
        <f>C11*'COVERAGE FACTORS'!E16</f>
        <v>0</v>
      </c>
      <c r="J25" s="23"/>
      <c r="K25" s="23" t="s">
        <v>70</v>
      </c>
      <c r="L25"/>
      <c r="M25" s="29">
        <f>N25</f>
        <v>2.2055957900627577E-2</v>
      </c>
      <c r="N25" s="51">
        <f>C11*'COVERAGE FACTORS'!E20</f>
        <v>2.2055957900627577E-2</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0.60275673407767161</v>
      </c>
      <c r="N29" s="206">
        <f>D23+J23</f>
        <v>0.60275673407767161</v>
      </c>
      <c r="P29" s="20"/>
      <c r="Q29" s="109"/>
      <c r="S29" s="20"/>
      <c r="U29" s="20"/>
      <c r="Y29"/>
      <c r="Z29"/>
      <c r="AA29"/>
      <c r="AB29"/>
      <c r="AC29"/>
      <c r="AD29"/>
    </row>
    <row r="30" spans="1:30" ht="13" x14ac:dyDescent="0.3">
      <c r="A30" s="114"/>
      <c r="C30" s="98"/>
      <c r="D30" s="196">
        <f>(SUM(C25:C29)-D23)*'PIECE DENSITIES'!C6</f>
        <v>1.5538413751681941</v>
      </c>
      <c r="E30" s="24" t="s">
        <v>290</v>
      </c>
      <c r="G30" s="114"/>
      <c r="I30" s="99"/>
      <c r="J30" s="201">
        <f>(SUM(I25:I29)-J23)*'PIECE DENSITIES'!C11</f>
        <v>0</v>
      </c>
      <c r="K30" s="24" t="s">
        <v>289</v>
      </c>
      <c r="L30"/>
      <c r="M30" s="20"/>
      <c r="O30" s="96">
        <f>SUM(N25:N29)*'PIECE DENSITIES'!C16</f>
        <v>5.5906821127589927E-2</v>
      </c>
      <c r="P30" s="24" t="s">
        <v>120</v>
      </c>
      <c r="Q30" s="109"/>
      <c r="S30" s="20"/>
      <c r="U30" s="20"/>
      <c r="Y30"/>
      <c r="Z30"/>
      <c r="AA30"/>
      <c r="AB30"/>
      <c r="AC30"/>
      <c r="AD30"/>
    </row>
    <row r="31" spans="1:30" ht="13" x14ac:dyDescent="0.3">
      <c r="A31" s="114"/>
      <c r="C31" s="98"/>
      <c r="D31" s="196">
        <f>(SUM(C25:C29)-D23)*'PIECE DENSITIES'!D6</f>
        <v>6.2894852709023334</v>
      </c>
      <c r="E31" s="24" t="s">
        <v>121</v>
      </c>
      <c r="G31" s="114"/>
      <c r="I31" s="99"/>
      <c r="J31" s="201">
        <f>(SUM(I25:I29)-J23)*'PIECE DENSITIES'!D11</f>
        <v>0</v>
      </c>
      <c r="K31" s="24" t="s">
        <v>122</v>
      </c>
      <c r="L31"/>
      <c r="M31" s="20"/>
      <c r="O31" s="96">
        <f>SUM(N25:N29)*'PIECE DENSITIES'!D16</f>
        <v>0.36279859392433972</v>
      </c>
      <c r="P31" s="24" t="s">
        <v>123</v>
      </c>
      <c r="Q31" s="109"/>
      <c r="S31" s="20"/>
      <c r="U31" s="20"/>
      <c r="Y31"/>
      <c r="Z31"/>
      <c r="AA31"/>
      <c r="AB31"/>
      <c r="AC31"/>
      <c r="AD31"/>
    </row>
    <row r="32" spans="1:30" ht="13" x14ac:dyDescent="0.3">
      <c r="A32" s="114"/>
      <c r="C32" s="89"/>
      <c r="D32" s="197">
        <f>(SUM(C25:C29)-D23)*'PIECE DENSITIES'!E6</f>
        <v>3.3967688438526906</v>
      </c>
      <c r="E32" s="24" t="s">
        <v>124</v>
      </c>
      <c r="G32" s="114"/>
      <c r="I32" s="94"/>
      <c r="J32" s="202">
        <f>(SUM(I25:I29)-J23)*'PIECE DENSITIES'!E11</f>
        <v>0</v>
      </c>
      <c r="K32" s="24" t="s">
        <v>125</v>
      </c>
      <c r="L32"/>
      <c r="M32" s="20"/>
      <c r="N32" s="46"/>
      <c r="O32" s="97">
        <f>SUM(N25:N29)*'PIECE DENSITIES'!E16</f>
        <v>0.15983150236562768</v>
      </c>
      <c r="P32" s="24" t="s">
        <v>126</v>
      </c>
      <c r="Q32" s="109"/>
      <c r="S32" s="20"/>
      <c r="U32" s="20"/>
      <c r="Y32"/>
      <c r="Z32"/>
      <c r="AA32"/>
      <c r="AB32"/>
      <c r="AC32"/>
      <c r="AD32"/>
    </row>
    <row r="33" spans="1:30" ht="13" x14ac:dyDescent="0.3">
      <c r="A33" s="114"/>
      <c r="C33" s="89"/>
      <c r="D33" s="197">
        <f>(SUM(C25:C29)-D23)*'PIECE DENSITIES'!F6</f>
        <v>0.8945263086648233</v>
      </c>
      <c r="E33" s="24" t="s">
        <v>127</v>
      </c>
      <c r="G33" s="114"/>
      <c r="I33" s="94"/>
      <c r="J33" s="202">
        <f>(SUM(I25:I29)-J23)*'PIECE DENSITIES'!F11</f>
        <v>0</v>
      </c>
      <c r="K33" s="24" t="s">
        <v>128</v>
      </c>
      <c r="L33"/>
      <c r="M33" s="20"/>
      <c r="N33" s="46"/>
      <c r="O33" s="97">
        <f>SUM(N25:N29)*'PIECE DENSITIES'!F16</f>
        <v>4.6275774560741889E-2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0.14750218235988596</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9.7546487195451267E-2</v>
      </c>
      <c r="B42" s="199">
        <f>C42*(1+'ACCEPT RATES'!F15+'PIECE DENSITIES'!C7)</f>
        <v>1.5913055700854506</v>
      </c>
      <c r="C42" s="198">
        <f>D30</f>
        <v>1.5538413751681941</v>
      </c>
      <c r="G42" s="205">
        <f>IF(SUM(C11:C16)&gt;0,H42*(1-'ACCEPT RATES'!C20),H42*(1-'ACCEPT RATES'!D20))</f>
        <v>0</v>
      </c>
      <c r="H42" s="204">
        <f>I42*(1+'PIECE DENSITIES'!C12)</f>
        <v>0</v>
      </c>
      <c r="I42" s="203">
        <f>J30</f>
        <v>0</v>
      </c>
      <c r="J42" s="58"/>
      <c r="L42"/>
      <c r="M42" s="102">
        <f>N42</f>
        <v>0.2034090034874759</v>
      </c>
      <c r="N42" s="101">
        <f>D36+J36+O30</f>
        <v>0.2034090034874759</v>
      </c>
      <c r="P42" s="20"/>
      <c r="Q42" s="109"/>
      <c r="S42" s="20"/>
      <c r="U42" s="20"/>
      <c r="Y42"/>
      <c r="Z42"/>
      <c r="AA42"/>
      <c r="AB42"/>
      <c r="AC42"/>
      <c r="AD42"/>
    </row>
    <row r="43" spans="1:30" ht="13" x14ac:dyDescent="0.3">
      <c r="A43" s="114"/>
      <c r="C43" s="98"/>
      <c r="D43" s="196">
        <f>(SUM(C38:C42)-D36)*'PIECE DENSITIES'!D7</f>
        <v>1.1613460174993093</v>
      </c>
      <c r="E43" s="24" t="s">
        <v>121</v>
      </c>
      <c r="G43" s="114"/>
      <c r="I43" s="99"/>
      <c r="J43" s="201">
        <f>(SUM(I38:I42)-J36)*'PIECE DENSITIES'!D12</f>
        <v>0</v>
      </c>
      <c r="K43" s="24" t="s">
        <v>122</v>
      </c>
      <c r="L43"/>
      <c r="M43" s="20"/>
      <c r="O43" s="96">
        <f>SUM(N38:N42)*'PIECE DENSITIES'!D17</f>
        <v>0.14398176463107992</v>
      </c>
      <c r="P43" s="24" t="s">
        <v>123</v>
      </c>
      <c r="Q43" s="109"/>
      <c r="S43" s="20"/>
      <c r="U43" s="20"/>
      <c r="Y43"/>
      <c r="Z43"/>
      <c r="AA43"/>
      <c r="AB43"/>
      <c r="AC43"/>
      <c r="AD43"/>
    </row>
    <row r="44" spans="1:30" ht="13" x14ac:dyDescent="0.3">
      <c r="A44" s="114"/>
      <c r="C44" s="98"/>
      <c r="D44" s="196">
        <f>(SUM(C38:C42)-D36)*'PIECE DENSITIES'!E7</f>
        <v>9.7059030453240477E-2</v>
      </c>
      <c r="E44" s="24" t="s">
        <v>124</v>
      </c>
      <c r="G44" s="114"/>
      <c r="I44" s="99"/>
      <c r="J44" s="201">
        <f>(SUM(I38:I42)-J36)*'PIECE DENSITIES'!E12</f>
        <v>0</v>
      </c>
      <c r="K44" s="24" t="s">
        <v>125</v>
      </c>
      <c r="L44"/>
      <c r="M44" s="20"/>
      <c r="O44" s="96">
        <f>SUM(N38:N42)*'PIECE DENSITIES'!E17</f>
        <v>6.3122647386461663E-4</v>
      </c>
      <c r="P44" s="24" t="s">
        <v>126</v>
      </c>
      <c r="Q44" s="109"/>
      <c r="S44" s="20"/>
      <c r="U44" s="20"/>
      <c r="Y44"/>
      <c r="Z44"/>
      <c r="AA44"/>
      <c r="AB44"/>
      <c r="AC44"/>
      <c r="AD44"/>
    </row>
    <row r="45" spans="1:30" ht="13" x14ac:dyDescent="0.3">
      <c r="A45" s="114"/>
      <c r="C45" s="89"/>
      <c r="D45" s="197">
        <f>(SUM(C38:C42)-D36)*'PIECE DENSITIES'!F7</f>
        <v>1.0338558034681648E-2</v>
      </c>
      <c r="E45" s="24" t="s">
        <v>127</v>
      </c>
      <c r="G45" s="114"/>
      <c r="I45" s="94"/>
      <c r="J45" s="202">
        <f>(SUM(I38:I42)-J36)*'PIECE DENSITIES'!F12</f>
        <v>0</v>
      </c>
      <c r="K45" s="24" t="s">
        <v>128</v>
      </c>
      <c r="L45"/>
      <c r="M45" s="20"/>
      <c r="N45" s="46"/>
      <c r="O45" s="97">
        <f>SUM(N38:N42)*'PIECE DENSITIES'!F17</f>
        <v>4.0408434901727033E-3</v>
      </c>
      <c r="P45" s="24" t="s">
        <v>129</v>
      </c>
      <c r="Q45" s="109"/>
      <c r="S45" s="20"/>
      <c r="U45" s="20"/>
      <c r="Y45"/>
      <c r="Z45"/>
      <c r="AA45"/>
      <c r="AB45"/>
      <c r="AC45"/>
      <c r="AD45"/>
    </row>
    <row r="46" spans="1:30" ht="13" x14ac:dyDescent="0.3">
      <c r="A46" s="114"/>
      <c r="C46" s="89"/>
      <c r="D46" s="197">
        <f>(SUM(C38:C42)-D36)*'PIECE DENSITIES'!G7</f>
        <v>0.13759558682107675</v>
      </c>
      <c r="E46" s="24" t="s">
        <v>130</v>
      </c>
      <c r="G46" s="114"/>
      <c r="I46" s="94"/>
      <c r="J46" s="202">
        <f>(SUM(I38:I42)-J36)*'PIECE DENSITIES'!G12</f>
        <v>0</v>
      </c>
      <c r="K46" s="24" t="s">
        <v>288</v>
      </c>
      <c r="L46"/>
      <c r="M46" s="20"/>
      <c r="N46" s="46"/>
      <c r="O46" s="97">
        <f>SUM(N38:N42)*'PIECE DENSITIES'!G17</f>
        <v>5.4755168892358666E-2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271.86125188852168</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229.34986486773289</v>
      </c>
      <c r="B53" s="29">
        <f>C53*(1+'ACCEPT RATES'!F16+'PIECE DENSITIES'!D8)</f>
        <v>3741.4542333143863</v>
      </c>
      <c r="C53" s="51">
        <f>C13*('COVERAGE FACTORS'!E38+'COVERAGE FACTORS'!E42)</f>
        <v>3701.3609754562563</v>
      </c>
      <c r="E53" s="24" t="s">
        <v>70</v>
      </c>
      <c r="G53" s="217">
        <f>H53*(1-'ACCEPT RATES'!C21)</f>
        <v>0</v>
      </c>
      <c r="H53" s="29">
        <f>I53*(1+'PIECE DENSITIES'!D13)</f>
        <v>0</v>
      </c>
      <c r="I53" s="51">
        <f>C13*'COVERAGE FACTORS'!E40</f>
        <v>0</v>
      </c>
      <c r="J53" s="113"/>
      <c r="K53" s="23" t="s">
        <v>70</v>
      </c>
      <c r="L53"/>
      <c r="M53" s="29">
        <f>N53</f>
        <v>22.234831506988115</v>
      </c>
      <c r="N53" s="51">
        <f>C13*'COVERAGE FACTORS'!E44</f>
        <v>22.234831506988115</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0.45892391057901505</v>
      </c>
      <c r="B57" s="199">
        <f>C57*(1+'ACCEPT RATES'!F16+'PIECE DENSITIES'!D8)</f>
        <v>7.4865655970422091</v>
      </c>
      <c r="C57" s="198">
        <f>(D31+D43)*('COVERAGE FACTORS'!E38+'COVERAGE FACTORS'!E42)</f>
        <v>7.4063398916784102</v>
      </c>
      <c r="G57" s="210">
        <f>IF(SUM(C11:C16)&gt;0,H57*(1-'ACCEPT RATES'!C21),H57*(1-'ACCEPT RATES'!D21))</f>
        <v>0</v>
      </c>
      <c r="H57" s="209">
        <f>I57*(1+'PIECE DENSITIES'!D13)</f>
        <v>0</v>
      </c>
      <c r="I57" s="208">
        <f>(D31+D43)*'COVERAGE FACTORS'!E40+(J31+J43)*('COVERAGE FACTORS'!E40+'COVERAGE FACTORS'!E42)</f>
        <v>0</v>
      </c>
      <c r="J57" s="58"/>
      <c r="L57"/>
      <c r="M57" s="102">
        <f>N57</f>
        <v>272.41252364380034</v>
      </c>
      <c r="N57" s="101">
        <f>D51+J51+O31+O43+(D31+D43)*'COVERAGE FACTORS'!E44+(J31+J43)*(1-('COVERAGE FACTORS'!E40+'COVERAGE FACTORS'!E42))</f>
        <v>272.41252364380034</v>
      </c>
      <c r="P57" s="20"/>
      <c r="Q57" s="109"/>
      <c r="S57" s="20"/>
      <c r="U57" s="20"/>
      <c r="Y57"/>
      <c r="Z57"/>
      <c r="AA57"/>
      <c r="AB57"/>
      <c r="AC57"/>
      <c r="AD57"/>
    </row>
    <row r="58" spans="1:30" ht="13" x14ac:dyDescent="0.3">
      <c r="A58" s="114"/>
      <c r="C58" s="98"/>
      <c r="D58" s="196">
        <f>(SUM(C53:C57)-D51)*'PIECE DENSITIES'!E8</f>
        <v>683.74066037189209</v>
      </c>
      <c r="E58" s="24" t="s">
        <v>124</v>
      </c>
      <c r="G58" s="114"/>
      <c r="I58" s="99"/>
      <c r="J58" s="201">
        <f>(SUM(I53:I57)-J51)*'PIECE DENSITIES'!E13</f>
        <v>0</v>
      </c>
      <c r="K58" s="24" t="s">
        <v>125</v>
      </c>
      <c r="L58"/>
      <c r="M58" s="20"/>
      <c r="O58" s="96">
        <f>SUM(N53:N57)*'PIECE DENSITIES'!E18</f>
        <v>77.864649959456301</v>
      </c>
      <c r="P58" s="24" t="s">
        <v>126</v>
      </c>
      <c r="Q58" s="109"/>
      <c r="S58" s="20"/>
      <c r="U58" s="20"/>
      <c r="Y58"/>
      <c r="Z58"/>
      <c r="AA58"/>
      <c r="AB58"/>
      <c r="AC58"/>
      <c r="AD58"/>
    </row>
    <row r="59" spans="1:30" ht="13" x14ac:dyDescent="0.3">
      <c r="A59" s="114"/>
      <c r="C59" s="98"/>
      <c r="D59" s="196">
        <f>(SUM(C53:C57)-D51)*'PIECE DENSITIES'!F8</f>
        <v>221.98644492573962</v>
      </c>
      <c r="E59" s="24" t="s">
        <v>127</v>
      </c>
      <c r="G59" s="114"/>
      <c r="I59" s="99"/>
      <c r="J59" s="201">
        <f>(SUM(I53:I57)-J51)*'PIECE DENSITIES'!F13</f>
        <v>0</v>
      </c>
      <c r="K59" s="24" t="s">
        <v>128</v>
      </c>
      <c r="L59"/>
      <c r="M59" s="20"/>
      <c r="O59" s="96">
        <f>SUM(N53:N57)*'PIECE DENSITIES'!F18</f>
        <v>12.221012287231806</v>
      </c>
      <c r="P59" s="24" t="s">
        <v>129</v>
      </c>
      <c r="Q59" s="109"/>
      <c r="S59" s="20"/>
      <c r="U59" s="20"/>
      <c r="Y59"/>
      <c r="Z59"/>
      <c r="AA59"/>
      <c r="AB59"/>
      <c r="AC59"/>
      <c r="AD59"/>
    </row>
    <row r="60" spans="1:30" ht="13" x14ac:dyDescent="0.3">
      <c r="A60" s="114"/>
      <c r="C60" s="89"/>
      <c r="D60" s="197">
        <f>(SUM(C53:C57)-D51)*'PIECE DENSITIES'!G8</f>
        <v>2531.1789581617813</v>
      </c>
      <c r="E60" s="24" t="s">
        <v>130</v>
      </c>
      <c r="G60" s="114"/>
      <c r="I60" s="94"/>
      <c r="J60" s="202">
        <f>(SUM(I53:I57)-J51)*'PIECE DENSITIES'!G13</f>
        <v>0</v>
      </c>
      <c r="K60" s="24" t="s">
        <v>288</v>
      </c>
      <c r="L60"/>
      <c r="M60" s="20"/>
      <c r="N60" s="46"/>
      <c r="O60" s="97">
        <f>SUM(N53:N57)*'PIECE DENSITIES'!G18</f>
        <v>204.5616929041004</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243.99836896768437</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257.74096776096468</v>
      </c>
      <c r="B64" s="29">
        <f>C64*(1+'ACCEPT RATES'!F17+'PIECE DENSITIES'!E9)</f>
        <v>4204.6069461777934</v>
      </c>
      <c r="C64" s="51">
        <f>C14*('COVERAGE FACTORS'!E38+'COVERAGE FACTORS'!E42)</f>
        <v>3958.8829610465973</v>
      </c>
      <c r="E64" s="24" t="s">
        <v>70</v>
      </c>
      <c r="G64" s="217">
        <f>H64*(1-'ACCEPT RATES'!C22)</f>
        <v>0</v>
      </c>
      <c r="H64" s="29">
        <f>I64*(1+'PIECE DENSITIES'!E14)</f>
        <v>0</v>
      </c>
      <c r="I64" s="51">
        <f>C14*'COVERAGE FACTORS'!E40</f>
        <v>0</v>
      </c>
      <c r="J64" s="113"/>
      <c r="K64" s="23" t="s">
        <v>70</v>
      </c>
      <c r="L64"/>
      <c r="M64" s="29">
        <f>N64</f>
        <v>23.781818681952977</v>
      </c>
      <c r="N64" s="51">
        <f>C14*'COVERAGE FACTORS'!E44</f>
        <v>23.781818681952977</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44.474865919134501</v>
      </c>
      <c r="B68" s="211">
        <f>C68*(1+'ACCEPT RATES'!F17+'PIECE DENSITIES'!E9)</f>
        <v>725.53204016579446</v>
      </c>
      <c r="C68" s="212">
        <f>(D32+D44+D58)*('COVERAGE FACTORS'!E38+'COVERAGE FACTORS'!E42)</f>
        <v>683.13078208577997</v>
      </c>
      <c r="G68" s="205">
        <f>IF(SUM(C11:C16)&gt;0, H68*(1-'ACCEPT RATES'!C22),H68*(1-'ACCEPT RATES'!D22))</f>
        <v>0</v>
      </c>
      <c r="H68" s="204">
        <f>I68*(1+'PIECE DENSITIES'!E14)</f>
        <v>0</v>
      </c>
      <c r="I68" s="203">
        <f>(D32+D44+D58)*'COVERAGE FACTORS'!E40+(J32+J44+J58)*('COVERAGE FACTORS'!E40+'COVERAGE FACTORS'!E42)</f>
        <v>0</v>
      </c>
      <c r="J68" s="58"/>
      <c r="L68"/>
      <c r="M68" s="102">
        <f>N68</f>
        <v>326.12718781639916</v>
      </c>
      <c r="N68" s="101">
        <f>D62+J62+O32+O44+O58+(D32+D44+D58)*'COVERAGE FACTORS'!E44+(J32+J44+J58)*(1-('COVERAGE FACTORS'!E40+'COVERAGE FACTORS'!E42))</f>
        <v>326.12718781639916</v>
      </c>
      <c r="P68" s="20"/>
      <c r="Q68" s="109"/>
      <c r="S68" s="20"/>
      <c r="U68" s="20"/>
      <c r="Y68"/>
      <c r="Z68"/>
      <c r="AA68"/>
      <c r="AB68"/>
      <c r="AC68"/>
      <c r="AD68"/>
    </row>
    <row r="69" spans="1:30" ht="13" x14ac:dyDescent="0.3">
      <c r="A69" s="114"/>
      <c r="C69" s="98"/>
      <c r="D69" s="196">
        <f>(SUM(C64:C68)-D62)*'PIECE DENSITIES'!F9</f>
        <v>98.39227360601646</v>
      </c>
      <c r="E69" s="24" t="s">
        <v>127</v>
      </c>
      <c r="G69" s="114"/>
      <c r="I69" s="99"/>
      <c r="J69" s="201">
        <f>(SUM(I64:I68)-J62)*'PIECE DENSITIES'!F14</f>
        <v>0</v>
      </c>
      <c r="K69" s="24" t="s">
        <v>128</v>
      </c>
      <c r="L69"/>
      <c r="M69" s="20"/>
      <c r="O69" s="96">
        <f>SUM(N64:N68)*'PIECE DENSITIES'!F19</f>
        <v>9.0513860082241795</v>
      </c>
      <c r="P69" s="24" t="s">
        <v>129</v>
      </c>
      <c r="Q69" s="109"/>
      <c r="S69" s="20"/>
      <c r="U69" s="20"/>
      <c r="Y69"/>
      <c r="Z69"/>
      <c r="AA69"/>
      <c r="AB69"/>
      <c r="AC69"/>
      <c r="AD69"/>
    </row>
    <row r="70" spans="1:30" ht="13" x14ac:dyDescent="0.3">
      <c r="A70" s="114"/>
      <c r="C70" s="98"/>
      <c r="D70" s="196">
        <f>(SUM(C64:C68)-D62)*'PIECE DENSITIES'!G9</f>
        <v>4299.623100558676</v>
      </c>
      <c r="E70" s="24" t="s">
        <v>130</v>
      </c>
      <c r="G70" s="114"/>
      <c r="I70" s="99"/>
      <c r="J70" s="201">
        <f>(SUM(I64:I68)-J62)*'PIECE DENSITIES'!G14</f>
        <v>0</v>
      </c>
      <c r="K70" s="24" t="s">
        <v>288</v>
      </c>
      <c r="L70"/>
      <c r="M70" s="20"/>
      <c r="O70" s="96">
        <f>SUM(N64:N68)*'PIECE DENSITIES'!G19</f>
        <v>340.857620490128</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15.959501690006139</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19.767403072284278</v>
      </c>
      <c r="B78" s="211">
        <f>C78*(1+'ACCEPT RATES'!F17)</f>
        <v>322.47166986159863</v>
      </c>
      <c r="C78" s="212">
        <f>(D33+D45+D59+D69)*('COVERAGE FACTORS'!E38+'COVERAGE FACTORS'!E42)</f>
        <v>319.36509204945753</v>
      </c>
      <c r="G78" s="205">
        <f>IF(SUM(C11:C16)&gt;0,H78*(1-'ACCEPT RATES'!C22),H78*(1-'ACCEPT RATES'!D22))</f>
        <v>0</v>
      </c>
      <c r="H78" s="204">
        <f>I78</f>
        <v>0</v>
      </c>
      <c r="I78" s="203">
        <f>(D33+D45+D59+D69)*'COVERAGE FACTORS'!E40+(J33+J45+J59+J69)*('COVERAGE FACTORS'!E40+'COVERAGE FACTORS'!E42)</f>
        <v>0</v>
      </c>
      <c r="J78" s="58"/>
      <c r="L78"/>
      <c r="M78" s="102">
        <f>N78</f>
        <v>39.200707952511522</v>
      </c>
      <c r="N78" s="294">
        <f>D72+J72+O33+O45+O59+O69+(D33+D45+D59+D69)*'COVERAGE FACTORS'!E44+(J33+J45+J59+J69)*(1-('COVERAGE FACTORS'!E40+'COVERAGE FACTORS'!E42))+D106</f>
        <v>39.200707952511522</v>
      </c>
      <c r="P78" s="20"/>
      <c r="Q78" s="109"/>
      <c r="S78" s="20"/>
      <c r="U78" s="20"/>
      <c r="Y78"/>
      <c r="Z78"/>
      <c r="AA78"/>
      <c r="AB78"/>
      <c r="AC78"/>
      <c r="AD78"/>
    </row>
    <row r="79" spans="1:30" ht="13" x14ac:dyDescent="0.3">
      <c r="A79" s="114"/>
      <c r="C79" s="98"/>
      <c r="D79" s="196">
        <f>SUM(C74:C78)-D72</f>
        <v>303.40559035945137</v>
      </c>
      <c r="E79" s="24" t="s">
        <v>130</v>
      </c>
      <c r="G79" s="114"/>
      <c r="I79" s="99"/>
      <c r="J79" s="201">
        <f>SUM(I74:I78)-J72</f>
        <v>0</v>
      </c>
      <c r="K79" s="24" t="s">
        <v>288</v>
      </c>
      <c r="L79"/>
      <c r="M79" s="20"/>
      <c r="O79" s="96">
        <f>SUM(N74:N78)</f>
        <v>39.200707952511522</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452.37104623686253</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140.3403503041099</v>
      </c>
      <c r="B83" s="29">
        <f>C83*(1+'ACCEPT RATES'!F17)</f>
        <v>2289.414899167044</v>
      </c>
      <c r="C83" s="51">
        <f>C16*('COVERAGE FACTORS'!E54+'COVERAGE FACTORS'!E58+(1-'COVERAGE FACTORS'!B119)*'COVERAGE FACTORS'!E52)</f>
        <v>2267.3594871936757</v>
      </c>
      <c r="E83" s="24" t="s">
        <v>70</v>
      </c>
      <c r="G83" s="217">
        <v>0</v>
      </c>
      <c r="H83" s="29">
        <f>I83</f>
        <v>0</v>
      </c>
      <c r="I83" s="51">
        <f>C16*'COVERAGE FACTORS'!E56</f>
        <v>0</v>
      </c>
      <c r="J83" s="113"/>
      <c r="K83" s="23" t="s">
        <v>70</v>
      </c>
      <c r="L83"/>
      <c r="M83" s="29">
        <f>N83</f>
        <v>13.620491623978372</v>
      </c>
      <c r="N83" s="51">
        <f>C16*'COVERAGE FACTORS'!E60</f>
        <v>13.620491623978372</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419.96541505663612</v>
      </c>
      <c r="B87" s="211">
        <f>C87*(1+'ACCEPT RATES'!F17)</f>
        <v>6851.0237881127578</v>
      </c>
      <c r="C87" s="212">
        <f>(D34+D46+D60+D70+D79)*('COVERAGE FACTORS'!E54+'COVERAGE FACTORS'!E58+(1-'COVERAGE FACTORS'!B119)*'COVERAGE FACTORS'!E52)*'COVERAGE FACTORS'!E104</f>
        <v>6785.0234523321396</v>
      </c>
      <c r="G87" s="205">
        <v>0</v>
      </c>
      <c r="H87" s="204">
        <f>I87</f>
        <v>0</v>
      </c>
      <c r="I87" s="203">
        <f>(D34+D46+D60+D70+D79)*'COVERAGE FACTORS'!E56*'COVERAGE FACTORS'!E104+(J34+J46+J60+J70+J79)*('COVERAGE FACTORS'!E56+'COVERAGE FACTORS'!E58)*'COVERAGE FACTORS'!E104</f>
        <v>0</v>
      </c>
      <c r="J87" s="213"/>
      <c r="L87"/>
      <c r="M87" s="102">
        <f>N87</f>
        <v>1386.3676150870849</v>
      </c>
      <c r="N87" s="294">
        <f>D81+J81+(O34+O46+O60+O70+O79)+(D34+D46+D60+D70+D79)*'COVERAGE FACTORS'!E106+(J34+J46+J60+J70+J79)*(1-('COVERAGE FACTORS'!E56+'COVERAGE FACTORS'!E58)*'COVERAGE FACTORS'!E104)+D120</f>
        <v>1386.3676150870849</v>
      </c>
      <c r="P87" s="20"/>
      <c r="Q87" s="109"/>
      <c r="S87" s="20"/>
      <c r="U87" s="20"/>
      <c r="Y87"/>
      <c r="Z87"/>
      <c r="AA87"/>
      <c r="AB87"/>
      <c r="AC87"/>
      <c r="AD87"/>
    </row>
    <row r="88" spans="1:30" ht="13" x14ac:dyDescent="0.3">
      <c r="A88" s="114"/>
      <c r="C88" s="98"/>
      <c r="D88" s="103">
        <f>SUM(C83:C87)-D81</f>
        <v>8600.0118932889527</v>
      </c>
      <c r="E88" s="24"/>
      <c r="G88" s="218"/>
      <c r="H88" s="214"/>
      <c r="I88" s="214"/>
      <c r="J88" s="215">
        <f>SUM(I83:I87)-J81</f>
        <v>0</v>
      </c>
      <c r="K88" s="24"/>
      <c r="L88"/>
      <c r="M88" s="20"/>
      <c r="O88" s="216">
        <f>SUM(N83:N87)</f>
        <v>1399.9881067110632</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SUM(A95:A99)*(1-'ACCEPT RATES'!G24)+SUM(B95:B99)*'ACCEPT RATES'!J24</f>
        <v>0</v>
      </c>
      <c r="E93" s="282">
        <f>SUM(B95:B98)*'ACCEPT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FACTORS'!E52*'COVERAGE FACTORS'!B119</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B99*(1-'ACCEPT RATES'!C24)</f>
        <v>0</v>
      </c>
      <c r="B99" s="244">
        <f>C99*(1+'ACCEPT RATES'!F17)</f>
        <v>0</v>
      </c>
      <c r="C99" s="287">
        <f>(D16+D34+D46+D60+D70+D79)*'COVERAGE FACTORS'!E52*'COVERAGE FACTORS'!B119*'COVERAGE FACTORS'!E104+D114</f>
        <v>0</v>
      </c>
    </row>
    <row r="100" spans="1:11" x14ac:dyDescent="0.25">
      <c r="D100" s="242">
        <f>SUM(C95:C99)-D93-E93</f>
        <v>0</v>
      </c>
    </row>
    <row r="101" spans="1:11" ht="13" x14ac:dyDescent="0.3">
      <c r="D101" s="23" t="s">
        <v>369</v>
      </c>
    </row>
    <row r="105" spans="1:11" ht="13" x14ac:dyDescent="0.3">
      <c r="D105" s="23"/>
    </row>
    <row r="106" spans="1:11" ht="13" x14ac:dyDescent="0.3">
      <c r="A106" s="114"/>
      <c r="D106" s="285">
        <f>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B112*(1-'ACCEPT RATES'!$C$17)</f>
        <v>0</v>
      </c>
      <c r="B112" s="289">
        <f>C112*(1+'ACCEPT RATES'!$F$17)</f>
        <v>0</v>
      </c>
      <c r="C112" s="290">
        <f>E93</f>
        <v>0</v>
      </c>
      <c r="G112" s="482"/>
      <c r="H112" s="482"/>
      <c r="I112" s="482"/>
      <c r="J112" s="482"/>
      <c r="K112" s="482"/>
    </row>
    <row r="113" spans="1:11" ht="13" x14ac:dyDescent="0.3">
      <c r="A113" s="114"/>
      <c r="C113" s="120"/>
      <c r="D113" s="293">
        <f>($C$112-$D$106)*(1-'COVERAGE FACTORS'!$E$80)</f>
        <v>0</v>
      </c>
      <c r="E113" s="24" t="s">
        <v>130</v>
      </c>
      <c r="G113" s="482"/>
      <c r="H113" s="482"/>
      <c r="I113" s="482"/>
      <c r="J113" s="482"/>
      <c r="K113" s="482"/>
    </row>
    <row r="114" spans="1:11" ht="13" x14ac:dyDescent="0.3">
      <c r="A114" s="114"/>
      <c r="C114" s="120"/>
      <c r="D114" s="293">
        <f>($C$112-$D$106)*'COVERAGE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B126*(1-'ACCEPT RATES'!$C$17)</f>
        <v>0</v>
      </c>
      <c r="B126" s="289">
        <f>C126*(1+'ACCEPT RATES'!$F$17)</f>
        <v>0</v>
      </c>
      <c r="C126" s="290">
        <f>$D$93+$D$113</f>
        <v>0</v>
      </c>
    </row>
    <row r="127" spans="1:11" ht="13" x14ac:dyDescent="0.3">
      <c r="A127" s="122"/>
      <c r="C127" s="120"/>
      <c r="D127" s="292">
        <f>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worksheet>
</file>

<file path=xl/worksheets/sheet4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5">
    <pageSetUpPr fitToPage="1"/>
  </sheetPr>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348</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'3D NONAUTO COST'!C11</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C11*J11/'3D AUTO MODEL REV'!$G$6</f>
        <v>0</v>
      </c>
    </row>
    <row r="12" spans="1:11" ht="13" x14ac:dyDescent="0.3">
      <c r="A12" s="36"/>
      <c r="B12" t="s">
        <v>529</v>
      </c>
      <c r="C12" s="151">
        <f>'3D NONAUTO COST'!C12</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C12*J12/'3D AUTO MODEL REV'!$G$6</f>
        <v>0</v>
      </c>
    </row>
    <row r="13" spans="1:11" ht="13" x14ac:dyDescent="0.3">
      <c r="A13" s="36"/>
      <c r="B13" t="s">
        <v>70</v>
      </c>
      <c r="C13" s="151">
        <f>'3D NONAUTO COST'!C13</f>
        <v>43.487454050286303</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C13*J13/'3D AUTO MODEL REV'!$G$6</f>
        <v>8.8205236831011502E-2</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'3D NONAUTO COST'!C16</f>
        <v>36.080739442985667</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C16*J16/'3D AUTO MODEL REV'!$G$6</f>
        <v>0.13626055698305697</v>
      </c>
    </row>
    <row r="17" spans="1:11" ht="13" x14ac:dyDescent="0.3">
      <c r="A17" s="1"/>
      <c r="B17" t="s">
        <v>529</v>
      </c>
      <c r="C17" s="151">
        <f>'3D NONAUTO COST'!C17</f>
        <v>43.615733695457017</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C17*J17/'3D AUTO MODEL REV'!$G$6</f>
        <v>0.19052434724934203</v>
      </c>
    </row>
    <row r="18" spans="1:11" ht="13" x14ac:dyDescent="0.3">
      <c r="A18" s="1"/>
      <c r="B18" t="s">
        <v>70</v>
      </c>
      <c r="C18" s="151">
        <f>'3D NONAUTO COST'!C18</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C18*J18/'3D AUTO MODEL REV'!$G$6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'3D NONAUTO COST'!C21</f>
        <v>154.19594159077212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C21*J21/'3D AUTO MODEL REV'!$G$6</f>
        <v>0.58232800131179607</v>
      </c>
    </row>
    <row r="22" spans="1:11" ht="13" x14ac:dyDescent="0.3">
      <c r="A22" s="1"/>
      <c r="B22" t="s">
        <v>529</v>
      </c>
      <c r="C22" s="151">
        <f>'3D NONAUTO COST'!C22</f>
        <v>186.39776316033394</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C22*J22/'3D AUTO MODEL REV'!$G$6</f>
        <v>0.81423168076980257</v>
      </c>
    </row>
    <row r="23" spans="1:11" ht="13" x14ac:dyDescent="0.3">
      <c r="A23" s="1"/>
      <c r="B23" t="s">
        <v>70</v>
      </c>
      <c r="C23" s="151">
        <f>'3D NONAUTO COST'!C23</f>
        <v>9.822334654422832</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C23*J23/'3D AUTO MODEL REV'!$G$6</f>
        <v>1.9922558663125818E-2</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'3D NONAUTO COST'!C26</f>
        <v>1.5488765427053707E-3</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C26*J26/'3D AUTO MODEL REV'!$G$6</f>
        <v>5.8494028577359183E-6</v>
      </c>
    </row>
    <row r="27" spans="1:11" ht="13" x14ac:dyDescent="0.3">
      <c r="A27" s="1"/>
      <c r="B27" t="s">
        <v>529</v>
      </c>
      <c r="C27" s="151">
        <f>'3D NONAUTO COST'!C27</f>
        <v>1.8723393105767076E-3</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C27*J27/'3D AUTO MODEL REV'!$G$6</f>
        <v>8.1788426962554264E-6</v>
      </c>
    </row>
    <row r="28" spans="1:11" ht="13" x14ac:dyDescent="0.3">
      <c r="A28" s="1"/>
      <c r="B28" t="s">
        <v>70</v>
      </c>
      <c r="C28" s="151">
        <f>'3D NONAUTO COST'!C28</f>
        <v>0.33870036947492571</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C28*J28/'3D AUTO MODEL REV'!$G$6</f>
        <v>9.5681816087805796E-4</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SUM('3D AUTO MODEL REV'!$B$25:$B$29)</f>
        <v>5.8400471303969921</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C31*J31/'3D AUTO MODEL REV'!$G$6</f>
        <v>2.9881632726313423E-3</v>
      </c>
    </row>
    <row r="32" spans="1:11" ht="13" x14ac:dyDescent="0.3">
      <c r="A32" s="36"/>
      <c r="B32" t="s">
        <v>244</v>
      </c>
      <c r="C32" s="2">
        <f>SUM('3D AUTO MODEL REV'!$A$25:$A$29)</f>
        <v>0.35799289170810322</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C32*J32/'3D AUTO MODEL REV'!$G$6</f>
        <v>2.6995134995181199E-4</v>
      </c>
    </row>
    <row r="33" spans="1:11" ht="13" x14ac:dyDescent="0.3">
      <c r="A33" s="36"/>
      <c r="B33" t="s">
        <v>291</v>
      </c>
      <c r="C33" s="2">
        <f>SUM('3D AUTO MODEL REV'!$H$25:$H$29)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C33*J33/'3D AUTO MODEL REV'!$G$6</f>
        <v>0</v>
      </c>
    </row>
    <row r="34" spans="1:11" x14ac:dyDescent="0.25">
      <c r="B34" t="s">
        <v>292</v>
      </c>
      <c r="C34" s="2">
        <f>SUM('3D AUTO MODEL REV'!$G$25:$G$29)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C34*J34/'3D AUTO MODEL REV'!$G$6</f>
        <v>0</v>
      </c>
    </row>
    <row r="35" spans="1:11" x14ac:dyDescent="0.25">
      <c r="B35" t="s">
        <v>70</v>
      </c>
      <c r="C35" s="2">
        <f>SUM('3D AUTO MODEL REV'!$M$25:$M$29)</f>
        <v>0.28288003455531519</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C35*J35/'3D AUTO MODEL REV'!$G$6</f>
        <v>3.056452333680443E-4</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SUM('3D AUTO MODEL REV'!$B$38:$B$42)</f>
        <v>0.72045363423807052</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C38*J38/'3D AUTO MODEL REV'!$G$6</f>
        <v>2.5561902234497484E-4</v>
      </c>
    </row>
    <row r="39" spans="1:11" ht="13" x14ac:dyDescent="0.3">
      <c r="A39" s="36"/>
      <c r="B39" t="s">
        <v>244</v>
      </c>
      <c r="C39" s="2">
        <f>SUM('3D AUTO MODEL REV'!$A$38:$A$42)</f>
        <v>4.4163561372657346E-2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C39*J39/'3D AUTO MODEL REV'!$G$6</f>
        <v>3.3302373559275595E-5</v>
      </c>
    </row>
    <row r="40" spans="1:11" x14ac:dyDescent="0.25">
      <c r="B40" t="s">
        <v>291</v>
      </c>
      <c r="C40" s="2">
        <f>SUM('3D AUTO MODEL REV'!$H$38:$H$42)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C40*J40/'3D AUTO MODEL REV'!$G$6</f>
        <v>0</v>
      </c>
    </row>
    <row r="41" spans="1:11" x14ac:dyDescent="0.25">
      <c r="B41" t="s">
        <v>292</v>
      </c>
      <c r="C41" s="2">
        <f>SUM('3D AUTO MODEL REV'!$G$38:$G$42)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C41*J41/'3D AUTO MODEL REV'!$G$6</f>
        <v>0</v>
      </c>
    </row>
    <row r="42" spans="1:11" x14ac:dyDescent="0.25">
      <c r="B42" t="s">
        <v>70</v>
      </c>
      <c r="C42" s="2">
        <f>SUM('3D AUTO MODEL REV'!$M$38:$M$42)</f>
        <v>9.2092152854983747E-2</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C42*J42/'3D AUTO MODEL REV'!$G$6</f>
        <v>1.2579632307165351E-4</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SUM('3D AUTO MODEL REV'!$B$53:$B$57)</f>
        <v>426.01561393782424</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C45*J45/'3D AUTO MODEL REV'!$G$6</f>
        <v>0.21791629266183296</v>
      </c>
    </row>
    <row r="46" spans="1:11" ht="13" x14ac:dyDescent="0.3">
      <c r="A46" s="36"/>
      <c r="B46" t="s">
        <v>244</v>
      </c>
      <c r="C46" s="2">
        <f>SUM('3D AUTO MODEL REV'!$A$53:$A$57)</f>
        <v>26.114611430548049</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C46*J46/'3D AUTO MODEL REV'!$G$6</f>
        <v>1.9692219517284608E-2</v>
      </c>
    </row>
    <row r="47" spans="1:11" x14ac:dyDescent="0.25">
      <c r="B47" t="s">
        <v>291</v>
      </c>
      <c r="C47" s="2">
        <f>SUM('3D AUTO MODEL REV'!$H$53:$H$57)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C47*J47/'3D AUTO MODEL REV'!$G$6</f>
        <v>0</v>
      </c>
    </row>
    <row r="48" spans="1:11" x14ac:dyDescent="0.25">
      <c r="B48" t="s">
        <v>292</v>
      </c>
      <c r="C48" s="2">
        <f>SUM('3D AUTO MODEL REV'!$G$53:$G$57)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C48*J48/'3D AUTO MODEL REV'!$G$6</f>
        <v>0</v>
      </c>
    </row>
    <row r="49" spans="1:11" x14ac:dyDescent="0.25">
      <c r="B49" t="s">
        <v>70</v>
      </c>
      <c r="C49" s="2">
        <f>SUM('3D AUTO MODEL REV'!$M$53:$M$57)</f>
        <v>33.654476671260468</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C49*J49/'3D AUTO MODEL REV'!$G$6</f>
        <v>3.2547979887981818E-2</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SUM('3D AUTO MODEL REV'!$B$64:$B$68)</f>
        <v>8761.6280336094969</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C52*J52/'3D AUTO MODEL REV'!$G$6</f>
        <v>3.3998251575228839</v>
      </c>
    </row>
    <row r="53" spans="1:11" ht="13" x14ac:dyDescent="0.3">
      <c r="A53" s="36"/>
      <c r="B53" t="s">
        <v>244</v>
      </c>
      <c r="C53" s="2">
        <f>SUM('3D AUTO MODEL REV'!$A$64:$A$68)</f>
        <v>537.08480184978021</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C53*J53/'3D AUTO MODEL REV'!$G$6</f>
        <v>0.40499901158978185</v>
      </c>
    </row>
    <row r="54" spans="1:11" x14ac:dyDescent="0.25">
      <c r="B54" t="s">
        <v>291</v>
      </c>
      <c r="C54" s="2">
        <f>SUM('3D AUTO MODEL REV'!$H$64:$H$68)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C54*J54/'3D AUTO MODEL REV'!$G$6</f>
        <v>0</v>
      </c>
    </row>
    <row r="55" spans="1:11" x14ac:dyDescent="0.25">
      <c r="B55" t="s">
        <v>292</v>
      </c>
      <c r="C55" s="2">
        <f>SUM('3D AUTO MODEL REV'!$G$64:$G$68)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C55*J55/'3D AUTO MODEL REV'!$G$6</f>
        <v>0</v>
      </c>
    </row>
    <row r="56" spans="1:11" x14ac:dyDescent="0.25">
      <c r="B56" t="s">
        <v>70</v>
      </c>
      <c r="C56" s="2">
        <f>SUM('3D AUTO MODEL REV'!$M$64:$M$68)</f>
        <v>492.14651159975273</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C56*J56/'3D AUTO MODEL REV'!$G$6</f>
        <v>0.5491082997832033</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 ca="1">SUM('3D AUTO MODEL REV'!$B$74:$B$78)+SUM('3D AUTO MODEL REV'!$B$108:$B$112)</f>
        <v>201.23525339807404</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C59*J59/'3D AUTO MODEL REV'!$G$6</f>
        <v>0.14490238045875325</v>
      </c>
    </row>
    <row r="60" spans="1:11" ht="13" x14ac:dyDescent="0.3">
      <c r="A60" s="36"/>
      <c r="B60" t="s">
        <v>244</v>
      </c>
      <c r="C60" s="2">
        <f ca="1">SUM('3D AUTO MODEL REV'!$A$74:$A$78)+SUM('3D AUTO MODEL REV'!$A$108:$A$112)</f>
        <v>12.33565220777461</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C60*J60/'3D AUTO MODEL REV'!$G$6</f>
        <v>9.3019332035788292E-3</v>
      </c>
    </row>
    <row r="61" spans="1:11" x14ac:dyDescent="0.25">
      <c r="B61" t="s">
        <v>291</v>
      </c>
      <c r="C61" s="2">
        <f>SUM('3D AUTO MODEL REV'!$H$74:$H$78)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C61*J61/'3D AUTO MODEL REV'!$G$6</f>
        <v>0</v>
      </c>
    </row>
    <row r="62" spans="1:11" x14ac:dyDescent="0.25">
      <c r="B62" t="s">
        <v>292</v>
      </c>
      <c r="C62" s="2">
        <f>SUM('3D AUTO MODEL REV'!$G$74:$G$78)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C62*J62/'3D AUTO MODEL REV'!$G$6</f>
        <v>0</v>
      </c>
    </row>
    <row r="63" spans="1:11" x14ac:dyDescent="0.25">
      <c r="B63" t="s">
        <v>70</v>
      </c>
      <c r="C63" s="2">
        <f ca="1">SUM('3D AUTO MODEL REV'!$M$74:$M$78)</f>
        <v>25.306004485266911</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C63*J63/'3D AUTO MODEL REV'!$G$6</f>
        <v>2.2510460826619758E-2</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 ca="1">SUM('3D AUTO MODEL REV'!$B$83:$B$87)+SUM('3D AUTO MODEL REV'!$B$122:$B$126)</f>
        <v>9154.5045347497744</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C66*J66/'3D AUTO MODEL REV'!$G$6</f>
        <v>3.9638309213132756</v>
      </c>
    </row>
    <row r="67" spans="1:11" ht="13" x14ac:dyDescent="0.3">
      <c r="A67" s="36"/>
      <c r="B67" t="s">
        <v>244</v>
      </c>
      <c r="C67" s="2">
        <f ca="1">SUM('3D AUTO MODEL REV'!$A$83:$A$87)+SUM('3D AUTO MODEL REV'!$A$122:$A$126)</f>
        <v>561.16799699992089</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C67*J67/'3D AUTO MODEL REV'!$G$6</f>
        <v>0.42315940301798477</v>
      </c>
    </row>
    <row r="68" spans="1:11" x14ac:dyDescent="0.25">
      <c r="B68" t="s">
        <v>291</v>
      </c>
      <c r="C68" s="2">
        <f>SUM('3D AUTO MODEL REV'!$H$83:$H$87)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C68*J68/'3D AUTO MODEL REV'!$G$6</f>
        <v>0</v>
      </c>
    </row>
    <row r="69" spans="1:11" x14ac:dyDescent="0.25">
      <c r="B69" t="s">
        <v>292</v>
      </c>
      <c r="C69" s="2">
        <f>SUM('3D AUTO MODEL REV'!$G$83:$G$87)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C69*J69/'3D AUTO MODEL REV'!$G$6</f>
        <v>0</v>
      </c>
    </row>
    <row r="70" spans="1:11" x14ac:dyDescent="0.25">
      <c r="B70" t="s">
        <v>70</v>
      </c>
      <c r="C70" s="2">
        <f ca="1">SUM('3D AUTO MODEL REV'!$M$83:$M$87)</f>
        <v>1386.7538999437995</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C70*J70/'3D AUTO MODEL REV'!$G$6</f>
        <v>1.3750327945832455</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24">
        <v>0</v>
      </c>
      <c r="D73" s="224">
        <v>0</v>
      </c>
      <c r="E73" s="385">
        <v>0</v>
      </c>
      <c r="F73" s="355">
        <v>0</v>
      </c>
      <c r="G73" s="355">
        <v>0</v>
      </c>
      <c r="H73" s="355">
        <v>0</v>
      </c>
      <c r="I73" s="355">
        <v>0</v>
      </c>
      <c r="J73" s="355">
        <v>0</v>
      </c>
      <c r="K73" s="355">
        <f ca="1">C73*$J73/'5D AUTO MODEL'!$G$6</f>
        <v>0</v>
      </c>
    </row>
    <row r="74" spans="1:11" x14ac:dyDescent="0.25">
      <c r="B74" t="s">
        <v>244</v>
      </c>
      <c r="C74" s="224">
        <f ca="1">SUM('3D AUTO MODEL REV'!$A$95:$A$99)</f>
        <v>0</v>
      </c>
      <c r="D74" s="224">
        <f>PRODUCTIVITIES!E16</f>
        <v>888.0117100682927</v>
      </c>
      <c r="E74" s="385">
        <f>'WAGE RATES'!C5</f>
        <v>54.142360316355024</v>
      </c>
      <c r="F74" s="355">
        <f>E74*100/D74</f>
        <v>6.0970322465895403</v>
      </c>
      <c r="G74" s="355">
        <f>PIGGYBACKS!B9</f>
        <v>1.2615773174013249</v>
      </c>
      <c r="H74" s="355">
        <f>'WAGE RATES'!$C$9</f>
        <v>0.9752031228402912</v>
      </c>
      <c r="I74" s="355">
        <f>(H74-1)*F74</f>
        <v>-0.15118735965746419</v>
      </c>
      <c r="J74" s="355">
        <f>F74*G74+I74</f>
        <v>7.540690226104342</v>
      </c>
      <c r="K74" s="355">
        <f ca="1">C74*J74/'3D AUTO MODEL REV'!$G$6</f>
        <v>0</v>
      </c>
    </row>
    <row r="76" spans="1:11" x14ac:dyDescent="0.25">
      <c r="B76" s="155" t="s">
        <v>486</v>
      </c>
      <c r="C76" s="2">
        <f>SUM('3D AUTO MODEL REV'!C64,'3D AUTO MODEL REV'!I64,'3D AUTO MODEL REV'!C74,'3D AUTO MODEL REV'!I74,'3D AUTO MODEL REV'!C83,'3D AUTO MODEL REV'!I83)</f>
        <v>9516.4471327227802</v>
      </c>
      <c r="D76" s="2">
        <f>PRODUCTIVITIES!$C$49*'FY VOLUME NONAUTO'!C63</f>
        <v>2455.4276841308706</v>
      </c>
      <c r="E76" s="38">
        <f>'WAGE RATES'!$C$6</f>
        <v>50.10717457546064</v>
      </c>
      <c r="F76" s="42">
        <f t="shared" ref="F76:F77" si="0">E76*100/D76</f>
        <v>2.0406699370255206</v>
      </c>
      <c r="G76" s="42">
        <f>PIGGYBACKS!$B$13</f>
        <v>1.6305774272183733</v>
      </c>
      <c r="H76" s="42">
        <f>'WAGE RATES'!$C$9</f>
        <v>0.9752031228402912</v>
      </c>
      <c r="I76" s="42">
        <f t="shared" ref="I76:I77" si="1">(H76-1)*F76</f>
        <v>-5.0602241751932522E-2</v>
      </c>
      <c r="J76" s="42">
        <f t="shared" ref="J76:J77" si="2">F76*G76+I76</f>
        <v>3.2768680939650205</v>
      </c>
      <c r="K76" s="42">
        <f ca="1">C76*$J76/'5D AUTO MODEL'!$G$6</f>
        <v>3.118414197712418</v>
      </c>
    </row>
    <row r="77" spans="1:11" x14ac:dyDescent="0.25">
      <c r="B77" s="155" t="s">
        <v>491</v>
      </c>
      <c r="C77" s="2">
        <f ca="1">SUM(C31,C33,C34,C38,C40,C41,C45,C47,C48,C52,C54,C55,C59,C61,C62,C66,C68,C69)-C76</f>
        <v>9033.4968037370236</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3.4486365309437867</v>
      </c>
    </row>
    <row r="78" spans="1:11" ht="13.5" thickBot="1" x14ac:dyDescent="0.35">
      <c r="F78" s="42"/>
      <c r="H78" s="42"/>
      <c r="I78" s="42"/>
      <c r="J78" s="42"/>
      <c r="K78" s="41" t="str">
        <f>"(10)"</f>
        <v>(10)</v>
      </c>
    </row>
    <row r="79" spans="1:11" ht="13.5" thickBot="1" x14ac:dyDescent="0.35">
      <c r="F79" s="42"/>
      <c r="H79" s="42"/>
      <c r="I79" s="42"/>
      <c r="J79" s="142" t="s">
        <v>78</v>
      </c>
      <c r="K79" s="143">
        <f ca="1">SUM(K11:K77)</f>
        <v>18.966299288812127</v>
      </c>
    </row>
    <row r="80" spans="1:11" ht="13.5" thickBot="1" x14ac:dyDescent="0.35">
      <c r="J80" s="142" t="s">
        <v>485</v>
      </c>
      <c r="K80" s="143">
        <f ca="1">SUM(K31,K33,K34,K38,K40,K41,K45,K47,K48,K52,K54,K55,K59,K61,K62,K66,K68,K69,K76,K77)</f>
        <v>14.296769262907928</v>
      </c>
    </row>
    <row r="83" spans="1:8" ht="13" x14ac:dyDescent="0.3">
      <c r="A83" s="145" t="str">
        <f>"(1)"</f>
        <v>(1)</v>
      </c>
      <c r="B83" s="1" t="s">
        <v>412</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24</oddFooter>
  </headerFooter>
  <ignoredErrors>
    <ignoredError sqref="E4" numberStoredAsText="1"/>
  </ignoredErrors>
</worksheet>
</file>

<file path=xl/worksheets/sheet4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6"/>
  <dimension ref="A1:AD128"/>
  <sheetViews>
    <sheetView zoomScale="70" zoomScaleNormal="70"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'3D AUTO COST REV'!A1</f>
        <v>3-DIGIT AUTO PRESORT (PRESORT LEVELS HELD CONSTANT)</v>
      </c>
    </row>
    <row r="2" spans="1:30" ht="23" x14ac:dyDescent="0.5">
      <c r="A2" s="57" t="s">
        <v>84</v>
      </c>
    </row>
    <row r="6" spans="1:30" s="228" customFormat="1" ht="18" x14ac:dyDescent="0.4">
      <c r="A6" s="48" t="s">
        <v>85</v>
      </c>
      <c r="B6" s="226"/>
      <c r="C6" s="49">
        <f>SUM(C11:C16)+SUM(G11:G16)+SUM(K11:K16)+SUM(O11:O16)</f>
        <v>10000.000000000002</v>
      </c>
      <c r="D6" s="227"/>
      <c r="E6" s="48" t="s">
        <v>86</v>
      </c>
      <c r="F6" s="226"/>
      <c r="G6" s="49">
        <f ca="1">D88+J88+O88+D100+D127</f>
        <v>10000.000000000016</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'3D NONAUTO MODEL'!G11</f>
        <v>5.7767540831629676</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f>'3D NONAUTO MODEL'!G12</f>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'3D NONAUTO MODEL'!G13</f>
        <v>420.60887121352755</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'3D NONAUTO MODEL'!G14</f>
        <v>8219.8618129486149</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f>'3D NONAUTO MODEL'!G15</f>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'3D NONAUTO MODEL'!G16</f>
        <v>1353.7525617546958</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0.27289433770058996</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0.35799289170810322</v>
      </c>
      <c r="B25" s="29">
        <f>C25*(1+'ACCEPT RATES'!F14)</f>
        <v>5.8400471303969921</v>
      </c>
      <c r="C25" s="51">
        <f>C11*('COVERAGE FACTORS'!E14+'COVERAGE FACTORS'!E18)</f>
        <v>5.766768386308244</v>
      </c>
      <c r="E25" s="24" t="s">
        <v>70</v>
      </c>
      <c r="G25" s="217">
        <f>H25*(1-'ACCEPT RATES'!C19)</f>
        <v>0</v>
      </c>
      <c r="H25" s="29">
        <f>I25</f>
        <v>0</v>
      </c>
      <c r="I25" s="51">
        <f>C11*'COVERAGE FACTORS'!E16</f>
        <v>0</v>
      </c>
      <c r="J25" s="23"/>
      <c r="K25" s="23" t="s">
        <v>70</v>
      </c>
      <c r="L25"/>
      <c r="M25" s="29">
        <f>N25</f>
        <v>9.9856968547252286E-3</v>
      </c>
      <c r="N25" s="51">
        <f>C11*'COVERAGE FACTORS'!E20</f>
        <v>9.9856968547252286E-3</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0.27289433770058996</v>
      </c>
      <c r="N29" s="206">
        <f>D23+J23</f>
        <v>0.27289433770058996</v>
      </c>
      <c r="P29" s="20"/>
      <c r="Q29" s="109"/>
      <c r="S29" s="20"/>
      <c r="U29" s="20"/>
      <c r="Y29"/>
      <c r="Z29"/>
      <c r="AA29"/>
      <c r="AB29"/>
      <c r="AC29"/>
      <c r="AD29"/>
    </row>
    <row r="30" spans="1:30" ht="13" x14ac:dyDescent="0.3">
      <c r="A30" s="114"/>
      <c r="C30" s="98"/>
      <c r="D30" s="196">
        <f>(SUM(C25:C29)-D23)*'PIECE DENSITIES'!C6</f>
        <v>0.70349195453975111</v>
      </c>
      <c r="E30" s="24" t="s">
        <v>290</v>
      </c>
      <c r="G30" s="114"/>
      <c r="I30" s="99"/>
      <c r="J30" s="201">
        <f>(SUM(I25:I29)-J23)*'PIECE DENSITIES'!C11</f>
        <v>0</v>
      </c>
      <c r="K30" s="24" t="s">
        <v>289</v>
      </c>
      <c r="L30"/>
      <c r="M30" s="20"/>
      <c r="O30" s="96">
        <f>SUM(N25:N29)*'PIECE DENSITIES'!C16</f>
        <v>2.531146325209371E-2</v>
      </c>
      <c r="P30" s="24" t="s">
        <v>120</v>
      </c>
      <c r="Q30" s="109"/>
      <c r="S30" s="20"/>
      <c r="U30" s="20"/>
      <c r="Y30"/>
      <c r="Z30"/>
      <c r="AA30"/>
      <c r="AB30"/>
      <c r="AC30"/>
      <c r="AD30"/>
    </row>
    <row r="31" spans="1:30" ht="13" x14ac:dyDescent="0.3">
      <c r="A31" s="114"/>
      <c r="C31" s="98"/>
      <c r="D31" s="196">
        <f>(SUM(C25:C29)-D23)*'PIECE DENSITIES'!D6</f>
        <v>2.8475250800919891</v>
      </c>
      <c r="E31" s="24" t="s">
        <v>121</v>
      </c>
      <c r="G31" s="114"/>
      <c r="I31" s="99"/>
      <c r="J31" s="201">
        <f>(SUM(I25:I29)-J23)*'PIECE DENSITIES'!D11</f>
        <v>0</v>
      </c>
      <c r="K31" s="24" t="s">
        <v>122</v>
      </c>
      <c r="L31"/>
      <c r="M31" s="20"/>
      <c r="O31" s="96">
        <f>SUM(N25:N29)*'PIECE DENSITIES'!D16</f>
        <v>0.16425479204174273</v>
      </c>
      <c r="P31" s="24" t="s">
        <v>123</v>
      </c>
      <c r="Q31" s="109"/>
      <c r="S31" s="20"/>
      <c r="U31" s="20"/>
      <c r="Y31"/>
      <c r="Z31"/>
      <c r="AA31"/>
      <c r="AB31"/>
      <c r="AC31"/>
      <c r="AD31"/>
    </row>
    <row r="32" spans="1:30" ht="13" x14ac:dyDescent="0.3">
      <c r="A32" s="114"/>
      <c r="C32" s="89"/>
      <c r="D32" s="197">
        <f>(SUM(C25:C29)-D23)*'PIECE DENSITIES'!E6</f>
        <v>1.5378658280501767</v>
      </c>
      <c r="E32" s="24" t="s">
        <v>124</v>
      </c>
      <c r="G32" s="114"/>
      <c r="I32" s="94"/>
      <c r="J32" s="202">
        <f>(SUM(I25:I29)-J23)*'PIECE DENSITIES'!E11</f>
        <v>0</v>
      </c>
      <c r="K32" s="24" t="s">
        <v>125</v>
      </c>
      <c r="L32"/>
      <c r="M32" s="20"/>
      <c r="N32" s="46"/>
      <c r="O32" s="97">
        <f>SUM(N25:N29)*'PIECE DENSITIES'!E16</f>
        <v>7.2362712045847863E-2</v>
      </c>
      <c r="P32" s="24" t="s">
        <v>126</v>
      </c>
      <c r="Q32" s="109"/>
      <c r="S32" s="20"/>
      <c r="U32" s="20"/>
      <c r="Y32"/>
      <c r="Z32"/>
      <c r="AA32"/>
      <c r="AB32"/>
      <c r="AC32"/>
      <c r="AD32"/>
    </row>
    <row r="33" spans="1:30" ht="13" x14ac:dyDescent="0.3">
      <c r="A33" s="114"/>
      <c r="C33" s="89"/>
      <c r="D33" s="197">
        <f>(SUM(C25:C29)-D23)*'PIECE DENSITIES'!F6</f>
        <v>0.40499118592573718</v>
      </c>
      <c r="E33" s="24" t="s">
        <v>127</v>
      </c>
      <c r="G33" s="114"/>
      <c r="I33" s="94"/>
      <c r="J33" s="202">
        <f>(SUM(I25:I29)-J23)*'PIECE DENSITIES'!F11</f>
        <v>0</v>
      </c>
      <c r="K33" s="24" t="s">
        <v>128</v>
      </c>
      <c r="L33"/>
      <c r="M33" s="20"/>
      <c r="N33" s="46"/>
      <c r="O33" s="97">
        <f>SUM(N25:N29)*'PIECE DENSITIES'!F16</f>
        <v>2.0951067215630916E-2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6.6780689602890034E-2</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4.4163561372657346E-2</v>
      </c>
      <c r="B42" s="199">
        <f>C42*(1+'ACCEPT RATES'!F15+'PIECE DENSITIES'!C7)</f>
        <v>0.72045363423807052</v>
      </c>
      <c r="C42" s="198">
        <f>D30</f>
        <v>0.70349195453975111</v>
      </c>
      <c r="G42" s="205">
        <f>IF(SUM(C11:C16)&gt;0,H42*(1-'ACCEPT RATES'!C20),H42*(1-'ACCEPT RATES'!D20))</f>
        <v>0</v>
      </c>
      <c r="H42" s="204">
        <f>I42*(1+'PIECE DENSITIES'!C12)</f>
        <v>0</v>
      </c>
      <c r="I42" s="203">
        <f>J30</f>
        <v>0</v>
      </c>
      <c r="J42" s="58"/>
      <c r="L42"/>
      <c r="M42" s="102">
        <f>N42</f>
        <v>9.2092152854983747E-2</v>
      </c>
      <c r="N42" s="101">
        <f>D36+J36+O30</f>
        <v>9.2092152854983747E-2</v>
      </c>
      <c r="P42" s="20"/>
      <c r="Q42" s="109"/>
      <c r="S42" s="20"/>
      <c r="U42" s="20"/>
      <c r="Y42"/>
      <c r="Z42"/>
      <c r="AA42"/>
      <c r="AB42"/>
      <c r="AC42"/>
      <c r="AD42"/>
    </row>
    <row r="43" spans="1:30" ht="13" x14ac:dyDescent="0.3">
      <c r="A43" s="114"/>
      <c r="C43" s="98"/>
      <c r="D43" s="196">
        <f>(SUM(C38:C42)-D36)*'PIECE DENSITIES'!D7</f>
        <v>0.52579213863391294</v>
      </c>
      <c r="E43" s="24" t="s">
        <v>121</v>
      </c>
      <c r="G43" s="114"/>
      <c r="I43" s="99"/>
      <c r="J43" s="201">
        <f>(SUM(I38:I42)-J36)*'PIECE DENSITIES'!D12</f>
        <v>0</v>
      </c>
      <c r="K43" s="24" t="s">
        <v>122</v>
      </c>
      <c r="L43"/>
      <c r="M43" s="20"/>
      <c r="O43" s="96">
        <f>SUM(N38:N42)*'PIECE DENSITIES'!D17</f>
        <v>6.5186842516300469E-2</v>
      </c>
      <c r="P43" s="24" t="s">
        <v>123</v>
      </c>
      <c r="Q43" s="109"/>
      <c r="S43" s="20"/>
      <c r="U43" s="20"/>
      <c r="Y43"/>
      <c r="Z43"/>
      <c r="AA43"/>
      <c r="AB43"/>
      <c r="AC43"/>
      <c r="AD43"/>
    </row>
    <row r="44" spans="1:30" ht="13" x14ac:dyDescent="0.3">
      <c r="A44" s="114"/>
      <c r="C44" s="98"/>
      <c r="D44" s="196">
        <f>(SUM(C38:C42)-D36)*'PIECE DENSITIES'!E7</f>
        <v>4.394286838442079E-2</v>
      </c>
      <c r="E44" s="24" t="s">
        <v>124</v>
      </c>
      <c r="G44" s="114"/>
      <c r="I44" s="99"/>
      <c r="J44" s="201">
        <f>(SUM(I38:I42)-J36)*'PIECE DENSITIES'!E12</f>
        <v>0</v>
      </c>
      <c r="K44" s="24" t="s">
        <v>125</v>
      </c>
      <c r="L44"/>
      <c r="M44" s="20"/>
      <c r="O44" s="96">
        <f>SUM(N38:N42)*'PIECE DENSITIES'!E17</f>
        <v>2.8578383414985792E-4</v>
      </c>
      <c r="P44" s="24" t="s">
        <v>126</v>
      </c>
      <c r="Q44" s="109"/>
      <c r="S44" s="20"/>
      <c r="U44" s="20"/>
      <c r="Y44"/>
      <c r="Z44"/>
      <c r="AA44"/>
      <c r="AB44"/>
      <c r="AC44"/>
      <c r="AD44"/>
    </row>
    <row r="45" spans="1:30" ht="13" x14ac:dyDescent="0.3">
      <c r="A45" s="114"/>
      <c r="C45" s="89"/>
      <c r="D45" s="197">
        <f>(SUM(C38:C42)-D36)*'PIECE DENSITIES'!F7</f>
        <v>4.6807174240379393E-3</v>
      </c>
      <c r="E45" s="24" t="s">
        <v>127</v>
      </c>
      <c r="G45" s="114"/>
      <c r="I45" s="94"/>
      <c r="J45" s="202">
        <f>(SUM(I38:I42)-J36)*'PIECE DENSITIES'!F12</f>
        <v>0</v>
      </c>
      <c r="K45" s="24" t="s">
        <v>128</v>
      </c>
      <c r="L45"/>
      <c r="M45" s="20"/>
      <c r="N45" s="46"/>
      <c r="O45" s="97">
        <f>SUM(N38:N42)*'PIECE DENSITIES'!F17</f>
        <v>1.8294665918412163E-3</v>
      </c>
      <c r="P45" s="24" t="s">
        <v>129</v>
      </c>
      <c r="Q45" s="109"/>
      <c r="S45" s="20"/>
      <c r="U45" s="20"/>
      <c r="Y45"/>
      <c r="Z45"/>
      <c r="AA45"/>
      <c r="AB45"/>
      <c r="AC45"/>
      <c r="AD45"/>
    </row>
    <row r="46" spans="1:30" ht="13" x14ac:dyDescent="0.3">
      <c r="A46" s="114"/>
      <c r="C46" s="89"/>
      <c r="D46" s="197">
        <f>(SUM(C38:C42)-D36)*'PIECE DENSITIES'!G7</f>
        <v>6.229554049448937E-2</v>
      </c>
      <c r="E46" s="24" t="s">
        <v>130</v>
      </c>
      <c r="G46" s="114"/>
      <c r="I46" s="94"/>
      <c r="J46" s="202">
        <f>(SUM(I38:I42)-J36)*'PIECE DENSITIES'!G12</f>
        <v>0</v>
      </c>
      <c r="K46" s="24" t="s">
        <v>288</v>
      </c>
      <c r="L46"/>
      <c r="M46" s="20"/>
      <c r="N46" s="46"/>
      <c r="O46" s="97">
        <f>SUM(N38:N42)*'PIECE DENSITIES'!G17</f>
        <v>2.4790059912692206E-2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30.893296091211582</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25.906836503198523</v>
      </c>
      <c r="B53" s="29">
        <f>C53*(1+'ACCEPT RATES'!F16+'PIECE DENSITIES'!D8)</f>
        <v>422.62611823458155</v>
      </c>
      <c r="C53" s="51">
        <f>C13*('COVERAGE FACTORS'!E38+'COVERAGE FACTORS'!E42)</f>
        <v>418.09727546935835</v>
      </c>
      <c r="E53" s="24" t="s">
        <v>70</v>
      </c>
      <c r="G53" s="217">
        <f>H53*(1-'ACCEPT RATES'!C21)</f>
        <v>0</v>
      </c>
      <c r="H53" s="29">
        <f>I53*(1+'PIECE DENSITIES'!D13)</f>
        <v>0</v>
      </c>
      <c r="I53" s="51">
        <f>C13*'COVERAGE FACTORS'!E40</f>
        <v>0</v>
      </c>
      <c r="J53" s="113"/>
      <c r="K53" s="23" t="s">
        <v>70</v>
      </c>
      <c r="L53"/>
      <c r="M53" s="29">
        <f>N53</f>
        <v>2.5115957441697638</v>
      </c>
      <c r="N53" s="51">
        <f>C13*'COVERAGE FACTORS'!E44</f>
        <v>2.5115957441697638</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0.20777492734952477</v>
      </c>
      <c r="B57" s="199">
        <f>C57*(1+'ACCEPT RATES'!F16+'PIECE DENSITIES'!D8)</f>
        <v>3.389495703242674</v>
      </c>
      <c r="C57" s="198">
        <f>(D31+D43)*('COVERAGE FACTORS'!E38+'COVERAGE FACTORS'!E42)</f>
        <v>3.3531740174048261</v>
      </c>
      <c r="G57" s="210">
        <f>IF(SUM(C11:C16)&gt;0,H57*(1-'ACCEPT RATES'!C21),H57*(1-'ACCEPT RATES'!D21))</f>
        <v>0</v>
      </c>
      <c r="H57" s="209">
        <f>I57*(1+'PIECE DENSITIES'!D13)</f>
        <v>0</v>
      </c>
      <c r="I57" s="208">
        <f>(D31+D43)*'COVERAGE FACTORS'!E40+(J31+J43)*('COVERAGE FACTORS'!E40+'COVERAGE FACTORS'!E42)</f>
        <v>0</v>
      </c>
      <c r="J57" s="58"/>
      <c r="L57"/>
      <c r="M57" s="102">
        <f>N57</f>
        <v>31.142880927090705</v>
      </c>
      <c r="N57" s="101">
        <f>D51+J51+O31+O43+(D31+D43)*'COVERAGE FACTORS'!E44+(J31+J43)*(1-('COVERAGE FACTORS'!E40+'COVERAGE FACTORS'!E42))</f>
        <v>31.142880927090705</v>
      </c>
      <c r="P57" s="20"/>
      <c r="Q57" s="109"/>
      <c r="S57" s="20"/>
      <c r="U57" s="20"/>
      <c r="Y57"/>
      <c r="Z57"/>
      <c r="AA57"/>
      <c r="AB57"/>
      <c r="AC57"/>
      <c r="AD57"/>
    </row>
    <row r="58" spans="1:30" ht="13" x14ac:dyDescent="0.3">
      <c r="A58" s="114"/>
      <c r="C58" s="98"/>
      <c r="D58" s="196">
        <f>(SUM(C53:C57)-D51)*'PIECE DENSITIES'!E8</f>
        <v>77.697731926618999</v>
      </c>
      <c r="E58" s="24" t="s">
        <v>124</v>
      </c>
      <c r="G58" s="114"/>
      <c r="I58" s="99"/>
      <c r="J58" s="201">
        <f>(SUM(I53:I57)-J51)*'PIECE DENSITIES'!E13</f>
        <v>0</v>
      </c>
      <c r="K58" s="24" t="s">
        <v>125</v>
      </c>
      <c r="L58"/>
      <c r="M58" s="20"/>
      <c r="O58" s="96">
        <f>SUM(N53:N57)*'PIECE DENSITIES'!E18</f>
        <v>8.8936622025177279</v>
      </c>
      <c r="P58" s="24" t="s">
        <v>126</v>
      </c>
      <c r="Q58" s="109"/>
      <c r="S58" s="20"/>
      <c r="U58" s="20"/>
      <c r="Y58"/>
      <c r="Z58"/>
      <c r="AA58"/>
      <c r="AB58"/>
      <c r="AC58"/>
      <c r="AD58"/>
    </row>
    <row r="59" spans="1:30" ht="13" x14ac:dyDescent="0.3">
      <c r="A59" s="114"/>
      <c r="C59" s="98"/>
      <c r="D59" s="196">
        <f>(SUM(C53:C57)-D51)*'PIECE DENSITIES'!F8</f>
        <v>25.225709525307511</v>
      </c>
      <c r="E59" s="24" t="s">
        <v>127</v>
      </c>
      <c r="G59" s="114"/>
      <c r="I59" s="99"/>
      <c r="J59" s="201">
        <f>(SUM(I53:I57)-J51)*'PIECE DENSITIES'!F13</f>
        <v>0</v>
      </c>
      <c r="K59" s="24" t="s">
        <v>128</v>
      </c>
      <c r="L59"/>
      <c r="M59" s="20"/>
      <c r="O59" s="96">
        <f>SUM(N53:N57)*'PIECE DENSITIES'!F18</f>
        <v>1.3958780410886362</v>
      </c>
      <c r="P59" s="24" t="s">
        <v>129</v>
      </c>
      <c r="Q59" s="109"/>
      <c r="S59" s="20"/>
      <c r="U59" s="20"/>
      <c r="Y59"/>
      <c r="Z59"/>
      <c r="AA59"/>
      <c r="AB59"/>
      <c r="AC59"/>
      <c r="AD59"/>
    </row>
    <row r="60" spans="1:30" ht="13" x14ac:dyDescent="0.3">
      <c r="A60" s="114"/>
      <c r="C60" s="89"/>
      <c r="D60" s="197">
        <f>(SUM(C53:C57)-D51)*'PIECE DENSITIES'!G8</f>
        <v>287.63371194362509</v>
      </c>
      <c r="E60" s="24" t="s">
        <v>130</v>
      </c>
      <c r="G60" s="114"/>
      <c r="I60" s="94"/>
      <c r="J60" s="202">
        <f>(SUM(I53:I57)-J51)*'PIECE DENSITIES'!G13</f>
        <v>0</v>
      </c>
      <c r="K60" s="24" t="s">
        <v>288</v>
      </c>
      <c r="L60"/>
      <c r="M60" s="20"/>
      <c r="N60" s="46"/>
      <c r="O60" s="97">
        <f>SUM(N53:N57)*'PIECE DENSITIES'!G18</f>
        <v>23.364936427654104</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433.62326206705228</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531.95417031186219</v>
      </c>
      <c r="B64" s="29">
        <f>C64*(1+'ACCEPT RATES'!F17+'PIECE DENSITIES'!E9)</f>
        <v>8677.9304779201138</v>
      </c>
      <c r="C64" s="51">
        <f>C14*('COVERAGE FACTORS'!E38+'COVERAGE FACTORS'!E42)</f>
        <v>8170.7782786724683</v>
      </c>
      <c r="E64" s="24" t="s">
        <v>70</v>
      </c>
      <c r="G64" s="217">
        <f>H64*(1-'ACCEPT RATES'!C22)</f>
        <v>0</v>
      </c>
      <c r="H64" s="29">
        <f>I64*(1+'PIECE DENSITIES'!E14)</f>
        <v>0</v>
      </c>
      <c r="I64" s="51">
        <f>C14*'COVERAGE FACTORS'!E40</f>
        <v>0</v>
      </c>
      <c r="J64" s="113"/>
      <c r="K64" s="23" t="s">
        <v>70</v>
      </c>
      <c r="L64"/>
      <c r="M64" s="29">
        <f>N64</f>
        <v>49.083534276157984</v>
      </c>
      <c r="N64" s="51">
        <f>C14*'COVERAGE FACTORS'!E44</f>
        <v>49.083534276157984</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5.1306315379180072</v>
      </c>
      <c r="B68" s="211">
        <f>C68*(1+'ACCEPT RATES'!F17+'PIECE DENSITIES'!E9)</f>
        <v>83.697555689383393</v>
      </c>
      <c r="C68" s="212">
        <f>(D32+D44+D58)*('COVERAGE FACTORS'!E38+'COVERAGE FACTORS'!E42)</f>
        <v>78.806136064908969</v>
      </c>
      <c r="G68" s="205">
        <f>IF(SUM(C11:C16)&gt;0, H68*(1-'ACCEPT RATES'!C22),H68*(1-'ACCEPT RATES'!D22))</f>
        <v>0</v>
      </c>
      <c r="H68" s="204">
        <f>I68*(1+'PIECE DENSITIES'!E14)</f>
        <v>0</v>
      </c>
      <c r="I68" s="203">
        <f>(D32+D44+D58)*'COVERAGE FACTORS'!E40+(J32+J44+J58)*('COVERAGE FACTORS'!E40+'COVERAGE FACTORS'!E42)</f>
        <v>0</v>
      </c>
      <c r="J68" s="58"/>
      <c r="L68"/>
      <c r="M68" s="102">
        <f>N68</f>
        <v>443.06297732359474</v>
      </c>
      <c r="N68" s="101">
        <f>D62+J62+O32+O44+O58+(D32+D44+D58)*'COVERAGE FACTORS'!E44+(J32+J44+J58)*(1-('COVERAGE FACTORS'!E40+'COVERAGE FACTORS'!E42))</f>
        <v>443.06297732359474</v>
      </c>
      <c r="P68" s="20"/>
      <c r="Q68" s="109"/>
      <c r="S68" s="20"/>
      <c r="U68" s="20"/>
      <c r="Y68"/>
      <c r="Z68"/>
      <c r="AA68"/>
      <c r="AB68"/>
      <c r="AC68"/>
      <c r="AD68"/>
    </row>
    <row r="69" spans="1:30" ht="13" x14ac:dyDescent="0.3">
      <c r="A69" s="114"/>
      <c r="C69" s="98"/>
      <c r="D69" s="196">
        <f>(SUM(C64:C68)-D62)*'PIECE DENSITIES'!F9</f>
        <v>174.85845837307809</v>
      </c>
      <c r="E69" s="24" t="s">
        <v>127</v>
      </c>
      <c r="G69" s="114"/>
      <c r="I69" s="99"/>
      <c r="J69" s="201">
        <f>(SUM(I64:I68)-J62)*'PIECE DENSITIES'!F14</f>
        <v>0</v>
      </c>
      <c r="K69" s="24" t="s">
        <v>128</v>
      </c>
      <c r="L69"/>
      <c r="M69" s="20"/>
      <c r="O69" s="96">
        <f>SUM(N64:N68)*'PIECE DENSITIES'!F19</f>
        <v>12.730761330406963</v>
      </c>
      <c r="P69" s="24" t="s">
        <v>129</v>
      </c>
      <c r="Q69" s="109"/>
      <c r="S69" s="20"/>
      <c r="U69" s="20"/>
      <c r="Y69"/>
      <c r="Z69"/>
      <c r="AA69"/>
      <c r="AB69"/>
      <c r="AC69"/>
      <c r="AD69"/>
    </row>
    <row r="70" spans="1:30" ht="13" x14ac:dyDescent="0.3">
      <c r="A70" s="114"/>
      <c r="C70" s="98"/>
      <c r="D70" s="196">
        <f>(SUM(C64:C68)-D62)*'PIECE DENSITIES'!G9</f>
        <v>7641.1026942972467</v>
      </c>
      <c r="E70" s="24" t="s">
        <v>130</v>
      </c>
      <c r="G70" s="114"/>
      <c r="I70" s="99"/>
      <c r="J70" s="201">
        <f>(SUM(I64:I68)-J62)*'PIECE DENSITIES'!G14</f>
        <v>0</v>
      </c>
      <c r="K70" s="24" t="s">
        <v>288</v>
      </c>
      <c r="L70"/>
      <c r="M70" s="20"/>
      <c r="O70" s="96">
        <f>SUM(N64:N68)*'PIECE DENSITIES'!G19</f>
        <v>479.41575026934578</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9.9593690449575512</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12.33565220777461</v>
      </c>
      <c r="B78" s="211">
        <f>C78*(1+'ACCEPT RATES'!F17)</f>
        <v>201.23525339807404</v>
      </c>
      <c r="C78" s="212">
        <f>(D33+D45+D59+D69)*('COVERAGE FACTORS'!E38+'COVERAGE FACTORS'!E42)</f>
        <v>199.29662426672937</v>
      </c>
      <c r="G78" s="205">
        <f>IF(SUM(C11:C16)&gt;0,H78*(1-'ACCEPT RATES'!C22),H78*(1-'ACCEPT RATES'!D22))</f>
        <v>0</v>
      </c>
      <c r="H78" s="204">
        <f>I78</f>
        <v>0</v>
      </c>
      <c r="I78" s="203">
        <f>(D33+D45+D59+D69)*'COVERAGE FACTORS'!E40+(J33+J45+J59+J69)*('COVERAGE FACTORS'!E40+'COVERAGE FACTORS'!E42)</f>
        <v>0</v>
      </c>
      <c r="J78" s="58"/>
      <c r="L78"/>
      <c r="M78" s="102">
        <f ca="1">N78</f>
        <v>25.306004485266911</v>
      </c>
      <c r="N78" s="294">
        <f ca="1">D72+J72+O33+O45+O59+O69+(D33+D45+D59+D69)*'COVERAGE FACTORS'!E44+(J33+J45+J59+J69)*(1-('COVERAGE FACTORS'!E40+'COVERAGE FACTORS'!E42))+D106</f>
        <v>25.306004485266911</v>
      </c>
      <c r="P78" s="20"/>
      <c r="Q78" s="109"/>
      <c r="S78" s="20"/>
      <c r="U78" s="20"/>
      <c r="Y78"/>
      <c r="Z78"/>
      <c r="AA78"/>
      <c r="AB78"/>
      <c r="AC78"/>
      <c r="AD78"/>
    </row>
    <row r="79" spans="1:30" ht="13" x14ac:dyDescent="0.3">
      <c r="A79" s="114"/>
      <c r="C79" s="98"/>
      <c r="D79" s="196">
        <f>SUM(C74:C78)-D72</f>
        <v>189.33725522177181</v>
      </c>
      <c r="E79" s="24" t="s">
        <v>130</v>
      </c>
      <c r="G79" s="114"/>
      <c r="I79" s="99"/>
      <c r="J79" s="201">
        <f>SUM(I74:I78)-J72</f>
        <v>0</v>
      </c>
      <c r="K79" s="24" t="s">
        <v>288</v>
      </c>
      <c r="L79"/>
      <c r="M79" s="20"/>
      <c r="O79" s="96">
        <f ca="1">SUM(N74:N78)</f>
        <v>25.306004485266911</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453.06718154873266</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83.291440743035253</v>
      </c>
      <c r="B83" s="29">
        <f>C83*(1+'ACCEPT RATES'!F17)</f>
        <v>1358.75865349475</v>
      </c>
      <c r="C83" s="51">
        <f>C16*('COVERAGE FACTORS'!E54+'COVERAGE FACTORS'!E58+(1-'COVERAGE FACTORS'!B119)*'COVERAGE FACTORS'!E52)</f>
        <v>1345.6688540503114</v>
      </c>
      <c r="E83" s="24" t="s">
        <v>70</v>
      </c>
      <c r="G83" s="217">
        <v>0</v>
      </c>
      <c r="H83" s="29">
        <f>I83</f>
        <v>0</v>
      </c>
      <c r="I83" s="51">
        <f>C16*'COVERAGE FACTORS'!E56</f>
        <v>0</v>
      </c>
      <c r="J83" s="113"/>
      <c r="K83" s="23" t="s">
        <v>70</v>
      </c>
      <c r="L83"/>
      <c r="M83" s="29">
        <f>N83</f>
        <v>8.0837077043862795</v>
      </c>
      <c r="N83" s="51">
        <f>C16*'COVERAGE FACTORS'!E60</f>
        <v>8.0837077043862795</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477.87655625688564</v>
      </c>
      <c r="B87" s="211">
        <f>C87*(1+'ACCEPT RATES'!F17)</f>
        <v>7795.7458812550249</v>
      </c>
      <c r="C87" s="212">
        <f>(D34+D46+D60+D70+D79)*('COVERAGE FACTORS'!E54+'COVERAGE FACTORS'!E58+(1-'COVERAGE FACTORS'!B119)*'COVERAGE FACTORS'!E52)*'COVERAGE FACTORS'!E104</f>
        <v>7720.6444275546373</v>
      </c>
      <c r="G87" s="205">
        <v>0</v>
      </c>
      <c r="H87" s="204">
        <f>I87</f>
        <v>0</v>
      </c>
      <c r="I87" s="203">
        <f>(D34+D46+D60+D70+D79)*'COVERAGE FACTORS'!E56*'COVERAGE FACTORS'!E104+(J34+J46+J60+J70+J79)*('COVERAGE FACTORS'!E56+'COVERAGE FACTORS'!E58)*'COVERAGE FACTORS'!E104</f>
        <v>0</v>
      </c>
      <c r="J87" s="213"/>
      <c r="L87"/>
      <c r="M87" s="102">
        <f ca="1">N87</f>
        <v>1378.6701922394132</v>
      </c>
      <c r="N87" s="294">
        <f ca="1">D81+J81+(O34+O46+O60+O70+O79)+(D34+D46+D60+D70+D79)*'COVERAGE FACTORS'!E106+(J34+J46+J60+J70+J79)*(1-('COVERAGE FACTORS'!E56+'COVERAGE FACTORS'!E58)*'COVERAGE FACTORS'!E104)+D120</f>
        <v>1378.6701922394132</v>
      </c>
      <c r="P87" s="20"/>
      <c r="Q87" s="109"/>
      <c r="S87" s="20"/>
      <c r="U87" s="20"/>
      <c r="Y87"/>
      <c r="Z87"/>
      <c r="AA87"/>
      <c r="AB87"/>
      <c r="AC87"/>
      <c r="AD87"/>
    </row>
    <row r="88" spans="1:30" ht="13" x14ac:dyDescent="0.3">
      <c r="A88" s="114"/>
      <c r="C88" s="98"/>
      <c r="D88" s="103">
        <f>SUM(C83:C87)-D81</f>
        <v>8613.2461000562162</v>
      </c>
      <c r="E88" s="24"/>
      <c r="G88" s="218"/>
      <c r="H88" s="214"/>
      <c r="I88" s="214"/>
      <c r="J88" s="215">
        <f>SUM(I83:I87)-J81</f>
        <v>0</v>
      </c>
      <c r="K88" s="24"/>
      <c r="L88"/>
      <c r="M88" s="20"/>
      <c r="O88" s="216">
        <f ca="1">SUM(N83:N87)</f>
        <v>1386.7538999437995</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FACTORS'!E52*'COVERAGE FACTORS'!B119</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FACTORS'!E52*'COVERAGE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worksheet>
</file>

<file path=xl/worksheets/sheet4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348</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'3D NONAUTO COST'!C11</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C11*J11/'3D AUTO MODEL REV FSS'!$G$6</f>
        <v>0</v>
      </c>
    </row>
    <row r="12" spans="1:11" ht="13" x14ac:dyDescent="0.3">
      <c r="A12" s="36"/>
      <c r="B12" t="s">
        <v>529</v>
      </c>
      <c r="C12" s="151">
        <f>'3D NONAUTO COST'!C12</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C12*J12/'3D AUTO MODEL REV FSS'!$G$6</f>
        <v>0</v>
      </c>
    </row>
    <row r="13" spans="1:11" ht="13" x14ac:dyDescent="0.3">
      <c r="A13" s="36"/>
      <c r="B13" t="s">
        <v>70</v>
      </c>
      <c r="C13" s="151">
        <f>'3D NONAUTO COST'!C13</f>
        <v>43.487454050286303</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C13*J13/'3D AUTO MODEL REV FSS'!$G$6</f>
        <v>8.8205236831011502E-2</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'3D NONAUTO COST'!C16</f>
        <v>36.080739442985667</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C16*J16/'3D AUTO MODEL REV FSS'!$G$6</f>
        <v>0.13626055698305697</v>
      </c>
    </row>
    <row r="17" spans="1:11" ht="13" x14ac:dyDescent="0.3">
      <c r="A17" s="1"/>
      <c r="B17" t="s">
        <v>529</v>
      </c>
      <c r="C17" s="151">
        <f>'3D NONAUTO COST'!C17</f>
        <v>43.615733695457017</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C17*J17/'3D AUTO MODEL REV FSS'!$G$6</f>
        <v>0.19052434724934203</v>
      </c>
    </row>
    <row r="18" spans="1:11" ht="13" x14ac:dyDescent="0.3">
      <c r="A18" s="1"/>
      <c r="B18" t="s">
        <v>70</v>
      </c>
      <c r="C18" s="151">
        <f>'3D NONAUTO COST'!C18</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C18*J18/'3D AUTO MODEL REV FSS'!$G$6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'3D NONAUTO COST'!C21</f>
        <v>154.19594159077212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C21*J21/'3D AUTO MODEL REV FSS'!$G$6</f>
        <v>0.58232800131179607</v>
      </c>
    </row>
    <row r="22" spans="1:11" ht="13" x14ac:dyDescent="0.3">
      <c r="A22" s="1"/>
      <c r="B22" t="s">
        <v>529</v>
      </c>
      <c r="C22" s="151">
        <f>'3D NONAUTO COST'!C22</f>
        <v>186.39776316033394</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C22*J22/'3D AUTO MODEL REV FSS'!$G$6</f>
        <v>0.81423168076980257</v>
      </c>
    </row>
    <row r="23" spans="1:11" ht="13" x14ac:dyDescent="0.3">
      <c r="A23" s="1"/>
      <c r="B23" t="s">
        <v>70</v>
      </c>
      <c r="C23" s="151">
        <f>'3D NONAUTO COST'!C23</f>
        <v>9.822334654422832</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C23*J23/'3D AUTO MODEL REV FSS'!$G$6</f>
        <v>1.9922558663125818E-2</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'3D NONAUTO COST'!C26</f>
        <v>1.5488765427053707E-3</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C26*J26/'3D AUTO MODEL REV FSS'!$G$6</f>
        <v>5.8494028577359183E-6</v>
      </c>
    </row>
    <row r="27" spans="1:11" ht="13" x14ac:dyDescent="0.3">
      <c r="A27" s="1"/>
      <c r="B27" t="s">
        <v>529</v>
      </c>
      <c r="C27" s="151">
        <f>'3D NONAUTO COST'!C27</f>
        <v>1.8723393105767076E-3</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C27*J27/'3D AUTO MODEL REV FSS'!$G$6</f>
        <v>8.1788426962554264E-6</v>
      </c>
    </row>
    <row r="28" spans="1:11" ht="13" x14ac:dyDescent="0.3">
      <c r="A28" s="1"/>
      <c r="B28" t="s">
        <v>70</v>
      </c>
      <c r="C28" s="151">
        <f>'3D NONAUTO COST'!C28</f>
        <v>0.33870036947492571</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C28*J28/'3D AUTO MODEL REV FSS'!$G$6</f>
        <v>9.5681816087805796E-4</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SUM('3D AUTO MODEL REV FSS'!$B$25:$B$29)</f>
        <v>5.8400471303969921</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C31*J31/'3D AUTO MODEL REV FSS'!$G$6</f>
        <v>2.9881632726313423E-3</v>
      </c>
    </row>
    <row r="32" spans="1:11" ht="13" x14ac:dyDescent="0.3">
      <c r="A32" s="36"/>
      <c r="B32" t="s">
        <v>244</v>
      </c>
      <c r="C32" s="2">
        <f>SUM('3D AUTO MODEL REV FSS'!$A$25:$A$29)</f>
        <v>0.35799289170810322</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C32*J32/'3D AUTO MODEL REV FSS'!$G$6</f>
        <v>2.6995134995181199E-4</v>
      </c>
    </row>
    <row r="33" spans="1:11" ht="13" x14ac:dyDescent="0.3">
      <c r="A33" s="36"/>
      <c r="B33" t="s">
        <v>291</v>
      </c>
      <c r="C33" s="2">
        <f>SUM('3D AUTO MODEL REV FSS'!$H$25:$H$29)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C33*J33/'3D AUTO MODEL REV FSS'!$G$6</f>
        <v>0</v>
      </c>
    </row>
    <row r="34" spans="1:11" x14ac:dyDescent="0.25">
      <c r="B34" t="s">
        <v>292</v>
      </c>
      <c r="C34" s="2">
        <f>SUM('3D AUTO MODEL REV FSS'!$G$25:$G$29)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C34*J34/'3D AUTO MODEL REV FSS'!$G$6</f>
        <v>0</v>
      </c>
    </row>
    <row r="35" spans="1:11" x14ac:dyDescent="0.25">
      <c r="B35" t="s">
        <v>70</v>
      </c>
      <c r="C35" s="2">
        <f>SUM('3D AUTO MODEL REV FSS'!$M$25:$M$29)</f>
        <v>0.28288003455531519</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C35*J35/'3D AUTO MODEL REV FSS'!$G$6</f>
        <v>3.056452333680443E-4</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SUM('3D AUTO MODEL REV FSS'!$B$38:$B$42)</f>
        <v>0.72045363423807052</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C38*J38/'3D AUTO MODEL REV FSS'!$G$6</f>
        <v>2.5561902234497484E-4</v>
      </c>
    </row>
    <row r="39" spans="1:11" ht="13" x14ac:dyDescent="0.3">
      <c r="A39" s="36"/>
      <c r="B39" t="s">
        <v>244</v>
      </c>
      <c r="C39" s="2">
        <f>SUM('3D AUTO MODEL REV FSS'!$A$38:$A$42)</f>
        <v>4.4163561372657346E-2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C39*J39/'3D AUTO MODEL REV FSS'!$G$6</f>
        <v>3.3302373559275595E-5</v>
      </c>
    </row>
    <row r="40" spans="1:11" x14ac:dyDescent="0.25">
      <c r="B40" t="s">
        <v>291</v>
      </c>
      <c r="C40" s="2">
        <f>SUM('3D AUTO MODEL REV FSS'!$H$38:$H$42)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C40*J40/'3D AUTO MODEL REV FSS'!$G$6</f>
        <v>0</v>
      </c>
    </row>
    <row r="41" spans="1:11" x14ac:dyDescent="0.25">
      <c r="B41" t="s">
        <v>292</v>
      </c>
      <c r="C41" s="2">
        <f>SUM('3D AUTO MODEL REV FSS'!$G$38:$G$42)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C41*J41/'3D AUTO MODEL REV FSS'!$G$6</f>
        <v>0</v>
      </c>
    </row>
    <row r="42" spans="1:11" x14ac:dyDescent="0.25">
      <c r="B42" t="s">
        <v>70</v>
      </c>
      <c r="C42" s="2">
        <f>SUM('3D AUTO MODEL REV FSS'!$M$38:$M$42)</f>
        <v>9.2092152854983747E-2</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C42*J42/'3D AUTO MODEL REV FSS'!$G$6</f>
        <v>1.2579632307165351E-4</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SUM('3D AUTO MODEL REV FSS'!$B$53:$B$57)</f>
        <v>426.01561393782424</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C45*J45/'3D AUTO MODEL REV FSS'!$G$6</f>
        <v>0.21791629266183296</v>
      </c>
    </row>
    <row r="46" spans="1:11" ht="13" x14ac:dyDescent="0.3">
      <c r="A46" s="36"/>
      <c r="B46" t="s">
        <v>244</v>
      </c>
      <c r="C46" s="2">
        <f>SUM('3D AUTO MODEL REV FSS'!$A$53:$A$57)</f>
        <v>26.114611430548049</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C46*J46/'3D AUTO MODEL REV FSS'!$G$6</f>
        <v>1.9692219517284608E-2</v>
      </c>
    </row>
    <row r="47" spans="1:11" x14ac:dyDescent="0.25">
      <c r="B47" t="s">
        <v>291</v>
      </c>
      <c r="C47" s="2">
        <f>SUM('3D AUTO MODEL REV FSS'!$H$53:$H$57)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C47*J47/'3D AUTO MODEL REV FSS'!$G$6</f>
        <v>0</v>
      </c>
    </row>
    <row r="48" spans="1:11" x14ac:dyDescent="0.25">
      <c r="B48" t="s">
        <v>292</v>
      </c>
      <c r="C48" s="2">
        <f>SUM('3D AUTO MODEL REV FSS'!$G$53:$G$57)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C48*J48/'3D AUTO MODEL REV FSS'!$G$6</f>
        <v>0</v>
      </c>
    </row>
    <row r="49" spans="1:11" x14ac:dyDescent="0.25">
      <c r="B49" t="s">
        <v>70</v>
      </c>
      <c r="C49" s="2">
        <f>SUM('3D AUTO MODEL REV FSS'!$M$53:$M$57)</f>
        <v>33.654476671260468</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C49*J49/'3D AUTO MODEL REV FSS'!$G$6</f>
        <v>3.2547979887981818E-2</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SUM('3D AUTO MODEL REV FSS'!$B$64:$B$68)</f>
        <v>8761.6280336094969</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C52*J52/'3D AUTO MODEL REV FSS'!$G$6</f>
        <v>3.3998251575228839</v>
      </c>
    </row>
    <row r="53" spans="1:11" ht="13" x14ac:dyDescent="0.3">
      <c r="A53" s="36"/>
      <c r="B53" t="s">
        <v>244</v>
      </c>
      <c r="C53" s="2">
        <f>SUM('3D AUTO MODEL REV FSS'!$A$64:$A$68)</f>
        <v>537.08480184978021</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C53*J53/'3D AUTO MODEL REV FSS'!$G$6</f>
        <v>0.40499901158978185</v>
      </c>
    </row>
    <row r="54" spans="1:11" x14ac:dyDescent="0.25">
      <c r="B54" t="s">
        <v>291</v>
      </c>
      <c r="C54" s="2">
        <f>SUM('3D AUTO MODEL REV FSS'!$H$64:$H$68)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C54*J54/'3D AUTO MODEL REV FSS'!$G$6</f>
        <v>0</v>
      </c>
    </row>
    <row r="55" spans="1:11" x14ac:dyDescent="0.25">
      <c r="B55" t="s">
        <v>292</v>
      </c>
      <c r="C55" s="2">
        <f>SUM('3D AUTO MODEL REV FSS'!$G$64:$G$68)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C55*J55/'3D AUTO MODEL REV FSS'!$G$6</f>
        <v>0</v>
      </c>
    </row>
    <row r="56" spans="1:11" x14ac:dyDescent="0.25">
      <c r="B56" t="s">
        <v>70</v>
      </c>
      <c r="C56" s="2">
        <f>SUM('3D AUTO MODEL REV FSS'!$M$64:$M$68)</f>
        <v>492.14651159975273</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C56*J56/'3D AUTO MODEL REV FSS'!$G$6</f>
        <v>0.5491082997832033</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 ca="1">SUM('3D AUTO MODEL REV FSS'!$B$74:$B$78)+SUM('3D AUTO MODEL REV FSS'!$B$108:$B$112)</f>
        <v>201.23525339807404</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C59*J59/'3D AUTO MODEL REV FSS'!$G$6</f>
        <v>0.14490238045875325</v>
      </c>
    </row>
    <row r="60" spans="1:11" ht="13" x14ac:dyDescent="0.3">
      <c r="A60" s="36"/>
      <c r="B60" t="s">
        <v>244</v>
      </c>
      <c r="C60" s="2">
        <f ca="1">SUM('3D AUTO MODEL REV FSS'!$A$74:$A$78)+SUM('3D AUTO MODEL REV FSS'!$A$108:$A$112)</f>
        <v>12.33565220777461</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C60*J60/'3D AUTO MODEL REV FSS'!$G$6</f>
        <v>9.3019332035788292E-3</v>
      </c>
    </row>
    <row r="61" spans="1:11" x14ac:dyDescent="0.25">
      <c r="B61" t="s">
        <v>291</v>
      </c>
      <c r="C61" s="2">
        <f>SUM('3D AUTO MODEL REV FSS'!$H$74:$H$78)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C61*J61/'3D AUTO MODEL REV FSS'!$G$6</f>
        <v>0</v>
      </c>
    </row>
    <row r="62" spans="1:11" x14ac:dyDescent="0.25">
      <c r="B62" t="s">
        <v>292</v>
      </c>
      <c r="C62" s="2">
        <f>SUM('3D AUTO MODEL REV FSS'!$G$74:$G$78)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C62*J62/'3D AUTO MODEL REV FSS'!$G$6</f>
        <v>0</v>
      </c>
    </row>
    <row r="63" spans="1:11" x14ac:dyDescent="0.25">
      <c r="B63" t="s">
        <v>70</v>
      </c>
      <c r="C63" s="2">
        <f ca="1">SUM('3D AUTO MODEL REV FSS'!$M$74:$M$78)</f>
        <v>25.306004485266911</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C63*J63/'3D AUTO MODEL REV FSS'!$G$6</f>
        <v>2.2510460826619758E-2</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 ca="1">SUM('3D AUTO MODEL REV FSS'!$B$83:$B$87)+SUM('3D AUTO MODEL REV FSS'!$B$122:$B$126)</f>
        <v>9201.3351728016587</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C66*J66/'3D AUTO MODEL REV FSS'!$G$6</f>
        <v>3.9841082318405969</v>
      </c>
    </row>
    <row r="67" spans="1:11" ht="13" x14ac:dyDescent="0.3">
      <c r="A67" s="36"/>
      <c r="B67" t="s">
        <v>244</v>
      </c>
      <c r="C67" s="2">
        <f ca="1">SUM('3D AUTO MODEL REV FSS'!$A$83:$A$87)+SUM('3D AUTO MODEL REV FSS'!$A$122:$A$126)</f>
        <v>564.03869909570858</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C67*J67/'3D AUTO MODEL REV FSS'!$G$6</f>
        <v>0.42532411054156105</v>
      </c>
    </row>
    <row r="68" spans="1:11" x14ac:dyDescent="0.25">
      <c r="B68" t="s">
        <v>291</v>
      </c>
      <c r="C68" s="2">
        <f>SUM('3D AUTO MODEL REV FSS'!$H$83:$H$87)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C68*J68/'3D AUTO MODEL REV FSS'!$G$6</f>
        <v>0</v>
      </c>
    </row>
    <row r="69" spans="1:11" x14ac:dyDescent="0.25">
      <c r="B69" t="s">
        <v>292</v>
      </c>
      <c r="C69" s="2">
        <f>SUM('3D AUTO MODEL REV FSS'!$G$83:$G$87)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C69*J69/'3D AUTO MODEL REV FSS'!$G$6</f>
        <v>0</v>
      </c>
    </row>
    <row r="70" spans="1:11" x14ac:dyDescent="0.25">
      <c r="B70" t="s">
        <v>70</v>
      </c>
      <c r="C70" s="2">
        <f ca="1">SUM('3D AUTO MODEL REV FSS'!$M$83:$M$87)</f>
        <v>1342.6921149468728</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C70*J70/'3D AUTO MODEL REV FSS'!$G$6</f>
        <v>1.3313434280986041</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 ca="1">SUM('3D AUTO MODEL REV FSS'!$A$95:$A$99)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C74*J74/'3D AUTO MODEL REV FSS'!$G$6</f>
        <v>0</v>
      </c>
    </row>
    <row r="76" spans="1:11" x14ac:dyDescent="0.25">
      <c r="B76" s="155" t="s">
        <v>486</v>
      </c>
      <c r="C76" s="2">
        <f>SUM('3D AUTO MODEL REV FSS'!C64,'3D AUTO MODEL REV FSS'!I64,'3D AUTO MODEL REV FSS'!C74,'3D AUTO MODEL REV FSS'!I74,'3D AUTO MODEL REV FSS'!C83,'3D AUTO MODEL REV FSS'!I83)</f>
        <v>9516.4471327227802</v>
      </c>
      <c r="D76" s="2">
        <f>PRODUCTIVITIES!$C$49*'FY VOLUME NONAUTO'!C63</f>
        <v>2455.4276841308706</v>
      </c>
      <c r="E76" s="38">
        <f>'WAGE RATES'!$C$6</f>
        <v>50.10717457546064</v>
      </c>
      <c r="F76" s="42">
        <f t="shared" ref="F76:F77" si="0">E76*100/D76</f>
        <v>2.0406699370255206</v>
      </c>
      <c r="G76" s="42">
        <f>PIGGYBACKS!$B$13</f>
        <v>1.6305774272183733</v>
      </c>
      <c r="H76" s="42">
        <f>'WAGE RATES'!$C$9</f>
        <v>0.9752031228402912</v>
      </c>
      <c r="I76" s="42">
        <f t="shared" ref="I76:I77" si="1">(H76-1)*F76</f>
        <v>-5.0602241751932522E-2</v>
      </c>
      <c r="J76" s="42">
        <f t="shared" ref="J76:J77" si="2">F76*G76+I76</f>
        <v>3.2768680939650205</v>
      </c>
      <c r="K76" s="42">
        <f ca="1">C76*$J76/'3D AUTO MODEL'!$G$6</f>
        <v>3.118414197712414</v>
      </c>
    </row>
    <row r="77" spans="1:11" x14ac:dyDescent="0.25">
      <c r="B77" s="155" t="s">
        <v>491</v>
      </c>
      <c r="C77" s="2">
        <f ca="1">SUM(C31,C33,C34,C38,C40,C41,C45,C47,C48,C52,C54,C55,C59,C61,C62,C66,C68,C69)-C76</f>
        <v>9080.3274417889079</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C77*$J77/'3D AUTO MODEL'!$G$6</f>
        <v>3.4665146409007508</v>
      </c>
    </row>
    <row r="78" spans="1:11" ht="13.5" thickBot="1" x14ac:dyDescent="0.35">
      <c r="F78" s="42"/>
      <c r="H78" s="42"/>
      <c r="I78" s="42"/>
      <c r="J78" s="42"/>
      <c r="K78" s="41" t="str">
        <f>"(10)"</f>
        <v>(10)</v>
      </c>
    </row>
    <row r="79" spans="1:11" ht="13.5" thickBot="1" x14ac:dyDescent="0.35">
      <c r="F79" s="42"/>
      <c r="H79" s="42"/>
      <c r="I79" s="42"/>
      <c r="J79" s="142" t="s">
        <v>78</v>
      </c>
      <c r="K79" s="143">
        <f ca="1">SUM(K11:K77)</f>
        <v>18.962930050335341</v>
      </c>
    </row>
    <row r="80" spans="1:11" ht="13.5" thickBot="1" x14ac:dyDescent="0.35">
      <c r="J80" s="142" t="s">
        <v>485</v>
      </c>
      <c r="K80" s="143">
        <f ca="1">SUM(K31,K33,K34,K38,K40,K41,K45,K47,K48,K52,K54,K55,K59,K61,K62,K66,K68,K69,K76,K77)</f>
        <v>14.334924683392209</v>
      </c>
    </row>
    <row r="83" spans="1:8" ht="13" x14ac:dyDescent="0.3">
      <c r="A83" s="145" t="str">
        <f>"(1)"</f>
        <v>(1)</v>
      </c>
      <c r="B83" s="1" t="s">
        <v>412</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orientation="portrait" horizontalDpi="300" r:id="rId1"/>
  <ignoredErrors>
    <ignoredError sqref="E4" numberStoredAsText="1"/>
  </ignoredErrors>
</worksheet>
</file>

<file path=xl/worksheets/sheet4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6" width="10.7265625" style="20" customWidth="1"/>
    <col min="7" max="7" width="17"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'3D AUTO COST REV FSS'!A1</f>
        <v>3-DIGIT AUTO PRESORT (PRESORT LEVELS HELD CONSTANT)</v>
      </c>
    </row>
    <row r="2" spans="1:30" ht="23" x14ac:dyDescent="0.5">
      <c r="A2" s="57" t="s">
        <v>84</v>
      </c>
    </row>
    <row r="6" spans="1:30" s="228" customFormat="1" ht="18" x14ac:dyDescent="0.4">
      <c r="A6" s="48" t="s">
        <v>85</v>
      </c>
      <c r="B6" s="226"/>
      <c r="C6" s="49">
        <f>SUM(C11:C16)+SUM(G11:G16)+SUM(K11:K16)+SUM(O11:O16)</f>
        <v>10000.000000000002</v>
      </c>
      <c r="D6" s="227"/>
      <c r="E6" s="48" t="s">
        <v>86</v>
      </c>
      <c r="F6" s="226"/>
      <c r="G6" s="49">
        <f ca="1">D88+J88+O88+D100+D127</f>
        <v>10000.000000000016</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'3D NONAUTO MODEL FSS'!G11</f>
        <v>5.7767540831629676</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f>'3D NONAUTO MODEL FSS'!G12</f>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'3D NONAUTO MODEL FSS'!G13</f>
        <v>420.60887121352755</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'3D NONAUTO MODEL FSS'!G14</f>
        <v>8219.8618129486149</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f>'3D NONAUTO MODEL FSS'!G15</f>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'3D NONAUTO MODEL FSS'!G16</f>
        <v>1353.7525617546958</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0.27289433770058996</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0.35799289170810322</v>
      </c>
      <c r="B25" s="29">
        <f>C25*(1+'ACCEPT RATES'!F14)</f>
        <v>5.8400471303969921</v>
      </c>
      <c r="C25" s="51">
        <f>C11*('COVERAGE FACTORS'!E14+'COVERAGE FACTORS'!E18)</f>
        <v>5.766768386308244</v>
      </c>
      <c r="E25" s="24" t="s">
        <v>70</v>
      </c>
      <c r="G25" s="217">
        <f>H25*(1-'ACCEPT RATES'!C19)</f>
        <v>0</v>
      </c>
      <c r="H25" s="29">
        <f>I25</f>
        <v>0</v>
      </c>
      <c r="I25" s="51">
        <f>C11*'COVERAGE FACTORS'!E16</f>
        <v>0</v>
      </c>
      <c r="J25" s="23"/>
      <c r="K25" s="23" t="s">
        <v>70</v>
      </c>
      <c r="L25"/>
      <c r="M25" s="29">
        <f>N25</f>
        <v>9.9856968547252286E-3</v>
      </c>
      <c r="N25" s="51">
        <f>C11*'COVERAGE FACTORS'!E20</f>
        <v>9.9856968547252286E-3</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0.27289433770058996</v>
      </c>
      <c r="N29" s="206">
        <f>D23+J23</f>
        <v>0.27289433770058996</v>
      </c>
      <c r="P29" s="20"/>
      <c r="Q29" s="109"/>
      <c r="S29" s="20"/>
      <c r="U29" s="20"/>
      <c r="Y29"/>
      <c r="Z29"/>
      <c r="AA29"/>
      <c r="AB29"/>
      <c r="AC29"/>
      <c r="AD29"/>
    </row>
    <row r="30" spans="1:30" ht="13" x14ac:dyDescent="0.3">
      <c r="A30" s="114"/>
      <c r="C30" s="98"/>
      <c r="D30" s="196">
        <f>(SUM(C25:C29)-D23)*'PIECE DENSITIES'!C6</f>
        <v>0.70349195453975111</v>
      </c>
      <c r="E30" s="24" t="s">
        <v>290</v>
      </c>
      <c r="G30" s="114"/>
      <c r="I30" s="99"/>
      <c r="J30" s="201">
        <f>(SUM(I25:I29)-J23)*'PIECE DENSITIES'!C11</f>
        <v>0</v>
      </c>
      <c r="K30" s="24" t="s">
        <v>289</v>
      </c>
      <c r="L30"/>
      <c r="M30" s="20"/>
      <c r="O30" s="96">
        <f>SUM(N25:N29)*'PIECE DENSITIES'!C16</f>
        <v>2.531146325209371E-2</v>
      </c>
      <c r="P30" s="24" t="s">
        <v>120</v>
      </c>
      <c r="Q30" s="109"/>
      <c r="S30" s="20"/>
      <c r="U30" s="20"/>
      <c r="Y30"/>
      <c r="Z30"/>
      <c r="AA30"/>
      <c r="AB30"/>
      <c r="AC30"/>
      <c r="AD30"/>
    </row>
    <row r="31" spans="1:30" ht="13" x14ac:dyDescent="0.3">
      <c r="A31" s="114"/>
      <c r="C31" s="98"/>
      <c r="D31" s="196">
        <f>(SUM(C25:C29)-D23)*'PIECE DENSITIES'!D6</f>
        <v>2.8475250800919891</v>
      </c>
      <c r="E31" s="24" t="s">
        <v>121</v>
      </c>
      <c r="G31" s="114"/>
      <c r="I31" s="99"/>
      <c r="J31" s="201">
        <f>(SUM(I25:I29)-J23)*'PIECE DENSITIES'!D11</f>
        <v>0</v>
      </c>
      <c r="K31" s="24" t="s">
        <v>122</v>
      </c>
      <c r="L31"/>
      <c r="M31" s="20"/>
      <c r="O31" s="96">
        <f>SUM(N25:N29)*'PIECE DENSITIES'!D16</f>
        <v>0.16425479204174273</v>
      </c>
      <c r="P31" s="24" t="s">
        <v>123</v>
      </c>
      <c r="Q31" s="109"/>
      <c r="S31" s="20"/>
      <c r="U31" s="20"/>
      <c r="Y31"/>
      <c r="Z31"/>
      <c r="AA31"/>
      <c r="AB31"/>
      <c r="AC31"/>
      <c r="AD31"/>
    </row>
    <row r="32" spans="1:30" ht="13" x14ac:dyDescent="0.3">
      <c r="A32" s="114"/>
      <c r="C32" s="89"/>
      <c r="D32" s="197">
        <f>(SUM(C25:C29)-D23)*'PIECE DENSITIES'!E6</f>
        <v>1.5378658280501767</v>
      </c>
      <c r="E32" s="24" t="s">
        <v>124</v>
      </c>
      <c r="G32" s="114"/>
      <c r="I32" s="94"/>
      <c r="J32" s="202">
        <f>(SUM(I25:I29)-J23)*'PIECE DENSITIES'!E11</f>
        <v>0</v>
      </c>
      <c r="K32" s="24" t="s">
        <v>125</v>
      </c>
      <c r="L32"/>
      <c r="M32" s="20"/>
      <c r="N32" s="46"/>
      <c r="O32" s="97">
        <f>SUM(N25:N29)*'PIECE DENSITIES'!E16</f>
        <v>7.2362712045847863E-2</v>
      </c>
      <c r="P32" s="24" t="s">
        <v>126</v>
      </c>
      <c r="Q32" s="109"/>
      <c r="S32" s="20"/>
      <c r="U32" s="20"/>
      <c r="Y32"/>
      <c r="Z32"/>
      <c r="AA32"/>
      <c r="AB32"/>
      <c r="AC32"/>
      <c r="AD32"/>
    </row>
    <row r="33" spans="1:30" ht="13" x14ac:dyDescent="0.3">
      <c r="A33" s="114"/>
      <c r="C33" s="89"/>
      <c r="D33" s="197">
        <f>(SUM(C25:C29)-D23)*'PIECE DENSITIES'!F6</f>
        <v>0.40499118592573718</v>
      </c>
      <c r="E33" s="24" t="s">
        <v>127</v>
      </c>
      <c r="G33" s="114"/>
      <c r="I33" s="94"/>
      <c r="J33" s="202">
        <f>(SUM(I25:I29)-J23)*'PIECE DENSITIES'!F11</f>
        <v>0</v>
      </c>
      <c r="K33" s="24" t="s">
        <v>128</v>
      </c>
      <c r="L33"/>
      <c r="M33" s="20"/>
      <c r="N33" s="46"/>
      <c r="O33" s="97">
        <f>SUM(N25:N29)*'PIECE DENSITIES'!F16</f>
        <v>2.0951067215630916E-2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6.6780689602890034E-2</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4.4163561372657346E-2</v>
      </c>
      <c r="B42" s="199">
        <f>C42*(1+'ACCEPT RATES'!F15+'PIECE DENSITIES'!C7)</f>
        <v>0.72045363423807052</v>
      </c>
      <c r="C42" s="198">
        <f>D30</f>
        <v>0.70349195453975111</v>
      </c>
      <c r="G42" s="205">
        <f>IF(SUM(C11:C16)&gt;0,H42*(1-'ACCEPT RATES'!C20),H42*(1-'ACCEPT RATES'!D20))</f>
        <v>0</v>
      </c>
      <c r="H42" s="204">
        <f>I42*(1+'PIECE DENSITIES'!C12)</f>
        <v>0</v>
      </c>
      <c r="I42" s="203">
        <f>J30</f>
        <v>0</v>
      </c>
      <c r="J42" s="58"/>
      <c r="L42"/>
      <c r="M42" s="102">
        <f>N42</f>
        <v>9.2092152854983747E-2</v>
      </c>
      <c r="N42" s="101">
        <f>D36+J36+O30</f>
        <v>9.2092152854983747E-2</v>
      </c>
      <c r="P42" s="20"/>
      <c r="Q42" s="109"/>
      <c r="S42" s="20"/>
      <c r="U42" s="20"/>
      <c r="Y42"/>
      <c r="Z42"/>
      <c r="AA42"/>
      <c r="AB42"/>
      <c r="AC42"/>
      <c r="AD42"/>
    </row>
    <row r="43" spans="1:30" ht="13" x14ac:dyDescent="0.3">
      <c r="A43" s="114"/>
      <c r="C43" s="98"/>
      <c r="D43" s="196">
        <f>(SUM(C38:C42)-D36)*'PIECE DENSITIES'!D7</f>
        <v>0.52579213863391294</v>
      </c>
      <c r="E43" s="24" t="s">
        <v>121</v>
      </c>
      <c r="G43" s="114"/>
      <c r="I43" s="99"/>
      <c r="J43" s="201">
        <f>(SUM(I38:I42)-J36)*'PIECE DENSITIES'!D12</f>
        <v>0</v>
      </c>
      <c r="K43" s="24" t="s">
        <v>122</v>
      </c>
      <c r="L43"/>
      <c r="M43" s="20"/>
      <c r="O43" s="96">
        <f>SUM(N38:N42)*'PIECE DENSITIES'!D17</f>
        <v>6.5186842516300469E-2</v>
      </c>
      <c r="P43" s="24" t="s">
        <v>123</v>
      </c>
      <c r="Q43" s="109"/>
      <c r="S43" s="20"/>
      <c r="U43" s="20"/>
      <c r="Y43"/>
      <c r="Z43"/>
      <c r="AA43"/>
      <c r="AB43"/>
      <c r="AC43"/>
      <c r="AD43"/>
    </row>
    <row r="44" spans="1:30" ht="13" x14ac:dyDescent="0.3">
      <c r="A44" s="114"/>
      <c r="C44" s="98"/>
      <c r="D44" s="196">
        <f>(SUM(C38:C42)-D36)*'PIECE DENSITIES'!E7</f>
        <v>4.394286838442079E-2</v>
      </c>
      <c r="E44" s="24" t="s">
        <v>124</v>
      </c>
      <c r="G44" s="114"/>
      <c r="I44" s="99"/>
      <c r="J44" s="201">
        <f>(SUM(I38:I42)-J36)*'PIECE DENSITIES'!E12</f>
        <v>0</v>
      </c>
      <c r="K44" s="24" t="s">
        <v>125</v>
      </c>
      <c r="L44"/>
      <c r="M44" s="20"/>
      <c r="O44" s="96">
        <f>SUM(N38:N42)*'PIECE DENSITIES'!E17</f>
        <v>2.8578383414985792E-4</v>
      </c>
      <c r="P44" s="24" t="s">
        <v>126</v>
      </c>
      <c r="Q44" s="109"/>
      <c r="S44" s="20"/>
      <c r="U44" s="20"/>
      <c r="Y44"/>
      <c r="Z44"/>
      <c r="AA44"/>
      <c r="AB44"/>
      <c r="AC44"/>
      <c r="AD44"/>
    </row>
    <row r="45" spans="1:30" ht="13" x14ac:dyDescent="0.3">
      <c r="A45" s="114"/>
      <c r="C45" s="89"/>
      <c r="D45" s="197">
        <f>(SUM(C38:C42)-D36)*'PIECE DENSITIES'!F7</f>
        <v>4.6807174240379393E-3</v>
      </c>
      <c r="E45" s="24" t="s">
        <v>127</v>
      </c>
      <c r="G45" s="114"/>
      <c r="I45" s="94"/>
      <c r="J45" s="202">
        <f>(SUM(I38:I42)-J36)*'PIECE DENSITIES'!F12</f>
        <v>0</v>
      </c>
      <c r="K45" s="24" t="s">
        <v>128</v>
      </c>
      <c r="L45"/>
      <c r="M45" s="20"/>
      <c r="N45" s="46"/>
      <c r="O45" s="97">
        <f>SUM(N38:N42)*'PIECE DENSITIES'!F17</f>
        <v>1.8294665918412163E-3</v>
      </c>
      <c r="P45" s="24" t="s">
        <v>129</v>
      </c>
      <c r="Q45" s="109"/>
      <c r="S45" s="20"/>
      <c r="U45" s="20"/>
      <c r="Y45"/>
      <c r="Z45"/>
      <c r="AA45"/>
      <c r="AB45"/>
      <c r="AC45"/>
      <c r="AD45"/>
    </row>
    <row r="46" spans="1:30" ht="13" x14ac:dyDescent="0.3">
      <c r="A46" s="114"/>
      <c r="C46" s="89"/>
      <c r="D46" s="197">
        <f>(SUM(C38:C42)-D36)*'PIECE DENSITIES'!G7</f>
        <v>6.229554049448937E-2</v>
      </c>
      <c r="E46" s="24" t="s">
        <v>130</v>
      </c>
      <c r="G46" s="114"/>
      <c r="I46" s="94"/>
      <c r="J46" s="202">
        <f>(SUM(I38:I42)-J36)*'PIECE DENSITIES'!G12</f>
        <v>0</v>
      </c>
      <c r="K46" s="24" t="s">
        <v>288</v>
      </c>
      <c r="L46"/>
      <c r="M46" s="20"/>
      <c r="N46" s="46"/>
      <c r="O46" s="97">
        <f>SUM(N38:N42)*'PIECE DENSITIES'!G17</f>
        <v>2.4790059912692206E-2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30.893296091211582</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25.906836503198523</v>
      </c>
      <c r="B53" s="29">
        <f>C53*(1+'ACCEPT RATES'!F16+'PIECE DENSITIES'!D8)</f>
        <v>422.62611823458155</v>
      </c>
      <c r="C53" s="51">
        <f>C13*('COVERAGE FACTORS'!E38+'COVERAGE FACTORS'!E42)</f>
        <v>418.09727546935835</v>
      </c>
      <c r="E53" s="24" t="s">
        <v>70</v>
      </c>
      <c r="G53" s="217">
        <f>H53*(1-'ACCEPT RATES'!C21)</f>
        <v>0</v>
      </c>
      <c r="H53" s="29">
        <f>I53*(1+'PIECE DENSITIES'!D13)</f>
        <v>0</v>
      </c>
      <c r="I53" s="51">
        <f>C13*'COVERAGE FACTORS'!E40</f>
        <v>0</v>
      </c>
      <c r="J53" s="113"/>
      <c r="K53" s="23" t="s">
        <v>70</v>
      </c>
      <c r="L53"/>
      <c r="M53" s="29">
        <f>N53</f>
        <v>2.5115957441697638</v>
      </c>
      <c r="N53" s="51">
        <f>C13*'COVERAGE FACTORS'!E44</f>
        <v>2.5115957441697638</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0.20777492734952477</v>
      </c>
      <c r="B57" s="199">
        <f>C57*(1+'ACCEPT RATES'!F16+'PIECE DENSITIES'!D8)</f>
        <v>3.389495703242674</v>
      </c>
      <c r="C57" s="198">
        <f>(D31+D43)*('COVERAGE FACTORS'!E38+'COVERAGE FACTORS'!E42)</f>
        <v>3.3531740174048261</v>
      </c>
      <c r="G57" s="210">
        <f>IF(SUM(C11:C16)&gt;0,H57*(1-'ACCEPT RATES'!C21),H57*(1-'ACCEPT RATES'!D21))</f>
        <v>0</v>
      </c>
      <c r="H57" s="209">
        <f>I57*(1+'PIECE DENSITIES'!D13)</f>
        <v>0</v>
      </c>
      <c r="I57" s="208">
        <f>(D31+D43)*'COVERAGE FACTORS'!E40+(J31+J43)*('COVERAGE FACTORS'!E40+'COVERAGE FACTORS'!E42)</f>
        <v>0</v>
      </c>
      <c r="J57" s="58"/>
      <c r="L57"/>
      <c r="M57" s="102">
        <f>N57</f>
        <v>31.142880927090705</v>
      </c>
      <c r="N57" s="101">
        <f>D51+J51+O31+O43+(D31+D43)*'COVERAGE FACTORS'!E44+(J31+J43)*(1-('COVERAGE FACTORS'!E40+'COVERAGE FACTORS'!E42))</f>
        <v>31.142880927090705</v>
      </c>
      <c r="P57" s="20"/>
      <c r="Q57" s="109"/>
      <c r="S57" s="20"/>
      <c r="U57" s="20"/>
      <c r="Y57"/>
      <c r="Z57"/>
      <c r="AA57"/>
      <c r="AB57"/>
      <c r="AC57"/>
      <c r="AD57"/>
    </row>
    <row r="58" spans="1:30" ht="13" x14ac:dyDescent="0.3">
      <c r="A58" s="114"/>
      <c r="C58" s="98"/>
      <c r="D58" s="196">
        <f>(SUM(C53:C57)-D51)*'PIECE DENSITIES'!E8</f>
        <v>77.697731926618999</v>
      </c>
      <c r="E58" s="24" t="s">
        <v>124</v>
      </c>
      <c r="G58" s="114"/>
      <c r="I58" s="99"/>
      <c r="J58" s="201">
        <f>(SUM(I53:I57)-J51)*'PIECE DENSITIES'!E13</f>
        <v>0</v>
      </c>
      <c r="K58" s="24" t="s">
        <v>125</v>
      </c>
      <c r="L58"/>
      <c r="M58" s="20"/>
      <c r="O58" s="96">
        <f>SUM(N53:N57)*'PIECE DENSITIES'!E18</f>
        <v>8.8936622025177279</v>
      </c>
      <c r="P58" s="24" t="s">
        <v>126</v>
      </c>
      <c r="Q58" s="109"/>
      <c r="S58" s="20"/>
      <c r="U58" s="20"/>
      <c r="Y58"/>
      <c r="Z58"/>
      <c r="AA58"/>
      <c r="AB58"/>
      <c r="AC58"/>
      <c r="AD58"/>
    </row>
    <row r="59" spans="1:30" ht="13" x14ac:dyDescent="0.3">
      <c r="A59" s="114"/>
      <c r="C59" s="98"/>
      <c r="D59" s="196">
        <f>(SUM(C53:C57)-D51)*'PIECE DENSITIES'!F8</f>
        <v>25.225709525307511</v>
      </c>
      <c r="E59" s="24" t="s">
        <v>127</v>
      </c>
      <c r="G59" s="114"/>
      <c r="I59" s="99"/>
      <c r="J59" s="201">
        <f>(SUM(I53:I57)-J51)*'PIECE DENSITIES'!F13</f>
        <v>0</v>
      </c>
      <c r="K59" s="24" t="s">
        <v>128</v>
      </c>
      <c r="L59"/>
      <c r="M59" s="20"/>
      <c r="O59" s="96">
        <f>SUM(N53:N57)*'PIECE DENSITIES'!F18</f>
        <v>1.3958780410886362</v>
      </c>
      <c r="P59" s="24" t="s">
        <v>129</v>
      </c>
      <c r="Q59" s="109"/>
      <c r="S59" s="20"/>
      <c r="U59" s="20"/>
      <c r="Y59"/>
      <c r="Z59"/>
      <c r="AA59"/>
      <c r="AB59"/>
      <c r="AC59"/>
      <c r="AD59"/>
    </row>
    <row r="60" spans="1:30" ht="13" x14ac:dyDescent="0.3">
      <c r="A60" s="114"/>
      <c r="C60" s="89"/>
      <c r="D60" s="197">
        <f>(SUM(C53:C57)-D51)*'PIECE DENSITIES'!G8</f>
        <v>287.63371194362509</v>
      </c>
      <c r="E60" s="24" t="s">
        <v>130</v>
      </c>
      <c r="G60" s="114"/>
      <c r="I60" s="94"/>
      <c r="J60" s="202">
        <f>(SUM(I53:I57)-J51)*'PIECE DENSITIES'!G13</f>
        <v>0</v>
      </c>
      <c r="K60" s="24" t="s">
        <v>288</v>
      </c>
      <c r="L60"/>
      <c r="M60" s="20"/>
      <c r="N60" s="46"/>
      <c r="O60" s="97">
        <f>SUM(N53:N57)*'PIECE DENSITIES'!G18</f>
        <v>23.364936427654104</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433.62326206705228</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531.95417031186219</v>
      </c>
      <c r="B64" s="29">
        <f>C64*(1+'ACCEPT RATES'!F17+'PIECE DENSITIES'!E9)</f>
        <v>8677.9304779201138</v>
      </c>
      <c r="C64" s="51">
        <f>C14*('COVERAGE FACTORS'!E38+'COVERAGE FACTORS'!E42)</f>
        <v>8170.7782786724683</v>
      </c>
      <c r="E64" s="24" t="s">
        <v>70</v>
      </c>
      <c r="G64" s="217">
        <f>H64*(1-'ACCEPT RATES'!C22)</f>
        <v>0</v>
      </c>
      <c r="H64" s="29">
        <f>I64*(1+'PIECE DENSITIES'!E14)</f>
        <v>0</v>
      </c>
      <c r="I64" s="51">
        <f>C14*'COVERAGE FACTORS'!E40</f>
        <v>0</v>
      </c>
      <c r="J64" s="113"/>
      <c r="K64" s="23" t="s">
        <v>70</v>
      </c>
      <c r="L64"/>
      <c r="M64" s="29">
        <f>N64</f>
        <v>49.083534276157984</v>
      </c>
      <c r="N64" s="51">
        <f>C14*'COVERAGE FACTORS'!E44</f>
        <v>49.083534276157984</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5.1306315379180072</v>
      </c>
      <c r="B68" s="211">
        <f>C68*(1+'ACCEPT RATES'!F17+'PIECE DENSITIES'!E9)</f>
        <v>83.697555689383393</v>
      </c>
      <c r="C68" s="212">
        <f>(D32+D44+D58)*('COVERAGE FACTORS'!E38+'COVERAGE FACTORS'!E42)</f>
        <v>78.806136064908969</v>
      </c>
      <c r="G68" s="205">
        <f>IF(SUM(C11:C16)&gt;0, H68*(1-'ACCEPT RATES'!C22),H68*(1-'ACCEPT RATES'!D22))</f>
        <v>0</v>
      </c>
      <c r="H68" s="204">
        <f>I68*(1+'PIECE DENSITIES'!E14)</f>
        <v>0</v>
      </c>
      <c r="I68" s="203">
        <f>(D32+D44+D58)*'COVERAGE FACTORS'!E40+(J32+J44+J58)*('COVERAGE FACTORS'!E40+'COVERAGE FACTORS'!E42)</f>
        <v>0</v>
      </c>
      <c r="J68" s="58"/>
      <c r="L68"/>
      <c r="M68" s="102">
        <f>N68</f>
        <v>443.06297732359474</v>
      </c>
      <c r="N68" s="101">
        <f>D62+J62+O32+O44+O58+(D32+D44+D58)*'COVERAGE FACTORS'!E44+(J32+J44+J58)*(1-('COVERAGE FACTORS'!E40+'COVERAGE FACTORS'!E42))</f>
        <v>443.06297732359474</v>
      </c>
      <c r="P68" s="20"/>
      <c r="Q68" s="109"/>
      <c r="S68" s="20"/>
      <c r="U68" s="20"/>
      <c r="Y68"/>
      <c r="Z68"/>
      <c r="AA68"/>
      <c r="AB68"/>
      <c r="AC68"/>
      <c r="AD68"/>
    </row>
    <row r="69" spans="1:30" ht="13" x14ac:dyDescent="0.3">
      <c r="A69" s="114"/>
      <c r="C69" s="98"/>
      <c r="D69" s="196">
        <f>(SUM(C64:C68)-D62)*'PIECE DENSITIES'!F9</f>
        <v>174.85845837307809</v>
      </c>
      <c r="E69" s="24" t="s">
        <v>127</v>
      </c>
      <c r="G69" s="114"/>
      <c r="I69" s="99"/>
      <c r="J69" s="201">
        <f>(SUM(I64:I68)-J62)*'PIECE DENSITIES'!F14</f>
        <v>0</v>
      </c>
      <c r="K69" s="24" t="s">
        <v>128</v>
      </c>
      <c r="L69"/>
      <c r="M69" s="20"/>
      <c r="O69" s="96">
        <f>SUM(N64:N68)*'PIECE DENSITIES'!F19</f>
        <v>12.730761330406963</v>
      </c>
      <c r="P69" s="24" t="s">
        <v>129</v>
      </c>
      <c r="Q69" s="109"/>
      <c r="S69" s="20"/>
      <c r="U69" s="20"/>
      <c r="Y69"/>
      <c r="Z69"/>
      <c r="AA69"/>
      <c r="AB69"/>
      <c r="AC69"/>
      <c r="AD69"/>
    </row>
    <row r="70" spans="1:30" ht="13" x14ac:dyDescent="0.3">
      <c r="A70" s="114"/>
      <c r="C70" s="98"/>
      <c r="D70" s="196">
        <f>(SUM(C64:C68)-D62)*'PIECE DENSITIES'!G9</f>
        <v>7641.1026942972467</v>
      </c>
      <c r="E70" s="24" t="s">
        <v>130</v>
      </c>
      <c r="G70" s="114"/>
      <c r="I70" s="99"/>
      <c r="J70" s="201">
        <f>(SUM(I64:I68)-J62)*'PIECE DENSITIES'!G14</f>
        <v>0</v>
      </c>
      <c r="K70" s="24" t="s">
        <v>288</v>
      </c>
      <c r="L70"/>
      <c r="M70" s="20"/>
      <c r="O70" s="96">
        <f>SUM(N64:N68)*'PIECE DENSITIES'!G19</f>
        <v>479.41575026934578</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9.9593690449575512</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12.33565220777461</v>
      </c>
      <c r="B78" s="211">
        <f>C78*(1+'ACCEPT RATES'!F17)</f>
        <v>201.23525339807404</v>
      </c>
      <c r="C78" s="212">
        <f>(D33+D45+D59+D69)*('COVERAGE FACTORS'!E38+'COVERAGE FACTORS'!E42)</f>
        <v>199.29662426672937</v>
      </c>
      <c r="G78" s="205">
        <f>IF(SUM(C11:C16)&gt;0,H78*(1-'ACCEPT RATES'!C22),H78*(1-'ACCEPT RATES'!D22))</f>
        <v>0</v>
      </c>
      <c r="H78" s="204">
        <f>I78</f>
        <v>0</v>
      </c>
      <c r="I78" s="203">
        <f>(D33+D45+D59+D69)*'COVERAGE FACTORS'!E40+(J33+J45+J59+J69)*('COVERAGE FACTORS'!E40+'COVERAGE FACTORS'!E42)</f>
        <v>0</v>
      </c>
      <c r="J78" s="58"/>
      <c r="L78"/>
      <c r="M78" s="102">
        <f ca="1">N78</f>
        <v>25.306004485266911</v>
      </c>
      <c r="N78" s="294">
        <f ca="1">D72+J72+O33+O45+O59+O69+(D33+D45+D59+D69)*'COVERAGE FACTORS'!E44+(J33+J45+J59+J69)*(1-('COVERAGE FACTORS'!E40+'COVERAGE FACTORS'!E42))+D106</f>
        <v>25.306004485266911</v>
      </c>
      <c r="P78" s="20"/>
      <c r="Q78" s="109"/>
      <c r="S78" s="20"/>
      <c r="U78" s="20"/>
      <c r="Y78"/>
      <c r="Z78"/>
      <c r="AA78"/>
      <c r="AB78"/>
      <c r="AC78"/>
      <c r="AD78"/>
    </row>
    <row r="79" spans="1:30" ht="13" x14ac:dyDescent="0.3">
      <c r="A79" s="114"/>
      <c r="C79" s="98"/>
      <c r="D79" s="196">
        <f>SUM(C74:C78)-D72</f>
        <v>189.33725522177181</v>
      </c>
      <c r="E79" s="24" t="s">
        <v>130</v>
      </c>
      <c r="G79" s="114"/>
      <c r="I79" s="99"/>
      <c r="J79" s="201">
        <f>SUM(I74:I78)-J72</f>
        <v>0</v>
      </c>
      <c r="K79" s="24" t="s">
        <v>288</v>
      </c>
      <c r="L79"/>
      <c r="M79" s="20"/>
      <c r="O79" s="96">
        <f ca="1">SUM(N74:N78)</f>
        <v>25.306004485266911</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455.38488482931507</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83.291440743035253</v>
      </c>
      <c r="B83" s="29">
        <f>C83*(1+'ACCEPT RATES'!F17)</f>
        <v>1358.75865349475</v>
      </c>
      <c r="C83" s="51">
        <f>C16*('COVERAGE FACTORS'!E54+'COVERAGE FACTORS'!E58)</f>
        <v>1345.6688540503114</v>
      </c>
      <c r="E83" s="24" t="s">
        <v>70</v>
      </c>
      <c r="G83" s="217">
        <v>0</v>
      </c>
      <c r="H83" s="29">
        <f>I83</f>
        <v>0</v>
      </c>
      <c r="I83" s="51">
        <f>C16*'COVERAGE FACTORS'!E56</f>
        <v>0</v>
      </c>
      <c r="J83" s="113"/>
      <c r="K83" s="23" t="s">
        <v>70</v>
      </c>
      <c r="L83"/>
      <c r="M83" s="29">
        <f>N83</f>
        <v>8.0837077043862795</v>
      </c>
      <c r="N83" s="51">
        <f>C16*'COVERAGE FACTORS'!E60</f>
        <v>8.0837077043862795</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480.74725835267333</v>
      </c>
      <c r="B87" s="211">
        <f>C87*(1+'ACCEPT RATES'!F17)</f>
        <v>7842.5765193069092</v>
      </c>
      <c r="C87" s="212">
        <f>(D34+D46+D60+D70+D79)*((1-'COVERAGE FACTORS'!B119))*'COVERAGE FACTORS'!E104</f>
        <v>7767.0239158321465</v>
      </c>
      <c r="G87" s="205">
        <v>0</v>
      </c>
      <c r="H87" s="204">
        <f>I87</f>
        <v>0</v>
      </c>
      <c r="I87" s="203">
        <f>+(J34+J46+J60+J70+J79)*'COVERAGE FACTORS'!E104</f>
        <v>0</v>
      </c>
      <c r="J87" s="213"/>
      <c r="L87"/>
      <c r="M87" s="102">
        <f ca="1">N87</f>
        <v>1334.6084072424865</v>
      </c>
      <c r="N87" s="294">
        <f ca="1">D81+J81+(O34+O46+O60+O70+O79)+(D34+D46+D60+D70+D79)*(1-'COVERAGE FACTORS'!E104)+(J34+J46+J60+J70+J79)*(1-'COVERAGE FACTORS'!E104)+D120</f>
        <v>1334.6084072424865</v>
      </c>
      <c r="P87" s="20"/>
      <c r="Q87" s="109"/>
      <c r="S87" s="20"/>
      <c r="U87" s="20"/>
      <c r="Y87"/>
      <c r="Z87"/>
      <c r="AA87"/>
      <c r="AB87"/>
      <c r="AC87"/>
      <c r="AD87"/>
    </row>
    <row r="88" spans="1:30" ht="13" x14ac:dyDescent="0.3">
      <c r="A88" s="114"/>
      <c r="C88" s="98"/>
      <c r="D88" s="103">
        <f>SUM(C83:C87)-D81</f>
        <v>8657.3078850531438</v>
      </c>
      <c r="E88" s="24"/>
      <c r="G88" s="218"/>
      <c r="H88" s="214"/>
      <c r="I88" s="214"/>
      <c r="J88" s="215">
        <f>SUM(I83:I87)-J81</f>
        <v>0</v>
      </c>
      <c r="K88" s="24"/>
      <c r="L88"/>
      <c r="M88" s="20"/>
      <c r="O88" s="216">
        <f ca="1">SUM(N83:N87)</f>
        <v>1342.6921149468728</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 ca="1">SUM(A95:A99)*(1-'ACCEPT RATES'!G24)+SUM(B95:B99)*'ACCEPT RATES'!J24</f>
        <v>0</v>
      </c>
      <c r="E93" s="282">
        <f ca="1">SUM(B95:B99)*'ACCEPT RATES'!I24</f>
        <v>0</v>
      </c>
    </row>
    <row r="94" spans="1:30" ht="13" x14ac:dyDescent="0.3">
      <c r="A94" s="24" t="s">
        <v>256</v>
      </c>
      <c r="B94" s="239" t="s">
        <v>366</v>
      </c>
      <c r="C94" s="240"/>
      <c r="E94" s="24"/>
    </row>
    <row r="95" spans="1:30" ht="13" x14ac:dyDescent="0.3">
      <c r="A95" s="51">
        <f>B95*(1-'ACCEPT RATES'!C24)</f>
        <v>0</v>
      </c>
      <c r="B95" s="29">
        <f>C95*(1+'ACCEPT RATES'!F17)</f>
        <v>0</v>
      </c>
      <c r="C95" s="51">
        <f>C16*'COVERAGE FACTORS'!E52</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87">
        <f ca="1">(D16+D34+D46+D60+D70+D79)*'COVERAGE FACTORS'!B119*'COVERAGE FACTORS'!E104+D114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285">
        <f ca="1">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 ca="1">B112*(1-'ACCEPT RATES'!$C$17)</f>
        <v>0</v>
      </c>
      <c r="B112" s="289">
        <f ca="1">C112*(1+'ACCEPT RATES'!$F$17)</f>
        <v>0</v>
      </c>
      <c r="C112" s="290">
        <f ca="1">E93</f>
        <v>0</v>
      </c>
      <c r="G112" s="482"/>
      <c r="H112" s="482"/>
      <c r="I112" s="482"/>
      <c r="J112" s="482"/>
      <c r="K112" s="482"/>
    </row>
    <row r="113" spans="1:11" ht="13" x14ac:dyDescent="0.3">
      <c r="A113" s="114"/>
      <c r="C113" s="120"/>
      <c r="D113" s="293">
        <f ca="1">($C$112-$D$106)*(1-'COVERAGE FACTORS'!$E$80)</f>
        <v>0</v>
      </c>
      <c r="E113" s="24" t="s">
        <v>130</v>
      </c>
      <c r="G113" s="482"/>
      <c r="H113" s="482"/>
      <c r="I113" s="482"/>
      <c r="J113" s="482"/>
      <c r="K113" s="482"/>
    </row>
    <row r="114" spans="1:11" ht="13" x14ac:dyDescent="0.3">
      <c r="A114" s="114"/>
      <c r="C114" s="120"/>
      <c r="D114" s="29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 ca="1">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 ca="1">B126*(1-'ACCEPT RATES'!$C$17)</f>
        <v>0</v>
      </c>
      <c r="B126" s="289">
        <f ca="1">C126*(1+'ACCEPT RATES'!$F$17)</f>
        <v>0</v>
      </c>
      <c r="C126" s="290">
        <f ca="1">$D$93+$D$113</f>
        <v>0</v>
      </c>
    </row>
    <row r="127" spans="1:11" ht="13" x14ac:dyDescent="0.3">
      <c r="A127" s="122"/>
      <c r="C127" s="120"/>
      <c r="D127" s="292">
        <f ca="1">C126-D120</f>
        <v>0</v>
      </c>
      <c r="E127" s="24"/>
    </row>
    <row r="128" spans="1:11" ht="13" x14ac:dyDescent="0.3">
      <c r="A128" s="122"/>
      <c r="D128" s="23" t="s">
        <v>142</v>
      </c>
      <c r="E128" s="24"/>
    </row>
  </sheetData>
  <mergeCells count="2">
    <mergeCell ref="D91:E91"/>
    <mergeCell ref="G106:K113"/>
  </mergeCells>
  <pageMargins left="0.7" right="0.7" top="0.75" bottom="0.75" header="0.3" footer="0.3"/>
  <pageSetup orientation="portrait" horizontalDpi="300" r:id="rId1"/>
  <drawing r:id="rId2"/>
</worksheet>
</file>

<file path=xl/worksheets/sheet4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348</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'3D NONAUTO COST'!C11</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C11*J11/'3D AUTO MODEL REV NONFSS'!$G$6</f>
        <v>0</v>
      </c>
    </row>
    <row r="12" spans="1:11" ht="13" x14ac:dyDescent="0.3">
      <c r="A12" s="36"/>
      <c r="B12" t="s">
        <v>529</v>
      </c>
      <c r="C12" s="151">
        <f>'3D NONAUTO COST'!C12</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C12*J12/'3D AUTO MODEL REV NONFSS'!$G$6</f>
        <v>0</v>
      </c>
    </row>
    <row r="13" spans="1:11" ht="13" x14ac:dyDescent="0.3">
      <c r="A13" s="36"/>
      <c r="B13" t="s">
        <v>70</v>
      </c>
      <c r="C13" s="151">
        <f>'3D NONAUTO COST'!C13</f>
        <v>43.487454050286303</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C13*J13/'3D AUTO MODEL REV NONFSS'!$G$6</f>
        <v>8.8205236831011516E-2</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'3D NONAUTO COST'!C16</f>
        <v>36.080739442985667</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C16*J16/'3D AUTO MODEL REV NONFSS'!$G$6</f>
        <v>0.136260556983057</v>
      </c>
    </row>
    <row r="17" spans="1:11" ht="13" x14ac:dyDescent="0.3">
      <c r="A17" s="1"/>
      <c r="B17" t="s">
        <v>529</v>
      </c>
      <c r="C17" s="151">
        <f>'3D NONAUTO COST'!C17</f>
        <v>43.615733695457017</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C17*J17/'3D AUTO MODEL REV NONFSS'!$G$6</f>
        <v>0.19052434724934209</v>
      </c>
    </row>
    <row r="18" spans="1:11" ht="13" x14ac:dyDescent="0.3">
      <c r="A18" s="1"/>
      <c r="B18" t="s">
        <v>70</v>
      </c>
      <c r="C18" s="151">
        <f>'3D NONAUTO COST'!C18</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C18*J18/'3D AUTO MODEL REV NONFSS'!$G$6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'3D NONAUTO COST'!C21</f>
        <v>154.19594159077212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C21*J21/'3D AUTO MODEL REV NONFSS'!$G$6</f>
        <v>0.58232800131179618</v>
      </c>
    </row>
    <row r="22" spans="1:11" ht="13" x14ac:dyDescent="0.3">
      <c r="A22" s="1"/>
      <c r="B22" t="s">
        <v>529</v>
      </c>
      <c r="C22" s="151">
        <f>'3D NONAUTO COST'!C22</f>
        <v>186.39776316033394</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C22*J22/'3D AUTO MODEL REV NONFSS'!$G$6</f>
        <v>0.81423168076980268</v>
      </c>
    </row>
    <row r="23" spans="1:11" ht="13" x14ac:dyDescent="0.3">
      <c r="A23" s="1"/>
      <c r="B23" t="s">
        <v>70</v>
      </c>
      <c r="C23" s="151">
        <f>'3D NONAUTO COST'!C23</f>
        <v>9.822334654422832</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C23*J23/'3D AUTO MODEL REV NONFSS'!$G$6</f>
        <v>1.9922558663125822E-2</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'3D NONAUTO COST'!C26</f>
        <v>1.5488765427053707E-3</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C26*J26/'3D AUTO MODEL REV NONFSS'!$G$6</f>
        <v>5.84940285773592E-6</v>
      </c>
    </row>
    <row r="27" spans="1:11" ht="13" x14ac:dyDescent="0.3">
      <c r="A27" s="1"/>
      <c r="B27" t="s">
        <v>529</v>
      </c>
      <c r="C27" s="151">
        <f>'3D NONAUTO COST'!C27</f>
        <v>1.8723393105767076E-3</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C27*J27/'3D AUTO MODEL REV NONFSS'!$G$6</f>
        <v>8.1788426962554281E-6</v>
      </c>
    </row>
    <row r="28" spans="1:11" ht="13" x14ac:dyDescent="0.3">
      <c r="A28" s="1"/>
      <c r="B28" t="s">
        <v>70</v>
      </c>
      <c r="C28" s="151">
        <f>'3D NONAUTO COST'!C28</f>
        <v>0.33870036947492571</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C28*J28/'3D AUTO MODEL REV NONFSS'!$G$6</f>
        <v>9.5681816087805807E-4</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SUM('3D AUTO MODEL REV NONFSS'!$B$25:$B$29)</f>
        <v>5.8400471303969921</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C31*J31/'3D AUTO MODEL REV NONFSS'!$G$6</f>
        <v>2.9881632726313427E-3</v>
      </c>
    </row>
    <row r="32" spans="1:11" ht="13" x14ac:dyDescent="0.3">
      <c r="A32" s="36"/>
      <c r="B32" t="s">
        <v>244</v>
      </c>
      <c r="C32" s="2">
        <f>SUM('3D AUTO MODEL REV NONFSS'!$A$25:$A$29)</f>
        <v>0.35799289170810322</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C32*J32/'3D AUTO MODEL REV NONFSS'!$G$6</f>
        <v>2.6995134995181204E-4</v>
      </c>
    </row>
    <row r="33" spans="1:11" ht="13" x14ac:dyDescent="0.3">
      <c r="A33" s="36"/>
      <c r="B33" t="s">
        <v>291</v>
      </c>
      <c r="C33" s="2">
        <f>SUM('3D AUTO MODEL REV NONFSS'!$H$25:$H$29)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C33*J33/'3D AUTO MODEL REV NONFSS'!$G$6</f>
        <v>0</v>
      </c>
    </row>
    <row r="34" spans="1:11" x14ac:dyDescent="0.25">
      <c r="B34" t="s">
        <v>292</v>
      </c>
      <c r="C34" s="2">
        <f>SUM('3D AUTO MODEL REV NONFSS'!$G$25:$G$29)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C34*J34/'3D AUTO MODEL REV NONFSS'!$G$6</f>
        <v>0</v>
      </c>
    </row>
    <row r="35" spans="1:11" x14ac:dyDescent="0.25">
      <c r="B35" t="s">
        <v>70</v>
      </c>
      <c r="C35" s="2">
        <f>SUM('3D AUTO MODEL REV NONFSS'!$M$25:$M$29)</f>
        <v>0.28288003455531519</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C35*J35/'3D AUTO MODEL REV NONFSS'!$G$6</f>
        <v>3.0564523336804435E-4</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SUM('3D AUTO MODEL REV NONFSS'!$B$38:$B$42)</f>
        <v>0.72045363423807052</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C38*J38/'3D AUTO MODEL REV NONFSS'!$G$6</f>
        <v>2.5561902234497489E-4</v>
      </c>
    </row>
    <row r="39" spans="1:11" ht="13" x14ac:dyDescent="0.3">
      <c r="A39" s="36"/>
      <c r="B39" t="s">
        <v>244</v>
      </c>
      <c r="C39" s="2">
        <f>SUM('3D AUTO MODEL REV NONFSS'!$A$38:$A$42)</f>
        <v>4.4163561372657346E-2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C39*J39/'3D AUTO MODEL REV NONFSS'!$G$6</f>
        <v>3.3302373559275602E-5</v>
      </c>
    </row>
    <row r="40" spans="1:11" x14ac:dyDescent="0.25">
      <c r="B40" t="s">
        <v>291</v>
      </c>
      <c r="C40" s="2">
        <f>SUM('3D AUTO MODEL REV NONFSS'!$H$38:$H$42)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C40*J40/'3D AUTO MODEL REV NONFSS'!$G$6</f>
        <v>0</v>
      </c>
    </row>
    <row r="41" spans="1:11" x14ac:dyDescent="0.25">
      <c r="B41" t="s">
        <v>292</v>
      </c>
      <c r="C41" s="2">
        <f>SUM('3D AUTO MODEL REV NONFSS'!$G$38:$G$42)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C41*J41/'3D AUTO MODEL REV NONFSS'!$G$6</f>
        <v>0</v>
      </c>
    </row>
    <row r="42" spans="1:11" x14ac:dyDescent="0.25">
      <c r="B42" t="s">
        <v>70</v>
      </c>
      <c r="C42" s="2">
        <f>SUM('3D AUTO MODEL REV NONFSS'!$M$38:$M$42)</f>
        <v>9.2092152854983747E-2</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C42*J42/'3D AUTO MODEL REV NONFSS'!$G$6</f>
        <v>1.2579632307165354E-4</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SUM('3D AUTO MODEL REV NONFSS'!$B$53:$B$57)</f>
        <v>426.01561393782424</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C45*J45/'3D AUTO MODEL REV NONFSS'!$G$6</f>
        <v>0.21791629266183299</v>
      </c>
    </row>
    <row r="46" spans="1:11" ht="13" x14ac:dyDescent="0.3">
      <c r="A46" s="36"/>
      <c r="B46" t="s">
        <v>244</v>
      </c>
      <c r="C46" s="2">
        <f>SUM('3D AUTO MODEL REV NONFSS'!$A$53:$A$57)</f>
        <v>26.114611430548049</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C46*J46/'3D AUTO MODEL REV NONFSS'!$G$6</f>
        <v>1.9692219517284611E-2</v>
      </c>
    </row>
    <row r="47" spans="1:11" x14ac:dyDescent="0.25">
      <c r="B47" t="s">
        <v>291</v>
      </c>
      <c r="C47" s="2">
        <f>SUM('3D AUTO MODEL REV NONFSS'!$H$53:$H$57)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C47*J47/'3D AUTO MODEL REV NONFSS'!$G$6</f>
        <v>0</v>
      </c>
    </row>
    <row r="48" spans="1:11" x14ac:dyDescent="0.25">
      <c r="B48" t="s">
        <v>292</v>
      </c>
      <c r="C48" s="2">
        <f>SUM('3D AUTO MODEL REV NONFSS'!$G$53:$G$57)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C48*J48/'3D AUTO MODEL REV NONFSS'!$G$6</f>
        <v>0</v>
      </c>
    </row>
    <row r="49" spans="1:11" x14ac:dyDescent="0.25">
      <c r="B49" t="s">
        <v>70</v>
      </c>
      <c r="C49" s="2">
        <f>SUM('3D AUTO MODEL REV NONFSS'!$M$53:$M$57)</f>
        <v>33.654476671260468</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C49*J49/'3D AUTO MODEL REV NONFSS'!$G$6</f>
        <v>3.2547979887981825E-2</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SUM('3D AUTO MODEL REV NONFSS'!$B$64:$B$68)</f>
        <v>8761.6280336094969</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C52*J52/'3D AUTO MODEL REV NONFSS'!$G$6</f>
        <v>3.3998251575228848</v>
      </c>
    </row>
    <row r="53" spans="1:11" ht="13" x14ac:dyDescent="0.3">
      <c r="A53" s="36"/>
      <c r="B53" t="s">
        <v>244</v>
      </c>
      <c r="C53" s="2">
        <f>SUM('3D AUTO MODEL REV NONFSS'!$A$64:$A$68)</f>
        <v>537.08480184978021</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C53*J53/'3D AUTO MODEL REV NONFSS'!$G$6</f>
        <v>0.40499901158978191</v>
      </c>
    </row>
    <row r="54" spans="1:11" x14ac:dyDescent="0.25">
      <c r="B54" t="s">
        <v>291</v>
      </c>
      <c r="C54" s="2">
        <f>SUM('3D AUTO MODEL REV NONFSS'!$H$64:$H$68)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C54*J54/'3D AUTO MODEL REV NONFSS'!$G$6</f>
        <v>0</v>
      </c>
    </row>
    <row r="55" spans="1:11" x14ac:dyDescent="0.25">
      <c r="B55" t="s">
        <v>292</v>
      </c>
      <c r="C55" s="2">
        <f>SUM('3D AUTO MODEL REV NONFSS'!$G$64:$G$68)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C55*J55/'3D AUTO MODEL REV NONFSS'!$G$6</f>
        <v>0</v>
      </c>
    </row>
    <row r="56" spans="1:11" x14ac:dyDescent="0.25">
      <c r="B56" t="s">
        <v>70</v>
      </c>
      <c r="C56" s="2">
        <f>SUM('3D AUTO MODEL REV NONFSS'!$M$64:$M$68)</f>
        <v>492.14651159975273</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C56*J56/'3D AUTO MODEL REV NONFSS'!$G$6</f>
        <v>0.54910829978320341</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SUM('3D AUTO MODEL REV NONFSS'!$B$74:$B$78)+SUM('3D AUTO MODEL REV NONFSS'!$B$108:$B$112)</f>
        <v>201.23525339807404</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C59*J59/'3D AUTO MODEL REV NONFSS'!$G$6</f>
        <v>0.14490238045875328</v>
      </c>
    </row>
    <row r="60" spans="1:11" ht="13" x14ac:dyDescent="0.3">
      <c r="A60" s="36"/>
      <c r="B60" t="s">
        <v>244</v>
      </c>
      <c r="C60" s="2">
        <f>SUM('3D AUTO MODEL REV NONFSS'!$A$74:$A$78)+SUM('3D AUTO MODEL REV NONFSS'!$A$108:$A$112)</f>
        <v>12.33565220777461</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C60*J60/'3D AUTO MODEL REV NONFSS'!$G$6</f>
        <v>9.301933203578831E-3</v>
      </c>
    </row>
    <row r="61" spans="1:11" x14ac:dyDescent="0.25">
      <c r="B61" t="s">
        <v>291</v>
      </c>
      <c r="C61" s="2">
        <f>SUM('3D AUTO MODEL REV NONFSS'!$H$74:$H$78)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C61*J61/'3D AUTO MODEL REV NONFSS'!$G$6</f>
        <v>0</v>
      </c>
    </row>
    <row r="62" spans="1:11" x14ac:dyDescent="0.25">
      <c r="B62" t="s">
        <v>292</v>
      </c>
      <c r="C62" s="2">
        <f>SUM('3D AUTO MODEL REV NONFSS'!$G$74:$G$78)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C62*J62/'3D AUTO MODEL REV NONFSS'!$G$6</f>
        <v>0</v>
      </c>
    </row>
    <row r="63" spans="1:11" x14ac:dyDescent="0.25">
      <c r="B63" t="s">
        <v>70</v>
      </c>
      <c r="C63" s="2">
        <f>SUM('3D AUTO MODEL REV NONFSS'!$M$74:$M$78)</f>
        <v>25.306004485266911</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C63*J63/'3D AUTO MODEL REV NONFSS'!$G$6</f>
        <v>2.2510460826619762E-2</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SUM('3D AUTO MODEL REV NONFSS'!$B$83:$B$87)+SUM('3D AUTO MODEL REV NONFSS'!$B$122:$B$126)</f>
        <v>9154.5045347497617</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C66*J66/'3D AUTO MODEL REV NONFSS'!$G$6</f>
        <v>3.9638309213132716</v>
      </c>
    </row>
    <row r="67" spans="1:11" ht="13" x14ac:dyDescent="0.3">
      <c r="A67" s="36"/>
      <c r="B67" t="s">
        <v>244</v>
      </c>
      <c r="C67" s="2">
        <f>SUM('3D AUTO MODEL REV NONFSS'!$A$83:$A$87)+SUM('3D AUTO MODEL REV NONFSS'!$A$122:$A$126)</f>
        <v>561.16799699992009</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C67*J67/'3D AUTO MODEL REV NONFSS'!$G$6</f>
        <v>0.42315940301798421</v>
      </c>
    </row>
    <row r="68" spans="1:11" x14ac:dyDescent="0.25">
      <c r="B68" t="s">
        <v>291</v>
      </c>
      <c r="C68" s="2">
        <f>SUM('3D AUTO MODEL REV NONFSS'!$H$83:$H$87)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C68*J68/'3D AUTO MODEL REV NONFSS'!$G$6</f>
        <v>0</v>
      </c>
    </row>
    <row r="69" spans="1:11" x14ac:dyDescent="0.25">
      <c r="B69" t="s">
        <v>292</v>
      </c>
      <c r="C69" s="2">
        <f>SUM('3D AUTO MODEL REV NONFSS'!$G$83:$G$87)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C69*J69/'3D AUTO MODEL REV NONFSS'!$G$6</f>
        <v>0</v>
      </c>
    </row>
    <row r="70" spans="1:11" x14ac:dyDescent="0.25">
      <c r="B70" t="s">
        <v>70</v>
      </c>
      <c r="C70" s="2">
        <f>SUM('3D AUTO MODEL REV NONFSS'!$M$83:$M$87)</f>
        <v>1386.75389994381</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C70*J70/'3D AUTO MODEL REV NONFSS'!$G$6</f>
        <v>1.3750327945832559</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SUM('3D AUTO MODEL REV NONFSS'!$A$95:$A$99)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C74*J74/'3D AUTO MODEL REV NONFSS'!$G$6</f>
        <v>0</v>
      </c>
    </row>
    <row r="76" spans="1:11" x14ac:dyDescent="0.25">
      <c r="B76" s="155" t="s">
        <v>486</v>
      </c>
      <c r="C76" s="2">
        <f>SUM('3D AUTO MODEL REV NONFSS'!C64,'3D AUTO MODEL REV NONFSS'!I64,'3D AUTO MODEL REV NONFSS'!C74,'3D AUTO MODEL REV NONFSS'!I74,'3D AUTO MODEL REV NONFSS'!C83,'3D AUTO MODEL REV NONFSS'!I83)</f>
        <v>9516.4471327227784</v>
      </c>
      <c r="D76" s="2">
        <f>PRODUCTIVITIES!$C$49*'FY VOLUME NONAUTO'!C63</f>
        <v>2455.4276841308706</v>
      </c>
      <c r="E76" s="38">
        <f>'WAGE RATES'!$C$6</f>
        <v>50.10717457546064</v>
      </c>
      <c r="F76" s="42">
        <f t="shared" ref="F76:F77" si="0">E76*100/D76</f>
        <v>2.0406699370255206</v>
      </c>
      <c r="G76" s="42">
        <f>PIGGYBACKS!$B$13</f>
        <v>1.6305774272183733</v>
      </c>
      <c r="H76" s="42">
        <f>'WAGE RATES'!$C$9</f>
        <v>0.9752031228402912</v>
      </c>
      <c r="I76" s="42">
        <f t="shared" ref="I76:I77" si="1">(H76-1)*F76</f>
        <v>-5.0602241751932522E-2</v>
      </c>
      <c r="J76" s="42">
        <f t="shared" ref="J76:J77" si="2">F76*G76+I76</f>
        <v>3.2768680939650205</v>
      </c>
      <c r="K76" s="42">
        <f ca="1">C76*$J76/'3D AUTO MODEL'!$G$6</f>
        <v>3.1184141977124136</v>
      </c>
    </row>
    <row r="77" spans="1:11" x14ac:dyDescent="0.25">
      <c r="B77" s="155" t="s">
        <v>491</v>
      </c>
      <c r="C77" s="2">
        <f>SUM(C31,C33,C34,C38,C40,C41,C45,C47,C48,C52,C54,C55,C59,C61,C62,C66,C68,C69)-C76</f>
        <v>9033.4968037370145</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C77*$J77/'3D AUTO MODEL'!$G$6</f>
        <v>3.4486365309437788</v>
      </c>
    </row>
    <row r="78" spans="1:11" ht="13.5" thickBot="1" x14ac:dyDescent="0.35">
      <c r="F78" s="42"/>
      <c r="H78" s="42"/>
      <c r="I78" s="42"/>
      <c r="J78" s="42"/>
      <c r="K78" s="41" t="str">
        <f>"(10)"</f>
        <v>(10)</v>
      </c>
    </row>
    <row r="79" spans="1:11" ht="13.5" thickBot="1" x14ac:dyDescent="0.35">
      <c r="F79" s="42"/>
      <c r="H79" s="42"/>
      <c r="I79" s="42"/>
      <c r="J79" s="142" t="s">
        <v>78</v>
      </c>
      <c r="K79" s="143">
        <f ca="1">SUM(K11:K77)</f>
        <v>18.966299288812117</v>
      </c>
    </row>
    <row r="80" spans="1:11" ht="13.5" thickBot="1" x14ac:dyDescent="0.35">
      <c r="J80" s="142" t="s">
        <v>485</v>
      </c>
      <c r="K80" s="143">
        <f ca="1">SUM(K31,K33,K34,K38,K40,K41,K45,K47,K48,K52,K54,K55,K59,K61,K62,K66,K68,K69,K76,K77)</f>
        <v>14.296769262907912</v>
      </c>
    </row>
    <row r="83" spans="1:8" ht="13" x14ac:dyDescent="0.3">
      <c r="A83" s="145" t="str">
        <f>"(1)"</f>
        <v>(1)</v>
      </c>
      <c r="B83" s="1" t="s">
        <v>412</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orientation="portrait" horizontalDpi="300" r:id="rId1"/>
  <ignoredErrors>
    <ignoredError sqref="E4" numberStoredAsText="1"/>
  </ignoredErrors>
</worksheet>
</file>

<file path=xl/worksheets/sheet5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6" width="10.7265625" style="20" customWidth="1"/>
    <col min="7" max="7" width="17"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'3D AUTO COST REV NONFSS'!A1</f>
        <v>3-DIGIT AUTO PRESORT (PRESORT LEVELS HELD CONSTANT)</v>
      </c>
    </row>
    <row r="2" spans="1:30" ht="23" x14ac:dyDescent="0.5">
      <c r="A2" s="57" t="s">
        <v>84</v>
      </c>
    </row>
    <row r="6" spans="1:30" s="228" customFormat="1" ht="18" x14ac:dyDescent="0.4">
      <c r="A6" s="48" t="s">
        <v>85</v>
      </c>
      <c r="B6" s="226"/>
      <c r="C6" s="49">
        <f>SUM(C11:C16)+SUM(G11:G16)+SUM(K11:K16)+SUM(O11:O16)</f>
        <v>10000.000000000002</v>
      </c>
      <c r="D6" s="227"/>
      <c r="E6" s="48" t="s">
        <v>86</v>
      </c>
      <c r="F6" s="226"/>
      <c r="G6" s="49">
        <f>D88+J88+O88+D100+D127</f>
        <v>10000.000000000015</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'3D NONAUTO MODEL NONFSS'!G11</f>
        <v>5.7767540831629676</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f>'3D NONAUTO MODEL NONFSS'!G12</f>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'3D NONAUTO MODEL NONFSS'!G13</f>
        <v>420.60887121352755</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'3D NONAUTO MODEL NONFSS'!G14</f>
        <v>8219.8618129486149</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f>'3D NONAUTO MODEL NONFSS'!G15</f>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'3D NONAUTO MODEL NONFSS'!G16</f>
        <v>1353.7525617546958</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0.27289433770058996</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0.35799289170810322</v>
      </c>
      <c r="B25" s="29">
        <f>C25*(1+'ACCEPT RATES'!F14)</f>
        <v>5.8400471303969921</v>
      </c>
      <c r="C25" s="51">
        <f>C11*('COVERAGE FACTORS'!E14+'COVERAGE FACTORS'!E18)</f>
        <v>5.766768386308244</v>
      </c>
      <c r="E25" s="24" t="s">
        <v>70</v>
      </c>
      <c r="G25" s="217">
        <f>H25*(1-'ACCEPT RATES'!C19)</f>
        <v>0</v>
      </c>
      <c r="H25" s="29">
        <f>I25</f>
        <v>0</v>
      </c>
      <c r="I25" s="51">
        <f>C11*'COVERAGE FACTORS'!E16</f>
        <v>0</v>
      </c>
      <c r="J25" s="23"/>
      <c r="K25" s="23" t="s">
        <v>70</v>
      </c>
      <c r="L25"/>
      <c r="M25" s="29">
        <f>N25</f>
        <v>9.9856968547252286E-3</v>
      </c>
      <c r="N25" s="51">
        <f>C11*'COVERAGE FACTORS'!E20</f>
        <v>9.9856968547252286E-3</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0.27289433770058996</v>
      </c>
      <c r="N29" s="206">
        <f>D23+J23</f>
        <v>0.27289433770058996</v>
      </c>
      <c r="P29" s="20"/>
      <c r="Q29" s="109"/>
      <c r="S29" s="20"/>
      <c r="U29" s="20"/>
      <c r="Y29"/>
      <c r="Z29"/>
      <c r="AA29"/>
      <c r="AB29"/>
      <c r="AC29"/>
      <c r="AD29"/>
    </row>
    <row r="30" spans="1:30" ht="13" x14ac:dyDescent="0.3">
      <c r="A30" s="114"/>
      <c r="C30" s="98"/>
      <c r="D30" s="196">
        <f>(SUM(C25:C29)-D23)*'PIECE DENSITIES'!C6</f>
        <v>0.70349195453975111</v>
      </c>
      <c r="E30" s="24" t="s">
        <v>290</v>
      </c>
      <c r="G30" s="114"/>
      <c r="I30" s="99"/>
      <c r="J30" s="201">
        <f>(SUM(I25:I29)-J23)*'PIECE DENSITIES'!C11</f>
        <v>0</v>
      </c>
      <c r="K30" s="24" t="s">
        <v>289</v>
      </c>
      <c r="L30"/>
      <c r="M30" s="20"/>
      <c r="O30" s="96">
        <f>SUM(N25:N29)*'PIECE DENSITIES'!C16</f>
        <v>2.531146325209371E-2</v>
      </c>
      <c r="P30" s="24" t="s">
        <v>120</v>
      </c>
      <c r="Q30" s="109"/>
      <c r="S30" s="20"/>
      <c r="U30" s="20"/>
      <c r="Y30"/>
      <c r="Z30"/>
      <c r="AA30"/>
      <c r="AB30"/>
      <c r="AC30"/>
      <c r="AD30"/>
    </row>
    <row r="31" spans="1:30" ht="13" x14ac:dyDescent="0.3">
      <c r="A31" s="114"/>
      <c r="C31" s="98"/>
      <c r="D31" s="196">
        <f>(SUM(C25:C29)-D23)*'PIECE DENSITIES'!D6</f>
        <v>2.8475250800919891</v>
      </c>
      <c r="E31" s="24" t="s">
        <v>121</v>
      </c>
      <c r="G31" s="114"/>
      <c r="I31" s="99"/>
      <c r="J31" s="201">
        <f>(SUM(I25:I29)-J23)*'PIECE DENSITIES'!D11</f>
        <v>0</v>
      </c>
      <c r="K31" s="24" t="s">
        <v>122</v>
      </c>
      <c r="L31"/>
      <c r="M31" s="20"/>
      <c r="O31" s="96">
        <f>SUM(N25:N29)*'PIECE DENSITIES'!D16</f>
        <v>0.16425479204174273</v>
      </c>
      <c r="P31" s="24" t="s">
        <v>123</v>
      </c>
      <c r="Q31" s="109"/>
      <c r="S31" s="20"/>
      <c r="U31" s="20"/>
      <c r="Y31"/>
      <c r="Z31"/>
      <c r="AA31"/>
      <c r="AB31"/>
      <c r="AC31"/>
      <c r="AD31"/>
    </row>
    <row r="32" spans="1:30" ht="13" x14ac:dyDescent="0.3">
      <c r="A32" s="114"/>
      <c r="C32" s="89"/>
      <c r="D32" s="197">
        <f>(SUM(C25:C29)-D23)*'PIECE DENSITIES'!E6</f>
        <v>1.5378658280501767</v>
      </c>
      <c r="E32" s="24" t="s">
        <v>124</v>
      </c>
      <c r="G32" s="114"/>
      <c r="I32" s="94"/>
      <c r="J32" s="202">
        <f>(SUM(I25:I29)-J23)*'PIECE DENSITIES'!E11</f>
        <v>0</v>
      </c>
      <c r="K32" s="24" t="s">
        <v>125</v>
      </c>
      <c r="L32"/>
      <c r="M32" s="20"/>
      <c r="N32" s="46"/>
      <c r="O32" s="97">
        <f>SUM(N25:N29)*'PIECE DENSITIES'!E16</f>
        <v>7.2362712045847863E-2</v>
      </c>
      <c r="P32" s="24" t="s">
        <v>126</v>
      </c>
      <c r="Q32" s="109"/>
      <c r="S32" s="20"/>
      <c r="U32" s="20"/>
      <c r="Y32"/>
      <c r="Z32"/>
      <c r="AA32"/>
      <c r="AB32"/>
      <c r="AC32"/>
      <c r="AD32"/>
    </row>
    <row r="33" spans="1:30" ht="13" x14ac:dyDescent="0.3">
      <c r="A33" s="114"/>
      <c r="C33" s="89"/>
      <c r="D33" s="197">
        <f>(SUM(C25:C29)-D23)*'PIECE DENSITIES'!F6</f>
        <v>0.40499118592573718</v>
      </c>
      <c r="E33" s="24" t="s">
        <v>127</v>
      </c>
      <c r="G33" s="114"/>
      <c r="I33" s="94"/>
      <c r="J33" s="202">
        <f>(SUM(I25:I29)-J23)*'PIECE DENSITIES'!F11</f>
        <v>0</v>
      </c>
      <c r="K33" s="24" t="s">
        <v>128</v>
      </c>
      <c r="L33"/>
      <c r="M33" s="20"/>
      <c r="N33" s="46"/>
      <c r="O33" s="97">
        <f>SUM(N25:N29)*'PIECE DENSITIES'!F16</f>
        <v>2.0951067215630916E-2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6.6780689602890034E-2</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4.4163561372657346E-2</v>
      </c>
      <c r="B42" s="199">
        <f>C42*(1+'ACCEPT RATES'!F15+'PIECE DENSITIES'!C7)</f>
        <v>0.72045363423807052</v>
      </c>
      <c r="C42" s="198">
        <f>D30</f>
        <v>0.70349195453975111</v>
      </c>
      <c r="G42" s="205">
        <f>IF(SUM(C11:C16)&gt;0,H42*(1-'ACCEPT RATES'!C20),H42*(1-'ACCEPT RATES'!D20))</f>
        <v>0</v>
      </c>
      <c r="H42" s="204">
        <f>I42*(1+'PIECE DENSITIES'!C12)</f>
        <v>0</v>
      </c>
      <c r="I42" s="203">
        <f>J30</f>
        <v>0</v>
      </c>
      <c r="J42" s="58"/>
      <c r="L42"/>
      <c r="M42" s="102">
        <f>N42</f>
        <v>9.2092152854983747E-2</v>
      </c>
      <c r="N42" s="101">
        <f>D36+J36+O30</f>
        <v>9.2092152854983747E-2</v>
      </c>
      <c r="P42" s="20"/>
      <c r="Q42" s="109"/>
      <c r="S42" s="20"/>
      <c r="U42" s="20"/>
      <c r="Y42"/>
      <c r="Z42"/>
      <c r="AA42"/>
      <c r="AB42"/>
      <c r="AC42"/>
      <c r="AD42"/>
    </row>
    <row r="43" spans="1:30" ht="13" x14ac:dyDescent="0.3">
      <c r="A43" s="114"/>
      <c r="C43" s="98"/>
      <c r="D43" s="196">
        <f>(SUM(C38:C42)-D36)*'PIECE DENSITIES'!D7</f>
        <v>0.52579213863391294</v>
      </c>
      <c r="E43" s="24" t="s">
        <v>121</v>
      </c>
      <c r="G43" s="114"/>
      <c r="I43" s="99"/>
      <c r="J43" s="201">
        <f>(SUM(I38:I42)-J36)*'PIECE DENSITIES'!D12</f>
        <v>0</v>
      </c>
      <c r="K43" s="24" t="s">
        <v>122</v>
      </c>
      <c r="L43"/>
      <c r="M43" s="20"/>
      <c r="O43" s="96">
        <f>SUM(N38:N42)*'PIECE DENSITIES'!D17</f>
        <v>6.5186842516300469E-2</v>
      </c>
      <c r="P43" s="24" t="s">
        <v>123</v>
      </c>
      <c r="Q43" s="109"/>
      <c r="S43" s="20"/>
      <c r="U43" s="20"/>
      <c r="Y43"/>
      <c r="Z43"/>
      <c r="AA43"/>
      <c r="AB43"/>
      <c r="AC43"/>
      <c r="AD43"/>
    </row>
    <row r="44" spans="1:30" ht="13" x14ac:dyDescent="0.3">
      <c r="A44" s="114"/>
      <c r="C44" s="98"/>
      <c r="D44" s="196">
        <f>(SUM(C38:C42)-D36)*'PIECE DENSITIES'!E7</f>
        <v>4.394286838442079E-2</v>
      </c>
      <c r="E44" s="24" t="s">
        <v>124</v>
      </c>
      <c r="G44" s="114"/>
      <c r="I44" s="99"/>
      <c r="J44" s="201">
        <f>(SUM(I38:I42)-J36)*'PIECE DENSITIES'!E12</f>
        <v>0</v>
      </c>
      <c r="K44" s="24" t="s">
        <v>125</v>
      </c>
      <c r="L44"/>
      <c r="M44" s="20"/>
      <c r="O44" s="96">
        <f>SUM(N38:N42)*'PIECE DENSITIES'!E17</f>
        <v>2.8578383414985792E-4</v>
      </c>
      <c r="P44" s="24" t="s">
        <v>126</v>
      </c>
      <c r="Q44" s="109"/>
      <c r="S44" s="20"/>
      <c r="U44" s="20"/>
      <c r="Y44"/>
      <c r="Z44"/>
      <c r="AA44"/>
      <c r="AB44"/>
      <c r="AC44"/>
      <c r="AD44"/>
    </row>
    <row r="45" spans="1:30" ht="13" x14ac:dyDescent="0.3">
      <c r="A45" s="114"/>
      <c r="C45" s="89"/>
      <c r="D45" s="197">
        <f>(SUM(C38:C42)-D36)*'PIECE DENSITIES'!F7</f>
        <v>4.6807174240379393E-3</v>
      </c>
      <c r="E45" s="24" t="s">
        <v>127</v>
      </c>
      <c r="G45" s="114"/>
      <c r="I45" s="94"/>
      <c r="J45" s="202">
        <f>(SUM(I38:I42)-J36)*'PIECE DENSITIES'!F12</f>
        <v>0</v>
      </c>
      <c r="K45" s="24" t="s">
        <v>128</v>
      </c>
      <c r="L45"/>
      <c r="M45" s="20"/>
      <c r="N45" s="46"/>
      <c r="O45" s="97">
        <f>SUM(N38:N42)*'PIECE DENSITIES'!F17</f>
        <v>1.8294665918412163E-3</v>
      </c>
      <c r="P45" s="24" t="s">
        <v>129</v>
      </c>
      <c r="Q45" s="109"/>
      <c r="S45" s="20"/>
      <c r="U45" s="20"/>
      <c r="Y45"/>
      <c r="Z45"/>
      <c r="AA45"/>
      <c r="AB45"/>
      <c r="AC45"/>
      <c r="AD45"/>
    </row>
    <row r="46" spans="1:30" ht="13" x14ac:dyDescent="0.3">
      <c r="A46" s="114"/>
      <c r="C46" s="89"/>
      <c r="D46" s="197">
        <f>(SUM(C38:C42)-D36)*'PIECE DENSITIES'!G7</f>
        <v>6.229554049448937E-2</v>
      </c>
      <c r="E46" s="24" t="s">
        <v>130</v>
      </c>
      <c r="G46" s="114"/>
      <c r="I46" s="94"/>
      <c r="J46" s="202">
        <f>(SUM(I38:I42)-J36)*'PIECE DENSITIES'!G12</f>
        <v>0</v>
      </c>
      <c r="K46" s="24" t="s">
        <v>288</v>
      </c>
      <c r="L46"/>
      <c r="M46" s="20"/>
      <c r="N46" s="46"/>
      <c r="O46" s="97">
        <f>SUM(N38:N42)*'PIECE DENSITIES'!G17</f>
        <v>2.4790059912692206E-2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30.893296091211582</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25.906836503198523</v>
      </c>
      <c r="B53" s="29">
        <f>C53*(1+'ACCEPT RATES'!F16+'PIECE DENSITIES'!D8)</f>
        <v>422.62611823458155</v>
      </c>
      <c r="C53" s="51">
        <f>C13*('COVERAGE FACTORS'!E38+'COVERAGE FACTORS'!E42)</f>
        <v>418.09727546935835</v>
      </c>
      <c r="E53" s="24" t="s">
        <v>70</v>
      </c>
      <c r="G53" s="217">
        <f>H53*(1-'ACCEPT RATES'!C21)</f>
        <v>0</v>
      </c>
      <c r="H53" s="29">
        <f>I53*(1+'PIECE DENSITIES'!D13)</f>
        <v>0</v>
      </c>
      <c r="I53" s="51">
        <f>C13*'COVERAGE FACTORS'!E40</f>
        <v>0</v>
      </c>
      <c r="J53" s="113"/>
      <c r="K53" s="23" t="s">
        <v>70</v>
      </c>
      <c r="L53"/>
      <c r="M53" s="29">
        <f>N53</f>
        <v>2.5115957441697638</v>
      </c>
      <c r="N53" s="51">
        <f>C13*'COVERAGE FACTORS'!E44</f>
        <v>2.5115957441697638</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0.20777492734952477</v>
      </c>
      <c r="B57" s="199">
        <f>C57*(1+'ACCEPT RATES'!F16+'PIECE DENSITIES'!D8)</f>
        <v>3.389495703242674</v>
      </c>
      <c r="C57" s="198">
        <f>(D31+D43)*('COVERAGE FACTORS'!E38+'COVERAGE FACTORS'!E42)</f>
        <v>3.3531740174048261</v>
      </c>
      <c r="G57" s="210">
        <f>IF(SUM(C11:C16)&gt;0,H57*(1-'ACCEPT RATES'!C21),H57*(1-'ACCEPT RATES'!D21))</f>
        <v>0</v>
      </c>
      <c r="H57" s="209">
        <f>I57*(1+'PIECE DENSITIES'!D13)</f>
        <v>0</v>
      </c>
      <c r="I57" s="208">
        <f>(D31+D43)*'COVERAGE FACTORS'!E40+(J31+J43)*('COVERAGE FACTORS'!E40+'COVERAGE FACTORS'!E42)</f>
        <v>0</v>
      </c>
      <c r="J57" s="58"/>
      <c r="L57"/>
      <c r="M57" s="102">
        <f>N57</f>
        <v>31.142880927090705</v>
      </c>
      <c r="N57" s="101">
        <f>D51+J51+O31+O43+(D31+D43)*'COVERAGE FACTORS'!E44+(J31+J43)*(1-('COVERAGE FACTORS'!E40+'COVERAGE FACTORS'!E42))</f>
        <v>31.142880927090705</v>
      </c>
      <c r="P57" s="20"/>
      <c r="Q57" s="109"/>
      <c r="S57" s="20"/>
      <c r="U57" s="20"/>
      <c r="Y57"/>
      <c r="Z57"/>
      <c r="AA57"/>
      <c r="AB57"/>
      <c r="AC57"/>
      <c r="AD57"/>
    </row>
    <row r="58" spans="1:30" ht="13" x14ac:dyDescent="0.3">
      <c r="A58" s="114"/>
      <c r="C58" s="98"/>
      <c r="D58" s="196">
        <f>(SUM(C53:C57)-D51)*'PIECE DENSITIES'!E8</f>
        <v>77.697731926618999</v>
      </c>
      <c r="E58" s="24" t="s">
        <v>124</v>
      </c>
      <c r="G58" s="114"/>
      <c r="I58" s="99"/>
      <c r="J58" s="201">
        <f>(SUM(I53:I57)-J51)*'PIECE DENSITIES'!E13</f>
        <v>0</v>
      </c>
      <c r="K58" s="24" t="s">
        <v>125</v>
      </c>
      <c r="L58"/>
      <c r="M58" s="20"/>
      <c r="O58" s="96">
        <f>SUM(N53:N57)*'PIECE DENSITIES'!E18</f>
        <v>8.8936622025177279</v>
      </c>
      <c r="P58" s="24" t="s">
        <v>126</v>
      </c>
      <c r="Q58" s="109"/>
      <c r="S58" s="20"/>
      <c r="U58" s="20"/>
      <c r="Y58"/>
      <c r="Z58"/>
      <c r="AA58"/>
      <c r="AB58"/>
      <c r="AC58"/>
      <c r="AD58"/>
    </row>
    <row r="59" spans="1:30" ht="13" x14ac:dyDescent="0.3">
      <c r="A59" s="114"/>
      <c r="C59" s="98"/>
      <c r="D59" s="196">
        <f>(SUM(C53:C57)-D51)*'PIECE DENSITIES'!F8</f>
        <v>25.225709525307511</v>
      </c>
      <c r="E59" s="24" t="s">
        <v>127</v>
      </c>
      <c r="G59" s="114"/>
      <c r="I59" s="99"/>
      <c r="J59" s="201">
        <f>(SUM(I53:I57)-J51)*'PIECE DENSITIES'!F13</f>
        <v>0</v>
      </c>
      <c r="K59" s="24" t="s">
        <v>128</v>
      </c>
      <c r="L59"/>
      <c r="M59" s="20"/>
      <c r="O59" s="96">
        <f>SUM(N53:N57)*'PIECE DENSITIES'!F18</f>
        <v>1.3958780410886362</v>
      </c>
      <c r="P59" s="24" t="s">
        <v>129</v>
      </c>
      <c r="Q59" s="109"/>
      <c r="S59" s="20"/>
      <c r="U59" s="20"/>
      <c r="Y59"/>
      <c r="Z59"/>
      <c r="AA59"/>
      <c r="AB59"/>
      <c r="AC59"/>
      <c r="AD59"/>
    </row>
    <row r="60" spans="1:30" ht="13" x14ac:dyDescent="0.3">
      <c r="A60" s="114"/>
      <c r="C60" s="89"/>
      <c r="D60" s="197">
        <f>(SUM(C53:C57)-D51)*'PIECE DENSITIES'!G8</f>
        <v>287.63371194362509</v>
      </c>
      <c r="E60" s="24" t="s">
        <v>130</v>
      </c>
      <c r="G60" s="114"/>
      <c r="I60" s="94"/>
      <c r="J60" s="202">
        <f>(SUM(I53:I57)-J51)*'PIECE DENSITIES'!G13</f>
        <v>0</v>
      </c>
      <c r="K60" s="24" t="s">
        <v>288</v>
      </c>
      <c r="L60"/>
      <c r="M60" s="20"/>
      <c r="N60" s="46"/>
      <c r="O60" s="97">
        <f>SUM(N53:N57)*'PIECE DENSITIES'!G18</f>
        <v>23.364936427654104</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433.62326206705228</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531.95417031186219</v>
      </c>
      <c r="B64" s="29">
        <f>C64*(1+'ACCEPT RATES'!F17+'PIECE DENSITIES'!E9)</f>
        <v>8677.9304779201138</v>
      </c>
      <c r="C64" s="51">
        <f>C14*('COVERAGE FACTORS'!E38+'COVERAGE FACTORS'!E42)</f>
        <v>8170.7782786724683</v>
      </c>
      <c r="E64" s="24" t="s">
        <v>70</v>
      </c>
      <c r="G64" s="217">
        <f>H64*(1-'ACCEPT RATES'!C22)</f>
        <v>0</v>
      </c>
      <c r="H64" s="29">
        <f>I64*(1+'PIECE DENSITIES'!E14)</f>
        <v>0</v>
      </c>
      <c r="I64" s="51">
        <f>C14*'COVERAGE FACTORS'!E40</f>
        <v>0</v>
      </c>
      <c r="J64" s="113"/>
      <c r="K64" s="23" t="s">
        <v>70</v>
      </c>
      <c r="L64"/>
      <c r="M64" s="29">
        <f>N64</f>
        <v>49.083534276157984</v>
      </c>
      <c r="N64" s="51">
        <f>C14*'COVERAGE FACTORS'!E44</f>
        <v>49.083534276157984</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5.1306315379180072</v>
      </c>
      <c r="B68" s="211">
        <f>C68*(1+'ACCEPT RATES'!F17+'PIECE DENSITIES'!E9)</f>
        <v>83.697555689383393</v>
      </c>
      <c r="C68" s="212">
        <f>(D32+D44+D58)*('COVERAGE FACTORS'!E38+'COVERAGE FACTORS'!E42)</f>
        <v>78.806136064908969</v>
      </c>
      <c r="G68" s="205">
        <f>IF(SUM(C11:C16)&gt;0, H68*(1-'ACCEPT RATES'!C22),H68*(1-'ACCEPT RATES'!D22))</f>
        <v>0</v>
      </c>
      <c r="H68" s="204">
        <f>I68*(1+'PIECE DENSITIES'!E14)</f>
        <v>0</v>
      </c>
      <c r="I68" s="203">
        <f>(D32+D44+D58)*'COVERAGE FACTORS'!E40+(J32+J44+J58)*('COVERAGE FACTORS'!E40+'COVERAGE FACTORS'!E42)</f>
        <v>0</v>
      </c>
      <c r="J68" s="58"/>
      <c r="L68"/>
      <c r="M68" s="102">
        <f>N68</f>
        <v>443.06297732359474</v>
      </c>
      <c r="N68" s="101">
        <f>D62+J62+O32+O44+O58+(D32+D44+D58)*'COVERAGE FACTORS'!E44+(J32+J44+J58)*(1-('COVERAGE FACTORS'!E40+'COVERAGE FACTORS'!E42))</f>
        <v>443.06297732359474</v>
      </c>
      <c r="P68" s="20"/>
      <c r="Q68" s="109"/>
      <c r="S68" s="20"/>
      <c r="U68" s="20"/>
      <c r="Y68"/>
      <c r="Z68"/>
      <c r="AA68"/>
      <c r="AB68"/>
      <c r="AC68"/>
      <c r="AD68"/>
    </row>
    <row r="69" spans="1:30" ht="13" x14ac:dyDescent="0.3">
      <c r="A69" s="114"/>
      <c r="C69" s="98"/>
      <c r="D69" s="196">
        <f>(SUM(C64:C68)-D62)*'PIECE DENSITIES'!F9</f>
        <v>174.85845837307809</v>
      </c>
      <c r="E69" s="24" t="s">
        <v>127</v>
      </c>
      <c r="G69" s="114"/>
      <c r="I69" s="99"/>
      <c r="J69" s="201">
        <f>(SUM(I64:I68)-J62)*'PIECE DENSITIES'!F14</f>
        <v>0</v>
      </c>
      <c r="K69" s="24" t="s">
        <v>128</v>
      </c>
      <c r="L69"/>
      <c r="M69" s="20"/>
      <c r="O69" s="96">
        <f>SUM(N64:N68)*'PIECE DENSITIES'!F19</f>
        <v>12.730761330406963</v>
      </c>
      <c r="P69" s="24" t="s">
        <v>129</v>
      </c>
      <c r="Q69" s="109"/>
      <c r="S69" s="20"/>
      <c r="U69" s="20"/>
      <c r="Y69"/>
      <c r="Z69"/>
      <c r="AA69"/>
      <c r="AB69"/>
      <c r="AC69"/>
      <c r="AD69"/>
    </row>
    <row r="70" spans="1:30" ht="13" x14ac:dyDescent="0.3">
      <c r="A70" s="114"/>
      <c r="C70" s="98"/>
      <c r="D70" s="196">
        <f>(SUM(C64:C68)-D62)*'PIECE DENSITIES'!G9</f>
        <v>7641.1026942972467</v>
      </c>
      <c r="E70" s="24" t="s">
        <v>130</v>
      </c>
      <c r="G70" s="114"/>
      <c r="I70" s="99"/>
      <c r="J70" s="201">
        <f>(SUM(I64:I68)-J62)*'PIECE DENSITIES'!G14</f>
        <v>0</v>
      </c>
      <c r="K70" s="24" t="s">
        <v>288</v>
      </c>
      <c r="L70"/>
      <c r="M70" s="20"/>
      <c r="O70" s="96">
        <f>SUM(N64:N68)*'PIECE DENSITIES'!G19</f>
        <v>479.41575026934578</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9.9593690449575512</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12.33565220777461</v>
      </c>
      <c r="B78" s="211">
        <f>C78*(1+'ACCEPT RATES'!F17)</f>
        <v>201.23525339807404</v>
      </c>
      <c r="C78" s="212">
        <f>(D33+D45+D59+D69)*('COVERAGE FACTORS'!E38+'COVERAGE FACTORS'!E42)</f>
        <v>199.29662426672937</v>
      </c>
      <c r="G78" s="205">
        <f>IF(SUM(C11:C16)&gt;0,H78*(1-'ACCEPT RATES'!C22),H78*(1-'ACCEPT RATES'!D22))</f>
        <v>0</v>
      </c>
      <c r="H78" s="204">
        <f>I78</f>
        <v>0</v>
      </c>
      <c r="I78" s="203">
        <f>(D33+D45+D59+D69)*'COVERAGE FACTORS'!E40+(J33+J45+J59+J69)*('COVERAGE FACTORS'!E40+'COVERAGE FACTORS'!E42)</f>
        <v>0</v>
      </c>
      <c r="J78" s="58"/>
      <c r="L78"/>
      <c r="M78" s="102">
        <f>N78</f>
        <v>25.306004485266911</v>
      </c>
      <c r="N78" s="294">
        <f>D72+J72+O33+O45+O59+O69+(D33+D45+D59+D69)*'COVERAGE FACTORS'!E44+(J33+J45+J59+J69)*(1-('COVERAGE FACTORS'!E40+'COVERAGE FACTORS'!E42))+D106</f>
        <v>25.306004485266911</v>
      </c>
      <c r="P78" s="20"/>
      <c r="Q78" s="109"/>
      <c r="S78" s="20"/>
      <c r="U78" s="20"/>
      <c r="Y78"/>
      <c r="Z78"/>
      <c r="AA78"/>
      <c r="AB78"/>
      <c r="AC78"/>
      <c r="AD78"/>
    </row>
    <row r="79" spans="1:30" ht="13" x14ac:dyDescent="0.3">
      <c r="A79" s="114"/>
      <c r="C79" s="98"/>
      <c r="D79" s="196">
        <f>SUM(C74:C78)-D72</f>
        <v>189.33725522177181</v>
      </c>
      <c r="E79" s="24" t="s">
        <v>130</v>
      </c>
      <c r="G79" s="114"/>
      <c r="I79" s="99"/>
      <c r="J79" s="201">
        <f>SUM(I74:I78)-J72</f>
        <v>0</v>
      </c>
      <c r="K79" s="24" t="s">
        <v>288</v>
      </c>
      <c r="L79"/>
      <c r="M79" s="20"/>
      <c r="O79" s="96">
        <f>SUM(N74:N78)</f>
        <v>25.306004485266911</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453.06718154873204</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83.291440743035139</v>
      </c>
      <c r="B83" s="29">
        <f>C83*(1+'ACCEPT RATES'!F17)</f>
        <v>1358.7586534947482</v>
      </c>
      <c r="C83" s="51">
        <f>C16*(1-'COVERAGE FACTORS'!E56-'COVERAGE FACTORS'!E60)</f>
        <v>1345.6688540503096</v>
      </c>
      <c r="E83" s="24" t="s">
        <v>70</v>
      </c>
      <c r="G83" s="217">
        <v>0</v>
      </c>
      <c r="H83" s="29">
        <f>I83</f>
        <v>0</v>
      </c>
      <c r="I83" s="51">
        <f>C16*'COVERAGE FACTORS'!E56</f>
        <v>0</v>
      </c>
      <c r="J83" s="113"/>
      <c r="K83" s="23" t="s">
        <v>70</v>
      </c>
      <c r="L83"/>
      <c r="M83" s="29">
        <f>N83</f>
        <v>8.0837077043862795</v>
      </c>
      <c r="N83" s="51">
        <f>C16*'COVERAGE FACTORS'!E60</f>
        <v>8.0837077043862795</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477.87655625688495</v>
      </c>
      <c r="B87" s="211">
        <f>C87*(1+'ACCEPT RATES'!F17)</f>
        <v>7795.745881255014</v>
      </c>
      <c r="C87" s="212">
        <f>(D34+D46+D60+D70+D79)*(1-'COVERAGE FACTORS'!E56-'COVERAGE FACTORS'!E60)*'COVERAGE FACTORS'!E104</f>
        <v>7720.6444275546264</v>
      </c>
      <c r="G87" s="205">
        <v>0</v>
      </c>
      <c r="H87" s="204">
        <f>I87</f>
        <v>0</v>
      </c>
      <c r="I87" s="203">
        <f>(D34+D46+D60+D70+D79)*'COVERAGE FACTORS'!E56*'COVERAGE FACTORS'!E104+(J34+J46+J60+J70+J79)*('COVERAGE FACTORS'!E56+'COVERAGE FACTORS'!E58)*'COVERAGE FACTORS'!E104</f>
        <v>0</v>
      </c>
      <c r="J87" s="213"/>
      <c r="L87"/>
      <c r="M87" s="102">
        <f>N87</f>
        <v>1378.6701922394236</v>
      </c>
      <c r="N87" s="294">
        <f>D81+J81+(O34+O46+O60+O70+O79)+(D34+D46+D60+D70+D79)*((1-'COVERAGE FACTORS'!E104)*(1-'COVERAGE FACTORS'!E60)+'COVERAGE FACTORS'!E60)+(J34+J46+J60+J70+J79)*(1-('COVERAGE FACTORS'!E56+'COVERAGE FACTORS'!E58)*'COVERAGE FACTORS'!E104)+D120</f>
        <v>1378.6701922394236</v>
      </c>
      <c r="P87" s="20"/>
      <c r="Q87" s="109"/>
      <c r="S87" s="20"/>
      <c r="U87" s="20"/>
      <c r="Y87"/>
      <c r="Z87"/>
      <c r="AA87"/>
      <c r="AB87"/>
      <c r="AC87"/>
      <c r="AD87"/>
    </row>
    <row r="88" spans="1:30" ht="13" x14ac:dyDescent="0.3">
      <c r="A88" s="114"/>
      <c r="C88" s="98"/>
      <c r="D88" s="103">
        <f>SUM(C83:C87)-D81</f>
        <v>8613.2461000562053</v>
      </c>
      <c r="E88" s="24"/>
      <c r="G88" s="218"/>
      <c r="H88" s="214"/>
      <c r="I88" s="214"/>
      <c r="J88" s="215">
        <f>SUM(I83:I87)-J81</f>
        <v>0</v>
      </c>
      <c r="K88" s="24"/>
      <c r="L88"/>
      <c r="M88" s="20"/>
      <c r="O88" s="216">
        <f>SUM(N83:N87)</f>
        <v>1386.75389994381</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SUM(A95:A99)*(1-'ACCEPT RATES'!G24)+SUM(B95:B99)*'ACCEPT RATES'!J24</f>
        <v>0</v>
      </c>
      <c r="E93" s="282">
        <f>SUM(B95:B99)*'ACCEPT RATES'!I24</f>
        <v>0</v>
      </c>
    </row>
    <row r="94" spans="1:30" ht="13" x14ac:dyDescent="0.3">
      <c r="A94" s="24" t="s">
        <v>256</v>
      </c>
      <c r="B94" s="239" t="s">
        <v>366</v>
      </c>
      <c r="C94" s="240"/>
      <c r="E94" s="24"/>
    </row>
    <row r="95" spans="1:30" ht="13" x14ac:dyDescent="0.3">
      <c r="A95" s="51">
        <f>B95*(1-'ACCEPT RATES'!C24)</f>
        <v>0</v>
      </c>
      <c r="B95" s="29">
        <f>C95*(1+'ACCEPT RATES'!F17)</f>
        <v>0</v>
      </c>
      <c r="C95" s="51">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B99*(1-'ACCEPT RATES'!C24)</f>
        <v>0</v>
      </c>
      <c r="B99" s="244">
        <f>C99*(1+'ACCEPT RATES'!F17)</f>
        <v>0</v>
      </c>
      <c r="C99" s="287">
        <v>0</v>
      </c>
    </row>
    <row r="100" spans="1:11" x14ac:dyDescent="0.25">
      <c r="D100" s="242">
        <f>SUM(C95:C99)-D93-E93</f>
        <v>0</v>
      </c>
    </row>
    <row r="101" spans="1:11" ht="13" x14ac:dyDescent="0.3">
      <c r="D101" s="23" t="s">
        <v>369</v>
      </c>
    </row>
    <row r="105" spans="1:11" ht="13" x14ac:dyDescent="0.3">
      <c r="D105" s="23"/>
    </row>
    <row r="106" spans="1:11" ht="13" x14ac:dyDescent="0.3">
      <c r="A106" s="114"/>
      <c r="D106" s="285">
        <f>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B112*(1-'ACCEPT RATES'!$C$17)</f>
        <v>0</v>
      </c>
      <c r="B112" s="289">
        <f>C112*(1+'ACCEPT RATES'!$F$17)</f>
        <v>0</v>
      </c>
      <c r="C112" s="290">
        <f>E93</f>
        <v>0</v>
      </c>
      <c r="G112" s="482"/>
      <c r="H112" s="482"/>
      <c r="I112" s="482"/>
      <c r="J112" s="482"/>
      <c r="K112" s="482"/>
    </row>
    <row r="113" spans="1:11" ht="13" x14ac:dyDescent="0.3">
      <c r="A113" s="114"/>
      <c r="C113" s="120"/>
      <c r="D113" s="293">
        <f>($C$112-$D$106)*(1-'COVERAGE FACTORS'!$E$80)</f>
        <v>0</v>
      </c>
      <c r="E113" s="24" t="s">
        <v>130</v>
      </c>
      <c r="G113" s="482"/>
      <c r="H113" s="482"/>
      <c r="I113" s="482"/>
      <c r="J113" s="482"/>
      <c r="K113" s="482"/>
    </row>
    <row r="114" spans="1:11" ht="13" x14ac:dyDescent="0.3">
      <c r="A114" s="114"/>
      <c r="C114" s="120"/>
      <c r="D114" s="293">
        <f>($C$112-$D$106)*'COVERAGE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B126*(1-'ACCEPT RATES'!$C$17)</f>
        <v>0</v>
      </c>
      <c r="B126" s="289">
        <f>C126*(1+'ACCEPT RATES'!$F$17)</f>
        <v>0</v>
      </c>
      <c r="C126" s="290">
        <f>$D$93+$D$113</f>
        <v>0</v>
      </c>
    </row>
    <row r="127" spans="1:11" ht="13" x14ac:dyDescent="0.3">
      <c r="A127" s="122"/>
      <c r="C127" s="120"/>
      <c r="D127" s="292">
        <f>C126-D120</f>
        <v>0</v>
      </c>
      <c r="E127" s="24"/>
    </row>
    <row r="128" spans="1:11" ht="13" x14ac:dyDescent="0.3">
      <c r="A128" s="122"/>
      <c r="D128" s="23" t="s">
        <v>142</v>
      </c>
      <c r="E128" s="24"/>
    </row>
  </sheetData>
  <mergeCells count="2">
    <mergeCell ref="D91:E91"/>
    <mergeCell ref="G106:K113"/>
  </mergeCells>
  <pageMargins left="0.7" right="0.7" top="0.75" bottom="0.75" header="0.3" footer="0.3"/>
  <pageSetup orientation="portrait" horizontalDpi="300" r:id="rId1"/>
  <drawing r:id="rId2"/>
</worksheet>
</file>

<file path=xl/worksheets/sheet5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37"/>
  <dimension ref="A1:K85"/>
  <sheetViews>
    <sheetView zoomScale="85" zoomScaleNormal="8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503</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'FSS OTHER NONAUTO COST'!C11</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C11*J11/' 5D AUTO MODEL REV'!$G$6</f>
        <v>0</v>
      </c>
    </row>
    <row r="12" spans="1:11" ht="13" x14ac:dyDescent="0.3">
      <c r="A12" s="36"/>
      <c r="B12" t="s">
        <v>529</v>
      </c>
      <c r="C12" s="151">
        <f>'FSS OTHER NONAUTO COST'!C12</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C12*J12/' 5D AUTO MODEL REV'!$G$6</f>
        <v>0</v>
      </c>
    </row>
    <row r="13" spans="1:11" ht="13" x14ac:dyDescent="0.3">
      <c r="A13" s="36"/>
      <c r="B13" t="s">
        <v>70</v>
      </c>
      <c r="C13" s="151">
        <f>'FSS OTHER NONAUTO COST'!C13</f>
        <v>0</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C13*J13/' 5D AUTO MODEL REV'!$G$6</f>
        <v>0</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'FSS OTHER NONAUTO COST'!C16</f>
        <v>0</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C16*J16/' 5D AUTO MODEL REV'!$G$6</f>
        <v>0</v>
      </c>
    </row>
    <row r="17" spans="1:11" ht="13" x14ac:dyDescent="0.3">
      <c r="A17" s="1"/>
      <c r="B17" t="s">
        <v>529</v>
      </c>
      <c r="C17" s="151">
        <f>'FSS OTHER NONAUTO COST'!C17</f>
        <v>0</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C17*J17/' 5D AUTO MODEL REV'!$G$6</f>
        <v>0</v>
      </c>
    </row>
    <row r="18" spans="1:11" ht="13" x14ac:dyDescent="0.3">
      <c r="A18" s="1"/>
      <c r="B18" t="s">
        <v>70</v>
      </c>
      <c r="C18" s="151">
        <f>'FSS OTHER NONAUTO COST'!C18</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C18*J18/' 5D AUTO MODEL REV'!$G$6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'FSS OTHER NONAUTO COST'!C21</f>
        <v>0</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C21*J21/' 5D AUTO MODEL REV'!$G$6</f>
        <v>0</v>
      </c>
    </row>
    <row r="22" spans="1:11" ht="13" x14ac:dyDescent="0.3">
      <c r="A22" s="1"/>
      <c r="B22" t="s">
        <v>529</v>
      </c>
      <c r="C22" s="151">
        <f>'FSS OTHER NONAUTO COST'!C22</f>
        <v>0</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C22*J22/' 5D AUTO MODEL REV'!$G$6</f>
        <v>0</v>
      </c>
    </row>
    <row r="23" spans="1:11" ht="13" x14ac:dyDescent="0.3">
      <c r="A23" s="1"/>
      <c r="B23" t="s">
        <v>70</v>
      </c>
      <c r="C23" s="151">
        <f>'FSS OTHER NONAUTO COST'!C23</f>
        <v>0</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C23*J23/' 5D AUTO MODEL REV'!$G$6</f>
        <v>0</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'FSS OTHER NONAUTO COST'!C26</f>
        <v>0</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C26*J26/' 5D AUTO MODEL REV'!$G$6</f>
        <v>0</v>
      </c>
    </row>
    <row r="27" spans="1:11" ht="13" x14ac:dyDescent="0.3">
      <c r="A27" s="1"/>
      <c r="B27" t="s">
        <v>529</v>
      </c>
      <c r="C27" s="151">
        <f>'FSS OTHER NONAUTO COST'!C27</f>
        <v>0</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C27*J27/' 5D AUTO MODEL REV'!$G$6</f>
        <v>0</v>
      </c>
    </row>
    <row r="28" spans="1:11" ht="13" x14ac:dyDescent="0.3">
      <c r="A28" s="1"/>
      <c r="B28" t="s">
        <v>70</v>
      </c>
      <c r="C28" s="151">
        <f>'FSS OTHER NONAUTO COST'!C28</f>
        <v>0</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C28*J28/' 5D AUTO MODEL REV'!$G$6</f>
        <v>0</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SUM('FSS AUTO OTHER MODEL REV'!$B$25:$B$29)</f>
        <v>0</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C31*J31/' 5D AUTO MODEL REV'!$G$6</f>
        <v>0</v>
      </c>
    </row>
    <row r="32" spans="1:11" ht="13" x14ac:dyDescent="0.3">
      <c r="A32" s="36"/>
      <c r="B32" t="s">
        <v>244</v>
      </c>
      <c r="C32" s="2">
        <f>SUM('FSS AUTO OTHER MODEL REV'!$A$25:$A$29)</f>
        <v>0</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C32*J32/' 5D AUTO MODEL REV'!$G$6</f>
        <v>0</v>
      </c>
    </row>
    <row r="33" spans="1:11" ht="13" x14ac:dyDescent="0.3">
      <c r="A33" s="36"/>
      <c r="B33" t="s">
        <v>291</v>
      </c>
      <c r="C33" s="2">
        <f>SUM('FSS AUTO OTHER MODEL REV'!$H$25:$H$29)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C33*J33/' 5D AUTO MODEL REV'!$G$6</f>
        <v>0</v>
      </c>
    </row>
    <row r="34" spans="1:11" x14ac:dyDescent="0.25">
      <c r="B34" t="s">
        <v>292</v>
      </c>
      <c r="C34" s="2">
        <f>SUM('FSS AUTO OTHER MODEL REV'!$G$25:$G$29)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C34*J34/' 5D AUTO MODEL REV'!$G$6</f>
        <v>0</v>
      </c>
    </row>
    <row r="35" spans="1:11" x14ac:dyDescent="0.25">
      <c r="B35" t="s">
        <v>70</v>
      </c>
      <c r="C35" s="2">
        <f>SUM('FSS AUTO OTHER MODEL REV'!$M$25:$M$29)</f>
        <v>0</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C35*J35/' 5D AUTO MODEL REV'!$G$6</f>
        <v>0</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SUM('FSS AUTO OTHER MODEL REV'!$B$38:$B$42)</f>
        <v>0</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C38*J38/' 5D AUTO MODEL REV'!$G$6</f>
        <v>0</v>
      </c>
    </row>
    <row r="39" spans="1:11" ht="13" x14ac:dyDescent="0.3">
      <c r="A39" s="36"/>
      <c r="B39" t="s">
        <v>244</v>
      </c>
      <c r="C39" s="2">
        <f>SUM('FSS AUTO OTHER MODEL REV'!$A$38:$A$42)</f>
        <v>0</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C39*J39/' 5D AUTO MODEL REV'!$G$6</f>
        <v>0</v>
      </c>
    </row>
    <row r="40" spans="1:11" x14ac:dyDescent="0.25">
      <c r="B40" t="s">
        <v>291</v>
      </c>
      <c r="C40" s="2">
        <f>SUM('FSS AUTO OTHER MODEL REV'!$H$38:$H$42)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C40*J40/' 5D AUTO MODEL REV'!$G$6</f>
        <v>0</v>
      </c>
    </row>
    <row r="41" spans="1:11" x14ac:dyDescent="0.25">
      <c r="B41" t="s">
        <v>292</v>
      </c>
      <c r="C41" s="2">
        <f>SUM('FSS AUTO OTHER MODEL REV'!$G$38:$G$42)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C41*J41/' 5D AUTO MODEL REV'!$G$6</f>
        <v>0</v>
      </c>
    </row>
    <row r="42" spans="1:11" x14ac:dyDescent="0.25">
      <c r="B42" t="s">
        <v>70</v>
      </c>
      <c r="C42" s="2">
        <f>SUM('FSS AUTO OTHER MODEL REV'!$M$38:$M$42)</f>
        <v>0</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C42*J42/' 5D AUTO MODEL REV'!$G$6</f>
        <v>0</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SUM('FSS AUTO OTHER MODEL REV'!$B$53:$B$57)</f>
        <v>0</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C45*J45/' 5D AUTO MODEL REV'!$G$6</f>
        <v>0</v>
      </c>
    </row>
    <row r="46" spans="1:11" ht="13" x14ac:dyDescent="0.3">
      <c r="A46" s="36"/>
      <c r="B46" t="s">
        <v>244</v>
      </c>
      <c r="C46" s="2">
        <f>SUM('FSS AUTO OTHER MODEL REV'!$A$53:$A$57)</f>
        <v>0</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C46*J46/' 5D AUTO MODEL REV'!$G$6</f>
        <v>0</v>
      </c>
    </row>
    <row r="47" spans="1:11" x14ac:dyDescent="0.25">
      <c r="B47" t="s">
        <v>291</v>
      </c>
      <c r="C47" s="2">
        <f>SUM('FSS AUTO OTHER MODEL REV'!$H$53:$H$57)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C47*J47/' 5D AUTO MODEL REV'!$G$6</f>
        <v>0</v>
      </c>
    </row>
    <row r="48" spans="1:11" x14ac:dyDescent="0.25">
      <c r="B48" t="s">
        <v>292</v>
      </c>
      <c r="C48" s="2">
        <f>SUM('FSS AUTO OTHER MODEL REV'!$G$53:$G$57)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C48*J48/' 5D AUTO MODEL REV'!$G$6</f>
        <v>0</v>
      </c>
    </row>
    <row r="49" spans="1:11" x14ac:dyDescent="0.25">
      <c r="B49" t="s">
        <v>70</v>
      </c>
      <c r="C49" s="2">
        <f>SUM('FSS AUTO OTHER MODEL REV'!$M$53:$M$57)</f>
        <v>0</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C49*J49/' 5D AUTO MODEL REV'!$G$6</f>
        <v>0</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SUM('FSS AUTO OTHER MODEL REV'!$B$64:$B$68)</f>
        <v>0</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C52*J52/' 5D AUTO MODEL REV'!$G$6</f>
        <v>0</v>
      </c>
    </row>
    <row r="53" spans="1:11" ht="13" x14ac:dyDescent="0.3">
      <c r="A53" s="36"/>
      <c r="B53" t="s">
        <v>244</v>
      </c>
      <c r="C53" s="2">
        <f>SUM('FSS AUTO OTHER MODEL REV'!$A$64:$A$68)</f>
        <v>0</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C53*J53/' 5D AUTO MODEL REV'!$G$6</f>
        <v>0</v>
      </c>
    </row>
    <row r="54" spans="1:11" x14ac:dyDescent="0.25">
      <c r="B54" t="s">
        <v>291</v>
      </c>
      <c r="C54" s="2">
        <f>SUM('FSS AUTO OTHER MODEL REV'!$H$64:$H$68)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C54*J54/' 5D AUTO MODEL REV'!$G$6</f>
        <v>0</v>
      </c>
    </row>
    <row r="55" spans="1:11" x14ac:dyDescent="0.25">
      <c r="B55" t="s">
        <v>292</v>
      </c>
      <c r="C55" s="2">
        <f>SUM('FSS AUTO OTHER MODEL REV'!$G$64:$G$68)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C55*J55/' 5D AUTO MODEL REV'!$G$6</f>
        <v>0</v>
      </c>
    </row>
    <row r="56" spans="1:11" x14ac:dyDescent="0.25">
      <c r="B56" t="s">
        <v>70</v>
      </c>
      <c r="C56" s="2">
        <f>SUM('FSS AUTO OTHER MODEL REV'!$M$64:$M$68)</f>
        <v>0</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C56*J56/' 5D AUTO MODEL REV'!$G$6</f>
        <v>0</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SUM('FSS AUTO OTHER MODEL REV'!$B$74:$B$78)+SUM('FSS AUTO OTHER MODEL REV'!$B$108:$B$112)</f>
        <v>0</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C59*J59/' 5D AUTO MODEL REV'!$G$6</f>
        <v>0</v>
      </c>
    </row>
    <row r="60" spans="1:11" ht="13" x14ac:dyDescent="0.3">
      <c r="A60" s="36"/>
      <c r="B60" t="s">
        <v>244</v>
      </c>
      <c r="C60" s="2">
        <f>SUM('FSS AUTO OTHER MODEL REV'!$A$74:$A$78)+SUM('FSS AUTO OTHER MODEL REV'!$A$108:$A$112)</f>
        <v>0</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C60*J60/' 5D AUTO MODEL REV'!$G$6</f>
        <v>0</v>
      </c>
    </row>
    <row r="61" spans="1:11" x14ac:dyDescent="0.25">
      <c r="B61" t="s">
        <v>291</v>
      </c>
      <c r="C61" s="2">
        <f>SUM('FSS AUTO OTHER MODEL REV'!$H$74:$H$78)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C61*J61/' 5D AUTO MODEL REV'!$G$6</f>
        <v>0</v>
      </c>
    </row>
    <row r="62" spans="1:11" x14ac:dyDescent="0.25">
      <c r="B62" t="s">
        <v>292</v>
      </c>
      <c r="C62" s="2">
        <f>SUM('FSS AUTO OTHER MODEL REV'!$G$74:$G$78)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C62*J62/' 5D AUTO MODEL REV'!$G$6</f>
        <v>0</v>
      </c>
    </row>
    <row r="63" spans="1:11" x14ac:dyDescent="0.25">
      <c r="B63" t="s">
        <v>70</v>
      </c>
      <c r="C63" s="2">
        <f>SUM('FSS AUTO OTHER MODEL REV'!$M$74:$M$78)</f>
        <v>0</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C63*J63/' 5D AUTO MODEL REV'!$G$6</f>
        <v>0</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SUM('FSS AUTO OTHER MODEL REV'!$B$83:$B$87)+SUM('FSS AUTO OTHER MODEL REV'!$B$122:$B$126)</f>
        <v>0</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C66*J66/' 5D AUTO MODEL REV'!$G$6</f>
        <v>0</v>
      </c>
    </row>
    <row r="67" spans="1:11" ht="13" x14ac:dyDescent="0.3">
      <c r="A67" s="36"/>
      <c r="B67" t="s">
        <v>244</v>
      </c>
      <c r="C67" s="2">
        <f>SUM('FSS AUTO OTHER MODEL REV'!$A$83:$A$87)+SUM('FSS AUTO OTHER MODEL REV'!$A$122:$A$126)</f>
        <v>0</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C67*J67/' 5D AUTO MODEL REV'!$G$6</f>
        <v>0</v>
      </c>
    </row>
    <row r="68" spans="1:11" x14ac:dyDescent="0.25">
      <c r="B68" t="s">
        <v>291</v>
      </c>
      <c r="C68" s="2">
        <f>SUM('FSS AUTO OTHER MODEL REV'!$H$83:$H$87)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C68*J68/' 5D AUTO MODEL REV'!$G$6</f>
        <v>0</v>
      </c>
    </row>
    <row r="69" spans="1:11" x14ac:dyDescent="0.25">
      <c r="B69" t="s">
        <v>292</v>
      </c>
      <c r="C69" s="2">
        <f>SUM('FSS AUTO OTHER MODEL REV'!$G$83:$G$87)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C69*J69/' 5D AUTO MODEL REV'!$G$6</f>
        <v>0</v>
      </c>
    </row>
    <row r="70" spans="1:11" x14ac:dyDescent="0.25">
      <c r="B70" t="s">
        <v>70</v>
      </c>
      <c r="C70" s="2">
        <f>SUM('FSS AUTO OTHER MODEL REV'!$M$83:$M$87)</f>
        <v>0</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C70*J70/' 5D AUTO MODEL REV'!$G$6</f>
        <v>0</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SUM('FSS AUTO OTHER MODEL REV'!$A$95:$A$99)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C74*J74/' 5D AUTO MODEL REV'!$G$6</f>
        <v>0</v>
      </c>
    </row>
    <row r="76" spans="1:11" ht="13.5" thickBot="1" x14ac:dyDescent="0.35">
      <c r="F76" s="42"/>
      <c r="H76" s="42"/>
      <c r="I76" s="42"/>
      <c r="J76" s="42"/>
      <c r="K76" s="41" t="str">
        <f>"(10)"</f>
        <v>(10)</v>
      </c>
    </row>
    <row r="77" spans="1:11" ht="13.5" thickBot="1" x14ac:dyDescent="0.35">
      <c r="F77" s="42"/>
      <c r="H77" s="42"/>
      <c r="I77" s="42"/>
      <c r="J77" s="142" t="s">
        <v>78</v>
      </c>
      <c r="K77" s="143">
        <f>SUM(K11:K74)</f>
        <v>0</v>
      </c>
    </row>
    <row r="78" spans="1:11" ht="13.5" thickBot="1" x14ac:dyDescent="0.35">
      <c r="J78" s="142" t="s">
        <v>485</v>
      </c>
      <c r="K78" s="143">
        <f>SUM(K29,K31,K32,K36,K38,K39,K43,K45,K46,K50,K52,K53,K57,K59,K60,K64,K66,K67,K74,K75)</f>
        <v>0</v>
      </c>
    </row>
    <row r="81" spans="1:8" ht="13" x14ac:dyDescent="0.3">
      <c r="A81" s="145" t="str">
        <f>"(1)"</f>
        <v>(1)</v>
      </c>
      <c r="B81" s="1" t="s">
        <v>413</v>
      </c>
      <c r="F81" s="145" t="str">
        <f>"(6)"</f>
        <v>(6)</v>
      </c>
      <c r="G81" s="1" t="s">
        <v>401</v>
      </c>
      <c r="H81" s="34"/>
    </row>
    <row r="82" spans="1:8" ht="13" x14ac:dyDescent="0.3">
      <c r="A82" s="145" t="str">
        <f>"(2)"</f>
        <v>(2)</v>
      </c>
      <c r="B82" s="1" t="s">
        <v>400</v>
      </c>
      <c r="F82" s="144" t="str">
        <f>"(7)"</f>
        <v>(7)</v>
      </c>
      <c r="G82" s="146" t="s">
        <v>79</v>
      </c>
      <c r="H82" s="34"/>
    </row>
    <row r="83" spans="1:8" ht="13" x14ac:dyDescent="0.3">
      <c r="A83" s="145" t="str">
        <f>"(3)"</f>
        <v>(3)</v>
      </c>
      <c r="B83" s="1" t="s">
        <v>401</v>
      </c>
      <c r="F83" s="144" t="str">
        <f>"(8)"</f>
        <v>(8)</v>
      </c>
      <c r="G83" s="146" t="s">
        <v>80</v>
      </c>
      <c r="H83" s="34"/>
    </row>
    <row r="84" spans="1:8" ht="13" x14ac:dyDescent="0.3">
      <c r="A84" s="145" t="str">
        <f>"(4)"</f>
        <v>(4)</v>
      </c>
      <c r="B84" s="1" t="s">
        <v>81</v>
      </c>
      <c r="F84" s="144" t="str">
        <f>"(9)"</f>
        <v>(9)</v>
      </c>
      <c r="G84" s="146" t="s">
        <v>82</v>
      </c>
      <c r="H84" s="34"/>
    </row>
    <row r="85" spans="1:8" ht="13" x14ac:dyDescent="0.3">
      <c r="A85" s="145" t="str">
        <f>"(5)"</f>
        <v>(5)</v>
      </c>
      <c r="B85" s="1" t="s">
        <v>402</v>
      </c>
      <c r="F85" s="144" t="str">
        <f>"(10)"</f>
        <v>(10)</v>
      </c>
      <c r="G85" s="146" t="s">
        <v>83</v>
      </c>
      <c r="H85" s="34"/>
    </row>
  </sheetData>
  <pageMargins left="0.7" right="0.7" top="0.75" bottom="0.75" header="0.3" footer="0.3"/>
  <pageSetup scale="63" orientation="portrait" r:id="rId1"/>
  <ignoredErrors>
    <ignoredError sqref="E4" numberStoredAsText="1"/>
  </ignoredErrors>
</worksheet>
</file>

<file path=xl/worksheets/sheet5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4"/>
  <dimension ref="A1:AD128"/>
  <sheetViews>
    <sheetView zoomScale="75" zoomScaleNormal="75"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'FSS AUTO OTHER COST REV'!A1</f>
        <v>FSS OTHER AUTO PRESORT (PRESORT LEVELS HELD CONSTANT)</v>
      </c>
    </row>
    <row r="2" spans="1:30" ht="23" x14ac:dyDescent="0.5">
      <c r="A2" s="57" t="s">
        <v>84</v>
      </c>
    </row>
    <row r="6" spans="1:30" s="228" customFormat="1" ht="18" x14ac:dyDescent="0.4">
      <c r="A6" s="48" t="s">
        <v>85</v>
      </c>
      <c r="B6" s="226"/>
      <c r="C6" s="49">
        <f>SUM(C11:C16)+SUM(G11:G16)+SUM(K11:K16)+SUM(O11:O16)</f>
        <v>0</v>
      </c>
      <c r="D6" s="227"/>
      <c r="E6" s="48" t="s">
        <v>86</v>
      </c>
      <c r="F6" s="226"/>
      <c r="G6" s="49">
        <f>D88+J88+O88+D100+D127</f>
        <v>0</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'FSS OTHER NONAUTO MODEL'!G11</f>
        <v>0</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f>'FSS OTHER NONAUTO MODEL'!G12</f>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'FSS OTHER NONAUTO MODEL'!G13</f>
        <v>0</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'FSS OTHER NONAUTO MODEL'!G14</f>
        <v>0</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f>'FSS OTHER NONAUTO MODEL'!G15</f>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'FSS OTHER NONAUTO MODEL'!G16</f>
        <v>0</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v>
      </c>
      <c r="N29" s="206">
        <f>D23+J23</f>
        <v>0</v>
      </c>
      <c r="P29" s="20"/>
      <c r="Q29" s="109"/>
      <c r="S29" s="20"/>
      <c r="U29" s="20"/>
      <c r="Y29"/>
      <c r="Z29"/>
      <c r="AA29"/>
      <c r="AB29"/>
      <c r="AC29"/>
      <c r="AD29"/>
    </row>
    <row r="30" spans="1:30" ht="13" x14ac:dyDescent="0.3">
      <c r="A30" s="114"/>
      <c r="C30" s="98"/>
      <c r="D30" s="196">
        <f>(SUM(C25:C29)-D23)*'PIECE DENSITIES'!C6</f>
        <v>0</v>
      </c>
      <c r="E30" s="24" t="s">
        <v>290</v>
      </c>
      <c r="G30" s="114"/>
      <c r="I30" s="99"/>
      <c r="J30" s="201">
        <f>(SUM(I25:I29)-J23)*'PIECE DENSITIES'!C11</f>
        <v>0</v>
      </c>
      <c r="K30" s="24" t="s">
        <v>289</v>
      </c>
      <c r="L30"/>
      <c r="M30" s="20"/>
      <c r="O30" s="96">
        <f>SUM(N25:N29)*'PIECE DENSITIES'!C16</f>
        <v>0</v>
      </c>
      <c r="P30" s="24" t="s">
        <v>120</v>
      </c>
      <c r="Q30" s="109"/>
      <c r="S30" s="20"/>
      <c r="U30" s="20"/>
      <c r="Y30"/>
      <c r="Z30"/>
      <c r="AA30"/>
      <c r="AB30"/>
      <c r="AC30"/>
      <c r="AD30"/>
    </row>
    <row r="31" spans="1:30" ht="13" x14ac:dyDescent="0.3">
      <c r="A31" s="114"/>
      <c r="C31" s="98"/>
      <c r="D31" s="196">
        <f>(SUM(C25:C29)-D23)*'PIECE DENSITIES'!D6</f>
        <v>0</v>
      </c>
      <c r="E31" s="24" t="s">
        <v>121</v>
      </c>
      <c r="G31" s="114"/>
      <c r="I31" s="99"/>
      <c r="J31" s="201">
        <f>(SUM(I25:I29)-J23)*'PIECE DENSITIES'!D11</f>
        <v>0</v>
      </c>
      <c r="K31" s="24" t="s">
        <v>122</v>
      </c>
      <c r="L31"/>
      <c r="M31" s="20"/>
      <c r="O31" s="96">
        <f>SUM(N25:N29)*'PIECE DENSITIES'!D16</f>
        <v>0</v>
      </c>
      <c r="P31" s="24" t="s">
        <v>123</v>
      </c>
      <c r="Q31" s="109"/>
      <c r="S31" s="20"/>
      <c r="U31" s="20"/>
      <c r="Y31"/>
      <c r="Z31"/>
      <c r="AA31"/>
      <c r="AB31"/>
      <c r="AC31"/>
      <c r="AD31"/>
    </row>
    <row r="32" spans="1:30" ht="13" x14ac:dyDescent="0.3">
      <c r="A32" s="114"/>
      <c r="C32" s="89"/>
      <c r="D32" s="197">
        <f>(SUM(C25:C29)-D23)*'PIECE DENSITIES'!E6</f>
        <v>0</v>
      </c>
      <c r="E32" s="24" t="s">
        <v>124</v>
      </c>
      <c r="G32" s="114"/>
      <c r="I32" s="94"/>
      <c r="J32" s="202">
        <f>(SUM(I25:I29)-J23)*'PIECE DENSITIES'!E11</f>
        <v>0</v>
      </c>
      <c r="K32" s="24" t="s">
        <v>125</v>
      </c>
      <c r="L32"/>
      <c r="M32" s="20"/>
      <c r="N32" s="46"/>
      <c r="O32" s="97">
        <f>SUM(N25:N29)*'PIECE DENSITIES'!E16</f>
        <v>0</v>
      </c>
      <c r="P32" s="24" t="s">
        <v>126</v>
      </c>
      <c r="Q32" s="109"/>
      <c r="S32" s="20"/>
      <c r="U32" s="20"/>
      <c r="Y32"/>
      <c r="Z32"/>
      <c r="AA32"/>
      <c r="AB32"/>
      <c r="AC32"/>
      <c r="AD32"/>
    </row>
    <row r="33" spans="1:30" ht="13" x14ac:dyDescent="0.3">
      <c r="A33" s="114"/>
      <c r="C33" s="89"/>
      <c r="D33" s="197">
        <f>(SUM(C25:C29)-D23)*'PIECE DENSITIES'!F6</f>
        <v>0</v>
      </c>
      <c r="E33" s="24" t="s">
        <v>127</v>
      </c>
      <c r="G33" s="114"/>
      <c r="I33" s="94"/>
      <c r="J33" s="202">
        <f>(SUM(I25:I29)-J23)*'PIECE DENSITIES'!F11</f>
        <v>0</v>
      </c>
      <c r="K33" s="24" t="s">
        <v>128</v>
      </c>
      <c r="L33"/>
      <c r="M33" s="20"/>
      <c r="N33" s="46"/>
      <c r="O33" s="97">
        <f>SUM(N25:N29)*'PIECE DENSITIES'!F16</f>
        <v>0</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0</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0</v>
      </c>
      <c r="B42" s="199">
        <f>C42*(1+'ACCEPT RATES'!F15+'PIECE DENSITIES'!C7)</f>
        <v>0</v>
      </c>
      <c r="C42" s="198">
        <f>D30</f>
        <v>0</v>
      </c>
      <c r="G42" s="205">
        <f>IF(SUM(C11:C16)&gt;0,H42*(1-'ACCEPT RATES'!C20),H42*(1-'ACCEPT RATES'!D20))</f>
        <v>0</v>
      </c>
      <c r="H42" s="204">
        <f>I42*(1+'PIECE DENSITIES'!C12)</f>
        <v>0</v>
      </c>
      <c r="I42" s="203">
        <f>J30</f>
        <v>0</v>
      </c>
      <c r="J42" s="58"/>
      <c r="L42"/>
      <c r="M42" s="102">
        <f>N42</f>
        <v>0</v>
      </c>
      <c r="N42" s="101">
        <f>D36+J36+O30</f>
        <v>0</v>
      </c>
      <c r="P42" s="20"/>
      <c r="Q42" s="109"/>
      <c r="S42" s="20"/>
      <c r="U42" s="20"/>
      <c r="Y42"/>
      <c r="Z42"/>
      <c r="AA42"/>
      <c r="AB42"/>
      <c r="AC42"/>
      <c r="AD42"/>
    </row>
    <row r="43" spans="1:30" ht="13" x14ac:dyDescent="0.3">
      <c r="A43" s="114"/>
      <c r="C43" s="98"/>
      <c r="D43" s="196">
        <f>(SUM(C38:C42)-D36)*'PIECE DENSITIES'!D7</f>
        <v>0</v>
      </c>
      <c r="E43" s="24" t="s">
        <v>121</v>
      </c>
      <c r="G43" s="114"/>
      <c r="I43" s="99"/>
      <c r="J43" s="201">
        <f>(SUM(I38:I42)-J36)*'PIECE DENSITIES'!D12</f>
        <v>0</v>
      </c>
      <c r="K43" s="24" t="s">
        <v>122</v>
      </c>
      <c r="L43"/>
      <c r="M43" s="20"/>
      <c r="O43" s="96">
        <f>SUM(N38:N42)*'PIECE DENSITIES'!D17</f>
        <v>0</v>
      </c>
      <c r="P43" s="24" t="s">
        <v>123</v>
      </c>
      <c r="Q43" s="109"/>
      <c r="S43" s="20"/>
      <c r="U43" s="20"/>
      <c r="Y43"/>
      <c r="Z43"/>
      <c r="AA43"/>
      <c r="AB43"/>
      <c r="AC43"/>
      <c r="AD43"/>
    </row>
    <row r="44" spans="1:30" ht="13" x14ac:dyDescent="0.3">
      <c r="A44" s="114"/>
      <c r="C44" s="98"/>
      <c r="D44" s="196">
        <f>(SUM(C38:C42)-D36)*'PIECE DENSITIES'!E7</f>
        <v>0</v>
      </c>
      <c r="E44" s="24" t="s">
        <v>124</v>
      </c>
      <c r="G44" s="114"/>
      <c r="I44" s="99"/>
      <c r="J44" s="201">
        <f>(SUM(I38:I42)-J36)*'PIECE DENSITIES'!E12</f>
        <v>0</v>
      </c>
      <c r="K44" s="24" t="s">
        <v>125</v>
      </c>
      <c r="L44"/>
      <c r="M44" s="20"/>
      <c r="O44" s="96">
        <f>SUM(N38:N42)*'PIECE DENSITIES'!E17</f>
        <v>0</v>
      </c>
      <c r="P44" s="24" t="s">
        <v>126</v>
      </c>
      <c r="Q44" s="109"/>
      <c r="S44" s="20"/>
      <c r="U44" s="20"/>
      <c r="Y44"/>
      <c r="Z44"/>
      <c r="AA44"/>
      <c r="AB44"/>
      <c r="AC44"/>
      <c r="AD44"/>
    </row>
    <row r="45" spans="1:30" ht="13" x14ac:dyDescent="0.3">
      <c r="A45" s="114"/>
      <c r="C45" s="89"/>
      <c r="D45" s="197">
        <f>(SUM(C38:C42)-D36)*'PIECE DENSITIES'!F7</f>
        <v>0</v>
      </c>
      <c r="E45" s="24" t="s">
        <v>127</v>
      </c>
      <c r="G45" s="114"/>
      <c r="I45" s="94"/>
      <c r="J45" s="202">
        <f>(SUM(I38:I42)-J36)*'PIECE DENSITIES'!F12</f>
        <v>0</v>
      </c>
      <c r="K45" s="24" t="s">
        <v>128</v>
      </c>
      <c r="L45"/>
      <c r="M45" s="20"/>
      <c r="N45" s="46"/>
      <c r="O45" s="97">
        <f>SUM(N38:N42)*'PIECE DENSITIES'!F17</f>
        <v>0</v>
      </c>
      <c r="P45" s="24" t="s">
        <v>129</v>
      </c>
      <c r="Q45" s="109"/>
      <c r="S45" s="20"/>
      <c r="U45" s="20"/>
      <c r="Y45"/>
      <c r="Z45"/>
      <c r="AA45"/>
      <c r="AB45"/>
      <c r="AC45"/>
      <c r="AD45"/>
    </row>
    <row r="46" spans="1:30" ht="13" x14ac:dyDescent="0.3">
      <c r="A46" s="114"/>
      <c r="C46" s="89"/>
      <c r="D46" s="197">
        <f>(SUM(C38:C42)-D36)*'PIECE DENSITIES'!G7</f>
        <v>0</v>
      </c>
      <c r="E46" s="24" t="s">
        <v>130</v>
      </c>
      <c r="G46" s="114"/>
      <c r="I46" s="94"/>
      <c r="J46" s="202">
        <f>(SUM(I38:I42)-J36)*'PIECE DENSITIES'!G12</f>
        <v>0</v>
      </c>
      <c r="K46" s="24" t="s">
        <v>288</v>
      </c>
      <c r="L46"/>
      <c r="M46" s="20"/>
      <c r="N46" s="46"/>
      <c r="O46" s="97">
        <f>SUM(N38:N42)*'PIECE DENSITIES'!G17</f>
        <v>0</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0</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v>
      </c>
      <c r="B57" s="199">
        <f>C57*(1+'ACCEPT RATES'!F16+'PIECE DENSITIES'!D8)</f>
        <v>0</v>
      </c>
      <c r="C57" s="198">
        <f>(D31+D43)*('COVERAGE FACTORS'!E38+'COVERAGE FACTORS'!E42)</f>
        <v>0</v>
      </c>
      <c r="G57" s="210">
        <f>IF(SUM(C11:C16)&gt;0,H57*(1-'ACCEPT RATES'!C21),H57*(1-'ACCEPT RATES'!D21))</f>
        <v>0</v>
      </c>
      <c r="H57" s="209">
        <f>I57*(1+'PIECE DENSITIES'!D13)</f>
        <v>0</v>
      </c>
      <c r="I57" s="208">
        <f>(D31+D43)*'COVERAGE FACTORS'!E40+(J31+J43)*('COVERAGE FACTORS'!E40+'COVERAGE FACTORS'!E42)</f>
        <v>0</v>
      </c>
      <c r="J57" s="58"/>
      <c r="L57"/>
      <c r="M57" s="102">
        <f>N57</f>
        <v>0</v>
      </c>
      <c r="N57" s="101">
        <f>D51+J51+O31+O43+(D31+D43)*'COVERAGE FACTORS'!E44+(J31+J43)*(1-('COVERAGE FACTORS'!E40+'COVERAGE FACTORS'!E42))</f>
        <v>0</v>
      </c>
      <c r="P57" s="20"/>
      <c r="Q57" s="109"/>
      <c r="S57" s="20"/>
      <c r="U57" s="20"/>
      <c r="Y57"/>
      <c r="Z57"/>
      <c r="AA57"/>
      <c r="AB57"/>
      <c r="AC57"/>
      <c r="AD57"/>
    </row>
    <row r="58" spans="1:30" ht="13" x14ac:dyDescent="0.3">
      <c r="A58" s="114"/>
      <c r="C58" s="98"/>
      <c r="D58" s="196">
        <f>(SUM(C53:C57)-D51)*'PIECE DENSITIES'!E8</f>
        <v>0</v>
      </c>
      <c r="E58" s="24" t="s">
        <v>124</v>
      </c>
      <c r="G58" s="114"/>
      <c r="I58" s="99"/>
      <c r="J58" s="201">
        <f>(SUM(I53:I57)-J51)*'PIECE DENSITIES'!E13</f>
        <v>0</v>
      </c>
      <c r="K58" s="24" t="s">
        <v>125</v>
      </c>
      <c r="L58"/>
      <c r="M58" s="20"/>
      <c r="O58" s="96">
        <f>SUM(N53:N57)*'PIECE DENSITIES'!E18</f>
        <v>0</v>
      </c>
      <c r="P58" s="24" t="s">
        <v>126</v>
      </c>
      <c r="Q58" s="109"/>
      <c r="S58" s="20"/>
      <c r="U58" s="20"/>
      <c r="Y58"/>
      <c r="Z58"/>
      <c r="AA58"/>
      <c r="AB58"/>
      <c r="AC58"/>
      <c r="AD58"/>
    </row>
    <row r="59" spans="1:30" ht="13" x14ac:dyDescent="0.3">
      <c r="A59" s="114"/>
      <c r="C59" s="98"/>
      <c r="D59" s="196">
        <f>(SUM(C53:C57)-D51)*'PIECE DENSITIES'!F8</f>
        <v>0</v>
      </c>
      <c r="E59" s="24" t="s">
        <v>127</v>
      </c>
      <c r="G59" s="114"/>
      <c r="I59" s="99"/>
      <c r="J59" s="201">
        <f>(SUM(I53:I57)-J51)*'PIECE DENSITIES'!F13</f>
        <v>0</v>
      </c>
      <c r="K59" s="24" t="s">
        <v>128</v>
      </c>
      <c r="L59"/>
      <c r="M59" s="20"/>
      <c r="O59" s="96">
        <f>SUM(N53:N57)*'PIECE DENSITIES'!F18</f>
        <v>0</v>
      </c>
      <c r="P59" s="24" t="s">
        <v>129</v>
      </c>
      <c r="Q59" s="109"/>
      <c r="S59" s="20"/>
      <c r="U59" s="20"/>
      <c r="Y59"/>
      <c r="Z59"/>
      <c r="AA59"/>
      <c r="AB59"/>
      <c r="AC59"/>
      <c r="AD59"/>
    </row>
    <row r="60" spans="1:30" ht="13" x14ac:dyDescent="0.3">
      <c r="A60" s="114"/>
      <c r="C60" s="89"/>
      <c r="D60" s="197">
        <f>(SUM(C53:C57)-D51)*'PIECE DENSITIES'!G8</f>
        <v>0</v>
      </c>
      <c r="E60" s="24" t="s">
        <v>130</v>
      </c>
      <c r="G60" s="114"/>
      <c r="I60" s="94"/>
      <c r="J60" s="202">
        <f>(SUM(I53:I57)-J51)*'PIECE DENSITIES'!G13</f>
        <v>0</v>
      </c>
      <c r="K60" s="24" t="s">
        <v>288</v>
      </c>
      <c r="L60"/>
      <c r="M60" s="20"/>
      <c r="N60" s="46"/>
      <c r="O60" s="97">
        <f>SUM(N53:N57)*'PIECE DENSITIES'!G18</f>
        <v>0</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0</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0</v>
      </c>
      <c r="B68" s="211">
        <f>C68*(1+'ACCEPT RATES'!F17+'PIECE DENSITIES'!E9)</f>
        <v>0</v>
      </c>
      <c r="C68" s="212">
        <f>(D32+D44+D58)*('COVERAGE FACTORS'!E38+'COVERAGE FACTORS'!E42)</f>
        <v>0</v>
      </c>
      <c r="G68" s="205">
        <f>IF(SUM(C11:C16)&gt;0, H68*(1-'ACCEPT RATES'!C22),H68*(1-'ACCEPT RATES'!D22))</f>
        <v>0</v>
      </c>
      <c r="H68" s="204">
        <f>I68*(1+'PIECE DENSITIES'!E14)</f>
        <v>0</v>
      </c>
      <c r="I68" s="203">
        <f>(D32+D44+D58)*'COVERAGE FACTORS'!E40+(J32+J44+J58)*('COVERAGE FACTORS'!E40+'COVERAGE FACTORS'!E42)</f>
        <v>0</v>
      </c>
      <c r="J68" s="58"/>
      <c r="L68"/>
      <c r="M68" s="102">
        <f>N68</f>
        <v>0</v>
      </c>
      <c r="N68" s="101">
        <f>D62+J62+O32+O44+O58+(D32+D44+D58)*'COVERAGE FACTORS'!E44+(J32+J44+J58)*(1-('COVERAGE FACTORS'!E40+'COVERAGE FACTORS'!E42))</f>
        <v>0</v>
      </c>
      <c r="P68" s="20"/>
      <c r="Q68" s="109"/>
      <c r="S68" s="20"/>
      <c r="U68" s="20"/>
      <c r="Y68"/>
      <c r="Z68"/>
      <c r="AA68"/>
      <c r="AB68"/>
      <c r="AC68"/>
      <c r="AD68"/>
    </row>
    <row r="69" spans="1:30" ht="13" x14ac:dyDescent="0.3">
      <c r="A69" s="114"/>
      <c r="C69" s="98"/>
      <c r="D69" s="196">
        <f>(SUM(C64:C68)-D62)*'PIECE DENSITIES'!F9</f>
        <v>0</v>
      </c>
      <c r="E69" s="24" t="s">
        <v>127</v>
      </c>
      <c r="G69" s="114"/>
      <c r="I69" s="99"/>
      <c r="J69" s="201">
        <f>(SUM(I64:I68)-J62)*'PIECE DENSITIES'!F14</f>
        <v>0</v>
      </c>
      <c r="K69" s="24" t="s">
        <v>128</v>
      </c>
      <c r="L69"/>
      <c r="M69" s="20"/>
      <c r="O69" s="96">
        <f>SUM(N64:N68)*'PIECE DENSITIES'!F19</f>
        <v>0</v>
      </c>
      <c r="P69" s="24" t="s">
        <v>129</v>
      </c>
      <c r="Q69" s="109"/>
      <c r="S69" s="20"/>
      <c r="U69" s="20"/>
      <c r="Y69"/>
      <c r="Z69"/>
      <c r="AA69"/>
      <c r="AB69"/>
      <c r="AC69"/>
      <c r="AD69"/>
    </row>
    <row r="70" spans="1:30" ht="13" x14ac:dyDescent="0.3">
      <c r="A70" s="114"/>
      <c r="C70" s="98"/>
      <c r="D70" s="196">
        <f>(SUM(C64:C68)-D62)*'PIECE DENSITIES'!G9</f>
        <v>0</v>
      </c>
      <c r="E70" s="24" t="s">
        <v>130</v>
      </c>
      <c r="G70" s="114"/>
      <c r="I70" s="99"/>
      <c r="J70" s="201">
        <f>(SUM(I64:I68)-J62)*'PIECE DENSITIES'!G14</f>
        <v>0</v>
      </c>
      <c r="K70" s="24" t="s">
        <v>288</v>
      </c>
      <c r="L70"/>
      <c r="M70" s="20"/>
      <c r="O70" s="96">
        <f>SUM(N64:N68)*'PIECE DENSITIES'!G19</f>
        <v>0</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0</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0</v>
      </c>
      <c r="B78" s="211">
        <f>C78*(1+'ACCEPT RATES'!F17)</f>
        <v>0</v>
      </c>
      <c r="C78" s="212">
        <f>(D33+D45+D59+D69)*('COVERAGE FACTORS'!E38+'COVERAGE FACTORS'!E42)</f>
        <v>0</v>
      </c>
      <c r="G78" s="205">
        <f>IF(SUM(C11:C16)&gt;0,H78*(1-'ACCEPT RATES'!C22),H78*(1-'ACCEPT RATES'!D22))</f>
        <v>0</v>
      </c>
      <c r="H78" s="204">
        <f>I78</f>
        <v>0</v>
      </c>
      <c r="I78" s="203">
        <f>(D33+D45+D59+D69)*'COVERAGE FACTORS'!E40+(J33+J45+J59+J69)*('COVERAGE FACTORS'!E40+'COVERAGE FACTORS'!E42)</f>
        <v>0</v>
      </c>
      <c r="J78" s="58"/>
      <c r="L78"/>
      <c r="M78" s="102">
        <f>N78</f>
        <v>0</v>
      </c>
      <c r="N78" s="294">
        <f>D72+J72+O33+O45+O59+O69+(D33+D45+D59+D69)*'COVERAGE FACTORS'!E44+(J33+J45+J59+J69)*(1-('COVERAGE FACTORS'!E40+'COVERAGE FACTORS'!E42))+D106</f>
        <v>0</v>
      </c>
      <c r="P78" s="20"/>
      <c r="Q78" s="109"/>
      <c r="S78" s="20"/>
      <c r="U78" s="20"/>
      <c r="Y78"/>
      <c r="Z78"/>
      <c r="AA78"/>
      <c r="AB78"/>
      <c r="AC78"/>
      <c r="AD78"/>
    </row>
    <row r="79" spans="1:30" ht="13" x14ac:dyDescent="0.3">
      <c r="A79" s="114"/>
      <c r="C79" s="98"/>
      <c r="D79" s="196">
        <f>SUM(C74:C78)-D72</f>
        <v>0</v>
      </c>
      <c r="E79" s="24" t="s">
        <v>130</v>
      </c>
      <c r="G79" s="114"/>
      <c r="I79" s="99"/>
      <c r="J79" s="201">
        <f>SUM(I74:I78)-J72</f>
        <v>0</v>
      </c>
      <c r="K79" s="24" t="s">
        <v>288</v>
      </c>
      <c r="L79"/>
      <c r="M79" s="20"/>
      <c r="O79" s="96">
        <f>SUM(N74:N78)</f>
        <v>0</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0</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0</v>
      </c>
      <c r="B83" s="29">
        <f>C83*(1+'ACCEPT RATES'!F17)</f>
        <v>0</v>
      </c>
      <c r="C83" s="51">
        <v>0</v>
      </c>
      <c r="E83" s="24" t="s">
        <v>70</v>
      </c>
      <c r="G83" s="217">
        <v>0</v>
      </c>
      <c r="H83" s="29">
        <f>I83</f>
        <v>0</v>
      </c>
      <c r="I83" s="51">
        <v>0</v>
      </c>
      <c r="J83" s="113"/>
      <c r="K83" s="23" t="s">
        <v>70</v>
      </c>
      <c r="L83"/>
      <c r="M83" s="29">
        <f>N83</f>
        <v>0</v>
      </c>
      <c r="N83" s="51">
        <v>0</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0</v>
      </c>
      <c r="B87" s="211">
        <f>C87*(1+'ACCEPT RATES'!F17)</f>
        <v>0</v>
      </c>
      <c r="C87" s="212">
        <f>(D34+D46+D60+D70+D79)*('COVERAGE FACTORS'!E54+'COVERAGE FACTORS'!E58)</f>
        <v>0</v>
      </c>
      <c r="G87" s="205">
        <v>0</v>
      </c>
      <c r="H87" s="204">
        <f>I87</f>
        <v>0</v>
      </c>
      <c r="I87" s="203">
        <f>(D34+D46+D60+D70+D79)*'COVERAGE FACTORS'!E56+(J34+J46+J60+J70+J79)*('COVERAGE FACTORS'!E56+'COVERAGE FACTORS'!E58)</f>
        <v>0</v>
      </c>
      <c r="J87" s="213"/>
      <c r="L87"/>
      <c r="M87" s="102">
        <f>N87</f>
        <v>0</v>
      </c>
      <c r="N87" s="294">
        <f>D81+J81+(O34+O46+O60+O70+O79)+(D34+D46+D60+D70+D79)*'COVERAGE FACTORS'!E60+(J34+J46+J60+J70+J79)*(1-('COVERAGE FACTORS'!E56+'COVERAGE FACTORS'!E58))+D120</f>
        <v>0</v>
      </c>
      <c r="P87" s="20"/>
      <c r="Q87" s="109"/>
      <c r="S87" s="20"/>
      <c r="U87" s="20"/>
      <c r="Y87"/>
      <c r="Z87"/>
      <c r="AA87"/>
      <c r="AB87"/>
      <c r="AC87"/>
      <c r="AD87"/>
    </row>
    <row r="88" spans="1:30" ht="13" x14ac:dyDescent="0.3">
      <c r="A88" s="114"/>
      <c r="C88" s="98"/>
      <c r="D88" s="103">
        <f>SUM(C83:C87)-D81</f>
        <v>0</v>
      </c>
      <c r="E88" s="24"/>
      <c r="G88" s="218"/>
      <c r="H88" s="214"/>
      <c r="I88" s="214"/>
      <c r="J88" s="215">
        <f>SUM(I83:I87)-J81</f>
        <v>0</v>
      </c>
      <c r="K88" s="24"/>
      <c r="L88"/>
      <c r="M88" s="20"/>
      <c r="O88" s="216">
        <f>SUM(N83:N87)</f>
        <v>0</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SUM(A95:A99)*(1-'ACCEPT RATES'!G24)+SUM(B95:B99)*'ACCEPT RATES'!J24</f>
        <v>0</v>
      </c>
      <c r="E93" s="282">
        <f>SUM(B95:B98)*'ACCEPT RATES'!I24</f>
        <v>0</v>
      </c>
    </row>
    <row r="94" spans="1:30" ht="13" x14ac:dyDescent="0.3">
      <c r="A94" s="24" t="s">
        <v>256</v>
      </c>
      <c r="B94" s="239" t="s">
        <v>366</v>
      </c>
      <c r="C94" s="240"/>
      <c r="E94" s="24"/>
    </row>
    <row r="95" spans="1:30" ht="13" x14ac:dyDescent="0.3">
      <c r="A95" s="51">
        <f>B95*(1-'ACCEPT RATES'!C24)</f>
        <v>0</v>
      </c>
      <c r="B95" s="29">
        <f>C95*(1+'ACCEPT RATES'!F17)</f>
        <v>0</v>
      </c>
      <c r="C95" s="51">
        <f>C16</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B99*(1-'ACCEPT RATES'!C24)</f>
        <v>0</v>
      </c>
      <c r="B99" s="244">
        <f>C99*(1+'ACCEPT RATES'!F17)</f>
        <v>0</v>
      </c>
      <c r="C99" s="287">
        <f>(D16+D34+D46+D60+D70+D79)*'COVERAGE FACTORS'!E52+D114</f>
        <v>0</v>
      </c>
    </row>
    <row r="100" spans="1:11" x14ac:dyDescent="0.25">
      <c r="D100" s="242">
        <f>SUM(C95:C99)-D93-E93</f>
        <v>0</v>
      </c>
    </row>
    <row r="101" spans="1:11" ht="13" x14ac:dyDescent="0.3">
      <c r="D101" s="23" t="s">
        <v>369</v>
      </c>
    </row>
    <row r="105" spans="1:11" ht="13" x14ac:dyDescent="0.3">
      <c r="D105" s="23"/>
    </row>
    <row r="106" spans="1:11" ht="13" x14ac:dyDescent="0.3">
      <c r="A106" s="114"/>
      <c r="D106" s="285">
        <f>A112*(1-'ACCEPT RATES'!G17)+B112*('ACCEPT RATES'!I17+'ACCEPT RATES'!J17)</f>
        <v>0</v>
      </c>
      <c r="E106" s="24" t="s">
        <v>114</v>
      </c>
      <c r="G106" s="482" t="s">
        <v>458</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B112*(1-'ACCEPT RATES'!$C$17)</f>
        <v>0</v>
      </c>
      <c r="B112" s="289">
        <f>C112*(1+'ACCEPT RATES'!$F$17)</f>
        <v>0</v>
      </c>
      <c r="C112" s="290">
        <f>E93</f>
        <v>0</v>
      </c>
      <c r="G112" s="482"/>
      <c r="H112" s="482"/>
      <c r="I112" s="482"/>
      <c r="J112" s="482"/>
      <c r="K112" s="482"/>
    </row>
    <row r="113" spans="1:11" ht="13" x14ac:dyDescent="0.3">
      <c r="A113" s="114"/>
      <c r="C113" s="120"/>
      <c r="D113" s="293">
        <f>($C$112-$D$106)*(1-'COVERAGE FACTORS'!$E$80)</f>
        <v>0</v>
      </c>
      <c r="E113" s="24" t="s">
        <v>130</v>
      </c>
      <c r="G113" s="482"/>
      <c r="H113" s="482"/>
      <c r="I113" s="482"/>
      <c r="J113" s="482"/>
      <c r="K113" s="482"/>
    </row>
    <row r="114" spans="1:11" ht="13" x14ac:dyDescent="0.3">
      <c r="A114" s="114"/>
      <c r="C114" s="120"/>
      <c r="D114" s="293">
        <f>($C$112-$D$106)*'COVERAGE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B126*(1-'ACCEPT RATES'!$C$17)</f>
        <v>0</v>
      </c>
      <c r="B126" s="289">
        <f>C126*(1+'ACCEPT RATES'!$F$17)</f>
        <v>0</v>
      </c>
      <c r="C126" s="290">
        <f>$D$93+$D$113</f>
        <v>0</v>
      </c>
    </row>
    <row r="127" spans="1:11" ht="13" x14ac:dyDescent="0.3">
      <c r="A127" s="122"/>
      <c r="C127" s="120"/>
      <c r="D127" s="292">
        <f>C126-D120</f>
        <v>0</v>
      </c>
      <c r="E127" s="24"/>
    </row>
    <row r="128" spans="1:11" ht="13" x14ac:dyDescent="0.3">
      <c r="A128" s="122"/>
      <c r="D128" s="23" t="s">
        <v>142</v>
      </c>
      <c r="E128" s="24"/>
    </row>
  </sheetData>
  <mergeCells count="2">
    <mergeCell ref="D91:E91"/>
    <mergeCell ref="G106:K113"/>
  </mergeCells>
  <pageMargins left="0.7" right="0.7" top="0.75" bottom="0.75" header="0.3" footer="0.3"/>
  <pageSetup scale="41" orientation="portrait" r:id="rId1"/>
</worksheet>
</file>

<file path=xl/worksheets/sheet5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8">
    <pageSetUpPr fitToPage="1"/>
  </sheetPr>
  <dimension ref="A1:K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1" ht="23" x14ac:dyDescent="0.5">
      <c r="A1" s="126" t="s">
        <v>347</v>
      </c>
    </row>
    <row r="2" spans="1:11" ht="18" x14ac:dyDescent="0.4">
      <c r="A2" s="5" t="s">
        <v>55</v>
      </c>
    </row>
    <row r="3" spans="1:11" s="7" customFormat="1" ht="12.75" customHeight="1" x14ac:dyDescent="0.3">
      <c r="A3" s="1"/>
      <c r="C3" s="134"/>
      <c r="D3" s="134"/>
      <c r="E3" s="135"/>
      <c r="F3" s="136"/>
      <c r="G3" s="137"/>
      <c r="H3" s="138"/>
      <c r="I3" s="138"/>
      <c r="J3" s="136"/>
    </row>
    <row r="4" spans="1:11"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1" s="7" customFormat="1" ht="12.75" customHeight="1" x14ac:dyDescent="0.3">
      <c r="A5" s="1"/>
      <c r="C5" s="134"/>
      <c r="D5" s="134"/>
      <c r="E5" s="135"/>
      <c r="F5" s="136"/>
      <c r="G5" s="137"/>
      <c r="H5" s="138"/>
      <c r="I5" s="138"/>
      <c r="J5" s="136"/>
      <c r="K5" s="1"/>
    </row>
    <row r="6" spans="1:11" ht="13" x14ac:dyDescent="0.3">
      <c r="D6" s="17" t="s">
        <v>251</v>
      </c>
      <c r="F6" s="139" t="s">
        <v>56</v>
      </c>
      <c r="H6" s="31" t="s">
        <v>57</v>
      </c>
      <c r="I6" s="31" t="s">
        <v>57</v>
      </c>
      <c r="J6" s="139" t="s">
        <v>3</v>
      </c>
      <c r="K6" s="139" t="s">
        <v>58</v>
      </c>
    </row>
    <row r="7" spans="1:11" ht="13" x14ac:dyDescent="0.3">
      <c r="C7" s="140"/>
      <c r="D7" s="17" t="s">
        <v>59</v>
      </c>
      <c r="E7" s="39" t="s">
        <v>60</v>
      </c>
      <c r="F7" s="139" t="s">
        <v>61</v>
      </c>
      <c r="G7" s="41" t="s">
        <v>62</v>
      </c>
      <c r="H7" s="31" t="s">
        <v>63</v>
      </c>
      <c r="I7" s="31" t="s">
        <v>63</v>
      </c>
      <c r="J7" s="139" t="s">
        <v>61</v>
      </c>
      <c r="K7" s="139" t="s">
        <v>61</v>
      </c>
    </row>
    <row r="8" spans="1:11" ht="13" x14ac:dyDescent="0.3">
      <c r="A8" s="36" t="s">
        <v>64</v>
      </c>
      <c r="C8" s="140" t="s">
        <v>7</v>
      </c>
      <c r="D8" s="140" t="s">
        <v>65</v>
      </c>
      <c r="E8" s="40" t="s">
        <v>66</v>
      </c>
      <c r="F8" s="141" t="s">
        <v>67</v>
      </c>
      <c r="G8" s="43" t="s">
        <v>68</v>
      </c>
      <c r="H8" s="37" t="s">
        <v>68</v>
      </c>
      <c r="I8" s="37" t="s">
        <v>69</v>
      </c>
      <c r="J8" s="141" t="s">
        <v>67</v>
      </c>
      <c r="K8" s="141" t="s">
        <v>67</v>
      </c>
    </row>
    <row r="9" spans="1:11" ht="13" x14ac:dyDescent="0.3">
      <c r="A9" s="36"/>
      <c r="C9" s="140"/>
      <c r="D9" s="140"/>
      <c r="E9" s="40"/>
      <c r="F9" s="141"/>
      <c r="G9" s="43"/>
      <c r="H9" s="37"/>
      <c r="I9" s="37"/>
      <c r="J9" s="141"/>
    </row>
    <row r="10" spans="1:11" ht="13" x14ac:dyDescent="0.3">
      <c r="A10" s="1" t="s">
        <v>252</v>
      </c>
      <c r="C10" s="140"/>
      <c r="D10" s="140"/>
      <c r="E10" s="40"/>
      <c r="F10" s="141"/>
      <c r="G10" s="43"/>
      <c r="H10" s="37"/>
      <c r="I10" s="37"/>
      <c r="J10" s="141"/>
    </row>
    <row r="11" spans="1:11" ht="13" x14ac:dyDescent="0.3">
      <c r="A11" s="36"/>
      <c r="B11" t="s">
        <v>234</v>
      </c>
      <c r="C11" s="151">
        <f>'5D NONAUTO COST'!C11</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C11*J11/' 5D AUTO MODEL REV'!$G$6</f>
        <v>0</v>
      </c>
    </row>
    <row r="12" spans="1:11" ht="13" x14ac:dyDescent="0.3">
      <c r="A12" s="36"/>
      <c r="B12" t="s">
        <v>529</v>
      </c>
      <c r="C12" s="151">
        <f>'5D NONAUTO COST'!C12</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C12*J12/' 5D AUTO MODEL REV'!$G$6</f>
        <v>0</v>
      </c>
    </row>
    <row r="13" spans="1:11" ht="13" x14ac:dyDescent="0.3">
      <c r="A13" s="36"/>
      <c r="B13" t="s">
        <v>70</v>
      </c>
      <c r="C13" s="151">
        <f>'5D NONAUTO COST'!C13</f>
        <v>20.793301332962844</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C13*J13/' 5D AUTO MODEL REV'!$G$6</f>
        <v>4.2174877987838949E-2</v>
      </c>
    </row>
    <row r="14" spans="1:11" ht="13" x14ac:dyDescent="0.3">
      <c r="A14" s="36"/>
      <c r="C14" s="151"/>
      <c r="D14" s="151"/>
      <c r="E14" s="135"/>
      <c r="F14" s="136"/>
      <c r="G14" s="137"/>
      <c r="H14" s="137"/>
      <c r="I14" s="138"/>
      <c r="J14" s="136"/>
      <c r="K14" s="42"/>
    </row>
    <row r="15" spans="1:11" ht="13" x14ac:dyDescent="0.3">
      <c r="A15" s="1" t="s">
        <v>253</v>
      </c>
      <c r="C15" s="151"/>
      <c r="D15" s="151"/>
      <c r="E15" s="135"/>
      <c r="F15" s="136"/>
      <c r="G15" s="137"/>
      <c r="H15" s="137"/>
      <c r="I15" s="138"/>
      <c r="J15" s="136"/>
      <c r="K15" s="42"/>
    </row>
    <row r="16" spans="1:11" s="7" customFormat="1" x14ac:dyDescent="0.25">
      <c r="B16" s="7" t="s">
        <v>234</v>
      </c>
      <c r="C16" s="151">
        <f>'5D NONAUTO COST'!C16</f>
        <v>19.069018389981395</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C16*J16/' 5D AUTO MODEL REV'!$G$6</f>
        <v>7.2015017071501902E-2</v>
      </c>
    </row>
    <row r="17" spans="1:11" ht="13" x14ac:dyDescent="0.3">
      <c r="A17" s="1"/>
      <c r="B17" t="s">
        <v>529</v>
      </c>
      <c r="C17" s="151">
        <f>'5D NONAUTO COST'!C17</f>
        <v>23.051335442984961</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C17*J17/' 5D AUTO MODEL REV'!$G$6</f>
        <v>0.10069395299333896</v>
      </c>
    </row>
    <row r="18" spans="1:11" ht="13" x14ac:dyDescent="0.3">
      <c r="A18" s="1"/>
      <c r="B18" t="s">
        <v>70</v>
      </c>
      <c r="C18" s="151">
        <f>'5D NONAUTO COST'!C18</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C18*J18/' 5D AUTO MODEL REV'!$G$6</f>
        <v>0</v>
      </c>
    </row>
    <row r="19" spans="1:11" ht="13" x14ac:dyDescent="0.3">
      <c r="A19" s="1"/>
      <c r="C19" s="151"/>
      <c r="D19" s="151"/>
      <c r="E19" s="135"/>
      <c r="F19" s="136"/>
      <c r="G19" s="137"/>
      <c r="H19" s="137"/>
      <c r="I19" s="138"/>
      <c r="J19" s="136"/>
      <c r="K19" s="42"/>
    </row>
    <row r="20" spans="1:11" ht="13" x14ac:dyDescent="0.3">
      <c r="A20" s="1" t="s">
        <v>254</v>
      </c>
      <c r="C20" s="151"/>
      <c r="D20" s="151"/>
      <c r="E20" s="135"/>
      <c r="F20" s="136"/>
      <c r="G20" s="137"/>
      <c r="H20" s="137"/>
      <c r="I20" s="138"/>
      <c r="J20" s="136"/>
      <c r="K20" s="42"/>
    </row>
    <row r="21" spans="1:11" ht="13" x14ac:dyDescent="0.3">
      <c r="A21" s="1"/>
      <c r="B21" t="s">
        <v>234</v>
      </c>
      <c r="C21" s="151">
        <f>'5D NONAUTO COST'!C21</f>
        <v>131.77072527506095</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C21*J21/' 5D AUTO MODEL REV'!$G$6</f>
        <v>0.49763814980604049</v>
      </c>
    </row>
    <row r="22" spans="1:11" ht="13" x14ac:dyDescent="0.3">
      <c r="A22" s="1"/>
      <c r="B22" t="s">
        <v>529</v>
      </c>
      <c r="C22" s="151">
        <f>'5D NONAUTO COST'!C22</f>
        <v>159.28933140453123</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C22*J22/' 5D AUTO MODEL REV'!$G$6</f>
        <v>0.69581532438587756</v>
      </c>
    </row>
    <row r="23" spans="1:11" ht="13" x14ac:dyDescent="0.3">
      <c r="A23" s="1"/>
      <c r="B23" t="s">
        <v>70</v>
      </c>
      <c r="C23" s="151">
        <f>'5D NONAUTO COST'!C23</f>
        <v>8.393840641685987</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C23*J23/' 5D AUTO MODEL REV'!$G$6</f>
        <v>1.7025156286812074E-2</v>
      </c>
    </row>
    <row r="24" spans="1:11" ht="13" x14ac:dyDescent="0.3">
      <c r="A24" s="1"/>
      <c r="C24" s="151"/>
      <c r="D24" s="151"/>
      <c r="E24" s="135"/>
      <c r="F24" s="136"/>
      <c r="G24" s="137"/>
      <c r="H24" s="137"/>
      <c r="I24" s="138"/>
      <c r="J24" s="136"/>
      <c r="K24" s="42"/>
    </row>
    <row r="25" spans="1:11" ht="13" x14ac:dyDescent="0.3">
      <c r="A25" s="1" t="s">
        <v>255</v>
      </c>
      <c r="C25" s="151"/>
      <c r="D25" s="151"/>
      <c r="E25" s="135"/>
      <c r="F25" s="136"/>
      <c r="G25" s="137"/>
      <c r="H25" s="137"/>
      <c r="I25" s="138"/>
      <c r="J25" s="136"/>
      <c r="K25" s="42"/>
    </row>
    <row r="26" spans="1:11" ht="13" x14ac:dyDescent="0.3">
      <c r="A26" s="1"/>
      <c r="B26" t="s">
        <v>234</v>
      </c>
      <c r="C26" s="151">
        <f>'5D NONAUTO COST'!C26</f>
        <v>4.6474950372757583E-2</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C26*J26/' 5D AUTO MODEL REV'!$G$6</f>
        <v>1.7551476830342532E-4</v>
      </c>
    </row>
    <row r="27" spans="1:11" ht="13" x14ac:dyDescent="0.3">
      <c r="A27" s="1"/>
      <c r="B27" t="s">
        <v>529</v>
      </c>
      <c r="C27" s="151">
        <f>'5D NONAUTO COST'!C27</f>
        <v>5.6180640703632947E-2</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C27*J27/' 5D AUTO MODEL REV'!$G$6</f>
        <v>2.4541097881896679E-4</v>
      </c>
    </row>
    <row r="28" spans="1:11" ht="13" x14ac:dyDescent="0.3">
      <c r="A28" s="1"/>
      <c r="B28" t="s">
        <v>70</v>
      </c>
      <c r="C28" s="151">
        <f>'5D NONAUTO COST'!C28</f>
        <v>12.53402383310215</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C28*J28/' 5D AUTO MODEL REV'!$G$6</f>
        <v>3.5408233096947947E-2</v>
      </c>
    </row>
    <row r="29" spans="1:11" ht="13" x14ac:dyDescent="0.3">
      <c r="A29" s="1"/>
      <c r="C29" s="149"/>
      <c r="D29" s="149"/>
      <c r="E29" s="135"/>
      <c r="F29" s="136"/>
      <c r="G29" s="137"/>
      <c r="H29" s="138"/>
      <c r="I29" s="138"/>
      <c r="J29" s="136"/>
      <c r="K29" s="42"/>
    </row>
    <row r="30" spans="1:11" ht="13" x14ac:dyDescent="0.3">
      <c r="A30" s="1" t="s">
        <v>71</v>
      </c>
      <c r="F30" s="42"/>
      <c r="H30" s="42"/>
      <c r="I30" s="42"/>
      <c r="J30" s="42"/>
      <c r="K30" s="42"/>
    </row>
    <row r="31" spans="1:11" ht="13" x14ac:dyDescent="0.3">
      <c r="A31" s="36"/>
      <c r="B31" t="s">
        <v>72</v>
      </c>
      <c r="C31" s="2">
        <f>SUM(' 5D AUTO MODEL REV'!$B$25:$B$29)</f>
        <v>6.172920074343625</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C31*J31/' 5D AUTO MODEL REV'!$G$6</f>
        <v>3.1584835942562823E-3</v>
      </c>
    </row>
    <row r="32" spans="1:11" ht="13" x14ac:dyDescent="0.3">
      <c r="A32" s="36"/>
      <c r="B32" t="s">
        <v>244</v>
      </c>
      <c r="C32" s="2">
        <f>SUM(' 5D AUTO MODEL REV'!$A$25:$A$29)</f>
        <v>0.3783978893244056</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C32*J32/' 5D AUTO MODEL REV'!$G$6</f>
        <v>2.8533812656070571E-4</v>
      </c>
    </row>
    <row r="33" spans="1:11" ht="13" x14ac:dyDescent="0.3">
      <c r="A33" s="36"/>
      <c r="B33" t="s">
        <v>291</v>
      </c>
      <c r="C33" s="2">
        <f>SUM(' 5D AUTO MODEL REV'!$H$25:$H$29)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C33*J33/' 5D AUTO MODEL REV'!$G$6</f>
        <v>0</v>
      </c>
    </row>
    <row r="34" spans="1:11" x14ac:dyDescent="0.25">
      <c r="B34" t="s">
        <v>292</v>
      </c>
      <c r="C34" s="2">
        <f>SUM(' 5D AUTO MODEL REV'!$G$25:$G$29)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C34*J34/' 5D AUTO MODEL REV'!$G$6</f>
        <v>0</v>
      </c>
    </row>
    <row r="35" spans="1:11" x14ac:dyDescent="0.25">
      <c r="B35" t="s">
        <v>70</v>
      </c>
      <c r="C35" s="2">
        <f>SUM(' 5D AUTO MODEL REV'!$M$25:$M$29)</f>
        <v>0.29900372461871233</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C35*J35/' 5D AUTO MODEL REV'!$G$6</f>
        <v>3.2306650178639748E-4</v>
      </c>
    </row>
    <row r="36" spans="1:11" x14ac:dyDescent="0.25">
      <c r="F36" s="42"/>
      <c r="H36" s="42"/>
      <c r="I36" s="42"/>
      <c r="J36" s="42"/>
      <c r="K36" s="42"/>
    </row>
    <row r="37" spans="1:11" ht="13" x14ac:dyDescent="0.3">
      <c r="A37" s="1" t="s">
        <v>73</v>
      </c>
      <c r="F37" s="42"/>
      <c r="H37" s="42"/>
      <c r="I37" s="42"/>
      <c r="J37" s="42"/>
      <c r="K37" s="42"/>
    </row>
    <row r="38" spans="1:11" ht="13" x14ac:dyDescent="0.3">
      <c r="A38" s="36"/>
      <c r="B38" t="s">
        <v>72</v>
      </c>
      <c r="C38" s="2">
        <f>SUM(' 5D AUTO MODEL REV'!$B$38:$B$42)</f>
        <v>0.76151828951416156</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C38*J38/' 5D AUTO MODEL REV'!$G$6</f>
        <v>2.7018888018976079E-4</v>
      </c>
    </row>
    <row r="39" spans="1:11" ht="13" x14ac:dyDescent="0.3">
      <c r="A39" s="36"/>
      <c r="B39" t="s">
        <v>244</v>
      </c>
      <c r="C39" s="2">
        <f>SUM(' 5D AUTO MODEL REV'!$A$38:$A$42)</f>
        <v>4.6680810696343014E-2</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C39*J39/' 5D AUTO MODEL REV'!$G$6</f>
        <v>3.5200553296454072E-5</v>
      </c>
    </row>
    <row r="40" spans="1:11" x14ac:dyDescent="0.25">
      <c r="B40" t="s">
        <v>291</v>
      </c>
      <c r="C40" s="2">
        <f>SUM(' 5D AUTO MODEL REV'!$H$38:$H$42)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C40*J40/' 5D AUTO MODEL REV'!$G$6</f>
        <v>0</v>
      </c>
    </row>
    <row r="41" spans="1:11" x14ac:dyDescent="0.25">
      <c r="B41" t="s">
        <v>292</v>
      </c>
      <c r="C41" s="2">
        <f>SUM(' 5D AUTO MODEL REV'!$G$38:$G$42)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C41*J41/' 5D AUTO MODEL REV'!$G$6</f>
        <v>0</v>
      </c>
    </row>
    <row r="42" spans="1:11" x14ac:dyDescent="0.25">
      <c r="B42" t="s">
        <v>70</v>
      </c>
      <c r="C42" s="2">
        <f>SUM(' 5D AUTO MODEL REV'!$M$38:$M$42)</f>
        <v>9.7341251937706028E-2</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C42*J42/' 5D AUTO MODEL REV'!$G$6</f>
        <v>1.3296650363074051E-4</v>
      </c>
    </row>
    <row r="43" spans="1:11" x14ac:dyDescent="0.25">
      <c r="F43" s="42"/>
      <c r="H43" s="42"/>
      <c r="I43" s="42"/>
      <c r="J43" s="42"/>
      <c r="K43" s="42"/>
    </row>
    <row r="44" spans="1:11" ht="13" x14ac:dyDescent="0.3">
      <c r="A44" s="1" t="s">
        <v>74</v>
      </c>
      <c r="F44" s="42"/>
      <c r="H44" s="42"/>
      <c r="I44" s="42"/>
      <c r="J44" s="42"/>
      <c r="K44" s="42"/>
    </row>
    <row r="45" spans="1:11" ht="13" x14ac:dyDescent="0.3">
      <c r="A45" s="36"/>
      <c r="B45" t="s">
        <v>72</v>
      </c>
      <c r="C45" s="2">
        <f>SUM(' 5D AUTO MODEL REV'!$B$53:$B$57)</f>
        <v>25.081875983278874</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C45*J45/' 5D AUTO MODEL REV'!$G$6</f>
        <v>1.2829927468521652E-2</v>
      </c>
    </row>
    <row r="46" spans="1:11" ht="13" x14ac:dyDescent="0.3">
      <c r="A46" s="36"/>
      <c r="B46" t="s">
        <v>244</v>
      </c>
      <c r="C46" s="2">
        <f>SUM(' 5D AUTO MODEL REV'!$A$53:$A$57)</f>
        <v>1.5375104193906821</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C46*J46/' 5D AUTO MODEL REV'!$G$6</f>
        <v>1.1593889792032902E-3</v>
      </c>
    </row>
    <row r="47" spans="1:11" x14ac:dyDescent="0.25">
      <c r="B47" t="s">
        <v>291</v>
      </c>
      <c r="C47" s="2">
        <f>SUM(' 5D AUTO MODEL REV'!$H$53:$H$57)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C47*J47/' 5D AUTO MODEL REV'!$G$6</f>
        <v>0</v>
      </c>
    </row>
    <row r="48" spans="1:11" x14ac:dyDescent="0.25">
      <c r="B48" t="s">
        <v>292</v>
      </c>
      <c r="C48" s="2">
        <f>SUM(' 5D AUTO MODEL REV'!$G$53:$G$57)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C48*J48/' 5D AUTO MODEL REV'!$G$6</f>
        <v>0</v>
      </c>
    </row>
    <row r="49" spans="1:11" x14ac:dyDescent="0.25">
      <c r="B49" t="s">
        <v>70</v>
      </c>
      <c r="C49" s="2">
        <f>SUM(' 5D AUTO MODEL REV'!$M$53:$M$57)</f>
        <v>2.2104345813592987</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C49*J49/' 5D AUTO MODEL REV'!$G$6</f>
        <v>2.1377595914073527E-3</v>
      </c>
    </row>
    <row r="50" spans="1:11" x14ac:dyDescent="0.25">
      <c r="F50" s="42"/>
      <c r="H50" s="42"/>
      <c r="I50" s="42"/>
      <c r="J50" s="42"/>
      <c r="K50" s="42"/>
    </row>
    <row r="51" spans="1:11" ht="13" x14ac:dyDescent="0.3">
      <c r="A51" s="1" t="s">
        <v>75</v>
      </c>
      <c r="F51" s="42"/>
      <c r="H51" s="42"/>
      <c r="I51" s="42"/>
      <c r="J51" s="42"/>
      <c r="K51" s="42"/>
    </row>
    <row r="52" spans="1:11" ht="13" x14ac:dyDescent="0.3">
      <c r="A52" s="36"/>
      <c r="B52" t="s">
        <v>72</v>
      </c>
      <c r="C52" s="2">
        <f>SUM(' 5D AUTO MODEL REV'!$B$64:$B$68)</f>
        <v>86.942501428215806</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C52*J52/' 5D AUTO MODEL REV'!$G$6</f>
        <v>3.3736801251975194E-2</v>
      </c>
    </row>
    <row r="53" spans="1:11" ht="13" x14ac:dyDescent="0.3">
      <c r="A53" s="36"/>
      <c r="B53" t="s">
        <v>244</v>
      </c>
      <c r="C53" s="2">
        <f>SUM(' 5D AUTO MODEL REV'!$A$64:$A$68)</f>
        <v>5.3295456018874763</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C53*J53/' 5D AUTO MODEL REV'!$G$6</f>
        <v>4.0188452429730272E-3</v>
      </c>
    </row>
    <row r="54" spans="1:11" x14ac:dyDescent="0.25">
      <c r="B54" t="s">
        <v>291</v>
      </c>
      <c r="C54" s="2">
        <f>SUM(' 5D AUTO MODEL REV'!$H$64:$H$68)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C54*J54/' 5D AUTO MODEL REV'!$G$6</f>
        <v>0</v>
      </c>
    </row>
    <row r="55" spans="1:11" x14ac:dyDescent="0.25">
      <c r="B55" t="s">
        <v>292</v>
      </c>
      <c r="C55" s="2">
        <f>SUM(' 5D AUTO MODEL REV'!$G$64:$G$68)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C55*J55/' 5D AUTO MODEL REV'!$G$6</f>
        <v>0</v>
      </c>
    </row>
    <row r="56" spans="1:11" x14ac:dyDescent="0.25">
      <c r="B56" t="s">
        <v>70</v>
      </c>
      <c r="C56" s="2">
        <f>SUM(' 5D AUTO MODEL REV'!$M$64:$M$68)</f>
        <v>5.4555722487862033</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C56*J56/' 5D AUTO MODEL REV'!$G$6</f>
        <v>6.0870085051252616E-3</v>
      </c>
    </row>
    <row r="57" spans="1:11" x14ac:dyDescent="0.25">
      <c r="F57" s="42"/>
      <c r="H57" s="42"/>
      <c r="I57" s="42"/>
      <c r="J57" s="42"/>
      <c r="K57" s="42"/>
    </row>
    <row r="58" spans="1:11" ht="13" x14ac:dyDescent="0.3">
      <c r="A58" s="1" t="s">
        <v>76</v>
      </c>
      <c r="F58" s="42"/>
      <c r="H58" s="42"/>
      <c r="I58" s="42"/>
      <c r="J58" s="42"/>
      <c r="K58" s="42"/>
    </row>
    <row r="59" spans="1:11" ht="13" x14ac:dyDescent="0.3">
      <c r="A59" s="36"/>
      <c r="B59" t="s">
        <v>72</v>
      </c>
      <c r="C59" s="2">
        <f>SUM(' 5D AUTO MODEL REV'!$B$74:$B$78)+SUM(' 5D AUTO MODEL REV'!$B$108:$B$112)</f>
        <v>3.6668459884575793</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C59*J59/' 5D AUTO MODEL REV'!$G$6</f>
        <v>2.6403659574104192E-3</v>
      </c>
    </row>
    <row r="60" spans="1:11" ht="13" x14ac:dyDescent="0.3">
      <c r="A60" s="36"/>
      <c r="B60" t="s">
        <v>244</v>
      </c>
      <c r="C60" s="2">
        <f>SUM(' 5D AUTO MODEL REV'!$A$74:$A$78)+SUM(' 5D AUTO MODEL REV'!$A$108:$A$112)</f>
        <v>0.22477640497516882</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C60*J60/' 5D AUTO MODEL REV'!$G$6</f>
        <v>1.6949692400551267E-4</v>
      </c>
    </row>
    <row r="61" spans="1:11" x14ac:dyDescent="0.25">
      <c r="B61" t="s">
        <v>291</v>
      </c>
      <c r="C61" s="2">
        <f>SUM(' 5D AUTO MODEL REV'!$H$74:$H$78)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C61*J61/' 5D AUTO MODEL REV'!$G$6</f>
        <v>0</v>
      </c>
    </row>
    <row r="62" spans="1:11" x14ac:dyDescent="0.25">
      <c r="B62" t="s">
        <v>292</v>
      </c>
      <c r="C62" s="2">
        <f>SUM(' 5D AUTO MODEL REV'!$G$74:$G$78)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C62*J62/' 5D AUTO MODEL REV'!$G$6</f>
        <v>0</v>
      </c>
    </row>
    <row r="63" spans="1:11" x14ac:dyDescent="0.25">
      <c r="B63" t="s">
        <v>70</v>
      </c>
      <c r="C63" s="2">
        <f>SUM(' 5D AUTO MODEL REV'!$M$74:$M$78)</f>
        <v>0.46017621812275922</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C63*J63/' 5D AUTO MODEL REV'!$G$6</f>
        <v>4.0934074509570525E-4</v>
      </c>
    </row>
    <row r="64" spans="1:11" ht="13" x14ac:dyDescent="0.3">
      <c r="A64" s="36"/>
      <c r="F64" s="42"/>
      <c r="H64" s="42"/>
      <c r="I64" s="42"/>
      <c r="J64" s="42"/>
      <c r="K64" s="42"/>
    </row>
    <row r="65" spans="1:11" ht="13" x14ac:dyDescent="0.3">
      <c r="A65" s="1" t="s">
        <v>77</v>
      </c>
      <c r="F65" s="42"/>
      <c r="H65" s="42"/>
      <c r="I65" s="42"/>
      <c r="J65" s="42"/>
      <c r="K65" s="42"/>
    </row>
    <row r="66" spans="1:11" ht="13" x14ac:dyDescent="0.3">
      <c r="A66" s="36"/>
      <c r="B66" t="s">
        <v>72</v>
      </c>
      <c r="C66" s="2">
        <f>SUM(' 5D AUTO MODEL REV'!$B$83:$B$87)+SUM(' 5D AUTO MODEL REV'!$B$122:$B$126)</f>
        <v>9595.8325874441889</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C66*J66/' 5D AUTO MODEL REV'!$G$6</f>
        <v>4.1549226155794985</v>
      </c>
    </row>
    <row r="67" spans="1:11" ht="13" x14ac:dyDescent="0.3">
      <c r="A67" s="36"/>
      <c r="B67" t="s">
        <v>244</v>
      </c>
      <c r="C67" s="2">
        <f>SUM(' 5D AUTO MODEL REV'!$A$83:$A$87)+SUM(' 5D AUTO MODEL REV'!$A$122:$A$126)</f>
        <v>588.2212556891601</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C67*J67/' 5D AUTO MODEL REV'!$G$6</f>
        <v>0.44355942735620718</v>
      </c>
    </row>
    <row r="68" spans="1:11" x14ac:dyDescent="0.25">
      <c r="B68" t="s">
        <v>291</v>
      </c>
      <c r="C68" s="2">
        <f>SUM(' 5D AUTO MODEL REV'!$H$83:$H$87)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C68*J68/' 5D AUTO MODEL REV'!$G$6</f>
        <v>0</v>
      </c>
    </row>
    <row r="69" spans="1:11" x14ac:dyDescent="0.25">
      <c r="B69" t="s">
        <v>292</v>
      </c>
      <c r="C69" s="2">
        <f>SUM(' 5D AUTO MODEL REV'!$G$83:$G$87)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C69*J69/' 5D AUTO MODEL REV'!$G$6</f>
        <v>0</v>
      </c>
    </row>
    <row r="70" spans="1:11" x14ac:dyDescent="0.25">
      <c r="B70" t="s">
        <v>70</v>
      </c>
      <c r="C70" s="2">
        <f>SUM(' 5D AUTO MODEL REV'!$M$83:$M$87)</f>
        <v>971.5192890168629</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C70*J70/' 5D AUTO MODEL REV'!$G$6</f>
        <v>0.96330782485812727</v>
      </c>
    </row>
    <row r="71" spans="1:11" x14ac:dyDescent="0.25">
      <c r="F71" s="42"/>
      <c r="H71" s="42"/>
      <c r="I71" s="42"/>
      <c r="J71" s="42"/>
      <c r="K71" s="42"/>
    </row>
    <row r="72" spans="1:11" ht="13" x14ac:dyDescent="0.3">
      <c r="A72" s="1" t="s">
        <v>368</v>
      </c>
      <c r="F72" s="42"/>
      <c r="H72" s="42"/>
      <c r="I72" s="42"/>
      <c r="J72" s="42"/>
      <c r="K72" s="42"/>
    </row>
    <row r="73" spans="1:11" x14ac:dyDescent="0.25">
      <c r="B73" t="s">
        <v>366</v>
      </c>
      <c r="C73" s="2">
        <v>0</v>
      </c>
      <c r="D73" s="2">
        <v>0</v>
      </c>
      <c r="E73" s="38">
        <v>0</v>
      </c>
      <c r="F73" s="42">
        <v>0</v>
      </c>
      <c r="G73" s="42">
        <v>0</v>
      </c>
      <c r="H73" s="42">
        <v>0</v>
      </c>
      <c r="I73" s="42">
        <v>0</v>
      </c>
      <c r="J73" s="42">
        <v>0</v>
      </c>
      <c r="K73" s="42">
        <v>0</v>
      </c>
    </row>
    <row r="74" spans="1:11" x14ac:dyDescent="0.25">
      <c r="B74" t="s">
        <v>244</v>
      </c>
      <c r="C74" s="2">
        <f>SUM(' 5D AUTO MODEL REV'!$A$95:$A$99)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C74*J74/' 5D AUTO MODEL REV'!$G$6</f>
        <v>0</v>
      </c>
    </row>
    <row r="76" spans="1:11" x14ac:dyDescent="0.25">
      <c r="B76" s="155" t="s">
        <v>486</v>
      </c>
      <c r="C76" s="2">
        <f>SUM(' 5D AUTO MODEL REV'!C83,' 5D AUTO MODEL REV'!I83)</f>
        <v>9411.8297500381868</v>
      </c>
      <c r="D76" s="2">
        <f>PRODUCTIVITIES!$C$49*'FY VOLUME NONAUTO'!C64</f>
        <v>2715.1276544410266</v>
      </c>
      <c r="E76" s="38">
        <f>'WAGE RATES'!$C$6</f>
        <v>50.10717457546064</v>
      </c>
      <c r="F76" s="42">
        <f t="shared" ref="F76:F77" si="0">E76*100/D76</f>
        <v>1.845481353095952</v>
      </c>
      <c r="G76" s="42">
        <f>PIGGYBACKS!$B$13</f>
        <v>1.6305774272183733</v>
      </c>
      <c r="H76" s="42">
        <f>'WAGE RATES'!$C$9</f>
        <v>0.9752031228402912</v>
      </c>
      <c r="I76" s="42">
        <f t="shared" ref="I76:I77" si="1">(H76-1)*F76</f>
        <v>-4.5762174413253497E-2</v>
      </c>
      <c r="J76" s="42">
        <f t="shared" ref="J76:J77" si="2">F76*G76+I76</f>
        <v>2.9634380622974263</v>
      </c>
      <c r="K76" s="42">
        <f ca="1">C76*$J76/'5D AUTO MODEL'!$G$6</f>
        <v>2.7891374517126435</v>
      </c>
    </row>
    <row r="77" spans="1:11" x14ac:dyDescent="0.25">
      <c r="B77" s="155" t="s">
        <v>491</v>
      </c>
      <c r="C77" s="2">
        <f>SUM(C31,C33,C34,C38,C40,C41,C45,C47,C48,C52,C54,C55,C59,C61,C62,C66,C68,C69)-C76</f>
        <v>306.62849916981213</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0.11705879424543873</v>
      </c>
    </row>
    <row r="78" spans="1:11" ht="13.5" thickBot="1" x14ac:dyDescent="0.35">
      <c r="F78" s="42"/>
      <c r="H78" s="42"/>
      <c r="I78" s="42"/>
      <c r="J78" s="42"/>
      <c r="K78" s="41" t="str">
        <f>"(10)"</f>
        <v>(10)</v>
      </c>
    </row>
    <row r="79" spans="1:11" ht="13.5" thickBot="1" x14ac:dyDescent="0.35">
      <c r="F79" s="42"/>
      <c r="H79" s="42"/>
      <c r="I79" s="42"/>
      <c r="J79" s="142" t="s">
        <v>78</v>
      </c>
      <c r="K79" s="143">
        <f ca="1">SUM(K11:K77)</f>
        <v>9.9965719299528324</v>
      </c>
    </row>
    <row r="80" spans="1:11" ht="13.5" thickBot="1" x14ac:dyDescent="0.35">
      <c r="J80" s="142" t="s">
        <v>485</v>
      </c>
      <c r="K80" s="143">
        <f ca="1">SUM(K31,K33,K34,K38,K40,K41,K45,K47,K48,K52,K54,K55,K59,K61,K62,K66,K68,K69,K76,K77)</f>
        <v>7.113754628689934</v>
      </c>
    </row>
    <row r="83" spans="1:8" ht="13" x14ac:dyDescent="0.3">
      <c r="A83" s="145" t="str">
        <f>"(1)"</f>
        <v>(1)</v>
      </c>
      <c r="B83" s="1" t="s">
        <v>413</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honeticPr fontId="0" type="noConversion"/>
  <printOptions horizontalCentered="1"/>
  <pageMargins left="0.75" right="0.75" top="1" bottom="1" header="0.5" footer="0.5"/>
  <pageSetup scale="59" firstPageNumber="76" orientation="portrait" useFirstPageNumber="1" r:id="rId1"/>
  <headerFooter alignWithMargins="0">
    <oddFooter>&amp;CTab-'&amp;A'&amp;RPage 26</oddFooter>
  </headerFooter>
  <ignoredErrors>
    <ignoredError sqref="E4" numberStoredAsText="1"/>
  </ignoredErrors>
</worksheet>
</file>

<file path=xl/worksheets/sheet5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39"/>
  <dimension ref="A1:AD128"/>
  <sheetViews>
    <sheetView zoomScale="70" zoomScaleNormal="70" workbookViewId="0"/>
  </sheetViews>
  <sheetFormatPr defaultRowHeight="12.5" x14ac:dyDescent="0.25"/>
  <cols>
    <col min="1" max="2" width="10.7265625" style="20" customWidth="1"/>
    <col min="3" max="3" width="17.81640625" style="20" customWidth="1"/>
    <col min="4" max="4" width="10.7265625" style="58" customWidth="1"/>
    <col min="5"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'5D AUTO COST REV'!A1</f>
        <v>5-DIGIT AUTO PRESORT (PRESORT LEVELS HELD CONSTANT)</v>
      </c>
    </row>
    <row r="2" spans="1:30" ht="23" x14ac:dyDescent="0.5">
      <c r="A2" s="57" t="s">
        <v>84</v>
      </c>
    </row>
    <row r="6" spans="1:30" s="228" customFormat="1" ht="18" x14ac:dyDescent="0.4">
      <c r="A6" s="48" t="s">
        <v>85</v>
      </c>
      <c r="B6" s="226"/>
      <c r="C6" s="49">
        <f>SUM(C11:C16)+SUM(G11:G16)+SUM(K11:K16)+SUM(O11:O16)</f>
        <v>10000</v>
      </c>
      <c r="D6" s="227"/>
      <c r="E6" s="48" t="s">
        <v>86</v>
      </c>
      <c r="F6" s="226"/>
      <c r="G6" s="49">
        <f>D88+J88+O88+D100+D127</f>
        <v>10000.000000000002</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'5D NONAUTO MODEL'!G11</f>
        <v>6.1060194290040162</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f>'5D NONAUTO MODEL'!G12</f>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'5D NONAUTO MODEL'!G13</f>
        <v>21.396566397216478</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'5D NONAUTO MODEL'!G14</f>
        <v>76.106739544936858</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f>'5D NONAUTO MODEL'!G15</f>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'5D NONAUTO MODEL'!G16</f>
        <v>9896.390674628843</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283">
        <f>SUM(A25:A29)*(1-'ACCEPT RATES'!G14)+SUM(B25:B29)*SUM('ACCEPT RATES'!I14:J14)</f>
        <v>0.28844885970161138</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87" t="s">
        <v>115</v>
      </c>
      <c r="C24" s="88"/>
      <c r="D24" s="120"/>
      <c r="E24" s="24" t="s">
        <v>116</v>
      </c>
      <c r="G24" s="127" t="s">
        <v>118</v>
      </c>
      <c r="H24" s="87" t="s">
        <v>245</v>
      </c>
      <c r="I24" s="88"/>
      <c r="J24" s="100"/>
      <c r="K24" s="23" t="s">
        <v>116</v>
      </c>
      <c r="L24"/>
      <c r="M24" s="87" t="s">
        <v>117</v>
      </c>
      <c r="N24" s="88"/>
      <c r="P24" s="20"/>
      <c r="Q24" s="109"/>
      <c r="S24" s="20"/>
      <c r="U24" s="20"/>
      <c r="Y24"/>
      <c r="Z24"/>
      <c r="AA24"/>
      <c r="AB24"/>
      <c r="AC24"/>
      <c r="AD24"/>
    </row>
    <row r="25" spans="1:30" ht="13" x14ac:dyDescent="0.3">
      <c r="A25" s="121">
        <f>B25*(1-'ACCEPT RATES'!C14)</f>
        <v>0.3783978893244056</v>
      </c>
      <c r="B25" s="29">
        <f>C25*(1+'ACCEPT RATES'!F14)</f>
        <v>6.172920074343625</v>
      </c>
      <c r="C25" s="51">
        <f>C11*('COVERAGE FACTORS'!E14+'COVERAGE FACTORS'!E18)</f>
        <v>6.0954645640869165</v>
      </c>
      <c r="E25" s="24" t="s">
        <v>70</v>
      </c>
      <c r="G25" s="217">
        <f>H25*(1-'ACCEPT RATES'!C19)</f>
        <v>0</v>
      </c>
      <c r="H25" s="29">
        <f>I25</f>
        <v>0</v>
      </c>
      <c r="I25" s="51">
        <f>C11*'COVERAGE FACTORS'!E16</f>
        <v>0</v>
      </c>
      <c r="J25" s="23"/>
      <c r="K25" s="23" t="s">
        <v>70</v>
      </c>
      <c r="L25"/>
      <c r="M25" s="29">
        <f>N25</f>
        <v>1.0554864917100963E-2</v>
      </c>
      <c r="N25" s="51">
        <f>C11*'COVERAGE FACTORS'!E20</f>
        <v>1.0554864917100963E-2</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0.28844885970161138</v>
      </c>
      <c r="N29" s="206">
        <f>D23+J23</f>
        <v>0.28844885970161138</v>
      </c>
      <c r="P29" s="20"/>
      <c r="Q29" s="109"/>
      <c r="S29" s="20"/>
      <c r="U29" s="20"/>
      <c r="Y29"/>
      <c r="Z29"/>
      <c r="AA29"/>
      <c r="AB29"/>
      <c r="AC29"/>
      <c r="AD29"/>
    </row>
    <row r="30" spans="1:30" ht="13" x14ac:dyDescent="0.3">
      <c r="A30" s="114"/>
      <c r="C30" s="98"/>
      <c r="D30" s="196">
        <f>(SUM(C25:C29)-D23)*'PIECE DENSITIES'!C6</f>
        <v>0.74358982236885873</v>
      </c>
      <c r="E30" s="24" t="s">
        <v>290</v>
      </c>
      <c r="G30" s="114"/>
      <c r="I30" s="99"/>
      <c r="J30" s="201">
        <f>(SUM(I25:I29)-J23)*'PIECE DENSITIES'!C11</f>
        <v>0</v>
      </c>
      <c r="K30" s="24" t="s">
        <v>289</v>
      </c>
      <c r="L30"/>
      <c r="M30" s="20"/>
      <c r="O30" s="96">
        <f>SUM(N25:N29)*'PIECE DENSITIES'!C16</f>
        <v>2.6754174432362676E-2</v>
      </c>
      <c r="P30" s="24" t="s">
        <v>120</v>
      </c>
      <c r="Q30" s="109"/>
      <c r="S30" s="20"/>
      <c r="U30" s="20"/>
      <c r="Y30"/>
      <c r="Z30"/>
      <c r="AA30"/>
      <c r="AB30"/>
      <c r="AC30"/>
      <c r="AD30"/>
    </row>
    <row r="31" spans="1:30" ht="13" x14ac:dyDescent="0.3">
      <c r="A31" s="114"/>
      <c r="C31" s="98"/>
      <c r="D31" s="196">
        <f>(SUM(C25:C29)-D23)*'PIECE DENSITIES'!D6</f>
        <v>3.0098292593576894</v>
      </c>
      <c r="E31" s="24" t="s">
        <v>121</v>
      </c>
      <c r="G31" s="114"/>
      <c r="I31" s="99"/>
      <c r="J31" s="201">
        <f>(SUM(I25:I29)-J23)*'PIECE DENSITIES'!D11</f>
        <v>0</v>
      </c>
      <c r="K31" s="24" t="s">
        <v>122</v>
      </c>
      <c r="L31"/>
      <c r="M31" s="20"/>
      <c r="O31" s="96">
        <f>SUM(N25:N29)*'PIECE DENSITIES'!D16</f>
        <v>0.17361704117492055</v>
      </c>
      <c r="P31" s="24" t="s">
        <v>123</v>
      </c>
      <c r="Q31" s="109"/>
      <c r="S31" s="20"/>
      <c r="U31" s="20"/>
      <c r="Y31"/>
      <c r="Z31"/>
      <c r="AA31"/>
      <c r="AB31"/>
      <c r="AC31"/>
      <c r="AD31"/>
    </row>
    <row r="32" spans="1:30" ht="13" x14ac:dyDescent="0.3">
      <c r="A32" s="114"/>
      <c r="C32" s="89"/>
      <c r="D32" s="197">
        <f>(SUM(C25:C29)-D23)*'PIECE DENSITIES'!E6</f>
        <v>1.6255216147498279</v>
      </c>
      <c r="E32" s="24" t="s">
        <v>124</v>
      </c>
      <c r="G32" s="114"/>
      <c r="I32" s="94"/>
      <c r="J32" s="202">
        <f>(SUM(I25:I29)-J23)*'PIECE DENSITIES'!E11</f>
        <v>0</v>
      </c>
      <c r="K32" s="24" t="s">
        <v>125</v>
      </c>
      <c r="L32"/>
      <c r="M32" s="20"/>
      <c r="N32" s="46"/>
      <c r="O32" s="97">
        <f>SUM(N25:N29)*'PIECE DENSITIES'!E16</f>
        <v>7.6487265915505837E-2</v>
      </c>
      <c r="P32" s="24" t="s">
        <v>126</v>
      </c>
      <c r="Q32" s="109"/>
      <c r="S32" s="20"/>
      <c r="U32" s="20"/>
      <c r="Y32"/>
      <c r="Z32"/>
      <c r="AA32"/>
      <c r="AB32"/>
      <c r="AC32"/>
      <c r="AD32"/>
    </row>
    <row r="33" spans="1:30" ht="13" x14ac:dyDescent="0.3">
      <c r="A33" s="114"/>
      <c r="C33" s="89"/>
      <c r="D33" s="197">
        <f>(SUM(C25:C29)-D23)*'PIECE DENSITIES'!F6</f>
        <v>0.42807500790892966</v>
      </c>
      <c r="E33" s="24" t="s">
        <v>127</v>
      </c>
      <c r="G33" s="114"/>
      <c r="I33" s="94"/>
      <c r="J33" s="202">
        <f>(SUM(I25:I29)-J23)*'PIECE DENSITIES'!F11</f>
        <v>0</v>
      </c>
      <c r="K33" s="24" t="s">
        <v>128</v>
      </c>
      <c r="L33"/>
      <c r="M33" s="20"/>
      <c r="N33" s="46"/>
      <c r="O33" s="97">
        <f>SUM(N25:N29)*'PIECE DENSITIES'!F16</f>
        <v>2.2145243095923303E-2</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283">
        <f>SUM(A38:A42)*(1-'ACCEPT RATES'!G15)+SUM(B38:B42)*SUM('ACCEPT RATES'!I15:J15)</f>
        <v>7.0587077505343349E-2</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87" t="s">
        <v>119</v>
      </c>
      <c r="C37" s="88"/>
      <c r="D37" s="120"/>
      <c r="E37" s="24" t="s">
        <v>132</v>
      </c>
      <c r="G37" s="127" t="s">
        <v>118</v>
      </c>
      <c r="H37" s="87" t="s">
        <v>246</v>
      </c>
      <c r="I37" s="88"/>
      <c r="J37" s="100"/>
      <c r="K37" s="23" t="s">
        <v>132</v>
      </c>
      <c r="L37"/>
      <c r="M37" s="87" t="s">
        <v>120</v>
      </c>
      <c r="N37" s="88"/>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4.6680810696343014E-2</v>
      </c>
      <c r="B42" s="199">
        <f>C42*(1+'ACCEPT RATES'!F15+'PIECE DENSITIES'!C7)</f>
        <v>0.76151828951416156</v>
      </c>
      <c r="C42" s="198">
        <f>D30</f>
        <v>0.74358982236885873</v>
      </c>
      <c r="G42" s="205">
        <f>IF(SUM(C11:C16)&gt;0,H42*(1-'ACCEPT RATES'!C20),H42*(1-'ACCEPT RATES'!D20))</f>
        <v>0</v>
      </c>
      <c r="H42" s="204">
        <f>I42*(1+'PIECE DENSITIES'!C12)</f>
        <v>0</v>
      </c>
      <c r="I42" s="203">
        <f>J30</f>
        <v>0</v>
      </c>
      <c r="J42" s="58"/>
      <c r="L42"/>
      <c r="M42" s="102">
        <f>N42</f>
        <v>9.7341251937706028E-2</v>
      </c>
      <c r="N42" s="101">
        <f>D36+J36+O30</f>
        <v>9.7341251937706028E-2</v>
      </c>
      <c r="P42" s="20"/>
      <c r="Q42" s="109"/>
      <c r="S42" s="20"/>
      <c r="U42" s="20"/>
      <c r="Y42"/>
      <c r="Z42"/>
      <c r="AA42"/>
      <c r="AB42"/>
      <c r="AC42"/>
      <c r="AD42"/>
    </row>
    <row r="43" spans="1:30" ht="13" x14ac:dyDescent="0.3">
      <c r="A43" s="114"/>
      <c r="C43" s="98"/>
      <c r="D43" s="196">
        <f>(SUM(C38:C42)-D36)*'PIECE DENSITIES'!D7</f>
        <v>0.55576141339885299</v>
      </c>
      <c r="E43" s="24" t="s">
        <v>121</v>
      </c>
      <c r="G43" s="114"/>
      <c r="I43" s="99"/>
      <c r="J43" s="201">
        <f>(SUM(I38:I42)-J36)*'PIECE DENSITIES'!D12</f>
        <v>0</v>
      </c>
      <c r="K43" s="24" t="s">
        <v>122</v>
      </c>
      <c r="L43"/>
      <c r="M43" s="20"/>
      <c r="O43" s="96">
        <f>SUM(N38:N42)*'PIECE DENSITIES'!D17</f>
        <v>6.8902383793706459E-2</v>
      </c>
      <c r="P43" s="24" t="s">
        <v>123</v>
      </c>
      <c r="Q43" s="109"/>
      <c r="S43" s="20"/>
      <c r="U43" s="20"/>
      <c r="Y43"/>
      <c r="Z43"/>
      <c r="AA43"/>
      <c r="AB43"/>
      <c r="AC43"/>
      <c r="AD43"/>
    </row>
    <row r="44" spans="1:30" ht="13" x14ac:dyDescent="0.3">
      <c r="A44" s="114"/>
      <c r="C44" s="98"/>
      <c r="D44" s="196">
        <f>(SUM(C38:C42)-D36)*'PIECE DENSITIES'!E7</f>
        <v>4.6447538575941534E-2</v>
      </c>
      <c r="E44" s="24" t="s">
        <v>124</v>
      </c>
      <c r="G44" s="114"/>
      <c r="I44" s="99"/>
      <c r="J44" s="201">
        <f>(SUM(I38:I42)-J36)*'PIECE DENSITIES'!E12</f>
        <v>0</v>
      </c>
      <c r="K44" s="24" t="s">
        <v>125</v>
      </c>
      <c r="L44"/>
      <c r="M44" s="20"/>
      <c r="O44" s="96">
        <f>SUM(N38:N42)*'PIECE DENSITIES'!E17</f>
        <v>3.0207303594596613E-4</v>
      </c>
      <c r="P44" s="24" t="s">
        <v>126</v>
      </c>
      <c r="Q44" s="109"/>
      <c r="S44" s="20"/>
      <c r="U44" s="20"/>
      <c r="Y44"/>
      <c r="Z44"/>
      <c r="AA44"/>
      <c r="AB44"/>
      <c r="AC44"/>
      <c r="AD44"/>
    </row>
    <row r="45" spans="1:30" ht="13" x14ac:dyDescent="0.3">
      <c r="A45" s="114"/>
      <c r="C45" s="89"/>
      <c r="D45" s="197">
        <f>(SUM(C38:C42)-D36)*'PIECE DENSITIES'!F7</f>
        <v>4.9475105087396203E-3</v>
      </c>
      <c r="E45" s="24" t="s">
        <v>127</v>
      </c>
      <c r="G45" s="114"/>
      <c r="I45" s="94"/>
      <c r="J45" s="202">
        <f>(SUM(I38:I42)-J36)*'PIECE DENSITIES'!F12</f>
        <v>0</v>
      </c>
      <c r="K45" s="24" t="s">
        <v>128</v>
      </c>
      <c r="L45"/>
      <c r="M45" s="20"/>
      <c r="N45" s="46"/>
      <c r="O45" s="97">
        <f>SUM(N38:N42)*'PIECE DENSITIES'!F17</f>
        <v>1.9337431356226023E-3</v>
      </c>
      <c r="P45" s="24" t="s">
        <v>129</v>
      </c>
      <c r="Q45" s="109"/>
      <c r="S45" s="20"/>
      <c r="U45" s="20"/>
      <c r="Y45"/>
      <c r="Z45"/>
      <c r="AA45"/>
      <c r="AB45"/>
      <c r="AC45"/>
      <c r="AD45"/>
    </row>
    <row r="46" spans="1:30" ht="13" x14ac:dyDescent="0.3">
      <c r="A46" s="114"/>
      <c r="C46" s="89"/>
      <c r="D46" s="197">
        <f>(SUM(C38:C42)-D36)*'PIECE DENSITIES'!G7</f>
        <v>6.5846282379981275E-2</v>
      </c>
      <c r="E46" s="24" t="s">
        <v>130</v>
      </c>
      <c r="G46" s="114"/>
      <c r="I46" s="94"/>
      <c r="J46" s="202">
        <f>(SUM(I38:I42)-J36)*'PIECE DENSITIES'!G12</f>
        <v>0</v>
      </c>
      <c r="K46" s="24" t="s">
        <v>288</v>
      </c>
      <c r="L46"/>
      <c r="M46" s="20"/>
      <c r="N46" s="46"/>
      <c r="O46" s="97">
        <f>SUM(N38:N42)*'PIECE DENSITIES'!G17</f>
        <v>2.6203051972430995E-2</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283">
        <f>SUM(A53:A57)*(1-'ACCEPT RATES'!G16)+SUM(B53:B57)*SUM('ACCEPT RATES'!I16:J16)</f>
        <v>1.8188577975162472</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87" t="s">
        <v>134</v>
      </c>
      <c r="C52" s="88"/>
      <c r="D52" s="120"/>
      <c r="E52" s="24" t="s">
        <v>135</v>
      </c>
      <c r="G52" s="127" t="s">
        <v>118</v>
      </c>
      <c r="H52" s="87" t="s">
        <v>247</v>
      </c>
      <c r="I52" s="88"/>
      <c r="J52" s="100"/>
      <c r="K52" s="23" t="s">
        <v>135</v>
      </c>
      <c r="L52"/>
      <c r="M52" s="87" t="s">
        <v>123</v>
      </c>
      <c r="N52" s="88"/>
      <c r="P52" s="20"/>
      <c r="Q52" s="109"/>
      <c r="S52" s="20"/>
      <c r="U52" s="20"/>
      <c r="Y52"/>
      <c r="Z52"/>
      <c r="AA52"/>
      <c r="AB52"/>
      <c r="AC52"/>
      <c r="AD52"/>
    </row>
    <row r="53" spans="1:30" ht="13" x14ac:dyDescent="0.3">
      <c r="A53" s="121">
        <f>B53*(1-'ACCEPT RATES'!C16)</f>
        <v>1.3178926677966152</v>
      </c>
      <c r="B53" s="29">
        <f>C53*(1+'ACCEPT RATES'!F16+'PIECE DENSITIES'!D8)</f>
        <v>21.499184679377382</v>
      </c>
      <c r="C53" s="51">
        <f>C13*('COVERAGE FACTORS'!E38+'COVERAGE FACTORS'!E42)</f>
        <v>21.268800368535164</v>
      </c>
      <c r="E53" s="24" t="s">
        <v>70</v>
      </c>
      <c r="G53" s="217">
        <f>H53*(1-'ACCEPT RATES'!C21)</f>
        <v>0</v>
      </c>
      <c r="H53" s="29">
        <f>I53*(1+'PIECE DENSITIES'!D13)</f>
        <v>0</v>
      </c>
      <c r="I53" s="51">
        <f>C13*'COVERAGE FACTORS'!E40</f>
        <v>0</v>
      </c>
      <c r="J53" s="113"/>
      <c r="K53" s="23" t="s">
        <v>70</v>
      </c>
      <c r="L53"/>
      <c r="M53" s="29">
        <f>N53</f>
        <v>0.12776602868134257</v>
      </c>
      <c r="N53" s="51">
        <f>C13*'COVERAGE FACTORS'!E44</f>
        <v>0.12776602868134257</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0.21961775159406691</v>
      </c>
      <c r="B57" s="199">
        <f>C57*(1+'ACCEPT RATES'!F16+'PIECE DENSITIES'!D8)</f>
        <v>3.582691303901492</v>
      </c>
      <c r="C57" s="198">
        <f>(D31+D43)*('COVERAGE FACTORS'!E38+'COVERAGE FACTORS'!E42)</f>
        <v>3.5442993425634652</v>
      </c>
      <c r="G57" s="210">
        <f>IF(SUM(C11:C16)&gt;0,H57*(1-'ACCEPT RATES'!C21),H57*(1-'ACCEPT RATES'!D21))</f>
        <v>0</v>
      </c>
      <c r="H57" s="209">
        <f>I57*(1+'PIECE DENSITIES'!D13)</f>
        <v>0</v>
      </c>
      <c r="I57" s="208">
        <f>(D31+D43)*'COVERAGE FACTORS'!E40+(J31+J43)*('COVERAGE FACTORS'!E40+'COVERAGE FACTORS'!E42)</f>
        <v>0</v>
      </c>
      <c r="J57" s="58"/>
      <c r="L57"/>
      <c r="M57" s="102">
        <f>N57</f>
        <v>2.0826685526779563</v>
      </c>
      <c r="N57" s="101">
        <f>D51+J51+O31+O43+(D31+D43)*'COVERAGE FACTORS'!E44+(J31+J43)*(1-('COVERAGE FACTORS'!E40+'COVERAGE FACTORS'!E42))</f>
        <v>2.0826685526779563</v>
      </c>
      <c r="P57" s="20"/>
      <c r="Q57" s="109"/>
      <c r="S57" s="20"/>
      <c r="U57" s="20"/>
      <c r="Y57"/>
      <c r="Z57"/>
      <c r="AA57"/>
      <c r="AB57"/>
      <c r="AC57"/>
      <c r="AD57"/>
    </row>
    <row r="58" spans="1:30" ht="13" x14ac:dyDescent="0.3">
      <c r="A58" s="114"/>
      <c r="C58" s="98"/>
      <c r="D58" s="196">
        <f>(SUM(C53:C57)-D51)*'PIECE DENSITIES'!E8</f>
        <v>4.5744916679272878</v>
      </c>
      <c r="E58" s="24" t="s">
        <v>124</v>
      </c>
      <c r="G58" s="114"/>
      <c r="I58" s="99"/>
      <c r="J58" s="201">
        <f>(SUM(I53:I57)-J51)*'PIECE DENSITIES'!E13</f>
        <v>0</v>
      </c>
      <c r="K58" s="24" t="s">
        <v>125</v>
      </c>
      <c r="L58"/>
      <c r="M58" s="20"/>
      <c r="O58" s="96">
        <f>SUM(N53:N57)*'PIECE DENSITIES'!E18</f>
        <v>0.58413799386638932</v>
      </c>
      <c r="P58" s="24" t="s">
        <v>126</v>
      </c>
      <c r="Q58" s="109"/>
      <c r="S58" s="20"/>
      <c r="U58" s="20"/>
      <c r="Y58"/>
      <c r="Z58"/>
      <c r="AA58"/>
      <c r="AB58"/>
      <c r="AC58"/>
      <c r="AD58"/>
    </row>
    <row r="59" spans="1:30" ht="13" x14ac:dyDescent="0.3">
      <c r="A59" s="114"/>
      <c r="C59" s="98"/>
      <c r="D59" s="196">
        <f>(SUM(C53:C57)-D51)*'PIECE DENSITIES'!F8</f>
        <v>1.4851758884037558</v>
      </c>
      <c r="E59" s="24" t="s">
        <v>127</v>
      </c>
      <c r="G59" s="114"/>
      <c r="I59" s="99"/>
      <c r="J59" s="201">
        <f>(SUM(I53:I57)-J51)*'PIECE DENSITIES'!F13</f>
        <v>0</v>
      </c>
      <c r="K59" s="24" t="s">
        <v>128</v>
      </c>
      <c r="L59"/>
      <c r="M59" s="20"/>
      <c r="O59" s="96">
        <f>SUM(N53:N57)*'PIECE DENSITIES'!F18</f>
        <v>9.1681624513783769E-2</v>
      </c>
      <c r="P59" s="24" t="s">
        <v>129</v>
      </c>
      <c r="Q59" s="109"/>
      <c r="S59" s="20"/>
      <c r="U59" s="20"/>
      <c r="Y59"/>
      <c r="Z59"/>
      <c r="AA59"/>
      <c r="AB59"/>
      <c r="AC59"/>
      <c r="AD59"/>
    </row>
    <row r="60" spans="1:30" ht="13" x14ac:dyDescent="0.3">
      <c r="A60" s="114"/>
      <c r="C60" s="89"/>
      <c r="D60" s="197">
        <f>(SUM(C53:C57)-D51)*'PIECE DENSITIES'!G8</f>
        <v>16.934574357251339</v>
      </c>
      <c r="E60" s="24" t="s">
        <v>130</v>
      </c>
      <c r="G60" s="114"/>
      <c r="I60" s="94"/>
      <c r="J60" s="202">
        <f>(SUM(I53:I57)-J51)*'PIECE DENSITIES'!G13</f>
        <v>0</v>
      </c>
      <c r="K60" s="24" t="s">
        <v>288</v>
      </c>
      <c r="L60"/>
      <c r="M60" s="20"/>
      <c r="N60" s="46"/>
      <c r="O60" s="97">
        <f>SUM(N53:N57)*'PIECE DENSITIES'!G18</f>
        <v>1.5346149629791257</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4.3028865111545977</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87" t="s">
        <v>136</v>
      </c>
      <c r="C63" s="88"/>
      <c r="D63" s="120"/>
      <c r="E63" s="24" t="s">
        <v>138</v>
      </c>
      <c r="G63" s="127" t="s">
        <v>118</v>
      </c>
      <c r="H63" s="87" t="s">
        <v>248</v>
      </c>
      <c r="I63" s="88"/>
      <c r="J63" s="100"/>
      <c r="K63" s="23" t="s">
        <v>138</v>
      </c>
      <c r="L63"/>
      <c r="M63" s="87" t="s">
        <v>126</v>
      </c>
      <c r="N63" s="88"/>
      <c r="P63" s="20"/>
      <c r="Q63" s="109"/>
      <c r="S63" s="20"/>
      <c r="U63" s="20"/>
      <c r="Y63"/>
      <c r="Z63"/>
      <c r="AA63"/>
      <c r="AB63"/>
      <c r="AC63"/>
      <c r="AD63"/>
    </row>
    <row r="64" spans="1:30" ht="13" x14ac:dyDescent="0.3">
      <c r="A64" s="121">
        <f>B64*(1-'ACCEPT RATES'!C17)</f>
        <v>4.9253014723425217</v>
      </c>
      <c r="B64" s="29">
        <f>C64*(1+'ACCEPT RATES'!F17+'PIECE DENSITIES'!E9)</f>
        <v>80.347943761261419</v>
      </c>
      <c r="C64" s="51">
        <f>C14*('COVERAGE FACTORS'!E38+'COVERAGE FACTORS'!E42)</f>
        <v>75.652280839412754</v>
      </c>
      <c r="E64" s="24" t="s">
        <v>70</v>
      </c>
      <c r="G64" s="217">
        <f>H64*(1-'ACCEPT RATES'!C22)</f>
        <v>0</v>
      </c>
      <c r="H64" s="29">
        <f>I64*(1+'PIECE DENSITIES'!E14)</f>
        <v>0</v>
      </c>
      <c r="I64" s="51">
        <f>C14*'COVERAGE FACTORS'!E40</f>
        <v>0</v>
      </c>
      <c r="J64" s="113"/>
      <c r="K64" s="23" t="s">
        <v>70</v>
      </c>
      <c r="L64"/>
      <c r="M64" s="29">
        <f>N64</f>
        <v>0.4544587055242128</v>
      </c>
      <c r="N64" s="51">
        <f>C14*'COVERAGE FACTORS'!E44</f>
        <v>0.4544587055242128</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0.40424412954495448</v>
      </c>
      <c r="B68" s="211">
        <f>C68*(1+'ACCEPT RATES'!F17+'PIECE DENSITIES'!E9)</f>
        <v>6.5945576669543806</v>
      </c>
      <c r="C68" s="212">
        <f>(D32+D44+D58)*('COVERAGE FACTORS'!E38+'COVERAGE FACTORS'!E42)</f>
        <v>6.2091611219635148</v>
      </c>
      <c r="G68" s="205">
        <f>IF(SUM(C11:C16)&gt;0, H68*(1-'ACCEPT RATES'!C22),H68*(1-'ACCEPT RATES'!D22))</f>
        <v>0</v>
      </c>
      <c r="H68" s="204">
        <f>I68*(1+'PIECE DENSITIES'!E14)</f>
        <v>0</v>
      </c>
      <c r="I68" s="203">
        <f>(D32+D44+D58)*'COVERAGE FACTORS'!E40+(J32+J44+J58)*('COVERAGE FACTORS'!E40+'COVERAGE FACTORS'!E42)</f>
        <v>0</v>
      </c>
      <c r="J68" s="58"/>
      <c r="L68"/>
      <c r="M68" s="102">
        <f>N68</f>
        <v>5.0011135432619902</v>
      </c>
      <c r="N68" s="101">
        <f>D62+J62+O32+O44+O58+(D32+D44+D58)*'COVERAGE FACTORS'!E44+(J32+J44+J58)*(1-('COVERAGE FACTORS'!E40+'COVERAGE FACTORS'!E42))</f>
        <v>5.0011135432619902</v>
      </c>
      <c r="P68" s="20"/>
      <c r="Q68" s="109"/>
      <c r="S68" s="20"/>
      <c r="U68" s="20"/>
      <c r="Y68"/>
      <c r="Z68"/>
      <c r="AA68"/>
      <c r="AB68"/>
      <c r="AC68"/>
      <c r="AD68"/>
    </row>
    <row r="69" spans="1:30" ht="13" x14ac:dyDescent="0.3">
      <c r="A69" s="114"/>
      <c r="C69" s="98"/>
      <c r="D69" s="196">
        <f>(SUM(C64:C68)-D62)*'PIECE DENSITIES'!F9</f>
        <v>1.7351377744546841</v>
      </c>
      <c r="E69" s="24" t="s">
        <v>127</v>
      </c>
      <c r="G69" s="114"/>
      <c r="I69" s="99"/>
      <c r="J69" s="201">
        <f>(SUM(I64:I68)-J62)*'PIECE DENSITIES'!F14</f>
        <v>0</v>
      </c>
      <c r="K69" s="24" t="s">
        <v>128</v>
      </c>
      <c r="L69"/>
      <c r="M69" s="20"/>
      <c r="O69" s="96">
        <f>SUM(N64:N68)*'PIECE DENSITIES'!F19</f>
        <v>0.14112380476766068</v>
      </c>
      <c r="P69" s="24" t="s">
        <v>129</v>
      </c>
      <c r="Q69" s="109"/>
      <c r="S69" s="20"/>
      <c r="U69" s="20"/>
      <c r="Y69"/>
      <c r="Z69"/>
      <c r="AA69"/>
      <c r="AB69"/>
      <c r="AC69"/>
      <c r="AD69"/>
    </row>
    <row r="70" spans="1:30" ht="13" x14ac:dyDescent="0.3">
      <c r="A70" s="114"/>
      <c r="C70" s="98"/>
      <c r="D70" s="196">
        <f>(SUM(C64:C68)-D62)*'PIECE DENSITIES'!G9</f>
        <v>75.82341767576699</v>
      </c>
      <c r="E70" s="24" t="s">
        <v>130</v>
      </c>
      <c r="G70" s="114"/>
      <c r="I70" s="99"/>
      <c r="J70" s="201">
        <f>(SUM(I64:I68)-J62)*'PIECE DENSITIES'!G14</f>
        <v>0</v>
      </c>
      <c r="K70" s="24" t="s">
        <v>288</v>
      </c>
      <c r="L70"/>
      <c r="M70" s="20"/>
      <c r="O70" s="96">
        <f>SUM(N64:N68)*'PIECE DENSITIES'!G19</f>
        <v>5.3144484440185424</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283">
        <f>SUM(A74:A78)*(1-'ACCEPT RATES'!G17)+SUM(B74:B78)*SUM('ACCEPT RATES'!I17:J17)</f>
        <v>0.18147651474282242</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87" t="s">
        <v>137</v>
      </c>
      <c r="C73" s="88"/>
      <c r="D73" s="120"/>
      <c r="E73" s="24" t="s">
        <v>139</v>
      </c>
      <c r="G73" s="127" t="s">
        <v>118</v>
      </c>
      <c r="H73" s="87" t="s">
        <v>249</v>
      </c>
      <c r="I73" s="88"/>
      <c r="J73" s="100"/>
      <c r="K73" s="23" t="s">
        <v>139</v>
      </c>
      <c r="L73"/>
      <c r="M73" s="87" t="s">
        <v>129</v>
      </c>
      <c r="N73" s="88"/>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0.22477640497516882</v>
      </c>
      <c r="B78" s="211">
        <f>C78*(1+'ACCEPT RATES'!F17)</f>
        <v>3.6668459884575793</v>
      </c>
      <c r="C78" s="212">
        <f>(D33+D45+D59+D69)*('COVERAGE FACTORS'!E38+'COVERAGE FACTORS'!E42)</f>
        <v>3.6315208934091676</v>
      </c>
      <c r="G78" s="205">
        <f>IF(SUM(C11:C16)&gt;0,H78*(1-'ACCEPT RATES'!C22),H78*(1-'ACCEPT RATES'!D22))</f>
        <v>0</v>
      </c>
      <c r="H78" s="204">
        <f>I78</f>
        <v>0</v>
      </c>
      <c r="I78" s="203">
        <f>(D33+D45+D59+D69)*'COVERAGE FACTORS'!E40+(J33+J45+J59+J69)*('COVERAGE FACTORS'!E40+'COVERAGE FACTORS'!E42)</f>
        <v>0</v>
      </c>
      <c r="J78" s="58"/>
      <c r="L78"/>
      <c r="M78" s="102">
        <f>N78</f>
        <v>0.46017621812275922</v>
      </c>
      <c r="N78" s="294">
        <f>D72+J72+O33+O45+O59+O69+(D33+D45+D59+D69)*'COVERAGE FACTORS'!E44+(J33+J45+J59+J69)*(1-('COVERAGE FACTORS'!E40+'COVERAGE FACTORS'!E42))+D106</f>
        <v>0.46017621812275922</v>
      </c>
      <c r="P78" s="20"/>
      <c r="Q78" s="109"/>
      <c r="S78" s="20"/>
      <c r="U78" s="20"/>
      <c r="Y78"/>
      <c r="Z78"/>
      <c r="AA78"/>
      <c r="AB78"/>
      <c r="AC78"/>
      <c r="AD78"/>
    </row>
    <row r="79" spans="1:30" ht="13" x14ac:dyDescent="0.3">
      <c r="A79" s="114"/>
      <c r="C79" s="98"/>
      <c r="D79" s="196">
        <f>SUM(C74:C78)-D72</f>
        <v>3.4500443786663451</v>
      </c>
      <c r="E79" s="24" t="s">
        <v>130</v>
      </c>
      <c r="G79" s="114"/>
      <c r="I79" s="99"/>
      <c r="J79" s="201">
        <f>SUM(I74:I78)-J72</f>
        <v>0</v>
      </c>
      <c r="K79" s="24" t="s">
        <v>288</v>
      </c>
      <c r="L79"/>
      <c r="M79" s="20"/>
      <c r="O79" s="96">
        <f>SUM(N74:N78)</f>
        <v>0.46017621812275922</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283">
        <f>SUM(A83:A87)*(1-'ACCEPT RATES'!G17)+SUM(B83:B87)*SUM('ACCEPT RATES'!I17:J17)</f>
        <v>474.90902522401296</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87" t="s">
        <v>140</v>
      </c>
      <c r="C82" s="88"/>
      <c r="D82" s="120"/>
      <c r="E82" s="24" t="s">
        <v>141</v>
      </c>
      <c r="G82" s="127" t="s">
        <v>118</v>
      </c>
      <c r="H82" s="87" t="s">
        <v>250</v>
      </c>
      <c r="I82" s="88"/>
      <c r="J82" s="100"/>
      <c r="K82" s="23" t="s">
        <v>141</v>
      </c>
      <c r="L82"/>
      <c r="M82" s="87" t="s">
        <v>131</v>
      </c>
      <c r="N82" s="88"/>
      <c r="P82" s="20"/>
      <c r="Q82" s="109"/>
      <c r="S82" s="20"/>
      <c r="U82" s="20"/>
      <c r="Y82"/>
      <c r="Z82"/>
      <c r="AA82"/>
      <c r="AB82"/>
      <c r="AC82"/>
      <c r="AD82"/>
    </row>
    <row r="83" spans="1:30" ht="13" x14ac:dyDescent="0.3">
      <c r="A83" s="121">
        <f>B83*(1-'ACCEPT RATES'!C17)</f>
        <v>582.55406413644528</v>
      </c>
      <c r="B83" s="29">
        <f>C83*(1+'ACCEPT RATES'!F17)</f>
        <v>9503.3819647323035</v>
      </c>
      <c r="C83" s="325">
        <f>(C16-C95)*('COVERAGE FACTORS'!E67+'COVERAGE FACTORS'!E71)*'COVERAGE FACTORS'!E112</f>
        <v>9411.8297500381868</v>
      </c>
      <c r="E83" s="24" t="s">
        <v>70</v>
      </c>
      <c r="G83" s="217">
        <v>0</v>
      </c>
      <c r="H83" s="29">
        <f>I83</f>
        <v>0</v>
      </c>
      <c r="I83" s="325">
        <f>(C16-C95)*'COVERAGE FACTORS'!E69*'COVERAGE FACTORS'!E112</f>
        <v>0</v>
      </c>
      <c r="J83" s="113"/>
      <c r="K83" s="23" t="s">
        <v>70</v>
      </c>
      <c r="L83"/>
      <c r="M83" s="29">
        <f>N83</f>
        <v>484.56092459065673</v>
      </c>
      <c r="N83" s="325">
        <f>(C16-C95)*'COVERAGE FACTORS'!E114</f>
        <v>484.56092459065673</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5.6671915527148666</v>
      </c>
      <c r="B87" s="211">
        <f>C87*(1+'ACCEPT RATES'!F17)</f>
        <v>92.450622711884932</v>
      </c>
      <c r="C87" s="212">
        <f>(D34+D46+D60+D70+D79)*('COVERAGE FACTORS'!E67+'COVERAGE FACTORS'!E71)*'COVERAGE FACTORS'!E112</f>
        <v>91.559986168964315</v>
      </c>
      <c r="G87" s="205">
        <v>0</v>
      </c>
      <c r="H87" s="204">
        <f>I87</f>
        <v>0</v>
      </c>
      <c r="I87" s="203">
        <f>(D34+D46+D60+D70+D79)*'COVERAGE FACTORS'!E69*'COVERAGE FACTORS'!E112+(J34+J46+J60+J70+J79)*('COVERAGE FACTORS'!E69+'COVERAGE FACTORS'!E71)*'COVERAGE FACTORS'!E112</f>
        <v>0</v>
      </c>
      <c r="J87" s="213"/>
      <c r="L87"/>
      <c r="M87" s="102">
        <f>N87</f>
        <v>486.95836442620617</v>
      </c>
      <c r="N87" s="294">
        <f>D81+J81+(O34+O46+O60+O70+O79)+(D34+D46+D60+D70+D79)*'COVERAGE FACTORS'!E114+(J34+J46+J60+J70+J79)*(1-('COVERAGE FACTORS'!E71+'COVERAGE FACTORS'!E69)*'COVERAGE FACTORS'!E112)+D120</f>
        <v>486.95836442620617</v>
      </c>
      <c r="P87" s="20"/>
      <c r="Q87" s="109"/>
      <c r="S87" s="20"/>
      <c r="U87" s="20"/>
      <c r="Y87"/>
      <c r="Z87"/>
      <c r="AA87"/>
      <c r="AB87"/>
      <c r="AC87"/>
      <c r="AD87"/>
    </row>
    <row r="88" spans="1:30" ht="13" x14ac:dyDescent="0.3">
      <c r="A88" s="114"/>
      <c r="C88" s="98"/>
      <c r="D88" s="103">
        <f>SUM(C83:C87)-D81</f>
        <v>9028.4807109831381</v>
      </c>
      <c r="E88" s="24"/>
      <c r="G88" s="218"/>
      <c r="H88" s="214"/>
      <c r="I88" s="214"/>
      <c r="J88" s="215">
        <f>SUM(I83:I87)-J81</f>
        <v>0</v>
      </c>
      <c r="K88" s="24"/>
      <c r="L88"/>
      <c r="M88" s="20"/>
      <c r="O88" s="216">
        <f>SUM(N83:N87)</f>
        <v>971.5192890168629</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284">
        <f>SUM(A95:A99)*(1-'ACCEPT RATES'!G24)+SUM(B95:B99)*'ACCEPT RATES'!J24</f>
        <v>0</v>
      </c>
      <c r="E93" s="282">
        <f>SUM(B95:B98)*'ACCEPT RATES'!I24</f>
        <v>0</v>
      </c>
    </row>
    <row r="94" spans="1:30" ht="13" x14ac:dyDescent="0.3">
      <c r="A94" s="24" t="s">
        <v>256</v>
      </c>
      <c r="B94" s="239" t="s">
        <v>366</v>
      </c>
      <c r="C94" s="240"/>
      <c r="E94" s="24"/>
    </row>
    <row r="95" spans="1:30" ht="13" x14ac:dyDescent="0.3">
      <c r="A95" s="51">
        <f>B95*(1-'ACCEPT RATES'!C24)</f>
        <v>0</v>
      </c>
      <c r="B95" s="29">
        <f>C95*(1+'ACCEPT RATES'!F17)</f>
        <v>0</v>
      </c>
      <c r="C95" s="325">
        <f>C16*'COVERAGE FACTORS'!F129*'COVERAGE FACTORS'!B119</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B99*(1-'ACCEPT RATES'!C24)</f>
        <v>0</v>
      </c>
      <c r="B99" s="244">
        <f>C99*(1+'ACCEPT RATES'!F17)</f>
        <v>0</v>
      </c>
      <c r="C99" s="326">
        <f>D114</f>
        <v>0</v>
      </c>
    </row>
    <row r="100" spans="1:11" x14ac:dyDescent="0.25">
      <c r="D100" s="242">
        <f>SUM(C95:C99)-D93-E93</f>
        <v>0</v>
      </c>
    </row>
    <row r="101" spans="1:11" ht="13" x14ac:dyDescent="0.3">
      <c r="D101" s="23" t="s">
        <v>369</v>
      </c>
    </row>
    <row r="105" spans="1:11" ht="13" x14ac:dyDescent="0.3">
      <c r="D105" s="23"/>
    </row>
    <row r="106" spans="1:11" ht="13" x14ac:dyDescent="0.3">
      <c r="A106" s="114"/>
      <c r="D106" s="285">
        <f>A112*(1-'ACCEPT RATES'!G17)+B112*('ACCEPT RATES'!I17+'ACCEPT RATES'!J17)</f>
        <v>0</v>
      </c>
      <c r="E106" s="24" t="s">
        <v>114</v>
      </c>
      <c r="G106" s="482" t="s">
        <v>525</v>
      </c>
      <c r="H106" s="482"/>
      <c r="I106" s="482"/>
      <c r="J106" s="482"/>
      <c r="K106" s="482"/>
    </row>
    <row r="107" spans="1:11" ht="13" x14ac:dyDescent="0.3">
      <c r="A107" s="127" t="s">
        <v>256</v>
      </c>
      <c r="B107" s="87" t="s">
        <v>444</v>
      </c>
      <c r="C107" s="88"/>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88">
        <f>B112*(1-'ACCEPT RATES'!$C$17)</f>
        <v>0</v>
      </c>
      <c r="B112" s="289">
        <f>C112*(1+'ACCEPT RATES'!$F$17)</f>
        <v>0</v>
      </c>
      <c r="C112" s="290">
        <f>E93</f>
        <v>0</v>
      </c>
      <c r="G112" s="482"/>
      <c r="H112" s="482"/>
      <c r="I112" s="482"/>
      <c r="J112" s="482"/>
      <c r="K112" s="482"/>
    </row>
    <row r="113" spans="1:11" ht="13" x14ac:dyDescent="0.3">
      <c r="A113" s="114"/>
      <c r="C113" s="120"/>
      <c r="D113" s="293">
        <f>($C$112-$D$106)*(1-'COVERAGE FACTORS'!$E$80)</f>
        <v>0</v>
      </c>
      <c r="E113" s="24" t="s">
        <v>130</v>
      </c>
      <c r="G113" s="482"/>
      <c r="H113" s="482"/>
      <c r="I113" s="482"/>
      <c r="J113" s="482"/>
      <c r="K113" s="482"/>
    </row>
    <row r="114" spans="1:11" ht="13" x14ac:dyDescent="0.3">
      <c r="A114" s="114"/>
      <c r="C114" s="120"/>
      <c r="D114" s="293">
        <f>($C$112-$D$106)*'COVERAGE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286">
        <f>A126*'ACCEPT RATES'!H17+B126*('ACCEPT RATES'!I17+'ACCEPT RATES'!J17)</f>
        <v>0</v>
      </c>
      <c r="E120" s="24" t="s">
        <v>114</v>
      </c>
    </row>
    <row r="121" spans="1:11" ht="13" x14ac:dyDescent="0.3">
      <c r="A121" s="127" t="s">
        <v>256</v>
      </c>
      <c r="B121" s="87" t="s">
        <v>445</v>
      </c>
      <c r="C121" s="88"/>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291">
        <f>B126*(1-'ACCEPT RATES'!$C$17)</f>
        <v>0</v>
      </c>
      <c r="B126" s="289">
        <f>C126*(1+'ACCEPT RATES'!$F$17)</f>
        <v>0</v>
      </c>
      <c r="C126" s="290">
        <f>$D$93+$D$113</f>
        <v>0</v>
      </c>
    </row>
    <row r="127" spans="1:11" ht="13" x14ac:dyDescent="0.3">
      <c r="A127" s="122"/>
      <c r="C127" s="120"/>
      <c r="D127" s="292">
        <f>C126-D120</f>
        <v>0</v>
      </c>
      <c r="E127" s="24"/>
    </row>
    <row r="128" spans="1:11" ht="13" x14ac:dyDescent="0.3">
      <c r="A128" s="122"/>
      <c r="D128" s="23" t="s">
        <v>142</v>
      </c>
      <c r="E128" s="24"/>
    </row>
  </sheetData>
  <mergeCells count="2">
    <mergeCell ref="D91:E91"/>
    <mergeCell ref="G106:K113"/>
  </mergeCells>
  <phoneticPr fontId="40" type="noConversion"/>
  <pageMargins left="0.75" right="0.75" top="1" bottom="1" header="0.5" footer="0.5"/>
  <pageSetup scale="39" orientation="portrait" r:id="rId1"/>
  <headerFooter alignWithMargins="0"/>
</worksheet>
</file>

<file path=xl/worksheets/sheet5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2">
    <tabColor rgb="FFFFFF00"/>
    <pageSetUpPr fitToPage="1"/>
  </sheetPr>
  <dimension ref="A1:J180"/>
  <sheetViews>
    <sheetView zoomScale="160" zoomScaleNormal="160" workbookViewId="0">
      <selection activeCell="C19" sqref="C19"/>
    </sheetView>
  </sheetViews>
  <sheetFormatPr defaultRowHeight="12.5" x14ac:dyDescent="0.25"/>
  <cols>
    <col min="1" max="1" width="35.7265625" customWidth="1"/>
    <col min="2" max="2" width="13.7265625" style="13" customWidth="1"/>
    <col min="3" max="3" width="14.7265625" style="42" customWidth="1"/>
    <col min="4" max="4" width="40.81640625" customWidth="1"/>
    <col min="5" max="5" width="12.7265625" style="42" customWidth="1"/>
    <col min="6" max="6" width="9.7265625" customWidth="1"/>
    <col min="7" max="7" width="6.81640625" customWidth="1"/>
    <col min="8" max="8" width="12" customWidth="1"/>
    <col min="9" max="9" width="10.7265625" customWidth="1"/>
  </cols>
  <sheetData>
    <row r="1" spans="1:10" ht="18" x14ac:dyDescent="0.4">
      <c r="A1" s="5" t="s">
        <v>169</v>
      </c>
    </row>
    <row r="3" spans="1:10" x14ac:dyDescent="0.25">
      <c r="G3" s="2"/>
    </row>
    <row r="4" spans="1:10" ht="13" x14ac:dyDescent="0.3">
      <c r="B4" s="14" t="str">
        <f>"(1)"</f>
        <v>(1)</v>
      </c>
      <c r="C4" s="41" t="str">
        <f>"(2)"</f>
        <v>(2)</v>
      </c>
      <c r="E4" s="41" t="s">
        <v>425</v>
      </c>
      <c r="G4" s="2"/>
    </row>
    <row r="5" spans="1:10" s="1" customFormat="1" ht="13" x14ac:dyDescent="0.3">
      <c r="B5" s="14" t="s">
        <v>170</v>
      </c>
      <c r="C5" s="41"/>
      <c r="E5" s="41" t="s">
        <v>171</v>
      </c>
      <c r="G5" s="2"/>
    </row>
    <row r="6" spans="1:10" s="1" customFormat="1" ht="13" x14ac:dyDescent="0.3">
      <c r="A6" s="1" t="s">
        <v>172</v>
      </c>
      <c r="B6" s="14" t="s">
        <v>68</v>
      </c>
      <c r="C6" s="41" t="s">
        <v>173</v>
      </c>
      <c r="D6" s="32" t="s">
        <v>174</v>
      </c>
      <c r="E6" s="41" t="s">
        <v>173</v>
      </c>
      <c r="G6" s="2"/>
    </row>
    <row r="8" spans="1:10" x14ac:dyDescent="0.25">
      <c r="A8" t="s">
        <v>242</v>
      </c>
      <c r="B8" s="13">
        <f>'[2]volume-variability factors'!$G$18</f>
        <v>0.96399999999999997</v>
      </c>
      <c r="C8" s="467">
        <f>B66</f>
        <v>169.34485978170275</v>
      </c>
      <c r="D8" s="437" t="s">
        <v>395</v>
      </c>
      <c r="E8" s="18">
        <f>B65/B8</f>
        <v>206.82028883360866</v>
      </c>
      <c r="F8" s="20"/>
      <c r="G8" s="20"/>
    </row>
    <row r="9" spans="1:10" x14ac:dyDescent="0.25">
      <c r="A9" t="s">
        <v>243</v>
      </c>
      <c r="B9" s="13">
        <f>B8</f>
        <v>0.96399999999999997</v>
      </c>
      <c r="C9" s="467">
        <f>C66</f>
        <v>196.80325291833395</v>
      </c>
      <c r="D9" s="437" t="s">
        <v>396</v>
      </c>
      <c r="E9" s="18">
        <f>C65/B9</f>
        <v>236.23040157513444</v>
      </c>
      <c r="F9" s="20"/>
      <c r="G9" s="20"/>
    </row>
    <row r="10" spans="1:10" x14ac:dyDescent="0.25">
      <c r="A10" t="s">
        <v>535</v>
      </c>
      <c r="B10" s="13">
        <f>B8</f>
        <v>0.96399999999999997</v>
      </c>
      <c r="C10" s="467">
        <f>D66</f>
        <v>187.59635418126214</v>
      </c>
      <c r="D10" s="437" t="s">
        <v>397</v>
      </c>
      <c r="E10" s="18">
        <f>D65/B10</f>
        <v>218.50114013210441</v>
      </c>
      <c r="F10" s="20"/>
      <c r="G10" s="20"/>
    </row>
    <row r="11" spans="1:10" x14ac:dyDescent="0.25">
      <c r="A11" t="s">
        <v>536</v>
      </c>
      <c r="B11" s="13">
        <f>B8</f>
        <v>0.96399999999999997</v>
      </c>
      <c r="C11" s="467">
        <f>E66</f>
        <v>157.81731431388002</v>
      </c>
      <c r="D11" s="437" t="s">
        <v>398</v>
      </c>
      <c r="E11" s="18">
        <f>E65/B11</f>
        <v>181.33504129169131</v>
      </c>
      <c r="F11" s="20"/>
      <c r="G11" s="20"/>
    </row>
    <row r="12" spans="1:10" ht="13.5" customHeight="1" x14ac:dyDescent="0.25">
      <c r="A12" t="s">
        <v>266</v>
      </c>
      <c r="B12" s="13">
        <f>'[2]volume-variability factors'!$G$41</f>
        <v>0.94240000000000002</v>
      </c>
      <c r="C12" s="468">
        <f>E72</f>
        <v>366.38531697123585</v>
      </c>
      <c r="D12" s="483" t="s">
        <v>633</v>
      </c>
      <c r="E12" s="18">
        <f>C12/B12</f>
        <v>388.77898659935892</v>
      </c>
      <c r="F12" s="20"/>
      <c r="G12" s="20"/>
      <c r="H12" s="438"/>
    </row>
    <row r="13" spans="1:10" ht="13.5" customHeight="1" x14ac:dyDescent="0.25">
      <c r="A13" t="s">
        <v>267</v>
      </c>
      <c r="B13" s="13">
        <f>B12</f>
        <v>0.94240000000000002</v>
      </c>
      <c r="C13" s="468">
        <f>C12</f>
        <v>366.38531697123585</v>
      </c>
      <c r="D13" s="484"/>
      <c r="E13" s="18">
        <f>C13/B13</f>
        <v>388.77898659935892</v>
      </c>
      <c r="F13" s="20"/>
      <c r="G13" s="20"/>
      <c r="H13" s="438"/>
    </row>
    <row r="14" spans="1:10" ht="13.5" customHeight="1" x14ac:dyDescent="0.25">
      <c r="A14" t="s">
        <v>268</v>
      </c>
      <c r="B14" s="13">
        <f>B12</f>
        <v>0.94240000000000002</v>
      </c>
      <c r="C14" s="468">
        <f>C12</f>
        <v>366.38531697123585</v>
      </c>
      <c r="D14" s="484"/>
      <c r="E14" s="18">
        <f>C14/B14</f>
        <v>388.77898659935892</v>
      </c>
      <c r="F14" s="20"/>
      <c r="G14" s="20"/>
      <c r="H14" s="438"/>
      <c r="I14" s="20"/>
      <c r="J14" s="20"/>
    </row>
    <row r="15" spans="1:10" ht="26.25" customHeight="1" x14ac:dyDescent="0.25">
      <c r="A15" t="s">
        <v>269</v>
      </c>
      <c r="B15" s="13">
        <f>B12</f>
        <v>0.94240000000000002</v>
      </c>
      <c r="C15" s="468">
        <f>E73</f>
        <v>263.05993526059655</v>
      </c>
      <c r="D15" s="439" t="s">
        <v>634</v>
      </c>
      <c r="E15" s="18">
        <f>C15/B15</f>
        <v>279.13830142253454</v>
      </c>
      <c r="F15" s="20"/>
      <c r="G15" s="20"/>
      <c r="H15" s="438"/>
      <c r="I15" s="20"/>
      <c r="J15" s="20"/>
    </row>
    <row r="16" spans="1:10" x14ac:dyDescent="0.25">
      <c r="A16" t="s">
        <v>244</v>
      </c>
      <c r="B16" s="13">
        <f>'[2]volume-variability factors'!$G$27</f>
        <v>0.873</v>
      </c>
      <c r="C16" s="467">
        <f>'[3]Prod Calc'!$E$10</f>
        <v>775.23422288961956</v>
      </c>
      <c r="D16" s="155" t="s">
        <v>625</v>
      </c>
      <c r="E16" s="18">
        <f t="shared" ref="E16:E35" si="0">C16/B16</f>
        <v>888.0117100682927</v>
      </c>
      <c r="F16" s="20"/>
      <c r="G16" s="20"/>
      <c r="H16" s="438"/>
      <c r="I16" s="20"/>
      <c r="J16" s="20"/>
    </row>
    <row r="17" spans="1:10" x14ac:dyDescent="0.25">
      <c r="A17" t="s">
        <v>175</v>
      </c>
      <c r="B17" s="13">
        <f>'[2]volume-variability factors'!$G$14</f>
        <v>0.97340000000000004</v>
      </c>
      <c r="C17" s="467">
        <f>'[4]FY25 Table'!I80</f>
        <v>1530.697871044493</v>
      </c>
      <c r="D17" s="155" t="str">
        <f>$D$16</f>
        <v>USPS-FY24-23</v>
      </c>
      <c r="E17" s="18">
        <f t="shared" si="0"/>
        <v>1572.5270916832678</v>
      </c>
      <c r="F17" s="20"/>
      <c r="G17" s="20"/>
      <c r="H17" s="438"/>
      <c r="I17" s="20"/>
      <c r="J17" s="20"/>
    </row>
    <row r="18" spans="1:10" x14ac:dyDescent="0.25">
      <c r="A18" t="s">
        <v>176</v>
      </c>
      <c r="B18" s="13">
        <f>B17</f>
        <v>0.97340000000000004</v>
      </c>
      <c r="C18" s="467">
        <f>'[4]FY25 Table'!I81</f>
        <v>2207.4471605243534</v>
      </c>
      <c r="D18" s="155" t="str">
        <f t="shared" ref="D18:D28" si="1">$D$16</f>
        <v>USPS-FY24-23</v>
      </c>
      <c r="E18" s="18">
        <f t="shared" si="0"/>
        <v>2267.7698382210328</v>
      </c>
      <c r="F18" s="20"/>
      <c r="G18" s="20"/>
      <c r="H18" s="438"/>
      <c r="I18" s="20"/>
      <c r="J18" s="20"/>
    </row>
    <row r="19" spans="1:10" x14ac:dyDescent="0.25">
      <c r="A19" t="s">
        <v>177</v>
      </c>
      <c r="B19" s="13">
        <f>B17</f>
        <v>0.97340000000000004</v>
      </c>
      <c r="C19" s="467">
        <f>'[4]FY25 Table'!I82</f>
        <v>1531.1342266301606</v>
      </c>
      <c r="D19" s="155" t="str">
        <f t="shared" si="1"/>
        <v>USPS-FY24-23</v>
      </c>
      <c r="E19" s="18">
        <f t="shared" si="0"/>
        <v>1572.97537151239</v>
      </c>
      <c r="F19" s="20"/>
      <c r="G19" s="20"/>
      <c r="H19" s="438"/>
      <c r="I19" s="20"/>
      <c r="J19" s="20"/>
    </row>
    <row r="20" spans="1:10" x14ac:dyDescent="0.25">
      <c r="A20" t="s">
        <v>178</v>
      </c>
      <c r="B20" s="13">
        <f>B17</f>
        <v>0.97340000000000004</v>
      </c>
      <c r="C20" s="467">
        <f>'[4]FY25 Table'!I83</f>
        <v>2018.3927532193345</v>
      </c>
      <c r="D20" s="155" t="str">
        <f t="shared" si="1"/>
        <v>USPS-FY24-23</v>
      </c>
      <c r="E20" s="18">
        <f t="shared" si="0"/>
        <v>2073.5491608992547</v>
      </c>
      <c r="F20" s="20"/>
      <c r="G20" s="20"/>
      <c r="H20" s="438"/>
    </row>
    <row r="21" spans="1:10" x14ac:dyDescent="0.25">
      <c r="A21" t="s">
        <v>179</v>
      </c>
      <c r="B21" s="13">
        <f>B17</f>
        <v>0.97340000000000004</v>
      </c>
      <c r="C21" s="467">
        <f>'[4]FY25 Table'!I84</f>
        <v>1087.692150893748</v>
      </c>
      <c r="D21" s="155" t="str">
        <f t="shared" si="1"/>
        <v>USPS-FY24-23</v>
      </c>
      <c r="E21" s="18">
        <f t="shared" si="0"/>
        <v>1117.4154005483335</v>
      </c>
      <c r="F21" s="20"/>
      <c r="G21" s="20"/>
      <c r="H21" s="438"/>
    </row>
    <row r="22" spans="1:10" x14ac:dyDescent="0.25">
      <c r="A22" t="s">
        <v>180</v>
      </c>
      <c r="B22" s="13">
        <f>B17</f>
        <v>0.97340000000000004</v>
      </c>
      <c r="C22" s="467">
        <f>'[4]FY25 Table'!I85</f>
        <v>1808.8275858515883</v>
      </c>
      <c r="D22" s="155" t="str">
        <f t="shared" si="1"/>
        <v>USPS-FY24-23</v>
      </c>
      <c r="E22" s="18">
        <f t="shared" si="0"/>
        <v>1858.2572281195687</v>
      </c>
      <c r="F22" s="20"/>
      <c r="G22" s="20"/>
      <c r="H22" s="438"/>
    </row>
    <row r="23" spans="1:10" x14ac:dyDescent="0.25">
      <c r="A23" t="s">
        <v>260</v>
      </c>
      <c r="B23" s="13">
        <f>B17</f>
        <v>0.97340000000000004</v>
      </c>
      <c r="C23" s="467">
        <f t="shared" ref="C23:C28" si="2">C17</f>
        <v>1530.697871044493</v>
      </c>
      <c r="D23" s="155" t="str">
        <f t="shared" si="1"/>
        <v>USPS-FY24-23</v>
      </c>
      <c r="E23" s="18">
        <f t="shared" si="0"/>
        <v>1572.5270916832678</v>
      </c>
      <c r="F23" s="20"/>
      <c r="G23" s="20"/>
      <c r="H23" s="438"/>
    </row>
    <row r="24" spans="1:10" x14ac:dyDescent="0.25">
      <c r="A24" t="s">
        <v>261</v>
      </c>
      <c r="B24" s="13">
        <f>B17</f>
        <v>0.97340000000000004</v>
      </c>
      <c r="C24" s="467">
        <f t="shared" si="2"/>
        <v>2207.4471605243534</v>
      </c>
      <c r="D24" s="155" t="str">
        <f t="shared" si="1"/>
        <v>USPS-FY24-23</v>
      </c>
      <c r="E24" s="18">
        <f t="shared" si="0"/>
        <v>2267.7698382210328</v>
      </c>
      <c r="F24" s="20"/>
      <c r="G24" s="20"/>
      <c r="H24" s="438"/>
    </row>
    <row r="25" spans="1:10" x14ac:dyDescent="0.25">
      <c r="A25" t="s">
        <v>262</v>
      </c>
      <c r="B25" s="13">
        <f>B17</f>
        <v>0.97340000000000004</v>
      </c>
      <c r="C25" s="467">
        <f t="shared" si="2"/>
        <v>1531.1342266301606</v>
      </c>
      <c r="D25" s="155" t="str">
        <f t="shared" si="1"/>
        <v>USPS-FY24-23</v>
      </c>
      <c r="E25" s="18">
        <f t="shared" si="0"/>
        <v>1572.97537151239</v>
      </c>
      <c r="F25" s="20"/>
      <c r="G25" s="20"/>
      <c r="H25" s="438"/>
    </row>
    <row r="26" spans="1:10" x14ac:dyDescent="0.25">
      <c r="A26" t="s">
        <v>263</v>
      </c>
      <c r="B26" s="13">
        <f>B17</f>
        <v>0.97340000000000004</v>
      </c>
      <c r="C26" s="467">
        <f t="shared" si="2"/>
        <v>2018.3927532193345</v>
      </c>
      <c r="D26" s="155" t="str">
        <f t="shared" si="1"/>
        <v>USPS-FY24-23</v>
      </c>
      <c r="E26" s="18">
        <f t="shared" si="0"/>
        <v>2073.5491608992547</v>
      </c>
      <c r="F26" s="20"/>
      <c r="G26" s="20"/>
      <c r="H26" s="438"/>
    </row>
    <row r="27" spans="1:10" x14ac:dyDescent="0.25">
      <c r="A27" t="s">
        <v>264</v>
      </c>
      <c r="B27" s="13">
        <f>B17</f>
        <v>0.97340000000000004</v>
      </c>
      <c r="C27" s="467">
        <f t="shared" si="2"/>
        <v>1087.692150893748</v>
      </c>
      <c r="D27" s="155" t="str">
        <f t="shared" si="1"/>
        <v>USPS-FY24-23</v>
      </c>
      <c r="E27" s="18">
        <f t="shared" si="0"/>
        <v>1117.4154005483335</v>
      </c>
      <c r="F27" s="20"/>
      <c r="G27" s="20"/>
      <c r="H27" s="438"/>
    </row>
    <row r="28" spans="1:10" x14ac:dyDescent="0.25">
      <c r="A28" t="s">
        <v>265</v>
      </c>
      <c r="B28" s="13">
        <f>B17</f>
        <v>0.97340000000000004</v>
      </c>
      <c r="C28" s="467">
        <f t="shared" si="2"/>
        <v>1808.8275858515883</v>
      </c>
      <c r="D28" s="155" t="str">
        <f t="shared" si="1"/>
        <v>USPS-FY24-23</v>
      </c>
      <c r="E28" s="18">
        <f t="shared" si="0"/>
        <v>1858.2572281195687</v>
      </c>
      <c r="F28" s="20"/>
      <c r="G28" s="20"/>
      <c r="H28" s="438"/>
    </row>
    <row r="29" spans="1:10" x14ac:dyDescent="0.25">
      <c r="A29" t="s">
        <v>366</v>
      </c>
      <c r="B29" s="440">
        <v>1</v>
      </c>
      <c r="C29" s="18">
        <v>1</v>
      </c>
      <c r="D29" s="155"/>
      <c r="E29" s="18">
        <f t="shared" si="0"/>
        <v>1</v>
      </c>
      <c r="F29" s="20"/>
      <c r="G29" s="20"/>
      <c r="H29" s="441"/>
    </row>
    <row r="30" spans="1:10" x14ac:dyDescent="0.25">
      <c r="A30" t="s">
        <v>459</v>
      </c>
      <c r="B30" s="13">
        <f>B17</f>
        <v>0.97340000000000004</v>
      </c>
      <c r="C30" s="18">
        <v>1</v>
      </c>
      <c r="D30" s="155"/>
      <c r="E30" s="18">
        <f t="shared" si="0"/>
        <v>1.0273268954181221</v>
      </c>
      <c r="F30" s="20"/>
      <c r="G30" s="20"/>
      <c r="H30" s="438"/>
    </row>
    <row r="31" spans="1:10" x14ac:dyDescent="0.25">
      <c r="A31" t="s">
        <v>459</v>
      </c>
      <c r="B31" s="13">
        <f>B30</f>
        <v>0.97340000000000004</v>
      </c>
      <c r="C31" s="18">
        <f>C32</f>
        <v>1</v>
      </c>
      <c r="D31" s="155"/>
      <c r="E31" s="18">
        <f t="shared" si="0"/>
        <v>1.0273268954181221</v>
      </c>
      <c r="F31" s="20"/>
      <c r="G31" s="20"/>
      <c r="H31" s="438"/>
    </row>
    <row r="32" spans="1:10" x14ac:dyDescent="0.25">
      <c r="A32" t="s">
        <v>460</v>
      </c>
      <c r="B32" s="13">
        <f>B30</f>
        <v>0.97340000000000004</v>
      </c>
      <c r="C32" s="18">
        <v>1</v>
      </c>
      <c r="D32" s="155"/>
      <c r="E32" s="18">
        <f t="shared" si="0"/>
        <v>1.0273268954181221</v>
      </c>
      <c r="F32" s="20"/>
      <c r="G32" s="20"/>
      <c r="H32" s="438"/>
    </row>
    <row r="33" spans="1:8" x14ac:dyDescent="0.25">
      <c r="A33" t="s">
        <v>460</v>
      </c>
      <c r="B33" s="13">
        <f>B30</f>
        <v>0.97340000000000004</v>
      </c>
      <c r="C33" s="18">
        <f>$C$32</f>
        <v>1</v>
      </c>
      <c r="D33" s="155"/>
      <c r="E33" s="18">
        <f t="shared" si="0"/>
        <v>1.0273268954181221</v>
      </c>
      <c r="F33" s="20"/>
      <c r="G33" s="20"/>
      <c r="H33" s="438"/>
    </row>
    <row r="34" spans="1:8" x14ac:dyDescent="0.25">
      <c r="A34" t="s">
        <v>460</v>
      </c>
      <c r="B34" s="13">
        <f>B30</f>
        <v>0.97340000000000004</v>
      </c>
      <c r="C34" s="18">
        <f t="shared" ref="C34:C41" si="3">$C$32</f>
        <v>1</v>
      </c>
      <c r="D34" s="155"/>
      <c r="E34" s="18">
        <f t="shared" si="0"/>
        <v>1.0273268954181221</v>
      </c>
      <c r="F34" s="20"/>
      <c r="G34" s="20"/>
      <c r="H34" s="438"/>
    </row>
    <row r="35" spans="1:8" x14ac:dyDescent="0.25">
      <c r="A35" t="s">
        <v>460</v>
      </c>
      <c r="B35" s="13">
        <f>B30</f>
        <v>0.97340000000000004</v>
      </c>
      <c r="C35" s="18">
        <f t="shared" si="3"/>
        <v>1</v>
      </c>
      <c r="D35" s="155"/>
      <c r="E35" s="18">
        <f t="shared" si="0"/>
        <v>1.0273268954181221</v>
      </c>
      <c r="F35" s="20"/>
      <c r="G35" s="20"/>
      <c r="H35" s="438"/>
    </row>
    <row r="36" spans="1:8" x14ac:dyDescent="0.25">
      <c r="A36" t="s">
        <v>459</v>
      </c>
      <c r="B36" s="13">
        <f>B30</f>
        <v>0.97340000000000004</v>
      </c>
      <c r="C36" s="18">
        <f t="shared" si="3"/>
        <v>1</v>
      </c>
      <c r="D36" s="155"/>
      <c r="E36" s="18">
        <f t="shared" ref="E36:E47" si="4">C36/B36</f>
        <v>1.0273268954181221</v>
      </c>
      <c r="F36" s="20"/>
      <c r="G36" s="20"/>
      <c r="H36" s="438"/>
    </row>
    <row r="37" spans="1:8" x14ac:dyDescent="0.25">
      <c r="A37" t="s">
        <v>459</v>
      </c>
      <c r="B37" s="13">
        <f>B30</f>
        <v>0.97340000000000004</v>
      </c>
      <c r="C37" s="18">
        <f t="shared" si="3"/>
        <v>1</v>
      </c>
      <c r="D37" s="155"/>
      <c r="E37" s="18">
        <f t="shared" si="4"/>
        <v>1.0273268954181221</v>
      </c>
      <c r="F37" s="20"/>
      <c r="G37" s="20"/>
      <c r="H37" s="438"/>
    </row>
    <row r="38" spans="1:8" x14ac:dyDescent="0.25">
      <c r="A38" t="s">
        <v>460</v>
      </c>
      <c r="B38" s="13">
        <f>B30</f>
        <v>0.97340000000000004</v>
      </c>
      <c r="C38" s="18">
        <f t="shared" si="3"/>
        <v>1</v>
      </c>
      <c r="D38" s="155"/>
      <c r="E38" s="18">
        <f t="shared" si="4"/>
        <v>1.0273268954181221</v>
      </c>
      <c r="F38" s="442"/>
      <c r="G38" s="20"/>
      <c r="H38" s="438"/>
    </row>
    <row r="39" spans="1:8" x14ac:dyDescent="0.25">
      <c r="A39" t="s">
        <v>460</v>
      </c>
      <c r="B39" s="13">
        <f>B30</f>
        <v>0.97340000000000004</v>
      </c>
      <c r="C39" s="18">
        <f t="shared" si="3"/>
        <v>1</v>
      </c>
      <c r="D39" s="155"/>
      <c r="E39" s="18">
        <f t="shared" si="4"/>
        <v>1.0273268954181221</v>
      </c>
      <c r="F39" s="20"/>
      <c r="G39" s="20"/>
      <c r="H39" s="438"/>
    </row>
    <row r="40" spans="1:8" x14ac:dyDescent="0.25">
      <c r="A40" t="s">
        <v>460</v>
      </c>
      <c r="B40" s="13">
        <f>B30</f>
        <v>0.97340000000000004</v>
      </c>
      <c r="C40" s="18">
        <f t="shared" si="3"/>
        <v>1</v>
      </c>
      <c r="D40" s="155"/>
      <c r="E40" s="18">
        <f t="shared" si="4"/>
        <v>1.0273268954181221</v>
      </c>
      <c r="F40" s="20"/>
      <c r="G40" s="20"/>
      <c r="H40" s="438"/>
    </row>
    <row r="41" spans="1:8" x14ac:dyDescent="0.25">
      <c r="A41" t="s">
        <v>460</v>
      </c>
      <c r="B41" s="13">
        <f>B30</f>
        <v>0.97340000000000004</v>
      </c>
      <c r="C41" s="18">
        <f t="shared" si="3"/>
        <v>1</v>
      </c>
      <c r="D41" s="155"/>
      <c r="E41" s="18">
        <f t="shared" si="4"/>
        <v>1.0273268954181221</v>
      </c>
      <c r="F41" s="20"/>
      <c r="G41" s="20"/>
      <c r="H41" s="438"/>
    </row>
    <row r="42" spans="1:8" x14ac:dyDescent="0.25">
      <c r="A42" t="s">
        <v>461</v>
      </c>
      <c r="B42" s="13">
        <f>'[2]volume-variability factors'!$G$22</f>
        <v>0.96760000000000002</v>
      </c>
      <c r="C42" s="18">
        <f>[5]Table!$I$51</f>
        <v>600.16717529296875</v>
      </c>
      <c r="D42" s="155" t="s">
        <v>524</v>
      </c>
      <c r="E42" s="18">
        <f t="shared" si="4"/>
        <v>620.26371981497391</v>
      </c>
      <c r="F42" s="20"/>
      <c r="G42" s="20"/>
      <c r="H42" s="438"/>
    </row>
    <row r="43" spans="1:8" x14ac:dyDescent="0.25">
      <c r="A43" t="s">
        <v>462</v>
      </c>
      <c r="B43" s="13">
        <f>B42</f>
        <v>0.96760000000000002</v>
      </c>
      <c r="C43" s="18">
        <f>[5]Table!$I$52</f>
        <v>474.72515869140625</v>
      </c>
      <c r="D43" s="155" t="s">
        <v>524</v>
      </c>
      <c r="E43" s="18">
        <f t="shared" si="4"/>
        <v>490.6212884367572</v>
      </c>
      <c r="F43" s="20"/>
      <c r="G43" s="20"/>
      <c r="H43" s="438"/>
    </row>
    <row r="44" spans="1:8" x14ac:dyDescent="0.25">
      <c r="A44" t="s">
        <v>463</v>
      </c>
      <c r="B44" s="13">
        <f>B42</f>
        <v>0.96760000000000002</v>
      </c>
      <c r="C44" s="18">
        <f>[5]Table!$I$53</f>
        <v>670.51171875</v>
      </c>
      <c r="D44" s="155" t="s">
        <v>524</v>
      </c>
      <c r="E44" s="18">
        <f t="shared" si="4"/>
        <v>692.96374405746178</v>
      </c>
      <c r="F44" s="20"/>
      <c r="G44" s="20"/>
      <c r="H44" s="438"/>
    </row>
    <row r="45" spans="1:8" x14ac:dyDescent="0.25">
      <c r="A45" t="s">
        <v>464</v>
      </c>
      <c r="B45" s="13">
        <f>B42</f>
        <v>0.96760000000000002</v>
      </c>
      <c r="C45" s="18">
        <f>[5]Table!$I$54</f>
        <v>581.19781494140625</v>
      </c>
      <c r="D45" s="155" t="s">
        <v>524</v>
      </c>
      <c r="E45" s="18">
        <f t="shared" si="4"/>
        <v>600.65917211803048</v>
      </c>
      <c r="F45" s="20"/>
      <c r="G45" s="20"/>
      <c r="H45" s="438"/>
    </row>
    <row r="46" spans="1:8" x14ac:dyDescent="0.25">
      <c r="A46" t="s">
        <v>465</v>
      </c>
      <c r="B46" s="13">
        <f>B42</f>
        <v>0.96760000000000002</v>
      </c>
      <c r="C46" s="18">
        <f>[5]Table!$I$55</f>
        <v>728.99871826171875</v>
      </c>
      <c r="D46" s="155" t="s">
        <v>524</v>
      </c>
      <c r="E46" s="18">
        <f t="shared" si="4"/>
        <v>753.4091755495233</v>
      </c>
      <c r="F46" s="20"/>
      <c r="G46" s="20"/>
      <c r="H46" s="438"/>
    </row>
    <row r="47" spans="1:8" ht="14.5" x14ac:dyDescent="0.35">
      <c r="A47" s="155" t="s">
        <v>645</v>
      </c>
      <c r="B47" s="13">
        <f>'[2]volume-variability factors'!$G$88</f>
        <v>0.9738</v>
      </c>
      <c r="C47" s="18">
        <f>'[6]FY25 F4 Manual Productivity'!$D$4</f>
        <v>658.18475684439443</v>
      </c>
      <c r="D47" s="443" t="s">
        <v>631</v>
      </c>
      <c r="E47" s="18">
        <f t="shared" si="4"/>
        <v>675.89315757280178</v>
      </c>
      <c r="F47" s="438"/>
      <c r="G47" s="438"/>
      <c r="H47" s="438"/>
    </row>
    <row r="48" spans="1:8" x14ac:dyDescent="0.25">
      <c r="C48" s="18"/>
      <c r="D48" s="155"/>
      <c r="F48" s="438"/>
      <c r="G48" s="438"/>
      <c r="H48" s="438"/>
    </row>
    <row r="49" spans="1:10" ht="21" customHeight="1" x14ac:dyDescent="0.25">
      <c r="A49" s="444" t="s">
        <v>486</v>
      </c>
      <c r="B49" s="13">
        <f>B17</f>
        <v>0.97340000000000004</v>
      </c>
      <c r="C49" s="18">
        <v>101.93835353104502</v>
      </c>
      <c r="D49" s="483" t="s">
        <v>611</v>
      </c>
      <c r="F49" s="438"/>
      <c r="G49" s="438"/>
      <c r="H49" s="438"/>
    </row>
    <row r="50" spans="1:10" ht="21" customHeight="1" x14ac:dyDescent="0.25">
      <c r="A50" t="s">
        <v>487</v>
      </c>
      <c r="B50" s="13">
        <f>B17</f>
        <v>0.97340000000000004</v>
      </c>
      <c r="C50" s="18">
        <v>37.23370476802949</v>
      </c>
      <c r="D50" s="483"/>
      <c r="H50" s="438"/>
    </row>
    <row r="51" spans="1:10" ht="21" customHeight="1" x14ac:dyDescent="0.25">
      <c r="A51" t="s">
        <v>488</v>
      </c>
      <c r="C51" s="18">
        <f>'[7]Pieces Per Tub'!$K$100</f>
        <v>56.605460510181793</v>
      </c>
      <c r="D51" s="483"/>
      <c r="H51" s="438"/>
    </row>
    <row r="52" spans="1:10" x14ac:dyDescent="0.25">
      <c r="A52" s="413"/>
      <c r="B52" s="4"/>
      <c r="C52" s="247"/>
      <c r="E52" s="247"/>
      <c r="H52" s="438"/>
    </row>
    <row r="53" spans="1:10" ht="26" x14ac:dyDescent="0.3">
      <c r="A53" s="6" t="s">
        <v>389</v>
      </c>
      <c r="B53" s="4"/>
      <c r="C53" s="247"/>
      <c r="E53" s="247"/>
      <c r="H53" s="438"/>
    </row>
    <row r="54" spans="1:10" x14ac:dyDescent="0.25">
      <c r="A54" s="413"/>
      <c r="B54" s="4"/>
      <c r="C54" s="247"/>
      <c r="E54" s="247"/>
      <c r="H54" s="438"/>
    </row>
    <row r="55" spans="1:10" ht="25.5" x14ac:dyDescent="0.3">
      <c r="A55" s="413" t="s">
        <v>580</v>
      </c>
      <c r="B55" s="280">
        <f>'[8]NON 5D-CONTAINER AVE BUN SIZE'!$E$31</f>
        <v>25.091147345874898</v>
      </c>
      <c r="C55" s="445" t="s">
        <v>437</v>
      </c>
      <c r="E55" s="247"/>
      <c r="H55" s="438"/>
    </row>
    <row r="56" spans="1:10" ht="4.1500000000000004" customHeight="1" x14ac:dyDescent="0.25">
      <c r="A56" s="413"/>
      <c r="B56" s="4"/>
      <c r="C56" s="247"/>
      <c r="E56" s="247"/>
      <c r="H56" s="438"/>
    </row>
    <row r="57" spans="1:10" s="413" customFormat="1" ht="30.65" customHeight="1" x14ac:dyDescent="0.25">
      <c r="A57" s="413" t="s">
        <v>385</v>
      </c>
      <c r="B57" s="446" t="s">
        <v>386</v>
      </c>
      <c r="C57" s="447" t="s">
        <v>387</v>
      </c>
      <c r="D57" s="448" t="s">
        <v>388</v>
      </c>
      <c r="E57" s="447"/>
      <c r="H57" s="438"/>
    </row>
    <row r="58" spans="1:10" x14ac:dyDescent="0.25">
      <c r="A58" s="413" t="s">
        <v>234</v>
      </c>
      <c r="B58" s="4">
        <f>'[7]Single Piece Sort'!$Q$31</f>
        <v>3.8148671809604358E-2</v>
      </c>
      <c r="C58" s="247">
        <f>B58/(B$55-B$55*B58+B58)</f>
        <v>1.5782107694052583E-3</v>
      </c>
      <c r="D58" s="255">
        <f>1/(1-C58+B$55*C58)</f>
        <v>0.96337173183251423</v>
      </c>
      <c r="E58" s="247"/>
      <c r="H58" s="438"/>
    </row>
    <row r="59" spans="1:10" x14ac:dyDescent="0.25">
      <c r="A59" s="413" t="s">
        <v>532</v>
      </c>
      <c r="B59" s="4">
        <f>'[7]Single Piece Sort'!$Q$59</f>
        <v>5.1729357444902091E-2</v>
      </c>
      <c r="C59" s="247">
        <f>B59/(B$55-B$55*B59+B59)</f>
        <v>2.1694071769114837E-3</v>
      </c>
      <c r="D59" s="255">
        <f>1/(1-C59+B$55*C59)</f>
        <v>0.95033230026774962</v>
      </c>
      <c r="E59" s="247"/>
      <c r="H59" s="438"/>
    </row>
    <row r="60" spans="1:10" x14ac:dyDescent="0.25">
      <c r="H60" s="438"/>
    </row>
    <row r="61" spans="1:10" ht="26" x14ac:dyDescent="0.3">
      <c r="A61" s="6" t="s">
        <v>394</v>
      </c>
    </row>
    <row r="62" spans="1:10" ht="44.5" customHeight="1" x14ac:dyDescent="0.25">
      <c r="A62" s="413" t="s">
        <v>537</v>
      </c>
      <c r="B62" s="449"/>
      <c r="C62" s="247"/>
      <c r="E62" s="247"/>
    </row>
    <row r="63" spans="1:10" x14ac:dyDescent="0.25">
      <c r="A63" s="413"/>
      <c r="B63" s="13" t="s">
        <v>390</v>
      </c>
      <c r="C63" s="42" t="s">
        <v>391</v>
      </c>
      <c r="D63" s="30" t="s">
        <v>538</v>
      </c>
      <c r="E63" s="42" t="s">
        <v>539</v>
      </c>
    </row>
    <row r="64" spans="1:10" x14ac:dyDescent="0.25">
      <c r="A64" t="s">
        <v>392</v>
      </c>
      <c r="B64" s="328">
        <f>1-('[4]FY25 Table'!$G$61
/'[4]FY25 Table'!$F$61)</f>
        <v>0.1773298504165205</v>
      </c>
      <c r="C64" s="328">
        <f>1-('[4]FY25 Table'!$G$62
/'[4]FY25 Table'!$F$62)</f>
        <v>0.1571257270474461</v>
      </c>
      <c r="D64" s="335">
        <f>1-('[4]FY25 Table'!$G$58
/'[4]FY25 Table'!$F$58)</f>
        <v>0.12281019536139637</v>
      </c>
      <c r="E64" s="328">
        <f>1-(('[4]FY25 Table'!$G$59
+'[4]FY25 Table'!$G$60)
/('[4]FY25 Table'!$F$59
+'[4]FY25 Table'!$F$60))</f>
        <v>0.10765400213008303</v>
      </c>
      <c r="I64" s="328"/>
      <c r="J64" s="328"/>
    </row>
    <row r="65" spans="1:10" x14ac:dyDescent="0.25">
      <c r="A65" s="413" t="s">
        <v>173</v>
      </c>
      <c r="B65" s="450">
        <f>D58*'[4]FY25 Table'!$I$61</f>
        <v>199.37475843559875</v>
      </c>
      <c r="C65" s="451">
        <f>D58*'[4]FY25 Table'!$I$62</f>
        <v>227.72610711842958</v>
      </c>
      <c r="D65" s="452">
        <f>D59*('[4]FY25 Table'!$F$58)/('[4]FY25 Table'!$H$58)</f>
        <v>210.63509908734864</v>
      </c>
      <c r="E65" s="453">
        <f>D59*('[4]FY25 Table'!$F$59+'[4]FY25 Table'!$F$60)/('[4]FY25 Table'!$H$59+'[4]FY25 Table'!$H$60)</f>
        <v>174.80697980519042</v>
      </c>
      <c r="I65" s="450"/>
      <c r="J65" s="454"/>
    </row>
    <row r="66" spans="1:10" ht="25" x14ac:dyDescent="0.25">
      <c r="A66" s="413" t="s">
        <v>393</v>
      </c>
      <c r="B66" s="450">
        <f>B65/(1+B64)</f>
        <v>169.34485978170275</v>
      </c>
      <c r="C66" s="450">
        <f>C65/(1+C64)</f>
        <v>196.80325291833395</v>
      </c>
      <c r="D66" s="450">
        <f>D65/(1+D64)</f>
        <v>187.59635418126214</v>
      </c>
      <c r="E66" s="450">
        <f>E65/(1+E64)</f>
        <v>157.81731431388002</v>
      </c>
    </row>
    <row r="67" spans="1:10" ht="13" x14ac:dyDescent="0.3">
      <c r="A67" s="413"/>
      <c r="B67" s="455" t="s">
        <v>395</v>
      </c>
      <c r="C67" s="456" t="s">
        <v>396</v>
      </c>
      <c r="D67" s="457" t="s">
        <v>397</v>
      </c>
      <c r="E67" s="456" t="s">
        <v>398</v>
      </c>
    </row>
    <row r="68" spans="1:10" x14ac:dyDescent="0.25">
      <c r="A68" s="413"/>
      <c r="B68" s="295"/>
      <c r="C68" s="360"/>
      <c r="D68" s="295"/>
      <c r="E68" s="360"/>
    </row>
    <row r="69" spans="1:10" x14ac:dyDescent="0.25">
      <c r="A69" s="413"/>
      <c r="B69" s="329"/>
      <c r="C69" s="361"/>
      <c r="D69" s="329"/>
      <c r="E69" s="361"/>
    </row>
    <row r="70" spans="1:10" ht="13" x14ac:dyDescent="0.3">
      <c r="A70" s="458"/>
      <c r="B70" s="459"/>
      <c r="C70" s="433"/>
      <c r="D70" s="460"/>
      <c r="E70" s="461" t="s">
        <v>646</v>
      </c>
    </row>
    <row r="71" spans="1:10" ht="13" x14ac:dyDescent="0.3">
      <c r="A71" s="458" t="s">
        <v>647</v>
      </c>
      <c r="B71" s="459"/>
      <c r="C71" s="461" t="s">
        <v>648</v>
      </c>
      <c r="D71" s="460" t="s">
        <v>649</v>
      </c>
      <c r="E71" s="461" t="s">
        <v>650</v>
      </c>
    </row>
    <row r="72" spans="1:10" ht="25" x14ac:dyDescent="0.25">
      <c r="A72" s="458" t="s">
        <v>651</v>
      </c>
      <c r="B72" s="462"/>
      <c r="C72" s="463">
        <f>'[9]Table 1'!$C$17</f>
        <v>502.61938508845128</v>
      </c>
      <c r="D72" s="464">
        <f>'[10] MODS ovh factors'!$G$63</f>
        <v>1.3718327722393713</v>
      </c>
      <c r="E72" s="452">
        <f>C72/D72</f>
        <v>366.38531697123585</v>
      </c>
    </row>
    <row r="73" spans="1:10" ht="25" x14ac:dyDescent="0.25">
      <c r="A73" s="458" t="s">
        <v>652</v>
      </c>
      <c r="B73" s="462"/>
      <c r="C73" s="463">
        <f>'[9]Table 1'!$C$18</f>
        <v>431.40924386370864</v>
      </c>
      <c r="D73" s="464">
        <f>'[10] nonmods OVH Factors'!$G$10</f>
        <v>1.639965597331799</v>
      </c>
      <c r="E73" s="452">
        <f>C73/D73</f>
        <v>263.05993526059655</v>
      </c>
    </row>
    <row r="74" spans="1:10" x14ac:dyDescent="0.25">
      <c r="A74" s="413"/>
      <c r="B74" s="329"/>
      <c r="C74" s="361"/>
      <c r="D74" s="329"/>
      <c r="E74" s="361"/>
    </row>
    <row r="75" spans="1:10" x14ac:dyDescent="0.25">
      <c r="A75" s="413"/>
      <c r="B75" s="329"/>
      <c r="C75" s="361"/>
      <c r="D75" s="329"/>
      <c r="E75" s="361"/>
    </row>
    <row r="76" spans="1:10" x14ac:dyDescent="0.25">
      <c r="A76" s="413"/>
      <c r="B76" s="329"/>
      <c r="C76" s="361"/>
      <c r="D76" s="329"/>
      <c r="E76" s="361"/>
    </row>
    <row r="77" spans="1:10" x14ac:dyDescent="0.25">
      <c r="A77" s="413"/>
      <c r="B77" s="329"/>
      <c r="C77" s="361"/>
      <c r="D77" s="329"/>
      <c r="E77" s="361"/>
    </row>
    <row r="78" spans="1:10" x14ac:dyDescent="0.25">
      <c r="A78" s="413"/>
      <c r="B78" s="329"/>
      <c r="C78" s="361"/>
      <c r="D78" s="329"/>
      <c r="E78" s="361"/>
    </row>
    <row r="79" spans="1:10" ht="13" x14ac:dyDescent="0.3">
      <c r="A79" s="465" t="s">
        <v>597</v>
      </c>
      <c r="B79" s="466"/>
      <c r="C79" s="454"/>
      <c r="D79" s="220"/>
      <c r="E79" s="454"/>
    </row>
    <row r="80" spans="1:10" ht="13" x14ac:dyDescent="0.3">
      <c r="A80" s="407" t="s">
        <v>644</v>
      </c>
    </row>
    <row r="81" spans="1:4" ht="13" x14ac:dyDescent="0.3">
      <c r="A81" s="1" t="s">
        <v>297</v>
      </c>
    </row>
    <row r="82" spans="1:4" ht="13" x14ac:dyDescent="0.3">
      <c r="A82" s="1" t="s">
        <v>181</v>
      </c>
    </row>
    <row r="83" spans="1:4" ht="13" x14ac:dyDescent="0.3">
      <c r="A83" s="407" t="s">
        <v>415</v>
      </c>
    </row>
    <row r="84" spans="1:4" ht="13" x14ac:dyDescent="0.3">
      <c r="A84" s="407" t="s">
        <v>414</v>
      </c>
    </row>
    <row r="85" spans="1:4" ht="13" x14ac:dyDescent="0.3">
      <c r="A85" s="407" t="s">
        <v>540</v>
      </c>
    </row>
    <row r="86" spans="1:4" ht="13" x14ac:dyDescent="0.3">
      <c r="A86" s="407" t="s">
        <v>541</v>
      </c>
    </row>
    <row r="87" spans="1:4" ht="13" x14ac:dyDescent="0.3">
      <c r="A87" s="407" t="s">
        <v>635</v>
      </c>
    </row>
    <row r="88" spans="1:4" ht="13" x14ac:dyDescent="0.3">
      <c r="A88" s="1" t="s">
        <v>653</v>
      </c>
    </row>
    <row r="89" spans="1:4" ht="13" x14ac:dyDescent="0.3">
      <c r="A89" s="1" t="s">
        <v>654</v>
      </c>
    </row>
    <row r="90" spans="1:4" ht="13" x14ac:dyDescent="0.3">
      <c r="A90" s="1" t="s">
        <v>655</v>
      </c>
    </row>
    <row r="92" spans="1:4" x14ac:dyDescent="0.25">
      <c r="B92" s="15"/>
      <c r="D92" s="280"/>
    </row>
    <row r="93" spans="1:4" x14ac:dyDescent="0.25">
      <c r="B93" s="15"/>
      <c r="D93" s="280"/>
    </row>
    <row r="96" spans="1:4" x14ac:dyDescent="0.25">
      <c r="D96" s="13"/>
    </row>
    <row r="97" spans="4:4" x14ac:dyDescent="0.25">
      <c r="D97" s="13"/>
    </row>
    <row r="98" spans="4:4" x14ac:dyDescent="0.25">
      <c r="D98" s="13"/>
    </row>
    <row r="175" spans="3:5" x14ac:dyDescent="0.25">
      <c r="C175" s="447"/>
      <c r="E175" s="247"/>
    </row>
    <row r="176" spans="3:5" x14ac:dyDescent="0.25">
      <c r="C176" s="447"/>
      <c r="E176" s="247"/>
    </row>
    <row r="177" spans="3:7" x14ac:dyDescent="0.25">
      <c r="C177" s="447"/>
      <c r="E177" s="247"/>
    </row>
    <row r="178" spans="3:7" x14ac:dyDescent="0.25">
      <c r="C178" s="447"/>
      <c r="E178" s="247"/>
    </row>
    <row r="179" spans="3:7" x14ac:dyDescent="0.25">
      <c r="C179" s="447"/>
      <c r="D179" s="295"/>
      <c r="E179" s="360"/>
      <c r="F179" s="255"/>
      <c r="G179" s="255"/>
    </row>
    <row r="180" spans="3:7" x14ac:dyDescent="0.25">
      <c r="C180" s="447"/>
      <c r="D180" s="295"/>
      <c r="E180" s="360"/>
      <c r="F180" s="255"/>
      <c r="G180" s="255"/>
    </row>
  </sheetData>
  <mergeCells count="2">
    <mergeCell ref="D12:D14"/>
    <mergeCell ref="D49:D51"/>
  </mergeCells>
  <phoneticPr fontId="0" type="noConversion"/>
  <printOptions horizontalCentered="1"/>
  <pageMargins left="0.75" right="0.75" top="1" bottom="1" header="0.5" footer="0.5"/>
  <pageSetup scale="52" firstPageNumber="76" orientation="portrait" useFirstPageNumber="1" r:id="rId1"/>
  <headerFooter alignWithMargins="0">
    <oddFooter>&amp;CTab-'&amp;A'&amp;RPage 31</oddFooter>
  </headerFooter>
  <ignoredErrors>
    <ignoredError sqref="D8:D11 C55 B67:E67 E4" numberStoredAsText="1"/>
  </ignoredErrors>
</worksheet>
</file>

<file path=xl/worksheets/sheet5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3">
    <pageSetUpPr fitToPage="1"/>
  </sheetPr>
  <dimension ref="A1:F9"/>
  <sheetViews>
    <sheetView zoomScaleNormal="100" workbookViewId="0"/>
  </sheetViews>
  <sheetFormatPr defaultRowHeight="12.5" x14ac:dyDescent="0.25"/>
  <cols>
    <col min="1" max="1" width="54" customWidth="1"/>
    <col min="2" max="2" width="30.54296875" style="30" customWidth="1"/>
    <col min="3" max="3" width="8.81640625" style="38" bestFit="1" customWidth="1"/>
    <col min="7" max="9" width="8" customWidth="1"/>
  </cols>
  <sheetData>
    <row r="1" spans="1:6" ht="18" x14ac:dyDescent="0.4">
      <c r="A1" s="5" t="s">
        <v>182</v>
      </c>
    </row>
    <row r="2" spans="1:6" ht="18" x14ac:dyDescent="0.4">
      <c r="A2" s="5"/>
    </row>
    <row r="3" spans="1:6" ht="13" x14ac:dyDescent="0.3">
      <c r="C3" s="39" t="s">
        <v>60</v>
      </c>
    </row>
    <row r="4" spans="1:6" ht="13" x14ac:dyDescent="0.3">
      <c r="A4" s="36" t="s">
        <v>172</v>
      </c>
      <c r="B4" s="37" t="s">
        <v>22</v>
      </c>
      <c r="C4" s="40" t="s">
        <v>66</v>
      </c>
    </row>
    <row r="5" spans="1:6" x14ac:dyDescent="0.25">
      <c r="A5" t="s">
        <v>183</v>
      </c>
      <c r="B5" s="154" t="s">
        <v>638</v>
      </c>
      <c r="C5" s="435">
        <f>'[2]Disaggregated wage rates'!$C$6</f>
        <v>54.142360316355024</v>
      </c>
    </row>
    <row r="6" spans="1:6" x14ac:dyDescent="0.25">
      <c r="A6" t="s">
        <v>420</v>
      </c>
      <c r="B6" s="154" t="str">
        <f>B5</f>
        <v>USPS-FY25-7 -  Part 8</v>
      </c>
      <c r="C6" s="435">
        <f>'[2]Disaggregated wage rates'!$C$8</f>
        <v>50.10717457546064</v>
      </c>
      <c r="F6" s="303"/>
    </row>
    <row r="7" spans="1:6" x14ac:dyDescent="0.25">
      <c r="B7" s="154"/>
      <c r="C7" s="436"/>
    </row>
    <row r="8" spans="1:6" ht="13" x14ac:dyDescent="0.3">
      <c r="B8" s="154"/>
      <c r="C8" s="387" t="s">
        <v>643</v>
      </c>
    </row>
    <row r="9" spans="1:6" x14ac:dyDescent="0.25">
      <c r="A9" t="s">
        <v>641</v>
      </c>
      <c r="B9" s="154" t="s">
        <v>642</v>
      </c>
      <c r="C9" s="436">
        <f>'[2]Premium Pay Fctrs'!$D$21</f>
        <v>0.9752031228402912</v>
      </c>
    </row>
  </sheetData>
  <phoneticPr fontId="0" type="noConversion"/>
  <printOptions horizontalCentered="1"/>
  <pageMargins left="0.75" right="0.75" top="1" bottom="1" header="0.5" footer="0.5"/>
  <pageSetup firstPageNumber="76" orientation="portrait" useFirstPageNumber="1" r:id="rId1"/>
  <headerFooter alignWithMargins="0">
    <oddFooter>&amp;CTab-'&amp;A'&amp;RPage 32</oddFooter>
  </headerFooter>
</worksheet>
</file>

<file path=xl/worksheets/sheet5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4">
    <pageSetUpPr fitToPage="1"/>
  </sheetPr>
  <dimension ref="A1:C13"/>
  <sheetViews>
    <sheetView zoomScale="130" zoomScaleNormal="130" workbookViewId="0">
      <selection activeCell="B9" sqref="B9"/>
    </sheetView>
  </sheetViews>
  <sheetFormatPr defaultRowHeight="12.5" x14ac:dyDescent="0.25"/>
  <cols>
    <col min="1" max="1" width="40.7265625" customWidth="1"/>
    <col min="2" max="2" width="10.7265625" style="42" customWidth="1"/>
    <col min="3" max="3" width="20.7265625" customWidth="1"/>
  </cols>
  <sheetData>
    <row r="1" spans="1:3" ht="18" x14ac:dyDescent="0.4">
      <c r="A1" s="5" t="s">
        <v>184</v>
      </c>
    </row>
    <row r="2" spans="1:3" ht="13" x14ac:dyDescent="0.3">
      <c r="A2" s="1" t="s">
        <v>637</v>
      </c>
    </row>
    <row r="3" spans="1:3" ht="13" x14ac:dyDescent="0.3">
      <c r="B3" s="41" t="s">
        <v>62</v>
      </c>
    </row>
    <row r="4" spans="1:3" ht="13" x14ac:dyDescent="0.3">
      <c r="A4" s="36" t="s">
        <v>172</v>
      </c>
      <c r="B4" s="43" t="s">
        <v>68</v>
      </c>
      <c r="C4" s="36"/>
    </row>
    <row r="5" spans="1:3" s="7" customFormat="1" x14ac:dyDescent="0.25">
      <c r="A5" s="7" t="s">
        <v>234</v>
      </c>
      <c r="B5" s="355">
        <f>'[11]MP Piggybacks'!$J$84</f>
        <v>1.8052502472456198</v>
      </c>
    </row>
    <row r="6" spans="1:3" x14ac:dyDescent="0.25">
      <c r="A6" t="s">
        <v>532</v>
      </c>
      <c r="B6" s="479">
        <f>'[11]MP Piggybacks'!$J$78</f>
        <v>1.6056412614911089</v>
      </c>
      <c r="C6" s="7"/>
    </row>
    <row r="7" spans="1:3" x14ac:dyDescent="0.25">
      <c r="A7" t="s">
        <v>185</v>
      </c>
      <c r="B7" s="355">
        <f>'[11]MP Piggybacks'!$J$26</f>
        <v>1.5985378657336238</v>
      </c>
      <c r="C7" s="7"/>
    </row>
    <row r="8" spans="1:3" x14ac:dyDescent="0.25">
      <c r="A8" t="s">
        <v>349</v>
      </c>
      <c r="B8" s="355">
        <f>'[11]MP Piggybacks'!$J$8</f>
        <v>1.6305774272183733</v>
      </c>
      <c r="C8" s="7"/>
    </row>
    <row r="9" spans="1:3" x14ac:dyDescent="0.25">
      <c r="A9" t="s">
        <v>244</v>
      </c>
      <c r="B9" s="355">
        <f>'[11]MP Piggybacks'!$J$77</f>
        <v>1.2615773174013249</v>
      </c>
      <c r="C9" s="7"/>
    </row>
    <row r="10" spans="1:3" x14ac:dyDescent="0.25">
      <c r="A10" t="s">
        <v>350</v>
      </c>
      <c r="B10" s="355">
        <f>B8</f>
        <v>1.6305774272183733</v>
      </c>
      <c r="C10" s="7"/>
    </row>
    <row r="11" spans="1:3" x14ac:dyDescent="0.25">
      <c r="A11" t="s">
        <v>366</v>
      </c>
      <c r="B11" s="355">
        <v>1</v>
      </c>
      <c r="C11" s="7"/>
    </row>
    <row r="12" spans="1:3" x14ac:dyDescent="0.25">
      <c r="A12" t="s">
        <v>186</v>
      </c>
      <c r="B12" s="355">
        <f>'[11]MP Piggybacks'!$J$14</f>
        <v>1.3622907328394676</v>
      </c>
      <c r="C12" s="7"/>
    </row>
    <row r="13" spans="1:3" x14ac:dyDescent="0.25">
      <c r="A13" t="s">
        <v>492</v>
      </c>
      <c r="B13" s="355">
        <f>B8</f>
        <v>1.6305774272183733</v>
      </c>
      <c r="C13" s="7"/>
    </row>
  </sheetData>
  <phoneticPr fontId="0" type="noConversion"/>
  <printOptions horizontalCentered="1"/>
  <pageMargins left="0.75" right="0.75" top="1" bottom="1" header="0.5" footer="0.5"/>
  <pageSetup firstPageNumber="76" orientation="portrait" useFirstPageNumber="1" r:id="rId1"/>
  <headerFooter alignWithMargins="0">
    <oddFooter>&amp;CTab-'&amp;A'&amp;RPage 33</oddFooter>
  </headerFooter>
</worksheet>
</file>

<file path=xl/worksheets/sheet5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1">
    <pageSetUpPr fitToPage="1"/>
  </sheetPr>
  <dimension ref="A1:Q39"/>
  <sheetViews>
    <sheetView zoomScale="75" zoomScaleNormal="75" workbookViewId="0"/>
  </sheetViews>
  <sheetFormatPr defaultRowHeight="13" x14ac:dyDescent="0.3"/>
  <cols>
    <col min="1" max="1" width="15.7265625" style="1" customWidth="1"/>
    <col min="2" max="2" width="10.7265625" style="34" customWidth="1"/>
    <col min="3" max="6" width="10.7265625" style="13" customWidth="1"/>
    <col min="7" max="8" width="15.26953125" style="13" customWidth="1"/>
  </cols>
  <sheetData>
    <row r="1" spans="1:17" s="52" customFormat="1" ht="33.75" customHeight="1" thickBot="1" x14ac:dyDescent="0.45">
      <c r="A1" s="5" t="s">
        <v>162</v>
      </c>
      <c r="B1" s="53"/>
      <c r="C1" s="54"/>
      <c r="D1" s="54"/>
      <c r="E1" s="54"/>
      <c r="F1" s="54"/>
      <c r="G1" s="54"/>
      <c r="H1" s="254"/>
    </row>
    <row r="2" spans="1:17" ht="27" customHeight="1" x14ac:dyDescent="0.4">
      <c r="A2" s="485" t="s">
        <v>587</v>
      </c>
      <c r="B2" s="486"/>
      <c r="C2" s="486"/>
      <c r="D2" s="486"/>
      <c r="E2" s="486"/>
      <c r="F2" s="486"/>
      <c r="G2" s="486"/>
      <c r="H2" s="487"/>
    </row>
    <row r="3" spans="1:17" ht="18" x14ac:dyDescent="0.4">
      <c r="A3" s="488"/>
      <c r="B3" s="489"/>
      <c r="C3" s="489"/>
      <c r="D3" s="489"/>
      <c r="E3" s="489"/>
      <c r="F3" s="489"/>
      <c r="G3" s="489"/>
      <c r="H3" s="490"/>
    </row>
    <row r="4" spans="1:17" x14ac:dyDescent="0.3">
      <c r="A4" s="270"/>
      <c r="B4" s="34" t="s">
        <v>286</v>
      </c>
      <c r="H4" s="271"/>
    </row>
    <row r="5" spans="1:17" x14ac:dyDescent="0.3">
      <c r="A5" s="267" t="s">
        <v>154</v>
      </c>
      <c r="B5" s="55" t="s">
        <v>287</v>
      </c>
      <c r="C5" s="268" t="s">
        <v>163</v>
      </c>
      <c r="D5" s="268" t="s">
        <v>164</v>
      </c>
      <c r="E5" s="268" t="s">
        <v>165</v>
      </c>
      <c r="F5" s="268" t="s">
        <v>166</v>
      </c>
      <c r="G5" s="268" t="s">
        <v>167</v>
      </c>
      <c r="H5" s="269" t="s">
        <v>146</v>
      </c>
    </row>
    <row r="6" spans="1:17" x14ac:dyDescent="0.3">
      <c r="A6" s="270" t="s">
        <v>159</v>
      </c>
      <c r="B6" s="34" t="s">
        <v>147</v>
      </c>
      <c r="C6" s="13">
        <f>C25/SUM($C25:$F25)</f>
        <v>0.1280502516649506</v>
      </c>
      <c r="D6" s="13">
        <f>D25/SUM($C25:$F25)</f>
        <v>0.51830913029643533</v>
      </c>
      <c r="E6" s="13">
        <f>E25/SUM($C25:$F25)</f>
        <v>0.27992375042524453</v>
      </c>
      <c r="F6" s="13">
        <f>F25/SUM($C25:$F25)</f>
        <v>7.3716867613369583E-2</v>
      </c>
      <c r="G6" s="13">
        <f>0</f>
        <v>0</v>
      </c>
      <c r="H6" s="271">
        <f>SUM(C6:G6)</f>
        <v>1</v>
      </c>
    </row>
    <row r="7" spans="1:17" x14ac:dyDescent="0.3">
      <c r="A7" s="270"/>
      <c r="B7" s="34" t="s">
        <v>163</v>
      </c>
      <c r="C7" s="13">
        <f>'[12]AFSM100 OS'!K39</f>
        <v>1.6122758650167768E-2</v>
      </c>
      <c r="D7" s="13">
        <f>'[12]AFSM100 OS'!L39</f>
        <v>0.82579368010090526</v>
      </c>
      <c r="E7" s="13">
        <f>'[12]AFSM100 OS'!M39</f>
        <v>6.901537761983581E-2</v>
      </c>
      <c r="F7" s="13">
        <f>'[12]AFSM100 OS'!N39</f>
        <v>7.3513972216309054E-3</v>
      </c>
      <c r="G7" s="13">
        <f>'[12]AFSM100 OS'!O39</f>
        <v>9.7839545057628055E-2</v>
      </c>
      <c r="H7" s="271">
        <f>SUM(D7:G7)</f>
        <v>1</v>
      </c>
      <c r="L7" s="4"/>
      <c r="M7" s="4"/>
      <c r="N7" s="4"/>
      <c r="O7" s="4"/>
      <c r="P7" s="4"/>
      <c r="Q7" s="4"/>
    </row>
    <row r="8" spans="1:17" x14ac:dyDescent="0.3">
      <c r="A8" s="270"/>
      <c r="B8" s="34" t="s">
        <v>164</v>
      </c>
      <c r="C8" s="13">
        <f>'[12]AFSM100 MMP'!K39</f>
        <v>2.0560691426449794E-3</v>
      </c>
      <c r="D8" s="13">
        <f>'[12]AFSM100 MMP'!L39</f>
        <v>7.7870896442113098E-4</v>
      </c>
      <c r="E8" s="13">
        <f>'[12]AFSM100 MMP'!M39</f>
        <v>0.1989407472148581</v>
      </c>
      <c r="F8" s="13">
        <f>'[12]AFSM100 MMP'!N39</f>
        <v>6.4589034680307633E-2</v>
      </c>
      <c r="G8" s="13">
        <f>'[12]AFSM100 MMP'!O39</f>
        <v>0.73647021810483426</v>
      </c>
      <c r="H8" s="271">
        <f>SUM(E8:G8)</f>
        <v>1</v>
      </c>
      <c r="L8" s="4"/>
      <c r="M8" s="4"/>
      <c r="N8" s="4"/>
      <c r="O8" s="4"/>
      <c r="P8" s="4"/>
      <c r="Q8" s="4"/>
    </row>
    <row r="9" spans="1:17" x14ac:dyDescent="0.3">
      <c r="A9" s="270"/>
      <c r="B9" s="34" t="s">
        <v>165</v>
      </c>
      <c r="C9" s="13">
        <f>'[12]AFSM100 SCF'!K39</f>
        <v>0</v>
      </c>
      <c r="D9" s="13">
        <f>'[12]AFSM100 SCF'!L39</f>
        <v>1.7129560465742408E-3</v>
      </c>
      <c r="E9" s="13">
        <f>'[12]AFSM100 SCF'!M39</f>
        <v>5.2341664273577296E-2</v>
      </c>
      <c r="F9" s="13">
        <f>'[12]AFSM100 SCF'!N39</f>
        <v>2.2371971272315966E-2</v>
      </c>
      <c r="G9" s="13">
        <f>'[12]AFSM100 SCF'!O39</f>
        <v>0.97762802872768406</v>
      </c>
      <c r="H9" s="271">
        <f>SUM(F9:G9)</f>
        <v>1</v>
      </c>
      <c r="L9" s="4"/>
      <c r="M9" s="4"/>
      <c r="N9" s="4"/>
      <c r="O9" s="4"/>
      <c r="P9" s="4"/>
      <c r="Q9" s="4"/>
    </row>
    <row r="10" spans="1:17" x14ac:dyDescent="0.3">
      <c r="A10" s="270"/>
      <c r="H10" s="271"/>
      <c r="L10" s="4"/>
      <c r="M10" s="4"/>
      <c r="N10" s="4"/>
      <c r="O10" s="4"/>
      <c r="P10" s="4"/>
      <c r="Q10" s="4"/>
    </row>
    <row r="11" spans="1:17" x14ac:dyDescent="0.3">
      <c r="A11" s="270" t="s">
        <v>232</v>
      </c>
      <c r="B11" s="34" t="s">
        <v>147</v>
      </c>
      <c r="C11" s="13">
        <f>C30/SUM($C30:$F30)</f>
        <v>8.9477729638583706E-2</v>
      </c>
      <c r="D11" s="13">
        <f>D30/SUM($C30:$F30)</f>
        <v>0.58065176745311753</v>
      </c>
      <c r="E11" s="13">
        <f>E30/SUM($C30:$F30)</f>
        <v>0.25580706733015424</v>
      </c>
      <c r="F11" s="13">
        <f>F30/SUM($C30:$F30)</f>
        <v>7.406343557814464E-2</v>
      </c>
      <c r="G11" s="13">
        <f>0</f>
        <v>0</v>
      </c>
      <c r="H11" s="271">
        <f>SUM(C11:G11)</f>
        <v>1</v>
      </c>
    </row>
    <row r="12" spans="1:17" x14ac:dyDescent="0.3">
      <c r="A12" s="270"/>
      <c r="B12" s="34" t="s">
        <v>163</v>
      </c>
      <c r="C12" s="13">
        <f>'[12]UFSM1000 OS'!K39</f>
        <v>0</v>
      </c>
      <c r="D12" s="13">
        <f>'[12]UFSM1000 OS'!L39</f>
        <v>0.70784361637141113</v>
      </c>
      <c r="E12" s="13">
        <f>'[12]UFSM1000 OS'!M39</f>
        <v>3.103237629810629E-3</v>
      </c>
      <c r="F12" s="13">
        <f>'[12]UFSM1000 OS'!N39</f>
        <v>1.9865607819181428E-2</v>
      </c>
      <c r="G12" s="13">
        <f>'[12]UFSM1000 OS'!O39</f>
        <v>0.26918753817959684</v>
      </c>
      <c r="H12" s="271">
        <f>SUM(D12:G12)</f>
        <v>1</v>
      </c>
      <c r="L12" s="4"/>
      <c r="M12" s="4"/>
      <c r="N12" s="4"/>
      <c r="O12" s="4"/>
      <c r="P12" s="4"/>
      <c r="Q12" s="4"/>
    </row>
    <row r="13" spans="1:17" x14ac:dyDescent="0.3">
      <c r="A13" s="270"/>
      <c r="B13" s="34" t="s">
        <v>164</v>
      </c>
      <c r="C13" s="13">
        <f>'[12]UFSM1000 MMP'!K39</f>
        <v>0</v>
      </c>
      <c r="D13" s="13">
        <f>'[12]UFSM1000 MMP'!L39</f>
        <v>0</v>
      </c>
      <c r="E13" s="13">
        <f>'[12]UFSM1000 MMP'!M39</f>
        <v>0.26426386864938378</v>
      </c>
      <c r="F13" s="13">
        <f>'[12]UFSM1000 MMP'!N39</f>
        <v>4.1476741852909525E-2</v>
      </c>
      <c r="G13" s="13">
        <f>'[12]UFSM1000 MMP'!O39</f>
        <v>0.69425938949770671</v>
      </c>
      <c r="H13" s="271">
        <f>SUM(E13:G13)</f>
        <v>1</v>
      </c>
      <c r="L13" s="4"/>
      <c r="M13" s="4"/>
      <c r="N13" s="4"/>
      <c r="O13" s="4"/>
      <c r="P13" s="4"/>
      <c r="Q13" s="4"/>
    </row>
    <row r="14" spans="1:17" x14ac:dyDescent="0.3">
      <c r="A14" s="270"/>
      <c r="B14" s="34" t="s">
        <v>165</v>
      </c>
      <c r="C14" s="13">
        <f>'[12]UFSM1000 SCF'!K39</f>
        <v>0</v>
      </c>
      <c r="D14" s="13">
        <f>'[12]UFSM1000 SCF'!L39</f>
        <v>8.3099485200515601E-3</v>
      </c>
      <c r="E14" s="13">
        <f>'[12]UFSM1000 SCF'!M39</f>
        <v>7.2635365043273586E-2</v>
      </c>
      <c r="F14" s="13">
        <f>'[12]UFSM1000 SCF'!N39</f>
        <v>2.5867828035649049E-2</v>
      </c>
      <c r="G14" s="13">
        <f>'[12]UFSM1000 SCF'!O39</f>
        <v>0.97413217196435098</v>
      </c>
      <c r="H14" s="271">
        <f>SUM(F14:G14)</f>
        <v>1</v>
      </c>
      <c r="L14" s="4"/>
      <c r="M14" s="4"/>
      <c r="N14" s="4"/>
      <c r="O14" s="4"/>
      <c r="P14" s="4"/>
      <c r="Q14" s="4"/>
    </row>
    <row r="15" spans="1:17" ht="15.5" x14ac:dyDescent="0.35">
      <c r="A15" s="272"/>
      <c r="H15" s="271"/>
      <c r="L15" s="4"/>
      <c r="M15" s="4"/>
      <c r="N15" s="4"/>
      <c r="O15" s="4"/>
      <c r="P15" s="4"/>
      <c r="Q15" s="4"/>
    </row>
    <row r="16" spans="1:17" x14ac:dyDescent="0.3">
      <c r="A16" s="270" t="s">
        <v>70</v>
      </c>
      <c r="B16" s="34" t="s">
        <v>147</v>
      </c>
      <c r="C16" s="13">
        <f>C35/SUM($C35:$F35)</f>
        <v>8.9477729638583706E-2</v>
      </c>
      <c r="D16" s="13">
        <f>D35/SUM($C35:$F35)</f>
        <v>0.58065176745311753</v>
      </c>
      <c r="E16" s="13">
        <f>E35/SUM($C35:$F35)</f>
        <v>0.25580706733015424</v>
      </c>
      <c r="F16" s="13">
        <f>F35/SUM($C35:$F35)</f>
        <v>7.406343557814464E-2</v>
      </c>
      <c r="G16" s="13">
        <f>0</f>
        <v>0</v>
      </c>
      <c r="H16" s="271">
        <f>SUM(C16:G16)</f>
        <v>1</v>
      </c>
    </row>
    <row r="17" spans="1:17" x14ac:dyDescent="0.3">
      <c r="A17" s="270"/>
      <c r="B17" s="34" t="s">
        <v>163</v>
      </c>
      <c r="C17" s="13">
        <f t="shared" ref="C17:H17" si="0">C12</f>
        <v>0</v>
      </c>
      <c r="D17" s="13">
        <f t="shared" si="0"/>
        <v>0.70784361637141113</v>
      </c>
      <c r="E17" s="13">
        <f t="shared" si="0"/>
        <v>3.103237629810629E-3</v>
      </c>
      <c r="F17" s="13">
        <f t="shared" si="0"/>
        <v>1.9865607819181428E-2</v>
      </c>
      <c r="G17" s="13">
        <f t="shared" si="0"/>
        <v>0.26918753817959684</v>
      </c>
      <c r="H17" s="271">
        <f t="shared" si="0"/>
        <v>1</v>
      </c>
      <c r="L17" s="4"/>
      <c r="M17" s="4"/>
      <c r="N17" s="4"/>
      <c r="O17" s="4"/>
      <c r="P17" s="4"/>
      <c r="Q17" s="4"/>
    </row>
    <row r="18" spans="1:17" x14ac:dyDescent="0.3">
      <c r="A18" s="270"/>
      <c r="B18" s="34" t="s">
        <v>164</v>
      </c>
      <c r="C18" s="13">
        <f t="shared" ref="C18:G19" si="1">C13</f>
        <v>0</v>
      </c>
      <c r="D18" s="13">
        <f t="shared" si="1"/>
        <v>0</v>
      </c>
      <c r="E18" s="13">
        <f t="shared" si="1"/>
        <v>0.26426386864938378</v>
      </c>
      <c r="F18" s="13">
        <f t="shared" si="1"/>
        <v>4.1476741852909525E-2</v>
      </c>
      <c r="G18" s="13">
        <f t="shared" si="1"/>
        <v>0.69425938949770671</v>
      </c>
      <c r="H18" s="271">
        <f>H13</f>
        <v>1</v>
      </c>
      <c r="L18" s="4"/>
      <c r="M18" s="4"/>
      <c r="N18" s="4"/>
      <c r="O18" s="4"/>
      <c r="P18" s="4"/>
      <c r="Q18" s="4"/>
    </row>
    <row r="19" spans="1:17" ht="13.5" thickBot="1" x14ac:dyDescent="0.35">
      <c r="A19" s="273"/>
      <c r="B19" s="185" t="s">
        <v>165</v>
      </c>
      <c r="C19" s="274">
        <f t="shared" si="1"/>
        <v>0</v>
      </c>
      <c r="D19" s="274">
        <v>0</v>
      </c>
      <c r="E19" s="274">
        <v>0</v>
      </c>
      <c r="F19" s="274">
        <f t="shared" si="1"/>
        <v>2.5867828035649049E-2</v>
      </c>
      <c r="G19" s="274">
        <f t="shared" si="1"/>
        <v>0.97413217196435098</v>
      </c>
      <c r="H19" s="275">
        <f>H14</f>
        <v>1</v>
      </c>
      <c r="L19" s="4"/>
      <c r="M19" s="4"/>
      <c r="N19" s="4"/>
      <c r="O19" s="4"/>
      <c r="P19" s="4"/>
      <c r="Q19" s="4"/>
    </row>
    <row r="20" spans="1:17" ht="30.75" customHeight="1" thickBot="1" x14ac:dyDescent="0.35">
      <c r="L20" s="4"/>
      <c r="M20" s="4"/>
      <c r="N20" s="4"/>
      <c r="O20" s="4"/>
      <c r="P20" s="4"/>
      <c r="Q20" s="4"/>
    </row>
    <row r="21" spans="1:17" ht="15.5" x14ac:dyDescent="0.35">
      <c r="A21" s="276" t="s">
        <v>589</v>
      </c>
      <c r="B21" s="264"/>
      <c r="C21" s="265"/>
      <c r="D21" s="265"/>
      <c r="E21" s="265"/>
      <c r="F21" s="265"/>
      <c r="G21" s="265"/>
      <c r="H21" s="266"/>
    </row>
    <row r="22" spans="1:17" x14ac:dyDescent="0.3">
      <c r="A22" s="270" t="s">
        <v>588</v>
      </c>
      <c r="H22" s="271"/>
    </row>
    <row r="23" spans="1:17" x14ac:dyDescent="0.3">
      <c r="A23" s="270"/>
      <c r="B23" s="34" t="s">
        <v>286</v>
      </c>
      <c r="H23" s="271"/>
    </row>
    <row r="24" spans="1:17" x14ac:dyDescent="0.3">
      <c r="A24" s="267" t="s">
        <v>154</v>
      </c>
      <c r="B24" s="55" t="s">
        <v>287</v>
      </c>
      <c r="C24" s="268" t="s">
        <v>163</v>
      </c>
      <c r="D24" s="268" t="s">
        <v>164</v>
      </c>
      <c r="E24" s="268" t="s">
        <v>165</v>
      </c>
      <c r="F24" s="268" t="s">
        <v>166</v>
      </c>
      <c r="G24" s="268" t="s">
        <v>167</v>
      </c>
      <c r="H24" s="269" t="s">
        <v>146</v>
      </c>
    </row>
    <row r="25" spans="1:17" x14ac:dyDescent="0.3">
      <c r="A25" s="270" t="s">
        <v>159</v>
      </c>
      <c r="B25" s="34" t="s">
        <v>147</v>
      </c>
      <c r="C25" s="13">
        <v>0.10106059753070376</v>
      </c>
      <c r="D25" s="13">
        <v>0.40906308056647539</v>
      </c>
      <c r="E25" s="13">
        <v>0.22092312286141352</v>
      </c>
      <c r="F25" s="13">
        <v>5.8179274091485933E-2</v>
      </c>
      <c r="G25" s="13">
        <v>0.21077392494992139</v>
      </c>
      <c r="H25" s="271">
        <v>1</v>
      </c>
    </row>
    <row r="26" spans="1:17" x14ac:dyDescent="0.3">
      <c r="A26" s="270"/>
      <c r="B26" s="34" t="s">
        <v>163</v>
      </c>
      <c r="C26" s="13">
        <v>1.6122758650167768E-2</v>
      </c>
      <c r="D26" s="13">
        <v>0.82579368010090526</v>
      </c>
      <c r="E26" s="13">
        <v>6.901537761983581E-2</v>
      </c>
      <c r="F26" s="13">
        <v>7.3513972216309054E-3</v>
      </c>
      <c r="G26" s="13">
        <v>9.7839545057628055E-2</v>
      </c>
      <c r="H26" s="271">
        <v>1</v>
      </c>
      <c r="L26" s="4"/>
      <c r="M26" s="4"/>
      <c r="N26" s="4"/>
      <c r="O26" s="4"/>
      <c r="P26" s="4"/>
      <c r="Q26" s="4"/>
    </row>
    <row r="27" spans="1:17" x14ac:dyDescent="0.3">
      <c r="A27" s="270"/>
      <c r="B27" s="34" t="s">
        <v>164</v>
      </c>
      <c r="C27" s="13">
        <v>2.0560691426449794E-3</v>
      </c>
      <c r="D27" s="13">
        <v>7.7870896442113098E-4</v>
      </c>
      <c r="E27" s="13">
        <v>0.1989407472148581</v>
      </c>
      <c r="F27" s="13">
        <v>6.4589034680307633E-2</v>
      </c>
      <c r="G27" s="13">
        <v>0.73647021810483426</v>
      </c>
      <c r="H27" s="271">
        <v>1</v>
      </c>
      <c r="L27" s="4"/>
      <c r="M27" s="4"/>
      <c r="N27" s="4"/>
      <c r="O27" s="4"/>
      <c r="P27" s="4"/>
      <c r="Q27" s="4"/>
    </row>
    <row r="28" spans="1:17" x14ac:dyDescent="0.3">
      <c r="A28" s="270"/>
      <c r="B28" s="34" t="s">
        <v>165</v>
      </c>
      <c r="C28" s="13">
        <v>0</v>
      </c>
      <c r="D28" s="13">
        <v>1.7129560465742408E-3</v>
      </c>
      <c r="E28" s="13">
        <v>5.2341664273577296E-2</v>
      </c>
      <c r="F28" s="13">
        <v>2.2371971272315966E-2</v>
      </c>
      <c r="G28" s="13">
        <v>0.97762802872768406</v>
      </c>
      <c r="H28" s="271">
        <v>1</v>
      </c>
      <c r="L28" s="4"/>
      <c r="M28" s="4"/>
      <c r="N28" s="4"/>
      <c r="O28" s="4"/>
      <c r="P28" s="4"/>
      <c r="Q28" s="4"/>
    </row>
    <row r="29" spans="1:17" x14ac:dyDescent="0.3">
      <c r="A29" s="270"/>
      <c r="H29" s="271"/>
      <c r="L29" s="4"/>
      <c r="M29" s="4"/>
      <c r="N29" s="4"/>
      <c r="O29" s="4"/>
      <c r="P29" s="4"/>
      <c r="Q29" s="4"/>
    </row>
    <row r="30" spans="1:17" x14ac:dyDescent="0.3">
      <c r="A30" s="270" t="s">
        <v>232</v>
      </c>
      <c r="B30" s="34" t="s">
        <v>147</v>
      </c>
      <c r="C30" s="13">
        <v>8.130793237510453E-2</v>
      </c>
      <c r="D30" s="13">
        <v>0.52763514264676736</v>
      </c>
      <c r="E30" s="13">
        <v>0.23245050825010191</v>
      </c>
      <c r="F30" s="13">
        <v>6.7301046146112445E-2</v>
      </c>
      <c r="G30" s="13">
        <v>9.1305370581913736E-2</v>
      </c>
      <c r="H30" s="271">
        <v>1</v>
      </c>
    </row>
    <row r="31" spans="1:17" x14ac:dyDescent="0.3">
      <c r="A31" s="270"/>
      <c r="B31" s="34" t="s">
        <v>163</v>
      </c>
      <c r="C31" s="13">
        <v>0</v>
      </c>
      <c r="D31" s="13">
        <v>0.70784361637141113</v>
      </c>
      <c r="E31" s="13">
        <v>3.103237629810629E-3</v>
      </c>
      <c r="F31" s="13">
        <v>1.9865607819181428E-2</v>
      </c>
      <c r="G31" s="13">
        <v>0.26918753817959684</v>
      </c>
      <c r="H31" s="271">
        <v>1</v>
      </c>
      <c r="L31" s="4"/>
      <c r="M31" s="4"/>
      <c r="N31" s="4"/>
      <c r="O31" s="4"/>
      <c r="P31" s="4"/>
      <c r="Q31" s="4"/>
    </row>
    <row r="32" spans="1:17" x14ac:dyDescent="0.3">
      <c r="A32" s="270"/>
      <c r="B32" s="34" t="s">
        <v>164</v>
      </c>
      <c r="C32" s="13">
        <v>0</v>
      </c>
      <c r="D32" s="13">
        <v>0</v>
      </c>
      <c r="E32" s="13">
        <v>0.26426386864938378</v>
      </c>
      <c r="F32" s="13">
        <v>4.1476741852909525E-2</v>
      </c>
      <c r="G32" s="13">
        <v>0.69425938949770671</v>
      </c>
      <c r="H32" s="271">
        <v>1</v>
      </c>
      <c r="L32" s="4"/>
      <c r="M32" s="4"/>
      <c r="N32" s="4"/>
      <c r="O32" s="4"/>
      <c r="P32" s="4"/>
      <c r="Q32" s="4"/>
    </row>
    <row r="33" spans="1:17" x14ac:dyDescent="0.3">
      <c r="A33" s="270"/>
      <c r="B33" s="34" t="s">
        <v>165</v>
      </c>
      <c r="C33" s="13">
        <v>0</v>
      </c>
      <c r="D33" s="13">
        <v>8.3099485200515601E-3</v>
      </c>
      <c r="E33" s="13">
        <v>7.2635365043273586E-2</v>
      </c>
      <c r="F33" s="13">
        <v>2.5867828035649049E-2</v>
      </c>
      <c r="G33" s="13">
        <v>0.97413217196435098</v>
      </c>
      <c r="H33" s="271">
        <v>1</v>
      </c>
      <c r="L33" s="4"/>
      <c r="M33" s="4"/>
      <c r="N33" s="4"/>
      <c r="O33" s="4"/>
      <c r="P33" s="4"/>
      <c r="Q33" s="4"/>
    </row>
    <row r="34" spans="1:17" ht="15.5" x14ac:dyDescent="0.35">
      <c r="A34" s="272"/>
      <c r="H34" s="271"/>
      <c r="L34" s="4"/>
      <c r="M34" s="4"/>
      <c r="N34" s="4"/>
      <c r="O34" s="4"/>
      <c r="P34" s="4"/>
      <c r="Q34" s="4"/>
    </row>
    <row r="35" spans="1:17" x14ac:dyDescent="0.3">
      <c r="A35" s="270" t="s">
        <v>70</v>
      </c>
      <c r="B35" s="34" t="s">
        <v>147</v>
      </c>
      <c r="C35" s="13">
        <v>8.130793237510453E-2</v>
      </c>
      <c r="D35" s="13">
        <v>0.52763514264676736</v>
      </c>
      <c r="E35" s="13">
        <v>0.23245050825010191</v>
      </c>
      <c r="F35" s="13">
        <v>6.7301046146112445E-2</v>
      </c>
      <c r="G35" s="13">
        <v>9.1305370581913736E-2</v>
      </c>
      <c r="H35" s="271">
        <v>1</v>
      </c>
    </row>
    <row r="36" spans="1:17" x14ac:dyDescent="0.3">
      <c r="A36" s="270"/>
      <c r="B36" s="34" t="s">
        <v>163</v>
      </c>
      <c r="C36" s="13">
        <v>0</v>
      </c>
      <c r="D36" s="13">
        <v>0.70784361637141113</v>
      </c>
      <c r="E36" s="13">
        <v>3.103237629810629E-3</v>
      </c>
      <c r="F36" s="13">
        <v>1.9865607819181428E-2</v>
      </c>
      <c r="G36" s="13">
        <v>0.26918753817959684</v>
      </c>
      <c r="H36" s="271">
        <v>1</v>
      </c>
      <c r="L36" s="4"/>
      <c r="M36" s="4"/>
      <c r="N36" s="4"/>
      <c r="O36" s="4"/>
      <c r="P36" s="4"/>
      <c r="Q36" s="4"/>
    </row>
    <row r="37" spans="1:17" x14ac:dyDescent="0.3">
      <c r="A37" s="270"/>
      <c r="B37" s="34" t="s">
        <v>164</v>
      </c>
      <c r="C37" s="13">
        <v>0</v>
      </c>
      <c r="D37" s="13">
        <v>0</v>
      </c>
      <c r="E37" s="13">
        <v>0.26426386864938378</v>
      </c>
      <c r="F37" s="13">
        <v>4.1476741852909525E-2</v>
      </c>
      <c r="G37" s="13">
        <v>0.69425938949770671</v>
      </c>
      <c r="H37" s="271">
        <v>1</v>
      </c>
      <c r="L37" s="4"/>
      <c r="M37" s="4"/>
      <c r="N37" s="4"/>
      <c r="O37" s="4"/>
      <c r="P37" s="4"/>
      <c r="Q37" s="4"/>
    </row>
    <row r="38" spans="1:17" ht="13.5" thickBot="1" x14ac:dyDescent="0.35">
      <c r="A38" s="273"/>
      <c r="B38" s="185" t="s">
        <v>165</v>
      </c>
      <c r="C38" s="274">
        <v>0</v>
      </c>
      <c r="D38" s="274">
        <v>0</v>
      </c>
      <c r="E38" s="274">
        <v>0</v>
      </c>
      <c r="F38" s="274">
        <v>2.5867828035649049E-2</v>
      </c>
      <c r="G38" s="274">
        <v>0.97413217196435098</v>
      </c>
      <c r="H38" s="275">
        <v>1</v>
      </c>
      <c r="L38" s="4"/>
      <c r="M38" s="4"/>
      <c r="N38" s="4"/>
      <c r="O38" s="4"/>
      <c r="P38" s="4"/>
      <c r="Q38" s="4"/>
    </row>
    <row r="39" spans="1:17" x14ac:dyDescent="0.3">
      <c r="L39" s="4"/>
      <c r="M39" s="4"/>
      <c r="N39" s="4"/>
      <c r="O39" s="4"/>
      <c r="P39" s="4"/>
      <c r="Q39" s="4"/>
    </row>
  </sheetData>
  <mergeCells count="2">
    <mergeCell ref="A2:H2"/>
    <mergeCell ref="A3:H3"/>
  </mergeCells>
  <phoneticPr fontId="0" type="noConversion"/>
  <printOptions horizontalCentered="1"/>
  <pageMargins left="0.75" right="0.75" top="1" bottom="1" header="0.5" footer="0.5"/>
  <pageSetup scale="91" firstPageNumber="76" orientation="portrait" useFirstPageNumber="1" r:id="rId1"/>
  <headerFooter alignWithMargins="0">
    <oddFooter>&amp;CTab-'&amp;A'&amp;RPage 30</oddFooter>
  </headerFooter>
</worksheet>
</file>

<file path=xl/worksheets/sheet5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49">
    <pageSetUpPr fitToPage="1"/>
  </sheetPr>
  <dimension ref="A1:E54"/>
  <sheetViews>
    <sheetView zoomScale="75" zoomScaleNormal="75" workbookViewId="0"/>
  </sheetViews>
  <sheetFormatPr defaultRowHeight="12.5" x14ac:dyDescent="0.25"/>
  <cols>
    <col min="1" max="1" width="4.7265625" customWidth="1"/>
    <col min="2" max="2" width="25.7265625" style="33" customWidth="1"/>
    <col min="3" max="3" width="12.7265625" style="15" customWidth="1"/>
    <col min="4" max="5" width="12.7265625" style="13" customWidth="1"/>
  </cols>
  <sheetData>
    <row r="1" spans="1:5" ht="18" x14ac:dyDescent="0.4">
      <c r="A1" s="47" t="s">
        <v>270</v>
      </c>
    </row>
    <row r="3" spans="1:5" ht="13" x14ac:dyDescent="0.3">
      <c r="C3" s="16" t="str">
        <f>"(1)"</f>
        <v>(1)</v>
      </c>
      <c r="D3" s="14" t="str">
        <f>"(2)"</f>
        <v>(2)</v>
      </c>
      <c r="E3" s="14" t="str">
        <f>"(3)"</f>
        <v>(3)</v>
      </c>
    </row>
    <row r="4" spans="1:5" ht="13" x14ac:dyDescent="0.3">
      <c r="C4" s="16" t="s">
        <v>379</v>
      </c>
      <c r="D4" s="14" t="s">
        <v>201</v>
      </c>
      <c r="E4" s="14" t="s">
        <v>202</v>
      </c>
    </row>
    <row r="5" spans="1:5" ht="13" x14ac:dyDescent="0.3">
      <c r="C5" s="16" t="s">
        <v>380</v>
      </c>
      <c r="D5" s="14" t="s">
        <v>203</v>
      </c>
      <c r="E5" s="14" t="s">
        <v>203</v>
      </c>
    </row>
    <row r="6" spans="1:5" ht="13" x14ac:dyDescent="0.3">
      <c r="B6" s="34" t="s">
        <v>172</v>
      </c>
      <c r="D6" s="14" t="s">
        <v>68</v>
      </c>
      <c r="E6" s="14" t="s">
        <v>68</v>
      </c>
    </row>
    <row r="8" spans="1:5" x14ac:dyDescent="0.25">
      <c r="B8" s="33" t="s">
        <v>204</v>
      </c>
      <c r="D8" s="4">
        <f>'[7]Broken Bundles'!$L$27</f>
        <v>6.1234942212081587E-3</v>
      </c>
      <c r="E8" s="4">
        <f>'[7]Broken Bundles'!$L$74</f>
        <v>3.668762192892272E-2</v>
      </c>
    </row>
    <row r="9" spans="1:5" x14ac:dyDescent="0.25">
      <c r="E9" s="4"/>
    </row>
    <row r="10" spans="1:5" x14ac:dyDescent="0.25">
      <c r="B10" s="33" t="s">
        <v>205</v>
      </c>
      <c r="D10" s="4">
        <f>'[7]Broken Bundles'!$L$27</f>
        <v>6.1234942212081587E-3</v>
      </c>
      <c r="E10" s="4">
        <f>'[7]Broken Bundles'!$L$74</f>
        <v>3.668762192892272E-2</v>
      </c>
    </row>
    <row r="11" spans="1:5" x14ac:dyDescent="0.25">
      <c r="E11" s="4"/>
    </row>
    <row r="12" spans="1:5" x14ac:dyDescent="0.25">
      <c r="B12" s="33" t="s">
        <v>206</v>
      </c>
      <c r="D12" s="4">
        <f>'[7]Broken Bundles'!$L$49</f>
        <v>0.10356873985476586</v>
      </c>
      <c r="E12" s="4">
        <f>'[7]Broken Bundles'!$L$74</f>
        <v>3.668762192892272E-2</v>
      </c>
    </row>
    <row r="13" spans="1:5" x14ac:dyDescent="0.25">
      <c r="E13" s="4"/>
    </row>
    <row r="14" spans="1:5" x14ac:dyDescent="0.25">
      <c r="B14" s="33" t="s">
        <v>207</v>
      </c>
      <c r="D14" s="4">
        <f>'[7]Broken Bundles'!$L$49</f>
        <v>0.10356873985476586</v>
      </c>
      <c r="E14" s="4">
        <f>'[7]Broken Bundles'!$L$74</f>
        <v>3.668762192892272E-2</v>
      </c>
    </row>
    <row r="15" spans="1:5" ht="13" x14ac:dyDescent="0.3">
      <c r="B15" s="34"/>
    </row>
    <row r="16" spans="1:5" ht="13" x14ac:dyDescent="0.3">
      <c r="B16" s="34"/>
    </row>
    <row r="17" spans="2:4" ht="13" x14ac:dyDescent="0.3">
      <c r="B17" s="34"/>
      <c r="C17" s="16" t="str">
        <f>"(4)"</f>
        <v>(4)</v>
      </c>
      <c r="D17" s="14" t="str">
        <f>"(6)"</f>
        <v>(6)</v>
      </c>
    </row>
    <row r="18" spans="2:4" ht="13" x14ac:dyDescent="0.3">
      <c r="B18" s="34" t="s">
        <v>271</v>
      </c>
      <c r="C18" s="16" t="s">
        <v>208</v>
      </c>
      <c r="D18" s="14" t="s">
        <v>209</v>
      </c>
    </row>
    <row r="19" spans="2:4" ht="13" x14ac:dyDescent="0.3">
      <c r="B19" s="34"/>
      <c r="C19" s="16"/>
    </row>
    <row r="20" spans="2:4" x14ac:dyDescent="0.25">
      <c r="B20" s="33" t="s">
        <v>210</v>
      </c>
      <c r="C20" s="15">
        <v>1</v>
      </c>
      <c r="D20" s="13">
        <v>0</v>
      </c>
    </row>
    <row r="22" spans="2:4" x14ac:dyDescent="0.25">
      <c r="B22" s="33" t="s">
        <v>211</v>
      </c>
      <c r="C22" s="15">
        <v>1</v>
      </c>
      <c r="D22" s="13">
        <f>D20</f>
        <v>0</v>
      </c>
    </row>
    <row r="24" spans="2:4" x14ac:dyDescent="0.25">
      <c r="B24" s="33" t="s">
        <v>212</v>
      </c>
      <c r="C24" s="15">
        <v>1</v>
      </c>
      <c r="D24" s="13">
        <f>D20</f>
        <v>0</v>
      </c>
    </row>
    <row r="26" spans="2:4" x14ac:dyDescent="0.25">
      <c r="B26" s="33" t="s">
        <v>213</v>
      </c>
      <c r="C26" s="15">
        <v>1</v>
      </c>
      <c r="D26" s="13">
        <f>D20</f>
        <v>0</v>
      </c>
    </row>
    <row r="28" spans="2:4" x14ac:dyDescent="0.25">
      <c r="B28" s="33" t="s">
        <v>214</v>
      </c>
      <c r="C28" s="15">
        <v>1</v>
      </c>
      <c r="D28" s="13">
        <f>D20</f>
        <v>0</v>
      </c>
    </row>
    <row r="30" spans="2:4" x14ac:dyDescent="0.25">
      <c r="B30" s="33" t="s">
        <v>575</v>
      </c>
      <c r="C30" s="15">
        <v>1</v>
      </c>
      <c r="D30" s="13">
        <v>1</v>
      </c>
    </row>
    <row r="32" spans="2:4" x14ac:dyDescent="0.25">
      <c r="B32" s="33" t="s">
        <v>215</v>
      </c>
      <c r="C32" s="15">
        <v>1</v>
      </c>
      <c r="D32" s="13">
        <f>D30</f>
        <v>1</v>
      </c>
    </row>
    <row r="34" spans="2:5" x14ac:dyDescent="0.25">
      <c r="B34" s="33" t="s">
        <v>216</v>
      </c>
      <c r="C34" s="15">
        <v>1</v>
      </c>
      <c r="D34" s="13">
        <f>D30</f>
        <v>1</v>
      </c>
    </row>
    <row r="36" spans="2:5" x14ac:dyDescent="0.25">
      <c r="B36" s="33" t="s">
        <v>217</v>
      </c>
      <c r="C36" s="15">
        <v>1</v>
      </c>
      <c r="D36" s="13">
        <f>D30</f>
        <v>1</v>
      </c>
    </row>
    <row r="37" spans="2:5" x14ac:dyDescent="0.25">
      <c r="D37" s="363"/>
    </row>
    <row r="38" spans="2:5" x14ac:dyDescent="0.25">
      <c r="B38" s="33" t="s">
        <v>218</v>
      </c>
      <c r="C38" s="15">
        <v>1</v>
      </c>
      <c r="D38" s="250">
        <f>'COVERAGE FACTORS'!E30+'COVERAGE FACTORS'!E32</f>
        <v>0.97196950610170085</v>
      </c>
    </row>
    <row r="39" spans="2:5" x14ac:dyDescent="0.25">
      <c r="D39" s="250"/>
    </row>
    <row r="40" spans="2:5" ht="13" x14ac:dyDescent="0.3">
      <c r="B40" s="33" t="s">
        <v>219</v>
      </c>
      <c r="C40" s="15">
        <v>1</v>
      </c>
      <c r="D40" s="250">
        <f>D38</f>
        <v>0.97196950610170085</v>
      </c>
      <c r="E40" s="14" t="str">
        <f>"(5)"</f>
        <v>(5)</v>
      </c>
    </row>
    <row r="41" spans="2:5" ht="13" x14ac:dyDescent="0.3">
      <c r="D41" s="250"/>
      <c r="E41" s="14" t="s">
        <v>209</v>
      </c>
    </row>
    <row r="42" spans="2:5" x14ac:dyDescent="0.25">
      <c r="B42" s="33" t="s">
        <v>220</v>
      </c>
      <c r="C42" s="15">
        <v>1</v>
      </c>
      <c r="D42" s="364">
        <f>D38</f>
        <v>0.97196950610170085</v>
      </c>
    </row>
    <row r="44" spans="2:5" x14ac:dyDescent="0.25">
      <c r="B44" s="33" t="s">
        <v>221</v>
      </c>
      <c r="C44" s="15">
        <v>1</v>
      </c>
      <c r="D44" s="13">
        <v>0.01</v>
      </c>
    </row>
    <row r="45" spans="2:5" ht="13" x14ac:dyDescent="0.3">
      <c r="E45" s="32"/>
    </row>
    <row r="46" spans="2:5" x14ac:dyDescent="0.25">
      <c r="B46" s="33" t="s">
        <v>222</v>
      </c>
      <c r="C46" s="15">
        <v>1</v>
      </c>
      <c r="D46" s="13">
        <v>0.01</v>
      </c>
    </row>
    <row r="49" spans="1:2" ht="13" x14ac:dyDescent="0.3">
      <c r="A49" s="31" t="str">
        <f>"(1)"</f>
        <v>(1)</v>
      </c>
      <c r="B49" s="34" t="s">
        <v>381</v>
      </c>
    </row>
    <row r="50" spans="1:2" ht="13" x14ac:dyDescent="0.3">
      <c r="A50" s="31" t="str">
        <f>"(2)"</f>
        <v>(2)</v>
      </c>
      <c r="B50" s="34" t="s">
        <v>611</v>
      </c>
    </row>
    <row r="51" spans="1:2" ht="13" x14ac:dyDescent="0.3">
      <c r="A51" s="31" t="str">
        <f>"(3)"</f>
        <v>(3)</v>
      </c>
      <c r="B51" s="34" t="s">
        <v>611</v>
      </c>
    </row>
    <row r="52" spans="1:2" ht="13" x14ac:dyDescent="0.3">
      <c r="A52" s="31" t="str">
        <f>"(4)"</f>
        <v>(4)</v>
      </c>
      <c r="B52" s="34" t="s">
        <v>416</v>
      </c>
    </row>
    <row r="53" spans="1:2" ht="13" x14ac:dyDescent="0.3">
      <c r="A53" s="31" t="str">
        <f>"(5)"</f>
        <v>(5)</v>
      </c>
      <c r="B53" s="34" t="s">
        <v>534</v>
      </c>
    </row>
    <row r="54" spans="1:2" ht="13" x14ac:dyDescent="0.3">
      <c r="A54" s="14" t="str">
        <f>"(6)"</f>
        <v>(6)</v>
      </c>
      <c r="B54" s="34" t="s">
        <v>417</v>
      </c>
    </row>
  </sheetData>
  <phoneticPr fontId="0" type="noConversion"/>
  <printOptions horizontalCentered="1"/>
  <pageMargins left="0.75" right="0.75" top="1" bottom="1" header="0.5" footer="0.5"/>
  <pageSetup scale="94" firstPageNumber="76" orientation="portrait" useFirstPageNumber="1" r:id="rId1"/>
  <headerFooter alignWithMargins="0">
    <oddFooter>&amp;CTab-'&amp;A'&amp;RPage 38</oddFooter>
  </headerFooter>
</worksheet>
</file>

<file path=xl/worksheets/sheet6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45">
    <pageSetUpPr fitToPage="1"/>
  </sheetPr>
  <dimension ref="A1:AC109"/>
  <sheetViews>
    <sheetView zoomScaleNormal="100" workbookViewId="0"/>
  </sheetViews>
  <sheetFormatPr defaultRowHeight="13" x14ac:dyDescent="0.3"/>
  <cols>
    <col min="1" max="1" width="25.7265625" customWidth="1"/>
    <col min="2" max="3" width="15.7265625" customWidth="1"/>
    <col min="4" max="4" width="20.7265625" customWidth="1"/>
    <col min="5" max="6" width="10.7265625" style="18" customWidth="1"/>
    <col min="7" max="7" width="17.1796875" style="18" customWidth="1"/>
    <col min="8" max="8" width="10.7265625" style="18" customWidth="1"/>
    <col min="9" max="26" width="9.1796875" style="18" customWidth="1"/>
    <col min="27" max="27" width="15.7265625" style="44" customWidth="1"/>
    <col min="29" max="29" width="9.54296875" bestFit="1" customWidth="1"/>
  </cols>
  <sheetData>
    <row r="1" spans="1:29" ht="18" x14ac:dyDescent="0.4">
      <c r="A1" s="5" t="s">
        <v>579</v>
      </c>
    </row>
    <row r="2" spans="1:29" x14ac:dyDescent="0.3">
      <c r="H2" s="44" t="s">
        <v>474</v>
      </c>
      <c r="I2" s="44" t="s">
        <v>315</v>
      </c>
      <c r="J2" s="44" t="s">
        <v>315</v>
      </c>
      <c r="M2" s="44" t="s">
        <v>316</v>
      </c>
      <c r="N2" s="44" t="s">
        <v>316</v>
      </c>
      <c r="Q2" s="44" t="s">
        <v>316</v>
      </c>
      <c r="R2" s="44" t="s">
        <v>316</v>
      </c>
      <c r="U2" s="44" t="s">
        <v>316</v>
      </c>
      <c r="V2" s="44" t="s">
        <v>316</v>
      </c>
      <c r="AA2" s="44" t="s">
        <v>3</v>
      </c>
    </row>
    <row r="3" spans="1:29" x14ac:dyDescent="0.3">
      <c r="C3" s="1" t="s">
        <v>189</v>
      </c>
      <c r="E3" s="44" t="s">
        <v>187</v>
      </c>
      <c r="F3" s="44" t="s">
        <v>188</v>
      </c>
      <c r="G3" s="44" t="s">
        <v>3</v>
      </c>
      <c r="H3" s="44" t="s">
        <v>201</v>
      </c>
      <c r="I3" s="44" t="s">
        <v>317</v>
      </c>
      <c r="J3" s="44" t="s">
        <v>317</v>
      </c>
      <c r="M3" s="44" t="s">
        <v>164</v>
      </c>
      <c r="N3" s="44" t="s">
        <v>164</v>
      </c>
      <c r="Q3" s="44" t="s">
        <v>317</v>
      </c>
      <c r="R3" s="44" t="s">
        <v>317</v>
      </c>
      <c r="U3" s="44" t="s">
        <v>318</v>
      </c>
      <c r="V3" s="44" t="s">
        <v>318</v>
      </c>
      <c r="Y3" s="44" t="s">
        <v>3</v>
      </c>
      <c r="Z3" s="44" t="s">
        <v>3</v>
      </c>
      <c r="AA3" s="44" t="s">
        <v>251</v>
      </c>
    </row>
    <row r="4" spans="1:29" x14ac:dyDescent="0.3">
      <c r="A4" s="36" t="s">
        <v>14</v>
      </c>
      <c r="B4" s="36" t="s">
        <v>191</v>
      </c>
      <c r="C4" s="55" t="s">
        <v>190</v>
      </c>
      <c r="D4" s="55" t="s">
        <v>319</v>
      </c>
      <c r="E4" s="225" t="s">
        <v>251</v>
      </c>
      <c r="F4" s="225" t="s">
        <v>251</v>
      </c>
      <c r="G4" s="225" t="s">
        <v>251</v>
      </c>
      <c r="H4" s="225" t="s">
        <v>203</v>
      </c>
      <c r="I4" s="225" t="s">
        <v>192</v>
      </c>
      <c r="J4" s="225" t="s">
        <v>193</v>
      </c>
      <c r="K4" s="225" t="s">
        <v>194</v>
      </c>
      <c r="L4" s="225" t="s">
        <v>195</v>
      </c>
      <c r="M4" s="225" t="s">
        <v>192</v>
      </c>
      <c r="N4" s="225" t="s">
        <v>193</v>
      </c>
      <c r="O4" s="225" t="s">
        <v>194</v>
      </c>
      <c r="P4" s="225" t="s">
        <v>195</v>
      </c>
      <c r="Q4" s="225" t="s">
        <v>192</v>
      </c>
      <c r="R4" s="225" t="s">
        <v>193</v>
      </c>
      <c r="S4" s="225" t="s">
        <v>194</v>
      </c>
      <c r="T4" s="225" t="s">
        <v>195</v>
      </c>
      <c r="U4" s="225" t="s">
        <v>192</v>
      </c>
      <c r="V4" s="225" t="s">
        <v>193</v>
      </c>
      <c r="W4" s="225" t="s">
        <v>194</v>
      </c>
      <c r="X4" s="225" t="s">
        <v>195</v>
      </c>
      <c r="Y4" s="225" t="s">
        <v>194</v>
      </c>
      <c r="Z4" s="225" t="s">
        <v>195</v>
      </c>
      <c r="AA4" s="225" t="s">
        <v>196</v>
      </c>
    </row>
    <row r="5" spans="1:29" x14ac:dyDescent="0.3">
      <c r="A5" s="2" t="s">
        <v>308</v>
      </c>
      <c r="B5" s="2" t="s">
        <v>159</v>
      </c>
      <c r="C5" s="221" t="s">
        <v>307</v>
      </c>
      <c r="D5" s="221" t="s">
        <v>307</v>
      </c>
      <c r="E5" s="18">
        <f>IF(AND('FY VOLUME NONAUTO'!$H$13&lt;&gt;0,'FY VOLUME NONAUTO'!I8&lt;&gt;0),(10000*'FY VOLUME NONAUTO'!F8/'FY VOLUME NONAUTO'!$H$13)/'FY VOLUME NONAUTO'!I8,0)</f>
        <v>76.819738916229113</v>
      </c>
      <c r="F5" s="18">
        <f>IF(AND('FY VOLUME NONAUTO'!$H$13&lt;&gt;0,'FY VOLUME NONAUTO'!J8&lt;&gt;0),(10000*'FY VOLUME NONAUTO'!G8/'FY VOLUME NONAUTO'!$H$13)/'FY VOLUME NONAUTO'!J8,0)</f>
        <v>260.04317121579584</v>
      </c>
      <c r="G5" s="18">
        <f>E5+F5</f>
        <v>336.86291013202492</v>
      </c>
      <c r="H5" s="236">
        <f>(E5*'BUNDLE DATA'!$D$8+'BUNDLE SORT'!F5*'BUNDLE DATA'!$D$12)/G5</f>
        <v>8.1346886088603618E-2</v>
      </c>
      <c r="I5" s="18">
        <f>G5*'BUNDLE DATA'!$D$20*'BUNDLE DATA'!$C$20</f>
        <v>0</v>
      </c>
      <c r="J5" s="18">
        <f>G5*(1-'BUNDLE DATA'!$D$20)*'BUNDLE DATA'!$C$20</f>
        <v>336.86291013202492</v>
      </c>
      <c r="K5" s="18">
        <f t="shared" ref="K5:K9" si="0">G5*H5</f>
        <v>27.402748777985348</v>
      </c>
      <c r="L5" s="18">
        <f>(E5*(1-'BUNDLE DATA'!$D$8)+F5*(1-'BUNDLE DATA'!$D$12))*'BUNDLE DENSITIES'!$E$7</f>
        <v>309.4601613540396</v>
      </c>
      <c r="M5" s="18">
        <v>0</v>
      </c>
      <c r="N5" s="18">
        <v>0</v>
      </c>
      <c r="O5" s="18">
        <v>0</v>
      </c>
      <c r="P5" s="18">
        <v>0</v>
      </c>
      <c r="Q5" s="18">
        <v>0</v>
      </c>
      <c r="R5" s="18">
        <v>0</v>
      </c>
      <c r="S5" s="18">
        <v>0</v>
      </c>
      <c r="T5" s="18">
        <v>0</v>
      </c>
      <c r="U5" s="18">
        <v>0</v>
      </c>
      <c r="V5" s="18">
        <v>0</v>
      </c>
      <c r="W5" s="18">
        <v>0</v>
      </c>
      <c r="X5" s="18">
        <v>0</v>
      </c>
      <c r="Y5" s="18">
        <f t="shared" ref="Y5:Z9" si="1">K5+O5+S5+W5</f>
        <v>27.402748777985348</v>
      </c>
      <c r="Z5" s="18">
        <f t="shared" si="1"/>
        <v>309.4601613540396</v>
      </c>
      <c r="AA5" s="44">
        <f>Y5+Z5</f>
        <v>336.86291013202492</v>
      </c>
    </row>
    <row r="6" spans="1:29" x14ac:dyDescent="0.3">
      <c r="A6" s="2" t="s">
        <v>308</v>
      </c>
      <c r="B6" s="2" t="s">
        <v>159</v>
      </c>
      <c r="C6" s="221" t="s">
        <v>307</v>
      </c>
      <c r="D6" s="221" t="s">
        <v>198</v>
      </c>
      <c r="E6" s="18">
        <f>IF(AND('FY VOLUME NONAUTO'!$H$13&lt;&gt;0,'FY VOLUME NONAUTO'!I9&lt;&gt;0),(10000*'FY VOLUME NONAUTO'!F9/'FY VOLUME NONAUTO'!$H$13)/'FY VOLUME NONAUTO'!I9,0)</f>
        <v>0.22578794555665962</v>
      </c>
      <c r="F6" s="18">
        <f>IF(AND('FY VOLUME NONAUTO'!$H$13&lt;&gt;0,'FY VOLUME NONAUTO'!J9&lt;&gt;0),(10000*'FY VOLUME NONAUTO'!G9/'FY VOLUME NONAUTO'!$H$13)/'FY VOLUME NONAUTO'!J9,0)</f>
        <v>116.01482896265702</v>
      </c>
      <c r="G6" s="18">
        <f t="shared" ref="G6:G9" si="2">E6+F6</f>
        <v>116.24061690821368</v>
      </c>
      <c r="H6" s="331">
        <f>(E6*'BUNDLE DATA'!$D$8+'BUNDLE SORT'!F6*'BUNDLE DATA'!$D$12)/G6</f>
        <v>0.10337946038945436</v>
      </c>
      <c r="I6" s="18">
        <f>G6*'BUNDLE DATA'!$D$22*'BUNDLE DATA'!$C$22</f>
        <v>0</v>
      </c>
      <c r="J6" s="18">
        <f>G6*(1-'BUNDLE DATA'!$D$20)*'BUNDLE DATA'!$C$20</f>
        <v>116.24061690821368</v>
      </c>
      <c r="K6" s="18">
        <f t="shared" si="0"/>
        <v>12.016892251308416</v>
      </c>
      <c r="L6" s="18">
        <f>G6*(1-H6)*'BUNDLE DENSITIES'!$G$7</f>
        <v>6.8518777071569117</v>
      </c>
      <c r="M6" s="18">
        <f>G6*(1-H6)*'BUNDLE DENSITIES'!$G$8*'BUNDLE DATA'!$D$30*'BUNDLE DATA'!$C$30</f>
        <v>97.37184694974836</v>
      </c>
      <c r="N6" s="18">
        <f>G6*(1-H6)*'BUNDLE DENSITIES'!$G$8*(1-'BUNDLE DATA'!$D$30)*'BUNDLE DATA'!$C$30</f>
        <v>0</v>
      </c>
      <c r="O6" s="18">
        <f>G6*(1-H6)*'BUNDLE DATA'!$E$12*'BUNDLE DENSITIES'!$G$8</f>
        <v>3.5723415074132947</v>
      </c>
      <c r="P6" s="18">
        <f>G6*(1-H6)*(1-'BUNDLE DATA'!$E$12)*'BUNDLE DENSITIES'!$G$8*'BUNDLE DENSITIES'!$G$15</f>
        <v>93.799505442335075</v>
      </c>
      <c r="Q6" s="18">
        <v>0</v>
      </c>
      <c r="R6" s="18">
        <v>0</v>
      </c>
      <c r="S6" s="18">
        <v>0</v>
      </c>
      <c r="T6" s="18">
        <v>0</v>
      </c>
      <c r="U6" s="18">
        <v>0</v>
      </c>
      <c r="V6" s="18">
        <v>0</v>
      </c>
      <c r="W6" s="18">
        <v>0</v>
      </c>
      <c r="X6" s="18">
        <v>0</v>
      </c>
      <c r="Y6" s="18">
        <f t="shared" si="1"/>
        <v>15.589233758721711</v>
      </c>
      <c r="Z6" s="18">
        <f t="shared" si="1"/>
        <v>100.65138314949199</v>
      </c>
      <c r="AA6" s="44">
        <f t="shared" ref="AA6:AA9" si="3">Y6+Z6</f>
        <v>116.2406169082137</v>
      </c>
    </row>
    <row r="7" spans="1:29" x14ac:dyDescent="0.3">
      <c r="A7" s="2" t="s">
        <v>308</v>
      </c>
      <c r="B7" s="2" t="s">
        <v>159</v>
      </c>
      <c r="C7" s="221" t="s">
        <v>307</v>
      </c>
      <c r="D7" s="221" t="s">
        <v>199</v>
      </c>
      <c r="E7" s="18">
        <f>IF(AND('FY VOLUME NONAUTO'!$H$13&lt;&gt;0,'FY VOLUME NONAUTO'!I10&lt;&gt;0),(10000*'FY VOLUME NONAUTO'!F10/'FY VOLUME NONAUTO'!$H$13)/'FY VOLUME NONAUTO'!I10,0)</f>
        <v>1.1896588245545632</v>
      </c>
      <c r="F7" s="18">
        <f>IF(AND('FY VOLUME NONAUTO'!$H$13&lt;&gt;0,'FY VOLUME NONAUTO'!J10&lt;&gt;0),(10000*'FY VOLUME NONAUTO'!G10/'FY VOLUME NONAUTO'!$H$13)/'FY VOLUME NONAUTO'!J10,0)</f>
        <v>191.80873395437368</v>
      </c>
      <c r="G7" s="18">
        <f t="shared" si="2"/>
        <v>192.99839277892823</v>
      </c>
      <c r="H7" s="331">
        <f>(E7*'BUNDLE DATA'!$D$8+'BUNDLE SORT'!F7*'BUNDLE DATA'!$D$12)/G7</f>
        <v>0.10296807891293284</v>
      </c>
      <c r="I7" s="18">
        <f>G7*'BUNDLE DATA'!$D$24*'BUNDLE DATA'!$C$24</f>
        <v>0</v>
      </c>
      <c r="J7" s="18">
        <f>G7*(1-'BUNDLE DATA'!$D$24)*'BUNDLE DATA'!$C$24</f>
        <v>192.99839277892823</v>
      </c>
      <c r="K7" s="18">
        <f>G7*H7</f>
        <v>19.87267373772989</v>
      </c>
      <c r="L7" s="18">
        <f>G7*(1-H7)*'BUNDLE DENSITIES'!$I$7</f>
        <v>9.9856242636411583</v>
      </c>
      <c r="M7" s="18">
        <f>G7*(1-$H7)*'BUNDLE DENSITIES'!$I$8*'BUNDLE DATA'!$D$32*'BUNDLE DATA'!$C$32</f>
        <v>162.13664522036112</v>
      </c>
      <c r="N7" s="18">
        <f>G7*(1-H7)*'BUNDLE DENSITIES'!$I$8*(1-'BUNDLE DATA'!$D$32)*'BUNDLE DATA'!$C$32</f>
        <v>0</v>
      </c>
      <c r="O7" s="18">
        <f>G7*(1-H7)*'BUNDLE DATA'!$E$12*'BUNDLE DENSITIES'!$I$8</f>
        <v>5.9484079406684831</v>
      </c>
      <c r="P7" s="18">
        <f>G7*(1-$H7)*(1-'BUNDLE DATA'!$E$12)*'BUNDLE DENSITIES'!$I$8*'BUNDLE DENSITIES'!$I$15</f>
        <v>60.788051377812245</v>
      </c>
      <c r="Q7" s="18">
        <f>(G7*(1-H7)*'BUNDLE DENSITIES'!$I$9+G7*(1-H7)*(1-'BUNDLE DATA'!$E$12)*'BUNDLE DENSITIES'!$I$8*'BUNDLE DENSITIES'!$I$16)*'BUNDLE DATA'!$D$38*'BUNDLE DATA'!$C$38</f>
        <v>93.70139394356697</v>
      </c>
      <c r="R7" s="18">
        <f>(G7*(1-H7)*'BUNDLE DENSITIES'!$I$9+G7*(1-H7)*(1-'BUNDLE DATA'!$E$12)*'BUNDLE DENSITIES'!$I$8*'BUNDLE DENSITIES'!$I$16)*(1-'BUNDLE DATA'!$D$38)*'BUNDLE DATA'!$C$38</f>
        <v>2.7022415155094981</v>
      </c>
      <c r="S7" s="18">
        <f>(G7*(1-H7)*'BUNDLE DATA'!$E$12*'BUNDLE DENSITIES'!$I$9+G7*(1-H7)*(1-'BUNDLE DATA'!$E$12)*'BUNDLE DATA'!$E$12*'BUNDLE DENSITIES'!$I$8*'BUNDLE DENSITIES'!$I$16)</f>
        <v>3.5368201302962858</v>
      </c>
      <c r="T7" s="18">
        <f>(G7*(1-H7)*(1-'BUNDLE DATA'!$E$12)*'BUNDLE DENSITIES'!$I$9+G7*(1-H7)*(1-'BUNDLE DATA'!$E$12)*(1-'BUNDLE DATA'!$E$12)*'BUNDLE DENSITIES'!$I$8*'BUNDLE DENSITIES'!$I$16)*'BUNDLE DENSITIES'!$I$22</f>
        <v>92.866815328780191</v>
      </c>
      <c r="U7" s="18">
        <v>0</v>
      </c>
      <c r="V7" s="18">
        <v>0</v>
      </c>
      <c r="W7" s="18">
        <v>0</v>
      </c>
      <c r="X7" s="18">
        <v>0</v>
      </c>
      <c r="Y7" s="18">
        <f t="shared" si="1"/>
        <v>29.357901808694656</v>
      </c>
      <c r="Z7" s="18">
        <f t="shared" si="1"/>
        <v>163.6404909702336</v>
      </c>
      <c r="AA7" s="44">
        <f t="shared" si="3"/>
        <v>192.99839277892826</v>
      </c>
    </row>
    <row r="8" spans="1:29" x14ac:dyDescent="0.3">
      <c r="A8" s="2" t="s">
        <v>308</v>
      </c>
      <c r="B8" s="2" t="s">
        <v>159</v>
      </c>
      <c r="C8" s="221" t="s">
        <v>307</v>
      </c>
      <c r="D8" s="221" t="s">
        <v>200</v>
      </c>
      <c r="E8" s="18">
        <f>IF(AND('FY VOLUME NONAUTO'!$H$13&lt;&gt;0,'FY VOLUME NONAUTO'!I11&lt;&gt;0),(10000*'FY VOLUME NONAUTO'!F11/'FY VOLUME NONAUTO'!$H$13)/'FY VOLUME NONAUTO'!I11,0)</f>
        <v>0.78726848218221179</v>
      </c>
      <c r="F8" s="18">
        <f>IF(AND('FY VOLUME NONAUTO'!$H$13&lt;&gt;0,'FY VOLUME NONAUTO'!J11&lt;&gt;0),(10000*'FY VOLUME NONAUTO'!G11/'FY VOLUME NONAUTO'!$H$13)/'FY VOLUME NONAUTO'!J11,0)</f>
        <v>29.762436855355539</v>
      </c>
      <c r="G8" s="18">
        <f t="shared" si="2"/>
        <v>30.549705337537752</v>
      </c>
      <c r="H8" s="331">
        <f>(E8*'BUNDLE DATA'!$D$8+'BUNDLE SORT'!F8*'BUNDLE DATA'!$D$12)/G8</f>
        <v>0.10105756765921803</v>
      </c>
      <c r="I8" s="18">
        <f>G8*'BUNDLE DATA'!$D$26</f>
        <v>0</v>
      </c>
      <c r="J8" s="18">
        <f>G8*(1-'BUNDLE DATA'!$D$26)</f>
        <v>30.549705337537752</v>
      </c>
      <c r="K8" s="18">
        <f>(I8+J8)*H8</f>
        <v>3.0872789141173955</v>
      </c>
      <c r="L8" s="18">
        <f>(I8+J8-K8)*'BUNDLE DENSITIES'!$K$10*(1-'COVERAGE FACTORS'!$E$44)</f>
        <v>1.6228471097704928</v>
      </c>
      <c r="M8" s="18">
        <f>(I8+J8-K8)*'BUNDLE DENSITIES'!$K$8*'BUNDLE DATA'!$D$34</f>
        <v>25.451293281917522</v>
      </c>
      <c r="N8" s="18">
        <f>(I8+J8-K8)*'BUNDLE DENSITIES'!$K$8*(1-'BUNDLE DATA'!$D$34)</f>
        <v>0</v>
      </c>
      <c r="O8" s="18">
        <f>SUM(M8:N8)*'BUNDLE DATA'!$E$8</f>
        <v>0.93374742552912082</v>
      </c>
      <c r="P8" s="18">
        <f>((M8-O8)*'BUNDLE DENSITIES'!$K$17)*(1-'COVERAGE FACTORS'!$E$44)</f>
        <v>2.2186119095013721</v>
      </c>
      <c r="Q8" s="18">
        <f>((I8+J8-K8)*'BUNDLE DENSITIES'!$K$9+(M8+N8-O8)*'BUNDLE DENSITIES'!$K$16)*'BUNDLE DATA'!$D$40</f>
        <v>22.028856412067793</v>
      </c>
      <c r="R8" s="18">
        <f>((I8+J8-K8)*'BUNDLE DENSITIES'!$K$9+(M8+N8-O8)*'BUNDLE DENSITIES'!$K$16)*(1-'BUNDLE DATA'!$D$40)</f>
        <v>0.63528713747565357</v>
      </c>
      <c r="S8" s="18">
        <f>(Q8+R8)*'BUNDLE DATA'!$E$8</f>
        <v>0.83149352988848257</v>
      </c>
      <c r="T8" s="18">
        <f>(Q8+R8-S8)*(1-'COVERAGE FACTORS'!$E$44)</f>
        <v>21.702279990332698</v>
      </c>
      <c r="U8" s="18">
        <f>((I8+J8-K8)*'BUNDLE DENSITIES'!$K$10*'COVERAGE FACTORS'!$E$44+(M8+N8-O8)*'BUNDLE DENSITIES'!$K$17*'COVERAGE FACTORS'!$E$44+(Q8+R8-S8)*'COVERAGE FACTORS'!$E$44)*'BUNDLE DATA'!$D$44</f>
        <v>1.5344645839819144E-3</v>
      </c>
      <c r="V8" s="18">
        <f>((I8+J8-K8)*'BUNDLE DENSITIES'!$K$10*'COVERAGE FACTORS'!$E$44+(M8+N8-O8)*'BUNDLE DENSITIES'!$K$17*'COVERAGE FACTORS'!$E$44+(Q8+R8-S8)*'COVERAGE FACTORS'!$E$44)*(1-'BUNDLE DATA'!$D$44)</f>
        <v>0.15191199381420953</v>
      </c>
      <c r="W8" s="18">
        <f>(U8+V8)*'BUNDLE DATA'!$E$8</f>
        <v>5.6295856520450155E-3</v>
      </c>
      <c r="X8" s="18">
        <f>(U8+V8)-W8</f>
        <v>0.14781687274614641</v>
      </c>
      <c r="Y8" s="18">
        <f t="shared" si="1"/>
        <v>4.8581494551870437</v>
      </c>
      <c r="Z8" s="18">
        <f t="shared" si="1"/>
        <v>25.691555882350713</v>
      </c>
      <c r="AA8" s="44">
        <f t="shared" si="3"/>
        <v>30.549705337537755</v>
      </c>
      <c r="AC8" s="397"/>
    </row>
    <row r="9" spans="1:29" x14ac:dyDescent="0.3">
      <c r="A9" s="2" t="s">
        <v>308</v>
      </c>
      <c r="B9" s="2" t="s">
        <v>159</v>
      </c>
      <c r="C9" s="221" t="s">
        <v>592</v>
      </c>
      <c r="D9" s="221" t="s">
        <v>307</v>
      </c>
      <c r="E9" s="18">
        <f>IF(AND('FY VOLUME NONAUTO'!$H$13&lt;&gt;0,'FY VOLUME NONAUTO'!I12&lt;&gt;0),(10000*'FY VOLUME NONAUTO'!F12/'FY VOLUME NONAUTO'!$H$13)/'FY VOLUME NONAUTO'!I12,0)</f>
        <v>10.50383547456256</v>
      </c>
      <c r="F9" s="18">
        <f>IF(AND('FY VOLUME NONAUTO'!$H$13&lt;&gt;0,'FY VOLUME NONAUTO'!J12&lt;&gt;0),(10000*'FY VOLUME NONAUTO'!G12/'FY VOLUME NONAUTO'!$H$13)/'FY VOLUME NONAUTO'!J12,0)</f>
        <v>4.8741727884151854E-2</v>
      </c>
      <c r="G9" s="18">
        <f t="shared" si="2"/>
        <v>10.552577202446713</v>
      </c>
      <c r="H9" s="236">
        <f>(E9*'BUNDLE DATA'!$D$8+'BUNDLE SORT'!F9*'BUNDLE DATA'!$D$12)/G9</f>
        <v>6.5735880281668933E-3</v>
      </c>
      <c r="I9" s="18">
        <f>G9*'BUNDLE DATA'!$D$20*'BUNDLE DATA'!$C$20</f>
        <v>0</v>
      </c>
      <c r="J9" s="18">
        <f>G9*(1-'BUNDLE DATA'!$D$20)*'BUNDLE DATA'!$C$20</f>
        <v>10.552577202446713</v>
      </c>
      <c r="K9" s="18">
        <f t="shared" si="0"/>
        <v>6.9368295164310603E-2</v>
      </c>
      <c r="L9" s="18">
        <f>(E9*(1-'BUNDLE DATA'!$D$8)+F9*(1-'BUNDLE DATA'!$D$12))*'BUNDLE DENSITIES'!$E$7</f>
        <v>10.483208907282402</v>
      </c>
      <c r="M9" s="18">
        <v>0</v>
      </c>
      <c r="N9" s="18">
        <v>0</v>
      </c>
      <c r="O9" s="18">
        <v>0</v>
      </c>
      <c r="P9" s="18">
        <v>0</v>
      </c>
      <c r="Q9" s="18">
        <v>0</v>
      </c>
      <c r="R9" s="18">
        <v>0</v>
      </c>
      <c r="S9" s="18">
        <v>0</v>
      </c>
      <c r="T9" s="18">
        <v>0</v>
      </c>
      <c r="U9" s="18">
        <v>0</v>
      </c>
      <c r="V9" s="18">
        <v>0</v>
      </c>
      <c r="W9" s="18">
        <v>0</v>
      </c>
      <c r="X9" s="18">
        <v>0</v>
      </c>
      <c r="Y9" s="18">
        <f t="shared" si="1"/>
        <v>6.9368295164310603E-2</v>
      </c>
      <c r="Z9" s="18">
        <f t="shared" si="1"/>
        <v>10.483208907282402</v>
      </c>
      <c r="AA9" s="44">
        <f t="shared" si="3"/>
        <v>10.552577202446711</v>
      </c>
    </row>
    <row r="10" spans="1:29" x14ac:dyDescent="0.3">
      <c r="A10" s="1" t="s">
        <v>3</v>
      </c>
      <c r="B10" s="1"/>
      <c r="C10" s="34"/>
      <c r="D10" s="34"/>
      <c r="E10" s="44">
        <f t="shared" ref="E10:AA10" si="4">SUM(E5:E9)</f>
        <v>89.526289643085121</v>
      </c>
      <c r="F10" s="44">
        <f t="shared" si="4"/>
        <v>597.6779127160662</v>
      </c>
      <c r="G10" s="44">
        <f t="shared" si="4"/>
        <v>687.20420235915128</v>
      </c>
      <c r="H10" s="44"/>
      <c r="I10" s="44">
        <f t="shared" si="4"/>
        <v>0</v>
      </c>
      <c r="J10" s="44">
        <f t="shared" si="4"/>
        <v>687.20420235915128</v>
      </c>
      <c r="K10" s="44">
        <f t="shared" si="4"/>
        <v>62.448961976305362</v>
      </c>
      <c r="L10" s="44">
        <f t="shared" si="4"/>
        <v>338.40371934189056</v>
      </c>
      <c r="M10" s="44">
        <f t="shared" si="4"/>
        <v>284.95978545202701</v>
      </c>
      <c r="N10" s="44">
        <f t="shared" si="4"/>
        <v>0</v>
      </c>
      <c r="O10" s="44">
        <f t="shared" si="4"/>
        <v>10.4544968736109</v>
      </c>
      <c r="P10" s="44">
        <f t="shared" si="4"/>
        <v>156.80616872964868</v>
      </c>
      <c r="Q10" s="44">
        <f t="shared" si="4"/>
        <v>115.73025035563477</v>
      </c>
      <c r="R10" s="44">
        <f t="shared" si="4"/>
        <v>3.3375286529851516</v>
      </c>
      <c r="S10" s="44">
        <f t="shared" si="4"/>
        <v>4.3683136601847687</v>
      </c>
      <c r="T10" s="44">
        <f t="shared" si="4"/>
        <v>114.56909531911289</v>
      </c>
      <c r="U10" s="44">
        <f t="shared" si="4"/>
        <v>1.5344645839819144E-3</v>
      </c>
      <c r="V10" s="44">
        <f t="shared" si="4"/>
        <v>0.15191199381420953</v>
      </c>
      <c r="W10" s="44">
        <f t="shared" si="4"/>
        <v>5.6295856520450155E-3</v>
      </c>
      <c r="X10" s="44">
        <f t="shared" si="4"/>
        <v>0.14781687274614641</v>
      </c>
      <c r="Y10" s="44">
        <f t="shared" si="4"/>
        <v>77.277402095753061</v>
      </c>
      <c r="Z10" s="44">
        <f t="shared" si="4"/>
        <v>609.92680026339826</v>
      </c>
      <c r="AA10" s="44">
        <f t="shared" si="4"/>
        <v>687.2042023591514</v>
      </c>
    </row>
    <row r="11" spans="1:29" ht="12.5" x14ac:dyDescent="0.25">
      <c r="AA11" s="18"/>
    </row>
    <row r="12" spans="1:29" x14ac:dyDescent="0.3">
      <c r="H12" s="44" t="s">
        <v>474</v>
      </c>
      <c r="I12" s="44" t="s">
        <v>315</v>
      </c>
      <c r="J12" s="44" t="s">
        <v>315</v>
      </c>
      <c r="M12" s="44" t="s">
        <v>316</v>
      </c>
      <c r="N12" s="44" t="s">
        <v>316</v>
      </c>
      <c r="Q12" s="44" t="s">
        <v>316</v>
      </c>
      <c r="R12" s="44" t="s">
        <v>316</v>
      </c>
      <c r="U12" s="44" t="s">
        <v>316</v>
      </c>
      <c r="V12" s="44" t="s">
        <v>316</v>
      </c>
      <c r="AA12" s="44" t="s">
        <v>3</v>
      </c>
    </row>
    <row r="13" spans="1:29" x14ac:dyDescent="0.3">
      <c r="C13" s="1" t="s">
        <v>189</v>
      </c>
      <c r="E13" s="44" t="s">
        <v>187</v>
      </c>
      <c r="F13" s="44" t="s">
        <v>188</v>
      </c>
      <c r="G13" s="44" t="s">
        <v>3</v>
      </c>
      <c r="H13" s="44" t="s">
        <v>201</v>
      </c>
      <c r="I13" s="44" t="s">
        <v>317</v>
      </c>
      <c r="J13" s="44" t="s">
        <v>317</v>
      </c>
      <c r="M13" s="44" t="s">
        <v>164</v>
      </c>
      <c r="N13" s="44" t="s">
        <v>164</v>
      </c>
      <c r="Q13" s="44" t="s">
        <v>317</v>
      </c>
      <c r="R13" s="44" t="s">
        <v>317</v>
      </c>
      <c r="U13" s="44" t="s">
        <v>318</v>
      </c>
      <c r="V13" s="44" t="s">
        <v>318</v>
      </c>
      <c r="Y13" s="44" t="s">
        <v>3</v>
      </c>
      <c r="Z13" s="44" t="s">
        <v>3</v>
      </c>
      <c r="AA13" s="44" t="s">
        <v>251</v>
      </c>
    </row>
    <row r="14" spans="1:29" x14ac:dyDescent="0.3">
      <c r="A14" s="36" t="s">
        <v>14</v>
      </c>
      <c r="B14" s="36" t="s">
        <v>191</v>
      </c>
      <c r="C14" s="55" t="s">
        <v>190</v>
      </c>
      <c r="D14" s="55" t="s">
        <v>319</v>
      </c>
      <c r="E14" s="225" t="s">
        <v>251</v>
      </c>
      <c r="F14" s="225" t="s">
        <v>251</v>
      </c>
      <c r="G14" s="225" t="s">
        <v>251</v>
      </c>
      <c r="H14" s="225" t="s">
        <v>203</v>
      </c>
      <c r="I14" s="225" t="s">
        <v>192</v>
      </c>
      <c r="J14" s="225" t="s">
        <v>193</v>
      </c>
      <c r="K14" s="225" t="s">
        <v>194</v>
      </c>
      <c r="L14" s="225" t="s">
        <v>195</v>
      </c>
      <c r="M14" s="225" t="s">
        <v>192</v>
      </c>
      <c r="N14" s="225" t="s">
        <v>193</v>
      </c>
      <c r="O14" s="225" t="s">
        <v>194</v>
      </c>
      <c r="P14" s="225" t="s">
        <v>195</v>
      </c>
      <c r="Q14" s="225" t="s">
        <v>192</v>
      </c>
      <c r="R14" s="225" t="s">
        <v>193</v>
      </c>
      <c r="S14" s="225" t="s">
        <v>194</v>
      </c>
      <c r="T14" s="225" t="s">
        <v>195</v>
      </c>
      <c r="U14" s="225" t="s">
        <v>192</v>
      </c>
      <c r="V14" s="225" t="s">
        <v>193</v>
      </c>
      <c r="W14" s="225" t="s">
        <v>194</v>
      </c>
      <c r="X14" s="225" t="s">
        <v>195</v>
      </c>
      <c r="Y14" s="225" t="s">
        <v>194</v>
      </c>
      <c r="Z14" s="225" t="s">
        <v>195</v>
      </c>
      <c r="AA14" s="225" t="s">
        <v>196</v>
      </c>
    </row>
    <row r="15" spans="1:29" s="155" customFormat="1" x14ac:dyDescent="0.3">
      <c r="A15" s="155" t="s">
        <v>308</v>
      </c>
      <c r="B15" s="155" t="s">
        <v>159</v>
      </c>
      <c r="C15" s="306" t="s">
        <v>307</v>
      </c>
      <c r="D15" s="306" t="s">
        <v>198</v>
      </c>
      <c r="E15" s="18">
        <f>IF(AND('FY VOLUME NONAUTO'!$H$25&lt;&gt;0,'FY VOLUME NONAUTO'!I18&lt;&gt;0),(10000*'FY VOLUME NONAUTO'!F18/'FY VOLUME NONAUTO'!$H$25)/'FY VOLUME NONAUTO'!I18,0)</f>
        <v>139.01437769154163</v>
      </c>
      <c r="F15" s="18">
        <f>IF(AND('FY VOLUME NONAUTO'!$H$25&lt;&gt;0,'FY VOLUME NONAUTO'!J18&lt;&gt;0),(10000*'FY VOLUME NONAUTO'!G18/'FY VOLUME NONAUTO'!$H$25)/'FY VOLUME NONAUTO'!J18,0)</f>
        <v>0</v>
      </c>
      <c r="G15" s="18">
        <f t="shared" ref="G15" si="5">E15+F15</f>
        <v>139.01437769154163</v>
      </c>
      <c r="H15" s="236">
        <f>(E15*'BUNDLE DATA'!$D$8+'BUNDLE SORT'!F15*'BUNDLE DATA'!$D$12)/G15</f>
        <v>6.1234942212081587E-3</v>
      </c>
      <c r="I15" s="18">
        <f>G15*'BUNDLE DATA'!$D$22*'BUNDLE DATA'!$C$22</f>
        <v>0</v>
      </c>
      <c r="J15" s="18">
        <f>G15*(1-'BUNDLE DATA'!$D$22)*'BUNDLE DATA'!$C$22</f>
        <v>139.01437769154163</v>
      </c>
      <c r="K15" s="18">
        <f t="shared" ref="K15" si="6">G15*H15</f>
        <v>0.85125373845900354</v>
      </c>
      <c r="L15" s="18">
        <f>(I15+J15-K15)*'BUNDLE DENSITIES'!$G$7</f>
        <v>9.0831222169583281</v>
      </c>
      <c r="M15" s="18">
        <f>(I15+J15-K15)*'BUNDLE DENSITIES'!$G$8*'BUNDLE DATA'!$D$30*'BUNDLE DATA'!$C$30</f>
        <v>129.0800017361243</v>
      </c>
      <c r="N15" s="18">
        <f>(I15+J15-K15)*'BUNDLE DENSITIES'!$G$8*(1-'BUNDLE DATA'!$D$30)*'BUNDLE DATA'!$C$30</f>
        <v>0</v>
      </c>
      <c r="O15" s="18">
        <f>G15*(1-$H$15)*'BUNDLE DATA'!$E$12*'BUNDLE DENSITIES'!$G$8</f>
        <v>4.7356383022796162</v>
      </c>
      <c r="P15" s="18">
        <f>G15*(1-$H$15)*(1-'BUNDLE DATA'!$E$12)*'BUNDLE DENSITIES'!$G$8*'BUNDLE DENSITIES'!$G$15</f>
        <v>124.34436343384466</v>
      </c>
      <c r="Q15" s="18">
        <v>0</v>
      </c>
      <c r="R15" s="18">
        <v>0</v>
      </c>
      <c r="S15" s="18">
        <v>0</v>
      </c>
      <c r="T15" s="18">
        <v>0</v>
      </c>
      <c r="U15" s="18">
        <v>0</v>
      </c>
      <c r="V15" s="18">
        <v>0</v>
      </c>
      <c r="W15" s="18">
        <v>0</v>
      </c>
      <c r="X15" s="18">
        <v>0</v>
      </c>
      <c r="Y15" s="18">
        <f>K15+O15+S15+W15</f>
        <v>5.5868920407386202</v>
      </c>
      <c r="Z15" s="18">
        <f>L15+P15+T15+X15</f>
        <v>133.42748565080299</v>
      </c>
      <c r="AA15" s="44">
        <f>Y15+Z15</f>
        <v>139.01437769154163</v>
      </c>
      <c r="AB15"/>
    </row>
    <row r="16" spans="1:29" x14ac:dyDescent="0.3">
      <c r="A16" s="2" t="s">
        <v>308</v>
      </c>
      <c r="B16" s="2" t="s">
        <v>159</v>
      </c>
      <c r="C16" s="221" t="s">
        <v>592</v>
      </c>
      <c r="D16" s="221" t="s">
        <v>198</v>
      </c>
      <c r="E16" s="18">
        <f>IF(AND('FY VOLUME NONAUTO'!$H$25&lt;&gt;0,'FY VOLUME NONAUTO'!I19&lt;&gt;0),(10000*'FY VOLUME NONAUTO'!F19/'FY VOLUME NONAUTO'!$H$25)/'FY VOLUME NONAUTO'!I19,0)</f>
        <v>38.700577643506939</v>
      </c>
      <c r="F16" s="18">
        <f>IF(AND('FY VOLUME NONAUTO'!$H$25&lt;&gt;0,'FY VOLUME NONAUTO'!J19&lt;&gt;0),(10000*'FY VOLUME NONAUTO'!G19/'FY VOLUME NONAUTO'!$H$25)/'FY VOLUME NONAUTO'!J19,0)</f>
        <v>26.762136399721328</v>
      </c>
      <c r="G16" s="18">
        <f t="shared" ref="G16:G21" si="7">E16+F16</f>
        <v>65.46271404322826</v>
      </c>
      <c r="H16" s="236">
        <f>(E16*'BUNDLE DATA'!$D$8+'BUNDLE SORT'!F16*'BUNDLE DATA'!$D$12)/G16</f>
        <v>4.596056778689523E-2</v>
      </c>
      <c r="I16" s="18">
        <v>0</v>
      </c>
      <c r="J16" s="18">
        <v>0</v>
      </c>
      <c r="K16" s="18">
        <v>0</v>
      </c>
      <c r="L16" s="18">
        <v>0</v>
      </c>
      <c r="M16" s="18">
        <f>G16*'BUNDLE DATA'!$D$30*'BUNDLE DATA'!$C$30</f>
        <v>65.46271404322826</v>
      </c>
      <c r="N16" s="18">
        <f>G16*(1-'BUNDLE DATA'!$D$30)*'BUNDLE DATA'!$C$30</f>
        <v>0</v>
      </c>
      <c r="O16" s="18">
        <f>G16*H16</f>
        <v>3.0087035062979308</v>
      </c>
      <c r="P16" s="18">
        <f>(E16*(1-'BUNDLE DATA'!$D$8)+F16*(1-'BUNDLE DATA'!$D$12))*'BUNDLE DENSITIES'!$G$15</f>
        <v>62.454010536930333</v>
      </c>
      <c r="Q16" s="18">
        <v>0</v>
      </c>
      <c r="R16" s="18">
        <v>0</v>
      </c>
      <c r="S16" s="18">
        <v>0</v>
      </c>
      <c r="T16" s="18">
        <v>0</v>
      </c>
      <c r="U16" s="18">
        <v>0</v>
      </c>
      <c r="V16" s="18">
        <v>0</v>
      </c>
      <c r="W16" s="18">
        <v>0</v>
      </c>
      <c r="X16" s="18">
        <v>0</v>
      </c>
      <c r="Y16" s="18">
        <f>K16+O16+S16+W16</f>
        <v>3.0087035062979308</v>
      </c>
      <c r="Z16" s="18">
        <f>L16+P16+T16+X16</f>
        <v>62.454010536930333</v>
      </c>
      <c r="AA16" s="44">
        <f>Y16+Z16</f>
        <v>65.46271404322826</v>
      </c>
    </row>
    <row r="17" spans="1:28" x14ac:dyDescent="0.3">
      <c r="A17" s="2" t="s">
        <v>308</v>
      </c>
      <c r="B17" s="2" t="s">
        <v>159</v>
      </c>
      <c r="C17" s="221" t="s">
        <v>592</v>
      </c>
      <c r="D17" s="221" t="s">
        <v>199</v>
      </c>
      <c r="E17" s="18">
        <f>IF(AND('FY VOLUME NONAUTO'!$H$25&lt;&gt;0,'FY VOLUME NONAUTO'!I20&lt;&gt;0),(10000*'FY VOLUME NONAUTO'!F20/'FY VOLUME NONAUTO'!$H$25)/'FY VOLUME NONAUTO'!I20,0)</f>
        <v>0</v>
      </c>
      <c r="F17" s="18">
        <f>IF(AND('FY VOLUME NONAUTO'!$H$25&lt;&gt;0,'FY VOLUME NONAUTO'!J20&lt;&gt;0),(10000*'FY VOLUME NONAUTO'!G20/'FY VOLUME NONAUTO'!$H$25)/'FY VOLUME NONAUTO'!J20,0)</f>
        <v>214.71720636536421</v>
      </c>
      <c r="G17" s="18">
        <f t="shared" si="7"/>
        <v>214.71720636536421</v>
      </c>
      <c r="H17" s="236">
        <f>(E17*'BUNDLE DATA'!$D$8+'BUNDLE SORT'!F17*'BUNDLE DATA'!$D$12)/G17</f>
        <v>0.10356873985476585</v>
      </c>
      <c r="I17" s="18">
        <v>0</v>
      </c>
      <c r="J17" s="18">
        <v>0</v>
      </c>
      <c r="K17" s="18">
        <v>0</v>
      </c>
      <c r="L17" s="18">
        <v>0</v>
      </c>
      <c r="M17" s="18">
        <f>G17*'BUNDLE DATA'!$D$32*'BUNDLE DATA'!$C$32</f>
        <v>214.71720636536421</v>
      </c>
      <c r="N17" s="18">
        <f>G17*(1-'BUNDLE DATA'!$D$32)*'BUNDLE DATA'!$C$32</f>
        <v>0</v>
      </c>
      <c r="O17" s="18">
        <f>G17*H17</f>
        <v>22.237990488396481</v>
      </c>
      <c r="P17" s="18">
        <f>F17*(1-'BUNDLE DATA'!$D$12)*'BUNDLE DENSITIES'!$I$15</f>
        <v>74.912404849909919</v>
      </c>
      <c r="Q17" s="18">
        <f>F17*(1-'BUNDLE DATA'!$D$12)*'BUNDLE DENSITIES'!$I$16*'BUNDLE DATA'!$D$38*'BUNDLE DATA'!$C$38</f>
        <v>114.27135524792136</v>
      </c>
      <c r="R17" s="18">
        <f>F17*(1-'BUNDLE DATA'!$D$12)*'BUNDLE DENSITIES'!$I$16*(1-'BUNDLE DATA'!$D$38)*'BUNDLE DATA'!$C$38</f>
        <v>3.2954557791364323</v>
      </c>
      <c r="S17" s="18">
        <f>F17*(1-'BUNDLE DATA'!$D$12)*'BUNDLE DATA'!$E$12*'BUNDLE DENSITIES'!$I$16</f>
        <v>4.3132467143497992</v>
      </c>
      <c r="T17" s="18">
        <f>F17*(1-'BUNDLE DATA'!$D$12)*(1-'BUNDLE DATA'!$E$12)*'BUNDLE DENSITIES'!$I$16*'BUNDLE DENSITIES'!$I$22</f>
        <v>113.25356431270799</v>
      </c>
      <c r="U17" s="18">
        <v>0</v>
      </c>
      <c r="V17" s="18">
        <v>0</v>
      </c>
      <c r="W17" s="18">
        <v>0</v>
      </c>
      <c r="X17" s="18">
        <v>0</v>
      </c>
      <c r="Y17" s="18">
        <f t="shared" ref="Y17:Z21" si="8">K17+O17+S17+W17</f>
        <v>26.551237202746279</v>
      </c>
      <c r="Z17" s="18">
        <f t="shared" si="8"/>
        <v>188.1659691626179</v>
      </c>
      <c r="AA17" s="44">
        <f t="shared" ref="AA17:AA21" si="9">Y17+Z17</f>
        <v>214.71720636536418</v>
      </c>
    </row>
    <row r="18" spans="1:28" x14ac:dyDescent="0.3">
      <c r="A18" s="2" t="s">
        <v>308</v>
      </c>
      <c r="B18" s="2" t="s">
        <v>159</v>
      </c>
      <c r="C18" s="221" t="s">
        <v>592</v>
      </c>
      <c r="D18" s="221" t="s">
        <v>200</v>
      </c>
      <c r="E18" s="18">
        <f>IF(AND('FY VOLUME NONAUTO'!$H$25&lt;&gt;0,'FY VOLUME NONAUTO'!I21&lt;&gt;0),(10000*'FY VOLUME NONAUTO'!F21/'FY VOLUME NONAUTO'!$H$25)/'FY VOLUME NONAUTO'!I21,0)</f>
        <v>0</v>
      </c>
      <c r="F18" s="18">
        <f>IF(AND('FY VOLUME NONAUTO'!$H$25&lt;&gt;0,'FY VOLUME NONAUTO'!J21&lt;&gt;0),(10000*'FY VOLUME NONAUTO'!G21/'FY VOLUME NONAUTO'!$H$25)/'FY VOLUME NONAUTO'!J21,0)</f>
        <v>90.453850485125699</v>
      </c>
      <c r="G18" s="18">
        <f t="shared" si="7"/>
        <v>90.453850485125699</v>
      </c>
      <c r="H18" s="236">
        <f>(E18*'BUNDLE DATA'!$D$8+'BUNDLE SORT'!F18*'BUNDLE DATA'!$D$12)/G18</f>
        <v>0.10356873985476586</v>
      </c>
      <c r="I18" s="18">
        <v>0</v>
      </c>
      <c r="J18" s="18">
        <v>0</v>
      </c>
      <c r="K18" s="18">
        <v>0</v>
      </c>
      <c r="L18" s="18">
        <v>0</v>
      </c>
      <c r="M18" s="18">
        <f>G18*'BUNDLE DATA'!$D$34</f>
        <v>90.453850485125699</v>
      </c>
      <c r="N18" s="18">
        <f>G18*(1-'BUNDLE DATA'!$D$34)</f>
        <v>0</v>
      </c>
      <c r="O18" s="18">
        <f>G18*H18</f>
        <v>9.3681913097558702</v>
      </c>
      <c r="P18" s="18">
        <f>((M18-O18)*'BUNDLE DENSITIES'!$K$17)*(1-'COVERAGE FACTORS'!$E$44)</f>
        <v>7.33750474823196</v>
      </c>
      <c r="Q18" s="18">
        <f>((M18+N18-O18)*'BUNDLE DENSITIES'!$K$16)*'BUNDLE DATA'!$D$40</f>
        <v>71.638114869527911</v>
      </c>
      <c r="R18" s="18">
        <f>((M18-O18)*'BUNDLE DENSITIES'!$K$16)*(1-'BUNDLE DATA'!$D$40)</f>
        <v>2.0659616676552868</v>
      </c>
      <c r="S18" s="18">
        <f>(Q18+R18)*'BUNDLE DATA'!$E$8</f>
        <v>2.7040272946165609</v>
      </c>
      <c r="T18" s="18">
        <f>(Q18+R18-S18)*(1-'COVERAGE FACTORS'!$E$44)</f>
        <v>70.57608428671827</v>
      </c>
      <c r="U18" s="18">
        <f>((M18+N18-O18)*'BUNDLE DENSITIES'!$K$17*'COVERAGE FACTORS'!$E$44+('BUNDLE SORT'!$Q18+'BUNDLE SORT'!$R18-'BUNDLE SORT'!$S18)*'COVERAGE FACTORS'!$E$44)*'BUNDLE DATA'!$D$44</f>
        <v>4.6804284580303328E-3</v>
      </c>
      <c r="V18" s="18">
        <f>((M18+N18-O18)*'BUNDLE DENSITIES'!$K$17*'COVERAGE FACTORS'!$E$44+(Q18+R18-S18)*'COVERAGE FACTORS'!$E$44)*(1-'BUNDLE DATA'!$D$44)</f>
        <v>0.46336241734500289</v>
      </c>
      <c r="W18" s="18">
        <f>(U18+V18)*'BUNDLE DATA'!$E$8</f>
        <v>1.7171378973358756E-2</v>
      </c>
      <c r="X18" s="18">
        <f>(U18+V18)-W18</f>
        <v>0.45087146682967449</v>
      </c>
      <c r="Y18" s="18">
        <f t="shared" si="8"/>
        <v>12.089389983345789</v>
      </c>
      <c r="Z18" s="18">
        <f t="shared" si="8"/>
        <v>78.364460501779902</v>
      </c>
      <c r="AA18" s="44">
        <f t="shared" si="9"/>
        <v>90.453850485125685</v>
      </c>
    </row>
    <row r="19" spans="1:28" x14ac:dyDescent="0.3">
      <c r="A19" s="224" t="s">
        <v>308</v>
      </c>
      <c r="B19" s="224" t="s">
        <v>159</v>
      </c>
      <c r="C19" s="307" t="s">
        <v>199</v>
      </c>
      <c r="D19" s="307" t="s">
        <v>198</v>
      </c>
      <c r="E19" s="18">
        <f>IF(AND('FY VOLUME NONAUTO'!$H$25&lt;&gt;0,'FY VOLUME NONAUTO'!I22&lt;&gt;0),(10000*'FY VOLUME NONAUTO'!F22/'FY VOLUME NONAUTO'!$H$25)/'FY VOLUME NONAUTO'!I22,0)</f>
        <v>1.2584654450688275</v>
      </c>
      <c r="F19" s="18">
        <f>IF(AND('FY VOLUME NONAUTO'!$H$25&lt;&gt;0,'FY VOLUME NONAUTO'!J22&lt;&gt;0),(10000*'FY VOLUME NONAUTO'!G22/'FY VOLUME NONAUTO'!$H$25)/'FY VOLUME NONAUTO'!J22,0)</f>
        <v>0</v>
      </c>
      <c r="G19" s="18">
        <f t="shared" ref="G19" si="10">E19+F19</f>
        <v>1.2584654450688275</v>
      </c>
      <c r="H19" s="236">
        <f>(E19*'BUNDLE DATA'!$D$8+'BUNDLE SORT'!F19*'BUNDLE DATA'!$D$12)/G19</f>
        <v>6.1234942212081587E-3</v>
      </c>
      <c r="I19" s="18">
        <v>0</v>
      </c>
      <c r="J19" s="18">
        <v>0</v>
      </c>
      <c r="K19" s="18">
        <v>0</v>
      </c>
      <c r="L19" s="18">
        <v>0</v>
      </c>
      <c r="M19" s="18">
        <v>0</v>
      </c>
      <c r="N19" s="18">
        <v>0</v>
      </c>
      <c r="O19" s="18">
        <v>0</v>
      </c>
      <c r="P19" s="18">
        <v>0</v>
      </c>
      <c r="Q19" s="18">
        <f>G19*'BUNDLE DATA'!$D$38*'BUNDLE DATA'!$C$38</f>
        <v>1.2231900370896054</v>
      </c>
      <c r="R19" s="18">
        <f>G19*(1-'BUNDLE DATA'!$D$38)*'BUNDLE DATA'!$C$38</f>
        <v>3.5275407979222087E-2</v>
      </c>
      <c r="S19" s="18">
        <f>G19*H19</f>
        <v>7.7062058804691184E-3</v>
      </c>
      <c r="T19" s="18">
        <f>(Q19+R19-S19)*'BUNDLE DENSITIES'!$I$22</f>
        <v>1.2507592391883584</v>
      </c>
      <c r="U19" s="18">
        <v>0</v>
      </c>
      <c r="V19" s="18">
        <v>0</v>
      </c>
      <c r="W19" s="18">
        <v>0</v>
      </c>
      <c r="X19" s="18">
        <v>0</v>
      </c>
      <c r="Y19" s="18">
        <f t="shared" ref="Y19" si="11">K19+O19+S19+W19</f>
        <v>7.7062058804691184E-3</v>
      </c>
      <c r="Z19" s="18">
        <f t="shared" ref="Z19" si="12">L19+P19+T19+X19</f>
        <v>1.2507592391883584</v>
      </c>
      <c r="AA19" s="44">
        <f t="shared" ref="AA19" si="13">Y19+Z19</f>
        <v>1.2584654450688275</v>
      </c>
    </row>
    <row r="20" spans="1:28" x14ac:dyDescent="0.3">
      <c r="A20" s="2" t="s">
        <v>308</v>
      </c>
      <c r="B20" s="2" t="s">
        <v>159</v>
      </c>
      <c r="C20" s="169" t="s">
        <v>199</v>
      </c>
      <c r="D20" s="221" t="s">
        <v>199</v>
      </c>
      <c r="E20" s="18">
        <f>IF(AND('FY VOLUME NONAUTO'!$H$25&lt;&gt;0,'FY VOLUME NONAUTO'!I23&lt;&gt;0),(10000*'FY VOLUME NONAUTO'!F23/'FY VOLUME NONAUTO'!$H$25)/'FY VOLUME NONAUTO'!I23,0)</f>
        <v>0</v>
      </c>
      <c r="F20" s="18">
        <v>0</v>
      </c>
      <c r="G20" s="18">
        <f t="shared" si="7"/>
        <v>0</v>
      </c>
      <c r="H20" s="236">
        <v>0</v>
      </c>
      <c r="I20" s="18">
        <v>0</v>
      </c>
      <c r="J20" s="18">
        <v>0</v>
      </c>
      <c r="K20" s="18">
        <v>0</v>
      </c>
      <c r="L20" s="18">
        <v>0</v>
      </c>
      <c r="M20" s="18">
        <v>0</v>
      </c>
      <c r="N20" s="18">
        <v>0</v>
      </c>
      <c r="O20" s="18">
        <v>0</v>
      </c>
      <c r="P20" s="18">
        <v>0</v>
      </c>
      <c r="Q20" s="18">
        <f>G20*'BUNDLE DATA'!$D$38*'BUNDLE DATA'!$C$38</f>
        <v>0</v>
      </c>
      <c r="R20" s="18">
        <f>G20*(1-'BUNDLE DATA'!$D$38)*'BUNDLE DATA'!$C$38</f>
        <v>0</v>
      </c>
      <c r="S20" s="18">
        <f>G20*H20</f>
        <v>0</v>
      </c>
      <c r="T20" s="18">
        <f>F20*(1-'BUNDLE DATA'!$D$12)*'BUNDLE DENSITIES'!$I$22</f>
        <v>0</v>
      </c>
      <c r="U20" s="18">
        <v>0</v>
      </c>
      <c r="V20" s="18">
        <v>0</v>
      </c>
      <c r="W20" s="18">
        <v>0</v>
      </c>
      <c r="X20" s="18">
        <v>0</v>
      </c>
      <c r="Y20" s="18">
        <f t="shared" si="8"/>
        <v>0</v>
      </c>
      <c r="Z20" s="18">
        <f t="shared" si="8"/>
        <v>0</v>
      </c>
      <c r="AA20" s="44">
        <f t="shared" si="9"/>
        <v>0</v>
      </c>
    </row>
    <row r="21" spans="1:28" x14ac:dyDescent="0.3">
      <c r="A21" s="2" t="s">
        <v>308</v>
      </c>
      <c r="B21" s="2" t="s">
        <v>159</v>
      </c>
      <c r="C21" s="169" t="s">
        <v>199</v>
      </c>
      <c r="D21" s="221" t="s">
        <v>200</v>
      </c>
      <c r="E21" s="18">
        <f>IF(AND('FY VOLUME NONAUTO'!$H$25&lt;&gt;0,'FY VOLUME NONAUTO'!I24&lt;&gt;0),(10000*'FY VOLUME NONAUTO'!F24/'FY VOLUME NONAUTO'!$H$25)/'FY VOLUME NONAUTO'!I24,0)</f>
        <v>0</v>
      </c>
      <c r="F21" s="18">
        <v>0</v>
      </c>
      <c r="G21" s="18">
        <f t="shared" si="7"/>
        <v>0</v>
      </c>
      <c r="H21" s="236">
        <v>0</v>
      </c>
      <c r="I21" s="18">
        <v>0</v>
      </c>
      <c r="J21" s="18">
        <v>0</v>
      </c>
      <c r="K21" s="18">
        <v>0</v>
      </c>
      <c r="L21" s="18">
        <v>0</v>
      </c>
      <c r="M21" s="18">
        <v>0</v>
      </c>
      <c r="N21" s="18">
        <v>0</v>
      </c>
      <c r="O21" s="18">
        <v>0</v>
      </c>
      <c r="P21" s="18">
        <v>0</v>
      </c>
      <c r="Q21" s="18">
        <f>G21*'BUNDLE DATA'!$D$40*'BUNDLE DATA'!$C$40</f>
        <v>0</v>
      </c>
      <c r="R21" s="18">
        <f>G21*(1-'BUNDLE DATA'!$D$40)*'BUNDLE DATA'!$C$40</f>
        <v>0</v>
      </c>
      <c r="S21" s="18">
        <v>0</v>
      </c>
      <c r="T21" s="18">
        <f>(Q21+R21-S21)*(1-'COVERAGE FACTORS'!$E$44)</f>
        <v>0</v>
      </c>
      <c r="U21" s="18">
        <f>($G21-SUM($K21,$L21,$O21,$P21,$S21,$T21))*'BUNDLE DATA'!$D$44</f>
        <v>0</v>
      </c>
      <c r="V21" s="18">
        <f>($G21-SUM($K21,$L21,$O21,$P21,$S21,$T21))*(1-'BUNDLE DATA'!$D$44)</f>
        <v>0</v>
      </c>
      <c r="W21" s="18">
        <f>(U21+V21)*'BUNDLE DATA'!$E$8</f>
        <v>0</v>
      </c>
      <c r="X21" s="18">
        <f>U21+V21-W21</f>
        <v>0</v>
      </c>
      <c r="Y21" s="18">
        <f t="shared" si="8"/>
        <v>0</v>
      </c>
      <c r="Z21" s="18">
        <f t="shared" si="8"/>
        <v>0</v>
      </c>
      <c r="AA21" s="44">
        <f t="shared" si="9"/>
        <v>0</v>
      </c>
    </row>
    <row r="22" spans="1:28" s="24" customFormat="1" x14ac:dyDescent="0.3">
      <c r="A22" s="24" t="s">
        <v>3</v>
      </c>
      <c r="C22" s="23"/>
      <c r="D22" s="23"/>
      <c r="E22" s="44">
        <f>SUM(E15:E21)</f>
        <v>178.97342078011738</v>
      </c>
      <c r="F22" s="44">
        <f t="shared" ref="F22:AA22" si="14">SUM(F15:F21)</f>
        <v>331.93319325021122</v>
      </c>
      <c r="G22" s="44">
        <f t="shared" si="14"/>
        <v>510.90661403032868</v>
      </c>
      <c r="H22" s="44">
        <f t="shared" si="14"/>
        <v>0.26534503593884329</v>
      </c>
      <c r="I22" s="44">
        <f t="shared" si="14"/>
        <v>0</v>
      </c>
      <c r="J22" s="44">
        <f t="shared" si="14"/>
        <v>139.01437769154163</v>
      </c>
      <c r="K22" s="44">
        <f t="shared" si="14"/>
        <v>0.85125373845900354</v>
      </c>
      <c r="L22" s="44">
        <f t="shared" si="14"/>
        <v>9.0831222169583281</v>
      </c>
      <c r="M22" s="44">
        <f t="shared" si="14"/>
        <v>499.71377262984248</v>
      </c>
      <c r="N22" s="44">
        <f t="shared" si="14"/>
        <v>0</v>
      </c>
      <c r="O22" s="44">
        <f t="shared" si="14"/>
        <v>39.350523606729901</v>
      </c>
      <c r="P22" s="44">
        <f t="shared" si="14"/>
        <v>269.04828356891687</v>
      </c>
      <c r="Q22" s="44">
        <f t="shared" si="14"/>
        <v>187.13266015453888</v>
      </c>
      <c r="R22" s="44">
        <f t="shared" si="14"/>
        <v>5.3966928547709418</v>
      </c>
      <c r="S22" s="44">
        <f t="shared" si="14"/>
        <v>7.0249802148468294</v>
      </c>
      <c r="T22" s="44">
        <f t="shared" si="14"/>
        <v>185.08040783861463</v>
      </c>
      <c r="U22" s="44">
        <f t="shared" si="14"/>
        <v>4.6804284580303328E-3</v>
      </c>
      <c r="V22" s="44">
        <f t="shared" si="14"/>
        <v>0.46336241734500289</v>
      </c>
      <c r="W22" s="44">
        <f t="shared" si="14"/>
        <v>1.7171378973358756E-2</v>
      </c>
      <c r="X22" s="44">
        <f t="shared" si="14"/>
        <v>0.45087146682967449</v>
      </c>
      <c r="Y22" s="44">
        <f t="shared" si="14"/>
        <v>47.243928939009088</v>
      </c>
      <c r="Z22" s="44">
        <f t="shared" si="14"/>
        <v>463.66268509131947</v>
      </c>
      <c r="AA22" s="44">
        <f t="shared" si="14"/>
        <v>510.90661403032857</v>
      </c>
      <c r="AB22"/>
    </row>
    <row r="23" spans="1:28" x14ac:dyDescent="0.3">
      <c r="C23" s="33"/>
      <c r="D23" s="33"/>
    </row>
    <row r="24" spans="1:28" x14ac:dyDescent="0.3">
      <c r="H24" s="44" t="s">
        <v>474</v>
      </c>
      <c r="I24" s="44" t="s">
        <v>315</v>
      </c>
      <c r="J24" s="44" t="s">
        <v>315</v>
      </c>
      <c r="M24" s="44" t="s">
        <v>316</v>
      </c>
      <c r="N24" s="44" t="s">
        <v>316</v>
      </c>
      <c r="Q24" s="44" t="s">
        <v>316</v>
      </c>
      <c r="R24" s="44" t="s">
        <v>316</v>
      </c>
      <c r="U24" s="44" t="s">
        <v>316</v>
      </c>
      <c r="V24" s="44" t="s">
        <v>316</v>
      </c>
      <c r="AA24" s="44" t="s">
        <v>3</v>
      </c>
    </row>
    <row r="25" spans="1:28" x14ac:dyDescent="0.3">
      <c r="C25" s="1" t="s">
        <v>189</v>
      </c>
      <c r="E25" s="44" t="s">
        <v>187</v>
      </c>
      <c r="F25" s="44" t="s">
        <v>188</v>
      </c>
      <c r="G25" s="44" t="s">
        <v>3</v>
      </c>
      <c r="H25" s="44" t="s">
        <v>201</v>
      </c>
      <c r="I25" s="44" t="s">
        <v>317</v>
      </c>
      <c r="J25" s="44" t="s">
        <v>317</v>
      </c>
      <c r="M25" s="44" t="s">
        <v>164</v>
      </c>
      <c r="N25" s="44" t="s">
        <v>164</v>
      </c>
      <c r="Q25" s="44" t="s">
        <v>317</v>
      </c>
      <c r="R25" s="44" t="s">
        <v>317</v>
      </c>
      <c r="U25" s="44" t="s">
        <v>318</v>
      </c>
      <c r="V25" s="44" t="s">
        <v>318</v>
      </c>
      <c r="Y25" s="44" t="s">
        <v>3</v>
      </c>
      <c r="Z25" s="44" t="s">
        <v>3</v>
      </c>
      <c r="AA25" s="44" t="s">
        <v>251</v>
      </c>
    </row>
    <row r="26" spans="1:28" x14ac:dyDescent="0.3">
      <c r="A26" s="36" t="s">
        <v>14</v>
      </c>
      <c r="B26" s="36" t="s">
        <v>191</v>
      </c>
      <c r="C26" s="55" t="s">
        <v>190</v>
      </c>
      <c r="D26" s="55" t="s">
        <v>319</v>
      </c>
      <c r="E26" s="225" t="s">
        <v>251</v>
      </c>
      <c r="F26" s="225" t="s">
        <v>251</v>
      </c>
      <c r="G26" s="225" t="s">
        <v>251</v>
      </c>
      <c r="H26" s="225" t="s">
        <v>203</v>
      </c>
      <c r="I26" s="225" t="s">
        <v>192</v>
      </c>
      <c r="J26" s="225" t="s">
        <v>193</v>
      </c>
      <c r="K26" s="225" t="s">
        <v>194</v>
      </c>
      <c r="L26" s="225" t="s">
        <v>195</v>
      </c>
      <c r="M26" s="225" t="s">
        <v>192</v>
      </c>
      <c r="N26" s="225" t="s">
        <v>193</v>
      </c>
      <c r="O26" s="225" t="s">
        <v>194</v>
      </c>
      <c r="P26" s="225" t="s">
        <v>195</v>
      </c>
      <c r="Q26" s="225" t="s">
        <v>192</v>
      </c>
      <c r="R26" s="225" t="s">
        <v>193</v>
      </c>
      <c r="S26" s="225" t="s">
        <v>194</v>
      </c>
      <c r="T26" s="225" t="s">
        <v>195</v>
      </c>
      <c r="U26" s="225" t="s">
        <v>192</v>
      </c>
      <c r="V26" s="225" t="s">
        <v>193</v>
      </c>
      <c r="W26" s="225" t="s">
        <v>194</v>
      </c>
      <c r="X26" s="225" t="s">
        <v>195</v>
      </c>
      <c r="Y26" s="225" t="s">
        <v>194</v>
      </c>
      <c r="Z26" s="225" t="s">
        <v>195</v>
      </c>
      <c r="AA26" s="225" t="s">
        <v>196</v>
      </c>
    </row>
    <row r="27" spans="1:28" s="155" customFormat="1" x14ac:dyDescent="0.3">
      <c r="A27" s="155" t="s">
        <v>309</v>
      </c>
      <c r="B27" s="155" t="s">
        <v>159</v>
      </c>
      <c r="C27" s="306" t="s">
        <v>307</v>
      </c>
      <c r="D27" s="306" t="s">
        <v>198</v>
      </c>
      <c r="E27" s="18">
        <f>IF(AND('FY VOLUME NONAUTO'!$H$34&lt;&gt;0,'FY VOLUME NONAUTO'!I30&lt;&gt;0),(10000*'FY VOLUME NONAUTO'!F30/'FY VOLUME NONAUTO'!$H$34)/'FY VOLUME NONAUTO'!I30,0)</f>
        <v>43.487454050286303</v>
      </c>
      <c r="F27" s="18">
        <f>IF(AND('FY VOLUME NONAUTO'!$H$34&lt;&gt;0,'FY VOLUME NONAUTO'!J30&lt;&gt;0),(10000*'FY VOLUME NONAUTO'!G30/'FY VOLUME NONAUTO'!$H$34)/'FY VOLUME NONAUTO'!J30,0)</f>
        <v>0</v>
      </c>
      <c r="G27" s="18">
        <f>E27+F27</f>
        <v>43.487454050286303</v>
      </c>
      <c r="H27" s="236">
        <f>(E27*'BUNDLE DATA'!$D$8+'BUNDLE SORT'!F27*'BUNDLE DATA'!$D$12)/G27</f>
        <v>6.1234942212081587E-3</v>
      </c>
      <c r="I27" s="309">
        <f>G27*'BUNDLE DATA'!$D$24*'BUNDLE DATA'!$C$24</f>
        <v>0</v>
      </c>
      <c r="J27" s="309">
        <f>G27*(1-'BUNDLE DATA'!$D$24)*'BUNDLE DATA'!$C$24</f>
        <v>43.487454050286303</v>
      </c>
      <c r="K27" s="309">
        <f>G27*H27</f>
        <v>0.26629517357198351</v>
      </c>
      <c r="L27" s="309">
        <f>G27*(1-H27)*'BUNDLE DENSITIES'!$I$7</f>
        <v>2.4929297343701045</v>
      </c>
      <c r="M27" s="309">
        <f>G27*(1-H27)*'BUNDLE DENSITIES'!$I$8*'BUNDLE DATA'!$D$32*'BUNDLE DATA'!$C$32</f>
        <v>40.477716087573768</v>
      </c>
      <c r="N27" s="309">
        <f>G27*(1-H27)*'BUNDLE DENSITIES'!$I$8*(1-'BUNDLE DATA'!$D$32)*'BUNDLE DATA'!$C$32</f>
        <v>0</v>
      </c>
      <c r="O27" s="309">
        <f>G27*(1-H27)*'BUNDLE DATA'!$E$12*'BUNDLE DENSITIES'!$I$8</f>
        <v>1.4850311443671795</v>
      </c>
      <c r="P27" s="309">
        <f>G27*(1-$H$28)*(1-'BUNDLE DATA'!$E$12)*'BUNDLE DENSITIES'!$I$8*'BUNDLE DENSITIES'!$I$15</f>
        <v>15.175850479968698</v>
      </c>
      <c r="Q27" s="309">
        <f>(G27*(1-H27)*'BUNDLE DENSITIES'!$I$9+G27*(1-H27)*(1-'BUNDLE DATA'!$E$12)*'BUNDLE DENSITIES'!$I$8*'BUNDLE DENSITIES'!$I$16)*'BUNDLE DATA'!$D$38*'BUNDLE DATA'!$C$38</f>
        <v>23.392727880256562</v>
      </c>
      <c r="R27" s="309">
        <f>(G27*(1-H27)*'BUNDLE DENSITIES'!$I$9+G27*(1-H27)*(1-'BUNDLE DATA'!$E$12)*'BUNDLE DENSITIES'!$I$8*'BUNDLE DENSITIES'!$I$16)*(1-'BUNDLE DATA'!$D$38)*'BUNDLE DATA'!$C$38</f>
        <v>0.67461963775177791</v>
      </c>
      <c r="S27" s="309">
        <f>(G27*(1-H27)*'BUNDLE DATA'!$E$12*'BUNDLE DENSITIES'!$I$9+G27*(1-H27)*(1-'BUNDLE DATA'!$E$12)*'BUNDLE DATA'!$E$12*'BUNDLE DENSITIES'!$I$8*'BUNDLE DENSITIES'!$I$16)</f>
        <v>0.88297374657268657</v>
      </c>
      <c r="T27" s="309">
        <f>(G27*(1-H27)*(1-'BUNDLE DATA'!$E$12)*'BUNDLE DENSITIES'!$I$9+G27*(1-H27)*(1-'BUNDLE DATA'!$E$12)*(1-'BUNDLE DATA'!$E$12)*'BUNDLE DENSITIES'!$I$8*'BUNDLE DENSITIES'!$I$16)*'BUNDLE DENSITIES'!$I$22</f>
        <v>23.184373771435652</v>
      </c>
      <c r="U27" s="309">
        <v>0</v>
      </c>
      <c r="V27" s="309">
        <v>0</v>
      </c>
      <c r="W27" s="309">
        <v>0</v>
      </c>
      <c r="X27" s="309">
        <v>0</v>
      </c>
      <c r="Y27" s="18">
        <f>K27+O27+S27+W27</f>
        <v>2.6343000645118497</v>
      </c>
      <c r="Z27" s="18">
        <f>L27+P27+T27+X27</f>
        <v>40.853153985774455</v>
      </c>
      <c r="AA27" s="44">
        <f>Y27+Z27</f>
        <v>43.487454050286303</v>
      </c>
      <c r="AB27"/>
    </row>
    <row r="28" spans="1:28" x14ac:dyDescent="0.3">
      <c r="A28" s="134" t="s">
        <v>309</v>
      </c>
      <c r="B28" s="134" t="s">
        <v>159</v>
      </c>
      <c r="C28" s="223" t="s">
        <v>592</v>
      </c>
      <c r="D28" s="223" t="s">
        <v>199</v>
      </c>
      <c r="E28" s="18">
        <f>IF(AND('FY VOLUME NONAUTO'!$H$34&lt;&gt;0,'FY VOLUME NONAUTO'!I31&lt;&gt;0),(10000*'FY VOLUME NONAUTO'!F31/'FY VOLUME NONAUTO'!$H$34)/'FY VOLUME NONAUTO'!I31,0)</f>
        <v>39.218757050868923</v>
      </c>
      <c r="F28" s="18">
        <f>IF(AND('FY VOLUME NONAUTO'!$H$34&lt;&gt;0,'FY VOLUME NONAUTO'!J31&lt;&gt;0),(10000*'FY VOLUME NONAUTO'!G31/'FY VOLUME NONAUTO'!$H$34)/'FY VOLUME NONAUTO'!J31,0)</f>
        <v>0</v>
      </c>
      <c r="G28" s="18">
        <f>E28+F28</f>
        <v>39.218757050868923</v>
      </c>
      <c r="H28" s="236">
        <f>(E28*'BUNDLE DATA'!$D$8+'BUNDLE SORT'!F28*'BUNDLE DATA'!$D$12)/G28</f>
        <v>6.1234942212081587E-3</v>
      </c>
      <c r="I28" s="309">
        <v>0</v>
      </c>
      <c r="J28" s="309">
        <v>0</v>
      </c>
      <c r="K28" s="309">
        <v>0</v>
      </c>
      <c r="L28" s="309">
        <v>0</v>
      </c>
      <c r="M28" s="309">
        <f>G28*'BUNDLE DATA'!$D$32*'BUNDLE DATA'!$C$32</f>
        <v>39.218757050868923</v>
      </c>
      <c r="N28" s="309">
        <f>G28*(1-'BUNDLE DATA'!$D$32)*'BUNDLE DATA'!$C$32</f>
        <v>0</v>
      </c>
      <c r="O28" s="309">
        <f>G28*H28</f>
        <v>0.24015583216396258</v>
      </c>
      <c r="P28" s="309">
        <f>(E28*(1-'BUNDLE DATA'!$D$8)+F28*(1-'BUNDLE DATA'!$D$12))*'BUNDLE DENSITIES'!$I$15</f>
        <v>15.170369131414498</v>
      </c>
      <c r="Q28" s="309">
        <f>(E28*(1-'BUNDLE DATA'!$D$8)+F28*(1-'BUNDLE DATA'!$D$12))*'BUNDLE DENSITIES'!$I$16*'BUNDLE DATA'!$D$38*'BUNDLE DATA'!$C$38</f>
        <v>23.140875583038376</v>
      </c>
      <c r="R28" s="309">
        <f>(E28*(1-'BUNDLE DATA'!$D$8)+F28*(1-'BUNDLE DATA'!$D$12))*'BUNDLE DENSITIES'!$I$16*(1-'BUNDLE DATA'!$D$38)*'BUNDLE DATA'!$C$38</f>
        <v>0.66735650425208526</v>
      </c>
      <c r="S28" s="309">
        <f>(E28*(1-'BUNDLE DATA'!$D$8)*'BUNDLE DATA'!$E$8+F28*(1-'BUNDLE DATA'!$D$12)*'BUNDLE DATA'!$E$12)*'BUNDLE DENSITIES'!$I$16</f>
        <v>0.87346741761455904</v>
      </c>
      <c r="T28" s="309">
        <f>(E28*(1-'BUNDLE DATA'!$D$8)*(1-'BUNDLE DATA'!$E$8)+F28*(1-'BUNDLE DATA'!$D$12)*(1-'BUNDLE DATA'!$E$12))*'BUNDLE DENSITIES'!$I$16*'BUNDLE DENSITIES'!$I$22</f>
        <v>22.9347646696759</v>
      </c>
      <c r="U28" s="309">
        <v>0</v>
      </c>
      <c r="V28" s="309">
        <v>0</v>
      </c>
      <c r="W28" s="309">
        <v>0</v>
      </c>
      <c r="X28" s="309">
        <v>0</v>
      </c>
      <c r="Y28" s="18">
        <f>K28+O28+S28+W28</f>
        <v>1.1136232497785217</v>
      </c>
      <c r="Z28" s="18">
        <f>L28+P28+T28+X28</f>
        <v>38.105133801090396</v>
      </c>
      <c r="AA28" s="44">
        <f t="shared" ref="AA28:AA30" si="15">Y28+Z28</f>
        <v>39.218757050868916</v>
      </c>
    </row>
    <row r="29" spans="1:28" x14ac:dyDescent="0.3">
      <c r="A29" s="134" t="s">
        <v>309</v>
      </c>
      <c r="B29" s="134" t="s">
        <v>159</v>
      </c>
      <c r="C29" s="223" t="s">
        <v>199</v>
      </c>
      <c r="D29" s="223" t="s">
        <v>199</v>
      </c>
      <c r="E29" s="18">
        <f>IF(AND('FY VOLUME NONAUTO'!$H$34&lt;&gt;0,'FY VOLUME NONAUTO'!I32&lt;&gt;0),(10000*'FY VOLUME NONAUTO'!F32/'FY VOLUME NONAUTO'!$H$34)/'FY VOLUME NONAUTO'!I32,0)</f>
        <v>194.74907086827889</v>
      </c>
      <c r="F29" s="18">
        <f>IF(AND('FY VOLUME NONAUTO'!$H$34&lt;&gt;0,'FY VOLUME NONAUTO'!J32&lt;&gt;0),(10000*'FY VOLUME NONAUTO'!G32/'FY VOLUME NONAUTO'!$H$34)/'FY VOLUME NONAUTO'!J32,0)</f>
        <v>43.877951910796064</v>
      </c>
      <c r="G29" s="18">
        <f t="shared" ref="G29:G30" si="16">E29+F29</f>
        <v>238.62702277907496</v>
      </c>
      <c r="H29" s="236">
        <f>(E29*'BUNDLE DATA'!$D$8+'BUNDLE SORT'!F29*'BUNDLE DATA'!$D$12)/G29</f>
        <v>2.4041405411859312E-2</v>
      </c>
      <c r="I29" s="309">
        <v>0</v>
      </c>
      <c r="J29" s="309">
        <v>0</v>
      </c>
      <c r="K29" s="309">
        <v>0</v>
      </c>
      <c r="L29" s="309">
        <v>0</v>
      </c>
      <c r="M29" s="309">
        <v>0</v>
      </c>
      <c r="N29" s="309">
        <v>0</v>
      </c>
      <c r="O29" s="309">
        <v>0</v>
      </c>
      <c r="P29" s="309">
        <v>0</v>
      </c>
      <c r="Q29" s="309">
        <f>G29*'BUNDLE DATA'!$D$38*'BUNDLE DATA'!$C$38</f>
        <v>231.9381894730968</v>
      </c>
      <c r="R29" s="309">
        <f>G29*(1-'BUNDLE DATA'!$D$38)*'BUNDLE DATA'!$C$38</f>
        <v>6.688833305978152</v>
      </c>
      <c r="S29" s="309">
        <f>G29*H29</f>
        <v>5.7369289968567285</v>
      </c>
      <c r="T29" s="309">
        <f>(E29*(1-'BUNDLE DATA'!$D$8)+F29*(1-'BUNDLE DATA'!$D$12))*'BUNDLE DENSITIES'!$I$22</f>
        <v>232.89009378221823</v>
      </c>
      <c r="U29" s="309">
        <v>0</v>
      </c>
      <c r="V29" s="309">
        <v>0</v>
      </c>
      <c r="W29" s="309">
        <v>0</v>
      </c>
      <c r="X29" s="309">
        <v>0</v>
      </c>
      <c r="Y29" s="18">
        <f t="shared" ref="Y29:Z30" si="17">K29+O29+S29+W29</f>
        <v>5.7369289968567285</v>
      </c>
      <c r="Z29" s="18">
        <f t="shared" si="17"/>
        <v>232.89009378221823</v>
      </c>
      <c r="AA29" s="44">
        <f t="shared" si="15"/>
        <v>238.62702277907496</v>
      </c>
    </row>
    <row r="30" spans="1:28" x14ac:dyDescent="0.3">
      <c r="A30" s="134" t="s">
        <v>309</v>
      </c>
      <c r="B30" s="134" t="s">
        <v>159</v>
      </c>
      <c r="C30" s="223" t="s">
        <v>199</v>
      </c>
      <c r="D30" s="223" t="s">
        <v>200</v>
      </c>
      <c r="E30" s="18">
        <f>IF(AND('FY VOLUME NONAUTO'!$H$34&lt;&gt;0,'FY VOLUME NONAUTO'!I33&lt;&gt;0),(10000*'FY VOLUME NONAUTO'!F33/'FY VOLUME NONAUTO'!$H$34)/'FY VOLUME NONAUTO'!I33,0)</f>
        <v>0</v>
      </c>
      <c r="F30" s="18">
        <f>IF(AND('FY VOLUME NONAUTO'!$H$34&lt;&gt;0,'FY VOLUME NONAUTO'!J33&lt;&gt;0),(10000*'FY VOLUME NONAUTO'!G33/'FY VOLUME NONAUTO'!$H$34)/'FY VOLUME NONAUTO'!J33,0)</f>
        <v>63.913437021155147</v>
      </c>
      <c r="G30" s="18">
        <f t="shared" si="16"/>
        <v>63.913437021155147</v>
      </c>
      <c r="H30" s="236">
        <f>(E30*'BUNDLE DATA'!$D$8+'BUNDLE SORT'!F30*'BUNDLE DATA'!$D$12)/G30</f>
        <v>0.10356873985476586</v>
      </c>
      <c r="I30" s="18">
        <v>0</v>
      </c>
      <c r="J30" s="18">
        <v>0</v>
      </c>
      <c r="K30" s="18">
        <v>0</v>
      </c>
      <c r="L30" s="18">
        <v>0</v>
      </c>
      <c r="M30" s="18">
        <v>0</v>
      </c>
      <c r="N30" s="18">
        <v>0</v>
      </c>
      <c r="O30" s="18">
        <v>0</v>
      </c>
      <c r="P30" s="18">
        <v>0</v>
      </c>
      <c r="Q30" s="18">
        <f>G30*'BUNDLE DATA'!$D$40*'BUNDLE DATA'!$C$40</f>
        <v>62.121911814714331</v>
      </c>
      <c r="R30" s="18">
        <f>G30*(1-'BUNDLE DATA'!$D$40)*'BUNDLE DATA'!$C$40</f>
        <v>1.7915252064408163</v>
      </c>
      <c r="S30" s="18">
        <f>G30*H30</f>
        <v>6.6194341320679788</v>
      </c>
      <c r="T30" s="18">
        <f>(Q30+R30-S30)*(1-'COVERAGE FACTORS'!$E$44)</f>
        <v>56.95188130375896</v>
      </c>
      <c r="U30" s="18">
        <f>($G30-SUM($K30,$L30,$O30,$P30,$S30,$T30))*'BUNDLE DATA'!$D$44</f>
        <v>3.4212158532820783E-3</v>
      </c>
      <c r="V30" s="18">
        <f>($G30-SUM($K30,$L30,$O30,$P30,$S30,$T30))*(1-'BUNDLE DATA'!$D$44)</f>
        <v>0.33870036947492571</v>
      </c>
      <c r="W30" s="18">
        <f>(U30+V30)*'BUNDLE DATA'!$E$8</f>
        <v>1.2551627376244961E-2</v>
      </c>
      <c r="X30" s="18">
        <f>V30+U30-W30</f>
        <v>0.32956995795196287</v>
      </c>
      <c r="Y30" s="18">
        <f t="shared" si="17"/>
        <v>6.6319857594442242</v>
      </c>
      <c r="Z30" s="18">
        <f t="shared" si="17"/>
        <v>57.28145126171092</v>
      </c>
      <c r="AA30" s="44">
        <f t="shared" si="15"/>
        <v>63.913437021155147</v>
      </c>
    </row>
    <row r="31" spans="1:28" s="24" customFormat="1" x14ac:dyDescent="0.3">
      <c r="A31" s="24" t="s">
        <v>3</v>
      </c>
      <c r="E31" s="44">
        <f>SUM(E27:E30)</f>
        <v>277.45528196943411</v>
      </c>
      <c r="F31" s="44">
        <f t="shared" ref="F31:G31" si="18">SUM(F27:F30)</f>
        <v>107.79138893195122</v>
      </c>
      <c r="G31" s="44">
        <f t="shared" si="18"/>
        <v>385.2466709013853</v>
      </c>
      <c r="H31" s="44"/>
      <c r="I31" s="44">
        <f>SUM(I27:I30)</f>
        <v>0</v>
      </c>
      <c r="J31" s="44">
        <f t="shared" ref="J31:AA31" si="19">SUM(J27:J30)</f>
        <v>43.487454050286303</v>
      </c>
      <c r="K31" s="44">
        <f t="shared" si="19"/>
        <v>0.26629517357198351</v>
      </c>
      <c r="L31" s="44">
        <f t="shared" si="19"/>
        <v>2.4929297343701045</v>
      </c>
      <c r="M31" s="44">
        <f t="shared" si="19"/>
        <v>79.696473138442684</v>
      </c>
      <c r="N31" s="44">
        <f t="shared" si="19"/>
        <v>0</v>
      </c>
      <c r="O31" s="44">
        <f t="shared" si="19"/>
        <v>1.7251869765311421</v>
      </c>
      <c r="P31" s="44">
        <f t="shared" si="19"/>
        <v>30.346219611383198</v>
      </c>
      <c r="Q31" s="44">
        <f t="shared" si="19"/>
        <v>340.59370475110609</v>
      </c>
      <c r="R31" s="44">
        <f t="shared" si="19"/>
        <v>9.822334654422832</v>
      </c>
      <c r="S31" s="44">
        <f t="shared" si="19"/>
        <v>14.112804293111953</v>
      </c>
      <c r="T31" s="44">
        <f t="shared" si="19"/>
        <v>335.96111352708874</v>
      </c>
      <c r="U31" s="44">
        <f t="shared" si="19"/>
        <v>3.4212158532820783E-3</v>
      </c>
      <c r="V31" s="44">
        <f t="shared" si="19"/>
        <v>0.33870036947492571</v>
      </c>
      <c r="W31" s="44">
        <f t="shared" si="19"/>
        <v>1.2551627376244961E-2</v>
      </c>
      <c r="X31" s="44">
        <f t="shared" si="19"/>
        <v>0.32956995795196287</v>
      </c>
      <c r="Y31" s="44">
        <f t="shared" si="19"/>
        <v>16.116838070591324</v>
      </c>
      <c r="Z31" s="44">
        <f t="shared" si="19"/>
        <v>369.12983283079399</v>
      </c>
      <c r="AA31" s="44">
        <f t="shared" si="19"/>
        <v>385.2466709013853</v>
      </c>
      <c r="AB31"/>
    </row>
    <row r="32" spans="1:28" x14ac:dyDescent="0.3">
      <c r="E32" s="309"/>
    </row>
    <row r="33" spans="1:28" x14ac:dyDescent="0.3">
      <c r="H33" s="44" t="s">
        <v>474</v>
      </c>
      <c r="I33" s="44" t="s">
        <v>315</v>
      </c>
      <c r="J33" s="44" t="s">
        <v>315</v>
      </c>
      <c r="M33" s="44" t="s">
        <v>316</v>
      </c>
      <c r="N33" s="44" t="s">
        <v>316</v>
      </c>
      <c r="Q33" s="44" t="s">
        <v>316</v>
      </c>
      <c r="R33" s="44" t="s">
        <v>316</v>
      </c>
      <c r="U33" s="44" t="s">
        <v>316</v>
      </c>
      <c r="V33" s="44" t="s">
        <v>316</v>
      </c>
      <c r="AA33" s="44" t="s">
        <v>3</v>
      </c>
    </row>
    <row r="34" spans="1:28" x14ac:dyDescent="0.3">
      <c r="C34" s="1" t="s">
        <v>189</v>
      </c>
      <c r="E34" s="44" t="s">
        <v>187</v>
      </c>
      <c r="F34" s="44" t="s">
        <v>188</v>
      </c>
      <c r="G34" s="44" t="s">
        <v>3</v>
      </c>
      <c r="H34" s="44" t="s">
        <v>201</v>
      </c>
      <c r="I34" s="44" t="s">
        <v>317</v>
      </c>
      <c r="J34" s="44" t="s">
        <v>317</v>
      </c>
      <c r="M34" s="44" t="s">
        <v>164</v>
      </c>
      <c r="N34" s="44" t="s">
        <v>164</v>
      </c>
      <c r="Q34" s="44" t="s">
        <v>317</v>
      </c>
      <c r="R34" s="44" t="s">
        <v>317</v>
      </c>
      <c r="U34" s="44" t="s">
        <v>318</v>
      </c>
      <c r="V34" s="44" t="s">
        <v>318</v>
      </c>
      <c r="Y34" s="44" t="s">
        <v>3</v>
      </c>
      <c r="Z34" s="44" t="s">
        <v>3</v>
      </c>
      <c r="AA34" s="44" t="s">
        <v>251</v>
      </c>
    </row>
    <row r="35" spans="1:28" x14ac:dyDescent="0.3">
      <c r="A35" s="36" t="s">
        <v>14</v>
      </c>
      <c r="B35" s="36" t="s">
        <v>191</v>
      </c>
      <c r="C35" s="55" t="s">
        <v>190</v>
      </c>
      <c r="D35" s="55" t="s">
        <v>319</v>
      </c>
      <c r="E35" s="225" t="s">
        <v>251</v>
      </c>
      <c r="F35" s="225" t="s">
        <v>251</v>
      </c>
      <c r="G35" s="225" t="s">
        <v>251</v>
      </c>
      <c r="H35" s="225" t="s">
        <v>203</v>
      </c>
      <c r="I35" s="225" t="s">
        <v>192</v>
      </c>
      <c r="J35" s="225" t="s">
        <v>193</v>
      </c>
      <c r="K35" s="225" t="s">
        <v>194</v>
      </c>
      <c r="L35" s="225" t="s">
        <v>195</v>
      </c>
      <c r="M35" s="225" t="s">
        <v>192</v>
      </c>
      <c r="N35" s="225" t="s">
        <v>193</v>
      </c>
      <c r="O35" s="225" t="s">
        <v>194</v>
      </c>
      <c r="P35" s="225" t="s">
        <v>195</v>
      </c>
      <c r="Q35" s="225" t="s">
        <v>192</v>
      </c>
      <c r="R35" s="225" t="s">
        <v>193</v>
      </c>
      <c r="S35" s="225" t="s">
        <v>194</v>
      </c>
      <c r="T35" s="225" t="s">
        <v>195</v>
      </c>
      <c r="U35" s="225" t="s">
        <v>192</v>
      </c>
      <c r="V35" s="225" t="s">
        <v>193</v>
      </c>
      <c r="W35" s="225" t="s">
        <v>194</v>
      </c>
      <c r="X35" s="225" t="s">
        <v>195</v>
      </c>
      <c r="Y35" s="225" t="s">
        <v>194</v>
      </c>
      <c r="Z35" s="225" t="s">
        <v>195</v>
      </c>
      <c r="AA35" s="225" t="s">
        <v>196</v>
      </c>
    </row>
    <row r="36" spans="1:28" s="155" customFormat="1" x14ac:dyDescent="0.3">
      <c r="A36" s="155" t="s">
        <v>310</v>
      </c>
      <c r="B36" s="155" t="s">
        <v>159</v>
      </c>
      <c r="C36" s="306" t="s">
        <v>307</v>
      </c>
      <c r="D36" s="306" t="s">
        <v>200</v>
      </c>
      <c r="E36" s="42">
        <f>IF(AND('FY VOLUME NONAUTO'!$H$43&lt;&gt;0,'FY VOLUME NONAUTO'!I39&lt;&gt;0),(10000*'FY VOLUME NONAUTO'!F39/'FY VOLUME NONAUTO'!$H$43)/'FY VOLUME NONAUTO'!I39,0)</f>
        <v>20.793301332962844</v>
      </c>
      <c r="F36" s="18">
        <f>IF(AND('FY VOLUME NONAUTO'!$H$43&lt;&gt;0,'FY VOLUME NONAUTO'!J39&lt;&gt;0),(10000*'FY VOLUME NONAUTO'!G39/'FY VOLUME NONAUTO'!$H$43)/'FY VOLUME NONAUTO'!J39,0)</f>
        <v>0</v>
      </c>
      <c r="G36" s="302">
        <f t="shared" ref="G36" si="20">E36+F36</f>
        <v>20.793301332962844</v>
      </c>
      <c r="H36" s="236">
        <f>(E36*'BUNDLE DATA'!$D$8+'BUNDLE SORT'!F36*'BUNDLE DATA'!$D$12)/G36</f>
        <v>6.1234942212081587E-3</v>
      </c>
      <c r="I36" s="18">
        <f>G36*'BUNDLE DATA'!$D$26</f>
        <v>0</v>
      </c>
      <c r="J36" s="18">
        <f>G36*(1-'BUNDLE DATA'!$D$26)</f>
        <v>20.793301332962844</v>
      </c>
      <c r="K36" s="18">
        <f>(I36+J36)*H36</f>
        <v>0.12732766055223788</v>
      </c>
      <c r="L36" s="18">
        <f>(I36+J36-K36)*'BUNDLE DENSITIES'!$K$10*(1-'COVERAGE FACTORS'!$E$44)</f>
        <v>1.2212218661153409</v>
      </c>
      <c r="M36" s="18">
        <f>(I36+J36-K36)*'BUNDLE DENSITIES'!$K$8*'BUNDLE DATA'!$D$34</f>
        <v>19.15255952927556</v>
      </c>
      <c r="N36" s="18">
        <f>(I36+J36-K36)*'BUNDLE DENSITIES'!$K$8*(1-'BUNDLE DATA'!$D$34)</f>
        <v>0</v>
      </c>
      <c r="O36" s="18">
        <f>SUM(M36:N36)*'BUNDLE DATA'!$E$8</f>
        <v>0.70266186298124789</v>
      </c>
      <c r="P36" s="18">
        <f>((M36-O36)*'BUNDLE DENSITIES'!$K$17)*(1-'COVERAGE FACTORS'!$E$44)</f>
        <v>1.6695456768507035</v>
      </c>
      <c r="Q36" s="18">
        <f>((I36+J36-K36)*'BUNDLE DENSITIES'!$K$9+(M36+N36-O36)*'BUNDLE DENSITIES'!$K$16)*'BUNDLE DATA'!$D$40</f>
        <v>16.577113749019087</v>
      </c>
      <c r="R36" s="18">
        <f>((I36+J36-K36)*'BUNDLE DENSITIES'!$K$9+(M36+N36-O36)*'BUNDLE DENSITIES'!$K$16)*(1-'BUNDLE DATA'!$D$40)</f>
        <v>0.47806508627717259</v>
      </c>
      <c r="S36" s="18">
        <f>(Q36+R36)*'BUNDLE DATA'!$E$8</f>
        <v>0.62571395303951372</v>
      </c>
      <c r="T36" s="18">
        <f>(Q36+R36-S36)*(1-'COVERAGE FACTORS'!$E$44)</f>
        <v>16.331359072081586</v>
      </c>
      <c r="U36" s="18">
        <f>((I36+J36-K36)*'BUNDLE DENSITIES'!$K$10*('COVERAGE FACTORS'!$E$44)+(M36+N36-O36)*'BUNDLE DENSITIES'!$K$17*'COVERAGE FACTORS'!$E$44+(Q36+R36-S36)*'COVERAGE FACTORS'!$E$44)*'BUNDLE DATA'!$D$44</f>
        <v>1.1547124134221789E-3</v>
      </c>
      <c r="V36" s="18">
        <f>((I36+J36-K36)*'BUNDLE DENSITIES'!$K$10*('COVERAGE FACTORS'!$E$44)+(M36+N36-O36)*'BUNDLE DENSITIES'!$K$17*'COVERAGE FACTORS'!$E$44+(Q36+R36-S36)*'COVERAGE FACTORS'!$E$44)*(1-'BUNDLE DATA'!$D$44)</f>
        <v>0.11431652892879572</v>
      </c>
      <c r="W36" s="18">
        <f>(U36+V36)*'BUNDLE DATA'!$E$8</f>
        <v>4.2363652460266814E-3</v>
      </c>
      <c r="X36" s="18">
        <f>(U36+V36)-W36</f>
        <v>0.11123487609619122</v>
      </c>
      <c r="Y36" s="18">
        <f t="shared" ref="Y36:Z36" si="21">K36+O36+S36+W36</f>
        <v>1.4599398418190261</v>
      </c>
      <c r="Z36" s="18">
        <f t="shared" si="21"/>
        <v>19.333361491143823</v>
      </c>
      <c r="AA36" s="44">
        <f t="shared" ref="AA36" si="22">Y36+Z36</f>
        <v>20.793301332962848</v>
      </c>
      <c r="AB36"/>
    </row>
    <row r="37" spans="1:28" x14ac:dyDescent="0.3">
      <c r="A37" s="134" t="s">
        <v>310</v>
      </c>
      <c r="B37" s="134" t="s">
        <v>159</v>
      </c>
      <c r="C37" s="223" t="s">
        <v>592</v>
      </c>
      <c r="D37" s="223" t="s">
        <v>200</v>
      </c>
      <c r="E37" s="42">
        <f>IF(AND('FY VOLUME NONAUTO'!$H$43&lt;&gt;0,'FY VOLUME NONAUTO'!I40&lt;&gt;0),(10000*'FY VOLUME NONAUTO'!F40/'FY VOLUME NONAUTO'!$H$43)/'FY VOLUME NONAUTO'!I40,0)</f>
        <v>22.967794303690802</v>
      </c>
      <c r="F37" s="18">
        <f>IF(AND('FY VOLUME NONAUTO'!$H$43&lt;&gt;0,'FY VOLUME NONAUTO'!J40&lt;&gt;0),(10000*'FY VOLUME NONAUTO'!G40/'FY VOLUME NONAUTO'!$H$43)/'FY VOLUME NONAUTO'!J40,0)</f>
        <v>0</v>
      </c>
      <c r="G37" s="302">
        <f t="shared" ref="G37:G39" si="23">E37+F37</f>
        <v>22.967794303690802</v>
      </c>
      <c r="H37" s="236">
        <f>(E37*'BUNDLE DATA'!$D$8+'BUNDLE SORT'!F37*'BUNDLE DATA'!$D$12)/G37</f>
        <v>6.1234942212081587E-3</v>
      </c>
      <c r="I37" s="18">
        <v>0</v>
      </c>
      <c r="J37" s="18">
        <v>0</v>
      </c>
      <c r="K37" s="18">
        <v>0</v>
      </c>
      <c r="L37" s="18">
        <v>0</v>
      </c>
      <c r="M37" s="18">
        <f>G37*'BUNDLE DATA'!$D$34</f>
        <v>22.967794303690802</v>
      </c>
      <c r="N37" s="18">
        <f>G37*(1-'BUNDLE DATA'!$D$34)</f>
        <v>0</v>
      </c>
      <c r="O37" s="18">
        <f>SUM(M37:N37)*H37</f>
        <v>0.14064315569254829</v>
      </c>
      <c r="P37" s="18">
        <f>((M37-O37)*'BUNDLE DENSITIES'!$K$17)*(1-'COVERAGE FACTORS'!$E$44)</f>
        <v>2.0656467696068637</v>
      </c>
      <c r="Q37" s="18">
        <f>((M37+N37-O37)*'BUNDLE DENSITIES'!$K$16)*'BUNDLE DATA'!$D$40</f>
        <v>20.16748821820152</v>
      </c>
      <c r="R37" s="18">
        <f>(($M37-$O37)*'BUNDLE DENSITIES'!$K$16)*(1-'BUNDLE DATA'!$D$40)</f>
        <v>0.58160739806704154</v>
      </c>
      <c r="S37" s="18">
        <f>(Q37+R37)*'BUNDLE DATA'!$E$8</f>
        <v>0.76123497533672879</v>
      </c>
      <c r="T37" s="18">
        <f>(Q37+R37-S37)*(1-'COVERAGE FACTORS'!$E$44)</f>
        <v>19.868506463793384</v>
      </c>
      <c r="U37" s="18">
        <f>((M37+N37-O37)*'BUNDLE DENSITIES'!$K$17*'COVERAGE FACTORS'!$E$44+(Q37+R37-S37)*'COVERAGE FACTORS'!$E$44)*'BUNDLE DATA'!$D$44</f>
        <v>1.3176293926127969E-3</v>
      </c>
      <c r="V37" s="18">
        <f>((M37+N37-O37)*'BUNDLE DENSITIES'!$K$17*'COVERAGE FACTORS'!$E$44+(Q37+R37-S37)*'COVERAGE FACTORS'!$E$44)*(1-'BUNDLE DATA'!$D$44)</f>
        <v>0.1304453098686669</v>
      </c>
      <c r="W37" s="18">
        <f>(U37+V37)*'BUNDLE DATA'!$E$8</f>
        <v>4.8340688998614375E-3</v>
      </c>
      <c r="X37" s="18">
        <f>(U37+V37)-W37</f>
        <v>0.12692887036141826</v>
      </c>
      <c r="Y37" s="18">
        <f t="shared" ref="Y37:Y38" si="24">K37+O37+S37+W37</f>
        <v>0.90671219992913854</v>
      </c>
      <c r="Z37" s="18">
        <f t="shared" ref="Z37:Z38" si="25">L37+P37+T37+X37</f>
        <v>22.061082103761667</v>
      </c>
      <c r="AA37" s="44">
        <f t="shared" ref="AA37:AA38" si="26">Y37+Z37</f>
        <v>22.967794303690805</v>
      </c>
    </row>
    <row r="38" spans="1:28" x14ac:dyDescent="0.3">
      <c r="A38" s="134" t="s">
        <v>310</v>
      </c>
      <c r="B38" s="134" t="s">
        <v>159</v>
      </c>
      <c r="C38" s="223" t="s">
        <v>199</v>
      </c>
      <c r="D38" s="223" t="s">
        <v>200</v>
      </c>
      <c r="E38" s="42">
        <f>IF(AND('FY VOLUME NONAUTO'!$H$43&lt;&gt;0,'FY VOLUME NONAUTO'!I41&lt;&gt;0),(10000*'FY VOLUME NONAUTO'!F41/'FY VOLUME NONAUTO'!$H$43)/'FY VOLUME NONAUTO'!I41,0)</f>
        <v>261.64962286971337</v>
      </c>
      <c r="F38" s="18">
        <f>IF(AND('FY VOLUME NONAUTO'!$H$43&lt;&gt;0,'FY VOLUME NONAUTO'!J41&lt;&gt;0),(10000*'FY VOLUME NONAUTO'!G41/'FY VOLUME NONAUTO'!$H$43)/'FY VOLUME NONAUTO'!J41,0)</f>
        <v>0</v>
      </c>
      <c r="G38" s="302">
        <f t="shared" si="23"/>
        <v>261.64962286971337</v>
      </c>
      <c r="H38" s="236">
        <f>(E38*'BUNDLE DATA'!$D$8+'BUNDLE SORT'!F38*'BUNDLE DATA'!$D$12)/G38</f>
        <v>6.1234942212081587E-3</v>
      </c>
      <c r="I38" s="18">
        <v>0</v>
      </c>
      <c r="J38" s="18">
        <v>0</v>
      </c>
      <c r="K38" s="18">
        <v>0</v>
      </c>
      <c r="L38" s="18">
        <v>0</v>
      </c>
      <c r="M38" s="18">
        <v>0</v>
      </c>
      <c r="N38" s="18">
        <v>0</v>
      </c>
      <c r="O38" s="18">
        <v>0</v>
      </c>
      <c r="P38" s="18">
        <v>0</v>
      </c>
      <c r="Q38" s="18">
        <f>G38*'BUNDLE DATA'!$D$40*'BUNDLE DATA'!$C$40</f>
        <v>254.3154547123716</v>
      </c>
      <c r="R38" s="18">
        <f>G38*(1-'BUNDLE DATA'!$D$40)*'BUNDLE DATA'!$C$40</f>
        <v>7.3341681573417734</v>
      </c>
      <c r="S38" s="18">
        <f>G38*H38</f>
        <v>1.602209953623984</v>
      </c>
      <c r="T38" s="18">
        <f>(SUM(Q38+R38)-S38)*(1-'COVERAGE FACTORS'!$E$44)</f>
        <v>258.4945831489045</v>
      </c>
      <c r="U38" s="18">
        <f>($G38-SUM($K38,$L38,$O38,$P38,$S38,$T38))*'BUNDLE DATA'!$D$44</f>
        <v>1.5528297671849033E-2</v>
      </c>
      <c r="V38" s="18">
        <f>($G38-SUM($K38,$L38,$O38,$P38,$S38,$T38))*(1-'BUNDLE DATA'!$D$44)</f>
        <v>1.537301469513054</v>
      </c>
      <c r="W38" s="18">
        <f>(U38+V38)*'BUNDLE DATA'!$E$8</f>
        <v>5.6969631418456811E-2</v>
      </c>
      <c r="X38" s="18">
        <f>V38+U38-W38</f>
        <v>1.4958601357664461</v>
      </c>
      <c r="Y38" s="18">
        <f t="shared" si="24"/>
        <v>1.6591795850424409</v>
      </c>
      <c r="Z38" s="18">
        <f t="shared" si="25"/>
        <v>259.99044328467096</v>
      </c>
      <c r="AA38" s="44">
        <f t="shared" si="26"/>
        <v>261.64962286971343</v>
      </c>
    </row>
    <row r="39" spans="1:28" x14ac:dyDescent="0.3">
      <c r="A39" s="134" t="s">
        <v>310</v>
      </c>
      <c r="B39" s="134" t="s">
        <v>159</v>
      </c>
      <c r="C39" s="223" t="s">
        <v>200</v>
      </c>
      <c r="D39" s="223" t="s">
        <v>200</v>
      </c>
      <c r="E39" s="42">
        <f>IF(AND('FY VOLUME NONAUTO'!$H$43&lt;&gt;0,'FY VOLUME NONAUTO'!I42&lt;&gt;0),(10000*'FY VOLUME NONAUTO'!F42/'FY VOLUME NONAUTO'!$H$43)/'FY VOLUME NONAUTO'!I42,0)</f>
        <v>8.1328345381274136</v>
      </c>
      <c r="F39" s="18">
        <f>IF(AND('FY VOLUME NONAUTO'!$H$43&lt;&gt;0,'FY VOLUME NONAUTO'!J42&lt;&gt;0),(10000*'FY VOLUME NONAUTO'!G42/'FY VOLUME NONAUTO'!$H$43)/'FY VOLUME NONAUTO'!J42,0)</f>
        <v>55.709605705855367</v>
      </c>
      <c r="G39" s="302">
        <f t="shared" si="23"/>
        <v>63.842440243982779</v>
      </c>
      <c r="H39" s="236">
        <f>(E39*'BUNDLE DATA'!$D$8+'BUNDLE SORT'!F39*'BUNDLE DATA'!$D$12)/G39</f>
        <v>9.1155272320689248E-2</v>
      </c>
      <c r="I39" s="18">
        <v>0</v>
      </c>
      <c r="J39" s="18">
        <v>0</v>
      </c>
      <c r="K39" s="18">
        <v>0</v>
      </c>
      <c r="L39" s="18">
        <v>0</v>
      </c>
      <c r="M39" s="18">
        <v>0</v>
      </c>
      <c r="N39" s="18">
        <v>0</v>
      </c>
      <c r="O39" s="18">
        <v>0</v>
      </c>
      <c r="P39" s="18">
        <v>0</v>
      </c>
      <c r="Q39" s="18">
        <v>0</v>
      </c>
      <c r="R39" s="18">
        <v>0</v>
      </c>
      <c r="S39" s="18">
        <v>0</v>
      </c>
      <c r="T39" s="18">
        <v>0</v>
      </c>
      <c r="U39" s="18">
        <f>(E39+F39*'COVERAGE FACTORS'!$E$44)*'BUNDLE DATA'!$D$44</f>
        <v>8.4654951598506528E-2</v>
      </c>
      <c r="V39" s="18">
        <f>(E39+F39*(1-'COVERAGE FACTORS'!$E$115))*(1-'BUNDLE DATA'!$D$44)</f>
        <v>10.751960524791633</v>
      </c>
      <c r="W39" s="18">
        <f>(U39+V39)*H39</f>
        <v>0.98781463478493881</v>
      </c>
      <c r="X39" s="18">
        <f>G39-W39</f>
        <v>62.854625609197839</v>
      </c>
      <c r="Y39" s="18">
        <f t="shared" ref="Y39" si="27">K39+O39+S39+W39</f>
        <v>0.98781463478493881</v>
      </c>
      <c r="Z39" s="18">
        <f t="shared" ref="Z39" si="28">L39+P39+T39+X39</f>
        <v>62.854625609197839</v>
      </c>
      <c r="AA39" s="44">
        <f t="shared" ref="AA39" si="29">Y39+Z39</f>
        <v>63.842440243982779</v>
      </c>
    </row>
    <row r="40" spans="1:28" s="24" customFormat="1" x14ac:dyDescent="0.3">
      <c r="A40" s="24" t="s">
        <v>3</v>
      </c>
      <c r="E40" s="44">
        <f>SUM(E36:E39)</f>
        <v>313.54355304449444</v>
      </c>
      <c r="F40" s="44">
        <f t="shared" ref="F40:G40" si="30">SUM(F36:F39)</f>
        <v>55.709605705855367</v>
      </c>
      <c r="G40" s="44">
        <f t="shared" si="30"/>
        <v>369.25315875034977</v>
      </c>
      <c r="H40" s="236"/>
      <c r="I40" s="44">
        <f>SUM(I36:I39)</f>
        <v>0</v>
      </c>
      <c r="J40" s="44">
        <f t="shared" ref="J40:AA40" si="31">SUM(J36:J39)</f>
        <v>20.793301332962844</v>
      </c>
      <c r="K40" s="44">
        <f t="shared" si="31"/>
        <v>0.12732766055223788</v>
      </c>
      <c r="L40" s="44">
        <f t="shared" si="31"/>
        <v>1.2212218661153409</v>
      </c>
      <c r="M40" s="44">
        <f t="shared" si="31"/>
        <v>42.120353832966359</v>
      </c>
      <c r="N40" s="44">
        <f t="shared" si="31"/>
        <v>0</v>
      </c>
      <c r="O40" s="44">
        <f t="shared" si="31"/>
        <v>0.84330501867379615</v>
      </c>
      <c r="P40" s="44">
        <f t="shared" si="31"/>
        <v>3.7351924464575674</v>
      </c>
      <c r="Q40" s="44">
        <f t="shared" si="31"/>
        <v>291.06005667959221</v>
      </c>
      <c r="R40" s="44">
        <f t="shared" si="31"/>
        <v>8.393840641685987</v>
      </c>
      <c r="S40" s="44">
        <f t="shared" si="31"/>
        <v>2.9891588820002264</v>
      </c>
      <c r="T40" s="44">
        <f t="shared" si="31"/>
        <v>294.69444868477945</v>
      </c>
      <c r="U40" s="44">
        <f t="shared" si="31"/>
        <v>0.10265559107639054</v>
      </c>
      <c r="V40" s="44">
        <f t="shared" si="31"/>
        <v>12.53402383310215</v>
      </c>
      <c r="W40" s="44">
        <f t="shared" si="31"/>
        <v>1.0538547003492837</v>
      </c>
      <c r="X40" s="44">
        <f t="shared" si="31"/>
        <v>64.58864949142189</v>
      </c>
      <c r="Y40" s="44">
        <f t="shared" si="31"/>
        <v>5.0136462615755439</v>
      </c>
      <c r="Z40" s="44">
        <f t="shared" si="31"/>
        <v>364.23951248877432</v>
      </c>
      <c r="AA40" s="44">
        <f t="shared" si="31"/>
        <v>369.25315875034983</v>
      </c>
      <c r="AB40"/>
    </row>
    <row r="41" spans="1:28" s="24" customFormat="1" x14ac:dyDescent="0.3">
      <c r="E41" s="44"/>
      <c r="F41" s="44"/>
      <c r="G41" s="44"/>
      <c r="H41" s="44"/>
      <c r="I41" s="44"/>
      <c r="J41" s="44"/>
      <c r="K41" s="44"/>
      <c r="L41" s="44"/>
      <c r="M41" s="44"/>
      <c r="N41" s="44"/>
      <c r="O41" s="44"/>
      <c r="P41" s="44"/>
      <c r="Q41" s="44"/>
      <c r="R41" s="44"/>
      <c r="S41" s="44"/>
      <c r="T41" s="44"/>
      <c r="U41" s="44"/>
      <c r="V41" s="44"/>
      <c r="W41" s="44"/>
      <c r="X41" s="44"/>
      <c r="Y41" s="44"/>
      <c r="Z41" s="44"/>
      <c r="AA41" s="44"/>
      <c r="AB41"/>
    </row>
    <row r="42" spans="1:28" s="24" customFormat="1" x14ac:dyDescent="0.3">
      <c r="A42"/>
      <c r="B42"/>
      <c r="C42"/>
      <c r="D42"/>
      <c r="E42" s="18"/>
      <c r="F42" s="18"/>
      <c r="G42" s="18"/>
      <c r="H42" s="44" t="s">
        <v>474</v>
      </c>
      <c r="I42" s="44" t="s">
        <v>315</v>
      </c>
      <c r="J42" s="44" t="s">
        <v>315</v>
      </c>
      <c r="K42" s="18"/>
      <c r="L42" s="18"/>
      <c r="M42" s="44" t="s">
        <v>316</v>
      </c>
      <c r="N42" s="44" t="s">
        <v>316</v>
      </c>
      <c r="O42" s="18"/>
      <c r="P42" s="18"/>
      <c r="Q42" s="44" t="s">
        <v>316</v>
      </c>
      <c r="R42" s="44" t="s">
        <v>316</v>
      </c>
      <c r="S42" s="18"/>
      <c r="T42" s="18"/>
      <c r="U42" s="44" t="s">
        <v>316</v>
      </c>
      <c r="V42" s="44" t="s">
        <v>316</v>
      </c>
      <c r="W42" s="18"/>
      <c r="X42" s="18"/>
      <c r="Y42" s="18"/>
      <c r="Z42" s="18"/>
      <c r="AA42" s="44" t="s">
        <v>3</v>
      </c>
      <c r="AB42"/>
    </row>
    <row r="43" spans="1:28" s="24" customFormat="1" x14ac:dyDescent="0.3">
      <c r="A43"/>
      <c r="B43"/>
      <c r="C43" s="1" t="s">
        <v>189</v>
      </c>
      <c r="D43"/>
      <c r="E43" s="44" t="s">
        <v>187</v>
      </c>
      <c r="F43" s="44" t="s">
        <v>188</v>
      </c>
      <c r="G43" s="44" t="s">
        <v>3</v>
      </c>
      <c r="H43" s="44" t="s">
        <v>201</v>
      </c>
      <c r="I43" s="44" t="s">
        <v>317</v>
      </c>
      <c r="J43" s="44" t="s">
        <v>317</v>
      </c>
      <c r="K43" s="18"/>
      <c r="L43" s="18"/>
      <c r="M43" s="44" t="s">
        <v>164</v>
      </c>
      <c r="N43" s="44" t="s">
        <v>164</v>
      </c>
      <c r="O43" s="18"/>
      <c r="P43" s="18"/>
      <c r="Q43" s="44" t="s">
        <v>317</v>
      </c>
      <c r="R43" s="44" t="s">
        <v>317</v>
      </c>
      <c r="S43" s="18"/>
      <c r="T43" s="18"/>
      <c r="U43" s="44" t="s">
        <v>318</v>
      </c>
      <c r="V43" s="44" t="s">
        <v>318</v>
      </c>
      <c r="W43" s="18"/>
      <c r="X43" s="18"/>
      <c r="Y43" s="44" t="s">
        <v>3</v>
      </c>
      <c r="Z43" s="44" t="s">
        <v>3</v>
      </c>
      <c r="AA43" s="44" t="s">
        <v>251</v>
      </c>
      <c r="AB43"/>
    </row>
    <row r="44" spans="1:28" s="24" customFormat="1" x14ac:dyDescent="0.3">
      <c r="A44" s="36" t="s">
        <v>14</v>
      </c>
      <c r="B44" s="36" t="s">
        <v>191</v>
      </c>
      <c r="C44" s="55" t="s">
        <v>190</v>
      </c>
      <c r="D44" s="55" t="s">
        <v>319</v>
      </c>
      <c r="E44" s="225" t="s">
        <v>251</v>
      </c>
      <c r="F44" s="225" t="s">
        <v>251</v>
      </c>
      <c r="G44" s="225" t="s">
        <v>251</v>
      </c>
      <c r="H44" s="225" t="s">
        <v>203</v>
      </c>
      <c r="I44" s="225" t="s">
        <v>192</v>
      </c>
      <c r="J44" s="225" t="s">
        <v>193</v>
      </c>
      <c r="K44" s="225" t="s">
        <v>194</v>
      </c>
      <c r="L44" s="225" t="s">
        <v>195</v>
      </c>
      <c r="M44" s="225" t="s">
        <v>192</v>
      </c>
      <c r="N44" s="225" t="s">
        <v>193</v>
      </c>
      <c r="O44" s="225" t="s">
        <v>194</v>
      </c>
      <c r="P44" s="225" t="s">
        <v>195</v>
      </c>
      <c r="Q44" s="225" t="s">
        <v>192</v>
      </c>
      <c r="R44" s="225" t="s">
        <v>193</v>
      </c>
      <c r="S44" s="225" t="s">
        <v>194</v>
      </c>
      <c r="T44" s="225" t="s">
        <v>195</v>
      </c>
      <c r="U44" s="225" t="s">
        <v>192</v>
      </c>
      <c r="V44" s="225" t="s">
        <v>193</v>
      </c>
      <c r="W44" s="225" t="s">
        <v>194</v>
      </c>
      <c r="X44" s="225" t="s">
        <v>195</v>
      </c>
      <c r="Y44" s="225" t="s">
        <v>194</v>
      </c>
      <c r="Z44" s="225" t="s">
        <v>195</v>
      </c>
      <c r="AA44" s="225" t="s">
        <v>196</v>
      </c>
      <c r="AB44"/>
    </row>
    <row r="45" spans="1:28" s="24" customFormat="1" x14ac:dyDescent="0.3">
      <c r="A45" s="134" t="s">
        <v>469</v>
      </c>
      <c r="B45" s="134" t="s">
        <v>159</v>
      </c>
      <c r="C45" s="223" t="s">
        <v>307</v>
      </c>
      <c r="D45" s="223" t="s">
        <v>366</v>
      </c>
      <c r="E45" s="18">
        <v>0</v>
      </c>
      <c r="F45" s="18">
        <v>0</v>
      </c>
      <c r="G45" s="18">
        <v>0</v>
      </c>
      <c r="H45" s="331">
        <v>0</v>
      </c>
      <c r="I45" s="18">
        <v>0</v>
      </c>
      <c r="J45" s="18">
        <v>0</v>
      </c>
      <c r="K45" s="18">
        <v>0</v>
      </c>
      <c r="L45" s="18">
        <v>0</v>
      </c>
      <c r="M45" s="18">
        <v>0</v>
      </c>
      <c r="N45" s="18">
        <v>0</v>
      </c>
      <c r="O45" s="18">
        <v>0</v>
      </c>
      <c r="P45" s="18">
        <v>0</v>
      </c>
      <c r="Q45" s="18">
        <v>0</v>
      </c>
      <c r="R45" s="18">
        <v>0</v>
      </c>
      <c r="S45" s="18">
        <f>(Q45+R45)*H45</f>
        <v>0</v>
      </c>
      <c r="T45" s="18">
        <v>0</v>
      </c>
      <c r="U45" s="18">
        <v>0</v>
      </c>
      <c r="V45" s="18">
        <v>0</v>
      </c>
      <c r="W45" s="18">
        <v>0</v>
      </c>
      <c r="X45" s="18">
        <v>0</v>
      </c>
      <c r="Y45" s="18">
        <f t="shared" ref="Y45:Y48" si="32">K45+O45+S45+W45</f>
        <v>0</v>
      </c>
      <c r="Z45" s="18">
        <f t="shared" ref="Z45:Z48" si="33">L45+P45+T45+X45</f>
        <v>0</v>
      </c>
      <c r="AA45" s="44">
        <f t="shared" ref="AA45:AA48" si="34">Y45+Z45</f>
        <v>0</v>
      </c>
      <c r="AB45"/>
    </row>
    <row r="46" spans="1:28" s="24" customFormat="1" x14ac:dyDescent="0.3">
      <c r="A46" s="134" t="s">
        <v>469</v>
      </c>
      <c r="B46" s="134" t="s">
        <v>159</v>
      </c>
      <c r="C46" s="223" t="s">
        <v>592</v>
      </c>
      <c r="D46" s="223" t="s">
        <v>366</v>
      </c>
      <c r="E46" s="18">
        <v>0</v>
      </c>
      <c r="F46" s="18">
        <v>0</v>
      </c>
      <c r="G46" s="18">
        <v>0</v>
      </c>
      <c r="H46" s="331">
        <v>0</v>
      </c>
      <c r="I46" s="18">
        <v>0</v>
      </c>
      <c r="J46" s="18">
        <v>0</v>
      </c>
      <c r="K46" s="18">
        <v>0</v>
      </c>
      <c r="L46" s="18">
        <v>0</v>
      </c>
      <c r="M46" s="18">
        <v>0</v>
      </c>
      <c r="N46" s="18">
        <v>0</v>
      </c>
      <c r="O46" s="18">
        <v>0</v>
      </c>
      <c r="P46" s="18">
        <v>0</v>
      </c>
      <c r="Q46" s="18">
        <v>0</v>
      </c>
      <c r="R46" s="18">
        <v>0</v>
      </c>
      <c r="S46" s="18">
        <f>(Q46+R46)*H46</f>
        <v>0</v>
      </c>
      <c r="T46" s="18">
        <v>0</v>
      </c>
      <c r="U46" s="18">
        <v>0</v>
      </c>
      <c r="V46" s="18">
        <v>0</v>
      </c>
      <c r="W46" s="18">
        <v>0</v>
      </c>
      <c r="X46" s="18">
        <v>0</v>
      </c>
      <c r="Y46" s="18">
        <f t="shared" si="32"/>
        <v>0</v>
      </c>
      <c r="Z46" s="18">
        <f t="shared" si="33"/>
        <v>0</v>
      </c>
      <c r="AA46" s="44">
        <f t="shared" si="34"/>
        <v>0</v>
      </c>
      <c r="AB46"/>
    </row>
    <row r="47" spans="1:28" s="24" customFormat="1" x14ac:dyDescent="0.3">
      <c r="A47" s="134" t="s">
        <v>469</v>
      </c>
      <c r="B47" s="134" t="s">
        <v>159</v>
      </c>
      <c r="C47" s="223" t="s">
        <v>199</v>
      </c>
      <c r="D47" s="223" t="s">
        <v>366</v>
      </c>
      <c r="E47" s="18">
        <v>0</v>
      </c>
      <c r="F47" s="18">
        <v>0</v>
      </c>
      <c r="G47" s="18">
        <v>0</v>
      </c>
      <c r="H47" s="331">
        <v>0</v>
      </c>
      <c r="I47" s="18">
        <v>0</v>
      </c>
      <c r="J47" s="18">
        <v>0</v>
      </c>
      <c r="K47" s="18">
        <v>0</v>
      </c>
      <c r="L47" s="18">
        <v>0</v>
      </c>
      <c r="M47" s="18">
        <v>0</v>
      </c>
      <c r="N47" s="18">
        <v>0</v>
      </c>
      <c r="O47" s="18">
        <v>0</v>
      </c>
      <c r="P47" s="18">
        <v>0</v>
      </c>
      <c r="Q47" s="18">
        <v>0</v>
      </c>
      <c r="R47" s="18">
        <v>0</v>
      </c>
      <c r="S47" s="18">
        <f>(Q47+R47)*H47</f>
        <v>0</v>
      </c>
      <c r="T47" s="18">
        <v>0</v>
      </c>
      <c r="U47" s="18">
        <v>0</v>
      </c>
      <c r="V47" s="18">
        <v>0</v>
      </c>
      <c r="W47" s="18">
        <v>0</v>
      </c>
      <c r="X47" s="18">
        <v>0</v>
      </c>
      <c r="Y47" s="18">
        <f t="shared" si="32"/>
        <v>0</v>
      </c>
      <c r="Z47" s="18">
        <f t="shared" si="33"/>
        <v>0</v>
      </c>
      <c r="AA47" s="44">
        <f t="shared" si="34"/>
        <v>0</v>
      </c>
      <c r="AB47"/>
    </row>
    <row r="48" spans="1:28" s="24" customFormat="1" x14ac:dyDescent="0.3">
      <c r="A48" s="134" t="s">
        <v>469</v>
      </c>
      <c r="B48" s="134" t="s">
        <v>159</v>
      </c>
      <c r="C48" s="307" t="s">
        <v>471</v>
      </c>
      <c r="D48" s="223" t="s">
        <v>366</v>
      </c>
      <c r="E48" s="18">
        <v>0</v>
      </c>
      <c r="F48" s="18">
        <v>0</v>
      </c>
      <c r="G48" s="18">
        <v>0</v>
      </c>
      <c r="H48" s="331">
        <v>0</v>
      </c>
      <c r="I48" s="18">
        <v>0</v>
      </c>
      <c r="J48" s="18">
        <v>0</v>
      </c>
      <c r="K48" s="18">
        <v>0</v>
      </c>
      <c r="L48" s="18">
        <v>0</v>
      </c>
      <c r="M48" s="18">
        <v>0</v>
      </c>
      <c r="N48" s="18">
        <v>0</v>
      </c>
      <c r="O48" s="18">
        <v>0</v>
      </c>
      <c r="P48" s="18">
        <v>0</v>
      </c>
      <c r="Q48" s="18">
        <v>0</v>
      </c>
      <c r="R48" s="18">
        <v>0</v>
      </c>
      <c r="S48" s="18">
        <f>(Q48+R48)*H48</f>
        <v>0</v>
      </c>
      <c r="T48" s="18">
        <v>0</v>
      </c>
      <c r="U48" s="18">
        <v>0</v>
      </c>
      <c r="V48" s="18">
        <v>0</v>
      </c>
      <c r="W48" s="18">
        <v>0</v>
      </c>
      <c r="X48" s="18">
        <v>0</v>
      </c>
      <c r="Y48" s="18">
        <f t="shared" si="32"/>
        <v>0</v>
      </c>
      <c r="Z48" s="18">
        <f t="shared" si="33"/>
        <v>0</v>
      </c>
      <c r="AA48" s="44">
        <f t="shared" si="34"/>
        <v>0</v>
      </c>
      <c r="AB48"/>
    </row>
    <row r="49" spans="1:28" s="24" customFormat="1" x14ac:dyDescent="0.3">
      <c r="A49" s="24" t="s">
        <v>3</v>
      </c>
      <c r="E49" s="44">
        <f>SUM(E45:E48)</f>
        <v>0</v>
      </c>
      <c r="F49" s="44">
        <f>SUM(F45:F48)</f>
        <v>0</v>
      </c>
      <c r="G49" s="44">
        <f>SUM(G45:G48)</f>
        <v>0</v>
      </c>
      <c r="H49" s="44"/>
      <c r="I49" s="44">
        <f>SUM(I45:I48)</f>
        <v>0</v>
      </c>
      <c r="J49" s="44">
        <f t="shared" ref="J49:AA49" si="35">SUM(J45:J48)</f>
        <v>0</v>
      </c>
      <c r="K49" s="44">
        <f t="shared" si="35"/>
        <v>0</v>
      </c>
      <c r="L49" s="44">
        <f t="shared" si="35"/>
        <v>0</v>
      </c>
      <c r="M49" s="44">
        <f t="shared" si="35"/>
        <v>0</v>
      </c>
      <c r="N49" s="44">
        <f t="shared" si="35"/>
        <v>0</v>
      </c>
      <c r="O49" s="44">
        <f t="shared" si="35"/>
        <v>0</v>
      </c>
      <c r="P49" s="44">
        <f t="shared" si="35"/>
        <v>0</v>
      </c>
      <c r="Q49" s="44">
        <f t="shared" si="35"/>
        <v>0</v>
      </c>
      <c r="R49" s="44">
        <f t="shared" si="35"/>
        <v>0</v>
      </c>
      <c r="S49" s="44">
        <f t="shared" si="35"/>
        <v>0</v>
      </c>
      <c r="T49" s="44">
        <v>0</v>
      </c>
      <c r="U49" s="44">
        <f t="shared" si="35"/>
        <v>0</v>
      </c>
      <c r="V49" s="44">
        <f t="shared" si="35"/>
        <v>0</v>
      </c>
      <c r="W49" s="44">
        <f t="shared" si="35"/>
        <v>0</v>
      </c>
      <c r="X49" s="44">
        <f t="shared" si="35"/>
        <v>0</v>
      </c>
      <c r="Y49" s="44">
        <f t="shared" si="35"/>
        <v>0</v>
      </c>
      <c r="Z49" s="44">
        <f t="shared" si="35"/>
        <v>0</v>
      </c>
      <c r="AA49" s="44">
        <f t="shared" si="35"/>
        <v>0</v>
      </c>
      <c r="AB49"/>
    </row>
    <row r="50" spans="1:28" s="24" customFormat="1" x14ac:dyDescent="0.3">
      <c r="E50" s="44"/>
      <c r="F50" s="44"/>
      <c r="G50" s="44"/>
      <c r="H50" s="44"/>
      <c r="I50" s="44"/>
      <c r="J50" s="44"/>
      <c r="K50" s="44"/>
      <c r="L50" s="44"/>
      <c r="M50" s="44"/>
      <c r="N50" s="44"/>
      <c r="O50" s="44"/>
      <c r="P50" s="44"/>
      <c r="Q50" s="44"/>
      <c r="R50" s="44"/>
      <c r="S50" s="44"/>
      <c r="T50" s="44"/>
      <c r="U50" s="44"/>
      <c r="V50" s="44"/>
      <c r="W50" s="44"/>
      <c r="X50" s="44"/>
      <c r="Y50" s="44"/>
      <c r="Z50" s="44"/>
      <c r="AA50" s="44"/>
      <c r="AB50"/>
    </row>
    <row r="51" spans="1:28" x14ac:dyDescent="0.3">
      <c r="I51" s="44" t="s">
        <v>315</v>
      </c>
      <c r="J51" s="44" t="s">
        <v>315</v>
      </c>
      <c r="M51" s="44" t="s">
        <v>316</v>
      </c>
      <c r="N51" s="44" t="s">
        <v>316</v>
      </c>
      <c r="Q51" s="44" t="s">
        <v>316</v>
      </c>
      <c r="R51" s="44" t="s">
        <v>316</v>
      </c>
      <c r="U51" s="44" t="s">
        <v>316</v>
      </c>
      <c r="V51" s="44" t="s">
        <v>316</v>
      </c>
      <c r="AA51" s="44" t="s">
        <v>3</v>
      </c>
    </row>
    <row r="52" spans="1:28" x14ac:dyDescent="0.3">
      <c r="C52" s="1" t="s">
        <v>189</v>
      </c>
      <c r="E52" s="44" t="s">
        <v>187</v>
      </c>
      <c r="F52" s="44" t="s">
        <v>188</v>
      </c>
      <c r="G52" s="44" t="s">
        <v>3</v>
      </c>
      <c r="H52" s="44"/>
      <c r="I52" s="44" t="s">
        <v>317</v>
      </c>
      <c r="J52" s="44" t="s">
        <v>317</v>
      </c>
      <c r="M52" s="44" t="s">
        <v>164</v>
      </c>
      <c r="N52" s="44" t="s">
        <v>164</v>
      </c>
      <c r="Q52" s="44" t="s">
        <v>317</v>
      </c>
      <c r="R52" s="44" t="s">
        <v>317</v>
      </c>
      <c r="U52" s="44" t="s">
        <v>318</v>
      </c>
      <c r="V52" s="44" t="s">
        <v>318</v>
      </c>
      <c r="Y52" s="44" t="s">
        <v>3</v>
      </c>
      <c r="Z52" s="44" t="s">
        <v>3</v>
      </c>
      <c r="AA52" s="44" t="s">
        <v>251</v>
      </c>
    </row>
    <row r="53" spans="1:28" x14ac:dyDescent="0.3">
      <c r="A53" s="36" t="s">
        <v>14</v>
      </c>
      <c r="B53" s="36" t="s">
        <v>191</v>
      </c>
      <c r="C53" s="55" t="s">
        <v>190</v>
      </c>
      <c r="D53" s="55" t="s">
        <v>319</v>
      </c>
      <c r="E53" s="225" t="s">
        <v>251</v>
      </c>
      <c r="F53" s="225" t="s">
        <v>251</v>
      </c>
      <c r="G53" s="225" t="s">
        <v>251</v>
      </c>
      <c r="H53" s="225"/>
      <c r="I53" s="225" t="s">
        <v>192</v>
      </c>
      <c r="J53" s="225" t="s">
        <v>193</v>
      </c>
      <c r="K53" s="225" t="s">
        <v>194</v>
      </c>
      <c r="L53" s="225" t="s">
        <v>195</v>
      </c>
      <c r="M53" s="225" t="s">
        <v>192</v>
      </c>
      <c r="N53" s="225" t="s">
        <v>193</v>
      </c>
      <c r="O53" s="225" t="s">
        <v>194</v>
      </c>
      <c r="P53" s="225" t="s">
        <v>195</v>
      </c>
      <c r="Q53" s="225" t="s">
        <v>192</v>
      </c>
      <c r="R53" s="225" t="s">
        <v>193</v>
      </c>
      <c r="S53" s="225" t="s">
        <v>194</v>
      </c>
      <c r="T53" s="225" t="s">
        <v>195</v>
      </c>
      <c r="U53" s="225" t="s">
        <v>192</v>
      </c>
      <c r="V53" s="225" t="s">
        <v>193</v>
      </c>
      <c r="W53" s="225" t="s">
        <v>194</v>
      </c>
      <c r="X53" s="225" t="s">
        <v>195</v>
      </c>
      <c r="Y53" s="225" t="s">
        <v>194</v>
      </c>
      <c r="Z53" s="225" t="s">
        <v>195</v>
      </c>
      <c r="AA53" s="225" t="s">
        <v>196</v>
      </c>
    </row>
    <row r="54" spans="1:28" x14ac:dyDescent="0.3">
      <c r="A54" s="134" t="s">
        <v>311</v>
      </c>
      <c r="B54" s="134" t="s">
        <v>159</v>
      </c>
      <c r="C54" s="134" t="s">
        <v>307</v>
      </c>
      <c r="D54" s="134" t="s">
        <v>307</v>
      </c>
      <c r="E54" s="18">
        <f>IF(AND('FY VOLUME AUTO'!$H$10&lt;&gt;0,'FY VOLUME AUTO'!I8&lt;&gt;0),(10000*'FY VOLUME AUTO'!F8/'FY VOLUME AUTO'!$H$10)/'FY VOLUME AUTO'!I8,0)</f>
        <v>121.85516592073935</v>
      </c>
      <c r="F54" s="18">
        <f>IF(AND('FY VOLUME AUTO'!$H$10&lt;&gt;0,'FY VOLUME AUTO'!J8&lt;&gt;0),(10000*'FY VOLUME AUTO'!G8/'FY VOLUME AUTO'!$H$10)/'FY VOLUME AUTO'!J8,0)</f>
        <v>315.26282804789935</v>
      </c>
      <c r="G54" s="18">
        <f>E54+F54</f>
        <v>437.1179939686387</v>
      </c>
      <c r="H54" s="331">
        <f>(E54*'BUNDLE DATA'!$D$8+'BUNDLE SORT'!F54*'BUNDLE DATA'!$D$12)/G54</f>
        <v>7.6403977162072201E-2</v>
      </c>
      <c r="I54" s="309">
        <f>G54*'BUNDLE DATA'!$D$20*'BUNDLE DATA'!$C$20</f>
        <v>0</v>
      </c>
      <c r="J54" s="309">
        <f>G54*(1-'BUNDLE DATA'!$D$20)*'BUNDLE DATA'!$C$20</f>
        <v>437.1179939686387</v>
      </c>
      <c r="K54" s="309">
        <f>G54*H54</f>
        <v>33.397553228310684</v>
      </c>
      <c r="L54" s="309">
        <f>(I54+J54-K54)*'BUNDLE DENSITIES'!$E$7</f>
        <v>403.720440740328</v>
      </c>
      <c r="M54" s="309">
        <v>0</v>
      </c>
      <c r="N54" s="309">
        <v>0</v>
      </c>
      <c r="O54" s="309">
        <v>0</v>
      </c>
      <c r="P54" s="309">
        <v>0</v>
      </c>
      <c r="Q54" s="309">
        <v>0</v>
      </c>
      <c r="R54" s="309">
        <v>0</v>
      </c>
      <c r="S54" s="309">
        <v>0</v>
      </c>
      <c r="T54" s="309">
        <v>0</v>
      </c>
      <c r="U54" s="309">
        <v>0</v>
      </c>
      <c r="V54" s="309">
        <v>0</v>
      </c>
      <c r="W54" s="309">
        <v>0</v>
      </c>
      <c r="X54" s="309">
        <v>0</v>
      </c>
      <c r="Y54" s="18">
        <f t="shared" ref="Y54:Z55" si="36">K54+O54+S54+W54</f>
        <v>33.397553228310684</v>
      </c>
      <c r="Z54" s="18">
        <f t="shared" si="36"/>
        <v>403.720440740328</v>
      </c>
      <c r="AA54" s="44">
        <f>Y54+Z54</f>
        <v>437.1179939686387</v>
      </c>
    </row>
    <row r="55" spans="1:28" x14ac:dyDescent="0.3">
      <c r="A55" s="134" t="s">
        <v>311</v>
      </c>
      <c r="B55" s="134" t="s">
        <v>159</v>
      </c>
      <c r="C55" s="223" t="s">
        <v>592</v>
      </c>
      <c r="D55" s="134" t="s">
        <v>307</v>
      </c>
      <c r="E55" s="18">
        <f>IF(AND('FY VOLUME AUTO'!$H$10&lt;&gt;0,'FY VOLUME AUTO'!I9&lt;&gt;0),(10000*'FY VOLUME AUTO'!F9/'FY VOLUME AUTO'!$H$10)/'FY VOLUME AUTO'!I9,0)</f>
        <v>10.177451079561632</v>
      </c>
      <c r="F55" s="18">
        <f>IF(AND('FY VOLUME AUTO'!$H$10&lt;&gt;0,'FY VOLUME AUTO'!J9&lt;&gt;0),(10000*'FY VOLUME AUTO'!G9/'FY VOLUME AUTO'!$H$10)/'FY VOLUME AUTO'!J9,0)</f>
        <v>0</v>
      </c>
      <c r="G55" s="18">
        <f>E55+F55</f>
        <v>10.177451079561632</v>
      </c>
      <c r="H55" s="331">
        <f>(E55*'BUNDLE DATA'!$D$8+'BUNDLE SORT'!F55*'BUNDLE DATA'!$D$12)/G55</f>
        <v>6.1234942212081587E-3</v>
      </c>
      <c r="I55" s="309">
        <f>G55*'BUNDLE DATA'!$D$20*'BUNDLE DATA'!$C$20</f>
        <v>0</v>
      </c>
      <c r="J55" s="309">
        <f>G55*(1-'BUNDLE DATA'!$D$20)*'BUNDLE DATA'!$C$20</f>
        <v>10.177451079561632</v>
      </c>
      <c r="K55" s="309">
        <f>G55*H55</f>
        <v>6.232156287232439E-2</v>
      </c>
      <c r="L55" s="309">
        <f>(I55+J55-K55)*'BUNDLE DENSITIES'!$E$7</f>
        <v>10.115129516689308</v>
      </c>
      <c r="M55" s="309">
        <v>0</v>
      </c>
      <c r="N55" s="309">
        <v>0</v>
      </c>
      <c r="O55" s="309">
        <v>0</v>
      </c>
      <c r="P55" s="309">
        <v>0</v>
      </c>
      <c r="Q55" s="309">
        <v>0</v>
      </c>
      <c r="R55" s="309">
        <v>0</v>
      </c>
      <c r="S55" s="309">
        <v>0</v>
      </c>
      <c r="T55" s="309">
        <v>0</v>
      </c>
      <c r="U55" s="309">
        <v>0</v>
      </c>
      <c r="V55" s="309">
        <v>0</v>
      </c>
      <c r="W55" s="309">
        <v>0</v>
      </c>
      <c r="X55" s="309">
        <v>0</v>
      </c>
      <c r="Y55" s="18">
        <f t="shared" si="36"/>
        <v>6.232156287232439E-2</v>
      </c>
      <c r="Z55" s="18">
        <f t="shared" si="36"/>
        <v>10.115129516689308</v>
      </c>
      <c r="AA55" s="44">
        <f>Y55+Z55</f>
        <v>10.177451079561632</v>
      </c>
    </row>
    <row r="56" spans="1:28" s="24" customFormat="1" x14ac:dyDescent="0.3">
      <c r="B56" s="24" t="s">
        <v>3</v>
      </c>
      <c r="E56" s="44">
        <f t="shared" ref="E56:AA56" si="37">SUM(E54:E55)</f>
        <v>132.03261700030097</v>
      </c>
      <c r="F56" s="44">
        <f t="shared" si="37"/>
        <v>315.26282804789935</v>
      </c>
      <c r="G56" s="44">
        <f t="shared" si="37"/>
        <v>447.29544504820035</v>
      </c>
      <c r="H56" s="44"/>
      <c r="I56" s="44">
        <f t="shared" si="37"/>
        <v>0</v>
      </c>
      <c r="J56" s="44">
        <f t="shared" si="37"/>
        <v>447.29544504820035</v>
      </c>
      <c r="K56" s="44">
        <f t="shared" si="37"/>
        <v>33.459874791183012</v>
      </c>
      <c r="L56" s="44">
        <f t="shared" si="37"/>
        <v>413.83557025701731</v>
      </c>
      <c r="M56" s="44">
        <f t="shared" si="37"/>
        <v>0</v>
      </c>
      <c r="N56" s="44">
        <f t="shared" si="37"/>
        <v>0</v>
      </c>
      <c r="O56" s="44">
        <f t="shared" si="37"/>
        <v>0</v>
      </c>
      <c r="P56" s="44">
        <f t="shared" si="37"/>
        <v>0</v>
      </c>
      <c r="Q56" s="44">
        <f t="shared" si="37"/>
        <v>0</v>
      </c>
      <c r="R56" s="44">
        <f t="shared" si="37"/>
        <v>0</v>
      </c>
      <c r="S56" s="44">
        <f t="shared" si="37"/>
        <v>0</v>
      </c>
      <c r="T56" s="44">
        <f t="shared" si="37"/>
        <v>0</v>
      </c>
      <c r="U56" s="44">
        <f t="shared" si="37"/>
        <v>0</v>
      </c>
      <c r="V56" s="44">
        <f t="shared" si="37"/>
        <v>0</v>
      </c>
      <c r="W56" s="44">
        <f t="shared" si="37"/>
        <v>0</v>
      </c>
      <c r="X56" s="44">
        <f t="shared" si="37"/>
        <v>0</v>
      </c>
      <c r="Y56" s="44">
        <f t="shared" si="37"/>
        <v>33.459874791183012</v>
      </c>
      <c r="Z56" s="44">
        <f t="shared" si="37"/>
        <v>413.83557025701731</v>
      </c>
      <c r="AA56" s="44">
        <f t="shared" si="37"/>
        <v>447.29544504820035</v>
      </c>
      <c r="AB56"/>
    </row>
    <row r="58" spans="1:28" x14ac:dyDescent="0.3">
      <c r="I58" s="44" t="s">
        <v>315</v>
      </c>
      <c r="J58" s="44" t="s">
        <v>315</v>
      </c>
      <c r="M58" s="44" t="s">
        <v>316</v>
      </c>
      <c r="N58" s="44" t="s">
        <v>316</v>
      </c>
      <c r="Q58" s="44" t="s">
        <v>316</v>
      </c>
      <c r="R58" s="44" t="s">
        <v>316</v>
      </c>
      <c r="U58" s="44" t="s">
        <v>316</v>
      </c>
      <c r="V58" s="44" t="s">
        <v>316</v>
      </c>
      <c r="AA58" s="44" t="s">
        <v>3</v>
      </c>
    </row>
    <row r="59" spans="1:28" x14ac:dyDescent="0.3">
      <c r="C59" s="1" t="s">
        <v>189</v>
      </c>
      <c r="E59" s="44" t="s">
        <v>187</v>
      </c>
      <c r="F59" s="44" t="s">
        <v>188</v>
      </c>
      <c r="G59" s="44" t="s">
        <v>3</v>
      </c>
      <c r="H59" s="44"/>
      <c r="I59" s="44" t="s">
        <v>317</v>
      </c>
      <c r="J59" s="44" t="s">
        <v>317</v>
      </c>
      <c r="M59" s="44" t="s">
        <v>164</v>
      </c>
      <c r="N59" s="44" t="s">
        <v>164</v>
      </c>
      <c r="Q59" s="44" t="s">
        <v>317</v>
      </c>
      <c r="R59" s="44" t="s">
        <v>317</v>
      </c>
      <c r="U59" s="44" t="s">
        <v>318</v>
      </c>
      <c r="V59" s="44" t="s">
        <v>318</v>
      </c>
      <c r="Y59" s="44" t="s">
        <v>3</v>
      </c>
      <c r="Z59" s="44" t="s">
        <v>3</v>
      </c>
      <c r="AA59" s="44" t="s">
        <v>251</v>
      </c>
    </row>
    <row r="60" spans="1:28" x14ac:dyDescent="0.3">
      <c r="A60" s="36" t="s">
        <v>14</v>
      </c>
      <c r="B60" s="36" t="s">
        <v>191</v>
      </c>
      <c r="C60" s="55" t="s">
        <v>190</v>
      </c>
      <c r="D60" s="55" t="s">
        <v>319</v>
      </c>
      <c r="E60" s="225" t="s">
        <v>251</v>
      </c>
      <c r="F60" s="225" t="s">
        <v>251</v>
      </c>
      <c r="G60" s="225" t="s">
        <v>251</v>
      </c>
      <c r="H60" s="225"/>
      <c r="I60" s="225" t="s">
        <v>192</v>
      </c>
      <c r="J60" s="225" t="s">
        <v>193</v>
      </c>
      <c r="K60" s="225" t="s">
        <v>194</v>
      </c>
      <c r="L60" s="225" t="s">
        <v>195</v>
      </c>
      <c r="M60" s="225" t="s">
        <v>192</v>
      </c>
      <c r="N60" s="225" t="s">
        <v>193</v>
      </c>
      <c r="O60" s="225" t="s">
        <v>194</v>
      </c>
      <c r="P60" s="225" t="s">
        <v>195</v>
      </c>
      <c r="Q60" s="225" t="s">
        <v>192</v>
      </c>
      <c r="R60" s="225" t="s">
        <v>193</v>
      </c>
      <c r="S60" s="225" t="s">
        <v>194</v>
      </c>
      <c r="T60" s="225" t="s">
        <v>195</v>
      </c>
      <c r="U60" s="225" t="s">
        <v>192</v>
      </c>
      <c r="V60" s="225" t="s">
        <v>193</v>
      </c>
      <c r="W60" s="225" t="s">
        <v>194</v>
      </c>
      <c r="X60" s="225" t="s">
        <v>195</v>
      </c>
      <c r="Y60" s="225" t="s">
        <v>194</v>
      </c>
      <c r="Z60" s="225" t="s">
        <v>195</v>
      </c>
      <c r="AA60" s="225" t="s">
        <v>196</v>
      </c>
    </row>
    <row r="61" spans="1:28" x14ac:dyDescent="0.3">
      <c r="A61" s="134" t="s">
        <v>312</v>
      </c>
      <c r="B61" s="134" t="s">
        <v>159</v>
      </c>
      <c r="C61" s="223" t="s">
        <v>307</v>
      </c>
      <c r="D61" s="223" t="s">
        <v>198</v>
      </c>
      <c r="E61" s="18">
        <f>IF(AND('FY VOLUME AUTO'!$H$18&lt;&gt;0,'FY VOLUME AUTO'!I15&lt;&gt;0),(10000*'FY VOLUME AUTO'!F15/'FY VOLUME AUTO'!$H$18)/'FY VOLUME AUTO'!I15,0)</f>
        <v>253.69420154654662</v>
      </c>
      <c r="F61" s="18">
        <f>IF(AND('FY VOLUME AUTO'!$H$18&lt;&gt;0,'FY VOLUME AUTO'!J15&lt;&gt;0),(10000*'FY VOLUME AUTO'!G15/'FY VOLUME AUTO'!$H$18)/'FY VOLUME AUTO'!J15,0)</f>
        <v>309.78537609772587</v>
      </c>
      <c r="G61" s="18">
        <f>E61+F61</f>
        <v>563.47957764427247</v>
      </c>
      <c r="H61" s="331">
        <f>(E61*'BUNDLE DATA'!$D$8+'BUNDLE SORT'!F61*'BUNDLE DATA'!$D$12)/G61</f>
        <v>5.9696175938848385E-2</v>
      </c>
      <c r="I61" s="18">
        <f>G61*'BUNDLE DATA'!$D$22*'BUNDLE DATA'!$C$22</f>
        <v>0</v>
      </c>
      <c r="J61" s="18">
        <f>G61*(1-'BUNDLE DATA'!$D$22)*'BUNDLE DATA'!$C$22</f>
        <v>563.47957764427247</v>
      </c>
      <c r="K61" s="18">
        <f>G61*H61</f>
        <v>33.637576005000469</v>
      </c>
      <c r="L61" s="18">
        <f>G61*(1-$H$61)*'BUNDLE DENSITIES'!$G$7</f>
        <v>34.832881009563813</v>
      </c>
      <c r="M61" s="18">
        <f>G61*(1-$H$61)*'BUNDLE DENSITIES'!$G$8*'BUNDLE DATA'!$D$30*'BUNDLE DATA'!$C$30</f>
        <v>495.00912062970815</v>
      </c>
      <c r="N61" s="18">
        <f>G61*(1-$H$61)*'BUNDLE DENSITIES'!$G$8*(1-'BUNDLE DATA'!$D$30)*'BUNDLE DATA'!$C$30</f>
        <v>0</v>
      </c>
      <c r="O61" s="18">
        <f>G61*(1-$H$61)*'BUNDLE DATA'!$E$12*'BUNDLE DENSITIES'!$G$8</f>
        <v>18.160707469031234</v>
      </c>
      <c r="P61" s="18">
        <f>G61*(1-$H$61)*(1-'BUNDLE DATA'!$E$12)*'BUNDLE DENSITIES'!$G$8*'BUNDLE DENSITIES'!$G$15</f>
        <v>476.84841316067696</v>
      </c>
      <c r="Q61" s="18">
        <v>0</v>
      </c>
      <c r="R61" s="18">
        <v>0</v>
      </c>
      <c r="S61" s="18">
        <v>0</v>
      </c>
      <c r="T61" s="18">
        <v>0</v>
      </c>
      <c r="U61" s="18">
        <v>0</v>
      </c>
      <c r="V61" s="18">
        <v>0</v>
      </c>
      <c r="W61" s="18">
        <v>0</v>
      </c>
      <c r="X61" s="18">
        <v>0</v>
      </c>
      <c r="Y61" s="18">
        <f t="shared" ref="Y61:Z62" si="38">K61+O61+S61+W61</f>
        <v>51.798283474031706</v>
      </c>
      <c r="Z61" s="18">
        <f t="shared" si="38"/>
        <v>511.68129417024079</v>
      </c>
      <c r="AA61" s="44">
        <f>Y61+Z61</f>
        <v>563.47957764427247</v>
      </c>
    </row>
    <row r="62" spans="1:28" x14ac:dyDescent="0.3">
      <c r="A62" s="134" t="s">
        <v>312</v>
      </c>
      <c r="B62" s="134" t="s">
        <v>159</v>
      </c>
      <c r="C62" s="223" t="s">
        <v>592</v>
      </c>
      <c r="D62" s="223" t="s">
        <v>198</v>
      </c>
      <c r="E62" s="18">
        <f>IF(AND('FY VOLUME AUTO'!$H$18&lt;&gt;0,'FY VOLUME AUTO'!I16&lt;&gt;0),(10000*'FY VOLUME AUTO'!F16/'FY VOLUME AUTO'!$H$18)/'FY VOLUME AUTO'!I16,0)</f>
        <v>50.867107281884181</v>
      </c>
      <c r="F62" s="18">
        <f>IF(AND('FY VOLUME AUTO'!$H$18&lt;&gt;0,'FY VOLUME AUTO'!J16&lt;&gt;0),(10000*'FY VOLUME AUTO'!G16/'FY VOLUME AUTO'!$H$18)/'FY VOLUME AUTO'!J16,0)</f>
        <v>49.820133807216273</v>
      </c>
      <c r="G62" s="18">
        <f>E62+F62</f>
        <v>100.68724108910045</v>
      </c>
      <c r="H62" s="331">
        <f>(E62*'BUNDLE DATA'!$D$8+'BUNDLE SORT'!F62*'BUNDLE DATA'!$D$12)/G62</f>
        <v>5.4339485878431494E-2</v>
      </c>
      <c r="I62" s="18">
        <v>0</v>
      </c>
      <c r="J62" s="18">
        <v>0</v>
      </c>
      <c r="K62" s="18">
        <v>0</v>
      </c>
      <c r="L62" s="18">
        <v>0</v>
      </c>
      <c r="M62" s="18">
        <f>G62*'BUNDLE DATA'!$D$30*'BUNDLE DATA'!$C$30</f>
        <v>100.68724108910045</v>
      </c>
      <c r="N62" s="18">
        <f>G62*(1-'BUNDLE DATA'!$D$30)*'BUNDLE DATA'!$C$30</f>
        <v>0</v>
      </c>
      <c r="O62" s="18">
        <f>G62*H62</f>
        <v>5.4712929152994016</v>
      </c>
      <c r="P62" s="18">
        <f>(E62*(1-'BUNDLE DATA'!$D$8)+F62*(1-'BUNDLE DATA'!$D$12))*'BUNDLE DENSITIES'!$G$15</f>
        <v>95.215948173801053</v>
      </c>
      <c r="Q62" s="18">
        <v>0</v>
      </c>
      <c r="R62" s="18">
        <v>0</v>
      </c>
      <c r="S62" s="18">
        <v>0</v>
      </c>
      <c r="T62" s="18">
        <v>0</v>
      </c>
      <c r="U62" s="18">
        <v>0</v>
      </c>
      <c r="V62" s="18">
        <v>0</v>
      </c>
      <c r="W62" s="18">
        <v>0</v>
      </c>
      <c r="X62" s="18">
        <v>0</v>
      </c>
      <c r="Y62" s="18">
        <f t="shared" si="38"/>
        <v>5.4712929152994016</v>
      </c>
      <c r="Z62" s="18">
        <f t="shared" si="38"/>
        <v>95.215948173801053</v>
      </c>
      <c r="AA62" s="44">
        <f>Y62+Z62</f>
        <v>100.68724108910045</v>
      </c>
    </row>
    <row r="63" spans="1:28" x14ac:dyDescent="0.3">
      <c r="A63" s="224" t="s">
        <v>312</v>
      </c>
      <c r="B63" s="224" t="s">
        <v>159</v>
      </c>
      <c r="C63" s="307" t="s">
        <v>199</v>
      </c>
      <c r="D63" s="307" t="s">
        <v>198</v>
      </c>
      <c r="E63" s="18">
        <f>IF(AND('FY VOLUME AUTO'!$H$18&lt;&gt;0,'FY VOLUME AUTO'!I17&lt;&gt;0),(10000*'FY VOLUME AUTO'!F17/'FY VOLUME AUTO'!$H$18)/'FY VOLUME AUTO'!I17,0)</f>
        <v>6.1355230416056186E-2</v>
      </c>
      <c r="F63" s="18">
        <f>IF(AND('FY VOLUME AUTO'!$H$18&lt;&gt;0,'FY VOLUME AUTO'!J17&lt;&gt;0),(10000*'FY VOLUME AUTO'!G17/'FY VOLUME AUTO'!$H$18)/'FY VOLUME AUTO'!J17,0)</f>
        <v>1.144456820572173</v>
      </c>
      <c r="G63" s="18">
        <f>E63+F63</f>
        <v>1.2058120509882293</v>
      </c>
      <c r="H63" s="331">
        <f>(E63*'BUNDLE DATA'!$D$8+'BUNDLE SORT'!F63*'BUNDLE DATA'!$D$12)/G63</f>
        <v>9.8610441839833765E-2</v>
      </c>
      <c r="I63" s="18">
        <v>0</v>
      </c>
      <c r="J63" s="18">
        <v>0</v>
      </c>
      <c r="K63" s="18">
        <v>0</v>
      </c>
      <c r="L63" s="18">
        <v>0</v>
      </c>
      <c r="M63" s="18">
        <v>0</v>
      </c>
      <c r="N63" s="18">
        <v>0</v>
      </c>
      <c r="O63" s="18">
        <v>0</v>
      </c>
      <c r="P63" s="18">
        <v>0</v>
      </c>
      <c r="Q63" s="18">
        <f>G63*'BUNDLE DATA'!$D$38*'BUNDLE DATA'!$C$38</f>
        <v>1.1720125436505082</v>
      </c>
      <c r="R63" s="18">
        <f>G63*(1-'BUNDLE DATA'!$D$38)*'BUNDLE DATA'!$C$38</f>
        <v>3.3799507337721142E-2</v>
      </c>
      <c r="S63" s="18">
        <f>G63*H63</f>
        <v>0.11890565912374546</v>
      </c>
      <c r="T63" s="18">
        <f>(E63*(1-'BUNDLE DATA'!$D$8)+F63*(1-'BUNDLE DATA'!$D$12))*'BUNDLE DENSITIES'!$I$22</f>
        <v>1.0869063918644837</v>
      </c>
      <c r="U63" s="18">
        <v>0</v>
      </c>
      <c r="V63" s="18">
        <v>0</v>
      </c>
      <c r="W63" s="18">
        <v>0</v>
      </c>
      <c r="X63" s="18">
        <v>0</v>
      </c>
      <c r="Y63" s="18">
        <f t="shared" ref="Y63" si="39">K63+O63+S63+W63</f>
        <v>0.11890565912374546</v>
      </c>
      <c r="Z63" s="18">
        <f t="shared" ref="Z63" si="40">L63+P63+T63+X63</f>
        <v>1.0869063918644837</v>
      </c>
      <c r="AA63" s="44">
        <f>Y63+Z63</f>
        <v>1.2058120509882291</v>
      </c>
    </row>
    <row r="64" spans="1:28" s="24" customFormat="1" x14ac:dyDescent="0.3">
      <c r="A64" s="24" t="s">
        <v>3</v>
      </c>
      <c r="E64" s="44">
        <f>SUM(E61:E63)</f>
        <v>304.62266405884685</v>
      </c>
      <c r="F64" s="44">
        <f t="shared" ref="F64:G64" si="41">SUM(F61:F63)</f>
        <v>360.7499667255143</v>
      </c>
      <c r="G64" s="44">
        <f t="shared" si="41"/>
        <v>665.37263078436115</v>
      </c>
      <c r="H64" s="44"/>
      <c r="I64" s="44">
        <f>SUM(I61:I63)</f>
        <v>0</v>
      </c>
      <c r="J64" s="44">
        <f t="shared" ref="J64:AA64" si="42">SUM(J61:J63)</f>
        <v>563.47957764427247</v>
      </c>
      <c r="K64" s="44">
        <f t="shared" si="42"/>
        <v>33.637576005000469</v>
      </c>
      <c r="L64" s="44">
        <f t="shared" si="42"/>
        <v>34.832881009563813</v>
      </c>
      <c r="M64" s="44">
        <f t="shared" si="42"/>
        <v>595.69636171880859</v>
      </c>
      <c r="N64" s="44">
        <f t="shared" si="42"/>
        <v>0</v>
      </c>
      <c r="O64" s="44">
        <f t="shared" si="42"/>
        <v>23.632000384330635</v>
      </c>
      <c r="P64" s="44">
        <f t="shared" si="42"/>
        <v>572.06436133447801</v>
      </c>
      <c r="Q64" s="44">
        <f t="shared" si="42"/>
        <v>1.1720125436505082</v>
      </c>
      <c r="R64" s="44">
        <f t="shared" si="42"/>
        <v>3.3799507337721142E-2</v>
      </c>
      <c r="S64" s="44">
        <f t="shared" si="42"/>
        <v>0.11890565912374546</v>
      </c>
      <c r="T64" s="44">
        <f t="shared" si="42"/>
        <v>1.0869063918644837</v>
      </c>
      <c r="U64" s="44">
        <f t="shared" si="42"/>
        <v>0</v>
      </c>
      <c r="V64" s="44">
        <f t="shared" si="42"/>
        <v>0</v>
      </c>
      <c r="W64" s="44">
        <f t="shared" si="42"/>
        <v>0</v>
      </c>
      <c r="X64" s="44">
        <f t="shared" si="42"/>
        <v>0</v>
      </c>
      <c r="Y64" s="44">
        <f t="shared" si="42"/>
        <v>57.388482048454854</v>
      </c>
      <c r="Z64" s="44">
        <f t="shared" si="42"/>
        <v>607.98414873590627</v>
      </c>
      <c r="AA64" s="44">
        <f t="shared" si="42"/>
        <v>665.37263078436115</v>
      </c>
      <c r="AB64"/>
    </row>
    <row r="66" spans="1:28" x14ac:dyDescent="0.3">
      <c r="I66" s="44" t="s">
        <v>315</v>
      </c>
      <c r="J66" s="44" t="s">
        <v>315</v>
      </c>
      <c r="M66" s="44" t="s">
        <v>316</v>
      </c>
      <c r="N66" s="44" t="s">
        <v>316</v>
      </c>
      <c r="Q66" s="44" t="s">
        <v>316</v>
      </c>
      <c r="R66" s="44" t="s">
        <v>316</v>
      </c>
      <c r="U66" s="44" t="s">
        <v>316</v>
      </c>
      <c r="V66" s="44" t="s">
        <v>316</v>
      </c>
      <c r="AA66" s="44" t="s">
        <v>3</v>
      </c>
    </row>
    <row r="67" spans="1:28" x14ac:dyDescent="0.3">
      <c r="C67" s="1" t="s">
        <v>189</v>
      </c>
      <c r="E67" s="44" t="s">
        <v>187</v>
      </c>
      <c r="F67" s="44" t="s">
        <v>188</v>
      </c>
      <c r="G67" s="44" t="s">
        <v>3</v>
      </c>
      <c r="H67" s="44"/>
      <c r="I67" s="44" t="s">
        <v>317</v>
      </c>
      <c r="J67" s="44" t="s">
        <v>317</v>
      </c>
      <c r="M67" s="44" t="s">
        <v>164</v>
      </c>
      <c r="N67" s="44" t="s">
        <v>164</v>
      </c>
      <c r="Q67" s="44" t="s">
        <v>317</v>
      </c>
      <c r="R67" s="44" t="s">
        <v>317</v>
      </c>
      <c r="U67" s="44" t="s">
        <v>318</v>
      </c>
      <c r="V67" s="44" t="s">
        <v>318</v>
      </c>
      <c r="Y67" s="44" t="s">
        <v>3</v>
      </c>
      <c r="Z67" s="44" t="s">
        <v>3</v>
      </c>
      <c r="AA67" s="44" t="s">
        <v>251</v>
      </c>
    </row>
    <row r="68" spans="1:28" x14ac:dyDescent="0.3">
      <c r="A68" s="36" t="s">
        <v>14</v>
      </c>
      <c r="B68" s="36" t="s">
        <v>191</v>
      </c>
      <c r="C68" s="55" t="s">
        <v>190</v>
      </c>
      <c r="D68" s="55" t="s">
        <v>319</v>
      </c>
      <c r="E68" s="225" t="s">
        <v>251</v>
      </c>
      <c r="F68" s="225" t="s">
        <v>251</v>
      </c>
      <c r="G68" s="225" t="s">
        <v>251</v>
      </c>
      <c r="H68" s="225"/>
      <c r="I68" s="225" t="s">
        <v>192</v>
      </c>
      <c r="J68" s="225" t="s">
        <v>193</v>
      </c>
      <c r="K68" s="225" t="s">
        <v>194</v>
      </c>
      <c r="L68" s="225" t="s">
        <v>195</v>
      </c>
      <c r="M68" s="225" t="s">
        <v>192</v>
      </c>
      <c r="N68" s="225" t="s">
        <v>193</v>
      </c>
      <c r="O68" s="225" t="s">
        <v>194</v>
      </c>
      <c r="P68" s="225" t="s">
        <v>195</v>
      </c>
      <c r="Q68" s="225" t="s">
        <v>192</v>
      </c>
      <c r="R68" s="225" t="s">
        <v>193</v>
      </c>
      <c r="S68" s="225" t="s">
        <v>194</v>
      </c>
      <c r="T68" s="225" t="s">
        <v>195</v>
      </c>
      <c r="U68" s="225" t="s">
        <v>192</v>
      </c>
      <c r="V68" s="225" t="s">
        <v>193</v>
      </c>
      <c r="W68" s="225" t="s">
        <v>194</v>
      </c>
      <c r="X68" s="225" t="s">
        <v>195</v>
      </c>
      <c r="Y68" s="225" t="s">
        <v>194</v>
      </c>
      <c r="Z68" s="225" t="s">
        <v>195</v>
      </c>
      <c r="AA68" s="225" t="s">
        <v>196</v>
      </c>
    </row>
    <row r="69" spans="1:28" x14ac:dyDescent="0.3">
      <c r="A69" s="134" t="s">
        <v>313</v>
      </c>
      <c r="B69" s="134" t="s">
        <v>159</v>
      </c>
      <c r="C69" s="223" t="s">
        <v>307</v>
      </c>
      <c r="D69" s="223" t="s">
        <v>199</v>
      </c>
      <c r="E69" s="18">
        <f>IF(AND('FY VOLUME AUTO'!$H$26&lt;&gt;0,'FY VOLUME AUTO'!I23&lt;&gt;0),(10000*'FY VOLUME AUTO'!F23/'FY VOLUME AUTO'!$H$26)/'FY VOLUME AUTO'!I23,0)</f>
        <v>88.140666961226984</v>
      </c>
      <c r="F69" s="18">
        <f>IF(AND('FY VOLUME AUTO'!$H$26&lt;&gt;0,'FY VOLUME AUTO'!J23&lt;&gt;0),(10000*'FY VOLUME AUTO'!G23/'FY VOLUME AUTO'!$H$26)/'FY VOLUME AUTO'!J23,0)</f>
        <v>46.501599667539622</v>
      </c>
      <c r="G69" s="18">
        <f t="shared" ref="G69:G71" si="43">E69+F69</f>
        <v>134.64226662876661</v>
      </c>
      <c r="H69" s="331">
        <f>(E69*'BUNDLE DATA'!$D$8+'BUNDLE SORT'!F69*'BUNDLE DATA'!$D$12)/G69</f>
        <v>3.9778303482927976E-2</v>
      </c>
      <c r="I69" s="18">
        <f>G69*'BUNDLE DATA'!$D$24*'BUNDLE DATA'!$C$24</f>
        <v>0</v>
      </c>
      <c r="J69" s="18">
        <f>G69*(1-'BUNDLE DATA'!$D$24)*'BUNDLE DATA'!$C$24</f>
        <v>134.64226662876661</v>
      </c>
      <c r="K69" s="18">
        <f>G69*H69</f>
        <v>5.355840943588384</v>
      </c>
      <c r="L69" s="18">
        <f>G69*(1-H69)*'BUNDLE DENSITIES'!$I$7</f>
        <v>7.4570414865635142</v>
      </c>
      <c r="M69" s="18">
        <f>G69*(1-$H69)*'BUNDLE DENSITIES'!$I$8*'BUNDLE DATA'!$D$32*'BUNDLE DATA'!$C$32</f>
        <v>121.08003044965274</v>
      </c>
      <c r="N69" s="18">
        <f>G69*(1-H69)*'BUNDLE DENSITIES'!$I$8*(1-'BUNDLE DATA'!$D$32)*'BUNDLE DATA'!$C$32</f>
        <v>0</v>
      </c>
      <c r="O69" s="18">
        <f>G69*(1-H69)*'BUNDLE DATA'!$E$12*'BUNDLE DENSITIES'!$I$8</f>
        <v>4.4421383802793111</v>
      </c>
      <c r="P69" s="18">
        <f>G69*(1-$H69)*(1-'BUNDLE DATA'!$E$12)*'BUNDLE DENSITIES'!$I$8*'BUNDLE DENSITIES'!$I$15</f>
        <v>45.395160987802811</v>
      </c>
      <c r="Q69" s="18">
        <f>(G69*(1-H69)*'BUNDLE DENSITIES'!$I$9+G69*(1-H69)*(1-'BUNDLE DATA'!$E$12)*'BUNDLE DENSITIES'!$I$8*'BUNDLE DENSITIES'!$I$16)*'BUNDLE DATA'!$D$38*'BUNDLE DATA'!$C$38</f>
        <v>69.974111135964506</v>
      </c>
      <c r="R69" s="18">
        <f>(G69*(1-H69)*'BUNDLE DENSITIES'!$I$9+G69*(1-H69)*(1-'BUNDLE DATA'!$E$12)*'BUNDLE DENSITIES'!$I$8*'BUNDLE DENSITIES'!$I$16)*(1-'BUNDLE DATA'!$D$38)*'BUNDLE DATA'!$C$38</f>
        <v>2.0179736945680782</v>
      </c>
      <c r="S69" s="18">
        <f>(G69*(1-H69)*'BUNDLE DATA'!$E$12*'BUNDLE DENSITIES'!$I$9+G69*(1-H69)*(1-'BUNDLE DATA'!$E$12)*'BUNDLE DATA'!$E$12*'BUNDLE DENSITIES'!$I$8*'BUNDLE DENSITIES'!$I$16)</f>
        <v>2.6412183901375119</v>
      </c>
      <c r="T69" s="18">
        <f>(G69*(1-H69)*(1-'BUNDLE DATA'!$E$12)*'BUNDLE DENSITIES'!$I$9+G69*(1-H69)*(1-'BUNDLE DATA'!$E$12)*(1-'BUNDLE DATA'!$E$12)*'BUNDLE DENSITIES'!$I$8*'BUNDLE DENSITIES'!$I$16)*'BUNDLE DENSITIES'!$I$22</f>
        <v>69.350866440395066</v>
      </c>
      <c r="U69" s="18">
        <v>0</v>
      </c>
      <c r="V69" s="18">
        <v>0</v>
      </c>
      <c r="W69" s="18">
        <v>0</v>
      </c>
      <c r="X69" s="18">
        <v>0</v>
      </c>
      <c r="Y69" s="18">
        <f t="shared" ref="Y69:Z71" si="44">K69+O69+S69+W69</f>
        <v>12.439197714005207</v>
      </c>
      <c r="Z69" s="18">
        <f t="shared" si="44"/>
        <v>122.20306891476139</v>
      </c>
      <c r="AA69" s="44">
        <f t="shared" ref="AA69:AA71" si="45">Y69+Z69</f>
        <v>134.64226662876661</v>
      </c>
    </row>
    <row r="70" spans="1:28" x14ac:dyDescent="0.3">
      <c r="A70" s="134" t="s">
        <v>313</v>
      </c>
      <c r="B70" s="134" t="s">
        <v>159</v>
      </c>
      <c r="C70" s="223" t="s">
        <v>592</v>
      </c>
      <c r="D70" s="223" t="s">
        <v>199</v>
      </c>
      <c r="E70" s="18">
        <f>IF(AND('FY VOLUME AUTO'!$H$26&lt;&gt;0,'FY VOLUME AUTO'!I24&lt;&gt;0),(10000*'FY VOLUME AUTO'!F24/'FY VOLUME AUTO'!$H$26)/'FY VOLUME AUTO'!I24,0)</f>
        <v>96.954080821646542</v>
      </c>
      <c r="F70" s="18">
        <f>IF(AND('FY VOLUME AUTO'!$H$26&lt;&gt;0,'FY VOLUME AUTO'!J24&lt;&gt;0),(10000*'FY VOLUME AUTO'!G24/'FY VOLUME AUTO'!$H$26)/'FY VOLUME AUTO'!J24,0)</f>
        <v>21.834262987253986</v>
      </c>
      <c r="G70" s="18">
        <f t="shared" si="43"/>
        <v>118.78834380890052</v>
      </c>
      <c r="H70" s="331">
        <f>(E70*'BUNDLE DATA'!$D$8+'BUNDLE SORT'!F70*'BUNDLE DATA'!$D$12)/G70</f>
        <v>2.4034722308060585E-2</v>
      </c>
      <c r="I70" s="18">
        <v>0</v>
      </c>
      <c r="J70" s="18">
        <v>0</v>
      </c>
      <c r="K70" s="18">
        <v>0</v>
      </c>
      <c r="L70" s="18">
        <v>0</v>
      </c>
      <c r="M70" s="18">
        <f>G70*'BUNDLE DATA'!$D$32*'BUNDLE DATA'!$C$32</f>
        <v>118.78834380890052</v>
      </c>
      <c r="N70" s="18">
        <f>G70*(1-'BUNDLE DATA'!$D$32)*'BUNDLE DATA'!$C$32</f>
        <v>0</v>
      </c>
      <c r="O70" s="18">
        <f>G70*H70</f>
        <v>2.855044856881352</v>
      </c>
      <c r="P70" s="18">
        <f>(E70*(1-'BUNDLE DATA'!$D$8)+F70*(1-'BUNDLE DATA'!$D$12))*'BUNDLE DENSITIES'!$I$15</f>
        <v>45.120935198689864</v>
      </c>
      <c r="Q70" s="18">
        <f>(E70*(1-'BUNDLE DATA'!$D$8)+F70*(1-'BUNDLE DATA'!$D$12))*'BUNDLE DENSITIES'!$I$16*'BUNDLE DATA'!$D$38*'BUNDLE DATA'!$C$38</f>
        <v>68.827458223217477</v>
      </c>
      <c r="R70" s="18">
        <f>(E70*(1-'BUNDLE DATA'!$D$8)+F70*(1-'BUNDLE DATA'!$D$12))*'BUNDLE DENSITIES'!$I$16*(1-'BUNDLE DATA'!$D$38)*'BUNDLE DATA'!$C$38</f>
        <v>1.9849055301118368</v>
      </c>
      <c r="S70" s="18">
        <f>(E70*(1-'BUNDLE DATA'!$D$8)*'BUNDLE DATA'!$E$8+F70*(1-'BUNDLE DATA'!$D$12)*'BUNDLE DATA'!$E$12)*'BUNDLE DENSITIES'!$I$16</f>
        <v>2.5979372292754968</v>
      </c>
      <c r="T70" s="18">
        <f>(E70*(1-'BUNDLE DATA'!$D$8)*(1-'BUNDLE DATA'!$E$8)+F70*(1-'BUNDLE DATA'!$D$12)*(1-'BUNDLE DATA'!$E$12))*'BUNDLE DENSITIES'!$I$16*'BUNDLE DENSITIES'!$I$22</f>
        <v>68.214426524053806</v>
      </c>
      <c r="U70" s="18">
        <v>0</v>
      </c>
      <c r="V70" s="18">
        <v>0</v>
      </c>
      <c r="W70" s="18">
        <v>0</v>
      </c>
      <c r="X70" s="18">
        <v>0</v>
      </c>
      <c r="Y70" s="18">
        <f t="shared" si="44"/>
        <v>5.4529820861568492</v>
      </c>
      <c r="Z70" s="18">
        <f t="shared" si="44"/>
        <v>113.33536172274367</v>
      </c>
      <c r="AA70" s="44">
        <f t="shared" si="45"/>
        <v>118.78834380890052</v>
      </c>
    </row>
    <row r="71" spans="1:28" x14ac:dyDescent="0.3">
      <c r="A71" s="134" t="s">
        <v>313</v>
      </c>
      <c r="B71" s="134" t="s">
        <v>159</v>
      </c>
      <c r="C71" s="223" t="s">
        <v>199</v>
      </c>
      <c r="D71" s="223" t="s">
        <v>199</v>
      </c>
      <c r="E71" s="18">
        <f>IF(AND('FY VOLUME AUTO'!$H$26&lt;&gt;0,'FY VOLUME AUTO'!I25&lt;&gt;0),(10000*'FY VOLUME AUTO'!F25/'FY VOLUME AUTO'!$H$26)/'FY VOLUME AUTO'!I25,0)</f>
        <v>97.650804412150336</v>
      </c>
      <c r="F71" s="18">
        <f>IF(AND('FY VOLUME AUTO'!$H$26&lt;&gt;0,'FY VOLUME AUTO'!J25&lt;&gt;0),(10000*'FY VOLUME AUTO'!G25/'FY VOLUME AUTO'!$H$26)/'FY VOLUME AUTO'!J25,0)</f>
        <v>40.601226028882074</v>
      </c>
      <c r="G71" s="18">
        <f t="shared" si="43"/>
        <v>138.25203044103242</v>
      </c>
      <c r="H71" s="331">
        <f>(E71*'BUNDLE DATA'!$D$8+'BUNDLE SORT'!F71*'BUNDLE DATA'!$D$12)/G71</f>
        <v>3.4740769720069654E-2</v>
      </c>
      <c r="I71" s="18">
        <v>0</v>
      </c>
      <c r="J71" s="18">
        <v>0</v>
      </c>
      <c r="K71" s="18">
        <v>0</v>
      </c>
      <c r="L71" s="18">
        <v>0</v>
      </c>
      <c r="M71" s="18">
        <v>0</v>
      </c>
      <c r="N71" s="18">
        <v>0</v>
      </c>
      <c r="O71" s="18">
        <v>0</v>
      </c>
      <c r="P71" s="18">
        <v>0</v>
      </c>
      <c r="Q71" s="18">
        <f>G71*'BUNDLE DATA'!$D$38*'BUNDLE DATA'!$C$38</f>
        <v>134.37675774532758</v>
      </c>
      <c r="R71" s="18">
        <f>G71*(1-'BUNDLE DATA'!$D$38)*'BUNDLE DATA'!$C$38</f>
        <v>3.8752726957048269</v>
      </c>
      <c r="S71" s="18">
        <f>G71*H71</f>
        <v>4.8029819528839672</v>
      </c>
      <c r="T71" s="18">
        <f>(E71*(1-'BUNDLE DATA'!$D$8)+F71*(1-'BUNDLE DATA'!$D$12))*'BUNDLE DENSITIES'!$I$22</f>
        <v>133.44904848814843</v>
      </c>
      <c r="U71" s="18">
        <v>0</v>
      </c>
      <c r="V71" s="18">
        <v>0</v>
      </c>
      <c r="W71" s="18">
        <v>0</v>
      </c>
      <c r="X71" s="18">
        <v>0</v>
      </c>
      <c r="Y71" s="18">
        <f t="shared" si="44"/>
        <v>4.8029819528839672</v>
      </c>
      <c r="Z71" s="18">
        <f t="shared" si="44"/>
        <v>133.44904848814843</v>
      </c>
      <c r="AA71" s="44">
        <f t="shared" si="45"/>
        <v>138.25203044103239</v>
      </c>
    </row>
    <row r="72" spans="1:28" s="24" customFormat="1" x14ac:dyDescent="0.3">
      <c r="A72" s="24" t="s">
        <v>3</v>
      </c>
      <c r="E72" s="44">
        <f t="shared" ref="E72:AA72" si="46">SUM(E69:E71)</f>
        <v>282.74555219502383</v>
      </c>
      <c r="F72" s="44">
        <f t="shared" si="46"/>
        <v>108.93708868367568</v>
      </c>
      <c r="G72" s="44">
        <f t="shared" si="46"/>
        <v>391.68264087869954</v>
      </c>
      <c r="H72" s="44"/>
      <c r="I72" s="44">
        <f t="shared" si="46"/>
        <v>0</v>
      </c>
      <c r="J72" s="44">
        <f t="shared" si="46"/>
        <v>134.64226662876661</v>
      </c>
      <c r="K72" s="44">
        <f t="shared" si="46"/>
        <v>5.355840943588384</v>
      </c>
      <c r="L72" s="44">
        <f t="shared" si="46"/>
        <v>7.4570414865635142</v>
      </c>
      <c r="M72" s="44">
        <f t="shared" si="46"/>
        <v>239.86837425855327</v>
      </c>
      <c r="N72" s="44">
        <f t="shared" si="46"/>
        <v>0</v>
      </c>
      <c r="O72" s="44">
        <f t="shared" si="46"/>
        <v>7.2971832371606631</v>
      </c>
      <c r="P72" s="44">
        <f t="shared" si="46"/>
        <v>90.516096186492675</v>
      </c>
      <c r="Q72" s="44">
        <f t="shared" si="46"/>
        <v>273.17832710450955</v>
      </c>
      <c r="R72" s="44">
        <f t="shared" si="46"/>
        <v>7.8781519203847417</v>
      </c>
      <c r="S72" s="44">
        <f t="shared" si="46"/>
        <v>10.042137572296976</v>
      </c>
      <c r="T72" s="44">
        <f t="shared" si="46"/>
        <v>271.01434145259731</v>
      </c>
      <c r="U72" s="44">
        <f t="shared" si="46"/>
        <v>0</v>
      </c>
      <c r="V72" s="44">
        <f t="shared" si="46"/>
        <v>0</v>
      </c>
      <c r="W72" s="44">
        <f t="shared" si="46"/>
        <v>0</v>
      </c>
      <c r="X72" s="44">
        <f t="shared" si="46"/>
        <v>0</v>
      </c>
      <c r="Y72" s="44">
        <f t="shared" si="46"/>
        <v>22.695161753046023</v>
      </c>
      <c r="Z72" s="44">
        <f t="shared" si="46"/>
        <v>368.98747912565352</v>
      </c>
      <c r="AA72" s="44">
        <f t="shared" si="46"/>
        <v>391.68264087869954</v>
      </c>
      <c r="AB72"/>
    </row>
    <row r="74" spans="1:28" x14ac:dyDescent="0.3">
      <c r="I74" s="44" t="s">
        <v>315</v>
      </c>
      <c r="J74" s="44" t="s">
        <v>315</v>
      </c>
      <c r="M74" s="44" t="s">
        <v>316</v>
      </c>
      <c r="N74" s="44" t="s">
        <v>316</v>
      </c>
      <c r="Q74" s="44" t="s">
        <v>316</v>
      </c>
      <c r="R74" s="44" t="s">
        <v>316</v>
      </c>
      <c r="U74" s="44" t="s">
        <v>316</v>
      </c>
      <c r="V74" s="44" t="s">
        <v>316</v>
      </c>
      <c r="AA74" s="44" t="s">
        <v>3</v>
      </c>
    </row>
    <row r="75" spans="1:28" x14ac:dyDescent="0.3">
      <c r="C75" s="1" t="s">
        <v>189</v>
      </c>
      <c r="E75" s="44" t="s">
        <v>187</v>
      </c>
      <c r="F75" s="44" t="s">
        <v>188</v>
      </c>
      <c r="G75" s="44" t="s">
        <v>3</v>
      </c>
      <c r="H75" s="44"/>
      <c r="I75" s="44" t="s">
        <v>317</v>
      </c>
      <c r="J75" s="44" t="s">
        <v>317</v>
      </c>
      <c r="M75" s="44" t="s">
        <v>164</v>
      </c>
      <c r="N75" s="44" t="s">
        <v>164</v>
      </c>
      <c r="Q75" s="44" t="s">
        <v>317</v>
      </c>
      <c r="R75" s="44" t="s">
        <v>317</v>
      </c>
      <c r="U75" s="44" t="s">
        <v>318</v>
      </c>
      <c r="V75" s="44" t="s">
        <v>318</v>
      </c>
      <c r="Y75" s="44" t="s">
        <v>3</v>
      </c>
      <c r="Z75" s="44" t="s">
        <v>3</v>
      </c>
      <c r="AA75" s="44" t="s">
        <v>251</v>
      </c>
    </row>
    <row r="76" spans="1:28" x14ac:dyDescent="0.3">
      <c r="A76" s="36" t="s">
        <v>14</v>
      </c>
      <c r="B76" s="36" t="s">
        <v>191</v>
      </c>
      <c r="C76" s="55" t="s">
        <v>190</v>
      </c>
      <c r="D76" s="55" t="s">
        <v>319</v>
      </c>
      <c r="E76" s="225" t="s">
        <v>251</v>
      </c>
      <c r="F76" s="225" t="s">
        <v>251</v>
      </c>
      <c r="G76" s="225" t="s">
        <v>251</v>
      </c>
      <c r="H76" s="225"/>
      <c r="I76" s="225" t="s">
        <v>192</v>
      </c>
      <c r="J76" s="225" t="s">
        <v>193</v>
      </c>
      <c r="K76" s="225" t="s">
        <v>194</v>
      </c>
      <c r="L76" s="225" t="s">
        <v>195</v>
      </c>
      <c r="M76" s="225" t="s">
        <v>192</v>
      </c>
      <c r="N76" s="225" t="s">
        <v>193</v>
      </c>
      <c r="O76" s="225" t="s">
        <v>194</v>
      </c>
      <c r="P76" s="225" t="s">
        <v>195</v>
      </c>
      <c r="Q76" s="225" t="s">
        <v>192</v>
      </c>
      <c r="R76" s="225" t="s">
        <v>193</v>
      </c>
      <c r="S76" s="225" t="s">
        <v>194</v>
      </c>
      <c r="T76" s="225" t="s">
        <v>195</v>
      </c>
      <c r="U76" s="225" t="s">
        <v>192</v>
      </c>
      <c r="V76" s="225" t="s">
        <v>193</v>
      </c>
      <c r="W76" s="225" t="s">
        <v>194</v>
      </c>
      <c r="X76" s="225" t="s">
        <v>195</v>
      </c>
      <c r="Y76" s="225" t="s">
        <v>194</v>
      </c>
      <c r="Z76" s="225" t="s">
        <v>195</v>
      </c>
      <c r="AA76" s="225" t="s">
        <v>196</v>
      </c>
    </row>
    <row r="77" spans="1:28" x14ac:dyDescent="0.3">
      <c r="A77" s="134" t="s">
        <v>314</v>
      </c>
      <c r="B77" s="134" t="s">
        <v>159</v>
      </c>
      <c r="C77" s="223" t="s">
        <v>307</v>
      </c>
      <c r="D77" s="223" t="s">
        <v>200</v>
      </c>
      <c r="E77" s="18">
        <f>IF(AND('FY VOLUME AUTO'!$H$35&lt;&gt;0,'FY VOLUME AUTO'!I31&lt;&gt;0),(10000*'FY VOLUME AUTO'!F31/'FY VOLUME AUTO'!$H$35)/'FY VOLUME AUTO'!I31,0)</f>
        <v>15.393505841644336</v>
      </c>
      <c r="F77" s="18">
        <f>IF(AND('FY VOLUME AUTO'!$H$35&lt;&gt;0,'FY VOLUME AUTO'!J31&lt;&gt;0),(10000*'FY VOLUME AUTO'!G31/'FY VOLUME AUTO'!$H$35)/'FY VOLUME AUTO'!J31,0)</f>
        <v>2.0159373235199154</v>
      </c>
      <c r="G77" s="42">
        <f>E77+F77</f>
        <v>17.409443165164252</v>
      </c>
      <c r="H77" s="331">
        <f>(E77*'BUNDLE DATA'!$D$8+'BUNDLE SORT'!F77*'BUNDLE DATA'!$D$12)/G77</f>
        <v>1.7407227182026364E-2</v>
      </c>
      <c r="I77" s="18">
        <f>G77*'BUNDLE DATA'!$D$26</f>
        <v>0</v>
      </c>
      <c r="J77" s="18">
        <f>G77*(1-'BUNDLE DATA'!$D$26)</f>
        <v>17.409443165164252</v>
      </c>
      <c r="K77" s="18">
        <f>(I77+J77)*H77</f>
        <v>0.30305013228859023</v>
      </c>
      <c r="L77" s="18">
        <f>(I77+J77-K77)*'BUNDLE DENSITIES'!$K$10*(1-'COVERAGE FACTORS'!$E$44)</f>
        <v>1.0108742783312596</v>
      </c>
      <c r="M77" s="18">
        <f>(I77+J77-K77)*'BUNDLE DENSITIES'!$K$8*'BUNDLE DATA'!$D$34</f>
        <v>15.853654712176882</v>
      </c>
      <c r="N77" s="18">
        <f>(I77+J77-K77)*'BUNDLE DENSITIES'!$K$8*(1-'BUNDLE DATA'!$D$34)</f>
        <v>0</v>
      </c>
      <c r="O77" s="18">
        <f>SUM(M77:N77)*'BUNDLE DATA'!$E$8</f>
        <v>0.58163289027202958</v>
      </c>
      <c r="P77" s="18">
        <f>((M77-O77)*'BUNDLE DENSITIES'!$K$17)*(1-'COVERAGE FACTORS'!$E$44)</f>
        <v>1.3819772050070145</v>
      </c>
      <c r="Q77" s="18">
        <f>((I77+J77-K77)*'BUNDLE DENSITIES'!$K$9+(M77+N77-O77)*'BUNDLE DENSITIES'!$K$16)*'BUNDLE DATA'!$D$40</f>
        <v>13.72181285220468</v>
      </c>
      <c r="R77" s="18">
        <f>((I77+J77-K77)*'BUNDLE DENSITIES'!$K$9+(M77+N77-O77)*'BUNDLE DENSITIES'!$K$16)*(1-'BUNDLE DATA'!$D$40)</f>
        <v>0.39572145937990044</v>
      </c>
      <c r="S77" s="18">
        <f>(Q77+R77)*'BUNDLE DATA'!$E$8</f>
        <v>0.51793876139200945</v>
      </c>
      <c r="T77" s="18">
        <f>(Q77+R77-S77)*(1-'COVERAGE FACTORS'!$E$44)</f>
        <v>13.518387832895154</v>
      </c>
      <c r="U77" s="18">
        <f>((I77+J77-K77)*'BUNDLE DENSITIES'!$K$10*'COVERAGE FACTORS'!$E$44+(M77+N77-O77)*'BUNDLE DENSITIES'!$K$17*'COVERAGE FACTORS'!$E$44+(Q77+R77-S77)*'COVERAGE FACTORS'!$E$44)*'BUNDLE DATA'!$D$44</f>
        <v>9.5582064978195114E-4</v>
      </c>
      <c r="V77" s="18">
        <f>((I77+J77-K77)*'BUNDLE DENSITIES'!$K$10*'COVERAGE FACTORS'!$E$44+(M77+N77-O77)*'BUNDLE DENSITIES'!$K$17*'COVERAGE FACTORS'!$E$44+(Q77+R77-S77)*'COVERAGE FACTORS'!$E$44)*(1-'BUNDLE DATA'!$D$44)</f>
        <v>9.462624432841317E-2</v>
      </c>
      <c r="W77" s="18">
        <f>(U77+V77)*'BUNDLE DATA'!$E$8</f>
        <v>3.5066786631057474E-3</v>
      </c>
      <c r="X77" s="18">
        <f>(U77+V77)-W77</f>
        <v>9.2075386315089366E-2</v>
      </c>
      <c r="Y77" s="309">
        <f>K77+O77+S77+W77</f>
        <v>1.4061284626157351</v>
      </c>
      <c r="Z77" s="18">
        <f t="shared" ref="Z77:Z79" si="47">L77+P77+T77+X77</f>
        <v>16.003314702548519</v>
      </c>
      <c r="AA77" s="44">
        <f t="shared" ref="AA77:AA80" si="48">Y77+Z77</f>
        <v>17.409443165164255</v>
      </c>
    </row>
    <row r="78" spans="1:28" x14ac:dyDescent="0.3">
      <c r="A78" s="134" t="s">
        <v>314</v>
      </c>
      <c r="B78" s="134" t="s">
        <v>159</v>
      </c>
      <c r="C78" s="223" t="s">
        <v>592</v>
      </c>
      <c r="D78" s="223" t="s">
        <v>200</v>
      </c>
      <c r="E78" s="18">
        <f>IF(AND('FY VOLUME AUTO'!$H$35&lt;&gt;0,'FY VOLUME AUTO'!I32&lt;&gt;0),(10000*'FY VOLUME AUTO'!F32/'FY VOLUME AUTO'!$H$35)/'FY VOLUME AUTO'!I32,0)</f>
        <v>45.296998590216532</v>
      </c>
      <c r="F78" s="18">
        <f>IF(AND('FY VOLUME AUTO'!$H$35&lt;&gt;0,'FY VOLUME AUTO'!J32&lt;&gt;0),(10000*'FY VOLUME AUTO'!G32/'FY VOLUME AUTO'!$H$35)/'FY VOLUME AUTO'!J32,0)</f>
        <v>2.7042480579107036</v>
      </c>
      <c r="G78" s="42">
        <f t="shared" ref="G78:G79" si="49">E78+F78</f>
        <v>48.001246648127236</v>
      </c>
      <c r="H78" s="331">
        <f>(E78*'BUNDLE DATA'!$D$8+'BUNDLE SORT'!F78*'BUNDLE DATA'!$D$12)/G78</f>
        <v>1.1613270730324322E-2</v>
      </c>
      <c r="I78" s="18">
        <v>0</v>
      </c>
      <c r="J78" s="18">
        <v>0</v>
      </c>
      <c r="K78" s="18">
        <v>0</v>
      </c>
      <c r="L78" s="18">
        <v>0</v>
      </c>
      <c r="M78" s="18">
        <f>G78*'BUNDLE DATA'!$D$34</f>
        <v>48.001246648127236</v>
      </c>
      <c r="N78" s="18">
        <f>G78*(1-'BUNDLE DATA'!$D$34)</f>
        <v>0</v>
      </c>
      <c r="O78" s="18">
        <f>SUM(M78:N78)*H78</f>
        <v>0.55745147271777451</v>
      </c>
      <c r="P78" s="18">
        <f>((M78-O78)*'BUNDLE DENSITIES'!$K$17)*(1-'COVERAGE FACTORS'!$E$44)</f>
        <v>4.2932261501483158</v>
      </c>
      <c r="Q78" s="18">
        <f>((M78+N78-O78)*'BUNDLE DENSITIES'!$K$16)*'BUNDLE DATA'!$D$40</f>
        <v>41.91596989143963</v>
      </c>
      <c r="R78" s="18">
        <f>((M78-O78)*'BUNDLE DENSITIES'!$K$16)*(1-'BUNDLE DATA'!$D$40)</f>
        <v>1.2088088473017922</v>
      </c>
      <c r="S78" s="18">
        <f>(Q78+R78)*'BUNDLE DATA'!$E$8</f>
        <v>1.5821455781353899</v>
      </c>
      <c r="T78" s="18">
        <f>(Q78+R78-S78)*(1-'COVERAGE FACTORS'!$E$44)</f>
        <v>41.294568253304504</v>
      </c>
      <c r="U78" s="18">
        <f>((M78+N78-O78)*'BUNDLE DENSITIES'!$K$17*'COVERAGE FACTORS'!$E$44+(Q78+R78-S78)*'COVERAGE FACTORS'!$E$44)*'BUNDLE DATA'!$D$44</f>
        <v>2.7385519382125178E-3</v>
      </c>
      <c r="V78" s="18">
        <f>((M78+N78-O78)*'BUNDLE DENSITIES'!$K$17*'COVERAGE FACTORS'!$E$44+(Q78+R78-S78)*'COVERAGE FACTORS'!$E$44)*(1-'BUNDLE DATA'!$D$44)</f>
        <v>0.27111664188303924</v>
      </c>
      <c r="W78" s="18">
        <f>(U78+V78)*'BUNDLE DATA'!$E$8</f>
        <v>1.0047095814185938E-2</v>
      </c>
      <c r="X78" s="18">
        <f>(U78+V78)-W78</f>
        <v>0.26380809800706584</v>
      </c>
      <c r="Y78" s="309">
        <f t="shared" ref="Y78:Y79" si="50">K78+O78+S78+W78</f>
        <v>2.1496441466673506</v>
      </c>
      <c r="Z78" s="18">
        <f t="shared" si="47"/>
        <v>45.851602501459887</v>
      </c>
      <c r="AA78" s="44">
        <f t="shared" si="48"/>
        <v>48.001246648127236</v>
      </c>
    </row>
    <row r="79" spans="1:28" x14ac:dyDescent="0.3">
      <c r="A79" s="134" t="s">
        <v>314</v>
      </c>
      <c r="B79" s="134" t="s">
        <v>159</v>
      </c>
      <c r="C79" s="223" t="s">
        <v>199</v>
      </c>
      <c r="D79" s="223" t="s">
        <v>200</v>
      </c>
      <c r="E79" s="18">
        <f>IF(AND('FY VOLUME AUTO'!$H$35&lt;&gt;0,'FY VOLUME AUTO'!I33&lt;&gt;0),(10000*'FY VOLUME AUTO'!F33/'FY VOLUME AUTO'!$H$35)/'FY VOLUME AUTO'!I33,0)</f>
        <v>246.64856969083831</v>
      </c>
      <c r="F79" s="18">
        <f>IF(AND('FY VOLUME AUTO'!$H$35&lt;&gt;0,'FY VOLUME AUTO'!J33&lt;&gt;0),(10000*'FY VOLUME AUTO'!G33/'FY VOLUME AUTO'!$H$35)/'FY VOLUME AUTO'!J33,0)</f>
        <v>18.128621059882587</v>
      </c>
      <c r="G79" s="42">
        <f t="shared" si="49"/>
        <v>264.77719075072088</v>
      </c>
      <c r="H79" s="331">
        <f>(E79*'BUNDLE DATA'!$D$8+'BUNDLE SORT'!F79*'BUNDLE DATA'!$D$12)/G79</f>
        <v>1.2795322437110235E-2</v>
      </c>
      <c r="I79" s="18">
        <v>0</v>
      </c>
      <c r="J79" s="18">
        <v>0</v>
      </c>
      <c r="K79" s="18">
        <v>0</v>
      </c>
      <c r="L79" s="18">
        <v>0</v>
      </c>
      <c r="M79" s="18">
        <v>0</v>
      </c>
      <c r="N79" s="18">
        <v>0</v>
      </c>
      <c r="O79" s="18">
        <v>0</v>
      </c>
      <c r="P79" s="18">
        <v>0</v>
      </c>
      <c r="Q79" s="18">
        <f>G79*'BUNDLE DATA'!$D$40*'BUNDLE DATA'!$C$40</f>
        <v>257.35535532097401</v>
      </c>
      <c r="R79" s="18">
        <f>G79*(1-'BUNDLE DATA'!$D$40)*'BUNDLE DATA'!$C$40</f>
        <v>7.4218354297468707</v>
      </c>
      <c r="S79" s="18">
        <f>G79*H79</f>
        <v>3.3879095296477155</v>
      </c>
      <c r="T79" s="18">
        <f>(Q79+R79-S79)*(1-'COVERAGE FACTORS'!$E$44)</f>
        <v>259.82843871104166</v>
      </c>
      <c r="U79" s="18">
        <f>(G79-SUM(K79,L79,O79,P79,S79,T79))*'BUNDLE DATA'!$D$44</f>
        <v>1.5608425100314776E-2</v>
      </c>
      <c r="V79" s="18">
        <f>(G79-SUM(K79,L79,O79,P79,S79,T79))*(1-'BUNDLE DATA'!$D$44)</f>
        <v>1.5452340849311628</v>
      </c>
      <c r="W79" s="18">
        <f>(U79+V79)*'BUNDLE DATA'!$E$8</f>
        <v>5.7263599898625617E-2</v>
      </c>
      <c r="X79" s="18">
        <f>U79+V79-W79</f>
        <v>1.5035789101328518</v>
      </c>
      <c r="Y79" s="309">
        <f t="shared" si="50"/>
        <v>3.4451731295463413</v>
      </c>
      <c r="Z79" s="18">
        <f t="shared" si="47"/>
        <v>261.33201762117449</v>
      </c>
      <c r="AA79" s="44">
        <f t="shared" si="48"/>
        <v>264.77719075072082</v>
      </c>
    </row>
    <row r="80" spans="1:28" x14ac:dyDescent="0.3">
      <c r="A80" s="134" t="s">
        <v>314</v>
      </c>
      <c r="B80" s="134" t="s">
        <v>159</v>
      </c>
      <c r="C80" s="223" t="s">
        <v>200</v>
      </c>
      <c r="D80" s="223" t="s">
        <v>200</v>
      </c>
      <c r="E80" s="18">
        <v>0</v>
      </c>
      <c r="F80" s="18">
        <v>0</v>
      </c>
      <c r="G80" s="18">
        <v>0</v>
      </c>
      <c r="H80" s="331">
        <v>0</v>
      </c>
      <c r="I80" s="18">
        <v>0</v>
      </c>
      <c r="J80" s="18">
        <v>0</v>
      </c>
      <c r="K80" s="18">
        <v>0</v>
      </c>
      <c r="L80" s="18">
        <v>0</v>
      </c>
      <c r="M80" s="18">
        <v>0</v>
      </c>
      <c r="N80" s="18">
        <v>0</v>
      </c>
      <c r="O80" s="18">
        <v>0</v>
      </c>
      <c r="P80" s="18">
        <v>0</v>
      </c>
      <c r="Q80" s="18">
        <v>0</v>
      </c>
      <c r="R80" s="18">
        <v>0</v>
      </c>
      <c r="S80" s="18">
        <v>0</v>
      </c>
      <c r="T80" s="18">
        <v>0</v>
      </c>
      <c r="U80" s="18">
        <f>($E80+$F80*'COVERAGE FACTORS'!$E$44)*'BUNDLE DATA'!$D$44</f>
        <v>0</v>
      </c>
      <c r="V80" s="18">
        <f>($E80+$F80*'COVERAGE FACTORS'!$E$44)*(1-'BUNDLE DATA'!$D$44)</f>
        <v>0</v>
      </c>
      <c r="W80" s="18">
        <f>(U80+V80)*H80</f>
        <v>0</v>
      </c>
      <c r="X80" s="18">
        <f>G80-W80</f>
        <v>0</v>
      </c>
      <c r="Y80" s="18">
        <f t="shared" ref="Y80:Z80" si="51">K80+O80+S80+W80</f>
        <v>0</v>
      </c>
      <c r="Z80" s="18">
        <f t="shared" si="51"/>
        <v>0</v>
      </c>
      <c r="AA80" s="44">
        <f t="shared" si="48"/>
        <v>0</v>
      </c>
    </row>
    <row r="81" spans="1:29" s="24" customFormat="1" x14ac:dyDescent="0.3">
      <c r="A81" s="24" t="s">
        <v>3</v>
      </c>
      <c r="E81" s="44">
        <f t="shared" ref="E81:AA81" si="52">SUM(E77:E80)</f>
        <v>307.33907412269917</v>
      </c>
      <c r="F81" s="44">
        <f t="shared" si="52"/>
        <v>22.848806441313208</v>
      </c>
      <c r="G81" s="44">
        <f t="shared" si="52"/>
        <v>330.18788056401235</v>
      </c>
      <c r="H81" s="44"/>
      <c r="I81" s="44">
        <f t="shared" si="52"/>
        <v>0</v>
      </c>
      <c r="J81" s="44">
        <f t="shared" si="52"/>
        <v>17.409443165164252</v>
      </c>
      <c r="K81" s="44">
        <f t="shared" si="52"/>
        <v>0.30305013228859023</v>
      </c>
      <c r="L81" s="44">
        <f t="shared" si="52"/>
        <v>1.0108742783312596</v>
      </c>
      <c r="M81" s="44">
        <f t="shared" si="52"/>
        <v>63.854901360304119</v>
      </c>
      <c r="N81" s="44">
        <f t="shared" si="52"/>
        <v>0</v>
      </c>
      <c r="O81" s="44">
        <f t="shared" si="52"/>
        <v>1.139084362989804</v>
      </c>
      <c r="P81" s="44">
        <f t="shared" si="52"/>
        <v>5.6752033551553307</v>
      </c>
      <c r="Q81" s="44">
        <f t="shared" si="52"/>
        <v>312.99313806461834</v>
      </c>
      <c r="R81" s="44">
        <f t="shared" si="52"/>
        <v>9.0263657364285628</v>
      </c>
      <c r="S81" s="44">
        <f t="shared" si="52"/>
        <v>5.4879938691751153</v>
      </c>
      <c r="T81" s="44">
        <f t="shared" si="52"/>
        <v>314.64139479724133</v>
      </c>
      <c r="U81" s="44">
        <f t="shared" si="52"/>
        <v>1.9302797688309246E-2</v>
      </c>
      <c r="V81" s="44">
        <f t="shared" si="52"/>
        <v>1.9109769711426152</v>
      </c>
      <c r="W81" s="44">
        <f t="shared" si="52"/>
        <v>7.08173743759173E-2</v>
      </c>
      <c r="X81" s="44">
        <f t="shared" si="52"/>
        <v>1.8594623944550071</v>
      </c>
      <c r="Y81" s="44">
        <f t="shared" si="52"/>
        <v>7.0009457388294267</v>
      </c>
      <c r="Z81" s="44">
        <f t="shared" si="52"/>
        <v>323.1869348251829</v>
      </c>
      <c r="AA81" s="44">
        <f t="shared" si="52"/>
        <v>330.18788056401229</v>
      </c>
      <c r="AB81"/>
    </row>
    <row r="83" spans="1:29" x14ac:dyDescent="0.3">
      <c r="I83" s="44" t="s">
        <v>315</v>
      </c>
      <c r="J83" s="44" t="s">
        <v>315</v>
      </c>
      <c r="M83" s="44" t="s">
        <v>316</v>
      </c>
      <c r="N83" s="44" t="s">
        <v>316</v>
      </c>
      <c r="Q83" s="44" t="s">
        <v>316</v>
      </c>
      <c r="R83" s="44" t="s">
        <v>316</v>
      </c>
      <c r="U83" s="44" t="s">
        <v>316</v>
      </c>
      <c r="V83" s="44" t="s">
        <v>316</v>
      </c>
      <c r="AA83" s="44" t="s">
        <v>3</v>
      </c>
    </row>
    <row r="84" spans="1:29" x14ac:dyDescent="0.3">
      <c r="C84" s="1" t="s">
        <v>189</v>
      </c>
      <c r="E84" s="44" t="s">
        <v>187</v>
      </c>
      <c r="F84" s="44" t="s">
        <v>188</v>
      </c>
      <c r="G84" s="44" t="s">
        <v>3</v>
      </c>
      <c r="H84" s="44"/>
      <c r="I84" s="44" t="s">
        <v>317</v>
      </c>
      <c r="J84" s="44" t="s">
        <v>317</v>
      </c>
      <c r="M84" s="44" t="s">
        <v>164</v>
      </c>
      <c r="N84" s="44" t="s">
        <v>164</v>
      </c>
      <c r="Q84" s="44" t="s">
        <v>317</v>
      </c>
      <c r="R84" s="44" t="s">
        <v>317</v>
      </c>
      <c r="U84" s="44" t="s">
        <v>318</v>
      </c>
      <c r="V84" s="44" t="s">
        <v>318</v>
      </c>
      <c r="Y84" s="44" t="s">
        <v>3</v>
      </c>
      <c r="Z84" s="44" t="s">
        <v>3</v>
      </c>
      <c r="AA84" s="44" t="s">
        <v>251</v>
      </c>
    </row>
    <row r="85" spans="1:29" x14ac:dyDescent="0.3">
      <c r="A85" s="36" t="s">
        <v>14</v>
      </c>
      <c r="B85" s="36" t="s">
        <v>191</v>
      </c>
      <c r="C85" s="55" t="s">
        <v>190</v>
      </c>
      <c r="D85" s="55" t="s">
        <v>319</v>
      </c>
      <c r="E85" s="225" t="s">
        <v>251</v>
      </c>
      <c r="F85" s="225" t="s">
        <v>251</v>
      </c>
      <c r="G85" s="225" t="s">
        <v>251</v>
      </c>
      <c r="H85" s="225"/>
      <c r="I85" s="225" t="s">
        <v>192</v>
      </c>
      <c r="J85" s="225" t="s">
        <v>193</v>
      </c>
      <c r="K85" s="225" t="s">
        <v>194</v>
      </c>
      <c r="L85" s="225" t="s">
        <v>195</v>
      </c>
      <c r="M85" s="225" t="s">
        <v>192</v>
      </c>
      <c r="N85" s="225" t="s">
        <v>193</v>
      </c>
      <c r="O85" s="225" t="s">
        <v>194</v>
      </c>
      <c r="P85" s="225" t="s">
        <v>195</v>
      </c>
      <c r="Q85" s="225" t="s">
        <v>192</v>
      </c>
      <c r="R85" s="225" t="s">
        <v>193</v>
      </c>
      <c r="S85" s="225" t="s">
        <v>194</v>
      </c>
      <c r="T85" s="225" t="s">
        <v>195</v>
      </c>
      <c r="U85" s="225" t="s">
        <v>192</v>
      </c>
      <c r="V85" s="225" t="s">
        <v>193</v>
      </c>
      <c r="W85" s="225" t="s">
        <v>194</v>
      </c>
      <c r="X85" s="225" t="s">
        <v>195</v>
      </c>
      <c r="Y85" s="225" t="s">
        <v>194</v>
      </c>
      <c r="Z85" s="225" t="s">
        <v>195</v>
      </c>
      <c r="AA85" s="225" t="s">
        <v>196</v>
      </c>
    </row>
    <row r="86" spans="1:29" x14ac:dyDescent="0.3">
      <c r="A86" s="134" t="s">
        <v>472</v>
      </c>
      <c r="B86" s="134" t="s">
        <v>159</v>
      </c>
      <c r="C86" s="223" t="s">
        <v>307</v>
      </c>
      <c r="D86" s="223" t="s">
        <v>366</v>
      </c>
      <c r="E86" s="18">
        <v>0</v>
      </c>
      <c r="F86" s="18">
        <v>0</v>
      </c>
      <c r="G86" s="18">
        <v>0</v>
      </c>
      <c r="H86" s="331">
        <v>0</v>
      </c>
      <c r="I86" s="18">
        <v>0</v>
      </c>
      <c r="J86" s="18">
        <v>0</v>
      </c>
      <c r="K86" s="18">
        <v>0</v>
      </c>
      <c r="L86" s="18">
        <v>0</v>
      </c>
      <c r="M86" s="18">
        <v>0</v>
      </c>
      <c r="N86" s="18">
        <v>0</v>
      </c>
      <c r="O86" s="18">
        <v>0</v>
      </c>
      <c r="P86" s="18">
        <v>0</v>
      </c>
      <c r="Q86" s="18">
        <v>0</v>
      </c>
      <c r="R86" s="18">
        <v>0</v>
      </c>
      <c r="S86" s="18">
        <f>(Q86+R86)*H86</f>
        <v>0</v>
      </c>
      <c r="T86" s="18">
        <v>0</v>
      </c>
      <c r="U86" s="18">
        <v>0</v>
      </c>
      <c r="V86" s="18">
        <v>0</v>
      </c>
      <c r="W86" s="18">
        <v>0</v>
      </c>
      <c r="X86" s="18">
        <v>0</v>
      </c>
      <c r="Y86" s="18">
        <f t="shared" ref="Y86:Y88" si="53">K86+O86+S86+W86</f>
        <v>0</v>
      </c>
      <c r="Z86" s="18">
        <f t="shared" ref="Z86:Z88" si="54">L86+P86+T86+X86</f>
        <v>0</v>
      </c>
      <c r="AA86" s="44">
        <f t="shared" ref="AA86:AA88" si="55">Y86+Z86</f>
        <v>0</v>
      </c>
      <c r="AC86" s="20"/>
    </row>
    <row r="87" spans="1:29" x14ac:dyDescent="0.3">
      <c r="A87" s="134" t="s">
        <v>472</v>
      </c>
      <c r="B87" s="134" t="s">
        <v>159</v>
      </c>
      <c r="C87" s="223" t="s">
        <v>592</v>
      </c>
      <c r="D87" s="223" t="s">
        <v>366</v>
      </c>
      <c r="E87" s="18">
        <v>0</v>
      </c>
      <c r="F87" s="18">
        <v>0</v>
      </c>
      <c r="G87" s="18">
        <v>0</v>
      </c>
      <c r="H87" s="331">
        <v>0</v>
      </c>
      <c r="I87" s="18">
        <v>0</v>
      </c>
      <c r="J87" s="18">
        <v>0</v>
      </c>
      <c r="K87" s="18">
        <v>0</v>
      </c>
      <c r="L87" s="18">
        <v>0</v>
      </c>
      <c r="M87" s="18">
        <v>0</v>
      </c>
      <c r="N87" s="18">
        <v>0</v>
      </c>
      <c r="O87" s="18">
        <v>0</v>
      </c>
      <c r="P87" s="18">
        <v>0</v>
      </c>
      <c r="Q87" s="18">
        <v>0</v>
      </c>
      <c r="R87" s="18">
        <v>0</v>
      </c>
      <c r="S87" s="18">
        <f>(Q87+R87)*H87</f>
        <v>0</v>
      </c>
      <c r="T87" s="18">
        <v>0</v>
      </c>
      <c r="U87" s="18">
        <v>0</v>
      </c>
      <c r="V87" s="18">
        <v>0</v>
      </c>
      <c r="W87" s="18">
        <v>0</v>
      </c>
      <c r="X87" s="18">
        <v>0</v>
      </c>
      <c r="Y87" s="18">
        <f t="shared" si="53"/>
        <v>0</v>
      </c>
      <c r="Z87" s="18">
        <f t="shared" si="54"/>
        <v>0</v>
      </c>
      <c r="AA87" s="44">
        <f t="shared" si="55"/>
        <v>0</v>
      </c>
      <c r="AC87" s="20"/>
    </row>
    <row r="88" spans="1:29" x14ac:dyDescent="0.3">
      <c r="A88" s="134" t="s">
        <v>472</v>
      </c>
      <c r="B88" s="134" t="s">
        <v>159</v>
      </c>
      <c r="C88" s="223" t="s">
        <v>199</v>
      </c>
      <c r="D88" s="223" t="s">
        <v>366</v>
      </c>
      <c r="E88" s="18">
        <v>0</v>
      </c>
      <c r="F88" s="18">
        <v>0</v>
      </c>
      <c r="G88" s="18">
        <v>0</v>
      </c>
      <c r="H88" s="331">
        <v>0</v>
      </c>
      <c r="I88" s="18">
        <v>0</v>
      </c>
      <c r="J88" s="18">
        <v>0</v>
      </c>
      <c r="K88" s="18">
        <v>0</v>
      </c>
      <c r="L88" s="18">
        <v>0</v>
      </c>
      <c r="M88" s="18">
        <v>0</v>
      </c>
      <c r="N88" s="18">
        <v>0</v>
      </c>
      <c r="O88" s="18">
        <v>0</v>
      </c>
      <c r="P88" s="18">
        <v>0</v>
      </c>
      <c r="Q88" s="18">
        <v>0</v>
      </c>
      <c r="R88" s="18">
        <v>0</v>
      </c>
      <c r="S88" s="18">
        <f>(Q88+R88)*H88</f>
        <v>0</v>
      </c>
      <c r="T88" s="18">
        <v>0</v>
      </c>
      <c r="U88" s="18">
        <v>0</v>
      </c>
      <c r="V88" s="18">
        <v>0</v>
      </c>
      <c r="W88" s="18">
        <v>0</v>
      </c>
      <c r="X88" s="18">
        <v>0</v>
      </c>
      <c r="Y88" s="18">
        <f t="shared" si="53"/>
        <v>0</v>
      </c>
      <c r="Z88" s="18">
        <f t="shared" si="54"/>
        <v>0</v>
      </c>
      <c r="AA88" s="44">
        <f t="shared" si="55"/>
        <v>0</v>
      </c>
      <c r="AC88" s="20"/>
    </row>
    <row r="89" spans="1:29" x14ac:dyDescent="0.3">
      <c r="A89" s="134" t="s">
        <v>472</v>
      </c>
      <c r="B89" s="134" t="s">
        <v>159</v>
      </c>
      <c r="C89" s="223" t="s">
        <v>470</v>
      </c>
      <c r="D89" s="223" t="s">
        <v>366</v>
      </c>
      <c r="E89" s="18">
        <v>0</v>
      </c>
      <c r="F89" s="18">
        <v>0</v>
      </c>
      <c r="G89" s="18">
        <v>0</v>
      </c>
      <c r="H89" s="331">
        <v>0</v>
      </c>
      <c r="I89" s="18">
        <v>0</v>
      </c>
      <c r="J89" s="18">
        <v>0</v>
      </c>
      <c r="K89" s="18">
        <v>0</v>
      </c>
      <c r="L89" s="18">
        <v>0</v>
      </c>
      <c r="M89" s="18">
        <v>0</v>
      </c>
      <c r="N89" s="18">
        <v>0</v>
      </c>
      <c r="O89" s="18">
        <v>0</v>
      </c>
      <c r="P89" s="18">
        <v>0</v>
      </c>
      <c r="Q89" s="18">
        <v>0</v>
      </c>
      <c r="R89" s="18">
        <v>0</v>
      </c>
      <c r="S89" s="18">
        <f>(Q89+R89)*H89</f>
        <v>0</v>
      </c>
      <c r="T89" s="18">
        <v>0</v>
      </c>
      <c r="U89" s="18">
        <v>0</v>
      </c>
      <c r="V89" s="18">
        <v>0</v>
      </c>
      <c r="W89" s="18">
        <v>0</v>
      </c>
      <c r="X89" s="18">
        <v>0</v>
      </c>
      <c r="Y89" s="18">
        <f t="shared" ref="Y89:Z89" si="56">K89+O89+S89+W89</f>
        <v>0</v>
      </c>
      <c r="Z89" s="18">
        <f t="shared" si="56"/>
        <v>0</v>
      </c>
      <c r="AA89" s="44">
        <f t="shared" ref="AA89" si="57">Y89+Z89</f>
        <v>0</v>
      </c>
      <c r="AC89" s="20"/>
    </row>
    <row r="90" spans="1:29" x14ac:dyDescent="0.3">
      <c r="A90" s="134" t="s">
        <v>472</v>
      </c>
      <c r="B90" s="134" t="s">
        <v>159</v>
      </c>
      <c r="C90" s="223" t="s">
        <v>471</v>
      </c>
      <c r="D90" s="223" t="s">
        <v>366</v>
      </c>
      <c r="E90" s="18">
        <v>0</v>
      </c>
      <c r="F90" s="18">
        <v>0</v>
      </c>
      <c r="G90" s="18">
        <v>0</v>
      </c>
      <c r="H90" s="331">
        <v>0</v>
      </c>
      <c r="I90" s="18">
        <v>0</v>
      </c>
      <c r="J90" s="18">
        <v>0</v>
      </c>
      <c r="K90" s="18">
        <v>0</v>
      </c>
      <c r="L90" s="18">
        <v>0</v>
      </c>
      <c r="M90" s="18">
        <v>0</v>
      </c>
      <c r="N90" s="18">
        <v>0</v>
      </c>
      <c r="O90" s="18">
        <v>0</v>
      </c>
      <c r="P90" s="18">
        <v>0</v>
      </c>
      <c r="Q90" s="18">
        <v>0</v>
      </c>
      <c r="R90" s="18">
        <v>0</v>
      </c>
      <c r="S90" s="18">
        <f>(Q90+R90)*H90</f>
        <v>0</v>
      </c>
      <c r="T90" s="18">
        <v>0</v>
      </c>
      <c r="U90" s="18">
        <v>0</v>
      </c>
      <c r="V90" s="18">
        <v>0</v>
      </c>
      <c r="W90" s="18">
        <v>0</v>
      </c>
      <c r="X90" s="18">
        <v>0</v>
      </c>
      <c r="Y90" s="18">
        <f t="shared" ref="Y90" si="58">K90+O90+S90+W90</f>
        <v>0</v>
      </c>
      <c r="Z90" s="18">
        <f t="shared" ref="Z90" si="59">L90+P90+T90+X90</f>
        <v>0</v>
      </c>
      <c r="AA90" s="44">
        <f t="shared" ref="AA90" si="60">Y90+Z90</f>
        <v>0</v>
      </c>
      <c r="AC90" s="20"/>
    </row>
    <row r="91" spans="1:29" x14ac:dyDescent="0.3">
      <c r="A91" s="24" t="s">
        <v>3</v>
      </c>
      <c r="B91" s="24"/>
      <c r="C91" s="24"/>
      <c r="D91" s="24"/>
      <c r="E91" s="44">
        <f>SUM(E86:E90)</f>
        <v>0</v>
      </c>
      <c r="F91" s="44">
        <f t="shared" ref="F91:G91" si="61">SUM(F86:F90)</f>
        <v>0</v>
      </c>
      <c r="G91" s="44">
        <f t="shared" si="61"/>
        <v>0</v>
      </c>
      <c r="H91" s="44"/>
      <c r="I91" s="44">
        <f>SUM(I86:I90)</f>
        <v>0</v>
      </c>
      <c r="J91" s="44">
        <f t="shared" ref="J91:AA91" si="62">SUM(J86:J90)</f>
        <v>0</v>
      </c>
      <c r="K91" s="44">
        <f t="shared" si="62"/>
        <v>0</v>
      </c>
      <c r="L91" s="44">
        <f t="shared" si="62"/>
        <v>0</v>
      </c>
      <c r="M91" s="44">
        <f t="shared" si="62"/>
        <v>0</v>
      </c>
      <c r="N91" s="44">
        <f t="shared" si="62"/>
        <v>0</v>
      </c>
      <c r="O91" s="44">
        <f t="shared" si="62"/>
        <v>0</v>
      </c>
      <c r="P91" s="44">
        <f t="shared" si="62"/>
        <v>0</v>
      </c>
      <c r="Q91" s="44">
        <f t="shared" si="62"/>
        <v>0</v>
      </c>
      <c r="R91" s="44">
        <f t="shared" si="62"/>
        <v>0</v>
      </c>
      <c r="S91" s="44">
        <f t="shared" si="62"/>
        <v>0</v>
      </c>
      <c r="T91" s="44">
        <v>0</v>
      </c>
      <c r="U91" s="44">
        <f t="shared" si="62"/>
        <v>0</v>
      </c>
      <c r="V91" s="44">
        <f t="shared" si="62"/>
        <v>0</v>
      </c>
      <c r="W91" s="44">
        <f t="shared" si="62"/>
        <v>0</v>
      </c>
      <c r="X91" s="44">
        <f t="shared" si="62"/>
        <v>0</v>
      </c>
      <c r="Y91" s="44">
        <f t="shared" si="62"/>
        <v>0</v>
      </c>
      <c r="Z91" s="44">
        <f t="shared" si="62"/>
        <v>0</v>
      </c>
      <c r="AA91" s="44">
        <f t="shared" si="62"/>
        <v>0</v>
      </c>
      <c r="AC91" s="20"/>
    </row>
    <row r="93" spans="1:29" x14ac:dyDescent="0.3">
      <c r="K93" s="42"/>
    </row>
    <row r="95" spans="1:29" x14ac:dyDescent="0.3">
      <c r="L95"/>
      <c r="M95"/>
      <c r="N95"/>
      <c r="O95"/>
      <c r="P95"/>
      <c r="Q95"/>
      <c r="R95"/>
      <c r="S95"/>
      <c r="T95"/>
    </row>
    <row r="96" spans="1:29" x14ac:dyDescent="0.3">
      <c r="K96" s="309"/>
      <c r="L96"/>
      <c r="M96"/>
      <c r="N96"/>
      <c r="O96"/>
      <c r="P96"/>
      <c r="Q96"/>
      <c r="R96"/>
      <c r="S96"/>
      <c r="T96"/>
    </row>
    <row r="97" spans="11:20" x14ac:dyDescent="0.3">
      <c r="L97"/>
      <c r="M97"/>
      <c r="N97"/>
      <c r="O97"/>
      <c r="P97"/>
      <c r="Q97"/>
      <c r="R97"/>
      <c r="S97"/>
      <c r="T97"/>
    </row>
    <row r="98" spans="11:20" x14ac:dyDescent="0.3">
      <c r="L98"/>
      <c r="M98"/>
      <c r="N98"/>
      <c r="O98"/>
      <c r="P98"/>
      <c r="Q98"/>
      <c r="R98"/>
      <c r="S98"/>
      <c r="T98"/>
    </row>
    <row r="99" spans="11:20" x14ac:dyDescent="0.3">
      <c r="L99"/>
      <c r="M99"/>
      <c r="N99"/>
      <c r="O99"/>
      <c r="P99"/>
      <c r="Q99"/>
      <c r="R99"/>
      <c r="S99"/>
      <c r="T99"/>
    </row>
    <row r="100" spans="11:20" x14ac:dyDescent="0.3">
      <c r="K100" s="309"/>
      <c r="L100"/>
      <c r="M100"/>
      <c r="N100"/>
      <c r="O100"/>
      <c r="P100"/>
      <c r="Q100"/>
      <c r="R100"/>
      <c r="S100"/>
      <c r="T100"/>
    </row>
    <row r="101" spans="11:20" x14ac:dyDescent="0.3">
      <c r="L101"/>
      <c r="M101"/>
      <c r="N101"/>
      <c r="O101"/>
      <c r="P101"/>
      <c r="Q101"/>
      <c r="R101"/>
      <c r="S101"/>
      <c r="T101"/>
    </row>
    <row r="102" spans="11:20" x14ac:dyDescent="0.3">
      <c r="L102"/>
      <c r="M102"/>
      <c r="N102"/>
      <c r="O102"/>
      <c r="P102"/>
      <c r="Q102"/>
      <c r="R102"/>
      <c r="S102"/>
      <c r="T102"/>
    </row>
    <row r="103" spans="11:20" x14ac:dyDescent="0.3">
      <c r="L103"/>
      <c r="M103"/>
      <c r="N103"/>
      <c r="O103"/>
      <c r="P103"/>
      <c r="Q103"/>
      <c r="R103"/>
      <c r="S103"/>
      <c r="T103"/>
    </row>
    <row r="104" spans="11:20" x14ac:dyDescent="0.3">
      <c r="K104" s="309"/>
      <c r="L104"/>
      <c r="M104"/>
      <c r="N104"/>
      <c r="O104"/>
      <c r="P104"/>
      <c r="Q104"/>
      <c r="R104"/>
      <c r="S104"/>
      <c r="T104"/>
    </row>
    <row r="105" spans="11:20" x14ac:dyDescent="0.3">
      <c r="L105"/>
      <c r="M105"/>
      <c r="N105"/>
      <c r="O105"/>
      <c r="P105"/>
      <c r="Q105"/>
      <c r="R105"/>
      <c r="S105"/>
      <c r="T105"/>
    </row>
    <row r="106" spans="11:20" x14ac:dyDescent="0.3">
      <c r="L106"/>
      <c r="M106"/>
      <c r="N106"/>
      <c r="O106"/>
      <c r="P106"/>
      <c r="Q106"/>
      <c r="R106"/>
      <c r="S106"/>
      <c r="T106"/>
    </row>
    <row r="107" spans="11:20" x14ac:dyDescent="0.3">
      <c r="L107"/>
      <c r="M107"/>
      <c r="N107"/>
      <c r="O107"/>
      <c r="P107"/>
      <c r="Q107"/>
      <c r="R107"/>
      <c r="S107"/>
      <c r="T107"/>
    </row>
    <row r="108" spans="11:20" x14ac:dyDescent="0.3">
      <c r="L108"/>
      <c r="M108"/>
      <c r="N108"/>
      <c r="O108"/>
      <c r="P108"/>
      <c r="Q108"/>
      <c r="R108"/>
      <c r="S108"/>
      <c r="T108"/>
    </row>
    <row r="109" spans="11:20" x14ac:dyDescent="0.3">
      <c r="L109"/>
      <c r="M109"/>
      <c r="N109"/>
      <c r="O109"/>
      <c r="P109"/>
      <c r="Q109"/>
      <c r="R109"/>
      <c r="S109"/>
      <c r="T109"/>
    </row>
  </sheetData>
  <phoneticPr fontId="0" type="noConversion"/>
  <printOptions horizontalCentered="1"/>
  <pageMargins left="0.75" right="0.75" top="1" bottom="1" header="0.5" footer="0.5"/>
  <pageSetup scale="29" firstPageNumber="76" orientation="portrait" useFirstPageNumber="1" r:id="rId1"/>
  <headerFooter alignWithMargins="0">
    <oddFooter>&amp;CTab-'&amp;A'&amp;RPage 34</oddFooter>
  </headerFooter>
</worksheet>
</file>

<file path=xl/worksheets/sheet6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40"/>
  <dimension ref="A1:AD107"/>
  <sheetViews>
    <sheetView zoomScale="85" zoomScaleNormal="85" workbookViewId="0"/>
  </sheetViews>
  <sheetFormatPr defaultColWidth="9.1796875" defaultRowHeight="13" x14ac:dyDescent="0.3"/>
  <cols>
    <col min="1" max="1" width="25.7265625" customWidth="1"/>
    <col min="2" max="3" width="15.7265625" customWidth="1"/>
    <col min="4" max="4" width="20.7265625" customWidth="1"/>
    <col min="5" max="6" width="10.7265625" style="18" customWidth="1"/>
    <col min="7" max="7" width="13.7265625" style="18" customWidth="1"/>
    <col min="8" max="8" width="10.7265625" style="18" customWidth="1"/>
    <col min="9" max="26" width="9.1796875" style="18" customWidth="1"/>
    <col min="27" max="27" width="13.81640625" style="44" customWidth="1"/>
    <col min="29" max="29" width="9.26953125" customWidth="1"/>
  </cols>
  <sheetData>
    <row r="1" spans="1:29" ht="18" x14ac:dyDescent="0.4">
      <c r="A1" s="5" t="s">
        <v>579</v>
      </c>
    </row>
    <row r="2" spans="1:29" x14ac:dyDescent="0.3">
      <c r="H2" s="44" t="s">
        <v>474</v>
      </c>
      <c r="I2" s="44" t="s">
        <v>315</v>
      </c>
      <c r="J2" s="44" t="s">
        <v>315</v>
      </c>
      <c r="M2" s="44" t="s">
        <v>316</v>
      </c>
      <c r="N2" s="44" t="s">
        <v>316</v>
      </c>
      <c r="Q2" s="44" t="s">
        <v>316</v>
      </c>
      <c r="R2" s="44" t="s">
        <v>316</v>
      </c>
      <c r="U2" s="44" t="s">
        <v>316</v>
      </c>
      <c r="V2" s="44" t="s">
        <v>316</v>
      </c>
      <c r="AA2" s="44" t="s">
        <v>3</v>
      </c>
    </row>
    <row r="3" spans="1:29" x14ac:dyDescent="0.3">
      <c r="C3" s="1" t="s">
        <v>189</v>
      </c>
      <c r="E3" s="44" t="s">
        <v>187</v>
      </c>
      <c r="F3" s="44" t="s">
        <v>188</v>
      </c>
      <c r="G3" s="44" t="s">
        <v>3</v>
      </c>
      <c r="H3" s="44" t="s">
        <v>201</v>
      </c>
      <c r="I3" s="44" t="s">
        <v>317</v>
      </c>
      <c r="J3" s="44" t="s">
        <v>317</v>
      </c>
      <c r="M3" s="44" t="s">
        <v>164</v>
      </c>
      <c r="N3" s="44" t="s">
        <v>164</v>
      </c>
      <c r="Q3" s="44" t="s">
        <v>317</v>
      </c>
      <c r="R3" s="44" t="s">
        <v>317</v>
      </c>
      <c r="U3" s="44" t="s">
        <v>318</v>
      </c>
      <c r="V3" s="44" t="s">
        <v>318</v>
      </c>
      <c r="Y3" s="44" t="s">
        <v>3</v>
      </c>
      <c r="Z3" s="44" t="s">
        <v>3</v>
      </c>
      <c r="AA3" s="225" t="s">
        <v>585</v>
      </c>
    </row>
    <row r="4" spans="1:29" x14ac:dyDescent="0.3">
      <c r="A4" s="36" t="s">
        <v>14</v>
      </c>
      <c r="B4" s="36" t="s">
        <v>191</v>
      </c>
      <c r="C4" s="55" t="s">
        <v>190</v>
      </c>
      <c r="D4" s="55" t="s">
        <v>319</v>
      </c>
      <c r="E4" s="225" t="s">
        <v>585</v>
      </c>
      <c r="F4" s="225" t="s">
        <v>585</v>
      </c>
      <c r="G4" s="225" t="s">
        <v>585</v>
      </c>
      <c r="H4" s="225" t="s">
        <v>203</v>
      </c>
      <c r="I4" s="225" t="s">
        <v>192</v>
      </c>
      <c r="J4" s="225" t="s">
        <v>193</v>
      </c>
      <c r="K4" s="225" t="s">
        <v>194</v>
      </c>
      <c r="L4" s="225" t="s">
        <v>195</v>
      </c>
      <c r="M4" s="225" t="s">
        <v>192</v>
      </c>
      <c r="N4" s="225" t="s">
        <v>193</v>
      </c>
      <c r="O4" s="225" t="s">
        <v>194</v>
      </c>
      <c r="P4" s="225" t="s">
        <v>195</v>
      </c>
      <c r="Q4" s="225" t="s">
        <v>192</v>
      </c>
      <c r="R4" s="225" t="s">
        <v>193</v>
      </c>
      <c r="S4" s="225" t="s">
        <v>194</v>
      </c>
      <c r="T4" s="225" t="s">
        <v>195</v>
      </c>
      <c r="U4" s="225" t="s">
        <v>192</v>
      </c>
      <c r="V4" s="225" t="s">
        <v>193</v>
      </c>
      <c r="W4" s="225" t="s">
        <v>194</v>
      </c>
      <c r="X4" s="225" t="s">
        <v>195</v>
      </c>
      <c r="Y4" s="225" t="s">
        <v>194</v>
      </c>
      <c r="Z4" s="225" t="s">
        <v>195</v>
      </c>
      <c r="AA4" s="225" t="s">
        <v>196</v>
      </c>
    </row>
    <row r="5" spans="1:29" x14ac:dyDescent="0.3">
      <c r="A5" s="2" t="s">
        <v>306</v>
      </c>
      <c r="B5" s="2" t="s">
        <v>159</v>
      </c>
      <c r="C5" s="221" t="s">
        <v>307</v>
      </c>
      <c r="D5" s="221" t="s">
        <v>307</v>
      </c>
      <c r="E5" s="18">
        <f>10000*'FY VOLUME NONAUTO'!F8/'FY VOLUME NONAUTO'!$H$13</f>
        <v>1189.9510635198637</v>
      </c>
      <c r="F5" s="18">
        <f>10000*'FY VOLUME NONAUTO'!G8/'FY VOLUME NONAUTO'!$H$13</f>
        <v>3252.1560194930307</v>
      </c>
      <c r="G5" s="18">
        <f>E5+F5</f>
        <v>4442.1070830128947</v>
      </c>
      <c r="H5" s="331">
        <f>(E5*'BUNDLE DATA'!$D$8+F5*'BUNDLE DATA'!$D$12)/G5</f>
        <v>7.7465120218933273E-2</v>
      </c>
      <c r="I5" s="18">
        <f>G5*'BUNDLE DATA'!$D$20*'BUNDLE DATA'!$C$20</f>
        <v>0</v>
      </c>
      <c r="J5" s="18">
        <f>G5*(1-'BUNDLE DATA'!$D$20)*'BUNDLE DATA'!$C$20</f>
        <v>4442.1070830128947</v>
      </c>
      <c r="K5" s="18">
        <f>E5*'BUNDLE DATA'!$D$8+F5*'BUNDLE DATA'!$D$12</f>
        <v>344.1083592109689</v>
      </c>
      <c r="L5" s="18">
        <f>(E5*(1-'BUNDLE DATA'!$D$8)+F5*(1-'BUNDLE DATA'!$D$12))*'BUNDLE DENSITIES'!$E$7</f>
        <v>4097.9987238019257</v>
      </c>
      <c r="M5" s="18">
        <v>0</v>
      </c>
      <c r="N5" s="18">
        <v>0</v>
      </c>
      <c r="O5" s="18">
        <v>0</v>
      </c>
      <c r="P5" s="18">
        <v>0</v>
      </c>
      <c r="Q5" s="18">
        <v>0</v>
      </c>
      <c r="R5" s="18">
        <v>0</v>
      </c>
      <c r="S5" s="18">
        <v>0</v>
      </c>
      <c r="T5" s="18">
        <v>0</v>
      </c>
      <c r="U5" s="18">
        <v>0</v>
      </c>
      <c r="V5" s="18">
        <v>0</v>
      </c>
      <c r="W5" s="18">
        <v>0</v>
      </c>
      <c r="X5" s="18">
        <v>0</v>
      </c>
      <c r="Y5" s="18">
        <f t="shared" ref="Y5:Z9" si="0">K5+O5+S5+W5</f>
        <v>344.1083592109689</v>
      </c>
      <c r="Z5" s="18">
        <f t="shared" si="0"/>
        <v>4097.9987238019257</v>
      </c>
      <c r="AA5" s="44">
        <f>Y5+Z5</f>
        <v>4442.1070830128947</v>
      </c>
    </row>
    <row r="6" spans="1:29" x14ac:dyDescent="0.3">
      <c r="A6" s="2" t="s">
        <v>306</v>
      </c>
      <c r="B6" s="2" t="s">
        <v>159</v>
      </c>
      <c r="C6" s="221" t="s">
        <v>307</v>
      </c>
      <c r="D6" s="221" t="s">
        <v>198</v>
      </c>
      <c r="E6" s="18">
        <f>10000*'FY VOLUME NONAUTO'!F9/'FY VOLUME NONAUTO'!$H$13</f>
        <v>3.2450317291487236</v>
      </c>
      <c r="F6" s="18">
        <f>10000*'FY VOLUME NONAUTO'!G9/'FY VOLUME NONAUTO'!$H$13</f>
        <v>1583.9501779978059</v>
      </c>
      <c r="G6" s="18">
        <f t="shared" ref="G6:G9" si="1">E6+F6</f>
        <v>1587.1952097269545</v>
      </c>
      <c r="H6" s="331">
        <f>(E6*'BUNDLE DATA'!$D$8+F6*'BUNDLE DATA'!$D$12)/G6</f>
        <v>0.1033695123671842</v>
      </c>
      <c r="I6" s="18">
        <f>G6*'BUNDLE DATA'!$D$22*'BUNDLE DATA'!$C$22</f>
        <v>0</v>
      </c>
      <c r="J6" s="18">
        <f>G6*(1-'BUNDLE DATA'!$D$22)*'BUNDLE DATA'!$C$22</f>
        <v>1587.1952097269545</v>
      </c>
      <c r="K6" s="18">
        <f>G6*H6</f>
        <v>164.06759486100594</v>
      </c>
      <c r="L6" s="18">
        <f>G6*(1-H6)*'BUNDLE DENSITIES'!$G$7</f>
        <v>93.559277514203927</v>
      </c>
      <c r="M6" s="18">
        <f>G6*(1-H6)*'BUNDLE DENSITIES'!$G$8*'BUNDLE DATA'!$D$30*'BUNDLE DATA'!$C$30</f>
        <v>1329.5683373517445</v>
      </c>
      <c r="N6" s="18">
        <f>G6*(1-'BUNDLE DATA'!$D$12)*'BUNDLE DENSITIES'!$G$8*(1-'BUNDLE DATA'!$D$30)*'BUNDLE DATA'!$C$30</f>
        <v>0</v>
      </c>
      <c r="O6" s="18">
        <f>G6*(1-H6)*'BUNDLE DATA'!$E$12*'BUNDLE DENSITIES'!$G$8</f>
        <v>48.778700489427187</v>
      </c>
      <c r="P6" s="18">
        <f>G6*(1-H6)*(1-'BUNDLE DATA'!$E$12)*'BUNDLE DENSITIES'!$G$8*'BUNDLE DENSITIES'!$G$15</f>
        <v>1280.7896368623174</v>
      </c>
      <c r="Q6" s="18">
        <v>0</v>
      </c>
      <c r="R6" s="18">
        <v>0</v>
      </c>
      <c r="S6" s="18">
        <v>0</v>
      </c>
      <c r="T6" s="18">
        <v>0</v>
      </c>
      <c r="U6" s="18">
        <v>0</v>
      </c>
      <c r="V6" s="18">
        <v>0</v>
      </c>
      <c r="W6" s="18">
        <v>0</v>
      </c>
      <c r="X6" s="18">
        <v>0</v>
      </c>
      <c r="Y6" s="18">
        <f t="shared" si="0"/>
        <v>212.84629535043314</v>
      </c>
      <c r="Z6" s="18">
        <f t="shared" si="0"/>
        <v>1374.3489143765214</v>
      </c>
      <c r="AA6" s="44">
        <f t="shared" ref="AA6:AA9" si="2">Y6+Z6</f>
        <v>1587.1952097269545</v>
      </c>
    </row>
    <row r="7" spans="1:29" x14ac:dyDescent="0.3">
      <c r="A7" s="2" t="s">
        <v>306</v>
      </c>
      <c r="B7" s="2" t="s">
        <v>159</v>
      </c>
      <c r="C7" s="221" t="s">
        <v>307</v>
      </c>
      <c r="D7" s="221" t="s">
        <v>199</v>
      </c>
      <c r="E7" s="18">
        <f>10000*'FY VOLUME NONAUTO'!F10/'FY VOLUME NONAUTO'!$H$13</f>
        <v>45.057683860407685</v>
      </c>
      <c r="F7" s="18">
        <f>10000*'FY VOLUME NONAUTO'!G10/'FY VOLUME NONAUTO'!$H$13</f>
        <v>3084.3055097792485</v>
      </c>
      <c r="G7" s="18">
        <f t="shared" si="1"/>
        <v>3129.3631936396564</v>
      </c>
      <c r="H7" s="331">
        <f>(E7*'BUNDLE DATA'!$D$8+F7*'BUNDLE DATA'!$D$12)/G7</f>
        <v>0.10216568856293098</v>
      </c>
      <c r="I7" s="18">
        <f>G7*'BUNDLE DATA'!$D$24*'BUNDLE DATA'!$C$24</f>
        <v>0</v>
      </c>
      <c r="J7" s="18">
        <f>G7*(1-'BUNDLE DATA'!$D$24)*'BUNDLE DATA'!$C$24</f>
        <v>3129.3631936396564</v>
      </c>
      <c r="K7" s="18">
        <f t="shared" ref="K7" si="3">G7*H7</f>
        <v>319.71354544168821</v>
      </c>
      <c r="L7" s="18">
        <f>G7*(1-H$7)*'BUNDLE DENSITIES'!$I$7</f>
        <v>162.05625515813756</v>
      </c>
      <c r="M7" s="18">
        <f>G7*(1-$H$7)*'BUNDLE DENSITIES'!$I$8*'BUNDLE DATA'!$D$32*'BUNDLE DATA'!$C$32</f>
        <v>2631.3084544935859</v>
      </c>
      <c r="N7" s="18">
        <f>G7*(1-$H$7)*'BUNDLE DENSITIES'!$I$8*(1-'BUNDLE DATA'!$D$32)*'BUNDLE DATA'!$C$32</f>
        <v>0</v>
      </c>
      <c r="O7" s="18">
        <f>G7*(1-H$7)*'BUNDLE DATA'!$E$12*'BUNDLE DENSITIES'!$I$8</f>
        <v>96.536449756838635</v>
      </c>
      <c r="P7" s="18">
        <f>G7*(1-$H$7)*(1-'BUNDLE DATA'!$E$12)*'BUNDLE DENSITIES'!$I$8*'BUNDLE DENSITIES'!$I$15</f>
        <v>986.52660109770818</v>
      </c>
      <c r="Q7" s="18">
        <f>(G7*(1-$H$7)*'BUNDLE DENSITIES'!$I$9+G7*(1-H$7)*(1-'BUNDLE DATA'!$E$12)*'BUNDLE DENSITIES'!$I$8*'BUNDLE DENSITIES'!$I$16)*'BUNDLE DATA'!$D$38*'BUNDLE DATA'!$C$38</f>
        <v>1520.6757839749555</v>
      </c>
      <c r="R7" s="18">
        <f>(G7*(1-$H$9)*'BUNDLE DENSITIES'!$I$9+G7*(1-H$7)*(1-'BUNDLE DATA'!$E$12)*'BUNDLE DENSITIES'!$I$8*'BUNDLE DENSITIES'!$I$16)*(1-'BUNDLE DATA'!$D$38)*'BUNDLE DATA'!$C$38</f>
        <v>43.90308623677889</v>
      </c>
      <c r="S7" s="18">
        <f>(G7*(1-$H$7)*'BUNDLE DATA'!$E$12*'BUNDLE DENSITIES'!$I$9+G7*(1-$H$7)*(1-'BUNDLE DATA'!$E$12)*'BUNDLE DATA'!$E$12*'BUNDLE DENSITIES'!$I$8*'BUNDLE DENSITIES'!$I$16)</f>
        <v>57.398897690421798</v>
      </c>
      <c r="T7" s="18">
        <f>(G7*(1-$H$7)*(1-'BUNDLE DATA'!$E$12)*'BUNDLE DENSITIES'!$I$9+G7*(1-$H$7)*(1-'BUNDLE DATA'!$E$12)*(1-'BUNDLE DATA'!$E$12)*'BUNDLE DENSITIES'!$I$8*'BUNDLE DENSITIES'!$I$16)*'BUNDLE DENSITIES'!$I$22</f>
        <v>1507.1314444948623</v>
      </c>
      <c r="U7" s="18">
        <v>0</v>
      </c>
      <c r="V7" s="18">
        <v>0</v>
      </c>
      <c r="W7" s="18">
        <v>0</v>
      </c>
      <c r="X7" s="18">
        <v>0</v>
      </c>
      <c r="Y7" s="18">
        <f t="shared" si="0"/>
        <v>473.64889288894864</v>
      </c>
      <c r="Z7" s="18">
        <f t="shared" si="0"/>
        <v>2655.7143007507084</v>
      </c>
      <c r="AA7" s="44">
        <f t="shared" si="2"/>
        <v>3129.3631936396569</v>
      </c>
    </row>
    <row r="8" spans="1:29" x14ac:dyDescent="0.3">
      <c r="A8" s="2" t="s">
        <v>306</v>
      </c>
      <c r="B8" s="2" t="s">
        <v>159</v>
      </c>
      <c r="C8" s="221" t="s">
        <v>307</v>
      </c>
      <c r="D8" s="221" t="s">
        <v>200</v>
      </c>
      <c r="E8" s="18">
        <f>10000*'FY VOLUME NONAUTO'!F11/'FY VOLUME NONAUTO'!$H$13</f>
        <v>23.220011065401465</v>
      </c>
      <c r="F8" s="18">
        <f>10000*'FY VOLUME NONAUTO'!G11/'FY VOLUME NONAUTO'!$H$13</f>
        <v>712.40098050015251</v>
      </c>
      <c r="G8" s="18">
        <f t="shared" si="1"/>
        <v>735.62099156555394</v>
      </c>
      <c r="H8" s="331">
        <f>(E8*'BUNDLE DATA'!$D$8+F8*'BUNDLE DATA'!$D$12)/G8</f>
        <v>0.1004928628639985</v>
      </c>
      <c r="I8" s="18">
        <f>($G8*'BUNDLE DATA'!$D$26)</f>
        <v>0</v>
      </c>
      <c r="J8" s="18">
        <f>($G8*(1-'BUNDLE DATA'!$D$26))</f>
        <v>735.62099156555394</v>
      </c>
      <c r="K8" s="18">
        <f>(I8+J8)*$H$8</f>
        <v>73.924659425275806</v>
      </c>
      <c r="L8" s="18">
        <f>(I8+J8-K8)*'BUNDLE DENSITIES'!$K$10*(1-'COVERAGE FACTORS'!$E$44)</f>
        <v>39.101860979181616</v>
      </c>
      <c r="M8" s="18">
        <f>($I8+$J8-$K8)*'BUNDLE DENSITIES'!$K$8*'BUNDLE DATA'!$D$34</f>
        <v>613.23887238561895</v>
      </c>
      <c r="N8" s="18">
        <f>($I8+$J8-$K8)*'BUNDLE DENSITIES'!$K$8*(1-'BUNDLE DATA'!$D$34)</f>
        <v>0</v>
      </c>
      <c r="O8" s="18">
        <f>SUM(M8:N8)*'BUNDLE DATA'!$E$8</f>
        <v>22.498275902202476</v>
      </c>
      <c r="P8" s="18">
        <f>((M8-O8)*'BUNDLE DENSITIES'!$K$17)*('COVERAGE FACTORS'!$E$115)</f>
        <v>51.144564272918785</v>
      </c>
      <c r="Q8" s="18">
        <f>(($I8+$J8-$K8)*'BUNDLE DENSITIES'!$K$9+($M8+$N8-$O8)*'BUNDLE DENSITIES'!$K$16)*'BUNDLE DATA'!$D$40</f>
        <v>530.77660598406283</v>
      </c>
      <c r="R8" s="18">
        <f>(($I8+$J8-$K8)*'BUNDLE DENSITIES'!$K$9+($M8+$N8-$O8)*'BUNDLE DENSITIES'!$K$16)*(1-'BUNDLE DATA'!$D$40)</f>
        <v>15.306992988974976</v>
      </c>
      <c r="S8" s="18">
        <f>(Q8+R8)*'BUNDLE DATA'!$E$8</f>
        <v>20.034508620708262</v>
      </c>
      <c r="T8" s="18">
        <f>($Q8+$R8-$S8)*('COVERAGE FACTORS'!$E$115)</f>
        <v>500.29193888349283</v>
      </c>
      <c r="U8" s="18">
        <f>(($I8+$J8-$K8)*'BUNDLE DENSITIES'!$K$10*('COVERAGE FACTORS'!$E$44)+($M8+$N8-$O8)*'BUNDLE DENSITIES'!$K$17*(1-'COVERAGE FACTORS'!$E$115)+($Q8+$R8-$S8)*(1-'COVERAGE FACTORS'!$E$115))*'BUNDLE DATA'!$D$44</f>
        <v>0.28625183481774052</v>
      </c>
      <c r="V8" s="18">
        <f>(($I8+$J8-$K8)*'BUNDLE DENSITIES'!$K$10*('COVERAGE FACTORS'!$E$44)+($M8+$N8-$O8)*'BUNDLE DENSITIES'!$K$17*(1-'COVERAGE FACTORS'!$E$115)+($Q8+$R8-$S8)*(1-'COVERAGE FACTORS'!$E$115))*(1-'BUNDLE DATA'!$D$44)</f>
        <v>28.338931646956311</v>
      </c>
      <c r="W8" s="18">
        <f>(U8+V8)*'BUNDLE DATA'!$E$8</f>
        <v>1.0501899092253701</v>
      </c>
      <c r="X8" s="18">
        <f>(U8+V8)-W8</f>
        <v>27.574993572548681</v>
      </c>
      <c r="Y8" s="18">
        <f t="shared" si="0"/>
        <v>117.50763385741192</v>
      </c>
      <c r="Z8" s="18">
        <f t="shared" si="0"/>
        <v>618.11335770814196</v>
      </c>
      <c r="AA8" s="44">
        <f t="shared" si="2"/>
        <v>735.62099156555382</v>
      </c>
      <c r="AC8" s="397"/>
    </row>
    <row r="9" spans="1:29" x14ac:dyDescent="0.3">
      <c r="A9" s="2" t="s">
        <v>306</v>
      </c>
      <c r="B9" s="2" t="s">
        <v>159</v>
      </c>
      <c r="C9" s="221" t="s">
        <v>592</v>
      </c>
      <c r="D9" s="221" t="s">
        <v>307</v>
      </c>
      <c r="E9" s="18">
        <f>10000*'FY VOLUME NONAUTO'!F12/'FY VOLUME NONAUTO'!$H$13</f>
        <v>105.07013104899492</v>
      </c>
      <c r="F9" s="18">
        <f>10000*'FY VOLUME NONAUTO'!G12/'FY VOLUME NONAUTO'!$H$13</f>
        <v>0.64339100594540999</v>
      </c>
      <c r="G9" s="18">
        <f t="shared" si="1"/>
        <v>105.71352205494033</v>
      </c>
      <c r="H9" s="331">
        <f>(E9*'BUNDLE DATA'!$D$8+F9*'BUNDLE DATA'!$D$12)/G9</f>
        <v>6.7165630490558289E-3</v>
      </c>
      <c r="I9" s="18">
        <f>G9*'BUNDLE DATA'!$D$20*'BUNDLE DATA'!$C$20</f>
        <v>0</v>
      </c>
      <c r="J9" s="18">
        <f>G9*(1-'BUNDLE DATA'!$D$20)*'BUNDLE DATA'!$C$20</f>
        <v>105.71352205494033</v>
      </c>
      <c r="K9" s="18">
        <f>E9*'BUNDLE DATA'!$D$8+F9*'BUNDLE DATA'!$D$12</f>
        <v>0.71003153601976066</v>
      </c>
      <c r="L9" s="18">
        <f>(E9*(1-'BUNDLE DATA'!D8)+F9*(1-'BUNDLE DATA'!D12))*'BUNDLE DENSITIES'!E7</f>
        <v>105.00349051892057</v>
      </c>
      <c r="M9" s="18">
        <v>0</v>
      </c>
      <c r="N9" s="18">
        <v>0</v>
      </c>
      <c r="O9" s="18">
        <v>0</v>
      </c>
      <c r="P9" s="18">
        <v>0</v>
      </c>
      <c r="Q9" s="18">
        <v>0</v>
      </c>
      <c r="R9" s="18">
        <v>0</v>
      </c>
      <c r="S9" s="18">
        <v>0</v>
      </c>
      <c r="T9" s="18">
        <v>0</v>
      </c>
      <c r="U9" s="18">
        <v>0</v>
      </c>
      <c r="V9" s="18">
        <v>0</v>
      </c>
      <c r="W9" s="18">
        <v>0</v>
      </c>
      <c r="X9" s="18">
        <v>0</v>
      </c>
      <c r="Y9" s="18">
        <f t="shared" si="0"/>
        <v>0.71003153601976066</v>
      </c>
      <c r="Z9" s="18">
        <f t="shared" si="0"/>
        <v>105.00349051892057</v>
      </c>
      <c r="AA9" s="44">
        <f t="shared" si="2"/>
        <v>105.71352205494033</v>
      </c>
    </row>
    <row r="10" spans="1:29" x14ac:dyDescent="0.3">
      <c r="A10" s="1" t="s">
        <v>3</v>
      </c>
      <c r="B10" s="2"/>
      <c r="C10" s="34"/>
      <c r="D10" s="34"/>
      <c r="E10" s="44">
        <f t="shared" ref="E10:AA10" si="4">SUM(E5:E9)</f>
        <v>1366.5439212238164</v>
      </c>
      <c r="F10" s="44">
        <f t="shared" si="4"/>
        <v>8633.4560787761839</v>
      </c>
      <c r="G10" s="44">
        <f t="shared" si="4"/>
        <v>10000</v>
      </c>
      <c r="H10" s="44"/>
      <c r="I10" s="44">
        <f t="shared" si="4"/>
        <v>0</v>
      </c>
      <c r="J10" s="44">
        <f t="shared" si="4"/>
        <v>10000</v>
      </c>
      <c r="K10" s="44">
        <f t="shared" si="4"/>
        <v>902.52419047495857</v>
      </c>
      <c r="L10" s="44">
        <f t="shared" si="4"/>
        <v>4497.7196079723699</v>
      </c>
      <c r="M10" s="44">
        <f t="shared" si="4"/>
        <v>4574.1156642309497</v>
      </c>
      <c r="N10" s="44">
        <f t="shared" si="4"/>
        <v>0</v>
      </c>
      <c r="O10" s="44">
        <f t="shared" si="4"/>
        <v>167.8134261484683</v>
      </c>
      <c r="P10" s="44">
        <f t="shared" si="4"/>
        <v>2318.4608022329439</v>
      </c>
      <c r="Q10" s="44">
        <f t="shared" si="4"/>
        <v>2051.4523899590185</v>
      </c>
      <c r="R10" s="44">
        <f t="shared" si="4"/>
        <v>59.210079225753866</v>
      </c>
      <c r="S10" s="44">
        <f t="shared" si="4"/>
        <v>77.433406311130057</v>
      </c>
      <c r="T10" s="44">
        <f t="shared" si="4"/>
        <v>2007.4233833783551</v>
      </c>
      <c r="U10" s="44">
        <f t="shared" si="4"/>
        <v>0.28625183481774052</v>
      </c>
      <c r="V10" s="44">
        <f t="shared" si="4"/>
        <v>28.338931646956311</v>
      </c>
      <c r="W10" s="44">
        <f t="shared" si="4"/>
        <v>1.0501899092253701</v>
      </c>
      <c r="X10" s="44">
        <f t="shared" si="4"/>
        <v>27.574993572548681</v>
      </c>
      <c r="Y10" s="44">
        <f t="shared" si="4"/>
        <v>1148.8212128437826</v>
      </c>
      <c r="Z10" s="44">
        <f t="shared" si="4"/>
        <v>8851.1787871562192</v>
      </c>
      <c r="AA10" s="44">
        <f t="shared" si="4"/>
        <v>10000</v>
      </c>
    </row>
    <row r="11" spans="1:29" ht="12.5" x14ac:dyDescent="0.25">
      <c r="AA11" s="18"/>
    </row>
    <row r="12" spans="1:29" x14ac:dyDescent="0.3">
      <c r="H12" s="44" t="s">
        <v>474</v>
      </c>
      <c r="I12" s="44" t="s">
        <v>315</v>
      </c>
      <c r="J12" s="44" t="s">
        <v>315</v>
      </c>
      <c r="M12" s="44" t="s">
        <v>316</v>
      </c>
      <c r="N12" s="44" t="s">
        <v>316</v>
      </c>
      <c r="Q12" s="44" t="s">
        <v>316</v>
      </c>
      <c r="R12" s="44" t="s">
        <v>316</v>
      </c>
      <c r="U12" s="44" t="s">
        <v>316</v>
      </c>
      <c r="V12" s="44" t="s">
        <v>316</v>
      </c>
      <c r="AA12" s="44" t="s">
        <v>3</v>
      </c>
    </row>
    <row r="13" spans="1:29" x14ac:dyDescent="0.3">
      <c r="C13" s="1" t="s">
        <v>189</v>
      </c>
      <c r="E13" s="44" t="s">
        <v>187</v>
      </c>
      <c r="F13" s="44" t="s">
        <v>188</v>
      </c>
      <c r="G13" s="44" t="s">
        <v>3</v>
      </c>
      <c r="H13" s="44" t="s">
        <v>201</v>
      </c>
      <c r="I13" s="44" t="s">
        <v>317</v>
      </c>
      <c r="J13" s="44" t="s">
        <v>317</v>
      </c>
      <c r="M13" s="44" t="s">
        <v>164</v>
      </c>
      <c r="N13" s="44" t="s">
        <v>164</v>
      </c>
      <c r="Q13" s="44" t="s">
        <v>317</v>
      </c>
      <c r="R13" s="44" t="s">
        <v>317</v>
      </c>
      <c r="U13" s="44" t="s">
        <v>318</v>
      </c>
      <c r="V13" s="44" t="s">
        <v>318</v>
      </c>
      <c r="Y13" s="44" t="s">
        <v>3</v>
      </c>
      <c r="Z13" s="44" t="s">
        <v>3</v>
      </c>
      <c r="AA13" s="225" t="s">
        <v>585</v>
      </c>
    </row>
    <row r="14" spans="1:29" x14ac:dyDescent="0.3">
      <c r="A14" s="36" t="s">
        <v>14</v>
      </c>
      <c r="B14" s="36" t="s">
        <v>191</v>
      </c>
      <c r="C14" s="55" t="s">
        <v>190</v>
      </c>
      <c r="D14" s="55" t="s">
        <v>319</v>
      </c>
      <c r="E14" s="225" t="s">
        <v>585</v>
      </c>
      <c r="F14" s="225" t="s">
        <v>585</v>
      </c>
      <c r="G14" s="225" t="s">
        <v>585</v>
      </c>
      <c r="H14" s="225" t="s">
        <v>203</v>
      </c>
      <c r="I14" s="225" t="s">
        <v>192</v>
      </c>
      <c r="J14" s="225" t="s">
        <v>193</v>
      </c>
      <c r="K14" s="225" t="s">
        <v>194</v>
      </c>
      <c r="L14" s="225" t="s">
        <v>195</v>
      </c>
      <c r="M14" s="225" t="s">
        <v>192</v>
      </c>
      <c r="N14" s="225" t="s">
        <v>193</v>
      </c>
      <c r="O14" s="225" t="s">
        <v>194</v>
      </c>
      <c r="P14" s="225" t="s">
        <v>195</v>
      </c>
      <c r="Q14" s="225" t="s">
        <v>192</v>
      </c>
      <c r="R14" s="225" t="s">
        <v>193</v>
      </c>
      <c r="S14" s="225" t="s">
        <v>194</v>
      </c>
      <c r="T14" s="225" t="s">
        <v>195</v>
      </c>
      <c r="U14" s="225" t="s">
        <v>192</v>
      </c>
      <c r="V14" s="225" t="s">
        <v>193</v>
      </c>
      <c r="W14" s="225" t="s">
        <v>194</v>
      </c>
      <c r="X14" s="225" t="s">
        <v>195</v>
      </c>
      <c r="Y14" s="225" t="s">
        <v>194</v>
      </c>
      <c r="Z14" s="225" t="s">
        <v>195</v>
      </c>
      <c r="AA14" s="225" t="s">
        <v>196</v>
      </c>
    </row>
    <row r="15" spans="1:29" s="155" customFormat="1" x14ac:dyDescent="0.3">
      <c r="A15" s="155" t="s">
        <v>308</v>
      </c>
      <c r="B15" s="155" t="s">
        <v>159</v>
      </c>
      <c r="C15" s="306" t="s">
        <v>307</v>
      </c>
      <c r="D15" s="306" t="s">
        <v>198</v>
      </c>
      <c r="E15" s="18">
        <f>10000*'FY VOLUME NONAUTO'!F18/'FY VOLUME NONAUTO'!$H$25</f>
        <v>2083.6852342205548</v>
      </c>
      <c r="F15" s="18">
        <f>10000*'FY VOLUME NONAUTO'!G18/'FY VOLUME NONAUTO'!$H$25</f>
        <v>0</v>
      </c>
      <c r="G15" s="18">
        <f t="shared" ref="G15:G19" si="5">E15+F15</f>
        <v>2083.6852342205548</v>
      </c>
      <c r="H15" s="331">
        <f>(E15*'BUNDLE DATA'!$D$8+F15*'BUNDLE DATA'!$D$12)/G15</f>
        <v>6.1234942212081587E-3</v>
      </c>
      <c r="I15" s="18">
        <f>G15*'BUNDLE DATA'!$D$22*'BUNDLE DATA'!$C$22</f>
        <v>0</v>
      </c>
      <c r="J15" s="18">
        <f>G15*(1-'BUNDLE DATA'!$D$22)*'BUNDLE DATA'!$C$22</f>
        <v>2083.6852342205548</v>
      </c>
      <c r="K15" s="18">
        <f t="shared" ref="K15" si="6">G15*H15</f>
        <v>12.759434490566337</v>
      </c>
      <c r="L15" s="18">
        <f>G15*(1-$H$15)*'BUNDLE DENSITIES'!$G$7</f>
        <v>136.14683573300866</v>
      </c>
      <c r="M15" s="18">
        <f>G15*(1-$H$15)*'BUNDLE DENSITIES'!$G$8*'BUNDLE DATA'!$D$30*'BUNDLE DATA'!$C$30</f>
        <v>1934.7789639969797</v>
      </c>
      <c r="N15" s="18">
        <f>G15*(1-'BUNDLE DATA'!$D$12)*'BUNDLE DENSITIES'!$G$8*(1-'BUNDLE DATA'!$D$30)*'BUNDLE DATA'!$C$30</f>
        <v>0</v>
      </c>
      <c r="O15" s="18">
        <f>G15*(1-$H$15)*'BUNDLE DATA'!$E$12*'BUNDLE DENSITIES'!$G$8</f>
        <v>70.982439147153968</v>
      </c>
      <c r="P15" s="18">
        <f>G15*(1-H$15)*(1-'BUNDLE DATA'!$E$12)*'BUNDLE DENSITIES'!$G$8*'BUNDLE DENSITIES'!$G$15</f>
        <v>1863.7965248498258</v>
      </c>
      <c r="Q15" s="18">
        <v>0</v>
      </c>
      <c r="R15" s="18">
        <v>0</v>
      </c>
      <c r="S15" s="18">
        <v>0</v>
      </c>
      <c r="T15" s="18">
        <v>0</v>
      </c>
      <c r="U15" s="18">
        <v>0</v>
      </c>
      <c r="V15" s="18">
        <v>0</v>
      </c>
      <c r="W15" s="18">
        <v>0</v>
      </c>
      <c r="X15" s="18">
        <v>0</v>
      </c>
      <c r="Y15" s="18">
        <f>K15+O15+S15+W15</f>
        <v>83.741873637720303</v>
      </c>
      <c r="Z15" s="18">
        <f>L15+P15+T15+X15</f>
        <v>1999.9433605828344</v>
      </c>
      <c r="AA15" s="44">
        <f>Y15+Z15</f>
        <v>2083.6852342205548</v>
      </c>
      <c r="AB15"/>
    </row>
    <row r="16" spans="1:29" x14ac:dyDescent="0.3">
      <c r="A16" s="2" t="s">
        <v>308</v>
      </c>
      <c r="B16" s="2" t="s">
        <v>159</v>
      </c>
      <c r="C16" s="221" t="s">
        <v>592</v>
      </c>
      <c r="D16" s="221" t="s">
        <v>198</v>
      </c>
      <c r="E16" s="18">
        <f>10000*'FY VOLUME NONAUTO'!F19/'FY VOLUME NONAUTO'!$H$25</f>
        <v>591.15495663017032</v>
      </c>
      <c r="F16" s="18">
        <f>10000*'FY VOLUME NONAUTO'!G19/'FY VOLUME NONAUTO'!$H$25</f>
        <v>342.45885355008755</v>
      </c>
      <c r="G16" s="18">
        <f t="shared" si="5"/>
        <v>933.61381018025781</v>
      </c>
      <c r="H16" s="331">
        <f>(E16*'BUNDLE DATA'!$D$8+F16*'BUNDLE DATA'!$D$12)/G16</f>
        <v>4.1867381832651832E-2</v>
      </c>
      <c r="I16" s="18">
        <v>0</v>
      </c>
      <c r="J16" s="18">
        <v>0</v>
      </c>
      <c r="K16" s="18">
        <v>0</v>
      </c>
      <c r="L16" s="18">
        <v>0</v>
      </c>
      <c r="M16" s="18">
        <f>G16*'BUNDLE DATA'!$D$30*'BUNDLE DATA'!$C$30</f>
        <v>933.61381018025781</v>
      </c>
      <c r="N16" s="18">
        <f>G16*(1-'BUNDLE DATA'!$D$30)*'BUNDLE DATA'!$C$30</f>
        <v>0</v>
      </c>
      <c r="O16" s="18">
        <f>G16*H16</f>
        <v>39.087965875053783</v>
      </c>
      <c r="P16" s="18">
        <f>(E16*(1-'BUNDLE DATA'!$D$8)+F16*(1-'BUNDLE DATA'!$D$12))*'BUNDLE DENSITIES'!$G$15</f>
        <v>894.52584430520403</v>
      </c>
      <c r="Q16" s="18">
        <v>0</v>
      </c>
      <c r="R16" s="18">
        <v>0</v>
      </c>
      <c r="S16" s="18">
        <v>0</v>
      </c>
      <c r="T16" s="18">
        <v>0</v>
      </c>
      <c r="U16" s="18">
        <v>0</v>
      </c>
      <c r="V16" s="18">
        <v>0</v>
      </c>
      <c r="W16" s="18">
        <v>0</v>
      </c>
      <c r="X16" s="18">
        <v>0</v>
      </c>
      <c r="Y16" s="18">
        <f>K16+O16+S16+W16</f>
        <v>39.087965875053783</v>
      </c>
      <c r="Z16" s="18">
        <f>L16+P16+T16+X16</f>
        <v>894.52584430520403</v>
      </c>
      <c r="AA16" s="44">
        <f>Y16+Z16</f>
        <v>933.61381018025781</v>
      </c>
    </row>
    <row r="17" spans="1:30" x14ac:dyDescent="0.3">
      <c r="A17" s="2" t="s">
        <v>308</v>
      </c>
      <c r="B17" s="2" t="s">
        <v>159</v>
      </c>
      <c r="C17" s="221" t="s">
        <v>592</v>
      </c>
      <c r="D17" s="221" t="s">
        <v>199</v>
      </c>
      <c r="E17" s="18">
        <f>10000*'FY VOLUME NONAUTO'!F20/'FY VOLUME NONAUTO'!$H$25</f>
        <v>0</v>
      </c>
      <c r="F17" s="18">
        <f>10000*'FY VOLUME NONAUTO'!G20/'FY VOLUME NONAUTO'!$H$25</f>
        <v>4310.4987795794605</v>
      </c>
      <c r="G17" s="18">
        <f t="shared" si="5"/>
        <v>4310.4987795794605</v>
      </c>
      <c r="H17" s="331">
        <f>(E17*'BUNDLE DATA'!$D$8+F17*'BUNDLE DATA'!$D$12)/G17</f>
        <v>0.10356873985476586</v>
      </c>
      <c r="I17" s="18">
        <v>0</v>
      </c>
      <c r="J17" s="18">
        <v>0</v>
      </c>
      <c r="K17" s="18">
        <v>0</v>
      </c>
      <c r="L17" s="18">
        <v>0</v>
      </c>
      <c r="M17" s="18">
        <f>G17*'BUNDLE DATA'!$D$32*'BUNDLE DATA'!$C$32</f>
        <v>4310.4987795794605</v>
      </c>
      <c r="N17" s="18">
        <f>G17*(1-'BUNDLE DATA'!$D$32)*'BUNDLE DATA'!$C$32</f>
        <v>0</v>
      </c>
      <c r="O17" s="18">
        <f>G17*H17</f>
        <v>446.43292674655089</v>
      </c>
      <c r="P17" s="18">
        <f>F17*(1-'BUNDLE DATA'!$D$12)*'BUNDLE DENSITIES'!$I$15</f>
        <v>1503.8842724668916</v>
      </c>
      <c r="Q17" s="18">
        <f>F17*(1-'BUNDLE DATA'!$D$12)*'BUNDLE DENSITIES'!$I$16*'BUNDLE DATA'!$D$38*'BUNDLE DATA'!$C$38</f>
        <v>2294.0245249786904</v>
      </c>
      <c r="R17" s="18">
        <f>F17*(1-'BUNDLE DATA'!$D$12)*'BUNDLE DENSITIES'!$I$16*(1-'BUNDLE DATA'!$D$38)*'BUNDLE DATA'!$C$38</f>
        <v>66.157055387327702</v>
      </c>
      <c r="S17" s="18">
        <f>F17*(1-'BUNDLE DATA'!$D$12)*'BUNDLE DATA'!$E$12*'BUNDLE DENSITIES'!$I$16</f>
        <v>86.589449504075802</v>
      </c>
      <c r="T17" s="18">
        <f>F17*(1-'BUNDLE DATA'!$D$12)*(1-'BUNDLE DATA'!$E$12)*'BUNDLE DENSITIES'!$I$16*'BUNDLE DENSITIES'!$I$22</f>
        <v>2273.5921308619418</v>
      </c>
      <c r="U17" s="18">
        <v>0</v>
      </c>
      <c r="V17" s="18">
        <v>0</v>
      </c>
      <c r="W17" s="18">
        <v>0</v>
      </c>
      <c r="X17" s="18">
        <v>0</v>
      </c>
      <c r="Y17" s="18">
        <f t="shared" ref="Y17:Z17" si="7">K17+O17+S17+W17</f>
        <v>533.02237625062673</v>
      </c>
      <c r="Z17" s="18">
        <f t="shared" si="7"/>
        <v>3777.4764033288334</v>
      </c>
      <c r="AA17" s="44">
        <f t="shared" ref="AA17:AA19" si="8">Y17+Z17</f>
        <v>4310.4987795794605</v>
      </c>
      <c r="AC17" s="332"/>
    </row>
    <row r="18" spans="1:30" x14ac:dyDescent="0.3">
      <c r="A18" s="2" t="s">
        <v>308</v>
      </c>
      <c r="B18" s="2" t="s">
        <v>159</v>
      </c>
      <c r="C18" s="221" t="s">
        <v>592</v>
      </c>
      <c r="D18" s="221" t="s">
        <v>200</v>
      </c>
      <c r="E18" s="18">
        <f>10000*'FY VOLUME NONAUTO'!F21/'FY VOLUME NONAUTO'!$H$25</f>
        <v>0</v>
      </c>
      <c r="F18" s="18">
        <f>10000*'FY VOLUME NONAUTO'!G21/'FY VOLUME NONAUTO'!$H$25</f>
        <v>2632.2930132078559</v>
      </c>
      <c r="G18" s="18">
        <f t="shared" si="5"/>
        <v>2632.2930132078559</v>
      </c>
      <c r="H18" s="331">
        <f>(E18*'BUNDLE DATA'!$D$8+F18*'BUNDLE DATA'!$D$12)/G18</f>
        <v>0.10356873985476586</v>
      </c>
      <c r="I18" s="18">
        <v>0</v>
      </c>
      <c r="J18" s="18">
        <v>0</v>
      </c>
      <c r="K18" s="18">
        <v>0</v>
      </c>
      <c r="L18" s="18">
        <v>0</v>
      </c>
      <c r="M18" s="18">
        <f>G18*'BUNDLE DATA'!$D$34</f>
        <v>2632.2930132078559</v>
      </c>
      <c r="N18" s="18">
        <f>G18*(1-'BUNDLE DATA'!$D$34)</f>
        <v>0</v>
      </c>
      <c r="O18" s="18">
        <f>SUM(M18:N18)*H18</f>
        <v>272.62327030644218</v>
      </c>
      <c r="P18" s="18">
        <f>((M18-O18)*'BUNDLE DENSITIES'!$K$17)*('COVERAGE FACTORS'!$E$115)</f>
        <v>204.29318984863608</v>
      </c>
      <c r="Q18" s="18">
        <f>(($M18+$N18-$O18)*'BUNDLE DENSITIES'!$K$16)*'BUNDLE DATA'!$D$40</f>
        <v>2084.7372249946307</v>
      </c>
      <c r="R18" s="18">
        <f>(($M18+N18-$O18)*'BUNDLE DENSITIES'!$K$16)*(1-'BUNDLE DATA'!$D$40)</f>
        <v>60.121447944535298</v>
      </c>
      <c r="S18" s="18">
        <f>(Q18+R18)*'BUNDLE DATA'!$E$8</f>
        <v>78.689764083763023</v>
      </c>
      <c r="T18" s="18">
        <f>($Q18+$R18-$S18)*('COVERAGE FACTORS'!$E$115)</f>
        <v>1965.0022563098285</v>
      </c>
      <c r="U18" s="18">
        <f>(($M18+$N18-$O18)*'BUNDLE DENSITIES'!$K$17*(1-'COVERAGE FACTORS'!$E$115)+($Q18+$R18-$S18)*(1-'COVERAGE FACTORS'!$E$115))*'BUNDLE DATA'!$D$44</f>
        <v>1.1168453265918679</v>
      </c>
      <c r="V18" s="18">
        <f>(($M18+$N18-$O18)*'BUNDLE DENSITIES'!$K$17*(1-'COVERAGE FACTORS'!$E$115)+($Q18+$R18-$S18)*(1-'COVERAGE FACTORS'!$E$115))*(1-'BUNDLE DATA'!$D$44)</f>
        <v>110.56768733259491</v>
      </c>
      <c r="W18" s="18">
        <f>(U18+V18)*'BUNDLE DATA'!$E$8</f>
        <v>4.0974399095086671</v>
      </c>
      <c r="X18" s="18">
        <f>(U18+V18)-W18</f>
        <v>107.58709274967812</v>
      </c>
      <c r="Y18" s="18">
        <f t="shared" ref="Y18:Y19" si="9">K18+O18+S18+W18</f>
        <v>355.41047429971388</v>
      </c>
      <c r="Z18" s="18">
        <f t="shared" ref="Z18:Z19" si="10">L18+P18+T18+X18</f>
        <v>2276.8825389081426</v>
      </c>
      <c r="AA18" s="44">
        <f t="shared" si="8"/>
        <v>2632.2930132078563</v>
      </c>
      <c r="AC18" s="332"/>
      <c r="AD18" s="247"/>
    </row>
    <row r="19" spans="1:30" x14ac:dyDescent="0.3">
      <c r="A19" s="224" t="s">
        <v>308</v>
      </c>
      <c r="B19" s="224" t="s">
        <v>159</v>
      </c>
      <c r="C19" s="307" t="s">
        <v>199</v>
      </c>
      <c r="D19" s="307" t="s">
        <v>198</v>
      </c>
      <c r="E19" s="18">
        <f>10000*'FY VOLUME NONAUTO'!F22/'FY VOLUME NONAUTO'!$H$25</f>
        <v>39.90916281187247</v>
      </c>
      <c r="F19" s="18">
        <f>10000*'FY VOLUME NONAUTO'!G22/'FY VOLUME NONAUTO'!$H$25</f>
        <v>0</v>
      </c>
      <c r="G19" s="18">
        <f t="shared" si="5"/>
        <v>39.90916281187247</v>
      </c>
      <c r="H19" s="331">
        <f>(E19*'BUNDLE DATA'!$D$8+F19*'BUNDLE DATA'!$D$12)/G19</f>
        <v>6.1234942212081587E-3</v>
      </c>
      <c r="I19" s="18">
        <v>0</v>
      </c>
      <c r="J19" s="18">
        <v>0</v>
      </c>
      <c r="K19" s="18">
        <v>0</v>
      </c>
      <c r="L19" s="18">
        <v>0</v>
      </c>
      <c r="M19" s="18">
        <v>0</v>
      </c>
      <c r="N19" s="18">
        <v>0</v>
      </c>
      <c r="O19" s="18">
        <v>0</v>
      </c>
      <c r="P19" s="18">
        <v>0</v>
      </c>
      <c r="Q19" s="18">
        <f>G19*'BUNDLE DATA'!$D$38*'BUNDLE DATA'!$C$38</f>
        <v>38.79048926718805</v>
      </c>
      <c r="R19" s="18">
        <f>G19*(1-'BUNDLE DATA'!$D$38)*'BUNDLE DATA'!$C$38</f>
        <v>1.1186735446844185</v>
      </c>
      <c r="S19" s="18">
        <f>G19*H19</f>
        <v>0.24438352785175663</v>
      </c>
      <c r="T19" s="18">
        <f>(E19*(1-'BUNDLE DATA'!$D$8)+F19*(1-'BUNDLE DATA'!$D$12))*'BUNDLE DENSITIES'!$I$22</f>
        <v>39.66477928402071</v>
      </c>
      <c r="U19" s="18">
        <v>0</v>
      </c>
      <c r="V19" s="18">
        <v>0</v>
      </c>
      <c r="W19" s="18">
        <v>0</v>
      </c>
      <c r="X19" s="18">
        <v>0</v>
      </c>
      <c r="Y19" s="18">
        <f t="shared" si="9"/>
        <v>0.24438352785175663</v>
      </c>
      <c r="Z19" s="18">
        <f t="shared" si="10"/>
        <v>39.66477928402071</v>
      </c>
      <c r="AA19" s="44">
        <f t="shared" si="8"/>
        <v>39.90916281187247</v>
      </c>
      <c r="AC19" s="20"/>
      <c r="AD19" s="247"/>
    </row>
    <row r="20" spans="1:30" ht="12.5" x14ac:dyDescent="0.25">
      <c r="A20" s="2" t="s">
        <v>308</v>
      </c>
      <c r="B20" s="2" t="s">
        <v>159</v>
      </c>
      <c r="C20" s="169" t="s">
        <v>199</v>
      </c>
      <c r="D20" s="221" t="s">
        <v>199</v>
      </c>
      <c r="E20" s="18">
        <v>0</v>
      </c>
      <c r="F20" s="18">
        <v>0</v>
      </c>
      <c r="G20" s="18">
        <v>0</v>
      </c>
      <c r="H20" s="18">
        <v>0</v>
      </c>
      <c r="I20" s="18">
        <v>0</v>
      </c>
      <c r="J20" s="18">
        <v>0</v>
      </c>
      <c r="K20" s="18">
        <v>0</v>
      </c>
      <c r="L20" s="18">
        <v>0</v>
      </c>
      <c r="M20" s="18">
        <v>0</v>
      </c>
      <c r="N20" s="18">
        <v>0</v>
      </c>
      <c r="O20" s="18">
        <v>0</v>
      </c>
      <c r="P20" s="18">
        <v>0</v>
      </c>
      <c r="Q20" s="18">
        <v>0</v>
      </c>
      <c r="R20" s="18">
        <v>0</v>
      </c>
      <c r="S20" s="18">
        <v>0</v>
      </c>
      <c r="T20" s="18">
        <v>0</v>
      </c>
      <c r="U20" s="18">
        <v>0</v>
      </c>
      <c r="V20" s="18">
        <v>0</v>
      </c>
      <c r="W20" s="18">
        <v>0</v>
      </c>
      <c r="X20" s="18">
        <v>0</v>
      </c>
      <c r="Y20" s="18">
        <v>0</v>
      </c>
      <c r="Z20" s="18">
        <v>0</v>
      </c>
      <c r="AA20" s="18">
        <v>0</v>
      </c>
      <c r="AC20" s="20"/>
    </row>
    <row r="21" spans="1:30" ht="12.5" x14ac:dyDescent="0.25">
      <c r="A21" s="2" t="s">
        <v>308</v>
      </c>
      <c r="B21" s="2" t="s">
        <v>159</v>
      </c>
      <c r="C21" s="169" t="s">
        <v>199</v>
      </c>
      <c r="D21" s="221" t="s">
        <v>200</v>
      </c>
      <c r="E21" s="18">
        <v>0</v>
      </c>
      <c r="F21" s="18">
        <v>0</v>
      </c>
      <c r="G21" s="18">
        <v>0</v>
      </c>
      <c r="H21" s="18">
        <v>0</v>
      </c>
      <c r="I21" s="18">
        <v>0</v>
      </c>
      <c r="J21" s="18">
        <v>0</v>
      </c>
      <c r="K21" s="18">
        <v>0</v>
      </c>
      <c r="L21" s="18">
        <v>0</v>
      </c>
      <c r="M21" s="18">
        <v>0</v>
      </c>
      <c r="N21" s="18">
        <v>0</v>
      </c>
      <c r="O21" s="18">
        <v>0</v>
      </c>
      <c r="P21" s="18">
        <v>0</v>
      </c>
      <c r="Q21" s="18">
        <v>0</v>
      </c>
      <c r="R21" s="18">
        <v>0</v>
      </c>
      <c r="S21" s="18">
        <v>0</v>
      </c>
      <c r="T21" s="18">
        <v>0</v>
      </c>
      <c r="U21" s="18">
        <v>0</v>
      </c>
      <c r="V21" s="18">
        <v>0</v>
      </c>
      <c r="W21" s="18">
        <v>0</v>
      </c>
      <c r="X21" s="18">
        <v>0</v>
      </c>
      <c r="Y21" s="18">
        <v>0</v>
      </c>
      <c r="Z21" s="18">
        <v>0</v>
      </c>
      <c r="AA21" s="18">
        <v>0</v>
      </c>
      <c r="AC21" s="20"/>
      <c r="AD21" s="20"/>
    </row>
    <row r="22" spans="1:30" s="24" customFormat="1" x14ac:dyDescent="0.3">
      <c r="A22" s="24" t="s">
        <v>3</v>
      </c>
      <c r="C22" s="23"/>
      <c r="D22" s="23"/>
      <c r="E22" s="44">
        <f>SUM(E15:E21)</f>
        <v>2714.7493536625975</v>
      </c>
      <c r="F22" s="44">
        <f>SUM(F15:F21)</f>
        <v>7285.2506463374048</v>
      </c>
      <c r="G22" s="44">
        <f t="shared" ref="G22:AA22" si="11">SUM(G15:G21)</f>
        <v>10000.000000000002</v>
      </c>
      <c r="H22" s="44"/>
      <c r="I22" s="44">
        <f t="shared" si="11"/>
        <v>0</v>
      </c>
      <c r="J22" s="44">
        <f t="shared" si="11"/>
        <v>2083.6852342205548</v>
      </c>
      <c r="K22" s="44">
        <f t="shared" si="11"/>
        <v>12.759434490566337</v>
      </c>
      <c r="L22" s="44">
        <f t="shared" si="11"/>
        <v>136.14683573300866</v>
      </c>
      <c r="M22" s="44">
        <f t="shared" si="11"/>
        <v>9811.1845669645536</v>
      </c>
      <c r="N22" s="44">
        <f t="shared" si="11"/>
        <v>0</v>
      </c>
      <c r="O22" s="44">
        <f t="shared" si="11"/>
        <v>829.12660207520094</v>
      </c>
      <c r="P22" s="44">
        <f t="shared" si="11"/>
        <v>4466.4998314705572</v>
      </c>
      <c r="Q22" s="44">
        <f t="shared" si="11"/>
        <v>4417.5522392405082</v>
      </c>
      <c r="R22" s="44">
        <f t="shared" si="11"/>
        <v>127.39717687654741</v>
      </c>
      <c r="S22" s="44">
        <f t="shared" si="11"/>
        <v>165.52359711569059</v>
      </c>
      <c r="T22" s="44">
        <f t="shared" si="11"/>
        <v>4278.2591664557904</v>
      </c>
      <c r="U22" s="44">
        <f t="shared" si="11"/>
        <v>1.1168453265918679</v>
      </c>
      <c r="V22" s="44">
        <f t="shared" si="11"/>
        <v>110.56768733259491</v>
      </c>
      <c r="W22" s="44">
        <f t="shared" si="11"/>
        <v>4.0974399095086671</v>
      </c>
      <c r="X22" s="44">
        <f t="shared" si="11"/>
        <v>107.58709274967812</v>
      </c>
      <c r="Y22" s="44">
        <f t="shared" si="11"/>
        <v>1011.5070735909665</v>
      </c>
      <c r="Z22" s="44">
        <f t="shared" si="11"/>
        <v>8988.4929264090351</v>
      </c>
      <c r="AA22" s="44">
        <f t="shared" si="11"/>
        <v>10000.000000000004</v>
      </c>
      <c r="AB22"/>
      <c r="AC22" s="20"/>
    </row>
    <row r="23" spans="1:30" x14ac:dyDescent="0.3">
      <c r="C23" s="33"/>
      <c r="D23" s="33"/>
      <c r="AC23" s="20"/>
    </row>
    <row r="24" spans="1:30" x14ac:dyDescent="0.3">
      <c r="H24" s="44" t="s">
        <v>474</v>
      </c>
      <c r="I24" s="44" t="s">
        <v>315</v>
      </c>
      <c r="J24" s="44" t="s">
        <v>315</v>
      </c>
      <c r="M24" s="44" t="s">
        <v>316</v>
      </c>
      <c r="N24" s="44" t="s">
        <v>316</v>
      </c>
      <c r="Q24" s="44" t="s">
        <v>316</v>
      </c>
      <c r="R24" s="44" t="s">
        <v>316</v>
      </c>
      <c r="U24" s="44" t="s">
        <v>316</v>
      </c>
      <c r="V24" s="44" t="s">
        <v>316</v>
      </c>
      <c r="AA24" s="44" t="s">
        <v>3</v>
      </c>
      <c r="AC24" s="20"/>
      <c r="AD24" s="247"/>
    </row>
    <row r="25" spans="1:30" x14ac:dyDescent="0.3">
      <c r="C25" s="1" t="s">
        <v>189</v>
      </c>
      <c r="E25" s="44" t="s">
        <v>187</v>
      </c>
      <c r="F25" s="44" t="s">
        <v>188</v>
      </c>
      <c r="G25" s="44" t="s">
        <v>3</v>
      </c>
      <c r="H25" s="44" t="s">
        <v>201</v>
      </c>
      <c r="I25" s="44" t="s">
        <v>317</v>
      </c>
      <c r="J25" s="44" t="s">
        <v>317</v>
      </c>
      <c r="M25" s="44" t="s">
        <v>164</v>
      </c>
      <c r="N25" s="44" t="s">
        <v>164</v>
      </c>
      <c r="Q25" s="44" t="s">
        <v>317</v>
      </c>
      <c r="R25" s="44" t="s">
        <v>317</v>
      </c>
      <c r="U25" s="44" t="s">
        <v>318</v>
      </c>
      <c r="V25" s="44" t="s">
        <v>318</v>
      </c>
      <c r="Y25" s="44" t="s">
        <v>3</v>
      </c>
      <c r="Z25" s="44" t="s">
        <v>3</v>
      </c>
      <c r="AA25" s="225" t="s">
        <v>585</v>
      </c>
      <c r="AC25" s="20"/>
      <c r="AD25" s="247"/>
    </row>
    <row r="26" spans="1:30" x14ac:dyDescent="0.3">
      <c r="A26" s="36" t="s">
        <v>14</v>
      </c>
      <c r="B26" s="36" t="s">
        <v>191</v>
      </c>
      <c r="C26" s="55" t="s">
        <v>190</v>
      </c>
      <c r="D26" s="55" t="s">
        <v>319</v>
      </c>
      <c r="E26" s="225" t="s">
        <v>585</v>
      </c>
      <c r="F26" s="225" t="s">
        <v>585</v>
      </c>
      <c r="G26" s="225" t="s">
        <v>585</v>
      </c>
      <c r="H26" s="225" t="s">
        <v>203</v>
      </c>
      <c r="I26" s="225" t="s">
        <v>192</v>
      </c>
      <c r="J26" s="225" t="s">
        <v>193</v>
      </c>
      <c r="K26" s="225" t="s">
        <v>194</v>
      </c>
      <c r="L26" s="225" t="s">
        <v>195</v>
      </c>
      <c r="M26" s="225" t="s">
        <v>192</v>
      </c>
      <c r="N26" s="225" t="s">
        <v>193</v>
      </c>
      <c r="O26" s="225" t="s">
        <v>194</v>
      </c>
      <c r="P26" s="225" t="s">
        <v>195</v>
      </c>
      <c r="Q26" s="225" t="s">
        <v>192</v>
      </c>
      <c r="R26" s="225" t="s">
        <v>193</v>
      </c>
      <c r="S26" s="225" t="s">
        <v>194</v>
      </c>
      <c r="T26" s="225" t="s">
        <v>195</v>
      </c>
      <c r="U26" s="225" t="s">
        <v>192</v>
      </c>
      <c r="V26" s="225" t="s">
        <v>193</v>
      </c>
      <c r="W26" s="225" t="s">
        <v>194</v>
      </c>
      <c r="X26" s="225" t="s">
        <v>195</v>
      </c>
      <c r="Y26" s="225" t="s">
        <v>194</v>
      </c>
      <c r="Z26" s="225" t="s">
        <v>195</v>
      </c>
      <c r="AA26" s="225" t="s">
        <v>196</v>
      </c>
      <c r="AC26" s="20"/>
      <c r="AD26" s="247"/>
    </row>
    <row r="27" spans="1:30" s="155" customFormat="1" x14ac:dyDescent="0.3">
      <c r="A27" s="155" t="s">
        <v>309</v>
      </c>
      <c r="B27" s="155" t="s">
        <v>159</v>
      </c>
      <c r="C27" s="306" t="s">
        <v>307</v>
      </c>
      <c r="D27" s="306" t="s">
        <v>198</v>
      </c>
      <c r="E27" s="18">
        <f>10000*'FY VOLUME NONAUTO'!F30/'FY VOLUME NONAUTO'!$H$34</f>
        <v>943.37544455512204</v>
      </c>
      <c r="F27" s="18">
        <f>10000*'FY VOLUME NONAUTO'!G30/'FY VOLUME NONAUTO'!$H$34</f>
        <v>0</v>
      </c>
      <c r="G27" s="18">
        <f>E27+F27</f>
        <v>943.37544455512204</v>
      </c>
      <c r="H27" s="331">
        <f>(E27*'BUNDLE DATA'!$D$8+F27*'BUNDLE DATA'!$D$12)/G27</f>
        <v>6.1234942212081587E-3</v>
      </c>
      <c r="I27" s="309">
        <f>G27*'BUNDLE DATA'!$D$24*'BUNDLE DATA'!$C$24</f>
        <v>0</v>
      </c>
      <c r="J27" s="309">
        <f>G27*(1-'BUNDLE DATA'!$D$24)*'BUNDLE DATA'!$C$24</f>
        <v>943.37544455512204</v>
      </c>
      <c r="K27" s="309">
        <f>G27*H27</f>
        <v>5.7767540831629676</v>
      </c>
      <c r="L27" s="309">
        <f>G27*(1-H$27)*'BUNDLE DENSITIES'!$I$7</f>
        <v>54.07924533100131</v>
      </c>
      <c r="M27" s="309">
        <f>G27*(1-$H$27)*'BUNDLE DENSITIES'!$I$8*'BUNDLE DATA'!$D$32*'BUNDLE DATA'!$C$32</f>
        <v>878.08505332446623</v>
      </c>
      <c r="N27" s="309">
        <f>G27*(1-$H$27)*'BUNDLE DENSITIES'!$I$8*(1-'BUNDLE DATA'!$D$32)*'BUNDLE DATA'!$C$32</f>
        <v>0</v>
      </c>
      <c r="O27" s="309">
        <f>G27*(1-$H$27)*'BUNDLE DATA'!$E$12*'BUNDLE DENSITIES'!$I$8</f>
        <v>32.214852457805961</v>
      </c>
      <c r="P27" s="309">
        <f>G27*(1-$H$27)*(1-'BUNDLE DATA'!$E$12)*'BUNDLE DENSITIES'!$I$8*'BUNDLE DENSITIES'!$I$15</f>
        <v>329.21045864142229</v>
      </c>
      <c r="Q27" s="309">
        <f>(G27*(1-$H$27)*'BUNDLE DENSITIES'!$I$9+G27*(1-$H27)*(1-'BUNDLE DATA'!$E$12)*'BUNDLE DENSITIES'!$I$8*'BUNDLE DENSITIES'!$I$16)*'BUNDLE DATA'!$D$38*'BUNDLE DATA'!$C$38</f>
        <v>507.45957760313513</v>
      </c>
      <c r="R27" s="309">
        <f>(G27*(1-H$27)*'BUNDLE DENSITIES'!$I$9+G27*(1-$H$27)*(1-'BUNDLE DATA'!$E$12)*'BUNDLE DENSITIES'!$I$8*'BUNDLE DENSITIES'!$I$16)*(1-'BUNDLE DATA'!$D$38)*'BUNDLE DATA'!$C$38</f>
        <v>14.634556438594478</v>
      </c>
      <c r="S27" s="309">
        <f>(G27*(1-$H$27)*'BUNDLE DATA'!$E$12*'BUNDLE DENSITIES'!$I$9+G27*(1-$H$27)*(1-'BUNDLE DATA'!$E$12)*'BUNDLE DATA'!$E$12*'BUNDLE DENSITIES'!$I$8*'BUNDLE DENSITIES'!$I$16)</f>
        <v>19.154392201031275</v>
      </c>
      <c r="T27" s="309">
        <f>(G27*(1-$H$27)*(1-'BUNDLE DATA'!$E$12)*'BUNDLE DENSITIES'!$I$9+G27*(1-$H$27)*(1-'BUNDLE DATA'!$E$12)*(1-'BUNDLE DATA'!$E$12)*'BUNDLE DENSITIES'!$I$8*'BUNDLE DENSITIES'!$I$16)*'BUNDLE DENSITIES'!$I$22</f>
        <v>502.93974184069828</v>
      </c>
      <c r="U27" s="309">
        <v>0</v>
      </c>
      <c r="V27" s="309">
        <v>0</v>
      </c>
      <c r="W27" s="309">
        <v>0</v>
      </c>
      <c r="X27" s="309">
        <v>0</v>
      </c>
      <c r="Y27" s="18">
        <f>K27+O27+S27+W27</f>
        <v>57.145998742000202</v>
      </c>
      <c r="Z27" s="18">
        <f>L27+P27+T27+X27</f>
        <v>886.22944581312186</v>
      </c>
      <c r="AA27" s="44">
        <f>Y27+Z27</f>
        <v>943.37544455512204</v>
      </c>
      <c r="AB27"/>
      <c r="AC27" s="20"/>
      <c r="AD27" s="332"/>
    </row>
    <row r="28" spans="1:30" x14ac:dyDescent="0.3">
      <c r="A28" s="134" t="s">
        <v>309</v>
      </c>
      <c r="B28" s="134" t="s">
        <v>159</v>
      </c>
      <c r="C28" s="223" t="s">
        <v>592</v>
      </c>
      <c r="D28" s="223" t="s">
        <v>199</v>
      </c>
      <c r="E28" s="18">
        <f>10000*'FY VOLUME NONAUTO'!F31/'FY VOLUME NONAUTO'!$H$34</f>
        <v>833.56243982719673</v>
      </c>
      <c r="F28" s="18">
        <f>10000*'FY VOLUME NONAUTO'!G31/'FY VOLUME NONAUTO'!$H$34</f>
        <v>0</v>
      </c>
      <c r="G28" s="18">
        <f>E28+F28</f>
        <v>833.56243982719673</v>
      </c>
      <c r="H28" s="331">
        <f>(E28*'BUNDLE DATA'!$D$8+F28*'BUNDLE DATA'!$D$12)/G28</f>
        <v>6.1234942212081587E-3</v>
      </c>
      <c r="I28" s="309">
        <v>0</v>
      </c>
      <c r="J28" s="309">
        <v>0</v>
      </c>
      <c r="K28" s="309">
        <v>0</v>
      </c>
      <c r="L28" s="309">
        <v>0</v>
      </c>
      <c r="M28" s="309">
        <f>G28*'BUNDLE DATA'!$D$32*'BUNDLE DATA'!$C$32</f>
        <v>833.56243982719673</v>
      </c>
      <c r="N28" s="309">
        <f>G28*(1-'BUNDLE DATA'!$D$32)*'BUNDLE DATA'!$C$32</f>
        <v>0</v>
      </c>
      <c r="O28" s="309">
        <f>G28*H28</f>
        <v>5.1043147832980127</v>
      </c>
      <c r="P28" s="309">
        <f>(E28*(1-'BUNDLE DATA'!$D$8)+F28*(1-'BUNDLE DATA'!$D$12))*'BUNDLE DENSITIES'!$I$15</f>
        <v>322.43372450226315</v>
      </c>
      <c r="Q28" s="309">
        <f>(E28*(1-'BUNDLE DATA'!$D$8)+F28*(1-'BUNDLE DATA'!$D$12))*'BUNDLE DENSITIES'!$I$16*'BUNDLE DATA'!$D$38*'BUNDLE DATA'!$C$38</f>
        <v>491.84028666986273</v>
      </c>
      <c r="R28" s="309">
        <f>(E28*(1-'BUNDLE DATA'!$D$8)+F28*(1-'BUNDLE DATA'!$D$12))*'BUNDLE DENSITIES'!$I$16*(1-'BUNDLE DATA'!$D$38)*'BUNDLE DATA'!$C$38</f>
        <v>14.184113871772798</v>
      </c>
      <c r="S28" s="309">
        <f>(E28*(1-'BUNDLE DATA'!$D$8)*'BUNDLE DATA'!$E$8+F28*(1-'BUNDLE DATA'!$D$12)*'BUNDLE DATA'!$E$12)*'BUNDLE DENSITIES'!$I$16</f>
        <v>18.564831893881284</v>
      </c>
      <c r="T28" s="309">
        <f>(E28*(1-'BUNDLE DATA'!$D$8)*(1-'BUNDLE DATA'!$E$8)+F28*(1-'BUNDLE DATA'!$D$12)*(1-'BUNDLE DATA'!$E$12))*'BUNDLE DENSITIES'!$I$16*'BUNDLE DENSITIES'!$I$22</f>
        <v>487.45956864775428</v>
      </c>
      <c r="U28" s="309">
        <v>0</v>
      </c>
      <c r="V28" s="309">
        <v>0</v>
      </c>
      <c r="W28" s="309">
        <v>0</v>
      </c>
      <c r="X28" s="309">
        <v>0</v>
      </c>
      <c r="Y28" s="18">
        <f t="shared" ref="Y28" si="12">K28+O28+S28+W28</f>
        <v>23.669146677179295</v>
      </c>
      <c r="Z28" s="18">
        <f t="shared" ref="Z28" si="13">L28+P28+T28+X28</f>
        <v>809.89329315001737</v>
      </c>
      <c r="AA28" s="44">
        <f t="shared" ref="AA28" si="14">Y28+Z28</f>
        <v>833.56243982719661</v>
      </c>
      <c r="AC28" s="20"/>
      <c r="AD28" s="247"/>
    </row>
    <row r="29" spans="1:30" x14ac:dyDescent="0.3">
      <c r="A29" s="134" t="s">
        <v>309</v>
      </c>
      <c r="B29" s="134" t="s">
        <v>159</v>
      </c>
      <c r="C29" s="223" t="s">
        <v>199</v>
      </c>
      <c r="D29" s="223" t="s">
        <v>199</v>
      </c>
      <c r="E29" s="18">
        <f>10000*'FY VOLUME NONAUTO'!F32/'FY VOLUME NONAUTO'!$H$34</f>
        <v>5785.9071936272394</v>
      </c>
      <c r="F29" s="18">
        <f>10000*'FY VOLUME NONAUTO'!G32/'FY VOLUME NONAUTO'!$H$34</f>
        <v>926.99723122074602</v>
      </c>
      <c r="G29" s="18">
        <f t="shared" ref="G29:G30" si="15">E29+F29</f>
        <v>6712.9044248479859</v>
      </c>
      <c r="H29" s="331">
        <f>(E29*'BUNDLE DATA'!$D$8+F29*'BUNDLE DATA'!$D$12)/G29</f>
        <v>1.9579886146522819E-2</v>
      </c>
      <c r="I29" s="309">
        <v>0</v>
      </c>
      <c r="J29" s="309">
        <v>0</v>
      </c>
      <c r="K29" s="309">
        <v>0</v>
      </c>
      <c r="L29" s="309">
        <v>0</v>
      </c>
      <c r="M29" s="309">
        <v>0</v>
      </c>
      <c r="N29" s="309">
        <v>0</v>
      </c>
      <c r="O29" s="309">
        <v>0</v>
      </c>
      <c r="P29" s="309">
        <v>0</v>
      </c>
      <c r="Q29" s="309">
        <f>G29*'BUNDLE DATA'!$D$38*'BUNDLE DATA'!$C$38</f>
        <v>6524.7383983274194</v>
      </c>
      <c r="R29" s="309">
        <f>G29*(1-'BUNDLE DATA'!$D$38)*'BUNDLE DATA'!$C$38</f>
        <v>188.16602652056682</v>
      </c>
      <c r="S29" s="309">
        <f>G29*H29</f>
        <v>131.4379043510128</v>
      </c>
      <c r="T29" s="309">
        <f>(E29*(1-'BUNDLE DATA'!$D$8)+F29*(1-'BUNDLE DATA'!$D$12))*'BUNDLE DENSITIES'!$I$22</f>
        <v>6581.4665204969733</v>
      </c>
      <c r="U29" s="309">
        <v>0</v>
      </c>
      <c r="V29" s="309">
        <v>0</v>
      </c>
      <c r="W29" s="309">
        <v>0</v>
      </c>
      <c r="X29" s="309">
        <v>0</v>
      </c>
      <c r="Y29" s="18">
        <f t="shared" ref="Y29:Z30" si="16">K29+O29+S29+W29</f>
        <v>131.4379043510128</v>
      </c>
      <c r="Z29" s="18">
        <f t="shared" si="16"/>
        <v>6581.4665204969733</v>
      </c>
      <c r="AA29" s="44">
        <f t="shared" ref="AA29:AA30" si="17">Y29+Z29</f>
        <v>6712.9044248479859</v>
      </c>
      <c r="AC29" s="20"/>
      <c r="AD29" s="247"/>
    </row>
    <row r="30" spans="1:30" x14ac:dyDescent="0.3">
      <c r="A30" s="134" t="s">
        <v>309</v>
      </c>
      <c r="B30" s="134" t="s">
        <v>159</v>
      </c>
      <c r="C30" s="223" t="s">
        <v>199</v>
      </c>
      <c r="D30" s="223" t="s">
        <v>200</v>
      </c>
      <c r="E30" s="18">
        <f>10000*'FY VOLUME NONAUTO'!F33/'FY VOLUME NONAUTO'!$H$34</f>
        <v>0</v>
      </c>
      <c r="F30" s="18">
        <f>10000*'FY VOLUME NONAUTO'!G33/'FY VOLUME NONAUTO'!$H$34</f>
        <v>1510.1576907696963</v>
      </c>
      <c r="G30" s="18">
        <f t="shared" si="15"/>
        <v>1510.1576907696963</v>
      </c>
      <c r="H30" s="331">
        <f>(E30*'BUNDLE DATA'!$D$8+F30*'BUNDLE DATA'!$D$12)/G30</f>
        <v>0.10356873985476586</v>
      </c>
      <c r="I30" s="18">
        <v>0</v>
      </c>
      <c r="J30" s="18">
        <v>0</v>
      </c>
      <c r="K30" s="18">
        <v>0</v>
      </c>
      <c r="L30" s="18">
        <v>0</v>
      </c>
      <c r="M30" s="18">
        <v>0</v>
      </c>
      <c r="N30" s="18">
        <v>0</v>
      </c>
      <c r="O30" s="18">
        <v>0</v>
      </c>
      <c r="P30" s="18">
        <v>0</v>
      </c>
      <c r="Q30" s="18">
        <f>G30*'BUNDLE DATA'!$D$40*'BUNDLE DATA'!$C$40</f>
        <v>1467.8272248331068</v>
      </c>
      <c r="R30" s="18">
        <f>G30*(1-'BUNDLE DATA'!$D$40)*'BUNDLE DATA'!$C$40</f>
        <v>42.330465936589505</v>
      </c>
      <c r="S30" s="18">
        <f>G30*H30</f>
        <v>156.40512901500063</v>
      </c>
      <c r="T30" s="18">
        <f>(SUM(Q30+R30)-S30)*('COVERAGE FACTORS'!$E$115)</f>
        <v>1287.4682350180265</v>
      </c>
      <c r="U30" s="18">
        <f>($G30-SUM($K30,$L30,$O30,$P30,$S30,$T30))*'BUNDLE DATA'!$D$44</f>
        <v>0.66284326736669297</v>
      </c>
      <c r="V30" s="18">
        <f>($G30-SUM($K30,$L30,$O30,$P30,$S30,$T30))*(1-'BUNDLE DATA'!$D$44)</f>
        <v>65.621483469302603</v>
      </c>
      <c r="W30" s="18">
        <f>(U30+V30)*'BUNDLE DATA'!$E$8</f>
        <v>2.4318143191281072</v>
      </c>
      <c r="X30" s="18">
        <f>V30+U30-W30</f>
        <v>63.852512417541192</v>
      </c>
      <c r="Y30" s="18">
        <f t="shared" si="16"/>
        <v>158.83694333412873</v>
      </c>
      <c r="Z30" s="18">
        <f t="shared" si="16"/>
        <v>1351.3207474355677</v>
      </c>
      <c r="AA30" s="44">
        <f t="shared" si="17"/>
        <v>1510.1576907696965</v>
      </c>
      <c r="AC30" s="20"/>
    </row>
    <row r="31" spans="1:30" s="24" customFormat="1" x14ac:dyDescent="0.3">
      <c r="A31" s="24" t="s">
        <v>3</v>
      </c>
      <c r="E31" s="44">
        <f>SUM(E27:E30)</f>
        <v>7562.8450780095582</v>
      </c>
      <c r="F31" s="44">
        <f t="shared" ref="F31:G31" si="18">SUM(F27:F30)</f>
        <v>2437.1549219904423</v>
      </c>
      <c r="G31" s="44">
        <f t="shared" si="18"/>
        <v>10000.000000000002</v>
      </c>
      <c r="H31" s="44"/>
      <c r="I31" s="44">
        <f>SUM(I27:I30)</f>
        <v>0</v>
      </c>
      <c r="J31" s="44">
        <f t="shared" ref="J31:AA31" si="19">SUM(J27:J30)</f>
        <v>943.37544455512204</v>
      </c>
      <c r="K31" s="44">
        <f t="shared" si="19"/>
        <v>5.7767540831629676</v>
      </c>
      <c r="L31" s="44">
        <f t="shared" si="19"/>
        <v>54.07924533100131</v>
      </c>
      <c r="M31" s="44">
        <f t="shared" si="19"/>
        <v>1711.647493151663</v>
      </c>
      <c r="N31" s="44">
        <f t="shared" si="19"/>
        <v>0</v>
      </c>
      <c r="O31" s="44">
        <f t="shared" si="19"/>
        <v>37.319167241103976</v>
      </c>
      <c r="P31" s="44">
        <f t="shared" si="19"/>
        <v>651.6441831436855</v>
      </c>
      <c r="Q31" s="44">
        <f t="shared" si="19"/>
        <v>8991.8654874335243</v>
      </c>
      <c r="R31" s="44">
        <f t="shared" si="19"/>
        <v>259.31516276752359</v>
      </c>
      <c r="S31" s="44">
        <f t="shared" si="19"/>
        <v>325.56225746092599</v>
      </c>
      <c r="T31" s="44">
        <f t="shared" si="19"/>
        <v>8859.3340660034519</v>
      </c>
      <c r="U31" s="44">
        <f t="shared" si="19"/>
        <v>0.66284326736669297</v>
      </c>
      <c r="V31" s="44">
        <f t="shared" si="19"/>
        <v>65.621483469302603</v>
      </c>
      <c r="W31" s="44">
        <f t="shared" si="19"/>
        <v>2.4318143191281072</v>
      </c>
      <c r="X31" s="44">
        <f t="shared" si="19"/>
        <v>63.852512417541192</v>
      </c>
      <c r="Y31" s="44">
        <f t="shared" si="19"/>
        <v>371.08999310432102</v>
      </c>
      <c r="Z31" s="44">
        <f t="shared" si="19"/>
        <v>9628.9100068956795</v>
      </c>
      <c r="AA31" s="44">
        <f t="shared" si="19"/>
        <v>10000.000000000002</v>
      </c>
      <c r="AB31"/>
      <c r="AC31" s="20"/>
      <c r="AD31" s="333"/>
    </row>
    <row r="32" spans="1:30" x14ac:dyDescent="0.3">
      <c r="E32" s="309"/>
      <c r="AD32" s="20"/>
    </row>
    <row r="33" spans="1:30" x14ac:dyDescent="0.3">
      <c r="H33" s="44" t="s">
        <v>474</v>
      </c>
      <c r="I33" s="44" t="s">
        <v>315</v>
      </c>
      <c r="J33" s="44" t="s">
        <v>315</v>
      </c>
      <c r="M33" s="44" t="s">
        <v>316</v>
      </c>
      <c r="N33" s="44" t="s">
        <v>316</v>
      </c>
      <c r="Q33" s="44" t="s">
        <v>316</v>
      </c>
      <c r="R33" s="44" t="s">
        <v>316</v>
      </c>
      <c r="U33" s="44" t="s">
        <v>316</v>
      </c>
      <c r="V33" s="44" t="s">
        <v>316</v>
      </c>
      <c r="AA33" s="44" t="s">
        <v>3</v>
      </c>
      <c r="AC33" s="20"/>
      <c r="AD33" s="20"/>
    </row>
    <row r="34" spans="1:30" x14ac:dyDescent="0.3">
      <c r="C34" s="1" t="s">
        <v>189</v>
      </c>
      <c r="E34" s="44" t="s">
        <v>187</v>
      </c>
      <c r="F34" s="44" t="s">
        <v>188</v>
      </c>
      <c r="G34" s="44" t="s">
        <v>3</v>
      </c>
      <c r="H34" s="44" t="s">
        <v>201</v>
      </c>
      <c r="I34" s="44" t="s">
        <v>317</v>
      </c>
      <c r="J34" s="44" t="s">
        <v>317</v>
      </c>
      <c r="M34" s="44" t="s">
        <v>164</v>
      </c>
      <c r="N34" s="44" t="s">
        <v>164</v>
      </c>
      <c r="Q34" s="44" t="s">
        <v>317</v>
      </c>
      <c r="R34" s="44" t="s">
        <v>317</v>
      </c>
      <c r="U34" s="44" t="s">
        <v>318</v>
      </c>
      <c r="V34" s="44" t="s">
        <v>318</v>
      </c>
      <c r="Y34" s="44" t="s">
        <v>3</v>
      </c>
      <c r="Z34" s="44" t="s">
        <v>3</v>
      </c>
      <c r="AA34" s="225" t="s">
        <v>585</v>
      </c>
      <c r="AC34" s="20"/>
      <c r="AD34" s="247"/>
    </row>
    <row r="35" spans="1:30" x14ac:dyDescent="0.3">
      <c r="A35" s="36" t="s">
        <v>14</v>
      </c>
      <c r="B35" s="36" t="s">
        <v>191</v>
      </c>
      <c r="C35" s="55" t="s">
        <v>190</v>
      </c>
      <c r="D35" s="55" t="s">
        <v>319</v>
      </c>
      <c r="E35" s="225" t="s">
        <v>585</v>
      </c>
      <c r="F35" s="225" t="s">
        <v>585</v>
      </c>
      <c r="G35" s="225" t="s">
        <v>585</v>
      </c>
      <c r="H35" s="225" t="s">
        <v>203</v>
      </c>
      <c r="I35" s="225" t="s">
        <v>192</v>
      </c>
      <c r="J35" s="225" t="s">
        <v>193</v>
      </c>
      <c r="K35" s="225" t="s">
        <v>194</v>
      </c>
      <c r="L35" s="225" t="s">
        <v>195</v>
      </c>
      <c r="M35" s="225" t="s">
        <v>192</v>
      </c>
      <c r="N35" s="225" t="s">
        <v>193</v>
      </c>
      <c r="O35" s="225" t="s">
        <v>194</v>
      </c>
      <c r="P35" s="225" t="s">
        <v>195</v>
      </c>
      <c r="Q35" s="225" t="s">
        <v>192</v>
      </c>
      <c r="R35" s="225" t="s">
        <v>193</v>
      </c>
      <c r="S35" s="225" t="s">
        <v>194</v>
      </c>
      <c r="T35" s="225" t="s">
        <v>195</v>
      </c>
      <c r="U35" s="225" t="s">
        <v>192</v>
      </c>
      <c r="V35" s="225" t="s">
        <v>193</v>
      </c>
      <c r="W35" s="225" t="s">
        <v>194</v>
      </c>
      <c r="X35" s="225" t="s">
        <v>195</v>
      </c>
      <c r="Y35" s="225" t="s">
        <v>194</v>
      </c>
      <c r="Z35" s="225" t="s">
        <v>195</v>
      </c>
      <c r="AA35" s="225" t="s">
        <v>196</v>
      </c>
      <c r="AC35" s="20"/>
    </row>
    <row r="36" spans="1:30" s="155" customFormat="1" x14ac:dyDescent="0.3">
      <c r="A36" s="155" t="s">
        <v>310</v>
      </c>
      <c r="B36" s="155" t="s">
        <v>159</v>
      </c>
      <c r="C36" s="306" t="s">
        <v>307</v>
      </c>
      <c r="D36" s="306" t="s">
        <v>200</v>
      </c>
      <c r="E36" s="18">
        <f>10000*'FY VOLUME NONAUTO'!F39/'FY VOLUME NONAUTO'!$H$43</f>
        <v>547.3805321850765</v>
      </c>
      <c r="F36" s="18">
        <f>10000*'FY VOLUME NONAUTO'!G39/'FY VOLUME NONAUTO'!$H$43</f>
        <v>0</v>
      </c>
      <c r="G36" s="18">
        <f t="shared" ref="G36" si="20">E36+F36</f>
        <v>547.3805321850765</v>
      </c>
      <c r="H36" s="331">
        <f>(E36*'BUNDLE DATA'!$D$8+F36*'BUNDLE DATA'!$D$12)/G36</f>
        <v>6.1234942212081587E-3</v>
      </c>
      <c r="I36" s="18">
        <f>($G36*'BUNDLE DATA'!$D$26)</f>
        <v>0</v>
      </c>
      <c r="J36" s="18">
        <f>($G36*(1-'BUNDLE DATA'!$D$26))</f>
        <v>547.3805321850765</v>
      </c>
      <c r="K36" s="18">
        <f>(I36+J36)*$H$77</f>
        <v>6.1060194290040162</v>
      </c>
      <c r="L36" s="18">
        <f>(I36+J36-K36)*'BUNDLE DENSITIES'!$K$10*(1-'COVERAGE FACTORS'!$E$44)</f>
        <v>31.985730797243274</v>
      </c>
      <c r="M36" s="18">
        <f>($I36+$J36-$K36)*'BUNDLE DENSITIES'!$K$8*'BUNDLE DATA'!$D$34</f>
        <v>501.6358044179708</v>
      </c>
      <c r="N36" s="18">
        <f>($I36+$J36-$K36)*'BUNDLE DENSITIES'!$K$8*(1-'BUNDLE DATA'!$D$34)</f>
        <v>0</v>
      </c>
      <c r="O36" s="18">
        <f>SUM(M36:N36)*'BUNDLE DATA'!$E$8</f>
        <v>18.403824738497534</v>
      </c>
      <c r="P36" s="18">
        <f>((M36-O36)*'BUNDLE DENSITIES'!$K$17)*('COVERAGE FACTORS'!$E$115)</f>
        <v>41.83678790753364</v>
      </c>
      <c r="Q36" s="18">
        <f>(($I36+$J36-$K36)*'BUNDLE DENSITIES'!$K$9+($M36+$N36-$O36)*'BUNDLE DENSITIES'!$K$16)*'BUNDLE DATA'!$D$40</f>
        <v>434.18080897785524</v>
      </c>
      <c r="R36" s="18">
        <f>(($I36+$J36-$K36)*'BUNDLE DENSITIES'!$K$9+($M36+$N36-$O36)*'BUNDLE DENSITIES'!$K$16)*(1-'BUNDLE DATA'!$D$40)</f>
        <v>12.521280184626425</v>
      </c>
      <c r="S36" s="18">
        <f>(Q36+R36)*'BUNDLE DATA'!$E$8</f>
        <v>16.388437362053054</v>
      </c>
      <c r="T36" s="18">
        <f>($Q36+$R36-$S36)*('COVERAGE FACTORS'!$E$115)</f>
        <v>409.24403280135675</v>
      </c>
      <c r="U36" s="18">
        <f>(($I36+$J36-$K36)*'BUNDLE DENSITIES'!$K$10*('COVERAGE FACTORS'!$E$44)+($M36+$N36-$O36)*'BUNDLE DENSITIES'!$K$17*(1-'COVERAGE FACTORS'!$E$115)+($Q36+$R36-$S36)*(1-'COVERAGE FACTORS'!$E$115))*'BUNDLE DATA'!$D$44</f>
        <v>0.23415699149388236</v>
      </c>
      <c r="V36" s="18">
        <f>(($I36+$J36-$K36)*'BUNDLE DENSITIES'!$K$10*('COVERAGE FACTORS'!$E$44)+($M36+$N36-$O36)*'BUNDLE DENSITIES'!$K$17*(1-'COVERAGE FACTORS'!$E$115)+($Q36+$R36-$S36)*(1-'COVERAGE FACTORS'!$E$115))*(1-'BUNDLE DATA'!$D$44)</f>
        <v>23.181542157894352</v>
      </c>
      <c r="W36" s="18">
        <f>(U36+V36)*'BUNDLE DATA'!$E$8</f>
        <v>0.85906631759415286</v>
      </c>
      <c r="X36" s="18">
        <f>(U36+V36)-W36</f>
        <v>22.556632831794083</v>
      </c>
      <c r="Y36" s="18">
        <f t="shared" ref="Y36" si="21">K36+O36+S36+W36</f>
        <v>41.757347847148758</v>
      </c>
      <c r="Z36" s="18">
        <f t="shared" ref="Z36" si="22">L36+P36+T36+X36</f>
        <v>505.6231843379278</v>
      </c>
      <c r="AA36" s="44">
        <f t="shared" ref="AA36" si="23">Y36+Z36</f>
        <v>547.3805321850765</v>
      </c>
      <c r="AB36"/>
      <c r="AC36" s="20"/>
    </row>
    <row r="37" spans="1:30" x14ac:dyDescent="0.3">
      <c r="A37" s="134" t="s">
        <v>310</v>
      </c>
      <c r="B37" s="134" t="s">
        <v>159</v>
      </c>
      <c r="C37" s="223" t="s">
        <v>592</v>
      </c>
      <c r="D37" s="223" t="s">
        <v>200</v>
      </c>
      <c r="E37" s="18">
        <f>10000*'FY VOLUME NONAUTO'!F40/'FY VOLUME NONAUTO'!$H$43</f>
        <v>488.73103339493002</v>
      </c>
      <c r="F37" s="18">
        <f>10000*'FY VOLUME NONAUTO'!G40/'FY VOLUME NONAUTO'!$H$43</f>
        <v>0</v>
      </c>
      <c r="G37" s="18">
        <f t="shared" ref="G37:G39" si="24">E37+F37</f>
        <v>488.73103339493002</v>
      </c>
      <c r="H37" s="331">
        <f>(E37*'BUNDLE DATA'!$D$8+F37*'BUNDLE DATA'!$D$12)/G37</f>
        <v>6.1234942212081587E-3</v>
      </c>
      <c r="I37" s="18">
        <v>0</v>
      </c>
      <c r="J37" s="18">
        <v>0</v>
      </c>
      <c r="K37" s="18">
        <v>0</v>
      </c>
      <c r="L37" s="18">
        <v>0</v>
      </c>
      <c r="M37" s="18">
        <f>G37*'BUNDLE DATA'!$D$34</f>
        <v>488.73103339493002</v>
      </c>
      <c r="N37" s="18">
        <f>G37*(1-'BUNDLE DATA'!$D$34)</f>
        <v>0</v>
      </c>
      <c r="O37" s="18">
        <f>SUM(M37:N37)*H37</f>
        <v>2.9927416587189457</v>
      </c>
      <c r="P37" s="18">
        <f>((M37-O37)*'BUNDLE DENSITIES'!$K$17)*('COVERAGE FACTORS'!$E$115)</f>
        <v>42.053776952872447</v>
      </c>
      <c r="Q37" s="18">
        <f>(($M37+$N37-$O37)*'BUNDLE DENSITIES'!$K$16)*'BUNDLE DATA'!$D$40</f>
        <v>429.14340086535088</v>
      </c>
      <c r="R37" s="18">
        <f>(($M37-$O37)*'BUNDLE DENSITIES'!$K$16)*(1-'BUNDLE DATA'!$D$40)</f>
        <v>12.376007070115749</v>
      </c>
      <c r="S37" s="18">
        <f>(Q37+R37)*'BUNDLE DATA'!$E$8</f>
        <v>16.198297112618203</v>
      </c>
      <c r="T37" s="18">
        <f>($Q37+$R37-$S37)*('COVERAGE FACTORS'!$E$115)</f>
        <v>404.49594359934713</v>
      </c>
      <c r="U37" s="18">
        <f>(($M37+$N37-$O37)*'BUNDLE DENSITIES'!$K$17*(1-'COVERAGE FACTORS'!$E$115)+($Q37+$R37-$S37)*(1-'COVERAGE FACTORS'!$E$115))*'BUNDLE DATA'!$D$44</f>
        <v>0.2299027407137329</v>
      </c>
      <c r="V37" s="18">
        <f>(($M37+$N37-$O37)*'BUNDLE DENSITIES'!$K$17*(1-'COVERAGE FACTORS'!$E$115)+($Q37+$R37-$S37)*(1-'COVERAGE FACTORS'!$E$115))*(1-'BUNDLE DATA'!$D$44)</f>
        <v>22.760371330659556</v>
      </c>
      <c r="W37" s="18">
        <f>(U37+V37)*'BUNDLE DATA'!$E$8</f>
        <v>0.8434584831728581</v>
      </c>
      <c r="X37" s="18">
        <f>(U37+V37)-W37</f>
        <v>22.146815588200433</v>
      </c>
      <c r="Y37" s="18">
        <f t="shared" ref="Y37:Y38" si="25">K37+O37+S37+W37</f>
        <v>20.034497254510004</v>
      </c>
      <c r="Z37" s="18">
        <f t="shared" ref="Z37:Z38" si="26">L37+P37+T37+X37</f>
        <v>468.69653614041999</v>
      </c>
      <c r="AA37" s="44">
        <f t="shared" ref="AA37:AA38" si="27">Y37+Z37</f>
        <v>488.73103339493002</v>
      </c>
      <c r="AC37" s="20"/>
    </row>
    <row r="38" spans="1:30" x14ac:dyDescent="0.3">
      <c r="A38" s="134" t="s">
        <v>310</v>
      </c>
      <c r="B38" s="134" t="s">
        <v>159</v>
      </c>
      <c r="C38" s="223" t="s">
        <v>199</v>
      </c>
      <c r="D38" s="223" t="s">
        <v>200</v>
      </c>
      <c r="E38" s="18">
        <f>10000*'FY VOLUME NONAUTO'!F41/'FY VOLUME NONAUTO'!$H$43</f>
        <v>7107.0541586432882</v>
      </c>
      <c r="F38" s="18">
        <f>10000*'FY VOLUME NONAUTO'!G41/'FY VOLUME NONAUTO'!$H$43</f>
        <v>0</v>
      </c>
      <c r="G38" s="18">
        <f t="shared" si="24"/>
        <v>7107.0541586432882</v>
      </c>
      <c r="H38" s="331">
        <f>(E38*'BUNDLE DATA'!$D$8+F38*'BUNDLE DATA'!$D$12)/G38</f>
        <v>6.1234942212081587E-3</v>
      </c>
      <c r="I38" s="18">
        <v>0</v>
      </c>
      <c r="J38" s="18">
        <v>0</v>
      </c>
      <c r="K38" s="18">
        <v>0</v>
      </c>
      <c r="L38" s="18">
        <v>0</v>
      </c>
      <c r="M38" s="18">
        <v>0</v>
      </c>
      <c r="N38" s="18">
        <v>0</v>
      </c>
      <c r="O38" s="18">
        <v>0</v>
      </c>
      <c r="P38" s="18">
        <v>0</v>
      </c>
      <c r="Q38" s="18">
        <f>G38*'BUNDLE DATA'!$D$40*'BUNDLE DATA'!$C$40</f>
        <v>6907.8399204145562</v>
      </c>
      <c r="R38" s="18">
        <f>G38*(1-'BUNDLE DATA'!$D$40)*'BUNDLE DATA'!$C$40</f>
        <v>199.21423822873226</v>
      </c>
      <c r="S38" s="18">
        <f>G38*H38</f>
        <v>43.52000507026559</v>
      </c>
      <c r="T38" s="18">
        <f>(SUM(Q38+R38)-S38)*('COVERAGE FACTORS'!$E$115)</f>
        <v>6717.6795129404791</v>
      </c>
      <c r="U38" s="18">
        <f>($G38-SUM($K38,$L38,$O38,$P38,$S38,$T38))*'BUNDLE DATA'!$D$44</f>
        <v>3.4585464063254405</v>
      </c>
      <c r="V38" s="18">
        <f>($G38-SUM($K38,$L38,$O38,$P38,$S38,$T38))*(1-'BUNDLE DATA'!$D$44)</f>
        <v>342.39609422621857</v>
      </c>
      <c r="W38" s="18">
        <f>(U38+V38)*'BUNDLE DATA'!$E$8</f>
        <v>12.688584297890209</v>
      </c>
      <c r="X38" s="18">
        <f>V38+U38-W38</f>
        <v>333.16605633465383</v>
      </c>
      <c r="Y38" s="18">
        <f t="shared" si="25"/>
        <v>56.208589368155799</v>
      </c>
      <c r="Z38" s="18">
        <f t="shared" si="26"/>
        <v>7050.8455692751331</v>
      </c>
      <c r="AA38" s="44">
        <f t="shared" si="27"/>
        <v>7107.0541586432892</v>
      </c>
      <c r="AC38" s="20"/>
      <c r="AD38" s="247"/>
    </row>
    <row r="39" spans="1:30" x14ac:dyDescent="0.3">
      <c r="A39" s="134" t="s">
        <v>310</v>
      </c>
      <c r="B39" s="134" t="s">
        <v>159</v>
      </c>
      <c r="C39" s="223" t="s">
        <v>200</v>
      </c>
      <c r="D39" s="223" t="s">
        <v>200</v>
      </c>
      <c r="E39" s="18">
        <f>10000*'FY VOLUME NONAUTO'!F42/'FY VOLUME NONAUTO'!$H$43</f>
        <v>233.2934162442854</v>
      </c>
      <c r="F39" s="18">
        <f>10000*'FY VOLUME NONAUTO'!G42/'FY VOLUME NONAUTO'!$H$43</f>
        <v>1623.5408595324195</v>
      </c>
      <c r="G39" s="18">
        <f t="shared" si="24"/>
        <v>1856.834275776705</v>
      </c>
      <c r="H39" s="331">
        <f>(E39*'BUNDLE DATA'!$D$8+F39*'BUNDLE DATA'!$D$12)/G39</f>
        <v>9.1325679422726513E-2</v>
      </c>
      <c r="I39" s="18">
        <v>0</v>
      </c>
      <c r="J39" s="18">
        <v>0</v>
      </c>
      <c r="K39" s="18">
        <v>0</v>
      </c>
      <c r="L39" s="18">
        <v>0</v>
      </c>
      <c r="M39" s="18">
        <v>0</v>
      </c>
      <c r="N39" s="18">
        <v>0</v>
      </c>
      <c r="O39" s="18">
        <v>0</v>
      </c>
      <c r="P39" s="18">
        <v>0</v>
      </c>
      <c r="Q39" s="18">
        <v>0</v>
      </c>
      <c r="R39" s="18">
        <v>0</v>
      </c>
      <c r="S39" s="18">
        <v>0</v>
      </c>
      <c r="T39" s="18">
        <v>0</v>
      </c>
      <c r="U39" s="18">
        <f>(E39+F39*(1-'COVERAGE FACTORS'!$E$115))*'BUNDLE DATA'!$D$44</f>
        <v>3.1278749503228176</v>
      </c>
      <c r="V39" s="18">
        <f>(E39+F39*(1-'COVERAGE FACTORS'!$E$115))*(1-'BUNDLE DATA'!$D$44)</f>
        <v>309.65962008195891</v>
      </c>
      <c r="W39" s="18">
        <f>(U39+V39)*H39</f>
        <v>28.56553049875582</v>
      </c>
      <c r="X39" s="18">
        <f>G39-W39</f>
        <v>1828.2687452779492</v>
      </c>
      <c r="Y39" s="18">
        <f t="shared" ref="Y39:Z39" si="28">K39+O39+S39+W39</f>
        <v>28.56553049875582</v>
      </c>
      <c r="Z39" s="18">
        <f t="shared" si="28"/>
        <v>1828.2687452779492</v>
      </c>
      <c r="AA39" s="44">
        <f t="shared" ref="AA39" si="29">Y39+Z39</f>
        <v>1856.834275776705</v>
      </c>
      <c r="AC39" s="20"/>
      <c r="AD39" s="247"/>
    </row>
    <row r="40" spans="1:30" s="24" customFormat="1" x14ac:dyDescent="0.3">
      <c r="A40" s="24" t="s">
        <v>3</v>
      </c>
      <c r="E40" s="44">
        <f>SUM(E36:E39)</f>
        <v>8376.4591404675812</v>
      </c>
      <c r="F40" s="44">
        <f t="shared" ref="F40:G40" si="30">SUM(F36:F39)</f>
        <v>1623.5408595324195</v>
      </c>
      <c r="G40" s="44">
        <f t="shared" si="30"/>
        <v>10000</v>
      </c>
      <c r="H40" s="331">
        <f>(E40*'BUNDLE DATA'!$D$8+F40*'BUNDLE DATA'!$D$12)/G40</f>
        <v>2.1944128006533562E-2</v>
      </c>
      <c r="I40" s="44">
        <f t="shared" ref="I40:AA40" si="31">SUM(I36:I39)</f>
        <v>0</v>
      </c>
      <c r="J40" s="44">
        <f t="shared" si="31"/>
        <v>547.3805321850765</v>
      </c>
      <c r="K40" s="44">
        <f t="shared" si="31"/>
        <v>6.1060194290040162</v>
      </c>
      <c r="L40" s="44">
        <f t="shared" si="31"/>
        <v>31.985730797243274</v>
      </c>
      <c r="M40" s="44">
        <f t="shared" si="31"/>
        <v>990.36683781290083</v>
      </c>
      <c r="N40" s="44">
        <f t="shared" si="31"/>
        <v>0</v>
      </c>
      <c r="O40" s="44">
        <f t="shared" si="31"/>
        <v>21.396566397216478</v>
      </c>
      <c r="P40" s="44">
        <f t="shared" si="31"/>
        <v>83.890564860406087</v>
      </c>
      <c r="Q40" s="44">
        <f t="shared" si="31"/>
        <v>7771.1641302577627</v>
      </c>
      <c r="R40" s="44">
        <f t="shared" si="31"/>
        <v>224.11152548347442</v>
      </c>
      <c r="S40" s="44">
        <f t="shared" si="31"/>
        <v>76.106739544936858</v>
      </c>
      <c r="T40" s="44">
        <f t="shared" si="31"/>
        <v>7531.4194893411832</v>
      </c>
      <c r="U40" s="44">
        <f t="shared" si="31"/>
        <v>7.0504810888558733</v>
      </c>
      <c r="V40" s="44">
        <f t="shared" si="31"/>
        <v>697.99762779673142</v>
      </c>
      <c r="W40" s="44">
        <f t="shared" si="31"/>
        <v>42.956639597413037</v>
      </c>
      <c r="X40" s="44">
        <f t="shared" si="31"/>
        <v>2206.1382500325976</v>
      </c>
      <c r="Y40" s="44">
        <f t="shared" si="31"/>
        <v>146.56596496857037</v>
      </c>
      <c r="Z40" s="44">
        <f t="shared" si="31"/>
        <v>9853.4340350314305</v>
      </c>
      <c r="AA40" s="44">
        <f t="shared" si="31"/>
        <v>10000</v>
      </c>
      <c r="AB40"/>
      <c r="AC40" s="20"/>
    </row>
    <row r="41" spans="1:30" s="24" customFormat="1" x14ac:dyDescent="0.3">
      <c r="E41" s="44"/>
      <c r="F41" s="44"/>
      <c r="G41" s="44"/>
      <c r="H41" s="44"/>
      <c r="I41" s="44"/>
      <c r="J41" s="44"/>
      <c r="K41" s="44"/>
      <c r="L41" s="44"/>
      <c r="M41" s="44"/>
      <c r="N41" s="44"/>
      <c r="O41" s="44"/>
      <c r="P41" s="44"/>
      <c r="Q41" s="44"/>
      <c r="R41" s="44"/>
      <c r="S41" s="44"/>
      <c r="T41" s="44"/>
      <c r="U41" s="44"/>
      <c r="V41" s="44"/>
      <c r="W41" s="44"/>
      <c r="X41" s="44"/>
      <c r="Y41" s="44"/>
      <c r="Z41" s="44"/>
      <c r="AA41" s="44"/>
      <c r="AB41"/>
      <c r="AC41" s="20"/>
    </row>
    <row r="42" spans="1:30" s="24" customFormat="1" x14ac:dyDescent="0.3">
      <c r="A42"/>
      <c r="B42"/>
      <c r="C42"/>
      <c r="D42"/>
      <c r="E42" s="18"/>
      <c r="F42" s="18"/>
      <c r="G42" s="18"/>
      <c r="H42" s="44" t="s">
        <v>474</v>
      </c>
      <c r="I42" s="44" t="s">
        <v>315</v>
      </c>
      <c r="J42" s="44" t="s">
        <v>315</v>
      </c>
      <c r="K42" s="18"/>
      <c r="L42" s="18"/>
      <c r="M42" s="44" t="s">
        <v>316</v>
      </c>
      <c r="N42" s="44" t="s">
        <v>316</v>
      </c>
      <c r="O42" s="18"/>
      <c r="P42" s="18">
        <f>M45-O45-P45</f>
        <v>0</v>
      </c>
      <c r="Q42" s="44" t="s">
        <v>316</v>
      </c>
      <c r="R42" s="44" t="s">
        <v>316</v>
      </c>
      <c r="S42" s="18"/>
      <c r="T42" s="18"/>
      <c r="U42" s="44" t="s">
        <v>316</v>
      </c>
      <c r="V42" s="44" t="s">
        <v>316</v>
      </c>
      <c r="W42" s="18"/>
      <c r="X42" s="18"/>
      <c r="Y42" s="18"/>
      <c r="Z42" s="18"/>
      <c r="AA42" s="44" t="s">
        <v>3</v>
      </c>
      <c r="AB42"/>
      <c r="AC42" s="20"/>
    </row>
    <row r="43" spans="1:30" s="24" customFormat="1" x14ac:dyDescent="0.3">
      <c r="A43"/>
      <c r="B43"/>
      <c r="C43" s="1" t="s">
        <v>189</v>
      </c>
      <c r="D43"/>
      <c r="E43" s="44" t="s">
        <v>187</v>
      </c>
      <c r="F43" s="44" t="s">
        <v>188</v>
      </c>
      <c r="G43" s="44" t="s">
        <v>3</v>
      </c>
      <c r="H43" s="44" t="s">
        <v>201</v>
      </c>
      <c r="I43" s="44" t="s">
        <v>317</v>
      </c>
      <c r="J43" s="44" t="s">
        <v>317</v>
      </c>
      <c r="K43" s="18"/>
      <c r="L43" s="18"/>
      <c r="M43" s="44" t="s">
        <v>164</v>
      </c>
      <c r="N43" s="44" t="s">
        <v>164</v>
      </c>
      <c r="O43" s="18"/>
      <c r="P43" s="18"/>
      <c r="Q43" s="44" t="s">
        <v>317</v>
      </c>
      <c r="R43" s="44" t="s">
        <v>317</v>
      </c>
      <c r="S43" s="18"/>
      <c r="T43" s="18"/>
      <c r="U43" s="44" t="s">
        <v>318</v>
      </c>
      <c r="V43" s="44" t="s">
        <v>318</v>
      </c>
      <c r="W43" s="18"/>
      <c r="X43" s="18"/>
      <c r="Y43" s="44" t="s">
        <v>3</v>
      </c>
      <c r="Z43" s="44" t="s">
        <v>3</v>
      </c>
      <c r="AA43" s="225" t="s">
        <v>585</v>
      </c>
      <c r="AB43"/>
      <c r="AC43" s="20"/>
    </row>
    <row r="44" spans="1:30" s="24" customFormat="1" x14ac:dyDescent="0.3">
      <c r="A44" s="36" t="s">
        <v>14</v>
      </c>
      <c r="B44" s="36" t="s">
        <v>191</v>
      </c>
      <c r="C44" s="55" t="s">
        <v>190</v>
      </c>
      <c r="D44" s="55" t="s">
        <v>319</v>
      </c>
      <c r="E44" s="225" t="s">
        <v>585</v>
      </c>
      <c r="F44" s="225" t="s">
        <v>585</v>
      </c>
      <c r="G44" s="225" t="s">
        <v>585</v>
      </c>
      <c r="H44" s="225" t="s">
        <v>203</v>
      </c>
      <c r="I44" s="225" t="s">
        <v>192</v>
      </c>
      <c r="J44" s="225" t="s">
        <v>193</v>
      </c>
      <c r="K44" s="225" t="s">
        <v>194</v>
      </c>
      <c r="L44" s="225" t="s">
        <v>195</v>
      </c>
      <c r="M44" s="225" t="s">
        <v>192</v>
      </c>
      <c r="N44" s="225" t="s">
        <v>193</v>
      </c>
      <c r="O44" s="225" t="s">
        <v>194</v>
      </c>
      <c r="P44" s="225" t="s">
        <v>195</v>
      </c>
      <c r="Q44" s="225" t="s">
        <v>192</v>
      </c>
      <c r="R44" s="225" t="s">
        <v>193</v>
      </c>
      <c r="S44" s="225" t="s">
        <v>194</v>
      </c>
      <c r="T44" s="225" t="s">
        <v>195</v>
      </c>
      <c r="U44" s="225" t="s">
        <v>192</v>
      </c>
      <c r="V44" s="225" t="s">
        <v>193</v>
      </c>
      <c r="W44" s="225" t="s">
        <v>194</v>
      </c>
      <c r="X44" s="225" t="s">
        <v>195</v>
      </c>
      <c r="Y44" s="225" t="s">
        <v>194</v>
      </c>
      <c r="Z44" s="225" t="s">
        <v>195</v>
      </c>
      <c r="AA44" s="225" t="s">
        <v>196</v>
      </c>
      <c r="AB44"/>
      <c r="AC44" s="20"/>
    </row>
    <row r="45" spans="1:30" s="24" customFormat="1" x14ac:dyDescent="0.3">
      <c r="A45" s="134" t="s">
        <v>469</v>
      </c>
      <c r="B45" s="134" t="s">
        <v>159</v>
      </c>
      <c r="C45" s="223" t="s">
        <v>307</v>
      </c>
      <c r="D45" s="223" t="s">
        <v>366</v>
      </c>
      <c r="E45" s="18">
        <v>0</v>
      </c>
      <c r="F45" s="18">
        <v>0</v>
      </c>
      <c r="G45" s="18">
        <v>0</v>
      </c>
      <c r="H45" s="331">
        <v>0</v>
      </c>
      <c r="I45" s="18">
        <v>0</v>
      </c>
      <c r="J45" s="18">
        <v>0</v>
      </c>
      <c r="K45" s="18">
        <v>0</v>
      </c>
      <c r="L45" s="18">
        <v>0</v>
      </c>
      <c r="M45" s="18">
        <v>0</v>
      </c>
      <c r="N45" s="18">
        <v>0</v>
      </c>
      <c r="O45" s="18">
        <v>0</v>
      </c>
      <c r="P45" s="18">
        <v>0</v>
      </c>
      <c r="Q45" s="18">
        <v>0</v>
      </c>
      <c r="R45" s="18">
        <v>0</v>
      </c>
      <c r="S45" s="18">
        <f>(Q45+R45)*H45</f>
        <v>0</v>
      </c>
      <c r="T45" s="18">
        <v>0</v>
      </c>
      <c r="U45" s="18">
        <v>0</v>
      </c>
      <c r="V45" s="18">
        <v>0</v>
      </c>
      <c r="W45" s="18">
        <v>0</v>
      </c>
      <c r="X45" s="18">
        <v>0</v>
      </c>
      <c r="Y45" s="18">
        <f t="shared" ref="Y45:Z47" si="32">K45+O45+S45+W45</f>
        <v>0</v>
      </c>
      <c r="Z45" s="18">
        <f t="shared" si="32"/>
        <v>0</v>
      </c>
      <c r="AA45" s="44">
        <f t="shared" ref="AA45:AA47" si="33">Y45+Z45</f>
        <v>0</v>
      </c>
      <c r="AB45"/>
      <c r="AC45" s="20"/>
    </row>
    <row r="46" spans="1:30" s="24" customFormat="1" x14ac:dyDescent="0.3">
      <c r="A46" s="134" t="s">
        <v>469</v>
      </c>
      <c r="B46" s="134" t="s">
        <v>159</v>
      </c>
      <c r="C46" s="223" t="s">
        <v>592</v>
      </c>
      <c r="D46" s="223" t="s">
        <v>366</v>
      </c>
      <c r="E46" s="18">
        <v>0</v>
      </c>
      <c r="F46" s="18">
        <v>0</v>
      </c>
      <c r="G46" s="18">
        <v>0</v>
      </c>
      <c r="H46" s="331">
        <v>0</v>
      </c>
      <c r="I46" s="18">
        <v>0</v>
      </c>
      <c r="J46" s="18">
        <v>0</v>
      </c>
      <c r="K46" s="18">
        <v>0</v>
      </c>
      <c r="L46" s="18">
        <v>0</v>
      </c>
      <c r="M46" s="18">
        <v>0</v>
      </c>
      <c r="N46" s="18">
        <v>0</v>
      </c>
      <c r="O46" s="18">
        <v>0</v>
      </c>
      <c r="P46" s="18">
        <v>0</v>
      </c>
      <c r="Q46" s="18">
        <v>0</v>
      </c>
      <c r="R46" s="18">
        <v>0</v>
      </c>
      <c r="S46" s="18">
        <f>(Q46+R46)*H46</f>
        <v>0</v>
      </c>
      <c r="T46" s="18">
        <v>0</v>
      </c>
      <c r="U46" s="18">
        <v>0</v>
      </c>
      <c r="V46" s="18">
        <v>0</v>
      </c>
      <c r="W46" s="18">
        <v>0</v>
      </c>
      <c r="X46" s="18">
        <v>0</v>
      </c>
      <c r="Y46" s="18">
        <f t="shared" si="32"/>
        <v>0</v>
      </c>
      <c r="Z46" s="18">
        <f t="shared" si="32"/>
        <v>0</v>
      </c>
      <c r="AA46" s="44">
        <f t="shared" si="33"/>
        <v>0</v>
      </c>
      <c r="AB46"/>
      <c r="AC46" s="20"/>
    </row>
    <row r="47" spans="1:30" s="24" customFormat="1" x14ac:dyDescent="0.3">
      <c r="A47" s="134" t="s">
        <v>469</v>
      </c>
      <c r="B47" s="134" t="s">
        <v>159</v>
      </c>
      <c r="C47" s="223" t="s">
        <v>199</v>
      </c>
      <c r="D47" s="223" t="s">
        <v>366</v>
      </c>
      <c r="E47" s="18">
        <v>0</v>
      </c>
      <c r="F47" s="18">
        <v>0</v>
      </c>
      <c r="G47" s="18">
        <v>0</v>
      </c>
      <c r="H47" s="331">
        <v>0</v>
      </c>
      <c r="I47" s="18">
        <v>0</v>
      </c>
      <c r="J47" s="18">
        <v>0</v>
      </c>
      <c r="K47" s="18">
        <v>0</v>
      </c>
      <c r="L47" s="18">
        <v>0</v>
      </c>
      <c r="M47" s="18">
        <v>0</v>
      </c>
      <c r="N47" s="18">
        <v>0</v>
      </c>
      <c r="O47" s="18">
        <v>0</v>
      </c>
      <c r="P47" s="18">
        <v>0</v>
      </c>
      <c r="Q47" s="18">
        <v>0</v>
      </c>
      <c r="R47" s="18">
        <v>0</v>
      </c>
      <c r="S47" s="18">
        <f>(Q47+R47)*H47</f>
        <v>0</v>
      </c>
      <c r="T47" s="18">
        <v>0</v>
      </c>
      <c r="U47" s="18">
        <v>0</v>
      </c>
      <c r="V47" s="18">
        <v>0</v>
      </c>
      <c r="W47" s="18">
        <v>0</v>
      </c>
      <c r="X47" s="18">
        <v>0</v>
      </c>
      <c r="Y47" s="18">
        <f t="shared" si="32"/>
        <v>0</v>
      </c>
      <c r="Z47" s="18">
        <f t="shared" si="32"/>
        <v>0</v>
      </c>
      <c r="AA47" s="44">
        <f t="shared" si="33"/>
        <v>0</v>
      </c>
      <c r="AB47"/>
    </row>
    <row r="48" spans="1:30" s="24" customFormat="1" x14ac:dyDescent="0.3">
      <c r="A48" s="24" t="s">
        <v>3</v>
      </c>
      <c r="E48" s="44">
        <f>SUM(E45:E47)</f>
        <v>0</v>
      </c>
      <c r="F48" s="44">
        <f>SUM(F45:F47)</f>
        <v>0</v>
      </c>
      <c r="G48" s="44">
        <f>SUM(G45:G47)</f>
        <v>0</v>
      </c>
      <c r="H48" s="44"/>
      <c r="I48" s="44">
        <f t="shared" ref="I48:AA48" si="34">SUM(I45:I47)</f>
        <v>0</v>
      </c>
      <c r="J48" s="44">
        <f t="shared" si="34"/>
        <v>0</v>
      </c>
      <c r="K48" s="44">
        <f t="shared" si="34"/>
        <v>0</v>
      </c>
      <c r="L48" s="44">
        <f t="shared" si="34"/>
        <v>0</v>
      </c>
      <c r="M48" s="44">
        <f t="shared" si="34"/>
        <v>0</v>
      </c>
      <c r="N48" s="44">
        <f t="shared" si="34"/>
        <v>0</v>
      </c>
      <c r="O48" s="44">
        <f t="shared" si="34"/>
        <v>0</v>
      </c>
      <c r="P48" s="44">
        <f t="shared" si="34"/>
        <v>0</v>
      </c>
      <c r="Q48" s="44">
        <f t="shared" si="34"/>
        <v>0</v>
      </c>
      <c r="R48" s="44">
        <f t="shared" si="34"/>
        <v>0</v>
      </c>
      <c r="S48" s="44">
        <f t="shared" si="34"/>
        <v>0</v>
      </c>
      <c r="T48" s="44">
        <v>0</v>
      </c>
      <c r="U48" s="44">
        <f t="shared" si="34"/>
        <v>0</v>
      </c>
      <c r="V48" s="44">
        <f t="shared" si="34"/>
        <v>0</v>
      </c>
      <c r="W48" s="44">
        <f t="shared" si="34"/>
        <v>0</v>
      </c>
      <c r="X48" s="44">
        <f t="shared" si="34"/>
        <v>0</v>
      </c>
      <c r="Y48" s="44">
        <f t="shared" si="34"/>
        <v>0</v>
      </c>
      <c r="Z48" s="44">
        <f t="shared" si="34"/>
        <v>0</v>
      </c>
      <c r="AA48" s="44">
        <f t="shared" si="34"/>
        <v>0</v>
      </c>
      <c r="AB48"/>
    </row>
    <row r="49" spans="1:28" s="24" customFormat="1" x14ac:dyDescent="0.3">
      <c r="E49" s="44"/>
      <c r="F49" s="44"/>
      <c r="G49" s="44"/>
      <c r="H49" s="44"/>
      <c r="I49" s="44"/>
      <c r="J49" s="44"/>
      <c r="K49" s="44"/>
      <c r="L49" s="44"/>
      <c r="M49" s="44"/>
      <c r="N49" s="44"/>
      <c r="O49" s="44"/>
      <c r="P49" s="44"/>
      <c r="Q49" s="44"/>
      <c r="R49" s="44"/>
      <c r="S49" s="44"/>
      <c r="T49" s="44"/>
      <c r="U49" s="44"/>
      <c r="V49" s="44"/>
      <c r="W49" s="44"/>
      <c r="X49" s="44"/>
      <c r="Y49" s="44"/>
      <c r="Z49" s="44"/>
      <c r="AA49" s="44"/>
      <c r="AB49"/>
    </row>
    <row r="50" spans="1:28" x14ac:dyDescent="0.3">
      <c r="H50" s="44" t="s">
        <v>474</v>
      </c>
      <c r="I50" s="44" t="s">
        <v>315</v>
      </c>
      <c r="J50" s="44" t="s">
        <v>315</v>
      </c>
      <c r="M50" s="44" t="s">
        <v>316</v>
      </c>
      <c r="N50" s="44" t="s">
        <v>316</v>
      </c>
      <c r="Q50" s="44" t="s">
        <v>316</v>
      </c>
      <c r="R50" s="44" t="s">
        <v>316</v>
      </c>
      <c r="U50" s="44" t="s">
        <v>316</v>
      </c>
      <c r="V50" s="44" t="s">
        <v>316</v>
      </c>
      <c r="AA50" s="44" t="s">
        <v>3</v>
      </c>
    </row>
    <row r="51" spans="1:28" x14ac:dyDescent="0.3">
      <c r="C51" s="1" t="s">
        <v>189</v>
      </c>
      <c r="E51" s="44" t="s">
        <v>187</v>
      </c>
      <c r="F51" s="44" t="s">
        <v>188</v>
      </c>
      <c r="G51" s="44" t="s">
        <v>3</v>
      </c>
      <c r="H51" s="44" t="s">
        <v>201</v>
      </c>
      <c r="I51" s="44" t="s">
        <v>317</v>
      </c>
      <c r="J51" s="44" t="s">
        <v>317</v>
      </c>
      <c r="M51" s="44" t="s">
        <v>164</v>
      </c>
      <c r="N51" s="44" t="s">
        <v>164</v>
      </c>
      <c r="Q51" s="44" t="s">
        <v>317</v>
      </c>
      <c r="R51" s="44" t="s">
        <v>317</v>
      </c>
      <c r="U51" s="44" t="s">
        <v>318</v>
      </c>
      <c r="V51" s="44" t="s">
        <v>318</v>
      </c>
      <c r="Y51" s="44" t="s">
        <v>3</v>
      </c>
      <c r="Z51" s="44" t="s">
        <v>3</v>
      </c>
      <c r="AA51" s="225" t="s">
        <v>585</v>
      </c>
    </row>
    <row r="52" spans="1:28" x14ac:dyDescent="0.3">
      <c r="A52" s="36" t="s">
        <v>14</v>
      </c>
      <c r="B52" s="36" t="s">
        <v>191</v>
      </c>
      <c r="C52" s="55" t="s">
        <v>190</v>
      </c>
      <c r="D52" s="55" t="s">
        <v>319</v>
      </c>
      <c r="E52" s="225" t="s">
        <v>585</v>
      </c>
      <c r="F52" s="225" t="s">
        <v>585</v>
      </c>
      <c r="G52" s="225" t="s">
        <v>585</v>
      </c>
      <c r="H52" s="225" t="s">
        <v>203</v>
      </c>
      <c r="I52" s="225" t="s">
        <v>192</v>
      </c>
      <c r="J52" s="225" t="s">
        <v>193</v>
      </c>
      <c r="K52" s="225" t="s">
        <v>194</v>
      </c>
      <c r="L52" s="225" t="s">
        <v>195</v>
      </c>
      <c r="M52" s="225" t="s">
        <v>192</v>
      </c>
      <c r="N52" s="225" t="s">
        <v>193</v>
      </c>
      <c r="O52" s="225" t="s">
        <v>194</v>
      </c>
      <c r="P52" s="225" t="s">
        <v>195</v>
      </c>
      <c r="Q52" s="225" t="s">
        <v>192</v>
      </c>
      <c r="R52" s="225" t="s">
        <v>193</v>
      </c>
      <c r="S52" s="225" t="s">
        <v>194</v>
      </c>
      <c r="T52" s="225" t="s">
        <v>195</v>
      </c>
      <c r="U52" s="225" t="s">
        <v>192</v>
      </c>
      <c r="V52" s="225" t="s">
        <v>193</v>
      </c>
      <c r="W52" s="225" t="s">
        <v>194</v>
      </c>
      <c r="X52" s="225" t="s">
        <v>195</v>
      </c>
      <c r="Y52" s="225" t="s">
        <v>194</v>
      </c>
      <c r="Z52" s="225" t="s">
        <v>195</v>
      </c>
      <c r="AA52" s="225" t="s">
        <v>196</v>
      </c>
    </row>
    <row r="53" spans="1:28" x14ac:dyDescent="0.3">
      <c r="A53" s="134" t="s">
        <v>311</v>
      </c>
      <c r="B53" s="134" t="s">
        <v>159</v>
      </c>
      <c r="C53" s="134" t="s">
        <v>307</v>
      </c>
      <c r="D53" s="134" t="s">
        <v>307</v>
      </c>
      <c r="E53" s="18">
        <f>10000*'FY VOLUME AUTO'!F8/'FY VOLUME AUTO'!$H$10</f>
        <v>3153.048983210721</v>
      </c>
      <c r="F53" s="18">
        <f>10000*'FY VOLUME AUTO'!G8/'FY VOLUME AUTO'!$H$10</f>
        <v>6739.3903562108344</v>
      </c>
      <c r="G53" s="18">
        <f>E53+F53</f>
        <v>9892.4393394215549</v>
      </c>
      <c r="H53" s="331">
        <f>(E53*'BUNDLE DATA'!$D$8+F53*'BUNDLE DATA'!$D$12)/G53</f>
        <v>7.2509703542133389E-2</v>
      </c>
      <c r="I53" s="309">
        <f>G53*'BUNDLE DATA'!$D$20*'BUNDLE DATA'!$C$20</f>
        <v>0</v>
      </c>
      <c r="J53" s="309">
        <f>G53*(1-'BUNDLE DATA'!$D$20)*'BUNDLE DATA'!$C$20</f>
        <v>9892.4393394215549</v>
      </c>
      <c r="K53" s="309">
        <f>G53*H53</f>
        <v>717.29784380999479</v>
      </c>
      <c r="L53" s="309">
        <f>(I53+J53-K53)*'BUNDLE DENSITIES'!$E$7</f>
        <v>9175.1414956115605</v>
      </c>
      <c r="M53" s="309">
        <v>0</v>
      </c>
      <c r="N53" s="309">
        <v>0</v>
      </c>
      <c r="O53" s="309">
        <v>0</v>
      </c>
      <c r="P53" s="309">
        <v>0</v>
      </c>
      <c r="Q53" s="309">
        <v>0</v>
      </c>
      <c r="R53" s="309">
        <v>0</v>
      </c>
      <c r="S53" s="309">
        <v>0</v>
      </c>
      <c r="T53" s="309">
        <v>0</v>
      </c>
      <c r="U53" s="309">
        <v>0</v>
      </c>
      <c r="V53" s="309">
        <v>0</v>
      </c>
      <c r="W53" s="309">
        <v>0</v>
      </c>
      <c r="X53" s="309">
        <v>0</v>
      </c>
      <c r="Y53" s="18">
        <f t="shared" ref="Y53:Z54" si="35">K53+O53+S53+W53</f>
        <v>717.29784380999479</v>
      </c>
      <c r="Z53" s="18">
        <f t="shared" si="35"/>
        <v>9175.1414956115605</v>
      </c>
      <c r="AA53" s="44">
        <f>Y53+Z53</f>
        <v>9892.4393394215549</v>
      </c>
    </row>
    <row r="54" spans="1:28" x14ac:dyDescent="0.3">
      <c r="A54" s="134" t="s">
        <v>311</v>
      </c>
      <c r="B54" s="134" t="s">
        <v>159</v>
      </c>
      <c r="C54" s="223" t="s">
        <v>592</v>
      </c>
      <c r="D54" s="134" t="s">
        <v>307</v>
      </c>
      <c r="E54" s="18">
        <f>10000*'FY VOLUME AUTO'!F9/'FY VOLUME AUTO'!$H$10</f>
        <v>107.56066057844522</v>
      </c>
      <c r="F54" s="18">
        <f>10000*'FY VOLUME AUTO'!G9/'FY VOLUME AUTO'!$H$10</f>
        <v>0</v>
      </c>
      <c r="G54" s="18">
        <f>E54+F54</f>
        <v>107.56066057844522</v>
      </c>
      <c r="H54" s="331">
        <f>(E54*'BUNDLE DATA'!$D$8+F54*'BUNDLE DATA'!$D$12)/G54</f>
        <v>6.1234942212081587E-3</v>
      </c>
      <c r="I54" s="309">
        <f>G54*'BUNDLE DATA'!$D$20*'BUNDLE DATA'!$C$20</f>
        <v>0</v>
      </c>
      <c r="J54" s="309">
        <f>G54*(1-'BUNDLE DATA'!$D$20)*'BUNDLE DATA'!$C$20</f>
        <v>107.56066057844522</v>
      </c>
      <c r="K54" s="309">
        <f>G54*H54</f>
        <v>0.65864708348144152</v>
      </c>
      <c r="L54" s="309">
        <f>(I54+J54-K54)*'BUNDLE DENSITIES'!$E$7</f>
        <v>106.90201349496378</v>
      </c>
      <c r="M54" s="309">
        <v>0</v>
      </c>
      <c r="N54" s="309">
        <v>0</v>
      </c>
      <c r="O54" s="309">
        <v>0</v>
      </c>
      <c r="P54" s="309">
        <v>0</v>
      </c>
      <c r="Q54" s="309">
        <v>0</v>
      </c>
      <c r="R54" s="309">
        <v>0</v>
      </c>
      <c r="S54" s="309">
        <v>0</v>
      </c>
      <c r="T54" s="309">
        <v>0</v>
      </c>
      <c r="U54" s="309">
        <v>0</v>
      </c>
      <c r="V54" s="309">
        <v>0</v>
      </c>
      <c r="W54" s="309">
        <v>0</v>
      </c>
      <c r="X54" s="309">
        <v>0</v>
      </c>
      <c r="Y54" s="18">
        <f t="shared" si="35"/>
        <v>0.65864708348144152</v>
      </c>
      <c r="Z54" s="18">
        <f t="shared" si="35"/>
        <v>106.90201349496378</v>
      </c>
      <c r="AA54" s="44">
        <f>Y54+Z54</f>
        <v>107.56066057844522</v>
      </c>
    </row>
    <row r="55" spans="1:28" s="24" customFormat="1" x14ac:dyDescent="0.3">
      <c r="B55" s="24" t="s">
        <v>3</v>
      </c>
      <c r="E55" s="44">
        <f t="shared" ref="E55:AA55" si="36">SUM(E53:E54)</f>
        <v>3260.6096437891661</v>
      </c>
      <c r="F55" s="44">
        <f t="shared" si="36"/>
        <v>6739.3903562108344</v>
      </c>
      <c r="G55" s="44">
        <f t="shared" si="36"/>
        <v>10000</v>
      </c>
      <c r="H55" s="44"/>
      <c r="I55" s="44">
        <f t="shared" si="36"/>
        <v>0</v>
      </c>
      <c r="J55" s="44">
        <f t="shared" si="36"/>
        <v>10000</v>
      </c>
      <c r="K55" s="44">
        <f t="shared" si="36"/>
        <v>717.95649089347626</v>
      </c>
      <c r="L55" s="44">
        <f t="shared" si="36"/>
        <v>9282.0435091065247</v>
      </c>
      <c r="M55" s="44">
        <f t="shared" si="36"/>
        <v>0</v>
      </c>
      <c r="N55" s="44">
        <f t="shared" si="36"/>
        <v>0</v>
      </c>
      <c r="O55" s="44">
        <f t="shared" si="36"/>
        <v>0</v>
      </c>
      <c r="P55" s="44">
        <f t="shared" si="36"/>
        <v>0</v>
      </c>
      <c r="Q55" s="44">
        <f t="shared" si="36"/>
        <v>0</v>
      </c>
      <c r="R55" s="44">
        <f t="shared" si="36"/>
        <v>0</v>
      </c>
      <c r="S55" s="44">
        <f t="shared" si="36"/>
        <v>0</v>
      </c>
      <c r="T55" s="44">
        <f t="shared" si="36"/>
        <v>0</v>
      </c>
      <c r="U55" s="44">
        <f t="shared" si="36"/>
        <v>0</v>
      </c>
      <c r="V55" s="44">
        <f t="shared" si="36"/>
        <v>0</v>
      </c>
      <c r="W55" s="44">
        <f t="shared" si="36"/>
        <v>0</v>
      </c>
      <c r="X55" s="44">
        <f t="shared" si="36"/>
        <v>0</v>
      </c>
      <c r="Y55" s="44">
        <f t="shared" si="36"/>
        <v>717.95649089347626</v>
      </c>
      <c r="Z55" s="44">
        <f t="shared" si="36"/>
        <v>9282.0435091065247</v>
      </c>
      <c r="AA55" s="44">
        <f t="shared" si="36"/>
        <v>10000</v>
      </c>
      <c r="AB55"/>
    </row>
    <row r="57" spans="1:28" x14ac:dyDescent="0.3">
      <c r="H57" s="44" t="s">
        <v>474</v>
      </c>
      <c r="I57" s="44" t="s">
        <v>315</v>
      </c>
      <c r="J57" s="44" t="s">
        <v>315</v>
      </c>
      <c r="M57" s="44" t="s">
        <v>316</v>
      </c>
      <c r="N57" s="44" t="s">
        <v>316</v>
      </c>
      <c r="Q57" s="44" t="s">
        <v>316</v>
      </c>
      <c r="R57" s="44" t="s">
        <v>316</v>
      </c>
      <c r="U57" s="44" t="s">
        <v>316</v>
      </c>
      <c r="V57" s="44" t="s">
        <v>316</v>
      </c>
      <c r="AA57" s="44" t="s">
        <v>3</v>
      </c>
    </row>
    <row r="58" spans="1:28" x14ac:dyDescent="0.3">
      <c r="C58" s="1" t="s">
        <v>189</v>
      </c>
      <c r="E58" s="44" t="s">
        <v>187</v>
      </c>
      <c r="F58" s="44" t="s">
        <v>188</v>
      </c>
      <c r="G58" s="44" t="s">
        <v>3</v>
      </c>
      <c r="H58" s="44" t="s">
        <v>201</v>
      </c>
      <c r="I58" s="44" t="s">
        <v>317</v>
      </c>
      <c r="J58" s="44" t="s">
        <v>317</v>
      </c>
      <c r="M58" s="44" t="s">
        <v>164</v>
      </c>
      <c r="N58" s="44" t="s">
        <v>164</v>
      </c>
      <c r="Q58" s="44" t="s">
        <v>317</v>
      </c>
      <c r="R58" s="44" t="s">
        <v>317</v>
      </c>
      <c r="U58" s="44" t="s">
        <v>318</v>
      </c>
      <c r="V58" s="44" t="s">
        <v>318</v>
      </c>
      <c r="Y58" s="44" t="s">
        <v>3</v>
      </c>
      <c r="Z58" s="44" t="s">
        <v>3</v>
      </c>
      <c r="AA58" s="225" t="s">
        <v>585</v>
      </c>
    </row>
    <row r="59" spans="1:28" x14ac:dyDescent="0.3">
      <c r="A59" s="36" t="s">
        <v>14</v>
      </c>
      <c r="B59" s="36" t="s">
        <v>191</v>
      </c>
      <c r="C59" s="55" t="s">
        <v>190</v>
      </c>
      <c r="D59" s="55" t="s">
        <v>319</v>
      </c>
      <c r="E59" s="225" t="s">
        <v>585</v>
      </c>
      <c r="F59" s="225" t="s">
        <v>585</v>
      </c>
      <c r="G59" s="225" t="s">
        <v>585</v>
      </c>
      <c r="H59" s="225" t="s">
        <v>203</v>
      </c>
      <c r="I59" s="225" t="s">
        <v>192</v>
      </c>
      <c r="J59" s="225" t="s">
        <v>193</v>
      </c>
      <c r="K59" s="225" t="s">
        <v>194</v>
      </c>
      <c r="L59" s="225" t="s">
        <v>195</v>
      </c>
      <c r="M59" s="225" t="s">
        <v>192</v>
      </c>
      <c r="N59" s="225" t="s">
        <v>193</v>
      </c>
      <c r="O59" s="225" t="s">
        <v>194</v>
      </c>
      <c r="P59" s="225" t="s">
        <v>195</v>
      </c>
      <c r="Q59" s="225" t="s">
        <v>192</v>
      </c>
      <c r="R59" s="225" t="s">
        <v>193</v>
      </c>
      <c r="S59" s="225" t="s">
        <v>194</v>
      </c>
      <c r="T59" s="225" t="s">
        <v>195</v>
      </c>
      <c r="U59" s="225" t="s">
        <v>192</v>
      </c>
      <c r="V59" s="225" t="s">
        <v>193</v>
      </c>
      <c r="W59" s="225" t="s">
        <v>194</v>
      </c>
      <c r="X59" s="225" t="s">
        <v>195</v>
      </c>
      <c r="Y59" s="225" t="s">
        <v>194</v>
      </c>
      <c r="Z59" s="225" t="s">
        <v>195</v>
      </c>
      <c r="AA59" s="225" t="s">
        <v>196</v>
      </c>
    </row>
    <row r="60" spans="1:28" x14ac:dyDescent="0.3">
      <c r="A60" s="134" t="s">
        <v>312</v>
      </c>
      <c r="B60" s="134" t="s">
        <v>159</v>
      </c>
      <c r="C60" s="223" t="s">
        <v>307</v>
      </c>
      <c r="D60" s="223" t="s">
        <v>198</v>
      </c>
      <c r="E60" s="18">
        <f>10000*'FY VOLUME AUTO'!F15/'FY VOLUME AUTO'!$H$18</f>
        <v>3825.1981466206207</v>
      </c>
      <c r="F60" s="18">
        <f>10000*'FY VOLUME AUTO'!G15/'FY VOLUME AUTO'!$H$18</f>
        <v>4544.0548816406808</v>
      </c>
      <c r="G60" s="18">
        <f>E60+F60</f>
        <v>8369.2530282613006</v>
      </c>
      <c r="H60" s="331">
        <f>(E60*'BUNDLE DATA'!$D$8+F60*'BUNDLE DATA'!$D$12)/G60</f>
        <v>5.9031028814630938E-2</v>
      </c>
      <c r="I60" s="18">
        <f>G60*'[13]BUNDLE DATA'!$D$22*'[13]BUNDLE DATA'!$C$22</f>
        <v>0</v>
      </c>
      <c r="J60" s="18">
        <f>G60*(1-'BUNDLE DATA'!$D$22)*'BUNDLE DATA'!$C$22</f>
        <v>8369.2530282613006</v>
      </c>
      <c r="K60" s="18">
        <f>G60*H60</f>
        <v>494.04561666823008</v>
      </c>
      <c r="L60" s="18">
        <f>G60*(1-$H$60)*'BUNDLE DENSITIES'!$G$7</f>
        <v>517.73200660754128</v>
      </c>
      <c r="M60" s="18">
        <f>G60*(1-$H$60)*'BUNDLE DENSITIES'!$G$8*'BUNDLE DATA'!$D$30*'BUNDLE DATA'!$C$30</f>
        <v>7357.4754049855292</v>
      </c>
      <c r="N60" s="18">
        <f>G60*(1-$H$61)*'BUNDLE DENSITIES'!$G$8*(1-'BUNDLE DATA'!$D$30)*'BUNDLE DATA'!$C$30</f>
        <v>0</v>
      </c>
      <c r="O60" s="18">
        <f>G60*(1-$H$60)*'BUNDLE DATA'!$E$12*'BUNDLE DENSITIES'!$G$8</f>
        <v>269.92827600945668</v>
      </c>
      <c r="P60" s="18">
        <f>G60*(1-$H$60)*(1-'BUNDLE DATA'!$E$12)*'BUNDLE DENSITIES'!$G$8*'BUNDLE DENSITIES'!$G$15</f>
        <v>7087.5471289760717</v>
      </c>
      <c r="Q60" s="18">
        <v>0</v>
      </c>
      <c r="R60" s="18">
        <v>0</v>
      </c>
      <c r="S60" s="18">
        <v>0</v>
      </c>
      <c r="T60" s="18">
        <v>0</v>
      </c>
      <c r="U60" s="18">
        <v>0</v>
      </c>
      <c r="V60" s="18">
        <v>0</v>
      </c>
      <c r="W60" s="18">
        <v>0</v>
      </c>
      <c r="X60" s="18">
        <v>0</v>
      </c>
      <c r="Y60" s="18">
        <f t="shared" ref="Y60:Z61" si="37">K60+O60+S60+W60</f>
        <v>763.97389267768676</v>
      </c>
      <c r="Z60" s="18">
        <f t="shared" si="37"/>
        <v>7605.2791355836125</v>
      </c>
      <c r="AA60" s="44">
        <f>Y60+Z60</f>
        <v>8369.2530282612988</v>
      </c>
    </row>
    <row r="61" spans="1:28" x14ac:dyDescent="0.3">
      <c r="A61" s="134" t="s">
        <v>312</v>
      </c>
      <c r="B61" s="134" t="s">
        <v>159</v>
      </c>
      <c r="C61" s="223" t="s">
        <v>592</v>
      </c>
      <c r="D61" s="223" t="s">
        <v>198</v>
      </c>
      <c r="E61" s="18">
        <f>10000*'FY VOLUME AUTO'!F16/'FY VOLUME AUTO'!$H$18</f>
        <v>795.20953930978794</v>
      </c>
      <c r="F61" s="18">
        <f>10000*'FY VOLUME AUTO'!G16/'FY VOLUME AUTO'!$H$18</f>
        <v>782.39173582809394</v>
      </c>
      <c r="G61" s="18">
        <f>E61+F61</f>
        <v>1577.6012751378819</v>
      </c>
      <c r="H61" s="331">
        <f>(E61*'BUNDLE DATA'!$D$8+F61*'BUNDLE DATA'!$D$12)/G61</f>
        <v>5.4450252116843616E-2</v>
      </c>
      <c r="I61" s="18">
        <v>0</v>
      </c>
      <c r="J61" s="18">
        <v>0</v>
      </c>
      <c r="K61" s="18">
        <v>0</v>
      </c>
      <c r="L61" s="18">
        <v>0</v>
      </c>
      <c r="M61" s="18">
        <f>G61*'BUNDLE DATA'!$D$30*'BUNDLE DATA'!$C$30</f>
        <v>1577.6012751378819</v>
      </c>
      <c r="N61" s="18">
        <f>G61*(1-'BUNDLE DATA'!$D$30)*'BUNDLE DATA'!$C$30</f>
        <v>0</v>
      </c>
      <c r="O61" s="18">
        <f>G61*H61</f>
        <v>85.900787171111645</v>
      </c>
      <c r="P61" s="18">
        <f>(E61*(1-'BUNDLE DATA'!$D$8)+F61*(1-'BUNDLE DATA'!$D$12))*'BUNDLE DENSITIES'!$G$15</f>
        <v>1491.7004879667702</v>
      </c>
      <c r="Q61" s="18">
        <v>0</v>
      </c>
      <c r="R61" s="18">
        <v>0</v>
      </c>
      <c r="S61" s="18">
        <v>0</v>
      </c>
      <c r="T61" s="18">
        <v>0</v>
      </c>
      <c r="U61" s="18">
        <v>0</v>
      </c>
      <c r="V61" s="18">
        <v>0</v>
      </c>
      <c r="W61" s="18">
        <v>0</v>
      </c>
      <c r="X61" s="18">
        <v>0</v>
      </c>
      <c r="Y61" s="18">
        <f t="shared" si="37"/>
        <v>85.900787171111645</v>
      </c>
      <c r="Z61" s="18">
        <f t="shared" si="37"/>
        <v>1491.7004879667702</v>
      </c>
      <c r="AA61" s="44">
        <f>Y61+Z61</f>
        <v>1577.6012751378819</v>
      </c>
    </row>
    <row r="62" spans="1:28" x14ac:dyDescent="0.3">
      <c r="A62" s="224" t="s">
        <v>312</v>
      </c>
      <c r="B62" s="224" t="s">
        <v>159</v>
      </c>
      <c r="C62" s="307" t="s">
        <v>199</v>
      </c>
      <c r="D62" s="307" t="s">
        <v>198</v>
      </c>
      <c r="E62" s="18">
        <f>10000*'FY VOLUME AUTO'!F17/'FY VOLUME AUTO'!$H$18</f>
        <v>1.178937820169859</v>
      </c>
      <c r="F62" s="18">
        <f>10000*'FY VOLUME AUTO'!G17/'FY VOLUME AUTO'!$H$18</f>
        <v>51.9667587806453</v>
      </c>
      <c r="G62" s="18">
        <f>E62+F62</f>
        <v>53.145696600815157</v>
      </c>
      <c r="H62" s="331">
        <f>(E62*'BUNDLE DATA'!$D$8+F62*'BUNDLE DATA'!$D$12)/G62</f>
        <v>0.10140709944319995</v>
      </c>
      <c r="I62" s="18">
        <v>0</v>
      </c>
      <c r="J62" s="18">
        <v>0</v>
      </c>
      <c r="K62" s="18">
        <v>0</v>
      </c>
      <c r="L62" s="18">
        <v>0</v>
      </c>
      <c r="M62" s="18">
        <v>0</v>
      </c>
      <c r="N62" s="18">
        <v>0</v>
      </c>
      <c r="O62" s="18">
        <v>0</v>
      </c>
      <c r="P62" s="18">
        <v>0</v>
      </c>
      <c r="Q62" s="18">
        <f>G62*'BUNDLE DATA'!$D$38*'BUNDLE DATA'!$C$38</f>
        <v>51.655996476525146</v>
      </c>
      <c r="R62" s="18">
        <f>G62*(1-'BUNDLE DATA'!$D$38)*'BUNDLE DATA'!$C$38</f>
        <v>1.489700124290007</v>
      </c>
      <c r="S62" s="18">
        <f>G62*H62</f>
        <v>5.3893509401769961</v>
      </c>
      <c r="T62" s="18">
        <f>(E62*(1-'BUNDLE DATA'!$D$8)+F62*(1-'BUNDLE DATA'!$D$12))*'BUNDLE DENSITIES'!$I$22</f>
        <v>47.756345660638161</v>
      </c>
      <c r="U62" s="18">
        <v>0</v>
      </c>
      <c r="V62" s="18">
        <v>0</v>
      </c>
      <c r="W62" s="18">
        <v>0</v>
      </c>
      <c r="X62" s="18">
        <v>0</v>
      </c>
      <c r="Y62" s="18">
        <f t="shared" ref="Y62" si="38">K62+O62+S62+W62</f>
        <v>5.3893509401769961</v>
      </c>
      <c r="Z62" s="18">
        <f t="shared" ref="Z62" si="39">L62+P62+T62+X62</f>
        <v>47.756345660638161</v>
      </c>
      <c r="AA62" s="44">
        <f>Y62+Z62</f>
        <v>53.145696600815157</v>
      </c>
    </row>
    <row r="63" spans="1:28" s="24" customFormat="1" x14ac:dyDescent="0.3">
      <c r="A63" s="24" t="s">
        <v>3</v>
      </c>
      <c r="E63" s="44">
        <f>SUM(E60:E62)</f>
        <v>4621.5866237505788</v>
      </c>
      <c r="F63" s="44">
        <f>SUM(F60:F62)</f>
        <v>5378.4133762494203</v>
      </c>
      <c r="G63" s="44">
        <f>SUM(G60:G62)</f>
        <v>9999.9999999999982</v>
      </c>
      <c r="H63" s="44"/>
      <c r="I63" s="44">
        <f>SUM(I60:I62)</f>
        <v>0</v>
      </c>
      <c r="J63" s="44">
        <f t="shared" ref="J63:AA63" si="40">SUM(J60:J62)</f>
        <v>8369.2530282613006</v>
      </c>
      <c r="K63" s="44">
        <f t="shared" si="40"/>
        <v>494.04561666823008</v>
      </c>
      <c r="L63" s="44">
        <f t="shared" si="40"/>
        <v>517.73200660754128</v>
      </c>
      <c r="M63" s="44">
        <f t="shared" si="40"/>
        <v>8935.0766801234113</v>
      </c>
      <c r="N63" s="44">
        <f t="shared" si="40"/>
        <v>0</v>
      </c>
      <c r="O63" s="44">
        <f t="shared" si="40"/>
        <v>355.82906318056831</v>
      </c>
      <c r="P63" s="44">
        <f t="shared" si="40"/>
        <v>8579.247616942841</v>
      </c>
      <c r="Q63" s="44">
        <f t="shared" si="40"/>
        <v>51.655996476525146</v>
      </c>
      <c r="R63" s="44">
        <f t="shared" si="40"/>
        <v>1.489700124290007</v>
      </c>
      <c r="S63" s="44">
        <f t="shared" si="40"/>
        <v>5.3893509401769961</v>
      </c>
      <c r="T63" s="44">
        <f t="shared" si="40"/>
        <v>47.756345660638161</v>
      </c>
      <c r="U63" s="44">
        <f t="shared" si="40"/>
        <v>0</v>
      </c>
      <c r="V63" s="44">
        <f t="shared" si="40"/>
        <v>0</v>
      </c>
      <c r="W63" s="44">
        <f t="shared" si="40"/>
        <v>0</v>
      </c>
      <c r="X63" s="44">
        <f t="shared" si="40"/>
        <v>0</v>
      </c>
      <c r="Y63" s="44">
        <f t="shared" si="40"/>
        <v>855.26403078897545</v>
      </c>
      <c r="Z63" s="44">
        <f t="shared" si="40"/>
        <v>9144.7359692110203</v>
      </c>
      <c r="AA63" s="44">
        <f t="shared" si="40"/>
        <v>9999.9999999999964</v>
      </c>
      <c r="AB63"/>
    </row>
    <row r="65" spans="1:28" x14ac:dyDescent="0.3">
      <c r="H65" s="44" t="s">
        <v>474</v>
      </c>
      <c r="I65" s="44" t="s">
        <v>315</v>
      </c>
      <c r="J65" s="44" t="s">
        <v>315</v>
      </c>
      <c r="M65" s="44" t="s">
        <v>316</v>
      </c>
      <c r="N65" s="44" t="s">
        <v>316</v>
      </c>
      <c r="Q65" s="44" t="s">
        <v>316</v>
      </c>
      <c r="R65" s="44" t="s">
        <v>316</v>
      </c>
      <c r="U65" s="44" t="s">
        <v>316</v>
      </c>
      <c r="V65" s="44" t="s">
        <v>316</v>
      </c>
      <c r="AA65" s="44" t="s">
        <v>3</v>
      </c>
    </row>
    <row r="66" spans="1:28" x14ac:dyDescent="0.3">
      <c r="C66" s="1" t="s">
        <v>189</v>
      </c>
      <c r="E66" s="44" t="s">
        <v>187</v>
      </c>
      <c r="F66" s="44" t="s">
        <v>188</v>
      </c>
      <c r="G66" s="44" t="s">
        <v>3</v>
      </c>
      <c r="H66" s="44" t="s">
        <v>201</v>
      </c>
      <c r="I66" s="44" t="s">
        <v>317</v>
      </c>
      <c r="J66" s="44" t="s">
        <v>317</v>
      </c>
      <c r="M66" s="44" t="s">
        <v>164</v>
      </c>
      <c r="N66" s="44" t="s">
        <v>164</v>
      </c>
      <c r="Q66" s="44" t="s">
        <v>317</v>
      </c>
      <c r="R66" s="44" t="s">
        <v>317</v>
      </c>
      <c r="U66" s="44" t="s">
        <v>318</v>
      </c>
      <c r="V66" s="44" t="s">
        <v>318</v>
      </c>
      <c r="Y66" s="44" t="s">
        <v>3</v>
      </c>
      <c r="Z66" s="44" t="s">
        <v>3</v>
      </c>
      <c r="AA66" s="225" t="s">
        <v>585</v>
      </c>
    </row>
    <row r="67" spans="1:28" x14ac:dyDescent="0.3">
      <c r="A67" s="36" t="s">
        <v>14</v>
      </c>
      <c r="B67" s="36" t="s">
        <v>191</v>
      </c>
      <c r="C67" s="55" t="s">
        <v>190</v>
      </c>
      <c r="D67" s="55" t="s">
        <v>319</v>
      </c>
      <c r="E67" s="225" t="s">
        <v>585</v>
      </c>
      <c r="F67" s="225" t="s">
        <v>585</v>
      </c>
      <c r="G67" s="225" t="s">
        <v>585</v>
      </c>
      <c r="H67" s="225" t="s">
        <v>203</v>
      </c>
      <c r="I67" s="225" t="s">
        <v>192</v>
      </c>
      <c r="J67" s="225" t="s">
        <v>193</v>
      </c>
      <c r="K67" s="225" t="s">
        <v>194</v>
      </c>
      <c r="L67" s="225" t="s">
        <v>195</v>
      </c>
      <c r="M67" s="225" t="s">
        <v>192</v>
      </c>
      <c r="N67" s="225" t="s">
        <v>193</v>
      </c>
      <c r="O67" s="225" t="s">
        <v>194</v>
      </c>
      <c r="P67" s="225" t="s">
        <v>195</v>
      </c>
      <c r="Q67" s="225" t="s">
        <v>192</v>
      </c>
      <c r="R67" s="225" t="s">
        <v>193</v>
      </c>
      <c r="S67" s="225" t="s">
        <v>194</v>
      </c>
      <c r="T67" s="225" t="s">
        <v>195</v>
      </c>
      <c r="U67" s="225" t="s">
        <v>192</v>
      </c>
      <c r="V67" s="225" t="s">
        <v>193</v>
      </c>
      <c r="W67" s="225" t="s">
        <v>194</v>
      </c>
      <c r="X67" s="225" t="s">
        <v>195</v>
      </c>
      <c r="Y67" s="225" t="s">
        <v>194</v>
      </c>
      <c r="Z67" s="225" t="s">
        <v>195</v>
      </c>
      <c r="AA67" s="225" t="s">
        <v>196</v>
      </c>
    </row>
    <row r="68" spans="1:28" x14ac:dyDescent="0.3">
      <c r="A68" s="134" t="s">
        <v>313</v>
      </c>
      <c r="B68" s="134" t="s">
        <v>159</v>
      </c>
      <c r="C68" s="223" t="s">
        <v>307</v>
      </c>
      <c r="D68" s="223" t="s">
        <v>199</v>
      </c>
      <c r="E68" s="18">
        <f>10000*'FY VOLUME AUTO'!F23/'FY VOLUME AUTO'!$H$26</f>
        <v>2036.208985381626</v>
      </c>
      <c r="F68" s="18">
        <f>10000*'FY VOLUME AUTO'!G23/'FY VOLUME AUTO'!$H$26</f>
        <v>884.45119580758467</v>
      </c>
      <c r="G68" s="18">
        <f t="shared" ref="G68:G70" si="41">E68+F68</f>
        <v>2920.6601811892106</v>
      </c>
      <c r="H68" s="331">
        <f>(E68*'BUNDLE DATA'!$D$8+F68*'BUNDLE DATA'!$D$12)/G68</f>
        <v>3.56324266815643E-2</v>
      </c>
      <c r="I68" s="18">
        <f>G68*'BUNDLE DATA'!$D$24*'BUNDLE DATA'!$C$24</f>
        <v>0</v>
      </c>
      <c r="J68" s="18">
        <f>G68*(1-'BUNDLE DATA'!$D$24)*'BUNDLE DATA'!$C$24</f>
        <v>2920.6601811892106</v>
      </c>
      <c r="K68" s="18">
        <f>G68*H68</f>
        <v>104.07020976798884</v>
      </c>
      <c r="L68" s="18">
        <f>G68*(1-H$68)*'BUNDLE DENSITIES'!$I$7</f>
        <v>162.45656228962241</v>
      </c>
      <c r="M68" s="18">
        <f>G68*(1-$H$68)*'BUNDLE DENSITIES'!$I$8*'BUNDLE DATA'!$D$32*'BUNDLE DATA'!$C$32</f>
        <v>2637.8082439552286</v>
      </c>
      <c r="N68" s="18">
        <f>G68*(1-$H$68)*'BUNDLE DENSITIES'!$I$8*(1-'BUNDLE DATA'!$D$32)*'BUNDLE DATA'!$C$32</f>
        <v>0</v>
      </c>
      <c r="O68" s="18">
        <f>G68*(1-H$68)*'BUNDLE DATA'!$E$12*'BUNDLE DENSITIES'!$I$8</f>
        <v>96.774911575224976</v>
      </c>
      <c r="P68" s="18">
        <f>G68*(1-$H$68)*(1-'BUNDLE DATA'!$E$12)*'BUNDLE DENSITIES'!$I$8*'BUNDLE DENSITIES'!$I$15</f>
        <v>988.96349335733476</v>
      </c>
      <c r="Q68" s="18">
        <f>(G68*(1-$H$68)*'BUNDLE DENSITIES'!$I$9+G68*(1-H$68)*(1-'BUNDLE DATA'!$E$12)*'BUNDLE DENSITIES'!$I$8*'BUNDLE DENSITIES'!$I$16)*'BUNDLE DATA'!$D$38*'BUNDLE DATA'!$C$38</f>
        <v>1524.4321176037158</v>
      </c>
      <c r="R68" s="18">
        <f>(G68*(1-$H$70)*'BUNDLE DENSITIES'!$I$9+G68*(1-H$68)*(1-'BUNDLE DATA'!$E$12)*'BUNDLE DENSITIES'!$I$8*'BUNDLE DENSITIES'!$I$16)*(1-'BUNDLE DATA'!$D$38)*'BUNDLE DATA'!$C$38</f>
        <v>43.965191360070477</v>
      </c>
      <c r="S68" s="18">
        <f>(G68*(1-$H$68)*'BUNDLE DATA'!$E$12*'BUNDLE DENSITIES'!$I$9+G68*(1-$H$68)*(1-'BUNDLE DATA'!$E$12)*'BUNDLE DATA'!$E$12*'BUNDLE DENSITIES'!$I$8*'BUNDLE DENSITIES'!$I$16)</f>
        <v>57.540682949265545</v>
      </c>
      <c r="T68" s="18">
        <f>(G68*(1-$H$68)*(1-'BUNDLE DATA'!$E$12)*'BUNDLE DENSITIES'!$I$9+G68*(1-$H$68)*(1-'BUNDLE DATA'!$E$12)*(1-'BUNDLE DATA'!$E$12)*'BUNDLE DENSITIES'!$I$8*'BUNDLE DENSITIES'!$I$16)*'BUNDLE DENSITIES'!$I$22</f>
        <v>1510.8543212497748</v>
      </c>
      <c r="U68" s="18">
        <v>0</v>
      </c>
      <c r="V68" s="18">
        <v>0</v>
      </c>
      <c r="W68" s="18">
        <v>0</v>
      </c>
      <c r="X68" s="18">
        <v>0</v>
      </c>
      <c r="Y68" s="18">
        <f t="shared" ref="Y68:Z70" si="42">K68+O68+S68+W68</f>
        <v>258.38580429247935</v>
      </c>
      <c r="Z68" s="18">
        <f t="shared" si="42"/>
        <v>2662.2743768967321</v>
      </c>
      <c r="AA68" s="44">
        <f t="shared" ref="AA68:AA70" si="43">Y68+Z68</f>
        <v>2920.6601811892115</v>
      </c>
    </row>
    <row r="69" spans="1:28" x14ac:dyDescent="0.3">
      <c r="A69" s="134" t="s">
        <v>313</v>
      </c>
      <c r="B69" s="134" t="s">
        <v>159</v>
      </c>
      <c r="C69" s="223" t="s">
        <v>592</v>
      </c>
      <c r="D69" s="223" t="s">
        <v>199</v>
      </c>
      <c r="E69" s="18">
        <f>10000*'FY VOLUME AUTO'!F24/'FY VOLUME AUTO'!$H$26</f>
        <v>2429.5036957511393</v>
      </c>
      <c r="F69" s="18">
        <f>10000*'FY VOLUME AUTO'!G24/'FY VOLUME AUTO'!$H$26</f>
        <v>498.14992340612008</v>
      </c>
      <c r="G69" s="18">
        <f t="shared" si="41"/>
        <v>2927.6536191572595</v>
      </c>
      <c r="H69" s="331">
        <f>(E69*'BUNDLE DATA'!$D$8+F69*'BUNDLE DATA'!$D$12)/G69</f>
        <v>2.2704124296777171E-2</v>
      </c>
      <c r="I69" s="18">
        <v>0</v>
      </c>
      <c r="J69" s="18">
        <v>0</v>
      </c>
      <c r="K69" s="18">
        <v>0</v>
      </c>
      <c r="L69" s="18">
        <v>0</v>
      </c>
      <c r="M69" s="18">
        <f>G69*'BUNDLE DATA'!$D$32*'BUNDLE DATA'!$C$32</f>
        <v>2927.6536191572595</v>
      </c>
      <c r="N69" s="18">
        <f>G69*(1-'BUNDLE DATA'!$D$32)*'BUNDLE DATA'!$C$32</f>
        <v>0</v>
      </c>
      <c r="O69" s="18">
        <f>G69*H69</f>
        <v>66.469811667255954</v>
      </c>
      <c r="P69" s="18">
        <f>(E69*(1-'BUNDLE DATA'!$D$8)+F69*(1-'BUNDLE DATA'!$D$12))*'BUNDLE DENSITIES'!$I$15</f>
        <v>1113.5652166917719</v>
      </c>
      <c r="Q69" s="18">
        <f>(E69*(1-'BUNDLE DATA'!$D$8)+F69*(1-'BUNDLE DATA'!$D$12))*'BUNDLE DENSITIES'!$I$16*'BUNDLE DATA'!$D$38*'BUNDLE DATA'!$C$38</f>
        <v>1698.6319785523076</v>
      </c>
      <c r="R69" s="18">
        <f>(E69*(1-'BUNDLE DATA'!$D$8)+F69*(1-'BUNDLE DATA'!$D$12))*'BUNDLE DENSITIES'!$I$16*(1-'BUNDLE DATA'!$D$38)*'BUNDLE DATA'!$C$38</f>
        <v>48.986612245923979</v>
      </c>
      <c r="S69" s="18">
        <f>(E69*(1-'BUNDLE DATA'!$D$8)*'BUNDLE DATA'!$E$8+F69*(1-'BUNDLE DATA'!$D$12)*'BUNDLE DATA'!$E$12)*'BUNDLE DENSITIES'!$I$16</f>
        <v>64.115970135162215</v>
      </c>
      <c r="T69" s="18">
        <f>(E69*(1-'BUNDLE DATA'!$D$8)*(1-'BUNDLE DATA'!$E$8)+F69*(1-'BUNDLE DATA'!$D$12)*(1-'BUNDLE DATA'!$E$12))*'BUNDLE DENSITIES'!$I$16*'BUNDLE DENSITIES'!$I$22</f>
        <v>1683.5026206630691</v>
      </c>
      <c r="U69" s="18">
        <v>0</v>
      </c>
      <c r="V69" s="18">
        <v>0</v>
      </c>
      <c r="W69" s="18">
        <v>0</v>
      </c>
      <c r="X69" s="18">
        <v>0</v>
      </c>
      <c r="Y69" s="18">
        <f t="shared" si="42"/>
        <v>130.58578180241818</v>
      </c>
      <c r="Z69" s="18">
        <f t="shared" si="42"/>
        <v>2797.0678373548408</v>
      </c>
      <c r="AA69" s="44">
        <f t="shared" si="43"/>
        <v>2927.6536191572591</v>
      </c>
    </row>
    <row r="70" spans="1:28" x14ac:dyDescent="0.3">
      <c r="A70" s="134" t="s">
        <v>313</v>
      </c>
      <c r="B70" s="134" t="s">
        <v>159</v>
      </c>
      <c r="C70" s="223" t="s">
        <v>199</v>
      </c>
      <c r="D70" s="223" t="s">
        <v>199</v>
      </c>
      <c r="E70" s="18">
        <f>10000*'FY VOLUME AUTO'!F25/'FY VOLUME AUTO'!$H$26</f>
        <v>3101.3887275552047</v>
      </c>
      <c r="F70" s="18">
        <f>10000*'FY VOLUME AUTO'!G25/'FY VOLUME AUTO'!$H$26</f>
        <v>1050.2974720983254</v>
      </c>
      <c r="G70" s="18">
        <f t="shared" si="41"/>
        <v>4151.6861996535299</v>
      </c>
      <c r="H70" s="331">
        <f>(E70*'BUNDLE DATA'!$D$8+F70*'BUNDLE DATA'!$D$12)/G70</f>
        <v>3.0775283936304441E-2</v>
      </c>
      <c r="I70" s="18">
        <v>0</v>
      </c>
      <c r="J70" s="18">
        <v>0</v>
      </c>
      <c r="K70" s="18">
        <v>0</v>
      </c>
      <c r="L70" s="18">
        <v>0</v>
      </c>
      <c r="M70" s="18">
        <v>0</v>
      </c>
      <c r="N70" s="18">
        <v>0</v>
      </c>
      <c r="O70" s="18">
        <v>0</v>
      </c>
      <c r="P70" s="18">
        <v>0</v>
      </c>
      <c r="Q70" s="18">
        <f>G70*'BUNDLE DATA'!$D$38*'BUNDLE DATA'!$C$38</f>
        <v>4035.3123849664889</v>
      </c>
      <c r="R70" s="18">
        <f>G70*(1-'BUNDLE DATA'!$D$38)*'BUNDLE DATA'!$C$38</f>
        <v>116.37381468704105</v>
      </c>
      <c r="S70" s="18">
        <f>G70*H70</f>
        <v>127.76932160877411</v>
      </c>
      <c r="T70" s="18">
        <f>(E70*(1-'BUNDLE DATA'!$D$8)+F70*(1-'BUNDLE DATA'!$D$12))*'BUNDLE DENSITIES'!$I$22</f>
        <v>4023.9168780447558</v>
      </c>
      <c r="U70" s="18">
        <v>0</v>
      </c>
      <c r="V70" s="18">
        <v>0</v>
      </c>
      <c r="W70" s="18">
        <v>0</v>
      </c>
      <c r="X70" s="18">
        <v>0</v>
      </c>
      <c r="Y70" s="18">
        <f t="shared" si="42"/>
        <v>127.76932160877411</v>
      </c>
      <c r="Z70" s="18">
        <f t="shared" si="42"/>
        <v>4023.9168780447558</v>
      </c>
      <c r="AA70" s="44">
        <f t="shared" si="43"/>
        <v>4151.6861996535299</v>
      </c>
    </row>
    <row r="71" spans="1:28" s="24" customFormat="1" x14ac:dyDescent="0.3">
      <c r="A71" s="24" t="s">
        <v>3</v>
      </c>
      <c r="E71" s="44">
        <f t="shared" ref="E71:AA71" si="44">SUM(E68:E70)</f>
        <v>7567.1014086879695</v>
      </c>
      <c r="F71" s="44">
        <f t="shared" si="44"/>
        <v>2432.8985913120305</v>
      </c>
      <c r="G71" s="44">
        <f t="shared" si="44"/>
        <v>10000</v>
      </c>
      <c r="H71" s="44"/>
      <c r="I71" s="44">
        <f t="shared" si="44"/>
        <v>0</v>
      </c>
      <c r="J71" s="44">
        <f t="shared" si="44"/>
        <v>2920.6601811892106</v>
      </c>
      <c r="K71" s="44">
        <f t="shared" si="44"/>
        <v>104.07020976798884</v>
      </c>
      <c r="L71" s="44">
        <f t="shared" si="44"/>
        <v>162.45656228962241</v>
      </c>
      <c r="M71" s="44">
        <f t="shared" si="44"/>
        <v>5565.4618631124886</v>
      </c>
      <c r="N71" s="44">
        <f t="shared" si="44"/>
        <v>0</v>
      </c>
      <c r="O71" s="44">
        <f t="shared" si="44"/>
        <v>163.24472324248092</v>
      </c>
      <c r="P71" s="44">
        <f t="shared" si="44"/>
        <v>2102.5287100491068</v>
      </c>
      <c r="Q71" s="44">
        <f t="shared" si="44"/>
        <v>7258.3764811225119</v>
      </c>
      <c r="R71" s="44">
        <f t="shared" si="44"/>
        <v>209.32561829303552</v>
      </c>
      <c r="S71" s="44">
        <f t="shared" si="44"/>
        <v>249.42597469320185</v>
      </c>
      <c r="T71" s="44">
        <f t="shared" si="44"/>
        <v>7218.2738199575997</v>
      </c>
      <c r="U71" s="44">
        <f t="shared" si="44"/>
        <v>0</v>
      </c>
      <c r="V71" s="44">
        <f t="shared" si="44"/>
        <v>0</v>
      </c>
      <c r="W71" s="44">
        <f t="shared" si="44"/>
        <v>0</v>
      </c>
      <c r="X71" s="44">
        <f t="shared" si="44"/>
        <v>0</v>
      </c>
      <c r="Y71" s="44">
        <f t="shared" si="44"/>
        <v>516.74090770367161</v>
      </c>
      <c r="Z71" s="44">
        <f t="shared" si="44"/>
        <v>9483.2590922963282</v>
      </c>
      <c r="AA71" s="44">
        <f t="shared" si="44"/>
        <v>10000</v>
      </c>
      <c r="AB71"/>
    </row>
    <row r="73" spans="1:28" x14ac:dyDescent="0.3">
      <c r="H73" s="44" t="s">
        <v>474</v>
      </c>
      <c r="I73" s="44" t="s">
        <v>315</v>
      </c>
      <c r="J73" s="44" t="s">
        <v>315</v>
      </c>
      <c r="M73" s="44" t="s">
        <v>316</v>
      </c>
      <c r="N73" s="44" t="s">
        <v>316</v>
      </c>
      <c r="Q73" s="44" t="s">
        <v>316</v>
      </c>
      <c r="R73" s="44" t="s">
        <v>316</v>
      </c>
      <c r="U73" s="44" t="s">
        <v>316</v>
      </c>
      <c r="V73" s="44" t="s">
        <v>316</v>
      </c>
      <c r="AA73" s="44" t="s">
        <v>3</v>
      </c>
    </row>
    <row r="74" spans="1:28" x14ac:dyDescent="0.3">
      <c r="C74" s="1" t="s">
        <v>189</v>
      </c>
      <c r="E74" s="44" t="s">
        <v>187</v>
      </c>
      <c r="F74" s="44" t="s">
        <v>188</v>
      </c>
      <c r="G74" s="44" t="s">
        <v>3</v>
      </c>
      <c r="H74" s="44" t="s">
        <v>201</v>
      </c>
      <c r="I74" s="44" t="s">
        <v>317</v>
      </c>
      <c r="J74" s="44" t="s">
        <v>317</v>
      </c>
      <c r="M74" s="44" t="s">
        <v>164</v>
      </c>
      <c r="N74" s="44" t="s">
        <v>164</v>
      </c>
      <c r="Q74" s="44" t="s">
        <v>317</v>
      </c>
      <c r="R74" s="44" t="s">
        <v>317</v>
      </c>
      <c r="U74" s="44" t="s">
        <v>318</v>
      </c>
      <c r="V74" s="44" t="s">
        <v>318</v>
      </c>
      <c r="Y74" s="44" t="s">
        <v>3</v>
      </c>
      <c r="Z74" s="44" t="s">
        <v>3</v>
      </c>
      <c r="AA74" s="225" t="s">
        <v>585</v>
      </c>
    </row>
    <row r="75" spans="1:28" x14ac:dyDescent="0.3">
      <c r="A75" s="36" t="s">
        <v>14</v>
      </c>
      <c r="B75" s="36" t="s">
        <v>191</v>
      </c>
      <c r="C75" s="55" t="s">
        <v>190</v>
      </c>
      <c r="D75" s="55" t="s">
        <v>319</v>
      </c>
      <c r="E75" s="225" t="s">
        <v>585</v>
      </c>
      <c r="F75" s="225" t="s">
        <v>585</v>
      </c>
      <c r="G75" s="225" t="s">
        <v>585</v>
      </c>
      <c r="H75" s="225" t="s">
        <v>203</v>
      </c>
      <c r="I75" s="225" t="s">
        <v>192</v>
      </c>
      <c r="J75" s="225" t="s">
        <v>193</v>
      </c>
      <c r="K75" s="225" t="s">
        <v>194</v>
      </c>
      <c r="L75" s="225" t="s">
        <v>195</v>
      </c>
      <c r="M75" s="225" t="s">
        <v>192</v>
      </c>
      <c r="N75" s="225" t="s">
        <v>193</v>
      </c>
      <c r="O75" s="225" t="s">
        <v>194</v>
      </c>
      <c r="P75" s="225" t="s">
        <v>195</v>
      </c>
      <c r="Q75" s="225" t="s">
        <v>192</v>
      </c>
      <c r="R75" s="225" t="s">
        <v>193</v>
      </c>
      <c r="S75" s="225" t="s">
        <v>194</v>
      </c>
      <c r="T75" s="225" t="s">
        <v>195</v>
      </c>
      <c r="U75" s="225" t="s">
        <v>192</v>
      </c>
      <c r="V75" s="225" t="s">
        <v>193</v>
      </c>
      <c r="W75" s="225" t="s">
        <v>194</v>
      </c>
      <c r="X75" s="225" t="s">
        <v>195</v>
      </c>
      <c r="Y75" s="225" t="s">
        <v>194</v>
      </c>
      <c r="Z75" s="225" t="s">
        <v>195</v>
      </c>
      <c r="AA75" s="225" t="s">
        <v>196</v>
      </c>
    </row>
    <row r="76" spans="1:28" x14ac:dyDescent="0.3">
      <c r="A76" s="134" t="s">
        <v>314</v>
      </c>
      <c r="B76" s="134" t="s">
        <v>159</v>
      </c>
      <c r="C76" s="223" t="s">
        <v>307</v>
      </c>
      <c r="D76" s="223" t="s">
        <v>200</v>
      </c>
      <c r="E76" s="18">
        <f>10000*'FY VOLUME AUTO'!F31/'FY VOLUME AUTO'!$H$35</f>
        <v>369.50862545858502</v>
      </c>
      <c r="F76" s="18">
        <f>10000*'FY VOLUME AUTO'!G31/'FY VOLUME AUTO'!$H$35</f>
        <v>42.864381428872065</v>
      </c>
      <c r="G76" s="18">
        <f>E76+F76</f>
        <v>412.37300688745711</v>
      </c>
      <c r="H76" s="331">
        <f>(E76*'BUNDLE DATA'!$D$8+F76*'BUNDLE DATA'!$D$12)/G76</f>
        <v>1.6252503898136154E-2</v>
      </c>
      <c r="I76" s="309">
        <f>G76*'BUNDLE DATA'!$D$26</f>
        <v>0</v>
      </c>
      <c r="J76" s="309">
        <f>G76*(1-'BUNDLE DATA'!$D$26)</f>
        <v>412.37300688745711</v>
      </c>
      <c r="K76" s="309">
        <f>G76*H76</f>
        <v>6.702093901924524</v>
      </c>
      <c r="L76" s="309">
        <f>(I76+J76-K76)*'BUNDLE DENSITIES'!$K$10*(1-'COVERAGE FACTORS'!$E$44)</f>
        <v>23.972458169067142</v>
      </c>
      <c r="M76" s="309">
        <f>(I76+J76-K76)*'BUNDLE DENSITIES'!$K$8*'BUNDLE DATA'!$D$34</f>
        <v>375.96275081989302</v>
      </c>
      <c r="N76" s="309">
        <f>(I76+J76-K76)*'BUNDLE DENSITIES'!$K$8*(1-'BUNDLE DATA'!$D$34)</f>
        <v>0</v>
      </c>
      <c r="O76" s="309">
        <f>(M76+N76)*'BUNDLE DATA'!$E$8</f>
        <v>13.793179261438015</v>
      </c>
      <c r="P76" s="309">
        <f>(M76-O76)*'BUNDLE DENSITIES'!$K$17*(1-'COVERAGE FACTORS'!$E$44)</f>
        <v>32.773007927676844</v>
      </c>
      <c r="Q76" s="309">
        <f>((I76+J76-K76)*'BUNDLE DENSITIES'!$K$9+(M76+N76-O76)*'BUNDLE DENSITIES'!$K$16)*'BUNDLE DATA'!$D$40</f>
        <v>325.40701811729195</v>
      </c>
      <c r="R76" s="309">
        <f>((I76+J76-K76)*'BUNDLE DENSITIES'!$K$9+(M76+N76-O76)*'BUNDLE DENSITIES'!$K$16)*'BUNDLE DATA'!$C$40*(1-'BUNDLE DATA'!$D$40)</f>
        <v>9.3843679030462042</v>
      </c>
      <c r="S76" s="309">
        <f>(Q76+R76)*'BUNDLE DATA'!$E$8</f>
        <v>12.282699795374191</v>
      </c>
      <c r="T76" s="309">
        <f>(Q76+R76-S76)*(1-'COVERAGE FACTORS'!$E$44)</f>
        <v>320.58287937870472</v>
      </c>
      <c r="U76" s="309">
        <f>((I76+J76-K76)*'BUNDLE DENSITIES'!$K$10*'COVERAGE FACTORS'!$E$44+(M76+N76-O76)*'BUNDLE DENSITIES'!$K$17*'COVERAGE FACTORS'!$E$44+(Q76+R76-S76)*'COVERAGE FACTORS'!$E$44)*'BUNDLE DATA'!$D$44</f>
        <v>2.2666884532717115E-2</v>
      </c>
      <c r="V76" s="309">
        <f>((I76+J76-K76)*'BUNDLE DENSITIES'!$K$10*'COVERAGE FACTORS'!$E$44+(M76+N76-O76)*'BUNDLE DENSITIES'!$K$17*'COVERAGE FACTORS'!$E$44+(Q76+R76-S76)*'COVERAGE FACTORS'!$E$44)*(1-'BUNDLE DATA'!$D$44)</f>
        <v>2.2440215687389946</v>
      </c>
      <c r="W76" s="309">
        <f>(U76+V76)*'BUNDLE DATA'!$E$8</f>
        <v>8.3159409004287171E-2</v>
      </c>
      <c r="X76" s="309">
        <f>U76+V76-W76</f>
        <v>2.1835290442674244</v>
      </c>
      <c r="Y76" s="18">
        <f t="shared" ref="Y76:Y79" si="45">K76+O76+S76+W76</f>
        <v>32.861132367741021</v>
      </c>
      <c r="Z76" s="18">
        <f t="shared" ref="Z76:Z79" si="46">L76+P76+T76+X76</f>
        <v>379.51187451971612</v>
      </c>
      <c r="AA76" s="44">
        <f t="shared" ref="AA76:AA79" si="47">Y76+Z76</f>
        <v>412.37300688745711</v>
      </c>
    </row>
    <row r="77" spans="1:28" x14ac:dyDescent="0.3">
      <c r="A77" s="134" t="s">
        <v>314</v>
      </c>
      <c r="B77" s="134" t="s">
        <v>159</v>
      </c>
      <c r="C77" s="223" t="s">
        <v>592</v>
      </c>
      <c r="D77" s="223" t="s">
        <v>200</v>
      </c>
      <c r="E77" s="18">
        <f>10000*'FY VOLUME AUTO'!F32/'FY VOLUME AUTO'!$H$35</f>
        <v>1095.7141431127477</v>
      </c>
      <c r="F77" s="18">
        <f>10000*'FY VOLUME AUTO'!G32/'FY VOLUME AUTO'!$H$35</f>
        <v>59.656389669022417</v>
      </c>
      <c r="G77" s="18">
        <f t="shared" ref="G77:G79" si="48">E77+F77</f>
        <v>1155.3705327817702</v>
      </c>
      <c r="H77" s="331">
        <f>(E77*'BUNDLE DATA'!$D$8+F77*'BUNDLE DATA'!$D$12)/G77</f>
        <v>1.1154980986681294E-2</v>
      </c>
      <c r="I77" s="18">
        <v>0</v>
      </c>
      <c r="J77" s="18">
        <v>0</v>
      </c>
      <c r="K77" s="18">
        <v>0</v>
      </c>
      <c r="L77" s="18">
        <v>0</v>
      </c>
      <c r="M77" s="18">
        <f>G77*'BUNDLE DATA'!$D$34</f>
        <v>1155.3705327817702</v>
      </c>
      <c r="N77" s="18">
        <f>G77*(1-'BUNDLE DATA'!$D$34)</f>
        <v>0</v>
      </c>
      <c r="O77" s="18">
        <f>SUM(M77:N77)*H77</f>
        <v>12.888136325752484</v>
      </c>
      <c r="P77" s="18">
        <f>((M77-O77)*'BUNDLE DENSITIES'!$K$17)*('COVERAGE FACTORS'!$E$115)</f>
        <v>98.912728707080504</v>
      </c>
      <c r="Q77" s="18">
        <f>(($M77+$N77-$O77)*'BUNDLE DENSITIES'!$K$16)*'BUNDLE DATA'!$D$40</f>
        <v>1009.3681914420526</v>
      </c>
      <c r="R77" s="18">
        <f>(($M77-$O77)*'BUNDLE DENSITIES'!$K$16)*(1-'BUNDLE DATA'!$D$40)</f>
        <v>29.109029402403173</v>
      </c>
      <c r="S77" s="18">
        <f>(Q77+R77)*'BUNDLE DATA'!$E$8</f>
        <v>38.099259660139779</v>
      </c>
      <c r="T77" s="18">
        <f>($Q77+$R77-$S77)*('COVERAGE FACTORS'!$E$115)</f>
        <v>951.39605598787762</v>
      </c>
      <c r="U77" s="18">
        <f>(($M77+$N77-$O77)*'BUNDLE DENSITIES'!$K$17*(1-'COVERAGE FACTORS'!$E$115)+('ENTRY PROFILE'!$Q77+'ENTRY PROFILE'!$R77-'ENTRY PROFILE'!$S77)*(1-'COVERAGE FACTORS'!$E$115))*'BUNDLE DATA'!$D$44</f>
        <v>0.54074352100919854</v>
      </c>
      <c r="V77" s="18">
        <f>(($M77+$N77-$O77)*'BUNDLE DENSITIES'!$K$17*(1-'COVERAGE FACTORS'!$E$115)+('ENTRY PROFILE'!$Q77+'ENTRY PROFILE'!$R77-'ENTRY PROFILE'!$S77)*(1-'COVERAGE FACTORS'!$E$115))*(1-'BUNDLE DATA'!$D$44)</f>
        <v>53.533608579910656</v>
      </c>
      <c r="W77" s="18">
        <f>(U77+V77)*'BUNDLE DATA'!$E$8</f>
        <v>1.9838593859299956</v>
      </c>
      <c r="X77" s="18">
        <f>(U77+V77-W77)*'BUNDLE DENSITIES'!$K$28</f>
        <v>52.090492714989857</v>
      </c>
      <c r="Y77" s="18">
        <f t="shared" si="45"/>
        <v>52.971255371822259</v>
      </c>
      <c r="Z77" s="18">
        <f t="shared" si="46"/>
        <v>1102.3992774099479</v>
      </c>
      <c r="AA77" s="44">
        <f t="shared" si="47"/>
        <v>1155.3705327817702</v>
      </c>
    </row>
    <row r="78" spans="1:28" x14ac:dyDescent="0.3">
      <c r="A78" s="134" t="s">
        <v>314</v>
      </c>
      <c r="B78" s="134" t="s">
        <v>159</v>
      </c>
      <c r="C78" s="223" t="s">
        <v>199</v>
      </c>
      <c r="D78" s="223" t="s">
        <v>200</v>
      </c>
      <c r="E78" s="18">
        <f>10000*'FY VOLUME AUTO'!F33/'FY VOLUME AUTO'!$H$35</f>
        <v>7197.4180088019993</v>
      </c>
      <c r="F78" s="18">
        <f>10000*'FY VOLUME AUTO'!G33/'FY VOLUME AUTO'!$H$35</f>
        <v>495.15252740813872</v>
      </c>
      <c r="G78" s="18">
        <f t="shared" si="48"/>
        <v>7692.570536210138</v>
      </c>
      <c r="H78" s="331">
        <f>(E78*'BUNDLE DATA'!$D$8+F78*'BUNDLE DATA'!$D$12)/G78</f>
        <v>1.2395813653606138E-2</v>
      </c>
      <c r="I78" s="18">
        <v>0</v>
      </c>
      <c r="J78" s="18">
        <v>0</v>
      </c>
      <c r="K78" s="18">
        <v>0</v>
      </c>
      <c r="L78" s="18">
        <v>0</v>
      </c>
      <c r="M78" s="18">
        <v>0</v>
      </c>
      <c r="N78" s="18">
        <v>0</v>
      </c>
      <c r="O78" s="18">
        <v>0</v>
      </c>
      <c r="P78" s="18">
        <v>0</v>
      </c>
      <c r="Q78" s="18">
        <f>G78*'BUNDLE DATA'!$D$40*'BUNDLE DATA'!$C$40</f>
        <v>7476.9439847326639</v>
      </c>
      <c r="R78" s="18">
        <f>G78*(1-'BUNDLE DATA'!$D$40)*'BUNDLE DATA'!$C$40</f>
        <v>215.62655147747407</v>
      </c>
      <c r="S78" s="18">
        <f>G78*H78</f>
        <v>95.355670884081917</v>
      </c>
      <c r="T78" s="18">
        <f>(SUM(Q78+R78)-S78)*('COVERAGE FACTORS'!$E$115)</f>
        <v>7225.2294031015335</v>
      </c>
      <c r="U78" s="18">
        <f>($G78-SUM($K78,$L78,$O78,$P78,$S78,$T78))*'BUNDLE DATA'!$D$44</f>
        <v>3.7198546222452298</v>
      </c>
      <c r="V78" s="18">
        <f>($G78-SUM($K78,$L78,$O78,$P78,$S78,$T78))*(1-'BUNDLE DATA'!$D$44)</f>
        <v>368.26560760227773</v>
      </c>
      <c r="W78" s="18">
        <f>(U78+V78)*'BUNDLE DATA'!$E$8</f>
        <v>13.647262001148862</v>
      </c>
      <c r="X78" s="18">
        <f>(V78+U78-W78)*'BUNDLE DENSITIES'!$K$28</f>
        <v>358.33820022337409</v>
      </c>
      <c r="Y78" s="18">
        <f t="shared" si="45"/>
        <v>109.00293288523078</v>
      </c>
      <c r="Z78" s="18">
        <f t="shared" si="46"/>
        <v>7583.5676033249074</v>
      </c>
      <c r="AA78" s="44">
        <f t="shared" si="47"/>
        <v>7692.570536210138</v>
      </c>
    </row>
    <row r="79" spans="1:28" x14ac:dyDescent="0.3">
      <c r="A79" s="134" t="s">
        <v>314</v>
      </c>
      <c r="B79" s="134" t="s">
        <v>159</v>
      </c>
      <c r="C79" s="223" t="s">
        <v>200</v>
      </c>
      <c r="D79" s="223" t="s">
        <v>200</v>
      </c>
      <c r="E79" s="18">
        <f>10000*'FY VOLUME AUTO'!F34/'FY VOLUME AUTO'!$H$35</f>
        <v>195.93476733486469</v>
      </c>
      <c r="F79" s="18">
        <f>10000*'FY VOLUME AUTO'!G34/'FY VOLUME AUTO'!$H$35</f>
        <v>543.75115678577049</v>
      </c>
      <c r="G79" s="18">
        <f t="shared" si="48"/>
        <v>739.68592412063515</v>
      </c>
      <c r="H79" s="331">
        <f>(E79*'BUNDLE DATA'!$D$8+'ENTRY PROFILE'!F79*'BUNDLE DATA'!$D$12)/G79</f>
        <v>7.7756552670322415E-2</v>
      </c>
      <c r="I79" s="18">
        <v>0</v>
      </c>
      <c r="J79" s="18">
        <v>0</v>
      </c>
      <c r="K79" s="18">
        <v>0</v>
      </c>
      <c r="L79" s="18">
        <v>0</v>
      </c>
      <c r="M79" s="18">
        <v>0</v>
      </c>
      <c r="N79" s="18">
        <v>0</v>
      </c>
      <c r="O79" s="18">
        <v>0</v>
      </c>
      <c r="P79" s="18">
        <v>0</v>
      </c>
      <c r="Q79" s="18">
        <v>0</v>
      </c>
      <c r="R79" s="18">
        <v>0</v>
      </c>
      <c r="S79" s="18">
        <v>0</v>
      </c>
      <c r="T79" s="18">
        <v>0</v>
      </c>
      <c r="U79" s="18">
        <f>(E79+F79*(1-'COVERAGE FACTORS'!$E$115))*'BUNDLE DATA'!$D$44</f>
        <v>2.2255867214440612</v>
      </c>
      <c r="V79" s="18">
        <f>(E79+F79*(1-'COVERAGE FACTORS'!$E$115))*(1-'BUNDLE DATA'!$D$44)</f>
        <v>220.33308542296206</v>
      </c>
      <c r="W79" s="18">
        <f>(U79+V79)*H79</f>
        <v>17.305395112833533</v>
      </c>
      <c r="X79" s="18">
        <f>G79-W79</f>
        <v>722.38052900780167</v>
      </c>
      <c r="Y79" s="18">
        <f t="shared" si="45"/>
        <v>17.305395112833533</v>
      </c>
      <c r="Z79" s="18">
        <f t="shared" si="46"/>
        <v>722.38052900780167</v>
      </c>
      <c r="AA79" s="44">
        <f t="shared" si="47"/>
        <v>739.68592412063515</v>
      </c>
    </row>
    <row r="80" spans="1:28" s="24" customFormat="1" x14ac:dyDescent="0.3">
      <c r="A80" s="24" t="s">
        <v>3</v>
      </c>
      <c r="E80" s="44">
        <f t="shared" ref="E80:AA80" si="49">SUM(E76:E79)</f>
        <v>8858.5755447081956</v>
      </c>
      <c r="F80" s="44">
        <f t="shared" si="49"/>
        <v>1141.4244552918037</v>
      </c>
      <c r="G80" s="44">
        <f t="shared" si="49"/>
        <v>10000</v>
      </c>
      <c r="H80" s="44"/>
      <c r="I80" s="44">
        <f t="shared" si="49"/>
        <v>0</v>
      </c>
      <c r="J80" s="44">
        <f t="shared" si="49"/>
        <v>412.37300688745711</v>
      </c>
      <c r="K80" s="44">
        <f t="shared" si="49"/>
        <v>6.702093901924524</v>
      </c>
      <c r="L80" s="44">
        <f t="shared" si="49"/>
        <v>23.972458169067142</v>
      </c>
      <c r="M80" s="44">
        <f t="shared" si="49"/>
        <v>1531.3332836016632</v>
      </c>
      <c r="N80" s="44">
        <f t="shared" si="49"/>
        <v>0</v>
      </c>
      <c r="O80" s="44">
        <f t="shared" si="49"/>
        <v>26.681315587190497</v>
      </c>
      <c r="P80" s="44">
        <f t="shared" si="49"/>
        <v>131.68573663475735</v>
      </c>
      <c r="Q80" s="44">
        <f t="shared" si="49"/>
        <v>8811.719194292009</v>
      </c>
      <c r="R80" s="44">
        <f t="shared" si="49"/>
        <v>254.11994878292344</v>
      </c>
      <c r="S80" s="44">
        <f t="shared" si="49"/>
        <v>145.73763033959588</v>
      </c>
      <c r="T80" s="44">
        <f t="shared" si="49"/>
        <v>8497.2083384681155</v>
      </c>
      <c r="U80" s="44">
        <f t="shared" si="49"/>
        <v>6.5088517492312068</v>
      </c>
      <c r="V80" s="44">
        <f t="shared" si="49"/>
        <v>644.37632317388943</v>
      </c>
      <c r="W80" s="44">
        <f t="shared" si="49"/>
        <v>33.019675908916682</v>
      </c>
      <c r="X80" s="44">
        <f t="shared" si="49"/>
        <v>1134.992750990433</v>
      </c>
      <c r="Y80" s="44">
        <f t="shared" si="49"/>
        <v>212.1407157376276</v>
      </c>
      <c r="Z80" s="44">
        <f t="shared" si="49"/>
        <v>9787.859284262373</v>
      </c>
      <c r="AA80" s="44">
        <f t="shared" si="49"/>
        <v>10000</v>
      </c>
      <c r="AB80"/>
    </row>
    <row r="81" spans="1:29" x14ac:dyDescent="0.3">
      <c r="W81" s="18" t="s">
        <v>630</v>
      </c>
    </row>
    <row r="82" spans="1:29" x14ac:dyDescent="0.3">
      <c r="H82" s="44" t="s">
        <v>474</v>
      </c>
      <c r="I82" s="44" t="s">
        <v>315</v>
      </c>
      <c r="J82" s="44" t="s">
        <v>315</v>
      </c>
      <c r="M82" s="44" t="s">
        <v>316</v>
      </c>
      <c r="N82" s="44" t="s">
        <v>316</v>
      </c>
      <c r="Q82" s="44" t="s">
        <v>316</v>
      </c>
      <c r="R82" s="44" t="s">
        <v>316</v>
      </c>
      <c r="U82" s="44" t="s">
        <v>316</v>
      </c>
      <c r="V82" s="44" t="s">
        <v>316</v>
      </c>
      <c r="AA82" s="44" t="s">
        <v>3</v>
      </c>
    </row>
    <row r="83" spans="1:29" x14ac:dyDescent="0.3">
      <c r="C83" s="1" t="s">
        <v>189</v>
      </c>
      <c r="E83" s="44" t="s">
        <v>187</v>
      </c>
      <c r="F83" s="44" t="s">
        <v>188</v>
      </c>
      <c r="G83" s="44" t="s">
        <v>3</v>
      </c>
      <c r="H83" s="44" t="s">
        <v>201</v>
      </c>
      <c r="I83" s="44" t="s">
        <v>317</v>
      </c>
      <c r="J83" s="44" t="s">
        <v>317</v>
      </c>
      <c r="M83" s="44" t="s">
        <v>164</v>
      </c>
      <c r="N83" s="44" t="s">
        <v>164</v>
      </c>
      <c r="Q83" s="44" t="s">
        <v>317</v>
      </c>
      <c r="R83" s="44" t="s">
        <v>317</v>
      </c>
      <c r="U83" s="44" t="s">
        <v>318</v>
      </c>
      <c r="V83" s="44" t="s">
        <v>318</v>
      </c>
      <c r="Y83" s="44" t="s">
        <v>3</v>
      </c>
      <c r="Z83" s="44" t="s">
        <v>3</v>
      </c>
      <c r="AA83" s="225" t="s">
        <v>585</v>
      </c>
    </row>
    <row r="84" spans="1:29" x14ac:dyDescent="0.3">
      <c r="A84" s="36" t="s">
        <v>14</v>
      </c>
      <c r="B84" s="36" t="s">
        <v>191</v>
      </c>
      <c r="C84" s="55" t="s">
        <v>190</v>
      </c>
      <c r="D84" s="55" t="s">
        <v>319</v>
      </c>
      <c r="E84" s="225" t="s">
        <v>585</v>
      </c>
      <c r="F84" s="225" t="s">
        <v>585</v>
      </c>
      <c r="G84" s="225" t="s">
        <v>585</v>
      </c>
      <c r="H84" s="225" t="s">
        <v>203</v>
      </c>
      <c r="I84" s="225" t="s">
        <v>192</v>
      </c>
      <c r="J84" s="225" t="s">
        <v>193</v>
      </c>
      <c r="K84" s="225" t="s">
        <v>194</v>
      </c>
      <c r="L84" s="225" t="s">
        <v>195</v>
      </c>
      <c r="M84" s="225" t="s">
        <v>192</v>
      </c>
      <c r="N84" s="225" t="s">
        <v>193</v>
      </c>
      <c r="O84" s="225" t="s">
        <v>194</v>
      </c>
      <c r="P84" s="225" t="s">
        <v>195</v>
      </c>
      <c r="Q84" s="225" t="s">
        <v>192</v>
      </c>
      <c r="R84" s="225" t="s">
        <v>193</v>
      </c>
      <c r="S84" s="225" t="s">
        <v>194</v>
      </c>
      <c r="T84" s="225" t="s">
        <v>195</v>
      </c>
      <c r="U84" s="225" t="s">
        <v>192</v>
      </c>
      <c r="V84" s="225" t="s">
        <v>193</v>
      </c>
      <c r="W84" s="225" t="s">
        <v>194</v>
      </c>
      <c r="X84" s="225" t="s">
        <v>195</v>
      </c>
      <c r="Y84" s="225" t="s">
        <v>194</v>
      </c>
      <c r="Z84" s="225" t="s">
        <v>195</v>
      </c>
      <c r="AA84" s="225" t="s">
        <v>196</v>
      </c>
    </row>
    <row r="85" spans="1:29" x14ac:dyDescent="0.3">
      <c r="A85" s="134" t="s">
        <v>472</v>
      </c>
      <c r="B85" s="134" t="s">
        <v>159</v>
      </c>
      <c r="C85" s="223" t="s">
        <v>307</v>
      </c>
      <c r="D85" s="223" t="s">
        <v>366</v>
      </c>
      <c r="E85" s="18">
        <v>0</v>
      </c>
      <c r="F85" s="18">
        <v>0</v>
      </c>
      <c r="G85" s="18">
        <v>0</v>
      </c>
      <c r="H85" s="331">
        <v>0</v>
      </c>
      <c r="I85" s="18">
        <v>0</v>
      </c>
      <c r="J85" s="18">
        <v>0</v>
      </c>
      <c r="K85" s="18">
        <v>0</v>
      </c>
      <c r="L85" s="18">
        <v>0</v>
      </c>
      <c r="M85" s="18">
        <v>0</v>
      </c>
      <c r="N85" s="18">
        <v>0</v>
      </c>
      <c r="O85" s="18">
        <v>0</v>
      </c>
      <c r="P85" s="18">
        <v>0</v>
      </c>
      <c r="Q85" s="18">
        <v>0</v>
      </c>
      <c r="R85" s="18">
        <v>0</v>
      </c>
      <c r="S85" s="18">
        <f>(Q85+R85)*H85</f>
        <v>0</v>
      </c>
      <c r="T85" s="18">
        <v>0</v>
      </c>
      <c r="U85" s="18">
        <v>0</v>
      </c>
      <c r="V85" s="18">
        <v>0</v>
      </c>
      <c r="W85" s="18">
        <v>0</v>
      </c>
      <c r="X85" s="18">
        <v>0</v>
      </c>
      <c r="Y85" s="18">
        <f t="shared" ref="Y85:Z88" si="50">K85+O85+S85+W85</f>
        <v>0</v>
      </c>
      <c r="Z85" s="18">
        <f t="shared" si="50"/>
        <v>0</v>
      </c>
      <c r="AA85" s="44">
        <f t="shared" ref="AA85:AA88" si="51">Y85+Z85</f>
        <v>0</v>
      </c>
      <c r="AC85" s="20"/>
    </row>
    <row r="86" spans="1:29" x14ac:dyDescent="0.3">
      <c r="A86" s="134" t="s">
        <v>472</v>
      </c>
      <c r="B86" s="134" t="s">
        <v>159</v>
      </c>
      <c r="C86" s="223" t="s">
        <v>592</v>
      </c>
      <c r="D86" s="223" t="s">
        <v>366</v>
      </c>
      <c r="E86" s="18">
        <v>0</v>
      </c>
      <c r="F86" s="18">
        <v>0</v>
      </c>
      <c r="G86" s="18">
        <v>0</v>
      </c>
      <c r="H86" s="331">
        <v>0</v>
      </c>
      <c r="I86" s="18">
        <v>0</v>
      </c>
      <c r="J86" s="18">
        <v>0</v>
      </c>
      <c r="K86" s="18">
        <v>0</v>
      </c>
      <c r="L86" s="18">
        <v>0</v>
      </c>
      <c r="M86" s="18">
        <v>0</v>
      </c>
      <c r="N86" s="18">
        <v>0</v>
      </c>
      <c r="O86" s="18">
        <v>0</v>
      </c>
      <c r="P86" s="18">
        <v>0</v>
      </c>
      <c r="Q86" s="18">
        <v>0</v>
      </c>
      <c r="R86" s="18">
        <v>0</v>
      </c>
      <c r="S86" s="18">
        <f>(Q86+R86)*H86</f>
        <v>0</v>
      </c>
      <c r="T86" s="18">
        <v>0</v>
      </c>
      <c r="U86" s="18">
        <v>0</v>
      </c>
      <c r="V86" s="18">
        <v>0</v>
      </c>
      <c r="W86" s="18">
        <v>0</v>
      </c>
      <c r="X86" s="18">
        <v>0</v>
      </c>
      <c r="Y86" s="18">
        <f t="shared" si="50"/>
        <v>0</v>
      </c>
      <c r="Z86" s="18">
        <f t="shared" si="50"/>
        <v>0</v>
      </c>
      <c r="AA86" s="44">
        <f t="shared" si="51"/>
        <v>0</v>
      </c>
      <c r="AC86" s="20"/>
    </row>
    <row r="87" spans="1:29" x14ac:dyDescent="0.3">
      <c r="A87" s="134" t="s">
        <v>472</v>
      </c>
      <c r="B87" s="134" t="s">
        <v>159</v>
      </c>
      <c r="C87" s="223" t="s">
        <v>199</v>
      </c>
      <c r="D87" s="223" t="s">
        <v>366</v>
      </c>
      <c r="E87" s="18">
        <v>0</v>
      </c>
      <c r="F87" s="18">
        <v>0</v>
      </c>
      <c r="G87" s="18">
        <v>0</v>
      </c>
      <c r="H87" s="331">
        <v>0</v>
      </c>
      <c r="I87" s="18">
        <v>0</v>
      </c>
      <c r="J87" s="18">
        <v>0</v>
      </c>
      <c r="K87" s="18">
        <v>0</v>
      </c>
      <c r="L87" s="18">
        <v>0</v>
      </c>
      <c r="M87" s="18">
        <v>0</v>
      </c>
      <c r="N87" s="18">
        <v>0</v>
      </c>
      <c r="O87" s="18">
        <v>0</v>
      </c>
      <c r="P87" s="18">
        <v>0</v>
      </c>
      <c r="Q87" s="18">
        <v>0</v>
      </c>
      <c r="R87" s="18">
        <v>0</v>
      </c>
      <c r="S87" s="18">
        <f>(Q87+R87)*H87</f>
        <v>0</v>
      </c>
      <c r="T87" s="18">
        <v>0</v>
      </c>
      <c r="U87" s="18">
        <v>0</v>
      </c>
      <c r="V87" s="18">
        <v>0</v>
      </c>
      <c r="W87" s="18">
        <v>0</v>
      </c>
      <c r="X87" s="18">
        <v>0</v>
      </c>
      <c r="Y87" s="18">
        <f t="shared" si="50"/>
        <v>0</v>
      </c>
      <c r="Z87" s="18">
        <f t="shared" si="50"/>
        <v>0</v>
      </c>
      <c r="AA87" s="44">
        <f t="shared" si="51"/>
        <v>0</v>
      </c>
      <c r="AC87" s="20"/>
    </row>
    <row r="88" spans="1:29" x14ac:dyDescent="0.3">
      <c r="A88" s="134" t="s">
        <v>472</v>
      </c>
      <c r="B88" s="134" t="s">
        <v>159</v>
      </c>
      <c r="C88" s="223" t="s">
        <v>470</v>
      </c>
      <c r="D88" s="223" t="s">
        <v>366</v>
      </c>
      <c r="E88" s="18">
        <v>0</v>
      </c>
      <c r="F88" s="18">
        <v>0</v>
      </c>
      <c r="G88" s="18">
        <v>0</v>
      </c>
      <c r="H88" s="331">
        <v>0</v>
      </c>
      <c r="I88" s="18">
        <v>0</v>
      </c>
      <c r="J88" s="18">
        <v>0</v>
      </c>
      <c r="K88" s="18">
        <v>0</v>
      </c>
      <c r="L88" s="18">
        <v>0</v>
      </c>
      <c r="M88" s="18">
        <v>0</v>
      </c>
      <c r="N88" s="18">
        <v>0</v>
      </c>
      <c r="O88" s="18">
        <v>0</v>
      </c>
      <c r="P88" s="18">
        <v>0</v>
      </c>
      <c r="Q88" s="18">
        <v>0</v>
      </c>
      <c r="R88" s="18">
        <v>0</v>
      </c>
      <c r="S88" s="18">
        <f>(Q88+R88)*H88</f>
        <v>0</v>
      </c>
      <c r="T88" s="18">
        <v>0</v>
      </c>
      <c r="U88" s="18">
        <v>0</v>
      </c>
      <c r="V88" s="18">
        <v>0</v>
      </c>
      <c r="W88" s="18">
        <v>0</v>
      </c>
      <c r="X88" s="18">
        <v>0</v>
      </c>
      <c r="Y88" s="18">
        <f t="shared" si="50"/>
        <v>0</v>
      </c>
      <c r="Z88" s="18">
        <f t="shared" si="50"/>
        <v>0</v>
      </c>
      <c r="AA88" s="44">
        <f t="shared" si="51"/>
        <v>0</v>
      </c>
      <c r="AC88" s="20"/>
    </row>
    <row r="89" spans="1:29" x14ac:dyDescent="0.3">
      <c r="A89" s="24" t="s">
        <v>3</v>
      </c>
      <c r="B89" s="24"/>
      <c r="C89" s="24"/>
      <c r="D89" s="24"/>
      <c r="E89" s="44">
        <f>SUM(E85:E88)</f>
        <v>0</v>
      </c>
      <c r="F89" s="44">
        <f>SUM(F85:F88)</f>
        <v>0</v>
      </c>
      <c r="G89" s="44">
        <f>SUM(G85:G88)</f>
        <v>0</v>
      </c>
      <c r="H89" s="44"/>
      <c r="I89" s="44">
        <f t="shared" ref="I89:AA89" si="52">SUM(I85:I88)</f>
        <v>0</v>
      </c>
      <c r="J89" s="44">
        <f t="shared" si="52"/>
        <v>0</v>
      </c>
      <c r="K89" s="44">
        <f t="shared" si="52"/>
        <v>0</v>
      </c>
      <c r="L89" s="44">
        <f t="shared" si="52"/>
        <v>0</v>
      </c>
      <c r="M89" s="44">
        <f t="shared" si="52"/>
        <v>0</v>
      </c>
      <c r="N89" s="44">
        <f t="shared" si="52"/>
        <v>0</v>
      </c>
      <c r="O89" s="44">
        <f t="shared" si="52"/>
        <v>0</v>
      </c>
      <c r="P89" s="44">
        <f t="shared" si="52"/>
        <v>0</v>
      </c>
      <c r="Q89" s="44">
        <f t="shared" si="52"/>
        <v>0</v>
      </c>
      <c r="R89" s="44">
        <f t="shared" si="52"/>
        <v>0</v>
      </c>
      <c r="S89" s="44">
        <f t="shared" si="52"/>
        <v>0</v>
      </c>
      <c r="T89" s="44">
        <v>0</v>
      </c>
      <c r="U89" s="44">
        <f t="shared" si="52"/>
        <v>0</v>
      </c>
      <c r="V89" s="44">
        <f t="shared" si="52"/>
        <v>0</v>
      </c>
      <c r="W89" s="44">
        <f t="shared" si="52"/>
        <v>0</v>
      </c>
      <c r="X89" s="44">
        <f t="shared" si="52"/>
        <v>0</v>
      </c>
      <c r="Y89" s="44">
        <f t="shared" si="52"/>
        <v>0</v>
      </c>
      <c r="Z89" s="44">
        <f t="shared" si="52"/>
        <v>0</v>
      </c>
      <c r="AA89" s="44">
        <f t="shared" si="52"/>
        <v>0</v>
      </c>
      <c r="AC89" s="20"/>
    </row>
    <row r="91" spans="1:29" ht="12.5" x14ac:dyDescent="0.25">
      <c r="E91" s="15"/>
      <c r="F91" s="15"/>
      <c r="G91" s="15"/>
      <c r="H91" s="15"/>
      <c r="AA91" s="18"/>
    </row>
    <row r="93" spans="1:29" ht="12.5" x14ac:dyDescent="0.25">
      <c r="AA93" s="18"/>
    </row>
    <row r="94" spans="1:29" x14ac:dyDescent="0.3">
      <c r="K94" s="309"/>
      <c r="L94" s="20"/>
      <c r="M94" s="20"/>
      <c r="N94" s="20"/>
      <c r="O94" s="20"/>
      <c r="P94" s="20"/>
      <c r="Q94" s="20"/>
      <c r="R94" s="20"/>
      <c r="S94" s="20"/>
      <c r="T94" s="20"/>
    </row>
    <row r="95" spans="1:29" x14ac:dyDescent="0.3">
      <c r="L95" s="20"/>
      <c r="M95" s="20"/>
      <c r="N95" s="20"/>
      <c r="O95" s="20"/>
      <c r="P95" s="20"/>
      <c r="Q95" s="20"/>
      <c r="R95" s="20"/>
      <c r="S95" s="20"/>
      <c r="T95" s="20"/>
    </row>
    <row r="96" spans="1:29" x14ac:dyDescent="0.3">
      <c r="L96" s="20"/>
      <c r="M96" s="20"/>
      <c r="N96" s="20"/>
      <c r="O96" s="20"/>
      <c r="P96" s="20"/>
      <c r="Q96" s="20"/>
      <c r="R96" s="20"/>
      <c r="S96" s="20"/>
      <c r="T96" s="20"/>
    </row>
    <row r="97" spans="11:20" x14ac:dyDescent="0.3">
      <c r="L97" s="20"/>
      <c r="M97" s="20"/>
      <c r="N97" s="20"/>
      <c r="O97" s="20"/>
      <c r="P97" s="20"/>
      <c r="Q97" s="20"/>
      <c r="R97" s="20"/>
      <c r="S97" s="20"/>
      <c r="T97" s="20"/>
    </row>
    <row r="98" spans="11:20" x14ac:dyDescent="0.3">
      <c r="K98" s="309"/>
      <c r="L98" s="20"/>
      <c r="M98" s="20"/>
      <c r="N98" s="20"/>
      <c r="O98" s="20"/>
      <c r="P98" s="20"/>
      <c r="Q98" s="20"/>
      <c r="R98" s="20"/>
      <c r="S98" s="20"/>
      <c r="T98" s="20"/>
    </row>
    <row r="99" spans="11:20" x14ac:dyDescent="0.3">
      <c r="L99" s="20"/>
      <c r="M99" s="20"/>
      <c r="N99" s="20"/>
      <c r="O99" s="20"/>
      <c r="P99" s="20"/>
      <c r="Q99" s="20"/>
      <c r="R99" s="20"/>
      <c r="S99" s="20"/>
      <c r="T99" s="20"/>
    </row>
    <row r="100" spans="11:20" x14ac:dyDescent="0.3">
      <c r="L100" s="20"/>
      <c r="M100" s="20"/>
      <c r="N100" s="20"/>
      <c r="O100" s="20"/>
      <c r="P100" s="20"/>
      <c r="Q100" s="20"/>
      <c r="R100" s="20"/>
      <c r="S100" s="20"/>
      <c r="T100" s="20"/>
    </row>
    <row r="101" spans="11:20" x14ac:dyDescent="0.3">
      <c r="L101" s="20"/>
      <c r="M101" s="20"/>
      <c r="N101" s="20"/>
      <c r="O101" s="20"/>
      <c r="P101" s="20"/>
      <c r="Q101" s="20"/>
      <c r="R101" s="20"/>
      <c r="S101" s="20"/>
      <c r="T101" s="20"/>
    </row>
    <row r="102" spans="11:20" x14ac:dyDescent="0.3">
      <c r="K102" s="309"/>
      <c r="L102" s="20"/>
      <c r="M102" s="20"/>
      <c r="N102" s="20"/>
      <c r="O102" s="20"/>
      <c r="P102" s="20"/>
      <c r="Q102" s="20"/>
      <c r="R102" s="20"/>
      <c r="S102" s="20"/>
      <c r="T102" s="20"/>
    </row>
    <row r="103" spans="11:20" x14ac:dyDescent="0.3">
      <c r="L103" s="20"/>
      <c r="M103" s="20"/>
      <c r="N103" s="20"/>
      <c r="O103" s="20"/>
      <c r="P103" s="20"/>
      <c r="Q103" s="20"/>
      <c r="R103" s="20"/>
      <c r="S103" s="20"/>
      <c r="T103" s="20"/>
    </row>
    <row r="104" spans="11:20" x14ac:dyDescent="0.3">
      <c r="L104" s="20"/>
      <c r="M104" s="20"/>
      <c r="N104" s="20"/>
      <c r="O104" s="20"/>
      <c r="P104" s="20"/>
      <c r="Q104" s="20"/>
      <c r="R104" s="20"/>
      <c r="S104" s="20"/>
      <c r="T104" s="20"/>
    </row>
    <row r="105" spans="11:20" x14ac:dyDescent="0.3">
      <c r="L105" s="20"/>
      <c r="M105" s="20"/>
      <c r="N105" s="20"/>
      <c r="O105" s="20"/>
      <c r="P105" s="20"/>
      <c r="Q105" s="20"/>
      <c r="R105" s="20"/>
      <c r="S105" s="20"/>
      <c r="T105" s="20"/>
    </row>
    <row r="106" spans="11:20" x14ac:dyDescent="0.3">
      <c r="L106" s="20"/>
      <c r="M106" s="20"/>
      <c r="N106" s="20"/>
      <c r="O106" s="20"/>
      <c r="P106" s="20"/>
      <c r="Q106" s="20"/>
      <c r="R106" s="20"/>
      <c r="S106" s="20"/>
      <c r="T106" s="20"/>
    </row>
    <row r="107" spans="11:20" x14ac:dyDescent="0.3">
      <c r="L107" s="20"/>
      <c r="M107" s="20"/>
      <c r="N107" s="20"/>
      <c r="O107" s="20"/>
      <c r="P107" s="20"/>
      <c r="Q107" s="20"/>
      <c r="R107" s="20"/>
      <c r="S107" s="20"/>
      <c r="T107" s="20"/>
    </row>
  </sheetData>
  <phoneticPr fontId="49" type="noConversion"/>
  <pageMargins left="0.7" right="0.7" top="0.75" bottom="0.75" header="0.3" footer="0.3"/>
  <pageSetup scale="30" orientation="portrait" r:id="rId1"/>
  <colBreaks count="1" manualBreakCount="1">
    <brk id="27" max="1048575" man="1"/>
  </colBreaks>
</worksheet>
</file>

<file path=xl/worksheets/sheet6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46"/>
  <dimension ref="A1:T107"/>
  <sheetViews>
    <sheetView topLeftCell="B1" zoomScale="115" zoomScaleNormal="115" workbookViewId="0">
      <selection activeCell="B1" sqref="B1"/>
    </sheetView>
  </sheetViews>
  <sheetFormatPr defaultColWidth="9.1796875" defaultRowHeight="12.5" x14ac:dyDescent="0.25"/>
  <cols>
    <col min="1" max="1" width="31.26953125" style="2" hidden="1" customWidth="1"/>
    <col min="2" max="2" width="31.26953125" style="2" customWidth="1"/>
    <col min="3" max="4" width="25.7265625" style="2" customWidth="1"/>
    <col min="5" max="5" width="24.26953125" style="2" customWidth="1"/>
    <col min="6" max="6" width="15.7265625" style="220" customWidth="1"/>
    <col min="7" max="8" width="15.7265625" style="2" customWidth="1"/>
    <col min="9" max="10" width="12.7265625" style="304" customWidth="1"/>
    <col min="11" max="13" width="11.26953125" style="2" customWidth="1"/>
    <col min="14" max="14" width="11.453125" style="2" customWidth="1"/>
    <col min="15" max="15" width="12.81640625" style="2" bestFit="1" customWidth="1"/>
    <col min="16" max="16" width="12.453125" style="2" bestFit="1" customWidth="1"/>
    <col min="17" max="19" width="12.81640625" style="2" bestFit="1" customWidth="1"/>
    <col min="20" max="16384" width="9.1796875" style="2"/>
  </cols>
  <sheetData>
    <row r="1" spans="1:20" ht="18" x14ac:dyDescent="0.4">
      <c r="B1" s="5" t="s">
        <v>636</v>
      </c>
    </row>
    <row r="2" spans="1:20" ht="18" x14ac:dyDescent="0.4">
      <c r="B2" s="5" t="s">
        <v>467</v>
      </c>
    </row>
    <row r="3" spans="1:20" ht="18" x14ac:dyDescent="0.4">
      <c r="B3" s="219" t="s">
        <v>571</v>
      </c>
      <c r="F3" s="2"/>
    </row>
    <row r="4" spans="1:20" ht="13" x14ac:dyDescent="0.3">
      <c r="B4" s="2" t="s">
        <v>468</v>
      </c>
      <c r="I4" s="305" t="s">
        <v>298</v>
      </c>
      <c r="J4" s="305" t="s">
        <v>299</v>
      </c>
      <c r="O4" s="220"/>
      <c r="R4" s="305"/>
      <c r="S4" s="305"/>
    </row>
    <row r="5" spans="1:20" ht="13" x14ac:dyDescent="0.3">
      <c r="I5" s="305" t="s">
        <v>300</v>
      </c>
      <c r="J5" s="305" t="s">
        <v>300</v>
      </c>
      <c r="O5" s="220"/>
      <c r="R5" s="305"/>
      <c r="S5" s="305"/>
    </row>
    <row r="6" spans="1:20" ht="13" x14ac:dyDescent="0.3">
      <c r="F6" s="17" t="s">
        <v>298</v>
      </c>
      <c r="G6" s="17" t="s">
        <v>299</v>
      </c>
      <c r="H6" s="17" t="s">
        <v>146</v>
      </c>
      <c r="I6" s="305" t="s">
        <v>301</v>
      </c>
      <c r="J6" s="305" t="s">
        <v>301</v>
      </c>
      <c r="K6" s="17" t="s">
        <v>298</v>
      </c>
      <c r="L6" s="17" t="s">
        <v>299</v>
      </c>
      <c r="M6" s="17" t="s">
        <v>146</v>
      </c>
      <c r="N6" s="17"/>
      <c r="O6" s="17"/>
      <c r="R6" s="305"/>
      <c r="S6" s="305"/>
    </row>
    <row r="7" spans="1:20" ht="13" x14ac:dyDescent="0.3">
      <c r="A7" s="257" t="s">
        <v>302</v>
      </c>
      <c r="B7" s="257" t="s">
        <v>302</v>
      </c>
      <c r="C7" s="257" t="s">
        <v>303</v>
      </c>
      <c r="D7" s="258" t="s">
        <v>304</v>
      </c>
      <c r="E7" s="258" t="s">
        <v>376</v>
      </c>
      <c r="F7" s="140" t="s">
        <v>305</v>
      </c>
      <c r="G7" s="140" t="s">
        <v>305</v>
      </c>
      <c r="H7" s="140" t="s">
        <v>305</v>
      </c>
      <c r="I7" s="386" t="s">
        <v>624</v>
      </c>
      <c r="J7" s="386" t="s">
        <v>624</v>
      </c>
      <c r="K7" s="140" t="s">
        <v>489</v>
      </c>
      <c r="L7" s="140" t="s">
        <v>489</v>
      </c>
      <c r="M7" s="140" t="s">
        <v>489</v>
      </c>
      <c r="N7" s="140"/>
      <c r="O7" s="140"/>
      <c r="P7" s="17"/>
      <c r="Q7" s="17"/>
      <c r="R7" s="305"/>
      <c r="S7" s="305"/>
    </row>
    <row r="8" spans="1:20" ht="13" x14ac:dyDescent="0.3">
      <c r="A8" s="2">
        <v>1</v>
      </c>
      <c r="B8" s="2" t="s">
        <v>306</v>
      </c>
      <c r="C8" s="2" t="s">
        <v>159</v>
      </c>
      <c r="D8" s="221" t="s">
        <v>307</v>
      </c>
      <c r="E8" s="221" t="s">
        <v>307</v>
      </c>
      <c r="F8" s="220">
        <f>'[8]USPS MM FLATS'!F8</f>
        <v>1326261.8809508262</v>
      </c>
      <c r="G8" s="220">
        <f>'[8]USPS MM FLATS'!G8</f>
        <v>3624695.7474032114</v>
      </c>
      <c r="H8" s="2">
        <f>SUM(F8:G8)</f>
        <v>4950957.6283540372</v>
      </c>
      <c r="I8" s="304">
        <f>'[8]USPS MM FLATS'!I8</f>
        <v>15.490173232917249</v>
      </c>
      <c r="J8" s="304">
        <f>'[8]USPS MM FLATS'!J8</f>
        <v>12.506215811351728</v>
      </c>
      <c r="K8" s="324">
        <f t="shared" ref="K8:L12" si="0">IF(I8&lt;&gt;0,F8/I8,0)</f>
        <v>85619.564159067362</v>
      </c>
      <c r="L8" s="324">
        <f t="shared" si="0"/>
        <v>289831.53673976444</v>
      </c>
      <c r="M8" s="2">
        <f>SUM(K8:L8)</f>
        <v>375451.10089883179</v>
      </c>
      <c r="N8" s="220"/>
      <c r="O8" s="220"/>
      <c r="P8" s="140"/>
      <c r="Q8" s="140"/>
      <c r="R8" s="140"/>
      <c r="S8" s="140"/>
      <c r="T8" s="140"/>
    </row>
    <row r="9" spans="1:20" ht="13" x14ac:dyDescent="0.3">
      <c r="A9" s="2">
        <v>2</v>
      </c>
      <c r="B9" s="2" t="s">
        <v>306</v>
      </c>
      <c r="C9" s="2" t="s">
        <v>159</v>
      </c>
      <c r="D9" s="221" t="s">
        <v>307</v>
      </c>
      <c r="E9" s="221" t="s">
        <v>198</v>
      </c>
      <c r="F9" s="220">
        <f>'[8]USPS MM FLATS'!F9</f>
        <v>3616.7553580862491</v>
      </c>
      <c r="G9" s="220">
        <f>'[8]USPS MM FLATS'!G9</f>
        <v>1765394.2307424131</v>
      </c>
      <c r="H9" s="2">
        <f t="shared" ref="H9:H24" si="1">SUM(F9:G9)</f>
        <v>1769010.9861004993</v>
      </c>
      <c r="I9" s="304">
        <f>'[8]USPS MM FLATS'!I9</f>
        <v>14.372032666085842</v>
      </c>
      <c r="J9" s="304">
        <f>'[8]USPS MM FLATS'!J9</f>
        <v>13.65299757074718</v>
      </c>
      <c r="K9" s="324">
        <f t="shared" si="0"/>
        <v>251.65231962078863</v>
      </c>
      <c r="L9" s="324">
        <f t="shared" si="0"/>
        <v>129304.51511431708</v>
      </c>
      <c r="M9" s="2">
        <f>SUM(K9:L9)</f>
        <v>129556.16743393787</v>
      </c>
      <c r="N9" s="220"/>
      <c r="O9" s="220"/>
      <c r="P9" s="140"/>
      <c r="Q9" s="140"/>
      <c r="R9" s="140"/>
      <c r="S9" s="140"/>
      <c r="T9" s="140"/>
    </row>
    <row r="10" spans="1:20" ht="13" x14ac:dyDescent="0.3">
      <c r="A10" s="2">
        <v>3</v>
      </c>
      <c r="B10" s="2" t="s">
        <v>306</v>
      </c>
      <c r="C10" s="2" t="s">
        <v>159</v>
      </c>
      <c r="D10" s="221" t="s">
        <v>307</v>
      </c>
      <c r="E10" s="221" t="s">
        <v>199</v>
      </c>
      <c r="F10" s="220">
        <f>'[8]USPS MM FLATS'!F10</f>
        <v>50219.114365281159</v>
      </c>
      <c r="G10" s="220">
        <f>'[8]USPS MM FLATS'!G10</f>
        <v>3437617.6905350015</v>
      </c>
      <c r="H10" s="2">
        <f t="shared" si="1"/>
        <v>3487836.8049002825</v>
      </c>
      <c r="I10" s="304">
        <f>'[8]USPS MM FLATS'!I10</f>
        <v>37.874458567798513</v>
      </c>
      <c r="J10" s="304">
        <f>'[8]USPS MM FLATS'!J10</f>
        <v>16.080109837505756</v>
      </c>
      <c r="K10" s="324">
        <f>IF(I10&lt;&gt;0,F10/I10,0)</f>
        <v>1325.936165539757</v>
      </c>
      <c r="L10" s="324">
        <f t="shared" si="0"/>
        <v>213780.73441494742</v>
      </c>
      <c r="M10" s="2">
        <f>SUM(K10:L10)</f>
        <v>215106.67058048717</v>
      </c>
      <c r="N10" s="220"/>
      <c r="O10" s="220"/>
      <c r="P10" s="140"/>
      <c r="Q10" s="140"/>
      <c r="R10" s="140"/>
      <c r="S10" s="140"/>
      <c r="T10" s="140"/>
    </row>
    <row r="11" spans="1:20" ht="13" x14ac:dyDescent="0.3">
      <c r="A11" s="2">
        <v>4</v>
      </c>
      <c r="B11" s="2" t="s">
        <v>306</v>
      </c>
      <c r="C11" s="2" t="s">
        <v>159</v>
      </c>
      <c r="D11" s="221" t="s">
        <v>307</v>
      </c>
      <c r="E11" s="221" t="s">
        <v>200</v>
      </c>
      <c r="F11" s="220">
        <f>'[8]USPS MM FLATS'!F11</f>
        <v>25879.900859287958</v>
      </c>
      <c r="G11" s="220">
        <f>'[8]USPS MM FLATS'!G11</f>
        <v>794007.66414254578</v>
      </c>
      <c r="H11" s="2">
        <f t="shared" si="1"/>
        <v>819887.56500183372</v>
      </c>
      <c r="I11" s="304">
        <f>'[8]USPS MM FLATS'!I11</f>
        <v>29.494399421450783</v>
      </c>
      <c r="J11" s="304">
        <f>'[8]USPS MM FLATS'!J11</f>
        <v>23.9362450044799</v>
      </c>
      <c r="K11" s="324">
        <f t="shared" ref="K11:K12" si="2">IF(I11&lt;&gt;0,F11/I11,0)</f>
        <v>877.45135913721776</v>
      </c>
      <c r="L11" s="324">
        <f t="shared" si="0"/>
        <v>33171.77209683221</v>
      </c>
      <c r="M11" s="2">
        <f>SUM(K11:L11)</f>
        <v>34049.223455969426</v>
      </c>
      <c r="N11" s="220"/>
      <c r="O11" s="220"/>
      <c r="P11" s="140"/>
      <c r="Q11" s="140"/>
      <c r="R11" s="140"/>
      <c r="S11" s="140"/>
      <c r="T11" s="140"/>
    </row>
    <row r="12" spans="1:20" ht="13" x14ac:dyDescent="0.3">
      <c r="A12" s="2">
        <v>5</v>
      </c>
      <c r="B12" s="2" t="s">
        <v>306</v>
      </c>
      <c r="C12" s="2" t="s">
        <v>159</v>
      </c>
      <c r="D12" s="221" t="s">
        <v>592</v>
      </c>
      <c r="E12" s="221" t="s">
        <v>307</v>
      </c>
      <c r="F12" s="220">
        <f>'[8]USPS MM FLATS'!F12</f>
        <v>117106.08436669013</v>
      </c>
      <c r="G12" s="220">
        <f>'[8]USPS MM FLATS'!G12</f>
        <v>717.09248547409652</v>
      </c>
      <c r="H12" s="2">
        <f t="shared" si="1"/>
        <v>117823.17685216424</v>
      </c>
      <c r="I12" s="304">
        <f>'[8]USPS MM FLATS'!I12</f>
        <v>10.003025209548101</v>
      </c>
      <c r="J12" s="304">
        <f>'[8]USPS MM FLATS'!J12</f>
        <v>13.200004059655127</v>
      </c>
      <c r="K12" s="2">
        <f t="shared" si="2"/>
        <v>11707.06680364155</v>
      </c>
      <c r="L12" s="308">
        <f t="shared" si="0"/>
        <v>54.325171585805698</v>
      </c>
      <c r="M12" s="2">
        <f>SUM(K12:L12)</f>
        <v>11761.391975227356</v>
      </c>
      <c r="N12" s="220"/>
      <c r="O12" s="220"/>
      <c r="P12" s="140"/>
      <c r="Q12" s="140"/>
      <c r="R12" s="140"/>
      <c r="S12" s="140"/>
      <c r="T12" s="140"/>
    </row>
    <row r="13" spans="1:20" ht="13" x14ac:dyDescent="0.3">
      <c r="B13" s="3" t="s">
        <v>146</v>
      </c>
      <c r="D13" s="221"/>
      <c r="E13" s="221"/>
      <c r="F13" s="180">
        <f>SUM(F8:F12)</f>
        <v>1523083.7359001716</v>
      </c>
      <c r="G13" s="180">
        <f t="shared" ref="G13" si="3">SUM(G8:G12)</f>
        <v>9622432.4253086466</v>
      </c>
      <c r="H13" s="3">
        <f t="shared" si="1"/>
        <v>11145516.161208818</v>
      </c>
      <c r="I13" s="220"/>
      <c r="J13" s="220"/>
      <c r="L13" s="308"/>
      <c r="M13" s="387">
        <f>SUM(M8:M12)*10000/H13</f>
        <v>687.2042023591514</v>
      </c>
      <c r="O13" s="180"/>
      <c r="P13" s="140"/>
      <c r="Q13" s="140"/>
      <c r="R13" s="140"/>
      <c r="S13" s="140"/>
      <c r="T13" s="140"/>
    </row>
    <row r="14" spans="1:20" ht="13" x14ac:dyDescent="0.3">
      <c r="D14" s="221"/>
      <c r="E14" s="221"/>
      <c r="G14" s="220"/>
      <c r="I14" s="220"/>
      <c r="J14" s="220"/>
      <c r="L14" s="308"/>
      <c r="O14"/>
      <c r="P14" s="140"/>
      <c r="Q14" s="140"/>
      <c r="R14" s="140"/>
      <c r="S14" s="140"/>
      <c r="T14" s="140"/>
    </row>
    <row r="15" spans="1:20" ht="13" x14ac:dyDescent="0.3">
      <c r="F15" s="305"/>
      <c r="G15" s="305"/>
      <c r="I15" s="305" t="s">
        <v>300</v>
      </c>
      <c r="J15" s="305" t="s">
        <v>300</v>
      </c>
      <c r="L15" s="308"/>
      <c r="O15"/>
      <c r="P15" s="140"/>
      <c r="Q15" s="140"/>
      <c r="R15" s="140"/>
      <c r="S15" s="140"/>
      <c r="T15" s="140"/>
    </row>
    <row r="16" spans="1:20" ht="13" x14ac:dyDescent="0.3">
      <c r="F16" s="305" t="s">
        <v>298</v>
      </c>
      <c r="G16" s="305" t="s">
        <v>299</v>
      </c>
      <c r="H16" s="17" t="s">
        <v>146</v>
      </c>
      <c r="I16" s="305" t="s">
        <v>301</v>
      </c>
      <c r="J16" s="305" t="s">
        <v>301</v>
      </c>
      <c r="K16" s="17" t="s">
        <v>298</v>
      </c>
      <c r="L16" s="17" t="s">
        <v>299</v>
      </c>
      <c r="M16" s="17" t="s">
        <v>146</v>
      </c>
      <c r="O16" s="17"/>
      <c r="P16" s="140"/>
      <c r="Q16" s="140"/>
      <c r="R16" s="140"/>
      <c r="S16" s="140"/>
      <c r="T16" s="140"/>
    </row>
    <row r="17" spans="1:20" ht="13" x14ac:dyDescent="0.3">
      <c r="A17" s="257" t="s">
        <v>302</v>
      </c>
      <c r="B17" s="257" t="s">
        <v>302</v>
      </c>
      <c r="C17" s="257" t="s">
        <v>303</v>
      </c>
      <c r="D17" s="258" t="s">
        <v>304</v>
      </c>
      <c r="E17" s="258" t="s">
        <v>376</v>
      </c>
      <c r="F17" s="140" t="s">
        <v>305</v>
      </c>
      <c r="G17" s="140" t="s">
        <v>305</v>
      </c>
      <c r="H17" s="140" t="s">
        <v>305</v>
      </c>
      <c r="I17" s="386" t="s">
        <v>624</v>
      </c>
      <c r="J17" s="386" t="s">
        <v>624</v>
      </c>
      <c r="K17" s="140" t="s">
        <v>489</v>
      </c>
      <c r="L17" s="140" t="s">
        <v>489</v>
      </c>
      <c r="M17" s="140" t="s">
        <v>489</v>
      </c>
      <c r="O17" s="140"/>
      <c r="P17" s="140"/>
      <c r="Q17" s="140"/>
      <c r="R17" s="140"/>
      <c r="S17" s="140"/>
      <c r="T17" s="140"/>
    </row>
    <row r="18" spans="1:20" ht="13" x14ac:dyDescent="0.3">
      <c r="A18" s="257"/>
      <c r="B18" s="224" t="s">
        <v>308</v>
      </c>
      <c r="C18" s="224" t="s">
        <v>159</v>
      </c>
      <c r="D18" s="307" t="s">
        <v>307</v>
      </c>
      <c r="E18" s="307" t="s">
        <v>198</v>
      </c>
      <c r="F18" s="220">
        <f>'[8]USPS MM FLATS'!F18</f>
        <v>1009401.664929815</v>
      </c>
      <c r="G18" s="220">
        <f>'[8]USPS MM FLATS'!G18</f>
        <v>0</v>
      </c>
      <c r="H18" s="2">
        <f t="shared" si="1"/>
        <v>1009401.664929815</v>
      </c>
      <c r="I18" s="220">
        <f>'[8]USPS MM FLATS'!I18</f>
        <v>14.988990842688478</v>
      </c>
      <c r="J18" s="220">
        <f>'[8]USPS MM FLATS'!J18</f>
        <v>0</v>
      </c>
      <c r="K18" s="324">
        <f t="shared" ref="K18" si="4">IF(I18&lt;&gt;0,F18/I18,0)</f>
        <v>67342.870212119306</v>
      </c>
      <c r="L18" s="324">
        <f t="shared" ref="L18" si="5">IF(J18&lt;&gt;0,G18/J18,0)</f>
        <v>0</v>
      </c>
      <c r="M18" s="2">
        <f t="shared" ref="M18" si="6">SUM(K18:L18)</f>
        <v>67342.870212119306</v>
      </c>
      <c r="O18" s="140"/>
      <c r="P18" s="140"/>
      <c r="Q18" s="140"/>
      <c r="R18" s="140"/>
      <c r="S18" s="140"/>
      <c r="T18" s="140"/>
    </row>
    <row r="19" spans="1:20" ht="13" x14ac:dyDescent="0.3">
      <c r="A19" s="2">
        <v>6</v>
      </c>
      <c r="B19" s="2" t="s">
        <v>308</v>
      </c>
      <c r="C19" s="2" t="s">
        <v>159</v>
      </c>
      <c r="D19" s="221" t="s">
        <v>592</v>
      </c>
      <c r="E19" s="221" t="s">
        <v>198</v>
      </c>
      <c r="F19" s="220">
        <f>'[8]USPS MM FLATS'!F19</f>
        <v>286373.77068961144</v>
      </c>
      <c r="G19" s="220">
        <f>'[8]USPS MM FLATS'!G19</f>
        <v>165897.6755540153</v>
      </c>
      <c r="H19" s="2">
        <f t="shared" si="1"/>
        <v>452271.44624362676</v>
      </c>
      <c r="I19" s="220">
        <f>'[8]USPS MM FLATS'!I19</f>
        <v>15.27509387781328</v>
      </c>
      <c r="J19" s="220">
        <f>'[8]USPS MM FLATS'!J19</f>
        <v>12.796394444565104</v>
      </c>
      <c r="K19" s="324">
        <f t="shared" ref="K19:L24" si="7">IF(I19&lt;&gt;0,F19/I19,0)</f>
        <v>18747.758474045302</v>
      </c>
      <c r="L19" s="324">
        <f t="shared" si="7"/>
        <v>12964.407769133399</v>
      </c>
      <c r="M19" s="2">
        <f t="shared" ref="M19:M24" si="8">SUM(K19:L19)</f>
        <v>31712.166243178701</v>
      </c>
      <c r="N19" s="220"/>
      <c r="O19" s="220"/>
      <c r="P19" s="140"/>
      <c r="Q19" s="140"/>
      <c r="R19" s="140"/>
      <c r="S19" s="140"/>
      <c r="T19" s="140"/>
    </row>
    <row r="20" spans="1:20" ht="13" x14ac:dyDescent="0.3">
      <c r="A20" s="2">
        <v>7</v>
      </c>
      <c r="B20" s="2" t="s">
        <v>308</v>
      </c>
      <c r="C20" s="2" t="s">
        <v>159</v>
      </c>
      <c r="D20" s="221" t="s">
        <v>592</v>
      </c>
      <c r="E20" s="221" t="s">
        <v>199</v>
      </c>
      <c r="F20" s="220">
        <f>'[8]USPS MM FLATS'!F20</f>
        <v>0</v>
      </c>
      <c r="G20" s="220">
        <f>'[8]USPS MM FLATS'!G20</f>
        <v>2088139.1168532383</v>
      </c>
      <c r="H20" s="2">
        <f t="shared" si="1"/>
        <v>2088139.1168532383</v>
      </c>
      <c r="I20" s="220">
        <f>'[8]USPS MM FLATS'!I20</f>
        <v>0</v>
      </c>
      <c r="J20" s="220">
        <f>'[8]USPS MM FLATS'!J20</f>
        <v>20.075236878057584</v>
      </c>
      <c r="K20" s="324">
        <f t="shared" si="7"/>
        <v>0</v>
      </c>
      <c r="L20" s="324">
        <f t="shared" si="7"/>
        <v>104015.66514692504</v>
      </c>
      <c r="M20" s="2">
        <f t="shared" si="8"/>
        <v>104015.66514692504</v>
      </c>
      <c r="N20" s="220"/>
      <c r="O20" s="220"/>
      <c r="P20" s="140"/>
      <c r="Q20" s="140"/>
      <c r="R20" s="140"/>
      <c r="S20" s="140"/>
      <c r="T20" s="140"/>
    </row>
    <row r="21" spans="1:20" ht="13" x14ac:dyDescent="0.3">
      <c r="A21" s="2">
        <v>8</v>
      </c>
      <c r="B21" s="2" t="s">
        <v>308</v>
      </c>
      <c r="C21" s="2" t="s">
        <v>159</v>
      </c>
      <c r="D21" s="221" t="s">
        <v>592</v>
      </c>
      <c r="E21" s="221" t="s">
        <v>200</v>
      </c>
      <c r="F21" s="220">
        <f>'[8]USPS MM FLATS'!F21</f>
        <v>0</v>
      </c>
      <c r="G21" s="220">
        <f>'[8]USPS MM FLATS'!G21</f>
        <v>1275164.2649658883</v>
      </c>
      <c r="H21" s="2">
        <f t="shared" si="1"/>
        <v>1275164.2649658883</v>
      </c>
      <c r="I21" s="220">
        <f>'[8]USPS MM FLATS'!I21</f>
        <v>0</v>
      </c>
      <c r="J21" s="220">
        <f>'[8]USPS MM FLATS'!J21</f>
        <v>29.10095036408331</v>
      </c>
      <c r="K21" s="324">
        <f t="shared" si="7"/>
        <v>0</v>
      </c>
      <c r="L21" s="324">
        <f t="shared" si="7"/>
        <v>43818.646779993447</v>
      </c>
      <c r="M21" s="2">
        <f t="shared" si="8"/>
        <v>43818.646779993447</v>
      </c>
      <c r="N21" s="220"/>
      <c r="O21" s="220"/>
      <c r="P21" s="140"/>
      <c r="Q21" s="140"/>
      <c r="R21" s="140"/>
      <c r="S21" s="140"/>
      <c r="T21" s="140"/>
    </row>
    <row r="22" spans="1:20" ht="13" x14ac:dyDescent="0.3">
      <c r="B22" s="224" t="s">
        <v>308</v>
      </c>
      <c r="C22" s="224" t="s">
        <v>159</v>
      </c>
      <c r="D22" s="307" t="s">
        <v>199</v>
      </c>
      <c r="E22" s="307" t="s">
        <v>198</v>
      </c>
      <c r="F22" s="220">
        <f>'[8]USPS MM FLATS'!F22</f>
        <v>19333.23456281453</v>
      </c>
      <c r="G22" s="220">
        <f>'[8]USPS MM FLATS'!G22</f>
        <v>0</v>
      </c>
      <c r="H22" s="2">
        <f t="shared" si="1"/>
        <v>19333.23456281453</v>
      </c>
      <c r="I22" s="220">
        <f>'[8]USPS MM FLATS'!I22</f>
        <v>31.712561491658416</v>
      </c>
      <c r="J22" s="220">
        <f>'[8]USPS MM FLATS'!J22</f>
        <v>0</v>
      </c>
      <c r="K22" s="324">
        <f t="shared" ref="K22" si="9">IF(I22&lt;&gt;0,F22/I22,0)</f>
        <v>609.63963973392345</v>
      </c>
      <c r="L22" s="324">
        <f t="shared" ref="L22" si="10">IF(J22&lt;&gt;0,G22/J22,0)</f>
        <v>0</v>
      </c>
      <c r="M22" s="2">
        <f t="shared" ref="M22" si="11">SUM(K22:L22)</f>
        <v>609.63963973392345</v>
      </c>
      <c r="N22" s="220"/>
      <c r="O22" s="220"/>
      <c r="P22" s="140"/>
      <c r="Q22" s="140"/>
      <c r="R22" s="140"/>
      <c r="S22" s="140"/>
      <c r="T22" s="140"/>
    </row>
    <row r="23" spans="1:20" ht="13" x14ac:dyDescent="0.3">
      <c r="A23" s="2">
        <v>9</v>
      </c>
      <c r="B23" s="2" t="s">
        <v>308</v>
      </c>
      <c r="C23" s="2" t="s">
        <v>159</v>
      </c>
      <c r="D23" s="306" t="s">
        <v>199</v>
      </c>
      <c r="E23" s="221" t="s">
        <v>199</v>
      </c>
      <c r="F23" s="220">
        <f>'[8]USPS MM FLATS'!F23</f>
        <v>0</v>
      </c>
      <c r="G23" s="220">
        <f>'[8]USPS MM FLATS'!G23</f>
        <v>0</v>
      </c>
      <c r="H23" s="2">
        <f t="shared" si="1"/>
        <v>0</v>
      </c>
      <c r="I23" s="220">
        <f>'[8]USPS MM FLATS'!I23</f>
        <v>0</v>
      </c>
      <c r="J23" s="220">
        <f>'[8]USPS MM FLATS'!J23</f>
        <v>0</v>
      </c>
      <c r="K23" s="324">
        <f t="shared" si="7"/>
        <v>0</v>
      </c>
      <c r="L23" s="324">
        <f t="shared" si="7"/>
        <v>0</v>
      </c>
      <c r="M23" s="2">
        <f t="shared" si="8"/>
        <v>0</v>
      </c>
      <c r="N23" s="220"/>
      <c r="O23" s="220"/>
      <c r="P23" s="140"/>
      <c r="Q23" s="140"/>
      <c r="R23" s="140"/>
      <c r="S23" s="140"/>
      <c r="T23" s="140"/>
    </row>
    <row r="24" spans="1:20" ht="13" x14ac:dyDescent="0.3">
      <c r="A24" s="2">
        <v>10</v>
      </c>
      <c r="B24" s="2" t="s">
        <v>308</v>
      </c>
      <c r="C24" s="2" t="s">
        <v>159</v>
      </c>
      <c r="D24" s="306" t="s">
        <v>199</v>
      </c>
      <c r="E24" s="221" t="s">
        <v>200</v>
      </c>
      <c r="F24" s="220">
        <f>'[8]USPS MM FLATS'!F24</f>
        <v>0</v>
      </c>
      <c r="G24" s="220">
        <f>'[8]USPS MM FLATS'!G24</f>
        <v>0</v>
      </c>
      <c r="H24" s="2">
        <f t="shared" si="1"/>
        <v>0</v>
      </c>
      <c r="I24" s="220">
        <f>'[8]USPS MM FLATS'!I24</f>
        <v>0</v>
      </c>
      <c r="J24" s="220">
        <f>'[8]USPS MM FLATS'!J24</f>
        <v>0</v>
      </c>
      <c r="K24" s="324">
        <f t="shared" si="7"/>
        <v>0</v>
      </c>
      <c r="L24" s="324">
        <f t="shared" si="7"/>
        <v>0</v>
      </c>
      <c r="M24" s="2">
        <f t="shared" si="8"/>
        <v>0</v>
      </c>
      <c r="N24" s="220"/>
      <c r="O24" s="220"/>
      <c r="P24" s="140"/>
      <c r="Q24" s="140"/>
      <c r="R24" s="140"/>
      <c r="S24" s="140"/>
      <c r="T24" s="140"/>
    </row>
    <row r="25" spans="1:20" s="3" customFormat="1" ht="13" x14ac:dyDescent="0.3">
      <c r="A25" s="3" t="s">
        <v>146</v>
      </c>
      <c r="B25" s="3" t="s">
        <v>146</v>
      </c>
      <c r="D25" s="222"/>
      <c r="E25" s="222"/>
      <c r="F25" s="180">
        <f>SUM(F18:F24)</f>
        <v>1315108.6701822409</v>
      </c>
      <c r="G25" s="180">
        <f>SUM(G18:G24)</f>
        <v>3529201.0573731419</v>
      </c>
      <c r="H25" s="180">
        <f>SUM(H18:H24)</f>
        <v>4844309.7275553821</v>
      </c>
      <c r="I25" s="180"/>
      <c r="J25" s="220"/>
      <c r="L25" s="308"/>
      <c r="M25" s="387">
        <f>SUM(M18:M24)*10000/H25</f>
        <v>510.90661403032863</v>
      </c>
      <c r="N25" s="2"/>
      <c r="O25" s="180"/>
      <c r="P25" s="140"/>
      <c r="Q25" s="140"/>
      <c r="R25" s="140"/>
      <c r="S25" s="140"/>
      <c r="T25" s="140"/>
    </row>
    <row r="26" spans="1:20" s="3" customFormat="1" ht="13" x14ac:dyDescent="0.3">
      <c r="D26" s="222"/>
      <c r="E26" s="222"/>
      <c r="F26" s="220"/>
      <c r="G26" s="220"/>
      <c r="H26" s="220"/>
      <c r="I26" s="220"/>
      <c r="J26" s="220"/>
      <c r="L26" s="308"/>
      <c r="N26" s="2"/>
      <c r="O26" s="20"/>
      <c r="P26" s="140"/>
      <c r="Q26" s="140"/>
      <c r="R26" s="140"/>
      <c r="S26" s="140"/>
      <c r="T26" s="140"/>
    </row>
    <row r="27" spans="1:20" ht="13" x14ac:dyDescent="0.3">
      <c r="F27" s="305"/>
      <c r="G27" s="305"/>
      <c r="H27" s="305"/>
      <c r="I27" s="305" t="s">
        <v>300</v>
      </c>
      <c r="J27" s="305" t="s">
        <v>300</v>
      </c>
      <c r="L27" s="308"/>
      <c r="O27" s="20"/>
      <c r="P27" s="140"/>
      <c r="Q27" s="140"/>
      <c r="R27" s="140"/>
      <c r="S27" s="140"/>
      <c r="T27" s="140"/>
    </row>
    <row r="28" spans="1:20" ht="13" x14ac:dyDescent="0.3">
      <c r="F28" s="305" t="s">
        <v>298</v>
      </c>
      <c r="G28" s="305" t="s">
        <v>299</v>
      </c>
      <c r="H28" s="305" t="s">
        <v>146</v>
      </c>
      <c r="I28" s="305" t="s">
        <v>301</v>
      </c>
      <c r="J28" s="305" t="s">
        <v>301</v>
      </c>
      <c r="K28" s="17" t="s">
        <v>298</v>
      </c>
      <c r="L28" s="17" t="s">
        <v>299</v>
      </c>
      <c r="M28" s="17" t="s">
        <v>146</v>
      </c>
      <c r="O28" s="20"/>
      <c r="P28" s="140"/>
      <c r="Q28" s="140"/>
      <c r="R28" s="140"/>
      <c r="S28" s="140"/>
      <c r="T28" s="140"/>
    </row>
    <row r="29" spans="1:20" ht="13" x14ac:dyDescent="0.3">
      <c r="A29" s="257" t="s">
        <v>302</v>
      </c>
      <c r="B29" s="257" t="s">
        <v>302</v>
      </c>
      <c r="C29" s="257" t="s">
        <v>303</v>
      </c>
      <c r="D29" s="258" t="s">
        <v>304</v>
      </c>
      <c r="E29" s="258" t="s">
        <v>376</v>
      </c>
      <c r="F29" s="140" t="s">
        <v>305</v>
      </c>
      <c r="G29" s="140" t="s">
        <v>305</v>
      </c>
      <c r="H29" s="140" t="s">
        <v>305</v>
      </c>
      <c r="I29" s="386" t="s">
        <v>624</v>
      </c>
      <c r="J29" s="386" t="s">
        <v>624</v>
      </c>
      <c r="K29" s="140" t="s">
        <v>489</v>
      </c>
      <c r="L29" s="140" t="s">
        <v>489</v>
      </c>
      <c r="M29" s="140" t="s">
        <v>489</v>
      </c>
      <c r="O29" s="20"/>
      <c r="P29" s="140"/>
      <c r="Q29" s="140"/>
      <c r="R29" s="140"/>
      <c r="S29" s="140"/>
      <c r="T29" s="140"/>
    </row>
    <row r="30" spans="1:20" s="224" customFormat="1" ht="13" x14ac:dyDescent="0.3">
      <c r="B30" s="224" t="s">
        <v>309</v>
      </c>
      <c r="C30" s="224" t="s">
        <v>159</v>
      </c>
      <c r="D30" s="307" t="s">
        <v>307</v>
      </c>
      <c r="E30" s="307" t="s">
        <v>199</v>
      </c>
      <c r="F30" s="324">
        <f>'[8]USPS MM FLATS'!F30</f>
        <v>2655916.4119445449</v>
      </c>
      <c r="G30" s="324">
        <f>'[8]USPS MM FLATS'!G30</f>
        <v>0</v>
      </c>
      <c r="H30" s="2">
        <f t="shared" ref="H30:H33" si="12">SUM(F30:G30)</f>
        <v>2655916.4119445449</v>
      </c>
      <c r="I30" s="324">
        <f>'[8]USPS MM FLATS'!I30</f>
        <v>21.693048378142784</v>
      </c>
      <c r="J30" s="324">
        <f>'[8]USPS MM FLATS'!J30</f>
        <v>0</v>
      </c>
      <c r="K30" s="324">
        <f t="shared" ref="K30" si="13">IF(I30&lt;&gt;0,F30/I30,0)</f>
        <v>122431.6825209573</v>
      </c>
      <c r="L30" s="324">
        <f t="shared" ref="L30" si="14">IF(J30&lt;&gt;0,G30/J30,0)</f>
        <v>0</v>
      </c>
      <c r="M30" s="2">
        <f t="shared" ref="M30" si="15">SUM(K30:L30)</f>
        <v>122431.6825209573</v>
      </c>
      <c r="O30" s="20"/>
      <c r="P30" s="140"/>
      <c r="Q30" s="140"/>
      <c r="R30" s="140"/>
      <c r="S30" s="140"/>
      <c r="T30" s="140"/>
    </row>
    <row r="31" spans="1:20" s="224" customFormat="1" ht="13" x14ac:dyDescent="0.3">
      <c r="A31" s="224">
        <v>11</v>
      </c>
      <c r="B31" s="224" t="s">
        <v>309</v>
      </c>
      <c r="C31" s="224" t="s">
        <v>159</v>
      </c>
      <c r="D31" s="307" t="s">
        <v>592</v>
      </c>
      <c r="E31" s="307" t="s">
        <v>199</v>
      </c>
      <c r="F31" s="324">
        <f>'[8]USPS MM FLATS'!F31</f>
        <v>2346756.190332693</v>
      </c>
      <c r="G31" s="324">
        <f>'[8]USPS MM FLATS'!G31</f>
        <v>0</v>
      </c>
      <c r="H31" s="2">
        <f t="shared" si="12"/>
        <v>2346756.190332693</v>
      </c>
      <c r="I31" s="324">
        <f>'[8]USPS MM FLATS'!I31</f>
        <v>21.254177911503405</v>
      </c>
      <c r="J31" s="324">
        <f>'[8]USPS MM FLATS'!J31</f>
        <v>0</v>
      </c>
      <c r="K31" s="324">
        <f t="shared" ref="K31:L33" si="16">IF(I31&lt;&gt;0,F31/I31,0)</f>
        <v>110413.87721999624</v>
      </c>
      <c r="L31" s="324">
        <f t="shared" si="16"/>
        <v>0</v>
      </c>
      <c r="M31" s="2">
        <f t="shared" ref="M31:M33" si="17">SUM(K31:L31)</f>
        <v>110413.87721999624</v>
      </c>
      <c r="N31" s="220"/>
      <c r="O31" s="20"/>
      <c r="P31" s="140"/>
      <c r="Q31" s="140"/>
      <c r="R31" s="140"/>
      <c r="S31" s="140"/>
      <c r="T31" s="140"/>
    </row>
    <row r="32" spans="1:20" s="224" customFormat="1" ht="13" x14ac:dyDescent="0.3">
      <c r="A32" s="224">
        <v>12</v>
      </c>
      <c r="B32" s="224" t="s">
        <v>309</v>
      </c>
      <c r="C32" s="224" t="s">
        <v>159</v>
      </c>
      <c r="D32" s="307" t="s">
        <v>199</v>
      </c>
      <c r="E32" s="307" t="s">
        <v>199</v>
      </c>
      <c r="F32" s="324">
        <f>'[8]USPS MM FLATS'!F32</f>
        <v>16289257.85829556</v>
      </c>
      <c r="G32" s="324">
        <f>'[8]USPS MM FLATS'!G32</f>
        <v>2609806.2806663117</v>
      </c>
      <c r="H32" s="2">
        <f t="shared" si="12"/>
        <v>18899064.13896187</v>
      </c>
      <c r="I32" s="324">
        <f>'[8]USPS MM FLATS'!I32</f>
        <v>29.709549667328652</v>
      </c>
      <c r="J32" s="324">
        <f>'[8]USPS MM FLATS'!J32</f>
        <v>21.1267206159789</v>
      </c>
      <c r="K32" s="324">
        <f t="shared" si="16"/>
        <v>548283.56675526197</v>
      </c>
      <c r="L32" s="324">
        <f t="shared" si="16"/>
        <v>123531.06419613563</v>
      </c>
      <c r="M32" s="2">
        <f t="shared" si="17"/>
        <v>671814.63095139759</v>
      </c>
      <c r="N32" s="220"/>
      <c r="O32" s="20"/>
      <c r="P32" s="140"/>
      <c r="Q32" s="140"/>
      <c r="R32" s="140"/>
      <c r="S32" s="140"/>
      <c r="T32" s="140"/>
    </row>
    <row r="33" spans="1:20" s="224" customFormat="1" ht="13" x14ac:dyDescent="0.3">
      <c r="A33" s="224">
        <v>13</v>
      </c>
      <c r="B33" s="224" t="s">
        <v>309</v>
      </c>
      <c r="C33" s="224" t="s">
        <v>159</v>
      </c>
      <c r="D33" s="307" t="s">
        <v>199</v>
      </c>
      <c r="E33" s="307" t="s">
        <v>200</v>
      </c>
      <c r="F33" s="324">
        <f>'[8]USPS MM FLATS'!F33</f>
        <v>0</v>
      </c>
      <c r="G33" s="324">
        <f>'[8]USPS MM FLATS'!G33</f>
        <v>4251597.4087400092</v>
      </c>
      <c r="H33" s="2">
        <f t="shared" si="12"/>
        <v>4251597.4087400092</v>
      </c>
      <c r="I33" s="324">
        <f>'[8]USPS MM FLATS'!I33</f>
        <v>0</v>
      </c>
      <c r="J33" s="324">
        <f>'[8]USPS MM FLATS'!J33</f>
        <v>23.628172120830222</v>
      </c>
      <c r="K33" s="324">
        <f t="shared" si="16"/>
        <v>0</v>
      </c>
      <c r="L33" s="324">
        <f t="shared" si="16"/>
        <v>179937.63491302269</v>
      </c>
      <c r="M33" s="2">
        <f t="shared" si="17"/>
        <v>179937.63491302269</v>
      </c>
      <c r="N33" s="220"/>
      <c r="O33" s="20"/>
      <c r="P33" s="140"/>
      <c r="Q33" s="140"/>
      <c r="R33" s="140"/>
      <c r="S33" s="140"/>
      <c r="T33" s="140"/>
    </row>
    <row r="34" spans="1:20" ht="13" x14ac:dyDescent="0.3">
      <c r="A34" s="257"/>
      <c r="B34" s="3" t="s">
        <v>146</v>
      </c>
      <c r="C34" s="257"/>
      <c r="D34" s="258"/>
      <c r="E34" s="258"/>
      <c r="F34" s="180">
        <f>SUM(F30:F33)</f>
        <v>21291930.460572798</v>
      </c>
      <c r="G34" s="180">
        <f>SUM(G30:G33)</f>
        <v>6861403.6894063205</v>
      </c>
      <c r="H34" s="180">
        <f>SUM(H30:H33)</f>
        <v>28153334.149979118</v>
      </c>
      <c r="I34" s="220"/>
      <c r="J34" s="220"/>
      <c r="L34" s="308"/>
      <c r="M34" s="387">
        <f>SUM(M30:M33)*10000/H34</f>
        <v>385.2466709013853</v>
      </c>
      <c r="O34" s="20"/>
      <c r="P34" s="140"/>
      <c r="Q34" s="140"/>
      <c r="R34" s="140"/>
      <c r="S34" s="140"/>
      <c r="T34" s="140"/>
    </row>
    <row r="35" spans="1:20" ht="13" x14ac:dyDescent="0.3">
      <c r="A35" s="257"/>
      <c r="B35" s="257"/>
      <c r="C35" s="257"/>
      <c r="D35" s="258"/>
      <c r="E35" s="258"/>
      <c r="G35" s="220"/>
      <c r="H35" s="220"/>
      <c r="I35" s="220"/>
      <c r="J35" s="220"/>
      <c r="L35" s="308"/>
      <c r="O35" s="20"/>
      <c r="P35" s="140"/>
      <c r="Q35" s="140"/>
      <c r="R35" s="140"/>
      <c r="S35" s="140"/>
      <c r="T35" s="140"/>
    </row>
    <row r="36" spans="1:20" ht="13" x14ac:dyDescent="0.3">
      <c r="F36" s="305"/>
      <c r="G36" s="305"/>
      <c r="H36" s="305"/>
      <c r="I36" s="305" t="s">
        <v>300</v>
      </c>
      <c r="J36" s="305" t="s">
        <v>300</v>
      </c>
      <c r="L36" s="308"/>
      <c r="O36" s="20"/>
      <c r="P36" s="140"/>
      <c r="Q36" s="140"/>
      <c r="R36" s="140"/>
      <c r="S36" s="140"/>
      <c r="T36" s="140"/>
    </row>
    <row r="37" spans="1:20" ht="13" x14ac:dyDescent="0.3">
      <c r="F37" s="305" t="s">
        <v>298</v>
      </c>
      <c r="G37" s="305" t="s">
        <v>299</v>
      </c>
      <c r="H37" s="305" t="s">
        <v>146</v>
      </c>
      <c r="I37" s="305" t="s">
        <v>301</v>
      </c>
      <c r="J37" s="305" t="s">
        <v>301</v>
      </c>
      <c r="K37" s="17" t="s">
        <v>298</v>
      </c>
      <c r="L37" s="17" t="s">
        <v>299</v>
      </c>
      <c r="M37" s="17" t="s">
        <v>146</v>
      </c>
      <c r="O37" s="20"/>
      <c r="P37" s="140"/>
      <c r="Q37" s="140"/>
      <c r="R37" s="140"/>
      <c r="S37" s="140"/>
      <c r="T37" s="140"/>
    </row>
    <row r="38" spans="1:20" ht="13" x14ac:dyDescent="0.3">
      <c r="B38" s="257" t="s">
        <v>302</v>
      </c>
      <c r="C38" s="257" t="s">
        <v>303</v>
      </c>
      <c r="D38" s="258" t="s">
        <v>304</v>
      </c>
      <c r="E38" s="258" t="s">
        <v>376</v>
      </c>
      <c r="F38" s="140" t="s">
        <v>305</v>
      </c>
      <c r="G38" s="140" t="s">
        <v>305</v>
      </c>
      <c r="H38" s="140" t="s">
        <v>305</v>
      </c>
      <c r="I38" s="386" t="s">
        <v>624</v>
      </c>
      <c r="J38" s="386" t="s">
        <v>624</v>
      </c>
      <c r="K38" s="140" t="s">
        <v>489</v>
      </c>
      <c r="L38" s="140" t="s">
        <v>489</v>
      </c>
      <c r="M38" s="140" t="s">
        <v>489</v>
      </c>
      <c r="O38" s="20"/>
      <c r="P38" s="140"/>
      <c r="Q38" s="140"/>
      <c r="R38" s="140"/>
      <c r="S38" s="140"/>
      <c r="T38" s="140"/>
    </row>
    <row r="39" spans="1:20" s="224" customFormat="1" ht="13" x14ac:dyDescent="0.3">
      <c r="B39" s="224" t="s">
        <v>310</v>
      </c>
      <c r="C39" s="224" t="s">
        <v>159</v>
      </c>
      <c r="D39" s="307" t="s">
        <v>307</v>
      </c>
      <c r="E39" s="307" t="s">
        <v>200</v>
      </c>
      <c r="F39" s="324">
        <f>'[8]USPS MM FLATS'!F39</f>
        <v>1725666.5823679655</v>
      </c>
      <c r="G39" s="324">
        <f>'[8]USPS MM FLATS'!G39</f>
        <v>0</v>
      </c>
      <c r="H39" s="2">
        <f t="shared" ref="H39:H42" si="18">SUM(F39:G39)</f>
        <v>1725666.5823679655</v>
      </c>
      <c r="I39" s="324">
        <f>'[8]USPS MM FLATS'!I39</f>
        <v>26.324849691729064</v>
      </c>
      <c r="J39" s="324">
        <f>'[8]USPS MM FLATS'!J39</f>
        <v>0</v>
      </c>
      <c r="K39" s="324">
        <f t="shared" ref="K39" si="19">IF(I39&lt;&gt;0,F39/I39,0)</f>
        <v>65552.761082246492</v>
      </c>
      <c r="L39" s="324">
        <f t="shared" ref="L39" si="20">IF(J39&lt;&gt;0,G39/J39,0)</f>
        <v>0</v>
      </c>
      <c r="M39" s="2">
        <f t="shared" ref="M39" si="21">SUM(K39:L39)</f>
        <v>65552.761082246492</v>
      </c>
      <c r="O39" s="20"/>
      <c r="P39" s="140"/>
      <c r="Q39" s="140"/>
      <c r="R39" s="140"/>
      <c r="S39" s="140"/>
      <c r="T39" s="140"/>
    </row>
    <row r="40" spans="1:20" s="224" customFormat="1" ht="13" x14ac:dyDescent="0.3">
      <c r="A40" s="224">
        <v>14</v>
      </c>
      <c r="B40" s="224" t="s">
        <v>310</v>
      </c>
      <c r="C40" s="224" t="s">
        <v>159</v>
      </c>
      <c r="D40" s="307" t="s">
        <v>592</v>
      </c>
      <c r="E40" s="307" t="s">
        <v>200</v>
      </c>
      <c r="F40" s="324">
        <f>'[8]USPS MM FLATS'!F40</f>
        <v>1540768.7385758774</v>
      </c>
      <c r="G40" s="324">
        <f>'[8]USPS MM FLATS'!G40</f>
        <v>0</v>
      </c>
      <c r="H40" s="2">
        <f t="shared" si="18"/>
        <v>1540768.7385758774</v>
      </c>
      <c r="I40" s="324">
        <f>'[8]USPS MM FLATS'!I40</f>
        <v>21.278971194739128</v>
      </c>
      <c r="J40" s="324">
        <f>'[8]USPS MM FLATS'!J40</f>
        <v>0</v>
      </c>
      <c r="K40" s="324">
        <f t="shared" ref="K40:L42" si="22">IF(I40&lt;&gt;0,F40/I40,0)</f>
        <v>72408.046633232283</v>
      </c>
      <c r="L40" s="324">
        <f t="shared" si="22"/>
        <v>0</v>
      </c>
      <c r="M40" s="2">
        <f t="shared" ref="M40:M42" si="23">SUM(K40:L40)</f>
        <v>72408.046633232283</v>
      </c>
      <c r="N40" s="220"/>
      <c r="O40" s="20"/>
      <c r="P40" s="140"/>
      <c r="Q40" s="140"/>
      <c r="R40" s="140"/>
      <c r="S40" s="140"/>
      <c r="T40" s="140"/>
    </row>
    <row r="41" spans="1:20" s="224" customFormat="1" ht="13" x14ac:dyDescent="0.3">
      <c r="A41" s="224">
        <v>15</v>
      </c>
      <c r="B41" s="224" t="s">
        <v>310</v>
      </c>
      <c r="C41" s="224" t="s">
        <v>159</v>
      </c>
      <c r="D41" s="307" t="s">
        <v>199</v>
      </c>
      <c r="E41" s="307" t="s">
        <v>200</v>
      </c>
      <c r="F41" s="324">
        <f>'[8]USPS MM FLATS'!F41</f>
        <v>22405630.342189886</v>
      </c>
      <c r="G41" s="324">
        <f>'[8]USPS MM FLATS'!G41</f>
        <v>0</v>
      </c>
      <c r="H41" s="2">
        <f t="shared" si="18"/>
        <v>22405630.342189886</v>
      </c>
      <c r="I41" s="324">
        <f>'[8]USPS MM FLATS'!I41</f>
        <v>27.16248577274731</v>
      </c>
      <c r="J41" s="324">
        <f>'[8]USPS MM FLATS'!J41</f>
        <v>0</v>
      </c>
      <c r="K41" s="324">
        <f t="shared" si="22"/>
        <v>824874.07557779283</v>
      </c>
      <c r="L41" s="324">
        <f t="shared" si="22"/>
        <v>0</v>
      </c>
      <c r="M41" s="2">
        <f t="shared" si="23"/>
        <v>824874.07557779283</v>
      </c>
      <c r="N41" s="220"/>
      <c r="O41" s="20"/>
      <c r="P41" s="140"/>
      <c r="Q41" s="140"/>
      <c r="R41" s="140"/>
      <c r="S41" s="140"/>
      <c r="T41" s="140"/>
    </row>
    <row r="42" spans="1:20" s="224" customFormat="1" ht="13" x14ac:dyDescent="0.3">
      <c r="A42" s="224">
        <v>16</v>
      </c>
      <c r="B42" s="224" t="s">
        <v>310</v>
      </c>
      <c r="C42" s="224" t="s">
        <v>159</v>
      </c>
      <c r="D42" s="307" t="s">
        <v>200</v>
      </c>
      <c r="E42" s="307" t="s">
        <v>200</v>
      </c>
      <c r="F42" s="324">
        <f>'[8]USPS MM FLATS'!F42</f>
        <v>735478.57226881303</v>
      </c>
      <c r="G42" s="324">
        <f>'[8]USPS MM FLATS'!G42</f>
        <v>5118359.2431028783</v>
      </c>
      <c r="H42" s="2">
        <f t="shared" si="18"/>
        <v>5853837.8153716912</v>
      </c>
      <c r="I42" s="324">
        <f>'[8]USPS MM FLATS'!I42</f>
        <v>28.685375947412457</v>
      </c>
      <c r="J42" s="324">
        <f>'[8]USPS MM FLATS'!J42</f>
        <v>29.142924976074223</v>
      </c>
      <c r="K42" s="324">
        <f t="shared" si="22"/>
        <v>25639.495665566006</v>
      </c>
      <c r="L42" s="324">
        <f t="shared" si="22"/>
        <v>175629.56523083913</v>
      </c>
      <c r="M42" s="2">
        <f t="shared" si="23"/>
        <v>201269.06089640514</v>
      </c>
      <c r="N42" s="220"/>
      <c r="O42" s="20"/>
      <c r="P42" s="140"/>
      <c r="Q42" s="140"/>
      <c r="R42" s="140"/>
      <c r="S42" s="140"/>
      <c r="T42" s="140"/>
    </row>
    <row r="43" spans="1:20" s="3" customFormat="1" ht="13" x14ac:dyDescent="0.3">
      <c r="A43" s="3" t="s">
        <v>146</v>
      </c>
      <c r="B43" s="3" t="s">
        <v>146</v>
      </c>
      <c r="D43" s="222"/>
      <c r="E43" s="222"/>
      <c r="F43" s="180">
        <f>SUM(F39:F42)</f>
        <v>26407544.235402543</v>
      </c>
      <c r="G43" s="180">
        <f t="shared" ref="G43:H43" si="24">SUM(G39:G42)</f>
        <v>5118359.2431028783</v>
      </c>
      <c r="H43" s="180">
        <f t="shared" si="24"/>
        <v>31525903.478505421</v>
      </c>
      <c r="I43" s="220"/>
      <c r="J43" s="220"/>
      <c r="L43" s="308"/>
      <c r="M43" s="387">
        <f>SUM(M39:M42)*10000/H43</f>
        <v>369.25315875034971</v>
      </c>
      <c r="N43" s="2"/>
      <c r="O43" s="180"/>
      <c r="P43" s="140"/>
      <c r="Q43" s="140"/>
      <c r="R43" s="140"/>
      <c r="S43" s="140"/>
      <c r="T43" s="140"/>
    </row>
    <row r="44" spans="1:20" s="3" customFormat="1" ht="13" x14ac:dyDescent="0.3">
      <c r="D44" s="222"/>
      <c r="E44" s="222"/>
      <c r="F44" s="180"/>
      <c r="G44" s="180"/>
      <c r="H44" s="180"/>
      <c r="I44" s="220"/>
      <c r="J44" s="220"/>
      <c r="L44" s="308"/>
      <c r="N44" s="2"/>
      <c r="O44"/>
      <c r="P44" s="140"/>
      <c r="Q44" s="140"/>
      <c r="R44" s="140"/>
      <c r="S44" s="140"/>
      <c r="T44" s="140"/>
    </row>
    <row r="45" spans="1:20" s="3" customFormat="1" ht="13" x14ac:dyDescent="0.3">
      <c r="B45" s="2"/>
      <c r="C45" s="2"/>
      <c r="D45" s="2"/>
      <c r="E45" s="2"/>
      <c r="F45" s="305"/>
      <c r="G45" s="305"/>
      <c r="H45" s="305"/>
      <c r="I45" s="305" t="s">
        <v>300</v>
      </c>
      <c r="J45" s="305" t="s">
        <v>300</v>
      </c>
      <c r="L45" s="308"/>
      <c r="N45" s="2"/>
      <c r="O45"/>
      <c r="P45" s="140"/>
      <c r="Q45" s="140"/>
      <c r="R45" s="140"/>
      <c r="S45" s="140"/>
      <c r="T45" s="140"/>
    </row>
    <row r="46" spans="1:20" s="3" customFormat="1" ht="13" x14ac:dyDescent="0.3">
      <c r="B46" s="2"/>
      <c r="C46" s="2"/>
      <c r="D46" s="2"/>
      <c r="E46" s="2"/>
      <c r="F46" s="305" t="s">
        <v>298</v>
      </c>
      <c r="G46" s="305" t="s">
        <v>299</v>
      </c>
      <c r="H46" s="305" t="s">
        <v>146</v>
      </c>
      <c r="I46" s="305" t="s">
        <v>301</v>
      </c>
      <c r="J46" s="305" t="s">
        <v>301</v>
      </c>
      <c r="K46" s="17" t="s">
        <v>298</v>
      </c>
      <c r="L46" s="17" t="s">
        <v>299</v>
      </c>
      <c r="M46" s="17" t="s">
        <v>146</v>
      </c>
      <c r="N46" s="2"/>
      <c r="O46" s="17"/>
      <c r="P46" s="140"/>
      <c r="Q46" s="140"/>
      <c r="R46" s="140"/>
      <c r="S46" s="140"/>
      <c r="T46" s="140"/>
    </row>
    <row r="47" spans="1:20" s="3" customFormat="1" ht="13" x14ac:dyDescent="0.3">
      <c r="B47" s="257" t="s">
        <v>302</v>
      </c>
      <c r="C47" s="257" t="s">
        <v>303</v>
      </c>
      <c r="D47" s="258" t="s">
        <v>304</v>
      </c>
      <c r="E47" s="258" t="s">
        <v>376</v>
      </c>
      <c r="F47" s="140" t="s">
        <v>305</v>
      </c>
      <c r="G47" s="140" t="s">
        <v>305</v>
      </c>
      <c r="H47" s="140" t="s">
        <v>305</v>
      </c>
      <c r="I47" s="386" t="s">
        <v>624</v>
      </c>
      <c r="J47" s="386" t="s">
        <v>624</v>
      </c>
      <c r="K47" s="140" t="s">
        <v>489</v>
      </c>
      <c r="L47" s="140" t="s">
        <v>489</v>
      </c>
      <c r="M47" s="140" t="s">
        <v>489</v>
      </c>
      <c r="N47" s="2"/>
      <c r="O47" s="140"/>
      <c r="P47" s="140"/>
      <c r="Q47" s="140"/>
      <c r="R47" s="140"/>
      <c r="S47" s="140"/>
      <c r="T47" s="140"/>
    </row>
    <row r="48" spans="1:20" s="3" customFormat="1" ht="13" x14ac:dyDescent="0.3">
      <c r="B48" s="224" t="s">
        <v>572</v>
      </c>
      <c r="C48" s="224" t="s">
        <v>159</v>
      </c>
      <c r="D48" s="307" t="s">
        <v>307</v>
      </c>
      <c r="E48" s="307" t="s">
        <v>366</v>
      </c>
      <c r="F48" s="324">
        <f>'[14]USPS MM FLATS'!F48</f>
        <v>0</v>
      </c>
      <c r="G48" s="324">
        <f>'[14]USPS MM FLATS'!G48</f>
        <v>0</v>
      </c>
      <c r="H48" s="324">
        <f>SUM(F48:G48)</f>
        <v>0</v>
      </c>
      <c r="I48" s="304">
        <f>'[15]USPS MM FLATS'!$I$48</f>
        <v>20.978509932101161</v>
      </c>
      <c r="J48" s="304">
        <f>'[15]USPS MM FLATS'!$J$48</f>
        <v>26.979432332373509</v>
      </c>
      <c r="K48" s="324">
        <f t="shared" ref="K48:L50" si="25">IF(I48&lt;&gt;0,F48/I48,0)</f>
        <v>0</v>
      </c>
      <c r="L48" s="324">
        <f t="shared" si="25"/>
        <v>0</v>
      </c>
      <c r="M48" s="2">
        <f t="shared" ref="M48:M50" si="26">SUM(K48:L48)</f>
        <v>0</v>
      </c>
      <c r="N48" s="362"/>
      <c r="O48" s="324"/>
      <c r="P48" s="140"/>
      <c r="Q48" s="140"/>
      <c r="R48" s="140"/>
      <c r="S48" s="140"/>
      <c r="T48" s="140"/>
    </row>
    <row r="49" spans="1:20" s="3" customFormat="1" ht="13" x14ac:dyDescent="0.3">
      <c r="B49" s="224" t="s">
        <v>572</v>
      </c>
      <c r="C49" s="224" t="s">
        <v>159</v>
      </c>
      <c r="D49" s="307" t="s">
        <v>592</v>
      </c>
      <c r="E49" s="307" t="s">
        <v>366</v>
      </c>
      <c r="F49" s="324">
        <f>'[14]USPS MM FLATS'!F49</f>
        <v>0</v>
      </c>
      <c r="G49" s="324">
        <f>'[14]USPS MM FLATS'!G49</f>
        <v>0</v>
      </c>
      <c r="H49" s="324">
        <f t="shared" ref="H49:H50" si="27">SUM(F49:G49)</f>
        <v>0</v>
      </c>
      <c r="I49" s="304">
        <f>'[15]USPS MM FLATS'!$I$49</f>
        <v>24.090362915856613</v>
      </c>
      <c r="J49" s="304">
        <f>'[15]USPS MM FLATS'!$J$49</f>
        <v>30.766129032258057</v>
      </c>
      <c r="K49" s="324">
        <f t="shared" si="25"/>
        <v>0</v>
      </c>
      <c r="L49" s="324">
        <f t="shared" si="25"/>
        <v>0</v>
      </c>
      <c r="M49" s="2">
        <f t="shared" si="26"/>
        <v>0</v>
      </c>
      <c r="N49" s="362"/>
      <c r="O49" s="324"/>
      <c r="P49" s="140"/>
      <c r="Q49" s="140"/>
      <c r="R49" s="140"/>
      <c r="S49" s="140"/>
      <c r="T49" s="140"/>
    </row>
    <row r="50" spans="1:20" s="3" customFormat="1" ht="13" x14ac:dyDescent="0.3">
      <c r="B50" s="224" t="s">
        <v>572</v>
      </c>
      <c r="C50" s="224" t="s">
        <v>159</v>
      </c>
      <c r="D50" s="307" t="s">
        <v>199</v>
      </c>
      <c r="E50" s="307" t="s">
        <v>366</v>
      </c>
      <c r="F50" s="324">
        <f>'[14]USPS MM FLATS'!F50</f>
        <v>0</v>
      </c>
      <c r="G50" s="324">
        <f>'[14]USPS MM FLATS'!G50</f>
        <v>0</v>
      </c>
      <c r="H50" s="324">
        <f t="shared" si="27"/>
        <v>0</v>
      </c>
      <c r="I50" s="304">
        <f>'[15]USPS MM FLATS'!$I$50</f>
        <v>38.175393946836877</v>
      </c>
      <c r="J50" s="304">
        <f>'[15]USPS MM FLATS'!$J$50</f>
        <v>17.088899128550874</v>
      </c>
      <c r="K50" s="324">
        <f t="shared" si="25"/>
        <v>0</v>
      </c>
      <c r="L50" s="324">
        <f t="shared" si="25"/>
        <v>0</v>
      </c>
      <c r="M50" s="2">
        <f t="shared" si="26"/>
        <v>0</v>
      </c>
      <c r="N50" s="362"/>
      <c r="O50" s="324"/>
      <c r="P50" s="140"/>
      <c r="Q50" s="140"/>
      <c r="R50" s="140"/>
      <c r="S50" s="140"/>
      <c r="T50" s="140"/>
    </row>
    <row r="51" spans="1:20" s="3" customFormat="1" ht="13" x14ac:dyDescent="0.3">
      <c r="B51" s="3" t="s">
        <v>146</v>
      </c>
      <c r="D51" s="222"/>
      <c r="E51" s="222"/>
      <c r="F51" s="180">
        <f>SUM(F48:F50)</f>
        <v>0</v>
      </c>
      <c r="G51" s="180">
        <f>SUM(G48:G50)</f>
        <v>0</v>
      </c>
      <c r="H51" s="180">
        <f>SUM(H48:H50)</f>
        <v>0</v>
      </c>
      <c r="I51" s="220"/>
      <c r="J51" s="220"/>
      <c r="L51" s="308"/>
      <c r="N51" s="2"/>
      <c r="O51" s="180"/>
      <c r="P51" s="140"/>
      <c r="Q51" s="140"/>
      <c r="R51" s="140"/>
      <c r="S51" s="140"/>
      <c r="T51" s="140"/>
    </row>
    <row r="52" spans="1:20" s="3" customFormat="1" ht="13" x14ac:dyDescent="0.3">
      <c r="D52" s="222"/>
      <c r="E52" s="222"/>
      <c r="F52" s="180"/>
      <c r="G52" s="180"/>
      <c r="H52" s="180"/>
      <c r="I52" s="220"/>
      <c r="J52" s="220"/>
      <c r="L52" s="308"/>
      <c r="N52" s="2"/>
      <c r="O52"/>
      <c r="P52" s="140"/>
      <c r="Q52" s="140"/>
      <c r="R52" s="140"/>
      <c r="S52" s="140"/>
      <c r="T52" s="140"/>
    </row>
    <row r="53" spans="1:20" s="3" customFormat="1" ht="13" x14ac:dyDescent="0.3">
      <c r="B53" s="2"/>
      <c r="C53" s="2"/>
      <c r="D53" s="2"/>
      <c r="E53" s="2"/>
      <c r="F53" s="305"/>
      <c r="G53" s="305"/>
      <c r="H53" s="305"/>
      <c r="I53" s="305" t="s">
        <v>300</v>
      </c>
      <c r="J53" s="305" t="s">
        <v>300</v>
      </c>
      <c r="L53" s="308"/>
      <c r="N53" s="2"/>
      <c r="O53"/>
      <c r="P53" s="140"/>
      <c r="Q53" s="140"/>
      <c r="R53" s="140"/>
      <c r="S53" s="140"/>
      <c r="T53" s="140"/>
    </row>
    <row r="54" spans="1:20" s="3" customFormat="1" ht="13" x14ac:dyDescent="0.3">
      <c r="B54" s="2"/>
      <c r="C54" s="2"/>
      <c r="D54" s="2"/>
      <c r="E54" s="2"/>
      <c r="F54" s="305" t="s">
        <v>298</v>
      </c>
      <c r="G54" s="305" t="s">
        <v>299</v>
      </c>
      <c r="H54" s="305" t="s">
        <v>146</v>
      </c>
      <c r="I54" s="305" t="s">
        <v>301</v>
      </c>
      <c r="J54" s="305" t="s">
        <v>301</v>
      </c>
      <c r="K54" s="17" t="s">
        <v>298</v>
      </c>
      <c r="L54" s="17" t="s">
        <v>299</v>
      </c>
      <c r="M54" s="17" t="s">
        <v>146</v>
      </c>
      <c r="N54" s="2"/>
      <c r="O54" s="17"/>
      <c r="P54" s="140"/>
      <c r="Q54" s="140"/>
      <c r="R54" s="140"/>
      <c r="S54" s="140"/>
      <c r="T54" s="140"/>
    </row>
    <row r="55" spans="1:20" s="3" customFormat="1" ht="13" x14ac:dyDescent="0.3">
      <c r="B55" s="257" t="s">
        <v>302</v>
      </c>
      <c r="C55" s="257" t="s">
        <v>303</v>
      </c>
      <c r="D55" s="258" t="s">
        <v>304</v>
      </c>
      <c r="E55" s="258" t="s">
        <v>376</v>
      </c>
      <c r="F55" s="140" t="s">
        <v>305</v>
      </c>
      <c r="G55" s="140" t="s">
        <v>305</v>
      </c>
      <c r="H55" s="140" t="s">
        <v>305</v>
      </c>
      <c r="I55" s="386" t="s">
        <v>624</v>
      </c>
      <c r="J55" s="386" t="s">
        <v>624</v>
      </c>
      <c r="K55" s="140" t="s">
        <v>489</v>
      </c>
      <c r="L55" s="140" t="s">
        <v>489</v>
      </c>
      <c r="M55" s="140" t="s">
        <v>489</v>
      </c>
      <c r="N55" s="2"/>
      <c r="O55" s="140"/>
      <c r="P55" s="140"/>
      <c r="Q55" s="140"/>
      <c r="R55" s="140"/>
      <c r="S55" s="140"/>
      <c r="T55" s="140"/>
    </row>
    <row r="56" spans="1:20" s="3" customFormat="1" ht="13" x14ac:dyDescent="0.3">
      <c r="B56" s="224" t="s">
        <v>496</v>
      </c>
      <c r="C56" s="224" t="s">
        <v>159</v>
      </c>
      <c r="D56" s="307" t="s">
        <v>471</v>
      </c>
      <c r="E56" s="307" t="s">
        <v>366</v>
      </c>
      <c r="F56" s="324">
        <v>0</v>
      </c>
      <c r="G56" s="324">
        <v>0</v>
      </c>
      <c r="H56" s="324">
        <f>SUM(F56:G56)</f>
        <v>0</v>
      </c>
      <c r="I56" s="304">
        <v>0</v>
      </c>
      <c r="J56" s="304">
        <v>0</v>
      </c>
      <c r="K56" s="324">
        <f>IF(I56&lt;&gt;0,F56/I56,0)</f>
        <v>0</v>
      </c>
      <c r="L56" s="324">
        <f>IF(J56&lt;&gt;0,G56/J56,0)</f>
        <v>0</v>
      </c>
      <c r="M56" s="2">
        <f>SUM(K56:L56)</f>
        <v>0</v>
      </c>
      <c r="N56" s="362"/>
      <c r="O56" s="324"/>
      <c r="P56" s="140"/>
      <c r="Q56" s="140"/>
      <c r="R56" s="140"/>
      <c r="S56" s="140"/>
      <c r="T56" s="140"/>
    </row>
    <row r="57" spans="1:20" s="3" customFormat="1" ht="13" x14ac:dyDescent="0.3">
      <c r="B57" s="3" t="s">
        <v>146</v>
      </c>
      <c r="D57" s="222"/>
      <c r="E57" s="222"/>
      <c r="F57" s="180">
        <f>SUM(F56)</f>
        <v>0</v>
      </c>
      <c r="G57" s="180">
        <f t="shared" ref="G57:H57" si="28">SUM(G56)</f>
        <v>0</v>
      </c>
      <c r="H57" s="180">
        <f t="shared" si="28"/>
        <v>0</v>
      </c>
      <c r="I57" s="180"/>
      <c r="J57" s="220"/>
      <c r="L57" s="308"/>
      <c r="N57" s="2"/>
      <c r="O57" s="180"/>
      <c r="P57" s="140"/>
      <c r="Q57" s="140"/>
      <c r="R57" s="140"/>
      <c r="S57" s="140"/>
      <c r="T57" s="140"/>
    </row>
    <row r="58" spans="1:20" s="3" customFormat="1" ht="14.5" x14ac:dyDescent="0.35">
      <c r="D58" s="222"/>
      <c r="E58" s="222"/>
      <c r="F58" s="388"/>
      <c r="G58" s="388"/>
      <c r="H58" s="180"/>
      <c r="I58" s="305"/>
      <c r="J58" s="305"/>
      <c r="L58" s="308"/>
      <c r="M58" s="387"/>
      <c r="N58" s="348"/>
      <c r="P58" s="140"/>
      <c r="Q58" s="140"/>
      <c r="R58" s="140"/>
      <c r="S58" s="140"/>
      <c r="T58" s="140"/>
    </row>
    <row r="59" spans="1:20" s="224" customFormat="1" ht="14.5" x14ac:dyDescent="0.35">
      <c r="D59" s="307"/>
      <c r="E59" s="307"/>
      <c r="F59" s="389"/>
      <c r="G59" s="389"/>
      <c r="I59" s="390"/>
      <c r="J59" s="390"/>
      <c r="K59" s="391"/>
      <c r="L59" s="308"/>
      <c r="N59" s="2"/>
      <c r="P59" s="140"/>
      <c r="Q59" s="140"/>
      <c r="R59" s="140"/>
      <c r="S59" s="140"/>
      <c r="T59" s="140"/>
    </row>
    <row r="60" spans="1:20" ht="13" x14ac:dyDescent="0.3">
      <c r="B60" s="3" t="s">
        <v>490</v>
      </c>
      <c r="D60" s="3"/>
      <c r="E60" s="3"/>
      <c r="F60" s="180"/>
      <c r="G60" s="3"/>
      <c r="H60" s="3"/>
      <c r="I60" s="305"/>
      <c r="J60" s="305"/>
      <c r="P60" s="224"/>
      <c r="Q60" s="224"/>
      <c r="R60" s="224"/>
      <c r="S60" s="224"/>
      <c r="T60" s="224"/>
    </row>
    <row r="61" spans="1:20" x14ac:dyDescent="0.25">
      <c r="B61" s="2" t="s">
        <v>307</v>
      </c>
      <c r="C61" s="308">
        <f>SUMIF($E$8:$E$56,$B61,$H$8:$H$56)/SUMIF($E$8:$E$56,$B61,$M$8:$M$56)</f>
        <v>13.090437159151325</v>
      </c>
    </row>
    <row r="62" spans="1:20" ht="13" x14ac:dyDescent="0.3">
      <c r="B62" s="2" t="s">
        <v>198</v>
      </c>
      <c r="C62" s="308">
        <f>SUMIF($E$8:$E$56,$B62,$H$8:$H$56)/SUMIF($E$8:$E$56,$B62,$M$8:$M$56)</f>
        <v>14.178541889128011</v>
      </c>
      <c r="I62" s="305"/>
      <c r="J62" s="305"/>
    </row>
    <row r="63" spans="1:20" ht="13" x14ac:dyDescent="0.3">
      <c r="A63" s="257"/>
      <c r="B63" s="307" t="s">
        <v>199</v>
      </c>
      <c r="C63" s="308">
        <f>SUMIF($E$8:$E$56,$B63,$H$8:$H$56)/SUMIF($E$8:$E$56,$B63,$M$8:$M$56)</f>
        <v>24.087378293618183</v>
      </c>
      <c r="I63" s="305"/>
      <c r="J63" s="305"/>
    </row>
    <row r="64" spans="1:20" ht="13" x14ac:dyDescent="0.3">
      <c r="B64" s="307" t="s">
        <v>200</v>
      </c>
      <c r="C64" s="308">
        <f>SUMIF($E$8:$E$56,$B64,$H$8:$H$56)/SUMIF($E$8:$E$56,$B64,$M$8:$M$56)</f>
        <v>26.634996155928128</v>
      </c>
      <c r="D64" s="258"/>
      <c r="E64" s="258"/>
      <c r="F64" s="392"/>
      <c r="G64" s="140"/>
      <c r="H64" s="140"/>
      <c r="I64" s="386"/>
      <c r="J64" s="386"/>
    </row>
    <row r="65" spans="2:20" x14ac:dyDescent="0.25">
      <c r="B65" s="307" t="s">
        <v>366</v>
      </c>
      <c r="C65" s="308"/>
    </row>
    <row r="68" spans="2:20" x14ac:dyDescent="0.25">
      <c r="F68" s="393"/>
      <c r="G68" s="394"/>
      <c r="H68" s="394"/>
    </row>
    <row r="69" spans="2:20" s="3" customFormat="1" ht="13" x14ac:dyDescent="0.3">
      <c r="B69" s="2"/>
      <c r="C69" s="2"/>
      <c r="D69" s="2"/>
      <c r="E69" s="2"/>
      <c r="F69" s="393"/>
      <c r="G69" s="394"/>
      <c r="H69" s="394"/>
      <c r="I69" s="304"/>
      <c r="J69" s="304"/>
      <c r="P69" s="2"/>
      <c r="Q69" s="2"/>
      <c r="R69" s="2"/>
      <c r="S69" s="2"/>
      <c r="T69" s="2"/>
    </row>
    <row r="70" spans="2:20" ht="13" x14ac:dyDescent="0.3">
      <c r="B70" s="3"/>
      <c r="C70" s="3"/>
      <c r="D70" s="3"/>
      <c r="E70" s="3"/>
      <c r="F70" s="180"/>
      <c r="G70" s="3"/>
      <c r="H70" s="3"/>
      <c r="I70" s="305"/>
      <c r="J70" s="305"/>
      <c r="P70" s="3"/>
      <c r="Q70" s="3"/>
      <c r="R70" s="3"/>
      <c r="S70" s="3"/>
      <c r="T70" s="3"/>
    </row>
    <row r="107" spans="1:1" x14ac:dyDescent="0.25">
      <c r="A107" s="2" t="s">
        <v>543</v>
      </c>
    </row>
  </sheetData>
  <pageMargins left="0.7" right="0.7" top="0.75" bottom="0.75" header="0.3" footer="0.3"/>
  <pageSetup scale="43" orientation="portrait" r:id="rId1"/>
</worksheet>
</file>

<file path=xl/worksheets/sheet6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7"/>
  <dimension ref="A1:Q82"/>
  <sheetViews>
    <sheetView zoomScale="115" zoomScaleNormal="115" workbookViewId="0"/>
  </sheetViews>
  <sheetFormatPr defaultColWidth="9.1796875" defaultRowHeight="12.5" x14ac:dyDescent="0.25"/>
  <cols>
    <col min="1" max="1" width="0.1796875" style="2" customWidth="1"/>
    <col min="2" max="2" width="30.1796875" style="2" customWidth="1"/>
    <col min="3" max="4" width="25.7265625" style="2" customWidth="1"/>
    <col min="5" max="5" width="24.26953125" style="2" customWidth="1"/>
    <col min="6" max="6" width="20.453125" style="220" customWidth="1"/>
    <col min="7" max="7" width="15.7265625" style="2" customWidth="1"/>
    <col min="8" max="8" width="22.1796875" style="2" customWidth="1"/>
    <col min="9" max="10" width="12.7265625" style="304" customWidth="1"/>
    <col min="11" max="11" width="11.81640625" style="2" customWidth="1"/>
    <col min="12" max="12" width="12.81640625" style="2" customWidth="1"/>
    <col min="13" max="13" width="12.1796875" style="2" customWidth="1"/>
    <col min="14" max="14" width="11.453125" style="2" customWidth="1"/>
    <col min="15" max="16384" width="9.1796875" style="2"/>
  </cols>
  <sheetData>
    <row r="1" spans="1:17" ht="18" x14ac:dyDescent="0.4">
      <c r="B1" s="5" t="str">
        <f>'FY VOLUME NONAUTO'!B1</f>
        <v>USPS-FY25-14</v>
      </c>
    </row>
    <row r="2" spans="1:17" ht="18" x14ac:dyDescent="0.4">
      <c r="B2" s="5" t="s">
        <v>467</v>
      </c>
    </row>
    <row r="3" spans="1:17" ht="18" x14ac:dyDescent="0.4">
      <c r="B3" s="219" t="s">
        <v>573</v>
      </c>
      <c r="F3" s="2"/>
    </row>
    <row r="4" spans="1:17" ht="13" x14ac:dyDescent="0.3">
      <c r="B4" s="2" t="s">
        <v>468</v>
      </c>
      <c r="I4" s="305" t="s">
        <v>298</v>
      </c>
      <c r="J4" s="305" t="s">
        <v>299</v>
      </c>
    </row>
    <row r="5" spans="1:17" ht="13" x14ac:dyDescent="0.3">
      <c r="I5" s="305" t="s">
        <v>300</v>
      </c>
      <c r="J5" s="305" t="s">
        <v>300</v>
      </c>
      <c r="K5" s="17"/>
    </row>
    <row r="6" spans="1:17" ht="13" x14ac:dyDescent="0.3">
      <c r="F6" s="17" t="s">
        <v>298</v>
      </c>
      <c r="G6" s="17" t="s">
        <v>299</v>
      </c>
      <c r="H6" s="17" t="s">
        <v>146</v>
      </c>
      <c r="I6" s="305" t="s">
        <v>301</v>
      </c>
      <c r="J6" s="305" t="s">
        <v>301</v>
      </c>
      <c r="K6" s="17" t="s">
        <v>298</v>
      </c>
      <c r="L6" s="17" t="s">
        <v>299</v>
      </c>
      <c r="M6" s="17" t="s">
        <v>146</v>
      </c>
    </row>
    <row r="7" spans="1:17" ht="13" x14ac:dyDescent="0.3">
      <c r="A7" s="257" t="s">
        <v>302</v>
      </c>
      <c r="B7" s="257" t="s">
        <v>302</v>
      </c>
      <c r="C7" s="257" t="s">
        <v>303</v>
      </c>
      <c r="D7" s="258" t="s">
        <v>304</v>
      </c>
      <c r="E7" s="258" t="s">
        <v>376</v>
      </c>
      <c r="F7" s="140" t="s">
        <v>305</v>
      </c>
      <c r="G7" s="140" t="s">
        <v>305</v>
      </c>
      <c r="H7" s="140" t="s">
        <v>305</v>
      </c>
      <c r="I7" s="386" t="s">
        <v>624</v>
      </c>
      <c r="J7" s="386" t="s">
        <v>624</v>
      </c>
      <c r="K7" s="140" t="s">
        <v>489</v>
      </c>
      <c r="L7" s="140" t="s">
        <v>489</v>
      </c>
      <c r="M7" s="140" t="s">
        <v>489</v>
      </c>
    </row>
    <row r="8" spans="1:17" s="224" customFormat="1" x14ac:dyDescent="0.25">
      <c r="A8" s="224">
        <v>17</v>
      </c>
      <c r="B8" s="224" t="s">
        <v>311</v>
      </c>
      <c r="C8" s="224" t="s">
        <v>159</v>
      </c>
      <c r="D8" s="224" t="s">
        <v>307</v>
      </c>
      <c r="E8" s="224" t="s">
        <v>307</v>
      </c>
      <c r="F8" s="224">
        <f>'[8]USPS MM FLATS'!F64</f>
        <v>13528047.292524092</v>
      </c>
      <c r="G8" s="224">
        <f>'[8]USPS MM FLATS'!G64</f>
        <v>28915120.553808384</v>
      </c>
      <c r="H8" s="224">
        <f>SUM(F8:G8)</f>
        <v>42443167.846332476</v>
      </c>
      <c r="I8" s="224">
        <f>'[8]USPS MM FLATS'!I64</f>
        <v>25.875382134078915</v>
      </c>
      <c r="J8" s="224">
        <f>'[8]USPS MM FLATS'!J64</f>
        <v>21.37705354589691</v>
      </c>
      <c r="K8" s="324">
        <f>IF(I8&lt;&gt;0,F8/I8,0)</f>
        <v>522815.36258771271</v>
      </c>
      <c r="L8" s="324">
        <f t="shared" ref="L8:L9" si="0">IF(J8&lt;&gt;0,G8/J8,0)</f>
        <v>1352624.2282046545</v>
      </c>
      <c r="M8" s="2">
        <f>SUM(K8:L8)</f>
        <v>1875439.5907923672</v>
      </c>
      <c r="N8" s="220"/>
      <c r="O8" s="220"/>
      <c r="Q8" s="2"/>
    </row>
    <row r="9" spans="1:17" s="224" customFormat="1" x14ac:dyDescent="0.25">
      <c r="A9" s="224">
        <v>18</v>
      </c>
      <c r="B9" s="224" t="s">
        <v>311</v>
      </c>
      <c r="C9" s="224" t="s">
        <v>159</v>
      </c>
      <c r="D9" s="307" t="s">
        <v>592</v>
      </c>
      <c r="E9" s="224" t="s">
        <v>307</v>
      </c>
      <c r="F9" s="224">
        <f>'[8]USPS MM FLATS'!F65</f>
        <v>461485.28325070237</v>
      </c>
      <c r="G9" s="224">
        <f>'[8]USPS MM FLATS'!G65</f>
        <v>0</v>
      </c>
      <c r="H9" s="224">
        <f>SUM(F9:G9)</f>
        <v>461485.28325070237</v>
      </c>
      <c r="I9" s="224">
        <f>'[8]USPS MM FLATS'!I65</f>
        <v>10.568526415661054</v>
      </c>
      <c r="J9" s="224">
        <f>'[8]USPS MM FLATS'!J65</f>
        <v>0</v>
      </c>
      <c r="K9" s="324">
        <f t="shared" ref="K9" si="1">IF(I9&lt;&gt;0,F9/I9,0)</f>
        <v>43666.000831189369</v>
      </c>
      <c r="L9" s="324">
        <f t="shared" si="0"/>
        <v>0</v>
      </c>
      <c r="M9" s="2">
        <f>SUM(K9:L9)</f>
        <v>43666.000831189369</v>
      </c>
      <c r="N9" s="220"/>
      <c r="O9" s="220"/>
      <c r="Q9" s="2"/>
    </row>
    <row r="10" spans="1:17" ht="13" x14ac:dyDescent="0.3">
      <c r="A10" s="257"/>
      <c r="B10" s="3" t="s">
        <v>146</v>
      </c>
      <c r="C10" s="257"/>
      <c r="D10" s="258"/>
      <c r="E10" s="258"/>
      <c r="F10" s="3">
        <f>SUM(F8:F9)</f>
        <v>13989532.575774794</v>
      </c>
      <c r="G10" s="3">
        <f>SUM(G8:G9)</f>
        <v>28915120.553808384</v>
      </c>
      <c r="H10" s="3">
        <f t="shared" ref="H10" si="2">SUM(H8:H9)</f>
        <v>42904653.12958318</v>
      </c>
      <c r="K10" s="140"/>
      <c r="M10" s="387">
        <f>SUM(M8:M9)*10000/H10</f>
        <v>447.29544504820024</v>
      </c>
    </row>
    <row r="11" spans="1:17" ht="13" x14ac:dyDescent="0.3">
      <c r="A11" s="257"/>
      <c r="B11" s="257"/>
      <c r="C11" s="257"/>
      <c r="D11" s="258"/>
      <c r="E11" s="258"/>
      <c r="F11" s="224"/>
      <c r="G11" s="224"/>
      <c r="H11" s="224"/>
      <c r="K11" s="140"/>
    </row>
    <row r="12" spans="1:17" ht="13" x14ac:dyDescent="0.3">
      <c r="A12" s="257"/>
      <c r="F12" s="224"/>
      <c r="G12" s="224"/>
      <c r="H12" s="17"/>
      <c r="I12" s="305" t="s">
        <v>300</v>
      </c>
      <c r="J12" s="305" t="s">
        <v>300</v>
      </c>
      <c r="K12" s="140"/>
    </row>
    <row r="13" spans="1:17" ht="13" x14ac:dyDescent="0.3">
      <c r="A13" s="257"/>
      <c r="F13" s="17" t="s">
        <v>298</v>
      </c>
      <c r="G13" s="17" t="s">
        <v>299</v>
      </c>
      <c r="H13" s="17" t="s">
        <v>146</v>
      </c>
      <c r="I13" s="305" t="s">
        <v>301</v>
      </c>
      <c r="J13" s="305" t="s">
        <v>301</v>
      </c>
      <c r="K13" s="17" t="s">
        <v>298</v>
      </c>
      <c r="L13" s="17" t="s">
        <v>299</v>
      </c>
      <c r="M13" s="17" t="s">
        <v>146</v>
      </c>
    </row>
    <row r="14" spans="1:17" ht="13" x14ac:dyDescent="0.3">
      <c r="B14" s="257" t="s">
        <v>302</v>
      </c>
      <c r="C14" s="257" t="s">
        <v>303</v>
      </c>
      <c r="D14" s="258" t="s">
        <v>304</v>
      </c>
      <c r="E14" s="258" t="s">
        <v>376</v>
      </c>
      <c r="F14" s="140" t="s">
        <v>305</v>
      </c>
      <c r="G14" s="140" t="s">
        <v>305</v>
      </c>
      <c r="H14" s="140" t="s">
        <v>305</v>
      </c>
      <c r="I14" s="386" t="s">
        <v>624</v>
      </c>
      <c r="J14" s="386" t="s">
        <v>624</v>
      </c>
      <c r="K14" s="140" t="s">
        <v>489</v>
      </c>
      <c r="L14" s="140" t="s">
        <v>489</v>
      </c>
      <c r="M14" s="140" t="s">
        <v>489</v>
      </c>
    </row>
    <row r="15" spans="1:17" s="224" customFormat="1" x14ac:dyDescent="0.25">
      <c r="A15" s="224">
        <v>19</v>
      </c>
      <c r="B15" s="224" t="s">
        <v>312</v>
      </c>
      <c r="C15" s="224" t="s">
        <v>159</v>
      </c>
      <c r="D15" s="307" t="s">
        <v>307</v>
      </c>
      <c r="E15" s="307" t="s">
        <v>198</v>
      </c>
      <c r="F15" s="224">
        <f>'[8]USPS MM FLATS'!F71</f>
        <v>13087343.126880027</v>
      </c>
      <c r="G15" s="224">
        <f>'[8]USPS MM FLATS'!G71</f>
        <v>15546803.889347367</v>
      </c>
      <c r="H15" s="324">
        <f>SUM(F15:G15)</f>
        <v>28634147.016227394</v>
      </c>
      <c r="I15" s="224">
        <f>'[8]USPS MM FLATS'!I71</f>
        <v>15.077988078962031</v>
      </c>
      <c r="J15" s="224">
        <f>'[8]USPS MM FLATS'!J71</f>
        <v>14.668397000790634</v>
      </c>
      <c r="K15" s="324">
        <f t="shared" ref="K15:L16" si="3">IF(I15&lt;&gt;0,F15/I15,0)</f>
        <v>867976.75249130186</v>
      </c>
      <c r="L15" s="324">
        <f t="shared" si="3"/>
        <v>1059884.3137739855</v>
      </c>
      <c r="M15" s="2">
        <f t="shared" ref="M15:M16" si="4">SUM(K15:L15)</f>
        <v>1927861.0662652873</v>
      </c>
      <c r="N15" s="220"/>
      <c r="O15" s="220"/>
      <c r="Q15" s="2"/>
    </row>
    <row r="16" spans="1:17" s="224" customFormat="1" x14ac:dyDescent="0.25">
      <c r="A16" s="224">
        <v>20</v>
      </c>
      <c r="B16" s="224" t="s">
        <v>312</v>
      </c>
      <c r="C16" s="224" t="s">
        <v>159</v>
      </c>
      <c r="D16" s="307" t="s">
        <v>592</v>
      </c>
      <c r="E16" s="307" t="s">
        <v>198</v>
      </c>
      <c r="F16" s="224">
        <f>'[8]USPS MM FLATS'!F72</f>
        <v>2720690.4583255723</v>
      </c>
      <c r="G16" s="224">
        <f>'[8]USPS MM FLATS'!G72</f>
        <v>2676836.2615315979</v>
      </c>
      <c r="H16" s="324">
        <f t="shared" ref="H16:H17" si="5">SUM(F16:G16)</f>
        <v>5397526.7198571702</v>
      </c>
      <c r="I16" s="224">
        <f>'[8]USPS MM FLATS'!I72</f>
        <v>15.633079642273938</v>
      </c>
      <c r="J16" s="224">
        <f>'[8]USPS MM FLATS'!J72</f>
        <v>15.704328271289533</v>
      </c>
      <c r="K16" s="324">
        <f t="shared" si="3"/>
        <v>174034.19675343184</v>
      </c>
      <c r="L16" s="324">
        <f t="shared" si="3"/>
        <v>170452.1336595694</v>
      </c>
      <c r="M16" s="2">
        <f t="shared" si="4"/>
        <v>344486.33041300124</v>
      </c>
      <c r="N16" s="220"/>
      <c r="O16" s="220"/>
      <c r="Q16" s="2"/>
    </row>
    <row r="17" spans="1:17" s="224" customFormat="1" x14ac:dyDescent="0.25">
      <c r="B17" s="224" t="s">
        <v>312</v>
      </c>
      <c r="C17" s="224" t="s">
        <v>159</v>
      </c>
      <c r="D17" s="307" t="s">
        <v>199</v>
      </c>
      <c r="E17" s="307" t="s">
        <v>198</v>
      </c>
      <c r="F17" s="224">
        <f>'[8]USPS MM FLATS'!F73</f>
        <v>4033.5593572975699</v>
      </c>
      <c r="G17" s="224">
        <f>'[8]USPS MM FLATS'!G73</f>
        <v>177796.48982496565</v>
      </c>
      <c r="H17" s="324">
        <f t="shared" si="5"/>
        <v>181830.04918226323</v>
      </c>
      <c r="I17" s="224">
        <f>'[8]USPS MM FLATS'!I73</f>
        <v>19.214952208236515</v>
      </c>
      <c r="J17" s="224">
        <f>'[8]USPS MM FLATS'!J73</f>
        <v>45.407356438895121</v>
      </c>
      <c r="K17" s="324">
        <f t="shared" ref="K17" si="6">IF(I17&lt;&gt;0,F17/I17,0)</f>
        <v>209.9177408085657</v>
      </c>
      <c r="L17" s="324">
        <f t="shared" ref="L17" si="7">IF(J17&lt;&gt;0,G17/J17,0)</f>
        <v>3915.5877762720488</v>
      </c>
      <c r="M17" s="2">
        <f t="shared" ref="M17" si="8">SUM(K17:L17)</f>
        <v>4125.5055170806145</v>
      </c>
      <c r="N17" s="220"/>
      <c r="O17" s="220"/>
      <c r="Q17" s="2"/>
    </row>
    <row r="18" spans="1:17" s="3" customFormat="1" ht="13" x14ac:dyDescent="0.3">
      <c r="A18" s="3" t="s">
        <v>146</v>
      </c>
      <c r="D18" s="222"/>
      <c r="E18" s="222"/>
      <c r="F18" s="3">
        <f>SUM(F15:F17)</f>
        <v>15812067.144562896</v>
      </c>
      <c r="G18" s="3">
        <f>SUM(G15:G17)</f>
        <v>18401436.640703931</v>
      </c>
      <c r="H18" s="3">
        <f t="shared" ref="H18" si="9">SUM(H15:H17)</f>
        <v>34213503.785266832</v>
      </c>
      <c r="I18" s="304"/>
      <c r="J18" s="304"/>
      <c r="M18" s="387">
        <f>SUM(M15:M17)*10000/H18</f>
        <v>665.37263078436115</v>
      </c>
      <c r="N18" s="2"/>
    </row>
    <row r="19" spans="1:17" s="224" customFormat="1" ht="13" x14ac:dyDescent="0.3">
      <c r="D19" s="307"/>
      <c r="E19" s="307"/>
      <c r="I19" s="304"/>
      <c r="J19" s="304"/>
      <c r="K19" s="17"/>
      <c r="L19" s="2"/>
      <c r="N19" s="2"/>
    </row>
    <row r="20" spans="1:17" ht="13" x14ac:dyDescent="0.3">
      <c r="F20" s="224"/>
      <c r="G20" s="224"/>
      <c r="H20" s="17"/>
      <c r="I20" s="305" t="s">
        <v>300</v>
      </c>
      <c r="J20" s="305" t="s">
        <v>300</v>
      </c>
      <c r="K20" s="391"/>
    </row>
    <row r="21" spans="1:17" ht="13" x14ac:dyDescent="0.3">
      <c r="F21" s="17" t="s">
        <v>298</v>
      </c>
      <c r="G21" s="17" t="s">
        <v>299</v>
      </c>
      <c r="H21" s="17" t="s">
        <v>146</v>
      </c>
      <c r="I21" s="305" t="s">
        <v>301</v>
      </c>
      <c r="J21" s="305" t="s">
        <v>301</v>
      </c>
      <c r="K21" s="17" t="s">
        <v>298</v>
      </c>
      <c r="L21" s="17" t="s">
        <v>299</v>
      </c>
      <c r="M21" s="17" t="s">
        <v>146</v>
      </c>
    </row>
    <row r="22" spans="1:17" ht="13" x14ac:dyDescent="0.3">
      <c r="A22" s="257" t="s">
        <v>302</v>
      </c>
      <c r="B22" s="257" t="s">
        <v>302</v>
      </c>
      <c r="C22" s="257" t="s">
        <v>303</v>
      </c>
      <c r="D22" s="258" t="s">
        <v>304</v>
      </c>
      <c r="E22" s="258" t="s">
        <v>376</v>
      </c>
      <c r="F22" s="140" t="s">
        <v>305</v>
      </c>
      <c r="G22" s="140" t="s">
        <v>305</v>
      </c>
      <c r="H22" s="140" t="s">
        <v>305</v>
      </c>
      <c r="I22" s="386" t="s">
        <v>624</v>
      </c>
      <c r="J22" s="386" t="s">
        <v>624</v>
      </c>
      <c r="K22" s="140" t="s">
        <v>489</v>
      </c>
      <c r="L22" s="140" t="s">
        <v>489</v>
      </c>
      <c r="M22" s="140" t="s">
        <v>489</v>
      </c>
    </row>
    <row r="23" spans="1:17" s="224" customFormat="1" x14ac:dyDescent="0.25">
      <c r="A23" s="224">
        <v>21</v>
      </c>
      <c r="B23" s="224" t="s">
        <v>313</v>
      </c>
      <c r="C23" s="224" t="s">
        <v>159</v>
      </c>
      <c r="D23" s="307" t="s">
        <v>307</v>
      </c>
      <c r="E23" s="307" t="s">
        <v>199</v>
      </c>
      <c r="F23" s="224">
        <f>'[8]USPS MM FLATS'!F79</f>
        <v>89610746.822352573</v>
      </c>
      <c r="G23" s="224">
        <f>'[8]USPS MM FLATS'!G79</f>
        <v>38923476.299946807</v>
      </c>
      <c r="H23" s="398">
        <f t="shared" ref="H23:H25" si="10">SUM(F23:G23)</f>
        <v>128534223.12229937</v>
      </c>
      <c r="I23" s="224">
        <f>'[8]USPS MM FLATS'!I79</f>
        <v>23.101810498862605</v>
      </c>
      <c r="J23" s="224">
        <f>'[8]USPS MM FLATS'!J79</f>
        <v>19.019801515021314</v>
      </c>
      <c r="K23" s="324">
        <f t="shared" ref="K23:L25" si="11">IF(I23&lt;&gt;0,F23/I23,0)</f>
        <v>3878949.090451784</v>
      </c>
      <c r="L23" s="324">
        <f t="shared" si="11"/>
        <v>2046471.214182026</v>
      </c>
      <c r="M23" s="2">
        <f t="shared" ref="M23:M25" si="12">SUM(K23:L23)</f>
        <v>5925420.3046338102</v>
      </c>
      <c r="N23" s="220"/>
      <c r="O23" s="220"/>
      <c r="Q23" s="2"/>
    </row>
    <row r="24" spans="1:17" s="224" customFormat="1" x14ac:dyDescent="0.25">
      <c r="A24" s="224">
        <v>22</v>
      </c>
      <c r="B24" s="224" t="s">
        <v>313</v>
      </c>
      <c r="C24" s="224" t="s">
        <v>159</v>
      </c>
      <c r="D24" s="307" t="s">
        <v>592</v>
      </c>
      <c r="E24" s="307" t="s">
        <v>199</v>
      </c>
      <c r="F24" s="224">
        <f>'[8]USPS MM FLATS'!F80</f>
        <v>106919104.15232852</v>
      </c>
      <c r="G24" s="224">
        <f>'[8]USPS MM FLATS'!G80</f>
        <v>21922890.521747604</v>
      </c>
      <c r="H24" s="398">
        <f t="shared" si="10"/>
        <v>128841994.67407613</v>
      </c>
      <c r="I24" s="224">
        <f>'[8]USPS MM FLATS'!I80</f>
        <v>25.058292288081947</v>
      </c>
      <c r="J24" s="224">
        <f>'[8]USPS MM FLATS'!J80</f>
        <v>22.815055571004212</v>
      </c>
      <c r="K24" s="324">
        <f t="shared" si="11"/>
        <v>4266815.2690987904</v>
      </c>
      <c r="L24" s="324">
        <f t="shared" si="11"/>
        <v>960895.77575298713</v>
      </c>
      <c r="M24" s="2">
        <f t="shared" si="12"/>
        <v>5227711.0448517771</v>
      </c>
      <c r="N24" s="220"/>
      <c r="O24" s="220"/>
      <c r="Q24" s="2"/>
    </row>
    <row r="25" spans="1:17" s="224" customFormat="1" x14ac:dyDescent="0.25">
      <c r="A25" s="224">
        <v>23</v>
      </c>
      <c r="B25" s="224" t="s">
        <v>313</v>
      </c>
      <c r="C25" s="224" t="s">
        <v>159</v>
      </c>
      <c r="D25" s="307" t="s">
        <v>199</v>
      </c>
      <c r="E25" s="307" t="s">
        <v>199</v>
      </c>
      <c r="F25" s="224">
        <f>'[8]USPS MM FLATS'!F81</f>
        <v>136487836.98425746</v>
      </c>
      <c r="G25" s="224">
        <f>'[8]USPS MM FLATS'!G81</f>
        <v>46222141.998219498</v>
      </c>
      <c r="H25" s="398">
        <f t="shared" si="10"/>
        <v>182709978.98247695</v>
      </c>
      <c r="I25" s="224">
        <f>'[8]USPS MM FLATS'!I81</f>
        <v>31.759991596846589</v>
      </c>
      <c r="J25" s="224">
        <f>'[8]USPS MM FLATS'!J81</f>
        <v>25.868614690383641</v>
      </c>
      <c r="K25" s="324">
        <f t="shared" si="11"/>
        <v>4297477.1126138829</v>
      </c>
      <c r="L25" s="324">
        <f t="shared" si="11"/>
        <v>1786803.9147609263</v>
      </c>
      <c r="M25" s="2">
        <f t="shared" si="12"/>
        <v>6084281.0273748096</v>
      </c>
      <c r="N25" s="220"/>
      <c r="O25" s="220"/>
      <c r="Q25" s="2"/>
    </row>
    <row r="26" spans="1:17" ht="13" x14ac:dyDescent="0.3">
      <c r="A26" s="3" t="s">
        <v>146</v>
      </c>
      <c r="B26" s="3" t="s">
        <v>146</v>
      </c>
      <c r="C26" s="257"/>
      <c r="D26" s="258"/>
      <c r="E26" s="258"/>
      <c r="F26" s="3">
        <f>SUM(F23:F25)</f>
        <v>333017687.95893854</v>
      </c>
      <c r="G26" s="3">
        <f>SUM(G23:G25)</f>
        <v>107068508.81991391</v>
      </c>
      <c r="H26" s="3">
        <f t="shared" ref="H26" si="13">SUM(H23:H25)</f>
        <v>440086196.77885246</v>
      </c>
      <c r="K26" s="140"/>
      <c r="M26" s="387">
        <f>SUM(M23:M25)*10000/H26</f>
        <v>391.68264087869949</v>
      </c>
      <c r="O26" s="220"/>
    </row>
    <row r="27" spans="1:17" ht="13" x14ac:dyDescent="0.3">
      <c r="A27" s="257"/>
      <c r="B27" s="257"/>
      <c r="C27" s="257"/>
      <c r="D27" s="258"/>
      <c r="E27" s="258"/>
      <c r="F27" s="224"/>
      <c r="G27" s="224"/>
      <c r="H27" s="224"/>
      <c r="K27" s="140"/>
      <c r="O27" s="220"/>
    </row>
    <row r="28" spans="1:17" ht="13" x14ac:dyDescent="0.3">
      <c r="A28" s="257"/>
      <c r="F28" s="224"/>
      <c r="G28" s="224"/>
      <c r="H28" s="17"/>
      <c r="I28" s="305" t="s">
        <v>300</v>
      </c>
      <c r="J28" s="305" t="s">
        <v>300</v>
      </c>
      <c r="K28" s="140"/>
      <c r="O28" s="220"/>
    </row>
    <row r="29" spans="1:17" ht="13" x14ac:dyDescent="0.3">
      <c r="A29" s="257"/>
      <c r="F29" s="17" t="s">
        <v>298</v>
      </c>
      <c r="G29" s="17" t="s">
        <v>299</v>
      </c>
      <c r="H29" s="17" t="s">
        <v>146</v>
      </c>
      <c r="I29" s="305" t="s">
        <v>301</v>
      </c>
      <c r="J29" s="305" t="s">
        <v>301</v>
      </c>
      <c r="K29" s="17" t="s">
        <v>298</v>
      </c>
      <c r="L29" s="17" t="s">
        <v>299</v>
      </c>
      <c r="M29" s="17" t="s">
        <v>146</v>
      </c>
      <c r="O29" s="220"/>
    </row>
    <row r="30" spans="1:17" ht="13" x14ac:dyDescent="0.3">
      <c r="B30" s="257" t="s">
        <v>302</v>
      </c>
      <c r="C30" s="257" t="s">
        <v>303</v>
      </c>
      <c r="D30" s="258" t="s">
        <v>304</v>
      </c>
      <c r="E30" s="258" t="s">
        <v>376</v>
      </c>
      <c r="F30" s="140" t="s">
        <v>305</v>
      </c>
      <c r="G30" s="140" t="s">
        <v>305</v>
      </c>
      <c r="H30" s="140" t="s">
        <v>305</v>
      </c>
      <c r="I30" s="386" t="s">
        <v>624</v>
      </c>
      <c r="J30" s="386" t="s">
        <v>624</v>
      </c>
      <c r="K30" s="140" t="s">
        <v>489</v>
      </c>
      <c r="L30" s="140" t="s">
        <v>489</v>
      </c>
      <c r="M30" s="140" t="s">
        <v>489</v>
      </c>
      <c r="O30" s="220"/>
    </row>
    <row r="31" spans="1:17" s="224" customFormat="1" x14ac:dyDescent="0.25">
      <c r="A31" s="224">
        <v>24</v>
      </c>
      <c r="B31" s="224" t="s">
        <v>314</v>
      </c>
      <c r="C31" s="224" t="s">
        <v>159</v>
      </c>
      <c r="D31" s="307" t="s">
        <v>307</v>
      </c>
      <c r="E31" s="307" t="s">
        <v>200</v>
      </c>
      <c r="F31" s="224">
        <f>'[8]USPS MM FLATS'!F87</f>
        <v>39537521.836371429</v>
      </c>
      <c r="G31" s="224">
        <f>'[8]USPS MM FLATS'!G87</f>
        <v>4586500.2870860798</v>
      </c>
      <c r="H31" s="324">
        <f t="shared" ref="H31:H34" si="14">SUM(F31:G31)</f>
        <v>44124022.123457506</v>
      </c>
      <c r="I31" s="224">
        <f>'[8]USPS MM FLATS'!I87</f>
        <v>24.004189121034827</v>
      </c>
      <c r="J31" s="224">
        <f>'[8]USPS MM FLATS'!J87</f>
        <v>21.262755011663241</v>
      </c>
      <c r="K31" s="324">
        <f t="shared" ref="K31:L34" si="15">IF(I31&lt;&gt;0,F31/I31,0)</f>
        <v>1647109.2456826535</v>
      </c>
      <c r="L31" s="324">
        <f t="shared" si="15"/>
        <v>215705.8332549216</v>
      </c>
      <c r="M31" s="2">
        <f t="shared" ref="M31:M34" si="16">SUM(K31:L31)</f>
        <v>1862815.0789375752</v>
      </c>
      <c r="N31" s="362"/>
      <c r="O31" s="220"/>
      <c r="Q31" s="2"/>
    </row>
    <row r="32" spans="1:17" s="224" customFormat="1" x14ac:dyDescent="0.25">
      <c r="A32" s="224">
        <v>25</v>
      </c>
      <c r="B32" s="224" t="s">
        <v>314</v>
      </c>
      <c r="C32" s="224" t="s">
        <v>159</v>
      </c>
      <c r="D32" s="307" t="s">
        <v>592</v>
      </c>
      <c r="E32" s="307" t="s">
        <v>200</v>
      </c>
      <c r="F32" s="224">
        <f>'[8]USPS MM FLATS'!F88</f>
        <v>117241706.62045027</v>
      </c>
      <c r="G32" s="224">
        <f>'[8]USPS MM FLATS'!G88</f>
        <v>6383249.6637684545</v>
      </c>
      <c r="H32" s="324">
        <f t="shared" si="14"/>
        <v>123624956.28421873</v>
      </c>
      <c r="I32" s="224">
        <f>'[8]USPS MM FLATS'!I88</f>
        <v>24.189552889038556</v>
      </c>
      <c r="J32" s="224">
        <f>'[8]USPS MM FLATS'!J88</f>
        <v>22.060250536007715</v>
      </c>
      <c r="K32" s="324">
        <f t="shared" si="15"/>
        <v>4846790.9745276067</v>
      </c>
      <c r="L32" s="324">
        <f t="shared" si="15"/>
        <v>289355.26608591469</v>
      </c>
      <c r="M32" s="2">
        <f t="shared" si="16"/>
        <v>5136146.2406135211</v>
      </c>
      <c r="N32" s="362"/>
      <c r="O32" s="220"/>
      <c r="Q32" s="2"/>
    </row>
    <row r="33" spans="1:17" s="224" customFormat="1" x14ac:dyDescent="0.25">
      <c r="A33" s="224">
        <v>26</v>
      </c>
      <c r="B33" s="224" t="s">
        <v>314</v>
      </c>
      <c r="C33" s="224" t="s">
        <v>159</v>
      </c>
      <c r="D33" s="307" t="s">
        <v>199</v>
      </c>
      <c r="E33" s="307" t="s">
        <v>200</v>
      </c>
      <c r="F33" s="224">
        <f>'[8]USPS MM FLATS'!F89</f>
        <v>770125653.59018052</v>
      </c>
      <c r="G33" s="224">
        <f>'[8]USPS MM FLATS'!G89</f>
        <v>52981452.978092961</v>
      </c>
      <c r="H33" s="324">
        <f t="shared" si="14"/>
        <v>823107106.56827343</v>
      </c>
      <c r="I33" s="224">
        <f>'[8]USPS MM FLATS'!I89</f>
        <v>29.18086254391665</v>
      </c>
      <c r="J33" s="224">
        <f>'[8]USPS MM FLATS'!J89</f>
        <v>27.313303409704879</v>
      </c>
      <c r="K33" s="324">
        <f t="shared" si="15"/>
        <v>26391462.981300019</v>
      </c>
      <c r="L33" s="324">
        <f t="shared" si="15"/>
        <v>1939767.3061863235</v>
      </c>
      <c r="M33" s="2">
        <f t="shared" si="16"/>
        <v>28331230.287486341</v>
      </c>
      <c r="N33" s="362"/>
      <c r="O33" s="220"/>
      <c r="Q33" s="2"/>
    </row>
    <row r="34" spans="1:17" s="224" customFormat="1" x14ac:dyDescent="0.25">
      <c r="A34" s="224">
        <v>27</v>
      </c>
      <c r="B34" s="224" t="s">
        <v>314</v>
      </c>
      <c r="C34" s="224" t="s">
        <v>159</v>
      </c>
      <c r="D34" s="307" t="s">
        <v>200</v>
      </c>
      <c r="E34" s="307" t="s">
        <v>200</v>
      </c>
      <c r="F34" s="224">
        <f>'[8]USPS MM FLATS'!F90</f>
        <v>20965072.553833622</v>
      </c>
      <c r="G34" s="224">
        <f>'[8]USPS MM FLATS'!G90</f>
        <v>58181519.330674484</v>
      </c>
      <c r="H34" s="324">
        <f t="shared" si="14"/>
        <v>79146591.884508103</v>
      </c>
      <c r="I34" s="224">
        <f>'[8]USPS MM FLATS'!I90</f>
        <v>36.552655147287922</v>
      </c>
      <c r="J34" s="224">
        <f>'[8]USPS MM FLATS'!J90</f>
        <v>33.763112001765705</v>
      </c>
      <c r="K34" s="324">
        <f t="shared" si="15"/>
        <v>573558.13057506864</v>
      </c>
      <c r="L34" s="324">
        <f t="shared" si="15"/>
        <v>1723227.3887440166</v>
      </c>
      <c r="M34" s="2">
        <f t="shared" si="16"/>
        <v>2296785.5193190854</v>
      </c>
      <c r="N34" s="220"/>
      <c r="O34" s="220"/>
      <c r="Q34" s="2"/>
    </row>
    <row r="35" spans="1:17" s="3" customFormat="1" ht="13" x14ac:dyDescent="0.3">
      <c r="A35" s="3" t="s">
        <v>146</v>
      </c>
      <c r="B35" s="3" t="s">
        <v>146</v>
      </c>
      <c r="D35" s="222"/>
      <c r="E35" s="222"/>
      <c r="F35" s="3">
        <f>SUM(F31:F34)</f>
        <v>947869954.6008358</v>
      </c>
      <c r="G35" s="3">
        <f t="shared" ref="G35:H35" si="17">SUM(G31:G34)</f>
        <v>122132722.25962198</v>
      </c>
      <c r="H35" s="3">
        <f t="shared" si="17"/>
        <v>1070002676.8604578</v>
      </c>
      <c r="I35" s="224"/>
      <c r="J35" s="224"/>
      <c r="K35" s="17"/>
      <c r="L35" s="2"/>
      <c r="M35" s="387">
        <f>SUM(M31:M34)*10000/H35</f>
        <v>351.65311209089219</v>
      </c>
      <c r="N35" s="348"/>
      <c r="O35" s="220"/>
    </row>
    <row r="36" spans="1:17" x14ac:dyDescent="0.25">
      <c r="D36" s="221"/>
      <c r="E36" s="221"/>
      <c r="F36" s="224"/>
      <c r="G36" s="224"/>
      <c r="H36" s="224"/>
      <c r="I36" s="224"/>
      <c r="J36" s="224"/>
      <c r="K36" s="302"/>
      <c r="O36" s="220"/>
    </row>
    <row r="37" spans="1:17" x14ac:dyDescent="0.25">
      <c r="D37" s="221"/>
      <c r="E37" s="221"/>
      <c r="F37" s="224"/>
      <c r="G37" s="224"/>
      <c r="H37" s="224"/>
      <c r="I37" s="224"/>
      <c r="J37" s="224"/>
      <c r="K37" s="302"/>
      <c r="O37" s="220"/>
    </row>
    <row r="38" spans="1:17" ht="13" x14ac:dyDescent="0.3">
      <c r="F38" s="17"/>
      <c r="G38" s="17"/>
      <c r="H38" s="17"/>
      <c r="I38" s="17" t="s">
        <v>300</v>
      </c>
      <c r="J38" s="17" t="s">
        <v>300</v>
      </c>
      <c r="K38" s="302"/>
      <c r="O38" s="220"/>
    </row>
    <row r="39" spans="1:17" ht="13" x14ac:dyDescent="0.3">
      <c r="F39" s="17" t="s">
        <v>298</v>
      </c>
      <c r="G39" s="17" t="s">
        <v>299</v>
      </c>
      <c r="H39" s="17" t="s">
        <v>146</v>
      </c>
      <c r="I39" s="17" t="s">
        <v>301</v>
      </c>
      <c r="J39" s="17" t="s">
        <v>301</v>
      </c>
      <c r="K39" s="17" t="s">
        <v>298</v>
      </c>
      <c r="L39" s="17" t="s">
        <v>299</v>
      </c>
      <c r="M39" s="17" t="s">
        <v>146</v>
      </c>
      <c r="O39" s="220"/>
    </row>
    <row r="40" spans="1:17" ht="13" x14ac:dyDescent="0.3">
      <c r="B40" s="257" t="s">
        <v>302</v>
      </c>
      <c r="C40" s="257" t="s">
        <v>303</v>
      </c>
      <c r="D40" s="258" t="s">
        <v>304</v>
      </c>
      <c r="E40" s="258" t="s">
        <v>376</v>
      </c>
      <c r="F40" s="140" t="s">
        <v>305</v>
      </c>
      <c r="G40" s="140" t="s">
        <v>305</v>
      </c>
      <c r="H40" s="140" t="s">
        <v>305</v>
      </c>
      <c r="I40" s="386" t="s">
        <v>624</v>
      </c>
      <c r="J40" s="386" t="s">
        <v>624</v>
      </c>
      <c r="K40" s="140" t="s">
        <v>489</v>
      </c>
      <c r="L40" s="140" t="s">
        <v>489</v>
      </c>
      <c r="M40" s="140" t="s">
        <v>489</v>
      </c>
    </row>
    <row r="41" spans="1:17" s="3" customFormat="1" ht="13" x14ac:dyDescent="0.3">
      <c r="B41" s="224" t="s">
        <v>493</v>
      </c>
      <c r="C41" s="224" t="s">
        <v>159</v>
      </c>
      <c r="D41" s="307" t="s">
        <v>307</v>
      </c>
      <c r="E41" s="307" t="s">
        <v>366</v>
      </c>
      <c r="F41" s="324">
        <v>0</v>
      </c>
      <c r="G41" s="324">
        <v>0</v>
      </c>
      <c r="H41" s="324">
        <f>SUM(F41:G41)</f>
        <v>0</v>
      </c>
      <c r="I41" s="304">
        <v>0</v>
      </c>
      <c r="J41" s="304">
        <v>0</v>
      </c>
      <c r="K41" s="324">
        <f t="shared" ref="K41:L44" si="18">IF(I41&lt;&gt;0,F41/I41,0)</f>
        <v>0</v>
      </c>
      <c r="L41" s="324">
        <f t="shared" si="18"/>
        <v>0</v>
      </c>
      <c r="M41" s="2">
        <f t="shared" ref="M41:M44" si="19">SUM(K41:L41)</f>
        <v>0</v>
      </c>
      <c r="N41" s="220"/>
      <c r="O41" s="220"/>
    </row>
    <row r="42" spans="1:17" x14ac:dyDescent="0.25">
      <c r="B42" s="224" t="s">
        <v>493</v>
      </c>
      <c r="C42" s="224" t="s">
        <v>159</v>
      </c>
      <c r="D42" s="307" t="s">
        <v>592</v>
      </c>
      <c r="E42" s="307" t="s">
        <v>366</v>
      </c>
      <c r="F42" s="324">
        <v>0</v>
      </c>
      <c r="G42" s="324">
        <v>0</v>
      </c>
      <c r="H42" s="324">
        <f t="shared" ref="H42:H44" si="20">SUM(F42:G42)</f>
        <v>0</v>
      </c>
      <c r="I42" s="304">
        <v>0</v>
      </c>
      <c r="J42" s="304">
        <v>0</v>
      </c>
      <c r="K42" s="324">
        <f t="shared" si="18"/>
        <v>0</v>
      </c>
      <c r="L42" s="324">
        <f t="shared" si="18"/>
        <v>0</v>
      </c>
      <c r="M42" s="2">
        <f t="shared" si="19"/>
        <v>0</v>
      </c>
      <c r="N42" s="220"/>
      <c r="O42" s="220"/>
    </row>
    <row r="43" spans="1:17" x14ac:dyDescent="0.25">
      <c r="B43" s="224" t="s">
        <v>493</v>
      </c>
      <c r="C43" s="224" t="s">
        <v>159</v>
      </c>
      <c r="D43" s="307" t="s">
        <v>199</v>
      </c>
      <c r="E43" s="307" t="s">
        <v>366</v>
      </c>
      <c r="F43" s="324">
        <v>0</v>
      </c>
      <c r="G43" s="324">
        <v>0</v>
      </c>
      <c r="H43" s="324">
        <f t="shared" si="20"/>
        <v>0</v>
      </c>
      <c r="I43" s="304">
        <v>0</v>
      </c>
      <c r="J43" s="304">
        <v>0</v>
      </c>
      <c r="K43" s="324">
        <f t="shared" si="18"/>
        <v>0</v>
      </c>
      <c r="L43" s="324">
        <f t="shared" si="18"/>
        <v>0</v>
      </c>
      <c r="M43" s="2">
        <f t="shared" si="19"/>
        <v>0</v>
      </c>
      <c r="N43" s="220"/>
      <c r="O43" s="220"/>
    </row>
    <row r="44" spans="1:17" x14ac:dyDescent="0.25">
      <c r="B44" s="224" t="s">
        <v>493</v>
      </c>
      <c r="C44" s="224" t="s">
        <v>159</v>
      </c>
      <c r="D44" s="307" t="s">
        <v>470</v>
      </c>
      <c r="E44" s="307" t="s">
        <v>366</v>
      </c>
      <c r="F44" s="324">
        <f>'[15]USPS MM FLATS'!$F$100</f>
        <v>0</v>
      </c>
      <c r="G44" s="324">
        <f>'[15]USPS MM FLATS'!$G$100</f>
        <v>0</v>
      </c>
      <c r="H44" s="324">
        <f t="shared" si="20"/>
        <v>0</v>
      </c>
      <c r="I44" s="304">
        <f>'[15]USPS MM FLATS'!$I$100</f>
        <v>0</v>
      </c>
      <c r="J44" s="304">
        <f>'[15]USPS MM FLATS'!$J$100</f>
        <v>0</v>
      </c>
      <c r="K44" s="324">
        <f t="shared" si="18"/>
        <v>0</v>
      </c>
      <c r="L44" s="324">
        <f t="shared" si="18"/>
        <v>0</v>
      </c>
      <c r="M44" s="2">
        <f t="shared" si="19"/>
        <v>0</v>
      </c>
      <c r="N44" s="220"/>
      <c r="O44" s="220"/>
    </row>
    <row r="45" spans="1:17" ht="13" x14ac:dyDescent="0.3">
      <c r="B45" s="3" t="s">
        <v>146</v>
      </c>
      <c r="C45" s="3"/>
      <c r="D45" s="222"/>
      <c r="E45" s="222"/>
      <c r="F45" s="3">
        <f>SUM(F41:F44)</f>
        <v>0</v>
      </c>
      <c r="G45" s="3">
        <f t="shared" ref="G45:H45" si="21">SUM(G41:G44)</f>
        <v>0</v>
      </c>
      <c r="H45" s="3">
        <f t="shared" si="21"/>
        <v>0</v>
      </c>
      <c r="I45" s="224"/>
      <c r="J45" s="224"/>
      <c r="N45" s="220"/>
      <c r="O45" s="220"/>
    </row>
    <row r="46" spans="1:17" ht="13" x14ac:dyDescent="0.3">
      <c r="I46" s="305"/>
      <c r="J46" s="305"/>
    </row>
    <row r="47" spans="1:17" ht="13" x14ac:dyDescent="0.3">
      <c r="I47" s="305" t="s">
        <v>300</v>
      </c>
      <c r="J47" s="305" t="s">
        <v>300</v>
      </c>
      <c r="K47" s="302"/>
    </row>
    <row r="48" spans="1:17" ht="13" x14ac:dyDescent="0.3">
      <c r="F48" s="17" t="s">
        <v>298</v>
      </c>
      <c r="G48" s="17" t="s">
        <v>299</v>
      </c>
      <c r="H48" s="17" t="s">
        <v>146</v>
      </c>
      <c r="I48" s="305" t="s">
        <v>301</v>
      </c>
      <c r="J48" s="305" t="s">
        <v>301</v>
      </c>
      <c r="K48" s="17" t="s">
        <v>298</v>
      </c>
      <c r="L48" s="17" t="s">
        <v>299</v>
      </c>
      <c r="M48" s="17" t="s">
        <v>146</v>
      </c>
    </row>
    <row r="49" spans="1:13" ht="13" x14ac:dyDescent="0.3">
      <c r="B49" s="257" t="s">
        <v>302</v>
      </c>
      <c r="C49" s="257" t="s">
        <v>303</v>
      </c>
      <c r="D49" s="258" t="s">
        <v>304</v>
      </c>
      <c r="E49" s="258" t="s">
        <v>376</v>
      </c>
      <c r="F49" s="140" t="s">
        <v>305</v>
      </c>
      <c r="G49" s="140" t="s">
        <v>305</v>
      </c>
      <c r="H49" s="140" t="s">
        <v>305</v>
      </c>
      <c r="I49" s="386" t="s">
        <v>624</v>
      </c>
      <c r="J49" s="386" t="s">
        <v>624</v>
      </c>
      <c r="K49" s="140" t="s">
        <v>489</v>
      </c>
      <c r="L49" s="140" t="s">
        <v>489</v>
      </c>
      <c r="M49" s="140" t="s">
        <v>489</v>
      </c>
    </row>
    <row r="50" spans="1:13" x14ac:dyDescent="0.25">
      <c r="B50" s="224" t="s">
        <v>494</v>
      </c>
      <c r="C50" s="224" t="s">
        <v>159</v>
      </c>
      <c r="D50" s="307" t="s">
        <v>471</v>
      </c>
      <c r="E50" s="307" t="s">
        <v>366</v>
      </c>
      <c r="F50" s="324">
        <v>0</v>
      </c>
      <c r="G50" s="324">
        <v>0</v>
      </c>
      <c r="H50" s="324">
        <f>SUM(F50:G50)</f>
        <v>0</v>
      </c>
      <c r="I50" s="304">
        <v>0</v>
      </c>
      <c r="J50" s="304">
        <v>0</v>
      </c>
      <c r="K50" s="324">
        <f>IF(I50&lt;&gt;0,F50/I50,0)</f>
        <v>0</v>
      </c>
      <c r="L50" s="324">
        <f>IF(J50&lt;&gt;0,G50/J50,0)</f>
        <v>0</v>
      </c>
      <c r="M50" s="2">
        <f>SUM(K50:L50)</f>
        <v>0</v>
      </c>
    </row>
    <row r="51" spans="1:13" ht="13" x14ac:dyDescent="0.3">
      <c r="B51" s="3" t="s">
        <v>146</v>
      </c>
      <c r="D51" s="221"/>
      <c r="E51" s="221"/>
      <c r="F51" s="180">
        <f>SUM(F50)</f>
        <v>0</v>
      </c>
      <c r="G51" s="180">
        <f t="shared" ref="G51:H51" si="22">SUM(G50)</f>
        <v>0</v>
      </c>
      <c r="H51" s="180">
        <f t="shared" si="22"/>
        <v>0</v>
      </c>
    </row>
    <row r="52" spans="1:13" ht="14.5" x14ac:dyDescent="0.35">
      <c r="F52" s="389"/>
      <c r="G52" s="389"/>
      <c r="H52" s="224"/>
      <c r="M52" s="387"/>
    </row>
    <row r="53" spans="1:13" x14ac:dyDescent="0.25">
      <c r="E53" s="224"/>
      <c r="F53" s="324"/>
      <c r="G53" s="224"/>
      <c r="H53" s="224"/>
    </row>
    <row r="54" spans="1:13" ht="13" x14ac:dyDescent="0.3">
      <c r="B54" s="3" t="s">
        <v>490</v>
      </c>
      <c r="E54" s="224"/>
      <c r="F54" s="324"/>
      <c r="G54" s="224"/>
      <c r="H54" s="395"/>
      <c r="I54" s="334"/>
    </row>
    <row r="55" spans="1:13" x14ac:dyDescent="0.25">
      <c r="B55" s="2" t="s">
        <v>307</v>
      </c>
      <c r="C55" s="308">
        <f>SUMIF($E$8:$E$50,$B55,$H$8:$H$50)/SUMIF($E$8:$E$50,$B55,$M$8:$M$50)</f>
        <v>22.356588046458661</v>
      </c>
      <c r="E55" s="307"/>
      <c r="F55" s="324"/>
      <c r="G55" s="224"/>
      <c r="H55" s="395"/>
      <c r="I55" s="334"/>
    </row>
    <row r="56" spans="1:13" x14ac:dyDescent="0.25">
      <c r="B56" s="2" t="s">
        <v>198</v>
      </c>
      <c r="C56" s="308">
        <f>SUMIF($E$8:$E$50,$B56,$H$8:$H$50)/SUMIF($E$8:$E$50,$B56,$M$8:$M$50)</f>
        <v>15.029172432613739</v>
      </c>
      <c r="E56" s="307"/>
      <c r="F56" s="335"/>
      <c r="G56" s="224"/>
      <c r="H56" s="395"/>
      <c r="I56" s="334"/>
    </row>
    <row r="57" spans="1:13" x14ac:dyDescent="0.25">
      <c r="B57" s="307" t="s">
        <v>199</v>
      </c>
      <c r="C57" s="308">
        <f>SUMIF($E$8:$E$50,$B57,$H$8:$H$50)/SUMIF($E$8:$E$50,$B57,$M$8:$M$50)</f>
        <v>25.530873611263534</v>
      </c>
      <c r="F57" s="324"/>
      <c r="G57" s="224"/>
      <c r="H57" s="395"/>
      <c r="I57" s="334"/>
    </row>
    <row r="58" spans="1:13" x14ac:dyDescent="0.25">
      <c r="B58" s="307" t="s">
        <v>200</v>
      </c>
      <c r="C58" s="308">
        <f>SUMIF($E$8:$E$50,$B58,$H$8:$H$50)/SUMIF($E$8:$E$50,$B58,$M$8:$M$50)</f>
        <v>28.437115032314253</v>
      </c>
      <c r="F58" s="393"/>
      <c r="G58" s="394"/>
      <c r="H58" s="395"/>
      <c r="I58" s="334"/>
    </row>
    <row r="59" spans="1:13" s="3" customFormat="1" ht="13" x14ac:dyDescent="0.3">
      <c r="B59" s="307" t="s">
        <v>366</v>
      </c>
      <c r="C59" s="308">
        <v>0</v>
      </c>
      <c r="D59" s="2"/>
      <c r="E59" s="2"/>
      <c r="F59" s="220"/>
      <c r="G59" s="2"/>
      <c r="H59" s="2"/>
      <c r="I59" s="334"/>
      <c r="J59" s="304"/>
    </row>
    <row r="60" spans="1:13" ht="13" x14ac:dyDescent="0.3">
      <c r="B60" s="3"/>
      <c r="C60" s="3"/>
      <c r="D60" s="3"/>
      <c r="E60" s="3"/>
      <c r="F60" s="180"/>
      <c r="G60" s="3"/>
      <c r="H60" s="3"/>
      <c r="I60" s="305"/>
      <c r="J60" s="305"/>
    </row>
    <row r="62" spans="1:13" ht="13" x14ac:dyDescent="0.3">
      <c r="I62" s="305"/>
      <c r="J62" s="305"/>
    </row>
    <row r="63" spans="1:13" ht="13" x14ac:dyDescent="0.3">
      <c r="A63" s="257"/>
      <c r="I63" s="305"/>
      <c r="J63" s="305"/>
    </row>
    <row r="64" spans="1:13" ht="13" x14ac:dyDescent="0.3">
      <c r="B64" s="257"/>
      <c r="C64" s="257"/>
      <c r="D64" s="258"/>
      <c r="E64" s="258"/>
      <c r="F64" s="392"/>
      <c r="G64" s="140"/>
      <c r="H64" s="140"/>
      <c r="I64" s="386"/>
      <c r="J64" s="386"/>
    </row>
    <row r="70" spans="1:10" x14ac:dyDescent="0.25">
      <c r="F70" s="393"/>
      <c r="G70" s="394"/>
      <c r="H70" s="394"/>
    </row>
    <row r="71" spans="1:10" s="3" customFormat="1" ht="13" x14ac:dyDescent="0.3">
      <c r="B71" s="2"/>
      <c r="C71" s="2"/>
      <c r="D71" s="2"/>
      <c r="E71" s="2"/>
      <c r="F71" s="220"/>
      <c r="G71" s="2"/>
      <c r="H71" s="2"/>
      <c r="I71" s="304"/>
      <c r="J71" s="304"/>
    </row>
    <row r="72" spans="1:10" ht="13" x14ac:dyDescent="0.3">
      <c r="B72" s="3"/>
      <c r="C72" s="3"/>
      <c r="D72" s="3"/>
      <c r="E72" s="3"/>
      <c r="F72" s="180"/>
      <c r="G72" s="3"/>
      <c r="H72" s="3"/>
      <c r="I72" s="305"/>
      <c r="J72" s="305"/>
    </row>
    <row r="74" spans="1:10" ht="13" x14ac:dyDescent="0.3">
      <c r="I74" s="305"/>
      <c r="J74" s="305"/>
    </row>
    <row r="75" spans="1:10" ht="13" x14ac:dyDescent="0.3">
      <c r="A75" s="257"/>
      <c r="I75" s="305"/>
      <c r="J75" s="305"/>
    </row>
    <row r="76" spans="1:10" ht="13" x14ac:dyDescent="0.3">
      <c r="B76" s="257"/>
      <c r="C76" s="257"/>
      <c r="D76" s="258"/>
      <c r="E76" s="258"/>
      <c r="F76" s="392"/>
      <c r="G76" s="140"/>
      <c r="H76" s="140"/>
      <c r="I76" s="386"/>
      <c r="J76" s="386"/>
    </row>
    <row r="80" spans="1:10" x14ac:dyDescent="0.25">
      <c r="F80" s="393"/>
      <c r="G80" s="394"/>
      <c r="H80" s="394"/>
    </row>
    <row r="81" spans="2:10" s="3" customFormat="1" ht="13" x14ac:dyDescent="0.3">
      <c r="B81" s="2"/>
      <c r="C81" s="2"/>
      <c r="D81" s="2"/>
      <c r="E81" s="2"/>
      <c r="F81" s="393"/>
      <c r="G81" s="394"/>
      <c r="H81" s="394"/>
      <c r="I81" s="304"/>
      <c r="J81" s="304"/>
    </row>
    <row r="82" spans="2:10" ht="13" x14ac:dyDescent="0.3">
      <c r="B82" s="3"/>
      <c r="C82" s="3"/>
      <c r="D82" s="3"/>
      <c r="E82" s="3"/>
      <c r="F82" s="180"/>
      <c r="G82" s="3"/>
      <c r="H82" s="3"/>
      <c r="I82" s="305"/>
      <c r="J82" s="305"/>
    </row>
  </sheetData>
  <pageMargins left="0.7" right="0.7" top="0.75" bottom="0.75" header="0.3" footer="0.3"/>
  <pageSetup scale="42" orientation="portrait" r:id="rId1"/>
</worksheet>
</file>

<file path=xl/worksheets/sheet6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51">
    <pageSetUpPr fitToPage="1"/>
  </sheetPr>
  <dimension ref="A1:N35"/>
  <sheetViews>
    <sheetView zoomScale="115" zoomScaleNormal="115" workbookViewId="0"/>
  </sheetViews>
  <sheetFormatPr defaultRowHeight="13" x14ac:dyDescent="0.3"/>
  <cols>
    <col min="1" max="1" width="22.7265625" style="1" customWidth="1"/>
    <col min="2" max="2" width="10.7265625" style="34" customWidth="1"/>
    <col min="3" max="10" width="16.7265625" style="13" customWidth="1"/>
    <col min="11" max="11" width="9.54296875" style="13" customWidth="1"/>
    <col min="12" max="12" width="11.1796875" customWidth="1"/>
  </cols>
  <sheetData>
    <row r="1" spans="1:14" ht="18" x14ac:dyDescent="0.4">
      <c r="A1" s="5" t="s">
        <v>259</v>
      </c>
      <c r="B1" s="53"/>
      <c r="L1" s="33"/>
    </row>
    <row r="2" spans="1:14" ht="15.5" x14ac:dyDescent="0.35">
      <c r="A2" s="52"/>
      <c r="B2" s="53"/>
      <c r="L2" s="33"/>
    </row>
    <row r="3" spans="1:14" ht="15.5" x14ac:dyDescent="0.35">
      <c r="A3" s="52"/>
      <c r="B3" s="53"/>
      <c r="L3" s="33"/>
    </row>
    <row r="4" spans="1:14" ht="15.5" x14ac:dyDescent="0.35">
      <c r="A4" s="52"/>
      <c r="B4" s="53"/>
      <c r="C4" s="14" t="s">
        <v>424</v>
      </c>
      <c r="D4" s="14" t="s">
        <v>424</v>
      </c>
      <c r="E4" s="14" t="s">
        <v>418</v>
      </c>
      <c r="F4" s="14" t="s">
        <v>425</v>
      </c>
      <c r="G4" s="14" t="s">
        <v>395</v>
      </c>
      <c r="H4" s="426"/>
      <c r="I4" s="427" t="s">
        <v>437</v>
      </c>
      <c r="J4" s="427" t="s">
        <v>455</v>
      </c>
      <c r="L4" s="33"/>
    </row>
    <row r="5" spans="1:14" x14ac:dyDescent="0.3">
      <c r="C5" s="14" t="s">
        <v>143</v>
      </c>
      <c r="D5" s="14" t="s">
        <v>144</v>
      </c>
      <c r="F5" s="14" t="s">
        <v>145</v>
      </c>
      <c r="G5" s="14" t="s">
        <v>257</v>
      </c>
      <c r="H5" s="428"/>
      <c r="I5" s="426">
        <v>0</v>
      </c>
      <c r="J5" s="426">
        <f>1-I5</f>
        <v>1</v>
      </c>
      <c r="K5" s="14" t="s">
        <v>146</v>
      </c>
      <c r="L5" s="33"/>
    </row>
    <row r="6" spans="1:14" x14ac:dyDescent="0.3">
      <c r="B6" s="34" t="s">
        <v>286</v>
      </c>
      <c r="C6" s="14" t="s">
        <v>148</v>
      </c>
      <c r="D6" s="14" t="s">
        <v>149</v>
      </c>
      <c r="E6" s="14" t="s">
        <v>150</v>
      </c>
      <c r="F6" s="14" t="s">
        <v>151</v>
      </c>
      <c r="G6" s="14" t="s">
        <v>152</v>
      </c>
      <c r="H6" s="426" t="s">
        <v>438</v>
      </c>
      <c r="I6" s="426" t="s">
        <v>439</v>
      </c>
      <c r="J6" s="426" t="s">
        <v>440</v>
      </c>
      <c r="K6" s="14" t="s">
        <v>153</v>
      </c>
      <c r="L6" s="33"/>
    </row>
    <row r="7" spans="1:14" x14ac:dyDescent="0.3">
      <c r="A7" s="36" t="s">
        <v>154</v>
      </c>
      <c r="B7" s="55" t="s">
        <v>287</v>
      </c>
      <c r="C7" s="268" t="s">
        <v>153</v>
      </c>
      <c r="D7" s="268" t="s">
        <v>153</v>
      </c>
      <c r="E7" s="268" t="s">
        <v>153</v>
      </c>
      <c r="F7" s="268" t="s">
        <v>258</v>
      </c>
      <c r="G7" s="268" t="s">
        <v>155</v>
      </c>
      <c r="H7" s="426" t="s">
        <v>441</v>
      </c>
      <c r="I7" s="429" t="s">
        <v>442</v>
      </c>
      <c r="J7" s="429" t="s">
        <v>443</v>
      </c>
      <c r="K7" s="268" t="s">
        <v>155</v>
      </c>
      <c r="L7" s="33"/>
    </row>
    <row r="8" spans="1:14" x14ac:dyDescent="0.3">
      <c r="A8" s="1" t="s">
        <v>533</v>
      </c>
      <c r="B8" s="34" t="s">
        <v>156</v>
      </c>
      <c r="C8" s="13" t="s">
        <v>160</v>
      </c>
      <c r="D8" s="13" t="s">
        <v>160</v>
      </c>
      <c r="E8" s="13" t="s">
        <v>160</v>
      </c>
      <c r="F8" s="13" t="s">
        <v>160</v>
      </c>
      <c r="G8" s="13" t="s">
        <v>160</v>
      </c>
      <c r="K8" s="13">
        <f>[16]Flats!$H$8</f>
        <v>0.84905640284582573</v>
      </c>
    </row>
    <row r="9" spans="1:14" x14ac:dyDescent="0.3">
      <c r="B9" s="34" t="s">
        <v>157</v>
      </c>
      <c r="L9" s="430"/>
    </row>
    <row r="10" spans="1:14" x14ac:dyDescent="0.3">
      <c r="L10" s="430"/>
    </row>
    <row r="11" spans="1:14" x14ac:dyDescent="0.3">
      <c r="B11" s="34" t="s">
        <v>156</v>
      </c>
      <c r="C11" s="13" t="s">
        <v>160</v>
      </c>
      <c r="D11" s="13" t="s">
        <v>160</v>
      </c>
      <c r="E11" s="13" t="s">
        <v>160</v>
      </c>
      <c r="F11" s="13" t="s">
        <v>160</v>
      </c>
      <c r="G11" s="13" t="s">
        <v>160</v>
      </c>
      <c r="K11" s="13">
        <f>[16]Flats!$H$11</f>
        <v>0.88162885148614423</v>
      </c>
      <c r="L11" s="431" t="s">
        <v>396</v>
      </c>
      <c r="N11" s="20"/>
    </row>
    <row r="12" spans="1:14" x14ac:dyDescent="0.3">
      <c r="B12" s="34" t="s">
        <v>158</v>
      </c>
      <c r="L12" s="430"/>
      <c r="N12" s="20"/>
    </row>
    <row r="13" spans="1:14" x14ac:dyDescent="0.3">
      <c r="L13" s="430"/>
      <c r="N13" s="20"/>
    </row>
    <row r="14" spans="1:14" x14ac:dyDescent="0.3">
      <c r="A14" s="1" t="s">
        <v>159</v>
      </c>
      <c r="B14" s="34" t="s">
        <v>147</v>
      </c>
      <c r="C14" s="13">
        <v>0.93870034201525909</v>
      </c>
      <c r="D14" s="13">
        <v>0.73631576953672484</v>
      </c>
      <c r="E14" s="179" t="s">
        <v>160</v>
      </c>
      <c r="F14" s="409">
        <f>[16]Flats!F14</f>
        <v>1.2707072519633367E-2</v>
      </c>
      <c r="G14" s="409">
        <f>[16]Flats!$G$14</f>
        <v>0.92783966347078106</v>
      </c>
      <c r="H14" s="409">
        <f>(1-C14)*(1-G14)</f>
        <v>4.4234039493049266E-3</v>
      </c>
      <c r="I14" s="409">
        <f t="shared" ref="I14:J17" si="0">(1-$K14-$H14)*I$5</f>
        <v>0</v>
      </c>
      <c r="J14" s="409">
        <f t="shared" si="0"/>
        <v>4.230470142508428E-2</v>
      </c>
      <c r="K14" s="13">
        <f>[16]Flats!H14</f>
        <v>0.95327189462561079</v>
      </c>
      <c r="L14" s="431" t="s">
        <v>397</v>
      </c>
      <c r="N14" s="20"/>
    </row>
    <row r="15" spans="1:14" x14ac:dyDescent="0.3">
      <c r="B15" s="34" t="s">
        <v>163</v>
      </c>
      <c r="C15" s="13">
        <v>0.93870034201525909</v>
      </c>
      <c r="D15" s="13">
        <v>0.73631576953672484</v>
      </c>
      <c r="E15" s="179" t="s">
        <v>160</v>
      </c>
      <c r="F15" s="409">
        <f>[16]Flats!F15</f>
        <v>7.9879359908480909E-3</v>
      </c>
      <c r="G15" s="409">
        <f>[16]Flats!$G$14</f>
        <v>0.92783966347078106</v>
      </c>
      <c r="H15" s="409">
        <f>(1-C15)*(1-G15)</f>
        <v>4.4234039493049266E-3</v>
      </c>
      <c r="I15" s="409">
        <f t="shared" si="0"/>
        <v>0</v>
      </c>
      <c r="J15" s="409">
        <f t="shared" si="0"/>
        <v>8.8269153113739424E-2</v>
      </c>
      <c r="K15" s="13">
        <f>[16]Flats!H15</f>
        <v>0.90730744293695564</v>
      </c>
      <c r="L15" s="431" t="s">
        <v>397</v>
      </c>
      <c r="N15" s="20"/>
    </row>
    <row r="16" spans="1:14" x14ac:dyDescent="0.3">
      <c r="B16" s="34" t="s">
        <v>164</v>
      </c>
      <c r="C16" s="13">
        <v>0.93870034201525909</v>
      </c>
      <c r="D16" s="13">
        <v>0.73631576953672484</v>
      </c>
      <c r="E16" s="179" t="s">
        <v>160</v>
      </c>
      <c r="F16" s="409">
        <f>[16]Flats!F16</f>
        <v>1.005332231380021E-2</v>
      </c>
      <c r="G16" s="409">
        <f>[16]Flats!$G$14</f>
        <v>0.92783966347078106</v>
      </c>
      <c r="H16" s="409">
        <f>(1-C16)*(1-G16)</f>
        <v>4.4234039493049266E-3</v>
      </c>
      <c r="I16" s="409">
        <f t="shared" si="0"/>
        <v>0</v>
      </c>
      <c r="J16" s="409">
        <f t="shared" si="0"/>
        <v>6.8093412525220748E-2</v>
      </c>
      <c r="K16" s="13">
        <f>[16]Flats!H16</f>
        <v>0.92748318352547432</v>
      </c>
      <c r="L16" s="431" t="s">
        <v>397</v>
      </c>
      <c r="N16" s="20"/>
    </row>
    <row r="17" spans="1:14" x14ac:dyDescent="0.3">
      <c r="B17" s="34" t="s">
        <v>165</v>
      </c>
      <c r="C17" s="13">
        <v>0.93870034201525909</v>
      </c>
      <c r="D17" s="13">
        <v>0.73631576953672484</v>
      </c>
      <c r="E17" s="179" t="s">
        <v>160</v>
      </c>
      <c r="F17" s="409">
        <f>[16]Flats!F17</f>
        <v>9.7273555860640064E-3</v>
      </c>
      <c r="G17" s="409">
        <f>[16]Flats!$G$14</f>
        <v>0.92783966347078106</v>
      </c>
      <c r="H17" s="409">
        <f>(1-C17)*(1-G17)</f>
        <v>4.4234039493049266E-3</v>
      </c>
      <c r="I17" s="409">
        <f t="shared" si="0"/>
        <v>0</v>
      </c>
      <c r="J17" s="409">
        <f t="shared" si="0"/>
        <v>4.5067770567996969E-2</v>
      </c>
      <c r="K17" s="13">
        <f>[16]Flats!H17</f>
        <v>0.95050882548269811</v>
      </c>
      <c r="L17" s="431" t="s">
        <v>397</v>
      </c>
      <c r="N17" s="20"/>
    </row>
    <row r="18" spans="1:14" x14ac:dyDescent="0.3">
      <c r="E18" s="179"/>
      <c r="F18" s="409"/>
      <c r="G18" s="409"/>
      <c r="H18" s="409"/>
      <c r="I18" s="409"/>
      <c r="J18" s="409"/>
      <c r="L18" s="431"/>
      <c r="N18" s="20"/>
    </row>
    <row r="19" spans="1:14" x14ac:dyDescent="0.3">
      <c r="A19" s="1" t="s">
        <v>232</v>
      </c>
      <c r="B19" s="34" t="s">
        <v>147</v>
      </c>
      <c r="C19" s="13">
        <v>0.93870034201525909</v>
      </c>
      <c r="D19" s="13">
        <v>0.73631576953672484</v>
      </c>
      <c r="E19" s="179">
        <v>0.95665634674922606</v>
      </c>
      <c r="F19" s="409" t="s">
        <v>160</v>
      </c>
      <c r="G19" s="409" t="s">
        <v>160</v>
      </c>
      <c r="H19" s="409"/>
      <c r="I19" s="409"/>
      <c r="J19" s="409"/>
      <c r="L19" s="431" t="s">
        <v>397</v>
      </c>
      <c r="N19" s="20"/>
    </row>
    <row r="20" spans="1:14" x14ac:dyDescent="0.3">
      <c r="B20" s="34" t="s">
        <v>163</v>
      </c>
      <c r="C20" s="13">
        <v>0.93870034201525909</v>
      </c>
      <c r="D20" s="13">
        <v>0.73631576953672484</v>
      </c>
      <c r="E20" s="179">
        <v>0.95665634674922606</v>
      </c>
      <c r="F20" s="409" t="s">
        <v>160</v>
      </c>
      <c r="G20" s="409" t="s">
        <v>160</v>
      </c>
      <c r="H20" s="409"/>
      <c r="I20" s="409"/>
      <c r="J20" s="409"/>
      <c r="K20" s="13" t="str">
        <f>[17]Flats!H20</f>
        <v>---</v>
      </c>
      <c r="L20" s="431" t="s">
        <v>397</v>
      </c>
      <c r="N20" s="20"/>
    </row>
    <row r="21" spans="1:14" x14ac:dyDescent="0.3">
      <c r="B21" s="34" t="s">
        <v>164</v>
      </c>
      <c r="C21" s="13">
        <v>0.93870034201525909</v>
      </c>
      <c r="D21" s="13">
        <v>0.73631576953672484</v>
      </c>
      <c r="E21" s="179">
        <v>0.95665634674922606</v>
      </c>
      <c r="F21" s="409" t="s">
        <v>160</v>
      </c>
      <c r="G21" s="409" t="s">
        <v>160</v>
      </c>
      <c r="H21" s="409"/>
      <c r="I21" s="409"/>
      <c r="J21" s="409"/>
      <c r="K21" s="13">
        <v>1</v>
      </c>
      <c r="L21" s="431" t="s">
        <v>397</v>
      </c>
      <c r="N21" s="20"/>
    </row>
    <row r="22" spans="1:14" x14ac:dyDescent="0.3">
      <c r="B22" s="34" t="s">
        <v>165</v>
      </c>
      <c r="C22" s="13">
        <v>0.93870034201525909</v>
      </c>
      <c r="D22" s="13">
        <v>0.73631576953672484</v>
      </c>
      <c r="E22" s="179">
        <f>E21</f>
        <v>0.95665634674922606</v>
      </c>
      <c r="F22" s="409" t="s">
        <v>160</v>
      </c>
      <c r="G22" s="409" t="s">
        <v>160</v>
      </c>
      <c r="H22" s="409"/>
      <c r="I22" s="409"/>
      <c r="J22" s="409"/>
      <c r="L22" s="431" t="s">
        <v>397</v>
      </c>
      <c r="N22" s="20"/>
    </row>
    <row r="23" spans="1:14" x14ac:dyDescent="0.3">
      <c r="C23" s="14"/>
      <c r="D23" s="14"/>
      <c r="L23" s="430"/>
      <c r="N23" s="20"/>
    </row>
    <row r="24" spans="1:14" x14ac:dyDescent="0.3">
      <c r="A24" s="1" t="s">
        <v>366</v>
      </c>
      <c r="C24" s="13">
        <v>0</v>
      </c>
      <c r="D24" s="13">
        <v>0</v>
      </c>
      <c r="E24" s="432">
        <v>0</v>
      </c>
      <c r="F24" s="432">
        <v>0</v>
      </c>
      <c r="G24" s="13">
        <v>0</v>
      </c>
      <c r="H24" s="409">
        <v>0</v>
      </c>
      <c r="I24" s="409">
        <v>0</v>
      </c>
      <c r="J24" s="409">
        <v>0</v>
      </c>
      <c r="K24" s="13">
        <f>[17]Flats!H24</f>
        <v>0</v>
      </c>
      <c r="L24" s="431" t="s">
        <v>398</v>
      </c>
    </row>
    <row r="26" spans="1:14" x14ac:dyDescent="0.3">
      <c r="A26" s="36" t="s">
        <v>597</v>
      </c>
    </row>
    <row r="27" spans="1:14" x14ac:dyDescent="0.3">
      <c r="A27" s="1" t="s">
        <v>161</v>
      </c>
    </row>
    <row r="28" spans="1:14" x14ac:dyDescent="0.3">
      <c r="A28" s="172" t="s">
        <v>612</v>
      </c>
      <c r="E28" s="1" t="s">
        <v>370</v>
      </c>
    </row>
    <row r="29" spans="1:14" x14ac:dyDescent="0.3">
      <c r="A29" s="172" t="s">
        <v>613</v>
      </c>
      <c r="E29" s="1" t="s">
        <v>370</v>
      </c>
    </row>
    <row r="30" spans="1:14" x14ac:dyDescent="0.3">
      <c r="A30" s="172" t="s">
        <v>614</v>
      </c>
      <c r="E30" s="1" t="s">
        <v>382</v>
      </c>
    </row>
    <row r="31" spans="1:14" x14ac:dyDescent="0.3">
      <c r="A31" s="172" t="s">
        <v>615</v>
      </c>
      <c r="E31" s="1" t="s">
        <v>370</v>
      </c>
    </row>
    <row r="32" spans="1:14" x14ac:dyDescent="0.3">
      <c r="A32" s="172" t="s">
        <v>616</v>
      </c>
      <c r="E32" s="1" t="s">
        <v>370</v>
      </c>
    </row>
    <row r="33" spans="1:5" x14ac:dyDescent="0.3">
      <c r="A33" s="1" t="s">
        <v>617</v>
      </c>
      <c r="E33" s="1" t="s">
        <v>370</v>
      </c>
    </row>
    <row r="34" spans="1:5" x14ac:dyDescent="0.3">
      <c r="A34" s="433" t="s">
        <v>456</v>
      </c>
      <c r="B34" s="434"/>
      <c r="C34" s="428"/>
      <c r="D34" s="428"/>
      <c r="E34" s="1" t="s">
        <v>370</v>
      </c>
    </row>
    <row r="35" spans="1:5" x14ac:dyDescent="0.3">
      <c r="A35" s="433" t="s">
        <v>457</v>
      </c>
      <c r="B35" s="434"/>
      <c r="C35" s="428"/>
      <c r="D35" s="428"/>
      <c r="E35" s="1" t="s">
        <v>370</v>
      </c>
    </row>
  </sheetData>
  <phoneticPr fontId="0" type="noConversion"/>
  <printOptions horizontalCentered="1"/>
  <pageMargins left="0.75" right="0.75" top="1" bottom="1" header="0.5" footer="0.5"/>
  <pageSetup scale="48" firstPageNumber="76" orientation="portrait" useFirstPageNumber="1" r:id="rId1"/>
  <headerFooter alignWithMargins="0">
    <oddFooter>&amp;CTab-'&amp;A'&amp;RPage 29</oddFooter>
  </headerFooter>
  <ignoredErrors>
    <ignoredError sqref="C4:J4 L11:L24" numberStoredAsText="1"/>
  </ignoredErrors>
</worksheet>
</file>

<file path=xl/worksheets/sheet6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48">
    <pageSetUpPr fitToPage="1"/>
  </sheetPr>
  <dimension ref="A1:L87"/>
  <sheetViews>
    <sheetView zoomScaleNormal="100"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2" ht="23" x14ac:dyDescent="0.5">
      <c r="A1" s="126" t="s">
        <v>510</v>
      </c>
    </row>
    <row r="2" spans="1:12" ht="18" x14ac:dyDescent="0.4">
      <c r="A2" s="5" t="s">
        <v>55</v>
      </c>
    </row>
    <row r="3" spans="1:12" s="7" customFormat="1" ht="12.75" customHeight="1" x14ac:dyDescent="0.3">
      <c r="A3" s="1"/>
      <c r="C3" s="134"/>
      <c r="D3" s="134"/>
      <c r="E3" s="135"/>
      <c r="F3" s="136"/>
      <c r="G3" s="137"/>
      <c r="H3" s="138"/>
      <c r="I3" s="138"/>
      <c r="J3" s="136"/>
    </row>
    <row r="4" spans="1:12"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2" s="7" customFormat="1" ht="12.75" customHeight="1" x14ac:dyDescent="0.3">
      <c r="A5" s="1"/>
      <c r="C5" s="134"/>
      <c r="D5" s="134"/>
      <c r="E5" s="135"/>
      <c r="F5" s="136"/>
      <c r="G5" s="137"/>
      <c r="H5" s="138"/>
      <c r="I5" s="138"/>
      <c r="J5" s="136"/>
      <c r="K5" s="1"/>
    </row>
    <row r="6" spans="1:12" ht="13" x14ac:dyDescent="0.3">
      <c r="D6" s="17" t="s">
        <v>251</v>
      </c>
      <c r="F6" s="139" t="s">
        <v>56</v>
      </c>
      <c r="H6" s="31" t="s">
        <v>57</v>
      </c>
      <c r="I6" s="31" t="s">
        <v>57</v>
      </c>
      <c r="J6" s="139" t="s">
        <v>3</v>
      </c>
      <c r="K6" s="139" t="s">
        <v>58</v>
      </c>
    </row>
    <row r="7" spans="1:12" ht="13" x14ac:dyDescent="0.3">
      <c r="C7" s="140"/>
      <c r="D7" s="17" t="s">
        <v>59</v>
      </c>
      <c r="E7" s="39" t="s">
        <v>60</v>
      </c>
      <c r="F7" s="139" t="s">
        <v>61</v>
      </c>
      <c r="G7" s="41" t="s">
        <v>62</v>
      </c>
      <c r="H7" s="31" t="s">
        <v>63</v>
      </c>
      <c r="I7" s="31" t="s">
        <v>63</v>
      </c>
      <c r="J7" s="139" t="s">
        <v>61</v>
      </c>
      <c r="K7" s="139" t="s">
        <v>61</v>
      </c>
    </row>
    <row r="8" spans="1:12" ht="13" x14ac:dyDescent="0.3">
      <c r="A8" s="36" t="s">
        <v>64</v>
      </c>
      <c r="C8" s="140" t="s">
        <v>7</v>
      </c>
      <c r="D8" s="140" t="s">
        <v>65</v>
      </c>
      <c r="E8" s="40" t="s">
        <v>66</v>
      </c>
      <c r="F8" s="141" t="s">
        <v>67</v>
      </c>
      <c r="G8" s="43" t="s">
        <v>68</v>
      </c>
      <c r="H8" s="37" t="s">
        <v>68</v>
      </c>
      <c r="I8" s="37" t="s">
        <v>69</v>
      </c>
      <c r="J8" s="141" t="s">
        <v>67</v>
      </c>
      <c r="K8" s="141" t="s">
        <v>67</v>
      </c>
    </row>
    <row r="9" spans="1:12" ht="13" x14ac:dyDescent="0.3">
      <c r="A9" s="36"/>
      <c r="C9" s="140"/>
      <c r="D9" s="140"/>
      <c r="E9" s="40"/>
      <c r="F9" s="141"/>
      <c r="G9" s="43"/>
      <c r="H9" s="37"/>
      <c r="I9" s="37"/>
      <c r="J9" s="141"/>
    </row>
    <row r="10" spans="1:12" ht="13" x14ac:dyDescent="0.3">
      <c r="A10" s="1" t="s">
        <v>252</v>
      </c>
      <c r="C10" s="140"/>
      <c r="D10" s="140"/>
      <c r="E10" s="40"/>
      <c r="F10" s="141"/>
      <c r="G10" s="43"/>
      <c r="H10" s="37"/>
      <c r="I10" s="37"/>
      <c r="J10" s="141"/>
    </row>
    <row r="11" spans="1:12" ht="13" x14ac:dyDescent="0.3">
      <c r="A11" s="36"/>
      <c r="B11" t="s">
        <v>234</v>
      </c>
      <c r="C11" s="151">
        <f>'BUNDLE SORT CR'!I12*('COVERAGE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C11*$J11/'3D AUTO MODEL'!$G$6</f>
        <v>0</v>
      </c>
      <c r="L11" s="247"/>
    </row>
    <row r="12" spans="1:12" ht="13" x14ac:dyDescent="0.3">
      <c r="A12" s="36"/>
      <c r="B12" t="s">
        <v>529</v>
      </c>
      <c r="C12" s="151">
        <f>'BUNDLE SORT CR'!I12*('COVERAGE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C12*$J12/'3D AUTO MODEL'!$G$6</f>
        <v>0</v>
      </c>
      <c r="L12" s="247"/>
    </row>
    <row r="13" spans="1:12" ht="13" x14ac:dyDescent="0.3">
      <c r="A13" s="36"/>
      <c r="B13" t="s">
        <v>70</v>
      </c>
      <c r="C13" s="151">
        <f>'BUNDLE SORT CR'!J12</f>
        <v>2.6424885563280478</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C13*$J13/'3D AUTO MODEL'!$G$6</f>
        <v>5.3597372857153661E-3</v>
      </c>
      <c r="L13" s="247"/>
    </row>
    <row r="14" spans="1:12" ht="13" x14ac:dyDescent="0.3">
      <c r="A14" s="36"/>
      <c r="C14" s="151"/>
      <c r="D14" s="151"/>
      <c r="E14" s="135"/>
      <c r="F14" s="136"/>
      <c r="G14" s="137"/>
      <c r="H14" s="137"/>
      <c r="I14" s="138"/>
      <c r="J14" s="136"/>
      <c r="L14" s="247"/>
    </row>
    <row r="15" spans="1:12" ht="13" x14ac:dyDescent="0.3">
      <c r="A15" s="1" t="s">
        <v>253</v>
      </c>
      <c r="C15" s="151"/>
      <c r="D15" s="151"/>
      <c r="E15" s="135"/>
      <c r="F15" s="136"/>
      <c r="G15" s="137"/>
      <c r="H15" s="137"/>
      <c r="I15" s="138"/>
      <c r="J15" s="136"/>
      <c r="L15" s="247"/>
    </row>
    <row r="16" spans="1:12" s="7" customFormat="1" x14ac:dyDescent="0.25">
      <c r="B16" s="7" t="s">
        <v>234</v>
      </c>
      <c r="C16" s="151">
        <f>'BUNDLE SORT CR'!M12*('COVERAGE FACTORS'!$E$30/('COVERAGE FACTORS'!$E$30+'COVERAGE FACTORS'!$E$32))</f>
        <v>5.7033971269502466</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C16*$J16/'3D AUTO MODEL'!$G$6</f>
        <v>2.1539139197572364E-2</v>
      </c>
      <c r="L16" s="247"/>
    </row>
    <row r="17" spans="1:12" ht="13" x14ac:dyDescent="0.3">
      <c r="A17" s="1"/>
      <c r="B17" t="s">
        <v>529</v>
      </c>
      <c r="C17" s="151">
        <f>'BUNDLE SORT CR'!M12*('COVERAGE FACTORS'!$E$32/('COVERAGE FACTORS'!$E$30+'COVERAGE FACTORS'!$E$32))</f>
        <v>6.8944776101825918</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C17*$J17/'3D AUTO MODEL'!$G$6</f>
        <v>3.011678894311624E-2</v>
      </c>
      <c r="L17" s="247"/>
    </row>
    <row r="18" spans="1:12" ht="13" x14ac:dyDescent="0.3">
      <c r="A18" s="1"/>
      <c r="B18" t="s">
        <v>70</v>
      </c>
      <c r="C18" s="151">
        <f>'BUNDLE SORT CR'!N12</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C18*$J18/'3D AUTO MODEL'!$G$6</f>
        <v>0</v>
      </c>
      <c r="L18" s="247"/>
    </row>
    <row r="19" spans="1:12" ht="13" x14ac:dyDescent="0.3">
      <c r="A19" s="1"/>
      <c r="C19" s="151"/>
      <c r="D19" s="151"/>
      <c r="E19" s="135"/>
      <c r="F19" s="136"/>
      <c r="G19" s="137"/>
      <c r="H19" s="137"/>
      <c r="I19" s="138"/>
      <c r="J19" s="136"/>
      <c r="L19" s="247"/>
    </row>
    <row r="20" spans="1:12" ht="13" x14ac:dyDescent="0.3">
      <c r="A20" s="1" t="s">
        <v>254</v>
      </c>
      <c r="C20" s="151"/>
      <c r="D20" s="151"/>
      <c r="E20" s="135"/>
      <c r="F20" s="136"/>
      <c r="G20" s="137"/>
      <c r="H20" s="137"/>
      <c r="I20" s="138"/>
      <c r="J20" s="136"/>
      <c r="L20" s="247"/>
    </row>
    <row r="21" spans="1:12" ht="13" x14ac:dyDescent="0.3">
      <c r="A21" s="1"/>
      <c r="B21" t="s">
        <v>234</v>
      </c>
      <c r="C21" s="151">
        <f>'BUNDLE SORT CR'!Q12*('COVERAGE FACTORS'!$E$30/('COVERAGE FACTORS'!$E$30+'COVERAGE FACTORS'!$E$32))</f>
        <v>178.69333137842742</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C21*$J21/'3D AUTO MODEL'!$G$6</f>
        <v>0.67484351037922197</v>
      </c>
      <c r="L21" s="247"/>
    </row>
    <row r="22" spans="1:12" ht="13" x14ac:dyDescent="0.3">
      <c r="A22" s="1"/>
      <c r="B22" t="s">
        <v>529</v>
      </c>
      <c r="C22" s="151">
        <f>'BUNDLE SORT CR'!Q12*('COVERAGE FACTORS'!$E$32/('COVERAGE FACTORS'!$E$30+'COVERAGE FACTORS'!$E$32))</f>
        <v>216.01111492937315</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C22*$J22/'3D AUTO MODEL'!$G$6</f>
        <v>0.94359014932283836</v>
      </c>
      <c r="L22" s="247"/>
    </row>
    <row r="23" spans="1:12" ht="13" x14ac:dyDescent="0.3">
      <c r="A23" s="1"/>
      <c r="B23" t="s">
        <v>70</v>
      </c>
      <c r="C23" s="151">
        <f>'BUNDLE SORT CR'!R12</f>
        <v>11.382826831919875</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C23*$J23/'3D AUTO MODEL'!$G$6</f>
        <v>2.308769180543176E-2</v>
      </c>
      <c r="L23" s="247"/>
    </row>
    <row r="24" spans="1:12" ht="13" x14ac:dyDescent="0.3">
      <c r="A24" s="1"/>
      <c r="C24" s="151"/>
      <c r="D24" s="151"/>
      <c r="E24" s="135"/>
      <c r="F24" s="136"/>
      <c r="G24" s="137"/>
      <c r="H24" s="137"/>
      <c r="I24" s="138"/>
      <c r="J24" s="136"/>
      <c r="L24" s="247"/>
    </row>
    <row r="25" spans="1:12" ht="13" x14ac:dyDescent="0.3">
      <c r="A25" s="1" t="s">
        <v>255</v>
      </c>
      <c r="C25" s="151"/>
      <c r="D25" s="151"/>
      <c r="E25" s="135"/>
      <c r="F25" s="136"/>
      <c r="G25" s="137"/>
      <c r="H25" s="137"/>
      <c r="I25" s="138"/>
      <c r="J25" s="136"/>
      <c r="L25" s="247"/>
    </row>
    <row r="26" spans="1:12" ht="13" x14ac:dyDescent="0.3">
      <c r="A26" s="1"/>
      <c r="B26" t="s">
        <v>234</v>
      </c>
      <c r="C26" s="151">
        <f>'BUNDLE SORT CR'!U12*('COVERAGE FACTORS'!$E$30/('COVERAGE FACTORS'!$E$30+'COVERAGE FACTORS'!$E$32))</f>
        <v>1.7942367809027335</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C26*$J26/'3D AUTO MODEL'!$G$6</f>
        <v>6.7760169802402147E-3</v>
      </c>
      <c r="L26" s="247"/>
    </row>
    <row r="27" spans="1:12" ht="13" x14ac:dyDescent="0.3">
      <c r="A27" s="1"/>
      <c r="B27" t="s">
        <v>529</v>
      </c>
      <c r="C27" s="151">
        <f>'BUNDLE SORT CR'!U12*('COVERAGE FACTORS'!$E$32/('COVERAGE FACTORS'!$E$30+'COVERAGE FACTORS'!$E$32))</f>
        <v>2.168939850750796</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C27*$J27/'3D AUTO MODEL'!$G$6</f>
        <v>9.4744674518778809E-3</v>
      </c>
      <c r="L27" s="247"/>
    </row>
    <row r="28" spans="1:12" ht="13" x14ac:dyDescent="0.3">
      <c r="A28" s="1"/>
      <c r="B28" t="s">
        <v>70</v>
      </c>
      <c r="C28" s="151">
        <f>'BUNDLE SORT CR'!V12</f>
        <v>392.35448653369951</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C28*$J28/'3D AUTO MODEL'!$G$6</f>
        <v>1.1083893967975766</v>
      </c>
      <c r="L28" s="247"/>
    </row>
    <row r="29" spans="1:12" ht="13" x14ac:dyDescent="0.3">
      <c r="A29" s="1"/>
      <c r="C29" s="149"/>
      <c r="D29" s="149"/>
      <c r="E29" s="135"/>
      <c r="F29" s="136"/>
      <c r="G29" s="137"/>
      <c r="H29" s="138"/>
      <c r="I29" s="138"/>
      <c r="J29" s="136"/>
      <c r="L29" s="247"/>
    </row>
    <row r="30" spans="1:12" ht="13" x14ac:dyDescent="0.3">
      <c r="A30" s="1" t="s">
        <v>71</v>
      </c>
      <c r="F30" s="42"/>
      <c r="H30" s="42"/>
      <c r="I30" s="42"/>
      <c r="J30" s="42"/>
      <c r="L30" s="247"/>
    </row>
    <row r="31" spans="1:12" ht="13" x14ac:dyDescent="0.3">
      <c r="A31" s="36"/>
      <c r="B31" t="s">
        <v>72</v>
      </c>
      <c r="C31" s="2">
        <f>SUM('CR MODEL'!$B$25:$B$29)</f>
        <v>0.3688719918389457</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C31*$J31/'3D AUTO MODEL'!$G$6</f>
        <v>1.8873987036480952E-4</v>
      </c>
      <c r="L31" s="247"/>
    </row>
    <row r="32" spans="1:12" ht="13" x14ac:dyDescent="0.3">
      <c r="A32" s="36"/>
      <c r="B32" t="s">
        <v>244</v>
      </c>
      <c r="C32" s="2">
        <f>SUM('CR MODEL'!$A$25:$A$29)</f>
        <v>2.2611726939877511E-2</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C32*$J32/'3D AUTO MODEL'!$G$6</f>
        <v>1.7050802833087436E-5</v>
      </c>
      <c r="L32" s="247"/>
    </row>
    <row r="33" spans="1:12" ht="13" x14ac:dyDescent="0.3">
      <c r="A33" s="36"/>
      <c r="B33" t="s">
        <v>291</v>
      </c>
      <c r="C33" s="2">
        <f>SUM('CR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C33*$J33/'3D AUTO MODEL'!$G$6</f>
        <v>0</v>
      </c>
      <c r="L33" s="247"/>
    </row>
    <row r="34" spans="1:12" x14ac:dyDescent="0.25">
      <c r="B34" t="s">
        <v>292</v>
      </c>
      <c r="C34" s="2">
        <f>SUM('CR MODEL'!$G$25:$G$29)</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C34*$J34/'3D AUTO MODEL'!$G$6</f>
        <v>0</v>
      </c>
      <c r="L34" s="247"/>
    </row>
    <row r="35" spans="1:12" x14ac:dyDescent="0.25">
      <c r="B35" t="s">
        <v>70</v>
      </c>
      <c r="C35" s="2">
        <f>SUM('CR MODEL'!$M$25:$M$29)</f>
        <v>1.7867410907486232E-2</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C35*$J35/'3D AUTO MODEL'!$G$6</f>
        <v>1.9305317835831553E-5</v>
      </c>
      <c r="L35" s="247"/>
    </row>
    <row r="36" spans="1:12" x14ac:dyDescent="0.25">
      <c r="F36" s="42"/>
      <c r="H36" s="42"/>
      <c r="I36" s="42"/>
      <c r="J36" s="42"/>
      <c r="L36" s="247"/>
    </row>
    <row r="37" spans="1:12" ht="13" x14ac:dyDescent="0.3">
      <c r="A37" s="1" t="s">
        <v>73</v>
      </c>
      <c r="F37" s="42"/>
      <c r="H37" s="42"/>
      <c r="I37" s="42"/>
      <c r="J37" s="42"/>
      <c r="L37" s="247"/>
    </row>
    <row r="38" spans="1:12" ht="13" x14ac:dyDescent="0.3">
      <c r="A38" s="36"/>
      <c r="B38" t="s">
        <v>72</v>
      </c>
      <c r="C38" s="2">
        <f>SUM('CR MODEL'!$B$38:$B$42)</f>
        <v>4.5505654518739974E-2</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C38*$J38/'3D AUTO MODEL'!$G$6</f>
        <v>1.614553715389369E-5</v>
      </c>
      <c r="L38" s="247"/>
    </row>
    <row r="39" spans="1:12" ht="13" x14ac:dyDescent="0.3">
      <c r="A39" s="36"/>
      <c r="B39" t="s">
        <v>244</v>
      </c>
      <c r="C39" s="2">
        <f>SUM('CR MODEL'!$A$38:$A$42)</f>
        <v>2.7894810583705401E-3</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C39*$J39/'3D AUTO MODEL'!$G$6</f>
        <v>2.1034612552757901E-6</v>
      </c>
      <c r="L39" s="247"/>
    </row>
    <row r="40" spans="1:12" x14ac:dyDescent="0.25">
      <c r="B40" t="s">
        <v>291</v>
      </c>
      <c r="C40" s="2">
        <f>SUM('CR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C40*$J40/'3D AUTO MODEL'!$G$6</f>
        <v>0</v>
      </c>
      <c r="L40" s="247"/>
    </row>
    <row r="41" spans="1:12" x14ac:dyDescent="0.25">
      <c r="B41" t="s">
        <v>292</v>
      </c>
      <c r="C41" s="2">
        <f>SUM('CR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C41*$J41/'3D AUTO MODEL'!$G$6</f>
        <v>0</v>
      </c>
      <c r="L41" s="247"/>
    </row>
    <row r="42" spans="1:12" x14ac:dyDescent="0.25">
      <c r="B42" t="s">
        <v>70</v>
      </c>
      <c r="C42" s="2">
        <f>SUM('CR MODEL'!$M$38:$M$42)</f>
        <v>5.8167708406910218E-3</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C42*$J42/'3D AUTO MODEL'!$G$6</f>
        <v>7.9456105783690851E-6</v>
      </c>
      <c r="L42" s="247"/>
    </row>
    <row r="43" spans="1:12" x14ac:dyDescent="0.25">
      <c r="F43" s="42"/>
      <c r="H43" s="42"/>
      <c r="I43" s="42"/>
      <c r="J43" s="42"/>
      <c r="L43" s="247"/>
    </row>
    <row r="44" spans="1:12" ht="13" x14ac:dyDescent="0.3">
      <c r="A44" s="1" t="s">
        <v>74</v>
      </c>
      <c r="F44" s="42"/>
      <c r="H44" s="42"/>
      <c r="I44" s="42"/>
      <c r="J44" s="42"/>
      <c r="L44" s="247"/>
    </row>
    <row r="45" spans="1:12" ht="13" x14ac:dyDescent="0.3">
      <c r="A45" s="36"/>
      <c r="B45" t="s">
        <v>72</v>
      </c>
      <c r="C45" s="2">
        <f>SUM('CR MODEL'!$B$53:$B$57)</f>
        <v>8.0803932291134171</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C45*$J45/'3D AUTO MODEL'!$G$6</f>
        <v>4.1332976494968662E-3</v>
      </c>
      <c r="L45" s="247"/>
    </row>
    <row r="46" spans="1:12" ht="13" x14ac:dyDescent="0.3">
      <c r="A46" s="36"/>
      <c r="B46" t="s">
        <v>244</v>
      </c>
      <c r="C46" s="2">
        <f>SUM('CR MODEL'!$A$53:$A$57)</f>
        <v>0.49532534132686862</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C46*$J46/'3D AUTO MODEL'!$G$6</f>
        <v>3.7350949600853107E-4</v>
      </c>
      <c r="L46" s="247"/>
    </row>
    <row r="47" spans="1:12" x14ac:dyDescent="0.25">
      <c r="B47" t="s">
        <v>291</v>
      </c>
      <c r="C47" s="2">
        <f>SUM('CR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C47*$J47/'3D AUTO MODEL'!$G$6</f>
        <v>0</v>
      </c>
      <c r="L47" s="247"/>
    </row>
    <row r="48" spans="1:12" x14ac:dyDescent="0.25">
      <c r="B48" t="s">
        <v>292</v>
      </c>
      <c r="C48" s="2">
        <f>SUM('CR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C48*$J48/'3D AUTO MODEL'!$G$6</f>
        <v>0</v>
      </c>
      <c r="L48" s="247"/>
    </row>
    <row r="49" spans="1:12" x14ac:dyDescent="0.25">
      <c r="B49" t="s">
        <v>70</v>
      </c>
      <c r="C49" s="2">
        <f>SUM('CR MODEL'!$M$53:$M$57)</f>
        <v>0.64847691485910297</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C49*$J49/'3D AUTO MODEL'!$G$6</f>
        <v>6.2715619644975091E-4</v>
      </c>
      <c r="L49" s="247"/>
    </row>
    <row r="50" spans="1:12" x14ac:dyDescent="0.25">
      <c r="F50" s="42"/>
      <c r="H50" s="42"/>
      <c r="I50" s="42"/>
      <c r="J50" s="42"/>
      <c r="L50" s="247"/>
    </row>
    <row r="51" spans="1:12" ht="13" x14ac:dyDescent="0.3">
      <c r="A51" s="1" t="s">
        <v>75</v>
      </c>
      <c r="F51" s="42"/>
      <c r="H51" s="42"/>
      <c r="I51" s="42"/>
      <c r="J51" s="42"/>
      <c r="L51" s="247"/>
    </row>
    <row r="52" spans="1:12" ht="13" x14ac:dyDescent="0.3">
      <c r="A52" s="36"/>
      <c r="B52" t="s">
        <v>72</v>
      </c>
      <c r="C52" s="2">
        <f>SUM('CR MODEL'!$B$64:$B$68)</f>
        <v>379.77498525218641</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C52*$J52/'3D AUTO MODEL'!$G$6</f>
        <v>0.14736628216872019</v>
      </c>
      <c r="L52" s="247"/>
    </row>
    <row r="53" spans="1:12" ht="13" x14ac:dyDescent="0.3">
      <c r="A53" s="36"/>
      <c r="B53" t="s">
        <v>244</v>
      </c>
      <c r="C53" s="2">
        <f>SUM('CR MODEL'!$A$64:$A$68)</f>
        <v>23.280076707119051</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C53*$J53/'3D AUTO MODEL'!$G$6</f>
        <v>1.7554784688833175E-2</v>
      </c>
      <c r="L53" s="247"/>
    </row>
    <row r="54" spans="1:12" x14ac:dyDescent="0.25">
      <c r="B54" t="s">
        <v>291</v>
      </c>
      <c r="C54" s="2">
        <f>SUM('CR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C54*$J54/'3D AUTO MODEL'!$G$6</f>
        <v>0</v>
      </c>
      <c r="L54" s="247"/>
    </row>
    <row r="55" spans="1:12" x14ac:dyDescent="0.25">
      <c r="B55" t="s">
        <v>292</v>
      </c>
      <c r="C55" s="2">
        <f>SUM('CR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C55*$J55/'3D AUTO MODEL'!$G$6</f>
        <v>0</v>
      </c>
      <c r="L55" s="247"/>
    </row>
    <row r="56" spans="1:12" x14ac:dyDescent="0.25">
      <c r="B56" t="s">
        <v>70</v>
      </c>
      <c r="C56" s="2">
        <f>SUM('CR MODEL'!$M$64:$M$68)</f>
        <v>21.11952581132233</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C56*$J56/'3D AUTO MODEL'!$G$6</f>
        <v>2.3563931953487226E-2</v>
      </c>
      <c r="L56" s="247"/>
    </row>
    <row r="57" spans="1:12" x14ac:dyDescent="0.25">
      <c r="F57" s="42"/>
      <c r="H57" s="42"/>
      <c r="I57" s="42"/>
      <c r="J57" s="42"/>
      <c r="L57" s="247"/>
    </row>
    <row r="58" spans="1:12" ht="13" x14ac:dyDescent="0.3">
      <c r="A58" s="1" t="s">
        <v>76</v>
      </c>
      <c r="F58" s="42"/>
      <c r="H58" s="42"/>
      <c r="I58" s="42"/>
      <c r="J58" s="42"/>
      <c r="L58" s="247"/>
    </row>
    <row r="59" spans="1:12" ht="13" x14ac:dyDescent="0.3">
      <c r="A59" s="36"/>
      <c r="B59" t="s">
        <v>72</v>
      </c>
      <c r="C59" s="2">
        <f ca="1">SUM('CR MODEL'!$B$74:$B$78)+SUM('CR MODEL'!$B$108:$B$112)</f>
        <v>8.1135180014090427</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C59*$J59/'3D AUTO MODEL'!$G$6</f>
        <v>5.8422570222994973E-3</v>
      </c>
      <c r="L59" s="247"/>
    </row>
    <row r="60" spans="1:12" ht="13" x14ac:dyDescent="0.3">
      <c r="A60" s="36"/>
      <c r="B60" t="s">
        <v>244</v>
      </c>
      <c r="C60" s="2">
        <f ca="1">SUM('CR MODEL'!$A$74:$A$78)+SUM('CR MODEL'!$A$108:$A$112)</f>
        <v>0.49735587853941293</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C60*$J60/'3D AUTO MODEL'!$G$6</f>
        <v>3.7504066121976843E-4</v>
      </c>
      <c r="L60" s="247"/>
    </row>
    <row r="61" spans="1:12" x14ac:dyDescent="0.25">
      <c r="B61" t="s">
        <v>291</v>
      </c>
      <c r="C61" s="2">
        <f>SUM('CR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C61*$J61/'3D AUTO MODEL'!$G$6</f>
        <v>0</v>
      </c>
      <c r="L61" s="247"/>
    </row>
    <row r="62" spans="1:12" x14ac:dyDescent="0.25">
      <c r="B62" t="s">
        <v>292</v>
      </c>
      <c r="C62" s="2">
        <f>SUM('CR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C62*$J62/'3D AUTO MODEL'!$G$6</f>
        <v>0</v>
      </c>
      <c r="L62" s="247"/>
    </row>
    <row r="63" spans="1:12" x14ac:dyDescent="0.25">
      <c r="B63" t="s">
        <v>70</v>
      </c>
      <c r="C63" s="2">
        <f ca="1">SUM('CR MODEL'!$M$74:$M$78)</f>
        <v>1.0244694027992454</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C63*$J63/'3D AUTO MODEL'!$G$6</f>
        <v>9.1129669929558305E-4</v>
      </c>
      <c r="L63" s="247"/>
    </row>
    <row r="64" spans="1:12" ht="13" x14ac:dyDescent="0.3">
      <c r="A64" s="36"/>
      <c r="F64" s="42"/>
      <c r="H64" s="42"/>
      <c r="I64" s="42"/>
      <c r="J64" s="42"/>
      <c r="L64" s="247"/>
    </row>
    <row r="65" spans="1:12" ht="13" x14ac:dyDescent="0.3">
      <c r="A65" s="1" t="s">
        <v>77</v>
      </c>
      <c r="F65" s="42"/>
      <c r="H65" s="42"/>
      <c r="I65" s="42"/>
      <c r="J65" s="42"/>
      <c r="L65" s="247"/>
    </row>
    <row r="66" spans="1:12" ht="13" x14ac:dyDescent="0.3">
      <c r="A66" s="36"/>
      <c r="B66" t="s">
        <v>72</v>
      </c>
      <c r="C66" s="2">
        <f ca="1">SUM('CR MODEL'!$B$83:$B$87)+SUM('CR MODEL'!$B$122:$B$126)</f>
        <v>668.54536154452899</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C66*$J66/'3D AUTO MODEL'!$G$6</f>
        <v>0.28947506294104453</v>
      </c>
      <c r="L66" s="247"/>
    </row>
    <row r="67" spans="1:12" ht="13" x14ac:dyDescent="0.3">
      <c r="A67" s="36"/>
      <c r="B67" t="s">
        <v>244</v>
      </c>
      <c r="C67" s="2">
        <f ca="1">SUM('CR MODEL'!$A$83:$A$87)+SUM('CR MODEL'!$A$122:$A$126)</f>
        <v>40.981602009964575</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C67*$J67/'3D AUTO MODEL'!$G$6</f>
        <v>3.0902956572663755E-2</v>
      </c>
      <c r="L67" s="247"/>
    </row>
    <row r="68" spans="1:12" x14ac:dyDescent="0.25">
      <c r="B68" t="s">
        <v>291</v>
      </c>
      <c r="C68" s="2">
        <f>SUM('CR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C68*$J68/'3D AUTO MODEL'!$G$6</f>
        <v>0</v>
      </c>
      <c r="L68" s="247"/>
    </row>
    <row r="69" spans="1:12" x14ac:dyDescent="0.25">
      <c r="B69" t="s">
        <v>292</v>
      </c>
      <c r="C69" s="2">
        <f>SUM('CR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C69*$J69/'3D AUTO MODEL'!$G$6</f>
        <v>0</v>
      </c>
      <c r="L69" s="247"/>
    </row>
    <row r="70" spans="1:12" x14ac:dyDescent="0.25">
      <c r="B70" t="s">
        <v>70</v>
      </c>
      <c r="C70" s="2">
        <f ca="1">SUM('CR MODEL'!$M$83:$M$87)</f>
        <v>89.224516810092425</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C70*$J70/'3D AUTO MODEL'!$G$6</f>
        <v>8.8470374375506186E-2</v>
      </c>
      <c r="L70" s="247"/>
    </row>
    <row r="71" spans="1:12" x14ac:dyDescent="0.25">
      <c r="F71" s="42"/>
      <c r="H71" s="42"/>
      <c r="I71" s="42"/>
      <c r="J71" s="42"/>
      <c r="L71" s="247"/>
    </row>
    <row r="72" spans="1:12" ht="13" x14ac:dyDescent="0.3">
      <c r="A72" s="1" t="s">
        <v>368</v>
      </c>
      <c r="F72" s="42"/>
      <c r="H72" s="42"/>
      <c r="I72" s="42"/>
      <c r="J72" s="42"/>
      <c r="L72" s="247"/>
    </row>
    <row r="73" spans="1:12" x14ac:dyDescent="0.25">
      <c r="B73" t="s">
        <v>366</v>
      </c>
      <c r="C73" s="2">
        <v>0</v>
      </c>
      <c r="D73" s="2">
        <v>0</v>
      </c>
      <c r="E73" s="38">
        <v>0</v>
      </c>
      <c r="F73" s="42">
        <v>0</v>
      </c>
      <c r="G73" s="42">
        <v>0</v>
      </c>
      <c r="H73" s="42">
        <v>0</v>
      </c>
      <c r="I73" s="42">
        <v>0</v>
      </c>
      <c r="J73" s="42">
        <v>0</v>
      </c>
      <c r="K73" s="42">
        <v>0</v>
      </c>
      <c r="L73" s="247"/>
    </row>
    <row r="74" spans="1:12" x14ac:dyDescent="0.25">
      <c r="B74" t="s">
        <v>244</v>
      </c>
      <c r="C74" s="2">
        <f ca="1">SUM('CR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C74*$J74/'3D AUTO MODEL'!$G$6</f>
        <v>0</v>
      </c>
      <c r="L74" s="247"/>
    </row>
    <row r="75" spans="1:12" x14ac:dyDescent="0.25">
      <c r="L75" s="247"/>
    </row>
    <row r="76" spans="1:12" x14ac:dyDescent="0.25">
      <c r="B76" s="155" t="s">
        <v>486</v>
      </c>
      <c r="C76" s="2">
        <f>SUM('CR MODEL'!C64,'CR MODEL'!I64)</f>
        <v>356.01608948178</v>
      </c>
      <c r="D76" s="2">
        <f>PRODUCTIVITIES!$C$49*'FY VOLUME AUTO'!C57</f>
        <v>2602.5752201414102</v>
      </c>
      <c r="E76" s="38">
        <f>'WAGE RATES'!$C$6</f>
        <v>50.10717457546064</v>
      </c>
      <c r="F76" s="42">
        <f t="shared" ref="F76:F77" si="0">E76*100/D76</f>
        <v>1.9252920794634354</v>
      </c>
      <c r="G76" s="42">
        <f>PIGGYBACKS!$B$13</f>
        <v>1.6305774272183733</v>
      </c>
      <c r="H76" s="42">
        <f>'WAGE RATES'!$C$9</f>
        <v>0.9752031228402912</v>
      </c>
      <c r="I76" s="42">
        <f t="shared" ref="I76:I77" si="1">(H76-1)*F76</f>
        <v>-4.7741231191015115E-2</v>
      </c>
      <c r="J76" s="42">
        <f t="shared" ref="J76:J77" si="2">F76*G76+I76</f>
        <v>3.0915965743843854</v>
      </c>
      <c r="K76" s="42">
        <f ca="1">C76*$J76/'5D AUTO MODEL'!$G$6</f>
        <v>0.11006581226675957</v>
      </c>
      <c r="L76" s="247"/>
    </row>
    <row r="77" spans="1:12" x14ac:dyDescent="0.25">
      <c r="B77" s="155" t="s">
        <v>491</v>
      </c>
      <c r="C77" s="2">
        <f ca="1">SUM(C31,C33,C34,C38,C40,C41,C45,C47,C48,C52,C54,C55,C59,C61,C62,C66,C68,C69)-C76</f>
        <v>708.91254619181564</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0.27063514352826251</v>
      </c>
      <c r="L77" s="247"/>
    </row>
    <row r="78" spans="1:12" ht="13" thickBot="1" x14ac:dyDescent="0.3">
      <c r="F78" s="42"/>
      <c r="H78" s="42"/>
      <c r="I78" s="42"/>
      <c r="J78" s="42"/>
      <c r="L78" s="247"/>
    </row>
    <row r="79" spans="1:12" ht="13.5" thickBot="1" x14ac:dyDescent="0.35">
      <c r="F79" s="42"/>
      <c r="H79" s="42"/>
      <c r="I79" s="42"/>
      <c r="J79" s="142" t="s">
        <v>78</v>
      </c>
      <c r="K79" s="143">
        <f ca="1">SUM(K11:K77)</f>
        <v>3.8137250949836599</v>
      </c>
      <c r="L79" s="247"/>
    </row>
    <row r="80" spans="1:12" ht="13.5" thickBot="1" x14ac:dyDescent="0.35">
      <c r="J80" s="142" t="s">
        <v>485</v>
      </c>
      <c r="K80" s="143">
        <f ca="1">SUM(K31,K33,K34,K38,K40,K41,K45,K47,K48,K52,K54,K55,K59,K61,K62,K66,K68,K69,K76,K77)</f>
        <v>0.82772274098410192</v>
      </c>
    </row>
    <row r="83" spans="1:8" ht="13" x14ac:dyDescent="0.3">
      <c r="A83" s="145" t="str">
        <f>"(1)"</f>
        <v>(1)</v>
      </c>
      <c r="B83" s="1" t="s">
        <v>408</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scale="61" orientation="portrait" r:id="rId1"/>
  <ignoredErrors>
    <ignoredError sqref="E4" numberStoredAsText="1"/>
  </ignoredErrors>
</worksheet>
</file>

<file path=xl/worksheets/sheet6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4012-1310-4EBD-AE56-F469A09E442E}">
  <sheetPr>
    <pageSetUpPr fitToPage="1"/>
  </sheetPr>
  <dimension ref="A1:AD128"/>
  <sheetViews>
    <sheetView zoomScale="75" zoomScaleNormal="75" workbookViewId="0"/>
  </sheetViews>
  <sheetFormatPr defaultColWidth="9.1796875" defaultRowHeight="12.5" x14ac:dyDescent="0.25"/>
  <cols>
    <col min="1" max="2" width="10.7265625" style="20" customWidth="1"/>
    <col min="3" max="3" width="17.81640625" style="20" customWidth="1"/>
    <col min="4" max="4" width="10.7265625" style="58" customWidth="1"/>
    <col min="5" max="6" width="10.7265625" style="20" customWidth="1"/>
    <col min="7" max="7" width="16.1796875"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
        <v>510</v>
      </c>
    </row>
    <row r="2" spans="1:30" ht="23" x14ac:dyDescent="0.5">
      <c r="A2" s="57" t="s">
        <v>84</v>
      </c>
    </row>
    <row r="6" spans="1:30" s="228" customFormat="1" ht="18" x14ac:dyDescent="0.4">
      <c r="A6" s="48" t="s">
        <v>85</v>
      </c>
      <c r="B6" s="226"/>
      <c r="C6" s="49">
        <f>SUM(C11:C17)+SUM(G11:G16)+SUM(K11:K16)+SUM(O11:O16)</f>
        <v>718.24225405363825</v>
      </c>
      <c r="D6" s="227"/>
      <c r="E6" s="48" t="s">
        <v>86</v>
      </c>
      <c r="F6" s="226"/>
      <c r="G6" s="49">
        <f ca="1">D88+J88+O88+D100+D127</f>
        <v>718.2422540536387</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'ENTRY PROFILE CR'!K12</f>
        <v>0.36487424458083684</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'ENTRY PROFILE CR'!O12</f>
        <v>7.8287573498632828</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'ENTRY PROFILE CR'!S12</f>
        <v>358.15475085955245</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'ENTRY PROFILE CR'!W12*(1-'COVERAGE FACTORS'!H129)+('ENTRY PROFILE CR'!Z12*'COVERAGE FACTORS'!H129)*(1-'COVERAGE FACTORS'!B119)+'ENTRY PROFILE CR'!W12*'COVERAGE FACTORS'!H129*(1-'COVERAGE FACTORS'!B119)</f>
        <v>351.89387159964167</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17" spans="1:30" ht="13" x14ac:dyDescent="0.3">
      <c r="A17" s="21"/>
      <c r="B17" s="71" t="s">
        <v>522</v>
      </c>
      <c r="C17" s="72">
        <v>0</v>
      </c>
      <c r="D17" s="60"/>
      <c r="E17" s="26"/>
      <c r="F17" s="65" t="s">
        <v>109</v>
      </c>
      <c r="G17" s="66">
        <v>0</v>
      </c>
      <c r="H17" s="19"/>
      <c r="I17" s="19"/>
      <c r="J17" s="77" t="s">
        <v>110</v>
      </c>
      <c r="K17" s="78">
        <v>0</v>
      </c>
      <c r="L17" s="60"/>
      <c r="M17" s="26"/>
      <c r="N17" s="83" t="s">
        <v>111</v>
      </c>
      <c r="O17" s="84">
        <v>0</v>
      </c>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97">
        <f>SUM(A25:A29)*(1-'ACCEPT RATES'!G14)+SUM(B25:B29)*SUM('ACCEPT RATES'!I14:J14)</f>
        <v>1.723668930431109E-2</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336" t="s">
        <v>115</v>
      </c>
      <c r="C24" s="337"/>
      <c r="D24" s="120"/>
      <c r="E24" s="24" t="s">
        <v>116</v>
      </c>
      <c r="G24" s="127" t="s">
        <v>118</v>
      </c>
      <c r="H24" s="336" t="s">
        <v>245</v>
      </c>
      <c r="I24" s="337"/>
      <c r="J24" s="100"/>
      <c r="K24" s="23" t="s">
        <v>116</v>
      </c>
      <c r="L24"/>
      <c r="M24" s="336" t="s">
        <v>117</v>
      </c>
      <c r="N24" s="337"/>
      <c r="P24" s="20"/>
      <c r="Q24" s="109"/>
      <c r="S24" s="20"/>
      <c r="U24" s="20"/>
      <c r="Y24"/>
      <c r="Z24"/>
      <c r="AA24"/>
      <c r="AB24"/>
      <c r="AC24"/>
      <c r="AD24"/>
    </row>
    <row r="25" spans="1:30" ht="13" x14ac:dyDescent="0.3">
      <c r="A25" s="121">
        <f>B25*(1-'ACCEPT RATES'!C14)</f>
        <v>2.2611726939877511E-2</v>
      </c>
      <c r="B25" s="29">
        <f>C25*(1+'ACCEPT RATES'!F14)</f>
        <v>0.3688719918389457</v>
      </c>
      <c r="C25" s="51">
        <f>C11*('COVERAGE FACTORS'!E14+'COVERAGE FACTORS'!E18)</f>
        <v>0.36424352297766177</v>
      </c>
      <c r="E25" s="24" t="s">
        <v>70</v>
      </c>
      <c r="G25" s="217">
        <f>H25*(1-'ACCEPT RATES'!C19)</f>
        <v>0</v>
      </c>
      <c r="H25" s="29">
        <f>I25</f>
        <v>0</v>
      </c>
      <c r="I25" s="51">
        <f>C11*'COVERAGE FACTORS'!E16</f>
        <v>0</v>
      </c>
      <c r="J25" s="23"/>
      <c r="K25" s="23" t="s">
        <v>70</v>
      </c>
      <c r="L25"/>
      <c r="M25" s="29">
        <f>N25</f>
        <v>6.3072160317514405E-4</v>
      </c>
      <c r="N25" s="51">
        <f>C11*'COVERAGE FACTORS'!E20</f>
        <v>6.3072160317514405E-4</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102">
        <f>N29</f>
        <v>1.723668930431109E-2</v>
      </c>
      <c r="N29" s="101">
        <f>D23+J23</f>
        <v>1.723668930431109E-2</v>
      </c>
      <c r="P29" s="20"/>
      <c r="Q29" s="109"/>
      <c r="S29" s="20"/>
      <c r="U29" s="20"/>
      <c r="Y29"/>
      <c r="Z29"/>
      <c r="AA29"/>
      <c r="AB29"/>
      <c r="AC29"/>
      <c r="AD29"/>
    </row>
    <row r="30" spans="1:30" ht="13" x14ac:dyDescent="0.3">
      <c r="A30" s="114"/>
      <c r="C30" s="98"/>
      <c r="D30" s="376">
        <f>(SUM(C25:C29)-D23)*'PIECE DENSITIES'!C6</f>
        <v>4.4434312381330207E-2</v>
      </c>
      <c r="E30" s="24" t="s">
        <v>290</v>
      </c>
      <c r="G30" s="114"/>
      <c r="I30" s="99"/>
      <c r="J30" s="201">
        <f>(SUM(I25:I29)-J23)*'PIECE DENSITIES'!C11</f>
        <v>0</v>
      </c>
      <c r="K30" s="24" t="s">
        <v>289</v>
      </c>
      <c r="L30"/>
      <c r="M30" s="20"/>
      <c r="O30" s="96">
        <f>SUM(N25:N29)*'PIECE DENSITIES'!C16</f>
        <v>1.5987353625215347E-3</v>
      </c>
      <c r="P30" s="24" t="s">
        <v>120</v>
      </c>
      <c r="Q30" s="109"/>
      <c r="S30" s="20"/>
      <c r="U30" s="20"/>
      <c r="Y30"/>
      <c r="Z30"/>
      <c r="AA30"/>
      <c r="AB30"/>
      <c r="AC30"/>
      <c r="AD30"/>
    </row>
    <row r="31" spans="1:30" ht="13" x14ac:dyDescent="0.3">
      <c r="A31" s="114"/>
      <c r="C31" s="98"/>
      <c r="D31" s="376">
        <f>(SUM(C25:C29)-D23)*'PIECE DENSITIES'!D6</f>
        <v>0.17985681016815416</v>
      </c>
      <c r="E31" s="24" t="s">
        <v>121</v>
      </c>
      <c r="G31" s="114"/>
      <c r="I31" s="99"/>
      <c r="J31" s="201">
        <f>(SUM(I25:I29)-J23)*'PIECE DENSITIES'!D11</f>
        <v>0</v>
      </c>
      <c r="K31" s="24" t="s">
        <v>122</v>
      </c>
      <c r="L31"/>
      <c r="M31" s="20"/>
      <c r="O31" s="96">
        <f>SUM(N25:N29)*'PIECE DENSITIES'!D16</f>
        <v>1.0374743723242992E-2</v>
      </c>
      <c r="P31" s="24" t="s">
        <v>123</v>
      </c>
      <c r="Q31" s="109"/>
      <c r="S31" s="20"/>
      <c r="U31" s="20"/>
      <c r="Y31"/>
      <c r="Z31"/>
      <c r="AA31"/>
      <c r="AB31"/>
      <c r="AC31"/>
      <c r="AD31"/>
    </row>
    <row r="32" spans="1:30" ht="13" x14ac:dyDescent="0.3">
      <c r="A32" s="114"/>
      <c r="C32" s="89"/>
      <c r="D32" s="377">
        <f>(SUM(C25:C29)-D23)*'PIECE DENSITIES'!E6</f>
        <v>9.7135454305033356E-2</v>
      </c>
      <c r="E32" s="24" t="s">
        <v>124</v>
      </c>
      <c r="G32" s="114"/>
      <c r="I32" s="94"/>
      <c r="J32" s="202">
        <f>(SUM(I25:I29)-J23)*'PIECE DENSITIES'!E11</f>
        <v>0</v>
      </c>
      <c r="K32" s="24" t="s">
        <v>125</v>
      </c>
      <c r="L32"/>
      <c r="M32" s="20"/>
      <c r="N32" s="46"/>
      <c r="O32" s="97">
        <f>SUM(N25:N29)*'PIECE DENSITIES'!E16</f>
        <v>4.5706099850268628E-3</v>
      </c>
      <c r="P32" s="24" t="s">
        <v>126</v>
      </c>
      <c r="Q32" s="109"/>
      <c r="S32" s="20"/>
      <c r="U32" s="20"/>
      <c r="Y32"/>
      <c r="Z32"/>
      <c r="AA32"/>
      <c r="AB32"/>
      <c r="AC32"/>
      <c r="AD32"/>
    </row>
    <row r="33" spans="1:30" ht="13" x14ac:dyDescent="0.3">
      <c r="A33" s="114"/>
      <c r="C33" s="89"/>
      <c r="D33" s="377">
        <f>(SUM(C25:C29)-D23)*'PIECE DENSITIES'!F6</f>
        <v>2.5580256818832948E-2</v>
      </c>
      <c r="E33" s="24" t="s">
        <v>127</v>
      </c>
      <c r="G33" s="114"/>
      <c r="I33" s="94"/>
      <c r="J33" s="202">
        <f>(SUM(I25:I29)-J23)*'PIECE DENSITIES'!F11</f>
        <v>0</v>
      </c>
      <c r="K33" s="24" t="s">
        <v>128</v>
      </c>
      <c r="L33"/>
      <c r="M33" s="20"/>
      <c r="N33" s="46"/>
      <c r="O33" s="97">
        <f>SUM(N25:N29)*'PIECE DENSITIES'!F16</f>
        <v>1.3233218366948455E-3</v>
      </c>
      <c r="P33" s="24" t="s">
        <v>129</v>
      </c>
      <c r="Q33" s="109"/>
      <c r="S33" s="20"/>
      <c r="U33" s="20"/>
      <c r="Y33"/>
      <c r="Z33"/>
      <c r="AA33"/>
      <c r="AB33"/>
      <c r="AC33"/>
      <c r="AD33"/>
    </row>
    <row r="34" spans="1:30" ht="13" x14ac:dyDescent="0.3">
      <c r="A34" s="114"/>
      <c r="C34" s="89"/>
      <c r="D34" s="37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97">
        <f>SUM(A38:A42)*(1-'ACCEPT RATES'!G15)+SUM(B38:B42)*SUM('ACCEPT RATES'!I15:J15)</f>
        <v>4.2180354781694868E-3</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336" t="s">
        <v>119</v>
      </c>
      <c r="C37" s="337"/>
      <c r="D37" s="120"/>
      <c r="E37" s="24" t="s">
        <v>132</v>
      </c>
      <c r="G37" s="127" t="s">
        <v>118</v>
      </c>
      <c r="H37" s="336" t="s">
        <v>246</v>
      </c>
      <c r="I37" s="337"/>
      <c r="J37" s="100"/>
      <c r="K37" s="23" t="s">
        <v>132</v>
      </c>
      <c r="L37"/>
      <c r="M37" s="336" t="s">
        <v>120</v>
      </c>
      <c r="N37" s="337"/>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2.7894810583705401E-3</v>
      </c>
      <c r="B42" s="211">
        <f>C42*(1+'ACCEPT RATES'!F15+'PIECE DENSITIES'!C7)</f>
        <v>4.5505654518739974E-2</v>
      </c>
      <c r="C42" s="212">
        <f>D30</f>
        <v>4.4434312381330207E-2</v>
      </c>
      <c r="G42" s="210">
        <f>IF(SUM(C11:C16)&gt;0,H42*(1-'ACCEPT RATES'!C20),H42*(1-'ACCEPT RATES'!D20))</f>
        <v>0</v>
      </c>
      <c r="H42" s="209">
        <f>I42*(1+'PIECE DENSITIES'!C12)</f>
        <v>0</v>
      </c>
      <c r="I42" s="208">
        <f>J30</f>
        <v>0</v>
      </c>
      <c r="J42" s="58"/>
      <c r="L42"/>
      <c r="M42" s="102">
        <f>N42</f>
        <v>5.8167708406910218E-3</v>
      </c>
      <c r="N42" s="101">
        <f>D36+J36+O30</f>
        <v>5.8167708406910218E-3</v>
      </c>
      <c r="P42" s="20"/>
      <c r="Q42" s="109"/>
      <c r="S42" s="20"/>
      <c r="U42" s="20"/>
      <c r="Y42"/>
      <c r="Z42"/>
      <c r="AA42"/>
      <c r="AB42"/>
      <c r="AC42"/>
      <c r="AD42"/>
    </row>
    <row r="43" spans="1:30" ht="13" x14ac:dyDescent="0.3">
      <c r="A43" s="114"/>
      <c r="C43" s="98"/>
      <c r="D43" s="376">
        <f>(SUM(C38:C42)-D36)*'PIECE DENSITIES'!D7</f>
        <v>3.3210347303818132E-2</v>
      </c>
      <c r="E43" s="24" t="s">
        <v>121</v>
      </c>
      <c r="G43" s="114"/>
      <c r="I43" s="99"/>
      <c r="J43" s="201">
        <f>(SUM(I38:I42)-J36)*'PIECE DENSITIES'!D12</f>
        <v>0</v>
      </c>
      <c r="K43" s="24" t="s">
        <v>122</v>
      </c>
      <c r="L43"/>
      <c r="M43" s="20"/>
      <c r="O43" s="96">
        <f>SUM(N38:N42)*'PIECE DENSITIES'!D17</f>
        <v>4.1173641074785062E-3</v>
      </c>
      <c r="P43" s="24" t="s">
        <v>123</v>
      </c>
      <c r="Q43" s="109"/>
      <c r="S43" s="20"/>
      <c r="U43" s="20"/>
      <c r="Y43"/>
      <c r="Z43"/>
      <c r="AA43"/>
      <c r="AB43"/>
      <c r="AC43"/>
      <c r="AD43"/>
    </row>
    <row r="44" spans="1:30" ht="13" x14ac:dyDescent="0.3">
      <c r="A44" s="114"/>
      <c r="C44" s="98"/>
      <c r="D44" s="376">
        <f>(SUM(C38:C42)-D36)*'PIECE DENSITIES'!E7</f>
        <v>2.7755415369355185E-3</v>
      </c>
      <c r="E44" s="24" t="s">
        <v>124</v>
      </c>
      <c r="G44" s="114"/>
      <c r="I44" s="99"/>
      <c r="J44" s="201">
        <f>(SUM(I38:I42)-J36)*'PIECE DENSITIES'!E12</f>
        <v>0</v>
      </c>
      <c r="K44" s="24" t="s">
        <v>125</v>
      </c>
      <c r="L44"/>
      <c r="M44" s="20"/>
      <c r="O44" s="96">
        <f>SUM(N38:N42)*'PIECE DENSITIES'!E17</f>
        <v>1.8050822156817586E-5</v>
      </c>
      <c r="P44" s="24" t="s">
        <v>126</v>
      </c>
      <c r="Q44" s="109"/>
      <c r="S44" s="20"/>
      <c r="U44" s="20"/>
      <c r="Y44"/>
      <c r="Z44"/>
      <c r="AA44"/>
      <c r="AB44"/>
      <c r="AC44"/>
      <c r="AD44"/>
    </row>
    <row r="45" spans="1:30" ht="13" x14ac:dyDescent="0.3">
      <c r="A45" s="114"/>
      <c r="C45" s="89"/>
      <c r="D45" s="377">
        <f>(SUM(C38:C42)-D36)*'PIECE DENSITIES'!F7</f>
        <v>2.9564582629023489E-4</v>
      </c>
      <c r="E45" s="24" t="s">
        <v>127</v>
      </c>
      <c r="G45" s="114"/>
      <c r="I45" s="94"/>
      <c r="J45" s="202">
        <f>(SUM(I38:I42)-J36)*'PIECE DENSITIES'!F12</f>
        <v>0</v>
      </c>
      <c r="K45" s="24" t="s">
        <v>128</v>
      </c>
      <c r="L45"/>
      <c r="M45" s="20"/>
      <c r="N45" s="46"/>
      <c r="O45" s="97">
        <f>SUM(N38:N42)*'PIECE DENSITIES'!F17</f>
        <v>1.1555368829521809E-4</v>
      </c>
      <c r="P45" s="24" t="s">
        <v>129</v>
      </c>
      <c r="Q45" s="109"/>
      <c r="S45" s="20"/>
      <c r="U45" s="20"/>
      <c r="Y45"/>
      <c r="Z45"/>
      <c r="AA45"/>
      <c r="AB45"/>
      <c r="AC45"/>
      <c r="AD45"/>
    </row>
    <row r="46" spans="1:30" ht="13" x14ac:dyDescent="0.3">
      <c r="A46" s="114"/>
      <c r="C46" s="89"/>
      <c r="D46" s="377">
        <f>(SUM(C38:C42)-D36)*'PIECE DENSITIES'!G7</f>
        <v>3.9347422361168402E-3</v>
      </c>
      <c r="E46" s="24" t="s">
        <v>130</v>
      </c>
      <c r="G46" s="114"/>
      <c r="I46" s="94"/>
      <c r="J46" s="202">
        <f>(SUM(I38:I42)-J36)*'PIECE DENSITIES'!G12</f>
        <v>0</v>
      </c>
      <c r="K46" s="24" t="s">
        <v>288</v>
      </c>
      <c r="L46"/>
      <c r="M46" s="20"/>
      <c r="N46" s="46"/>
      <c r="O46" s="97">
        <f>SUM(N38:N42)*'PIECE DENSITIES'!G17</f>
        <v>1.56580222276048E-3</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97">
        <f>SUM(A53:A57)*(1-'ACCEPT RATES'!G16)+SUM(B53:B57)*SUM('ACCEPT RATES'!I16:J16)</f>
        <v>0.58596439283761748</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336" t="s">
        <v>134</v>
      </c>
      <c r="C52" s="337"/>
      <c r="D52" s="120"/>
      <c r="E52" s="24" t="s">
        <v>135</v>
      </c>
      <c r="G52" s="127" t="s">
        <v>118</v>
      </c>
      <c r="H52" s="336" t="s">
        <v>247</v>
      </c>
      <c r="I52" s="337"/>
      <c r="J52" s="100"/>
      <c r="K52" s="23" t="s">
        <v>135</v>
      </c>
      <c r="L52"/>
      <c r="M52" s="336" t="s">
        <v>123</v>
      </c>
      <c r="N52" s="337"/>
      <c r="P52" s="20"/>
      <c r="Q52" s="109"/>
      <c r="S52" s="20"/>
      <c r="U52" s="20"/>
      <c r="Y52"/>
      <c r="Z52"/>
      <c r="AA52"/>
      <c r="AB52"/>
      <c r="AC52"/>
      <c r="AD52"/>
    </row>
    <row r="53" spans="1:30" ht="13" x14ac:dyDescent="0.3">
      <c r="A53" s="121">
        <f>B53*(1-'ACCEPT RATES'!C16)</f>
        <v>0.48220175694572659</v>
      </c>
      <c r="B53" s="29">
        <f>C53*(1+'ACCEPT RATES'!F16+'PIECE DENSITIES'!D8)</f>
        <v>7.8663041980716963</v>
      </c>
      <c r="C53" s="51">
        <f>C13*('COVERAGE FACTORS'!E38+'COVERAGE FACTORS'!E42)</f>
        <v>7.7820092306775894</v>
      </c>
      <c r="E53" s="24" t="s">
        <v>70</v>
      </c>
      <c r="G53" s="217">
        <f>H53*(1-'ACCEPT RATES'!C21)</f>
        <v>0</v>
      </c>
      <c r="H53" s="29">
        <f>I53*(1+'PIECE DENSITIES'!D13)</f>
        <v>0</v>
      </c>
      <c r="I53" s="51">
        <f>C13*'COVERAGE FACTORS'!E40</f>
        <v>0</v>
      </c>
      <c r="J53" s="113"/>
      <c r="K53" s="23" t="s">
        <v>70</v>
      </c>
      <c r="L53"/>
      <c r="M53" s="29">
        <f>N53</f>
        <v>4.6748119185703922E-2</v>
      </c>
      <c r="N53" s="51">
        <f>C13*'COVERAGE FACTORS'!E44</f>
        <v>4.6748119185703922E-2</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1.3123584381142054E-2</v>
      </c>
      <c r="B57" s="211">
        <f>C57*(1+'ACCEPT RATES'!F16+'PIECE DENSITIES'!D8)</f>
        <v>0.21408903104172064</v>
      </c>
      <c r="C57" s="212">
        <f>(D31+D43)*('COVERAGE FACTORS'!E38+'COVERAGE FACTORS'!E42)</f>
        <v>0.21179486246691245</v>
      </c>
      <c r="G57" s="210">
        <f>IF(SUM(C11:C16)&gt;0,H57*(1-'ACCEPT RATES'!C21),H57*(1-'ACCEPT RATES'!D21))</f>
        <v>0</v>
      </c>
      <c r="H57" s="209">
        <f>I57*(1+'PIECE DENSITIES'!D13)</f>
        <v>0</v>
      </c>
      <c r="I57" s="208">
        <f>(D31+D43)*'COVERAGE FACTORS'!E40+(J31+J43)*('COVERAGE FACTORS'!E40+'COVERAGE FACTORS'!E42)</f>
        <v>0</v>
      </c>
      <c r="J57" s="58"/>
      <c r="L57"/>
      <c r="M57" s="102">
        <f>N57</f>
        <v>0.6017287956733991</v>
      </c>
      <c r="N57" s="101">
        <f>D51+J51+O31+O43+(D31+D43)*'COVERAGE FACTORS'!E44+(J31+J43)*(1-('COVERAGE FACTORS'!E40+'COVERAGE FACTORS'!E42))</f>
        <v>0.6017287956733991</v>
      </c>
      <c r="P57" s="20"/>
      <c r="Q57" s="109"/>
      <c r="S57" s="20"/>
      <c r="U57" s="20"/>
      <c r="Y57"/>
      <c r="Z57"/>
      <c r="AA57"/>
      <c r="AB57"/>
      <c r="AC57"/>
      <c r="AD57"/>
    </row>
    <row r="58" spans="1:30" ht="13" x14ac:dyDescent="0.3">
      <c r="A58" s="114"/>
      <c r="C58" s="98"/>
      <c r="D58" s="376">
        <f>(SUM(C53:C57)-D51)*'PIECE DENSITIES'!E8</f>
        <v>1.4737211652269422</v>
      </c>
      <c r="E58" s="24" t="s">
        <v>124</v>
      </c>
      <c r="G58" s="114"/>
      <c r="I58" s="99"/>
      <c r="J58" s="201">
        <f>(SUM(I53:I57)-J51)*'PIECE DENSITIES'!E13</f>
        <v>0</v>
      </c>
      <c r="K58" s="24" t="s">
        <v>125</v>
      </c>
      <c r="L58"/>
      <c r="M58" s="20"/>
      <c r="O58" s="96">
        <f>SUM(N53:N57)*'PIECE DENSITIES'!E18</f>
        <v>0.17136901825048362</v>
      </c>
      <c r="P58" s="24" t="s">
        <v>126</v>
      </c>
      <c r="Q58" s="109"/>
      <c r="S58" s="20"/>
      <c r="U58" s="20"/>
      <c r="Y58"/>
      <c r="Z58"/>
      <c r="AA58"/>
      <c r="AB58"/>
      <c r="AC58"/>
      <c r="AD58"/>
    </row>
    <row r="59" spans="1:30" ht="13" x14ac:dyDescent="0.3">
      <c r="A59" s="114"/>
      <c r="C59" s="98"/>
      <c r="D59" s="376">
        <f>(SUM(C53:C57)-D51)*'PIECE DENSITIES'!F8</f>
        <v>0.47846521530928104</v>
      </c>
      <c r="E59" s="24" t="s">
        <v>127</v>
      </c>
      <c r="G59" s="114"/>
      <c r="I59" s="99"/>
      <c r="J59" s="201">
        <f>(SUM(I53:I57)-J51)*'PIECE DENSITIES'!F13</f>
        <v>0</v>
      </c>
      <c r="K59" s="24" t="s">
        <v>128</v>
      </c>
      <c r="L59"/>
      <c r="M59" s="20"/>
      <c r="O59" s="96">
        <f>SUM(N53:N57)*'PIECE DENSITIES'!F18</f>
        <v>2.6896709595182203E-2</v>
      </c>
      <c r="P59" s="24" t="s">
        <v>129</v>
      </c>
      <c r="Q59" s="109"/>
      <c r="S59" s="20"/>
      <c r="U59" s="20"/>
      <c r="Y59"/>
      <c r="Z59"/>
      <c r="AA59"/>
      <c r="AB59"/>
      <c r="AC59"/>
      <c r="AD59"/>
    </row>
    <row r="60" spans="1:30" ht="13" x14ac:dyDescent="0.3">
      <c r="A60" s="114"/>
      <c r="C60" s="89"/>
      <c r="D60" s="377">
        <f>(SUM(C53:C57)-D51)*'PIECE DENSITIES'!G8</f>
        <v>5.4556533197706614</v>
      </c>
      <c r="E60" s="24" t="s">
        <v>130</v>
      </c>
      <c r="G60" s="114"/>
      <c r="I60" s="94"/>
      <c r="J60" s="202">
        <f>(SUM(I53:I57)-J51)*'PIECE DENSITIES'!G13</f>
        <v>0</v>
      </c>
      <c r="K60" s="24" t="s">
        <v>288</v>
      </c>
      <c r="L60"/>
      <c r="M60" s="20"/>
      <c r="N60" s="46"/>
      <c r="O60" s="97">
        <f>SUM(N53:N57)*'PIECE DENSITIES'!G18</f>
        <v>0.45021118701343715</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18.795510072421713</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336" t="s">
        <v>136</v>
      </c>
      <c r="C63" s="337"/>
      <c r="D63" s="120"/>
      <c r="E63" s="24" t="s">
        <v>138</v>
      </c>
      <c r="G63" s="127" t="s">
        <v>118</v>
      </c>
      <c r="H63" s="336" t="s">
        <v>248</v>
      </c>
      <c r="I63" s="337"/>
      <c r="J63" s="100"/>
      <c r="K63" s="23" t="s">
        <v>138</v>
      </c>
      <c r="L63"/>
      <c r="M63" s="336" t="s">
        <v>126</v>
      </c>
      <c r="N63" s="337"/>
      <c r="P63" s="20"/>
      <c r="Q63" s="109"/>
      <c r="S63" s="20"/>
      <c r="U63" s="20"/>
      <c r="Y63"/>
      <c r="Z63"/>
      <c r="AA63"/>
      <c r="AB63"/>
      <c r="AC63"/>
      <c r="AD63"/>
    </row>
    <row r="64" spans="1:30" ht="13" x14ac:dyDescent="0.3">
      <c r="A64" s="121">
        <f>B64*(1-'ACCEPT RATES'!C17)</f>
        <v>23.178237988942694</v>
      </c>
      <c r="B64" s="29">
        <f>C64*(1+'ACCEPT RATES'!F17+'PIECE DENSITIES'!E9)</f>
        <v>378.11365921017642</v>
      </c>
      <c r="C64" s="51">
        <f>C14*('COVERAGE FACTORS'!E38+'COVERAGE FACTORS'!E42)</f>
        <v>356.01608948178</v>
      </c>
      <c r="E64" s="24" t="s">
        <v>70</v>
      </c>
      <c r="G64" s="217">
        <f>H64*(1-'ACCEPT RATES'!C22)</f>
        <v>0</v>
      </c>
      <c r="H64" s="29">
        <f>I64*(1+'PIECE DENSITIES'!E14)</f>
        <v>0</v>
      </c>
      <c r="I64" s="51">
        <f>C14*'COVERAGE FACTORS'!E40</f>
        <v>0</v>
      </c>
      <c r="J64" s="113"/>
      <c r="K64" s="23" t="s">
        <v>70</v>
      </c>
      <c r="L64"/>
      <c r="M64" s="29">
        <f>N64</f>
        <v>2.1386613777729164</v>
      </c>
      <c r="N64" s="51">
        <f>C14*'COVERAGE FACTORS'!E44</f>
        <v>2.1386613777729164</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0.10183871817635728</v>
      </c>
      <c r="B68" s="211">
        <f>C68*(1+'ACCEPT RATES'!F17+'PIECE DENSITIES'!E9)</f>
        <v>1.661326042010016</v>
      </c>
      <c r="C68" s="212">
        <f>(D32+D44+D58)*('COVERAGE FACTORS'!E38+'COVERAGE FACTORS'!E42)</f>
        <v>1.5642354789988793</v>
      </c>
      <c r="G68" s="210">
        <f>IF(SUM(C11:C16)&gt;0, H68*(1-'ACCEPT RATES'!C22),H68*(1-'ACCEPT RATES'!D22))</f>
        <v>0</v>
      </c>
      <c r="H68" s="209">
        <f>I68*(1+'PIECE DENSITIES'!E14)</f>
        <v>0</v>
      </c>
      <c r="I68" s="208">
        <f>(D32+D44+D58)*'COVERAGE FACTORS'!E40+(J32+J44+J58)*('COVERAGE FACTORS'!E40+'COVERAGE FACTORS'!E42)</f>
        <v>0</v>
      </c>
      <c r="J68" s="58"/>
      <c r="L68"/>
      <c r="M68" s="102">
        <f>N68</f>
        <v>18.980864433549414</v>
      </c>
      <c r="N68" s="101">
        <f>D62+J62+O32+O44+O58+(D32+D44+D58)*'COVERAGE FACTORS'!E44+(J32+J44+J58)*(1-('COVERAGE FACTORS'!E40+'COVERAGE FACTORS'!E42))</f>
        <v>18.980864433549414</v>
      </c>
      <c r="P68" s="20"/>
      <c r="Q68" s="109"/>
      <c r="S68" s="20"/>
      <c r="U68" s="20"/>
      <c r="Y68"/>
      <c r="Z68"/>
      <c r="AA68"/>
      <c r="AB68"/>
      <c r="AC68"/>
      <c r="AD68"/>
    </row>
    <row r="69" spans="1:30" ht="13" x14ac:dyDescent="0.3">
      <c r="A69" s="114"/>
      <c r="C69" s="98"/>
      <c r="D69" s="376">
        <f>(SUM(C64:C68)-D62)*'PIECE DENSITIES'!F9</f>
        <v>7.5792841461792078</v>
      </c>
      <c r="E69" s="24" t="s">
        <v>127</v>
      </c>
      <c r="G69" s="114"/>
      <c r="I69" s="99"/>
      <c r="J69" s="201">
        <f>(SUM(I64:I68)-J62)*'PIECE DENSITIES'!F14</f>
        <v>0</v>
      </c>
      <c r="K69" s="24" t="s">
        <v>128</v>
      </c>
      <c r="L69"/>
      <c r="M69" s="20"/>
      <c r="O69" s="96">
        <f>SUM(N64:N68)*'PIECE DENSITIES'!F19</f>
        <v>0.54631626188173743</v>
      </c>
      <c r="P69" s="24" t="s">
        <v>129</v>
      </c>
      <c r="Q69" s="109"/>
      <c r="S69" s="20"/>
      <c r="U69" s="20"/>
      <c r="Y69"/>
      <c r="Z69"/>
      <c r="AA69"/>
      <c r="AB69"/>
      <c r="AC69"/>
      <c r="AD69"/>
    </row>
    <row r="70" spans="1:30" ht="13" x14ac:dyDescent="0.3">
      <c r="A70" s="114"/>
      <c r="C70" s="98"/>
      <c r="D70" s="376">
        <f>(SUM(C64:C68)-D62)*'PIECE DENSITIES'!G9</f>
        <v>331.20553074217793</v>
      </c>
      <c r="E70" s="24" t="s">
        <v>130</v>
      </c>
      <c r="G70" s="114"/>
      <c r="I70" s="99"/>
      <c r="J70" s="201">
        <f>(SUM(I64:I68)-J62)*'PIECE DENSITIES'!G14</f>
        <v>0</v>
      </c>
      <c r="K70" s="24" t="s">
        <v>288</v>
      </c>
      <c r="L70"/>
      <c r="M70" s="20"/>
      <c r="O70" s="96">
        <f>SUM(N64:N68)*'PIECE DENSITIES'!G19</f>
        <v>20.573209549440591</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97">
        <f>SUM(A74:A78)*(1-'ACCEPT RATES'!G17)+SUM(B74:B78)*SUM('ACCEPT RATES'!I17:J17)</f>
        <v>0.40154753535700538</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336" t="s">
        <v>137</v>
      </c>
      <c r="C73" s="337"/>
      <c r="D73" s="120"/>
      <c r="E73" s="24" t="s">
        <v>139</v>
      </c>
      <c r="G73" s="127" t="s">
        <v>118</v>
      </c>
      <c r="H73" s="336" t="s">
        <v>249</v>
      </c>
      <c r="I73" s="337"/>
      <c r="J73" s="100"/>
      <c r="K73" s="23" t="s">
        <v>139</v>
      </c>
      <c r="L73"/>
      <c r="M73" s="336" t="s">
        <v>129</v>
      </c>
      <c r="N73" s="337"/>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0.49735587853941293</v>
      </c>
      <c r="B78" s="211">
        <f>C78*(1+'ACCEPT RATES'!F17)</f>
        <v>8.1135180014090427</v>
      </c>
      <c r="C78" s="212">
        <f>(D33+D45+D59+D69)*('COVERAGE FACTORS'!E38+'COVERAGE FACTORS'!E42)</f>
        <v>8.035355243693294</v>
      </c>
      <c r="G78" s="210">
        <f>IF(SUM(C11:C16)&gt;0,H78*(1-'ACCEPT RATES'!C22),H78*(1-'ACCEPT RATES'!D22))</f>
        <v>0</v>
      </c>
      <c r="H78" s="209">
        <f>I78</f>
        <v>0</v>
      </c>
      <c r="I78" s="208">
        <f>(D33+D45+D59+D69)*'COVERAGE FACTORS'!E40+(J33+J45+J59+J69)*('COVERAGE FACTORS'!E40+'COVERAGE FACTORS'!E42)</f>
        <v>0</v>
      </c>
      <c r="J78" s="58"/>
      <c r="L78"/>
      <c r="M78" s="102">
        <f ca="1">N78</f>
        <v>1.0244694027992454</v>
      </c>
      <c r="N78" s="101">
        <f ca="1">D72+J72+O33+O45+O59+O69+(D33+D45+D59+D69)*'COVERAGE FACTORS'!E44+(J33+J45+J59+J69)*(1-('COVERAGE FACTORS'!E40+'COVERAGE FACTORS'!E42))+D106</f>
        <v>1.0244694027992454</v>
      </c>
      <c r="P78" s="20"/>
      <c r="Q78" s="109"/>
      <c r="S78" s="20"/>
      <c r="U78" s="20"/>
      <c r="Y78"/>
      <c r="Z78"/>
      <c r="AA78"/>
      <c r="AB78"/>
      <c r="AC78"/>
      <c r="AD78"/>
    </row>
    <row r="79" spans="1:30" ht="13" x14ac:dyDescent="0.3">
      <c r="A79" s="114"/>
      <c r="C79" s="98"/>
      <c r="D79" s="376">
        <f>SUM(C74:C78)-D72</f>
        <v>7.6338077083362883</v>
      </c>
      <c r="E79" s="24" t="s">
        <v>130</v>
      </c>
      <c r="G79" s="114"/>
      <c r="I79" s="99"/>
      <c r="J79" s="201">
        <f>SUM(I74:I78)-J72</f>
        <v>0</v>
      </c>
      <c r="K79" s="24" t="s">
        <v>288</v>
      </c>
      <c r="L79"/>
      <c r="M79" s="20"/>
      <c r="O79" s="96">
        <f ca="1">SUM(N74:N78)</f>
        <v>1.0244694027992454</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97">
        <f>SUM(A83:A87)*(1-'ACCEPT RATES'!G17)+SUM(B83:B87)*SUM('ACCEPT RATES'!I17:J17)</f>
        <v>33.087095160932975</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336" t="s">
        <v>140</v>
      </c>
      <c r="C82" s="337"/>
      <c r="D82" s="120"/>
      <c r="E82" s="24" t="s">
        <v>141</v>
      </c>
      <c r="G82" s="127" t="s">
        <v>118</v>
      </c>
      <c r="H82" s="336" t="s">
        <v>250</v>
      </c>
      <c r="I82" s="337"/>
      <c r="J82" s="100"/>
      <c r="K82" s="23" t="s">
        <v>141</v>
      </c>
      <c r="L82"/>
      <c r="M82" s="336" t="s">
        <v>131</v>
      </c>
      <c r="N82" s="337"/>
      <c r="P82" s="20"/>
      <c r="Q82" s="109"/>
      <c r="S82" s="20"/>
      <c r="U82" s="20"/>
      <c r="Y82"/>
      <c r="Z82"/>
      <c r="AA82"/>
      <c r="AB82"/>
      <c r="AC82"/>
      <c r="AD82"/>
    </row>
    <row r="83" spans="1:30" ht="13" x14ac:dyDescent="0.3">
      <c r="A83" s="121">
        <f>B83*(1-'ACCEPT RATES'!C17)</f>
        <v>20.714340387816989</v>
      </c>
      <c r="B83" s="29">
        <f>C83*(1+'ACCEPT RATES'!F17)</f>
        <v>337.91934684159793</v>
      </c>
      <c r="C83" s="51">
        <f>(C16)*('COVERAGE FACTORS'!E67+'COVERAGE FACTORS'!E71)*'COVERAGE FACTORS'!E112</f>
        <v>334.66395158271558</v>
      </c>
      <c r="E83" s="24" t="s">
        <v>70</v>
      </c>
      <c r="G83" s="217">
        <v>0</v>
      </c>
      <c r="H83" s="29">
        <f>I83</f>
        <v>0</v>
      </c>
      <c r="I83" s="51">
        <f>(C16)*'COVERAGE FACTORS'!E69*'COVERAGE FACTORS'!E112</f>
        <v>0</v>
      </c>
      <c r="J83" s="113"/>
      <c r="K83" s="23" t="s">
        <v>70</v>
      </c>
      <c r="L83"/>
      <c r="M83" s="29">
        <f>N83</f>
        <v>17.229920016926091</v>
      </c>
      <c r="N83" s="51">
        <f>(C16)*'COVERAGE FACTORS'!E114</f>
        <v>17.229920016926091</v>
      </c>
      <c r="P83" s="316"/>
      <c r="Q83" s="317"/>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20.26726162214759</v>
      </c>
      <c r="B87" s="211">
        <f>C87*(1+'ACCEPT RATES'!F17)</f>
        <v>330.626014702931</v>
      </c>
      <c r="C87" s="212">
        <f>(D34+D46+D60+D70+D79)*('COVERAGE FACTORS'!E67+'COVERAGE FACTORS'!E71)*'COVERAGE FACTORS'!E112</f>
        <v>327.4408808217637</v>
      </c>
      <c r="G87" s="210">
        <v>0</v>
      </c>
      <c r="H87" s="209">
        <f>I87</f>
        <v>0</v>
      </c>
      <c r="I87" s="208">
        <f>(D34+D46+D60+D70+D79)*'COVERAGE FACTORS'!E69*'COVERAGE FACTORS'!E112+(J34+J46+J60+J70+J79)*('COVERAGE FACTORS'!E69+'COVERAGE FACTORS'!E71)*'COVERAGE FACTORS'!E112</f>
        <v>0</v>
      </c>
      <c r="J87" s="202"/>
      <c r="L87"/>
      <c r="M87" s="102">
        <f ca="1">N87</f>
        <v>71.994596793166338</v>
      </c>
      <c r="N87" s="101">
        <f ca="1">D81+J81+(O34+O46+O60+O70+O79)+(D34+D46+D60+D70+D79)*'COVERAGE FACTORS'!E114+(J34+J46+J60+J70+J79)*(1-('COVERAGE FACTORS'!E71+'COVERAGE FACTORS'!E69)*'COVERAGE FACTORS'!E112)+D120</f>
        <v>71.994596793166338</v>
      </c>
      <c r="P87" s="20"/>
      <c r="Q87" s="109"/>
      <c r="S87" s="20"/>
      <c r="U87" s="20"/>
      <c r="Y87"/>
      <c r="Z87"/>
      <c r="AA87"/>
      <c r="AB87"/>
      <c r="AC87"/>
      <c r="AD87"/>
    </row>
    <row r="88" spans="1:30" ht="13" x14ac:dyDescent="0.3">
      <c r="A88" s="114"/>
      <c r="C88" s="98"/>
      <c r="D88" s="103">
        <f>SUM(C83:C87)-D81</f>
        <v>629.01773724354632</v>
      </c>
      <c r="E88" s="24"/>
      <c r="G88" s="378"/>
      <c r="H88" s="379"/>
      <c r="I88" s="379"/>
      <c r="J88" s="380">
        <f>SUM(I83:I87)-J81</f>
        <v>0</v>
      </c>
      <c r="K88" s="24"/>
      <c r="L88"/>
      <c r="M88" s="20"/>
      <c r="O88" s="216">
        <f ca="1">SUM(N83:N87)</f>
        <v>89.224516810092425</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338">
        <f ca="1">SUM(A95:A99)*(1-'ACCEPT RATES'!G24)+SUM(B95:B99)*'ACCEPT RATES'!J24</f>
        <v>0</v>
      </c>
      <c r="E93" s="282">
        <f ca="1">SUM(B95:B99)*'ACCEPT RATES'!I24</f>
        <v>0</v>
      </c>
    </row>
    <row r="94" spans="1:30" ht="13" x14ac:dyDescent="0.3">
      <c r="A94" s="24" t="s">
        <v>256</v>
      </c>
      <c r="B94" s="339" t="s">
        <v>366</v>
      </c>
      <c r="C94" s="340"/>
      <c r="E94" s="24"/>
    </row>
    <row r="95" spans="1:30" ht="13" x14ac:dyDescent="0.3">
      <c r="A95" s="51">
        <f>B95*(1-'ACCEPT RATES'!C24)</f>
        <v>0</v>
      </c>
      <c r="B95" s="29">
        <f>C95*(1+'ACCEPT RATES'!F17)</f>
        <v>0</v>
      </c>
      <c r="C95" s="51">
        <f>C17</f>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341">
        <f ca="1">D114</f>
        <v>0</v>
      </c>
    </row>
    <row r="100" spans="1:11" x14ac:dyDescent="0.25">
      <c r="D100" s="381">
        <f ca="1">SUM(C95:C99)-D93-E93</f>
        <v>0</v>
      </c>
    </row>
    <row r="101" spans="1:11" ht="13" x14ac:dyDescent="0.3">
      <c r="D101" s="23" t="s">
        <v>369</v>
      </c>
    </row>
    <row r="105" spans="1:11" ht="13" x14ac:dyDescent="0.3">
      <c r="D105" s="23"/>
    </row>
    <row r="106" spans="1:11" ht="13" x14ac:dyDescent="0.3">
      <c r="A106" s="114"/>
      <c r="D106" s="342">
        <f ca="1">A112*(1-'ACCEPT RATES'!G17)+B112*('ACCEPT RATES'!I17+'ACCEPT RATES'!J17)</f>
        <v>0</v>
      </c>
      <c r="E106" s="24" t="s">
        <v>114</v>
      </c>
      <c r="G106" s="482" t="s">
        <v>525</v>
      </c>
      <c r="H106" s="482"/>
      <c r="I106" s="482"/>
      <c r="J106" s="482"/>
      <c r="K106" s="482"/>
    </row>
    <row r="107" spans="1:11" ht="13" x14ac:dyDescent="0.3">
      <c r="A107" s="127" t="s">
        <v>256</v>
      </c>
      <c r="B107" s="336" t="s">
        <v>444</v>
      </c>
      <c r="C107" s="337"/>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00">
        <f ca="1">B112*(1-'ACCEPT RATES'!$C$17)</f>
        <v>0</v>
      </c>
      <c r="B112" s="211">
        <f ca="1">C112*(1+'ACCEPT RATES'!$F$17)</f>
        <v>0</v>
      </c>
      <c r="C112" s="212">
        <f ca="1">E93</f>
        <v>0</v>
      </c>
      <c r="G112" s="482"/>
      <c r="H112" s="482"/>
      <c r="I112" s="482"/>
      <c r="J112" s="482"/>
      <c r="K112" s="482"/>
    </row>
    <row r="113" spans="1:11" ht="13" x14ac:dyDescent="0.3">
      <c r="A113" s="114"/>
      <c r="C113" s="120"/>
      <c r="D113" s="376">
        <f ca="1">($C$112-$D$106)*(1-'COVERAGE FACTORS'!$E$80)</f>
        <v>0</v>
      </c>
      <c r="E113" s="24" t="s">
        <v>130</v>
      </c>
      <c r="G113" s="482"/>
      <c r="H113" s="482"/>
      <c r="I113" s="482"/>
      <c r="J113" s="482"/>
      <c r="K113" s="482"/>
    </row>
    <row r="114" spans="1:11" ht="13" x14ac:dyDescent="0.3">
      <c r="A114" s="114"/>
      <c r="C114" s="120"/>
      <c r="D114" s="376">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344">
        <f ca="1">A126*'ACCEPT RATES'!H17+B126*('ACCEPT RATES'!I17+'ACCEPT RATES'!J17)</f>
        <v>0</v>
      </c>
      <c r="E120" s="24" t="s">
        <v>114</v>
      </c>
    </row>
    <row r="121" spans="1:11" ht="13" x14ac:dyDescent="0.3">
      <c r="A121" s="127" t="s">
        <v>256</v>
      </c>
      <c r="B121" s="336" t="s">
        <v>445</v>
      </c>
      <c r="C121" s="337"/>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345">
        <f ca="1">B126*(1-'ACCEPT RATES'!$C$17)</f>
        <v>0</v>
      </c>
      <c r="B126" s="211">
        <f ca="1">C126*(1+'ACCEPT RATES'!$F$17)</f>
        <v>0</v>
      </c>
      <c r="C126" s="212">
        <f ca="1">$D$93+$D$113</f>
        <v>0</v>
      </c>
    </row>
    <row r="127" spans="1:11" ht="13" x14ac:dyDescent="0.3">
      <c r="A127" s="122"/>
      <c r="C127" s="120"/>
      <c r="D127" s="346">
        <f ca="1">C126-D120</f>
        <v>0</v>
      </c>
      <c r="E127" s="24"/>
    </row>
    <row r="128" spans="1:11" ht="13" x14ac:dyDescent="0.3">
      <c r="A128" s="122"/>
      <c r="D128" s="23" t="s">
        <v>142</v>
      </c>
      <c r="E128" s="24"/>
    </row>
  </sheetData>
  <mergeCells count="2">
    <mergeCell ref="D91:E91"/>
    <mergeCell ref="G106:K113"/>
  </mergeCells>
  <pageMargins left="0.7" right="0.7" top="0.75" bottom="0.75" header="0.3" footer="0.3"/>
  <pageSetup scale="40" orientation="portrait" horizontalDpi="300" verticalDpi="0" copies="0" r:id="rId1"/>
  <ignoredErrors>
    <ignoredError sqref="C6" formulaRange="1"/>
  </ignoredErrors>
</worksheet>
</file>

<file path=xl/worksheets/sheet6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4">
    <pageSetUpPr fitToPage="1"/>
  </sheetPr>
  <dimension ref="A1:M87"/>
  <sheetViews>
    <sheetView zoomScale="75" zoomScaleNormal="75" workbookViewId="0"/>
  </sheetViews>
  <sheetFormatPr defaultRowHeight="12.5" x14ac:dyDescent="0.25"/>
  <cols>
    <col min="1" max="1" width="5.7265625" customWidth="1"/>
    <col min="2" max="2" width="25.7265625" customWidth="1"/>
    <col min="3" max="4" width="10.7265625" style="2" customWidth="1"/>
    <col min="5" max="5" width="10.7265625" style="38" customWidth="1"/>
    <col min="6" max="6" width="10.7265625" style="133" customWidth="1"/>
    <col min="7" max="7" width="10.7265625" style="42" customWidth="1"/>
    <col min="8" max="9" width="10.7265625" style="30" customWidth="1"/>
    <col min="10" max="10" width="10.7265625" style="133" customWidth="1"/>
    <col min="11" max="26" width="9.7265625" customWidth="1"/>
  </cols>
  <sheetData>
    <row r="1" spans="1:12" ht="23" x14ac:dyDescent="0.5">
      <c r="A1" s="126" t="s">
        <v>511</v>
      </c>
    </row>
    <row r="2" spans="1:12" ht="18" x14ac:dyDescent="0.4">
      <c r="A2" s="5" t="s">
        <v>55</v>
      </c>
    </row>
    <row r="3" spans="1:12" s="7" customFormat="1" ht="12.75" customHeight="1" x14ac:dyDescent="0.3">
      <c r="A3" s="1"/>
      <c r="C3" s="134"/>
      <c r="D3" s="134"/>
      <c r="E3" s="135"/>
      <c r="F3" s="136"/>
      <c r="G3" s="137"/>
      <c r="H3" s="138"/>
      <c r="I3" s="138"/>
      <c r="J3" s="136"/>
    </row>
    <row r="4" spans="1:12" s="7" customFormat="1" ht="12.75" customHeight="1" x14ac:dyDescent="0.3">
      <c r="A4" s="1"/>
      <c r="C4" s="17" t="str">
        <f>"(1)"</f>
        <v>(1)</v>
      </c>
      <c r="D4" s="17" t="str">
        <f>"(2)"</f>
        <v>(2)</v>
      </c>
      <c r="E4" s="39" t="s">
        <v>425</v>
      </c>
      <c r="F4" s="17" t="str">
        <f>"(4)"</f>
        <v>(4)</v>
      </c>
      <c r="G4" s="41" t="str">
        <f>"(5)"</f>
        <v>(5)</v>
      </c>
      <c r="H4" s="17" t="str">
        <f>"(6)"</f>
        <v>(6)</v>
      </c>
      <c r="I4" s="17" t="str">
        <f>"(7)"</f>
        <v>(7)</v>
      </c>
      <c r="J4" s="17" t="str">
        <f>"(8)"</f>
        <v>(8)</v>
      </c>
      <c r="K4" s="17" t="str">
        <f>"(9)"</f>
        <v>(9)</v>
      </c>
    </row>
    <row r="5" spans="1:12" s="7" customFormat="1" ht="12.75" customHeight="1" x14ac:dyDescent="0.3">
      <c r="A5" s="1"/>
      <c r="C5" s="134"/>
      <c r="D5" s="134"/>
      <c r="E5" s="135"/>
      <c r="F5" s="136"/>
      <c r="G5" s="137"/>
      <c r="H5" s="138"/>
      <c r="I5" s="138"/>
      <c r="J5" s="136"/>
      <c r="K5" s="1"/>
    </row>
    <row r="6" spans="1:12" ht="13" x14ac:dyDescent="0.3">
      <c r="D6" s="17" t="s">
        <v>251</v>
      </c>
      <c r="F6" s="139" t="s">
        <v>56</v>
      </c>
      <c r="H6" s="31" t="s">
        <v>57</v>
      </c>
      <c r="I6" s="31" t="s">
        <v>57</v>
      </c>
      <c r="J6" s="139" t="s">
        <v>3</v>
      </c>
      <c r="K6" s="139" t="s">
        <v>58</v>
      </c>
    </row>
    <row r="7" spans="1:12" ht="13" x14ac:dyDescent="0.3">
      <c r="C7" s="140"/>
      <c r="D7" s="17" t="s">
        <v>59</v>
      </c>
      <c r="E7" s="39" t="s">
        <v>60</v>
      </c>
      <c r="F7" s="139" t="s">
        <v>61</v>
      </c>
      <c r="G7" s="41" t="s">
        <v>62</v>
      </c>
      <c r="H7" s="31" t="s">
        <v>63</v>
      </c>
      <c r="I7" s="31" t="s">
        <v>63</v>
      </c>
      <c r="J7" s="139" t="s">
        <v>61</v>
      </c>
      <c r="K7" s="139" t="s">
        <v>61</v>
      </c>
    </row>
    <row r="8" spans="1:12" ht="13" x14ac:dyDescent="0.3">
      <c r="A8" s="36" t="s">
        <v>64</v>
      </c>
      <c r="C8" s="140" t="s">
        <v>7</v>
      </c>
      <c r="D8" s="140" t="s">
        <v>65</v>
      </c>
      <c r="E8" s="40" t="s">
        <v>66</v>
      </c>
      <c r="F8" s="141" t="s">
        <v>67</v>
      </c>
      <c r="G8" s="43" t="s">
        <v>68</v>
      </c>
      <c r="H8" s="37" t="s">
        <v>68</v>
      </c>
      <c r="I8" s="37" t="s">
        <v>69</v>
      </c>
      <c r="J8" s="141" t="s">
        <v>67</v>
      </c>
      <c r="K8" s="141" t="s">
        <v>67</v>
      </c>
    </row>
    <row r="9" spans="1:12" ht="13" x14ac:dyDescent="0.3">
      <c r="A9" s="36"/>
      <c r="C9" s="140"/>
      <c r="D9" s="140"/>
      <c r="E9" s="40"/>
      <c r="F9" s="141"/>
      <c r="G9" s="43"/>
      <c r="H9" s="37"/>
      <c r="I9" s="37"/>
      <c r="J9" s="141"/>
    </row>
    <row r="10" spans="1:12" ht="13" x14ac:dyDescent="0.3">
      <c r="A10" s="1" t="s">
        <v>252</v>
      </c>
      <c r="C10" s="140"/>
      <c r="D10" s="140"/>
      <c r="E10" s="40"/>
      <c r="F10" s="141"/>
      <c r="G10" s="43"/>
      <c r="H10" s="37"/>
      <c r="I10" s="37"/>
      <c r="J10" s="141"/>
    </row>
    <row r="11" spans="1:12" ht="13" x14ac:dyDescent="0.3">
      <c r="A11" s="36"/>
      <c r="B11" t="s">
        <v>234</v>
      </c>
      <c r="C11" s="151">
        <f>'BUNDLE SORT CR'!I19*('COVERAGE FACTORS'!$E$6/('COVERAGE FACTORS'!$E$6+'COVERAGE FACTORS'!$E$8))</f>
        <v>0</v>
      </c>
      <c r="D11" s="151">
        <f>PRODUCTIVITIES!$E$8</f>
        <v>206.82028883360866</v>
      </c>
      <c r="E11" s="135">
        <f>'WAGE RATES'!$C$6</f>
        <v>50.10717457546064</v>
      </c>
      <c r="F11" s="42">
        <f>E11*100/D11</f>
        <v>24.227398026589611</v>
      </c>
      <c r="G11" s="137">
        <f>PIGGYBACKS!$B$5</f>
        <v>1.8052502472456198</v>
      </c>
      <c r="H11" s="137">
        <f>'WAGE RATES'!$C$9</f>
        <v>0.9752031228402912</v>
      </c>
      <c r="I11" s="42">
        <f>(H11-1)*F11</f>
        <v>-0.60076381276471391</v>
      </c>
      <c r="J11" s="42">
        <f>F11*G11+I11</f>
        <v>43.135752464854228</v>
      </c>
      <c r="K11" s="42">
        <f ca="1">C11*$J11/'3D AUTO MODEL'!$G$6</f>
        <v>0</v>
      </c>
      <c r="L11" s="247"/>
    </row>
    <row r="12" spans="1:12" ht="13" x14ac:dyDescent="0.3">
      <c r="A12" s="36"/>
      <c r="B12" t="s">
        <v>529</v>
      </c>
      <c r="C12" s="151">
        <f>'BUNDLE SORT CR'!I19*('COVERAGE FACTORS'!$E$8/('COVERAGE FACTORS'!$E$6+'COVERAGE FACTORS'!$E$8))</f>
        <v>0</v>
      </c>
      <c r="D12" s="151">
        <f>PRODUCTIVITIES!$E$10</f>
        <v>218.50114013210441</v>
      </c>
      <c r="E12" s="135">
        <f>'WAGE RATES'!$C$6</f>
        <v>50.10717457546064</v>
      </c>
      <c r="F12" s="42">
        <f>E12*100/D12</f>
        <v>22.932225683200627</v>
      </c>
      <c r="G12" s="137">
        <f>PIGGYBACKS!$B$6</f>
        <v>1.6056412614911089</v>
      </c>
      <c r="H12" s="137">
        <f>'WAGE RATES'!$C$9</f>
        <v>0.9752031228402912</v>
      </c>
      <c r="I12" s="42">
        <f>(H12-1)*F12</f>
        <v>-0.56864758326504505</v>
      </c>
      <c r="J12" s="42">
        <f>F12*G12+I12</f>
        <v>36.252280191508014</v>
      </c>
      <c r="K12" s="42">
        <f ca="1">C12*$J12/'3D AUTO MODEL'!$G$6</f>
        <v>0</v>
      </c>
      <c r="L12" s="247"/>
    </row>
    <row r="13" spans="1:12" ht="13" x14ac:dyDescent="0.3">
      <c r="A13" s="36"/>
      <c r="B13" t="s">
        <v>70</v>
      </c>
      <c r="C13" s="151">
        <f>'BUNDLE SORT CR'!J19</f>
        <v>0</v>
      </c>
      <c r="D13" s="151">
        <f>PRODUCTIVITIES!$E$12</f>
        <v>388.77898659935892</v>
      </c>
      <c r="E13" s="135">
        <f>'WAGE RATES'!$C$6</f>
        <v>50.10717457546064</v>
      </c>
      <c r="F13" s="42">
        <f>E13*100/D13</f>
        <v>12.888344355683154</v>
      </c>
      <c r="G13" s="137">
        <f>PIGGYBACKS!$B$7</f>
        <v>1.5985378657336238</v>
      </c>
      <c r="H13" s="137">
        <f>'WAGE RATES'!$C$9</f>
        <v>0.9752031228402912</v>
      </c>
      <c r="I13" s="42">
        <f>(H13-1)*F13</f>
        <v>-0.3195906917799014</v>
      </c>
      <c r="J13" s="42">
        <f>F13*G13+I13</f>
        <v>20.282915787393843</v>
      </c>
      <c r="K13" s="42">
        <f ca="1">C13*$J13/'3D AUTO MODEL'!$G$6</f>
        <v>0</v>
      </c>
      <c r="L13" s="247"/>
    </row>
    <row r="14" spans="1:12" ht="13" x14ac:dyDescent="0.3">
      <c r="A14" s="36"/>
      <c r="C14" s="151"/>
      <c r="D14" s="151"/>
      <c r="E14" s="135"/>
      <c r="F14" s="136"/>
      <c r="G14" s="137"/>
      <c r="H14" s="137"/>
      <c r="I14" s="138"/>
      <c r="J14" s="136"/>
      <c r="L14" s="247"/>
    </row>
    <row r="15" spans="1:12" ht="13" x14ac:dyDescent="0.3">
      <c r="A15" s="1" t="s">
        <v>253</v>
      </c>
      <c r="C15" s="151"/>
      <c r="D15" s="151"/>
      <c r="E15" s="135"/>
      <c r="F15" s="136"/>
      <c r="G15" s="137"/>
      <c r="H15" s="137"/>
      <c r="I15" s="138"/>
      <c r="J15" s="136"/>
      <c r="L15" s="247"/>
    </row>
    <row r="16" spans="1:12" s="7" customFormat="1" x14ac:dyDescent="0.25">
      <c r="B16" s="7" t="s">
        <v>234</v>
      </c>
      <c r="C16" s="151">
        <f>'BUNDLE SORT CR'!M19*('COVERAGE FACTORS'!$E$30/('COVERAGE FACTORS'!$E$30+'COVERAGE FACTORS'!$E$32))</f>
        <v>0</v>
      </c>
      <c r="D16" s="151">
        <f>PRODUCTIVITIES!$E$9</f>
        <v>236.23040157513444</v>
      </c>
      <c r="E16" s="135">
        <f>'WAGE RATES'!$C$6</f>
        <v>50.10717457546064</v>
      </c>
      <c r="F16" s="42">
        <f>E16*100/D16</f>
        <v>21.211145661759275</v>
      </c>
      <c r="G16" s="137">
        <f>PIGGYBACKS!$B$5</f>
        <v>1.8052502472456198</v>
      </c>
      <c r="H16" s="137">
        <f>'WAGE RATES'!$C$9</f>
        <v>0.9752031228402912</v>
      </c>
      <c r="I16" s="42">
        <f>(H16-1)*F16</f>
        <v>-0.52597017339133489</v>
      </c>
      <c r="J16" s="42">
        <f>F16*G16+I16</f>
        <v>37.765455776862453</v>
      </c>
      <c r="K16" s="42">
        <f ca="1">C16*$J16/'3D AUTO MODEL'!$G$6</f>
        <v>0</v>
      </c>
      <c r="L16" s="247"/>
    </row>
    <row r="17" spans="1:12" ht="13" x14ac:dyDescent="0.3">
      <c r="A17" s="1"/>
      <c r="B17" t="s">
        <v>529</v>
      </c>
      <c r="C17" s="151">
        <f>'BUNDLE SORT CR'!M19*('COVERAGE FACTORS'!$E$32/('COVERAGE FACTORS'!$E$30+'COVERAGE FACTORS'!$E$32))</f>
        <v>0</v>
      </c>
      <c r="D17" s="151">
        <f>PRODUCTIVITIES!$E$11</f>
        <v>181.33504129169131</v>
      </c>
      <c r="E17" s="135">
        <f>'WAGE RATES'!$C$6</f>
        <v>50.10717457546064</v>
      </c>
      <c r="F17" s="42">
        <f>E17*100/D17</f>
        <v>27.632372771713445</v>
      </c>
      <c r="G17" s="137">
        <f>PIGGYBACKS!$B$6</f>
        <v>1.6056412614911089</v>
      </c>
      <c r="H17" s="137">
        <f>'WAGE RATES'!$C$9</f>
        <v>0.9752031228402912</v>
      </c>
      <c r="I17" s="42">
        <f>(H17-1)*F17</f>
        <v>-0.68519655325146034</v>
      </c>
      <c r="J17" s="42">
        <f>F17*G17+I17</f>
        <v>43.682481321915084</v>
      </c>
      <c r="K17" s="42">
        <f ca="1">C17*$J17/'3D AUTO MODEL'!$G$6</f>
        <v>0</v>
      </c>
      <c r="L17" s="247"/>
    </row>
    <row r="18" spans="1:12" ht="13" x14ac:dyDescent="0.3">
      <c r="A18" s="1"/>
      <c r="B18" t="s">
        <v>70</v>
      </c>
      <c r="C18" s="151">
        <f>'BUNDLE SORT CR'!N19</f>
        <v>0</v>
      </c>
      <c r="D18" s="151">
        <f>PRODUCTIVITIES!$E$13</f>
        <v>388.77898659935892</v>
      </c>
      <c r="E18" s="135">
        <f>'WAGE RATES'!$C$6</f>
        <v>50.10717457546064</v>
      </c>
      <c r="F18" s="42">
        <f>E18*100/D18</f>
        <v>12.888344355683154</v>
      </c>
      <c r="G18" s="137">
        <f>PIGGYBACKS!$B$7</f>
        <v>1.5985378657336238</v>
      </c>
      <c r="H18" s="137">
        <f>'WAGE RATES'!$C$9</f>
        <v>0.9752031228402912</v>
      </c>
      <c r="I18" s="42">
        <f>(H18-1)*F18</f>
        <v>-0.3195906917799014</v>
      </c>
      <c r="J18" s="42">
        <f>F18*G18+I18</f>
        <v>20.282915787393843</v>
      </c>
      <c r="K18" s="42">
        <f ca="1">C18*$J18/'3D AUTO MODEL'!$G$6</f>
        <v>0</v>
      </c>
      <c r="L18" s="247"/>
    </row>
    <row r="19" spans="1:12" ht="13" x14ac:dyDescent="0.3">
      <c r="A19" s="1"/>
      <c r="C19" s="151"/>
      <c r="D19" s="151"/>
      <c r="E19" s="135"/>
      <c r="F19" s="136"/>
      <c r="G19" s="137"/>
      <c r="H19" s="137"/>
      <c r="I19" s="138"/>
      <c r="J19" s="136"/>
      <c r="L19" s="247"/>
    </row>
    <row r="20" spans="1:12" ht="13" x14ac:dyDescent="0.3">
      <c r="A20" s="1" t="s">
        <v>254</v>
      </c>
      <c r="C20" s="151"/>
      <c r="D20" s="151"/>
      <c r="E20" s="135"/>
      <c r="F20" s="136"/>
      <c r="G20" s="137"/>
      <c r="H20" s="137"/>
      <c r="I20" s="138"/>
      <c r="J20" s="136"/>
      <c r="L20" s="247"/>
    </row>
    <row r="21" spans="1:12" ht="13" x14ac:dyDescent="0.3">
      <c r="A21" s="1"/>
      <c r="B21" t="s">
        <v>234</v>
      </c>
      <c r="C21" s="151">
        <f>'BUNDLE SORT CR'!Q19*('COVERAGE FACTORS'!$E$30/('COVERAGE FACTORS'!$E$30+'COVERAGE FACTORS'!$E$32))</f>
        <v>0</v>
      </c>
      <c r="D21" s="151">
        <f>PRODUCTIVITIES!$E$9</f>
        <v>236.23040157513444</v>
      </c>
      <c r="E21" s="135">
        <f>'WAGE RATES'!$C$6</f>
        <v>50.10717457546064</v>
      </c>
      <c r="F21" s="42">
        <f>E21*100/D21</f>
        <v>21.211145661759275</v>
      </c>
      <c r="G21" s="137">
        <f>PIGGYBACKS!$B$5</f>
        <v>1.8052502472456198</v>
      </c>
      <c r="H21" s="137">
        <f>'WAGE RATES'!$C$9</f>
        <v>0.9752031228402912</v>
      </c>
      <c r="I21" s="42">
        <f>(H21-1)*F21</f>
        <v>-0.52597017339133489</v>
      </c>
      <c r="J21" s="42">
        <f>F21*G21+I21</f>
        <v>37.765455776862453</v>
      </c>
      <c r="K21" s="42">
        <f ca="1">C21*$J21/'3D AUTO MODEL'!$G$6</f>
        <v>0</v>
      </c>
      <c r="L21" s="247"/>
    </row>
    <row r="22" spans="1:12" ht="13" x14ac:dyDescent="0.3">
      <c r="A22" s="1"/>
      <c r="B22" t="s">
        <v>529</v>
      </c>
      <c r="C22" s="151">
        <f>'BUNDLE SORT CR'!Q19*('COVERAGE FACTORS'!$E$32/('COVERAGE FACTORS'!$E$30+'COVERAGE FACTORS'!$E$32))</f>
        <v>0</v>
      </c>
      <c r="D22" s="151">
        <f>PRODUCTIVITIES!$E$11</f>
        <v>181.33504129169131</v>
      </c>
      <c r="E22" s="135">
        <f>'WAGE RATES'!$C$6</f>
        <v>50.10717457546064</v>
      </c>
      <c r="F22" s="42">
        <f>E22*100/D22</f>
        <v>27.632372771713445</v>
      </c>
      <c r="G22" s="137">
        <f>PIGGYBACKS!$B$6</f>
        <v>1.6056412614911089</v>
      </c>
      <c r="H22" s="137">
        <f>'WAGE RATES'!$C$9</f>
        <v>0.9752031228402912</v>
      </c>
      <c r="I22" s="42">
        <f>(H22-1)*F22</f>
        <v>-0.68519655325146034</v>
      </c>
      <c r="J22" s="42">
        <f>F22*G22+I22</f>
        <v>43.682481321915084</v>
      </c>
      <c r="K22" s="42">
        <f ca="1">C22*$J22/'3D AUTO MODEL'!$G$6</f>
        <v>0</v>
      </c>
      <c r="L22" s="247"/>
    </row>
    <row r="23" spans="1:12" ht="13" x14ac:dyDescent="0.3">
      <c r="A23" s="1"/>
      <c r="B23" t="s">
        <v>70</v>
      </c>
      <c r="C23" s="151">
        <f>'BUNDLE SORT CR'!R19</f>
        <v>0</v>
      </c>
      <c r="D23" s="151">
        <f>PRODUCTIVITIES!$E$14</f>
        <v>388.77898659935892</v>
      </c>
      <c r="E23" s="135">
        <f>'WAGE RATES'!$C$6</f>
        <v>50.10717457546064</v>
      </c>
      <c r="F23" s="42">
        <f>E23*100/D23</f>
        <v>12.888344355683154</v>
      </c>
      <c r="G23" s="137">
        <f>PIGGYBACKS!$B$7</f>
        <v>1.5985378657336238</v>
      </c>
      <c r="H23" s="137">
        <f>'WAGE RATES'!$C$9</f>
        <v>0.9752031228402912</v>
      </c>
      <c r="I23" s="42">
        <f>(H23-1)*F23</f>
        <v>-0.3195906917799014</v>
      </c>
      <c r="J23" s="42">
        <f>F23*G23+I23</f>
        <v>20.282915787393843</v>
      </c>
      <c r="K23" s="42">
        <f ca="1">C23*$J23/'3D AUTO MODEL'!$G$6</f>
        <v>0</v>
      </c>
      <c r="L23" s="247"/>
    </row>
    <row r="24" spans="1:12" ht="13" x14ac:dyDescent="0.3">
      <c r="A24" s="1"/>
      <c r="C24" s="151"/>
      <c r="D24" s="151"/>
      <c r="E24" s="135"/>
      <c r="F24" s="136"/>
      <c r="G24" s="137"/>
      <c r="H24" s="137"/>
      <c r="I24" s="138"/>
      <c r="J24" s="136"/>
      <c r="L24" s="247"/>
    </row>
    <row r="25" spans="1:12" ht="13" x14ac:dyDescent="0.3">
      <c r="A25" s="1" t="s">
        <v>255</v>
      </c>
      <c r="C25" s="151"/>
      <c r="D25" s="151"/>
      <c r="E25" s="135"/>
      <c r="F25" s="136"/>
      <c r="G25" s="137"/>
      <c r="H25" s="137"/>
      <c r="I25" s="138"/>
      <c r="J25" s="136"/>
      <c r="L25" s="247"/>
    </row>
    <row r="26" spans="1:12" ht="13" x14ac:dyDescent="0.3">
      <c r="A26" s="1"/>
      <c r="B26" t="s">
        <v>234</v>
      </c>
      <c r="C26" s="151">
        <f>'BUNDLE SORT CR'!U19*('COVERAGE FACTORS'!$E$30/('COVERAGE FACTORS'!$E$30+'COVERAGE FACTORS'!$E$32))</f>
        <v>1.4192718650463585</v>
      </c>
      <c r="D26" s="151">
        <f>PRODUCTIVITIES!$E$9</f>
        <v>236.23040157513444</v>
      </c>
      <c r="E26" s="135">
        <f>'WAGE RATES'!$C$6</f>
        <v>50.10717457546064</v>
      </c>
      <c r="F26" s="42">
        <f>E26*100/D26</f>
        <v>21.211145661759275</v>
      </c>
      <c r="G26" s="137">
        <f>PIGGYBACKS!$B$5</f>
        <v>1.8052502472456198</v>
      </c>
      <c r="H26" s="137">
        <f>'WAGE RATES'!$C$9</f>
        <v>0.9752031228402912</v>
      </c>
      <c r="I26" s="42">
        <f>(H26-1)*F26</f>
        <v>-0.52597017339133489</v>
      </c>
      <c r="J26" s="42">
        <f>F26*G26+I26</f>
        <v>37.765455776862453</v>
      </c>
      <c r="K26" s="42">
        <f ca="1">C26*$J26/'3D AUTO MODEL'!$G$6</f>
        <v>5.3599448854753278E-3</v>
      </c>
      <c r="L26" s="247"/>
    </row>
    <row r="27" spans="1:12" ht="13" x14ac:dyDescent="0.3">
      <c r="A27" s="1"/>
      <c r="B27" t="s">
        <v>529</v>
      </c>
      <c r="C27" s="151">
        <f>'BUNDLE SORT CR'!U19*('COVERAGE FACTORS'!$E$32/('COVERAGE FACTORS'!$E$30+'COVERAGE FACTORS'!$E$32))</f>
        <v>1.7156683777264119</v>
      </c>
      <c r="D27" s="151">
        <f>PRODUCTIVITIES!$E$11</f>
        <v>181.33504129169131</v>
      </c>
      <c r="E27" s="135">
        <f>'WAGE RATES'!$C$6</f>
        <v>50.10717457546064</v>
      </c>
      <c r="F27" s="42">
        <f>E27*100/D27</f>
        <v>27.632372771713445</v>
      </c>
      <c r="G27" s="137">
        <f>PIGGYBACKS!$B$6</f>
        <v>1.6056412614911089</v>
      </c>
      <c r="H27" s="137">
        <f>'WAGE RATES'!$C$9</f>
        <v>0.9752031228402912</v>
      </c>
      <c r="I27" s="42">
        <f>(H27-1)*F27</f>
        <v>-0.68519655325146034</v>
      </c>
      <c r="J27" s="42">
        <f>F27*G27+I27</f>
        <v>43.682481321915084</v>
      </c>
      <c r="K27" s="42">
        <f ca="1">C27*$J27/'3D AUTO MODEL'!$G$6</f>
        <v>7.4944651864634242E-3</v>
      </c>
      <c r="L27" s="247"/>
    </row>
    <row r="28" spans="1:12" ht="13" x14ac:dyDescent="0.3">
      <c r="A28" s="1"/>
      <c r="B28" t="s">
        <v>70</v>
      </c>
      <c r="C28" s="151">
        <f>'BUNDLE SORT CR'!V19</f>
        <v>310.35908403450429</v>
      </c>
      <c r="D28" s="151">
        <f>PRODUCTIVITIES!E15</f>
        <v>279.13830142253454</v>
      </c>
      <c r="E28" s="135">
        <f>'WAGE RATES'!$C$6</f>
        <v>50.10717457546064</v>
      </c>
      <c r="F28" s="42">
        <f>E28*100/D28</f>
        <v>17.950662564078904</v>
      </c>
      <c r="G28" s="137">
        <f>PIGGYBACKS!$B$7</f>
        <v>1.5985378657336238</v>
      </c>
      <c r="H28" s="137">
        <f>'WAGE RATES'!$C$9</f>
        <v>0.9752031228402912</v>
      </c>
      <c r="I28" s="42">
        <f>(H28-1)*F28</f>
        <v>-0.44512037453684794</v>
      </c>
      <c r="J28" s="42">
        <f>F28*G28+I28</f>
        <v>28.2496934491503</v>
      </c>
      <c r="K28" s="42">
        <f ca="1">C28*$J28/'3D AUTO MODEL'!$G$6</f>
        <v>0.87675489831338127</v>
      </c>
      <c r="L28" s="247"/>
    </row>
    <row r="29" spans="1:12" ht="13" x14ac:dyDescent="0.3">
      <c r="A29" s="1"/>
      <c r="C29" s="149"/>
      <c r="D29" s="149"/>
      <c r="E29" s="135"/>
      <c r="F29" s="136"/>
      <c r="G29" s="137"/>
      <c r="H29" s="138"/>
      <c r="I29" s="138"/>
      <c r="J29" s="136"/>
      <c r="L29" s="247"/>
    </row>
    <row r="30" spans="1:12" ht="13" x14ac:dyDescent="0.3">
      <c r="A30" s="1" t="s">
        <v>71</v>
      </c>
      <c r="F30" s="42"/>
      <c r="H30" s="42"/>
      <c r="I30" s="42"/>
      <c r="J30" s="42"/>
      <c r="L30" s="247"/>
    </row>
    <row r="31" spans="1:12" ht="13" x14ac:dyDescent="0.3">
      <c r="A31" s="36"/>
      <c r="B31" t="s">
        <v>72</v>
      </c>
      <c r="C31" s="2">
        <f>SUM('CR PALLET MODEL'!B25:B29)</f>
        <v>0</v>
      </c>
      <c r="D31" s="2">
        <f>PRODUCTIVITIES!$E$23*'COVERAGE FACTORS'!$E$24+PRODUCTIVITIES!$E$17*(1-'COVERAGE FACTORS'!$E$24)</f>
        <v>1572.5270916832678</v>
      </c>
      <c r="E31" s="38">
        <f>'WAGE RATES'!$C$6</f>
        <v>50.10717457546064</v>
      </c>
      <c r="F31" s="42">
        <f>E31*100/D31</f>
        <v>3.1864108949515657</v>
      </c>
      <c r="G31" s="42">
        <f>PIGGYBACKS!$B$8</f>
        <v>1.6305774272183733</v>
      </c>
      <c r="H31" s="42">
        <f>'WAGE RATES'!$C$9</f>
        <v>0.9752031228402912</v>
      </c>
      <c r="I31" s="42">
        <f>(H31-1)*F31</f>
        <v>-7.9013039542471741E-2</v>
      </c>
      <c r="J31" s="42">
        <f>F31*G31+I31</f>
        <v>5.1166766396082473</v>
      </c>
      <c r="K31" s="42">
        <f ca="1">C31*$J31/'3D AUTO MODEL'!$G$6</f>
        <v>0</v>
      </c>
      <c r="L31" s="247"/>
    </row>
    <row r="32" spans="1:12" ht="13" x14ac:dyDescent="0.3">
      <c r="A32" s="36"/>
      <c r="B32" t="s">
        <v>244</v>
      </c>
      <c r="C32" s="2">
        <f>SUM('CR PALLET MODEL'!A25:A29)</f>
        <v>0</v>
      </c>
      <c r="D32" s="2">
        <f>PRODUCTIVITIES!$E$16</f>
        <v>888.0117100682927</v>
      </c>
      <c r="E32" s="38">
        <f>'WAGE RATES'!$C$5</f>
        <v>54.142360316355024</v>
      </c>
      <c r="F32" s="42">
        <f>E32*100/D32</f>
        <v>6.0970322465895403</v>
      </c>
      <c r="G32" s="42">
        <f>PIGGYBACKS!$B$9</f>
        <v>1.2615773174013249</v>
      </c>
      <c r="H32" s="42">
        <f>'WAGE RATES'!$C$9</f>
        <v>0.9752031228402912</v>
      </c>
      <c r="I32" s="42">
        <f>(H32-1)*F32</f>
        <v>-0.15118735965746419</v>
      </c>
      <c r="J32" s="42">
        <f>F32*G32+I32</f>
        <v>7.540690226104342</v>
      </c>
      <c r="K32" s="42">
        <f ca="1">C32*$J32/'3D AUTO MODEL'!$G$6</f>
        <v>0</v>
      </c>
      <c r="L32" s="247"/>
    </row>
    <row r="33" spans="1:12" ht="13" x14ac:dyDescent="0.3">
      <c r="A33" s="36"/>
      <c r="B33" t="s">
        <v>291</v>
      </c>
      <c r="C33" s="2">
        <f>SUM('CR PALLET MODEL'!H25:H29)</f>
        <v>0</v>
      </c>
      <c r="D33" s="2">
        <f>PRODUCTIVITIES!$E$30</f>
        <v>1.0273268954181221</v>
      </c>
      <c r="E33" s="38">
        <f>'WAGE RATES'!$C$6</f>
        <v>50.10717457546064</v>
      </c>
      <c r="F33" s="42">
        <f>E33*100/D33</f>
        <v>4877.4323731753384</v>
      </c>
      <c r="G33" s="42">
        <f>PIGGYBACKS!$B$10</f>
        <v>1.6305774272183733</v>
      </c>
      <c r="H33" s="42">
        <f>'WAGE RATES'!$C$9</f>
        <v>0.9752031228402912</v>
      </c>
      <c r="I33" s="42">
        <f>(H33-1)*F33</f>
        <v>-120.94509141241582</v>
      </c>
      <c r="J33" s="42">
        <f>F33*G33+I33</f>
        <v>7832.0860390714324</v>
      </c>
      <c r="K33" s="42">
        <f ca="1">C33*$J33/'3D AUTO MODEL'!$G$6</f>
        <v>0</v>
      </c>
      <c r="L33" s="247"/>
    </row>
    <row r="34" spans="1:12" x14ac:dyDescent="0.25">
      <c r="B34" t="s">
        <v>292</v>
      </c>
      <c r="C34" s="2">
        <f>SUM('CR PALLET MODEL'!G25:G28)</f>
        <v>0</v>
      </c>
      <c r="D34" s="2">
        <f>PRODUCTIVITIES!$E$36</f>
        <v>1.0273268954181221</v>
      </c>
      <c r="E34" s="38">
        <f>'WAGE RATES'!$C$6</f>
        <v>50.10717457546064</v>
      </c>
      <c r="F34" s="42">
        <f>E34*100/D34</f>
        <v>4877.4323731753384</v>
      </c>
      <c r="G34" s="42">
        <f>PIGGYBACKS!$B$10</f>
        <v>1.6305774272183733</v>
      </c>
      <c r="H34" s="42">
        <f>'WAGE RATES'!$C$9</f>
        <v>0.9752031228402912</v>
      </c>
      <c r="I34" s="42">
        <f>(H34-1)*F34</f>
        <v>-120.94509141241582</v>
      </c>
      <c r="J34" s="42">
        <f>F34*G34+I34</f>
        <v>7832.0860390714324</v>
      </c>
      <c r="K34" s="42">
        <f ca="1">C34*$J34/'3D AUTO MODEL'!$G$6</f>
        <v>0</v>
      </c>
      <c r="L34" s="247"/>
    </row>
    <row r="35" spans="1:12" x14ac:dyDescent="0.25">
      <c r="B35" t="s">
        <v>70</v>
      </c>
      <c r="C35" s="2">
        <f>SUM('CR PALLET MODEL'!M25:M29)</f>
        <v>0</v>
      </c>
      <c r="D35" s="2">
        <f>PRODUCTIVITIES!$E$42</f>
        <v>620.26371981497391</v>
      </c>
      <c r="E35" s="38">
        <f>'WAGE RATES'!$C$6</f>
        <v>50.10717457546064</v>
      </c>
      <c r="F35" s="42">
        <f>E35*100/D35</f>
        <v>8.0783661811475493</v>
      </c>
      <c r="G35" s="42">
        <f>PIGGYBACKS!$B$12</f>
        <v>1.3622907328394676</v>
      </c>
      <c r="H35" s="42">
        <f>'WAGE RATES'!$C$9</f>
        <v>0.9752031228402912</v>
      </c>
      <c r="I35" s="42">
        <f>(H35-1)*F35</f>
        <v>-0.20031825384506163</v>
      </c>
      <c r="J35" s="42">
        <f>F35*G35+I35</f>
        <v>10.804765131216005</v>
      </c>
      <c r="K35" s="42">
        <f ca="1">C35*$J35/'3D AUTO MODEL'!$G$6</f>
        <v>0</v>
      </c>
      <c r="L35" s="247"/>
    </row>
    <row r="36" spans="1:12" x14ac:dyDescent="0.25">
      <c r="F36" s="42"/>
      <c r="H36" s="42"/>
      <c r="I36" s="42"/>
      <c r="J36" s="42"/>
      <c r="L36" s="247"/>
    </row>
    <row r="37" spans="1:12" ht="13" x14ac:dyDescent="0.3">
      <c r="A37" s="1" t="s">
        <v>73</v>
      </c>
      <c r="F37" s="42"/>
      <c r="H37" s="42"/>
      <c r="I37" s="42"/>
      <c r="J37" s="42"/>
      <c r="L37" s="247"/>
    </row>
    <row r="38" spans="1:12" ht="13" x14ac:dyDescent="0.3">
      <c r="A38" s="36"/>
      <c r="B38" t="s">
        <v>72</v>
      </c>
      <c r="C38" s="2">
        <f>SUM('CR PALLET MODEL'!$B$38:$B$42)</f>
        <v>0</v>
      </c>
      <c r="D38" s="2">
        <f>PRODUCTIVITIES!$E$24*'COVERAGE FACTORS'!$E$24+PRODUCTIVITIES!$E$18*(1-'COVERAGE FACTORS'!$E$24)</f>
        <v>2267.7698382210328</v>
      </c>
      <c r="E38" s="38">
        <f>'WAGE RATES'!$C$6</f>
        <v>50.10717457546064</v>
      </c>
      <c r="F38" s="42">
        <f>E38*100/D38</f>
        <v>2.2095352769471326</v>
      </c>
      <c r="G38" s="42">
        <f>PIGGYBACKS!$B$8</f>
        <v>1.6305774272183733</v>
      </c>
      <c r="H38" s="42">
        <f>'WAGE RATES'!$C$9</f>
        <v>0.9752031228402912</v>
      </c>
      <c r="I38" s="42">
        <f>(H38-1)*F38</f>
        <v>-5.4789574842501201E-2</v>
      </c>
      <c r="J38" s="42">
        <f>F38*G38+I38</f>
        <v>3.5480287723901904</v>
      </c>
      <c r="K38" s="42">
        <f ca="1">C38*$J38/'3D AUTO MODEL'!$G$6</f>
        <v>0</v>
      </c>
      <c r="L38" s="247"/>
    </row>
    <row r="39" spans="1:12" ht="13" x14ac:dyDescent="0.3">
      <c r="A39" s="36"/>
      <c r="B39" t="s">
        <v>244</v>
      </c>
      <c r="C39" s="2">
        <f>SUM('CR PALLET MODEL'!$A$38:$A$42)</f>
        <v>0</v>
      </c>
      <c r="D39" s="2">
        <f>PRODUCTIVITIES!$E$16</f>
        <v>888.0117100682927</v>
      </c>
      <c r="E39" s="38">
        <f>'WAGE RATES'!$C$5</f>
        <v>54.142360316355024</v>
      </c>
      <c r="F39" s="42">
        <f>E39*100/D39</f>
        <v>6.0970322465895403</v>
      </c>
      <c r="G39" s="42">
        <f>PIGGYBACKS!$B$9</f>
        <v>1.2615773174013249</v>
      </c>
      <c r="H39" s="42">
        <f>'WAGE RATES'!$C$9</f>
        <v>0.9752031228402912</v>
      </c>
      <c r="I39" s="42">
        <f>(H39-1)*F39</f>
        <v>-0.15118735965746419</v>
      </c>
      <c r="J39" s="42">
        <f>F39*G39+I39</f>
        <v>7.540690226104342</v>
      </c>
      <c r="K39" s="42">
        <f ca="1">C39*$J39/'3D AUTO MODEL'!$G$6</f>
        <v>0</v>
      </c>
      <c r="L39" s="247"/>
    </row>
    <row r="40" spans="1:12" x14ac:dyDescent="0.25">
      <c r="B40" t="s">
        <v>291</v>
      </c>
      <c r="C40" s="2">
        <f>SUM('CR PALLET MODEL'!$H$38:$H$42)</f>
        <v>0</v>
      </c>
      <c r="D40" s="2">
        <f>PRODUCTIVITIES!$E$31</f>
        <v>1.0273268954181221</v>
      </c>
      <c r="E40" s="38">
        <f>'WAGE RATES'!$C$6</f>
        <v>50.10717457546064</v>
      </c>
      <c r="F40" s="42">
        <f>E40*100/D40</f>
        <v>4877.4323731753384</v>
      </c>
      <c r="G40" s="42">
        <f>PIGGYBACKS!$B$10</f>
        <v>1.6305774272183733</v>
      </c>
      <c r="H40" s="42">
        <f>'WAGE RATES'!$C$9</f>
        <v>0.9752031228402912</v>
      </c>
      <c r="I40" s="42">
        <f>(H40-1)*F40</f>
        <v>-120.94509141241582</v>
      </c>
      <c r="J40" s="42">
        <f>F40*G40+I40</f>
        <v>7832.0860390714324</v>
      </c>
      <c r="K40" s="42">
        <f ca="1">C40*$J40/'3D AUTO MODEL'!$G$6</f>
        <v>0</v>
      </c>
      <c r="L40" s="247"/>
    </row>
    <row r="41" spans="1:12" x14ac:dyDescent="0.25">
      <c r="B41" t="s">
        <v>292</v>
      </c>
      <c r="C41" s="2">
        <f>SUM('CR PALLET MODEL'!$G$38:$G$42)</f>
        <v>0</v>
      </c>
      <c r="D41" s="2">
        <f>PRODUCTIVITIES!$E$37</f>
        <v>1.0273268954181221</v>
      </c>
      <c r="E41" s="38">
        <f>'WAGE RATES'!$C$6</f>
        <v>50.10717457546064</v>
      </c>
      <c r="F41" s="42">
        <f>E41*100/D41</f>
        <v>4877.4323731753384</v>
      </c>
      <c r="G41" s="42">
        <f>PIGGYBACKS!$B$10</f>
        <v>1.6305774272183733</v>
      </c>
      <c r="H41" s="42">
        <f>'WAGE RATES'!$C$9</f>
        <v>0.9752031228402912</v>
      </c>
      <c r="I41" s="42">
        <f>(H41-1)*F41</f>
        <v>-120.94509141241582</v>
      </c>
      <c r="J41" s="42">
        <f>F41*G41+I41</f>
        <v>7832.0860390714324</v>
      </c>
      <c r="K41" s="42">
        <f ca="1">C41*$J41/'3D AUTO MODEL'!$G$6</f>
        <v>0</v>
      </c>
      <c r="L41" s="247"/>
    </row>
    <row r="42" spans="1:12" x14ac:dyDescent="0.25">
      <c r="B42" t="s">
        <v>70</v>
      </c>
      <c r="C42" s="2">
        <f>SUM('CR PALLET MODEL'!$M$38:$M$42)</f>
        <v>0</v>
      </c>
      <c r="D42" s="2">
        <f>PRODUCTIVITIES!$E$43</f>
        <v>490.6212884367572</v>
      </c>
      <c r="E42" s="38">
        <f>'WAGE RATES'!$C$6</f>
        <v>50.10717457546064</v>
      </c>
      <c r="F42" s="42">
        <f>E42*100/D42</f>
        <v>10.213004563074444</v>
      </c>
      <c r="G42" s="42">
        <f>PIGGYBACKS!$B$12</f>
        <v>1.3622907328394676</v>
      </c>
      <c r="H42" s="42">
        <f>'WAGE RATES'!$C$9</f>
        <v>0.9752031228402912</v>
      </c>
      <c r="I42" s="42">
        <f>(H42-1)*F42</f>
        <v>-0.25325061958210238</v>
      </c>
      <c r="J42" s="42">
        <f>F42*G42+I42</f>
        <v>13.659830851141407</v>
      </c>
      <c r="K42" s="42">
        <f ca="1">C42*$J42/'3D AUTO MODEL'!$G$6</f>
        <v>0</v>
      </c>
      <c r="L42" s="247"/>
    </row>
    <row r="43" spans="1:12" x14ac:dyDescent="0.25">
      <c r="F43" s="42"/>
      <c r="H43" s="42"/>
      <c r="I43" s="42"/>
      <c r="J43" s="42"/>
      <c r="L43" s="247"/>
    </row>
    <row r="44" spans="1:12" ht="13" x14ac:dyDescent="0.3">
      <c r="A44" s="1" t="s">
        <v>74</v>
      </c>
      <c r="F44" s="42"/>
      <c r="H44" s="42"/>
      <c r="I44" s="42"/>
      <c r="J44" s="42"/>
      <c r="L44" s="247"/>
    </row>
    <row r="45" spans="1:12" ht="13" x14ac:dyDescent="0.3">
      <c r="A45" s="36"/>
      <c r="B45" t="s">
        <v>72</v>
      </c>
      <c r="C45" s="2">
        <f>SUM('CR PALLET MODEL'!$B$53:$B$57)</f>
        <v>0</v>
      </c>
      <c r="D45" s="2">
        <f>PRODUCTIVITIES!$E$25*'COVERAGE FACTORS'!$E$24+PRODUCTIVITIES!$E$19*(1-'COVERAGE FACTORS'!$E$24)</f>
        <v>1572.97537151239</v>
      </c>
      <c r="E45" s="38">
        <f>'WAGE RATES'!$C$6</f>
        <v>50.10717457546064</v>
      </c>
      <c r="F45" s="42">
        <f>E45*100/D45</f>
        <v>3.1855028046169225</v>
      </c>
      <c r="G45" s="42">
        <f>PIGGYBACKS!$B$8</f>
        <v>1.6305774272183733</v>
      </c>
      <c r="H45" s="42">
        <f>'WAGE RATES'!$C$9</f>
        <v>0.9752031228402912</v>
      </c>
      <c r="I45" s="42">
        <f>(H45-1)*F45</f>
        <v>-7.8990521737993674E-2</v>
      </c>
      <c r="J45" s="42">
        <f>F45*G45+I45</f>
        <v>5.1152184458111805</v>
      </c>
      <c r="K45" s="42">
        <f ca="1">C45*$J45/'3D AUTO MODEL'!$G$6</f>
        <v>0</v>
      </c>
      <c r="L45" s="247"/>
    </row>
    <row r="46" spans="1:12" ht="13" x14ac:dyDescent="0.3">
      <c r="A46" s="36"/>
      <c r="B46" t="s">
        <v>244</v>
      </c>
      <c r="C46" s="2">
        <f>SUM('CR PALLET MODEL'!$A$53:$A$57)</f>
        <v>0</v>
      </c>
      <c r="D46" s="2">
        <f>PRODUCTIVITIES!$E$16</f>
        <v>888.0117100682927</v>
      </c>
      <c r="E46" s="38">
        <f>'WAGE RATES'!$C$5</f>
        <v>54.142360316355024</v>
      </c>
      <c r="F46" s="42">
        <f>E46*100/D46</f>
        <v>6.0970322465895403</v>
      </c>
      <c r="G46" s="42">
        <f>PIGGYBACKS!$B$9</f>
        <v>1.2615773174013249</v>
      </c>
      <c r="H46" s="42">
        <f>'WAGE RATES'!$C$9</f>
        <v>0.9752031228402912</v>
      </c>
      <c r="I46" s="42">
        <f>(H46-1)*F46</f>
        <v>-0.15118735965746419</v>
      </c>
      <c r="J46" s="42">
        <f>F46*G46+I46</f>
        <v>7.540690226104342</v>
      </c>
      <c r="K46" s="42">
        <f ca="1">C46*$J46/'3D AUTO MODEL'!$G$6</f>
        <v>0</v>
      </c>
      <c r="L46" s="247"/>
    </row>
    <row r="47" spans="1:12" x14ac:dyDescent="0.25">
      <c r="B47" t="s">
        <v>291</v>
      </c>
      <c r="C47" s="2">
        <f>SUM('CR PALLET MODEL'!$H$53:$H$57)</f>
        <v>0</v>
      </c>
      <c r="D47" s="2">
        <f>PRODUCTIVITIES!$E$32</f>
        <v>1.0273268954181221</v>
      </c>
      <c r="E47" s="38">
        <f>'WAGE RATES'!$C$6</f>
        <v>50.10717457546064</v>
      </c>
      <c r="F47" s="42">
        <f>E47*100/D47</f>
        <v>4877.4323731753384</v>
      </c>
      <c r="G47" s="42">
        <f>PIGGYBACKS!$B$10</f>
        <v>1.6305774272183733</v>
      </c>
      <c r="H47" s="42">
        <f>'WAGE RATES'!$C$9</f>
        <v>0.9752031228402912</v>
      </c>
      <c r="I47" s="42">
        <f>(H47-1)*F47</f>
        <v>-120.94509141241582</v>
      </c>
      <c r="J47" s="42">
        <f>F47*G47+I47</f>
        <v>7832.0860390714324</v>
      </c>
      <c r="K47" s="42">
        <f ca="1">C47*$J47/'3D AUTO MODEL'!$G$6</f>
        <v>0</v>
      </c>
      <c r="L47" s="247"/>
    </row>
    <row r="48" spans="1:12" x14ac:dyDescent="0.25">
      <c r="B48" t="s">
        <v>292</v>
      </c>
      <c r="C48" s="2">
        <f>SUM('CR PALLET MODEL'!$G$53:$G$57)</f>
        <v>0</v>
      </c>
      <c r="D48" s="2">
        <f>PRODUCTIVITIES!$E$38</f>
        <v>1.0273268954181221</v>
      </c>
      <c r="E48" s="38">
        <f>'WAGE RATES'!$C$6</f>
        <v>50.10717457546064</v>
      </c>
      <c r="F48" s="42">
        <f>E48*100/D48</f>
        <v>4877.4323731753384</v>
      </c>
      <c r="G48" s="42">
        <f>PIGGYBACKS!$B$10</f>
        <v>1.6305774272183733</v>
      </c>
      <c r="H48" s="42">
        <f>'WAGE RATES'!$C$9</f>
        <v>0.9752031228402912</v>
      </c>
      <c r="I48" s="42">
        <f>(H48-1)*F48</f>
        <v>-120.94509141241582</v>
      </c>
      <c r="J48" s="42">
        <f>F48*G48+I48</f>
        <v>7832.0860390714324</v>
      </c>
      <c r="K48" s="42">
        <f ca="1">C48*$J48/'3D AUTO MODEL'!$G$6</f>
        <v>0</v>
      </c>
      <c r="L48" s="247"/>
    </row>
    <row r="49" spans="1:12" x14ac:dyDescent="0.25">
      <c r="B49" t="s">
        <v>70</v>
      </c>
      <c r="C49" s="2">
        <f>SUM('CR PALLET MODEL'!$M$53:$M$57)</f>
        <v>0</v>
      </c>
      <c r="D49" s="2">
        <f>PRODUCTIVITIES!$E$44</f>
        <v>692.96374405746178</v>
      </c>
      <c r="E49" s="38">
        <f>'WAGE RATES'!$C$6</f>
        <v>50.10717457546064</v>
      </c>
      <c r="F49" s="42">
        <f>E49*100/D49</f>
        <v>7.2308508208628108</v>
      </c>
      <c r="G49" s="42">
        <f>PIGGYBACKS!$B$12</f>
        <v>1.3622907328394676</v>
      </c>
      <c r="H49" s="42">
        <f>'WAGE RATES'!$C$9</f>
        <v>0.9752031228402912</v>
      </c>
      <c r="I49" s="42">
        <f>(H49-1)*F49</f>
        <v>-0.17930251956511464</v>
      </c>
      <c r="J49" s="42">
        <f>F49*G49+I49</f>
        <v>9.6712185442409506</v>
      </c>
      <c r="K49" s="42">
        <f ca="1">C49*$J49/'3D AUTO MODEL'!$G$6</f>
        <v>0</v>
      </c>
      <c r="L49" s="247"/>
    </row>
    <row r="50" spans="1:12" x14ac:dyDescent="0.25">
      <c r="F50" s="42"/>
      <c r="H50" s="42"/>
      <c r="I50" s="42"/>
      <c r="J50" s="42"/>
      <c r="L50" s="247"/>
    </row>
    <row r="51" spans="1:12" ht="13" x14ac:dyDescent="0.3">
      <c r="A51" s="1" t="s">
        <v>75</v>
      </c>
      <c r="F51" s="42"/>
      <c r="H51" s="42"/>
      <c r="I51" s="42"/>
      <c r="J51" s="42"/>
      <c r="L51" s="247"/>
    </row>
    <row r="52" spans="1:12" ht="13" x14ac:dyDescent="0.3">
      <c r="A52" s="36"/>
      <c r="B52" t="s">
        <v>72</v>
      </c>
      <c r="C52" s="2">
        <f>SUM('CR PALLET MODEL'!$B$64:$B$68)</f>
        <v>0</v>
      </c>
      <c r="D52" s="2">
        <f>PRODUCTIVITIES!$E$26*'COVERAGE FACTORS'!$E$24+PRODUCTIVITIES!$E$20*(1-'COVERAGE FACTORS'!$E$24)</f>
        <v>2073.5491608992547</v>
      </c>
      <c r="E52" s="38">
        <f>'WAGE RATES'!$C$6</f>
        <v>50.10717457546064</v>
      </c>
      <c r="F52" s="42">
        <f>E52*100/D52</f>
        <v>2.4164932049997896</v>
      </c>
      <c r="G52" s="42">
        <f>PIGGYBACKS!$B$8</f>
        <v>1.6305774272183733</v>
      </c>
      <c r="H52" s="42">
        <f>'WAGE RATES'!$C$9</f>
        <v>0.9752031228402912</v>
      </c>
      <c r="I52" s="42">
        <f>(H52-1)*F52</f>
        <v>-5.9921485161650787E-2</v>
      </c>
      <c r="J52" s="42">
        <f>F52*G52+I52</f>
        <v>3.8803577879375872</v>
      </c>
      <c r="K52" s="42">
        <f ca="1">C52*$J52/'3D AUTO MODEL'!$G$6</f>
        <v>0</v>
      </c>
      <c r="L52" s="247"/>
    </row>
    <row r="53" spans="1:12" ht="13" x14ac:dyDescent="0.3">
      <c r="A53" s="36"/>
      <c r="B53" t="s">
        <v>244</v>
      </c>
      <c r="C53" s="2">
        <f>SUM('CR PALLET MODEL'!$A$64:$A$68)</f>
        <v>0</v>
      </c>
      <c r="D53" s="2">
        <f>PRODUCTIVITIES!$E$16</f>
        <v>888.0117100682927</v>
      </c>
      <c r="E53" s="38">
        <f>'WAGE RATES'!$C$5</f>
        <v>54.142360316355024</v>
      </c>
      <c r="F53" s="42">
        <f>E53*100/D53</f>
        <v>6.0970322465895403</v>
      </c>
      <c r="G53" s="42">
        <f>PIGGYBACKS!$B$9</f>
        <v>1.2615773174013249</v>
      </c>
      <c r="H53" s="42">
        <f>'WAGE RATES'!$C$9</f>
        <v>0.9752031228402912</v>
      </c>
      <c r="I53" s="42">
        <f>(H53-1)*F53</f>
        <v>-0.15118735965746419</v>
      </c>
      <c r="J53" s="42">
        <f>F53*G53+I53</f>
        <v>7.540690226104342</v>
      </c>
      <c r="K53" s="42">
        <f ca="1">C53*$J53/'3D AUTO MODEL'!$G$6</f>
        <v>0</v>
      </c>
      <c r="L53" s="247"/>
    </row>
    <row r="54" spans="1:12" x14ac:dyDescent="0.25">
      <c r="B54" t="s">
        <v>291</v>
      </c>
      <c r="C54" s="2">
        <f>SUM('CR PALLET MODEL'!$H$64:$H$68)</f>
        <v>0</v>
      </c>
      <c r="D54" s="2">
        <f>PRODUCTIVITIES!$E$33</f>
        <v>1.0273268954181221</v>
      </c>
      <c r="E54" s="38">
        <f>'WAGE RATES'!$C$6</f>
        <v>50.10717457546064</v>
      </c>
      <c r="F54" s="42">
        <f>E54*100/D54</f>
        <v>4877.4323731753384</v>
      </c>
      <c r="G54" s="42">
        <f>PIGGYBACKS!$B$10</f>
        <v>1.6305774272183733</v>
      </c>
      <c r="H54" s="42">
        <f>'WAGE RATES'!$C$9</f>
        <v>0.9752031228402912</v>
      </c>
      <c r="I54" s="42">
        <f>(H54-1)*F54</f>
        <v>-120.94509141241582</v>
      </c>
      <c r="J54" s="42">
        <f>F54*G54+I54</f>
        <v>7832.0860390714324</v>
      </c>
      <c r="K54" s="42">
        <f ca="1">C54*$J54/'3D AUTO MODEL'!$G$6</f>
        <v>0</v>
      </c>
      <c r="L54" s="247"/>
    </row>
    <row r="55" spans="1:12" x14ac:dyDescent="0.25">
      <c r="B55" t="s">
        <v>292</v>
      </c>
      <c r="C55" s="2">
        <f>SUM('CR PALLET MODEL'!$G$64:$G$68)</f>
        <v>0</v>
      </c>
      <c r="D55" s="2">
        <f>PRODUCTIVITIES!$E$39</f>
        <v>1.0273268954181221</v>
      </c>
      <c r="E55" s="38">
        <f>'WAGE RATES'!$C$6</f>
        <v>50.10717457546064</v>
      </c>
      <c r="F55" s="42">
        <f>E55*100/D55</f>
        <v>4877.4323731753384</v>
      </c>
      <c r="G55" s="42">
        <f>PIGGYBACKS!$B$10</f>
        <v>1.6305774272183733</v>
      </c>
      <c r="H55" s="42">
        <f>'WAGE RATES'!$C$9</f>
        <v>0.9752031228402912</v>
      </c>
      <c r="I55" s="42">
        <f>(H55-1)*F55</f>
        <v>-120.94509141241582</v>
      </c>
      <c r="J55" s="42">
        <f>F55*G55+I55</f>
        <v>7832.0860390714324</v>
      </c>
      <c r="K55" s="42">
        <f ca="1">C55*$J55/'3D AUTO MODEL'!$G$6</f>
        <v>0</v>
      </c>
      <c r="L55" s="247"/>
    </row>
    <row r="56" spans="1:12" x14ac:dyDescent="0.25">
      <c r="B56" t="s">
        <v>70</v>
      </c>
      <c r="C56" s="2">
        <f>SUM('CR PALLET MODEL'!$M$64:$M$68)</f>
        <v>0</v>
      </c>
      <c r="D56" s="2">
        <f>PRODUCTIVITIES!$E$45</f>
        <v>600.65917211803048</v>
      </c>
      <c r="E56" s="38">
        <f>'WAGE RATES'!$C$6</f>
        <v>50.10717457546064</v>
      </c>
      <c r="F56" s="42">
        <f>E56*100/D56</f>
        <v>8.3420310387959073</v>
      </c>
      <c r="G56" s="42">
        <f>PIGGYBACKS!$B$12</f>
        <v>1.3622907328394676</v>
      </c>
      <c r="H56" s="42">
        <f>'WAGE RATES'!$C$9</f>
        <v>0.9752031228402912</v>
      </c>
      <c r="I56" s="42">
        <f>(H56-1)*F56</f>
        <v>-0.20685631893150008</v>
      </c>
      <c r="J56" s="42">
        <f>F56*G56+I56</f>
        <v>11.157415258279361</v>
      </c>
      <c r="K56" s="42">
        <f ca="1">C56*$J56/'3D AUTO MODEL'!$G$6</f>
        <v>0</v>
      </c>
      <c r="L56" s="247"/>
    </row>
    <row r="57" spans="1:12" x14ac:dyDescent="0.25">
      <c r="F57" s="42"/>
      <c r="H57" s="42"/>
      <c r="I57" s="42"/>
      <c r="J57" s="42"/>
      <c r="L57" s="247"/>
    </row>
    <row r="58" spans="1:12" ht="13" x14ac:dyDescent="0.3">
      <c r="A58" s="1" t="s">
        <v>76</v>
      </c>
      <c r="F58" s="42"/>
      <c r="H58" s="42"/>
      <c r="I58" s="42"/>
      <c r="J58" s="42"/>
      <c r="L58" s="247"/>
    </row>
    <row r="59" spans="1:12" ht="13" x14ac:dyDescent="0.3">
      <c r="A59" s="36"/>
      <c r="B59" t="s">
        <v>72</v>
      </c>
      <c r="C59" s="2">
        <f ca="1">SUM('CR PALLET MODEL'!$B$74:$B$78)+SUM('CR PALLET MODEL'!$B$108:$B$112)</f>
        <v>0</v>
      </c>
      <c r="D59" s="2">
        <f>PRODUCTIVITIES!$E$27*'COVERAGE FACTORS'!$E$24+PRODUCTIVITIES!$E$21*(1-'COVERAGE FACTORS'!$E$24)</f>
        <v>1117.4154005483335</v>
      </c>
      <c r="E59" s="38">
        <f>'WAGE RATES'!$C$6</f>
        <v>50.10717457546064</v>
      </c>
      <c r="F59" s="42">
        <f>E59*100/D59</f>
        <v>4.4842029697167458</v>
      </c>
      <c r="G59" s="42">
        <f>PIGGYBACKS!$B$8</f>
        <v>1.6305774272183733</v>
      </c>
      <c r="H59" s="42">
        <f>'WAGE RATES'!$C$9</f>
        <v>0.9752031228402912</v>
      </c>
      <c r="I59" s="42">
        <f>(H59-1)*F59</f>
        <v>-0.11119423019926754</v>
      </c>
      <c r="J59" s="42">
        <f>F59*G59+I59</f>
        <v>7.2006459112864523</v>
      </c>
      <c r="K59" s="42">
        <f ca="1">C59*$J59/'3D AUTO MODEL'!$G$6</f>
        <v>0</v>
      </c>
      <c r="L59" s="247"/>
    </row>
    <row r="60" spans="1:12" ht="13" x14ac:dyDescent="0.3">
      <c r="A60" s="36"/>
      <c r="B60" t="s">
        <v>244</v>
      </c>
      <c r="C60" s="2">
        <f ca="1">SUM('CR PALLET MODEL'!$A$74:$A$78)+SUM('CR PALLET MODEL'!$A$108:$A$112)</f>
        <v>0</v>
      </c>
      <c r="D60" s="2">
        <f>PRODUCTIVITIES!$E$16</f>
        <v>888.0117100682927</v>
      </c>
      <c r="E60" s="38">
        <f>'WAGE RATES'!$C$5</f>
        <v>54.142360316355024</v>
      </c>
      <c r="F60" s="42">
        <f>E60*100/D60</f>
        <v>6.0970322465895403</v>
      </c>
      <c r="G60" s="42">
        <f>PIGGYBACKS!$B$9</f>
        <v>1.2615773174013249</v>
      </c>
      <c r="H60" s="42">
        <f>'WAGE RATES'!$C$9</f>
        <v>0.9752031228402912</v>
      </c>
      <c r="I60" s="42">
        <f>(H60-1)*F60</f>
        <v>-0.15118735965746419</v>
      </c>
      <c r="J60" s="42">
        <f>F60*G60+I60</f>
        <v>7.540690226104342</v>
      </c>
      <c r="K60" s="42">
        <f ca="1">C60*$J60/'3D AUTO MODEL'!$G$6</f>
        <v>0</v>
      </c>
      <c r="L60" s="247"/>
    </row>
    <row r="61" spans="1:12" x14ac:dyDescent="0.25">
      <c r="B61" t="s">
        <v>291</v>
      </c>
      <c r="C61" s="2">
        <f>SUM('CR PALLET MODEL'!$H$74:$H$78)</f>
        <v>0</v>
      </c>
      <c r="D61" s="2">
        <f>PRODUCTIVITIES!$E$34</f>
        <v>1.0273268954181221</v>
      </c>
      <c r="E61" s="38">
        <f>'WAGE RATES'!$C$6</f>
        <v>50.10717457546064</v>
      </c>
      <c r="F61" s="42">
        <f>E61*100/D61</f>
        <v>4877.4323731753384</v>
      </c>
      <c r="G61" s="42">
        <f>PIGGYBACKS!$B$10</f>
        <v>1.6305774272183733</v>
      </c>
      <c r="H61" s="42">
        <f>'WAGE RATES'!$C$9</f>
        <v>0.9752031228402912</v>
      </c>
      <c r="I61" s="42">
        <f>(H61-1)*F61</f>
        <v>-120.94509141241582</v>
      </c>
      <c r="J61" s="42">
        <f>F61*G61+I61</f>
        <v>7832.0860390714324</v>
      </c>
      <c r="K61" s="42">
        <f ca="1">C61*$J61/'3D AUTO MODEL'!$G$6</f>
        <v>0</v>
      </c>
      <c r="L61" s="247"/>
    </row>
    <row r="62" spans="1:12" x14ac:dyDescent="0.25">
      <c r="B62" t="s">
        <v>292</v>
      </c>
      <c r="C62" s="2">
        <f>SUM('CR PALLET MODEL'!$G$74:$G$78)</f>
        <v>0</v>
      </c>
      <c r="D62" s="2">
        <f>PRODUCTIVITIES!$E$40</f>
        <v>1.0273268954181221</v>
      </c>
      <c r="E62" s="38">
        <f>'WAGE RATES'!$C$6</f>
        <v>50.10717457546064</v>
      </c>
      <c r="F62" s="42">
        <f>E62*100/D62</f>
        <v>4877.4323731753384</v>
      </c>
      <c r="G62" s="42">
        <f>PIGGYBACKS!$B$10</f>
        <v>1.6305774272183733</v>
      </c>
      <c r="H62" s="42">
        <f>'WAGE RATES'!$C$9</f>
        <v>0.9752031228402912</v>
      </c>
      <c r="I62" s="42">
        <f>(H62-1)*F62</f>
        <v>-120.94509141241582</v>
      </c>
      <c r="J62" s="42">
        <f>F62*G62+I62</f>
        <v>7832.0860390714324</v>
      </c>
      <c r="K62" s="42">
        <f ca="1">C62*$J62/'3D AUTO MODEL'!$G$6</f>
        <v>0</v>
      </c>
      <c r="L62" s="247"/>
    </row>
    <row r="63" spans="1:12" x14ac:dyDescent="0.25">
      <c r="B63" t="s">
        <v>70</v>
      </c>
      <c r="C63" s="2">
        <f ca="1">SUM('CR PALLET MODEL'!$M$74:$M$78)</f>
        <v>0</v>
      </c>
      <c r="D63" s="2">
        <f>PRODUCTIVITIES!$E$46</f>
        <v>753.4091755495233</v>
      </c>
      <c r="E63" s="38">
        <f>'WAGE RATES'!$C$6</f>
        <v>50.10717457546064</v>
      </c>
      <c r="F63" s="42">
        <f>E63*100/D63</f>
        <v>6.6507252900010618</v>
      </c>
      <c r="G63" s="42">
        <f>PIGGYBACKS!$B$12</f>
        <v>1.3622907328394676</v>
      </c>
      <c r="H63" s="42">
        <f>'WAGE RATES'!$C$9</f>
        <v>0.9752031228402912</v>
      </c>
      <c r="I63" s="42">
        <f>(H63-1)*F63</f>
        <v>-0.16491721803912499</v>
      </c>
      <c r="J63" s="42">
        <f>F63*G63+I63</f>
        <v>8.8953042111904015</v>
      </c>
      <c r="K63" s="42">
        <f ca="1">C63*$J63/'3D AUTO MODEL'!$G$6</f>
        <v>0</v>
      </c>
      <c r="L63" s="247"/>
    </row>
    <row r="64" spans="1:12" ht="13" x14ac:dyDescent="0.3">
      <c r="A64" s="36"/>
      <c r="F64" s="42"/>
      <c r="H64" s="42"/>
      <c r="I64" s="42"/>
      <c r="J64" s="42"/>
      <c r="L64" s="247"/>
    </row>
    <row r="65" spans="1:13" ht="13" x14ac:dyDescent="0.3">
      <c r="A65" s="1" t="s">
        <v>77</v>
      </c>
      <c r="F65" s="42"/>
      <c r="H65" s="42"/>
      <c r="I65" s="42"/>
      <c r="J65" s="42"/>
      <c r="L65" s="247"/>
    </row>
    <row r="66" spans="1:13" ht="13" x14ac:dyDescent="0.3">
      <c r="A66" s="36"/>
      <c r="B66" t="s">
        <v>72</v>
      </c>
      <c r="C66" s="2">
        <f ca="1">SUM('CR PALLET MODEL'!$B$83:$B$87)+SUM('CR PALLET MODEL'!$B$122:$B$126)</f>
        <v>0</v>
      </c>
      <c r="D66" s="2">
        <f>PRODUCTIVITIES!$E$28*'COVERAGE FACTORS'!$E$24+PRODUCTIVITIES!$E$22*(1-'COVERAGE FACTORS'!$E$24)</f>
        <v>1858.2572281195687</v>
      </c>
      <c r="E66" s="38">
        <f>'WAGE RATES'!$C$6</f>
        <v>50.10717457546064</v>
      </c>
      <c r="F66" s="42">
        <f>E66*100/D66</f>
        <v>2.6964606308118992</v>
      </c>
      <c r="G66" s="42">
        <f>PIGGYBACKS!$B$8</f>
        <v>1.6305774272183733</v>
      </c>
      <c r="H66" s="42">
        <f>'WAGE RATES'!$C$9</f>
        <v>0.9752031228402912</v>
      </c>
      <c r="I66" s="42">
        <f>(H66-1)*F66</f>
        <v>-6.6863803028233554E-2</v>
      </c>
      <c r="J66" s="42">
        <f>F66*G66+I66</f>
        <v>4.3299240349566643</v>
      </c>
      <c r="K66" s="42">
        <f ca="1">C66*$J66/'3D AUTO MODEL'!$G$6</f>
        <v>0</v>
      </c>
      <c r="L66" s="247"/>
    </row>
    <row r="67" spans="1:13" ht="13" x14ac:dyDescent="0.3">
      <c r="A67" s="36"/>
      <c r="B67" t="s">
        <v>244</v>
      </c>
      <c r="C67" s="2">
        <f ca="1">SUM('CR PALLET MODEL'!$A$83:$A$87)+SUM('CR PALLET MODEL'!$A$122:$A$126)</f>
        <v>0</v>
      </c>
      <c r="D67" s="2">
        <f>PRODUCTIVITIES!$E$16</f>
        <v>888.0117100682927</v>
      </c>
      <c r="E67" s="38">
        <f>'WAGE RATES'!$C$5</f>
        <v>54.142360316355024</v>
      </c>
      <c r="F67" s="42">
        <f>E67*100/D67</f>
        <v>6.0970322465895403</v>
      </c>
      <c r="G67" s="42">
        <f>PIGGYBACKS!$B$9</f>
        <v>1.2615773174013249</v>
      </c>
      <c r="H67" s="42">
        <f>'WAGE RATES'!$C$9</f>
        <v>0.9752031228402912</v>
      </c>
      <c r="I67" s="42">
        <f>(H67-1)*F67</f>
        <v>-0.15118735965746419</v>
      </c>
      <c r="J67" s="42">
        <f>F67*G67+I67</f>
        <v>7.540690226104342</v>
      </c>
      <c r="K67" s="42">
        <f ca="1">C67*$J67/'3D AUTO MODEL'!$G$6</f>
        <v>0</v>
      </c>
      <c r="L67" s="247"/>
    </row>
    <row r="68" spans="1:13" x14ac:dyDescent="0.25">
      <c r="B68" t="s">
        <v>291</v>
      </c>
      <c r="C68" s="2">
        <f>SUM('CR PALLET MODEL'!$H$83:$H$87)</f>
        <v>0</v>
      </c>
      <c r="D68" s="2">
        <f>PRODUCTIVITIES!$E$35</f>
        <v>1.0273268954181221</v>
      </c>
      <c r="E68" s="38">
        <f>'WAGE RATES'!$C$6</f>
        <v>50.10717457546064</v>
      </c>
      <c r="F68" s="42">
        <f>E68*100/D68</f>
        <v>4877.4323731753384</v>
      </c>
      <c r="G68" s="42">
        <f>PIGGYBACKS!$B$10</f>
        <v>1.6305774272183733</v>
      </c>
      <c r="H68" s="42">
        <f>'WAGE RATES'!$C$9</f>
        <v>0.9752031228402912</v>
      </c>
      <c r="I68" s="42">
        <f>(H68-1)*F68</f>
        <v>-120.94509141241582</v>
      </c>
      <c r="J68" s="42">
        <f>F68*G68+I68</f>
        <v>7832.0860390714324</v>
      </c>
      <c r="K68" s="42">
        <f ca="1">C68*$J68/'3D AUTO MODEL'!$G$6</f>
        <v>0</v>
      </c>
      <c r="L68" s="247"/>
    </row>
    <row r="69" spans="1:13" x14ac:dyDescent="0.25">
      <c r="B69" t="s">
        <v>292</v>
      </c>
      <c r="C69" s="2">
        <f>SUM('CR PALLET MODEL'!$G$83:$G$87)</f>
        <v>0</v>
      </c>
      <c r="D69" s="2">
        <f>PRODUCTIVITIES!$E$41</f>
        <v>1.0273268954181221</v>
      </c>
      <c r="E69" s="38">
        <f>'WAGE RATES'!$C$6</f>
        <v>50.10717457546064</v>
      </c>
      <c r="F69" s="42">
        <f>E69*100/D69</f>
        <v>4877.4323731753384</v>
      </c>
      <c r="G69" s="42">
        <f>PIGGYBACKS!$B$10</f>
        <v>1.6305774272183733</v>
      </c>
      <c r="H69" s="42">
        <f>'WAGE RATES'!$C$9</f>
        <v>0.9752031228402912</v>
      </c>
      <c r="I69" s="42">
        <f>(H69-1)*F69</f>
        <v>-120.94509141241582</v>
      </c>
      <c r="J69" s="42">
        <f>F69*G69+I69</f>
        <v>7832.0860390714324</v>
      </c>
      <c r="K69" s="42">
        <f ca="1">C69*$J69/'3D AUTO MODEL'!$G$6</f>
        <v>0</v>
      </c>
      <c r="L69" s="247"/>
    </row>
    <row r="70" spans="1:13" x14ac:dyDescent="0.25">
      <c r="B70" t="s">
        <v>70</v>
      </c>
      <c r="C70" s="2">
        <f ca="1">SUM('CR PALLET MODEL'!$M$83:$M$87)</f>
        <v>61.234942212081585</v>
      </c>
      <c r="D70" s="2">
        <f>PRODUCTIVITIES!$E$47</f>
        <v>675.89315757280178</v>
      </c>
      <c r="E70" s="38">
        <f>'WAGE RATES'!$C$6</f>
        <v>50.10717457546064</v>
      </c>
      <c r="F70" s="42">
        <f>E70*100/D70</f>
        <v>7.4134756379840256</v>
      </c>
      <c r="G70" s="42">
        <f>PIGGYBACKS!$B$12</f>
        <v>1.3622907328394676</v>
      </c>
      <c r="H70" s="42">
        <f>'WAGE RATES'!$C$9</f>
        <v>0.9752031228402912</v>
      </c>
      <c r="I70" s="42">
        <f>(H70-1)*F70</f>
        <v>-0.18383104472158368</v>
      </c>
      <c r="J70" s="42">
        <f>F70*G70+I70</f>
        <v>9.9154781150352136</v>
      </c>
      <c r="K70" s="42">
        <f ca="1">C70*$J70/'3D AUTO MODEL'!$G$6</f>
        <v>6.0717372937934014E-2</v>
      </c>
      <c r="L70" s="247"/>
    </row>
    <row r="71" spans="1:13" x14ac:dyDescent="0.25">
      <c r="F71" s="42"/>
      <c r="H71" s="42"/>
      <c r="I71" s="42"/>
      <c r="J71" s="42"/>
      <c r="L71" s="247"/>
    </row>
    <row r="72" spans="1:13" ht="13" x14ac:dyDescent="0.3">
      <c r="A72" s="1" t="s">
        <v>368</v>
      </c>
      <c r="F72" s="42"/>
      <c r="H72" s="42"/>
      <c r="I72" s="42"/>
      <c r="J72" s="42"/>
      <c r="L72" s="247"/>
    </row>
    <row r="73" spans="1:13" x14ac:dyDescent="0.25">
      <c r="B73" t="s">
        <v>366</v>
      </c>
      <c r="C73" s="2">
        <v>0</v>
      </c>
      <c r="D73" s="2">
        <v>0</v>
      </c>
      <c r="E73" s="38">
        <v>0</v>
      </c>
      <c r="F73" s="42">
        <v>0</v>
      </c>
      <c r="G73" s="42">
        <v>0</v>
      </c>
      <c r="H73" s="42">
        <v>0</v>
      </c>
      <c r="I73" s="42">
        <v>0</v>
      </c>
      <c r="J73" s="42">
        <v>0</v>
      </c>
      <c r="K73" s="42">
        <v>0</v>
      </c>
      <c r="L73" s="247"/>
    </row>
    <row r="74" spans="1:13" x14ac:dyDescent="0.25">
      <c r="B74" t="s">
        <v>244</v>
      </c>
      <c r="C74" s="2">
        <f ca="1">SUM('CR PALLET MODEL'!$A$95:$A$99)</f>
        <v>0</v>
      </c>
      <c r="D74" s="2">
        <f>PRODUCTIVITIES!E16</f>
        <v>888.0117100682927</v>
      </c>
      <c r="E74" s="38">
        <f>'WAGE RATES'!C5</f>
        <v>54.142360316355024</v>
      </c>
      <c r="F74" s="42">
        <f>E74*100/D74</f>
        <v>6.0970322465895403</v>
      </c>
      <c r="G74" s="42">
        <f>PIGGYBACKS!B9</f>
        <v>1.2615773174013249</v>
      </c>
      <c r="H74" s="42">
        <f>'WAGE RATES'!$C$9</f>
        <v>0.9752031228402912</v>
      </c>
      <c r="I74" s="42">
        <f>(H74-1)*F74</f>
        <v>-0.15118735965746419</v>
      </c>
      <c r="J74" s="42">
        <f>F74*G74+I74</f>
        <v>7.540690226104342</v>
      </c>
      <c r="K74" s="42">
        <f ca="1">C74*$J74/'3D AUTO MODEL'!$G$6</f>
        <v>0</v>
      </c>
      <c r="L74" s="247"/>
    </row>
    <row r="75" spans="1:13" x14ac:dyDescent="0.25">
      <c r="L75" s="247"/>
    </row>
    <row r="76" spans="1:13" x14ac:dyDescent="0.25">
      <c r="B76" s="155" t="s">
        <v>486</v>
      </c>
      <c r="C76" s="2">
        <f>SUM('CR PALLET MODEL'!C64,'CR PALLET MODEL'!I64)</f>
        <v>0</v>
      </c>
      <c r="D76" s="2">
        <f>PRODUCTIVITIES!$C$49*'FY VOLUME AUTO'!C57</f>
        <v>2602.5752201414102</v>
      </c>
      <c r="E76" s="38">
        <f>'WAGE RATES'!$C$6</f>
        <v>50.10717457546064</v>
      </c>
      <c r="F76" s="42">
        <f t="shared" ref="F76:F77" si="0">E76*100/D76</f>
        <v>1.9252920794634354</v>
      </c>
      <c r="G76" s="42">
        <f>PIGGYBACKS!$B$13</f>
        <v>1.6305774272183733</v>
      </c>
      <c r="H76" s="42">
        <f>'WAGE RATES'!$C$9</f>
        <v>0.9752031228402912</v>
      </c>
      <c r="I76" s="42">
        <f t="shared" ref="I76:I77" si="1">(H76-1)*F76</f>
        <v>-4.7741231191015115E-2</v>
      </c>
      <c r="J76" s="42">
        <f t="shared" ref="J76:J77" si="2">F76*G76+I76</f>
        <v>3.0915965743843854</v>
      </c>
      <c r="K76" s="42">
        <f ca="1">C76*$J76/'5D AUTO MODEL'!$G$6</f>
        <v>0</v>
      </c>
      <c r="L76" s="247"/>
    </row>
    <row r="77" spans="1:13" x14ac:dyDescent="0.25">
      <c r="B77" s="155" t="s">
        <v>491</v>
      </c>
      <c r="C77" s="2">
        <f ca="1">SUM(C31,C33,C34,C38,C40,C41,C45,C47,C48,C52,C54,C55,C59,C61,C62,C66,C68,C69)-C76</f>
        <v>0</v>
      </c>
      <c r="D77" s="2">
        <f>PRODUCTIVITIES!$C$50*PRODUCTIVITIES!$C$51</f>
        <v>2107.6310048944611</v>
      </c>
      <c r="E77" s="38">
        <f>'WAGE RATES'!$C$6</f>
        <v>50.10717457546064</v>
      </c>
      <c r="F77" s="42">
        <f t="shared" si="0"/>
        <v>2.3774168466443557</v>
      </c>
      <c r="G77" s="42">
        <f>PIGGYBACKS!$B$8</f>
        <v>1.6305774272183733</v>
      </c>
      <c r="H77" s="42">
        <f>'WAGE RATES'!$C$9</f>
        <v>0.9752031228402912</v>
      </c>
      <c r="I77" s="42">
        <f t="shared" si="1"/>
        <v>-5.8952513503662332E-2</v>
      </c>
      <c r="J77" s="42">
        <f t="shared" si="2"/>
        <v>3.8176097317233091</v>
      </c>
      <c r="K77" s="42">
        <f ca="1">C77*$J77/'5D AUTO MODEL'!$G$6</f>
        <v>0</v>
      </c>
      <c r="L77" s="247"/>
    </row>
    <row r="78" spans="1:13" ht="13" thickBot="1" x14ac:dyDescent="0.3">
      <c r="F78" s="42"/>
      <c r="H78" s="42"/>
      <c r="I78" s="42"/>
      <c r="J78" s="42"/>
      <c r="L78" s="247"/>
    </row>
    <row r="79" spans="1:13" ht="13.5" thickBot="1" x14ac:dyDescent="0.35">
      <c r="F79" s="42"/>
      <c r="H79" s="42"/>
      <c r="I79" s="42"/>
      <c r="J79" s="142" t="s">
        <v>78</v>
      </c>
      <c r="K79" s="143">
        <f ca="1">SUM(K11:K77)</f>
        <v>0.95032668132325404</v>
      </c>
      <c r="L79" s="247"/>
      <c r="M79" s="247"/>
    </row>
    <row r="80" spans="1:13" ht="13.5" thickBot="1" x14ac:dyDescent="0.35">
      <c r="J80" s="142" t="s">
        <v>485</v>
      </c>
      <c r="K80" s="143">
        <f ca="1">SUM(K31,K33,K34,K38,K40,K41,K45,K47,K48,K52,K54,K55,K59,K61,K62,K66,K68,K69,K76,K77)</f>
        <v>0</v>
      </c>
    </row>
    <row r="83" spans="1:8" ht="13" x14ac:dyDescent="0.3">
      <c r="A83" s="145" t="str">
        <f>"(1)"</f>
        <v>(1)</v>
      </c>
      <c r="B83" s="1" t="s">
        <v>408</v>
      </c>
      <c r="F83" s="145" t="str">
        <f>"(6)"</f>
        <v>(6)</v>
      </c>
      <c r="G83" s="1" t="s">
        <v>401</v>
      </c>
      <c r="H83" s="34"/>
    </row>
    <row r="84" spans="1:8" ht="13" x14ac:dyDescent="0.3">
      <c r="A84" s="145" t="str">
        <f>"(2)"</f>
        <v>(2)</v>
      </c>
      <c r="B84" s="1" t="s">
        <v>400</v>
      </c>
      <c r="F84" s="144" t="str">
        <f>"(7)"</f>
        <v>(7)</v>
      </c>
      <c r="G84" s="146" t="s">
        <v>79</v>
      </c>
      <c r="H84" s="34"/>
    </row>
    <row r="85" spans="1:8" ht="13" x14ac:dyDescent="0.3">
      <c r="A85" s="145" t="str">
        <f>"(3)"</f>
        <v>(3)</v>
      </c>
      <c r="B85" s="1" t="s">
        <v>401</v>
      </c>
      <c r="F85" s="144" t="str">
        <f>"(8)"</f>
        <v>(8)</v>
      </c>
      <c r="G85" s="146" t="s">
        <v>80</v>
      </c>
      <c r="H85" s="34"/>
    </row>
    <row r="86" spans="1:8" ht="13" x14ac:dyDescent="0.3">
      <c r="A86" s="145" t="str">
        <f>"(4)"</f>
        <v>(4)</v>
      </c>
      <c r="B86" s="1" t="s">
        <v>81</v>
      </c>
      <c r="F86" s="144" t="str">
        <f>"(9)"</f>
        <v>(9)</v>
      </c>
      <c r="G86" s="146" t="s">
        <v>82</v>
      </c>
      <c r="H86" s="34"/>
    </row>
    <row r="87" spans="1:8" ht="13" x14ac:dyDescent="0.3">
      <c r="A87" s="145" t="str">
        <f>"(5)"</f>
        <v>(5)</v>
      </c>
      <c r="B87" s="1" t="s">
        <v>402</v>
      </c>
      <c r="F87" s="144" t="str">
        <f>"(10)"</f>
        <v>(10)</v>
      </c>
      <c r="G87" s="146" t="s">
        <v>83</v>
      </c>
      <c r="H87" s="34"/>
    </row>
  </sheetData>
  <pageMargins left="0.7" right="0.7" top="0.75" bottom="0.75" header="0.3" footer="0.3"/>
  <pageSetup scale="61" orientation="portrait" r:id="rId1"/>
  <colBreaks count="1" manualBreakCount="1">
    <brk id="11" max="1048575" man="1"/>
  </colBreaks>
  <ignoredErrors>
    <ignoredError sqref="E4" numberStoredAsText="1"/>
  </ignoredErrors>
</worksheet>
</file>

<file path=xl/worksheets/sheet6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55">
    <pageSetUpPr fitToPage="1"/>
  </sheetPr>
  <dimension ref="A1:AD128"/>
  <sheetViews>
    <sheetView zoomScale="75" zoomScaleNormal="75" workbookViewId="0"/>
  </sheetViews>
  <sheetFormatPr defaultColWidth="9.1796875" defaultRowHeight="12.5" x14ac:dyDescent="0.25"/>
  <cols>
    <col min="1" max="2" width="10.7265625" style="20" customWidth="1"/>
    <col min="3" max="3" width="17.81640625" style="20" customWidth="1"/>
    <col min="4" max="4" width="10.7265625" style="58" customWidth="1"/>
    <col min="5" max="6" width="10.7265625" style="20" customWidth="1"/>
    <col min="7" max="7" width="17" style="20" customWidth="1"/>
    <col min="8" max="8" width="10.7265625" style="20" customWidth="1"/>
    <col min="9" max="9" width="10.7265625" style="58" customWidth="1"/>
    <col min="10" max="12" width="10.7265625" style="20" customWidth="1"/>
    <col min="13" max="13" width="10.7265625" customWidth="1"/>
    <col min="14" max="14" width="10.7265625" style="20" customWidth="1"/>
    <col min="15" max="16" width="10.7265625" style="58" customWidth="1"/>
    <col min="17" max="18" width="10.7265625" style="20" customWidth="1"/>
    <col min="19" max="19" width="10.7265625" customWidth="1"/>
    <col min="20" max="20" width="10.7265625" style="20" customWidth="1"/>
    <col min="21" max="21" width="10.7265625" style="58" customWidth="1"/>
    <col min="22" max="30" width="10.7265625" style="20" customWidth="1"/>
    <col min="31" max="34" width="10.7265625" customWidth="1"/>
  </cols>
  <sheetData>
    <row r="1" spans="1:30" ht="28" x14ac:dyDescent="0.6">
      <c r="A1" s="56" t="str">
        <f>'CR COST'!A1</f>
        <v>CARRIER ROUTE</v>
      </c>
    </row>
    <row r="2" spans="1:30" ht="23" x14ac:dyDescent="0.5">
      <c r="A2" s="57" t="s">
        <v>84</v>
      </c>
    </row>
    <row r="6" spans="1:30" s="228" customFormat="1" ht="18" x14ac:dyDescent="0.4">
      <c r="A6" s="48" t="s">
        <v>85</v>
      </c>
      <c r="B6" s="226"/>
      <c r="C6" s="49">
        <f>SUM(C11:C16)+SUM(G11:G16)+SUM(K11:K16)+SUM(O11:O16)</f>
        <v>61.234942212081585</v>
      </c>
      <c r="D6" s="227"/>
      <c r="E6" s="48" t="s">
        <v>86</v>
      </c>
      <c r="F6" s="226"/>
      <c r="G6" s="49">
        <f ca="1">D88+J88+O88+D100+D127</f>
        <v>61.234942212081585</v>
      </c>
      <c r="H6" s="226"/>
      <c r="I6" s="227"/>
      <c r="J6" s="226"/>
      <c r="K6" s="226"/>
      <c r="O6" s="48"/>
      <c r="P6" s="48"/>
      <c r="Q6" s="226"/>
      <c r="R6" s="226"/>
      <c r="U6" s="227"/>
      <c r="V6" s="226"/>
      <c r="W6" s="226"/>
      <c r="X6" s="226"/>
      <c r="Y6" s="226"/>
      <c r="AA6" s="226"/>
      <c r="AC6" s="226"/>
      <c r="AD6" s="226"/>
    </row>
    <row r="9" spans="1:30" x14ac:dyDescent="0.25">
      <c r="E9" s="18"/>
      <c r="H9" s="18"/>
      <c r="J9" s="18"/>
      <c r="K9" s="18"/>
      <c r="N9" s="18"/>
      <c r="Q9" s="18"/>
      <c r="R9" s="18"/>
      <c r="V9" s="18"/>
      <c r="W9" s="18"/>
      <c r="X9" s="18"/>
      <c r="Y9" s="18"/>
      <c r="AA9" s="18"/>
      <c r="AC9" s="18"/>
      <c r="AD9" s="18"/>
    </row>
    <row r="10" spans="1:30" ht="18" x14ac:dyDescent="0.4">
      <c r="A10" s="50" t="s">
        <v>87</v>
      </c>
      <c r="E10" s="18"/>
      <c r="H10" s="26"/>
      <c r="J10" s="18"/>
      <c r="K10" s="18"/>
      <c r="N10" s="18"/>
      <c r="Q10" s="18"/>
      <c r="R10" s="18"/>
      <c r="V10" s="18"/>
      <c r="W10" s="18"/>
      <c r="X10" s="18"/>
      <c r="Y10" s="18"/>
      <c r="AA10" s="18"/>
      <c r="AC10" s="18"/>
      <c r="AD10" s="18"/>
    </row>
    <row r="11" spans="1:30" ht="13" x14ac:dyDescent="0.3">
      <c r="A11" s="25"/>
      <c r="B11" s="67" t="s">
        <v>88</v>
      </c>
      <c r="C11" s="68">
        <f>'ENTRY PROFILE CR'!K18</f>
        <v>0</v>
      </c>
      <c r="D11" s="59"/>
      <c r="E11" s="28"/>
      <c r="F11" s="61" t="s">
        <v>89</v>
      </c>
      <c r="G11" s="62">
        <v>0</v>
      </c>
      <c r="I11" s="27"/>
      <c r="J11" s="73" t="s">
        <v>90</v>
      </c>
      <c r="K11" s="74">
        <v>0</v>
      </c>
      <c r="L11" s="59"/>
      <c r="M11" s="28"/>
      <c r="N11" s="79" t="s">
        <v>91</v>
      </c>
      <c r="O11" s="80">
        <v>0</v>
      </c>
      <c r="P11" s="147"/>
      <c r="Q11" s="18"/>
      <c r="R11" s="18"/>
      <c r="V11" s="18"/>
      <c r="W11" s="18"/>
      <c r="X11" s="18"/>
      <c r="Y11" s="18"/>
      <c r="AA11" s="18"/>
      <c r="AC11" s="18"/>
      <c r="AD11" s="18"/>
    </row>
    <row r="12" spans="1:30" ht="13" x14ac:dyDescent="0.3">
      <c r="A12" s="22"/>
      <c r="B12" s="69" t="s">
        <v>92</v>
      </c>
      <c r="C12" s="70">
        <v>0</v>
      </c>
      <c r="E12" s="18"/>
      <c r="F12" s="63" t="s">
        <v>93</v>
      </c>
      <c r="G12" s="64">
        <v>0</v>
      </c>
      <c r="I12" s="20"/>
      <c r="J12" s="75" t="s">
        <v>94</v>
      </c>
      <c r="K12" s="76">
        <v>0</v>
      </c>
      <c r="L12" s="58"/>
      <c r="M12" s="18"/>
      <c r="N12" s="81" t="s">
        <v>95</v>
      </c>
      <c r="O12" s="82">
        <v>0</v>
      </c>
      <c r="P12" s="147"/>
      <c r="Q12" s="18"/>
      <c r="R12" s="18"/>
      <c r="V12" s="18"/>
      <c r="W12" s="18"/>
      <c r="X12" s="18"/>
      <c r="Y12" s="18"/>
      <c r="AA12" s="18"/>
      <c r="AC12" s="18"/>
      <c r="AD12" s="18"/>
    </row>
    <row r="13" spans="1:30" ht="13" x14ac:dyDescent="0.3">
      <c r="A13" s="22"/>
      <c r="B13" s="69" t="s">
        <v>96</v>
      </c>
      <c r="C13" s="70">
        <f>'ENTRY PROFILE CR'!O18</f>
        <v>0</v>
      </c>
      <c r="E13" s="18"/>
      <c r="F13" s="63" t="s">
        <v>97</v>
      </c>
      <c r="G13" s="64">
        <v>0</v>
      </c>
      <c r="I13" s="20"/>
      <c r="J13" s="75" t="s">
        <v>98</v>
      </c>
      <c r="K13" s="76">
        <v>0</v>
      </c>
      <c r="L13" s="58"/>
      <c r="M13" s="18"/>
      <c r="N13" s="81" t="s">
        <v>99</v>
      </c>
      <c r="O13" s="82">
        <v>0</v>
      </c>
      <c r="P13" s="147"/>
      <c r="Q13" s="18"/>
      <c r="R13" s="18"/>
      <c r="V13" s="18"/>
      <c r="W13" s="18"/>
      <c r="X13" s="18"/>
      <c r="Y13" s="18"/>
      <c r="AA13" s="18"/>
      <c r="AC13" s="18"/>
      <c r="AD13" s="18"/>
    </row>
    <row r="14" spans="1:30" ht="13" x14ac:dyDescent="0.3">
      <c r="A14" s="22"/>
      <c r="B14" s="69" t="s">
        <v>100</v>
      </c>
      <c r="C14" s="70">
        <f>'ENTRY PROFILE CR'!S18</f>
        <v>0</v>
      </c>
      <c r="E14" s="18"/>
      <c r="F14" s="63" t="s">
        <v>101</v>
      </c>
      <c r="G14" s="64">
        <v>0</v>
      </c>
      <c r="I14" s="20"/>
      <c r="J14" s="75" t="s">
        <v>102</v>
      </c>
      <c r="K14" s="76">
        <v>0</v>
      </c>
      <c r="L14" s="58"/>
      <c r="M14" s="18"/>
      <c r="N14" s="81" t="s">
        <v>103</v>
      </c>
      <c r="O14" s="82">
        <v>0</v>
      </c>
      <c r="P14" s="147"/>
      <c r="Q14" s="18"/>
      <c r="R14" s="18"/>
      <c r="V14" s="18"/>
      <c r="W14" s="18"/>
      <c r="X14" s="18"/>
      <c r="Y14" s="18"/>
      <c r="AA14" s="18"/>
      <c r="AC14" s="18"/>
      <c r="AD14" s="18"/>
    </row>
    <row r="15" spans="1:30" ht="13" x14ac:dyDescent="0.3">
      <c r="A15" s="22"/>
      <c r="B15" s="69" t="s">
        <v>104</v>
      </c>
      <c r="C15" s="70">
        <v>0</v>
      </c>
      <c r="E15" s="18"/>
      <c r="F15" s="63" t="s">
        <v>105</v>
      </c>
      <c r="G15" s="64">
        <v>0</v>
      </c>
      <c r="I15" s="20"/>
      <c r="J15" s="75" t="s">
        <v>106</v>
      </c>
      <c r="K15" s="76">
        <v>0</v>
      </c>
      <c r="L15" s="58"/>
      <c r="M15" s="18"/>
      <c r="N15" s="81" t="s">
        <v>107</v>
      </c>
      <c r="O15" s="82">
        <v>0</v>
      </c>
      <c r="P15" s="147"/>
      <c r="Q15" s="18"/>
      <c r="R15" s="18"/>
      <c r="V15" s="18"/>
      <c r="W15" s="18"/>
      <c r="X15" s="18"/>
      <c r="Y15" s="18"/>
      <c r="AA15" s="18"/>
      <c r="AC15" s="18"/>
      <c r="AD15" s="18"/>
    </row>
    <row r="16" spans="1:30" ht="13" x14ac:dyDescent="0.3">
      <c r="A16" s="21"/>
      <c r="B16" s="71" t="s">
        <v>108</v>
      </c>
      <c r="C16" s="72">
        <f>'ENTRY PROFILE CR'!W18</f>
        <v>61.234942212081585</v>
      </c>
      <c r="D16" s="60"/>
      <c r="E16" s="26"/>
      <c r="F16" s="65" t="s">
        <v>109</v>
      </c>
      <c r="G16" s="66">
        <v>0</v>
      </c>
      <c r="H16" s="19"/>
      <c r="I16" s="19"/>
      <c r="J16" s="77" t="s">
        <v>110</v>
      </c>
      <c r="K16" s="78">
        <v>0</v>
      </c>
      <c r="L16" s="60"/>
      <c r="M16" s="26"/>
      <c r="N16" s="83" t="s">
        <v>111</v>
      </c>
      <c r="O16" s="84">
        <v>0</v>
      </c>
      <c r="P16" s="147"/>
      <c r="Q16" s="18"/>
      <c r="R16" s="18"/>
      <c r="V16" s="18"/>
      <c r="W16" s="18"/>
      <c r="X16" s="18"/>
      <c r="Y16" s="18"/>
      <c r="AA16" s="18"/>
      <c r="AC16" s="18"/>
      <c r="AD16" s="18"/>
    </row>
    <row r="20" spans="1:30" x14ac:dyDescent="0.25">
      <c r="A20" s="104"/>
      <c r="B20" s="106"/>
      <c r="C20" s="106"/>
      <c r="D20" s="107"/>
      <c r="E20" s="106"/>
      <c r="F20" s="106"/>
      <c r="G20" s="104"/>
      <c r="H20" s="105"/>
      <c r="I20" s="106"/>
      <c r="J20" s="107"/>
      <c r="K20" s="106"/>
      <c r="L20" s="106"/>
      <c r="M20" s="105"/>
      <c r="N20" s="106"/>
      <c r="O20" s="107"/>
      <c r="P20" s="106"/>
      <c r="Q20" s="108"/>
      <c r="S20" s="20"/>
      <c r="U20" s="20"/>
      <c r="Y20"/>
      <c r="Z20"/>
      <c r="AA20"/>
      <c r="AB20"/>
      <c r="AC20"/>
      <c r="AD20"/>
    </row>
    <row r="21" spans="1:30" s="126" customFormat="1" ht="23" x14ac:dyDescent="0.5">
      <c r="A21" s="193"/>
      <c r="B21" s="124"/>
      <c r="C21" s="128" t="s">
        <v>112</v>
      </c>
      <c r="D21" s="124"/>
      <c r="E21" s="57"/>
      <c r="F21" s="128"/>
      <c r="G21" s="123"/>
      <c r="H21" s="57"/>
      <c r="I21" s="124"/>
      <c r="J21" s="57"/>
      <c r="K21" s="57"/>
      <c r="L21" s="128" t="s">
        <v>113</v>
      </c>
      <c r="M21" s="57"/>
      <c r="N21" s="124"/>
      <c r="O21" s="57"/>
      <c r="P21" s="57"/>
      <c r="Q21" s="125"/>
      <c r="R21" s="57"/>
      <c r="S21" s="57"/>
      <c r="T21" s="57"/>
      <c r="U21" s="57"/>
      <c r="V21" s="57"/>
      <c r="W21" s="57"/>
      <c r="X21" s="57"/>
    </row>
    <row r="22" spans="1:30" s="126" customFormat="1" ht="23" x14ac:dyDescent="0.5">
      <c r="A22" s="123"/>
      <c r="B22" s="57"/>
      <c r="C22" s="57"/>
      <c r="D22" s="124"/>
      <c r="E22" s="57"/>
      <c r="F22" s="128"/>
      <c r="G22" s="123"/>
      <c r="H22" s="57"/>
      <c r="I22" s="124"/>
      <c r="J22" s="57"/>
      <c r="K22" s="57"/>
      <c r="M22" s="57"/>
      <c r="N22" s="124"/>
      <c r="O22" s="57"/>
      <c r="P22" s="57"/>
      <c r="Q22" s="125"/>
      <c r="R22" s="57"/>
      <c r="S22" s="57"/>
      <c r="T22" s="57"/>
      <c r="U22" s="57"/>
      <c r="V22" s="57"/>
      <c r="W22" s="57"/>
      <c r="X22" s="57"/>
    </row>
    <row r="23" spans="1:30" ht="13" x14ac:dyDescent="0.3">
      <c r="A23" s="114"/>
      <c r="D23" s="97">
        <f>SUM(A25:A29)*(1-'ACCEPT RATES'!G14)+SUM(B25:B29)*SUM('ACCEPT RATES'!I14:J14)</f>
        <v>0</v>
      </c>
      <c r="E23" s="24" t="s">
        <v>114</v>
      </c>
      <c r="G23" s="122"/>
      <c r="I23" s="24"/>
      <c r="J23" s="97">
        <f>SUM(G25:G29)*(1-'ACCEPT RATES'!E19)</f>
        <v>0</v>
      </c>
      <c r="K23" s="24" t="s">
        <v>114</v>
      </c>
      <c r="L23"/>
      <c r="M23" s="20"/>
      <c r="P23" s="24"/>
      <c r="Q23" s="109"/>
      <c r="S23" s="20"/>
      <c r="U23" s="20"/>
      <c r="Y23"/>
      <c r="Z23"/>
      <c r="AA23"/>
      <c r="AB23"/>
      <c r="AC23"/>
      <c r="AD23"/>
    </row>
    <row r="24" spans="1:30" ht="13" x14ac:dyDescent="0.3">
      <c r="A24" s="127" t="s">
        <v>256</v>
      </c>
      <c r="B24" s="336" t="s">
        <v>115</v>
      </c>
      <c r="C24" s="337"/>
      <c r="D24" s="120"/>
      <c r="E24" s="24" t="s">
        <v>116</v>
      </c>
      <c r="G24" s="127" t="s">
        <v>118</v>
      </c>
      <c r="H24" s="336" t="s">
        <v>245</v>
      </c>
      <c r="I24" s="337"/>
      <c r="J24" s="100"/>
      <c r="K24" s="23" t="s">
        <v>116</v>
      </c>
      <c r="L24"/>
      <c r="M24" s="336" t="s">
        <v>117</v>
      </c>
      <c r="N24" s="337"/>
      <c r="P24" s="20"/>
      <c r="Q24" s="109"/>
      <c r="S24" s="20"/>
      <c r="U24" s="20"/>
      <c r="Y24"/>
      <c r="Z24"/>
      <c r="AA24"/>
      <c r="AB24"/>
      <c r="AC24"/>
      <c r="AD24"/>
    </row>
    <row r="25" spans="1:30" ht="13" x14ac:dyDescent="0.3">
      <c r="A25" s="121">
        <f>B25*(1-'ACCEPT RATES'!C14)</f>
        <v>0</v>
      </c>
      <c r="B25" s="29">
        <f>C25*(1+'ACCEPT RATES'!F14)</f>
        <v>0</v>
      </c>
      <c r="C25" s="51">
        <f>C11*('COVERAGE FACTORS'!E14+'COVERAGE FACTORS'!E18)</f>
        <v>0</v>
      </c>
      <c r="E25" s="24" t="s">
        <v>70</v>
      </c>
      <c r="G25" s="217">
        <f>H25*(1-'ACCEPT RATES'!C19)</f>
        <v>0</v>
      </c>
      <c r="H25" s="29">
        <f>I25</f>
        <v>0</v>
      </c>
      <c r="I25" s="51">
        <f>C11*'COVERAGE FACTORS'!E16</f>
        <v>0</v>
      </c>
      <c r="J25" s="23"/>
      <c r="K25" s="23" t="s">
        <v>70</v>
      </c>
      <c r="L25"/>
      <c r="M25" s="29">
        <f>N25</f>
        <v>0</v>
      </c>
      <c r="N25" s="51">
        <f>C11*'COVERAGE FACTORS'!E20</f>
        <v>0</v>
      </c>
      <c r="P25" s="20"/>
      <c r="Q25" s="109"/>
      <c r="S25" s="20"/>
      <c r="U25" s="20"/>
      <c r="Y25"/>
      <c r="Z25"/>
      <c r="AA25"/>
      <c r="AB25"/>
      <c r="AC25"/>
      <c r="AD25"/>
    </row>
    <row r="26" spans="1:30" x14ac:dyDescent="0.25">
      <c r="A26" s="194">
        <f>B26*(1-'ACCEPT RATES'!D14)</f>
        <v>0</v>
      </c>
      <c r="B26" s="86">
        <f>C26*(1+'ACCEPT RATES'!F14)</f>
        <v>0</v>
      </c>
      <c r="C26" s="85">
        <f>G11*('COVERAGE FACTORS'!E14+'COVERAGE FACTORS'!E18)</f>
        <v>0</v>
      </c>
      <c r="G26" s="194">
        <f>H26*(1-'ACCEPT RATES'!D19)</f>
        <v>0</v>
      </c>
      <c r="H26" s="86">
        <f>I26</f>
        <v>0</v>
      </c>
      <c r="I26" s="85">
        <f>G11*'COVERAGE FACTORS'!E16</f>
        <v>0</v>
      </c>
      <c r="J26" s="58"/>
      <c r="L26"/>
      <c r="M26" s="86">
        <f>N26</f>
        <v>0</v>
      </c>
      <c r="N26" s="85">
        <f>G11*'COVERAGE FACTORS'!E20</f>
        <v>0</v>
      </c>
      <c r="P26" s="20"/>
      <c r="Q26" s="109"/>
      <c r="S26" s="20"/>
      <c r="U26" s="20"/>
      <c r="Y26"/>
      <c r="Z26"/>
      <c r="AA26"/>
      <c r="AB26"/>
      <c r="AC26"/>
      <c r="AD26"/>
    </row>
    <row r="27" spans="1:30" ht="13" x14ac:dyDescent="0.3">
      <c r="A27" s="122"/>
      <c r="B27" s="86"/>
      <c r="C27" s="85"/>
      <c r="G27" s="110">
        <f>H27*(1-'ACCEPT RATES'!C19)</f>
        <v>0</v>
      </c>
      <c r="H27" s="90">
        <f>I27</f>
        <v>0</v>
      </c>
      <c r="I27" s="91">
        <f>K11*('COVERAGE FACTORS'!E16+'COVERAGE FACTORS'!E18)</f>
        <v>0</v>
      </c>
      <c r="J27" s="58"/>
      <c r="L27"/>
      <c r="M27" s="90">
        <f>N27</f>
        <v>0</v>
      </c>
      <c r="N27" s="91">
        <f>K11*(1-('COVERAGE FACTORS'!E16+'COVERAGE FACTORS'!E18))</f>
        <v>0</v>
      </c>
      <c r="P27" s="20"/>
      <c r="Q27" s="109"/>
      <c r="S27" s="20"/>
      <c r="U27" s="20"/>
      <c r="Y27"/>
      <c r="Z27"/>
      <c r="AA27"/>
      <c r="AB27"/>
      <c r="AC27"/>
      <c r="AD27"/>
    </row>
    <row r="28" spans="1:30" ht="13" x14ac:dyDescent="0.3">
      <c r="A28" s="122"/>
      <c r="B28" s="86"/>
      <c r="C28" s="85"/>
      <c r="G28" s="111">
        <f>H28*(1-'ACCEPT RATES'!D19)</f>
        <v>0</v>
      </c>
      <c r="H28" s="95">
        <f>I28</f>
        <v>0</v>
      </c>
      <c r="I28" s="93">
        <f>O11*('COVERAGE FACTORS'!E16+'COVERAGE FACTORS'!E18)</f>
        <v>0</v>
      </c>
      <c r="J28" s="58"/>
      <c r="L28"/>
      <c r="M28" s="95">
        <f>N28</f>
        <v>0</v>
      </c>
      <c r="N28" s="93">
        <f>O11*(1-('COVERAGE FACTORS'!E16+'COVERAGE FACTORS'!E18))</f>
        <v>0</v>
      </c>
      <c r="P28" s="20"/>
      <c r="Q28" s="109"/>
      <c r="S28" s="20"/>
      <c r="U28" s="20"/>
      <c r="Y28"/>
      <c r="Z28"/>
      <c r="AA28"/>
      <c r="AB28"/>
      <c r="AC28"/>
      <c r="AD28"/>
    </row>
    <row r="29" spans="1:30" ht="13" x14ac:dyDescent="0.3">
      <c r="A29" s="195"/>
      <c r="B29" s="21"/>
      <c r="C29" s="35"/>
      <c r="G29" s="112"/>
      <c r="H29" s="45"/>
      <c r="I29" s="35"/>
      <c r="J29" s="58"/>
      <c r="L29"/>
      <c r="M29" s="207">
        <f>N29</f>
        <v>0</v>
      </c>
      <c r="N29" s="206">
        <f>D23+J23</f>
        <v>0</v>
      </c>
      <c r="P29" s="20"/>
      <c r="Q29" s="109"/>
      <c r="S29" s="20"/>
      <c r="U29" s="20"/>
      <c r="Y29"/>
      <c r="Z29"/>
      <c r="AA29"/>
      <c r="AB29"/>
      <c r="AC29"/>
      <c r="AD29"/>
    </row>
    <row r="30" spans="1:30" ht="13" x14ac:dyDescent="0.3">
      <c r="A30" s="114"/>
      <c r="C30" s="98"/>
      <c r="D30" s="196">
        <f>(SUM(C25:C29)-D23)*'PIECE DENSITIES'!C6</f>
        <v>0</v>
      </c>
      <c r="E30" s="24" t="s">
        <v>290</v>
      </c>
      <c r="G30" s="114"/>
      <c r="I30" s="99"/>
      <c r="J30" s="201">
        <f>(SUM(I25:I29)-J23)*'PIECE DENSITIES'!C11</f>
        <v>0</v>
      </c>
      <c r="K30" s="24" t="s">
        <v>289</v>
      </c>
      <c r="L30"/>
      <c r="M30" s="20"/>
      <c r="O30" s="96">
        <f>SUM(N25:N29)*'PIECE DENSITIES'!C16</f>
        <v>0</v>
      </c>
      <c r="P30" s="24" t="s">
        <v>120</v>
      </c>
      <c r="Q30" s="109"/>
      <c r="S30" s="20"/>
      <c r="U30" s="20"/>
      <c r="Y30"/>
      <c r="Z30"/>
      <c r="AA30"/>
      <c r="AB30"/>
      <c r="AC30"/>
      <c r="AD30"/>
    </row>
    <row r="31" spans="1:30" ht="13" x14ac:dyDescent="0.3">
      <c r="A31" s="114"/>
      <c r="C31" s="98"/>
      <c r="D31" s="196">
        <f>(SUM(C25:C29)-D23)*'PIECE DENSITIES'!D6</f>
        <v>0</v>
      </c>
      <c r="E31" s="24" t="s">
        <v>121</v>
      </c>
      <c r="G31" s="114"/>
      <c r="I31" s="99"/>
      <c r="J31" s="201">
        <f>(SUM(I25:I29)-J23)*'PIECE DENSITIES'!D11</f>
        <v>0</v>
      </c>
      <c r="K31" s="24" t="s">
        <v>122</v>
      </c>
      <c r="L31"/>
      <c r="M31" s="20"/>
      <c r="O31" s="96">
        <f>SUM(N25:N29)*'PIECE DENSITIES'!D16</f>
        <v>0</v>
      </c>
      <c r="P31" s="24" t="s">
        <v>123</v>
      </c>
      <c r="Q31" s="109"/>
      <c r="S31" s="20"/>
      <c r="U31" s="20"/>
      <c r="Y31"/>
      <c r="Z31"/>
      <c r="AA31"/>
      <c r="AB31"/>
      <c r="AC31"/>
      <c r="AD31"/>
    </row>
    <row r="32" spans="1:30" ht="13" x14ac:dyDescent="0.3">
      <c r="A32" s="114"/>
      <c r="C32" s="89"/>
      <c r="D32" s="197">
        <f>(SUM(C25:C29)-D23)*'PIECE DENSITIES'!E6</f>
        <v>0</v>
      </c>
      <c r="E32" s="24" t="s">
        <v>124</v>
      </c>
      <c r="G32" s="114"/>
      <c r="I32" s="94"/>
      <c r="J32" s="202">
        <f>(SUM(I25:I29)-J23)*'PIECE DENSITIES'!E11</f>
        <v>0</v>
      </c>
      <c r="K32" s="24" t="s">
        <v>125</v>
      </c>
      <c r="L32"/>
      <c r="M32" s="20"/>
      <c r="N32" s="46"/>
      <c r="O32" s="97">
        <f>SUM(N25:N29)*'PIECE DENSITIES'!E16</f>
        <v>0</v>
      </c>
      <c r="P32" s="24" t="s">
        <v>126</v>
      </c>
      <c r="Q32" s="109"/>
      <c r="S32" s="20"/>
      <c r="U32" s="20"/>
      <c r="Y32"/>
      <c r="Z32"/>
      <c r="AA32"/>
      <c r="AB32"/>
      <c r="AC32"/>
      <c r="AD32"/>
    </row>
    <row r="33" spans="1:30" ht="13" x14ac:dyDescent="0.3">
      <c r="A33" s="114"/>
      <c r="C33" s="89"/>
      <c r="D33" s="197">
        <f>(SUM(C25:C29)-D23)*'PIECE DENSITIES'!F6</f>
        <v>0</v>
      </c>
      <c r="E33" s="24" t="s">
        <v>127</v>
      </c>
      <c r="G33" s="114"/>
      <c r="I33" s="94"/>
      <c r="J33" s="202">
        <f>(SUM(I25:I29)-J23)*'PIECE DENSITIES'!F11</f>
        <v>0</v>
      </c>
      <c r="K33" s="24" t="s">
        <v>128</v>
      </c>
      <c r="L33"/>
      <c r="M33" s="20"/>
      <c r="N33" s="46"/>
      <c r="O33" s="97">
        <f>SUM(N25:N29)*'PIECE DENSITIES'!F16</f>
        <v>0</v>
      </c>
      <c r="P33" s="24" t="s">
        <v>129</v>
      </c>
      <c r="Q33" s="109"/>
      <c r="S33" s="20"/>
      <c r="U33" s="20"/>
      <c r="Y33"/>
      <c r="Z33"/>
      <c r="AA33"/>
      <c r="AB33"/>
      <c r="AC33"/>
      <c r="AD33"/>
    </row>
    <row r="34" spans="1:30" ht="13" x14ac:dyDescent="0.3">
      <c r="A34" s="114"/>
      <c r="C34" s="89"/>
      <c r="D34" s="197">
        <f>(SUM(C25:C29)-D23)*'PIECE DENSITIES'!G6</f>
        <v>0</v>
      </c>
      <c r="E34" s="24" t="s">
        <v>130</v>
      </c>
      <c r="G34" s="114"/>
      <c r="I34" s="94"/>
      <c r="J34" s="202">
        <f>(SUM(I25:I29)-J23)*'PIECE DENSITIES'!G11</f>
        <v>0</v>
      </c>
      <c r="K34" s="24" t="s">
        <v>288</v>
      </c>
      <c r="L34"/>
      <c r="M34" s="20"/>
      <c r="N34" s="46"/>
      <c r="O34" s="97">
        <f>SUM(N25:N29)*'PIECE DENSITIES'!G16</f>
        <v>0</v>
      </c>
      <c r="P34" s="24" t="s">
        <v>131</v>
      </c>
      <c r="Q34" s="109"/>
      <c r="S34" s="20"/>
      <c r="U34" s="20"/>
      <c r="Y34"/>
      <c r="Z34"/>
      <c r="AA34"/>
      <c r="AB34"/>
      <c r="AC34"/>
      <c r="AD34"/>
    </row>
    <row r="35" spans="1:30" x14ac:dyDescent="0.25">
      <c r="A35" s="114"/>
      <c r="G35" s="114"/>
      <c r="I35" s="20"/>
      <c r="J35" s="58"/>
      <c r="L35"/>
      <c r="M35" s="20"/>
      <c r="P35" s="20"/>
      <c r="Q35" s="109"/>
      <c r="S35" s="20"/>
      <c r="U35" s="20"/>
      <c r="Y35"/>
      <c r="Z35"/>
      <c r="AA35"/>
      <c r="AB35"/>
      <c r="AC35"/>
      <c r="AD35"/>
    </row>
    <row r="36" spans="1:30" ht="13" x14ac:dyDescent="0.3">
      <c r="A36" s="114"/>
      <c r="D36" s="97">
        <f>SUM(A38:A42)*(1-'ACCEPT RATES'!G15)+SUM(B38:B42)*SUM('ACCEPT RATES'!I15:J15)</f>
        <v>0</v>
      </c>
      <c r="E36" s="24" t="s">
        <v>114</v>
      </c>
      <c r="G36" s="122"/>
      <c r="I36" s="24"/>
      <c r="J36" s="97">
        <f>SUM(G38:G42)*(1-'ACCEPT RATES'!E20)</f>
        <v>0</v>
      </c>
      <c r="K36" s="24" t="s">
        <v>114</v>
      </c>
      <c r="L36"/>
      <c r="M36" s="20"/>
      <c r="P36" s="24"/>
      <c r="Q36" s="109"/>
      <c r="S36" s="20"/>
      <c r="U36" s="20"/>
      <c r="Y36"/>
      <c r="Z36"/>
      <c r="AA36"/>
      <c r="AB36"/>
      <c r="AC36"/>
      <c r="AD36"/>
    </row>
    <row r="37" spans="1:30" ht="13" x14ac:dyDescent="0.3">
      <c r="A37" s="127" t="s">
        <v>256</v>
      </c>
      <c r="B37" s="336" t="s">
        <v>119</v>
      </c>
      <c r="C37" s="337"/>
      <c r="D37" s="120"/>
      <c r="E37" s="24" t="s">
        <v>132</v>
      </c>
      <c r="G37" s="127" t="s">
        <v>118</v>
      </c>
      <c r="H37" s="336" t="s">
        <v>246</v>
      </c>
      <c r="I37" s="337"/>
      <c r="J37" s="100"/>
      <c r="K37" s="23" t="s">
        <v>132</v>
      </c>
      <c r="L37"/>
      <c r="M37" s="336" t="s">
        <v>120</v>
      </c>
      <c r="N37" s="337"/>
      <c r="P37" s="20"/>
      <c r="Q37" s="109"/>
      <c r="S37" s="20"/>
      <c r="U37" s="20"/>
      <c r="Y37"/>
      <c r="Z37"/>
      <c r="AA37"/>
      <c r="AB37"/>
      <c r="AC37"/>
      <c r="AD37"/>
    </row>
    <row r="38" spans="1:30" ht="13" x14ac:dyDescent="0.3">
      <c r="A38" s="121">
        <f>B38*(1-'ACCEPT RATES'!C15)</f>
        <v>0</v>
      </c>
      <c r="B38" s="29">
        <f>C38*(1+'ACCEPT RATES'!F15+'PIECE DENSITIES'!C7)</f>
        <v>0</v>
      </c>
      <c r="C38" s="51">
        <f>C12*('COVERAGE FACTORS'!E14+'COVERAGE FACTORS'!E18)</f>
        <v>0</v>
      </c>
      <c r="E38" s="24" t="s">
        <v>70</v>
      </c>
      <c r="G38" s="217">
        <f>H38*(1-'ACCEPT RATES'!C20)</f>
        <v>0</v>
      </c>
      <c r="H38" s="29">
        <f>I38*(1+'PIECE DENSITIES'!C12)</f>
        <v>0</v>
      </c>
      <c r="I38" s="51">
        <f>C12*'COVERAGE FACTORS'!E16</f>
        <v>0</v>
      </c>
      <c r="J38" s="23"/>
      <c r="K38" s="23" t="s">
        <v>70</v>
      </c>
      <c r="L38"/>
      <c r="M38" s="29">
        <f>N38</f>
        <v>0</v>
      </c>
      <c r="N38" s="51">
        <f>C12*'COVERAGE FACTORS'!E20</f>
        <v>0</v>
      </c>
      <c r="P38" s="20"/>
      <c r="Q38" s="109"/>
      <c r="S38" s="20"/>
      <c r="U38" s="20"/>
      <c r="Y38"/>
      <c r="Z38"/>
      <c r="AA38"/>
      <c r="AB38"/>
      <c r="AC38"/>
      <c r="AD38"/>
    </row>
    <row r="39" spans="1:30" x14ac:dyDescent="0.25">
      <c r="A39" s="194">
        <f>B39*(1-'ACCEPT RATES'!D15)</f>
        <v>0</v>
      </c>
      <c r="B39" s="86">
        <f>C39*(1+'ACCEPT RATES'!F15+'PIECE DENSITIES'!C7)</f>
        <v>0</v>
      </c>
      <c r="C39" s="85">
        <f>G12*('COVERAGE FACTORS'!E14+'COVERAGE FACTORS'!E18)</f>
        <v>0</v>
      </c>
      <c r="G39" s="194">
        <f>H39*(1-'ACCEPT RATES'!D20)</f>
        <v>0</v>
      </c>
      <c r="H39" s="86">
        <f>I39*(1+'PIECE DENSITIES'!C12)</f>
        <v>0</v>
      </c>
      <c r="I39" s="85">
        <f>G12*'COVERAGE FACTORS'!E16</f>
        <v>0</v>
      </c>
      <c r="J39" s="58"/>
      <c r="L39"/>
      <c r="M39" s="86">
        <f>N39</f>
        <v>0</v>
      </c>
      <c r="N39" s="85">
        <f>G12*'COVERAGE FACTORS'!E20</f>
        <v>0</v>
      </c>
      <c r="P39" s="20"/>
      <c r="Q39" s="109"/>
      <c r="S39" s="20"/>
      <c r="U39" s="20"/>
      <c r="Y39"/>
      <c r="Z39"/>
      <c r="AA39"/>
      <c r="AB39"/>
      <c r="AC39"/>
      <c r="AD39"/>
    </row>
    <row r="40" spans="1:30" ht="13" x14ac:dyDescent="0.3">
      <c r="A40" s="122"/>
      <c r="B40" s="86"/>
      <c r="C40" s="85"/>
      <c r="G40" s="110">
        <f>H40*(1-'ACCEPT RATES'!C20)</f>
        <v>0</v>
      </c>
      <c r="H40" s="90">
        <f>I40*(1+'PIECE DENSITIES'!C12)</f>
        <v>0</v>
      </c>
      <c r="I40" s="91">
        <f>K12*('COVERAGE FACTORS'!E16+'COVERAGE FACTORS'!E18)</f>
        <v>0</v>
      </c>
      <c r="J40" s="58"/>
      <c r="L40"/>
      <c r="M40" s="90">
        <f>N40</f>
        <v>0</v>
      </c>
      <c r="N40" s="91">
        <f>K12*(1-('COVERAGE FACTORS'!E16+'COVERAGE FACTORS'!E18))</f>
        <v>0</v>
      </c>
      <c r="P40" s="20"/>
      <c r="Q40" s="109"/>
      <c r="S40" s="20"/>
      <c r="U40" s="20"/>
      <c r="Y40"/>
      <c r="Z40"/>
      <c r="AA40"/>
      <c r="AB40"/>
      <c r="AC40"/>
      <c r="AD40"/>
    </row>
    <row r="41" spans="1:30" ht="13" x14ac:dyDescent="0.3">
      <c r="A41" s="122"/>
      <c r="B41" s="86"/>
      <c r="C41" s="85"/>
      <c r="G41" s="111">
        <f>H41*(1-'ACCEPT RATES'!D20)</f>
        <v>0</v>
      </c>
      <c r="H41" s="95">
        <f>I41*(1+'PIECE DENSITIES'!C12)</f>
        <v>0</v>
      </c>
      <c r="I41" s="93">
        <f>O12*('COVERAGE FACTORS'!E16+'COVERAGE FACTORS'!E18)</f>
        <v>0</v>
      </c>
      <c r="J41" s="58"/>
      <c r="L41"/>
      <c r="M41" s="95">
        <f>N41</f>
        <v>0</v>
      </c>
      <c r="N41" s="93">
        <f>O12*(1-('COVERAGE FACTORS'!E16+'COVERAGE FACTORS'!E18))</f>
        <v>0</v>
      </c>
      <c r="P41" s="20"/>
      <c r="Q41" s="109"/>
      <c r="S41" s="20"/>
      <c r="U41" s="20"/>
      <c r="Y41"/>
      <c r="Z41"/>
      <c r="AA41"/>
      <c r="AB41"/>
      <c r="AC41"/>
      <c r="AD41"/>
    </row>
    <row r="42" spans="1:30" x14ac:dyDescent="0.25">
      <c r="A42" s="200">
        <f>B42*(1-'ACCEPT RATES'!C15)</f>
        <v>0</v>
      </c>
      <c r="B42" s="199">
        <f>C42*(1+'ACCEPT RATES'!F15+'PIECE DENSITIES'!C7)</f>
        <v>0</v>
      </c>
      <c r="C42" s="198">
        <f>D30</f>
        <v>0</v>
      </c>
      <c r="G42" s="205">
        <f>IF(SUM(C11:C16)&gt;0,H42*(1-'ACCEPT RATES'!C20),H42*(1-'ACCEPT RATES'!D20))</f>
        <v>0</v>
      </c>
      <c r="H42" s="204">
        <f>I42*(1+'PIECE DENSITIES'!C12)</f>
        <v>0</v>
      </c>
      <c r="I42" s="203">
        <f>J30</f>
        <v>0</v>
      </c>
      <c r="J42" s="58"/>
      <c r="L42"/>
      <c r="M42" s="102">
        <f>N42</f>
        <v>0</v>
      </c>
      <c r="N42" s="101">
        <f>D36+J36+O30</f>
        <v>0</v>
      </c>
      <c r="P42" s="20"/>
      <c r="Q42" s="109"/>
      <c r="S42" s="20"/>
      <c r="U42" s="20"/>
      <c r="Y42"/>
      <c r="Z42"/>
      <c r="AA42"/>
      <c r="AB42"/>
      <c r="AC42"/>
      <c r="AD42"/>
    </row>
    <row r="43" spans="1:30" ht="13" x14ac:dyDescent="0.3">
      <c r="A43" s="114"/>
      <c r="C43" s="98"/>
      <c r="D43" s="196">
        <f>(SUM(C38:C42)-D36)*'PIECE DENSITIES'!D7</f>
        <v>0</v>
      </c>
      <c r="E43" s="24" t="s">
        <v>121</v>
      </c>
      <c r="G43" s="114"/>
      <c r="I43" s="99"/>
      <c r="J43" s="201">
        <f>(SUM(I38:I42)-J36)*'PIECE DENSITIES'!D12</f>
        <v>0</v>
      </c>
      <c r="K43" s="24" t="s">
        <v>122</v>
      </c>
      <c r="L43"/>
      <c r="M43" s="20"/>
      <c r="O43" s="96">
        <f>SUM(N38:N42)*'PIECE DENSITIES'!D17</f>
        <v>0</v>
      </c>
      <c r="P43" s="24" t="s">
        <v>123</v>
      </c>
      <c r="Q43" s="109"/>
      <c r="S43" s="20"/>
      <c r="U43" s="20"/>
      <c r="Y43"/>
      <c r="Z43"/>
      <c r="AA43"/>
      <c r="AB43"/>
      <c r="AC43"/>
      <c r="AD43"/>
    </row>
    <row r="44" spans="1:30" ht="13" x14ac:dyDescent="0.3">
      <c r="A44" s="114"/>
      <c r="C44" s="98"/>
      <c r="D44" s="196">
        <f>(SUM(C38:C42)-D36)*'PIECE DENSITIES'!E7</f>
        <v>0</v>
      </c>
      <c r="E44" s="24" t="s">
        <v>124</v>
      </c>
      <c r="G44" s="114"/>
      <c r="I44" s="99"/>
      <c r="J44" s="201">
        <f>(SUM(I38:I42)-J36)*'PIECE DENSITIES'!E12</f>
        <v>0</v>
      </c>
      <c r="K44" s="24" t="s">
        <v>125</v>
      </c>
      <c r="L44"/>
      <c r="M44" s="20"/>
      <c r="O44" s="96">
        <f>SUM(N38:N42)*'PIECE DENSITIES'!E17</f>
        <v>0</v>
      </c>
      <c r="P44" s="24" t="s">
        <v>126</v>
      </c>
      <c r="Q44" s="109"/>
      <c r="S44" s="20"/>
      <c r="U44" s="20"/>
      <c r="Y44"/>
      <c r="Z44"/>
      <c r="AA44"/>
      <c r="AB44"/>
      <c r="AC44"/>
      <c r="AD44"/>
    </row>
    <row r="45" spans="1:30" ht="13" x14ac:dyDescent="0.3">
      <c r="A45" s="114"/>
      <c r="C45" s="89"/>
      <c r="D45" s="197">
        <f>(SUM(C38:C42)-D36)*'PIECE DENSITIES'!F7</f>
        <v>0</v>
      </c>
      <c r="E45" s="24" t="s">
        <v>127</v>
      </c>
      <c r="G45" s="114"/>
      <c r="I45" s="94"/>
      <c r="J45" s="202">
        <f>(SUM(I38:I42)-J36)*'PIECE DENSITIES'!F12</f>
        <v>0</v>
      </c>
      <c r="K45" s="24" t="s">
        <v>128</v>
      </c>
      <c r="L45"/>
      <c r="M45" s="20"/>
      <c r="N45" s="46"/>
      <c r="O45" s="97">
        <f>SUM(N38:N42)*'PIECE DENSITIES'!F17</f>
        <v>0</v>
      </c>
      <c r="P45" s="24" t="s">
        <v>129</v>
      </c>
      <c r="Q45" s="109"/>
      <c r="S45" s="20"/>
      <c r="U45" s="20"/>
      <c r="Y45"/>
      <c r="Z45"/>
      <c r="AA45"/>
      <c r="AB45"/>
      <c r="AC45"/>
      <c r="AD45"/>
    </row>
    <row r="46" spans="1:30" ht="13" x14ac:dyDescent="0.3">
      <c r="A46" s="114"/>
      <c r="C46" s="89"/>
      <c r="D46" s="197">
        <f>(SUM(C38:C42)-D36)*'PIECE DENSITIES'!G7</f>
        <v>0</v>
      </c>
      <c r="E46" s="24" t="s">
        <v>130</v>
      </c>
      <c r="G46" s="114"/>
      <c r="I46" s="94"/>
      <c r="J46" s="202">
        <f>(SUM(I38:I42)-J36)*'PIECE DENSITIES'!G12</f>
        <v>0</v>
      </c>
      <c r="K46" s="24" t="s">
        <v>288</v>
      </c>
      <c r="L46"/>
      <c r="M46" s="20"/>
      <c r="N46" s="46"/>
      <c r="O46" s="97">
        <f>SUM(N38:N42)*'PIECE DENSITIES'!G17</f>
        <v>0</v>
      </c>
      <c r="P46" s="24" t="s">
        <v>131</v>
      </c>
      <c r="Q46" s="109"/>
      <c r="S46" s="20"/>
      <c r="U46" s="20"/>
      <c r="Y46"/>
      <c r="Z46"/>
      <c r="AA46"/>
      <c r="AB46"/>
      <c r="AC46"/>
      <c r="AD46"/>
    </row>
    <row r="47" spans="1:30" x14ac:dyDescent="0.25">
      <c r="A47" s="114"/>
      <c r="C47" s="98"/>
      <c r="G47" s="114"/>
      <c r="I47" s="99"/>
      <c r="J47" s="92"/>
      <c r="L47"/>
      <c r="M47" s="20"/>
      <c r="O47" s="97"/>
      <c r="P47" s="20"/>
      <c r="Q47" s="109"/>
      <c r="S47" s="20"/>
      <c r="U47" s="20"/>
      <c r="Y47"/>
      <c r="Z47"/>
      <c r="AA47"/>
      <c r="AB47"/>
      <c r="AC47"/>
      <c r="AD47"/>
    </row>
    <row r="48" spans="1:30" x14ac:dyDescent="0.25">
      <c r="A48" s="104"/>
      <c r="B48" s="106"/>
      <c r="C48" s="129"/>
      <c r="D48" s="107"/>
      <c r="E48" s="106"/>
      <c r="F48" s="106"/>
      <c r="G48" s="104"/>
      <c r="H48" s="106"/>
      <c r="I48" s="130"/>
      <c r="J48" s="131"/>
      <c r="K48" s="106"/>
      <c r="L48" s="105"/>
      <c r="M48" s="106"/>
      <c r="N48" s="106"/>
      <c r="O48" s="132"/>
      <c r="P48" s="106"/>
      <c r="Q48" s="108"/>
      <c r="S48" s="20"/>
      <c r="U48" s="20"/>
      <c r="Y48"/>
      <c r="Z48"/>
      <c r="AA48"/>
      <c r="AB48"/>
      <c r="AC48"/>
      <c r="AD48"/>
    </row>
    <row r="49" spans="1:30" s="126" customFormat="1" ht="23" x14ac:dyDescent="0.5">
      <c r="A49" s="193"/>
      <c r="B49" s="57"/>
      <c r="C49" s="128" t="s">
        <v>293</v>
      </c>
      <c r="D49" s="124"/>
      <c r="E49" s="57"/>
      <c r="F49" s="128"/>
      <c r="G49" s="123"/>
      <c r="H49" s="57"/>
      <c r="I49" s="124"/>
      <c r="J49" s="57"/>
      <c r="K49" s="57"/>
      <c r="L49" s="128" t="s">
        <v>133</v>
      </c>
      <c r="M49" s="57"/>
      <c r="N49" s="124"/>
      <c r="O49" s="57"/>
      <c r="P49" s="57"/>
      <c r="Q49" s="125"/>
      <c r="R49" s="57"/>
      <c r="S49" s="57"/>
      <c r="T49" s="57"/>
      <c r="U49" s="57"/>
      <c r="V49" s="57"/>
      <c r="W49" s="57"/>
      <c r="X49" s="57"/>
    </row>
    <row r="50" spans="1:30" x14ac:dyDescent="0.25">
      <c r="A50" s="114"/>
      <c r="C50" s="98"/>
      <c r="G50" s="114"/>
      <c r="I50" s="99"/>
      <c r="J50" s="92"/>
      <c r="L50"/>
      <c r="M50" s="20"/>
      <c r="O50" s="97"/>
      <c r="P50" s="20"/>
      <c r="Q50" s="109"/>
      <c r="S50" s="20"/>
      <c r="U50" s="20"/>
      <c r="Y50"/>
      <c r="Z50"/>
      <c r="AA50"/>
      <c r="AB50"/>
      <c r="AC50"/>
      <c r="AD50"/>
    </row>
    <row r="51" spans="1:30" ht="13" x14ac:dyDescent="0.3">
      <c r="A51" s="114"/>
      <c r="D51" s="97">
        <f>SUM(A53:A57)*(1-'ACCEPT RATES'!G16)+SUM(B53:B57)*SUM('ACCEPT RATES'!I16:J16)</f>
        <v>0</v>
      </c>
      <c r="E51" s="24" t="s">
        <v>114</v>
      </c>
      <c r="G51" s="122"/>
      <c r="I51" s="24"/>
      <c r="J51" s="97">
        <f>SUM(G53:G57)*(1-'ACCEPT RATES'!E21)</f>
        <v>0</v>
      </c>
      <c r="K51" s="24" t="s">
        <v>114</v>
      </c>
      <c r="L51"/>
      <c r="M51" s="20"/>
      <c r="P51" s="24"/>
      <c r="Q51" s="109"/>
      <c r="S51" s="20"/>
      <c r="U51" s="20"/>
      <c r="Y51"/>
      <c r="Z51"/>
      <c r="AA51"/>
      <c r="AB51"/>
      <c r="AC51"/>
      <c r="AD51"/>
    </row>
    <row r="52" spans="1:30" ht="13" x14ac:dyDescent="0.3">
      <c r="A52" s="127" t="s">
        <v>256</v>
      </c>
      <c r="B52" s="336" t="s">
        <v>134</v>
      </c>
      <c r="C52" s="337"/>
      <c r="D52" s="120"/>
      <c r="E52" s="24" t="s">
        <v>135</v>
      </c>
      <c r="G52" s="127" t="s">
        <v>118</v>
      </c>
      <c r="H52" s="336" t="s">
        <v>247</v>
      </c>
      <c r="I52" s="337"/>
      <c r="J52" s="100"/>
      <c r="K52" s="23" t="s">
        <v>135</v>
      </c>
      <c r="L52"/>
      <c r="M52" s="336" t="s">
        <v>123</v>
      </c>
      <c r="N52" s="337"/>
      <c r="P52" s="20"/>
      <c r="Q52" s="109"/>
      <c r="S52" s="20"/>
      <c r="U52" s="20"/>
      <c r="Y52"/>
      <c r="Z52"/>
      <c r="AA52"/>
      <c r="AB52"/>
      <c r="AC52"/>
      <c r="AD52"/>
    </row>
    <row r="53" spans="1:30" ht="13" x14ac:dyDescent="0.3">
      <c r="A53" s="121">
        <f>B53*(1-'ACCEPT RATES'!C16)</f>
        <v>0</v>
      </c>
      <c r="B53" s="29">
        <f>C53*(1+'ACCEPT RATES'!F16+'PIECE DENSITIES'!D8)</f>
        <v>0</v>
      </c>
      <c r="C53" s="51">
        <f>C13*('COVERAGE FACTORS'!E38+'COVERAGE FACTORS'!E42)</f>
        <v>0</v>
      </c>
      <c r="E53" s="24" t="s">
        <v>70</v>
      </c>
      <c r="G53" s="217">
        <f>H53*(1-'ACCEPT RATES'!C21)</f>
        <v>0</v>
      </c>
      <c r="H53" s="29">
        <f>I53*(1+'PIECE DENSITIES'!D13)</f>
        <v>0</v>
      </c>
      <c r="I53" s="51">
        <f>C13*'COVERAGE FACTORS'!E40</f>
        <v>0</v>
      </c>
      <c r="J53" s="113"/>
      <c r="K53" s="23" t="s">
        <v>70</v>
      </c>
      <c r="L53"/>
      <c r="M53" s="29">
        <f>N53</f>
        <v>0</v>
      </c>
      <c r="N53" s="51">
        <f>C13*'COVERAGE FACTORS'!E44</f>
        <v>0</v>
      </c>
      <c r="P53" s="20"/>
      <c r="Q53" s="109"/>
      <c r="S53" s="20"/>
      <c r="U53" s="20"/>
      <c r="Y53"/>
      <c r="Z53"/>
      <c r="AA53"/>
      <c r="AB53"/>
      <c r="AC53"/>
      <c r="AD53"/>
    </row>
    <row r="54" spans="1:30" x14ac:dyDescent="0.25">
      <c r="A54" s="194">
        <f>B54*(1-'ACCEPT RATES'!D16)</f>
        <v>0</v>
      </c>
      <c r="B54" s="86">
        <f>C54*(1+'ACCEPT RATES'!F16+'PIECE DENSITIES'!D8)</f>
        <v>0</v>
      </c>
      <c r="C54" s="85">
        <f>G13*('COVERAGE FACTORS'!E38+'COVERAGE FACTORS'!E42)</f>
        <v>0</v>
      </c>
      <c r="G54" s="194">
        <f>H54*(1-'ACCEPT RATES'!D21)</f>
        <v>0</v>
      </c>
      <c r="H54" s="86">
        <f>I54*(1+'PIECE DENSITIES'!D13)</f>
        <v>0</v>
      </c>
      <c r="I54" s="85">
        <f>G13*'COVERAGE FACTORS'!E40</f>
        <v>0</v>
      </c>
      <c r="J54" s="58"/>
      <c r="L54"/>
      <c r="M54" s="86">
        <f>N54</f>
        <v>0</v>
      </c>
      <c r="N54" s="85">
        <f>G13*'COVERAGE FACTORS'!E44</f>
        <v>0</v>
      </c>
      <c r="P54" s="20"/>
      <c r="Q54" s="109"/>
      <c r="S54" s="20"/>
      <c r="U54" s="20"/>
      <c r="Y54"/>
      <c r="Z54"/>
      <c r="AA54"/>
      <c r="AB54"/>
      <c r="AC54"/>
      <c r="AD54"/>
    </row>
    <row r="55" spans="1:30" ht="13" x14ac:dyDescent="0.3">
      <c r="A55" s="122"/>
      <c r="B55" s="86"/>
      <c r="C55" s="85"/>
      <c r="G55" s="110">
        <f>H55*(1-'ACCEPT RATES'!C21)</f>
        <v>0</v>
      </c>
      <c r="H55" s="90">
        <f>I55*(1+'PIECE DENSITIES'!D13)</f>
        <v>0</v>
      </c>
      <c r="I55" s="91">
        <f>K13*('COVERAGE FACTORS'!E40+'COVERAGE FACTORS'!E42)</f>
        <v>0</v>
      </c>
      <c r="J55" s="58"/>
      <c r="L55"/>
      <c r="M55" s="90">
        <f>N55</f>
        <v>0</v>
      </c>
      <c r="N55" s="91">
        <f>K13*(1-('COVERAGE FACTORS'!E40+'COVERAGE FACTORS'!E42))</f>
        <v>0</v>
      </c>
      <c r="P55" s="20"/>
      <c r="Q55" s="109"/>
      <c r="S55" s="20"/>
      <c r="U55" s="20"/>
      <c r="Y55"/>
      <c r="Z55"/>
      <c r="AA55"/>
      <c r="AB55"/>
      <c r="AC55"/>
      <c r="AD55"/>
    </row>
    <row r="56" spans="1:30" ht="13" x14ac:dyDescent="0.3">
      <c r="A56" s="122"/>
      <c r="B56" s="86"/>
      <c r="C56" s="85"/>
      <c r="G56" s="111">
        <f>H56*(1-'ACCEPT RATES'!D21)</f>
        <v>0</v>
      </c>
      <c r="H56" s="95">
        <f>I56*(1+'PIECE DENSITIES'!D13)</f>
        <v>0</v>
      </c>
      <c r="I56" s="93">
        <f>O13*('COVERAGE FACTORS'!E40+'COVERAGE FACTORS'!E42)</f>
        <v>0</v>
      </c>
      <c r="J56" s="58"/>
      <c r="L56"/>
      <c r="M56" s="95">
        <f>N56</f>
        <v>0</v>
      </c>
      <c r="N56" s="93">
        <f>O13*(1-('COVERAGE FACTORS'!E40+'COVERAGE FACTORS'!E42))</f>
        <v>0</v>
      </c>
      <c r="P56" s="20"/>
      <c r="Q56" s="109"/>
      <c r="S56" s="20"/>
      <c r="U56" s="20"/>
      <c r="Y56"/>
      <c r="Z56"/>
      <c r="AA56"/>
      <c r="AB56"/>
      <c r="AC56"/>
      <c r="AD56"/>
    </row>
    <row r="57" spans="1:30" x14ac:dyDescent="0.25">
      <c r="A57" s="200">
        <f>B57*(1-'ACCEPT RATES'!C16)</f>
        <v>0</v>
      </c>
      <c r="B57" s="199">
        <f>C57*(1+'ACCEPT RATES'!F16+'PIECE DENSITIES'!D8)</f>
        <v>0</v>
      </c>
      <c r="C57" s="198">
        <f>(D31+D43)*('COVERAGE FACTORS'!E38+'COVERAGE FACTORS'!E42)</f>
        <v>0</v>
      </c>
      <c r="G57" s="210">
        <f>IF(SUM(C11:C16)&gt;0,H57*(1-'ACCEPT RATES'!C21),H57*(1-'ACCEPT RATES'!D21))</f>
        <v>0</v>
      </c>
      <c r="H57" s="209">
        <f>I57*(1+'PIECE DENSITIES'!D13)</f>
        <v>0</v>
      </c>
      <c r="I57" s="208">
        <f>(D31+D43)*'COVERAGE FACTORS'!E40+(J31+J43)*('COVERAGE FACTORS'!E40+'COVERAGE FACTORS'!E42)</f>
        <v>0</v>
      </c>
      <c r="J57" s="58"/>
      <c r="L57"/>
      <c r="M57" s="102">
        <f>N57</f>
        <v>0</v>
      </c>
      <c r="N57" s="101">
        <f>D51+J51+O31+O43+(D31+D43)*'COVERAGE FACTORS'!E44+(J31+J43)*(1-('COVERAGE FACTORS'!E40+'COVERAGE FACTORS'!E42))</f>
        <v>0</v>
      </c>
      <c r="P57" s="20"/>
      <c r="Q57" s="109"/>
      <c r="S57" s="20"/>
      <c r="U57" s="20"/>
      <c r="Y57"/>
      <c r="Z57"/>
      <c r="AA57"/>
      <c r="AB57"/>
      <c r="AC57"/>
      <c r="AD57"/>
    </row>
    <row r="58" spans="1:30" ht="13" x14ac:dyDescent="0.3">
      <c r="A58" s="114"/>
      <c r="C58" s="98"/>
      <c r="D58" s="196">
        <f>(SUM(C53:C57)-D51)*'PIECE DENSITIES'!E8</f>
        <v>0</v>
      </c>
      <c r="E58" s="24" t="s">
        <v>124</v>
      </c>
      <c r="G58" s="114"/>
      <c r="I58" s="99"/>
      <c r="J58" s="201">
        <f>(SUM(I53:I57)-J51)*'PIECE DENSITIES'!E13</f>
        <v>0</v>
      </c>
      <c r="K58" s="24" t="s">
        <v>125</v>
      </c>
      <c r="L58"/>
      <c r="M58" s="20"/>
      <c r="O58" s="96">
        <f>SUM(N53:N57)*'PIECE DENSITIES'!E18</f>
        <v>0</v>
      </c>
      <c r="P58" s="24" t="s">
        <v>126</v>
      </c>
      <c r="Q58" s="109"/>
      <c r="S58" s="20"/>
      <c r="U58" s="20"/>
      <c r="Y58"/>
      <c r="Z58"/>
      <c r="AA58"/>
      <c r="AB58"/>
      <c r="AC58"/>
      <c r="AD58"/>
    </row>
    <row r="59" spans="1:30" ht="13" x14ac:dyDescent="0.3">
      <c r="A59" s="114"/>
      <c r="C59" s="98"/>
      <c r="D59" s="196">
        <f>(SUM(C53:C57)-D51)*'PIECE DENSITIES'!F8</f>
        <v>0</v>
      </c>
      <c r="E59" s="24" t="s">
        <v>127</v>
      </c>
      <c r="G59" s="114"/>
      <c r="I59" s="99"/>
      <c r="J59" s="201">
        <f>(SUM(I53:I57)-J51)*'PIECE DENSITIES'!F13</f>
        <v>0</v>
      </c>
      <c r="K59" s="24" t="s">
        <v>128</v>
      </c>
      <c r="L59"/>
      <c r="M59" s="20"/>
      <c r="O59" s="96">
        <f>SUM(N53:N57)*'PIECE DENSITIES'!F18</f>
        <v>0</v>
      </c>
      <c r="P59" s="24" t="s">
        <v>129</v>
      </c>
      <c r="Q59" s="109"/>
      <c r="S59" s="20"/>
      <c r="U59" s="20"/>
      <c r="Y59"/>
      <c r="Z59"/>
      <c r="AA59"/>
      <c r="AB59"/>
      <c r="AC59"/>
      <c r="AD59"/>
    </row>
    <row r="60" spans="1:30" ht="13" x14ac:dyDescent="0.3">
      <c r="A60" s="114"/>
      <c r="C60" s="89"/>
      <c r="D60" s="197">
        <f>(SUM(C53:C57)-D51)*'PIECE DENSITIES'!G8</f>
        <v>0</v>
      </c>
      <c r="E60" s="24" t="s">
        <v>130</v>
      </c>
      <c r="G60" s="114"/>
      <c r="I60" s="94"/>
      <c r="J60" s="202">
        <f>(SUM(I53:I57)-J51)*'PIECE DENSITIES'!G13</f>
        <v>0</v>
      </c>
      <c r="K60" s="24" t="s">
        <v>288</v>
      </c>
      <c r="L60"/>
      <c r="M60" s="20"/>
      <c r="N60" s="46"/>
      <c r="O60" s="97">
        <f>SUM(N53:N57)*'PIECE DENSITIES'!G18</f>
        <v>0</v>
      </c>
      <c r="P60" s="24" t="s">
        <v>131</v>
      </c>
      <c r="Q60" s="109"/>
      <c r="S60" s="20"/>
      <c r="U60" s="20"/>
      <c r="Y60"/>
      <c r="Z60"/>
      <c r="AA60"/>
      <c r="AB60"/>
      <c r="AC60"/>
      <c r="AD60"/>
    </row>
    <row r="61" spans="1:30" x14ac:dyDescent="0.25">
      <c r="A61" s="114"/>
      <c r="C61" s="98"/>
      <c r="G61" s="114"/>
      <c r="I61" s="99"/>
      <c r="J61" s="92"/>
      <c r="L61"/>
      <c r="M61" s="20"/>
      <c r="O61" s="97"/>
      <c r="P61" s="20"/>
      <c r="Q61" s="109"/>
      <c r="S61" s="20"/>
      <c r="U61" s="20"/>
      <c r="Y61"/>
      <c r="Z61"/>
      <c r="AA61"/>
      <c r="AB61"/>
      <c r="AC61"/>
      <c r="AD61"/>
    </row>
    <row r="62" spans="1:30" ht="13" x14ac:dyDescent="0.3">
      <c r="A62" s="114"/>
      <c r="D62" s="97">
        <f>SUM(A64:A68)*(1-'ACCEPT RATES'!G17)+SUM(B64:B68)*SUM('ACCEPT RATES'!I17:J17)</f>
        <v>0</v>
      </c>
      <c r="E62" s="24" t="s">
        <v>114</v>
      </c>
      <c r="G62" s="122"/>
      <c r="I62" s="24"/>
      <c r="J62" s="97">
        <f>SUM(G64:G68)*(1-'ACCEPT RATES'!E22)</f>
        <v>0</v>
      </c>
      <c r="K62" s="24" t="s">
        <v>114</v>
      </c>
      <c r="L62"/>
      <c r="M62" s="20"/>
      <c r="P62" s="24"/>
      <c r="Q62" s="109"/>
      <c r="S62" s="20"/>
      <c r="U62" s="20"/>
      <c r="Y62"/>
      <c r="Z62"/>
      <c r="AA62"/>
      <c r="AB62"/>
      <c r="AC62"/>
      <c r="AD62"/>
    </row>
    <row r="63" spans="1:30" ht="13" x14ac:dyDescent="0.3">
      <c r="A63" s="127" t="s">
        <v>256</v>
      </c>
      <c r="B63" s="336" t="s">
        <v>136</v>
      </c>
      <c r="C63" s="337"/>
      <c r="D63" s="120"/>
      <c r="E63" s="24" t="s">
        <v>138</v>
      </c>
      <c r="G63" s="127" t="s">
        <v>118</v>
      </c>
      <c r="H63" s="336" t="s">
        <v>248</v>
      </c>
      <c r="I63" s="337"/>
      <c r="J63" s="100"/>
      <c r="K63" s="23" t="s">
        <v>138</v>
      </c>
      <c r="L63"/>
      <c r="M63" s="336" t="s">
        <v>126</v>
      </c>
      <c r="N63" s="337"/>
      <c r="P63" s="20"/>
      <c r="Q63" s="109"/>
      <c r="S63" s="20"/>
      <c r="U63" s="20"/>
      <c r="Y63"/>
      <c r="Z63"/>
      <c r="AA63"/>
      <c r="AB63"/>
      <c r="AC63"/>
      <c r="AD63"/>
    </row>
    <row r="64" spans="1:30" ht="13" x14ac:dyDescent="0.3">
      <c r="A64" s="121">
        <f>B64*(1-'ACCEPT RATES'!C17)</f>
        <v>0</v>
      </c>
      <c r="B64" s="29">
        <f>C64*(1+'ACCEPT RATES'!F17+'PIECE DENSITIES'!E9)</f>
        <v>0</v>
      </c>
      <c r="C64" s="51">
        <f>C14*('COVERAGE FACTORS'!E38+'COVERAGE FACTORS'!E42)</f>
        <v>0</v>
      </c>
      <c r="E64" s="24" t="s">
        <v>70</v>
      </c>
      <c r="G64" s="217">
        <f>H64*(1-'ACCEPT RATES'!C22)</f>
        <v>0</v>
      </c>
      <c r="H64" s="29">
        <f>I64*(1+'PIECE DENSITIES'!E14)</f>
        <v>0</v>
      </c>
      <c r="I64" s="51">
        <f>C14*'COVERAGE FACTORS'!E40</f>
        <v>0</v>
      </c>
      <c r="J64" s="113"/>
      <c r="K64" s="23" t="s">
        <v>70</v>
      </c>
      <c r="L64"/>
      <c r="M64" s="29">
        <f>N64</f>
        <v>0</v>
      </c>
      <c r="N64" s="51">
        <f>C14*'COVERAGE FACTORS'!E44</f>
        <v>0</v>
      </c>
      <c r="P64" s="20"/>
      <c r="Q64" s="109"/>
      <c r="S64" s="20"/>
      <c r="U64" s="20"/>
      <c r="Y64"/>
      <c r="Z64"/>
      <c r="AA64"/>
      <c r="AB64"/>
      <c r="AC64"/>
      <c r="AD64"/>
    </row>
    <row r="65" spans="1:30" x14ac:dyDescent="0.25">
      <c r="A65" s="194">
        <f>B65*(1-'ACCEPT RATES'!D17)</f>
        <v>0</v>
      </c>
      <c r="B65" s="86">
        <f>C65*(1+'ACCEPT RATES'!F17+'PIECE DENSITIES'!E9)</f>
        <v>0</v>
      </c>
      <c r="C65" s="85">
        <f>G14*('COVERAGE FACTORS'!E38+'COVERAGE FACTORS'!E42)</f>
        <v>0</v>
      </c>
      <c r="G65" s="194">
        <f>H65*(1-'ACCEPT RATES'!D22)</f>
        <v>0</v>
      </c>
      <c r="H65" s="86">
        <f>I65*(1+'PIECE DENSITIES'!E14)</f>
        <v>0</v>
      </c>
      <c r="I65" s="85">
        <f>G14*'COVERAGE FACTORS'!E40</f>
        <v>0</v>
      </c>
      <c r="J65" s="58"/>
      <c r="L65"/>
      <c r="M65" s="86">
        <f>N65</f>
        <v>0</v>
      </c>
      <c r="N65" s="85">
        <f>G14*'COVERAGE FACTORS'!E44</f>
        <v>0</v>
      </c>
      <c r="P65" s="20"/>
      <c r="Q65" s="109"/>
      <c r="S65" s="20"/>
      <c r="U65" s="20"/>
      <c r="Y65"/>
      <c r="Z65"/>
      <c r="AA65"/>
      <c r="AB65"/>
      <c r="AC65"/>
      <c r="AD65"/>
    </row>
    <row r="66" spans="1:30" ht="13" x14ac:dyDescent="0.3">
      <c r="A66" s="122"/>
      <c r="B66" s="86"/>
      <c r="C66" s="85"/>
      <c r="G66" s="110">
        <f>H66*(1-'ACCEPT RATES'!C22)</f>
        <v>0</v>
      </c>
      <c r="H66" s="90">
        <f>I66*(1+'PIECE DENSITIES'!E14)</f>
        <v>0</v>
      </c>
      <c r="I66" s="91">
        <f>K14*('COVERAGE FACTORS'!E40+'COVERAGE FACTORS'!E42)</f>
        <v>0</v>
      </c>
      <c r="J66" s="58"/>
      <c r="L66"/>
      <c r="M66" s="90">
        <f>N66</f>
        <v>0</v>
      </c>
      <c r="N66" s="91">
        <f>K14*(1-('COVERAGE FACTORS'!E40+'COVERAGE FACTORS'!E42))</f>
        <v>0</v>
      </c>
      <c r="P66" s="20"/>
      <c r="Q66" s="109"/>
      <c r="S66" s="20"/>
      <c r="U66" s="20"/>
      <c r="Y66"/>
      <c r="Z66"/>
      <c r="AA66"/>
      <c r="AB66"/>
      <c r="AC66"/>
      <c r="AD66"/>
    </row>
    <row r="67" spans="1:30" ht="13" x14ac:dyDescent="0.3">
      <c r="A67" s="122"/>
      <c r="B67" s="86"/>
      <c r="C67" s="85"/>
      <c r="G67" s="111">
        <f>H67*(1-'ACCEPT RATES'!D22)</f>
        <v>0</v>
      </c>
      <c r="H67" s="95">
        <f>I67*(1+'PIECE DENSITIES'!E14)</f>
        <v>0</v>
      </c>
      <c r="I67" s="93">
        <f>O14*('COVERAGE FACTORS'!E40+'COVERAGE FACTORS'!E42)</f>
        <v>0</v>
      </c>
      <c r="J67" s="58"/>
      <c r="L67"/>
      <c r="M67" s="95">
        <f>N67</f>
        <v>0</v>
      </c>
      <c r="N67" s="93">
        <f>O14*(1-('COVERAGE FACTORS'!E40+'COVERAGE FACTORS'!E42))</f>
        <v>0</v>
      </c>
      <c r="P67" s="20"/>
      <c r="Q67" s="109"/>
      <c r="S67" s="20"/>
      <c r="U67" s="20"/>
      <c r="Y67"/>
      <c r="Z67"/>
      <c r="AA67"/>
      <c r="AB67"/>
      <c r="AC67"/>
      <c r="AD67"/>
    </row>
    <row r="68" spans="1:30" x14ac:dyDescent="0.25">
      <c r="A68" s="200">
        <f>B68*(1-'ACCEPT RATES'!C17)</f>
        <v>0</v>
      </c>
      <c r="B68" s="211">
        <f>C68*(1+'ACCEPT RATES'!F17+'PIECE DENSITIES'!E9)</f>
        <v>0</v>
      </c>
      <c r="C68" s="212">
        <f>(D32+D44+D58)*('COVERAGE FACTORS'!E38+'COVERAGE FACTORS'!E42)</f>
        <v>0</v>
      </c>
      <c r="G68" s="205">
        <f>IF(SUM(C11:C16)&gt;0, H68*(1-'ACCEPT RATES'!C22),H68*(1-'ACCEPT RATES'!D22))</f>
        <v>0</v>
      </c>
      <c r="H68" s="204">
        <f>I68*(1+'PIECE DENSITIES'!E14)</f>
        <v>0</v>
      </c>
      <c r="I68" s="203">
        <f>(D32+D44+D58)*'COVERAGE FACTORS'!E40+(J32+J44+J58)*('COVERAGE FACTORS'!E40+'COVERAGE FACTORS'!E42)</f>
        <v>0</v>
      </c>
      <c r="J68" s="58"/>
      <c r="L68"/>
      <c r="M68" s="102">
        <f>N68</f>
        <v>0</v>
      </c>
      <c r="N68" s="101">
        <f>D62+J62+O32+O44+O58+(D32+D44+D58)*'COVERAGE FACTORS'!E44+(J32+J44+J58)*(1-('COVERAGE FACTORS'!E40+'COVERAGE FACTORS'!E42))</f>
        <v>0</v>
      </c>
      <c r="P68" s="20"/>
      <c r="Q68" s="109"/>
      <c r="S68" s="20"/>
      <c r="U68" s="20"/>
      <c r="Y68"/>
      <c r="Z68"/>
      <c r="AA68"/>
      <c r="AB68"/>
      <c r="AC68"/>
      <c r="AD68"/>
    </row>
    <row r="69" spans="1:30" ht="13" x14ac:dyDescent="0.3">
      <c r="A69" s="114"/>
      <c r="C69" s="98"/>
      <c r="D69" s="196">
        <f>(SUM(C64:C68)-D62)*'PIECE DENSITIES'!F9</f>
        <v>0</v>
      </c>
      <c r="E69" s="24" t="s">
        <v>127</v>
      </c>
      <c r="G69" s="114"/>
      <c r="I69" s="99"/>
      <c r="J69" s="201">
        <f>(SUM(I64:I68)-J62)*'PIECE DENSITIES'!F14</f>
        <v>0</v>
      </c>
      <c r="K69" s="24" t="s">
        <v>128</v>
      </c>
      <c r="L69"/>
      <c r="M69" s="20"/>
      <c r="O69" s="96">
        <f>SUM(N64:N68)*'PIECE DENSITIES'!F19</f>
        <v>0</v>
      </c>
      <c r="P69" s="24" t="s">
        <v>129</v>
      </c>
      <c r="Q69" s="109"/>
      <c r="S69" s="20"/>
      <c r="U69" s="20"/>
      <c r="Y69"/>
      <c r="Z69"/>
      <c r="AA69"/>
      <c r="AB69"/>
      <c r="AC69"/>
      <c r="AD69"/>
    </row>
    <row r="70" spans="1:30" ht="13" x14ac:dyDescent="0.3">
      <c r="A70" s="114"/>
      <c r="C70" s="98"/>
      <c r="D70" s="196">
        <f>(SUM(C64:C68)-D62)*'PIECE DENSITIES'!G9</f>
        <v>0</v>
      </c>
      <c r="E70" s="24" t="s">
        <v>130</v>
      </c>
      <c r="G70" s="114"/>
      <c r="I70" s="99"/>
      <c r="J70" s="201">
        <f>(SUM(I64:I68)-J62)*'PIECE DENSITIES'!G14</f>
        <v>0</v>
      </c>
      <c r="K70" s="24" t="s">
        <v>288</v>
      </c>
      <c r="L70"/>
      <c r="M70" s="20"/>
      <c r="O70" s="96">
        <f>SUM(N64:N68)*'PIECE DENSITIES'!G19</f>
        <v>0</v>
      </c>
      <c r="P70" s="24" t="s">
        <v>131</v>
      </c>
      <c r="Q70" s="109"/>
      <c r="S70" s="20"/>
      <c r="U70" s="20"/>
      <c r="Y70"/>
      <c r="Z70"/>
      <c r="AA70"/>
      <c r="AB70"/>
      <c r="AC70"/>
      <c r="AD70"/>
    </row>
    <row r="71" spans="1:30" x14ac:dyDescent="0.25">
      <c r="A71" s="114"/>
      <c r="C71" s="98"/>
      <c r="G71" s="114"/>
      <c r="I71" s="99"/>
      <c r="J71" s="92"/>
      <c r="L71"/>
      <c r="M71" s="20"/>
      <c r="O71" s="97"/>
      <c r="P71" s="20"/>
      <c r="Q71" s="109"/>
      <c r="S71" s="20"/>
      <c r="U71" s="20"/>
      <c r="Y71"/>
      <c r="Z71"/>
      <c r="AA71"/>
      <c r="AB71"/>
      <c r="AC71"/>
      <c r="AD71"/>
    </row>
    <row r="72" spans="1:30" ht="13" x14ac:dyDescent="0.3">
      <c r="A72" s="114"/>
      <c r="D72" s="97">
        <f>SUM(A74:A78)*(1-'ACCEPT RATES'!G17)+SUM(B74:B78)*SUM('ACCEPT RATES'!I17:J17)</f>
        <v>0</v>
      </c>
      <c r="E72" s="24" t="s">
        <v>114</v>
      </c>
      <c r="G72" s="122"/>
      <c r="I72" s="24"/>
      <c r="J72" s="97">
        <f>SUM(G74:G78)*(1-'ACCEPT RATES'!E22)</f>
        <v>0</v>
      </c>
      <c r="K72" s="24" t="s">
        <v>114</v>
      </c>
      <c r="L72"/>
      <c r="M72" s="20"/>
      <c r="P72" s="24"/>
      <c r="Q72" s="109"/>
      <c r="S72" s="20"/>
      <c r="U72" s="20"/>
      <c r="Y72"/>
      <c r="Z72"/>
      <c r="AA72"/>
      <c r="AB72"/>
      <c r="AC72"/>
      <c r="AD72"/>
    </row>
    <row r="73" spans="1:30" ht="13" x14ac:dyDescent="0.3">
      <c r="A73" s="127" t="s">
        <v>256</v>
      </c>
      <c r="B73" s="336" t="s">
        <v>137</v>
      </c>
      <c r="C73" s="337"/>
      <c r="D73" s="120"/>
      <c r="E73" s="24" t="s">
        <v>139</v>
      </c>
      <c r="G73" s="127" t="s">
        <v>118</v>
      </c>
      <c r="H73" s="336" t="s">
        <v>249</v>
      </c>
      <c r="I73" s="337"/>
      <c r="J73" s="100"/>
      <c r="K73" s="23" t="s">
        <v>139</v>
      </c>
      <c r="L73"/>
      <c r="M73" s="336" t="s">
        <v>129</v>
      </c>
      <c r="N73" s="337"/>
      <c r="P73" s="20"/>
      <c r="Q73" s="109"/>
      <c r="S73" s="20"/>
      <c r="U73" s="20"/>
      <c r="Y73"/>
      <c r="Z73"/>
      <c r="AA73"/>
      <c r="AB73"/>
      <c r="AC73"/>
      <c r="AD73"/>
    </row>
    <row r="74" spans="1:30" ht="13" x14ac:dyDescent="0.3">
      <c r="A74" s="121">
        <f>B74*(1-'ACCEPT RATES'!C17)</f>
        <v>0</v>
      </c>
      <c r="B74" s="29">
        <f>C74*(1+'ACCEPT RATES'!F17)</f>
        <v>0</v>
      </c>
      <c r="C74" s="51">
        <f>C15*('COVERAGE FACTORS'!E38+'COVERAGE FACTORS'!E42)</f>
        <v>0</v>
      </c>
      <c r="E74" s="24" t="s">
        <v>70</v>
      </c>
      <c r="G74" s="217">
        <f>H74*(1-'ACCEPT RATES'!C22)</f>
        <v>0</v>
      </c>
      <c r="H74" s="29">
        <f>I74</f>
        <v>0</v>
      </c>
      <c r="I74" s="51">
        <f>C15*'COVERAGE FACTORS'!E40</f>
        <v>0</v>
      </c>
      <c r="J74" s="113"/>
      <c r="K74" s="23" t="s">
        <v>70</v>
      </c>
      <c r="L74"/>
      <c r="M74" s="29">
        <f>N74</f>
        <v>0</v>
      </c>
      <c r="N74" s="51">
        <f>C15*'COVERAGE FACTORS'!E44</f>
        <v>0</v>
      </c>
      <c r="P74" s="20"/>
      <c r="Q74" s="109"/>
      <c r="S74" s="20"/>
      <c r="U74" s="20"/>
      <c r="Y74"/>
      <c r="Z74"/>
      <c r="AA74"/>
      <c r="AB74"/>
      <c r="AC74"/>
      <c r="AD74"/>
    </row>
    <row r="75" spans="1:30" x14ac:dyDescent="0.25">
      <c r="A75" s="194">
        <f>B75*(1-'ACCEPT RATES'!D17)</f>
        <v>0</v>
      </c>
      <c r="B75" s="86">
        <f>C75*(1+'ACCEPT RATES'!F17)</f>
        <v>0</v>
      </c>
      <c r="C75" s="85">
        <f>G15*('COVERAGE FACTORS'!E38+'COVERAGE FACTORS'!E42)</f>
        <v>0</v>
      </c>
      <c r="G75" s="194">
        <f>H75*(1-'ACCEPT RATES'!D22)</f>
        <v>0</v>
      </c>
      <c r="H75" s="86">
        <f>I75</f>
        <v>0</v>
      </c>
      <c r="I75" s="85">
        <f>G15*'COVERAGE FACTORS'!E40</f>
        <v>0</v>
      </c>
      <c r="J75" s="58"/>
      <c r="L75"/>
      <c r="M75" s="86">
        <f>N75</f>
        <v>0</v>
      </c>
      <c r="N75" s="85">
        <f>G15*'COVERAGE FACTORS'!E44</f>
        <v>0</v>
      </c>
      <c r="P75" s="20"/>
      <c r="Q75" s="109"/>
      <c r="S75" s="20"/>
      <c r="U75" s="20"/>
      <c r="Y75"/>
      <c r="Z75"/>
      <c r="AA75"/>
      <c r="AB75"/>
      <c r="AC75"/>
      <c r="AD75"/>
    </row>
    <row r="76" spans="1:30" ht="13" x14ac:dyDescent="0.3">
      <c r="A76" s="122"/>
      <c r="B76" s="86"/>
      <c r="C76" s="85"/>
      <c r="G76" s="110">
        <f>H76*(1-'ACCEPT RATES'!C22)</f>
        <v>0</v>
      </c>
      <c r="H76" s="90">
        <f>I76</f>
        <v>0</v>
      </c>
      <c r="I76" s="91">
        <f>K15*('COVERAGE FACTORS'!E40+'COVERAGE FACTORS'!E42)</f>
        <v>0</v>
      </c>
      <c r="J76" s="58"/>
      <c r="L76"/>
      <c r="M76" s="90">
        <f>N76</f>
        <v>0</v>
      </c>
      <c r="N76" s="91">
        <f>K15*(1-('COVERAGE FACTORS'!E40+'COVERAGE FACTORS'!E42))</f>
        <v>0</v>
      </c>
      <c r="P76" s="20"/>
      <c r="Q76" s="109"/>
      <c r="S76" s="20"/>
      <c r="U76" s="20"/>
      <c r="Y76"/>
      <c r="Z76"/>
      <c r="AA76"/>
      <c r="AB76"/>
      <c r="AC76"/>
      <c r="AD76"/>
    </row>
    <row r="77" spans="1:30" ht="13" x14ac:dyDescent="0.3">
      <c r="A77" s="122"/>
      <c r="B77" s="86"/>
      <c r="C77" s="85"/>
      <c r="G77" s="111">
        <f>H77*(1-'ACCEPT RATES'!D22)</f>
        <v>0</v>
      </c>
      <c r="H77" s="95">
        <f>I77</f>
        <v>0</v>
      </c>
      <c r="I77" s="93">
        <f>O15*('COVERAGE FACTORS'!E40+'COVERAGE FACTORS'!E42)</f>
        <v>0</v>
      </c>
      <c r="J77" s="58"/>
      <c r="L77"/>
      <c r="M77" s="95">
        <f>N77</f>
        <v>0</v>
      </c>
      <c r="N77" s="93">
        <f>O15*(1-('COVERAGE FACTORS'!E40+'COVERAGE FACTORS'!E42))</f>
        <v>0</v>
      </c>
      <c r="P77" s="20"/>
      <c r="Q77" s="109"/>
      <c r="S77" s="20"/>
      <c r="U77" s="20"/>
      <c r="Y77"/>
      <c r="Z77"/>
      <c r="AA77"/>
      <c r="AB77"/>
      <c r="AC77"/>
      <c r="AD77"/>
    </row>
    <row r="78" spans="1:30" x14ac:dyDescent="0.25">
      <c r="A78" s="200">
        <f>B78*(1-'ACCEPT RATES'!C17)</f>
        <v>0</v>
      </c>
      <c r="B78" s="211">
        <f>C78*(1+'ACCEPT RATES'!F17)</f>
        <v>0</v>
      </c>
      <c r="C78" s="212">
        <f>(D33+D45+D59+D69)*('COVERAGE FACTORS'!E38+'COVERAGE FACTORS'!E42)</f>
        <v>0</v>
      </c>
      <c r="G78" s="205">
        <f>IF(SUM(C11:C16)&gt;0,H78*(1-'ACCEPT RATES'!C22),H78*(1-'ACCEPT RATES'!D22))</f>
        <v>0</v>
      </c>
      <c r="H78" s="204">
        <f>I78</f>
        <v>0</v>
      </c>
      <c r="I78" s="203">
        <f>(D33+D45+D59+D69)*'COVERAGE FACTORS'!E40+(J33+J45+J59+J69)*('COVERAGE FACTORS'!E40+'COVERAGE FACTORS'!E42)</f>
        <v>0</v>
      </c>
      <c r="J78" s="58"/>
      <c r="L78"/>
      <c r="M78" s="102">
        <f ca="1">N78</f>
        <v>0</v>
      </c>
      <c r="N78" s="101">
        <f ca="1">D72+J72+O33+O45+O59+O69+(D33+D45+D59+D69)*'COVERAGE FACTORS'!E44+(J33+J45+J59+J69)*(1-('COVERAGE FACTORS'!E40+'COVERAGE FACTORS'!E42))+D106</f>
        <v>0</v>
      </c>
      <c r="P78" s="20"/>
      <c r="Q78" s="109"/>
      <c r="S78" s="20"/>
      <c r="U78" s="20"/>
      <c r="Y78"/>
      <c r="Z78"/>
      <c r="AA78"/>
      <c r="AB78"/>
      <c r="AC78"/>
      <c r="AD78"/>
    </row>
    <row r="79" spans="1:30" ht="13" x14ac:dyDescent="0.3">
      <c r="A79" s="114"/>
      <c r="C79" s="98"/>
      <c r="D79" s="196">
        <f>SUM(C74:C78)-D72</f>
        <v>0</v>
      </c>
      <c r="E79" s="24" t="s">
        <v>130</v>
      </c>
      <c r="G79" s="114"/>
      <c r="I79" s="99"/>
      <c r="J79" s="201">
        <f>SUM(I74:I78)-J72</f>
        <v>0</v>
      </c>
      <c r="K79" s="24" t="s">
        <v>288</v>
      </c>
      <c r="L79"/>
      <c r="M79" s="20"/>
      <c r="O79" s="96">
        <f ca="1">SUM(N74:N78)</f>
        <v>0</v>
      </c>
      <c r="P79" s="24" t="s">
        <v>131</v>
      </c>
      <c r="Q79" s="109"/>
      <c r="S79" s="20"/>
      <c r="U79" s="20"/>
      <c r="Y79"/>
      <c r="Z79"/>
      <c r="AA79"/>
      <c r="AB79"/>
      <c r="AC79"/>
      <c r="AD79"/>
    </row>
    <row r="80" spans="1:30" ht="13" x14ac:dyDescent="0.3">
      <c r="A80" s="114"/>
      <c r="C80" s="98"/>
      <c r="E80" s="24"/>
      <c r="G80" s="114"/>
      <c r="I80" s="99"/>
      <c r="J80" s="92"/>
      <c r="K80" s="24"/>
      <c r="L80"/>
      <c r="M80" s="20"/>
      <c r="O80" s="97"/>
      <c r="P80" s="24"/>
      <c r="Q80" s="109"/>
      <c r="S80" s="20"/>
      <c r="U80" s="20"/>
      <c r="Y80"/>
      <c r="Z80"/>
      <c r="AA80"/>
      <c r="AB80"/>
      <c r="AC80"/>
      <c r="AD80"/>
    </row>
    <row r="81" spans="1:30" ht="13" x14ac:dyDescent="0.3">
      <c r="A81" s="114"/>
      <c r="D81" s="97">
        <f>SUM(A83:A87)*(1-'ACCEPT RATES'!G17)+SUM(B83:B87)*SUM('ACCEPT RATES'!I17:J17)</f>
        <v>0</v>
      </c>
      <c r="E81" s="24" t="s">
        <v>114</v>
      </c>
      <c r="G81" s="122"/>
      <c r="I81" s="24"/>
      <c r="J81" s="97">
        <f>I85*(1-'ACCEPT RATES'!C22)</f>
        <v>0</v>
      </c>
      <c r="K81" s="24" t="s">
        <v>114</v>
      </c>
      <c r="L81"/>
      <c r="M81" s="20"/>
      <c r="P81" s="24"/>
      <c r="Q81" s="109"/>
      <c r="S81" s="20"/>
      <c r="U81" s="20"/>
      <c r="Y81"/>
      <c r="Z81"/>
      <c r="AA81"/>
      <c r="AB81"/>
      <c r="AC81"/>
      <c r="AD81"/>
    </row>
    <row r="82" spans="1:30" ht="13" x14ac:dyDescent="0.3">
      <c r="A82" s="127" t="s">
        <v>256</v>
      </c>
      <c r="B82" s="336" t="s">
        <v>140</v>
      </c>
      <c r="C82" s="337"/>
      <c r="D82" s="120"/>
      <c r="E82" s="24" t="s">
        <v>141</v>
      </c>
      <c r="G82" s="127" t="s">
        <v>118</v>
      </c>
      <c r="H82" s="336" t="s">
        <v>250</v>
      </c>
      <c r="I82" s="337"/>
      <c r="J82" s="100"/>
      <c r="K82" s="23" t="s">
        <v>141</v>
      </c>
      <c r="L82"/>
      <c r="M82" s="336" t="s">
        <v>131</v>
      </c>
      <c r="N82" s="337"/>
      <c r="P82" s="20"/>
      <c r="Q82" s="109"/>
      <c r="S82" s="20"/>
      <c r="U82" s="20"/>
      <c r="Y82"/>
      <c r="Z82"/>
      <c r="AA82"/>
      <c r="AB82"/>
      <c r="AC82"/>
      <c r="AD82"/>
    </row>
    <row r="83" spans="1:30" ht="13" x14ac:dyDescent="0.3">
      <c r="A83" s="121">
        <f>B83*(1-'ACCEPT RATES'!C17)</f>
        <v>0</v>
      </c>
      <c r="B83" s="29">
        <f>C83*(1+'ACCEPT RATES'!F17)</f>
        <v>0</v>
      </c>
      <c r="C83" s="51">
        <v>0</v>
      </c>
      <c r="E83" s="24" t="s">
        <v>70</v>
      </c>
      <c r="G83" s="217">
        <v>0</v>
      </c>
      <c r="H83" s="29">
        <f>I83</f>
        <v>0</v>
      </c>
      <c r="I83" s="51">
        <v>0</v>
      </c>
      <c r="J83" s="113"/>
      <c r="K83" s="23" t="s">
        <v>70</v>
      </c>
      <c r="L83"/>
      <c r="M83" s="29">
        <f>N83</f>
        <v>61.234942212081585</v>
      </c>
      <c r="N83" s="51">
        <f>C16</f>
        <v>61.234942212081585</v>
      </c>
      <c r="P83" s="20"/>
      <c r="Q83" s="109"/>
      <c r="S83" s="20"/>
      <c r="U83" s="20"/>
      <c r="Y83"/>
      <c r="Z83"/>
      <c r="AA83"/>
      <c r="AB83"/>
      <c r="AC83"/>
      <c r="AD83"/>
    </row>
    <row r="84" spans="1:30" x14ac:dyDescent="0.25">
      <c r="A84" s="194">
        <f>B84*(1-'ACCEPT RATES'!D17)</f>
        <v>0</v>
      </c>
      <c r="B84" s="86">
        <f>C84*(1+'ACCEPT RATES'!F17)</f>
        <v>0</v>
      </c>
      <c r="C84" s="85">
        <f>G16*('COVERAGE FACTORS'!E54+'COVERAGE FACTORS'!E58)</f>
        <v>0</v>
      </c>
      <c r="G84" s="194">
        <v>0</v>
      </c>
      <c r="H84" s="86">
        <f>I84</f>
        <v>0</v>
      </c>
      <c r="I84" s="85">
        <f>G16*'COVERAGE FACTORS'!E56</f>
        <v>0</v>
      </c>
      <c r="J84" s="58"/>
      <c r="L84"/>
      <c r="M84" s="86">
        <f>N84</f>
        <v>0</v>
      </c>
      <c r="N84" s="85">
        <f>G16*'COVERAGE FACTORS'!E60</f>
        <v>0</v>
      </c>
      <c r="P84" s="20"/>
      <c r="Q84" s="109"/>
      <c r="S84" s="20"/>
      <c r="U84" s="20"/>
      <c r="Y84"/>
      <c r="Z84"/>
      <c r="AA84"/>
      <c r="AB84"/>
      <c r="AC84"/>
      <c r="AD84"/>
    </row>
    <row r="85" spans="1:30" ht="13" x14ac:dyDescent="0.3">
      <c r="A85" s="122"/>
      <c r="B85" s="86"/>
      <c r="C85" s="85"/>
      <c r="G85" s="110">
        <v>0</v>
      </c>
      <c r="H85" s="90">
        <f>I85</f>
        <v>0</v>
      </c>
      <c r="I85" s="91">
        <f>K16*('COVERAGE FACTORS'!E56+'COVERAGE FACTORS'!E58)</f>
        <v>0</v>
      </c>
      <c r="J85" s="58"/>
      <c r="L85"/>
      <c r="M85" s="90">
        <f>N85</f>
        <v>0</v>
      </c>
      <c r="N85" s="91">
        <f>K16*(1-('COVERAGE FACTORS'!E56+'COVERAGE FACTORS'!E58+'COVERAGE FACTORS'!E52))</f>
        <v>0</v>
      </c>
      <c r="P85" s="20"/>
      <c r="Q85" s="109"/>
      <c r="S85" s="20"/>
      <c r="U85" s="20"/>
      <c r="Y85"/>
      <c r="Z85"/>
      <c r="AA85"/>
      <c r="AB85"/>
      <c r="AC85"/>
      <c r="AD85"/>
    </row>
    <row r="86" spans="1:30" ht="13" x14ac:dyDescent="0.3">
      <c r="A86" s="122"/>
      <c r="B86" s="86"/>
      <c r="C86" s="85"/>
      <c r="G86" s="111">
        <v>0</v>
      </c>
      <c r="H86" s="95">
        <f>I86</f>
        <v>0</v>
      </c>
      <c r="I86" s="93">
        <f>O16*('COVERAGE FACTORS'!E56+'COVERAGE FACTORS'!E58)</f>
        <v>0</v>
      </c>
      <c r="J86" s="58"/>
      <c r="L86"/>
      <c r="M86" s="95">
        <f>N86</f>
        <v>0</v>
      </c>
      <c r="N86" s="93">
        <f>O16*(1-('COVERAGE FACTORS'!E56+'COVERAGE FACTORS'!E58+'COVERAGE FACTORS'!E52))</f>
        <v>0</v>
      </c>
      <c r="P86" s="20"/>
      <c r="Q86" s="109"/>
      <c r="S86" s="20"/>
      <c r="U86" s="20"/>
      <c r="Y86"/>
      <c r="Z86"/>
      <c r="AA86"/>
      <c r="AB86"/>
      <c r="AC86"/>
      <c r="AD86"/>
    </row>
    <row r="87" spans="1:30" x14ac:dyDescent="0.25">
      <c r="A87" s="200">
        <f>B87*(1-'ACCEPT RATES'!C17)</f>
        <v>0</v>
      </c>
      <c r="B87" s="211">
        <f>C87*(1+'ACCEPT RATES'!F17)</f>
        <v>0</v>
      </c>
      <c r="C87" s="212">
        <f>(D34+D46+D60+D70+D79)*('COVERAGE FACTORS'!E54+'COVERAGE FACTORS'!E58)*'COVERAGE FACTORS'!E104</f>
        <v>0</v>
      </c>
      <c r="G87" s="205">
        <v>0</v>
      </c>
      <c r="H87" s="204">
        <f>I87</f>
        <v>0</v>
      </c>
      <c r="I87" s="203">
        <f>(D34+D46+D60+D70+D79)*'COVERAGE FACTORS'!E56*'COVERAGE FACTORS'!E104+(J34+J46+J60+J70+J79)*('COVERAGE FACTORS'!E56+'COVERAGE FACTORS'!E58)*'COVERAGE FACTORS'!E104</f>
        <v>0</v>
      </c>
      <c r="J87" s="213"/>
      <c r="L87"/>
      <c r="M87" s="102">
        <f ca="1">N87</f>
        <v>0</v>
      </c>
      <c r="N87" s="101">
        <f ca="1">D81+J81+(O34+O46+O60+O70+O79)+(D34+D46+D60+D70+D79)*'COVERAGE FACTORS'!E106+(J34+J46+J60+J70+J79)*(1-('COVERAGE FACTORS'!E56+'COVERAGE FACTORS'!E58)*'COVERAGE FACTORS'!E104)+D120</f>
        <v>0</v>
      </c>
      <c r="P87" s="20"/>
      <c r="Q87" s="109"/>
      <c r="S87" s="20"/>
      <c r="U87" s="20"/>
      <c r="Y87"/>
      <c r="Z87"/>
      <c r="AA87"/>
      <c r="AB87"/>
      <c r="AC87"/>
      <c r="AD87"/>
    </row>
    <row r="88" spans="1:30" ht="13" x14ac:dyDescent="0.3">
      <c r="A88" s="114"/>
      <c r="C88" s="98"/>
      <c r="D88" s="103">
        <f>SUM(C83:C87)-D81</f>
        <v>0</v>
      </c>
      <c r="E88" s="24"/>
      <c r="G88" s="218"/>
      <c r="H88" s="214"/>
      <c r="I88" s="214"/>
      <c r="J88" s="215">
        <f>SUM(I83:I87)-J81</f>
        <v>0</v>
      </c>
      <c r="K88" s="24"/>
      <c r="L88"/>
      <c r="M88" s="20"/>
      <c r="O88" s="216">
        <f ca="1">SUM(N83:N87)</f>
        <v>61.234942212081585</v>
      </c>
      <c r="P88" s="24"/>
      <c r="Q88" s="109"/>
      <c r="S88" s="20"/>
      <c r="U88" s="20"/>
      <c r="Y88"/>
      <c r="Z88"/>
      <c r="AA88"/>
      <c r="AB88"/>
      <c r="AC88"/>
      <c r="AD88"/>
    </row>
    <row r="89" spans="1:30" ht="13" x14ac:dyDescent="0.3">
      <c r="A89" s="114"/>
      <c r="C89" s="98"/>
      <c r="D89" s="23" t="s">
        <v>142</v>
      </c>
      <c r="E89" s="24"/>
      <c r="G89" s="114"/>
      <c r="I89" s="99"/>
      <c r="J89" s="23" t="s">
        <v>142</v>
      </c>
      <c r="K89" s="24"/>
      <c r="L89"/>
      <c r="M89" s="20"/>
      <c r="O89" s="23" t="s">
        <v>142</v>
      </c>
      <c r="P89" s="24"/>
      <c r="Q89" s="109"/>
      <c r="S89" s="20"/>
      <c r="U89" s="20"/>
      <c r="Y89"/>
      <c r="Z89"/>
      <c r="AA89"/>
      <c r="AB89"/>
      <c r="AC89"/>
      <c r="AD89"/>
    </row>
    <row r="90" spans="1:30" x14ac:dyDescent="0.25">
      <c r="A90" s="114"/>
      <c r="G90" s="114"/>
      <c r="H90"/>
      <c r="I90" s="20"/>
      <c r="J90" s="58"/>
      <c r="P90" s="20"/>
      <c r="Q90" s="109"/>
      <c r="S90" s="20"/>
      <c r="U90" s="20"/>
      <c r="Y90"/>
      <c r="Z90"/>
      <c r="AA90"/>
      <c r="AB90"/>
      <c r="AC90"/>
      <c r="AD90"/>
    </row>
    <row r="91" spans="1:30" ht="13" x14ac:dyDescent="0.3">
      <c r="A91" s="114"/>
      <c r="D91" s="480" t="s">
        <v>114</v>
      </c>
      <c r="E91" s="480"/>
      <c r="G91" s="114"/>
      <c r="H91"/>
      <c r="I91" s="20"/>
      <c r="J91" s="58"/>
      <c r="P91" s="20"/>
      <c r="Q91" s="109"/>
      <c r="S91" s="20"/>
      <c r="U91" s="20"/>
      <c r="Y91"/>
      <c r="Z91"/>
      <c r="AA91"/>
      <c r="AB91"/>
      <c r="AC91"/>
      <c r="AD91"/>
    </row>
    <row r="92" spans="1:30" ht="13" x14ac:dyDescent="0.3">
      <c r="A92" s="115"/>
      <c r="B92" s="117"/>
      <c r="C92" s="117"/>
      <c r="D92" s="23" t="s">
        <v>167</v>
      </c>
      <c r="E92" s="24" t="s">
        <v>166</v>
      </c>
      <c r="F92" s="117"/>
      <c r="G92" s="115"/>
      <c r="H92" s="116"/>
      <c r="I92" s="117"/>
      <c r="J92" s="118"/>
      <c r="K92" s="117"/>
      <c r="L92" s="117"/>
      <c r="M92" s="116"/>
      <c r="N92" s="117"/>
      <c r="O92" s="118"/>
      <c r="P92" s="117"/>
      <c r="Q92" s="119"/>
      <c r="S92" s="20"/>
      <c r="U92" s="20"/>
      <c r="Y92"/>
      <c r="Z92"/>
      <c r="AA92"/>
      <c r="AB92"/>
      <c r="AC92"/>
      <c r="AD92"/>
    </row>
    <row r="93" spans="1:30" x14ac:dyDescent="0.25">
      <c r="D93" s="338">
        <f ca="1">SUM(A95:A99)*(1-'ACCEPT RATES'!G24)+SUM(B95:B99)*'ACCEPT RATES'!J24</f>
        <v>0</v>
      </c>
      <c r="E93" s="282">
        <f ca="1">SUM(B95:B99)*'ACCEPT RATES'!I24</f>
        <v>0</v>
      </c>
    </row>
    <row r="94" spans="1:30" ht="13" x14ac:dyDescent="0.3">
      <c r="A94" s="24" t="s">
        <v>256</v>
      </c>
      <c r="B94" s="339" t="s">
        <v>366</v>
      </c>
      <c r="C94" s="340"/>
      <c r="E94" s="24"/>
    </row>
    <row r="95" spans="1:30" ht="13" x14ac:dyDescent="0.3">
      <c r="A95" s="51">
        <f>B95*(1-'ACCEPT RATES'!C24)</f>
        <v>0</v>
      </c>
      <c r="B95" s="29">
        <f>C95*(1+'ACCEPT RATES'!F17)</f>
        <v>0</v>
      </c>
      <c r="C95" s="51">
        <v>0</v>
      </c>
      <c r="E95" s="24"/>
    </row>
    <row r="96" spans="1:30" x14ac:dyDescent="0.25">
      <c r="A96" s="85">
        <f>B96*(1-'ACCEPT RATES'!D24)</f>
        <v>0</v>
      </c>
      <c r="B96" s="86">
        <f>C96*(1+'ACCEPT RATES'!F17)</f>
        <v>0</v>
      </c>
      <c r="C96" s="85">
        <f>G16*'COVERAGE FACTORS'!E52</f>
        <v>0</v>
      </c>
    </row>
    <row r="97" spans="1:11" x14ac:dyDescent="0.25">
      <c r="A97" s="91">
        <f>B97*(1-'ACCEPT RATES'!C24)</f>
        <v>0</v>
      </c>
      <c r="B97" s="90">
        <f>C97*(1+'ACCEPT RATES'!F17)</f>
        <v>0</v>
      </c>
      <c r="C97" s="91">
        <f>K16*'COVERAGE FACTORS'!E52</f>
        <v>0</v>
      </c>
    </row>
    <row r="98" spans="1:11" x14ac:dyDescent="0.25">
      <c r="A98" s="93">
        <f>B98*(1-'ACCEPT RATES'!D24)</f>
        <v>0</v>
      </c>
      <c r="B98" s="95">
        <f>C98*(1+'ACCEPT RATES'!F17)</f>
        <v>0</v>
      </c>
      <c r="C98" s="93">
        <f>O16*'COVERAGE FACTORS'!E52</f>
        <v>0</v>
      </c>
    </row>
    <row r="99" spans="1:11" x14ac:dyDescent="0.25">
      <c r="A99" s="241">
        <f ca="1">B99*(1-'ACCEPT RATES'!C24)</f>
        <v>0</v>
      </c>
      <c r="B99" s="244">
        <f ca="1">C99*(1+'ACCEPT RATES'!F17)</f>
        <v>0</v>
      </c>
      <c r="C99" s="241">
        <f ca="1">(D16+D34+D46+D60+D70+D79)*'COVERAGE FACTORS'!E52*'COVERAGE FACTORS'!E104+D114</f>
        <v>0</v>
      </c>
    </row>
    <row r="100" spans="1:11" x14ac:dyDescent="0.25">
      <c r="D100" s="242">
        <f ca="1">SUM(C95:C99)-D93-E93</f>
        <v>0</v>
      </c>
    </row>
    <row r="101" spans="1:11" ht="13" x14ac:dyDescent="0.3">
      <c r="D101" s="23" t="s">
        <v>369</v>
      </c>
    </row>
    <row r="105" spans="1:11" ht="13" x14ac:dyDescent="0.3">
      <c r="D105" s="23"/>
    </row>
    <row r="106" spans="1:11" ht="13" x14ac:dyDescent="0.3">
      <c r="A106" s="114"/>
      <c r="D106" s="342">
        <f ca="1">A112*(1-'ACCEPT RATES'!G17)+B112*('ACCEPT RATES'!I17+'ACCEPT RATES'!J17)</f>
        <v>0</v>
      </c>
      <c r="E106" s="24" t="s">
        <v>114</v>
      </c>
      <c r="G106" s="482" t="s">
        <v>525</v>
      </c>
      <c r="H106" s="482"/>
      <c r="I106" s="482"/>
      <c r="J106" s="482"/>
      <c r="K106" s="482"/>
    </row>
    <row r="107" spans="1:11" ht="13" x14ac:dyDescent="0.3">
      <c r="A107" s="127" t="s">
        <v>256</v>
      </c>
      <c r="B107" s="336" t="s">
        <v>444</v>
      </c>
      <c r="C107" s="337"/>
      <c r="D107"/>
      <c r="E107" s="24" t="s">
        <v>139</v>
      </c>
      <c r="G107" s="482"/>
      <c r="H107" s="482"/>
      <c r="I107" s="482"/>
      <c r="J107" s="482"/>
      <c r="K107" s="482"/>
    </row>
    <row r="108" spans="1:11" ht="13" x14ac:dyDescent="0.3">
      <c r="A108" s="51"/>
      <c r="B108" s="29"/>
      <c r="C108" s="51"/>
      <c r="E108" s="24" t="s">
        <v>70</v>
      </c>
      <c r="G108" s="482"/>
      <c r="H108" s="482"/>
      <c r="I108" s="482"/>
      <c r="J108" s="482"/>
      <c r="K108" s="482"/>
    </row>
    <row r="109" spans="1:11" x14ac:dyDescent="0.25">
      <c r="A109" s="194"/>
      <c r="B109" s="86"/>
      <c r="C109" s="85"/>
      <c r="G109" s="482"/>
      <c r="H109" s="482"/>
      <c r="I109" s="482"/>
      <c r="J109" s="482"/>
      <c r="K109" s="482"/>
    </row>
    <row r="110" spans="1:11" ht="13" x14ac:dyDescent="0.3">
      <c r="A110" s="122"/>
      <c r="B110" s="86"/>
      <c r="C110" s="85"/>
      <c r="G110" s="482"/>
      <c r="H110" s="482"/>
      <c r="I110" s="482"/>
      <c r="J110" s="482"/>
      <c r="K110" s="482"/>
    </row>
    <row r="111" spans="1:11" ht="13" x14ac:dyDescent="0.3">
      <c r="A111" s="122"/>
      <c r="B111" s="86"/>
      <c r="C111" s="85"/>
      <c r="G111" s="482"/>
      <c r="H111" s="482"/>
      <c r="I111" s="482"/>
      <c r="J111" s="482"/>
      <c r="K111" s="482"/>
    </row>
    <row r="112" spans="1:11" x14ac:dyDescent="0.25">
      <c r="A112" s="200">
        <f ca="1">B112*(1-'ACCEPT RATES'!$C$17)</f>
        <v>0</v>
      </c>
      <c r="B112" s="211">
        <f ca="1">C112*(1+'ACCEPT RATES'!$F$17)</f>
        <v>0</v>
      </c>
      <c r="C112" s="212">
        <f ca="1">E93</f>
        <v>0</v>
      </c>
      <c r="G112" s="482"/>
      <c r="H112" s="482"/>
      <c r="I112" s="482"/>
      <c r="J112" s="482"/>
      <c r="K112" s="482"/>
    </row>
    <row r="113" spans="1:11" ht="13" x14ac:dyDescent="0.3">
      <c r="A113" s="114"/>
      <c r="C113" s="120"/>
      <c r="D113" s="343">
        <f ca="1">($C$112-$D$106)*(1-'COVERAGE FACTORS'!$E$80)</f>
        <v>0</v>
      </c>
      <c r="E113" s="24" t="s">
        <v>130</v>
      </c>
      <c r="G113" s="482"/>
      <c r="H113" s="482"/>
      <c r="I113" s="482"/>
      <c r="J113" s="482"/>
      <c r="K113" s="482"/>
    </row>
    <row r="114" spans="1:11" ht="13" x14ac:dyDescent="0.3">
      <c r="A114" s="114"/>
      <c r="C114" s="120"/>
      <c r="D114" s="343">
        <f ca="1">($C$112-$D$106)*'COVERAGE FACTORS'!$E$80</f>
        <v>0</v>
      </c>
      <c r="E114" s="24" t="s">
        <v>366</v>
      </c>
    </row>
    <row r="115" spans="1:11" ht="13" x14ac:dyDescent="0.3">
      <c r="A115" s="114"/>
      <c r="C115" s="98"/>
      <c r="E115" s="24"/>
    </row>
    <row r="116" spans="1:11" ht="13" x14ac:dyDescent="0.3">
      <c r="A116" s="114"/>
      <c r="C116" s="98"/>
      <c r="E116" s="24"/>
    </row>
    <row r="117" spans="1:11" ht="13" x14ac:dyDescent="0.3">
      <c r="A117" s="114"/>
      <c r="C117" s="98"/>
      <c r="E117" s="24"/>
    </row>
    <row r="118" spans="1:11" ht="13" x14ac:dyDescent="0.3">
      <c r="A118" s="114"/>
      <c r="C118" s="98"/>
      <c r="E118" s="24"/>
    </row>
    <row r="119" spans="1:11" ht="13" x14ac:dyDescent="0.3">
      <c r="A119" s="114"/>
      <c r="C119" s="98"/>
      <c r="E119" s="24"/>
    </row>
    <row r="120" spans="1:11" ht="13" x14ac:dyDescent="0.3">
      <c r="A120" s="122"/>
      <c r="D120" s="344">
        <f ca="1">A126*'ACCEPT RATES'!H17+B126*('ACCEPT RATES'!I17+'ACCEPT RATES'!J17)</f>
        <v>0</v>
      </c>
      <c r="E120" s="24" t="s">
        <v>114</v>
      </c>
    </row>
    <row r="121" spans="1:11" ht="13" x14ac:dyDescent="0.3">
      <c r="A121" s="127" t="s">
        <v>256</v>
      </c>
      <c r="B121" s="336" t="s">
        <v>445</v>
      </c>
      <c r="C121" s="337"/>
      <c r="D121" s="120"/>
      <c r="E121" s="24" t="s">
        <v>141</v>
      </c>
    </row>
    <row r="122" spans="1:11" ht="13" x14ac:dyDescent="0.3">
      <c r="A122" s="281"/>
      <c r="B122" s="29"/>
      <c r="C122" s="51"/>
      <c r="E122" s="24" t="s">
        <v>70</v>
      </c>
    </row>
    <row r="123" spans="1:11" x14ac:dyDescent="0.25">
      <c r="A123" s="194"/>
      <c r="B123" s="86"/>
      <c r="C123" s="85"/>
    </row>
    <row r="124" spans="1:11" ht="13" x14ac:dyDescent="0.3">
      <c r="A124" s="122"/>
      <c r="B124" s="86"/>
      <c r="C124" s="85"/>
    </row>
    <row r="125" spans="1:11" ht="13" x14ac:dyDescent="0.3">
      <c r="A125" s="122"/>
      <c r="B125" s="86"/>
      <c r="C125" s="85"/>
    </row>
    <row r="126" spans="1:11" ht="13" x14ac:dyDescent="0.3">
      <c r="A126" s="345">
        <f ca="1">B126*(1-'ACCEPT RATES'!$C$17)</f>
        <v>0</v>
      </c>
      <c r="B126" s="211">
        <f ca="1">C126*(1+'ACCEPT RATES'!$F$17)</f>
        <v>0</v>
      </c>
      <c r="C126" s="212">
        <f ca="1">$D$93+$D$113</f>
        <v>0</v>
      </c>
    </row>
    <row r="127" spans="1:11" ht="13" x14ac:dyDescent="0.3">
      <c r="A127" s="122"/>
      <c r="C127" s="120"/>
      <c r="D127" s="346">
        <f ca="1">C126-D120</f>
        <v>0</v>
      </c>
      <c r="E127" s="24"/>
    </row>
    <row r="128" spans="1:11" ht="13" x14ac:dyDescent="0.3">
      <c r="A128" s="122"/>
      <c r="D128" s="23" t="s">
        <v>142</v>
      </c>
      <c r="E128" s="24"/>
    </row>
  </sheetData>
  <mergeCells count="2">
    <mergeCell ref="D91:E91"/>
    <mergeCell ref="G106:K113"/>
  </mergeCells>
  <pageMargins left="0.7" right="0.7" top="0.75" bottom="0.75" header="0.3" footer="0.3"/>
  <pageSetup scale="40" orientation="portrait" r:id="rId1"/>
  <drawing r:id="rId2"/>
</worksheet>
</file>

<file path=xl/worksheets/sheet6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56"/>
  <dimension ref="A1:AB27"/>
  <sheetViews>
    <sheetView zoomScale="75" zoomScaleNormal="75" workbookViewId="0"/>
  </sheetViews>
  <sheetFormatPr defaultColWidth="9.1796875" defaultRowHeight="13" x14ac:dyDescent="0.3"/>
  <cols>
    <col min="1" max="1" width="25.7265625" customWidth="1"/>
    <col min="2" max="3" width="15.7265625" customWidth="1"/>
    <col min="4" max="4" width="20.7265625" customWidth="1"/>
    <col min="5" max="7" width="10.7265625" style="18" customWidth="1"/>
    <col min="8" max="8" width="10.7265625" style="334" customWidth="1"/>
    <col min="9" max="26" width="9.1796875" style="18" customWidth="1"/>
    <col min="27" max="27" width="12.7265625" style="44" customWidth="1"/>
    <col min="29" max="29" width="9.54296875" bestFit="1" customWidth="1"/>
  </cols>
  <sheetData>
    <row r="1" spans="1:28" ht="18" x14ac:dyDescent="0.4">
      <c r="A1" s="5" t="s">
        <v>591</v>
      </c>
    </row>
    <row r="2" spans="1:28" ht="15.5" x14ac:dyDescent="0.35">
      <c r="A2" s="52"/>
    </row>
    <row r="4" spans="1:28" x14ac:dyDescent="0.3">
      <c r="H4" s="374" t="s">
        <v>474</v>
      </c>
      <c r="I4" s="44" t="s">
        <v>315</v>
      </c>
      <c r="J4" s="44" t="s">
        <v>315</v>
      </c>
      <c r="M4" s="44" t="s">
        <v>316</v>
      </c>
      <c r="N4" s="44" t="s">
        <v>316</v>
      </c>
      <c r="Q4" s="44" t="s">
        <v>316</v>
      </c>
      <c r="R4" s="44" t="s">
        <v>316</v>
      </c>
      <c r="U4" s="44" t="s">
        <v>316</v>
      </c>
      <c r="V4" s="44" t="s">
        <v>316</v>
      </c>
      <c r="AA4" s="44" t="s">
        <v>3</v>
      </c>
    </row>
    <row r="5" spans="1:28" x14ac:dyDescent="0.3">
      <c r="C5" s="1" t="s">
        <v>189</v>
      </c>
      <c r="E5" s="44" t="s">
        <v>187</v>
      </c>
      <c r="F5" s="44" t="s">
        <v>188</v>
      </c>
      <c r="G5" s="44" t="s">
        <v>3</v>
      </c>
      <c r="H5" s="374" t="s">
        <v>201</v>
      </c>
      <c r="I5" s="44" t="s">
        <v>317</v>
      </c>
      <c r="J5" s="44" t="s">
        <v>317</v>
      </c>
      <c r="M5" s="44" t="s">
        <v>164</v>
      </c>
      <c r="N5" s="44" t="s">
        <v>164</v>
      </c>
      <c r="Q5" s="44" t="s">
        <v>317</v>
      </c>
      <c r="R5" s="44" t="s">
        <v>317</v>
      </c>
      <c r="U5" s="44" t="s">
        <v>318</v>
      </c>
      <c r="V5" s="44" t="s">
        <v>318</v>
      </c>
      <c r="Y5" s="44" t="s">
        <v>3</v>
      </c>
      <c r="Z5" s="44" t="s">
        <v>3</v>
      </c>
      <c r="AA5" s="44" t="s">
        <v>251</v>
      </c>
    </row>
    <row r="6" spans="1:28" x14ac:dyDescent="0.3">
      <c r="A6" s="36" t="s">
        <v>14</v>
      </c>
      <c r="B6" s="36" t="s">
        <v>191</v>
      </c>
      <c r="C6" s="55" t="s">
        <v>190</v>
      </c>
      <c r="D6" s="55" t="s">
        <v>319</v>
      </c>
      <c r="E6" s="225" t="s">
        <v>251</v>
      </c>
      <c r="F6" s="225" t="s">
        <v>251</v>
      </c>
      <c r="G6" s="225" t="s">
        <v>251</v>
      </c>
      <c r="H6" s="375" t="s">
        <v>203</v>
      </c>
      <c r="I6" s="225" t="s">
        <v>192</v>
      </c>
      <c r="J6" s="225" t="s">
        <v>193</v>
      </c>
      <c r="K6" s="225" t="s">
        <v>194</v>
      </c>
      <c r="L6" s="225" t="s">
        <v>195</v>
      </c>
      <c r="M6" s="225" t="s">
        <v>192</v>
      </c>
      <c r="N6" s="225" t="s">
        <v>193</v>
      </c>
      <c r="O6" s="225" t="s">
        <v>194</v>
      </c>
      <c r="P6" s="225" t="s">
        <v>195</v>
      </c>
      <c r="Q6" s="225" t="s">
        <v>192</v>
      </c>
      <c r="R6" s="225" t="s">
        <v>193</v>
      </c>
      <c r="S6" s="225" t="s">
        <v>194</v>
      </c>
      <c r="T6" s="225" t="s">
        <v>195</v>
      </c>
      <c r="U6" s="225" t="s">
        <v>192</v>
      </c>
      <c r="V6" s="225" t="s">
        <v>193</v>
      </c>
      <c r="W6" s="225" t="s">
        <v>194</v>
      </c>
      <c r="X6" s="225" t="s">
        <v>195</v>
      </c>
      <c r="Y6" s="225" t="s">
        <v>194</v>
      </c>
      <c r="Z6" s="225" t="s">
        <v>195</v>
      </c>
      <c r="AA6" s="225" t="s">
        <v>196</v>
      </c>
    </row>
    <row r="7" spans="1:28" x14ac:dyDescent="0.3">
      <c r="A7" s="134" t="s">
        <v>506</v>
      </c>
      <c r="B7" s="134" t="s">
        <v>159</v>
      </c>
      <c r="C7" s="223" t="s">
        <v>307</v>
      </c>
      <c r="D7" s="307" t="s">
        <v>226</v>
      </c>
      <c r="E7" s="18">
        <f>IF('FY VOLUME CR'!I8&lt;&gt;0,(10000*('FY VOLUME CR'!F8/'FY VOLUME CR'!$H$13))/'FY VOLUME CR'!I8,0)</f>
        <v>2.6424885563280478</v>
      </c>
      <c r="F7" s="18">
        <f>IF('FY VOLUME CR'!J8&lt;&gt;0,(10000*('FY VOLUME CR'!G8/'FY VOLUME CR'!$H$13))/'FY VOLUME CR'!J8,0)</f>
        <v>0</v>
      </c>
      <c r="G7" s="18">
        <f>E7+F7</f>
        <v>2.6424885563280478</v>
      </c>
      <c r="H7" s="331">
        <f>(E7*'BUNDLE DATA'!$D$8+F7*'BUNDLE DATA'!$D$12)/G7</f>
        <v>6.1234942212081587E-3</v>
      </c>
      <c r="I7" s="18">
        <f>G7*'BUNDLE DATA'!$C$28*'BUNDLE DATA'!$D$28</f>
        <v>0</v>
      </c>
      <c r="J7" s="18">
        <f>G7*'BUNDLE DATA'!$C$28*(1-'BUNDLE DATA'!$D$28)</f>
        <v>2.6424885563280478</v>
      </c>
      <c r="K7" s="18">
        <f>(I7+J7)*$H$7</f>
        <v>1.618126340428349E-2</v>
      </c>
      <c r="L7" s="18">
        <f>(I7+J7-K7)*'BUNDLE DENSITIES'!$O$7</f>
        <v>0</v>
      </c>
      <c r="M7" s="18">
        <f>($I7+$J7-$K7)*'BUNDLE DENSITIES'!$O$8*'BUNDLE DATA'!$C$36*'BUNDLE DATA'!$D$36</f>
        <v>2.4339771049377119</v>
      </c>
      <c r="N7" s="18">
        <f>($I7+$J7-$K7)*'BUNDLE DENSITIES'!$O$8*'BUNDLE DATA'!$C$36*(1-'BUNDLE DATA'!$D$36)</f>
        <v>0</v>
      </c>
      <c r="O7" s="18">
        <f>(M7+N7)*'BUNDLE DATA'!$E$8</f>
        <v>8.9296831809608637E-2</v>
      </c>
      <c r="P7" s="18">
        <f>(M7+N7-O7)*'BUNDLE DENSITIES'!$O$15</f>
        <v>0</v>
      </c>
      <c r="Q7" s="18">
        <f>((I7+J7-K7)*'BUNDLE DENSITIES'!$O$9+(M7+N7-O7)*'BUNDLE DENSITIES'!$O$16)*'BUNDLE DATA'!$C$42*'BUNDLE DATA'!$D$42</f>
        <v>2.3141435655106806</v>
      </c>
      <c r="R7" s="18">
        <f>((I7+J7-K7)*'BUNDLE DENSITIES'!$O$9+(M7+N7-O7)*'BUNDLE DENSITIES'!$O$16)*'BUNDLE DATA'!$C$42*(1-'BUNDLE DATA'!$D$42)</f>
        <v>6.6737265609285612E-2</v>
      </c>
      <c r="S7" s="18">
        <f>(Q7+R7)*'BUNDLE DATA'!$E$8</f>
        <v>8.7348855789948623E-2</v>
      </c>
      <c r="T7" s="18">
        <f>(Q7+R7-S7)*'BUNDLE DENSITIES'!$O$22</f>
        <v>0</v>
      </c>
      <c r="U7" s="18">
        <f>((I7+J7-K7)*'BUNDLE DENSITIES'!$O$10+(Q7+R7-S7)*'BUNDLE DENSITIES'!$O$23)*'BUNDLE DATA'!$C$46*'BUNDLE DATA'!$D$46</f>
        <v>2.4496616053242073E-2</v>
      </c>
      <c r="V7" s="18">
        <f>((I7+J7-K7)*'BUNDLE DENSITIES'!$O$10+(Q7+R7-S7)*'BUNDLE DENSITIES'!$O$23)*'BUNDLE DATA'!$C$46*(1-'BUNDLE DATA'!$D$46)</f>
        <v>2.4251649892709648</v>
      </c>
      <c r="W7" s="18">
        <f>(U7+V7)*'BUNDLE DATA'!$E$8</f>
        <v>8.9872258829932411E-2</v>
      </c>
      <c r="X7" s="18">
        <f>(U7+V7-W7)*'BUNDLE DENSITIES'!$O$29</f>
        <v>2.3597893464942747</v>
      </c>
      <c r="Y7" s="15">
        <f t="shared" ref="Y7:Z10" si="0">K7+O7+S7+W7</f>
        <v>0.28269920983377317</v>
      </c>
      <c r="Z7" s="15">
        <f t="shared" si="0"/>
        <v>2.3597893464942747</v>
      </c>
      <c r="AA7" s="44">
        <f t="shared" ref="AA7:AA11" si="1">Y7+Z7</f>
        <v>2.6424885563280478</v>
      </c>
      <c r="AB7" s="280"/>
    </row>
    <row r="8" spans="1:28" x14ac:dyDescent="0.3">
      <c r="A8" s="134" t="s">
        <v>506</v>
      </c>
      <c r="B8" s="134" t="s">
        <v>159</v>
      </c>
      <c r="C8" s="223" t="s">
        <v>592</v>
      </c>
      <c r="D8" s="307" t="s">
        <v>226</v>
      </c>
      <c r="E8" s="18">
        <f>IF('FY VOLUME CR'!I9&lt;&gt;0,(10000*('FY VOLUME CR'!F9/'FY VOLUME CR'!$H$13))/'FY VOLUME CR'!I9,0)</f>
        <v>10.163897632195127</v>
      </c>
      <c r="F8" s="18">
        <f>IF('FY VOLUME CR'!J9&lt;&gt;0,(10000*('FY VOLUME CR'!G9/'FY VOLUME CR'!$H$13))/'FY VOLUME CR'!J9,0)</f>
        <v>0</v>
      </c>
      <c r="G8" s="18">
        <f t="shared" ref="G8:G11" si="2">E8+F8</f>
        <v>10.163897632195127</v>
      </c>
      <c r="H8" s="331">
        <f>(E8*'BUNDLE DATA'!$D$8+F8*'BUNDLE DATA'!$D$12)/G8</f>
        <v>6.1234942212081587E-3</v>
      </c>
      <c r="I8" s="18">
        <v>0</v>
      </c>
      <c r="J8" s="18">
        <v>0</v>
      </c>
      <c r="K8" s="18">
        <v>0</v>
      </c>
      <c r="L8" s="18">
        <v>0</v>
      </c>
      <c r="M8" s="18">
        <f>G8*'BUNDLE DATA'!$C$36*'BUNDLE DATA'!$D$36</f>
        <v>10.163897632195127</v>
      </c>
      <c r="N8" s="18">
        <f>G8*'BUNDLE DATA'!$C$36*(1-'BUNDLE DATA'!$D$36)</f>
        <v>0</v>
      </c>
      <c r="O8" s="18">
        <f>(M8+N8)*'BUNDLE DATA'!$E$8</f>
        <v>0.37288923365424764</v>
      </c>
      <c r="P8" s="18">
        <f>(M8+N8-O8)*'BUNDLE DENSITIES'!$O$15</f>
        <v>0</v>
      </c>
      <c r="Q8" s="18">
        <f>(M8+N8-O8)*'BUNDLE DENSITIES'!$O$16*'BUNDLE DATA'!$C$42*'BUNDLE DATA'!$D$42</f>
        <v>9.5165615973673834</v>
      </c>
      <c r="R8" s="18">
        <f>(M8+N8-O8)*'BUNDLE DENSITIES'!$O$16*'BUNDLE DATA'!$C$42*(1-'BUNDLE DATA'!$D$42)</f>
        <v>0.27444680117349585</v>
      </c>
      <c r="S8" s="18">
        <f>(Q8+R8)*'BUNDLE DATA'!$E$8</f>
        <v>0.35920881442857494</v>
      </c>
      <c r="T8" s="18">
        <f>(Q8+R8-S8)*'BUNDLE DENSITIES'!$O$22</f>
        <v>0</v>
      </c>
      <c r="U8" s="18">
        <f>(Q8+R8-S8)*'BUNDLE DENSITIES'!$O$23*'BUNDLE DATA'!$C$46*'BUNDLE DATA'!$D$46</f>
        <v>9.4317995841123048E-2</v>
      </c>
      <c r="V8" s="18">
        <f>(Q8+R8-S8)*'BUNDLE DENSITIES'!$O$23*'BUNDLE DATA'!$C$46*(1-'BUNDLE DATA'!$D$46)</f>
        <v>9.3374815882711815</v>
      </c>
      <c r="W8" s="18">
        <f>(U8+V8)*'BUNDLE DATA'!$E$8</f>
        <v>0.34603029725128281</v>
      </c>
      <c r="X8" s="18">
        <f>(U8+V8-W8)*'BUNDLE DENSITIES'!$O$29</f>
        <v>9.0857692868610229</v>
      </c>
      <c r="Y8" s="15">
        <f t="shared" si="0"/>
        <v>1.0781283453341053</v>
      </c>
      <c r="Z8" s="15">
        <f t="shared" si="0"/>
        <v>9.0857692868610229</v>
      </c>
      <c r="AA8" s="44">
        <f t="shared" si="1"/>
        <v>10.163897632195129</v>
      </c>
      <c r="AB8" s="280"/>
    </row>
    <row r="9" spans="1:28" x14ac:dyDescent="0.3">
      <c r="A9" s="134" t="s">
        <v>506</v>
      </c>
      <c r="B9" s="134" t="s">
        <v>159</v>
      </c>
      <c r="C9" s="223" t="s">
        <v>199</v>
      </c>
      <c r="D9" s="307" t="s">
        <v>226</v>
      </c>
      <c r="E9" s="18">
        <f>IF('FY VOLUME CR'!I10&lt;&gt;0,(10000*('FY VOLUME CR'!F10/'FY VOLUME CR'!$H$13))/'FY VOLUME CR'!I10,0)</f>
        <v>393.91538391005963</v>
      </c>
      <c r="F9" s="18">
        <f>IF('FY VOLUME CR'!J10&lt;&gt;0,(10000*('FY VOLUME CR'!G10/'FY VOLUME CR'!$H$13))/'FY VOLUME CR'!J10,0)</f>
        <v>0</v>
      </c>
      <c r="G9" s="18">
        <f t="shared" si="2"/>
        <v>393.91538391005963</v>
      </c>
      <c r="H9" s="331">
        <f>(E9*'BUNDLE DATA'!$D$8+F9*'BUNDLE DATA'!$D$12)/G9</f>
        <v>6.1234942212081587E-3</v>
      </c>
      <c r="I9" s="18">
        <v>0</v>
      </c>
      <c r="J9" s="18">
        <v>0</v>
      </c>
      <c r="K9" s="18">
        <v>0</v>
      </c>
      <c r="L9" s="18">
        <v>0</v>
      </c>
      <c r="M9" s="18">
        <v>0</v>
      </c>
      <c r="N9" s="18">
        <v>0</v>
      </c>
      <c r="O9" s="18">
        <v>0</v>
      </c>
      <c r="P9" s="18">
        <v>0</v>
      </c>
      <c r="Q9" s="18">
        <f>G9*'BUNDLE DATA'!$C$42*'BUNDLE DATA'!$D$42</f>
        <v>382.87374114492252</v>
      </c>
      <c r="R9" s="18">
        <f>G9*'BUNDLE DATA'!$C$42*(1-'BUNDLE DATA'!$D$42)</f>
        <v>11.041642765137093</v>
      </c>
      <c r="S9" s="18">
        <f>(Q9+R9)*'BUNDLE DATA'!$E$8</f>
        <v>14.451818676878716</v>
      </c>
      <c r="T9" s="18">
        <f>(Q9+R9-S9)*'BUNDLE DENSITIES'!$O$22</f>
        <v>0</v>
      </c>
      <c r="U9" s="18">
        <f>(Q9+R9-S9)*'BUNDLE DENSITIES'!$O$23*'BUNDLE DATA'!$C$46*'BUNDLE DATA'!$D$46</f>
        <v>3.7946356523318094</v>
      </c>
      <c r="V9" s="18">
        <f>(Q9+R9-S9)*'BUNDLE DENSITIES'!$O$23*'BUNDLE DATA'!$C$46*(1-'BUNDLE DATA'!$D$46)</f>
        <v>375.66892958084912</v>
      </c>
      <c r="W9" s="18">
        <f>(U9+V9)*'BUNDLE DATA'!$E$8</f>
        <v>13.921615817076045</v>
      </c>
      <c r="X9" s="18">
        <f>(U9+V9-W9)*'BUNDLE DENSITIES'!$O$29</f>
        <v>365.5419494161049</v>
      </c>
      <c r="Y9" s="18">
        <f t="shared" si="0"/>
        <v>28.373434493954761</v>
      </c>
      <c r="Z9" s="18">
        <f t="shared" si="0"/>
        <v>365.5419494161049</v>
      </c>
      <c r="AA9" s="44">
        <f t="shared" si="1"/>
        <v>393.91538391005963</v>
      </c>
      <c r="AB9" s="280"/>
    </row>
    <row r="10" spans="1:28" x14ac:dyDescent="0.3">
      <c r="A10" s="134" t="s">
        <v>506</v>
      </c>
      <c r="B10" s="134" t="s">
        <v>159</v>
      </c>
      <c r="C10" s="223" t="s">
        <v>200</v>
      </c>
      <c r="D10" s="307" t="s">
        <v>226</v>
      </c>
      <c r="E10" s="18">
        <f>IF('FY VOLUME CR'!I11&lt;&gt;0,(10000*('FY VOLUME CR'!F11/'FY VOLUME CR'!$H$13))/'FY VOLUME CR'!I11,0)</f>
        <v>0</v>
      </c>
      <c r="F10" s="18">
        <f>IF('FY VOLUME CR'!J11&lt;&gt;0,(10000*('FY VOLUME CR'!G11/'FY VOLUME CR'!$H$13))/'FY VOLUME CR'!J11,0)</f>
        <v>4.9726367427355562</v>
      </c>
      <c r="G10" s="18">
        <f t="shared" si="2"/>
        <v>4.9726367427355562</v>
      </c>
      <c r="H10" s="331">
        <f>(E10*'BUNDLE DATA'!$D$8+F10*'BUNDLE DATA'!$D$12)/G10</f>
        <v>0.10356873985476588</v>
      </c>
      <c r="I10" s="18">
        <v>0</v>
      </c>
      <c r="J10" s="18">
        <v>0</v>
      </c>
      <c r="K10" s="18">
        <v>0</v>
      </c>
      <c r="L10" s="18">
        <v>0</v>
      </c>
      <c r="M10" s="18">
        <v>0</v>
      </c>
      <c r="N10" s="18">
        <v>0</v>
      </c>
      <c r="O10" s="18">
        <v>0</v>
      </c>
      <c r="P10" s="18">
        <v>0</v>
      </c>
      <c r="Q10" s="18">
        <v>0</v>
      </c>
      <c r="R10" s="18">
        <v>0</v>
      </c>
      <c r="S10" s="18">
        <v>0</v>
      </c>
      <c r="T10" s="18">
        <v>0</v>
      </c>
      <c r="U10" s="18">
        <f>G10*'BUNDLE DATA'!$C$46*'BUNDLE DATA'!$D$46</f>
        <v>4.9726367427355561E-2</v>
      </c>
      <c r="V10" s="18">
        <f>G10*'BUNDLE DATA'!$C$46*(1-'BUNDLE DATA'!$D$46)</f>
        <v>4.9229103753082004</v>
      </c>
      <c r="W10" s="18">
        <f>(U10+V10)*'BUNDLE DATA'!$E$8</f>
        <v>0.18243421680735183</v>
      </c>
      <c r="X10" s="18">
        <f>(U10+V10-W10)*'BUNDLE DENSITIES'!$O$29</f>
        <v>4.7902025259282048</v>
      </c>
      <c r="Y10" s="18">
        <f t="shared" si="0"/>
        <v>0.18243421680735183</v>
      </c>
      <c r="Z10" s="18">
        <f t="shared" si="0"/>
        <v>4.7902025259282048</v>
      </c>
      <c r="AA10" s="44">
        <f t="shared" si="1"/>
        <v>4.9726367427355562</v>
      </c>
      <c r="AB10" s="280"/>
    </row>
    <row r="11" spans="1:28" x14ac:dyDescent="0.3">
      <c r="A11" s="134" t="s">
        <v>506</v>
      </c>
      <c r="B11" s="134" t="s">
        <v>159</v>
      </c>
      <c r="C11" s="307" t="s">
        <v>226</v>
      </c>
      <c r="D11" s="307" t="s">
        <v>226</v>
      </c>
      <c r="E11" s="18">
        <f>IF('FY VOLUME CR'!I12&lt;&gt;0,(10000*('FY VOLUME CR'!F12/'FY VOLUME CR'!$H$13))/'FY VOLUME CR'!I12,0)</f>
        <v>0</v>
      </c>
      <c r="F11" s="18">
        <f>IF('FY VOLUME CR'!J12&lt;&gt;0,(10000*('FY VOLUME CR'!G12/'FY VOLUME CR'!$H$13))/'FY VOLUME CR'!J12,0)</f>
        <v>0.8773660282524639</v>
      </c>
      <c r="G11" s="18">
        <f t="shared" si="2"/>
        <v>0.8773660282524639</v>
      </c>
      <c r="H11" s="331">
        <f>(E11*'BUNDLE DATA'!$D$8+F11*'BUNDLE DATA'!$D$12)/G11</f>
        <v>0.10356873985476586</v>
      </c>
      <c r="Z11" s="18">
        <f>G11</f>
        <v>0.8773660282524639</v>
      </c>
      <c r="AA11" s="44">
        <f t="shared" si="1"/>
        <v>0.8773660282524639</v>
      </c>
      <c r="AB11" s="280"/>
    </row>
    <row r="12" spans="1:28" s="24" customFormat="1" x14ac:dyDescent="0.3">
      <c r="A12" s="24" t="s">
        <v>3</v>
      </c>
      <c r="E12" s="44">
        <f t="shared" ref="E12:F12" si="3">SUM(E7:E11)</f>
        <v>406.72177009858279</v>
      </c>
      <c r="F12" s="44">
        <f t="shared" si="3"/>
        <v>5.85000277098802</v>
      </c>
      <c r="G12" s="44">
        <f>SUM(G7:G11)</f>
        <v>412.57177286957085</v>
      </c>
      <c r="H12" s="374"/>
      <c r="I12" s="44">
        <f t="shared" ref="I12:Z12" si="4">SUM(I7:I11)</f>
        <v>0</v>
      </c>
      <c r="J12" s="44">
        <f t="shared" si="4"/>
        <v>2.6424885563280478</v>
      </c>
      <c r="K12" s="44">
        <f t="shared" si="4"/>
        <v>1.618126340428349E-2</v>
      </c>
      <c r="L12" s="44">
        <f t="shared" si="4"/>
        <v>0</v>
      </c>
      <c r="M12" s="44">
        <f t="shared" si="4"/>
        <v>12.597874737132839</v>
      </c>
      <c r="N12" s="44">
        <f t="shared" si="4"/>
        <v>0</v>
      </c>
      <c r="O12" s="44">
        <f t="shared" si="4"/>
        <v>0.46218606546385627</v>
      </c>
      <c r="P12" s="44">
        <f t="shared" si="4"/>
        <v>0</v>
      </c>
      <c r="Q12" s="44">
        <f t="shared" si="4"/>
        <v>394.70444630780059</v>
      </c>
      <c r="R12" s="44">
        <f t="shared" si="4"/>
        <v>11.382826831919875</v>
      </c>
      <c r="S12" s="44">
        <f t="shared" si="4"/>
        <v>14.898376347097239</v>
      </c>
      <c r="T12" s="44">
        <f t="shared" si="4"/>
        <v>0</v>
      </c>
      <c r="U12" s="44">
        <f t="shared" si="4"/>
        <v>3.9631766316535297</v>
      </c>
      <c r="V12" s="44">
        <f t="shared" si="4"/>
        <v>392.35448653369951</v>
      </c>
      <c r="W12" s="44">
        <f t="shared" si="4"/>
        <v>14.539952589964612</v>
      </c>
      <c r="X12" s="44">
        <f t="shared" si="4"/>
        <v>381.77771057538837</v>
      </c>
      <c r="Y12" s="44">
        <f t="shared" si="4"/>
        <v>29.916696265929993</v>
      </c>
      <c r="Z12" s="44">
        <f t="shared" si="4"/>
        <v>382.65507660364085</v>
      </c>
      <c r="AA12" s="44">
        <f>SUM(AA7:AA11)</f>
        <v>412.57177286957085</v>
      </c>
    </row>
    <row r="15" spans="1:28" x14ac:dyDescent="0.3">
      <c r="H15" s="374" t="s">
        <v>474</v>
      </c>
      <c r="I15" s="44" t="s">
        <v>315</v>
      </c>
      <c r="J15" s="44" t="s">
        <v>315</v>
      </c>
      <c r="M15" s="44" t="s">
        <v>316</v>
      </c>
      <c r="N15" s="44" t="s">
        <v>316</v>
      </c>
      <c r="Q15" s="44" t="s">
        <v>316</v>
      </c>
      <c r="R15" s="44" t="s">
        <v>316</v>
      </c>
      <c r="U15" s="44" t="s">
        <v>316</v>
      </c>
      <c r="V15" s="44" t="s">
        <v>316</v>
      </c>
      <c r="AA15" s="44" t="s">
        <v>3</v>
      </c>
    </row>
    <row r="16" spans="1:28" x14ac:dyDescent="0.3">
      <c r="C16" s="1" t="s">
        <v>189</v>
      </c>
      <c r="E16" s="44" t="s">
        <v>187</v>
      </c>
      <c r="F16" s="44" t="s">
        <v>188</v>
      </c>
      <c r="G16" s="44" t="s">
        <v>3</v>
      </c>
      <c r="H16" s="374" t="s">
        <v>201</v>
      </c>
      <c r="I16" s="44" t="s">
        <v>317</v>
      </c>
      <c r="J16" s="44" t="s">
        <v>317</v>
      </c>
      <c r="M16" s="44" t="s">
        <v>164</v>
      </c>
      <c r="N16" s="44" t="s">
        <v>164</v>
      </c>
      <c r="Q16" s="44" t="s">
        <v>317</v>
      </c>
      <c r="R16" s="44" t="s">
        <v>317</v>
      </c>
      <c r="U16" s="44" t="s">
        <v>318</v>
      </c>
      <c r="V16" s="44" t="s">
        <v>318</v>
      </c>
      <c r="Y16" s="44" t="s">
        <v>3</v>
      </c>
      <c r="Z16" s="44" t="s">
        <v>3</v>
      </c>
      <c r="AA16" s="44" t="s">
        <v>251</v>
      </c>
    </row>
    <row r="17" spans="1:27" x14ac:dyDescent="0.3">
      <c r="A17" s="36" t="s">
        <v>14</v>
      </c>
      <c r="B17" s="36" t="s">
        <v>191</v>
      </c>
      <c r="C17" s="55" t="s">
        <v>190</v>
      </c>
      <c r="D17" s="55" t="s">
        <v>319</v>
      </c>
      <c r="E17" s="225" t="s">
        <v>251</v>
      </c>
      <c r="F17" s="225" t="s">
        <v>251</v>
      </c>
      <c r="G17" s="225" t="s">
        <v>251</v>
      </c>
      <c r="H17" s="375" t="s">
        <v>203</v>
      </c>
      <c r="I17" s="225" t="s">
        <v>192</v>
      </c>
      <c r="J17" s="225" t="s">
        <v>193</v>
      </c>
      <c r="K17" s="225" t="s">
        <v>194</v>
      </c>
      <c r="L17" s="225" t="s">
        <v>195</v>
      </c>
      <c r="M17" s="225" t="s">
        <v>192</v>
      </c>
      <c r="N17" s="225" t="s">
        <v>193</v>
      </c>
      <c r="O17" s="225" t="s">
        <v>194</v>
      </c>
      <c r="P17" s="225" t="s">
        <v>195</v>
      </c>
      <c r="Q17" s="225" t="s">
        <v>192</v>
      </c>
      <c r="R17" s="225" t="s">
        <v>193</v>
      </c>
      <c r="S17" s="225" t="s">
        <v>194</v>
      </c>
      <c r="T17" s="225" t="s">
        <v>195</v>
      </c>
      <c r="U17" s="225" t="s">
        <v>192</v>
      </c>
      <c r="V17" s="225" t="s">
        <v>193</v>
      </c>
      <c r="W17" s="225" t="s">
        <v>194</v>
      </c>
      <c r="X17" s="225" t="s">
        <v>195</v>
      </c>
      <c r="Y17" s="225" t="s">
        <v>194</v>
      </c>
      <c r="Z17" s="225" t="s">
        <v>195</v>
      </c>
      <c r="AA17" s="225" t="s">
        <v>196</v>
      </c>
    </row>
    <row r="18" spans="1:27" x14ac:dyDescent="0.3">
      <c r="A18" s="134" t="s">
        <v>506</v>
      </c>
      <c r="B18" s="134" t="s">
        <v>159</v>
      </c>
      <c r="C18" s="307" t="s">
        <v>509</v>
      </c>
      <c r="D18" s="307" t="s">
        <v>226</v>
      </c>
      <c r="E18" s="18">
        <f>10000/'FY VOLUME CR'!I18</f>
        <v>313.49402427727705</v>
      </c>
      <c r="F18" s="18">
        <v>0</v>
      </c>
      <c r="G18" s="18">
        <f t="shared" ref="G18" si="5">E18+F18</f>
        <v>313.49402427727705</v>
      </c>
      <c r="H18" s="331">
        <f>(E18*'BUNDLE DATA'!$D$8+F18*'BUNDLE DATA'!$D$12)/G18</f>
        <v>6.1234942212081587E-3</v>
      </c>
      <c r="I18" s="18">
        <v>0</v>
      </c>
      <c r="J18" s="18">
        <v>0</v>
      </c>
      <c r="K18" s="18">
        <v>0</v>
      </c>
      <c r="L18" s="18">
        <v>0</v>
      </c>
      <c r="M18" s="18">
        <v>0</v>
      </c>
      <c r="N18" s="18">
        <v>0</v>
      </c>
      <c r="O18" s="18">
        <v>0</v>
      </c>
      <c r="P18" s="18">
        <v>0</v>
      </c>
      <c r="Q18" s="18">
        <v>0</v>
      </c>
      <c r="R18" s="18">
        <v>0</v>
      </c>
      <c r="S18" s="18">
        <v>0</v>
      </c>
      <c r="T18" s="18">
        <v>0</v>
      </c>
      <c r="U18" s="18">
        <f>G18*'BUNDLE DATA'!$C$46*'BUNDLE DATA'!$D$46</f>
        <v>3.1349402427727706</v>
      </c>
      <c r="V18" s="18">
        <f>G18*'BUNDLE DATA'!$C$46*(1-'BUNDLE DATA'!$D$46)</f>
        <v>310.35908403450429</v>
      </c>
      <c r="W18" s="18">
        <f>(U18+V18)*H18</f>
        <v>1.9196788460451961</v>
      </c>
      <c r="X18" s="18">
        <f>(U18+V18-W18)*'BUNDLE DENSITIES'!$O$29</f>
        <v>311.57434543123185</v>
      </c>
      <c r="Y18" s="18">
        <f t="shared" ref="Y18" si="6">K18+O18+S18+W18</f>
        <v>1.9196788460451961</v>
      </c>
      <c r="Z18" s="18">
        <f t="shared" ref="Z18" si="7">L18+P18+T18+X18</f>
        <v>311.57434543123185</v>
      </c>
      <c r="AA18" s="44">
        <f t="shared" ref="AA18" si="8">Y18+Z18</f>
        <v>313.49402427727705</v>
      </c>
    </row>
    <row r="19" spans="1:27" x14ac:dyDescent="0.3">
      <c r="A19" s="24" t="s">
        <v>3</v>
      </c>
      <c r="B19" s="24"/>
      <c r="C19" s="24"/>
      <c r="D19" s="24"/>
      <c r="E19" s="44">
        <f>SUM(E18:E18)</f>
        <v>313.49402427727705</v>
      </c>
      <c r="F19" s="44">
        <f>SUM(F18:F18)</f>
        <v>0</v>
      </c>
      <c r="G19" s="44">
        <f>SUM(G18:G18)</f>
        <v>313.49402427727705</v>
      </c>
      <c r="H19" s="374"/>
      <c r="I19" s="44">
        <f t="shared" ref="I19:AA19" si="9">SUM(I18:I18)</f>
        <v>0</v>
      </c>
      <c r="J19" s="44">
        <f t="shared" si="9"/>
        <v>0</v>
      </c>
      <c r="K19" s="44">
        <f t="shared" si="9"/>
        <v>0</v>
      </c>
      <c r="L19" s="44">
        <f t="shared" si="9"/>
        <v>0</v>
      </c>
      <c r="M19" s="44">
        <f t="shared" si="9"/>
        <v>0</v>
      </c>
      <c r="N19" s="44">
        <f t="shared" si="9"/>
        <v>0</v>
      </c>
      <c r="O19" s="44">
        <f t="shared" si="9"/>
        <v>0</v>
      </c>
      <c r="P19" s="44">
        <f t="shared" si="9"/>
        <v>0</v>
      </c>
      <c r="Q19" s="44">
        <f t="shared" si="9"/>
        <v>0</v>
      </c>
      <c r="R19" s="44">
        <f t="shared" si="9"/>
        <v>0</v>
      </c>
      <c r="S19" s="44">
        <f t="shared" si="9"/>
        <v>0</v>
      </c>
      <c r="T19" s="44">
        <f t="shared" si="9"/>
        <v>0</v>
      </c>
      <c r="U19" s="44">
        <f t="shared" si="9"/>
        <v>3.1349402427727706</v>
      </c>
      <c r="V19" s="44">
        <f t="shared" si="9"/>
        <v>310.35908403450429</v>
      </c>
      <c r="W19" s="44">
        <f t="shared" si="9"/>
        <v>1.9196788460451961</v>
      </c>
      <c r="X19" s="44">
        <f t="shared" si="9"/>
        <v>311.57434543123185</v>
      </c>
      <c r="Y19" s="44">
        <f t="shared" si="9"/>
        <v>1.9196788460451961</v>
      </c>
      <c r="Z19" s="44">
        <f t="shared" si="9"/>
        <v>311.57434543123185</v>
      </c>
      <c r="AA19" s="44">
        <f t="shared" si="9"/>
        <v>313.49402427727705</v>
      </c>
    </row>
    <row r="20" spans="1:27" x14ac:dyDescent="0.3">
      <c r="L20"/>
      <c r="M20"/>
      <c r="N20"/>
      <c r="O20"/>
      <c r="P20"/>
      <c r="Q20"/>
      <c r="R20"/>
      <c r="S20"/>
      <c r="T20"/>
    </row>
    <row r="21" spans="1:27" x14ac:dyDescent="0.3">
      <c r="L21"/>
      <c r="M21"/>
      <c r="N21"/>
      <c r="O21"/>
      <c r="P21"/>
      <c r="Q21"/>
      <c r="R21"/>
      <c r="S21"/>
      <c r="T21"/>
    </row>
    <row r="22" spans="1:27" x14ac:dyDescent="0.3">
      <c r="K22" s="309"/>
      <c r="L22"/>
      <c r="M22"/>
      <c r="N22"/>
      <c r="O22"/>
      <c r="P22"/>
      <c r="Q22"/>
      <c r="R22"/>
      <c r="S22"/>
      <c r="T22"/>
    </row>
    <row r="23" spans="1:27" x14ac:dyDescent="0.3">
      <c r="L23"/>
      <c r="M23"/>
      <c r="N23"/>
      <c r="O23"/>
      <c r="P23"/>
      <c r="Q23"/>
      <c r="R23"/>
      <c r="S23"/>
      <c r="T23"/>
    </row>
    <row r="24" spans="1:27" x14ac:dyDescent="0.3">
      <c r="L24"/>
      <c r="M24"/>
      <c r="N24"/>
      <c r="O24"/>
      <c r="P24"/>
      <c r="Q24"/>
      <c r="R24"/>
      <c r="S24"/>
      <c r="T24"/>
    </row>
    <row r="25" spans="1:27" x14ac:dyDescent="0.3">
      <c r="L25"/>
      <c r="M25"/>
      <c r="N25"/>
      <c r="O25"/>
      <c r="P25"/>
      <c r="Q25"/>
      <c r="R25"/>
      <c r="S25"/>
      <c r="T25"/>
    </row>
    <row r="26" spans="1:27" x14ac:dyDescent="0.3">
      <c r="L26"/>
      <c r="M26"/>
      <c r="N26"/>
      <c r="O26"/>
      <c r="P26"/>
      <c r="Q26"/>
      <c r="R26"/>
      <c r="S26"/>
      <c r="T26"/>
    </row>
    <row r="27" spans="1:27" x14ac:dyDescent="0.3">
      <c r="L27"/>
      <c r="M27"/>
      <c r="N27"/>
      <c r="O27"/>
      <c r="P27"/>
      <c r="Q27"/>
      <c r="R27"/>
      <c r="S27"/>
      <c r="T27"/>
    </row>
  </sheetData>
  <pageMargins left="0.7" right="0.7" top="0.75" bottom="0.75" header="0.3" footer="0.3"/>
  <pageSetup scale="30" orientation="portrait" r:id="rId1"/>
</worksheet>
</file>

<file path=xl/worksheets/sheet7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57"/>
  <dimension ref="A1:AB27"/>
  <sheetViews>
    <sheetView zoomScale="85" zoomScaleNormal="85" workbookViewId="0"/>
  </sheetViews>
  <sheetFormatPr defaultColWidth="9.1796875" defaultRowHeight="13" x14ac:dyDescent="0.3"/>
  <cols>
    <col min="1" max="1" width="25.7265625" customWidth="1"/>
    <col min="2" max="3" width="15.7265625" customWidth="1"/>
    <col min="4" max="4" width="20.7265625" customWidth="1"/>
    <col min="5" max="8" width="10.7265625" style="18" customWidth="1"/>
    <col min="9" max="26" width="9.1796875" style="18" customWidth="1"/>
    <col min="27" max="27" width="12.7265625" style="44" customWidth="1"/>
    <col min="29" max="29" width="9.54296875" bestFit="1" customWidth="1"/>
  </cols>
  <sheetData>
    <row r="1" spans="1:28" ht="18" x14ac:dyDescent="0.4">
      <c r="A1" s="5" t="s">
        <v>590</v>
      </c>
      <c r="K1" s="399">
        <f ca="1">'CR CRA ADJ UNIT COSTS'!G33</f>
        <v>9.5808693825008042</v>
      </c>
    </row>
    <row r="2" spans="1:28" ht="15.5" x14ac:dyDescent="0.35">
      <c r="A2" s="52"/>
      <c r="K2" s="399"/>
    </row>
    <row r="3" spans="1:28" x14ac:dyDescent="0.3">
      <c r="K3" s="399">
        <f ca="1">'CR CRA ADJ UNIT COSTS'!G35</f>
        <v>5.0791326232554104</v>
      </c>
    </row>
    <row r="4" spans="1:28" x14ac:dyDescent="0.3">
      <c r="H4" s="374" t="s">
        <v>474</v>
      </c>
      <c r="I4" s="44" t="s">
        <v>315</v>
      </c>
      <c r="J4" s="44" t="s">
        <v>315</v>
      </c>
      <c r="M4" s="44" t="s">
        <v>316</v>
      </c>
      <c r="N4" s="44" t="s">
        <v>316</v>
      </c>
      <c r="Q4" s="44" t="s">
        <v>316</v>
      </c>
      <c r="R4" s="44" t="s">
        <v>316</v>
      </c>
      <c r="U4" s="44" t="s">
        <v>316</v>
      </c>
      <c r="V4" s="44" t="s">
        <v>316</v>
      </c>
      <c r="AA4" s="44" t="s">
        <v>3</v>
      </c>
    </row>
    <row r="5" spans="1:28" x14ac:dyDescent="0.3">
      <c r="C5" s="1" t="s">
        <v>189</v>
      </c>
      <c r="E5" s="44" t="s">
        <v>187</v>
      </c>
      <c r="F5" s="44" t="s">
        <v>188</v>
      </c>
      <c r="G5" s="44" t="s">
        <v>3</v>
      </c>
      <c r="H5" s="374" t="s">
        <v>201</v>
      </c>
      <c r="I5" s="44" t="s">
        <v>317</v>
      </c>
      <c r="J5" s="44" t="s">
        <v>317</v>
      </c>
      <c r="M5" s="44" t="s">
        <v>164</v>
      </c>
      <c r="N5" s="44" t="s">
        <v>164</v>
      </c>
      <c r="Q5" s="44" t="s">
        <v>317</v>
      </c>
      <c r="R5" s="44" t="s">
        <v>317</v>
      </c>
      <c r="U5" s="44" t="s">
        <v>318</v>
      </c>
      <c r="V5" s="44" t="s">
        <v>318</v>
      </c>
      <c r="Y5" s="44" t="s">
        <v>3</v>
      </c>
      <c r="Z5" s="44" t="s">
        <v>3</v>
      </c>
      <c r="AA5" s="225" t="s">
        <v>585</v>
      </c>
    </row>
    <row r="6" spans="1:28" x14ac:dyDescent="0.3">
      <c r="A6" s="36" t="s">
        <v>14</v>
      </c>
      <c r="B6" s="36" t="s">
        <v>191</v>
      </c>
      <c r="C6" s="55" t="s">
        <v>190</v>
      </c>
      <c r="D6" s="55" t="s">
        <v>319</v>
      </c>
      <c r="E6" s="225" t="s">
        <v>585</v>
      </c>
      <c r="F6" s="225" t="s">
        <v>585</v>
      </c>
      <c r="G6" s="225" t="s">
        <v>585</v>
      </c>
      <c r="H6" s="375" t="s">
        <v>203</v>
      </c>
      <c r="I6" s="225" t="s">
        <v>192</v>
      </c>
      <c r="J6" s="225" t="s">
        <v>193</v>
      </c>
      <c r="K6" s="225" t="s">
        <v>194</v>
      </c>
      <c r="L6" s="225" t="s">
        <v>195</v>
      </c>
      <c r="M6" s="225" t="s">
        <v>192</v>
      </c>
      <c r="N6" s="225" t="s">
        <v>193</v>
      </c>
      <c r="O6" s="225" t="s">
        <v>194</v>
      </c>
      <c r="P6" s="225" t="s">
        <v>195</v>
      </c>
      <c r="Q6" s="225" t="s">
        <v>192</v>
      </c>
      <c r="R6" s="225" t="s">
        <v>193</v>
      </c>
      <c r="S6" s="225" t="s">
        <v>194</v>
      </c>
      <c r="T6" s="225" t="s">
        <v>195</v>
      </c>
      <c r="U6" s="225" t="s">
        <v>192</v>
      </c>
      <c r="V6" s="225" t="s">
        <v>193</v>
      </c>
      <c r="W6" s="225" t="s">
        <v>194</v>
      </c>
      <c r="X6" s="225" t="s">
        <v>195</v>
      </c>
      <c r="Y6" s="225" t="s">
        <v>194</v>
      </c>
      <c r="Z6" s="225" t="s">
        <v>195</v>
      </c>
      <c r="AA6" s="225" t="s">
        <v>196</v>
      </c>
    </row>
    <row r="7" spans="1:28" x14ac:dyDescent="0.3">
      <c r="A7" s="134" t="s">
        <v>506</v>
      </c>
      <c r="B7" s="134" t="s">
        <v>159</v>
      </c>
      <c r="C7" s="223" t="s">
        <v>307</v>
      </c>
      <c r="D7" s="307" t="s">
        <v>226</v>
      </c>
      <c r="E7" s="18">
        <f>10000*('FY VOLUME CR'!F8/'FY VOLUME CR'!$H$13)</f>
        <v>59.585953934132654</v>
      </c>
      <c r="F7" s="18">
        <f>10000*('FY VOLUME CR'!G8/'FY VOLUME CR'!$H$13)</f>
        <v>0</v>
      </c>
      <c r="G7" s="18">
        <f>E7+F7</f>
        <v>59.585953934132654</v>
      </c>
      <c r="H7" s="331">
        <f>(E7*'[18]BUNDLE DATA'!$D$8+F7*'[18]BUNDLE DATA'!$D$12)/G7</f>
        <v>6.1234942212081587E-3</v>
      </c>
      <c r="I7" s="18">
        <f>($G7*'BUNDLE DATA'!$D$26)</f>
        <v>0</v>
      </c>
      <c r="J7" s="18">
        <f>($G7*(1-'BUNDLE DATA'!$D$26))</f>
        <v>59.585953934132654</v>
      </c>
      <c r="K7" s="18">
        <f>(I7+J7)*$H$7</f>
        <v>0.36487424458083684</v>
      </c>
      <c r="L7" s="18">
        <f>(I7+J7-K7)*'BUNDLE DENSITIES'!O10*'COVERAGE FACTORS'!H129*'COVERAGE FACTORS'!B119</f>
        <v>0</v>
      </c>
      <c r="M7" s="18">
        <f>($I7+$J7-$K7)*'BUNDLE DENSITIES'!$O$8*'BUNDLE DATA'!$D$34</f>
        <v>54.884191382491423</v>
      </c>
      <c r="N7" s="18">
        <f>($I7+$J7-$K7)*'BUNDLE DENSITIES'!$O$8*(1-'BUNDLE DATA'!$D$34)</f>
        <v>0</v>
      </c>
      <c r="O7" s="18">
        <f>SUM(M7:N7)*'BUNDLE DATA'!$E$8</f>
        <v>2.0135704633154838</v>
      </c>
      <c r="P7" s="18">
        <f>(M7+N7-O7)*'BUNDLE DENSITIES'!$O$17*'COVERAGE FACTORS'!$H$129*'COVERAGE FACTORS'!$B$119</f>
        <v>0</v>
      </c>
      <c r="Q7" s="18">
        <f>(($I7+$J7-$K7)*'BUNDLE DENSITIES'!$O$9+($M7+$N7-$O7)*'BUNDLE DENSITIES'!$O$16)*'BUNDLE DATA'!$D$40</f>
        <v>52.182043158248852</v>
      </c>
      <c r="R7" s="18">
        <f>(($I7+$J7-$K7)*'BUNDLE DENSITIES'!$O$9+($M7+$N7-$O7)*'BUNDLE DENSITIES'!$O$16)*(1-'BUNDLE DATA'!$D$40)</f>
        <v>1.5048707116486744</v>
      </c>
      <c r="S7" s="18">
        <f>(Q7+R7)*'BUNDLE DATA'!$E$8</f>
        <v>1.9696451985894377</v>
      </c>
      <c r="T7" s="18">
        <f>(Q7+R7-S7)*'COVERAGE FACTORS'!$H$129*'COVERAGE FACTORS'!$B$119</f>
        <v>0</v>
      </c>
      <c r="U7" s="18">
        <f>($G7-$K7-$L7-$O7-$P7-$S7-$T7)*'BUNDLE DATA'!$D$44</f>
        <v>0.55237864027646899</v>
      </c>
      <c r="V7" s="18">
        <f>($G7-$K7-$L7-$O7-$P7-$S7-$T7)*(1-'BUNDLE DATA'!$D$44)</f>
        <v>54.68548538737042</v>
      </c>
      <c r="W7" s="18">
        <f>(U7+V7)*'BUNDLE DATA'!$E$8</f>
        <v>2.0265458716075493</v>
      </c>
      <c r="X7" s="18">
        <f>(U7+V7)-W7</f>
        <v>53.21131815603934</v>
      </c>
      <c r="Y7" s="18">
        <f t="shared" ref="Y7:Z7" si="0">K7+O7+S7+W7</f>
        <v>6.3746357780933076</v>
      </c>
      <c r="Z7" s="18">
        <f t="shared" si="0"/>
        <v>53.21131815603934</v>
      </c>
      <c r="AA7" s="44">
        <f t="shared" ref="AA7" si="1">Y7+Z7</f>
        <v>59.585953934132647</v>
      </c>
      <c r="AB7" s="280"/>
    </row>
    <row r="8" spans="1:28" x14ac:dyDescent="0.3">
      <c r="A8" s="134" t="s">
        <v>506</v>
      </c>
      <c r="B8" s="134" t="s">
        <v>159</v>
      </c>
      <c r="C8" s="223" t="s">
        <v>592</v>
      </c>
      <c r="D8" s="307" t="s">
        <v>226</v>
      </c>
      <c r="E8" s="18">
        <f>10000*('FY VOLUME CR'!F9/'FY VOLUME CR'!$H$13)</f>
        <v>171.03034251447826</v>
      </c>
      <c r="F8" s="18">
        <f>10000*('FY VOLUME CR'!G9/'FY VOLUME CR'!$H$13)</f>
        <v>0</v>
      </c>
      <c r="G8" s="18">
        <f t="shared" ref="G8:G11" si="2">E8+F8</f>
        <v>171.03034251447826</v>
      </c>
      <c r="H8" s="331">
        <f>(E8*'[18]BUNDLE DATA'!$D$8+F8*'[18]BUNDLE DATA'!$D$12)/G8</f>
        <v>6.1234942212081579E-3</v>
      </c>
      <c r="I8" s="18">
        <v>0</v>
      </c>
      <c r="J8" s="18">
        <v>0</v>
      </c>
      <c r="K8" s="18">
        <v>0</v>
      </c>
      <c r="L8" s="18">
        <v>0</v>
      </c>
      <c r="M8" s="18">
        <f>($E8+$F8)*'BUNDLE DENSITIES'!$O$8*'BUNDLE DATA'!$D$34</f>
        <v>158.50541901609029</v>
      </c>
      <c r="N8" s="18">
        <f>($E8+$F8)*'BUNDLE DENSITIES'!$O$8*(1-'BUNDLE DATA'!$D$34)</f>
        <v>0</v>
      </c>
      <c r="O8" s="18">
        <f>SUM(M8:N8)*'BUNDLE DATA'!$E$8</f>
        <v>5.8151868865477985</v>
      </c>
      <c r="P8" s="18">
        <f>(M8+N8-O8)*'BUNDLE DENSITIES'!$O$17*'COVERAGE FACTORS'!$H$129*'COVERAGE FACTORS'!$B$119</f>
        <v>0</v>
      </c>
      <c r="Q8" s="18">
        <f>(($I8+$J8-$K8)*'BUNDLE DENSITIES'!$O$9+($M8+$N8-$O8)*'BUNDLE DENSITIES'!$O$16)*'BUNDLE DATA'!$D$40</f>
        <v>148.41024950950546</v>
      </c>
      <c r="R8" s="18">
        <f>(($I8+$J8-$K8)*'BUNDLE DENSITIES'!$O$9+($M8+$N8-$O8)*'BUNDLE DENSITIES'!$O$16)*(1-'BUNDLE DATA'!$D$40)</f>
        <v>4.2799826200370212</v>
      </c>
      <c r="S8" s="18">
        <f>(Q8+R8)*'BUNDLE DATA'!$E$8</f>
        <v>5.6018415086081035</v>
      </c>
      <c r="T8" s="18">
        <f>(Q8+R8-S8)*'COVERAGE FACTORS'!$H$129*'COVERAGE FACTORS'!$B$119</f>
        <v>0</v>
      </c>
      <c r="U8" s="18">
        <f>($G8-$K8-$L8-$O8-$P8-$S8-$T8)*'BUNDLE DATA'!$D$44</f>
        <v>1.5961331411932236</v>
      </c>
      <c r="V8" s="18">
        <f>($G8-$K8-$L8-$O8-$P8-$S8-$T8)*(1-'BUNDLE DATA'!$D$44)</f>
        <v>158.01718097812912</v>
      </c>
      <c r="W8" s="18">
        <f>(U8+V8)*'BUNDLE DATA'!$E$8</f>
        <v>5.8558329232320814</v>
      </c>
      <c r="X8" s="18">
        <f t="shared" ref="X8:X9" si="3">(U8+V8)-W8</f>
        <v>153.75748119609028</v>
      </c>
      <c r="Y8" s="18">
        <f t="shared" ref="Y8:Y10" si="4">K8+O8+S8+W8</f>
        <v>17.272861318387985</v>
      </c>
      <c r="Z8" s="18">
        <f t="shared" ref="Z8:Z10" si="5">L8+P8+T8+X8</f>
        <v>153.75748119609028</v>
      </c>
      <c r="AA8" s="44">
        <f t="shared" ref="AA8:AA11" si="6">Y8+Z8</f>
        <v>171.03034251447826</v>
      </c>
      <c r="AB8" s="280"/>
    </row>
    <row r="9" spans="1:28" x14ac:dyDescent="0.3">
      <c r="A9" s="134" t="s">
        <v>506</v>
      </c>
      <c r="B9" s="134" t="s">
        <v>159</v>
      </c>
      <c r="C9" s="223" t="s">
        <v>199</v>
      </c>
      <c r="D9" s="307" t="s">
        <v>226</v>
      </c>
      <c r="E9" s="18">
        <f>10000*('FY VOLUME CR'!F10/'FY VOLUME CR'!$H$13)</f>
        <v>9555.9004841350124</v>
      </c>
      <c r="F9" s="18">
        <f>10000*('FY VOLUME CR'!G10/'FY VOLUME CR'!$H$13)</f>
        <v>0</v>
      </c>
      <c r="G9" s="18">
        <f t="shared" si="2"/>
        <v>9555.9004841350124</v>
      </c>
      <c r="H9" s="331">
        <f>(E9*'[18]BUNDLE DATA'!$D$8+F9*'[18]BUNDLE DATA'!$D$12)/G9</f>
        <v>6.1234942212081587E-3</v>
      </c>
      <c r="I9" s="18">
        <v>0</v>
      </c>
      <c r="J9" s="18">
        <v>0</v>
      </c>
      <c r="K9" s="18">
        <f t="shared" ref="K9:K10" si="7">(I9+J9)*$H$7</f>
        <v>0</v>
      </c>
      <c r="L9" s="18">
        <v>0</v>
      </c>
      <c r="M9" s="18">
        <v>0</v>
      </c>
      <c r="N9" s="18">
        <f>($E9+$F9)*'BUNDLE DENSITIES'!$O$8*(1-'BUNDLE DATA'!$D$34)</f>
        <v>0</v>
      </c>
      <c r="O9" s="18">
        <v>0</v>
      </c>
      <c r="P9" s="18">
        <f>(M9+N9-O9)*'BUNDLE DENSITIES'!$O$17*'COVERAGE FACTORS'!$H$129*'COVERAGE FACTORS'!$B$119</f>
        <v>0</v>
      </c>
      <c r="Q9" s="18">
        <f>G9*'BUNDLE DATA'!$D$40</f>
        <v>9288.0438739217116</v>
      </c>
      <c r="R9" s="18">
        <f>G9*(1-'BUNDLE DATA'!$D$40)</f>
        <v>267.85661021330031</v>
      </c>
      <c r="S9" s="18">
        <f>(Q9+R9)*'BUNDLE DATA'!$E$8</f>
        <v>350.5832641523549</v>
      </c>
      <c r="T9" s="18">
        <f>(Q9+R9-S9)*'COVERAGE FACTORS'!$H$129*'COVERAGE FACTORS'!$B$119</f>
        <v>0</v>
      </c>
      <c r="U9" s="18">
        <f>($G9-$K9-$L9-$O9-$P9-$S9-$T9)*'BUNDLE DATA'!$D$44</f>
        <v>92.053172199826562</v>
      </c>
      <c r="V9" s="18">
        <f>($G9-$K9-$L9-$O9-$P9-$S9-$T9)*(1-'BUNDLE DATA'!$D$44)</f>
        <v>9113.2640477828299</v>
      </c>
      <c r="W9" s="18">
        <f>(U9+V9)*'BUNDLE DATA'!$E$8</f>
        <v>337.72119790252566</v>
      </c>
      <c r="X9" s="18">
        <f t="shared" si="3"/>
        <v>8867.5960220801317</v>
      </c>
      <c r="Y9" s="18">
        <f t="shared" ref="Y9" si="8">K9+O9+S9+W9</f>
        <v>688.30446205488056</v>
      </c>
      <c r="Z9" s="18">
        <f t="shared" ref="Z9" si="9">L9+P9+T9+X9</f>
        <v>8867.5960220801317</v>
      </c>
      <c r="AA9" s="44">
        <f t="shared" ref="AA9" si="10">Y9+Z9</f>
        <v>9555.9004841350124</v>
      </c>
      <c r="AB9" s="280"/>
    </row>
    <row r="10" spans="1:28" x14ac:dyDescent="0.3">
      <c r="A10" s="134" t="s">
        <v>506</v>
      </c>
      <c r="B10" s="134" t="s">
        <v>159</v>
      </c>
      <c r="C10" s="223" t="s">
        <v>200</v>
      </c>
      <c r="D10" s="307" t="s">
        <v>226</v>
      </c>
      <c r="E10" s="18">
        <f>10000*('FY VOLUME CR'!F11/'FY VOLUME CR'!$H$13)</f>
        <v>0</v>
      </c>
      <c r="F10" s="18">
        <f>10000*('FY VOLUME CR'!G11/'FY VOLUME CR'!$H$13)</f>
        <v>171.45550928493026</v>
      </c>
      <c r="G10" s="18">
        <f t="shared" si="2"/>
        <v>171.45550928493026</v>
      </c>
      <c r="H10" s="331">
        <f>(E10*'[18]BUNDLE DATA'!$D$8+F10*'[18]BUNDLE DATA'!$D$12)/G10</f>
        <v>0.10356873985476586</v>
      </c>
      <c r="I10" s="18">
        <v>0</v>
      </c>
      <c r="J10" s="18">
        <v>0</v>
      </c>
      <c r="K10" s="18">
        <f t="shared" si="7"/>
        <v>0</v>
      </c>
      <c r="L10" s="18">
        <f>(I10+J10-K10)*'BUNDLE DENSITIES'!O13*'COVERAGE FACTORS'!H132*'COVERAGE FACTORS'!B122</f>
        <v>0</v>
      </c>
      <c r="M10" s="18">
        <v>0</v>
      </c>
      <c r="N10" s="18">
        <v>0</v>
      </c>
      <c r="O10" s="18">
        <f>SUM(M10:N10)*'BUNDLE DATA'!$E$8</f>
        <v>0</v>
      </c>
      <c r="P10" s="18">
        <f>(M10+N10-O10)*'BUNDLE DENSITIES'!O20*'COVERAGE FACTORS'!H132*'COVERAGE FACTORS'!B122</f>
        <v>0</v>
      </c>
      <c r="Q10" s="18">
        <v>0</v>
      </c>
      <c r="R10" s="18">
        <v>0</v>
      </c>
      <c r="S10" s="18">
        <f>(Q10+R10)*'BUNDLE DATA'!$E$8</f>
        <v>0</v>
      </c>
      <c r="T10" s="18">
        <f>(Q10+R10-S10)*'COVERAGE FACTORS'!H132*'COVERAGE FACTORS'!B122</f>
        <v>0</v>
      </c>
      <c r="U10" s="18">
        <f>$G$10*(1-'COVERAGE FACTORS'!$H$129)*'BUNDLE DATA'!$D$44</f>
        <v>1.7145550928493025</v>
      </c>
      <c r="V10" s="18">
        <f>$G$10*(1-'COVERAGE FACTORS'!$H$129)*(1-'BUNDLE DATA'!$D$44)</f>
        <v>169.74095419208095</v>
      </c>
      <c r="W10" s="18">
        <f>(U10+V10)*'BUNDLE DATA'!$E$8</f>
        <v>6.2902949022764201</v>
      </c>
      <c r="X10" s="18">
        <f>G10-W10</f>
        <v>165.16521438265383</v>
      </c>
      <c r="Y10" s="18">
        <f t="shared" si="4"/>
        <v>6.2902949022764201</v>
      </c>
      <c r="Z10" s="18">
        <f t="shared" si="5"/>
        <v>165.16521438265383</v>
      </c>
      <c r="AA10" s="44">
        <f t="shared" si="6"/>
        <v>171.45550928493026</v>
      </c>
      <c r="AB10" s="280"/>
    </row>
    <row r="11" spans="1:28" x14ac:dyDescent="0.3">
      <c r="A11" s="134" t="s">
        <v>506</v>
      </c>
      <c r="B11" s="134" t="s">
        <v>159</v>
      </c>
      <c r="C11" s="307" t="s">
        <v>226</v>
      </c>
      <c r="D11" s="307" t="s">
        <v>226</v>
      </c>
      <c r="E11" s="18">
        <f>10000*('FY VOLUME CR'!F12/'FY VOLUME CR'!$H$13)</f>
        <v>0</v>
      </c>
      <c r="F11" s="18">
        <f>10000*('FY VOLUME CR'!G12/'FY VOLUME CR'!$H$13)</f>
        <v>42.027710131447634</v>
      </c>
      <c r="G11" s="18">
        <f t="shared" si="2"/>
        <v>42.027710131447634</v>
      </c>
      <c r="H11" s="331">
        <f>(E11*'[18]BUNDLE DATA'!$D$8+F11*'[18]BUNDLE DATA'!$D$12)/G11</f>
        <v>0.10356873985476586</v>
      </c>
      <c r="Z11" s="18">
        <f>G11</f>
        <v>42.027710131447634</v>
      </c>
      <c r="AA11" s="44">
        <f t="shared" si="6"/>
        <v>42.027710131447634</v>
      </c>
      <c r="AB11" s="280"/>
    </row>
    <row r="12" spans="1:28" s="24" customFormat="1" x14ac:dyDescent="0.3">
      <c r="A12" s="24" t="s">
        <v>3</v>
      </c>
      <c r="E12" s="44">
        <f t="shared" ref="E12:F12" si="11">SUM(E7:E11)</f>
        <v>9786.5167805836227</v>
      </c>
      <c r="F12" s="44">
        <f t="shared" si="11"/>
        <v>213.48321941637789</v>
      </c>
      <c r="G12" s="44">
        <f>SUM(G7:G11)</f>
        <v>10000</v>
      </c>
      <c r="H12" s="44"/>
      <c r="I12" s="44">
        <f t="shared" ref="I12:Z12" si="12">SUM(I7:I11)</f>
        <v>0</v>
      </c>
      <c r="J12" s="44">
        <f t="shared" si="12"/>
        <v>59.585953934132654</v>
      </c>
      <c r="K12" s="44">
        <f t="shared" si="12"/>
        <v>0.36487424458083684</v>
      </c>
      <c r="L12" s="44">
        <f t="shared" si="12"/>
        <v>0</v>
      </c>
      <c r="M12" s="44">
        <f t="shared" si="12"/>
        <v>213.38961039858171</v>
      </c>
      <c r="N12" s="44">
        <f t="shared" si="12"/>
        <v>0</v>
      </c>
      <c r="O12" s="44">
        <f t="shared" si="12"/>
        <v>7.8287573498632828</v>
      </c>
      <c r="P12" s="44">
        <f t="shared" si="12"/>
        <v>0</v>
      </c>
      <c r="Q12" s="44">
        <f t="shared" si="12"/>
        <v>9488.6361665894656</v>
      </c>
      <c r="R12" s="44">
        <f t="shared" si="12"/>
        <v>273.64146354498598</v>
      </c>
      <c r="S12" s="44">
        <f t="shared" si="12"/>
        <v>358.15475085955245</v>
      </c>
      <c r="T12" s="44">
        <f t="shared" si="12"/>
        <v>0</v>
      </c>
      <c r="U12" s="44">
        <f t="shared" si="12"/>
        <v>95.916239074145565</v>
      </c>
      <c r="V12" s="44">
        <f t="shared" si="12"/>
        <v>9495.7076683404102</v>
      </c>
      <c r="W12" s="44">
        <f t="shared" si="12"/>
        <v>351.89387159964167</v>
      </c>
      <c r="X12" s="44">
        <f t="shared" si="12"/>
        <v>9239.730035814915</v>
      </c>
      <c r="Y12" s="44">
        <f t="shared" si="12"/>
        <v>718.24225405363825</v>
      </c>
      <c r="Z12" s="44">
        <f t="shared" si="12"/>
        <v>9281.7577459463628</v>
      </c>
      <c r="AA12" s="44">
        <f>SUM(AA7:AA11)</f>
        <v>10000</v>
      </c>
    </row>
    <row r="14" spans="1:28" x14ac:dyDescent="0.3">
      <c r="H14" s="374" t="s">
        <v>474</v>
      </c>
      <c r="I14" s="44" t="s">
        <v>315</v>
      </c>
      <c r="J14" s="44" t="s">
        <v>315</v>
      </c>
      <c r="M14" s="44" t="s">
        <v>316</v>
      </c>
      <c r="N14" s="44" t="s">
        <v>316</v>
      </c>
      <c r="Q14" s="44" t="s">
        <v>316</v>
      </c>
      <c r="R14" s="44" t="s">
        <v>316</v>
      </c>
      <c r="U14" s="44" t="s">
        <v>316</v>
      </c>
      <c r="V14" s="44" t="s">
        <v>316</v>
      </c>
      <c r="AA14" s="44" t="s">
        <v>3</v>
      </c>
    </row>
    <row r="15" spans="1:28" x14ac:dyDescent="0.3">
      <c r="C15" s="1" t="s">
        <v>189</v>
      </c>
      <c r="E15" s="44" t="s">
        <v>187</v>
      </c>
      <c r="F15" s="44" t="s">
        <v>188</v>
      </c>
      <c r="G15" s="44" t="s">
        <v>3</v>
      </c>
      <c r="H15" s="374" t="s">
        <v>201</v>
      </c>
      <c r="I15" s="44" t="s">
        <v>317</v>
      </c>
      <c r="J15" s="44" t="s">
        <v>317</v>
      </c>
      <c r="M15" s="44" t="s">
        <v>164</v>
      </c>
      <c r="N15" s="44" t="s">
        <v>164</v>
      </c>
      <c r="Q15" s="44" t="s">
        <v>317</v>
      </c>
      <c r="R15" s="44" t="s">
        <v>317</v>
      </c>
      <c r="U15" s="44" t="s">
        <v>318</v>
      </c>
      <c r="V15" s="44" t="s">
        <v>318</v>
      </c>
      <c r="Y15" s="44" t="s">
        <v>3</v>
      </c>
      <c r="Z15" s="44" t="s">
        <v>3</v>
      </c>
      <c r="AA15" s="225" t="s">
        <v>585</v>
      </c>
    </row>
    <row r="16" spans="1:28" x14ac:dyDescent="0.3">
      <c r="A16" s="36" t="s">
        <v>14</v>
      </c>
      <c r="B16" s="36" t="s">
        <v>191</v>
      </c>
      <c r="C16" s="55" t="s">
        <v>190</v>
      </c>
      <c r="D16" s="55" t="s">
        <v>319</v>
      </c>
      <c r="E16" s="225" t="s">
        <v>585</v>
      </c>
      <c r="F16" s="225" t="s">
        <v>585</v>
      </c>
      <c r="G16" s="225" t="s">
        <v>585</v>
      </c>
      <c r="H16" s="375" t="s">
        <v>203</v>
      </c>
      <c r="I16" s="225" t="s">
        <v>192</v>
      </c>
      <c r="J16" s="225" t="s">
        <v>193</v>
      </c>
      <c r="K16" s="225" t="s">
        <v>194</v>
      </c>
      <c r="L16" s="225" t="s">
        <v>195</v>
      </c>
      <c r="M16" s="225" t="s">
        <v>192</v>
      </c>
      <c r="N16" s="225" t="s">
        <v>193</v>
      </c>
      <c r="O16" s="225" t="s">
        <v>194</v>
      </c>
      <c r="P16" s="225" t="s">
        <v>195</v>
      </c>
      <c r="Q16" s="225" t="s">
        <v>192</v>
      </c>
      <c r="R16" s="225" t="s">
        <v>193</v>
      </c>
      <c r="S16" s="225" t="s">
        <v>194</v>
      </c>
      <c r="T16" s="225" t="s">
        <v>195</v>
      </c>
      <c r="U16" s="225" t="s">
        <v>192</v>
      </c>
      <c r="V16" s="225" t="s">
        <v>193</v>
      </c>
      <c r="W16" s="225" t="s">
        <v>194</v>
      </c>
      <c r="X16" s="225" t="s">
        <v>195</v>
      </c>
      <c r="Y16" s="225" t="s">
        <v>194</v>
      </c>
      <c r="Z16" s="225" t="s">
        <v>195</v>
      </c>
      <c r="AA16" s="225" t="s">
        <v>196</v>
      </c>
    </row>
    <row r="17" spans="1:27" x14ac:dyDescent="0.3">
      <c r="A17" s="134" t="s">
        <v>506</v>
      </c>
      <c r="B17" s="134" t="s">
        <v>159</v>
      </c>
      <c r="C17" s="307" t="s">
        <v>509</v>
      </c>
      <c r="D17" s="307" t="s">
        <v>226</v>
      </c>
      <c r="E17" s="18">
        <v>10000</v>
      </c>
      <c r="F17" s="18">
        <f>10000*('FY VOLUME CR'!G21/'FY VOLUME CR'!$H$13)</f>
        <v>0</v>
      </c>
      <c r="G17" s="18">
        <f t="shared" ref="G17" si="13">E17+F17</f>
        <v>10000</v>
      </c>
      <c r="H17" s="331">
        <f>(E17*'BUNDLE DATA'!$D$8+F17*'BUNDLE DATA'!$D$12)/G17</f>
        <v>6.1234942212081587E-3</v>
      </c>
      <c r="I17" s="18">
        <v>0</v>
      </c>
      <c r="J17" s="18">
        <v>0</v>
      </c>
      <c r="K17" s="18">
        <v>0</v>
      </c>
      <c r="L17" s="18">
        <v>0</v>
      </c>
      <c r="M17" s="18">
        <v>0</v>
      </c>
      <c r="N17" s="18">
        <v>0</v>
      </c>
      <c r="O17" s="18">
        <v>0</v>
      </c>
      <c r="P17" s="18">
        <v>0</v>
      </c>
      <c r="Q17" s="18">
        <v>0</v>
      </c>
      <c r="R17" s="18">
        <v>0</v>
      </c>
      <c r="S17" s="18">
        <v>0</v>
      </c>
      <c r="T17" s="18">
        <v>0</v>
      </c>
      <c r="U17" s="18">
        <f>G17*'BUNDLE DATA'!$C$46*'BUNDLE DATA'!$D$46</f>
        <v>100</v>
      </c>
      <c r="V17" s="18">
        <f>G17*'BUNDLE DATA'!$C$46*(1-'BUNDLE DATA'!$D$46)</f>
        <v>9900</v>
      </c>
      <c r="W17" s="18">
        <f>(U17+V17)*H17</f>
        <v>61.234942212081585</v>
      </c>
      <c r="X17" s="18">
        <f>(U17+V17-W17)*'BUNDLE DENSITIES'!$O$29</f>
        <v>9938.7650577879176</v>
      </c>
      <c r="Y17" s="18">
        <f t="shared" ref="Y17" si="14">K17+O17+S17+W17</f>
        <v>61.234942212081585</v>
      </c>
      <c r="Z17" s="18">
        <f t="shared" ref="Z17" si="15">L17+P17+T17+X17</f>
        <v>9938.7650577879176</v>
      </c>
      <c r="AA17" s="44">
        <f t="shared" ref="AA17" si="16">Y17+Z17</f>
        <v>10000</v>
      </c>
    </row>
    <row r="18" spans="1:27" x14ac:dyDescent="0.3">
      <c r="A18" s="24" t="s">
        <v>3</v>
      </c>
      <c r="B18" s="24"/>
      <c r="C18" s="24"/>
      <c r="D18" s="24"/>
      <c r="E18" s="44">
        <f>SUM(E17:E17)</f>
        <v>10000</v>
      </c>
      <c r="F18" s="44">
        <f>SUM(F17:F17)</f>
        <v>0</v>
      </c>
      <c r="G18" s="44">
        <f>SUM(G17:G17)</f>
        <v>10000</v>
      </c>
      <c r="H18" s="44"/>
      <c r="I18" s="44">
        <f t="shared" ref="I18:Z18" si="17">SUM(I17:I17)</f>
        <v>0</v>
      </c>
      <c r="J18" s="44">
        <f t="shared" si="17"/>
        <v>0</v>
      </c>
      <c r="K18" s="44">
        <f t="shared" si="17"/>
        <v>0</v>
      </c>
      <c r="L18" s="44">
        <f t="shared" si="17"/>
        <v>0</v>
      </c>
      <c r="M18" s="44">
        <f t="shared" si="17"/>
        <v>0</v>
      </c>
      <c r="N18" s="44">
        <f t="shared" si="17"/>
        <v>0</v>
      </c>
      <c r="O18" s="44">
        <f t="shared" si="17"/>
        <v>0</v>
      </c>
      <c r="P18" s="44">
        <f t="shared" si="17"/>
        <v>0</v>
      </c>
      <c r="Q18" s="44">
        <f t="shared" si="17"/>
        <v>0</v>
      </c>
      <c r="R18" s="44">
        <f t="shared" si="17"/>
        <v>0</v>
      </c>
      <c r="S18" s="44">
        <f t="shared" si="17"/>
        <v>0</v>
      </c>
      <c r="T18" s="44">
        <f t="shared" si="17"/>
        <v>0</v>
      </c>
      <c r="U18" s="44">
        <f t="shared" si="17"/>
        <v>100</v>
      </c>
      <c r="V18" s="44">
        <f t="shared" si="17"/>
        <v>9900</v>
      </c>
      <c r="W18" s="44">
        <f t="shared" si="17"/>
        <v>61.234942212081585</v>
      </c>
      <c r="X18" s="44">
        <f t="shared" si="17"/>
        <v>9938.7650577879176</v>
      </c>
      <c r="Y18" s="44">
        <f t="shared" si="17"/>
        <v>61.234942212081585</v>
      </c>
      <c r="Z18" s="44">
        <f t="shared" si="17"/>
        <v>9938.7650577879176</v>
      </c>
      <c r="AA18" s="44">
        <f>SUM(AA17:AA17)</f>
        <v>10000</v>
      </c>
    </row>
    <row r="19" spans="1:27" x14ac:dyDescent="0.3">
      <c r="L19"/>
      <c r="M19"/>
      <c r="N19"/>
      <c r="O19"/>
      <c r="P19"/>
      <c r="Q19"/>
      <c r="R19"/>
      <c r="S19"/>
      <c r="T19"/>
    </row>
    <row r="20" spans="1:27" x14ac:dyDescent="0.3">
      <c r="L20"/>
      <c r="M20"/>
      <c r="N20"/>
      <c r="O20"/>
      <c r="P20"/>
      <c r="Q20"/>
      <c r="R20"/>
      <c r="S20"/>
      <c r="T20"/>
    </row>
    <row r="21" spans="1:27" x14ac:dyDescent="0.3">
      <c r="L21"/>
      <c r="M21"/>
      <c r="N21"/>
      <c r="O21"/>
      <c r="P21"/>
      <c r="Q21"/>
      <c r="R21"/>
      <c r="S21"/>
      <c r="T21"/>
    </row>
    <row r="22" spans="1:27" x14ac:dyDescent="0.3">
      <c r="K22" s="309"/>
      <c r="L22"/>
      <c r="M22"/>
      <c r="N22"/>
      <c r="O22"/>
      <c r="P22"/>
      <c r="Q22"/>
      <c r="R22"/>
      <c r="S22"/>
      <c r="T22"/>
    </row>
    <row r="23" spans="1:27" x14ac:dyDescent="0.3">
      <c r="L23"/>
      <c r="M23"/>
      <c r="N23"/>
      <c r="O23"/>
      <c r="P23"/>
      <c r="Q23"/>
      <c r="R23"/>
      <c r="S23"/>
      <c r="T23"/>
    </row>
    <row r="24" spans="1:27" x14ac:dyDescent="0.3">
      <c r="L24"/>
      <c r="M24"/>
      <c r="N24"/>
      <c r="O24"/>
      <c r="P24"/>
      <c r="Q24"/>
      <c r="R24"/>
      <c r="S24"/>
      <c r="T24"/>
    </row>
    <row r="25" spans="1:27" x14ac:dyDescent="0.3">
      <c r="L25"/>
      <c r="M25"/>
      <c r="N25"/>
      <c r="O25"/>
      <c r="P25"/>
      <c r="Q25"/>
      <c r="R25"/>
      <c r="S25"/>
      <c r="T25"/>
    </row>
    <row r="26" spans="1:27" x14ac:dyDescent="0.3">
      <c r="L26"/>
      <c r="M26"/>
      <c r="N26"/>
      <c r="O26"/>
      <c r="P26"/>
      <c r="Q26"/>
      <c r="R26"/>
      <c r="S26"/>
      <c r="T26"/>
    </row>
    <row r="27" spans="1:27" x14ac:dyDescent="0.3">
      <c r="L27"/>
      <c r="M27"/>
      <c r="N27"/>
      <c r="O27"/>
      <c r="P27"/>
      <c r="Q27"/>
      <c r="R27"/>
      <c r="S27"/>
      <c r="T27"/>
    </row>
  </sheetData>
  <pageMargins left="0.7" right="0.7" top="0.75" bottom="0.75" header="0.3" footer="0.3"/>
  <pageSetup scale="30" orientation="portrait" r:id="rId1"/>
</worksheet>
</file>

<file path=xl/worksheets/sheet7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52">
    <pageSetUpPr fitToPage="1"/>
  </sheetPr>
  <dimension ref="A1:M133"/>
  <sheetViews>
    <sheetView zoomScale="145" zoomScaleNormal="145" workbookViewId="0"/>
  </sheetViews>
  <sheetFormatPr defaultColWidth="9.1796875" defaultRowHeight="12.5" x14ac:dyDescent="0.25"/>
  <cols>
    <col min="1" max="1" width="26.26953125" customWidth="1"/>
    <col min="2" max="2" width="20.7265625" customWidth="1"/>
    <col min="3" max="3" width="3.54296875" style="13" customWidth="1"/>
    <col min="4" max="4" width="1.81640625" style="13" customWidth="1"/>
    <col min="5" max="5" width="18.26953125" style="13" customWidth="1"/>
    <col min="6" max="6" width="13" customWidth="1"/>
    <col min="7" max="7" width="14.7265625" customWidth="1"/>
    <col min="8" max="8" width="14.1796875" customWidth="1"/>
    <col min="9" max="9" width="16.1796875" customWidth="1"/>
    <col min="10" max="10" width="22.81640625" customWidth="1"/>
    <col min="12" max="12" width="20" bestFit="1" customWidth="1"/>
    <col min="13" max="13" width="22.26953125" bestFit="1" customWidth="1"/>
  </cols>
  <sheetData>
    <row r="1" spans="1:7" ht="18" x14ac:dyDescent="0.4">
      <c r="A1" s="5" t="s">
        <v>168</v>
      </c>
      <c r="E1" s="404"/>
    </row>
    <row r="2" spans="1:7" ht="13" x14ac:dyDescent="0.3">
      <c r="A2" t="str">
        <f>[19]FY25!$F$6</f>
        <v>USPS-FY25-14</v>
      </c>
      <c r="D2" s="405"/>
    </row>
    <row r="3" spans="1:7" ht="13" x14ac:dyDescent="0.3">
      <c r="A3" s="1" t="s">
        <v>236</v>
      </c>
      <c r="C3" s="406"/>
      <c r="D3" s="406"/>
      <c r="E3" s="406" t="s">
        <v>424</v>
      </c>
      <c r="F3" s="407"/>
    </row>
    <row r="4" spans="1:7" ht="13" x14ac:dyDescent="0.3">
      <c r="A4" s="1" t="s">
        <v>237</v>
      </c>
      <c r="B4" s="1" t="s">
        <v>238</v>
      </c>
      <c r="C4" s="14"/>
      <c r="D4" s="14"/>
      <c r="E4" s="14" t="s">
        <v>586</v>
      </c>
      <c r="F4" s="36"/>
    </row>
    <row r="5" spans="1:7" ht="13" x14ac:dyDescent="0.3">
      <c r="B5" s="408"/>
      <c r="E5" s="14"/>
    </row>
    <row r="6" spans="1:7" x14ac:dyDescent="0.25">
      <c r="A6" t="s">
        <v>239</v>
      </c>
      <c r="B6" s="408" t="s">
        <v>234</v>
      </c>
      <c r="E6" s="13">
        <f>[19]FY25!$E6</f>
        <v>0.45568107822005044</v>
      </c>
      <c r="F6" s="13"/>
      <c r="G6" s="13"/>
    </row>
    <row r="7" spans="1:7" x14ac:dyDescent="0.25">
      <c r="B7" s="408"/>
      <c r="F7" s="13"/>
      <c r="G7" s="13"/>
    </row>
    <row r="8" spans="1:7" x14ac:dyDescent="0.25">
      <c r="A8" t="s">
        <v>239</v>
      </c>
      <c r="B8" s="408" t="s">
        <v>529</v>
      </c>
      <c r="E8" s="13">
        <f>[19]FY25!$E8</f>
        <v>0.52503138911228842</v>
      </c>
      <c r="F8" s="13"/>
      <c r="G8" s="13"/>
    </row>
    <row r="9" spans="1:7" x14ac:dyDescent="0.25">
      <c r="B9" s="408"/>
      <c r="F9" s="13"/>
      <c r="G9" s="13"/>
    </row>
    <row r="10" spans="1:7" x14ac:dyDescent="0.25">
      <c r="A10" t="s">
        <v>239</v>
      </c>
      <c r="B10" s="408" t="s">
        <v>235</v>
      </c>
      <c r="E10" s="13">
        <f>[19]FY25!$E10</f>
        <v>1.9287532667661027E-2</v>
      </c>
      <c r="F10" s="13"/>
      <c r="G10" s="13"/>
    </row>
    <row r="11" spans="1:7" x14ac:dyDescent="0.25">
      <c r="F11" s="13"/>
      <c r="G11" s="13"/>
    </row>
    <row r="12" spans="1:7" ht="13" x14ac:dyDescent="0.3">
      <c r="B12" s="145" t="s">
        <v>146</v>
      </c>
      <c r="C12" s="14"/>
      <c r="D12" s="14"/>
      <c r="E12" s="14">
        <f>SUM(E6:E11)</f>
        <v>0.99999999999999989</v>
      </c>
      <c r="F12" s="14"/>
      <c r="G12" s="14"/>
    </row>
    <row r="13" spans="1:7" x14ac:dyDescent="0.25">
      <c r="F13" s="13"/>
      <c r="G13" s="13"/>
    </row>
    <row r="14" spans="1:7" x14ac:dyDescent="0.25">
      <c r="A14" t="s">
        <v>240</v>
      </c>
      <c r="B14" s="408" t="s">
        <v>294</v>
      </c>
      <c r="E14" s="13">
        <f>[19]FY25!$E14</f>
        <v>0.99827140004387094</v>
      </c>
      <c r="F14" s="13"/>
      <c r="G14" s="13"/>
    </row>
    <row r="15" spans="1:7" x14ac:dyDescent="0.25">
      <c r="B15" s="408"/>
      <c r="F15" s="13"/>
      <c r="G15" s="13"/>
    </row>
    <row r="16" spans="1:7" x14ac:dyDescent="0.25">
      <c r="A16" t="s">
        <v>240</v>
      </c>
      <c r="B16" s="408" t="s">
        <v>295</v>
      </c>
      <c r="E16" s="13">
        <f>[19]FY25!$E16</f>
        <v>0</v>
      </c>
      <c r="F16" s="13"/>
      <c r="G16" s="13"/>
    </row>
    <row r="17" spans="1:7" x14ac:dyDescent="0.25">
      <c r="B17" s="408"/>
      <c r="F17" s="13"/>
      <c r="G17" s="13"/>
    </row>
    <row r="18" spans="1:7" x14ac:dyDescent="0.25">
      <c r="A18" t="s">
        <v>240</v>
      </c>
      <c r="B18" s="408" t="s">
        <v>296</v>
      </c>
      <c r="E18" s="13">
        <f>[19]FY25!$E18</f>
        <v>0</v>
      </c>
      <c r="F18" s="13"/>
      <c r="G18" s="13"/>
    </row>
    <row r="19" spans="1:7" x14ac:dyDescent="0.25">
      <c r="B19" s="408"/>
      <c r="F19" s="13"/>
      <c r="G19" s="13"/>
    </row>
    <row r="20" spans="1:7" x14ac:dyDescent="0.25">
      <c r="A20" t="s">
        <v>240</v>
      </c>
      <c r="B20" s="408" t="s">
        <v>70</v>
      </c>
      <c r="E20" s="13">
        <f>[19]FY25!$E20</f>
        <v>1.7285999561292946E-3</v>
      </c>
      <c r="F20" s="13"/>
      <c r="G20" s="13"/>
    </row>
    <row r="21" spans="1:7" x14ac:dyDescent="0.25">
      <c r="B21" s="408"/>
      <c r="F21" s="13"/>
      <c r="G21" s="13"/>
    </row>
    <row r="22" spans="1:7" ht="13" x14ac:dyDescent="0.3">
      <c r="B22" s="145" t="s">
        <v>3</v>
      </c>
      <c r="C22" s="14"/>
      <c r="D22" s="14"/>
      <c r="E22" s="14">
        <f>SUM(E14:E21)</f>
        <v>1.0000000000000002</v>
      </c>
      <c r="F22" s="14"/>
      <c r="G22" s="14"/>
    </row>
    <row r="23" spans="1:7" x14ac:dyDescent="0.25">
      <c r="F23" s="13"/>
      <c r="G23" s="13"/>
    </row>
    <row r="24" spans="1:7" x14ac:dyDescent="0.25">
      <c r="A24" t="s">
        <v>240</v>
      </c>
      <c r="B24" s="408" t="s">
        <v>233</v>
      </c>
      <c r="E24" s="13">
        <f>[19]FY25!$E24</f>
        <v>0.80632998296548686</v>
      </c>
      <c r="F24" s="13"/>
      <c r="G24" s="13"/>
    </row>
    <row r="25" spans="1:7" x14ac:dyDescent="0.25">
      <c r="F25" s="13"/>
      <c r="G25" s="13"/>
    </row>
    <row r="26" spans="1:7" x14ac:dyDescent="0.25">
      <c r="F26" s="13"/>
      <c r="G26" s="13"/>
    </row>
    <row r="27" spans="1:7" ht="13" x14ac:dyDescent="0.3">
      <c r="A27" s="1" t="s">
        <v>241</v>
      </c>
      <c r="F27" s="13"/>
      <c r="G27" s="13"/>
    </row>
    <row r="28" spans="1:7" ht="13" x14ac:dyDescent="0.3">
      <c r="A28" s="1" t="s">
        <v>237</v>
      </c>
      <c r="B28" s="1" t="s">
        <v>238</v>
      </c>
      <c r="C28" s="14"/>
      <c r="D28" s="14"/>
      <c r="E28" s="13" t="str">
        <f>[20]FY24!E28</f>
        <v>USPS Marketing Mail</v>
      </c>
      <c r="F28" s="14"/>
      <c r="G28" s="14"/>
    </row>
    <row r="29" spans="1:7" x14ac:dyDescent="0.25">
      <c r="F29" s="13"/>
      <c r="G29" s="396"/>
    </row>
    <row r="30" spans="1:7" x14ac:dyDescent="0.25">
      <c r="A30" t="s">
        <v>239</v>
      </c>
      <c r="B30" s="408" t="s">
        <v>234</v>
      </c>
      <c r="E30" s="13">
        <f>[19]FY25!E30</f>
        <v>0.44003676844348011</v>
      </c>
      <c r="F30" s="13"/>
      <c r="G30" s="396"/>
    </row>
    <row r="31" spans="1:7" x14ac:dyDescent="0.25">
      <c r="B31" s="408"/>
      <c r="F31" s="13"/>
      <c r="G31" s="396"/>
    </row>
    <row r="32" spans="1:7" x14ac:dyDescent="0.25">
      <c r="A32" t="s">
        <v>239</v>
      </c>
      <c r="B32" s="408" t="s">
        <v>529</v>
      </c>
      <c r="E32" s="13">
        <f>[19]FY25!E32</f>
        <v>0.53193273765822069</v>
      </c>
      <c r="F32" s="13"/>
      <c r="G32" s="396"/>
    </row>
    <row r="33" spans="1:8" x14ac:dyDescent="0.25">
      <c r="B33" s="408"/>
      <c r="F33" s="13"/>
      <c r="G33" s="396"/>
    </row>
    <row r="34" spans="1:8" x14ac:dyDescent="0.25">
      <c r="A34" t="s">
        <v>239</v>
      </c>
      <c r="B34" s="408" t="s">
        <v>70</v>
      </c>
      <c r="E34" s="13">
        <f>[19]FY25!E34</f>
        <v>2.8030493898299046E-2</v>
      </c>
      <c r="F34" s="13"/>
      <c r="G34" s="396"/>
    </row>
    <row r="35" spans="1:8" x14ac:dyDescent="0.25">
      <c r="F35" s="13"/>
      <c r="G35" s="396"/>
    </row>
    <row r="36" spans="1:8" ht="13" x14ac:dyDescent="0.3">
      <c r="B36" s="145" t="s">
        <v>146</v>
      </c>
      <c r="C36" s="14"/>
      <c r="D36" s="14"/>
      <c r="E36" s="14">
        <f>SUM(E30:E35)</f>
        <v>0.99999999999999989</v>
      </c>
      <c r="F36" s="14"/>
      <c r="G36" s="396"/>
    </row>
    <row r="37" spans="1:8" x14ac:dyDescent="0.25">
      <c r="F37" s="13"/>
      <c r="G37" s="396"/>
    </row>
    <row r="38" spans="1:8" x14ac:dyDescent="0.25">
      <c r="A38" t="s">
        <v>240</v>
      </c>
      <c r="B38" s="408" t="s">
        <v>294</v>
      </c>
      <c r="E38" s="13">
        <f>[19]FY25!E38</f>
        <v>0.994028666735148</v>
      </c>
      <c r="F38" s="13"/>
      <c r="G38" s="396"/>
      <c r="H38" s="4"/>
    </row>
    <row r="39" spans="1:8" x14ac:dyDescent="0.25">
      <c r="B39" s="408"/>
      <c r="F39" s="13"/>
      <c r="G39" s="396"/>
    </row>
    <row r="40" spans="1:8" x14ac:dyDescent="0.25">
      <c r="A40" t="s">
        <v>240</v>
      </c>
      <c r="B40" s="408" t="s">
        <v>295</v>
      </c>
      <c r="E40" s="13">
        <f>[19]FY25!E40</f>
        <v>0</v>
      </c>
      <c r="F40" s="13"/>
      <c r="G40" s="396"/>
      <c r="H40" s="4"/>
    </row>
    <row r="41" spans="1:8" x14ac:dyDescent="0.25">
      <c r="B41" s="408"/>
      <c r="F41" s="13"/>
      <c r="G41" s="396"/>
    </row>
    <row r="42" spans="1:8" x14ac:dyDescent="0.25">
      <c r="A42" t="s">
        <v>240</v>
      </c>
      <c r="B42" s="408" t="s">
        <v>296</v>
      </c>
      <c r="E42" s="13">
        <f>[19]FY25!E42</f>
        <v>0</v>
      </c>
      <c r="F42" s="13"/>
      <c r="G42" s="13"/>
      <c r="H42" s="4"/>
    </row>
    <row r="43" spans="1:8" x14ac:dyDescent="0.25">
      <c r="B43" s="408"/>
      <c r="F43" s="13"/>
      <c r="G43" s="13"/>
    </row>
    <row r="44" spans="1:8" x14ac:dyDescent="0.25">
      <c r="A44" t="s">
        <v>240</v>
      </c>
      <c r="B44" s="408" t="s">
        <v>70</v>
      </c>
      <c r="E44" s="13">
        <f>[19]FY25!E44</f>
        <v>5.9713332648533689E-3</v>
      </c>
      <c r="F44" s="13"/>
      <c r="G44" s="13"/>
      <c r="H44" s="4"/>
    </row>
    <row r="45" spans="1:8" x14ac:dyDescent="0.25">
      <c r="B45" s="408"/>
      <c r="F45" s="13"/>
      <c r="G45" s="13"/>
    </row>
    <row r="46" spans="1:8" ht="13" x14ac:dyDescent="0.3">
      <c r="B46" s="145" t="s">
        <v>146</v>
      </c>
      <c r="C46" s="14"/>
      <c r="D46" s="14"/>
      <c r="E46" s="14">
        <f>SUM(E38:E45)</f>
        <v>1.0000000000000013</v>
      </c>
      <c r="F46" s="14"/>
      <c r="G46" s="14"/>
    </row>
    <row r="47" spans="1:8" x14ac:dyDescent="0.25">
      <c r="F47" s="13"/>
      <c r="G47" s="13"/>
    </row>
    <row r="48" spans="1:8" x14ac:dyDescent="0.25">
      <c r="A48" t="s">
        <v>240</v>
      </c>
      <c r="B48" s="408" t="s">
        <v>233</v>
      </c>
      <c r="E48" s="13">
        <f>[19]FY25!E48</f>
        <v>0.78144447315788113</v>
      </c>
      <c r="F48" s="409"/>
      <c r="G48" s="409"/>
    </row>
    <row r="50" spans="1:13" ht="13" x14ac:dyDescent="0.3">
      <c r="A50" s="1" t="s">
        <v>375</v>
      </c>
    </row>
    <row r="51" spans="1:13" ht="13" x14ac:dyDescent="0.3">
      <c r="A51" s="1"/>
    </row>
    <row r="52" spans="1:13" ht="13" x14ac:dyDescent="0.3">
      <c r="A52" t="s">
        <v>240</v>
      </c>
      <c r="B52" s="33" t="s">
        <v>366</v>
      </c>
      <c r="E52" s="13">
        <f>E79</f>
        <v>0</v>
      </c>
      <c r="F52" s="407" t="s">
        <v>418</v>
      </c>
      <c r="G52" s="4"/>
      <c r="H52" s="4"/>
      <c r="L52" s="410"/>
      <c r="M52" s="411"/>
    </row>
    <row r="53" spans="1:13" x14ac:dyDescent="0.25">
      <c r="G53" s="4"/>
      <c r="H53" s="4"/>
    </row>
    <row r="54" spans="1:13" x14ac:dyDescent="0.25">
      <c r="A54" t="str">
        <f>A38</f>
        <v>Piece Distribution</v>
      </c>
      <c r="B54" t="str">
        <f>B38</f>
        <v>AFSM100 Only</v>
      </c>
      <c r="E54" s="13">
        <f>(E$38+E$42-E$52)*(E38/(E$38+E$42))</f>
        <v>0.994028666735148</v>
      </c>
      <c r="G54" s="4"/>
      <c r="H54" s="4"/>
      <c r="I54" s="4"/>
      <c r="J54" s="4"/>
      <c r="L54" s="410"/>
      <c r="M54" s="411"/>
    </row>
    <row r="55" spans="1:13" x14ac:dyDescent="0.25">
      <c r="G55" s="4"/>
      <c r="H55" s="4"/>
      <c r="I55" s="4"/>
    </row>
    <row r="56" spans="1:13" x14ac:dyDescent="0.25">
      <c r="A56" t="str">
        <f>A40</f>
        <v>Piece Distribution</v>
      </c>
      <c r="B56" t="str">
        <f>B40</f>
        <v>UFSM1000 Only</v>
      </c>
      <c r="E56" s="13">
        <f>E40</f>
        <v>0</v>
      </c>
      <c r="G56" s="4"/>
      <c r="H56" s="4"/>
      <c r="I56" s="4"/>
      <c r="J56" s="4"/>
      <c r="L56" s="410"/>
      <c r="M56" s="411"/>
    </row>
    <row r="57" spans="1:13" x14ac:dyDescent="0.25">
      <c r="G57" s="4"/>
      <c r="H57" s="4"/>
      <c r="I57" s="4"/>
    </row>
    <row r="58" spans="1:13" x14ac:dyDescent="0.25">
      <c r="A58" t="str">
        <f>A42</f>
        <v>Piece Distribution</v>
      </c>
      <c r="B58" t="str">
        <f>B42</f>
        <v>AFSM100 / UFSM1000</v>
      </c>
      <c r="E58" s="13">
        <f>(E$38+E$42-E$52)*(E42/(E$38+E$42))</f>
        <v>0</v>
      </c>
      <c r="G58" s="412"/>
      <c r="H58" s="4"/>
      <c r="I58" s="4"/>
      <c r="J58" s="4"/>
      <c r="L58" s="410"/>
      <c r="M58" s="411"/>
    </row>
    <row r="59" spans="1:13" x14ac:dyDescent="0.25">
      <c r="G59" s="4"/>
      <c r="H59" s="4"/>
    </row>
    <row r="60" spans="1:13" x14ac:dyDescent="0.25">
      <c r="A60" t="str">
        <f>A44</f>
        <v>Piece Distribution</v>
      </c>
      <c r="B60" t="str">
        <f>B44</f>
        <v>Manual</v>
      </c>
      <c r="E60" s="13">
        <f>E44</f>
        <v>5.9713332648533689E-3</v>
      </c>
      <c r="G60" s="4"/>
      <c r="H60" s="4"/>
      <c r="I60" s="4"/>
    </row>
    <row r="62" spans="1:13" ht="13" x14ac:dyDescent="0.3">
      <c r="B62" s="1" t="s">
        <v>146</v>
      </c>
      <c r="C62" s="14"/>
      <c r="D62" s="14"/>
      <c r="E62" s="14">
        <f>SUM(E52:E60)</f>
        <v>1.0000000000000013</v>
      </c>
    </row>
    <row r="63" spans="1:13" ht="13" x14ac:dyDescent="0.3">
      <c r="B63" s="1"/>
      <c r="C63" s="14"/>
      <c r="D63" s="14"/>
      <c r="E63" s="14"/>
    </row>
    <row r="64" spans="1:13" ht="13" x14ac:dyDescent="0.3">
      <c r="B64" s="1"/>
      <c r="C64" s="14"/>
      <c r="D64" s="14"/>
      <c r="E64" s="14"/>
    </row>
    <row r="65" spans="1:8" ht="13" x14ac:dyDescent="0.3">
      <c r="A65" s="1" t="s">
        <v>482</v>
      </c>
      <c r="B65" s="1"/>
      <c r="C65" s="14"/>
      <c r="D65" s="14"/>
      <c r="E65" s="14"/>
    </row>
    <row r="66" spans="1:8" ht="13" x14ac:dyDescent="0.3">
      <c r="B66" s="1"/>
      <c r="C66" s="14"/>
      <c r="D66" s="14"/>
      <c r="E66" s="14"/>
    </row>
    <row r="67" spans="1:8" x14ac:dyDescent="0.25">
      <c r="A67" t="str">
        <f>A54</f>
        <v>Piece Distribution</v>
      </c>
      <c r="B67" t="str">
        <f>B54</f>
        <v>AFSM100 Only</v>
      </c>
      <c r="E67" s="13">
        <f>E54/SUM($E$54:$E$60)</f>
        <v>0.99402866673514667</v>
      </c>
      <c r="G67" s="4"/>
      <c r="H67" s="4"/>
    </row>
    <row r="68" spans="1:8" x14ac:dyDescent="0.25">
      <c r="G68" s="4"/>
    </row>
    <row r="69" spans="1:8" x14ac:dyDescent="0.25">
      <c r="A69" t="str">
        <f>A56</f>
        <v>Piece Distribution</v>
      </c>
      <c r="B69" t="str">
        <f>B56</f>
        <v>UFSM1000 Only</v>
      </c>
      <c r="E69" s="13">
        <f>E56/SUM($E$54:$E$60)</f>
        <v>0</v>
      </c>
      <c r="G69" s="4"/>
      <c r="H69" s="4"/>
    </row>
    <row r="70" spans="1:8" x14ac:dyDescent="0.25">
      <c r="G70" s="4"/>
    </row>
    <row r="71" spans="1:8" x14ac:dyDescent="0.25">
      <c r="A71" t="str">
        <f>A58</f>
        <v>Piece Distribution</v>
      </c>
      <c r="B71" t="str">
        <f>B58</f>
        <v>AFSM100 / UFSM1000</v>
      </c>
      <c r="E71" s="13">
        <f>E58/SUM($E$54:$E$60)</f>
        <v>0</v>
      </c>
      <c r="G71" s="4"/>
      <c r="H71" s="4"/>
    </row>
    <row r="73" spans="1:8" x14ac:dyDescent="0.25">
      <c r="A73" t="str">
        <f>A60</f>
        <v>Piece Distribution</v>
      </c>
      <c r="B73" t="str">
        <f>B60</f>
        <v>Manual</v>
      </c>
      <c r="E73" s="13">
        <f>E60/SUM($E$54:$E$60)</f>
        <v>5.9713332648533611E-3</v>
      </c>
      <c r="H73" s="4"/>
    </row>
    <row r="75" spans="1:8" ht="13" x14ac:dyDescent="0.3">
      <c r="B75" s="1" t="s">
        <v>146</v>
      </c>
      <c r="C75" s="14"/>
      <c r="D75" s="14"/>
      <c r="E75" s="14">
        <f>SUM(E65:E73)</f>
        <v>1</v>
      </c>
    </row>
    <row r="76" spans="1:8" ht="13" x14ac:dyDescent="0.3">
      <c r="B76" s="1"/>
      <c r="C76" s="14"/>
      <c r="D76" s="14"/>
      <c r="E76" s="14"/>
    </row>
    <row r="77" spans="1:8" ht="13" x14ac:dyDescent="0.3">
      <c r="B77" s="1"/>
      <c r="C77" s="14"/>
      <c r="D77" s="14"/>
      <c r="E77" s="14"/>
    </row>
    <row r="78" spans="1:8" ht="13" x14ac:dyDescent="0.3">
      <c r="B78" s="1"/>
      <c r="C78" s="14"/>
      <c r="D78" s="14"/>
      <c r="E78" s="14"/>
    </row>
    <row r="79" spans="1:8" x14ac:dyDescent="0.25">
      <c r="A79" t="s">
        <v>427</v>
      </c>
      <c r="B79" s="33"/>
      <c r="E79" s="13">
        <f>B95</f>
        <v>0</v>
      </c>
    </row>
    <row r="80" spans="1:8" ht="13" x14ac:dyDescent="0.3">
      <c r="A80" t="s">
        <v>446</v>
      </c>
      <c r="E80" s="13">
        <v>0</v>
      </c>
      <c r="F80" s="1" t="s">
        <v>466</v>
      </c>
    </row>
    <row r="81" spans="1:11" ht="13" x14ac:dyDescent="0.3">
      <c r="A81" s="407"/>
    </row>
    <row r="82" spans="1:11" ht="13" x14ac:dyDescent="0.3">
      <c r="A82" s="1"/>
    </row>
    <row r="83" spans="1:11" ht="13" x14ac:dyDescent="0.3">
      <c r="A83" s="1"/>
    </row>
    <row r="86" spans="1:11" ht="13" x14ac:dyDescent="0.3">
      <c r="B86" s="155"/>
      <c r="C86"/>
      <c r="H86" s="407" t="s">
        <v>425</v>
      </c>
      <c r="I86" t="s">
        <v>577</v>
      </c>
    </row>
    <row r="87" spans="1:11" x14ac:dyDescent="0.25">
      <c r="C87"/>
      <c r="H87" t="s">
        <v>447</v>
      </c>
      <c r="I87" t="s">
        <v>448</v>
      </c>
      <c r="J87" t="s">
        <v>449</v>
      </c>
      <c r="K87" t="s">
        <v>450</v>
      </c>
    </row>
    <row r="88" spans="1:11" x14ac:dyDescent="0.25">
      <c r="C88"/>
      <c r="H88" t="s">
        <v>451</v>
      </c>
    </row>
    <row r="89" spans="1:11" ht="13" x14ac:dyDescent="0.3">
      <c r="B89" s="2"/>
      <c r="C89" s="2"/>
      <c r="E89" s="302"/>
      <c r="G89" t="s">
        <v>578</v>
      </c>
      <c r="H89" s="3" t="s">
        <v>523</v>
      </c>
      <c r="I89" s="295"/>
      <c r="J89" s="2"/>
      <c r="K89" s="295">
        <v>0</v>
      </c>
    </row>
    <row r="90" spans="1:11" x14ac:dyDescent="0.25">
      <c r="B90" s="2"/>
      <c r="C90" s="2"/>
      <c r="E90" s="302"/>
      <c r="G90" t="s">
        <v>3</v>
      </c>
      <c r="H90" s="2"/>
      <c r="I90" s="295"/>
      <c r="J90" s="2"/>
      <c r="K90" s="295"/>
    </row>
    <row r="91" spans="1:11" x14ac:dyDescent="0.25">
      <c r="B91" s="2"/>
      <c r="C91" s="2"/>
      <c r="E91" s="302"/>
    </row>
    <row r="92" spans="1:11" x14ac:dyDescent="0.25">
      <c r="C92" s="2"/>
      <c r="E92" s="302"/>
    </row>
    <row r="93" spans="1:11" x14ac:dyDescent="0.25">
      <c r="A93" t="s">
        <v>428</v>
      </c>
      <c r="B93" s="2">
        <v>0</v>
      </c>
      <c r="C93" s="2"/>
      <c r="G93" s="391" t="s">
        <v>626</v>
      </c>
    </row>
    <row r="94" spans="1:11" x14ac:dyDescent="0.25">
      <c r="C94"/>
    </row>
    <row r="95" spans="1:11" ht="38" x14ac:dyDescent="0.3">
      <c r="A95" s="413" t="s">
        <v>436</v>
      </c>
      <c r="B95" s="295">
        <f>K89</f>
        <v>0</v>
      </c>
      <c r="C95" s="407" t="s">
        <v>418</v>
      </c>
    </row>
    <row r="96" spans="1:11" x14ac:dyDescent="0.25">
      <c r="C96"/>
      <c r="D96"/>
      <c r="E96"/>
    </row>
    <row r="97" spans="1:5" ht="13" x14ac:dyDescent="0.3">
      <c r="A97" s="407" t="s">
        <v>424</v>
      </c>
      <c r="B97" s="155" t="s">
        <v>640</v>
      </c>
      <c r="C97"/>
      <c r="D97"/>
      <c r="E97"/>
    </row>
    <row r="98" spans="1:5" ht="13" x14ac:dyDescent="0.3">
      <c r="A98" s="407" t="s">
        <v>418</v>
      </c>
      <c r="B98" t="s">
        <v>429</v>
      </c>
      <c r="C98"/>
      <c r="D98"/>
      <c r="E98"/>
    </row>
    <row r="99" spans="1:5" ht="13" x14ac:dyDescent="0.3">
      <c r="A99" s="407" t="s">
        <v>425</v>
      </c>
      <c r="B99" t="s">
        <v>618</v>
      </c>
    </row>
    <row r="100" spans="1:5" x14ac:dyDescent="0.25">
      <c r="A100" s="414"/>
    </row>
    <row r="101" spans="1:5" x14ac:dyDescent="0.25">
      <c r="A101" s="13"/>
    </row>
    <row r="102" spans="1:5" ht="13" x14ac:dyDescent="0.3">
      <c r="A102" s="1" t="s">
        <v>483</v>
      </c>
    </row>
    <row r="104" spans="1:5" x14ac:dyDescent="0.25">
      <c r="A104" t="s">
        <v>543</v>
      </c>
      <c r="B104" s="408" t="s">
        <v>478</v>
      </c>
      <c r="E104" s="13">
        <f>E107/E105</f>
        <v>0.95674967221162344</v>
      </c>
    </row>
    <row r="105" spans="1:5" x14ac:dyDescent="0.25">
      <c r="B105" t="s">
        <v>479</v>
      </c>
      <c r="E105" s="13">
        <f>SUM(E52:E58)</f>
        <v>0.994028666735148</v>
      </c>
    </row>
    <row r="106" spans="1:5" x14ac:dyDescent="0.25">
      <c r="B106" s="408" t="s">
        <v>480</v>
      </c>
      <c r="E106" s="13">
        <f>1-E104*E105</f>
        <v>4.8963398932190039E-2</v>
      </c>
    </row>
    <row r="107" spans="1:5" x14ac:dyDescent="0.25">
      <c r="B107" t="s">
        <v>481</v>
      </c>
      <c r="E107" s="13">
        <f>[21]Summary!$K$18</f>
        <v>0.95103660106780996</v>
      </c>
    </row>
    <row r="110" spans="1:5" ht="13" x14ac:dyDescent="0.3">
      <c r="A110" s="1" t="s">
        <v>484</v>
      </c>
    </row>
    <row r="112" spans="1:5" x14ac:dyDescent="0.25">
      <c r="A112" t="s">
        <v>477</v>
      </c>
      <c r="B112" s="408" t="s">
        <v>478</v>
      </c>
      <c r="E112" s="13">
        <f>E115/E113</f>
        <v>0.95674967221162488</v>
      </c>
    </row>
    <row r="113" spans="1:9" x14ac:dyDescent="0.25">
      <c r="B113" t="s">
        <v>479</v>
      </c>
      <c r="E113" s="415">
        <f>SUM(E54:E58)/SUM(E54:E60)</f>
        <v>0.99402866673514667</v>
      </c>
    </row>
    <row r="114" spans="1:9" x14ac:dyDescent="0.25">
      <c r="B114" s="408" t="s">
        <v>480</v>
      </c>
      <c r="E114" s="13">
        <f>E106/SUM(E54:E60)</f>
        <v>4.8963398932189976E-2</v>
      </c>
    </row>
    <row r="115" spans="1:9" x14ac:dyDescent="0.25">
      <c r="B115" t="s">
        <v>481</v>
      </c>
      <c r="E115" s="13">
        <f>1-E114</f>
        <v>0.95103660106781007</v>
      </c>
    </row>
    <row r="118" spans="1:9" x14ac:dyDescent="0.25">
      <c r="A118" s="155"/>
    </row>
    <row r="119" spans="1:9" ht="13" x14ac:dyDescent="0.3">
      <c r="A119" s="1" t="s">
        <v>516</v>
      </c>
      <c r="B119" s="416">
        <v>0</v>
      </c>
    </row>
    <row r="123" spans="1:9" ht="13" x14ac:dyDescent="0.3">
      <c r="E123" s="32" t="s">
        <v>629</v>
      </c>
    </row>
    <row r="124" spans="1:9" ht="13" thickBot="1" x14ac:dyDescent="0.3">
      <c r="F124" s="417" t="s">
        <v>519</v>
      </c>
      <c r="G124" s="417" t="s">
        <v>520</v>
      </c>
      <c r="H124" s="417" t="s">
        <v>226</v>
      </c>
      <c r="I124" s="417" t="s">
        <v>521</v>
      </c>
    </row>
    <row r="125" spans="1:9" x14ac:dyDescent="0.25">
      <c r="E125" s="409" t="s">
        <v>517</v>
      </c>
      <c r="F125" s="418">
        <f>'FY VOLUME AUTO'!H35</f>
        <v>1070002676.8604578</v>
      </c>
      <c r="G125" s="419">
        <f>'FY VOLUME NONAUTO'!H43</f>
        <v>31525903.478505421</v>
      </c>
      <c r="H125" s="419"/>
      <c r="I125" s="420"/>
    </row>
    <row r="126" spans="1:9" x14ac:dyDescent="0.25">
      <c r="D126" s="409"/>
      <c r="E126" s="409" t="s">
        <v>473</v>
      </c>
      <c r="F126" s="421">
        <v>0</v>
      </c>
      <c r="G126" s="2">
        <v>0</v>
      </c>
      <c r="H126" s="2">
        <v>0</v>
      </c>
      <c r="I126" s="422"/>
    </row>
    <row r="127" spans="1:9" ht="13" thickBot="1" x14ac:dyDescent="0.3">
      <c r="E127" s="409" t="s">
        <v>518</v>
      </c>
      <c r="F127" s="423"/>
      <c r="G127" s="424"/>
      <c r="H127" s="424">
        <f>'FY VOLUME CR'!H13</f>
        <v>2425319811.6657734</v>
      </c>
      <c r="I127" s="425">
        <f>'FY VOLUME CR'!H19</f>
        <v>309084163.27019238</v>
      </c>
    </row>
    <row r="129" spans="5:9" x14ac:dyDescent="0.25">
      <c r="E129" s="409" t="s">
        <v>542</v>
      </c>
      <c r="F129" s="347">
        <f>F126/SUM(F125:F127)</f>
        <v>0</v>
      </c>
      <c r="G129" s="347">
        <f t="shared" ref="G129:I129" si="0">G126/SUM(G125:G127)</f>
        <v>0</v>
      </c>
      <c r="H129" s="347">
        <f t="shared" si="0"/>
        <v>0</v>
      </c>
      <c r="I129" s="347">
        <f t="shared" si="0"/>
        <v>0</v>
      </c>
    </row>
    <row r="132" spans="5:9" x14ac:dyDescent="0.25">
      <c r="F132" s="2"/>
    </row>
    <row r="133" spans="5:9" x14ac:dyDescent="0.25">
      <c r="F133" s="2"/>
    </row>
  </sheetData>
  <phoneticPr fontId="0" type="noConversion"/>
  <printOptions horizontalCentered="1"/>
  <pageMargins left="0.75" right="0.75" top="1" bottom="1" header="0.5" footer="0.5"/>
  <pageSetup scale="39" firstPageNumber="76" orientation="portrait" useFirstPageNumber="1" r:id="rId1"/>
  <headerFooter alignWithMargins="0">
    <oddFooter>&amp;CTab-'&amp;A'&amp;RPage 28</oddFooter>
  </headerFooter>
  <ignoredErrors>
    <ignoredError sqref="F52 E3 C95 H86" numberStoredAsText="1"/>
  </ignoredErrors>
</worksheet>
</file>

<file path=xl/worksheets/sheet7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50">
    <pageSetUpPr fitToPage="1"/>
  </sheetPr>
  <dimension ref="A1:R46"/>
  <sheetViews>
    <sheetView zoomScale="160" zoomScaleNormal="160" workbookViewId="0"/>
  </sheetViews>
  <sheetFormatPr defaultRowHeight="12.5" x14ac:dyDescent="0.25"/>
  <cols>
    <col min="1" max="1" width="5.26953125" customWidth="1"/>
    <col min="4" max="4" width="2.7265625" customWidth="1"/>
    <col min="5" max="5" width="10.7265625" style="12" customWidth="1"/>
    <col min="6" max="6" width="2.7265625" style="12" customWidth="1"/>
    <col min="7" max="7" width="10.7265625" style="12" customWidth="1"/>
    <col min="8" max="8" width="2.7265625" style="12" customWidth="1"/>
    <col min="9" max="9" width="10.7265625" style="12" customWidth="1"/>
    <col min="10" max="10" width="2.7265625" style="12" customWidth="1"/>
    <col min="11" max="11" width="10.7265625" style="12" customWidth="1"/>
    <col min="12" max="12" width="2.7265625" style="12" customWidth="1"/>
    <col min="13" max="13" width="10.7265625" style="12" customWidth="1"/>
    <col min="14" max="14" width="2.7265625" style="12" customWidth="1"/>
    <col min="15" max="15" width="10.7265625" style="12" customWidth="1"/>
    <col min="16" max="16" width="4.1796875" customWidth="1"/>
    <col min="17" max="18" width="9.81640625" customWidth="1"/>
  </cols>
  <sheetData>
    <row r="1" spans="1:17" s="1" customFormat="1" ht="18" x14ac:dyDescent="0.4">
      <c r="A1" s="5" t="s">
        <v>454</v>
      </c>
      <c r="E1" s="10"/>
      <c r="F1" s="11"/>
      <c r="G1" s="11"/>
      <c r="H1" s="11"/>
      <c r="I1" s="11"/>
      <c r="J1" s="11"/>
      <c r="K1" s="11"/>
      <c r="L1" s="11"/>
      <c r="M1" s="11"/>
      <c r="N1" s="11"/>
      <c r="O1" s="11"/>
    </row>
    <row r="2" spans="1:17" s="1" customFormat="1" ht="15.5" x14ac:dyDescent="0.35">
      <c r="A2" s="53" t="s">
        <v>426</v>
      </c>
      <c r="E2" s="10"/>
      <c r="F2" s="11"/>
      <c r="G2" s="11"/>
      <c r="H2" s="11"/>
      <c r="I2" s="11"/>
      <c r="J2" s="11"/>
      <c r="K2" s="11"/>
      <c r="L2" s="11"/>
      <c r="M2" s="11"/>
      <c r="N2" s="11"/>
      <c r="O2" s="11"/>
    </row>
    <row r="3" spans="1:17" x14ac:dyDescent="0.25">
      <c r="A3" t="str">
        <f>'[8]USPS MM BUNDLE DENSITIES'!A1</f>
        <v>USPS-FY25-14</v>
      </c>
    </row>
    <row r="4" spans="1:17" s="1" customFormat="1" ht="13" x14ac:dyDescent="0.3">
      <c r="A4" t="str">
        <f>'[8]USPS MM BUNDLE DENSITIES'!A2</f>
        <v>Table MCS - 12</v>
      </c>
      <c r="E4" s="11"/>
      <c r="F4" s="11"/>
      <c r="G4" s="11"/>
      <c r="H4" s="11"/>
      <c r="I4" s="11"/>
      <c r="J4" s="11"/>
      <c r="K4" s="11"/>
      <c r="L4" s="11"/>
      <c r="M4" s="11"/>
      <c r="N4" s="11"/>
      <c r="O4" s="11"/>
    </row>
    <row r="5" spans="1:17" s="6" customFormat="1" ht="26" x14ac:dyDescent="0.3">
      <c r="E5" s="248" t="s">
        <v>272</v>
      </c>
      <c r="F5" s="248"/>
      <c r="G5" s="248" t="s">
        <v>273</v>
      </c>
      <c r="H5" s="248"/>
      <c r="I5" s="248" t="s">
        <v>274</v>
      </c>
      <c r="J5" s="248"/>
      <c r="K5" s="248" t="s">
        <v>275</v>
      </c>
      <c r="L5" s="248"/>
      <c r="M5" s="248" t="s">
        <v>473</v>
      </c>
      <c r="N5" s="248"/>
      <c r="O5" s="248" t="s">
        <v>276</v>
      </c>
    </row>
    <row r="6" spans="1:17" s="7" customFormat="1" x14ac:dyDescent="0.25">
      <c r="B6" s="7" t="s">
        <v>223</v>
      </c>
      <c r="E6" s="12" t="s">
        <v>197</v>
      </c>
      <c r="F6" s="12"/>
      <c r="G6" s="12" t="s">
        <v>198</v>
      </c>
      <c r="H6" s="12"/>
      <c r="I6" s="12" t="s">
        <v>224</v>
      </c>
      <c r="J6" s="12"/>
      <c r="K6" s="12" t="s">
        <v>225</v>
      </c>
      <c r="L6" s="12"/>
      <c r="M6" s="12"/>
      <c r="N6" s="12"/>
      <c r="O6" s="12" t="s">
        <v>226</v>
      </c>
      <c r="P6" s="8"/>
    </row>
    <row r="7" spans="1:17" x14ac:dyDescent="0.25">
      <c r="B7" t="s">
        <v>227</v>
      </c>
      <c r="E7" s="249">
        <f>'[8]USPS MM BUNDLE DENSITIES'!E9</f>
        <v>1</v>
      </c>
      <c r="F7" s="249"/>
      <c r="G7" s="249">
        <f>'[8]USPS MM BUNDLE DENSITIES'!G9</f>
        <v>6.5742015358908445E-2</v>
      </c>
      <c r="H7" s="249"/>
      <c r="I7" s="249">
        <f>'[8]USPS MM BUNDLE DENSITIES'!I9</f>
        <v>5.7678456551362542E-2</v>
      </c>
      <c r="J7" s="249"/>
      <c r="K7" s="249">
        <v>0</v>
      </c>
      <c r="L7" s="249"/>
      <c r="M7" s="249">
        <v>0</v>
      </c>
      <c r="N7" s="249"/>
      <c r="O7" s="249"/>
    </row>
    <row r="8" spans="1:17" x14ac:dyDescent="0.25">
      <c r="B8" t="s">
        <v>198</v>
      </c>
      <c r="E8" s="249"/>
      <c r="F8" s="249"/>
      <c r="G8" s="249">
        <f>'[8]USPS MM BUNDLE DENSITIES'!G10</f>
        <v>0.93425798464109155</v>
      </c>
      <c r="H8" s="249"/>
      <c r="I8" s="249">
        <f>'[8]USPS MM BUNDLE DENSITIES'!I10</f>
        <v>0.93652546899619116</v>
      </c>
      <c r="J8" s="249"/>
      <c r="K8" s="249">
        <f>'[8]USPS MM BUNDLE DENSITIES'!K10</f>
        <v>0.92676782777694722</v>
      </c>
      <c r="L8" s="249"/>
      <c r="M8" s="249">
        <v>0</v>
      </c>
      <c r="N8" s="249"/>
      <c r="O8" s="249">
        <f>'[8]USPS MM BUNDLE DENSITIES'!O10</f>
        <v>0.92676782777694722</v>
      </c>
      <c r="Q8" s="256"/>
    </row>
    <row r="9" spans="1:17" x14ac:dyDescent="0.25">
      <c r="B9" t="s">
        <v>224</v>
      </c>
      <c r="E9" s="249"/>
      <c r="F9" s="249"/>
      <c r="G9" s="249"/>
      <c r="H9" s="249"/>
      <c r="I9" s="249">
        <f>'[8]USPS MM BUNDLE DENSITIES'!I11</f>
        <v>5.7960744524463322E-3</v>
      </c>
      <c r="J9" s="249"/>
      <c r="K9" s="249">
        <f>'[8]USPS MM BUNDLE DENSITIES'!K11</f>
        <v>1.378382418896696E-2</v>
      </c>
      <c r="L9" s="249"/>
      <c r="M9" s="249">
        <v>0</v>
      </c>
      <c r="N9" s="249"/>
      <c r="O9" s="249">
        <f>'[8]USPS MM BUNDLE DENSITIES'!O11</f>
        <v>1.378382418896696E-2</v>
      </c>
    </row>
    <row r="10" spans="1:17" x14ac:dyDescent="0.25">
      <c r="B10" t="s">
        <v>225</v>
      </c>
      <c r="E10" s="249"/>
      <c r="F10" s="249"/>
      <c r="G10" s="249"/>
      <c r="H10" s="249"/>
      <c r="I10" s="249"/>
      <c r="J10" s="249"/>
      <c r="K10" s="249">
        <f>'[8]USPS MM BUNDLE DENSITIES'!K12</f>
        <v>5.9448348034085816E-2</v>
      </c>
      <c r="L10" s="249"/>
      <c r="M10" s="249">
        <v>0</v>
      </c>
      <c r="N10" s="249"/>
      <c r="O10" s="249">
        <f>'[8]USPS MM BUNDLE DENSITIES'!O12</f>
        <v>5.9448348034085816E-2</v>
      </c>
    </row>
    <row r="11" spans="1:17" x14ac:dyDescent="0.25">
      <c r="B11" t="s">
        <v>226</v>
      </c>
      <c r="E11" s="249"/>
      <c r="F11" s="249"/>
      <c r="G11" s="249"/>
      <c r="H11" s="249"/>
      <c r="I11" s="249"/>
      <c r="J11" s="249"/>
      <c r="K11" s="249"/>
      <c r="L11" s="249"/>
      <c r="M11" s="249">
        <v>0</v>
      </c>
      <c r="N11" s="249"/>
      <c r="O11" s="249"/>
    </row>
    <row r="12" spans="1:17" x14ac:dyDescent="0.25">
      <c r="E12" s="249">
        <f>SUM(E7:E11)</f>
        <v>1</v>
      </c>
      <c r="F12" s="249"/>
      <c r="G12" s="249">
        <f t="shared" ref="G12:O12" si="0">SUM(G7:G11)</f>
        <v>1</v>
      </c>
      <c r="H12" s="249"/>
      <c r="I12" s="249">
        <f t="shared" si="0"/>
        <v>1</v>
      </c>
      <c r="J12" s="249"/>
      <c r="K12" s="249">
        <f t="shared" si="0"/>
        <v>1</v>
      </c>
      <c r="L12" s="249"/>
      <c r="M12" s="249">
        <f t="shared" si="0"/>
        <v>0</v>
      </c>
      <c r="N12" s="249"/>
      <c r="O12" s="249">
        <f t="shared" si="0"/>
        <v>1</v>
      </c>
      <c r="P12" s="249"/>
    </row>
    <row r="13" spans="1:17" x14ac:dyDescent="0.25">
      <c r="E13" s="249"/>
      <c r="F13" s="249"/>
      <c r="G13" s="249"/>
      <c r="H13" s="249"/>
      <c r="I13" s="249"/>
      <c r="J13" s="249"/>
      <c r="K13" s="249"/>
      <c r="L13" s="249"/>
      <c r="M13" s="249">
        <v>0</v>
      </c>
      <c r="N13" s="249"/>
      <c r="O13" s="249"/>
    </row>
    <row r="14" spans="1:17" x14ac:dyDescent="0.25">
      <c r="B14" t="s">
        <v>228</v>
      </c>
      <c r="E14" s="249"/>
      <c r="F14" s="249"/>
      <c r="G14" s="249"/>
      <c r="H14" s="249"/>
      <c r="I14" s="249"/>
      <c r="J14" s="249"/>
      <c r="K14" s="249"/>
      <c r="L14" s="249"/>
      <c r="M14" s="249">
        <v>0</v>
      </c>
      <c r="N14" s="249"/>
      <c r="O14" s="249"/>
    </row>
    <row r="15" spans="1:17" x14ac:dyDescent="0.25">
      <c r="B15" t="s">
        <v>227</v>
      </c>
      <c r="E15" s="249"/>
      <c r="F15" s="249"/>
      <c r="G15" s="249">
        <f>'[8]USPS MM BUNDLE DENSITIES'!G17</f>
        <v>1</v>
      </c>
      <c r="H15" s="249"/>
      <c r="I15" s="249">
        <f>'[8]USPS MM BUNDLE DENSITIES'!I17</f>
        <v>0.38919737130368282</v>
      </c>
      <c r="J15" s="249"/>
      <c r="K15" s="249"/>
      <c r="L15" s="249"/>
      <c r="M15" s="249">
        <v>0</v>
      </c>
      <c r="N15" s="249"/>
      <c r="O15" s="249"/>
    </row>
    <row r="16" spans="1:17" x14ac:dyDescent="0.25">
      <c r="B16" t="s">
        <v>224</v>
      </c>
      <c r="E16" s="249"/>
      <c r="F16" s="249"/>
      <c r="G16" s="249"/>
      <c r="H16" s="249"/>
      <c r="I16" s="249">
        <f>'[8]USPS MM BUNDLE DENSITIES'!I18</f>
        <v>0.61080262869631718</v>
      </c>
      <c r="J16" s="249"/>
      <c r="K16" s="249">
        <f>'[8]USPS MM BUNDLE DENSITIES'!K18</f>
        <v>0.90896562088467525</v>
      </c>
      <c r="L16" s="249"/>
      <c r="M16" s="249">
        <v>0</v>
      </c>
      <c r="N16" s="249"/>
      <c r="O16" s="249">
        <f>'[8]USPS MM BUNDLE DENSITIES'!O18</f>
        <v>1</v>
      </c>
    </row>
    <row r="17" spans="2:18" x14ac:dyDescent="0.25">
      <c r="B17" t="s">
        <v>225</v>
      </c>
      <c r="E17" s="249"/>
      <c r="F17" s="249"/>
      <c r="G17" s="249"/>
      <c r="H17" s="249"/>
      <c r="I17" s="249"/>
      <c r="J17" s="249"/>
      <c r="K17" s="249">
        <f>'[8]USPS MM BUNDLE DENSITIES'!K19</f>
        <v>9.1034379115324748E-2</v>
      </c>
      <c r="L17" s="249"/>
      <c r="M17" s="249">
        <v>0</v>
      </c>
      <c r="N17" s="249"/>
      <c r="O17" s="249"/>
    </row>
    <row r="18" spans="2:18" x14ac:dyDescent="0.25">
      <c r="B18" t="s">
        <v>226</v>
      </c>
      <c r="E18" s="249"/>
      <c r="F18" s="249"/>
      <c r="G18" s="249"/>
      <c r="H18" s="249"/>
      <c r="I18" s="249"/>
      <c r="J18" s="249"/>
      <c r="K18" s="249"/>
      <c r="L18" s="249"/>
      <c r="M18" s="249">
        <v>0</v>
      </c>
      <c r="N18" s="249"/>
      <c r="O18" s="249"/>
      <c r="R18" s="20"/>
    </row>
    <row r="19" spans="2:18" x14ac:dyDescent="0.25">
      <c r="E19" s="249"/>
      <c r="F19" s="249"/>
      <c r="G19" s="249">
        <f>SUM(G15:G18)</f>
        <v>1</v>
      </c>
      <c r="H19" s="249"/>
      <c r="I19" s="249">
        <f t="shared" ref="I19:O19" si="1">SUM(I15:I18)</f>
        <v>1</v>
      </c>
      <c r="J19" s="249"/>
      <c r="K19" s="249">
        <f t="shared" si="1"/>
        <v>1</v>
      </c>
      <c r="L19" s="249"/>
      <c r="M19" s="249">
        <f t="shared" si="1"/>
        <v>0</v>
      </c>
      <c r="N19" s="249"/>
      <c r="O19" s="249">
        <f t="shared" si="1"/>
        <v>1</v>
      </c>
      <c r="R19" s="20"/>
    </row>
    <row r="20" spans="2:18" x14ac:dyDescent="0.25">
      <c r="E20" s="249"/>
      <c r="F20" s="249"/>
      <c r="G20" s="249"/>
      <c r="H20" s="249"/>
      <c r="I20" s="249"/>
      <c r="J20" s="249"/>
      <c r="K20" s="249"/>
      <c r="L20" s="249"/>
      <c r="M20" s="249"/>
      <c r="N20" s="249"/>
      <c r="O20" s="249"/>
      <c r="R20" s="20"/>
    </row>
    <row r="21" spans="2:18" x14ac:dyDescent="0.25">
      <c r="B21" t="s">
        <v>229</v>
      </c>
      <c r="E21" s="249"/>
      <c r="F21" s="249"/>
      <c r="G21" s="249"/>
      <c r="H21" s="249"/>
      <c r="I21" s="249"/>
      <c r="J21" s="249"/>
      <c r="K21" s="249"/>
      <c r="L21" s="249"/>
      <c r="M21" s="249"/>
      <c r="N21" s="249"/>
      <c r="O21" s="249"/>
      <c r="R21" s="20"/>
    </row>
    <row r="22" spans="2:18" x14ac:dyDescent="0.25">
      <c r="B22" t="s">
        <v>227</v>
      </c>
      <c r="E22" s="249"/>
      <c r="F22" s="249"/>
      <c r="G22" s="249"/>
      <c r="H22" s="249"/>
      <c r="I22" s="249">
        <f>'[8]USPS MM BUNDLE DENSITIES'!I24</f>
        <v>1</v>
      </c>
      <c r="J22" s="249"/>
      <c r="K22" s="249"/>
      <c r="L22" s="249"/>
      <c r="M22" s="249" t="str">
        <f>'[8]USPS MM BUNDLE DENSITIES'!M24</f>
        <v>N/A</v>
      </c>
      <c r="N22" s="249"/>
      <c r="O22" s="249"/>
      <c r="R22" s="20"/>
    </row>
    <row r="23" spans="2:18" x14ac:dyDescent="0.25">
      <c r="B23" t="s">
        <v>225</v>
      </c>
      <c r="E23" s="249"/>
      <c r="F23" s="249"/>
      <c r="G23" s="249"/>
      <c r="H23" s="249"/>
      <c r="I23" s="249"/>
      <c r="J23" s="249"/>
      <c r="K23" s="249">
        <f>'[8]USPS MM BUNDLE DENSITIES'!K25</f>
        <v>1</v>
      </c>
      <c r="L23" s="249"/>
      <c r="M23" s="249" t="str">
        <f>'[8]USPS MM BUNDLE DENSITIES'!M25</f>
        <v>N/A</v>
      </c>
      <c r="N23" s="249"/>
      <c r="O23" s="249">
        <f>'[8]USPS MM BUNDLE DENSITIES'!O25</f>
        <v>1</v>
      </c>
      <c r="R23" s="20"/>
    </row>
    <row r="24" spans="2:18" x14ac:dyDescent="0.25">
      <c r="B24" t="s">
        <v>226</v>
      </c>
      <c r="E24" s="249"/>
      <c r="F24" s="249"/>
      <c r="G24" s="249"/>
      <c r="H24" s="249"/>
      <c r="I24" s="249"/>
      <c r="J24" s="249"/>
      <c r="K24" s="249"/>
      <c r="L24" s="249"/>
      <c r="M24" s="249">
        <f>'[8]USPS MM BUNDLE DENSITIES'!M26</f>
        <v>0</v>
      </c>
      <c r="N24" s="249"/>
      <c r="O24" s="249"/>
      <c r="R24" s="20"/>
    </row>
    <row r="25" spans="2:18" x14ac:dyDescent="0.25">
      <c r="E25" s="249"/>
      <c r="F25" s="249"/>
      <c r="G25" s="249"/>
      <c r="H25" s="249"/>
      <c r="I25" s="249"/>
      <c r="J25" s="249"/>
      <c r="K25" s="249"/>
      <c r="L25" s="249"/>
      <c r="M25" s="249"/>
      <c r="N25" s="249"/>
      <c r="O25" s="249"/>
      <c r="R25" s="20"/>
    </row>
    <row r="26" spans="2:18" x14ac:dyDescent="0.25">
      <c r="E26" s="249"/>
      <c r="F26" s="249"/>
      <c r="G26" s="249"/>
      <c r="H26" s="249"/>
      <c r="I26" s="249">
        <f>SUM(I22:I25)</f>
        <v>1</v>
      </c>
      <c r="J26" s="249"/>
      <c r="K26" s="249">
        <f t="shared" ref="K26:O26" si="2">SUM(K22:K25)</f>
        <v>1</v>
      </c>
      <c r="L26" s="249"/>
      <c r="M26" s="249">
        <f t="shared" si="2"/>
        <v>0</v>
      </c>
      <c r="N26" s="249"/>
      <c r="O26" s="249">
        <f t="shared" si="2"/>
        <v>1</v>
      </c>
      <c r="R26" s="20"/>
    </row>
    <row r="27" spans="2:18" x14ac:dyDescent="0.25">
      <c r="B27" t="s">
        <v>230</v>
      </c>
      <c r="E27" s="249"/>
      <c r="F27" s="249"/>
      <c r="G27" s="249"/>
      <c r="H27" s="249"/>
      <c r="I27" s="249"/>
      <c r="J27" s="249"/>
      <c r="K27" s="249"/>
      <c r="L27" s="249"/>
      <c r="M27" s="249"/>
      <c r="N27" s="249"/>
      <c r="O27" s="249"/>
      <c r="R27" s="20"/>
    </row>
    <row r="28" spans="2:18" x14ac:dyDescent="0.25">
      <c r="B28" t="s">
        <v>227</v>
      </c>
      <c r="E28" s="249"/>
      <c r="F28" s="249"/>
      <c r="G28" s="249"/>
      <c r="H28" s="249"/>
      <c r="I28" s="249"/>
      <c r="J28" s="249"/>
      <c r="K28" s="249">
        <v>1</v>
      </c>
      <c r="L28" s="249"/>
      <c r="M28" s="249">
        <v>0</v>
      </c>
      <c r="N28" s="249"/>
      <c r="O28" s="249"/>
      <c r="R28" s="20"/>
    </row>
    <row r="29" spans="2:18" x14ac:dyDescent="0.25">
      <c r="B29" t="s">
        <v>226</v>
      </c>
      <c r="E29" s="249"/>
      <c r="F29" s="249"/>
      <c r="G29" s="249"/>
      <c r="H29" s="249"/>
      <c r="I29" s="249"/>
      <c r="J29" s="249"/>
      <c r="K29" s="249"/>
      <c r="L29" s="249"/>
      <c r="M29" s="249" t="str">
        <f>'[8]USPS MM BUNDLE DENSITIES'!M31</f>
        <v>N/A</v>
      </c>
      <c r="N29" s="249"/>
      <c r="O29" s="249">
        <v>1</v>
      </c>
      <c r="R29" s="20"/>
    </row>
    <row r="30" spans="2:18" x14ac:dyDescent="0.25">
      <c r="E30" s="249"/>
      <c r="F30" s="249"/>
      <c r="G30" s="249"/>
      <c r="H30" s="249"/>
      <c r="I30" s="249"/>
      <c r="J30" s="249"/>
      <c r="K30" s="249"/>
      <c r="L30" s="249"/>
      <c r="M30" s="249"/>
      <c r="N30" s="249"/>
      <c r="O30" s="249"/>
      <c r="R30" s="20"/>
    </row>
    <row r="31" spans="2:18" x14ac:dyDescent="0.25">
      <c r="E31" s="249"/>
      <c r="F31" s="249"/>
      <c r="G31" s="249"/>
      <c r="H31" s="249"/>
      <c r="I31" s="249"/>
      <c r="J31" s="249"/>
      <c r="K31" s="249">
        <f>'[8]USPS MM BUNDLE DENSITIES'!K33</f>
        <v>1</v>
      </c>
      <c r="L31" s="249"/>
      <c r="M31" s="249">
        <f>'[8]USPS MM BUNDLE DENSITIES'!M33</f>
        <v>1</v>
      </c>
      <c r="N31" s="249"/>
      <c r="O31" s="249">
        <f>'[8]USPS MM BUNDLE DENSITIES'!O33</f>
        <v>1</v>
      </c>
      <c r="P31" s="4"/>
      <c r="R31" s="20"/>
    </row>
    <row r="32" spans="2:18" x14ac:dyDescent="0.25">
      <c r="B32" t="s">
        <v>231</v>
      </c>
      <c r="E32" s="249"/>
      <c r="F32" s="249"/>
      <c r="G32" s="249"/>
      <c r="H32" s="249"/>
      <c r="I32" s="249"/>
      <c r="J32" s="249"/>
      <c r="K32" s="249"/>
      <c r="L32" s="249"/>
      <c r="M32" s="249"/>
      <c r="N32" s="249"/>
      <c r="O32" s="249"/>
    </row>
    <row r="33" spans="1:15" x14ac:dyDescent="0.25">
      <c r="B33" t="s">
        <v>227</v>
      </c>
      <c r="E33" s="249"/>
      <c r="F33" s="249"/>
      <c r="G33" s="249"/>
      <c r="H33" s="249"/>
      <c r="I33" s="249"/>
      <c r="J33" s="249"/>
      <c r="K33" s="249"/>
      <c r="L33" s="249"/>
      <c r="M33" s="249">
        <v>0</v>
      </c>
      <c r="N33" s="249"/>
      <c r="O33" s="249">
        <v>1</v>
      </c>
    </row>
    <row r="34" spans="1:15" ht="13" x14ac:dyDescent="0.3">
      <c r="E34" s="249"/>
      <c r="F34" s="249"/>
      <c r="G34" s="249"/>
      <c r="H34" s="249"/>
      <c r="I34" s="249"/>
      <c r="J34" s="249"/>
      <c r="K34" s="249"/>
      <c r="L34" s="249"/>
      <c r="M34" s="353">
        <f>SUM(M33)</f>
        <v>0</v>
      </c>
      <c r="N34" s="353"/>
      <c r="O34" s="353">
        <f t="shared" ref="O34" si="3">SUM(O33)</f>
        <v>1</v>
      </c>
    </row>
    <row r="36" spans="1:15" x14ac:dyDescent="0.25">
      <c r="G36" s="249"/>
      <c r="H36" s="301"/>
      <c r="I36"/>
      <c r="J36" s="301"/>
      <c r="K36" s="249"/>
    </row>
    <row r="37" spans="1:15" x14ac:dyDescent="0.25">
      <c r="A37" s="9"/>
      <c r="G37" s="249"/>
      <c r="H37" s="301"/>
      <c r="I37" s="249"/>
      <c r="J37" s="301"/>
      <c r="K37" s="249"/>
    </row>
    <row r="38" spans="1:15" x14ac:dyDescent="0.25">
      <c r="A38" s="155"/>
      <c r="G38" s="249"/>
      <c r="H38" s="301"/>
      <c r="I38" s="249"/>
      <c r="J38" s="301"/>
      <c r="K38" s="249"/>
    </row>
    <row r="39" spans="1:15" x14ac:dyDescent="0.25">
      <c r="G39" s="297"/>
      <c r="H39" s="298"/>
      <c r="I39" s="297"/>
      <c r="J39" s="298"/>
      <c r="K39" s="297"/>
    </row>
    <row r="40" spans="1:15" x14ac:dyDescent="0.25">
      <c r="A40" t="s">
        <v>452</v>
      </c>
      <c r="B40" t="s">
        <v>453</v>
      </c>
      <c r="G40" s="299"/>
      <c r="H40" s="300"/>
      <c r="I40" s="299"/>
      <c r="J40" s="300"/>
      <c r="K40" s="299"/>
    </row>
    <row r="41" spans="1:15" x14ac:dyDescent="0.25">
      <c r="B41" t="s">
        <v>421</v>
      </c>
      <c r="G41" s="299"/>
      <c r="I41" s="299"/>
      <c r="K41" s="299"/>
    </row>
    <row r="42" spans="1:15" x14ac:dyDescent="0.25">
      <c r="B42" t="s">
        <v>422</v>
      </c>
    </row>
    <row r="44" spans="1:15" x14ac:dyDescent="0.25">
      <c r="G44" s="299"/>
      <c r="I44" s="299"/>
      <c r="K44" s="299"/>
    </row>
    <row r="45" spans="1:15" x14ac:dyDescent="0.25">
      <c r="G45" s="299"/>
      <c r="I45" s="299"/>
      <c r="K45" s="299"/>
    </row>
    <row r="46" spans="1:15" x14ac:dyDescent="0.25">
      <c r="G46" s="299"/>
      <c r="I46" s="299"/>
      <c r="K46" s="299"/>
    </row>
  </sheetData>
  <phoneticPr fontId="0" type="noConversion"/>
  <printOptions horizontalCentered="1"/>
  <pageMargins left="0.75" right="0.75" top="1" bottom="1" header="0.5" footer="0.5"/>
  <pageSetup scale="87" firstPageNumber="76" orientation="portrait" useFirstPageNumber="1" r:id="rId1"/>
  <headerFooter alignWithMargins="0">
    <oddFooter>&amp;CTab-'&amp;A'&amp;RPage 39</oddFooter>
  </headerFooter>
</worksheet>
</file>

<file path=xl/worksheets/sheet7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58"/>
  <dimension ref="A1:Q47"/>
  <sheetViews>
    <sheetView topLeftCell="B1" zoomScaleNormal="100" workbookViewId="0">
      <selection activeCell="B1" sqref="B1"/>
    </sheetView>
  </sheetViews>
  <sheetFormatPr defaultColWidth="9.1796875" defaultRowHeight="12.5" x14ac:dyDescent="0.25"/>
  <cols>
    <col min="1" max="1" width="11" style="2" hidden="1" customWidth="1"/>
    <col min="2" max="2" width="30.7265625" style="2" customWidth="1"/>
    <col min="3" max="4" width="25.7265625" style="2" customWidth="1"/>
    <col min="5" max="5" width="24.26953125" style="2" customWidth="1"/>
    <col min="6" max="6" width="15.7265625" style="220" customWidth="1"/>
    <col min="7" max="8" width="15.7265625" style="2" customWidth="1"/>
    <col min="9" max="10" width="12.7265625" style="304" customWidth="1"/>
    <col min="11" max="11" width="11.81640625" style="2" customWidth="1"/>
    <col min="12" max="12" width="12.81640625" style="2" customWidth="1"/>
    <col min="13" max="13" width="13.7265625" style="2" customWidth="1"/>
    <col min="14" max="14" width="7.1796875" style="2" customWidth="1"/>
    <col min="15" max="16384" width="9.1796875" style="2"/>
  </cols>
  <sheetData>
    <row r="1" spans="1:17" ht="18" x14ac:dyDescent="0.4">
      <c r="B1" s="5" t="str">
        <f>'[8]USPS MM CARRIER ROUTE FLATS'!$B$1</f>
        <v>USPS-FY25-14</v>
      </c>
    </row>
    <row r="2" spans="1:17" ht="18" x14ac:dyDescent="0.4">
      <c r="B2" s="5" t="s">
        <v>623</v>
      </c>
    </row>
    <row r="3" spans="1:17" ht="18" x14ac:dyDescent="0.4">
      <c r="B3" s="219" t="s">
        <v>574</v>
      </c>
      <c r="F3" s="2"/>
    </row>
    <row r="4" spans="1:17" ht="13" x14ac:dyDescent="0.3">
      <c r="B4" s="2" t="s">
        <v>468</v>
      </c>
      <c r="I4" s="305" t="s">
        <v>298</v>
      </c>
      <c r="J4" s="305" t="s">
        <v>299</v>
      </c>
    </row>
    <row r="5" spans="1:17" ht="13" x14ac:dyDescent="0.3">
      <c r="I5" s="305" t="s">
        <v>300</v>
      </c>
      <c r="J5" s="305" t="s">
        <v>300</v>
      </c>
      <c r="K5" s="17"/>
      <c r="L5" s="308"/>
    </row>
    <row r="6" spans="1:17" ht="13" x14ac:dyDescent="0.3">
      <c r="F6" s="17" t="s">
        <v>298</v>
      </c>
      <c r="G6" s="17" t="s">
        <v>299</v>
      </c>
      <c r="H6" s="17" t="s">
        <v>146</v>
      </c>
      <c r="I6" s="305" t="s">
        <v>301</v>
      </c>
      <c r="J6" s="305" t="s">
        <v>301</v>
      </c>
      <c r="K6" s="17" t="s">
        <v>298</v>
      </c>
      <c r="L6" s="17" t="s">
        <v>299</v>
      </c>
      <c r="M6" s="17" t="s">
        <v>146</v>
      </c>
    </row>
    <row r="7" spans="1:17" ht="13" x14ac:dyDescent="0.3">
      <c r="A7" s="257" t="s">
        <v>302</v>
      </c>
      <c r="B7" s="257" t="s">
        <v>302</v>
      </c>
      <c r="C7" s="257" t="s">
        <v>303</v>
      </c>
      <c r="D7" s="258" t="s">
        <v>304</v>
      </c>
      <c r="E7" s="258" t="s">
        <v>376</v>
      </c>
      <c r="F7" s="140" t="s">
        <v>305</v>
      </c>
      <c r="G7" s="140" t="s">
        <v>305</v>
      </c>
      <c r="H7" s="140" t="s">
        <v>305</v>
      </c>
      <c r="I7" s="386" t="s">
        <v>377</v>
      </c>
      <c r="J7" s="386" t="s">
        <v>377</v>
      </c>
      <c r="K7" s="140" t="s">
        <v>489</v>
      </c>
      <c r="L7" s="140" t="s">
        <v>489</v>
      </c>
      <c r="M7" s="140" t="s">
        <v>489</v>
      </c>
    </row>
    <row r="8" spans="1:17" s="224" customFormat="1" x14ac:dyDescent="0.25">
      <c r="A8" s="224">
        <v>17</v>
      </c>
      <c r="B8" s="224" t="s">
        <v>506</v>
      </c>
      <c r="C8" s="224" t="s">
        <v>159</v>
      </c>
      <c r="D8" s="224" t="s">
        <v>307</v>
      </c>
      <c r="E8" s="224" t="s">
        <v>226</v>
      </c>
      <c r="F8" s="224">
        <f>'[8]USPS MM CARRIER ROUTE FLATS'!F8</f>
        <v>14451499.457345605</v>
      </c>
      <c r="G8" s="224">
        <f>'[8]USPS MM CARRIER ROUTE FLATS'!G8</f>
        <v>0</v>
      </c>
      <c r="H8" s="224">
        <f>'[8]USPS MM CARRIER ROUTE FLATS'!H8</f>
        <v>14451499.457345605</v>
      </c>
      <c r="I8" s="224">
        <f>'[8]USPS MM CARRIER ROUTE FLATS'!I8</f>
        <v>22.54918144922155</v>
      </c>
      <c r="J8" s="224">
        <f>'[8]USPS MM CARRIER ROUTE FLATS'!J8</f>
        <v>0</v>
      </c>
      <c r="K8" s="224">
        <f>'[8]USPS MM CARRIER ROUTE FLATS'!K8</f>
        <v>640887.9847762502</v>
      </c>
      <c r="L8" s="224">
        <f>'[8]USPS MM CARRIER ROUTE FLATS'!L8</f>
        <v>0</v>
      </c>
      <c r="M8" s="224">
        <f>'[8]USPS MM CARRIER ROUTE FLATS'!M8</f>
        <v>640887.9847762502</v>
      </c>
      <c r="N8" s="220"/>
      <c r="O8" s="220"/>
      <c r="Q8" s="2"/>
    </row>
    <row r="9" spans="1:17" s="224" customFormat="1" x14ac:dyDescent="0.25">
      <c r="A9" s="224">
        <v>18</v>
      </c>
      <c r="B9" s="224" t="s">
        <v>506</v>
      </c>
      <c r="C9" s="224" t="s">
        <v>159</v>
      </c>
      <c r="D9" s="307" t="s">
        <v>567</v>
      </c>
      <c r="E9" s="224" t="s">
        <v>226</v>
      </c>
      <c r="F9" s="224">
        <f>'[8]USPS MM CARRIER ROUTE FLATS'!F9</f>
        <v>41480327.809634715</v>
      </c>
      <c r="G9" s="224">
        <f>'[8]USPS MM CARRIER ROUTE FLATS'!G9</f>
        <v>0</v>
      </c>
      <c r="H9" s="224">
        <f>'[8]USPS MM CARRIER ROUTE FLATS'!H9</f>
        <v>41480327.809634715</v>
      </c>
      <c r="I9" s="224">
        <f>'[8]USPS MM CARRIER ROUTE FLATS'!I9</f>
        <v>16.827239775883136</v>
      </c>
      <c r="J9" s="224">
        <f>'[8]USPS MM CARRIER ROUTE FLATS'!J9</f>
        <v>0</v>
      </c>
      <c r="K9" s="224">
        <f>'[8]USPS MM CARRIER ROUTE FLATS'!K9</f>
        <v>2465070.2291105688</v>
      </c>
      <c r="L9" s="224">
        <f>'[8]USPS MM CARRIER ROUTE FLATS'!L9</f>
        <v>0</v>
      </c>
      <c r="M9" s="224">
        <f>'[8]USPS MM CARRIER ROUTE FLATS'!M9</f>
        <v>2465070.2291105688</v>
      </c>
      <c r="N9" s="220"/>
      <c r="O9" s="220"/>
      <c r="Q9" s="2"/>
    </row>
    <row r="10" spans="1:17" s="224" customFormat="1" x14ac:dyDescent="0.25">
      <c r="B10" s="224" t="s">
        <v>506</v>
      </c>
      <c r="C10" s="224" t="s">
        <v>159</v>
      </c>
      <c r="D10" s="307" t="s">
        <v>199</v>
      </c>
      <c r="E10" s="224" t="s">
        <v>226</v>
      </c>
      <c r="F10" s="224">
        <f>'[8]USPS MM CARRIER ROUTE FLATS'!F10</f>
        <v>2317611476.24792</v>
      </c>
      <c r="G10" s="224">
        <f>'[8]USPS MM CARRIER ROUTE FLATS'!G10</f>
        <v>0</v>
      </c>
      <c r="H10" s="224">
        <f>'[8]USPS MM CARRIER ROUTE FLATS'!H10</f>
        <v>2317611476.24792</v>
      </c>
      <c r="I10" s="224">
        <f>'[8]USPS MM CARRIER ROUTE FLATS'!I10</f>
        <v>24.258764380516947</v>
      </c>
      <c r="J10" s="224">
        <f>'[8]USPS MM CARRIER ROUTE FLATS'!J10</f>
        <v>0</v>
      </c>
      <c r="K10" s="224">
        <f>'[8]USPS MM CARRIER ROUTE FLATS'!K10</f>
        <v>95537078.471699655</v>
      </c>
      <c r="L10" s="224">
        <f>'[8]USPS MM CARRIER ROUTE FLATS'!L10</f>
        <v>0</v>
      </c>
      <c r="M10" s="224">
        <f>'[8]USPS MM CARRIER ROUTE FLATS'!M10</f>
        <v>95537078.471699655</v>
      </c>
      <c r="N10" s="220"/>
      <c r="O10" s="220"/>
      <c r="Q10" s="2"/>
    </row>
    <row r="11" spans="1:17" s="224" customFormat="1" x14ac:dyDescent="0.25">
      <c r="B11" s="224" t="s">
        <v>506</v>
      </c>
      <c r="C11" s="224" t="s">
        <v>159</v>
      </c>
      <c r="D11" s="307" t="s">
        <v>568</v>
      </c>
      <c r="E11" s="224" t="s">
        <v>226</v>
      </c>
      <c r="F11" s="224">
        <f>'[8]USPS MM CARRIER ROUTE FLATS'!F11</f>
        <v>0</v>
      </c>
      <c r="G11" s="224">
        <f>'[8]USPS MM CARRIER ROUTE FLATS'!G11</f>
        <v>41583444.348798625</v>
      </c>
      <c r="H11" s="224">
        <f>'[8]USPS MM CARRIER ROUTE FLATS'!H11</f>
        <v>41583444.348798625</v>
      </c>
      <c r="I11" s="224">
        <f>'[8]USPS MM CARRIER ROUTE FLATS'!I11</f>
        <v>0</v>
      </c>
      <c r="J11" s="224">
        <f>'[8]USPS MM CARRIER ROUTE FLATS'!J11</f>
        <v>34.479797772360271</v>
      </c>
      <c r="K11" s="224">
        <f>'[8]USPS MM CARRIER ROUTE FLATS'!K11</f>
        <v>0</v>
      </c>
      <c r="L11" s="224">
        <f>'[8]USPS MM CARRIER ROUTE FLATS'!L11</f>
        <v>1206023.4408373702</v>
      </c>
      <c r="M11" s="224">
        <f>'[8]USPS MM CARRIER ROUTE FLATS'!M11</f>
        <v>1206023.4408373702</v>
      </c>
      <c r="N11" s="220"/>
      <c r="O11" s="220"/>
      <c r="Q11" s="2"/>
    </row>
    <row r="12" spans="1:17" s="224" customFormat="1" x14ac:dyDescent="0.25">
      <c r="B12" s="224" t="s">
        <v>506</v>
      </c>
      <c r="C12" s="224" t="s">
        <v>159</v>
      </c>
      <c r="D12" s="307" t="s">
        <v>507</v>
      </c>
      <c r="E12" s="224" t="s">
        <v>226</v>
      </c>
      <c r="F12" s="224">
        <f>'[8]USPS MM CARRIER ROUTE FLATS'!F12</f>
        <v>0</v>
      </c>
      <c r="G12" s="224">
        <f>'[8]USPS MM CARRIER ROUTE FLATS'!G12</f>
        <v>10193063.802074628</v>
      </c>
      <c r="H12" s="224">
        <f>'[8]USPS MM CARRIER ROUTE FLATS'!H12</f>
        <v>10193063.802074628</v>
      </c>
      <c r="I12" s="224">
        <f>'[8]USPS MM CARRIER ROUTE FLATS'!I12</f>
        <v>0</v>
      </c>
      <c r="J12" s="224">
        <f>'[8]USPS MM CARRIER ROUTE FLATS'!J12</f>
        <v>47.902139788975362</v>
      </c>
      <c r="K12" s="224">
        <f>'[8]USPS MM CARRIER ROUTE FLATS'!K12</f>
        <v>0</v>
      </c>
      <c r="L12" s="224">
        <f>'[8]USPS MM CARRIER ROUTE FLATS'!L12</f>
        <v>212789.32104032132</v>
      </c>
      <c r="M12" s="224">
        <f>'[8]USPS MM CARRIER ROUTE FLATS'!M12</f>
        <v>212789.32104032132</v>
      </c>
      <c r="N12" s="220"/>
      <c r="O12" s="220"/>
      <c r="Q12" s="2"/>
    </row>
    <row r="13" spans="1:17" ht="13" x14ac:dyDescent="0.3">
      <c r="B13" s="3" t="s">
        <v>146</v>
      </c>
      <c r="C13" s="257"/>
      <c r="D13" s="258"/>
      <c r="E13" s="258"/>
      <c r="F13" s="3">
        <f>SUM(F8:F12)</f>
        <v>2373543303.5149002</v>
      </c>
      <c r="G13" s="3">
        <f>SUM(G8:G12)</f>
        <v>51776508.150873251</v>
      </c>
      <c r="H13" s="3">
        <f t="shared" ref="H13" si="0">SUM(H8:H12)</f>
        <v>2425319811.6657734</v>
      </c>
      <c r="I13" s="224"/>
      <c r="J13" s="224"/>
      <c r="K13" s="224"/>
      <c r="L13" s="224"/>
      <c r="M13" s="387">
        <f>SUM(M8:M12)*10000/H13</f>
        <v>412.57177286957074</v>
      </c>
    </row>
    <row r="14" spans="1:17" ht="13" x14ac:dyDescent="0.3">
      <c r="F14" s="224"/>
      <c r="G14" s="224"/>
      <c r="H14" s="305"/>
      <c r="I14" s="305" t="s">
        <v>298</v>
      </c>
      <c r="J14" s="305" t="s">
        <v>299</v>
      </c>
      <c r="K14" s="305"/>
      <c r="L14" s="305"/>
      <c r="M14" s="305"/>
    </row>
    <row r="15" spans="1:17" ht="13" x14ac:dyDescent="0.3">
      <c r="A15" s="257"/>
      <c r="F15" s="224"/>
      <c r="G15" s="224"/>
      <c r="H15" s="305"/>
      <c r="I15" s="305" t="s">
        <v>300</v>
      </c>
      <c r="J15" s="305" t="s">
        <v>300</v>
      </c>
      <c r="K15" s="305"/>
      <c r="L15" s="305"/>
      <c r="M15" s="305"/>
    </row>
    <row r="16" spans="1:17" ht="13" x14ac:dyDescent="0.3">
      <c r="F16" s="17" t="s">
        <v>298</v>
      </c>
      <c r="G16" s="17" t="s">
        <v>299</v>
      </c>
      <c r="H16" s="305" t="s">
        <v>146</v>
      </c>
      <c r="I16" s="305" t="s">
        <v>301</v>
      </c>
      <c r="J16" s="305" t="s">
        <v>301</v>
      </c>
      <c r="K16" s="305" t="s">
        <v>298</v>
      </c>
      <c r="L16" s="305" t="s">
        <v>299</v>
      </c>
      <c r="M16" s="305" t="s">
        <v>146</v>
      </c>
    </row>
    <row r="17" spans="1:17" ht="13" x14ac:dyDescent="0.3">
      <c r="B17" s="257" t="s">
        <v>302</v>
      </c>
      <c r="C17" s="257" t="s">
        <v>303</v>
      </c>
      <c r="D17" s="258" t="s">
        <v>304</v>
      </c>
      <c r="E17" s="258" t="s">
        <v>376</v>
      </c>
      <c r="F17" s="140" t="s">
        <v>305</v>
      </c>
      <c r="G17" s="140" t="s">
        <v>305</v>
      </c>
      <c r="H17" s="140" t="s">
        <v>305</v>
      </c>
      <c r="I17" s="386" t="s">
        <v>377</v>
      </c>
      <c r="J17" s="386" t="s">
        <v>377</v>
      </c>
      <c r="K17" s="140" t="s">
        <v>489</v>
      </c>
      <c r="L17" s="140" t="s">
        <v>489</v>
      </c>
      <c r="M17" s="140" t="s">
        <v>489</v>
      </c>
    </row>
    <row r="18" spans="1:17" s="224" customFormat="1" x14ac:dyDescent="0.25">
      <c r="B18" s="224" t="s">
        <v>508</v>
      </c>
      <c r="C18" s="224" t="s">
        <v>159</v>
      </c>
      <c r="D18" s="307" t="s">
        <v>509</v>
      </c>
      <c r="E18" s="224" t="s">
        <v>226</v>
      </c>
      <c r="F18" s="224">
        <f>'[8]USPS MM CARRIER ROUTE FLATS'!F18</f>
        <v>297832076.54768455</v>
      </c>
      <c r="G18" s="224">
        <f>'[8]USPS MM CARRIER ROUTE FLATS'!G18</f>
        <v>11252086.722507814</v>
      </c>
      <c r="H18" s="224">
        <f>'[8]USPS MM CARRIER ROUTE FLATS'!H18</f>
        <v>309084163.27019238</v>
      </c>
      <c r="I18" s="224">
        <f>'[8]USPS MM CARRIER ROUTE FLATS'!I18</f>
        <v>31.898534662833857</v>
      </c>
      <c r="J18" s="224">
        <f>'[8]USPS MM CARRIER ROUTE FLATS'!J18</f>
        <v>48.666450028243823</v>
      </c>
      <c r="K18" s="224">
        <f>'[8]USPS MM CARRIER ROUTE FLATS'!K18</f>
        <v>9336857.623579165</v>
      </c>
      <c r="L18" s="224">
        <f>'[8]USPS MM CARRIER ROUTE FLATS'!L18</f>
        <v>231208.29063919</v>
      </c>
      <c r="M18" s="224">
        <f>'[8]USPS MM CARRIER ROUTE FLATS'!M18</f>
        <v>9568065.914218355</v>
      </c>
      <c r="N18" s="220"/>
      <c r="O18" s="220"/>
      <c r="P18" s="2"/>
      <c r="Q18" s="2"/>
    </row>
    <row r="19" spans="1:17" ht="13" x14ac:dyDescent="0.3">
      <c r="A19" s="257"/>
      <c r="B19" s="3" t="s">
        <v>146</v>
      </c>
      <c r="C19" s="257"/>
      <c r="D19" s="258"/>
      <c r="E19" s="258"/>
      <c r="F19" s="3">
        <f>SUM(F18)</f>
        <v>297832076.54768455</v>
      </c>
      <c r="G19" s="3">
        <f t="shared" ref="G19:H19" si="1">SUM(G18)</f>
        <v>11252086.722507814</v>
      </c>
      <c r="H19" s="3">
        <f t="shared" si="1"/>
        <v>309084163.27019238</v>
      </c>
      <c r="I19" s="224"/>
      <c r="J19" s="224"/>
      <c r="K19" s="224"/>
      <c r="L19" s="224"/>
      <c r="M19" s="387">
        <f>M18*10000/H19</f>
        <v>309.56182979372613</v>
      </c>
    </row>
    <row r="20" spans="1:17" x14ac:dyDescent="0.25">
      <c r="F20" s="224"/>
      <c r="G20" s="224"/>
      <c r="H20" s="224"/>
      <c r="I20" s="224"/>
      <c r="J20" s="224"/>
      <c r="K20" s="224"/>
      <c r="L20" s="224"/>
      <c r="M20" s="224"/>
    </row>
    <row r="21" spans="1:17" ht="13" x14ac:dyDescent="0.3">
      <c r="F21" s="305"/>
      <c r="G21" s="305"/>
      <c r="H21" s="305"/>
      <c r="I21" s="305" t="s">
        <v>298</v>
      </c>
      <c r="J21" s="305" t="s">
        <v>299</v>
      </c>
      <c r="K21" s="305"/>
      <c r="L21" s="305"/>
      <c r="M21" s="305"/>
    </row>
    <row r="22" spans="1:17" ht="13" x14ac:dyDescent="0.3">
      <c r="F22" s="305"/>
      <c r="G22" s="305"/>
      <c r="H22" s="305"/>
      <c r="I22" s="305" t="s">
        <v>300</v>
      </c>
      <c r="J22" s="305" t="s">
        <v>300</v>
      </c>
      <c r="K22" s="305"/>
      <c r="L22" s="305"/>
      <c r="M22" s="305"/>
    </row>
    <row r="23" spans="1:17" ht="13" x14ac:dyDescent="0.3">
      <c r="F23" s="305" t="s">
        <v>298</v>
      </c>
      <c r="G23" s="305" t="s">
        <v>299</v>
      </c>
      <c r="H23" s="305" t="s">
        <v>146</v>
      </c>
      <c r="I23" s="305" t="s">
        <v>301</v>
      </c>
      <c r="J23" s="305" t="s">
        <v>301</v>
      </c>
      <c r="K23" s="305" t="s">
        <v>298</v>
      </c>
      <c r="L23" s="305" t="s">
        <v>299</v>
      </c>
      <c r="M23" s="305" t="s">
        <v>146</v>
      </c>
    </row>
    <row r="24" spans="1:17" ht="13" x14ac:dyDescent="0.3">
      <c r="B24" s="257" t="s">
        <v>302</v>
      </c>
      <c r="C24" s="257" t="s">
        <v>303</v>
      </c>
      <c r="D24" s="258" t="s">
        <v>304</v>
      </c>
      <c r="E24" s="258" t="s">
        <v>376</v>
      </c>
      <c r="F24" s="140" t="s">
        <v>305</v>
      </c>
      <c r="G24" s="140" t="s">
        <v>305</v>
      </c>
      <c r="H24" s="140" t="s">
        <v>305</v>
      </c>
      <c r="I24" s="386" t="s">
        <v>377</v>
      </c>
      <c r="J24" s="386" t="s">
        <v>377</v>
      </c>
      <c r="K24" s="140" t="s">
        <v>489</v>
      </c>
      <c r="L24" s="140" t="s">
        <v>489</v>
      </c>
      <c r="M24" s="140" t="s">
        <v>489</v>
      </c>
    </row>
    <row r="25" spans="1:17" x14ac:dyDescent="0.25">
      <c r="B25" s="224" t="s">
        <v>506</v>
      </c>
      <c r="C25" s="224" t="s">
        <v>159</v>
      </c>
      <c r="D25" s="224" t="s">
        <v>307</v>
      </c>
      <c r="E25" s="224" t="s">
        <v>366</v>
      </c>
      <c r="F25" s="224">
        <v>0</v>
      </c>
      <c r="G25" s="224">
        <v>0</v>
      </c>
      <c r="H25" s="224">
        <f>SUM(F25:G25)</f>
        <v>0</v>
      </c>
      <c r="I25" s="304">
        <f>'[14]USPS MM CARRIER ROUTE FLATS'!I25</f>
        <v>0</v>
      </c>
      <c r="J25" s="304">
        <f>'[14]USPS MM CARRIER ROUTE FLATS'!J25</f>
        <v>0</v>
      </c>
      <c r="K25" s="324">
        <f>IF(I25&lt;&gt;0,F25/I25,0)</f>
        <v>0</v>
      </c>
      <c r="L25" s="324">
        <f>IF(J25&lt;&gt;0,G25/J25,0)</f>
        <v>0</v>
      </c>
      <c r="M25" s="2">
        <f>SUM(K25:L25)</f>
        <v>0</v>
      </c>
    </row>
    <row r="26" spans="1:17" x14ac:dyDescent="0.25">
      <c r="B26" s="224" t="s">
        <v>506</v>
      </c>
      <c r="C26" s="224" t="s">
        <v>159</v>
      </c>
      <c r="D26" s="307" t="s">
        <v>592</v>
      </c>
      <c r="E26" s="224" t="s">
        <v>366</v>
      </c>
      <c r="F26" s="224">
        <v>0</v>
      </c>
      <c r="G26" s="224">
        <v>0</v>
      </c>
      <c r="H26" s="224">
        <f t="shared" ref="H26:H29" si="2">SUM(F26:G26)</f>
        <v>0</v>
      </c>
      <c r="I26" s="304">
        <f>'[14]USPS MM CARRIER ROUTE FLATS'!I26</f>
        <v>0</v>
      </c>
      <c r="J26" s="304">
        <f>'[14]USPS MM CARRIER ROUTE FLATS'!J26</f>
        <v>0</v>
      </c>
      <c r="K26" s="324">
        <f t="shared" ref="K26:K29" si="3">IF(I26&lt;&gt;0,F26/I26,0)</f>
        <v>0</v>
      </c>
      <c r="L26" s="324">
        <f t="shared" ref="L26:L29" si="4">IF(J26&lt;&gt;0,G26/J26,0)</f>
        <v>0</v>
      </c>
      <c r="M26" s="2">
        <f t="shared" ref="M26:M29" si="5">SUM(K26:L26)</f>
        <v>0</v>
      </c>
    </row>
    <row r="27" spans="1:17" x14ac:dyDescent="0.25">
      <c r="B27" s="224" t="s">
        <v>506</v>
      </c>
      <c r="C27" s="224" t="s">
        <v>159</v>
      </c>
      <c r="D27" s="307" t="s">
        <v>199</v>
      </c>
      <c r="E27" s="224" t="s">
        <v>366</v>
      </c>
      <c r="F27" s="224">
        <v>0</v>
      </c>
      <c r="G27" s="224">
        <v>0</v>
      </c>
      <c r="H27" s="224">
        <f t="shared" si="2"/>
        <v>0</v>
      </c>
      <c r="I27" s="304">
        <f>'[14]USPS MM CARRIER ROUTE FLATS'!I27</f>
        <v>0</v>
      </c>
      <c r="J27" s="304">
        <f>'[14]USPS MM CARRIER ROUTE FLATS'!J27</f>
        <v>0</v>
      </c>
      <c r="K27" s="324">
        <f t="shared" si="3"/>
        <v>0</v>
      </c>
      <c r="L27" s="324">
        <f t="shared" si="4"/>
        <v>0</v>
      </c>
      <c r="M27" s="2">
        <f t="shared" si="5"/>
        <v>0</v>
      </c>
    </row>
    <row r="28" spans="1:17" x14ac:dyDescent="0.25">
      <c r="B28" s="224" t="s">
        <v>506</v>
      </c>
      <c r="C28" s="224" t="s">
        <v>159</v>
      </c>
      <c r="D28" s="307" t="s">
        <v>568</v>
      </c>
      <c r="E28" s="224" t="s">
        <v>366</v>
      </c>
      <c r="F28" s="224">
        <v>0</v>
      </c>
      <c r="G28" s="224">
        <v>0</v>
      </c>
      <c r="H28" s="224">
        <f t="shared" si="2"/>
        <v>0</v>
      </c>
      <c r="I28" s="304">
        <f>'[14]USPS MM CARRIER ROUTE FLATS'!I28</f>
        <v>0</v>
      </c>
      <c r="J28" s="304">
        <f>'[14]USPS MM CARRIER ROUTE FLATS'!J28</f>
        <v>0</v>
      </c>
      <c r="K28" s="324">
        <f t="shared" si="3"/>
        <v>0</v>
      </c>
      <c r="L28" s="324">
        <f t="shared" si="4"/>
        <v>0</v>
      </c>
      <c r="M28" s="2">
        <f t="shared" si="5"/>
        <v>0</v>
      </c>
    </row>
    <row r="29" spans="1:17" x14ac:dyDescent="0.25">
      <c r="B29" s="224" t="s">
        <v>506</v>
      </c>
      <c r="C29" s="224" t="s">
        <v>159</v>
      </c>
      <c r="D29" s="307" t="s">
        <v>507</v>
      </c>
      <c r="E29" s="224" t="s">
        <v>366</v>
      </c>
      <c r="F29" s="224">
        <v>0</v>
      </c>
      <c r="G29" s="224">
        <v>0</v>
      </c>
      <c r="H29" s="224">
        <f t="shared" si="2"/>
        <v>0</v>
      </c>
      <c r="I29" s="304">
        <f>'[14]USPS MM CARRIER ROUTE FLATS'!I29</f>
        <v>0</v>
      </c>
      <c r="J29" s="304">
        <f>'[14]USPS MM CARRIER ROUTE FLATS'!J29</f>
        <v>0</v>
      </c>
      <c r="K29" s="324">
        <f t="shared" si="3"/>
        <v>0</v>
      </c>
      <c r="L29" s="324">
        <f t="shared" si="4"/>
        <v>0</v>
      </c>
      <c r="M29" s="2">
        <f t="shared" si="5"/>
        <v>0</v>
      </c>
    </row>
    <row r="30" spans="1:17" ht="13" x14ac:dyDescent="0.3">
      <c r="B30" s="3" t="s">
        <v>146</v>
      </c>
      <c r="C30" s="257"/>
      <c r="D30" s="258"/>
      <c r="E30" s="258"/>
      <c r="F30" s="3">
        <f>SUM(F25:F29)</f>
        <v>0</v>
      </c>
      <c r="G30" s="3">
        <f t="shared" ref="G30:H30" si="6">SUM(G25:G29)</f>
        <v>0</v>
      </c>
      <c r="H30" s="3">
        <f t="shared" si="6"/>
        <v>0</v>
      </c>
      <c r="I30" s="224"/>
      <c r="J30" s="224"/>
      <c r="K30" s="224"/>
      <c r="L30" s="224"/>
      <c r="M30" s="387"/>
    </row>
    <row r="31" spans="1:17" ht="13" x14ac:dyDescent="0.3">
      <c r="F31" s="224"/>
      <c r="G31" s="224"/>
      <c r="H31" s="224"/>
      <c r="I31" s="305" t="s">
        <v>298</v>
      </c>
      <c r="J31" s="305" t="s">
        <v>299</v>
      </c>
      <c r="K31" s="224"/>
      <c r="L31" s="224"/>
      <c r="M31" s="224"/>
    </row>
    <row r="32" spans="1:17" ht="13" x14ac:dyDescent="0.3">
      <c r="F32" s="305"/>
      <c r="G32" s="305"/>
      <c r="H32" s="305"/>
      <c r="I32" s="305" t="s">
        <v>300</v>
      </c>
      <c r="J32" s="305" t="s">
        <v>300</v>
      </c>
      <c r="K32" s="305"/>
      <c r="L32" s="305"/>
      <c r="M32" s="305"/>
    </row>
    <row r="33" spans="2:13" ht="13" x14ac:dyDescent="0.3">
      <c r="F33" s="305" t="s">
        <v>298</v>
      </c>
      <c r="G33" s="305" t="s">
        <v>299</v>
      </c>
      <c r="H33" s="305" t="s">
        <v>146</v>
      </c>
      <c r="I33" s="305" t="s">
        <v>301</v>
      </c>
      <c r="J33" s="305" t="s">
        <v>301</v>
      </c>
      <c r="K33" s="305" t="s">
        <v>298</v>
      </c>
      <c r="L33" s="305" t="s">
        <v>299</v>
      </c>
      <c r="M33" s="305" t="s">
        <v>146</v>
      </c>
    </row>
    <row r="34" spans="2:13" ht="13" x14ac:dyDescent="0.3">
      <c r="B34" s="257" t="s">
        <v>302</v>
      </c>
      <c r="C34" s="257" t="s">
        <v>303</v>
      </c>
      <c r="D34" s="258" t="s">
        <v>304</v>
      </c>
      <c r="E34" s="258" t="s">
        <v>376</v>
      </c>
      <c r="F34" s="140" t="s">
        <v>305</v>
      </c>
      <c r="G34" s="140" t="s">
        <v>305</v>
      </c>
      <c r="H34" s="140" t="s">
        <v>305</v>
      </c>
      <c r="I34" s="386" t="s">
        <v>377</v>
      </c>
      <c r="J34" s="386" t="s">
        <v>377</v>
      </c>
      <c r="K34" s="140" t="s">
        <v>489</v>
      </c>
      <c r="L34" s="140" t="s">
        <v>489</v>
      </c>
      <c r="M34" s="140" t="s">
        <v>489</v>
      </c>
    </row>
    <row r="35" spans="2:13" x14ac:dyDescent="0.25">
      <c r="B35" s="224" t="s">
        <v>508</v>
      </c>
      <c r="C35" s="224" t="s">
        <v>159</v>
      </c>
      <c r="D35" s="307" t="s">
        <v>509</v>
      </c>
      <c r="E35" s="224" t="s">
        <v>366</v>
      </c>
      <c r="F35" s="224">
        <v>0</v>
      </c>
      <c r="G35" s="224">
        <v>0</v>
      </c>
      <c r="H35" s="224">
        <f>SUM(F35:G35)</f>
        <v>0</v>
      </c>
      <c r="I35" s="304">
        <v>0</v>
      </c>
      <c r="J35" s="304">
        <v>0</v>
      </c>
      <c r="K35" s="324">
        <f>IF(I35&lt;&gt;0,F35/I35,0)</f>
        <v>0</v>
      </c>
      <c r="L35" s="324">
        <f>IF(J35&lt;&gt;0,G35/J35,0)</f>
        <v>0</v>
      </c>
      <c r="M35" s="308">
        <f>SUM(K35:L35)</f>
        <v>0</v>
      </c>
    </row>
    <row r="36" spans="2:13" ht="13" x14ac:dyDescent="0.3">
      <c r="B36" s="3" t="s">
        <v>146</v>
      </c>
      <c r="C36" s="257"/>
      <c r="D36" s="258"/>
      <c r="E36" s="258"/>
      <c r="F36" s="3">
        <f>SUM(F35)</f>
        <v>0</v>
      </c>
      <c r="G36" s="3">
        <f t="shared" ref="G36:H36" si="7">SUM(G35)</f>
        <v>0</v>
      </c>
      <c r="H36" s="3">
        <f t="shared" si="7"/>
        <v>0</v>
      </c>
      <c r="I36" s="224"/>
      <c r="J36" s="224"/>
      <c r="K36" s="224"/>
      <c r="L36" s="224"/>
      <c r="M36" s="387">
        <v>0</v>
      </c>
    </row>
    <row r="42" spans="2:13" ht="13" x14ac:dyDescent="0.3">
      <c r="B42" s="3" t="s">
        <v>490</v>
      </c>
    </row>
    <row r="43" spans="2:13" x14ac:dyDescent="0.25">
      <c r="B43" s="224" t="s">
        <v>506</v>
      </c>
      <c r="C43" s="308">
        <f>SUM(H8:H12)/SUM(M8:M12)</f>
        <v>24.238206919602742</v>
      </c>
    </row>
    <row r="44" spans="2:13" x14ac:dyDescent="0.25">
      <c r="B44" s="224" t="s">
        <v>508</v>
      </c>
      <c r="C44" s="308">
        <f>H18/M18</f>
        <v>32.303724288822735</v>
      </c>
    </row>
    <row r="45" spans="2:13" x14ac:dyDescent="0.25">
      <c r="B45" s="307"/>
      <c r="C45" s="308"/>
    </row>
    <row r="46" spans="2:13" x14ac:dyDescent="0.25">
      <c r="B46" s="307"/>
      <c r="C46" s="308"/>
    </row>
    <row r="47" spans="2:13" x14ac:dyDescent="0.25">
      <c r="B47" s="307"/>
      <c r="C47" s="308"/>
    </row>
  </sheetData>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6EB0E29CC5B443B20AD0ADCD173D34" ma:contentTypeVersion="4" ma:contentTypeDescription="Create a new document." ma:contentTypeScope="" ma:versionID="fefafd6d308eb8b5a8cc413f7e344640">
  <xsd:schema xmlns:xsd="http://www.w3.org/2001/XMLSchema" xmlns:xs="http://www.w3.org/2001/XMLSchema" xmlns:p="http://schemas.microsoft.com/office/2006/metadata/properties" xmlns:ns2="fd280014-f047-445d-a75d-a0f18d80e10d" targetNamespace="http://schemas.microsoft.com/office/2006/metadata/properties" ma:root="true" ma:fieldsID="d0167217136ba33b7f2a5da369f8bb0e" ns2:_="">
    <xsd:import namespace="fd280014-f047-445d-a75d-a0f18d80e1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280014-f047-445d-a75d-a0f18d80e1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purl.oclc.org/ooxml/officeDocument/customXml" ds:itemID="{4BA3AA60-D45F-4E3B-81DC-7A4D6942EA8D}">
  <ds:schemaRefs>
    <ds:schemaRef ds:uri="http://schemas.microsoft.com/sharepoint/v3/contenttype/forms"/>
  </ds:schemaRefs>
</ds:datastoreItem>
</file>

<file path=customXml/itemProps2.xml><?xml version="1.0" encoding="utf-8"?>
<ds:datastoreItem xmlns:ds="http://purl.oclc.org/ooxml/officeDocument/customXml" ds:itemID="{767EB8CB-238D-4EA0-81A3-52D3C58D867B}">
  <ds:schemaRefs>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sharepoint/v3"/>
    <ds:schemaRef ds:uri="http://schemas.microsoft.com/office/infopath/2007/PartnerControls"/>
    <ds:schemaRef ds:uri="http://schemas.openxmlformats.org/package/2006/metadata/core-properties"/>
    <ds:schemaRef ds:uri="ac87a8cc-970f-4adc-8c66-210181bb4d89"/>
    <ds:schemaRef ds:uri="http://purl.org/dc/dcmitype/"/>
  </ds:schemaRefs>
</ds:datastoreItem>
</file>

<file path=customXml/itemProps3.xml><?xml version="1.0" encoding="utf-8"?>
<ds:datastoreItem xmlns:ds="http://schemas.openxmlformats.org/officeDocument/2006/customXml" ds:itemID="{570D4FEE-60AD-4F49-8DA7-B6146BAD821F}"/>
</file>

<file path=docMetadata/LabelInfo.xml><?xml version="1.0" encoding="utf-8"?>
<clbl:labelList xmlns:clbl="http://schemas.microsoft.com/office/2020/mipLabelMetadata">
  <clbl:label id="{9cd35bff-114b-4201-ba3a-fdb2e03735c9}" enabled="0" method="" siteId="{9cd35bff-114b-4201-ba3a-fdb2e03735c9}" removed="1"/>
  <clbl:label id="{f9aa5788-eb33-4a49-8ad0-76101910cac3}" enabled="0" method="" siteId="{f9aa5788-eb33-4a49-8ad0-76101910cac3}" removed="1"/>
</clbl:labelLis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73</vt:i4>
      </vt:variant>
      <vt:variant>
        <vt:lpstr>Named Ranges</vt:lpstr>
      </vt:variant>
      <vt:variant>
        <vt:i4>4</vt:i4>
      </vt:variant>
    </vt:vector>
  </HeadingPairs>
  <TitlesOfParts>
    <vt:vector size="77" baseType="lpstr">
      <vt:lpstr>CRA ADJ UNIT COSTS-hardcoded</vt:lpstr>
      <vt:lpstr>CRA ADJ UNIT COSTS</vt:lpstr>
      <vt:lpstr>CR CRA ADJ UNIT COSTS-Hardcoded</vt:lpstr>
      <vt:lpstr>CR CRA ADJ UNIT COSTS</vt:lpstr>
      <vt:lpstr>PRESORT LEVELS HELD CONST</vt:lpstr>
      <vt:lpstr>CR AVOIDED COST CALC</vt:lpstr>
      <vt:lpstr>CRA FLATS</vt:lpstr>
      <vt:lpstr>CRA CR</vt:lpstr>
      <vt:lpstr>MADC NONAUTO COST</vt:lpstr>
      <vt:lpstr>MADC NONAUTO MODEL</vt:lpstr>
      <vt:lpstr>ADC NONAUTO COST</vt:lpstr>
      <vt:lpstr>ADC NONAUTO MODEL</vt:lpstr>
      <vt:lpstr>3D NONAUTO COST</vt:lpstr>
      <vt:lpstr>3D NONAUTO MODEL</vt:lpstr>
      <vt:lpstr>3D NONAUTO COST FSS</vt:lpstr>
      <vt:lpstr>3D NONAUTO MODEL FSS</vt:lpstr>
      <vt:lpstr>3D NONAUTO COST NONFSS</vt:lpstr>
      <vt:lpstr>3D NONAUTO MODEL NONFSS</vt:lpstr>
      <vt:lpstr>5D NONAUTO COST</vt:lpstr>
      <vt:lpstr>5D NONAUTO MODEL</vt:lpstr>
      <vt:lpstr>FSS OTHER NONAUTO COST</vt:lpstr>
      <vt:lpstr>FSS OTHER NONAUTO MODEL</vt:lpstr>
      <vt:lpstr>FSS SCHEME NONAUTO COST</vt:lpstr>
      <vt:lpstr>FSS SCHEME NONAUTO MODEL</vt:lpstr>
      <vt:lpstr>MADC AUTO COST</vt:lpstr>
      <vt:lpstr>MADC AUTO MODEL</vt:lpstr>
      <vt:lpstr>ADC AUTO COST</vt:lpstr>
      <vt:lpstr>ADC AUTO MODEL</vt:lpstr>
      <vt:lpstr>3D AUTO COST</vt:lpstr>
      <vt:lpstr>3D AUTO MODEL</vt:lpstr>
      <vt:lpstr>3D AUTO COST FSS</vt:lpstr>
      <vt:lpstr>3D AUTO MODEL FSS</vt:lpstr>
      <vt:lpstr>3D AUTO COST NONFSS</vt:lpstr>
      <vt:lpstr>3D AUTO MODEL NONFSS</vt:lpstr>
      <vt:lpstr>5D AUTO COST</vt:lpstr>
      <vt:lpstr>5D AUTO MODEL</vt:lpstr>
      <vt:lpstr>FSS AUTO OTHER COST</vt:lpstr>
      <vt:lpstr>FSS AUTO OTHER MODEL</vt:lpstr>
      <vt:lpstr>FSS AUTO SCHEME COST</vt:lpstr>
      <vt:lpstr>FSS AUTO SCHEME MODEL</vt:lpstr>
      <vt:lpstr>MADC AUTO COST REV</vt:lpstr>
      <vt:lpstr>MADC AUTO MODEL REV</vt:lpstr>
      <vt:lpstr>ADC AUTO COST REV</vt:lpstr>
      <vt:lpstr>ADC AUTO MODEL REV</vt:lpstr>
      <vt:lpstr>3D AUTO COST REV</vt:lpstr>
      <vt:lpstr>3D AUTO MODEL REV</vt:lpstr>
      <vt:lpstr>3D AUTO COST REV FSS</vt:lpstr>
      <vt:lpstr>3D AUTO MODEL REV FSS</vt:lpstr>
      <vt:lpstr>3D AUTO COST REV NONFSS</vt:lpstr>
      <vt:lpstr>3D AUTO MODEL REV NONFSS</vt:lpstr>
      <vt:lpstr>FSS AUTO OTHER COST REV</vt:lpstr>
      <vt:lpstr>FSS AUTO OTHER MODEL REV</vt:lpstr>
      <vt:lpstr>5D AUTO COST REV</vt:lpstr>
      <vt:lpstr> 5D AUTO MODEL REV</vt:lpstr>
      <vt:lpstr>PRODUCTIVITIES</vt:lpstr>
      <vt:lpstr>WAGE RATES</vt:lpstr>
      <vt:lpstr>PIGGYBACKS</vt:lpstr>
      <vt:lpstr>PIECE DENSITIES</vt:lpstr>
      <vt:lpstr>BUNDLE DATA</vt:lpstr>
      <vt:lpstr>BUNDLE SORT</vt:lpstr>
      <vt:lpstr>ENTRY PROFILE</vt:lpstr>
      <vt:lpstr>FY VOLUME NONAUTO</vt:lpstr>
      <vt:lpstr>FY VOLUME AUTO</vt:lpstr>
      <vt:lpstr>ACCEPT RATES</vt:lpstr>
      <vt:lpstr>CR COST</vt:lpstr>
      <vt:lpstr>CR MODEL</vt:lpstr>
      <vt:lpstr>CR PALLET COST</vt:lpstr>
      <vt:lpstr>CR PALLET MODEL</vt:lpstr>
      <vt:lpstr>BUNDLE SORT CR</vt:lpstr>
      <vt:lpstr>ENTRY PROFILE CR</vt:lpstr>
      <vt:lpstr>COVERAGE FACTORS</vt:lpstr>
      <vt:lpstr>BUNDLE DENSITIES</vt:lpstr>
      <vt:lpstr>FY VOLUME CR</vt:lpstr>
      <vt:lpstr>'CR CRA ADJ UNIT COSTS'!Print_Area</vt:lpstr>
      <vt:lpstr>'CR PALLET COST'!Print_Area</vt:lpstr>
      <vt:lpstr>'CRA ADJ UNIT COSTS'!Print_Area</vt:lpstr>
      <vt:lpstr>'ENTRY PROFILE'!Print_Area</vt:lpstr>
    </vt:vector>
  </TitlesOfParts>
  <Company>U.S. Postal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kwalia@usps.gov</dc:creator>
  <cp:lastModifiedBy>Easton, Katie - Washington, DC</cp:lastModifiedBy>
  <cp:lastPrinted>2015-12-22T04:35:16Z</cp:lastPrinted>
  <dcterms:created xsi:type="dcterms:W3CDTF">2001-03-22T16:38:16Z</dcterms:created>
  <dcterms:modified xsi:type="dcterms:W3CDTF">2026-02-03T23:34:26Z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0x0101000B6EB0E29CC5B443B20AD0ADCD173D34</vt:lpwstr>
  </property>
  <property fmtid="{D5CDD505-2E9C-101B-9397-08002B2CF9AE}" pid="3" name="Order">
    <vt:r8>7400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