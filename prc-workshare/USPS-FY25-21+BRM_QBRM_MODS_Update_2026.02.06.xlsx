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ps365.sharepoint.com/sites/CostAttribution/Shared Documents/ACR 2025/FY25 ACR Revision CHIR No.2 Q30/USPS-FY25-21 MODS Update/"/>
    </mc:Choice>
  </mc:AlternateContent>
  <xr:revisionPtr revIDLastSave="31" documentId="8_{A2CC0332-34E7-429B-8A2C-4F9B76512646}" xr6:coauthVersionLast="47" xr6:coauthVersionMax="47" xr10:uidLastSave="{2C7F9880-3A32-416F-8034-82286660B5AB}"/>
  <bookViews>
    <workbookView xWindow="-28905" yWindow="0" windowWidth="14610" windowHeight="15585" tabRatio="755" xr2:uid="{00000000-000D-0000-FFFF-FFFF00000000}"/>
  </bookViews>
  <sheets>
    <sheet name="QBRM COST AVOIDANCE SUMMARY" sheetId="1" r:id="rId1"/>
    <sheet name="HAND FLOW" sheetId="3" r:id="rId2"/>
    <sheet name="HAND COSTS" sheetId="2" r:id="rId3"/>
    <sheet name="QBRM COSTS" sheetId="4" r:id="rId4"/>
    <sheet name="QBRM FLOW" sheetId="18" r:id="rId5"/>
    <sheet name="QBRM COST AVOIDANCE INPUTS" sheetId="6" r:id="rId6"/>
    <sheet name="BRM FEES SUMMARY" sheetId="7" r:id="rId7"/>
    <sheet name="ANNUAL PERMIT" sheetId="8" r:id="rId8"/>
    <sheet name="QBRM QUARTERLY" sheetId="10" r:id="rId9"/>
    <sheet name="ANNUAL ACCOUNTING " sheetId="9" r:id="rId10"/>
    <sheet name="NONLETTER SIZE BRM MONTHLY " sheetId="11" r:id="rId11"/>
    <sheet name="HI VOL QBRM " sheetId="12" r:id="rId12"/>
    <sheet name="BASIC QBRM " sheetId="13" r:id="rId13"/>
    <sheet name="HI VOL BRM" sheetId="14" r:id="rId14"/>
    <sheet name="BASIC BRM" sheetId="15" r:id="rId15"/>
    <sheet name="NONLETTER SIZE BRM" sheetId="16" r:id="rId16"/>
    <sheet name="BRM FEE INPUTS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Print_Area" localSheetId="16">'BRM FEE INPUTS'!$A$1:$H$97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0" i="6" l="1"/>
  <c r="H58" i="17" l="1"/>
  <c r="G44" i="6"/>
  <c r="G32" i="6"/>
  <c r="G30" i="6"/>
  <c r="G28" i="6"/>
  <c r="G27" i="6"/>
  <c r="I13" i="1" l="1"/>
  <c r="G16" i="6" l="1"/>
  <c r="G13" i="6"/>
  <c r="G14" i="6"/>
  <c r="H60" i="17" l="1"/>
  <c r="H70" i="17"/>
  <c r="H67" i="17"/>
  <c r="G25" i="6"/>
  <c r="G21" i="6"/>
  <c r="G20" i="6"/>
  <c r="G10" i="6"/>
  <c r="G8" i="6"/>
  <c r="G7" i="6"/>
  <c r="H53" i="17" l="1"/>
  <c r="G41" i="6"/>
  <c r="G34" i="6"/>
  <c r="F23" i="6" l="1"/>
  <c r="F32" i="6" l="1"/>
  <c r="F31" i="6"/>
  <c r="F30" i="6"/>
  <c r="F29" i="6"/>
  <c r="F28" i="6"/>
  <c r="F25" i="6"/>
  <c r="F24" i="6"/>
  <c r="F22" i="6"/>
  <c r="F20" i="6"/>
  <c r="F21" i="6"/>
  <c r="F18" i="6"/>
  <c r="F17" i="6"/>
  <c r="F16" i="6"/>
  <c r="F15" i="6"/>
  <c r="F14" i="6"/>
  <c r="F8" i="6"/>
  <c r="G37" i="6" l="1"/>
  <c r="G38" i="6"/>
  <c r="G39" i="6"/>
  <c r="G40" i="6"/>
  <c r="G36" i="6"/>
  <c r="D91" i="17" l="1"/>
  <c r="D92" i="17" s="1"/>
  <c r="G15" i="6" l="1"/>
  <c r="G17" i="6"/>
  <c r="G22" i="6"/>
  <c r="G23" i="6"/>
  <c r="G24" i="6"/>
  <c r="G29" i="6"/>
  <c r="G31" i="6"/>
  <c r="G45" i="6"/>
  <c r="J10" i="4" l="1"/>
  <c r="J10" i="2"/>
  <c r="G11" i="14" l="1"/>
  <c r="G12" i="14"/>
  <c r="G13" i="14"/>
  <c r="G17" i="14"/>
  <c r="G18" i="14"/>
  <c r="G9" i="14"/>
  <c r="G10" i="14"/>
  <c r="H64" i="17" l="1"/>
  <c r="H52" i="17"/>
  <c r="H12" i="10" l="1"/>
  <c r="E9" i="9"/>
  <c r="H59" i="17" l="1"/>
  <c r="F10" i="8" s="1"/>
  <c r="D13" i="2" l="1"/>
  <c r="F7" i="17"/>
  <c r="F8" i="17"/>
  <c r="F9" i="17"/>
  <c r="F10" i="17"/>
  <c r="G10" i="17"/>
  <c r="F11" i="17"/>
  <c r="G11" i="17"/>
  <c r="F12" i="17"/>
  <c r="F13" i="17"/>
  <c r="F14" i="17"/>
  <c r="F18" i="17"/>
  <c r="G18" i="17"/>
  <c r="E18" i="17"/>
  <c r="F19" i="17"/>
  <c r="F20" i="17"/>
  <c r="F21" i="17"/>
  <c r="G21" i="17"/>
  <c r="E18" i="13"/>
  <c r="F22" i="17"/>
  <c r="F23" i="17"/>
  <c r="F27" i="17"/>
  <c r="F28" i="17"/>
  <c r="G28" i="17"/>
  <c r="F31" i="17"/>
  <c r="G31" i="17"/>
  <c r="E12" i="11"/>
  <c r="H12" i="11"/>
  <c r="F32" i="17"/>
  <c r="G7" i="17"/>
  <c r="G8" i="17"/>
  <c r="G9" i="17"/>
  <c r="G12" i="17"/>
  <c r="G13" i="17"/>
  <c r="G14" i="17"/>
  <c r="G19" i="17"/>
  <c r="E19" i="17"/>
  <c r="E17" i="14"/>
  <c r="G20" i="17"/>
  <c r="G22" i="17"/>
  <c r="E22" i="17"/>
  <c r="G23" i="17"/>
  <c r="E23" i="17"/>
  <c r="F18" i="15"/>
  <c r="G27" i="17"/>
  <c r="G32" i="17"/>
  <c r="H14" i="11"/>
  <c r="G36" i="17"/>
  <c r="H36" i="17" s="1"/>
  <c r="E23" i="15" s="1"/>
  <c r="G37" i="17"/>
  <c r="H37" i="17" s="1"/>
  <c r="E24" i="15" s="1"/>
  <c r="G38" i="17"/>
  <c r="H38" i="17" s="1"/>
  <c r="E25" i="15" s="1"/>
  <c r="G39" i="17"/>
  <c r="H39" i="17" s="1"/>
  <c r="E26" i="15" s="1"/>
  <c r="F26" i="15"/>
  <c r="G40" i="17"/>
  <c r="H40" i="17" s="1"/>
  <c r="E27" i="15" s="1"/>
  <c r="G41" i="17"/>
  <c r="H41" i="17" s="1"/>
  <c r="E28" i="15" s="1"/>
  <c r="G15" i="2"/>
  <c r="H15" i="2"/>
  <c r="E15" i="2"/>
  <c r="D15" i="2"/>
  <c r="E14" i="2"/>
  <c r="H14" i="2"/>
  <c r="H15" i="4"/>
  <c r="G15" i="4"/>
  <c r="E15" i="4"/>
  <c r="D15" i="4"/>
  <c r="E14" i="4"/>
  <c r="G25" i="3"/>
  <c r="G28" i="3" s="1"/>
  <c r="L42" i="3"/>
  <c r="N42" i="3"/>
  <c r="M45" i="3"/>
  <c r="G28" i="18"/>
  <c r="H25" i="18"/>
  <c r="J28" i="18" s="1"/>
  <c r="I30" i="18" s="1"/>
  <c r="E9" i="4"/>
  <c r="G9" i="4"/>
  <c r="H9" i="4"/>
  <c r="E11" i="4"/>
  <c r="D11" i="4"/>
  <c r="H11" i="4"/>
  <c r="G11" i="4"/>
  <c r="E12" i="4"/>
  <c r="H12" i="4"/>
  <c r="E13" i="4"/>
  <c r="D13" i="4"/>
  <c r="H13" i="4"/>
  <c r="G13" i="4"/>
  <c r="H14" i="4"/>
  <c r="A1" i="4"/>
  <c r="M42" i="18"/>
  <c r="M45" i="18" s="1"/>
  <c r="E13" i="2"/>
  <c r="H13" i="2"/>
  <c r="D11" i="2"/>
  <c r="E11" i="2"/>
  <c r="H11" i="2"/>
  <c r="G11" i="2"/>
  <c r="E9" i="2"/>
  <c r="H9" i="2"/>
  <c r="G9" i="2"/>
  <c r="E12" i="2"/>
  <c r="H12" i="2"/>
  <c r="G13" i="2"/>
  <c r="D17" i="15"/>
  <c r="C17" i="14"/>
  <c r="C17" i="13"/>
  <c r="C94" i="17"/>
  <c r="C93" i="17"/>
  <c r="C92" i="17"/>
  <c r="C91" i="17"/>
  <c r="C90" i="17"/>
  <c r="C89" i="17"/>
  <c r="D86" i="17"/>
  <c r="C88" i="17"/>
  <c r="C87" i="17"/>
  <c r="C86" i="17"/>
  <c r="C85" i="17"/>
  <c r="C84" i="17"/>
  <c r="B95" i="17"/>
  <c r="A95" i="17"/>
  <c r="B94" i="17"/>
  <c r="A94" i="17"/>
  <c r="A93" i="17"/>
  <c r="A92" i="17"/>
  <c r="B91" i="17"/>
  <c r="A91" i="17"/>
  <c r="B90" i="17"/>
  <c r="A90" i="17"/>
  <c r="B86" i="17"/>
  <c r="B85" i="17"/>
  <c r="H78" i="17"/>
  <c r="H72" i="17"/>
  <c r="H69" i="17"/>
  <c r="H66" i="17"/>
  <c r="H62" i="17"/>
  <c r="H55" i="17"/>
  <c r="H50" i="17"/>
  <c r="H34" i="17"/>
  <c r="G34" i="17"/>
  <c r="E34" i="17"/>
  <c r="H25" i="17"/>
  <c r="G25" i="17"/>
  <c r="F25" i="17"/>
  <c r="C25" i="17"/>
  <c r="H16" i="17"/>
  <c r="G16" i="17"/>
  <c r="F16" i="17"/>
  <c r="E16" i="17"/>
  <c r="D16" i="17"/>
  <c r="H2" i="17"/>
  <c r="G2" i="17"/>
  <c r="F2" i="17"/>
  <c r="E2" i="17"/>
  <c r="H14" i="10"/>
  <c r="A89" i="17"/>
  <c r="A88" i="17"/>
  <c r="A87" i="17"/>
  <c r="A86" i="17"/>
  <c r="A85" i="17"/>
  <c r="A84" i="17"/>
  <c r="A33" i="11"/>
  <c r="A32" i="11"/>
  <c r="A31" i="11"/>
  <c r="N17" i="11"/>
  <c r="M4" i="11"/>
  <c r="L4" i="11"/>
  <c r="K4" i="11"/>
  <c r="J4" i="11"/>
  <c r="I4" i="11"/>
  <c r="A30" i="11"/>
  <c r="A29" i="11"/>
  <c r="A28" i="11"/>
  <c r="A27" i="11"/>
  <c r="A26" i="11"/>
  <c r="A25" i="11"/>
  <c r="H4" i="11"/>
  <c r="G4" i="11"/>
  <c r="F4" i="11"/>
  <c r="E4" i="11"/>
  <c r="A23" i="11"/>
  <c r="D4" i="11"/>
  <c r="A22" i="11"/>
  <c r="J14" i="10"/>
  <c r="K14" i="10"/>
  <c r="O17" i="10"/>
  <c r="N4" i="10"/>
  <c r="M4" i="10"/>
  <c r="L4" i="10"/>
  <c r="K4" i="10"/>
  <c r="J4" i="10"/>
  <c r="A32" i="10"/>
  <c r="A31" i="10"/>
  <c r="A30" i="10"/>
  <c r="A29" i="10"/>
  <c r="A28" i="10"/>
  <c r="A27" i="10"/>
  <c r="A26" i="10"/>
  <c r="I4" i="10"/>
  <c r="H4" i="10"/>
  <c r="A25" i="10"/>
  <c r="A24" i="10"/>
  <c r="A23" i="10"/>
  <c r="G4" i="10"/>
  <c r="F4" i="10"/>
  <c r="A22" i="10"/>
  <c r="E4" i="10"/>
  <c r="D4" i="10"/>
  <c r="E18" i="14"/>
  <c r="E21" i="17"/>
  <c r="E20" i="17"/>
  <c r="F17" i="15"/>
  <c r="E17" i="13"/>
  <c r="C9" i="13"/>
  <c r="C14" i="13" s="1"/>
  <c r="E14" i="17"/>
  <c r="E10" i="13"/>
  <c r="G10" i="13"/>
  <c r="H10" i="13"/>
  <c r="I10" i="15"/>
  <c r="F10" i="15"/>
  <c r="H10" i="15"/>
  <c r="H9" i="15"/>
  <c r="E10" i="14"/>
  <c r="H10" i="14"/>
  <c r="G9" i="13"/>
  <c r="E11" i="13"/>
  <c r="E9" i="13"/>
  <c r="E10" i="12"/>
  <c r="H10" i="12"/>
  <c r="G10" i="12"/>
  <c r="H9" i="12"/>
  <c r="E9" i="12"/>
  <c r="G9" i="12"/>
  <c r="E12" i="12"/>
  <c r="G12" i="12"/>
  <c r="H12" i="12"/>
  <c r="G10" i="8"/>
  <c r="D10" i="8"/>
  <c r="E10" i="8" s="1"/>
  <c r="G14" i="8"/>
  <c r="D14" i="8"/>
  <c r="E14" i="8" s="1"/>
  <c r="F14" i="8"/>
  <c r="F23" i="15"/>
  <c r="F25" i="15"/>
  <c r="F28" i="15"/>
  <c r="G44" i="17"/>
  <c r="H44" i="17"/>
  <c r="E32" i="15" s="1"/>
  <c r="F32" i="15"/>
  <c r="G32" i="15" s="1"/>
  <c r="G45" i="17"/>
  <c r="H45" i="17"/>
  <c r="E33" i="15" s="1"/>
  <c r="G46" i="17"/>
  <c r="H46" i="17"/>
  <c r="E34" i="15" s="1"/>
  <c r="G47" i="17"/>
  <c r="H47" i="17"/>
  <c r="G48" i="17"/>
  <c r="H48" i="17"/>
  <c r="E36" i="15" s="1"/>
  <c r="C4" i="16"/>
  <c r="D4" i="16"/>
  <c r="E4" i="16"/>
  <c r="F4" i="16"/>
  <c r="G4" i="16"/>
  <c r="H4" i="16"/>
  <c r="I4" i="16"/>
  <c r="D9" i="16"/>
  <c r="F9" i="16"/>
  <c r="G9" i="16"/>
  <c r="A13" i="16"/>
  <c r="A14" i="16"/>
  <c r="A15" i="16"/>
  <c r="A16" i="16"/>
  <c r="A17" i="16"/>
  <c r="A18" i="16"/>
  <c r="A19" i="16"/>
  <c r="D4" i="15"/>
  <c r="E4" i="15"/>
  <c r="F4" i="15"/>
  <c r="G4" i="15"/>
  <c r="H4" i="15"/>
  <c r="I4" i="15"/>
  <c r="J4" i="15"/>
  <c r="K4" i="15"/>
  <c r="L4" i="15"/>
  <c r="F9" i="15"/>
  <c r="I9" i="15"/>
  <c r="F12" i="15"/>
  <c r="H12" i="15"/>
  <c r="I12" i="15"/>
  <c r="F11" i="15"/>
  <c r="I11" i="15"/>
  <c r="H11" i="15"/>
  <c r="F13" i="15"/>
  <c r="H13" i="15"/>
  <c r="I13" i="15"/>
  <c r="D14" i="15"/>
  <c r="H17" i="15"/>
  <c r="I17" i="15"/>
  <c r="D18" i="15"/>
  <c r="D19" i="15" s="1"/>
  <c r="H18" i="15"/>
  <c r="I18" i="15"/>
  <c r="H23" i="15"/>
  <c r="I23" i="15"/>
  <c r="F24" i="15"/>
  <c r="H24" i="15"/>
  <c r="I24" i="15"/>
  <c r="H25" i="15"/>
  <c r="I25" i="15"/>
  <c r="H26" i="15"/>
  <c r="I26" i="15"/>
  <c r="F27" i="15"/>
  <c r="H27" i="15"/>
  <c r="I27" i="15"/>
  <c r="H28" i="15"/>
  <c r="I28" i="15"/>
  <c r="H32" i="15"/>
  <c r="I32" i="15"/>
  <c r="F33" i="15"/>
  <c r="H33" i="15"/>
  <c r="I33" i="15"/>
  <c r="F34" i="15"/>
  <c r="H34" i="15"/>
  <c r="I34" i="15"/>
  <c r="E35" i="15"/>
  <c r="F35" i="15"/>
  <c r="I35" i="15"/>
  <c r="H35" i="15"/>
  <c r="F36" i="15"/>
  <c r="I36" i="15"/>
  <c r="H36" i="15"/>
  <c r="C9" i="9"/>
  <c r="D9" i="9" s="1"/>
  <c r="F9" i="9" s="1"/>
  <c r="H9" i="9"/>
  <c r="G9" i="9"/>
  <c r="M40" i="15"/>
  <c r="D41" i="15"/>
  <c r="M42" i="15"/>
  <c r="A46" i="15"/>
  <c r="A47" i="15"/>
  <c r="A48" i="15"/>
  <c r="A49" i="15"/>
  <c r="A50" i="15"/>
  <c r="A51" i="15"/>
  <c r="A52" i="15"/>
  <c r="A53" i="15"/>
  <c r="A54" i="15"/>
  <c r="A55" i="15"/>
  <c r="A56" i="15"/>
  <c r="C4" i="14"/>
  <c r="D4" i="14"/>
  <c r="E4" i="14"/>
  <c r="F4" i="14"/>
  <c r="G4" i="14"/>
  <c r="H4" i="14"/>
  <c r="I4" i="14"/>
  <c r="J4" i="14"/>
  <c r="K4" i="14"/>
  <c r="E9" i="14"/>
  <c r="H9" i="14"/>
  <c r="C12" i="14"/>
  <c r="C14" i="14"/>
  <c r="E12" i="14"/>
  <c r="H12" i="14"/>
  <c r="E11" i="14"/>
  <c r="H11" i="14"/>
  <c r="E13" i="14"/>
  <c r="H13" i="14"/>
  <c r="H17" i="14"/>
  <c r="C18" i="14"/>
  <c r="H18" i="14"/>
  <c r="L20" i="14"/>
  <c r="A24" i="14"/>
  <c r="A25" i="14"/>
  <c r="A26" i="14"/>
  <c r="A27" i="14"/>
  <c r="A28" i="14"/>
  <c r="A29" i="14"/>
  <c r="A30" i="14"/>
  <c r="A31" i="14"/>
  <c r="A32" i="14"/>
  <c r="A33" i="14"/>
  <c r="C4" i="13"/>
  <c r="D4" i="13"/>
  <c r="E4" i="13"/>
  <c r="F4" i="13"/>
  <c r="G4" i="13"/>
  <c r="H4" i="13"/>
  <c r="I4" i="13"/>
  <c r="J4" i="13"/>
  <c r="K4" i="13"/>
  <c r="H9" i="13"/>
  <c r="G11" i="13"/>
  <c r="H11" i="13"/>
  <c r="E12" i="13"/>
  <c r="G12" i="13"/>
  <c r="H12" i="13"/>
  <c r="E13" i="13"/>
  <c r="H13" i="13"/>
  <c r="G13" i="13"/>
  <c r="G17" i="13"/>
  <c r="H17" i="13"/>
  <c r="C18" i="13"/>
  <c r="C19" i="13" s="1"/>
  <c r="G18" i="13"/>
  <c r="H18" i="13"/>
  <c r="L20" i="13"/>
  <c r="A25" i="13"/>
  <c r="A26" i="13"/>
  <c r="A27" i="13"/>
  <c r="A28" i="13"/>
  <c r="A29" i="13"/>
  <c r="A30" i="13"/>
  <c r="A31" i="13"/>
  <c r="A32" i="13"/>
  <c r="A33" i="13"/>
  <c r="A34" i="13"/>
  <c r="C4" i="12"/>
  <c r="D4" i="12"/>
  <c r="E4" i="12"/>
  <c r="F4" i="12"/>
  <c r="G4" i="12"/>
  <c r="H4" i="12"/>
  <c r="I4" i="12"/>
  <c r="J4" i="12"/>
  <c r="K4" i="12"/>
  <c r="E11" i="12"/>
  <c r="G11" i="12"/>
  <c r="H11" i="12"/>
  <c r="E13" i="12"/>
  <c r="G13" i="12"/>
  <c r="H13" i="12"/>
  <c r="C14" i="12"/>
  <c r="L14" i="12"/>
  <c r="A17" i="12"/>
  <c r="A18" i="12"/>
  <c r="A19" i="12"/>
  <c r="A20" i="12"/>
  <c r="A21" i="12"/>
  <c r="A22" i="12"/>
  <c r="A23" i="12"/>
  <c r="A24" i="12"/>
  <c r="A25" i="12"/>
  <c r="A26" i="12"/>
  <c r="C4" i="11"/>
  <c r="J12" i="11"/>
  <c r="K12" i="11"/>
  <c r="J14" i="11"/>
  <c r="K14" i="11"/>
  <c r="A21" i="11"/>
  <c r="C4" i="10"/>
  <c r="J12" i="10"/>
  <c r="K12" i="10"/>
  <c r="C17" i="10"/>
  <c r="A20" i="10"/>
  <c r="A21" i="10"/>
  <c r="C3" i="9"/>
  <c r="D3" i="9"/>
  <c r="E3" i="9"/>
  <c r="F3" i="9"/>
  <c r="G3" i="9"/>
  <c r="H3" i="9"/>
  <c r="I3" i="9"/>
  <c r="J3" i="9"/>
  <c r="A12" i="9"/>
  <c r="A13" i="9"/>
  <c r="A14" i="9"/>
  <c r="A15" i="9"/>
  <c r="A16" i="9"/>
  <c r="A17" i="9"/>
  <c r="A18" i="9"/>
  <c r="A19" i="9"/>
  <c r="C4" i="8"/>
  <c r="D4" i="8"/>
  <c r="E4" i="8"/>
  <c r="F4" i="8"/>
  <c r="G4" i="8"/>
  <c r="H4" i="8"/>
  <c r="I4" i="8"/>
  <c r="C12" i="8"/>
  <c r="D12" i="8"/>
  <c r="E12" i="8"/>
  <c r="F12" i="8"/>
  <c r="G12" i="8"/>
  <c r="H12" i="8"/>
  <c r="J12" i="8"/>
  <c r="J16" i="8"/>
  <c r="A19" i="8"/>
  <c r="A20" i="8"/>
  <c r="A21" i="8"/>
  <c r="A22" i="8"/>
  <c r="A23" i="8"/>
  <c r="A24" i="8"/>
  <c r="A25" i="8"/>
  <c r="A26" i="8"/>
  <c r="A27" i="8"/>
  <c r="C4" i="4"/>
  <c r="D4" i="4"/>
  <c r="E4" i="4"/>
  <c r="F4" i="4"/>
  <c r="G4" i="4"/>
  <c r="H4" i="4"/>
  <c r="I4" i="4"/>
  <c r="J4" i="4"/>
  <c r="K4" i="4"/>
  <c r="D10" i="4"/>
  <c r="E10" i="4"/>
  <c r="F10" i="4"/>
  <c r="G10" i="4"/>
  <c r="H10" i="4"/>
  <c r="I10" i="4"/>
  <c r="K16" i="4"/>
  <c r="A19" i="4"/>
  <c r="F19" i="4"/>
  <c r="A20" i="4"/>
  <c r="F20" i="4"/>
  <c r="F21" i="4"/>
  <c r="A22" i="4"/>
  <c r="F22" i="4"/>
  <c r="A23" i="4"/>
  <c r="F23" i="4"/>
  <c r="A24" i="4"/>
  <c r="A1" i="2"/>
  <c r="C4" i="2"/>
  <c r="D4" i="2"/>
  <c r="E4" i="2"/>
  <c r="F4" i="2"/>
  <c r="G4" i="2"/>
  <c r="H4" i="2"/>
  <c r="I4" i="2"/>
  <c r="J4" i="2"/>
  <c r="K4" i="2"/>
  <c r="D10" i="2"/>
  <c r="E10" i="2"/>
  <c r="F10" i="2"/>
  <c r="G10" i="2"/>
  <c r="H10" i="2"/>
  <c r="I10" i="2"/>
  <c r="K16" i="2"/>
  <c r="A19" i="2"/>
  <c r="F19" i="2"/>
  <c r="A20" i="2"/>
  <c r="F20" i="2"/>
  <c r="F21" i="2"/>
  <c r="A22" i="2"/>
  <c r="F22" i="2"/>
  <c r="A23" i="2"/>
  <c r="F23" i="2"/>
  <c r="A24" i="2"/>
  <c r="E4" i="1"/>
  <c r="F4" i="1"/>
  <c r="G4" i="1"/>
  <c r="H4" i="1"/>
  <c r="H12" i="1"/>
  <c r="A16" i="1"/>
  <c r="A17" i="1"/>
  <c r="A18" i="1"/>
  <c r="A19" i="1"/>
  <c r="H76" i="17"/>
  <c r="H12" i="17" l="1"/>
  <c r="H8" i="17"/>
  <c r="D10" i="14" s="1"/>
  <c r="F10" i="14" s="1"/>
  <c r="I10" i="14" s="1"/>
  <c r="J10" i="14" s="1"/>
  <c r="K10" i="14" s="1"/>
  <c r="L42" i="18"/>
  <c r="N42" i="18"/>
  <c r="C15" i="4" s="1"/>
  <c r="H25" i="3"/>
  <c r="J28" i="3" s="1"/>
  <c r="I30" i="3" s="1"/>
  <c r="H32" i="3" s="1"/>
  <c r="G36" i="15"/>
  <c r="J36" i="15" s="1"/>
  <c r="K36" i="15" s="1"/>
  <c r="G12" i="4"/>
  <c r="G12" i="2"/>
  <c r="G34" i="15"/>
  <c r="C19" i="14"/>
  <c r="H7" i="17"/>
  <c r="D9" i="12" s="1"/>
  <c r="F9" i="12" s="1"/>
  <c r="I9" i="12" s="1"/>
  <c r="J9" i="12" s="1"/>
  <c r="K9" i="12" s="1"/>
  <c r="H21" i="17"/>
  <c r="D18" i="13" s="1"/>
  <c r="F18" i="13" s="1"/>
  <c r="I18" i="13" s="1"/>
  <c r="J18" i="13" s="1"/>
  <c r="K18" i="13" s="1"/>
  <c r="H10" i="17"/>
  <c r="D12" i="13" s="1"/>
  <c r="F12" i="13" s="1"/>
  <c r="I12" i="13" s="1"/>
  <c r="J12" i="13" s="1"/>
  <c r="K12" i="13" s="1"/>
  <c r="H28" i="17"/>
  <c r="D14" i="10" s="1"/>
  <c r="F14" i="10" s="1"/>
  <c r="G14" i="10" s="1"/>
  <c r="I14" i="10" s="1"/>
  <c r="L14" i="10" s="1"/>
  <c r="M14" i="10" s="1"/>
  <c r="N14" i="10" s="1"/>
  <c r="G28" i="15"/>
  <c r="J28" i="15" s="1"/>
  <c r="K28" i="15" s="1"/>
  <c r="H20" i="17"/>
  <c r="E17" i="15" s="1"/>
  <c r="G17" i="15" s="1"/>
  <c r="J17" i="15" s="1"/>
  <c r="K17" i="15" s="1"/>
  <c r="L17" i="15" s="1"/>
  <c r="H18" i="17"/>
  <c r="D17" i="13" s="1"/>
  <c r="F17" i="13" s="1"/>
  <c r="I17" i="13" s="1"/>
  <c r="J17" i="13" s="1"/>
  <c r="K17" i="13" s="1"/>
  <c r="H22" i="17"/>
  <c r="D18" i="14" s="1"/>
  <c r="F18" i="14" s="1"/>
  <c r="I18" i="14" s="1"/>
  <c r="J18" i="14" s="1"/>
  <c r="K18" i="14" s="1"/>
  <c r="H19" i="17"/>
  <c r="D17" i="14" s="1"/>
  <c r="F17" i="14" s="1"/>
  <c r="I17" i="14" s="1"/>
  <c r="J17" i="14" s="1"/>
  <c r="K17" i="14" s="1"/>
  <c r="J32" i="15"/>
  <c r="K32" i="15" s="1"/>
  <c r="G26" i="15"/>
  <c r="J26" i="15" s="1"/>
  <c r="K26" i="15" s="1"/>
  <c r="F13" i="4"/>
  <c r="I13" i="4" s="1"/>
  <c r="J13" i="4" s="1"/>
  <c r="F13" i="2"/>
  <c r="I13" i="2" s="1"/>
  <c r="J13" i="2" s="1"/>
  <c r="F15" i="4"/>
  <c r="I15" i="4" s="1"/>
  <c r="J15" i="4" s="1"/>
  <c r="F11" i="4"/>
  <c r="I11" i="4" s="1"/>
  <c r="J11" i="4" s="1"/>
  <c r="H14" i="8"/>
  <c r="I14" i="8" s="1"/>
  <c r="G33" i="15"/>
  <c r="J33" i="15" s="1"/>
  <c r="K33" i="15" s="1"/>
  <c r="G35" i="15"/>
  <c r="J35" i="15" s="1"/>
  <c r="K35" i="15" s="1"/>
  <c r="H13" i="17"/>
  <c r="H14" i="17"/>
  <c r="C9" i="16" s="1"/>
  <c r="E9" i="16" s="1"/>
  <c r="H9" i="16" s="1"/>
  <c r="D10" i="13"/>
  <c r="F10" i="13" s="1"/>
  <c r="I10" i="13" s="1"/>
  <c r="J10" i="13" s="1"/>
  <c r="K10" i="13" s="1"/>
  <c r="E10" i="15"/>
  <c r="G10" i="15" s="1"/>
  <c r="D10" i="12"/>
  <c r="F10" i="12" s="1"/>
  <c r="I10" i="12" s="1"/>
  <c r="H9" i="17"/>
  <c r="D11" i="13" s="1"/>
  <c r="F11" i="13" s="1"/>
  <c r="I11" i="13" s="1"/>
  <c r="J11" i="13" s="1"/>
  <c r="K11" i="13" s="1"/>
  <c r="H32" i="17"/>
  <c r="C14" i="11" s="1"/>
  <c r="F14" i="11" s="1"/>
  <c r="G14" i="11" s="1"/>
  <c r="I14" i="11" s="1"/>
  <c r="L14" i="11" s="1"/>
  <c r="M14" i="11" s="1"/>
  <c r="H31" i="17"/>
  <c r="C12" i="11" s="1"/>
  <c r="F12" i="11" s="1"/>
  <c r="G12" i="11" s="1"/>
  <c r="I12" i="11" s="1"/>
  <c r="L12" i="11" s="1"/>
  <c r="M12" i="11" s="1"/>
  <c r="H23" i="17"/>
  <c r="E18" i="15" s="1"/>
  <c r="G18" i="15" s="1"/>
  <c r="J18" i="15" s="1"/>
  <c r="H27" i="17"/>
  <c r="H11" i="17"/>
  <c r="D13" i="14" s="1"/>
  <c r="F13" i="14" s="1"/>
  <c r="I13" i="14" s="1"/>
  <c r="H10" i="8"/>
  <c r="I10" i="8" s="1"/>
  <c r="G23" i="15"/>
  <c r="J23" i="15" s="1"/>
  <c r="K23" i="15" s="1"/>
  <c r="G25" i="15"/>
  <c r="J25" i="15" s="1"/>
  <c r="K25" i="15" s="1"/>
  <c r="G27" i="15"/>
  <c r="G24" i="15"/>
  <c r="J24" i="15" s="1"/>
  <c r="K24" i="15" s="1"/>
  <c r="F15" i="2"/>
  <c r="I15" i="2" s="1"/>
  <c r="F11" i="2"/>
  <c r="I11" i="2" s="1"/>
  <c r="J11" i="2" s="1"/>
  <c r="D9" i="2"/>
  <c r="F9" i="2" s="1"/>
  <c r="I9" i="2" s="1"/>
  <c r="J9" i="2" s="1"/>
  <c r="D9" i="4"/>
  <c r="F9" i="4" s="1"/>
  <c r="D14" i="2"/>
  <c r="F14" i="2" s="1"/>
  <c r="D14" i="4"/>
  <c r="F14" i="4" s="1"/>
  <c r="G14" i="2"/>
  <c r="G14" i="4"/>
  <c r="H32" i="18"/>
  <c r="G32" i="18"/>
  <c r="K15" i="4" l="1"/>
  <c r="E9" i="15"/>
  <c r="G9" i="15" s="1"/>
  <c r="J9" i="15" s="1"/>
  <c r="E11" i="15"/>
  <c r="G11" i="15" s="1"/>
  <c r="J11" i="15" s="1"/>
  <c r="K11" i="15" s="1"/>
  <c r="L11" i="15" s="1"/>
  <c r="D9" i="13"/>
  <c r="F9" i="13" s="1"/>
  <c r="I9" i="13" s="1"/>
  <c r="G32" i="3"/>
  <c r="G37" i="3" s="1"/>
  <c r="J34" i="15"/>
  <c r="K34" i="15" s="1"/>
  <c r="K37" i="15" s="1"/>
  <c r="L37" i="15" s="1"/>
  <c r="E12" i="15"/>
  <c r="G12" i="15" s="1"/>
  <c r="J12" i="15" s="1"/>
  <c r="K12" i="15" s="1"/>
  <c r="L12" i="15" s="1"/>
  <c r="D12" i="12"/>
  <c r="F12" i="12" s="1"/>
  <c r="I12" i="12" s="1"/>
  <c r="D12" i="10"/>
  <c r="F12" i="10" s="1"/>
  <c r="G12" i="10" s="1"/>
  <c r="I12" i="10" s="1"/>
  <c r="D9" i="14"/>
  <c r="F9" i="14" s="1"/>
  <c r="I9" i="14" s="1"/>
  <c r="J9" i="14" s="1"/>
  <c r="K9" i="14" s="1"/>
  <c r="D12" i="14"/>
  <c r="F12" i="14" s="1"/>
  <c r="I12" i="14" s="1"/>
  <c r="J12" i="14" s="1"/>
  <c r="K12" i="14" s="1"/>
  <c r="I9" i="9"/>
  <c r="J9" i="9" s="1"/>
  <c r="D13" i="12"/>
  <c r="F13" i="12" s="1"/>
  <c r="I13" i="12" s="1"/>
  <c r="J13" i="12" s="1"/>
  <c r="K13" i="12" s="1"/>
  <c r="D11" i="12"/>
  <c r="F11" i="12" s="1"/>
  <c r="I11" i="12" s="1"/>
  <c r="J11" i="12" s="1"/>
  <c r="K11" i="12" s="1"/>
  <c r="E13" i="15"/>
  <c r="G13" i="15" s="1"/>
  <c r="J13" i="15" s="1"/>
  <c r="K13" i="15" s="1"/>
  <c r="L13" i="15" s="1"/>
  <c r="D13" i="13"/>
  <c r="F13" i="13" s="1"/>
  <c r="I13" i="13" s="1"/>
  <c r="J13" i="13" s="1"/>
  <c r="K13" i="13" s="1"/>
  <c r="D11" i="14"/>
  <c r="F11" i="14" s="1"/>
  <c r="I11" i="14" s="1"/>
  <c r="J11" i="14" s="1"/>
  <c r="K11" i="14" s="1"/>
  <c r="I9" i="16"/>
  <c r="B26" i="7" s="1"/>
  <c r="J15" i="2"/>
  <c r="K18" i="15"/>
  <c r="L18" i="15" s="1"/>
  <c r="J10" i="15"/>
  <c r="K10" i="15" s="1"/>
  <c r="L10" i="15" s="1"/>
  <c r="M17" i="11"/>
  <c r="B13" i="7" s="1"/>
  <c r="J13" i="14"/>
  <c r="K13" i="14" s="1"/>
  <c r="I16" i="8"/>
  <c r="B7" i="7" s="1"/>
  <c r="J27" i="15"/>
  <c r="K27" i="15" s="1"/>
  <c r="K29" i="15" s="1"/>
  <c r="L29" i="15" s="1"/>
  <c r="J10" i="12"/>
  <c r="K10" i="12" s="1"/>
  <c r="D12" i="4"/>
  <c r="F12" i="4" s="1"/>
  <c r="D12" i="2"/>
  <c r="F12" i="2" s="1"/>
  <c r="I9" i="4"/>
  <c r="J9" i="4" s="1"/>
  <c r="G37" i="18"/>
  <c r="F39" i="18"/>
  <c r="C32" i="18"/>
  <c r="C28" i="18" s="1"/>
  <c r="E31" i="18"/>
  <c r="E20" i="18"/>
  <c r="I14" i="2"/>
  <c r="J14" i="2" s="1"/>
  <c r="K14" i="2" s="1"/>
  <c r="I14" i="4"/>
  <c r="J14" i="4" s="1"/>
  <c r="K14" i="4" s="1"/>
  <c r="K9" i="15" l="1"/>
  <c r="L9" i="15" s="1"/>
  <c r="J9" i="13"/>
  <c r="K9" i="13" s="1"/>
  <c r="K20" i="13" s="1"/>
  <c r="B20" i="7" s="1"/>
  <c r="J12" i="12"/>
  <c r="K12" i="12" s="1"/>
  <c r="K14" i="12" s="1"/>
  <c r="B18" i="7" s="1"/>
  <c r="E20" i="3"/>
  <c r="C32" i="3"/>
  <c r="C28" i="3" s="1"/>
  <c r="C18" i="3" s="1"/>
  <c r="E31" i="3"/>
  <c r="F39" i="3"/>
  <c r="L12" i="10"/>
  <c r="M12" i="10" s="1"/>
  <c r="N12" i="10" s="1"/>
  <c r="N17" i="10" s="1"/>
  <c r="B11" i="7" s="1"/>
  <c r="K20" i="14"/>
  <c r="B22" i="7" s="1"/>
  <c r="B9" i="7"/>
  <c r="K40" i="15"/>
  <c r="L40" i="15" s="1"/>
  <c r="L42" i="15" s="1"/>
  <c r="B24" i="7" s="1"/>
  <c r="I12" i="2"/>
  <c r="J12" i="2" s="1"/>
  <c r="I12" i="4"/>
  <c r="J12" i="4" s="1"/>
  <c r="C18" i="18"/>
  <c r="F18" i="18" s="1"/>
  <c r="B28" i="18"/>
  <c r="C13" i="4" s="1"/>
  <c r="K13" i="4" s="1"/>
  <c r="B28" i="3" l="1"/>
  <c r="C13" i="2" s="1"/>
  <c r="K13" i="2" s="1"/>
  <c r="F18" i="3"/>
  <c r="H18" i="3" s="1"/>
  <c r="H18" i="18"/>
  <c r="C9" i="4"/>
  <c r="K9" i="4" s="1"/>
  <c r="F21" i="18"/>
  <c r="C9" i="2" l="1"/>
  <c r="K9" i="2" s="1"/>
  <c r="F21" i="3"/>
  <c r="F25" i="3" s="1"/>
  <c r="C10" i="2" s="1"/>
  <c r="K10" i="2" s="1"/>
  <c r="F25" i="18"/>
  <c r="C10" i="4" s="1"/>
  <c r="K10" i="4" s="1"/>
  <c r="F28" i="18"/>
  <c r="H26" i="18"/>
  <c r="H26" i="3" l="1"/>
  <c r="I28" i="3" s="1"/>
  <c r="C11" i="2" s="1"/>
  <c r="K11" i="2" s="1"/>
  <c r="F28" i="3"/>
  <c r="H29" i="18"/>
  <c r="F32" i="18" s="1"/>
  <c r="I28" i="18"/>
  <c r="C11" i="4" s="1"/>
  <c r="K11" i="4" s="1"/>
  <c r="H29" i="3" l="1"/>
  <c r="F32" i="3" s="1"/>
  <c r="C12" i="2" s="1"/>
  <c r="K12" i="2" s="1"/>
  <c r="E39" i="18"/>
  <c r="G38" i="18"/>
  <c r="K37" i="18" s="1"/>
  <c r="C12" i="4"/>
  <c r="K12" i="4" s="1"/>
  <c r="K17" i="4" s="1"/>
  <c r="E13" i="1" s="1"/>
  <c r="H33" i="3"/>
  <c r="K32" i="3" s="1"/>
  <c r="H33" i="18"/>
  <c r="K32" i="18" s="1"/>
  <c r="G38" i="3" l="1"/>
  <c r="K37" i="3" s="1"/>
  <c r="E39" i="3"/>
  <c r="G5" i="18"/>
  <c r="G5" i="3" l="1"/>
  <c r="C15" i="2"/>
  <c r="K15" i="2" s="1"/>
  <c r="K17" i="2" s="1"/>
  <c r="E12" i="1" s="1"/>
  <c r="F12" i="1"/>
  <c r="F13" i="1"/>
  <c r="G13" i="1" s="1"/>
  <c r="G12" i="1" l="1"/>
  <c r="H13" i="1" s="1"/>
  <c r="J13" i="1" l="1"/>
</calcChain>
</file>

<file path=xl/sharedStrings.xml><?xml version="1.0" encoding="utf-8"?>
<sst xmlns="http://schemas.openxmlformats.org/spreadsheetml/2006/main" count="735" uniqueCount="309">
  <si>
    <t>CRA</t>
  </si>
  <si>
    <t>MAIL PROC</t>
  </si>
  <si>
    <t>PROPORTIONAL</t>
  </si>
  <si>
    <t>WORKSHARING</t>
  </si>
  <si>
    <t>BENCHMARK</t>
  </si>
  <si>
    <t>MODEL</t>
  </si>
  <si>
    <t>ADJUSTMENT</t>
  </si>
  <si>
    <t>ADJUSTED</t>
  </si>
  <si>
    <t>RELATED</t>
  </si>
  <si>
    <t>RATE CATEGORY</t>
  </si>
  <si>
    <t>UNIT COST</t>
  </si>
  <si>
    <t>FACTOR</t>
  </si>
  <si>
    <t>SAVINGS</t>
  </si>
  <si>
    <t>Handwritten Reply Mail Cards / Letters</t>
  </si>
  <si>
    <t>QBRM Cards / Letters</t>
  </si>
  <si>
    <t>(1) * (2)</t>
  </si>
  <si>
    <t>Benchmark (3) - Rate Category (3)</t>
  </si>
  <si>
    <t xml:space="preserve"> </t>
  </si>
  <si>
    <t>COST SHEET</t>
  </si>
  <si>
    <t>Direct</t>
  </si>
  <si>
    <t>Premium</t>
  </si>
  <si>
    <t>Total</t>
  </si>
  <si>
    <t>Weighted</t>
  </si>
  <si>
    <t>Pieces</t>
  </si>
  <si>
    <t>Wage</t>
  </si>
  <si>
    <t>Cents</t>
  </si>
  <si>
    <t>Piggyback</t>
  </si>
  <si>
    <t>Pay</t>
  </si>
  <si>
    <t>Operation</t>
  </si>
  <si>
    <t>TPH</t>
  </si>
  <si>
    <t>Per Hour</t>
  </si>
  <si>
    <t>Rate</t>
  </si>
  <si>
    <t>Per Piece</t>
  </si>
  <si>
    <t>Factor</t>
  </si>
  <si>
    <t>Adjust</t>
  </si>
  <si>
    <t>OUT ISS</t>
  </si>
  <si>
    <t>OUT RCR</t>
  </si>
  <si>
    <t>OUT REC</t>
  </si>
  <si>
    <t>OUT OSS</t>
  </si>
  <si>
    <t>OUT LMLM</t>
  </si>
  <si>
    <t>OUT PRIM AUTO</t>
  </si>
  <si>
    <t xml:space="preserve">MODEL COST = </t>
  </si>
  <si>
    <t>Productivities / Volume Variability Factors from</t>
  </si>
  <si>
    <t>[ (6) - 1 ] * (4)</t>
  </si>
  <si>
    <t>(4) * (5) + (7)</t>
  </si>
  <si>
    <t>(1) * (8) / 10,000 Pieces</t>
  </si>
  <si>
    <t xml:space="preserve">[ (3) * (100 cents/dollar) ] / (2) </t>
  </si>
  <si>
    <t>Sum (9)</t>
  </si>
  <si>
    <t>FIRST-CLASS SINGLE-PIECE HANDWRITTEN REPLY MAIL CARDS / LETTERS</t>
  </si>
  <si>
    <t>MAIL FLOW MODEL</t>
  </si>
  <si>
    <t xml:space="preserve">ENTERED = </t>
  </si>
  <si>
    <t xml:space="preserve">PROCESSED = </t>
  </si>
  <si>
    <t>IMAGES FOR MAIL PIECES SORTED TO THE HANDWRITTEN BINS ON THE AFCS-ISS ARE LIFTED ON THAT</t>
  </si>
  <si>
    <t>MACHINE AND TRANSFERRED DIRECTLY TO THE REMOTE COMPUTER READ (RCR) SYSTEM. CONSEQUENTLY,</t>
  </si>
  <si>
    <t>THE MAIL VOLUME FIRST ENTERS THE "OUT RCR" OPERATION BELOW.</t>
  </si>
  <si>
    <t>OUTGOING RBCS</t>
  </si>
  <si>
    <t>Out ISS</t>
  </si>
  <si>
    <t>To automation operations</t>
  </si>
  <si>
    <t>or finalized</t>
  </si>
  <si>
    <t>Out RCR</t>
  </si>
  <si>
    <t>Out LMLM</t>
  </si>
  <si>
    <t>Out REC</t>
  </si>
  <si>
    <t>OSS Refeeds</t>
  </si>
  <si>
    <t>Out OSS</t>
  </si>
  <si>
    <t>Initial leakage</t>
  </si>
  <si>
    <t>To outgoing manual operations</t>
  </si>
  <si>
    <t>ID Tag Errors</t>
  </si>
  <si>
    <t xml:space="preserve">Subsequent leakage for </t>
  </si>
  <si>
    <t>reprocessed mail</t>
  </si>
  <si>
    <t>Initial rejects</t>
  </si>
  <si>
    <t>Subsequent rejects for</t>
  </si>
  <si>
    <t>Out Prim Auto</t>
  </si>
  <si>
    <t>To downstream</t>
  </si>
  <si>
    <t>automation operations</t>
  </si>
  <si>
    <t>FIRST-CLASS SINGLE-PIECE QBRM CARDS / LETTERS</t>
  </si>
  <si>
    <t>THE AFCS-ISS SEPARATES THE PREBARCODED QBRM AND CRM MAIL PIECES FROM THE RESIDUAL</t>
  </si>
  <si>
    <t>SINGLE-PIECE MAIL PIECES. THE PREBARCODED MAIL IS THEN ROUTED TO THE AUTOMATION OUTGOING</t>
  </si>
  <si>
    <t>PRIMARY.  CONSEQUENTLY, THE MAIL VOLUME FIRST ENTERS THE "OUT PRIM AUTO" OPERATION BELOW.</t>
  </si>
  <si>
    <t>DESCRIPTION</t>
  </si>
  <si>
    <t>SOURCE</t>
  </si>
  <si>
    <t>VALUE</t>
  </si>
  <si>
    <t>1.)</t>
  </si>
  <si>
    <t>Remote Encoding Centers (REC)</t>
  </si>
  <si>
    <t>Other Mail Processing</t>
  </si>
  <si>
    <t>2.)</t>
  </si>
  <si>
    <t>Premium Pay Adjustment Factor</t>
  </si>
  <si>
    <t>3.)</t>
  </si>
  <si>
    <t>Productivities</t>
  </si>
  <si>
    <t>Out Input Subsystem (ISS)</t>
  </si>
  <si>
    <t>Out Output Subsystem (OSS)</t>
  </si>
  <si>
    <t>4.)</t>
  </si>
  <si>
    <t>Volume Variability Factors</t>
  </si>
  <si>
    <t>5.)</t>
  </si>
  <si>
    <t>Piggyback Factors</t>
  </si>
  <si>
    <t>6.)</t>
  </si>
  <si>
    <t>Accept / Upgrade Rates</t>
  </si>
  <si>
    <t>ISS Refeeds</t>
  </si>
  <si>
    <t>Manual</t>
  </si>
  <si>
    <t>7.)</t>
  </si>
  <si>
    <t>Remote Barcoding System (RBCS) Data</t>
  </si>
  <si>
    <t>Leakage Factor</t>
  </si>
  <si>
    <t>8.)</t>
  </si>
  <si>
    <t>Miscellaneous</t>
  </si>
  <si>
    <t>Description</t>
  </si>
  <si>
    <t>Cost ($)</t>
  </si>
  <si>
    <t>Annual Permit Fee</t>
  </si>
  <si>
    <t>Annual Accounting Fee</t>
  </si>
  <si>
    <t>QBRM Quarterly Fee</t>
  </si>
  <si>
    <t>Non-Letter Size BRM Monthly Fee</t>
  </si>
  <si>
    <t>Cost (Cents)</t>
  </si>
  <si>
    <t>High Volume QBRM Per-Piece Fee</t>
  </si>
  <si>
    <t>Basic QBRM Per-Piece Fee</t>
  </si>
  <si>
    <t>High Volume BRM Per-Piece Fee</t>
  </si>
  <si>
    <t>Basic BRM Per-Piece Fee</t>
  </si>
  <si>
    <t>Non-Letter Size BRM Per-Piece Fee</t>
  </si>
  <si>
    <t>Annual</t>
  </si>
  <si>
    <t>Minutes</t>
  </si>
  <si>
    <t>Task</t>
  </si>
  <si>
    <t>Per Account</t>
  </si>
  <si>
    <t>Cost</t>
  </si>
  <si>
    <t>Adjustment</t>
  </si>
  <si>
    <t>Issuance</t>
  </si>
  <si>
    <t>Literature</t>
  </si>
  <si>
    <t>Revocations</t>
  </si>
  <si>
    <t>(1) * (2) / (60 minutes per hour)</t>
  </si>
  <si>
    <t>[ (5) - 1 ] * (3)</t>
  </si>
  <si>
    <t>(3) * (4) + (6)</t>
  </si>
  <si>
    <t>Sum (7)</t>
  </si>
  <si>
    <t>ANNUAL ACCOUNTING FEE (OVERSIGHT AND MAINTENANCE ACTIVITIES)</t>
  </si>
  <si>
    <t>Weekly</t>
  </si>
  <si>
    <t>Workhrs</t>
  </si>
  <si>
    <t>Account oversight and maintenance</t>
  </si>
  <si>
    <t>(1) * 52</t>
  </si>
  <si>
    <t>(2) * (3)</t>
  </si>
  <si>
    <t>QBRM QUARTERLY FEE (RATING AND BILLING ACTIVITIES)</t>
  </si>
  <si>
    <t>Monthly</t>
  </si>
  <si>
    <t>Quarterly</t>
  </si>
  <si>
    <t>Minutes Per</t>
  </si>
  <si>
    <t>Postage Due Method</t>
  </si>
  <si>
    <t>Volume %</t>
  </si>
  <si>
    <t>Account</t>
  </si>
  <si>
    <t>NONLETTER-SIZE BRM MONTHLY FEE (BILLING AND SAMPLING)</t>
  </si>
  <si>
    <t>Month</t>
  </si>
  <si>
    <t>Billing Time</t>
  </si>
  <si>
    <t>Sampling Time</t>
  </si>
  <si>
    <t>Sum (8)</t>
  </si>
  <si>
    <t xml:space="preserve"> HIGH VOLUME QBRM PER-PIECE FEE (COUNTING ACTIVITIES)</t>
  </si>
  <si>
    <t>Volume</t>
  </si>
  <si>
    <t>Marginal</t>
  </si>
  <si>
    <t>Cents Per</t>
  </si>
  <si>
    <t>Counting Method</t>
  </si>
  <si>
    <t>Percentage</t>
  </si>
  <si>
    <t>Productivity</t>
  </si>
  <si>
    <t>Piece</t>
  </si>
  <si>
    <t>Counting Machine</t>
  </si>
  <si>
    <t>Weight Averaging</t>
  </si>
  <si>
    <t>[ (3) * 100 ] / (2)</t>
  </si>
  <si>
    <t>(1) * (8)</t>
  </si>
  <si>
    <t>SUM (8)</t>
  </si>
  <si>
    <t>BASIC QBRM PER-PIECE FEE (COUNTING, RATING, AND BILLING ACTIVITIES)</t>
  </si>
  <si>
    <t>Rating/Billing Method</t>
  </si>
  <si>
    <t>SUM (9)</t>
  </si>
  <si>
    <t>HIGH VOLUME BRM  PER-PIECE FEE (COUNTING, RATING, AND BILLING ACTIVITIES)</t>
  </si>
  <si>
    <t>BASIC BRM  PER-PIECE FEE (COUNTING, RATING, BILLING, COLLECTION, AND ACCOUNT MAINTENANCE ACTIVITIES)</t>
  </si>
  <si>
    <t>Collection Method</t>
  </si>
  <si>
    <t>Box Section Clerk</t>
  </si>
  <si>
    <t>Pickup BRM at Postage Due Unit</t>
  </si>
  <si>
    <t>Examine and sign due bill (Form 3582-B)</t>
  </si>
  <si>
    <t>Prepare call slip and place in lock box</t>
  </si>
  <si>
    <t>Collect from customer</t>
  </si>
  <si>
    <t>Turn in postage</t>
  </si>
  <si>
    <t>Accept Collections</t>
  </si>
  <si>
    <t>Total Box Section Clerk</t>
  </si>
  <si>
    <t>Carrier</t>
  </si>
  <si>
    <t>Accept collections</t>
  </si>
  <si>
    <t>Account Oversight and Maintenance</t>
  </si>
  <si>
    <t>Postage Due Account (1,000 pcs/yr)</t>
  </si>
  <si>
    <t>NONLETTER-SIZE BRM PER-PIECE FEE (COUNTING ACTIVITIES)</t>
  </si>
  <si>
    <t>[ (2) * 100 ] / (1)</t>
  </si>
  <si>
    <t>Variability</t>
  </si>
  <si>
    <t>Pcs/Hr</t>
  </si>
  <si>
    <t>Counting</t>
  </si>
  <si>
    <t>Docket No. R2000-1, USPS-T-29</t>
  </si>
  <si>
    <t>Rating/Billing</t>
  </si>
  <si>
    <t>Collection - Box Section</t>
  </si>
  <si>
    <t>Collection - Carriers</t>
  </si>
  <si>
    <t>Wage Rates</t>
  </si>
  <si>
    <t>$/Hr</t>
  </si>
  <si>
    <t>Other mail processing</t>
  </si>
  <si>
    <t>Carrier (City and Rural Carrier)</t>
  </si>
  <si>
    <t>MODS 18 (BUSREPY/Postage Due)</t>
  </si>
  <si>
    <t>MODS 79 LD79 (Mailing Req &amp; Bus. Mail Entry)</t>
  </si>
  <si>
    <t>CITY CARRIER</t>
  </si>
  <si>
    <t>Premium Pay Factor</t>
  </si>
  <si>
    <t>Volume-Variability Factor for BRM</t>
  </si>
  <si>
    <t>A. QBRM WORKSHARING RELATED SAVINGS ESTIMATE SUMMARY</t>
  </si>
  <si>
    <t>B. BRM FEE SUMMARY</t>
  </si>
  <si>
    <t>Docket No. R80-1, USPS LR-C-9, page 4</t>
  </si>
  <si>
    <t>Total Carrier</t>
  </si>
  <si>
    <t>Weight averaging</t>
  </si>
  <si>
    <t xml:space="preserve">ANNUAL PERMIT FEE </t>
  </si>
  <si>
    <t>First-Class Single Piece</t>
  </si>
  <si>
    <t>USPS-LR-L-34</t>
  </si>
  <si>
    <t>Overhead</t>
  </si>
  <si>
    <t>WebEOR Counting</t>
  </si>
  <si>
    <t>2011 Field Study</t>
  </si>
  <si>
    <t>WebEOR</t>
  </si>
  <si>
    <t>Weight Averaging (letters)</t>
  </si>
  <si>
    <t>Weight Averaging (flats)</t>
  </si>
  <si>
    <t>Weight Averaging (parcels)</t>
  </si>
  <si>
    <t>Weight Averaging (flats and parcels aggregate)</t>
  </si>
  <si>
    <t>Nonletter Size BRM Shape Percentage</t>
  </si>
  <si>
    <t>Flat-Shaped</t>
  </si>
  <si>
    <t>Parcel Shaped</t>
  </si>
  <si>
    <t>WebBRMAS</t>
  </si>
  <si>
    <t>PERMIT/Postage Due (Basic QBRM)</t>
  </si>
  <si>
    <t>PERMIT/Postage Due (High Vol BRM)</t>
  </si>
  <si>
    <t>PERMIT/Postage Due (Basic BRM)</t>
  </si>
  <si>
    <t>Basic BRM</t>
  </si>
  <si>
    <t>High Volume BRM</t>
  </si>
  <si>
    <t>Basic QBRM</t>
  </si>
  <si>
    <t>Accounts</t>
  </si>
  <si>
    <t>Average Pieces Per Account Per Day That Volume Is Received</t>
  </si>
  <si>
    <t>Manual rating/billing (Basic QBRM)</t>
  </si>
  <si>
    <t>Manual rating/billing (Hi Vol BRM)</t>
  </si>
  <si>
    <t>Manual rating/billing (Basic BRM)</t>
  </si>
  <si>
    <t>Daily</t>
  </si>
  <si>
    <t>QBRM Rating / Billing</t>
  </si>
  <si>
    <t xml:space="preserve">PostalOne! Billing </t>
  </si>
  <si>
    <t>Manual Billing</t>
  </si>
  <si>
    <t>Delivery</t>
  </si>
  <si>
    <t>Days Per</t>
  </si>
  <si>
    <t>Year</t>
  </si>
  <si>
    <t>Nonletter Size BRM</t>
  </si>
  <si>
    <t>Billing</t>
  </si>
  <si>
    <t>Sampling</t>
  </si>
  <si>
    <t>Per Month</t>
  </si>
  <si>
    <t>Per Day</t>
  </si>
  <si>
    <t>Docket No. R2006-1, USPS-LR-L-34</t>
  </si>
  <si>
    <t>PostalOne! Bill</t>
  </si>
  <si>
    <t>Manual Bill</t>
  </si>
  <si>
    <t>(2) * [ (3) / 4 ]</t>
  </si>
  <si>
    <t>Hours Per</t>
  </si>
  <si>
    <t>(4) / 60</t>
  </si>
  <si>
    <t>(5) * (6)</t>
  </si>
  <si>
    <t>[ (9) - 1 ] * (7)</t>
  </si>
  <si>
    <t>(7) * (8) + (10)</t>
  </si>
  <si>
    <t>(1) * (11)</t>
  </si>
  <si>
    <t>Sum (12)</t>
  </si>
  <si>
    <t>Billing: (2) / 12</t>
  </si>
  <si>
    <t>Sampling: 6 Sampling Days (1 Week Per Month)</t>
  </si>
  <si>
    <t>(1) * (3)</t>
  </si>
  <si>
    <t xml:space="preserve">(5) * (6) </t>
  </si>
  <si>
    <t>Sum (11)</t>
  </si>
  <si>
    <t>[ Total Cost from Section B, Page 3 /(1000 pcs/year)] * (1)</t>
  </si>
  <si>
    <t>Manual Counting</t>
  </si>
  <si>
    <t>Overhead Factor</t>
  </si>
  <si>
    <t>(1) / (2) / (3)</t>
  </si>
  <si>
    <t>(5) * (23)</t>
  </si>
  <si>
    <t>(6) / (7) / (8)</t>
  </si>
  <si>
    <t>(10) * (11) * (12)</t>
  </si>
  <si>
    <t>(14) / (15)</t>
  </si>
  <si>
    <t>WebBRMAS Counting</t>
  </si>
  <si>
    <t>RPW</t>
  </si>
  <si>
    <t>PERMIT/Postage Due(PostalOne!)</t>
  </si>
  <si>
    <t>PERMIT/Postage Due (PostalOne!)</t>
  </si>
  <si>
    <t xml:space="preserve">PERMITS/Postage Due (PostalOne!) </t>
  </si>
  <si>
    <t>Automation Outgoing Primary Acceptance Rate</t>
  </si>
  <si>
    <t>Remote Computer Read (RCR) Costs</t>
  </si>
  <si>
    <t>RCR Images Processed</t>
  </si>
  <si>
    <t>ISS/RCR Finalization Rate</t>
  </si>
  <si>
    <t>Docket No. RM2011-5, Order No. 741</t>
  </si>
  <si>
    <t>QBRM SAVINGS ESTIMATE COST MODEL INPUTS</t>
  </si>
  <si>
    <t>FY 2011 PostalOne! Data</t>
  </si>
  <si>
    <t>BRM FEE COST MODEL INPUTS</t>
  </si>
  <si>
    <t>DIOSS Accept Rate</t>
  </si>
  <si>
    <t>USPS-FY08-10</t>
  </si>
  <si>
    <t>OSS Reject Rates</t>
  </si>
  <si>
    <t>Finalized</t>
  </si>
  <si>
    <t>LMLM</t>
  </si>
  <si>
    <t>OUT PRIM Manual</t>
  </si>
  <si>
    <t>Out Prim Manual</t>
  </si>
  <si>
    <t>Out LCREM</t>
  </si>
  <si>
    <t>`</t>
  </si>
  <si>
    <t>Out LCREM &amp; LMLM</t>
  </si>
  <si>
    <t>FY19 RBCS Data</t>
  </si>
  <si>
    <t>Cost &amp; Revenue Analysis (CRA) Proportional Adjustment Factor</t>
  </si>
  <si>
    <t>Annual per piece Literature costs from MDC, Topeka KS</t>
  </si>
  <si>
    <t>From "BRM FEE INPUTS" worksheet</t>
  </si>
  <si>
    <t>Model Costs from "HAND COSTS" and "QBRM COSTS" worksheets</t>
  </si>
  <si>
    <t>From "QBRM COST AVOIDANCE INPUTS" worksheet</t>
  </si>
  <si>
    <t>Volumes From "HAND FLOW" worksheet</t>
  </si>
  <si>
    <t>"QBRM COST AVOIDANCE INPUTS" worksheet</t>
  </si>
  <si>
    <t>Volumes From "QBRM FLOW" worksheet</t>
  </si>
  <si>
    <t>USPS-FY25-7, Part 8</t>
  </si>
  <si>
    <t xml:space="preserve"> USPS-FY25-7, Part 7</t>
  </si>
  <si>
    <t>USPS-FY25-23</t>
  </si>
  <si>
    <t>USPS-FY25-7</t>
  </si>
  <si>
    <t>USPS-FY25-10</t>
  </si>
  <si>
    <t>FY25 RBCS Data</t>
  </si>
  <si>
    <t xml:space="preserve">USPS-FY25-25, </t>
  </si>
  <si>
    <t>FY25 webEOR Data</t>
  </si>
  <si>
    <t>USPS-FY25-25</t>
  </si>
  <si>
    <t>USPS-FY25-7 and Productive Hourly Wage Rates</t>
  </si>
  <si>
    <t>USPS-FY25-24 (City Carrier) and USPS-FY25-25 (All Else)</t>
  </si>
  <si>
    <t>FY25 RPW Data</t>
  </si>
  <si>
    <t>01/29/25 version</t>
  </si>
  <si>
    <t>Difference</t>
  </si>
  <si>
    <t>Revision  - 01/29/25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</si>
</sst>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0"/>
    <numFmt numFmtId="166" formatCode="0.0000"/>
    <numFmt numFmtId="167" formatCode="#,##0.000"/>
    <numFmt numFmtId="168" formatCode="_(* #,##0.00000_);_(* \(#,##0.00000\);_(* &quot;-&quot;??_);_(@_)"/>
    <numFmt numFmtId="169" formatCode="General_)"/>
    <numFmt numFmtId="170" formatCode="#,##0.00000000"/>
    <numFmt numFmtId="171" formatCode="#,##0.0000000000"/>
    <numFmt numFmtId="172" formatCode="#,##0.0000000"/>
    <numFmt numFmtId="173" formatCode="#,##0.000000000"/>
    <numFmt numFmtId="174" formatCode="&quot;$&quot;#,##0.0;\(&quot;$&quot;#,##0.0\)"/>
    <numFmt numFmtId="175" formatCode="0.0%"/>
    <numFmt numFmtId="176" formatCode="_(* #,##0.0000_);_(* \(#,##0.0000\);_(* &quot;-&quot;??_);_(@_)"/>
    <numFmt numFmtId="177" formatCode="#,##0.0000_);\(#,##0.0000\)"/>
    <numFmt numFmtId="178" formatCode="0.00000"/>
    <numFmt numFmtId="179" formatCode="&quot;$&quot;#,##0.0000"/>
    <numFmt numFmtId="180" formatCode="&quot;$&quot;#,##0.00"/>
  </numFmts>
  <fonts count="52" x14ac:knownFonts="1">
    <font>
      <sz val="10"/>
      <name val="Arial"/>
    </font>
    <font>
      <sz val="11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indexed="52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8"/>
      <color indexed="12"/>
      <name val="Arial"/>
      <family val="2"/>
    </font>
    <font>
      <sz val="12"/>
      <name val="Helv"/>
    </font>
    <font>
      <sz val="10"/>
      <color indexed="18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10"/>
      <name val="Univers"/>
      <family val="2"/>
    </font>
    <font>
      <sz val="10"/>
      <name val="Univer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22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sz val="12"/>
      <name val="Aptos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medium">
        <color indexed="64"/>
      </bottom>
      <diagonal/>
    </border>
  </borders>
  <cellStyleXfs count="75">
    <xf numFmtId="0" fontId="0" fillId="0" borderId="0"/>
    <xf numFmtId="0" fontId="20" fillId="0" borderId="1" applyBorder="0"/>
    <xf numFmtId="4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4" fontId="2" fillId="0" borderId="0"/>
    <xf numFmtId="169" fontId="20" fillId="0" borderId="0"/>
    <xf numFmtId="9" fontId="2" fillId="0" borderId="0" applyFont="0" applyFill="0" applyBorder="0" applyAlignment="0" applyProtection="0"/>
    <xf numFmtId="0" fontId="2" fillId="0" borderId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5" borderId="0" applyNumberFormat="0" applyBorder="0" applyAlignment="0" applyProtection="0"/>
    <xf numFmtId="0" fontId="28" fillId="7" borderId="0" applyNumberFormat="0" applyBorder="0" applyAlignment="0" applyProtection="0"/>
    <xf numFmtId="0" fontId="28" fillId="4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7" borderId="0" applyNumberFormat="0" applyBorder="0" applyAlignment="0" applyProtection="0"/>
    <xf numFmtId="0" fontId="28" fillId="5" borderId="0" applyNumberFormat="0" applyBorder="0" applyAlignment="0" applyProtection="0"/>
    <xf numFmtId="0" fontId="29" fillId="7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9" borderId="0" applyNumberFormat="0" applyBorder="0" applyAlignment="0" applyProtection="0"/>
    <xf numFmtId="0" fontId="29" fillId="7" borderId="0" applyNumberFormat="0" applyBorder="0" applyAlignment="0" applyProtection="0"/>
    <xf numFmtId="0" fontId="29" fillId="4" borderId="0" applyNumberFormat="0" applyBorder="0" applyAlignment="0" applyProtection="0"/>
    <xf numFmtId="0" fontId="29" fillId="12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30" fillId="16" borderId="0" applyNumberFormat="0" applyBorder="0" applyAlignment="0" applyProtection="0"/>
    <xf numFmtId="0" fontId="31" fillId="17" borderId="22" applyNumberFormat="0" applyAlignment="0" applyProtection="0"/>
    <xf numFmtId="0" fontId="32" fillId="18" borderId="23" applyNumberFormat="0" applyAlignment="0" applyProtection="0"/>
    <xf numFmtId="0" fontId="33" fillId="0" borderId="0" applyNumberFormat="0" applyFill="0" applyBorder="0" applyAlignment="0" applyProtection="0"/>
    <xf numFmtId="0" fontId="34" fillId="7" borderId="0" applyNumberFormat="0" applyBorder="0" applyAlignment="0" applyProtection="0"/>
    <xf numFmtId="0" fontId="35" fillId="0" borderId="24" applyNumberFormat="0" applyFill="0" applyAlignment="0" applyProtection="0"/>
    <xf numFmtId="0" fontId="36" fillId="0" borderId="25" applyNumberFormat="0" applyFill="0" applyAlignment="0" applyProtection="0"/>
    <xf numFmtId="0" fontId="37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8" fillId="8" borderId="22" applyNumberFormat="0" applyAlignment="0" applyProtection="0"/>
    <xf numFmtId="0" fontId="39" fillId="0" borderId="27" applyNumberFormat="0" applyFill="0" applyAlignment="0" applyProtection="0"/>
    <xf numFmtId="0" fontId="40" fillId="8" borderId="0" applyNumberFormat="0" applyBorder="0" applyAlignment="0" applyProtection="0"/>
    <xf numFmtId="0" fontId="2" fillId="5" borderId="28" applyNumberFormat="0" applyFont="0" applyAlignment="0" applyProtection="0"/>
    <xf numFmtId="0" fontId="41" fillId="17" borderId="29" applyNumberFormat="0" applyAlignment="0" applyProtection="0"/>
    <xf numFmtId="0" fontId="42" fillId="0" borderId="0" applyNumberFormat="0" applyFill="0" applyBorder="0" applyAlignment="0" applyProtection="0"/>
    <xf numFmtId="0" fontId="43" fillId="0" borderId="30" applyNumberFormat="0" applyFill="0" applyAlignment="0" applyProtection="0"/>
    <xf numFmtId="0" fontId="39" fillId="0" borderId="0" applyNumberFormat="0" applyFill="0" applyBorder="0" applyAlignment="0" applyProtection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169" fontId="20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9" fontId="2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169" fontId="20" fillId="0" borderId="0"/>
    <xf numFmtId="169" fontId="20" fillId="0" borderId="0"/>
    <xf numFmtId="169" fontId="20" fillId="0" borderId="0"/>
    <xf numFmtId="169" fontId="20" fillId="0" borderId="0"/>
    <xf numFmtId="169" fontId="20" fillId="0" borderId="0"/>
    <xf numFmtId="169" fontId="20" fillId="0" borderId="0"/>
    <xf numFmtId="169" fontId="20" fillId="0" borderId="0"/>
    <xf numFmtId="169" fontId="20" fillId="0" borderId="0"/>
    <xf numFmtId="169" fontId="20" fillId="0" borderId="0"/>
    <xf numFmtId="169" fontId="20" fillId="0" borderId="0"/>
    <xf numFmtId="0" fontId="46" fillId="0" borderId="0"/>
  </cellStyleXfs>
  <cellXfs count="195">
    <xf numFmtId="0" fontId="0" fillId="0" borderId="0" xfId="0"/>
    <xf numFmtId="0" fontId="4" fillId="0" borderId="0" xfId="0" applyFont="1"/>
    <xf numFmtId="164" fontId="5" fillId="0" borderId="0" xfId="0" applyNumberFormat="1" applyFont="1" applyAlignment="1">
      <alignment horizontal="center"/>
    </xf>
    <xf numFmtId="0" fontId="6" fillId="0" borderId="0" xfId="0" applyFont="1"/>
    <xf numFmtId="16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3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3" fontId="5" fillId="0" borderId="0" xfId="0" applyNumberFormat="1" applyFont="1"/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3" fontId="5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right"/>
    </xf>
    <xf numFmtId="164" fontId="7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166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left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7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2" borderId="9" xfId="0" applyFont="1" applyFill="1" applyBorder="1"/>
    <xf numFmtId="0" fontId="0" fillId="2" borderId="10" xfId="0" applyFill="1" applyBorder="1"/>
    <xf numFmtId="0" fontId="0" fillId="0" borderId="11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0" fillId="0" borderId="0" xfId="0" applyAlignment="1">
      <alignment horizontal="right"/>
    </xf>
    <xf numFmtId="0" fontId="0" fillId="0" borderId="14" xfId="0" applyBorder="1"/>
    <xf numFmtId="0" fontId="0" fillId="0" borderId="15" xfId="0" applyBorder="1"/>
    <xf numFmtId="1" fontId="0" fillId="0" borderId="0" xfId="0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left"/>
    </xf>
    <xf numFmtId="0" fontId="1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/>
    <xf numFmtId="3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/>
    <xf numFmtId="165" fontId="15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65" fontId="14" fillId="0" borderId="0" xfId="0" applyNumberFormat="1" applyFont="1"/>
    <xf numFmtId="165" fontId="14" fillId="0" borderId="0" xfId="0" applyNumberFormat="1" applyFont="1" applyAlignment="1">
      <alignment horizontal="left"/>
    </xf>
    <xf numFmtId="164" fontId="14" fillId="0" borderId="0" xfId="0" applyNumberFormat="1" applyFont="1" applyAlignment="1">
      <alignment horizontal="center"/>
    </xf>
    <xf numFmtId="0" fontId="14" fillId="0" borderId="0" xfId="0" applyFont="1"/>
    <xf numFmtId="165" fontId="13" fillId="0" borderId="0" xfId="0" applyNumberFormat="1" applyFont="1" applyAlignment="1">
      <alignment horizontal="left"/>
    </xf>
    <xf numFmtId="10" fontId="0" fillId="0" borderId="0" xfId="0" applyNumberFormat="1" applyAlignment="1">
      <alignment horizontal="center"/>
    </xf>
    <xf numFmtId="10" fontId="13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left"/>
    </xf>
    <xf numFmtId="10" fontId="17" fillId="0" borderId="0" xfId="0" applyNumberFormat="1" applyFont="1" applyAlignment="1">
      <alignment horizontal="center"/>
    </xf>
    <xf numFmtId="10" fontId="12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1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10" fontId="6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quotePrefix="1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168" fontId="19" fillId="0" borderId="0" xfId="0" applyNumberFormat="1" applyFont="1"/>
    <xf numFmtId="10" fontId="14" fillId="0" borderId="0" xfId="0" applyNumberFormat="1" applyFont="1" applyAlignment="1">
      <alignment horizontal="left"/>
    </xf>
    <xf numFmtId="3" fontId="14" fillId="0" borderId="0" xfId="0" applyNumberFormat="1" applyFont="1" applyAlignment="1">
      <alignment horizontal="left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>
      <alignment horizontal="center"/>
    </xf>
    <xf numFmtId="3" fontId="14" fillId="0" borderId="0" xfId="0" applyNumberFormat="1" applyFont="1" applyAlignment="1">
      <alignment horizontal="center"/>
    </xf>
    <xf numFmtId="10" fontId="2" fillId="0" borderId="0" xfId="0" applyNumberFormat="1" applyFont="1"/>
    <xf numFmtId="1" fontId="2" fillId="0" borderId="0" xfId="0" applyNumberFormat="1" applyFont="1" applyAlignment="1">
      <alignment horizontal="right"/>
    </xf>
    <xf numFmtId="168" fontId="23" fillId="0" borderId="0" xfId="0" applyNumberFormat="1" applyFont="1"/>
    <xf numFmtId="164" fontId="2" fillId="0" borderId="0" xfId="0" applyNumberFormat="1" applyFont="1" applyAlignment="1">
      <alignment horizontal="right"/>
    </xf>
    <xf numFmtId="164" fontId="18" fillId="0" borderId="0" xfId="0" applyNumberFormat="1" applyFont="1"/>
    <xf numFmtId="167" fontId="2" fillId="0" borderId="0" xfId="0" applyNumberFormat="1" applyFont="1" applyAlignment="1">
      <alignment horizontal="center"/>
    </xf>
    <xf numFmtId="3" fontId="14" fillId="0" borderId="0" xfId="0" applyNumberFormat="1" applyFont="1"/>
    <xf numFmtId="3" fontId="26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168" fontId="3" fillId="0" borderId="0" xfId="0" applyNumberFormat="1" applyFont="1"/>
    <xf numFmtId="0" fontId="18" fillId="0" borderId="0" xfId="0" quotePrefix="1" applyFont="1" applyAlignment="1">
      <alignment horizontal="center"/>
    </xf>
    <xf numFmtId="0" fontId="25" fillId="0" borderId="0" xfId="0" applyFont="1" applyAlignment="1">
      <alignment horizontal="center"/>
    </xf>
    <xf numFmtId="167" fontId="18" fillId="0" borderId="0" xfId="0" applyNumberFormat="1" applyFont="1"/>
    <xf numFmtId="167" fontId="6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1" fillId="0" borderId="0" xfId="0" applyFont="1"/>
    <xf numFmtId="164" fontId="24" fillId="0" borderId="0" xfId="0" applyNumberFormat="1" applyFont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2" borderId="20" xfId="0" applyFill="1" applyBorder="1"/>
    <xf numFmtId="0" fontId="0" fillId="0" borderId="19" xfId="0" applyBorder="1"/>
    <xf numFmtId="0" fontId="0" fillId="0" borderId="21" xfId="0" applyBorder="1"/>
    <xf numFmtId="0" fontId="0" fillId="0" borderId="12" xfId="0" applyBorder="1"/>
    <xf numFmtId="1" fontId="0" fillId="0" borderId="8" xfId="0" applyNumberFormat="1" applyBorder="1" applyAlignment="1">
      <alignment horizontal="center"/>
    </xf>
    <xf numFmtId="175" fontId="0" fillId="0" borderId="0" xfId="9" applyNumberFormat="1" applyFont="1"/>
    <xf numFmtId="164" fontId="0" fillId="0" borderId="0" xfId="0" applyNumberFormat="1"/>
    <xf numFmtId="166" fontId="0" fillId="0" borderId="0" xfId="0" applyNumberFormat="1"/>
    <xf numFmtId="164" fontId="8" fillId="0" borderId="0" xfId="0" applyNumberFormat="1" applyFont="1" applyAlignment="1">
      <alignment horizontal="left"/>
    </xf>
    <xf numFmtId="164" fontId="20" fillId="0" borderId="0" xfId="8" applyNumberFormat="1"/>
    <xf numFmtId="164" fontId="22" fillId="0" borderId="0" xfId="2" applyNumberFormat="1" applyFont="1" applyFill="1" applyBorder="1" applyProtection="1"/>
    <xf numFmtId="0" fontId="45" fillId="0" borderId="0" xfId="0" applyFont="1"/>
    <xf numFmtId="164" fontId="45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3" fontId="45" fillId="0" borderId="0" xfId="0" applyNumberFormat="1" applyFont="1" applyAlignment="1">
      <alignment horizontal="center"/>
    </xf>
    <xf numFmtId="167" fontId="45" fillId="0" borderId="0" xfId="0" applyNumberFormat="1" applyFont="1" applyAlignment="1">
      <alignment horizontal="center"/>
    </xf>
    <xf numFmtId="37" fontId="0" fillId="0" borderId="0" xfId="0" applyNumberFormat="1"/>
    <xf numFmtId="43" fontId="13" fillId="0" borderId="0" xfId="2" applyFont="1" applyFill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177" fontId="0" fillId="0" borderId="0" xfId="0" applyNumberFormat="1"/>
    <xf numFmtId="176" fontId="2" fillId="0" borderId="0" xfId="2" applyNumberFormat="1" applyFont="1" applyFill="1"/>
    <xf numFmtId="0" fontId="18" fillId="0" borderId="0" xfId="0" applyFont="1" applyAlignment="1">
      <alignment horizontal="center" vertical="center"/>
    </xf>
    <xf numFmtId="180" fontId="7" fillId="0" borderId="3" xfId="0" applyNumberFormat="1" applyFont="1" applyBorder="1" applyAlignment="1">
      <alignment horizontal="center"/>
    </xf>
    <xf numFmtId="0" fontId="47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3" fontId="18" fillId="0" borderId="0" xfId="0" applyNumberFormat="1" applyFont="1" applyAlignment="1">
      <alignment horizontal="center"/>
    </xf>
    <xf numFmtId="167" fontId="18" fillId="0" borderId="0" xfId="0" applyNumberFormat="1" applyFont="1" applyAlignment="1">
      <alignment horizontal="center"/>
    </xf>
    <xf numFmtId="164" fontId="19" fillId="0" borderId="0" xfId="0" applyNumberFormat="1" applyFont="1"/>
    <xf numFmtId="0" fontId="48" fillId="0" borderId="0" xfId="0" applyFont="1"/>
    <xf numFmtId="165" fontId="2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/>
    </xf>
    <xf numFmtId="164" fontId="2" fillId="0" borderId="0" xfId="71" applyNumberFormat="1" applyFont="1" applyAlignment="1">
      <alignment horizontal="center" vertical="center"/>
    </xf>
    <xf numFmtId="164" fontId="2" fillId="0" borderId="0" xfId="72" applyNumberFormat="1" applyFont="1" applyAlignment="1">
      <alignment horizontal="center" vertical="center"/>
    </xf>
    <xf numFmtId="164" fontId="2" fillId="0" borderId="0" xfId="73" applyNumberFormat="1" applyFont="1" applyAlignment="1">
      <alignment horizontal="center" vertical="center"/>
    </xf>
    <xf numFmtId="167" fontId="46" fillId="0" borderId="0" xfId="74" applyNumberFormat="1" applyAlignment="1">
      <alignment horizontal="center" vertical="center"/>
    </xf>
    <xf numFmtId="166" fontId="2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178" fontId="18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  <xf numFmtId="164" fontId="2" fillId="0" borderId="0" xfId="2" applyNumberFormat="1" applyFont="1" applyFill="1" applyAlignment="1">
      <alignment horizontal="right" vertical="center"/>
    </xf>
    <xf numFmtId="167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10" fontId="18" fillId="0" borderId="0" xfId="0" applyNumberFormat="1" applyFont="1" applyAlignment="1">
      <alignment horizontal="right"/>
    </xf>
    <xf numFmtId="37" fontId="2" fillId="0" borderId="0" xfId="59" applyNumberFormat="1" applyFont="1" applyAlignment="1">
      <alignment horizontal="right" vertical="center"/>
    </xf>
    <xf numFmtId="164" fontId="2" fillId="19" borderId="31" xfId="0" applyNumberFormat="1" applyFont="1" applyFill="1" applyBorder="1" applyAlignment="1">
      <alignment horizontal="center"/>
    </xf>
    <xf numFmtId="3" fontId="2" fillId="19" borderId="0" xfId="0" applyNumberFormat="1" applyFont="1" applyFill="1" applyAlignment="1">
      <alignment horizontal="right"/>
    </xf>
    <xf numFmtId="3" fontId="18" fillId="19" borderId="0" xfId="0" applyNumberFormat="1" applyFont="1" applyFill="1" applyAlignment="1">
      <alignment horizontal="right"/>
    </xf>
    <xf numFmtId="3" fontId="27" fillId="19" borderId="0" xfId="0" applyNumberFormat="1" applyFont="1" applyFill="1" applyAlignment="1">
      <alignment horizontal="right"/>
    </xf>
    <xf numFmtId="164" fontId="49" fillId="0" borderId="0" xfId="0" applyNumberFormat="1" applyFont="1" applyAlignment="1">
      <alignment horizontal="center"/>
    </xf>
    <xf numFmtId="164" fontId="50" fillId="0" borderId="0" xfId="0" applyNumberFormat="1" applyFont="1" applyAlignment="1">
      <alignment horizontal="center"/>
    </xf>
    <xf numFmtId="0" fontId="51" fillId="0" borderId="0" xfId="0" applyFont="1"/>
    <xf numFmtId="164" fontId="51" fillId="0" borderId="0" xfId="0" applyNumberFormat="1" applyFont="1"/>
    <xf numFmtId="164" fontId="2" fillId="0" borderId="0" xfId="2" applyNumberFormat="1" applyFont="1" applyFill="1" applyAlignment="1" applyProtection="1">
      <alignment horizontal="right" vertical="center"/>
    </xf>
    <xf numFmtId="164" fontId="2" fillId="0" borderId="0" xfId="70" applyNumberFormat="1" applyFont="1" applyAlignment="1">
      <alignment horizontal="right" vertical="center"/>
    </xf>
  </cellXfs>
  <cellStyles count="75">
    <cellStyle name="20% - Accent1 2" xfId="11" xr:uid="{00000000-0005-0000-0000-000000000000}"/>
    <cellStyle name="20% - Accent2 2" xfId="12" xr:uid="{00000000-0005-0000-0000-000001000000}"/>
    <cellStyle name="20% - Accent3 2" xfId="13" xr:uid="{00000000-0005-0000-0000-000002000000}"/>
    <cellStyle name="20% - Accent4 2" xfId="14" xr:uid="{00000000-0005-0000-0000-000003000000}"/>
    <cellStyle name="20% - Accent5 2" xfId="15" xr:uid="{00000000-0005-0000-0000-000004000000}"/>
    <cellStyle name="20% - Accent6 2" xfId="16" xr:uid="{00000000-0005-0000-0000-000005000000}"/>
    <cellStyle name="40% - Accent1 2" xfId="17" xr:uid="{00000000-0005-0000-0000-000006000000}"/>
    <cellStyle name="40% - Accent2 2" xfId="18" xr:uid="{00000000-0005-0000-0000-000007000000}"/>
    <cellStyle name="40% - Accent3 2" xfId="19" xr:uid="{00000000-0005-0000-0000-000008000000}"/>
    <cellStyle name="40% - Accent4 2" xfId="20" xr:uid="{00000000-0005-0000-0000-000009000000}"/>
    <cellStyle name="40% - Accent5 2" xfId="21" xr:uid="{00000000-0005-0000-0000-00000A000000}"/>
    <cellStyle name="40% - Accent6 2" xfId="22" xr:uid="{00000000-0005-0000-0000-00000B000000}"/>
    <cellStyle name="60% - Accent1 2" xfId="23" xr:uid="{00000000-0005-0000-0000-00000C000000}"/>
    <cellStyle name="60% - Accent2 2" xfId="24" xr:uid="{00000000-0005-0000-0000-00000D000000}"/>
    <cellStyle name="60% - Accent3 2" xfId="25" xr:uid="{00000000-0005-0000-0000-00000E000000}"/>
    <cellStyle name="60% - Accent4 2" xfId="26" xr:uid="{00000000-0005-0000-0000-00000F000000}"/>
    <cellStyle name="60% - Accent5 2" xfId="27" xr:uid="{00000000-0005-0000-0000-000010000000}"/>
    <cellStyle name="60% - Accent6 2" xfId="28" xr:uid="{00000000-0005-0000-0000-000011000000}"/>
    <cellStyle name="ac" xfId="1" xr:uid="{00000000-0005-0000-0000-000012000000}"/>
    <cellStyle name="Accent1 2" xfId="29" xr:uid="{00000000-0005-0000-0000-000013000000}"/>
    <cellStyle name="Accent2 2" xfId="30" xr:uid="{00000000-0005-0000-0000-000014000000}"/>
    <cellStyle name="Accent3 2" xfId="31" xr:uid="{00000000-0005-0000-0000-000015000000}"/>
    <cellStyle name="Accent4 2" xfId="32" xr:uid="{00000000-0005-0000-0000-000016000000}"/>
    <cellStyle name="Accent5 2" xfId="33" xr:uid="{00000000-0005-0000-0000-000017000000}"/>
    <cellStyle name="Accent6 2" xfId="34" xr:uid="{00000000-0005-0000-0000-000018000000}"/>
    <cellStyle name="Bad 2" xfId="35" xr:uid="{00000000-0005-0000-0000-000019000000}"/>
    <cellStyle name="Calculation 2" xfId="36" xr:uid="{00000000-0005-0000-0000-00001A000000}"/>
    <cellStyle name="Check Cell 2" xfId="37" xr:uid="{00000000-0005-0000-0000-00001B000000}"/>
    <cellStyle name="Comma" xfId="2" builtinId="3"/>
    <cellStyle name="Comma 2" xfId="52" xr:uid="{00000000-0005-0000-0000-00001D000000}"/>
    <cellStyle name="Comma 2 2" xfId="60" xr:uid="{00000000-0005-0000-0000-00001E000000}"/>
    <cellStyle name="Comma 3" xfId="57" xr:uid="{00000000-0005-0000-0000-00001F000000}"/>
    <cellStyle name="Currency 2" xfId="62" xr:uid="{00000000-0005-0000-0000-000020000000}"/>
    <cellStyle name="Explanatory Text 2" xfId="38" xr:uid="{00000000-0005-0000-0000-000021000000}"/>
    <cellStyle name="Good 2" xfId="39" xr:uid="{00000000-0005-0000-0000-000022000000}"/>
    <cellStyle name="Heading 1 2" xfId="40" xr:uid="{00000000-0005-0000-0000-000023000000}"/>
    <cellStyle name="Heading 2 2" xfId="41" xr:uid="{00000000-0005-0000-0000-000024000000}"/>
    <cellStyle name="Heading 3 2" xfId="42" xr:uid="{00000000-0005-0000-0000-000025000000}"/>
    <cellStyle name="Heading 4 2" xfId="43" xr:uid="{00000000-0005-0000-0000-000026000000}"/>
    <cellStyle name="Input 2" xfId="44" xr:uid="{00000000-0005-0000-0000-000027000000}"/>
    <cellStyle name="Linked Cell 2" xfId="45" xr:uid="{00000000-0005-0000-0000-000028000000}"/>
    <cellStyle name="Milliers [0]_EDYAN" xfId="3" xr:uid="{00000000-0005-0000-0000-000029000000}"/>
    <cellStyle name="Milliers_EDYAN" xfId="4" xr:uid="{00000000-0005-0000-0000-00002A000000}"/>
    <cellStyle name="Monétaire [0]_EDYAN" xfId="5" xr:uid="{00000000-0005-0000-0000-00002B000000}"/>
    <cellStyle name="Monétaire_EDYAN" xfId="6" xr:uid="{00000000-0005-0000-0000-00002C000000}"/>
    <cellStyle name="Neutral 2" xfId="46" xr:uid="{00000000-0005-0000-0000-00002D000000}"/>
    <cellStyle name="Normal" xfId="0" builtinId="0"/>
    <cellStyle name="Normal - Style1" xfId="7" xr:uid="{00000000-0005-0000-0000-00002F000000}"/>
    <cellStyle name="Normal 10" xfId="67" xr:uid="{00000000-0005-0000-0000-000030000000}"/>
    <cellStyle name="Normal 11" xfId="68" xr:uid="{00000000-0005-0000-0000-000031000000}"/>
    <cellStyle name="Normal 12" xfId="69" xr:uid="{00000000-0005-0000-0000-000032000000}"/>
    <cellStyle name="Normal 13" xfId="70" xr:uid="{00000000-0005-0000-0000-000033000000}"/>
    <cellStyle name="Normal 14" xfId="71" xr:uid="{00000000-0005-0000-0000-000034000000}"/>
    <cellStyle name="Normal 15" xfId="72" xr:uid="{00000000-0005-0000-0000-000035000000}"/>
    <cellStyle name="Normal 16" xfId="73" xr:uid="{00000000-0005-0000-0000-000036000000}"/>
    <cellStyle name="Normal 17" xfId="74" xr:uid="{00000000-0005-0000-0000-000037000000}"/>
    <cellStyle name="Normal 2" xfId="10" xr:uid="{00000000-0005-0000-0000-000038000000}"/>
    <cellStyle name="Normal 3" xfId="54" xr:uid="{00000000-0005-0000-0000-000039000000}"/>
    <cellStyle name="Normal 4" xfId="56" xr:uid="{00000000-0005-0000-0000-00003A000000}"/>
    <cellStyle name="Normal 5" xfId="55" xr:uid="{00000000-0005-0000-0000-00003B000000}"/>
    <cellStyle name="Normal 5 2" xfId="66" xr:uid="{00000000-0005-0000-0000-00003C000000}"/>
    <cellStyle name="Normal 6" xfId="59" xr:uid="{00000000-0005-0000-0000-00003D000000}"/>
    <cellStyle name="Normal 7" xfId="63" xr:uid="{00000000-0005-0000-0000-00003E000000}"/>
    <cellStyle name="Normal 8" xfId="65" xr:uid="{00000000-0005-0000-0000-00003F000000}"/>
    <cellStyle name="Normal 9" xfId="64" xr:uid="{00000000-0005-0000-0000-000040000000}"/>
    <cellStyle name="Normal_BRM INPUTS" xfId="8" xr:uid="{00000000-0005-0000-0000-000041000000}"/>
    <cellStyle name="Note 2" xfId="47" xr:uid="{00000000-0005-0000-0000-000042000000}"/>
    <cellStyle name="Output 2" xfId="48" xr:uid="{00000000-0005-0000-0000-000043000000}"/>
    <cellStyle name="Percent" xfId="9" builtinId="5"/>
    <cellStyle name="Percent 2" xfId="53" xr:uid="{00000000-0005-0000-0000-000045000000}"/>
    <cellStyle name="Percent 2 2" xfId="61" xr:uid="{00000000-0005-0000-0000-000046000000}"/>
    <cellStyle name="Percent 3" xfId="58" xr:uid="{00000000-0005-0000-0000-000047000000}"/>
    <cellStyle name="Title 2" xfId="49" xr:uid="{00000000-0005-0000-0000-000048000000}"/>
    <cellStyle name="Total 2" xfId="50" xr:uid="{00000000-0005-0000-0000-000049000000}"/>
    <cellStyle name="Warning Text 2" xfId="51" xr:uid="{00000000-0005-0000-0000-00004A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19</xdr:row>
      <xdr:rowOff>9525</xdr:rowOff>
    </xdr:from>
    <xdr:to>
      <xdr:col>6</xdr:col>
      <xdr:colOff>0</xdr:colOff>
      <xdr:row>22</xdr:row>
      <xdr:rowOff>0</xdr:rowOff>
    </xdr:to>
    <xdr:sp macro="" textlink="">
      <xdr:nvSpPr>
        <xdr:cNvPr id="2446" name="Line 1">
          <a:extLst>
            <a:ext uri="{FF2B5EF4-FFF2-40B4-BE49-F238E27FC236}">
              <a16:creationId xmlns:a16="http://schemas.microsoft.com/office/drawing/2014/main" id="{00000000-0008-0000-0200-00008E090000}"/>
            </a:ext>
          </a:extLst>
        </xdr:cNvPr>
        <xdr:cNvSpPr>
          <a:spLocks noChangeShapeType="1"/>
        </xdr:cNvSpPr>
      </xdr:nvSpPr>
      <xdr:spPr bwMode="auto">
        <a:xfrm>
          <a:off x="3486150" y="3200400"/>
          <a:ext cx="0" cy="4762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28</xdr:row>
      <xdr:rowOff>152400</xdr:rowOff>
    </xdr:to>
    <xdr:sp macro="" textlink="">
      <xdr:nvSpPr>
        <xdr:cNvPr id="2447" name="Line 2">
          <a:extLst>
            <a:ext uri="{FF2B5EF4-FFF2-40B4-BE49-F238E27FC236}">
              <a16:creationId xmlns:a16="http://schemas.microsoft.com/office/drawing/2014/main" id="{00000000-0008-0000-0200-00008F090000}"/>
            </a:ext>
          </a:extLst>
        </xdr:cNvPr>
        <xdr:cNvSpPr>
          <a:spLocks noChangeShapeType="1"/>
        </xdr:cNvSpPr>
      </xdr:nvSpPr>
      <xdr:spPr bwMode="auto">
        <a:xfrm>
          <a:off x="4133850" y="4324350"/>
          <a:ext cx="0" cy="4762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25</xdr:row>
      <xdr:rowOff>142875</xdr:rowOff>
    </xdr:from>
    <xdr:to>
      <xdr:col>6</xdr:col>
      <xdr:colOff>0</xdr:colOff>
      <xdr:row>29</xdr:row>
      <xdr:rowOff>0</xdr:rowOff>
    </xdr:to>
    <xdr:sp macro="" textlink="">
      <xdr:nvSpPr>
        <xdr:cNvPr id="2448" name="Line 3">
          <a:extLst>
            <a:ext uri="{FF2B5EF4-FFF2-40B4-BE49-F238E27FC236}">
              <a16:creationId xmlns:a16="http://schemas.microsoft.com/office/drawing/2014/main" id="{00000000-0008-0000-0200-000090090000}"/>
            </a:ext>
          </a:extLst>
        </xdr:cNvPr>
        <xdr:cNvSpPr>
          <a:spLocks noChangeShapeType="1"/>
        </xdr:cNvSpPr>
      </xdr:nvSpPr>
      <xdr:spPr bwMode="auto">
        <a:xfrm>
          <a:off x="3486150" y="4305300"/>
          <a:ext cx="0" cy="5048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9525</xdr:colOff>
      <xdr:row>25</xdr:row>
      <xdr:rowOff>0</xdr:rowOff>
    </xdr:to>
    <xdr:sp macro="" textlink="">
      <xdr:nvSpPr>
        <xdr:cNvPr id="2449" name="Line 4">
          <a:extLst>
            <a:ext uri="{FF2B5EF4-FFF2-40B4-BE49-F238E27FC236}">
              <a16:creationId xmlns:a16="http://schemas.microsoft.com/office/drawing/2014/main" id="{00000000-0008-0000-0200-000091090000}"/>
            </a:ext>
          </a:extLst>
        </xdr:cNvPr>
        <xdr:cNvSpPr>
          <a:spLocks noChangeShapeType="1"/>
        </xdr:cNvSpPr>
      </xdr:nvSpPr>
      <xdr:spPr bwMode="auto">
        <a:xfrm>
          <a:off x="4133850" y="4162425"/>
          <a:ext cx="6572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9525</xdr:colOff>
      <xdr:row>26</xdr:row>
      <xdr:rowOff>0</xdr:rowOff>
    </xdr:to>
    <xdr:sp macro="" textlink="">
      <xdr:nvSpPr>
        <xdr:cNvPr id="2450" name="Line 5">
          <a:extLst>
            <a:ext uri="{FF2B5EF4-FFF2-40B4-BE49-F238E27FC236}">
              <a16:creationId xmlns:a16="http://schemas.microsoft.com/office/drawing/2014/main" id="{00000000-0008-0000-0200-000092090000}"/>
            </a:ext>
          </a:extLst>
        </xdr:cNvPr>
        <xdr:cNvSpPr>
          <a:spLocks noChangeShapeType="1"/>
        </xdr:cNvSpPr>
      </xdr:nvSpPr>
      <xdr:spPr bwMode="auto">
        <a:xfrm>
          <a:off x="4133850" y="4324350"/>
          <a:ext cx="6572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638175</xdr:colOff>
      <xdr:row>29</xdr:row>
      <xdr:rowOff>0</xdr:rowOff>
    </xdr:from>
    <xdr:to>
      <xdr:col>8</xdr:col>
      <xdr:colOff>0</xdr:colOff>
      <xdr:row>29</xdr:row>
      <xdr:rowOff>0</xdr:rowOff>
    </xdr:to>
    <xdr:sp macro="" textlink="">
      <xdr:nvSpPr>
        <xdr:cNvPr id="2451" name="Line 6">
          <a:extLst>
            <a:ext uri="{FF2B5EF4-FFF2-40B4-BE49-F238E27FC236}">
              <a16:creationId xmlns:a16="http://schemas.microsoft.com/office/drawing/2014/main" id="{00000000-0008-0000-0200-000093090000}"/>
            </a:ext>
          </a:extLst>
        </xdr:cNvPr>
        <xdr:cNvSpPr>
          <a:spLocks noChangeShapeType="1"/>
        </xdr:cNvSpPr>
      </xdr:nvSpPr>
      <xdr:spPr bwMode="auto">
        <a:xfrm flipH="1">
          <a:off x="4124325" y="4810125"/>
          <a:ext cx="6572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30</xdr:row>
      <xdr:rowOff>0</xdr:rowOff>
    </xdr:from>
    <xdr:to>
      <xdr:col>9</xdr:col>
      <xdr:colOff>0</xdr:colOff>
      <xdr:row>30</xdr:row>
      <xdr:rowOff>0</xdr:rowOff>
    </xdr:to>
    <xdr:sp macro="" textlink="">
      <xdr:nvSpPr>
        <xdr:cNvPr id="2452" name="Line 7">
          <a:extLst>
            <a:ext uri="{FF2B5EF4-FFF2-40B4-BE49-F238E27FC236}">
              <a16:creationId xmlns:a16="http://schemas.microsoft.com/office/drawing/2014/main" id="{00000000-0008-0000-0200-000094090000}"/>
            </a:ext>
          </a:extLst>
        </xdr:cNvPr>
        <xdr:cNvSpPr>
          <a:spLocks noChangeShapeType="1"/>
        </xdr:cNvSpPr>
      </xdr:nvSpPr>
      <xdr:spPr bwMode="auto">
        <a:xfrm flipH="1">
          <a:off x="4133850" y="4972050"/>
          <a:ext cx="12954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2453" name="Line 8">
          <a:extLst>
            <a:ext uri="{FF2B5EF4-FFF2-40B4-BE49-F238E27FC236}">
              <a16:creationId xmlns:a16="http://schemas.microsoft.com/office/drawing/2014/main" id="{00000000-0008-0000-0200-000095090000}"/>
            </a:ext>
          </a:extLst>
        </xdr:cNvPr>
        <xdr:cNvSpPr>
          <a:spLocks noChangeShapeType="1"/>
        </xdr:cNvSpPr>
      </xdr:nvSpPr>
      <xdr:spPr bwMode="auto">
        <a:xfrm>
          <a:off x="2190750" y="4972050"/>
          <a:ext cx="6477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29</xdr:row>
      <xdr:rowOff>9525</xdr:rowOff>
    </xdr:from>
    <xdr:to>
      <xdr:col>2</xdr:col>
      <xdr:colOff>0</xdr:colOff>
      <xdr:row>32</xdr:row>
      <xdr:rowOff>0</xdr:rowOff>
    </xdr:to>
    <xdr:sp macro="" textlink="">
      <xdr:nvSpPr>
        <xdr:cNvPr id="2454" name="Line 9">
          <a:extLst>
            <a:ext uri="{FF2B5EF4-FFF2-40B4-BE49-F238E27FC236}">
              <a16:creationId xmlns:a16="http://schemas.microsoft.com/office/drawing/2014/main" id="{00000000-0008-0000-0200-000096090000}"/>
            </a:ext>
          </a:extLst>
        </xdr:cNvPr>
        <xdr:cNvSpPr>
          <a:spLocks noChangeShapeType="1"/>
        </xdr:cNvSpPr>
      </xdr:nvSpPr>
      <xdr:spPr bwMode="auto">
        <a:xfrm flipV="1">
          <a:off x="895350" y="4819650"/>
          <a:ext cx="0" cy="4762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17</xdr:row>
      <xdr:rowOff>0</xdr:rowOff>
    </xdr:from>
    <xdr:to>
      <xdr:col>5</xdr:col>
      <xdr:colOff>0</xdr:colOff>
      <xdr:row>17</xdr:row>
      <xdr:rowOff>0</xdr:rowOff>
    </xdr:to>
    <xdr:sp macro="" textlink="">
      <xdr:nvSpPr>
        <xdr:cNvPr id="2455" name="Line 10">
          <a:extLst>
            <a:ext uri="{FF2B5EF4-FFF2-40B4-BE49-F238E27FC236}">
              <a16:creationId xmlns:a16="http://schemas.microsoft.com/office/drawing/2014/main" id="{00000000-0008-0000-0200-000097090000}"/>
            </a:ext>
          </a:extLst>
        </xdr:cNvPr>
        <xdr:cNvSpPr>
          <a:spLocks noChangeShapeType="1"/>
        </xdr:cNvSpPr>
      </xdr:nvSpPr>
      <xdr:spPr bwMode="auto">
        <a:xfrm>
          <a:off x="895350" y="2867025"/>
          <a:ext cx="1943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33</xdr:row>
      <xdr:rowOff>9525</xdr:rowOff>
    </xdr:from>
    <xdr:to>
      <xdr:col>5</xdr:col>
      <xdr:colOff>0</xdr:colOff>
      <xdr:row>42</xdr:row>
      <xdr:rowOff>9525</xdr:rowOff>
    </xdr:to>
    <xdr:sp macro="" textlink="">
      <xdr:nvSpPr>
        <xdr:cNvPr id="2456" name="Line 11">
          <a:extLst>
            <a:ext uri="{FF2B5EF4-FFF2-40B4-BE49-F238E27FC236}">
              <a16:creationId xmlns:a16="http://schemas.microsoft.com/office/drawing/2014/main" id="{00000000-0008-0000-0200-000098090000}"/>
            </a:ext>
          </a:extLst>
        </xdr:cNvPr>
        <xdr:cNvSpPr>
          <a:spLocks noChangeShapeType="1"/>
        </xdr:cNvSpPr>
      </xdr:nvSpPr>
      <xdr:spPr bwMode="auto">
        <a:xfrm>
          <a:off x="2838450" y="5467350"/>
          <a:ext cx="0" cy="14668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2457" name="Line 12">
          <a:extLst>
            <a:ext uri="{FF2B5EF4-FFF2-40B4-BE49-F238E27FC236}">
              <a16:creationId xmlns:a16="http://schemas.microsoft.com/office/drawing/2014/main" id="{00000000-0008-0000-0200-000099090000}"/>
            </a:ext>
          </a:extLst>
        </xdr:cNvPr>
        <xdr:cNvSpPr>
          <a:spLocks noChangeShapeType="1"/>
        </xdr:cNvSpPr>
      </xdr:nvSpPr>
      <xdr:spPr bwMode="auto">
        <a:xfrm>
          <a:off x="8020050" y="6762750"/>
          <a:ext cx="609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43</xdr:row>
      <xdr:rowOff>0</xdr:rowOff>
    </xdr:from>
    <xdr:to>
      <xdr:col>12</xdr:col>
      <xdr:colOff>0</xdr:colOff>
      <xdr:row>48</xdr:row>
      <xdr:rowOff>9525</xdr:rowOff>
    </xdr:to>
    <xdr:sp macro="" textlink="">
      <xdr:nvSpPr>
        <xdr:cNvPr id="2458" name="Line 13">
          <a:extLst>
            <a:ext uri="{FF2B5EF4-FFF2-40B4-BE49-F238E27FC236}">
              <a16:creationId xmlns:a16="http://schemas.microsoft.com/office/drawing/2014/main" id="{00000000-0008-0000-0200-00009A090000}"/>
            </a:ext>
          </a:extLst>
        </xdr:cNvPr>
        <xdr:cNvSpPr>
          <a:spLocks noChangeShapeType="1"/>
        </xdr:cNvSpPr>
      </xdr:nvSpPr>
      <xdr:spPr bwMode="auto">
        <a:xfrm>
          <a:off x="7372350" y="7086600"/>
          <a:ext cx="0" cy="819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638175</xdr:colOff>
      <xdr:row>18</xdr:row>
      <xdr:rowOff>0</xdr:rowOff>
    </xdr:to>
    <xdr:sp macro="" textlink="">
      <xdr:nvSpPr>
        <xdr:cNvPr id="2459" name="Line 14">
          <a:extLst>
            <a:ext uri="{FF2B5EF4-FFF2-40B4-BE49-F238E27FC236}">
              <a16:creationId xmlns:a16="http://schemas.microsoft.com/office/drawing/2014/main" id="{00000000-0008-0000-0200-00009B090000}"/>
            </a:ext>
          </a:extLst>
        </xdr:cNvPr>
        <xdr:cNvSpPr>
          <a:spLocks noChangeShapeType="1"/>
        </xdr:cNvSpPr>
      </xdr:nvSpPr>
      <xdr:spPr bwMode="auto">
        <a:xfrm>
          <a:off x="4133850" y="3028950"/>
          <a:ext cx="128587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17</xdr:row>
      <xdr:rowOff>0</xdr:rowOff>
    </xdr:from>
    <xdr:to>
      <xdr:col>2</xdr:col>
      <xdr:colOff>0</xdr:colOff>
      <xdr:row>25</xdr:row>
      <xdr:rowOff>0</xdr:rowOff>
    </xdr:to>
    <xdr:sp macro="" textlink="">
      <xdr:nvSpPr>
        <xdr:cNvPr id="2460" name="Line 15">
          <a:extLst>
            <a:ext uri="{FF2B5EF4-FFF2-40B4-BE49-F238E27FC236}">
              <a16:creationId xmlns:a16="http://schemas.microsoft.com/office/drawing/2014/main" id="{00000000-0008-0000-0200-00009C090000}"/>
            </a:ext>
          </a:extLst>
        </xdr:cNvPr>
        <xdr:cNvSpPr>
          <a:spLocks noChangeShapeType="1"/>
        </xdr:cNvSpPr>
      </xdr:nvSpPr>
      <xdr:spPr bwMode="auto">
        <a:xfrm flipV="1">
          <a:off x="895350" y="2867025"/>
          <a:ext cx="0" cy="129540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32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461" name="Line 16">
          <a:extLst>
            <a:ext uri="{FF2B5EF4-FFF2-40B4-BE49-F238E27FC236}">
              <a16:creationId xmlns:a16="http://schemas.microsoft.com/office/drawing/2014/main" id="{00000000-0008-0000-0200-00009D090000}"/>
            </a:ext>
          </a:extLst>
        </xdr:cNvPr>
        <xdr:cNvSpPr>
          <a:spLocks noChangeShapeType="1"/>
        </xdr:cNvSpPr>
      </xdr:nvSpPr>
      <xdr:spPr bwMode="auto">
        <a:xfrm flipH="1">
          <a:off x="895350" y="5295900"/>
          <a:ext cx="1943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31</xdr:row>
      <xdr:rowOff>0</xdr:rowOff>
    </xdr:from>
    <xdr:to>
      <xdr:col>4</xdr:col>
      <xdr:colOff>638175</xdr:colOff>
      <xdr:row>31</xdr:row>
      <xdr:rowOff>0</xdr:rowOff>
    </xdr:to>
    <xdr:sp macro="" textlink="">
      <xdr:nvSpPr>
        <xdr:cNvPr id="2462" name="Line 17">
          <a:extLst>
            <a:ext uri="{FF2B5EF4-FFF2-40B4-BE49-F238E27FC236}">
              <a16:creationId xmlns:a16="http://schemas.microsoft.com/office/drawing/2014/main" id="{00000000-0008-0000-0200-00009E090000}"/>
            </a:ext>
          </a:extLst>
        </xdr:cNvPr>
        <xdr:cNvSpPr>
          <a:spLocks noChangeShapeType="1"/>
        </xdr:cNvSpPr>
      </xdr:nvSpPr>
      <xdr:spPr bwMode="auto">
        <a:xfrm flipH="1">
          <a:off x="2190750" y="5133975"/>
          <a:ext cx="63817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29</xdr:row>
      <xdr:rowOff>0</xdr:rowOff>
    </xdr:from>
    <xdr:to>
      <xdr:col>9</xdr:col>
      <xdr:colOff>0</xdr:colOff>
      <xdr:row>30</xdr:row>
      <xdr:rowOff>0</xdr:rowOff>
    </xdr:to>
    <xdr:sp macro="" textlink="">
      <xdr:nvSpPr>
        <xdr:cNvPr id="2463" name="Line 19">
          <a:extLst>
            <a:ext uri="{FF2B5EF4-FFF2-40B4-BE49-F238E27FC236}">
              <a16:creationId xmlns:a16="http://schemas.microsoft.com/office/drawing/2014/main" id="{00000000-0008-0000-0200-00009F090000}"/>
            </a:ext>
          </a:extLst>
        </xdr:cNvPr>
        <xdr:cNvSpPr>
          <a:spLocks noChangeShapeType="1"/>
        </xdr:cNvSpPr>
      </xdr:nvSpPr>
      <xdr:spPr bwMode="auto">
        <a:xfrm>
          <a:off x="5429250" y="4810125"/>
          <a:ext cx="0" cy="1619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2464" name="Line 20">
          <a:extLst>
            <a:ext uri="{FF2B5EF4-FFF2-40B4-BE49-F238E27FC236}">
              <a16:creationId xmlns:a16="http://schemas.microsoft.com/office/drawing/2014/main" id="{00000000-0008-0000-0200-0000A0090000}"/>
            </a:ext>
          </a:extLst>
        </xdr:cNvPr>
        <xdr:cNvSpPr>
          <a:spLocks noChangeShapeType="1"/>
        </xdr:cNvSpPr>
      </xdr:nvSpPr>
      <xdr:spPr bwMode="auto">
        <a:xfrm>
          <a:off x="3486150" y="5457825"/>
          <a:ext cx="0" cy="657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32</xdr:row>
      <xdr:rowOff>0</xdr:rowOff>
    </xdr:from>
    <xdr:to>
      <xdr:col>10</xdr:col>
      <xdr:colOff>609600</xdr:colOff>
      <xdr:row>32</xdr:row>
      <xdr:rowOff>0</xdr:rowOff>
    </xdr:to>
    <xdr:sp macro="" textlink="">
      <xdr:nvSpPr>
        <xdr:cNvPr id="2465" name="Line 21">
          <a:extLst>
            <a:ext uri="{FF2B5EF4-FFF2-40B4-BE49-F238E27FC236}">
              <a16:creationId xmlns:a16="http://schemas.microsoft.com/office/drawing/2014/main" id="{00000000-0008-0000-0200-0000A1090000}"/>
            </a:ext>
          </a:extLst>
        </xdr:cNvPr>
        <xdr:cNvSpPr>
          <a:spLocks noChangeShapeType="1"/>
        </xdr:cNvSpPr>
      </xdr:nvSpPr>
      <xdr:spPr bwMode="auto">
        <a:xfrm>
          <a:off x="4133850" y="5295900"/>
          <a:ext cx="25527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37</xdr:row>
      <xdr:rowOff>0</xdr:rowOff>
    </xdr:from>
    <xdr:to>
      <xdr:col>11</xdr:col>
      <xdr:colOff>0</xdr:colOff>
      <xdr:row>37</xdr:row>
      <xdr:rowOff>0</xdr:rowOff>
    </xdr:to>
    <xdr:sp macro="" textlink="">
      <xdr:nvSpPr>
        <xdr:cNvPr id="2466" name="Line 22">
          <a:extLst>
            <a:ext uri="{FF2B5EF4-FFF2-40B4-BE49-F238E27FC236}">
              <a16:creationId xmlns:a16="http://schemas.microsoft.com/office/drawing/2014/main" id="{00000000-0008-0000-0200-0000A2090000}"/>
            </a:ext>
          </a:extLst>
        </xdr:cNvPr>
        <xdr:cNvSpPr>
          <a:spLocks noChangeShapeType="1"/>
        </xdr:cNvSpPr>
      </xdr:nvSpPr>
      <xdr:spPr bwMode="auto">
        <a:xfrm>
          <a:off x="3495675" y="6115050"/>
          <a:ext cx="322897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18</xdr:row>
      <xdr:rowOff>152400</xdr:rowOff>
    </xdr:from>
    <xdr:to>
      <xdr:col>5</xdr:col>
      <xdr:colOff>9525</xdr:colOff>
      <xdr:row>18</xdr:row>
      <xdr:rowOff>152400</xdr:rowOff>
    </xdr:to>
    <xdr:sp macro="" textlink="">
      <xdr:nvSpPr>
        <xdr:cNvPr id="2467" name="Line 23">
          <a:extLst>
            <a:ext uri="{FF2B5EF4-FFF2-40B4-BE49-F238E27FC236}">
              <a16:creationId xmlns:a16="http://schemas.microsoft.com/office/drawing/2014/main" id="{00000000-0008-0000-0200-0000A3090000}"/>
            </a:ext>
          </a:extLst>
        </xdr:cNvPr>
        <xdr:cNvSpPr>
          <a:spLocks noChangeShapeType="1"/>
        </xdr:cNvSpPr>
      </xdr:nvSpPr>
      <xdr:spPr bwMode="auto">
        <a:xfrm>
          <a:off x="2190750" y="318135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19</xdr:row>
      <xdr:rowOff>9525</xdr:rowOff>
    </xdr:from>
    <xdr:to>
      <xdr:col>6</xdr:col>
      <xdr:colOff>0</xdr:colOff>
      <xdr:row>22</xdr:row>
      <xdr:rowOff>0</xdr:rowOff>
    </xdr:to>
    <xdr:sp macro="" textlink="">
      <xdr:nvSpPr>
        <xdr:cNvPr id="4502" name="Line 1">
          <a:extLst>
            <a:ext uri="{FF2B5EF4-FFF2-40B4-BE49-F238E27FC236}">
              <a16:creationId xmlns:a16="http://schemas.microsoft.com/office/drawing/2014/main" id="{00000000-0008-0000-0400-000096110000}"/>
            </a:ext>
          </a:extLst>
        </xdr:cNvPr>
        <xdr:cNvSpPr>
          <a:spLocks noChangeShapeType="1"/>
        </xdr:cNvSpPr>
      </xdr:nvSpPr>
      <xdr:spPr bwMode="auto">
        <a:xfrm>
          <a:off x="3486150" y="3200400"/>
          <a:ext cx="0" cy="4762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28</xdr:row>
      <xdr:rowOff>152400</xdr:rowOff>
    </xdr:to>
    <xdr:sp macro="" textlink="">
      <xdr:nvSpPr>
        <xdr:cNvPr id="4503" name="Line 2">
          <a:extLst>
            <a:ext uri="{FF2B5EF4-FFF2-40B4-BE49-F238E27FC236}">
              <a16:creationId xmlns:a16="http://schemas.microsoft.com/office/drawing/2014/main" id="{00000000-0008-0000-0400-000097110000}"/>
            </a:ext>
          </a:extLst>
        </xdr:cNvPr>
        <xdr:cNvSpPr>
          <a:spLocks noChangeShapeType="1"/>
        </xdr:cNvSpPr>
      </xdr:nvSpPr>
      <xdr:spPr bwMode="auto">
        <a:xfrm>
          <a:off x="4133850" y="4324350"/>
          <a:ext cx="0" cy="4762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25</xdr:row>
      <xdr:rowOff>142875</xdr:rowOff>
    </xdr:from>
    <xdr:to>
      <xdr:col>6</xdr:col>
      <xdr:colOff>0</xdr:colOff>
      <xdr:row>29</xdr:row>
      <xdr:rowOff>0</xdr:rowOff>
    </xdr:to>
    <xdr:sp macro="" textlink="">
      <xdr:nvSpPr>
        <xdr:cNvPr id="4504" name="Line 3">
          <a:extLst>
            <a:ext uri="{FF2B5EF4-FFF2-40B4-BE49-F238E27FC236}">
              <a16:creationId xmlns:a16="http://schemas.microsoft.com/office/drawing/2014/main" id="{00000000-0008-0000-0400-000098110000}"/>
            </a:ext>
          </a:extLst>
        </xdr:cNvPr>
        <xdr:cNvSpPr>
          <a:spLocks noChangeShapeType="1"/>
        </xdr:cNvSpPr>
      </xdr:nvSpPr>
      <xdr:spPr bwMode="auto">
        <a:xfrm>
          <a:off x="3486150" y="4305300"/>
          <a:ext cx="0" cy="5048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9525</xdr:colOff>
      <xdr:row>25</xdr:row>
      <xdr:rowOff>0</xdr:rowOff>
    </xdr:to>
    <xdr:sp macro="" textlink="">
      <xdr:nvSpPr>
        <xdr:cNvPr id="4505" name="Line 4">
          <a:extLst>
            <a:ext uri="{FF2B5EF4-FFF2-40B4-BE49-F238E27FC236}">
              <a16:creationId xmlns:a16="http://schemas.microsoft.com/office/drawing/2014/main" id="{00000000-0008-0000-0400-000099110000}"/>
            </a:ext>
          </a:extLst>
        </xdr:cNvPr>
        <xdr:cNvSpPr>
          <a:spLocks noChangeShapeType="1"/>
        </xdr:cNvSpPr>
      </xdr:nvSpPr>
      <xdr:spPr bwMode="auto">
        <a:xfrm>
          <a:off x="4133850" y="4162425"/>
          <a:ext cx="6572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9525</xdr:colOff>
      <xdr:row>26</xdr:row>
      <xdr:rowOff>0</xdr:rowOff>
    </xdr:to>
    <xdr:sp macro="" textlink="">
      <xdr:nvSpPr>
        <xdr:cNvPr id="4506" name="Line 5">
          <a:extLst>
            <a:ext uri="{FF2B5EF4-FFF2-40B4-BE49-F238E27FC236}">
              <a16:creationId xmlns:a16="http://schemas.microsoft.com/office/drawing/2014/main" id="{00000000-0008-0000-0400-00009A110000}"/>
            </a:ext>
          </a:extLst>
        </xdr:cNvPr>
        <xdr:cNvSpPr>
          <a:spLocks noChangeShapeType="1"/>
        </xdr:cNvSpPr>
      </xdr:nvSpPr>
      <xdr:spPr bwMode="auto">
        <a:xfrm>
          <a:off x="4133850" y="4324350"/>
          <a:ext cx="6572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638175</xdr:colOff>
      <xdr:row>29</xdr:row>
      <xdr:rowOff>0</xdr:rowOff>
    </xdr:from>
    <xdr:to>
      <xdr:col>8</xdr:col>
      <xdr:colOff>0</xdr:colOff>
      <xdr:row>29</xdr:row>
      <xdr:rowOff>0</xdr:rowOff>
    </xdr:to>
    <xdr:sp macro="" textlink="">
      <xdr:nvSpPr>
        <xdr:cNvPr id="4507" name="Line 6">
          <a:extLst>
            <a:ext uri="{FF2B5EF4-FFF2-40B4-BE49-F238E27FC236}">
              <a16:creationId xmlns:a16="http://schemas.microsoft.com/office/drawing/2014/main" id="{00000000-0008-0000-0400-00009B110000}"/>
            </a:ext>
          </a:extLst>
        </xdr:cNvPr>
        <xdr:cNvSpPr>
          <a:spLocks noChangeShapeType="1"/>
        </xdr:cNvSpPr>
      </xdr:nvSpPr>
      <xdr:spPr bwMode="auto">
        <a:xfrm flipH="1">
          <a:off x="4124325" y="4810125"/>
          <a:ext cx="6572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30</xdr:row>
      <xdr:rowOff>0</xdr:rowOff>
    </xdr:from>
    <xdr:to>
      <xdr:col>9</xdr:col>
      <xdr:colOff>0</xdr:colOff>
      <xdr:row>30</xdr:row>
      <xdr:rowOff>0</xdr:rowOff>
    </xdr:to>
    <xdr:sp macro="" textlink="">
      <xdr:nvSpPr>
        <xdr:cNvPr id="4508" name="Line 7">
          <a:extLst>
            <a:ext uri="{FF2B5EF4-FFF2-40B4-BE49-F238E27FC236}">
              <a16:creationId xmlns:a16="http://schemas.microsoft.com/office/drawing/2014/main" id="{00000000-0008-0000-0400-00009C110000}"/>
            </a:ext>
          </a:extLst>
        </xdr:cNvPr>
        <xdr:cNvSpPr>
          <a:spLocks noChangeShapeType="1"/>
        </xdr:cNvSpPr>
      </xdr:nvSpPr>
      <xdr:spPr bwMode="auto">
        <a:xfrm flipH="1">
          <a:off x="4133850" y="4972050"/>
          <a:ext cx="12954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4509" name="Line 8">
          <a:extLst>
            <a:ext uri="{FF2B5EF4-FFF2-40B4-BE49-F238E27FC236}">
              <a16:creationId xmlns:a16="http://schemas.microsoft.com/office/drawing/2014/main" id="{00000000-0008-0000-0400-00009D110000}"/>
            </a:ext>
          </a:extLst>
        </xdr:cNvPr>
        <xdr:cNvSpPr>
          <a:spLocks noChangeShapeType="1"/>
        </xdr:cNvSpPr>
      </xdr:nvSpPr>
      <xdr:spPr bwMode="auto">
        <a:xfrm>
          <a:off x="2190750" y="4972050"/>
          <a:ext cx="6477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29</xdr:row>
      <xdr:rowOff>9525</xdr:rowOff>
    </xdr:from>
    <xdr:to>
      <xdr:col>2</xdr:col>
      <xdr:colOff>0</xdr:colOff>
      <xdr:row>32</xdr:row>
      <xdr:rowOff>0</xdr:rowOff>
    </xdr:to>
    <xdr:sp macro="" textlink="">
      <xdr:nvSpPr>
        <xdr:cNvPr id="4510" name="Line 9">
          <a:extLst>
            <a:ext uri="{FF2B5EF4-FFF2-40B4-BE49-F238E27FC236}">
              <a16:creationId xmlns:a16="http://schemas.microsoft.com/office/drawing/2014/main" id="{00000000-0008-0000-0400-00009E110000}"/>
            </a:ext>
          </a:extLst>
        </xdr:cNvPr>
        <xdr:cNvSpPr>
          <a:spLocks noChangeShapeType="1"/>
        </xdr:cNvSpPr>
      </xdr:nvSpPr>
      <xdr:spPr bwMode="auto">
        <a:xfrm flipV="1">
          <a:off x="895350" y="4819650"/>
          <a:ext cx="0" cy="4762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17</xdr:row>
      <xdr:rowOff>0</xdr:rowOff>
    </xdr:from>
    <xdr:to>
      <xdr:col>5</xdr:col>
      <xdr:colOff>0</xdr:colOff>
      <xdr:row>17</xdr:row>
      <xdr:rowOff>0</xdr:rowOff>
    </xdr:to>
    <xdr:sp macro="" textlink="">
      <xdr:nvSpPr>
        <xdr:cNvPr id="4511" name="Line 10">
          <a:extLst>
            <a:ext uri="{FF2B5EF4-FFF2-40B4-BE49-F238E27FC236}">
              <a16:creationId xmlns:a16="http://schemas.microsoft.com/office/drawing/2014/main" id="{00000000-0008-0000-0400-00009F110000}"/>
            </a:ext>
          </a:extLst>
        </xdr:cNvPr>
        <xdr:cNvSpPr>
          <a:spLocks noChangeShapeType="1"/>
        </xdr:cNvSpPr>
      </xdr:nvSpPr>
      <xdr:spPr bwMode="auto">
        <a:xfrm>
          <a:off x="895350" y="2867025"/>
          <a:ext cx="1943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33</xdr:row>
      <xdr:rowOff>9525</xdr:rowOff>
    </xdr:from>
    <xdr:to>
      <xdr:col>5</xdr:col>
      <xdr:colOff>0</xdr:colOff>
      <xdr:row>42</xdr:row>
      <xdr:rowOff>9525</xdr:rowOff>
    </xdr:to>
    <xdr:sp macro="" textlink="">
      <xdr:nvSpPr>
        <xdr:cNvPr id="4512" name="Line 11">
          <a:extLst>
            <a:ext uri="{FF2B5EF4-FFF2-40B4-BE49-F238E27FC236}">
              <a16:creationId xmlns:a16="http://schemas.microsoft.com/office/drawing/2014/main" id="{00000000-0008-0000-0400-0000A0110000}"/>
            </a:ext>
          </a:extLst>
        </xdr:cNvPr>
        <xdr:cNvSpPr>
          <a:spLocks noChangeShapeType="1"/>
        </xdr:cNvSpPr>
      </xdr:nvSpPr>
      <xdr:spPr bwMode="auto">
        <a:xfrm>
          <a:off x="2838450" y="5467350"/>
          <a:ext cx="0" cy="14668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4513" name="Line 12">
          <a:extLst>
            <a:ext uri="{FF2B5EF4-FFF2-40B4-BE49-F238E27FC236}">
              <a16:creationId xmlns:a16="http://schemas.microsoft.com/office/drawing/2014/main" id="{00000000-0008-0000-0400-0000A1110000}"/>
            </a:ext>
          </a:extLst>
        </xdr:cNvPr>
        <xdr:cNvSpPr>
          <a:spLocks noChangeShapeType="1"/>
        </xdr:cNvSpPr>
      </xdr:nvSpPr>
      <xdr:spPr bwMode="auto">
        <a:xfrm>
          <a:off x="8020050" y="6762750"/>
          <a:ext cx="609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43</xdr:row>
      <xdr:rowOff>0</xdr:rowOff>
    </xdr:from>
    <xdr:to>
      <xdr:col>12</xdr:col>
      <xdr:colOff>0</xdr:colOff>
      <xdr:row>48</xdr:row>
      <xdr:rowOff>9525</xdr:rowOff>
    </xdr:to>
    <xdr:sp macro="" textlink="">
      <xdr:nvSpPr>
        <xdr:cNvPr id="4514" name="Line 13">
          <a:extLst>
            <a:ext uri="{FF2B5EF4-FFF2-40B4-BE49-F238E27FC236}">
              <a16:creationId xmlns:a16="http://schemas.microsoft.com/office/drawing/2014/main" id="{00000000-0008-0000-0400-0000A2110000}"/>
            </a:ext>
          </a:extLst>
        </xdr:cNvPr>
        <xdr:cNvSpPr>
          <a:spLocks noChangeShapeType="1"/>
        </xdr:cNvSpPr>
      </xdr:nvSpPr>
      <xdr:spPr bwMode="auto">
        <a:xfrm>
          <a:off x="7372350" y="7086600"/>
          <a:ext cx="0" cy="8191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638175</xdr:colOff>
      <xdr:row>18</xdr:row>
      <xdr:rowOff>0</xdr:rowOff>
    </xdr:to>
    <xdr:sp macro="" textlink="">
      <xdr:nvSpPr>
        <xdr:cNvPr id="4515" name="Line 14">
          <a:extLst>
            <a:ext uri="{FF2B5EF4-FFF2-40B4-BE49-F238E27FC236}">
              <a16:creationId xmlns:a16="http://schemas.microsoft.com/office/drawing/2014/main" id="{00000000-0008-0000-0400-0000A3110000}"/>
            </a:ext>
          </a:extLst>
        </xdr:cNvPr>
        <xdr:cNvSpPr>
          <a:spLocks noChangeShapeType="1"/>
        </xdr:cNvSpPr>
      </xdr:nvSpPr>
      <xdr:spPr bwMode="auto">
        <a:xfrm>
          <a:off x="4133850" y="3028950"/>
          <a:ext cx="128587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17</xdr:row>
      <xdr:rowOff>0</xdr:rowOff>
    </xdr:from>
    <xdr:to>
      <xdr:col>2</xdr:col>
      <xdr:colOff>0</xdr:colOff>
      <xdr:row>25</xdr:row>
      <xdr:rowOff>0</xdr:rowOff>
    </xdr:to>
    <xdr:sp macro="" textlink="">
      <xdr:nvSpPr>
        <xdr:cNvPr id="4516" name="Line 15">
          <a:extLst>
            <a:ext uri="{FF2B5EF4-FFF2-40B4-BE49-F238E27FC236}">
              <a16:creationId xmlns:a16="http://schemas.microsoft.com/office/drawing/2014/main" id="{00000000-0008-0000-0400-0000A4110000}"/>
            </a:ext>
          </a:extLst>
        </xdr:cNvPr>
        <xdr:cNvSpPr>
          <a:spLocks noChangeShapeType="1"/>
        </xdr:cNvSpPr>
      </xdr:nvSpPr>
      <xdr:spPr bwMode="auto">
        <a:xfrm flipV="1">
          <a:off x="895350" y="2867025"/>
          <a:ext cx="0" cy="129540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32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4517" name="Line 16">
          <a:extLst>
            <a:ext uri="{FF2B5EF4-FFF2-40B4-BE49-F238E27FC236}">
              <a16:creationId xmlns:a16="http://schemas.microsoft.com/office/drawing/2014/main" id="{00000000-0008-0000-0400-0000A5110000}"/>
            </a:ext>
          </a:extLst>
        </xdr:cNvPr>
        <xdr:cNvSpPr>
          <a:spLocks noChangeShapeType="1"/>
        </xdr:cNvSpPr>
      </xdr:nvSpPr>
      <xdr:spPr bwMode="auto">
        <a:xfrm flipH="1">
          <a:off x="895350" y="5295900"/>
          <a:ext cx="1943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31</xdr:row>
      <xdr:rowOff>0</xdr:rowOff>
    </xdr:from>
    <xdr:to>
      <xdr:col>4</xdr:col>
      <xdr:colOff>638175</xdr:colOff>
      <xdr:row>31</xdr:row>
      <xdr:rowOff>0</xdr:rowOff>
    </xdr:to>
    <xdr:sp macro="" textlink="">
      <xdr:nvSpPr>
        <xdr:cNvPr id="4518" name="Line 17">
          <a:extLst>
            <a:ext uri="{FF2B5EF4-FFF2-40B4-BE49-F238E27FC236}">
              <a16:creationId xmlns:a16="http://schemas.microsoft.com/office/drawing/2014/main" id="{00000000-0008-0000-0400-0000A6110000}"/>
            </a:ext>
          </a:extLst>
        </xdr:cNvPr>
        <xdr:cNvSpPr>
          <a:spLocks noChangeShapeType="1"/>
        </xdr:cNvSpPr>
      </xdr:nvSpPr>
      <xdr:spPr bwMode="auto">
        <a:xfrm flipH="1">
          <a:off x="2190750" y="5133975"/>
          <a:ext cx="63817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29</xdr:row>
      <xdr:rowOff>0</xdr:rowOff>
    </xdr:from>
    <xdr:to>
      <xdr:col>9</xdr:col>
      <xdr:colOff>0</xdr:colOff>
      <xdr:row>30</xdr:row>
      <xdr:rowOff>0</xdr:rowOff>
    </xdr:to>
    <xdr:sp macro="" textlink="">
      <xdr:nvSpPr>
        <xdr:cNvPr id="4519" name="Line 19">
          <a:extLst>
            <a:ext uri="{FF2B5EF4-FFF2-40B4-BE49-F238E27FC236}">
              <a16:creationId xmlns:a16="http://schemas.microsoft.com/office/drawing/2014/main" id="{00000000-0008-0000-0400-0000A7110000}"/>
            </a:ext>
          </a:extLst>
        </xdr:cNvPr>
        <xdr:cNvSpPr>
          <a:spLocks noChangeShapeType="1"/>
        </xdr:cNvSpPr>
      </xdr:nvSpPr>
      <xdr:spPr bwMode="auto">
        <a:xfrm>
          <a:off x="5429250" y="4810125"/>
          <a:ext cx="0" cy="1619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4520" name="Line 20">
          <a:extLst>
            <a:ext uri="{FF2B5EF4-FFF2-40B4-BE49-F238E27FC236}">
              <a16:creationId xmlns:a16="http://schemas.microsoft.com/office/drawing/2014/main" id="{00000000-0008-0000-0400-0000A8110000}"/>
            </a:ext>
          </a:extLst>
        </xdr:cNvPr>
        <xdr:cNvSpPr>
          <a:spLocks noChangeShapeType="1"/>
        </xdr:cNvSpPr>
      </xdr:nvSpPr>
      <xdr:spPr bwMode="auto">
        <a:xfrm>
          <a:off x="3486150" y="5457825"/>
          <a:ext cx="0" cy="657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32</xdr:row>
      <xdr:rowOff>0</xdr:rowOff>
    </xdr:from>
    <xdr:to>
      <xdr:col>10</xdr:col>
      <xdr:colOff>609600</xdr:colOff>
      <xdr:row>32</xdr:row>
      <xdr:rowOff>0</xdr:rowOff>
    </xdr:to>
    <xdr:sp macro="" textlink="">
      <xdr:nvSpPr>
        <xdr:cNvPr id="4521" name="Line 21">
          <a:extLst>
            <a:ext uri="{FF2B5EF4-FFF2-40B4-BE49-F238E27FC236}">
              <a16:creationId xmlns:a16="http://schemas.microsoft.com/office/drawing/2014/main" id="{00000000-0008-0000-0400-0000A9110000}"/>
            </a:ext>
          </a:extLst>
        </xdr:cNvPr>
        <xdr:cNvSpPr>
          <a:spLocks noChangeShapeType="1"/>
        </xdr:cNvSpPr>
      </xdr:nvSpPr>
      <xdr:spPr bwMode="auto">
        <a:xfrm>
          <a:off x="4133850" y="5295900"/>
          <a:ext cx="25527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37</xdr:row>
      <xdr:rowOff>0</xdr:rowOff>
    </xdr:from>
    <xdr:to>
      <xdr:col>11</xdr:col>
      <xdr:colOff>0</xdr:colOff>
      <xdr:row>37</xdr:row>
      <xdr:rowOff>0</xdr:rowOff>
    </xdr:to>
    <xdr:sp macro="" textlink="">
      <xdr:nvSpPr>
        <xdr:cNvPr id="4522" name="Line 22">
          <a:extLst>
            <a:ext uri="{FF2B5EF4-FFF2-40B4-BE49-F238E27FC236}">
              <a16:creationId xmlns:a16="http://schemas.microsoft.com/office/drawing/2014/main" id="{00000000-0008-0000-0400-0000AA110000}"/>
            </a:ext>
          </a:extLst>
        </xdr:cNvPr>
        <xdr:cNvSpPr>
          <a:spLocks noChangeShapeType="1"/>
        </xdr:cNvSpPr>
      </xdr:nvSpPr>
      <xdr:spPr bwMode="auto">
        <a:xfrm>
          <a:off x="3495675" y="6115050"/>
          <a:ext cx="322897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18</xdr:row>
      <xdr:rowOff>152400</xdr:rowOff>
    </xdr:from>
    <xdr:to>
      <xdr:col>5</xdr:col>
      <xdr:colOff>9525</xdr:colOff>
      <xdr:row>18</xdr:row>
      <xdr:rowOff>152400</xdr:rowOff>
    </xdr:to>
    <xdr:sp macro="" textlink="">
      <xdr:nvSpPr>
        <xdr:cNvPr id="4523" name="Line 22">
          <a:extLst>
            <a:ext uri="{FF2B5EF4-FFF2-40B4-BE49-F238E27FC236}">
              <a16:creationId xmlns:a16="http://schemas.microsoft.com/office/drawing/2014/main" id="{00000000-0008-0000-0400-0000AB110000}"/>
            </a:ext>
          </a:extLst>
        </xdr:cNvPr>
        <xdr:cNvSpPr>
          <a:spLocks noChangeShapeType="1"/>
        </xdr:cNvSpPr>
      </xdr:nvSpPr>
      <xdr:spPr bwMode="auto">
        <a:xfrm>
          <a:off x="2190750" y="318135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ocuments/Letter%20Models/USPS-FY25-10/BRM/USPS-FY25-21%20BRM_QBRM.xlsx" TargetMode="External"/><Relationship Id="rId1" Type="http://schemas.openxmlformats.org/officeDocument/2006/relationships/externalLinkPath" Target="USPS-FY25-21%20BRM_QBR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FY25%20ACR%20inputs%20to%20Special%20Cost%20Studies%20Public.xlsx" TargetMode="External"/><Relationship Id="rId1" Type="http://schemas.openxmlformats.org/officeDocument/2006/relationships/externalLinkPath" Target="/personal/kamaldeep_walia_usps_gov/Documents/Desktop/ACR2025%20Inputs/FY25%20ACR%20inputs%20to%20Special%20Cost%20Studies%20Public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ACR2025%20Inputs/YRscrub2025_revised.xlsx" TargetMode="External"/><Relationship Id="rId1" Type="http://schemas.openxmlformats.org/officeDocument/2006/relationships/externalLinkPath" Target="/personal/kamaldeep_walia_usps_gov/Documents/ACR2025%20Inputs/YRscrub2025_revised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ACR2025%20Inputs/RECprods2025_revised.xlsx" TargetMode="External"/><Relationship Id="rId1" Type="http://schemas.openxmlformats.org/officeDocument/2006/relationships/externalLinkPath" Target="/personal/kamaldeep_walia_usps_gov/Documents/ACR2025%20Inputs/RECprods2025_revise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ACR2025%20Inputs/MPPGBY25PRC.xlsx" TargetMode="External"/><Relationship Id="rId1" Type="http://schemas.openxmlformats.org/officeDocument/2006/relationships/externalLinkPath" Target="/personal/kamaldeep_walia_usps_gov/Documents/ACR2025%20Inputs/MPPGBY25PRC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Accept2025_v.xlsx" TargetMode="External"/><Relationship Id="rId1" Type="http://schemas.openxmlformats.org/officeDocument/2006/relationships/externalLinkPath" Target="/personal/kamaldeep_walia_usps_gov/Documents/Desktop/ACR2025%20Inputs/Accept2025_v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tbxqb\AppData\Local\Microsoft\Windows\INetCache\Content.Outlook\ZOOHLDJB\Accept2024_v.xlsx" TargetMode="External"/><Relationship Id="rId1" Type="http://schemas.openxmlformats.org/officeDocument/2006/relationships/externalLinkPath" Target="file:///C:\Users\vtbxqb\AppData\Local\Microsoft\Windows\INetCache\Content.Outlook\ZOOHLDJB\Accept2024_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dchqsxf11.usa.dce.usps.gov\Redir\vtbxqb\My%20Documents\RBCS%20FY%20report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ocuments/Letter%20Models/USPS-FY25-10/USPS-FY25-10.FCM.Letters_MODS_Update.xlsx" TargetMode="External"/><Relationship Id="rId1" Type="http://schemas.openxmlformats.org/officeDocument/2006/relationships/externalLinkPath" Target="/personal/kamaldeep_walia_usps_gov/Documents/Documents/Letter%20Models/USPS-FY25-10/USPS-FY25-10.FCM.Letters_MODS_Updat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FY25%20Final%20Productive%20Hourly%20Rates.xlsx" TargetMode="External"/><Relationship Id="rId1" Type="http://schemas.openxmlformats.org/officeDocument/2006/relationships/externalLinkPath" Target="/personal/kamaldeep_walia_usps_gov/Documents/Desktop/ACR2025%20Inputs/FY25%20Final%20Productive%20Hourly%20Rat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FY25Public.PB.xlsx" TargetMode="External"/><Relationship Id="rId1" Type="http://schemas.openxmlformats.org/officeDocument/2006/relationships/externalLinkPath" Target="/personal/kamaldeep_walia_usps_gov/Documents/Desktop/ACR2025%20Inputs/FY25Public.P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BRM COST AVOIDANCE SUMMARY"/>
      <sheetName val="HAND FLOW"/>
      <sheetName val="HAND COSTS"/>
      <sheetName val="QBRM COSTS"/>
      <sheetName val="QBRM FLOW"/>
      <sheetName val="QBRM COST AVOIDANCE INPUTS"/>
      <sheetName val="BRM FEES SUMMARY"/>
      <sheetName val="ANNUAL PERMIT"/>
      <sheetName val="ANNUAL ACCOUNTING "/>
      <sheetName val="QBRM QUARTERLY"/>
      <sheetName val="NONLETTER SIZE BRM MONTHLY "/>
      <sheetName val="HI VOL QBRM "/>
      <sheetName val="BASIC QBRM "/>
      <sheetName val="HI VOL BRM"/>
      <sheetName val="BASIC BRM"/>
      <sheetName val="NONLETTER SIZE BRM"/>
      <sheetName val="BRM FEE INPUTS"/>
    </sheetNames>
    <sheetDataSet>
      <sheetData sheetId="0">
        <row r="13">
          <cell r="H13">
            <v>3.0464760975332998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lume-variability factors"/>
      <sheetName val="Disaggregated wage rates"/>
      <sheetName val="Premium Pay Fctrs"/>
      <sheetName val=" Overhead factors"/>
      <sheetName val=" MODS ovh factors"/>
      <sheetName val=" NDCs OVH Factors"/>
      <sheetName val=" nonmods OVH Factors"/>
      <sheetName val="crosswalk, % of direct"/>
    </sheetNames>
    <sheetDataSet>
      <sheetData sheetId="0">
        <row r="11">
          <cell r="G11">
            <v>0.98909999999999998</v>
          </cell>
        </row>
        <row r="23">
          <cell r="G23">
            <v>0.97240000000000004</v>
          </cell>
        </row>
        <row r="27">
          <cell r="G27">
            <v>0.873</v>
          </cell>
        </row>
        <row r="47">
          <cell r="G47">
            <v>0.98870000000000002</v>
          </cell>
        </row>
      </sheetData>
      <sheetData sheetId="1">
        <row r="6">
          <cell r="C6">
            <v>54.142360316355024</v>
          </cell>
        </row>
        <row r="8">
          <cell r="C8">
            <v>50.10717457546064</v>
          </cell>
        </row>
      </sheetData>
      <sheetData sheetId="2">
        <row r="7">
          <cell r="D7">
            <v>1.0126008477139226</v>
          </cell>
        </row>
      </sheetData>
      <sheetData sheetId="3"/>
      <sheetData sheetId="4"/>
      <sheetData sheetId="5"/>
      <sheetData sheetId="6">
        <row r="13">
          <cell r="G13">
            <v>1.1805242016503081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5 Table"/>
    </sheetNames>
    <sheetDataSet>
      <sheetData sheetId="0">
        <row r="10">
          <cell r="E10">
            <v>1447</v>
          </cell>
          <cell r="I10">
            <v>1731.3470699022496</v>
          </cell>
        </row>
        <row r="13">
          <cell r="I13">
            <v>6758.7504883831289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 Calc"/>
    </sheetNames>
    <sheetDataSet>
      <sheetData sheetId="0">
        <row r="10">
          <cell r="E10">
            <v>775.23422288961956</v>
          </cell>
        </row>
        <row r="13">
          <cell r="E13">
            <v>739.31456751386031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MP Piggybacks"/>
      <sheetName val="Cost Ratios"/>
      <sheetName val="MP Labor Cost Splits"/>
      <sheetName val="MP Labor Costs"/>
      <sheetName val="CR &amp; OP"/>
      <sheetName val="Facility Related Costs"/>
      <sheetName val="Facility Space Data "/>
      <sheetName val="Space Summary Costs"/>
      <sheetName val="IOCS Tallies – Select Equipment"/>
      <sheetName val="All Equip. Related Costs"/>
      <sheetName val="Capital Costs"/>
      <sheetName val="Maint. Costs"/>
      <sheetName val="Parts Costs"/>
      <sheetName val="Equip. Var."/>
      <sheetName val="Supv_Admin_Benefit Costs"/>
      <sheetName val="PB by Cost Type  "/>
      <sheetName val="PSM &amp; FSM &amp; LMLM Data"/>
    </sheetNames>
    <sheetDataSet>
      <sheetData sheetId="0"/>
      <sheetData sheetId="1">
        <row r="7">
          <cell r="J7">
            <v>1.754359816131257</v>
          </cell>
        </row>
        <row r="15">
          <cell r="J15">
            <v>1.2988119246888874</v>
          </cell>
        </row>
        <row r="30">
          <cell r="J30">
            <v>1.2907912016362046</v>
          </cell>
        </row>
        <row r="68">
          <cell r="J68">
            <v>1.6888485071959758</v>
          </cell>
        </row>
        <row r="71">
          <cell r="J71">
            <v>3.4396834863913082</v>
          </cell>
        </row>
        <row r="75">
          <cell r="B75">
            <v>50188.015295144804</v>
          </cell>
        </row>
        <row r="77">
          <cell r="J77">
            <v>1.2615773174013249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tters"/>
      <sheetName val="Flats"/>
      <sheetName val="Parcels"/>
      <sheetName val="ppgar"/>
      <sheetName val="afsmrefeed"/>
      <sheetName val="ufsmkey"/>
      <sheetName val="appsspbsgar"/>
      <sheetName val="flatgar"/>
      <sheetName val="mlissgar"/>
      <sheetName val="lettergar"/>
      <sheetName val="diossgar"/>
      <sheetName val="WebROADS"/>
    </sheetNames>
    <sheetDataSet>
      <sheetData sheetId="0">
        <row r="6">
          <cell r="C6">
            <v>0.90245715339016008</v>
          </cell>
        </row>
        <row r="15">
          <cell r="C15">
            <v>0.9725090126152891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tters"/>
      <sheetName val="Flats"/>
      <sheetName val="Parcels"/>
      <sheetName val="ppgar"/>
      <sheetName val="afsmrefeed"/>
      <sheetName val="ufsmkey"/>
      <sheetName val="appsspbsgar"/>
      <sheetName val="flatgar"/>
      <sheetName val="mlissgar"/>
      <sheetName val="lettergar"/>
      <sheetName val="diossgar"/>
      <sheetName val="WebROADS"/>
    </sheetNames>
    <sheetDataSet>
      <sheetData sheetId="0">
        <row r="6">
          <cell r="C6">
            <v>0.90878306492554928</v>
          </cell>
        </row>
        <row r="9">
          <cell r="C9">
            <v>0.92692924831704915</v>
          </cell>
        </row>
        <row r="10">
          <cell r="C10">
            <v>2.5509608137740784E-2</v>
          </cell>
        </row>
        <row r="11">
          <cell r="C11">
            <v>1.4130932874979785E-2</v>
          </cell>
        </row>
        <row r="12">
          <cell r="C12">
            <v>2.0846133969331096E-3</v>
          </cell>
        </row>
        <row r="13">
          <cell r="C13">
            <v>3.1345597273297068E-2</v>
          </cell>
        </row>
      </sheetData>
      <sheetData sheetId="1">
        <row r="8">
          <cell r="H8">
            <v>0.85591087170901103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BCS"/>
      <sheetName val="Notes"/>
    </sheetNames>
    <sheetDataSet>
      <sheetData sheetId="0" refreshError="1">
        <row r="5">
          <cell r="O5">
            <v>25338226418</v>
          </cell>
          <cell r="S5">
            <v>17902119278</v>
          </cell>
        </row>
        <row r="8">
          <cell r="S8">
            <v>93162615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PRESORT LETTERS SUM"/>
      <sheetName val="PRESORT CARDS SUM"/>
      <sheetName val="OUT TRAY SORT FC C&amp;L&amp;F"/>
      <sheetName val="AADC_BENCH_COST"/>
      <sheetName val="AADC_BENCH_MODEL"/>
      <sheetName val="CRA-METERED LETTERS"/>
      <sheetName val="CRA - PRESORT LETTERS"/>
      <sheetName val="CRA - PRESORT CARDS"/>
      <sheetName val="BMM_Volume"/>
      <sheetName val="AUTO MAADC COST"/>
      <sheetName val="AUTO MAADC MODEL"/>
      <sheetName val="BENCH_MAADC_COST"/>
      <sheetName val="MAADC_BENCH_MODEL"/>
      <sheetName val="MACH MAADC COST"/>
      <sheetName val="MACH MAADC MODEL"/>
      <sheetName val="ACCEPT"/>
      <sheetName val="METERED LETTERS COST"/>
      <sheetName val="METERED LETTERS MODEL"/>
      <sheetName val="METERED LETTERS NONMACH_MODEL"/>
      <sheetName val="METERED LETTERS NONMACH_COST"/>
      <sheetName val="AUTO AADC COST"/>
      <sheetName val="AUTO AADC MODEL"/>
      <sheetName val="AUTO 3-DIGIT COST"/>
      <sheetName val="AUTO 3-DIGIT MODEL"/>
      <sheetName val="AUTO 5-DIGIT OTHER COST"/>
      <sheetName val="AUTO 5-DIGIT OTHER MODEL"/>
      <sheetName val="Auto 5-digit Manual Cost"/>
      <sheetName val="Auto 5-digit Manual Model"/>
      <sheetName val="AUTO 5-DIGIT COST"/>
      <sheetName val="AUTO 5-DIGIT MODEL"/>
      <sheetName val="MACH INCOMING COST"/>
      <sheetName val="MACH INCOMING MODEL"/>
      <sheetName val="NMACH MADC COST"/>
      <sheetName val="NMACH MADC MODEL"/>
      <sheetName val="NMACH ADC COST"/>
      <sheetName val="NMACH ADC MODEL"/>
      <sheetName val="NMACH 3-DIGIT COST"/>
      <sheetName val="NMACH 3-DIGIT MODEL"/>
      <sheetName val="NMACH 5-DIGIT COST"/>
      <sheetName val="NMACH 5-DIGIT MODEL"/>
      <sheetName val="CARD-LETTER COST RATIO"/>
      <sheetName val="NONAUTO MACH SUM"/>
      <sheetName val="NONAUTO NMACH SUM"/>
      <sheetName val="SP NMACH SUM"/>
      <sheetName val="SP NMACH COST"/>
      <sheetName val="SP NMACH MODEL"/>
      <sheetName val="PRODUCTIVITY"/>
      <sheetName val="MISC"/>
      <sheetName val="DENSITY"/>
      <sheetName val="WAGE RATES - PIGGYBACK FACTORS"/>
      <sheetName val="MCS LETTERS"/>
      <sheetName val="MCS CARDS"/>
      <sheetName val="BUNDLE SORT"/>
    </sheetNames>
    <sheetDataSet>
      <sheetData sheetId="0"/>
      <sheetData sheetId="1">
        <row r="43">
          <cell r="D43">
            <v>2.2965943615040767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8">
          <cell r="G18">
            <v>48.936477929815645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metered"/>
      <sheetName val="city"/>
      <sheetName val="PBRatios"/>
      <sheetName val="Postmaster"/>
      <sheetName val="SupvTrain"/>
      <sheetName val="MailProc"/>
      <sheetName val="Window"/>
      <sheetName val="C_I"/>
      <sheetName val="DataColl"/>
      <sheetName val="OtherAdmin"/>
      <sheetName val="CallCenters"/>
      <sheetName val="MPTrain"/>
      <sheetName val="CityCarriers"/>
      <sheetName val="VSD"/>
      <sheetName val="Rural"/>
      <sheetName val="PS2"/>
      <sheetName val="PS3"/>
      <sheetName val="PS18"/>
      <sheetName val="POBoxes"/>
      <sheetName val="TotalCost"/>
      <sheetName val="CheckSum"/>
      <sheetName val="InputMatrix"/>
    </sheetNames>
    <sheetDataSet>
      <sheetData sheetId="0" refreshError="1"/>
      <sheetData sheetId="1" refreshError="1"/>
      <sheetData sheetId="2" refreshError="1"/>
      <sheetData sheetId="3">
        <row r="15">
          <cell r="M15">
            <v>1.2638248250031257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J43"/>
  <sheetViews>
    <sheetView tabSelected="1" zoomScaleNormal="100" workbookViewId="0"/>
  </sheetViews>
  <sheetFormatPr defaultColWidth="9.1796875" defaultRowHeight="12.5" x14ac:dyDescent="0.25"/>
  <cols>
    <col min="1" max="2" width="5.7265625" customWidth="1"/>
    <col min="4" max="4" width="10.7265625" customWidth="1"/>
    <col min="5" max="8" width="18.7265625" style="2" customWidth="1"/>
    <col min="9" max="9" width="15.453125" bestFit="1" customWidth="1"/>
    <col min="10" max="10" width="26" bestFit="1" customWidth="1"/>
  </cols>
  <sheetData>
    <row r="1" spans="1:10" ht="18" x14ac:dyDescent="0.4">
      <c r="A1" s="1" t="s">
        <v>195</v>
      </c>
    </row>
    <row r="2" spans="1:10" ht="15.5" x14ac:dyDescent="0.35">
      <c r="A2" s="3"/>
    </row>
    <row r="4" spans="1:10" ht="13" x14ac:dyDescent="0.3">
      <c r="E4" s="4" t="str">
        <f>"(1)"</f>
        <v>(1)</v>
      </c>
      <c r="F4" s="4" t="str">
        <f>"(2)"</f>
        <v>(2)</v>
      </c>
      <c r="G4" s="4" t="str">
        <f>"(3)"</f>
        <v>(3)</v>
      </c>
      <c r="H4" s="4" t="str">
        <f>"(4)"</f>
        <v>(4)</v>
      </c>
    </row>
    <row r="5" spans="1:10" x14ac:dyDescent="0.25">
      <c r="C5" t="s">
        <v>17</v>
      </c>
      <c r="I5" s="191" t="s">
        <v>306</v>
      </c>
    </row>
    <row r="6" spans="1:10" ht="13" x14ac:dyDescent="0.3">
      <c r="E6" s="4"/>
      <c r="F6" s="4"/>
      <c r="G6" s="4"/>
      <c r="H6" s="4"/>
    </row>
    <row r="7" spans="1:10" ht="13" x14ac:dyDescent="0.3">
      <c r="F7" s="4" t="s">
        <v>0</v>
      </c>
      <c r="G7" s="4"/>
      <c r="H7" s="4" t="s">
        <v>1</v>
      </c>
      <c r="I7" s="189" t="s">
        <v>1</v>
      </c>
      <c r="J7" s="189" t="s">
        <v>307</v>
      </c>
    </row>
    <row r="8" spans="1:10" ht="13" x14ac:dyDescent="0.3">
      <c r="E8" s="4" t="s">
        <v>1</v>
      </c>
      <c r="F8" s="4" t="s">
        <v>2</v>
      </c>
      <c r="G8" s="4" t="s">
        <v>1</v>
      </c>
      <c r="H8" s="4" t="s">
        <v>3</v>
      </c>
      <c r="I8" s="189" t="s">
        <v>3</v>
      </c>
    </row>
    <row r="9" spans="1:10" ht="13" x14ac:dyDescent="0.3">
      <c r="A9" s="5" t="s">
        <v>4</v>
      </c>
      <c r="B9" s="6"/>
      <c r="E9" s="4" t="s">
        <v>5</v>
      </c>
      <c r="F9" s="4" t="s">
        <v>6</v>
      </c>
      <c r="G9" s="4" t="s">
        <v>7</v>
      </c>
      <c r="H9" s="4" t="s">
        <v>8</v>
      </c>
      <c r="I9" s="189" t="s">
        <v>8</v>
      </c>
    </row>
    <row r="10" spans="1:10" ht="13" x14ac:dyDescent="0.3">
      <c r="A10" s="7"/>
      <c r="B10" s="6" t="s">
        <v>9</v>
      </c>
      <c r="E10" s="8" t="s">
        <v>10</v>
      </c>
      <c r="F10" s="8" t="s">
        <v>11</v>
      </c>
      <c r="G10" s="8" t="s">
        <v>10</v>
      </c>
      <c r="H10" s="8" t="s">
        <v>12</v>
      </c>
      <c r="I10" s="190" t="s">
        <v>12</v>
      </c>
      <c r="J10" s="190" t="s">
        <v>308</v>
      </c>
    </row>
    <row r="12" spans="1:10" x14ac:dyDescent="0.25">
      <c r="A12" t="s">
        <v>13</v>
      </c>
      <c r="E12" s="2">
        <f>'HAND COSTS'!K17</f>
        <v>2.8375627405108834</v>
      </c>
      <c r="F12" s="2">
        <f>'QBRM COST AVOIDANCE INPUTS'!G50</f>
        <v>2.2965943615040767</v>
      </c>
      <c r="G12" s="2">
        <f>E12*F12</f>
        <v>6.5167305902713499</v>
      </c>
      <c r="H12" s="2" t="str">
        <f>"---"</f>
        <v>---</v>
      </c>
      <c r="J12" s="146"/>
    </row>
    <row r="13" spans="1:10" ht="13" x14ac:dyDescent="0.3">
      <c r="B13" t="s">
        <v>14</v>
      </c>
      <c r="E13" s="2">
        <f>'QBRM COSTS'!K17</f>
        <v>1.533742226957012</v>
      </c>
      <c r="F13" s="2">
        <f>'QBRM COST AVOIDANCE INPUTS'!G50</f>
        <v>2.2965943615040767</v>
      </c>
      <c r="G13" s="2">
        <f>E13*F13</f>
        <v>3.5223837504301798</v>
      </c>
      <c r="H13" s="81">
        <f>G12-G13</f>
        <v>2.9943468398411701</v>
      </c>
      <c r="I13" s="192">
        <f>'[1]QBRM COST AVOIDANCE SUMMARY'!$H$13</f>
        <v>3.0464760975332998</v>
      </c>
      <c r="J13" s="192">
        <f>H13-'[1]QBRM COST AVOIDANCE SUMMARY'!$H$13</f>
        <v>-5.2129257692129727E-2</v>
      </c>
    </row>
    <row r="16" spans="1:10" ht="13" x14ac:dyDescent="0.3">
      <c r="A16" s="9" t="str">
        <f>"(1)"</f>
        <v>(1)</v>
      </c>
      <c r="B16" s="5" t="s">
        <v>289</v>
      </c>
    </row>
    <row r="17" spans="1:5" ht="13" x14ac:dyDescent="0.3">
      <c r="A17" s="9" t="str">
        <f>"(2)"</f>
        <v>(2)</v>
      </c>
      <c r="B17" s="5" t="s">
        <v>290</v>
      </c>
    </row>
    <row r="18" spans="1:5" ht="13" x14ac:dyDescent="0.3">
      <c r="A18" s="9" t="str">
        <f>"(3)"</f>
        <v>(3)</v>
      </c>
      <c r="B18" s="5" t="s">
        <v>15</v>
      </c>
    </row>
    <row r="19" spans="1:5" ht="13" x14ac:dyDescent="0.3">
      <c r="A19" s="9" t="str">
        <f>"(4)"</f>
        <v>(4)</v>
      </c>
      <c r="B19" s="5" t="s">
        <v>16</v>
      </c>
    </row>
    <row r="26" spans="1:5" x14ac:dyDescent="0.25">
      <c r="E26" s="2" t="s">
        <v>17</v>
      </c>
    </row>
    <row r="29" spans="1:5" ht="13" x14ac:dyDescent="0.3">
      <c r="A29" s="9"/>
      <c r="B29" s="6"/>
    </row>
    <row r="30" spans="1:5" ht="13" x14ac:dyDescent="0.3">
      <c r="A30" s="9"/>
      <c r="B30" s="5"/>
    </row>
    <row r="31" spans="1:5" ht="13" x14ac:dyDescent="0.3">
      <c r="A31" s="9"/>
      <c r="B31" s="6"/>
    </row>
    <row r="32" spans="1:5" ht="13" x14ac:dyDescent="0.3">
      <c r="A32" s="9"/>
      <c r="B32" s="5"/>
    </row>
    <row r="33" spans="1:2" ht="13" x14ac:dyDescent="0.3">
      <c r="A33" s="9"/>
      <c r="B33" s="6"/>
    </row>
    <row r="34" spans="1:2" ht="13" x14ac:dyDescent="0.3">
      <c r="A34" s="9"/>
      <c r="B34" s="5"/>
    </row>
    <row r="35" spans="1:2" ht="13" x14ac:dyDescent="0.3">
      <c r="A35" s="9"/>
      <c r="B35" s="6"/>
    </row>
    <row r="36" spans="1:2" ht="13" x14ac:dyDescent="0.3">
      <c r="A36" s="9"/>
      <c r="B36" s="5"/>
    </row>
    <row r="37" spans="1:2" ht="13" x14ac:dyDescent="0.3">
      <c r="A37" s="9"/>
      <c r="B37" s="5"/>
    </row>
    <row r="38" spans="1:2" ht="13" x14ac:dyDescent="0.3">
      <c r="A38" s="9"/>
      <c r="B38" s="5"/>
    </row>
    <row r="39" spans="1:2" ht="13" x14ac:dyDescent="0.3">
      <c r="A39" s="9"/>
      <c r="B39" s="5"/>
    </row>
    <row r="40" spans="1:2" ht="13" x14ac:dyDescent="0.3">
      <c r="A40" s="9"/>
      <c r="B40" s="5"/>
    </row>
    <row r="41" spans="1:2" ht="13" x14ac:dyDescent="0.3">
      <c r="A41" s="9"/>
      <c r="B41" s="5"/>
    </row>
    <row r="42" spans="1:2" ht="13" x14ac:dyDescent="0.3">
      <c r="A42" s="9"/>
      <c r="B42" s="5"/>
    </row>
    <row r="43" spans="1:2" ht="13" x14ac:dyDescent="0.3">
      <c r="A43" s="9"/>
      <c r="B43" s="5"/>
    </row>
  </sheetData>
  <phoneticPr fontId="3" type="noConversion"/>
  <printOptions horizontalCentered="1"/>
  <pageMargins left="0.75" right="0.75" top="1" bottom="1" header="0.5" footer="0.5"/>
  <pageSetup orientation="landscape" r:id="rId1"/>
  <headerFooter alignWithMargins="0">
    <oddHeader xml:space="preserve">&amp;RUSPS-FY15-21
Section A
Page 1 of 6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S49"/>
  <sheetViews>
    <sheetView zoomScaleNormal="100" workbookViewId="0">
      <selection activeCell="B56" sqref="B56"/>
    </sheetView>
  </sheetViews>
  <sheetFormatPr defaultColWidth="9.1796875" defaultRowHeight="12.5" x14ac:dyDescent="0.25"/>
  <cols>
    <col min="1" max="1" width="3.7265625" customWidth="1"/>
    <col min="2" max="13" width="9.7265625" customWidth="1"/>
  </cols>
  <sheetData>
    <row r="1" spans="1:11" ht="18" x14ac:dyDescent="0.4">
      <c r="A1" s="1" t="s">
        <v>48</v>
      </c>
    </row>
    <row r="2" spans="1:11" ht="15.5" x14ac:dyDescent="0.35">
      <c r="A2" s="3" t="s">
        <v>49</v>
      </c>
    </row>
    <row r="5" spans="1:11" ht="13" x14ac:dyDescent="0.3">
      <c r="A5" s="5"/>
      <c r="B5" s="9" t="s">
        <v>50</v>
      </c>
      <c r="C5" s="36">
        <v>10000</v>
      </c>
      <c r="D5" s="14"/>
      <c r="E5" s="5"/>
      <c r="F5" s="9" t="s">
        <v>51</v>
      </c>
      <c r="G5" s="37">
        <f>H18+E39+F39+K32+K37+N42+M45</f>
        <v>10000</v>
      </c>
    </row>
    <row r="8" spans="1:11" ht="13" x14ac:dyDescent="0.3">
      <c r="A8" s="5" t="s">
        <v>52</v>
      </c>
    </row>
    <row r="9" spans="1:11" ht="13" x14ac:dyDescent="0.3">
      <c r="A9" s="5" t="s">
        <v>53</v>
      </c>
    </row>
    <row r="10" spans="1:11" ht="13" x14ac:dyDescent="0.3">
      <c r="A10" s="5" t="s">
        <v>54</v>
      </c>
    </row>
    <row r="11" spans="1:11" ht="13" x14ac:dyDescent="0.3">
      <c r="A11" s="5"/>
    </row>
    <row r="12" spans="1:11" ht="13" x14ac:dyDescent="0.3">
      <c r="A12" s="5"/>
    </row>
    <row r="13" spans="1:11" ht="13" thickBot="1" x14ac:dyDescent="0.3"/>
    <row r="14" spans="1:11" ht="13" x14ac:dyDescent="0.3">
      <c r="A14" s="38" t="s">
        <v>55</v>
      </c>
      <c r="B14" s="39"/>
      <c r="C14" s="39"/>
      <c r="D14" s="39"/>
      <c r="E14" s="39"/>
      <c r="F14" s="39"/>
      <c r="G14" s="39"/>
      <c r="H14" s="39"/>
      <c r="I14" s="39"/>
      <c r="J14" s="39"/>
      <c r="K14" s="40"/>
    </row>
    <row r="15" spans="1:11" x14ac:dyDescent="0.25">
      <c r="A15" s="41"/>
      <c r="K15" s="42"/>
    </row>
    <row r="16" spans="1:11" ht="13" x14ac:dyDescent="0.3">
      <c r="A16" s="41"/>
      <c r="F16" s="43" t="s">
        <v>56</v>
      </c>
      <c r="G16" s="44"/>
      <c r="K16" s="42"/>
    </row>
    <row r="17" spans="1:19" x14ac:dyDescent="0.25">
      <c r="A17" s="41"/>
      <c r="F17" s="45"/>
      <c r="G17" s="45"/>
      <c r="K17" s="42"/>
    </row>
    <row r="18" spans="1:19" x14ac:dyDescent="0.25">
      <c r="A18" s="41"/>
      <c r="C18" s="46">
        <f>C28</f>
        <v>19.125176849286291</v>
      </c>
      <c r="D18" s="46"/>
      <c r="F18" s="47">
        <f>C18+E20</f>
        <v>253.16174579202158</v>
      </c>
      <c r="G18" s="48">
        <v>0</v>
      </c>
      <c r="H18" s="46">
        <f>F18*'QBRM COST AVOIDANCE INPUTS'!G34</f>
        <v>228.46762845475112</v>
      </c>
      <c r="K18" s="42"/>
    </row>
    <row r="19" spans="1:19" x14ac:dyDescent="0.25">
      <c r="A19" s="41"/>
      <c r="F19" s="49"/>
      <c r="G19" s="49"/>
      <c r="I19" t="s">
        <v>57</v>
      </c>
      <c r="K19" s="42"/>
    </row>
    <row r="20" spans="1:19" x14ac:dyDescent="0.25">
      <c r="A20" s="41"/>
      <c r="D20" s="52" t="s">
        <v>96</v>
      </c>
      <c r="E20" s="139">
        <f>G32*'QBRM COST AVOIDANCE INPUTS'!G37</f>
        <v>234.03656894273527</v>
      </c>
      <c r="I20" t="s">
        <v>58</v>
      </c>
      <c r="K20" s="42"/>
    </row>
    <row r="21" spans="1:19" x14ac:dyDescent="0.25">
      <c r="A21" s="41"/>
      <c r="E21" s="141"/>
      <c r="F21" s="46">
        <f>F18*(1-'QBRM COST AVOIDANCE INPUTS'!G34)</f>
        <v>24.694117337270448</v>
      </c>
      <c r="K21" s="42"/>
    </row>
    <row r="22" spans="1:19" x14ac:dyDescent="0.25">
      <c r="A22" s="41"/>
      <c r="E22" s="141"/>
      <c r="K22" s="42"/>
    </row>
    <row r="23" spans="1:19" ht="13" x14ac:dyDescent="0.3">
      <c r="A23" s="41"/>
      <c r="E23" s="141"/>
      <c r="F23" s="43" t="s">
        <v>59</v>
      </c>
      <c r="G23" s="44"/>
      <c r="K23" s="42"/>
    </row>
    <row r="24" spans="1:19" x14ac:dyDescent="0.25">
      <c r="A24" s="41"/>
      <c r="E24" s="141"/>
      <c r="F24" s="45"/>
      <c r="G24" s="45"/>
      <c r="K24" s="42"/>
    </row>
    <row r="25" spans="1:19" x14ac:dyDescent="0.25">
      <c r="A25" s="41"/>
      <c r="C25" s="50"/>
      <c r="E25" s="141"/>
      <c r="F25" s="47">
        <f>G25+F21</f>
        <v>10024.694117337271</v>
      </c>
      <c r="G25" s="48">
        <f>C5</f>
        <v>10000</v>
      </c>
      <c r="H25" s="46">
        <f>G25*(1-'QBRM COST AVOIDANCE INPUTS'!G46)</f>
        <v>201.99999999999994</v>
      </c>
      <c r="K25" s="42"/>
    </row>
    <row r="26" spans="1:19" ht="13" x14ac:dyDescent="0.3">
      <c r="A26" s="41"/>
      <c r="B26" s="43" t="s">
        <v>60</v>
      </c>
      <c r="C26" s="140"/>
      <c r="D26" s="143"/>
      <c r="E26" s="143"/>
      <c r="F26" s="49"/>
      <c r="G26" s="49"/>
      <c r="H26" s="46">
        <f>F21*(1-'QBRM COST AVOIDANCE INPUTS'!G46)</f>
        <v>0.49882117021286293</v>
      </c>
      <c r="I26" s="43" t="s">
        <v>61</v>
      </c>
      <c r="J26" s="44"/>
      <c r="K26" s="42"/>
    </row>
    <row r="27" spans="1:19" x14ac:dyDescent="0.25">
      <c r="A27" s="41"/>
      <c r="B27" s="45"/>
      <c r="C27" s="45"/>
      <c r="D27" s="14"/>
      <c r="E27" s="141"/>
      <c r="I27" s="45"/>
      <c r="J27" s="45"/>
      <c r="K27" s="42"/>
    </row>
    <row r="28" spans="1:19" x14ac:dyDescent="0.25">
      <c r="A28" s="41"/>
      <c r="B28" s="47">
        <f>C28</f>
        <v>19.125176849286291</v>
      </c>
      <c r="C28" s="47">
        <f>C32</f>
        <v>19.125176849286291</v>
      </c>
      <c r="D28" s="46"/>
      <c r="E28" s="141"/>
      <c r="F28" s="46">
        <f>F21*'QBRM COST AVOIDANCE INPUTS'!G46</f>
        <v>24.195296167057585</v>
      </c>
      <c r="G28" s="46">
        <f>G25*'QBRM COST AVOIDANCE INPUTS'!G46</f>
        <v>9798</v>
      </c>
      <c r="I28" s="47">
        <f>J28+H26</f>
        <v>202.49882117021281</v>
      </c>
      <c r="J28" s="47">
        <f>H25</f>
        <v>201.99999999999994</v>
      </c>
      <c r="K28" s="42"/>
      <c r="R28" s="55"/>
      <c r="S28" s="145"/>
    </row>
    <row r="29" spans="1:19" x14ac:dyDescent="0.25">
      <c r="A29" s="41"/>
      <c r="B29" s="49"/>
      <c r="C29" s="49"/>
      <c r="D29" s="14"/>
      <c r="E29" s="142"/>
      <c r="H29" s="46">
        <f>H26</f>
        <v>0.49882117021286293</v>
      </c>
      <c r="I29" s="51"/>
      <c r="J29" s="51"/>
      <c r="K29" s="42"/>
    </row>
    <row r="30" spans="1:19" ht="13" x14ac:dyDescent="0.3">
      <c r="A30" s="41"/>
      <c r="E30" s="52" t="s">
        <v>62</v>
      </c>
      <c r="F30" s="43" t="s">
        <v>63</v>
      </c>
      <c r="G30" s="44"/>
      <c r="I30" s="138">
        <f>J28</f>
        <v>201.99999999999994</v>
      </c>
      <c r="J30" s="53"/>
      <c r="K30" s="42"/>
    </row>
    <row r="31" spans="1:19" x14ac:dyDescent="0.25">
      <c r="A31" s="41"/>
      <c r="E31" s="47">
        <f>G32*'QBRM COST AVOIDANCE INPUTS'!G38</f>
        <v>129.64350640602444</v>
      </c>
      <c r="F31" s="45"/>
      <c r="G31" s="45"/>
      <c r="K31" s="42"/>
    </row>
    <row r="32" spans="1:19" x14ac:dyDescent="0.25">
      <c r="A32" s="41"/>
      <c r="C32" s="46">
        <f>G32*'QBRM COST AVOIDANCE INPUTS'!G39</f>
        <v>19.125176849286291</v>
      </c>
      <c r="D32" s="46"/>
      <c r="E32" s="54"/>
      <c r="F32" s="47">
        <f>G32+(F28+E31+H29)*(1-'QBRM COST AVOIDANCE INPUTS'!G47)</f>
        <v>9316.0440745111264</v>
      </c>
      <c r="G32" s="47">
        <f>(G28+I30)*(1-'QBRM COST AVOIDANCE INPUTS'!G47)</f>
        <v>9174.4478268360544</v>
      </c>
      <c r="H32" s="139">
        <f>(G28+I30)*'QBRM COST AVOIDANCE INPUTS'!G47</f>
        <v>825.55217316394601</v>
      </c>
      <c r="I32" t="s">
        <v>64</v>
      </c>
      <c r="K32" s="144">
        <f>H32+H33</f>
        <v>838.29354923216965</v>
      </c>
      <c r="L32" t="s">
        <v>65</v>
      </c>
    </row>
    <row r="33" spans="1:16" x14ac:dyDescent="0.25">
      <c r="A33" s="41"/>
      <c r="C33" t="s">
        <v>66</v>
      </c>
      <c r="F33" s="49"/>
      <c r="G33" s="49"/>
      <c r="H33" s="46">
        <f>(F28+E31+H29)*'QBRM COST AVOIDANCE INPUTS'!G47</f>
        <v>12.741376068223655</v>
      </c>
      <c r="I33" t="s">
        <v>67</v>
      </c>
      <c r="K33" s="42"/>
    </row>
    <row r="34" spans="1:16" x14ac:dyDescent="0.25">
      <c r="A34" s="41"/>
      <c r="C34" s="55"/>
      <c r="D34" s="55"/>
      <c r="G34" s="53"/>
      <c r="I34" t="s">
        <v>68</v>
      </c>
      <c r="K34" s="42"/>
      <c r="O34" s="46"/>
    </row>
    <row r="35" spans="1:16" ht="13" thickBot="1" x14ac:dyDescent="0.3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8"/>
    </row>
    <row r="37" spans="1:16" x14ac:dyDescent="0.25">
      <c r="G37" s="46">
        <f>G32*'QBRM COST AVOIDANCE INPUTS'!G40</f>
        <v>287.57854678487843</v>
      </c>
      <c r="I37" t="s">
        <v>69</v>
      </c>
      <c r="K37" s="46">
        <f>G37+G38</f>
        <v>297.92509103798119</v>
      </c>
      <c r="L37" t="s">
        <v>65</v>
      </c>
      <c r="N37" s="55"/>
    </row>
    <row r="38" spans="1:16" x14ac:dyDescent="0.25">
      <c r="G38" s="46">
        <f>(F32-G32)*SUM('QBRM COST AVOIDANCE INPUTS'!G37:G40)</f>
        <v>10.346544253102772</v>
      </c>
      <c r="I38" t="s">
        <v>70</v>
      </c>
    </row>
    <row r="39" spans="1:16" x14ac:dyDescent="0.25">
      <c r="E39" s="46">
        <f>(F32-G32)*'QBRM COST AVOIDANCE INPUTS'!G36</f>
        <v>131.24970342196914</v>
      </c>
      <c r="F39" s="46">
        <f>G32*'QBRM COST AVOIDANCE INPUTS'!G36</f>
        <v>8504.0640278531282</v>
      </c>
      <c r="I39" t="s">
        <v>68</v>
      </c>
    </row>
    <row r="40" spans="1:16" ht="13" x14ac:dyDescent="0.3">
      <c r="L40" s="43" t="s">
        <v>71</v>
      </c>
      <c r="M40" s="44"/>
      <c r="O40" s="5"/>
    </row>
    <row r="41" spans="1:16" x14ac:dyDescent="0.25">
      <c r="F41" t="s">
        <v>57</v>
      </c>
      <c r="L41" s="45"/>
      <c r="M41" s="45"/>
      <c r="O41" s="59" t="s">
        <v>65</v>
      </c>
      <c r="P41" s="14"/>
    </row>
    <row r="42" spans="1:16" x14ac:dyDescent="0.25">
      <c r="F42" t="s">
        <v>58</v>
      </c>
      <c r="L42" s="48">
        <f>M42</f>
        <v>0</v>
      </c>
      <c r="M42" s="48">
        <v>0</v>
      </c>
      <c r="N42" s="46">
        <f>M42*(1-'QBRM COST AVOIDANCE INPUTS'!G41)</f>
        <v>0</v>
      </c>
      <c r="O42" s="46"/>
      <c r="P42" s="46"/>
    </row>
    <row r="43" spans="1:16" x14ac:dyDescent="0.25">
      <c r="L43" s="49"/>
      <c r="M43" s="49"/>
      <c r="O43" s="14"/>
      <c r="P43" s="14"/>
    </row>
    <row r="45" spans="1:16" x14ac:dyDescent="0.25">
      <c r="G45" s="55"/>
      <c r="H45" s="147"/>
      <c r="M45" s="46">
        <f>M42*'QBRM COST AVOIDANCE INPUTS'!G41</f>
        <v>0</v>
      </c>
      <c r="P45" s="46"/>
    </row>
    <row r="47" spans="1:16" x14ac:dyDescent="0.25">
      <c r="M47" t="s">
        <v>72</v>
      </c>
    </row>
    <row r="48" spans="1:16" x14ac:dyDescent="0.25">
      <c r="M48" t="s">
        <v>73</v>
      </c>
    </row>
    <row r="49" spans="13:13" x14ac:dyDescent="0.25">
      <c r="M49" t="s">
        <v>58</v>
      </c>
    </row>
  </sheetData>
  <phoneticPr fontId="3" type="noConversion"/>
  <printOptions horizontalCentered="1"/>
  <pageMargins left="0.75" right="0.75" top="1" bottom="1" header="0.5" footer="0.5"/>
  <pageSetup scale="76" orientation="landscape" r:id="rId1"/>
  <headerFooter alignWithMargins="0">
    <oddHeader>&amp;RUSPS-FY15-21
Section A
Page 3 of 6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K26"/>
  <sheetViews>
    <sheetView zoomScale="115" zoomScaleNormal="115" workbookViewId="0">
      <selection activeCell="B56" sqref="B56"/>
    </sheetView>
  </sheetViews>
  <sheetFormatPr defaultColWidth="9.1796875" defaultRowHeight="12.5" x14ac:dyDescent="0.25"/>
  <cols>
    <col min="1" max="1" width="5.7265625" customWidth="1"/>
    <col min="2" max="2" width="22.7265625" customWidth="1"/>
    <col min="3" max="4" width="10.7265625" style="10" customWidth="1"/>
    <col min="5" max="5" width="10.7265625" style="11" customWidth="1"/>
    <col min="6" max="6" width="10.7265625" style="12" customWidth="1"/>
    <col min="7" max="7" width="10.7265625" style="13" customWidth="1"/>
    <col min="8" max="9" width="10.7265625" style="14" customWidth="1"/>
    <col min="10" max="11" width="10.7265625" style="12" customWidth="1"/>
    <col min="12" max="29" width="9.7265625" customWidth="1"/>
  </cols>
  <sheetData>
    <row r="1" spans="1:11" ht="18" x14ac:dyDescent="0.4">
      <c r="A1" s="1" t="str">
        <f>'HAND FLOW'!A1</f>
        <v>FIRST-CLASS SINGLE-PIECE HANDWRITTEN REPLY MAIL CARDS / LETTERS</v>
      </c>
    </row>
    <row r="2" spans="1:11" ht="15.5" x14ac:dyDescent="0.35">
      <c r="A2" s="3" t="s">
        <v>18</v>
      </c>
    </row>
    <row r="3" spans="1:11" s="15" customFormat="1" ht="12.75" customHeight="1" x14ac:dyDescent="0.3">
      <c r="A3" s="5"/>
      <c r="C3" s="16"/>
      <c r="D3" s="16"/>
      <c r="E3" s="17"/>
      <c r="F3" s="18"/>
      <c r="G3" s="2"/>
      <c r="H3" s="19"/>
      <c r="I3" s="19"/>
      <c r="J3" s="18"/>
      <c r="K3" s="18"/>
    </row>
    <row r="4" spans="1:11" s="15" customFormat="1" ht="12.75" customHeight="1" x14ac:dyDescent="0.3">
      <c r="A4" s="5"/>
      <c r="C4" s="20" t="str">
        <f>"(1)"</f>
        <v>(1)</v>
      </c>
      <c r="D4" s="20" t="str">
        <f>"(2)"</f>
        <v>(2)</v>
      </c>
      <c r="E4" s="21" t="str">
        <f>"(3)"</f>
        <v>(3)</v>
      </c>
      <c r="F4" s="20" t="str">
        <f>"(4)"</f>
        <v>(4)</v>
      </c>
      <c r="G4" s="4" t="str">
        <f>"(5)"</f>
        <v>(5)</v>
      </c>
      <c r="H4" s="20" t="str">
        <f>"(6)"</f>
        <v>(6)</v>
      </c>
      <c r="I4" s="20" t="str">
        <f>"(7)"</f>
        <v>(7)</v>
      </c>
      <c r="J4" s="20" t="str">
        <f>"(8)"</f>
        <v>(8)</v>
      </c>
      <c r="K4" s="20" t="str">
        <f>"(9)"</f>
        <v>(9)</v>
      </c>
    </row>
    <row r="5" spans="1:11" s="15" customFormat="1" ht="12.75" customHeight="1" x14ac:dyDescent="0.3">
      <c r="A5" s="5"/>
      <c r="C5" s="16"/>
      <c r="D5" s="16"/>
      <c r="E5" s="17"/>
      <c r="F5" s="18"/>
      <c r="G5" s="2"/>
      <c r="H5" s="19"/>
      <c r="I5" s="19"/>
      <c r="J5" s="18"/>
      <c r="K5" s="18"/>
    </row>
    <row r="6" spans="1:11" ht="13" x14ac:dyDescent="0.3">
      <c r="F6" s="22" t="s">
        <v>19</v>
      </c>
      <c r="H6" s="23" t="s">
        <v>20</v>
      </c>
      <c r="I6" s="23" t="s">
        <v>20</v>
      </c>
      <c r="J6" s="22" t="s">
        <v>21</v>
      </c>
      <c r="K6" s="22" t="s">
        <v>22</v>
      </c>
    </row>
    <row r="7" spans="1:11" ht="13" x14ac:dyDescent="0.3">
      <c r="D7" s="20" t="s">
        <v>23</v>
      </c>
      <c r="E7" s="21" t="s">
        <v>24</v>
      </c>
      <c r="F7" s="22" t="s">
        <v>25</v>
      </c>
      <c r="G7" s="4" t="s">
        <v>26</v>
      </c>
      <c r="H7" s="23" t="s">
        <v>27</v>
      </c>
      <c r="I7" s="23" t="s">
        <v>27</v>
      </c>
      <c r="J7" s="22" t="s">
        <v>25</v>
      </c>
      <c r="K7" s="22" t="s">
        <v>25</v>
      </c>
    </row>
    <row r="8" spans="1:11" ht="13" x14ac:dyDescent="0.3">
      <c r="A8" s="6" t="s">
        <v>28</v>
      </c>
      <c r="C8" s="24" t="s">
        <v>29</v>
      </c>
      <c r="D8" s="24" t="s">
        <v>30</v>
      </c>
      <c r="E8" s="25" t="s">
        <v>31</v>
      </c>
      <c r="F8" s="26" t="s">
        <v>32</v>
      </c>
      <c r="G8" s="8" t="s">
        <v>33</v>
      </c>
      <c r="H8" s="27" t="s">
        <v>33</v>
      </c>
      <c r="I8" s="27" t="s">
        <v>34</v>
      </c>
      <c r="J8" s="26" t="s">
        <v>32</v>
      </c>
      <c r="K8" s="26" t="s">
        <v>32</v>
      </c>
    </row>
    <row r="9" spans="1:11" ht="13" x14ac:dyDescent="0.3">
      <c r="A9" s="6"/>
      <c r="B9" t="s">
        <v>35</v>
      </c>
      <c r="C9" s="28">
        <f>'HAND FLOW'!$F$18</f>
        <v>253.16174579202158</v>
      </c>
      <c r="D9" s="28">
        <f>'QBRM COST AVOIDANCE INPUTS'!$G$13/'QBRM COST AVOIDANCE INPUTS'!$G$20</f>
        <v>6833.2327250865728</v>
      </c>
      <c r="E9" s="17">
        <f>'QBRM COST AVOIDANCE INPUTS'!$G$8</f>
        <v>50.10717457546064</v>
      </c>
      <c r="F9" s="13">
        <f>E9*100/D9</f>
        <v>0.73328652178791132</v>
      </c>
      <c r="G9" s="2">
        <f>'QBRM COST AVOIDANCE INPUTS'!$G$27</f>
        <v>1.6888485071959758</v>
      </c>
      <c r="H9" s="2">
        <f>'QBRM COST AVOIDANCE INPUTS'!$G$10</f>
        <v>1.0126008477139226</v>
      </c>
      <c r="I9" s="13">
        <f>(H9-1)*F9</f>
        <v>9.2400317917214272E-3</v>
      </c>
      <c r="J9" s="13">
        <f>F9*G9+I9</f>
        <v>1.2476498794601647</v>
      </c>
      <c r="K9" s="13">
        <f>C9*J9/'HAND FLOW'!$C$5</f>
        <v>3.1585722162134053E-2</v>
      </c>
    </row>
    <row r="10" spans="1:11" x14ac:dyDescent="0.25">
      <c r="B10" t="s">
        <v>36</v>
      </c>
      <c r="C10" s="10">
        <f>'HAND FLOW'!$F$25</f>
        <v>10024.694117337271</v>
      </c>
      <c r="D10" s="29" t="str">
        <f t="shared" ref="D10:I10" si="0">"---"</f>
        <v>---</v>
      </c>
      <c r="E10" s="30" t="str">
        <f t="shared" si="0"/>
        <v>---</v>
      </c>
      <c r="F10" s="30" t="str">
        <f t="shared" si="0"/>
        <v>---</v>
      </c>
      <c r="G10" s="30" t="str">
        <f t="shared" si="0"/>
        <v>---</v>
      </c>
      <c r="H10" s="30" t="str">
        <f t="shared" si="0"/>
        <v>---</v>
      </c>
      <c r="I10" s="30" t="str">
        <f t="shared" si="0"/>
        <v>---</v>
      </c>
      <c r="J10" s="13">
        <f>100*'QBRM COST AVOIDANCE INPUTS'!G44/'QBRM COST AVOIDANCE INPUTS'!G45</f>
        <v>0.27889541043904115</v>
      </c>
      <c r="K10" s="13">
        <f>C10*J10/'HAND FLOW'!$C$5</f>
        <v>0.27958411803806194</v>
      </c>
    </row>
    <row r="11" spans="1:11" x14ac:dyDescent="0.25">
      <c r="B11" t="s">
        <v>37</v>
      </c>
      <c r="C11" s="10">
        <f>'HAND FLOW'!$I$28</f>
        <v>202.49882117021281</v>
      </c>
      <c r="D11" s="10">
        <f>'QBRM COST AVOIDANCE INPUTS'!$G$14/'QBRM COST AVOIDANCE INPUTS'!$G$21</f>
        <v>846.86662945459375</v>
      </c>
      <c r="E11" s="11">
        <f>'QBRM COST AVOIDANCE INPUTS'!$G$7</f>
        <v>54.142360316355024</v>
      </c>
      <c r="F11" s="13">
        <f>E11*100/D11</f>
        <v>6.3932570292944773</v>
      </c>
      <c r="G11" s="13">
        <f>'QBRM COST AVOIDANCE INPUTS'!$G$28</f>
        <v>1.2615773174013249</v>
      </c>
      <c r="H11" s="13">
        <f>'QBRM COST AVOIDANCE INPUTS'!$G$10</f>
        <v>1.0126008477139226</v>
      </c>
      <c r="I11" s="13">
        <f>(H11-1)*F11</f>
        <v>8.0560458222104642E-2</v>
      </c>
      <c r="J11" s="13">
        <f>F11*G11+I11</f>
        <v>8.1461485106965945</v>
      </c>
      <c r="K11" s="13">
        <f>C11*J11/'HAND FLOW'!$C$5</f>
        <v>0.1649585470493545</v>
      </c>
    </row>
    <row r="12" spans="1:11" x14ac:dyDescent="0.25">
      <c r="B12" t="s">
        <v>38</v>
      </c>
      <c r="C12" s="10">
        <f>'HAND FLOW'!$F$32</f>
        <v>9316.0440745111264</v>
      </c>
      <c r="D12" s="10">
        <f>'QBRM COST AVOIDANCE INPUTS'!$G$15/'QBRM COST AVOIDANCE INPUTS'!$G$22</f>
        <v>6833.2327250865728</v>
      </c>
      <c r="E12" s="11">
        <f>'QBRM COST AVOIDANCE INPUTS'!$G$8</f>
        <v>50.10717457546064</v>
      </c>
      <c r="F12" s="13">
        <f>E12*100/D12</f>
        <v>0.73328652178791132</v>
      </c>
      <c r="G12" s="13">
        <f>'QBRM COST AVOIDANCE INPUTS'!$G$29</f>
        <v>1.6888485071959758</v>
      </c>
      <c r="H12" s="13">
        <f>'QBRM COST AVOIDANCE INPUTS'!$G$10</f>
        <v>1.0126008477139226</v>
      </c>
      <c r="I12" s="13">
        <f>(H12-1)*F12</f>
        <v>9.2400317917214272E-3</v>
      </c>
      <c r="J12" s="13">
        <f>F12*G12+I12</f>
        <v>1.2476498794601647</v>
      </c>
      <c r="K12" s="13">
        <f>C12*J12/'HAND FLOW'!$C$5</f>
        <v>1.1623161266609388</v>
      </c>
    </row>
    <row r="13" spans="1:11" x14ac:dyDescent="0.25">
      <c r="B13" t="s">
        <v>39</v>
      </c>
      <c r="C13" s="10">
        <f>'HAND FLOW'!$B$28</f>
        <v>19.125176849286291</v>
      </c>
      <c r="D13" s="10">
        <f>'QBRM COST AVOIDANCE INPUTS'!$G$16/'QBRM COST AVOIDANCE INPUTS'!$G$23</f>
        <v>1983.215429441294</v>
      </c>
      <c r="E13" s="11">
        <f>'QBRM COST AVOIDANCE INPUTS'!$G$8</f>
        <v>50.10717457546064</v>
      </c>
      <c r="F13" s="13">
        <f>E13*100/D13</f>
        <v>2.5265623608816261</v>
      </c>
      <c r="G13" s="13">
        <f>'QBRM COST AVOIDANCE INPUTS'!$G$30</f>
        <v>3.4396834863913082</v>
      </c>
      <c r="H13" s="13">
        <f>'QBRM COST AVOIDANCE INPUTS'!$G$10</f>
        <v>1.0126008477139226</v>
      </c>
      <c r="I13" s="13">
        <f>(H13-1)*F13</f>
        <v>3.1836827549198018E-2</v>
      </c>
      <c r="J13" s="13">
        <f>F13*G13+I13</f>
        <v>8.7224116576115645</v>
      </c>
      <c r="K13" s="13">
        <f>C13*J13/'HAND FLOW'!$C$5</f>
        <v>1.6681766550409757E-2</v>
      </c>
    </row>
    <row r="14" spans="1:11" x14ac:dyDescent="0.25">
      <c r="B14" t="s">
        <v>40</v>
      </c>
      <c r="C14" s="10">
        <v>0</v>
      </c>
      <c r="D14" s="10">
        <f>'QBRM COST AVOIDANCE INPUTS'!$G$17/'QBRM COST AVOIDANCE INPUTS'!$G$24</f>
        <v>6833.2327250865728</v>
      </c>
      <c r="E14" s="11">
        <f>'QBRM COST AVOIDANCE INPUTS'!$G$8</f>
        <v>50.10717457546064</v>
      </c>
      <c r="F14" s="13">
        <f>E14*100/D14</f>
        <v>0.73328652178791132</v>
      </c>
      <c r="G14" s="13">
        <f>'QBRM COST AVOIDANCE INPUTS'!$G$31</f>
        <v>1.6888485071959758</v>
      </c>
      <c r="H14" s="13">
        <f>'QBRM COST AVOIDANCE INPUTS'!$G$10</f>
        <v>1.0126008477139226</v>
      </c>
      <c r="I14" s="13">
        <f>(H14-1)*F14</f>
        <v>9.2400317917214272E-3</v>
      </c>
      <c r="J14" s="13">
        <f>F14*G14+I14</f>
        <v>1.2476498794601647</v>
      </c>
      <c r="K14" s="13">
        <f>C14*J14/'HAND FLOW'!$C$5</f>
        <v>0</v>
      </c>
    </row>
    <row r="15" spans="1:11" x14ac:dyDescent="0.25">
      <c r="B15" s="61" t="s">
        <v>280</v>
      </c>
      <c r="C15" s="10">
        <f>'HAND FLOW'!K32+'HAND FLOW'!K37</f>
        <v>1136.2186402701509</v>
      </c>
      <c r="D15" s="10">
        <f>'QBRM COST AVOIDANCE INPUTS'!$G$18/'QBRM COST AVOIDANCE INPUTS'!$G$25</f>
        <v>631.42739613327842</v>
      </c>
      <c r="E15" s="11">
        <f>'QBRM COST AVOIDANCE INPUTS'!$G$8</f>
        <v>50.10717457546064</v>
      </c>
      <c r="F15" s="13">
        <f>E15*100/D15</f>
        <v>7.9355401558921717</v>
      </c>
      <c r="G15" s="13">
        <f>'QBRM COST AVOIDANCE INPUTS'!$G$32</f>
        <v>1.2988119246888874</v>
      </c>
      <c r="H15" s="13">
        <f>'QBRM COST AVOIDANCE INPUTS'!$G$10</f>
        <v>1.0126008477139226</v>
      </c>
      <c r="I15" s="13">
        <f>(H15-1)*F15</f>
        <v>9.999453303211453E-2</v>
      </c>
      <c r="J15" s="13">
        <f>F15*G15+I15</f>
        <v>10.40676871635238</v>
      </c>
      <c r="K15" s="13">
        <f>C15*J15/'HAND FLOW'!$C$5</f>
        <v>1.1824364600499844</v>
      </c>
    </row>
    <row r="16" spans="1:11" ht="13.5" thickBot="1" x14ac:dyDescent="0.35">
      <c r="F16" s="13"/>
      <c r="H16" s="13"/>
      <c r="I16" s="13"/>
      <c r="J16" s="13"/>
      <c r="K16" s="4" t="str">
        <f>"(10)"</f>
        <v>(10)</v>
      </c>
    </row>
    <row r="17" spans="1:11" ht="13.5" thickBot="1" x14ac:dyDescent="0.35">
      <c r="F17" s="13"/>
      <c r="H17" s="13"/>
      <c r="I17" s="13"/>
      <c r="J17" s="31" t="s">
        <v>41</v>
      </c>
      <c r="K17" s="32">
        <f>SUM(K9:K15)</f>
        <v>2.8375627405108834</v>
      </c>
    </row>
    <row r="19" spans="1:11" ht="13" x14ac:dyDescent="0.3">
      <c r="A19" s="9" t="str">
        <f>"(1)"</f>
        <v>(1)</v>
      </c>
      <c r="B19" s="5" t="s">
        <v>291</v>
      </c>
      <c r="F19" s="9" t="str">
        <f>"(6)"</f>
        <v>(6)</v>
      </c>
      <c r="G19" s="5" t="s">
        <v>290</v>
      </c>
      <c r="H19" s="33"/>
    </row>
    <row r="20" spans="1:11" ht="13" x14ac:dyDescent="0.3">
      <c r="A20" s="9" t="str">
        <f>"(2)"</f>
        <v>(2)</v>
      </c>
      <c r="B20" s="5" t="s">
        <v>42</v>
      </c>
      <c r="F20" s="34" t="str">
        <f>"(7)"</f>
        <v>(7)</v>
      </c>
      <c r="G20" s="35" t="s">
        <v>43</v>
      </c>
      <c r="H20" s="33"/>
    </row>
    <row r="21" spans="1:11" ht="13" x14ac:dyDescent="0.3">
      <c r="A21" s="9"/>
      <c r="B21" s="5" t="s">
        <v>292</v>
      </c>
      <c r="F21" s="34" t="str">
        <f>"(8)"</f>
        <v>(8)</v>
      </c>
      <c r="G21" s="35" t="s">
        <v>44</v>
      </c>
      <c r="H21" s="33"/>
    </row>
    <row r="22" spans="1:11" ht="13" x14ac:dyDescent="0.3">
      <c r="A22" s="9" t="str">
        <f>"(3)"</f>
        <v>(3)</v>
      </c>
      <c r="B22" s="5" t="s">
        <v>290</v>
      </c>
      <c r="F22" s="34" t="str">
        <f>"(9)"</f>
        <v>(9)</v>
      </c>
      <c r="G22" s="35" t="s">
        <v>45</v>
      </c>
      <c r="H22" s="33"/>
    </row>
    <row r="23" spans="1:11" ht="13" x14ac:dyDescent="0.3">
      <c r="A23" s="9" t="str">
        <f>"(4)"</f>
        <v>(4)</v>
      </c>
      <c r="B23" s="5" t="s">
        <v>46</v>
      </c>
      <c r="F23" s="34" t="str">
        <f>"(10)"</f>
        <v>(10)</v>
      </c>
      <c r="G23" s="35" t="s">
        <v>47</v>
      </c>
      <c r="H23" s="33"/>
    </row>
    <row r="24" spans="1:11" ht="13" x14ac:dyDescent="0.3">
      <c r="A24" s="9" t="str">
        <f>"(5)"</f>
        <v>(5)</v>
      </c>
      <c r="B24" s="5" t="s">
        <v>290</v>
      </c>
      <c r="G24" s="35"/>
      <c r="H24" s="33"/>
    </row>
    <row r="25" spans="1:11" ht="13" x14ac:dyDescent="0.3">
      <c r="F25" s="34"/>
      <c r="G25" s="35"/>
    </row>
    <row r="26" spans="1:11" ht="13" x14ac:dyDescent="0.3">
      <c r="G26" s="35"/>
    </row>
  </sheetData>
  <phoneticPr fontId="3" type="noConversion"/>
  <printOptions horizontalCentered="1"/>
  <pageMargins left="0.75" right="0.75" top="1" bottom="1" header="0.5" footer="0.5"/>
  <pageSetup scale="99" orientation="landscape" r:id="rId1"/>
  <headerFooter alignWithMargins="0">
    <oddHeader>&amp;RUSPS -FY15-21
Section A
Page 2 of 6</oddHeader>
  </headerFooter>
  <ignoredErrors>
    <ignoredError sqref="F10 H10:I1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K26"/>
  <sheetViews>
    <sheetView zoomScale="115" zoomScaleNormal="115" workbookViewId="0">
      <selection activeCell="B56" sqref="B56"/>
    </sheetView>
  </sheetViews>
  <sheetFormatPr defaultColWidth="9.1796875" defaultRowHeight="12.5" x14ac:dyDescent="0.25"/>
  <cols>
    <col min="1" max="1" width="5.7265625" customWidth="1"/>
    <col min="2" max="2" width="22.7265625" customWidth="1"/>
    <col min="3" max="4" width="10.7265625" style="10" customWidth="1"/>
    <col min="5" max="5" width="10.7265625" style="11" customWidth="1"/>
    <col min="6" max="6" width="10.7265625" style="12" customWidth="1"/>
    <col min="7" max="7" width="10.7265625" style="13" customWidth="1"/>
    <col min="8" max="9" width="10.7265625" style="14" customWidth="1"/>
    <col min="10" max="11" width="10.7265625" style="12" customWidth="1"/>
    <col min="12" max="29" width="9.7265625" customWidth="1"/>
  </cols>
  <sheetData>
    <row r="1" spans="1:11" ht="18" x14ac:dyDescent="0.4">
      <c r="A1" s="1" t="str">
        <f>'QBRM FLOW'!A1</f>
        <v>FIRST-CLASS SINGLE-PIECE QBRM CARDS / LETTERS</v>
      </c>
    </row>
    <row r="2" spans="1:11" ht="15.5" x14ac:dyDescent="0.35">
      <c r="A2" s="3" t="s">
        <v>18</v>
      </c>
    </row>
    <row r="3" spans="1:11" s="15" customFormat="1" ht="12.75" customHeight="1" x14ac:dyDescent="0.3">
      <c r="A3" s="5"/>
      <c r="C3" s="16"/>
      <c r="D3" s="16"/>
      <c r="E3" s="17"/>
      <c r="F3" s="18"/>
      <c r="G3" s="2"/>
      <c r="H3" s="19"/>
      <c r="I3" s="19"/>
      <c r="J3" s="18"/>
      <c r="K3" s="18"/>
    </row>
    <row r="4" spans="1:11" s="15" customFormat="1" ht="12.75" customHeight="1" x14ac:dyDescent="0.3">
      <c r="A4" s="5"/>
      <c r="C4" s="20" t="str">
        <f>"(1)"</f>
        <v>(1)</v>
      </c>
      <c r="D4" s="20" t="str">
        <f>"(2)"</f>
        <v>(2)</v>
      </c>
      <c r="E4" s="21" t="str">
        <f>"(3)"</f>
        <v>(3)</v>
      </c>
      <c r="F4" s="20" t="str">
        <f>"(4)"</f>
        <v>(4)</v>
      </c>
      <c r="G4" s="4" t="str">
        <f>"(5)"</f>
        <v>(5)</v>
      </c>
      <c r="H4" s="20" t="str">
        <f>"(6)"</f>
        <v>(6)</v>
      </c>
      <c r="I4" s="20" t="str">
        <f>"(7)"</f>
        <v>(7)</v>
      </c>
      <c r="J4" s="20" t="str">
        <f>"(8)"</f>
        <v>(8)</v>
      </c>
      <c r="K4" s="20" t="str">
        <f>"(9)"</f>
        <v>(9)</v>
      </c>
    </row>
    <row r="5" spans="1:11" s="15" customFormat="1" ht="12.75" customHeight="1" x14ac:dyDescent="0.3">
      <c r="A5" s="5"/>
      <c r="C5" s="16"/>
      <c r="D5" s="16"/>
      <c r="E5" s="17"/>
      <c r="F5" s="18"/>
      <c r="G5" s="2"/>
      <c r="H5" s="19"/>
      <c r="I5" s="19"/>
      <c r="J5" s="18"/>
      <c r="K5" s="18"/>
    </row>
    <row r="6" spans="1:11" ht="13" x14ac:dyDescent="0.3">
      <c r="F6" s="22" t="s">
        <v>19</v>
      </c>
      <c r="H6" s="23" t="s">
        <v>20</v>
      </c>
      <c r="I6" s="23" t="s">
        <v>20</v>
      </c>
      <c r="J6" s="22" t="s">
        <v>21</v>
      </c>
      <c r="K6" s="22" t="s">
        <v>22</v>
      </c>
    </row>
    <row r="7" spans="1:11" ht="13" x14ac:dyDescent="0.3">
      <c r="D7" s="20" t="s">
        <v>23</v>
      </c>
      <c r="E7" s="21" t="s">
        <v>24</v>
      </c>
      <c r="F7" s="22" t="s">
        <v>25</v>
      </c>
      <c r="G7" s="4" t="s">
        <v>26</v>
      </c>
      <c r="H7" s="23" t="s">
        <v>27</v>
      </c>
      <c r="I7" s="23" t="s">
        <v>27</v>
      </c>
      <c r="J7" s="22" t="s">
        <v>25</v>
      </c>
      <c r="K7" s="22" t="s">
        <v>25</v>
      </c>
    </row>
    <row r="8" spans="1:11" ht="13" x14ac:dyDescent="0.3">
      <c r="A8" s="6" t="s">
        <v>28</v>
      </c>
      <c r="C8" s="24" t="s">
        <v>29</v>
      </c>
      <c r="D8" s="24" t="s">
        <v>30</v>
      </c>
      <c r="E8" s="25" t="s">
        <v>31</v>
      </c>
      <c r="F8" s="26" t="s">
        <v>32</v>
      </c>
      <c r="G8" s="8" t="s">
        <v>33</v>
      </c>
      <c r="H8" s="27" t="s">
        <v>33</v>
      </c>
      <c r="I8" s="27" t="s">
        <v>34</v>
      </c>
      <c r="J8" s="26" t="s">
        <v>32</v>
      </c>
      <c r="K8" s="26" t="s">
        <v>32</v>
      </c>
    </row>
    <row r="9" spans="1:11" ht="13" x14ac:dyDescent="0.3">
      <c r="A9" s="6"/>
      <c r="B9" t="s">
        <v>35</v>
      </c>
      <c r="C9" s="28">
        <f>'QBRM FLOW'!$F$18</f>
        <v>0</v>
      </c>
      <c r="D9" s="28">
        <f>'QBRM COST AVOIDANCE INPUTS'!$G$13/'QBRM COST AVOIDANCE INPUTS'!$G$20</f>
        <v>6833.2327250865728</v>
      </c>
      <c r="E9" s="17">
        <f>'QBRM COST AVOIDANCE INPUTS'!$G$8</f>
        <v>50.10717457546064</v>
      </c>
      <c r="F9" s="13">
        <f>E9*100/D9</f>
        <v>0.73328652178791132</v>
      </c>
      <c r="G9" s="2">
        <f>'QBRM COST AVOIDANCE INPUTS'!$G$27</f>
        <v>1.6888485071959758</v>
      </c>
      <c r="H9" s="2">
        <f>'QBRM COST AVOIDANCE INPUTS'!$G$10</f>
        <v>1.0126008477139226</v>
      </c>
      <c r="I9" s="13">
        <f>(H9-1)*F9</f>
        <v>9.2400317917214272E-3</v>
      </c>
      <c r="J9" s="13">
        <f>F9*G9+I9</f>
        <v>1.2476498794601647</v>
      </c>
      <c r="K9" s="13">
        <f>(C9*J9)/'QBRM FLOW'!$C$5</f>
        <v>0</v>
      </c>
    </row>
    <row r="10" spans="1:11" x14ac:dyDescent="0.25">
      <c r="B10" t="s">
        <v>36</v>
      </c>
      <c r="C10" s="10">
        <f>'QBRM FLOW'!$F$25</f>
        <v>0</v>
      </c>
      <c r="D10" s="29" t="str">
        <f t="shared" ref="D10:I10" si="0">"---"</f>
        <v>---</v>
      </c>
      <c r="E10" s="30" t="str">
        <f t="shared" si="0"/>
        <v>---</v>
      </c>
      <c r="F10" s="30" t="str">
        <f t="shared" si="0"/>
        <v>---</v>
      </c>
      <c r="G10" s="30" t="str">
        <f t="shared" si="0"/>
        <v>---</v>
      </c>
      <c r="H10" s="30" t="str">
        <f t="shared" si="0"/>
        <v>---</v>
      </c>
      <c r="I10" s="30" t="str">
        <f t="shared" si="0"/>
        <v>---</v>
      </c>
      <c r="J10" s="13">
        <f>100*'QBRM COST AVOIDANCE INPUTS'!G44/'QBRM COST AVOIDANCE INPUTS'!G45</f>
        <v>0.27889541043904115</v>
      </c>
      <c r="K10" s="13">
        <f>(C10*J10)/'QBRM FLOW'!$C$5</f>
        <v>0</v>
      </c>
    </row>
    <row r="11" spans="1:11" x14ac:dyDescent="0.25">
      <c r="B11" t="s">
        <v>37</v>
      </c>
      <c r="C11" s="10">
        <f>'QBRM FLOW'!$I$28</f>
        <v>0</v>
      </c>
      <c r="D11" s="10">
        <f>'QBRM COST AVOIDANCE INPUTS'!$G$14/'QBRM COST AVOIDANCE INPUTS'!$G$21</f>
        <v>846.86662945459375</v>
      </c>
      <c r="E11" s="11">
        <f>'QBRM COST AVOIDANCE INPUTS'!$G$7</f>
        <v>54.142360316355024</v>
      </c>
      <c r="F11" s="13">
        <f>E11*100/D11</f>
        <v>6.3932570292944773</v>
      </c>
      <c r="G11" s="13">
        <f>'QBRM COST AVOIDANCE INPUTS'!$G$28</f>
        <v>1.2615773174013249</v>
      </c>
      <c r="H11" s="13">
        <f>'QBRM COST AVOIDANCE INPUTS'!$G$10</f>
        <v>1.0126008477139226</v>
      </c>
      <c r="I11" s="13">
        <f>(H11-1)*F11</f>
        <v>8.0560458222104642E-2</v>
      </c>
      <c r="J11" s="13">
        <f>F11*G11+I11</f>
        <v>8.1461485106965945</v>
      </c>
      <c r="K11" s="13">
        <f>(C11*J11)/'QBRM FLOW'!$C$5</f>
        <v>0</v>
      </c>
    </row>
    <row r="12" spans="1:11" x14ac:dyDescent="0.25">
      <c r="B12" t="s">
        <v>38</v>
      </c>
      <c r="C12" s="10">
        <f>'QBRM FLOW'!$F$32</f>
        <v>0</v>
      </c>
      <c r="D12" s="10">
        <f>'QBRM COST AVOIDANCE INPUTS'!$G$15/'QBRM COST AVOIDANCE INPUTS'!$G$22</f>
        <v>6833.2327250865728</v>
      </c>
      <c r="E12" s="11">
        <f>'QBRM COST AVOIDANCE INPUTS'!$G$8</f>
        <v>50.10717457546064</v>
      </c>
      <c r="F12" s="13">
        <f>E12*100/D12</f>
        <v>0.73328652178791132</v>
      </c>
      <c r="G12" s="13">
        <f>'QBRM COST AVOIDANCE INPUTS'!$G$29</f>
        <v>1.6888485071959758</v>
      </c>
      <c r="H12" s="13">
        <f>'QBRM COST AVOIDANCE INPUTS'!$G$10</f>
        <v>1.0126008477139226</v>
      </c>
      <c r="I12" s="13">
        <f>(H12-1)*F12</f>
        <v>9.2400317917214272E-3</v>
      </c>
      <c r="J12" s="13">
        <f>F12*G12+I12</f>
        <v>1.2476498794601647</v>
      </c>
      <c r="K12" s="13">
        <f>(C12*J12)/'QBRM FLOW'!$C$5</f>
        <v>0</v>
      </c>
    </row>
    <row r="13" spans="1:11" x14ac:dyDescent="0.25">
      <c r="B13" t="s">
        <v>39</v>
      </c>
      <c r="C13" s="10">
        <f>'QBRM FLOW'!$B$28</f>
        <v>0</v>
      </c>
      <c r="D13" s="10">
        <f>'QBRM COST AVOIDANCE INPUTS'!$G$16/'QBRM COST AVOIDANCE INPUTS'!$G$23</f>
        <v>1983.215429441294</v>
      </c>
      <c r="E13" s="11">
        <f>'QBRM COST AVOIDANCE INPUTS'!$G$8</f>
        <v>50.10717457546064</v>
      </c>
      <c r="F13" s="13">
        <f>E13*100/D13</f>
        <v>2.5265623608816261</v>
      </c>
      <c r="G13" s="13">
        <f>'QBRM COST AVOIDANCE INPUTS'!$G$30</f>
        <v>3.4396834863913082</v>
      </c>
      <c r="H13" s="13">
        <f>'QBRM COST AVOIDANCE INPUTS'!$G$10</f>
        <v>1.0126008477139226</v>
      </c>
      <c r="I13" s="13">
        <f>(H13-1)*F13</f>
        <v>3.1836827549198018E-2</v>
      </c>
      <c r="J13" s="13">
        <f>F13*G13+I13</f>
        <v>8.7224116576115645</v>
      </c>
      <c r="K13" s="13">
        <f>(C13*J13)/'QBRM FLOW'!$C$5</f>
        <v>0</v>
      </c>
    </row>
    <row r="14" spans="1:11" x14ac:dyDescent="0.25">
      <c r="B14" t="s">
        <v>40</v>
      </c>
      <c r="C14" s="10">
        <v>10000</v>
      </c>
      <c r="D14" s="10">
        <f>'QBRM COST AVOIDANCE INPUTS'!$G$17/'QBRM COST AVOIDANCE INPUTS'!$G$24</f>
        <v>6833.2327250865728</v>
      </c>
      <c r="E14" s="11">
        <f>'QBRM COST AVOIDANCE INPUTS'!$G$8</f>
        <v>50.10717457546064</v>
      </c>
      <c r="F14" s="13">
        <f>E14*100/D14</f>
        <v>0.73328652178791132</v>
      </c>
      <c r="G14" s="13">
        <f>'QBRM COST AVOIDANCE INPUTS'!$G$31</f>
        <v>1.6888485071959758</v>
      </c>
      <c r="H14" s="13">
        <f>'QBRM COST AVOIDANCE INPUTS'!$G$10</f>
        <v>1.0126008477139226</v>
      </c>
      <c r="I14" s="13">
        <f>(H14-1)*F14</f>
        <v>9.2400317917214272E-3</v>
      </c>
      <c r="J14" s="13">
        <f>F14*G14+I14</f>
        <v>1.2476498794601647</v>
      </c>
      <c r="K14" s="13">
        <f>(C14*J14)/'QBRM FLOW'!$C$5</f>
        <v>1.2476498794601647</v>
      </c>
    </row>
    <row r="15" spans="1:11" x14ac:dyDescent="0.25">
      <c r="B15" s="61" t="s">
        <v>280</v>
      </c>
      <c r="C15" s="10">
        <f>'QBRM FLOW'!N42</f>
        <v>274.90987384710894</v>
      </c>
      <c r="D15" s="10">
        <f>'QBRM COST AVOIDANCE INPUTS'!$G$18/'QBRM COST AVOIDANCE INPUTS'!$G$25</f>
        <v>631.42739613327842</v>
      </c>
      <c r="E15" s="11">
        <f>'QBRM COST AVOIDANCE INPUTS'!$G$8</f>
        <v>50.10717457546064</v>
      </c>
      <c r="F15" s="13">
        <f>E15*100/D15</f>
        <v>7.9355401558921717</v>
      </c>
      <c r="G15" s="13">
        <f>'QBRM COST AVOIDANCE INPUTS'!$G$32</f>
        <v>1.2988119246888874</v>
      </c>
      <c r="H15" s="13">
        <f>'QBRM COST AVOIDANCE INPUTS'!$G$10</f>
        <v>1.0126008477139226</v>
      </c>
      <c r="I15" s="13">
        <f>(H15-1)*F15</f>
        <v>9.999453303211453E-2</v>
      </c>
      <c r="J15" s="13">
        <f>F15*G15+I15</f>
        <v>10.40676871635238</v>
      </c>
      <c r="K15" s="13">
        <f>(C15*J15)/'QBRM FLOW'!$C$5</f>
        <v>0.28609234749684725</v>
      </c>
    </row>
    <row r="16" spans="1:11" ht="13.5" thickBot="1" x14ac:dyDescent="0.35">
      <c r="F16" s="13"/>
      <c r="H16" s="13"/>
      <c r="I16" s="13"/>
      <c r="J16" s="13"/>
      <c r="K16" s="4" t="str">
        <f>"(10)"</f>
        <v>(10)</v>
      </c>
    </row>
    <row r="17" spans="1:11" ht="13.5" thickBot="1" x14ac:dyDescent="0.35">
      <c r="F17" s="13"/>
      <c r="H17" s="13"/>
      <c r="I17" s="13"/>
      <c r="J17" s="31" t="s">
        <v>41</v>
      </c>
      <c r="K17" s="32">
        <f>SUM(K9:K15)</f>
        <v>1.533742226957012</v>
      </c>
    </row>
    <row r="19" spans="1:11" ht="13" x14ac:dyDescent="0.3">
      <c r="A19" s="9" t="str">
        <f>"(1)"</f>
        <v>(1)</v>
      </c>
      <c r="B19" s="5" t="s">
        <v>293</v>
      </c>
      <c r="F19" s="9" t="str">
        <f>"(6)"</f>
        <v>(6)</v>
      </c>
      <c r="G19" s="5" t="s">
        <v>290</v>
      </c>
      <c r="H19" s="33"/>
    </row>
    <row r="20" spans="1:11" ht="13" x14ac:dyDescent="0.3">
      <c r="A20" s="9" t="str">
        <f>"(2)"</f>
        <v>(2)</v>
      </c>
      <c r="B20" s="5" t="s">
        <v>42</v>
      </c>
      <c r="F20" s="34" t="str">
        <f>"(7)"</f>
        <v>(7)</v>
      </c>
      <c r="G20" s="35" t="s">
        <v>43</v>
      </c>
      <c r="H20" s="33"/>
    </row>
    <row r="21" spans="1:11" ht="13" x14ac:dyDescent="0.3">
      <c r="A21" s="9"/>
      <c r="B21" s="5" t="s">
        <v>292</v>
      </c>
      <c r="F21" s="34" t="str">
        <f>"(8)"</f>
        <v>(8)</v>
      </c>
      <c r="G21" s="35" t="s">
        <v>44</v>
      </c>
      <c r="H21" s="33"/>
    </row>
    <row r="22" spans="1:11" ht="13" x14ac:dyDescent="0.3">
      <c r="A22" s="9" t="str">
        <f>"(3)"</f>
        <v>(3)</v>
      </c>
      <c r="B22" s="5" t="s">
        <v>290</v>
      </c>
      <c r="F22" s="34" t="str">
        <f>"(9)"</f>
        <v>(9)</v>
      </c>
      <c r="G22" s="35" t="s">
        <v>45</v>
      </c>
      <c r="H22" s="33"/>
    </row>
    <row r="23" spans="1:11" ht="13" x14ac:dyDescent="0.3">
      <c r="A23" s="9" t="str">
        <f>"(4)"</f>
        <v>(4)</v>
      </c>
      <c r="B23" s="5" t="s">
        <v>46</v>
      </c>
      <c r="F23" s="34" t="str">
        <f>"(10)"</f>
        <v>(10)</v>
      </c>
      <c r="G23" s="35" t="s">
        <v>47</v>
      </c>
      <c r="H23" s="33"/>
    </row>
    <row r="24" spans="1:11" ht="13" x14ac:dyDescent="0.3">
      <c r="A24" s="9" t="str">
        <f>"(5)"</f>
        <v>(5)</v>
      </c>
      <c r="B24" s="5" t="s">
        <v>290</v>
      </c>
      <c r="G24" s="35"/>
      <c r="H24" s="33"/>
    </row>
    <row r="25" spans="1:11" ht="13" x14ac:dyDescent="0.3">
      <c r="A25" s="9"/>
      <c r="F25" s="34"/>
      <c r="G25" s="35"/>
    </row>
    <row r="26" spans="1:11" ht="13" x14ac:dyDescent="0.3">
      <c r="G26" s="35"/>
    </row>
  </sheetData>
  <phoneticPr fontId="3" type="noConversion"/>
  <printOptions horizontalCentered="1"/>
  <pageMargins left="0.75" right="0.75" top="1" bottom="1" header="0.5" footer="0.5"/>
  <pageSetup scale="99" orientation="landscape" r:id="rId1"/>
  <headerFooter alignWithMargins="0">
    <oddHeader>&amp;RUSPS -FY15-21
Section A
Page 4 of 6</oddHeader>
  </headerFooter>
  <ignoredErrors>
    <ignoredError sqref="F10 H10:I1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49"/>
  <sheetViews>
    <sheetView zoomScaleNormal="100" workbookViewId="0">
      <selection activeCell="B56" sqref="B56"/>
    </sheetView>
  </sheetViews>
  <sheetFormatPr defaultRowHeight="12.5" x14ac:dyDescent="0.25"/>
  <cols>
    <col min="1" max="1" width="3.7265625" customWidth="1"/>
    <col min="2" max="13" width="9.7265625" customWidth="1"/>
  </cols>
  <sheetData>
    <row r="1" spans="1:11" ht="18" x14ac:dyDescent="0.4">
      <c r="A1" s="1" t="s">
        <v>74</v>
      </c>
    </row>
    <row r="2" spans="1:11" ht="15.5" x14ac:dyDescent="0.35">
      <c r="A2" s="3" t="s">
        <v>49</v>
      </c>
    </row>
    <row r="5" spans="1:11" ht="13" x14ac:dyDescent="0.3">
      <c r="A5" s="5"/>
      <c r="B5" s="9" t="s">
        <v>50</v>
      </c>
      <c r="C5" s="36">
        <v>10000</v>
      </c>
      <c r="D5" s="14"/>
      <c r="E5" s="5"/>
      <c r="F5" s="9" t="s">
        <v>51</v>
      </c>
      <c r="G5" s="37">
        <f>H18+E39+F39+K32+K37+N42+M45</f>
        <v>10000</v>
      </c>
    </row>
    <row r="8" spans="1:11" ht="13" x14ac:dyDescent="0.3">
      <c r="A8" s="5" t="s">
        <v>75</v>
      </c>
    </row>
    <row r="9" spans="1:11" ht="13" x14ac:dyDescent="0.3">
      <c r="A9" s="5" t="s">
        <v>76</v>
      </c>
    </row>
    <row r="10" spans="1:11" ht="13" x14ac:dyDescent="0.3">
      <c r="A10" s="5" t="s">
        <v>77</v>
      </c>
    </row>
    <row r="11" spans="1:11" ht="13" x14ac:dyDescent="0.3">
      <c r="A11" s="5"/>
    </row>
    <row r="12" spans="1:11" ht="13" x14ac:dyDescent="0.3">
      <c r="A12" s="5"/>
    </row>
    <row r="13" spans="1:11" ht="13" thickBot="1" x14ac:dyDescent="0.3"/>
    <row r="14" spans="1:11" ht="13" x14ac:dyDescent="0.3">
      <c r="A14" s="38" t="s">
        <v>55</v>
      </c>
      <c r="B14" s="39"/>
      <c r="C14" s="39"/>
      <c r="D14" s="39"/>
      <c r="E14" s="39"/>
      <c r="F14" s="39"/>
      <c r="G14" s="39"/>
      <c r="H14" s="39"/>
      <c r="I14" s="39"/>
      <c r="J14" s="39"/>
      <c r="K14" s="40"/>
    </row>
    <row r="15" spans="1:11" x14ac:dyDescent="0.25">
      <c r="A15" s="41"/>
      <c r="K15" s="42"/>
    </row>
    <row r="16" spans="1:11" ht="13" x14ac:dyDescent="0.3">
      <c r="A16" s="41"/>
      <c r="F16" s="43" t="s">
        <v>56</v>
      </c>
      <c r="G16" s="44"/>
      <c r="K16" s="42"/>
    </row>
    <row r="17" spans="1:12" x14ac:dyDescent="0.25">
      <c r="A17" s="41"/>
      <c r="F17" s="45"/>
      <c r="G17" s="45"/>
      <c r="K17" s="42"/>
    </row>
    <row r="18" spans="1:12" x14ac:dyDescent="0.25">
      <c r="A18" s="41"/>
      <c r="C18" s="46">
        <f>C28</f>
        <v>0</v>
      </c>
      <c r="D18" s="46"/>
      <c r="F18" s="47">
        <f>C18+E20</f>
        <v>0</v>
      </c>
      <c r="G18" s="48">
        <v>0</v>
      </c>
      <c r="H18" s="46">
        <f>F18*'QBRM COST AVOIDANCE INPUTS'!G34</f>
        <v>0</v>
      </c>
      <c r="K18" s="42"/>
    </row>
    <row r="19" spans="1:12" x14ac:dyDescent="0.25">
      <c r="A19" s="41"/>
      <c r="F19" s="49"/>
      <c r="G19" s="49"/>
      <c r="I19" t="s">
        <v>57</v>
      </c>
      <c r="K19" s="42"/>
    </row>
    <row r="20" spans="1:12" x14ac:dyDescent="0.25">
      <c r="A20" s="41"/>
      <c r="D20" s="52" t="s">
        <v>96</v>
      </c>
      <c r="E20" s="139">
        <f>G32*'QBRM COST AVOIDANCE INPUTS'!G37</f>
        <v>0</v>
      </c>
      <c r="I20" t="s">
        <v>58</v>
      </c>
      <c r="K20" s="42"/>
    </row>
    <row r="21" spans="1:12" x14ac:dyDescent="0.25">
      <c r="A21" s="41"/>
      <c r="E21" s="141"/>
      <c r="F21" s="46">
        <f>F18*(1-'QBRM COST AVOIDANCE INPUTS'!G34)</f>
        <v>0</v>
      </c>
      <c r="K21" s="42"/>
    </row>
    <row r="22" spans="1:12" x14ac:dyDescent="0.25">
      <c r="A22" s="41"/>
      <c r="E22" s="141"/>
      <c r="K22" s="42"/>
    </row>
    <row r="23" spans="1:12" ht="13" x14ac:dyDescent="0.3">
      <c r="A23" s="41"/>
      <c r="E23" s="141"/>
      <c r="F23" s="43" t="s">
        <v>59</v>
      </c>
      <c r="G23" s="44"/>
      <c r="K23" s="42"/>
    </row>
    <row r="24" spans="1:12" x14ac:dyDescent="0.25">
      <c r="A24" s="41"/>
      <c r="E24" s="141"/>
      <c r="F24" s="45"/>
      <c r="G24" s="45"/>
      <c r="K24" s="42"/>
    </row>
    <row r="25" spans="1:12" x14ac:dyDescent="0.25">
      <c r="A25" s="41"/>
      <c r="C25" s="50"/>
      <c r="E25" s="141"/>
      <c r="F25" s="47">
        <f>G25+F21</f>
        <v>0</v>
      </c>
      <c r="G25" s="48">
        <v>0</v>
      </c>
      <c r="H25" s="46">
        <f>G25*(1-'QBRM COST AVOIDANCE INPUTS'!G46)</f>
        <v>0</v>
      </c>
      <c r="K25" s="42"/>
    </row>
    <row r="26" spans="1:12" ht="13" x14ac:dyDescent="0.3">
      <c r="A26" s="41"/>
      <c r="B26" s="43" t="s">
        <v>60</v>
      </c>
      <c r="C26" s="140"/>
      <c r="D26" s="143"/>
      <c r="E26" s="143"/>
      <c r="F26" s="49"/>
      <c r="G26" s="49"/>
      <c r="H26" s="46">
        <f>F21*(1-'QBRM COST AVOIDANCE INPUTS'!G46)</f>
        <v>0</v>
      </c>
      <c r="I26" s="43" t="s">
        <v>61</v>
      </c>
      <c r="J26" s="44"/>
      <c r="K26" s="42"/>
    </row>
    <row r="27" spans="1:12" x14ac:dyDescent="0.25">
      <c r="A27" s="41"/>
      <c r="B27" s="45"/>
      <c r="C27" s="45"/>
      <c r="D27" s="14"/>
      <c r="E27" s="141"/>
      <c r="I27" s="45"/>
      <c r="J27" s="45"/>
      <c r="K27" s="42"/>
    </row>
    <row r="28" spans="1:12" x14ac:dyDescent="0.25">
      <c r="A28" s="41"/>
      <c r="B28" s="47">
        <f>C28</f>
        <v>0</v>
      </c>
      <c r="C28" s="47">
        <f>C32</f>
        <v>0</v>
      </c>
      <c r="D28" s="46"/>
      <c r="E28" s="141"/>
      <c r="F28" s="46">
        <f>F21*'QBRM COST AVOIDANCE INPUTS'!G46</f>
        <v>0</v>
      </c>
      <c r="G28" s="46">
        <f>G25*'QBRM COST AVOIDANCE INPUTS'!G46</f>
        <v>0</v>
      </c>
      <c r="I28" s="47">
        <f>J28+H26</f>
        <v>0</v>
      </c>
      <c r="J28" s="47">
        <f>H25</f>
        <v>0</v>
      </c>
      <c r="K28" s="42"/>
    </row>
    <row r="29" spans="1:12" x14ac:dyDescent="0.25">
      <c r="A29" s="41"/>
      <c r="B29" s="49"/>
      <c r="C29" s="49"/>
      <c r="D29" s="14"/>
      <c r="E29" s="142"/>
      <c r="H29" s="46">
        <f>H26</f>
        <v>0</v>
      </c>
      <c r="I29" s="51"/>
      <c r="J29" s="51"/>
      <c r="K29" s="42"/>
    </row>
    <row r="30" spans="1:12" ht="13" x14ac:dyDescent="0.3">
      <c r="A30" s="41"/>
      <c r="E30" s="52" t="s">
        <v>62</v>
      </c>
      <c r="F30" s="43" t="s">
        <v>63</v>
      </c>
      <c r="G30" s="44"/>
      <c r="I30" s="138">
        <f>J28</f>
        <v>0</v>
      </c>
      <c r="J30" s="53"/>
      <c r="K30" s="42"/>
    </row>
    <row r="31" spans="1:12" x14ac:dyDescent="0.25">
      <c r="A31" s="41"/>
      <c r="E31" s="47">
        <f>G32*'QBRM COST AVOIDANCE INPUTS'!G38</f>
        <v>0</v>
      </c>
      <c r="F31" s="45"/>
      <c r="G31" s="45"/>
      <c r="K31" s="42"/>
    </row>
    <row r="32" spans="1:12" x14ac:dyDescent="0.25">
      <c r="A32" s="41"/>
      <c r="C32" s="46">
        <f>G32*'QBRM COST AVOIDANCE INPUTS'!G39</f>
        <v>0</v>
      </c>
      <c r="D32" s="46"/>
      <c r="E32" s="54"/>
      <c r="F32" s="47">
        <f>G32+(F28+E31+H29)*(1-'QBRM COST AVOIDANCE INPUTS'!G47)</f>
        <v>0</v>
      </c>
      <c r="G32" s="47">
        <f>(G28+I30)*(1-'QBRM COST AVOIDANCE INPUTS'!G47)</f>
        <v>0</v>
      </c>
      <c r="H32" s="139">
        <f>(G28+I30)*'QBRM COST AVOIDANCE INPUTS'!G47</f>
        <v>0</v>
      </c>
      <c r="I32" t="s">
        <v>64</v>
      </c>
      <c r="K32" s="144">
        <f>H32+H33</f>
        <v>0</v>
      </c>
      <c r="L32" t="s">
        <v>65</v>
      </c>
    </row>
    <row r="33" spans="1:16" x14ac:dyDescent="0.25">
      <c r="A33" s="41"/>
      <c r="C33" t="s">
        <v>66</v>
      </c>
      <c r="F33" s="49"/>
      <c r="G33" s="49"/>
      <c r="H33" s="46">
        <f>(F28+E31+H29)*'QBRM COST AVOIDANCE INPUTS'!G47</f>
        <v>0</v>
      </c>
      <c r="I33" t="s">
        <v>67</v>
      </c>
      <c r="K33" s="42"/>
    </row>
    <row r="34" spans="1:16" x14ac:dyDescent="0.25">
      <c r="A34" s="41"/>
      <c r="C34" s="55"/>
      <c r="D34" s="55"/>
      <c r="G34" s="53"/>
      <c r="I34" t="s">
        <v>68</v>
      </c>
      <c r="K34" s="42"/>
      <c r="O34" s="46"/>
    </row>
    <row r="35" spans="1:16" ht="13" thickBot="1" x14ac:dyDescent="0.3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8"/>
    </row>
    <row r="37" spans="1:16" x14ac:dyDescent="0.25">
      <c r="G37" s="46">
        <f>G32*'QBRM COST AVOIDANCE INPUTS'!G40</f>
        <v>0</v>
      </c>
      <c r="I37" t="s">
        <v>69</v>
      </c>
      <c r="K37" s="46">
        <f>G37+G38</f>
        <v>0</v>
      </c>
      <c r="L37" t="s">
        <v>65</v>
      </c>
      <c r="N37" s="55"/>
    </row>
    <row r="38" spans="1:16" x14ac:dyDescent="0.25">
      <c r="G38" s="46">
        <f>(F32-G32)*SUM('QBRM COST AVOIDANCE INPUTS'!G37:G40)</f>
        <v>0</v>
      </c>
      <c r="I38" t="s">
        <v>70</v>
      </c>
    </row>
    <row r="39" spans="1:16" x14ac:dyDescent="0.25">
      <c r="E39" s="46">
        <f>(F32-G32)*'QBRM COST AVOIDANCE INPUTS'!G36</f>
        <v>0</v>
      </c>
      <c r="F39" s="46">
        <f>G32*'QBRM COST AVOIDANCE INPUTS'!G36</f>
        <v>0</v>
      </c>
      <c r="I39" t="s">
        <v>68</v>
      </c>
    </row>
    <row r="40" spans="1:16" ht="13" x14ac:dyDescent="0.3">
      <c r="L40" s="43" t="s">
        <v>71</v>
      </c>
      <c r="M40" s="44"/>
      <c r="O40" s="5"/>
    </row>
    <row r="41" spans="1:16" x14ac:dyDescent="0.25">
      <c r="F41" t="s">
        <v>57</v>
      </c>
      <c r="L41" s="45"/>
      <c r="M41" s="45"/>
      <c r="O41" s="59" t="s">
        <v>65</v>
      </c>
      <c r="P41" s="14"/>
    </row>
    <row r="42" spans="1:16" x14ac:dyDescent="0.25">
      <c r="F42" t="s">
        <v>58</v>
      </c>
      <c r="L42" s="48">
        <f>M42</f>
        <v>10000</v>
      </c>
      <c r="M42" s="48">
        <f>C5</f>
        <v>10000</v>
      </c>
      <c r="N42" s="46">
        <f>M42*(1-'QBRM COST AVOIDANCE INPUTS'!G41)</f>
        <v>274.90987384710894</v>
      </c>
      <c r="O42" s="46"/>
      <c r="P42" s="46"/>
    </row>
    <row r="43" spans="1:16" x14ac:dyDescent="0.25">
      <c r="L43" s="49"/>
      <c r="M43" s="49"/>
      <c r="O43" s="14"/>
      <c r="P43" s="14"/>
    </row>
    <row r="45" spans="1:16" x14ac:dyDescent="0.25">
      <c r="M45" s="46">
        <f>M42*'QBRM COST AVOIDANCE INPUTS'!G41</f>
        <v>9725.0901261528907</v>
      </c>
      <c r="P45" s="46"/>
    </row>
    <row r="47" spans="1:16" x14ac:dyDescent="0.25">
      <c r="M47" t="s">
        <v>72</v>
      </c>
    </row>
    <row r="48" spans="1:16" x14ac:dyDescent="0.25">
      <c r="M48" t="s">
        <v>73</v>
      </c>
    </row>
    <row r="49" spans="13:13" x14ac:dyDescent="0.25">
      <c r="M49" t="s">
        <v>58</v>
      </c>
    </row>
  </sheetData>
  <phoneticPr fontId="3" type="noConversion"/>
  <printOptions horizontalCentered="1"/>
  <pageMargins left="0.75" right="0.75" top="1" bottom="1" header="0.5" footer="0.5"/>
  <pageSetup scale="76" orientation="landscape" r:id="rId1"/>
  <headerFooter alignWithMargins="0">
    <oddHeader>&amp;RUSPS-FY15-21
Section A
Page 5 of 6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  <pageSetUpPr fitToPage="1"/>
  </sheetPr>
  <dimension ref="A1:P59"/>
  <sheetViews>
    <sheetView zoomScale="130" zoomScaleNormal="130" workbookViewId="0"/>
  </sheetViews>
  <sheetFormatPr defaultColWidth="9.1796875" defaultRowHeight="12.5" x14ac:dyDescent="0.25"/>
  <cols>
    <col min="1" max="1" width="5.7265625" style="101" customWidth="1"/>
    <col min="2" max="3" width="5.7265625" style="99" customWidth="1"/>
    <col min="4" max="4" width="10.7265625" style="99" customWidth="1"/>
    <col min="5" max="5" width="31.81640625" style="99" customWidth="1"/>
    <col min="6" max="6" width="32.7265625" style="100" customWidth="1"/>
    <col min="7" max="7" width="15.7265625" style="100" customWidth="1"/>
    <col min="8" max="8" width="14" style="99" bestFit="1" customWidth="1"/>
    <col min="9" max="9" width="19.1796875" style="99" bestFit="1" customWidth="1"/>
    <col min="10" max="10" width="9.1796875" style="99"/>
    <col min="11" max="11" width="10.1796875" style="99" bestFit="1" customWidth="1"/>
    <col min="12" max="12" width="9.1796875" style="99"/>
    <col min="13" max="13" width="13.54296875" style="99" customWidth="1"/>
    <col min="14" max="16384" width="9.1796875" style="99"/>
  </cols>
  <sheetData>
    <row r="1" spans="1:16" ht="18" x14ac:dyDescent="0.4">
      <c r="A1" s="96" t="s">
        <v>272</v>
      </c>
      <c r="G1" s="62"/>
    </row>
    <row r="4" spans="1:16" ht="13" x14ac:dyDescent="0.3">
      <c r="B4" s="97" t="s">
        <v>78</v>
      </c>
      <c r="F4" s="117" t="s">
        <v>79</v>
      </c>
      <c r="G4" s="117" t="s">
        <v>80</v>
      </c>
    </row>
    <row r="6" spans="1:16" ht="13" x14ac:dyDescent="0.3">
      <c r="A6" s="63" t="s">
        <v>81</v>
      </c>
      <c r="B6" s="64" t="s">
        <v>186</v>
      </c>
    </row>
    <row r="7" spans="1:16" x14ac:dyDescent="0.25">
      <c r="C7" s="99" t="s">
        <v>82</v>
      </c>
      <c r="F7" s="62" t="s">
        <v>294</v>
      </c>
      <c r="G7" s="176">
        <f>'[2]Disaggregated wage rates'!$C$6</f>
        <v>54.142360316355024</v>
      </c>
      <c r="H7" s="118"/>
      <c r="I7" s="60"/>
    </row>
    <row r="8" spans="1:16" x14ac:dyDescent="0.25">
      <c r="C8" s="99" t="s">
        <v>83</v>
      </c>
      <c r="F8" s="62" t="str">
        <f>F7</f>
        <v>USPS-FY25-7, Part 8</v>
      </c>
      <c r="G8" s="176">
        <f>'[2]Disaggregated wage rates'!$C$8</f>
        <v>50.10717457546064</v>
      </c>
      <c r="H8" s="118"/>
      <c r="I8" s="111"/>
      <c r="P8" s="113"/>
    </row>
    <row r="9" spans="1:16" x14ac:dyDescent="0.25">
      <c r="F9" s="119"/>
      <c r="G9" s="177"/>
      <c r="H9" s="118"/>
      <c r="I9" s="103"/>
      <c r="P9" s="113"/>
    </row>
    <row r="10" spans="1:16" ht="13" x14ac:dyDescent="0.3">
      <c r="A10" s="63" t="s">
        <v>84</v>
      </c>
      <c r="B10" s="64" t="s">
        <v>85</v>
      </c>
      <c r="C10" s="64"/>
      <c r="D10" s="64"/>
      <c r="F10" s="62" t="s">
        <v>295</v>
      </c>
      <c r="G10" s="178">
        <f>'[2]Premium Pay Fctrs'!$D$7</f>
        <v>1.0126008477139226</v>
      </c>
      <c r="H10" s="118"/>
      <c r="P10" s="113"/>
    </row>
    <row r="11" spans="1:16" x14ac:dyDescent="0.25">
      <c r="G11" s="101"/>
      <c r="P11" s="113"/>
    </row>
    <row r="12" spans="1:16" ht="13" x14ac:dyDescent="0.3">
      <c r="A12" s="63" t="s">
        <v>86</v>
      </c>
      <c r="B12" s="98" t="s">
        <v>87</v>
      </c>
      <c r="G12" s="101"/>
      <c r="I12" s="103"/>
      <c r="P12" s="113"/>
    </row>
    <row r="13" spans="1:16" x14ac:dyDescent="0.25">
      <c r="C13" s="99" t="s">
        <v>88</v>
      </c>
      <c r="F13" s="62" t="s">
        <v>296</v>
      </c>
      <c r="G13" s="187">
        <f>'[3]FY25 Table'!$I$13</f>
        <v>6758.7504883831289</v>
      </c>
      <c r="I13" s="61"/>
      <c r="J13" s="61"/>
      <c r="K13" s="61"/>
      <c r="L13" s="61"/>
      <c r="M13" s="115"/>
      <c r="P13" s="113"/>
    </row>
    <row r="14" spans="1:16" ht="13" x14ac:dyDescent="0.3">
      <c r="C14" s="99" t="s">
        <v>61</v>
      </c>
      <c r="F14" s="62" t="str">
        <f>F13</f>
        <v>USPS-FY25-23</v>
      </c>
      <c r="G14" s="186">
        <f>'[4]Prod Calc'!$E$13</f>
        <v>739.31456751386031</v>
      </c>
      <c r="I14" s="61"/>
      <c r="J14" s="61"/>
      <c r="K14" s="61"/>
      <c r="L14" s="60"/>
      <c r="M14" s="116"/>
      <c r="N14" s="61"/>
      <c r="O14" s="110"/>
      <c r="P14" s="113"/>
    </row>
    <row r="15" spans="1:16" x14ac:dyDescent="0.25">
      <c r="C15" s="99" t="s">
        <v>89</v>
      </c>
      <c r="F15" s="62" t="str">
        <f>F13</f>
        <v>USPS-FY25-23</v>
      </c>
      <c r="G15" s="187">
        <f>G13</f>
        <v>6758.7504883831289</v>
      </c>
      <c r="H15" s="118"/>
      <c r="I15" s="60"/>
      <c r="J15" s="61"/>
      <c r="K15" s="61"/>
      <c r="L15" s="61"/>
      <c r="M15" s="115"/>
      <c r="N15" s="60"/>
      <c r="O15" s="110"/>
      <c r="P15" s="113"/>
    </row>
    <row r="16" spans="1:16" ht="13" x14ac:dyDescent="0.3">
      <c r="C16" s="61" t="s">
        <v>282</v>
      </c>
      <c r="F16" s="62" t="str">
        <f>F13</f>
        <v>USPS-FY25-23</v>
      </c>
      <c r="G16" s="188">
        <f>'[3]FY25 Table'!$I$10</f>
        <v>1731.3470699022496</v>
      </c>
      <c r="I16" s="60"/>
      <c r="J16" s="61"/>
      <c r="K16" s="61"/>
      <c r="L16" s="61"/>
      <c r="M16" s="115"/>
      <c r="N16" s="61"/>
      <c r="O16" s="110"/>
    </row>
    <row r="17" spans="1:15" x14ac:dyDescent="0.25">
      <c r="C17" s="61" t="s">
        <v>71</v>
      </c>
      <c r="F17" s="62" t="str">
        <f>F13</f>
        <v>USPS-FY25-23</v>
      </c>
      <c r="G17" s="187">
        <f>G13</f>
        <v>6758.7504883831289</v>
      </c>
      <c r="I17" s="61"/>
      <c r="J17" s="61"/>
      <c r="K17" s="61"/>
      <c r="L17" s="61"/>
      <c r="M17" s="115"/>
      <c r="N17" s="61"/>
      <c r="O17" s="110"/>
    </row>
    <row r="18" spans="1:15" x14ac:dyDescent="0.25">
      <c r="C18" s="61" t="s">
        <v>281</v>
      </c>
      <c r="F18" s="62" t="str">
        <f>F13</f>
        <v>USPS-FY25-23</v>
      </c>
      <c r="G18" s="179">
        <v>614</v>
      </c>
      <c r="I18" s="61"/>
      <c r="J18" s="61"/>
      <c r="K18" s="61"/>
      <c r="L18" s="61"/>
      <c r="M18" s="115"/>
      <c r="N18" s="61"/>
      <c r="O18" s="110"/>
    </row>
    <row r="19" spans="1:15" ht="13" x14ac:dyDescent="0.3">
      <c r="A19" s="63" t="s">
        <v>90</v>
      </c>
      <c r="B19" s="64" t="s">
        <v>91</v>
      </c>
      <c r="F19" s="62"/>
      <c r="G19" s="177"/>
      <c r="H19" s="61"/>
      <c r="I19" s="61"/>
      <c r="J19" s="61"/>
      <c r="K19" s="110"/>
      <c r="L19" s="61"/>
      <c r="M19" s="61"/>
      <c r="N19" s="61"/>
      <c r="O19" s="110"/>
    </row>
    <row r="20" spans="1:15" ht="13" x14ac:dyDescent="0.3">
      <c r="A20" s="63"/>
      <c r="B20" s="64"/>
      <c r="C20" s="99" t="s">
        <v>56</v>
      </c>
      <c r="F20" s="62" t="str">
        <f>F10</f>
        <v xml:space="preserve"> USPS-FY25-7, Part 7</v>
      </c>
      <c r="G20" s="177">
        <f>'[2]volume-variability factors'!$G$11</f>
        <v>0.98909999999999998</v>
      </c>
      <c r="H20" s="61"/>
      <c r="K20" s="114"/>
      <c r="L20" s="61"/>
      <c r="M20" s="61"/>
      <c r="N20" s="61"/>
      <c r="O20" s="112"/>
    </row>
    <row r="21" spans="1:15" x14ac:dyDescent="0.25">
      <c r="C21" s="99" t="s">
        <v>61</v>
      </c>
      <c r="F21" s="62" t="str">
        <f>F20</f>
        <v xml:space="preserve"> USPS-FY25-7, Part 7</v>
      </c>
      <c r="G21" s="177">
        <f>'[2]volume-variability factors'!$G$27</f>
        <v>0.873</v>
      </c>
      <c r="H21" s="61"/>
      <c r="I21" s="60"/>
      <c r="L21" s="61"/>
      <c r="M21" s="61"/>
      <c r="N21" s="61"/>
      <c r="O21" s="112"/>
    </row>
    <row r="22" spans="1:15" x14ac:dyDescent="0.25">
      <c r="C22" s="99" t="s">
        <v>63</v>
      </c>
      <c r="F22" s="62" t="str">
        <f>F10</f>
        <v xml:space="preserve"> USPS-FY25-7, Part 7</v>
      </c>
      <c r="G22" s="177">
        <f>G20</f>
        <v>0.98909999999999998</v>
      </c>
      <c r="H22" s="61"/>
      <c r="I22" s="60"/>
      <c r="L22" s="61"/>
      <c r="M22" s="61"/>
      <c r="N22" s="61"/>
      <c r="O22" s="112"/>
    </row>
    <row r="23" spans="1:15" x14ac:dyDescent="0.25">
      <c r="C23" s="99" t="s">
        <v>60</v>
      </c>
      <c r="F23" s="62" t="str">
        <f>F20</f>
        <v xml:space="preserve"> USPS-FY25-7, Part 7</v>
      </c>
      <c r="G23" s="177">
        <f>G21</f>
        <v>0.873</v>
      </c>
      <c r="H23" s="61"/>
      <c r="O23" s="113"/>
    </row>
    <row r="24" spans="1:15" x14ac:dyDescent="0.25">
      <c r="C24" s="99" t="s">
        <v>71</v>
      </c>
      <c r="F24" s="62" t="str">
        <f>F23</f>
        <v xml:space="preserve"> USPS-FY25-7, Part 7</v>
      </c>
      <c r="G24" s="180">
        <f>G20</f>
        <v>0.98909999999999998</v>
      </c>
      <c r="H24" s="61"/>
      <c r="I24" s="61"/>
      <c r="O24" s="113"/>
    </row>
    <row r="25" spans="1:15" x14ac:dyDescent="0.25">
      <c r="C25" s="99" t="s">
        <v>281</v>
      </c>
      <c r="F25" s="62" t="str">
        <f>F23</f>
        <v xml:space="preserve"> USPS-FY25-7, Part 7</v>
      </c>
      <c r="G25" s="181">
        <f>'[2]volume-variability factors'!$G$23</f>
        <v>0.97240000000000004</v>
      </c>
      <c r="H25" s="60"/>
      <c r="O25" s="113"/>
    </row>
    <row r="26" spans="1:15" ht="13" x14ac:dyDescent="0.3">
      <c r="A26" s="63" t="s">
        <v>92</v>
      </c>
      <c r="B26" s="64" t="s">
        <v>93</v>
      </c>
      <c r="F26" s="62"/>
      <c r="G26" s="101"/>
      <c r="H26" s="60"/>
      <c r="O26" s="113"/>
    </row>
    <row r="27" spans="1:15" x14ac:dyDescent="0.25">
      <c r="C27" s="99" t="s">
        <v>56</v>
      </c>
      <c r="F27" s="120" t="s">
        <v>302</v>
      </c>
      <c r="G27" s="193">
        <f>'[5]MP Piggybacks'!$J$68</f>
        <v>1.6888485071959758</v>
      </c>
      <c r="H27" s="60"/>
      <c r="I27" s="60"/>
      <c r="J27" s="60"/>
      <c r="L27" s="13"/>
    </row>
    <row r="28" spans="1:15" x14ac:dyDescent="0.25">
      <c r="C28" s="99" t="s">
        <v>61</v>
      </c>
      <c r="F28" s="120" t="str">
        <f>F27</f>
        <v>USPS-FY25-25</v>
      </c>
      <c r="G28" s="180">
        <f>'[5]MP Piggybacks'!$J$77</f>
        <v>1.2615773174013249</v>
      </c>
      <c r="H28" s="61"/>
      <c r="I28" s="61"/>
    </row>
    <row r="29" spans="1:15" x14ac:dyDescent="0.25">
      <c r="C29" s="99" t="s">
        <v>63</v>
      </c>
      <c r="F29" s="120" t="str">
        <f>F27</f>
        <v>USPS-FY25-25</v>
      </c>
      <c r="G29" s="193">
        <f>G27</f>
        <v>1.6888485071959758</v>
      </c>
      <c r="H29" s="61"/>
    </row>
    <row r="30" spans="1:15" x14ac:dyDescent="0.25">
      <c r="C30" s="61" t="s">
        <v>284</v>
      </c>
      <c r="F30" s="120" t="str">
        <f>F27</f>
        <v>USPS-FY25-25</v>
      </c>
      <c r="G30" s="180">
        <f>'[5]MP Piggybacks'!$J$71</f>
        <v>3.4396834863913082</v>
      </c>
      <c r="H30" s="61"/>
    </row>
    <row r="31" spans="1:15" x14ac:dyDescent="0.25">
      <c r="C31" s="99" t="s">
        <v>71</v>
      </c>
      <c r="F31" s="120" t="str">
        <f>F27</f>
        <v>USPS-FY25-25</v>
      </c>
      <c r="G31" s="193">
        <f>G27</f>
        <v>1.6888485071959758</v>
      </c>
      <c r="H31" s="61"/>
    </row>
    <row r="32" spans="1:15" x14ac:dyDescent="0.25">
      <c r="C32" s="61" t="s">
        <v>281</v>
      </c>
      <c r="D32" s="61"/>
      <c r="E32" s="61"/>
      <c r="F32" s="120" t="str">
        <f>F27</f>
        <v>USPS-FY25-25</v>
      </c>
      <c r="G32" s="194">
        <f>'[5]MP Piggybacks'!$J$15</f>
        <v>1.2988119246888874</v>
      </c>
      <c r="H32" s="61"/>
    </row>
    <row r="33" spans="1:11" ht="13" x14ac:dyDescent="0.3">
      <c r="A33" s="63" t="s">
        <v>94</v>
      </c>
      <c r="B33" s="98" t="s">
        <v>95</v>
      </c>
      <c r="F33" s="62"/>
      <c r="G33" s="101"/>
      <c r="H33" s="61"/>
    </row>
    <row r="34" spans="1:11" ht="13" x14ac:dyDescent="0.3">
      <c r="A34" s="63"/>
      <c r="B34" s="98"/>
      <c r="C34" s="99" t="s">
        <v>275</v>
      </c>
      <c r="F34" s="62" t="s">
        <v>298</v>
      </c>
      <c r="G34" s="182">
        <f>[6]Letters!$C$6</f>
        <v>0.90245715339016008</v>
      </c>
      <c r="H34" s="61"/>
    </row>
    <row r="35" spans="1:11" ht="16" x14ac:dyDescent="0.4">
      <c r="A35" s="63"/>
      <c r="B35" s="98"/>
      <c r="C35" s="99" t="s">
        <v>277</v>
      </c>
      <c r="F35" s="62"/>
      <c r="G35" s="183"/>
      <c r="H35" s="61"/>
      <c r="I35" s="169"/>
    </row>
    <row r="36" spans="1:11" x14ac:dyDescent="0.25">
      <c r="D36" s="15" t="s">
        <v>278</v>
      </c>
      <c r="F36" s="62" t="s">
        <v>276</v>
      </c>
      <c r="G36" s="183">
        <f>[7]Letters!C9</f>
        <v>0.92692924831704915</v>
      </c>
      <c r="H36" s="61"/>
      <c r="I36" s="60"/>
    </row>
    <row r="37" spans="1:11" x14ac:dyDescent="0.25">
      <c r="C37" s="61"/>
      <c r="D37" s="15" t="s">
        <v>96</v>
      </c>
      <c r="F37" s="62" t="s">
        <v>276</v>
      </c>
      <c r="G37" s="183">
        <f>[7]Letters!C10</f>
        <v>2.5509608137740784E-2</v>
      </c>
      <c r="H37" s="109"/>
      <c r="I37" s="60"/>
      <c r="J37" s="60"/>
      <c r="K37" s="60"/>
    </row>
    <row r="38" spans="1:11" x14ac:dyDescent="0.25">
      <c r="C38" s="61"/>
      <c r="D38" s="159" t="s">
        <v>62</v>
      </c>
      <c r="F38" s="62" t="s">
        <v>276</v>
      </c>
      <c r="G38" s="183">
        <f>[7]Letters!C11</f>
        <v>1.4130932874979785E-2</v>
      </c>
      <c r="H38" s="61"/>
      <c r="I38" s="60"/>
    </row>
    <row r="39" spans="1:11" x14ac:dyDescent="0.25">
      <c r="C39" s="61"/>
      <c r="D39" s="159" t="s">
        <v>279</v>
      </c>
      <c r="F39" s="62" t="s">
        <v>276</v>
      </c>
      <c r="G39" s="183">
        <f>[7]Letters!C12</f>
        <v>2.0846133969331096E-3</v>
      </c>
      <c r="H39" s="61"/>
      <c r="I39" s="60"/>
    </row>
    <row r="40" spans="1:11" x14ac:dyDescent="0.25">
      <c r="C40" s="61"/>
      <c r="D40" s="159" t="s">
        <v>97</v>
      </c>
      <c r="F40" s="62" t="s">
        <v>276</v>
      </c>
      <c r="G40" s="183">
        <f>[7]Letters!C13</f>
        <v>3.1345597273297068E-2</v>
      </c>
      <c r="H40" s="109"/>
      <c r="I40" s="60"/>
    </row>
    <row r="41" spans="1:11" x14ac:dyDescent="0.25">
      <c r="C41" s="135" t="s">
        <v>267</v>
      </c>
      <c r="D41" s="102"/>
      <c r="F41" s="62" t="s">
        <v>301</v>
      </c>
      <c r="G41" s="182">
        <f>[6]Letters!$C$15</f>
        <v>0.9725090126152891</v>
      </c>
      <c r="H41" s="61"/>
      <c r="I41" s="61"/>
    </row>
    <row r="42" spans="1:11" x14ac:dyDescent="0.25">
      <c r="C42" s="135"/>
      <c r="F42" s="62"/>
      <c r="G42" s="101"/>
      <c r="H42" s="61"/>
    </row>
    <row r="43" spans="1:11" ht="13" x14ac:dyDescent="0.3">
      <c r="A43" s="63" t="s">
        <v>98</v>
      </c>
      <c r="B43" s="64" t="s">
        <v>99</v>
      </c>
      <c r="F43" s="62"/>
      <c r="G43" s="101"/>
      <c r="H43" s="61"/>
      <c r="I43" s="161"/>
    </row>
    <row r="44" spans="1:11" ht="13" x14ac:dyDescent="0.3">
      <c r="A44" s="63"/>
      <c r="B44" s="64"/>
      <c r="C44" s="61" t="s">
        <v>268</v>
      </c>
      <c r="D44" s="61"/>
      <c r="F44" s="62" t="s">
        <v>300</v>
      </c>
      <c r="G44" s="184">
        <f>1000*'[5]MP Piggybacks'!$B$75</f>
        <v>50188015.295144804</v>
      </c>
      <c r="H44" s="156"/>
      <c r="I44" s="160"/>
      <c r="K44" s="121"/>
    </row>
    <row r="45" spans="1:11" x14ac:dyDescent="0.25">
      <c r="C45" s="61" t="s">
        <v>269</v>
      </c>
      <c r="D45" s="61"/>
      <c r="F45" s="62" t="s">
        <v>285</v>
      </c>
      <c r="G45" s="184">
        <f>[8]RBCS!$S$5+[8]RBCS!$S$8</f>
        <v>17995281893</v>
      </c>
      <c r="H45" s="61"/>
      <c r="I45" s="157"/>
    </row>
    <row r="46" spans="1:11" x14ac:dyDescent="0.25">
      <c r="C46" s="61" t="s">
        <v>270</v>
      </c>
      <c r="D46" s="61"/>
      <c r="E46" s="61"/>
      <c r="F46" s="62" t="s">
        <v>299</v>
      </c>
      <c r="G46" s="183">
        <v>0.9798</v>
      </c>
      <c r="I46" s="61"/>
    </row>
    <row r="47" spans="1:11" x14ac:dyDescent="0.25">
      <c r="C47" s="61" t="s">
        <v>100</v>
      </c>
      <c r="D47" s="61"/>
      <c r="E47" s="61"/>
      <c r="F47" s="62" t="s">
        <v>271</v>
      </c>
      <c r="G47" s="183">
        <v>8.2555217316394605E-2</v>
      </c>
      <c r="H47" s="61"/>
      <c r="I47" s="61"/>
    </row>
    <row r="48" spans="1:11" x14ac:dyDescent="0.25">
      <c r="F48" s="62"/>
      <c r="G48" s="183"/>
      <c r="H48" s="61"/>
      <c r="I48" s="61"/>
    </row>
    <row r="49" spans="1:9" ht="13" x14ac:dyDescent="0.3">
      <c r="A49" s="63" t="s">
        <v>101</v>
      </c>
      <c r="B49" s="64" t="s">
        <v>102</v>
      </c>
      <c r="F49" s="62"/>
      <c r="G49" s="183"/>
      <c r="H49" s="61"/>
      <c r="I49" s="61"/>
    </row>
    <row r="50" spans="1:9" ht="13" thickBot="1" x14ac:dyDescent="0.3">
      <c r="C50" s="164" t="s">
        <v>286</v>
      </c>
      <c r="F50" s="62" t="s">
        <v>298</v>
      </c>
      <c r="G50" s="185">
        <f>'[9]PRESORT LETTERS SUM'!$D$43</f>
        <v>2.2965943615040767</v>
      </c>
      <c r="H50" s="61"/>
      <c r="I50" s="61"/>
    </row>
    <row r="51" spans="1:9" x14ac:dyDescent="0.25">
      <c r="F51" s="62" t="s">
        <v>17</v>
      </c>
      <c r="H51" s="61"/>
      <c r="I51" s="61"/>
    </row>
    <row r="59" spans="1:9" x14ac:dyDescent="0.25">
      <c r="F59" s="162"/>
    </row>
  </sheetData>
  <phoneticPr fontId="3" type="noConversion"/>
  <printOptions horizontalCentered="1"/>
  <pageMargins left="0.75" right="0.75" top="1" bottom="1" header="0.5" footer="0.5"/>
  <pageSetup scale="73" orientation="landscape" r:id="rId1"/>
  <headerFooter alignWithMargins="0">
    <oddHeader xml:space="preserve">&amp;RUSPS -FY15-21
Section A
Page 6 of 6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26"/>
  <sheetViews>
    <sheetView zoomScaleNormal="100" workbookViewId="0">
      <selection activeCell="B56" sqref="B56"/>
    </sheetView>
  </sheetViews>
  <sheetFormatPr defaultRowHeight="12.5" x14ac:dyDescent="0.25"/>
  <cols>
    <col min="1" max="1" width="40.7265625" customWidth="1"/>
    <col min="2" max="2" width="13.7265625" style="11" customWidth="1"/>
    <col min="3" max="3" width="12.7265625" style="11" customWidth="1"/>
  </cols>
  <sheetData>
    <row r="1" spans="1:3" ht="15.5" x14ac:dyDescent="0.35">
      <c r="A1" s="3" t="s">
        <v>196</v>
      </c>
      <c r="B1" s="76"/>
    </row>
    <row r="2" spans="1:3" x14ac:dyDescent="0.25">
      <c r="B2" s="76"/>
    </row>
    <row r="3" spans="1:3" x14ac:dyDescent="0.25">
      <c r="B3" s="76"/>
    </row>
    <row r="4" spans="1:3" ht="13" x14ac:dyDescent="0.3">
      <c r="C4" s="21"/>
    </row>
    <row r="5" spans="1:3" ht="13" x14ac:dyDescent="0.3">
      <c r="A5" s="6" t="s">
        <v>103</v>
      </c>
      <c r="B5" s="25" t="s">
        <v>104</v>
      </c>
      <c r="C5" s="25"/>
    </row>
    <row r="7" spans="1:3" x14ac:dyDescent="0.25">
      <c r="A7" t="s">
        <v>105</v>
      </c>
      <c r="B7" s="17">
        <f>'ANNUAL PERMIT'!I16</f>
        <v>148.77215784068488</v>
      </c>
    </row>
    <row r="8" spans="1:3" x14ac:dyDescent="0.25">
      <c r="B8" s="17"/>
    </row>
    <row r="9" spans="1:3" x14ac:dyDescent="0.25">
      <c r="A9" t="s">
        <v>106</v>
      </c>
      <c r="B9" s="17">
        <f>'ANNUAL ACCOUNTING '!J9</f>
        <v>368.19202392755273</v>
      </c>
    </row>
    <row r="10" spans="1:3" x14ac:dyDescent="0.25">
      <c r="B10" s="17"/>
    </row>
    <row r="11" spans="1:3" x14ac:dyDescent="0.25">
      <c r="A11" t="s">
        <v>107</v>
      </c>
      <c r="B11" s="17">
        <f>'QBRM QUARTERLY'!N17</f>
        <v>129.53124569872787</v>
      </c>
    </row>
    <row r="12" spans="1:3" x14ac:dyDescent="0.25">
      <c r="B12" s="17"/>
    </row>
    <row r="13" spans="1:3" x14ac:dyDescent="0.25">
      <c r="A13" t="s">
        <v>108</v>
      </c>
      <c r="B13" s="17">
        <f>'NONLETTER SIZE BRM MONTHLY '!M17</f>
        <v>451.7897914422652</v>
      </c>
    </row>
    <row r="14" spans="1:3" x14ac:dyDescent="0.25">
      <c r="B14" s="17"/>
    </row>
    <row r="15" spans="1:3" ht="13" x14ac:dyDescent="0.3">
      <c r="C15" s="21"/>
    </row>
    <row r="16" spans="1:3" ht="13" x14ac:dyDescent="0.3">
      <c r="A16" s="6" t="s">
        <v>103</v>
      </c>
      <c r="B16" s="25" t="s">
        <v>109</v>
      </c>
      <c r="C16" s="25"/>
    </row>
    <row r="17" spans="1:3" ht="13" x14ac:dyDescent="0.3">
      <c r="A17" s="6"/>
      <c r="B17" s="25"/>
      <c r="C17" s="25"/>
    </row>
    <row r="18" spans="1:3" x14ac:dyDescent="0.25">
      <c r="A18" t="s">
        <v>110</v>
      </c>
      <c r="B18" s="95">
        <f>'HI VOL QBRM '!K14</f>
        <v>0.89359851826686987</v>
      </c>
      <c r="C18" s="68"/>
    </row>
    <row r="19" spans="1:3" x14ac:dyDescent="0.25">
      <c r="B19" s="95"/>
      <c r="C19" s="68"/>
    </row>
    <row r="20" spans="1:3" x14ac:dyDescent="0.25">
      <c r="A20" t="s">
        <v>111</v>
      </c>
      <c r="B20" s="95">
        <f>'BASIC QBRM '!K20</f>
        <v>2.1288068180058262</v>
      </c>
      <c r="C20" s="68"/>
    </row>
    <row r="21" spans="1:3" x14ac:dyDescent="0.25">
      <c r="B21" s="95"/>
      <c r="C21" s="68"/>
    </row>
    <row r="22" spans="1:3" x14ac:dyDescent="0.25">
      <c r="A22" t="s">
        <v>112</v>
      </c>
      <c r="B22" s="95">
        <f>'HI VOL BRM'!K20</f>
        <v>4.1717454181009259</v>
      </c>
      <c r="C22" s="68"/>
    </row>
    <row r="23" spans="1:3" x14ac:dyDescent="0.25">
      <c r="B23" s="95"/>
      <c r="C23" s="68"/>
    </row>
    <row r="24" spans="1:3" x14ac:dyDescent="0.25">
      <c r="A24" t="s">
        <v>113</v>
      </c>
      <c r="B24" s="95">
        <f>'BASIC BRM'!L42</f>
        <v>56.216947693377797</v>
      </c>
      <c r="C24" s="68"/>
    </row>
    <row r="25" spans="1:3" x14ac:dyDescent="0.25">
      <c r="B25" s="95"/>
      <c r="C25" s="68"/>
    </row>
    <row r="26" spans="1:3" x14ac:dyDescent="0.25">
      <c r="A26" t="s">
        <v>114</v>
      </c>
      <c r="B26" s="95">
        <f>'NONLETTER SIZE BRM'!I9</f>
        <v>0.3099754655548147</v>
      </c>
      <c r="C26" s="68"/>
    </row>
  </sheetData>
  <phoneticPr fontId="3" type="noConversion"/>
  <printOptions horizontalCentered="1"/>
  <pageMargins left="0.75" right="0.75" top="1" bottom="1" header="0.5" footer="0.5"/>
  <pageSetup orientation="landscape" horizontalDpi="4294967292" r:id="rId1"/>
  <headerFooter alignWithMargins="0">
    <oddHeader>&amp;RUSPS -FY15-21
Section B
Page 1 of 11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M27"/>
  <sheetViews>
    <sheetView zoomScaleNormal="100" workbookViewId="0">
      <selection activeCell="B56" sqref="B56"/>
    </sheetView>
  </sheetViews>
  <sheetFormatPr defaultColWidth="9.1796875" defaultRowHeight="12.5" x14ac:dyDescent="0.25"/>
  <cols>
    <col min="1" max="1" width="5.7265625" customWidth="1"/>
    <col min="2" max="2" width="30.7265625" customWidth="1"/>
    <col min="3" max="3" width="12.7265625" customWidth="1"/>
    <col min="4" max="4" width="10.7265625" style="11" customWidth="1"/>
    <col min="5" max="5" width="10.7265625" style="69" customWidth="1"/>
    <col min="6" max="6" width="10.7265625" style="11" customWidth="1"/>
    <col min="7" max="7" width="10.7265625" style="13" customWidth="1"/>
    <col min="8" max="9" width="12.7265625" style="11" customWidth="1"/>
  </cols>
  <sheetData>
    <row r="1" spans="1:11" ht="15.5" x14ac:dyDescent="0.35">
      <c r="A1" s="3" t="s">
        <v>200</v>
      </c>
      <c r="B1" s="3"/>
      <c r="C1" s="60"/>
    </row>
    <row r="2" spans="1:11" ht="16.149999999999999" customHeight="1" x14ac:dyDescent="0.35">
      <c r="A2" s="75"/>
      <c r="B2" s="3"/>
      <c r="C2" s="60"/>
    </row>
    <row r="3" spans="1:11" x14ac:dyDescent="0.25">
      <c r="A3" s="60"/>
    </row>
    <row r="4" spans="1:11" s="23" customFormat="1" ht="13" x14ac:dyDescent="0.3">
      <c r="C4" s="23" t="str">
        <f>"(1)"</f>
        <v>(1)</v>
      </c>
      <c r="D4" s="21" t="str">
        <f>"(2)"</f>
        <v>(2)</v>
      </c>
      <c r="E4" s="21" t="str">
        <f>"(3)"</f>
        <v>(3)</v>
      </c>
      <c r="F4" s="21" t="str">
        <f>"(4)"</f>
        <v>(4)</v>
      </c>
      <c r="G4" s="23" t="str">
        <f>"(5)"</f>
        <v>(5)</v>
      </c>
      <c r="H4" s="21" t="str">
        <f>"(6)"</f>
        <v>(6)</v>
      </c>
      <c r="I4" s="21" t="str">
        <f>"(7)"</f>
        <v>(7)</v>
      </c>
    </row>
    <row r="5" spans="1:11" s="23" customFormat="1" ht="13" x14ac:dyDescent="0.3">
      <c r="D5" s="21"/>
      <c r="E5" s="21"/>
      <c r="F5" s="21"/>
      <c r="H5" s="21"/>
      <c r="I5" s="21"/>
    </row>
    <row r="6" spans="1:11" ht="13" x14ac:dyDescent="0.3">
      <c r="H6" s="21" t="s">
        <v>115</v>
      </c>
    </row>
    <row r="7" spans="1:11" ht="13" x14ac:dyDescent="0.3">
      <c r="C7" s="20"/>
      <c r="E7" s="21" t="s">
        <v>115</v>
      </c>
      <c r="G7" s="4" t="s">
        <v>20</v>
      </c>
      <c r="H7" s="21" t="s">
        <v>20</v>
      </c>
      <c r="I7" s="21" t="s">
        <v>115</v>
      </c>
    </row>
    <row r="8" spans="1:11" ht="13" x14ac:dyDescent="0.3">
      <c r="C8" s="20" t="s">
        <v>116</v>
      </c>
      <c r="D8" s="21" t="s">
        <v>24</v>
      </c>
      <c r="E8" s="21" t="s">
        <v>19</v>
      </c>
      <c r="F8" s="21" t="s">
        <v>26</v>
      </c>
      <c r="G8" s="4" t="s">
        <v>27</v>
      </c>
      <c r="H8" s="21" t="s">
        <v>27</v>
      </c>
      <c r="I8" s="21" t="s">
        <v>21</v>
      </c>
    </row>
    <row r="9" spans="1:11" ht="13" x14ac:dyDescent="0.3">
      <c r="A9" s="6" t="s">
        <v>117</v>
      </c>
      <c r="B9" s="6"/>
      <c r="C9" s="24" t="s">
        <v>118</v>
      </c>
      <c r="D9" s="25" t="s">
        <v>31</v>
      </c>
      <c r="E9" s="25" t="s">
        <v>119</v>
      </c>
      <c r="F9" s="25" t="s">
        <v>33</v>
      </c>
      <c r="G9" s="8" t="s">
        <v>33</v>
      </c>
      <c r="H9" s="25" t="s">
        <v>120</v>
      </c>
      <c r="I9" s="25" t="s">
        <v>119</v>
      </c>
    </row>
    <row r="10" spans="1:11" x14ac:dyDescent="0.25">
      <c r="A10" t="s">
        <v>121</v>
      </c>
      <c r="C10" s="14">
        <v>112.2</v>
      </c>
      <c r="D10" s="11">
        <f>'BRM FEE INPUTS'!H52</f>
        <v>50.10717457546064</v>
      </c>
      <c r="E10" s="11">
        <f>C10/60*D10</f>
        <v>93.700416456111398</v>
      </c>
      <c r="F10" s="11">
        <f>'BRM FEE INPUTS'!H59</f>
        <v>1.2907912016362046</v>
      </c>
      <c r="G10" s="13">
        <f>'BRM FEE INPUTS'!H64</f>
        <v>1.0126008477139226</v>
      </c>
      <c r="H10" s="11">
        <f>(G10-1)*E10</f>
        <v>1.1807046784945829</v>
      </c>
      <c r="I10" s="17">
        <f>E10*F10+H10</f>
        <v>122.12837782969142</v>
      </c>
    </row>
    <row r="12" spans="1:11" ht="13" x14ac:dyDescent="0.3">
      <c r="A12" t="s">
        <v>122</v>
      </c>
      <c r="C12" s="14" t="str">
        <f t="shared" ref="C12:H12" si="0">"---"</f>
        <v>---</v>
      </c>
      <c r="D12" s="11" t="str">
        <f t="shared" si="0"/>
        <v>---</v>
      </c>
      <c r="E12" s="11" t="str">
        <f t="shared" si="0"/>
        <v>---</v>
      </c>
      <c r="F12" s="11" t="str">
        <f t="shared" si="0"/>
        <v>---</v>
      </c>
      <c r="G12" s="14" t="str">
        <f t="shared" si="0"/>
        <v>---</v>
      </c>
      <c r="H12" s="11" t="str">
        <f t="shared" si="0"/>
        <v>---</v>
      </c>
      <c r="I12" s="11">
        <v>0.78129999999999999</v>
      </c>
      <c r="J12" s="5" t="str">
        <f>"(8)"</f>
        <v>(8)</v>
      </c>
    </row>
    <row r="14" spans="1:11" x14ac:dyDescent="0.25">
      <c r="A14" t="s">
        <v>123</v>
      </c>
      <c r="C14" s="14">
        <v>23.76</v>
      </c>
      <c r="D14" s="11">
        <f>'BRM FEE INPUTS'!H52</f>
        <v>50.10717457546064</v>
      </c>
      <c r="E14" s="11">
        <f>C14/60*D14</f>
        <v>19.842441131882413</v>
      </c>
      <c r="F14" s="11">
        <f>'BRM FEE INPUTS'!H59</f>
        <v>1.2907912016362046</v>
      </c>
      <c r="G14" s="13">
        <f>'BRM FEE INPUTS'!H64</f>
        <v>1.0126008477139226</v>
      </c>
      <c r="H14" s="11">
        <f>(G14-1)*E14</f>
        <v>0.25003157897532347</v>
      </c>
      <c r="I14" s="17">
        <f>E14*F14+H14</f>
        <v>25.862480010993476</v>
      </c>
      <c r="K14" s="69"/>
    </row>
    <row r="15" spans="1:11" x14ac:dyDescent="0.25">
      <c r="K15" s="69"/>
    </row>
    <row r="16" spans="1:11" ht="13" x14ac:dyDescent="0.3">
      <c r="I16" s="92">
        <f>SUM(I10:I14)</f>
        <v>148.77215784068488</v>
      </c>
      <c r="J16" s="5" t="str">
        <f>"(9)"</f>
        <v>(9)</v>
      </c>
      <c r="K16" s="69"/>
    </row>
    <row r="19" spans="1:13" ht="13" x14ac:dyDescent="0.3">
      <c r="A19" s="23" t="str">
        <f>"(1)"</f>
        <v>(1)</v>
      </c>
      <c r="B19" t="s">
        <v>197</v>
      </c>
      <c r="C19" s="60"/>
      <c r="D19" s="60"/>
    </row>
    <row r="20" spans="1:13" ht="13" x14ac:dyDescent="0.3">
      <c r="A20" s="23" t="str">
        <f>"(2)"</f>
        <v>(2)</v>
      </c>
      <c r="B20" s="61" t="s">
        <v>288</v>
      </c>
    </row>
    <row r="21" spans="1:13" ht="13" x14ac:dyDescent="0.3">
      <c r="A21" s="23" t="str">
        <f>"(3)"</f>
        <v>(3)</v>
      </c>
      <c r="B21" t="s">
        <v>124</v>
      </c>
    </row>
    <row r="22" spans="1:13" ht="13" x14ac:dyDescent="0.3">
      <c r="A22" s="23" t="str">
        <f>"(4)"</f>
        <v>(4)</v>
      </c>
      <c r="B22" s="61" t="s">
        <v>288</v>
      </c>
      <c r="H22" s="70"/>
    </row>
    <row r="23" spans="1:13" ht="13" x14ac:dyDescent="0.3">
      <c r="A23" s="23" t="str">
        <f>"(5)"</f>
        <v>(5)</v>
      </c>
      <c r="B23" s="61" t="s">
        <v>288</v>
      </c>
    </row>
    <row r="24" spans="1:13" ht="13" x14ac:dyDescent="0.3">
      <c r="A24" s="23" t="str">
        <f>"(6)"</f>
        <v>(6)</v>
      </c>
      <c r="B24" t="s">
        <v>125</v>
      </c>
    </row>
    <row r="25" spans="1:13" ht="13" x14ac:dyDescent="0.3">
      <c r="A25" s="23" t="str">
        <f>"(7)"</f>
        <v>(7)</v>
      </c>
      <c r="B25" t="s">
        <v>126</v>
      </c>
    </row>
    <row r="26" spans="1:13" ht="13" x14ac:dyDescent="0.3">
      <c r="A26" s="23" t="str">
        <f>"(8)"</f>
        <v>(8)</v>
      </c>
      <c r="B26" s="61" t="s">
        <v>287</v>
      </c>
      <c r="C26" s="15"/>
      <c r="D26" s="71"/>
      <c r="E26" s="72"/>
      <c r="F26" s="73"/>
      <c r="G26" s="74"/>
      <c r="H26" s="71"/>
      <c r="I26" s="71"/>
      <c r="J26" s="75"/>
      <c r="K26" s="75"/>
      <c r="L26" s="75"/>
      <c r="M26" s="75"/>
    </row>
    <row r="27" spans="1:13" ht="13" x14ac:dyDescent="0.3">
      <c r="A27" s="23" t="str">
        <f>"(9)"</f>
        <v>(9)</v>
      </c>
      <c r="B27" t="s">
        <v>127</v>
      </c>
      <c r="F27" s="76"/>
    </row>
  </sheetData>
  <phoneticPr fontId="3" type="noConversion"/>
  <printOptions horizontalCentered="1"/>
  <pageMargins left="0.75" right="0.75" top="1" bottom="1" header="0.5" footer="0.5"/>
  <pageSetup scale="96" orientation="landscape" horizontalDpi="4294967292" r:id="rId1"/>
  <headerFooter alignWithMargins="0">
    <oddHeader>&amp;RUSPS -FY15-21
Section B
page  2 of 11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O56"/>
  <sheetViews>
    <sheetView topLeftCell="A4" zoomScale="85" zoomScaleNormal="85" workbookViewId="0">
      <selection activeCell="B56" sqref="B56"/>
    </sheetView>
  </sheetViews>
  <sheetFormatPr defaultColWidth="9.1796875" defaultRowHeight="12.5" x14ac:dyDescent="0.25"/>
  <cols>
    <col min="1" max="1" width="5.7265625" customWidth="1"/>
    <col min="2" max="2" width="30.7265625" customWidth="1"/>
    <col min="3" max="3" width="10.7265625" style="77" customWidth="1"/>
    <col min="4" max="4" width="12.7265625" style="13" customWidth="1"/>
    <col min="5" max="5" width="12.7265625" style="46" customWidth="1"/>
    <col min="6" max="7" width="12.7265625" customWidth="1"/>
    <col min="8" max="8" width="9" style="11" customWidth="1"/>
    <col min="9" max="9" width="10.7265625" style="69" customWidth="1"/>
    <col min="10" max="10" width="10.7265625" style="14" customWidth="1"/>
    <col min="11" max="11" width="10.7265625" style="13" customWidth="1"/>
    <col min="12" max="12" width="12.7265625" style="11" customWidth="1"/>
    <col min="13" max="13" width="10.7265625" style="11" customWidth="1"/>
    <col min="14" max="14" width="12.7265625" style="11" customWidth="1"/>
  </cols>
  <sheetData>
    <row r="1" spans="1:14" ht="15.5" x14ac:dyDescent="0.35">
      <c r="A1" s="3" t="s">
        <v>134</v>
      </c>
      <c r="B1" s="3"/>
      <c r="C1" s="93"/>
      <c r="D1" s="129"/>
      <c r="E1" s="131"/>
      <c r="H1" s="76"/>
    </row>
    <row r="2" spans="1:14" x14ac:dyDescent="0.25">
      <c r="A2" s="60"/>
      <c r="H2" s="94"/>
    </row>
    <row r="4" spans="1:14" s="23" customFormat="1" ht="13" x14ac:dyDescent="0.3">
      <c r="C4" s="80" t="str">
        <f>"(1)"</f>
        <v>(1)</v>
      </c>
      <c r="D4" s="4" t="str">
        <f>"(2)"</f>
        <v>(2)</v>
      </c>
      <c r="E4" s="132" t="str">
        <f>"(3)"</f>
        <v>(3)</v>
      </c>
      <c r="F4" s="23" t="str">
        <f>"(4)"</f>
        <v>(4)</v>
      </c>
      <c r="G4" s="23" t="str">
        <f>"(5)"</f>
        <v>(5)</v>
      </c>
      <c r="H4" s="21" t="str">
        <f>"(6)"</f>
        <v>(6)</v>
      </c>
      <c r="I4" s="21" t="str">
        <f>"(7)"</f>
        <v>(7)</v>
      </c>
      <c r="J4" s="23" t="str">
        <f>"(8)"</f>
        <v>(8)</v>
      </c>
      <c r="K4" s="4" t="str">
        <f>"(9)"</f>
        <v>(9)</v>
      </c>
      <c r="L4" s="21" t="str">
        <f>"(10)"</f>
        <v>(10)</v>
      </c>
      <c r="M4" s="21" t="str">
        <f>"(11)"</f>
        <v>(11)</v>
      </c>
      <c r="N4" s="21" t="str">
        <f>"(12)"</f>
        <v>(12)</v>
      </c>
    </row>
    <row r="5" spans="1:14" s="23" customFormat="1" ht="13" x14ac:dyDescent="0.3">
      <c r="C5" s="80"/>
      <c r="D5" s="4"/>
      <c r="E5" s="132"/>
      <c r="H5" s="21"/>
      <c r="I5" s="21"/>
      <c r="K5" s="4"/>
      <c r="L5" s="21"/>
      <c r="M5" s="21"/>
      <c r="N5" s="21"/>
    </row>
    <row r="6" spans="1:14" ht="13" x14ac:dyDescent="0.3">
      <c r="F6" s="60"/>
      <c r="L6" s="21"/>
    </row>
    <row r="7" spans="1:14" ht="13" x14ac:dyDescent="0.3">
      <c r="D7" s="4" t="s">
        <v>226</v>
      </c>
      <c r="E7" s="132" t="s">
        <v>230</v>
      </c>
      <c r="F7" s="20" t="s">
        <v>136</v>
      </c>
      <c r="G7" s="20" t="s">
        <v>136</v>
      </c>
      <c r="I7" s="21" t="s">
        <v>136</v>
      </c>
      <c r="J7" s="13"/>
      <c r="K7" s="4" t="s">
        <v>20</v>
      </c>
      <c r="L7" s="21" t="s">
        <v>20</v>
      </c>
      <c r="M7" s="21" t="s">
        <v>136</v>
      </c>
      <c r="N7" s="21" t="s">
        <v>22</v>
      </c>
    </row>
    <row r="8" spans="1:14" ht="13" x14ac:dyDescent="0.3">
      <c r="D8" s="4" t="s">
        <v>137</v>
      </c>
      <c r="E8" s="132" t="s">
        <v>231</v>
      </c>
      <c r="F8" s="20" t="s">
        <v>137</v>
      </c>
      <c r="G8" s="20" t="s">
        <v>242</v>
      </c>
      <c r="H8" s="21" t="s">
        <v>24</v>
      </c>
      <c r="I8" s="21" t="s">
        <v>19</v>
      </c>
      <c r="J8" s="4" t="s">
        <v>26</v>
      </c>
      <c r="K8" s="4" t="s">
        <v>27</v>
      </c>
      <c r="L8" s="21" t="s">
        <v>27</v>
      </c>
      <c r="M8" s="21" t="s">
        <v>21</v>
      </c>
      <c r="N8" s="21" t="s">
        <v>21</v>
      </c>
    </row>
    <row r="9" spans="1:14" ht="13" x14ac:dyDescent="0.3">
      <c r="A9" s="6" t="s">
        <v>138</v>
      </c>
      <c r="B9" s="6"/>
      <c r="C9" s="83" t="s">
        <v>139</v>
      </c>
      <c r="D9" s="8" t="s">
        <v>140</v>
      </c>
      <c r="E9" s="133" t="s">
        <v>232</v>
      </c>
      <c r="F9" s="24" t="s">
        <v>140</v>
      </c>
      <c r="G9" s="24" t="s">
        <v>140</v>
      </c>
      <c r="H9" s="25" t="s">
        <v>31</v>
      </c>
      <c r="I9" s="25" t="s">
        <v>119</v>
      </c>
      <c r="J9" s="8" t="s">
        <v>33</v>
      </c>
      <c r="K9" s="8" t="s">
        <v>33</v>
      </c>
      <c r="L9" s="25" t="s">
        <v>120</v>
      </c>
      <c r="M9" s="25" t="s">
        <v>119</v>
      </c>
      <c r="N9" s="25" t="s">
        <v>119</v>
      </c>
    </row>
    <row r="10" spans="1:14" x14ac:dyDescent="0.25">
      <c r="F10" s="14"/>
      <c r="G10" s="14"/>
      <c r="I10" s="11"/>
    </row>
    <row r="11" spans="1:14" x14ac:dyDescent="0.25">
      <c r="F11" s="14"/>
      <c r="G11" s="14"/>
      <c r="I11" s="11"/>
    </row>
    <row r="12" spans="1:14" x14ac:dyDescent="0.25">
      <c r="A12" t="s">
        <v>239</v>
      </c>
      <c r="B12" s="15"/>
      <c r="C12" s="77">
        <v>0.76100000000000001</v>
      </c>
      <c r="D12" s="13">
        <f>'BRM FEE INPUTS'!$H$27</f>
        <v>1.4174179868255607</v>
      </c>
      <c r="E12" s="46">
        <v>303</v>
      </c>
      <c r="F12" s="127">
        <f>D12*(E12/4)</f>
        <v>107.36941250203623</v>
      </c>
      <c r="G12" s="13">
        <f>F12/60</f>
        <v>1.7894902083672704</v>
      </c>
      <c r="H12" s="11">
        <f>'BRM FEE INPUTS'!$H$52</f>
        <v>50.10717457546064</v>
      </c>
      <c r="I12" s="11">
        <f>H12*G12</f>
        <v>89.666298271736252</v>
      </c>
      <c r="J12" s="13">
        <f>'BRM FEE INPUTS'!$H$58</f>
        <v>1.2907912016362046</v>
      </c>
      <c r="K12" s="13">
        <f>'BRM FEE INPUTS'!$H$64</f>
        <v>1.0126008477139226</v>
      </c>
      <c r="L12" s="11">
        <f>(K12-1)*I12</f>
        <v>1.129871369593306</v>
      </c>
      <c r="M12" s="17">
        <f>I12*J12+L12</f>
        <v>116.87034026203808</v>
      </c>
      <c r="N12" s="11">
        <f>M12*C12</f>
        <v>88.93832893941098</v>
      </c>
    </row>
    <row r="13" spans="1:14" x14ac:dyDescent="0.25">
      <c r="B13" s="60"/>
      <c r="F13" s="62"/>
      <c r="G13" s="14"/>
      <c r="I13" s="11"/>
    </row>
    <row r="14" spans="1:14" x14ac:dyDescent="0.25">
      <c r="A14" t="s">
        <v>240</v>
      </c>
      <c r="C14" s="84">
        <v>0.23899999999999999</v>
      </c>
      <c r="D14" s="2">
        <f>'BRM FEE INPUTS'!$H$28</f>
        <v>2.0598992921701624</v>
      </c>
      <c r="E14" s="46">
        <v>303</v>
      </c>
      <c r="F14" s="127">
        <f>D14*(E14/4)</f>
        <v>156.03737138188981</v>
      </c>
      <c r="G14" s="13">
        <f>F14/60</f>
        <v>2.6006228563648301</v>
      </c>
      <c r="H14" s="11">
        <f>'BRM FEE INPUTS'!$H$52</f>
        <v>50.10717457546064</v>
      </c>
      <c r="I14" s="11">
        <f>H14*G14</f>
        <v>130.30986346880564</v>
      </c>
      <c r="J14" s="13">
        <f>'BRM FEE INPUTS'!$H$58</f>
        <v>1.2907912016362046</v>
      </c>
      <c r="K14" s="13">
        <f>'BRM FEE INPUTS'!$H$64</f>
        <v>1.0126008477139226</v>
      </c>
      <c r="L14" s="11">
        <f>(K14-1)*I14</f>
        <v>1.6420147451924603</v>
      </c>
      <c r="M14" s="17">
        <f>I14*J14+L14</f>
        <v>169.84483999714186</v>
      </c>
      <c r="N14" s="11">
        <f>M14*C14</f>
        <v>40.5929167593169</v>
      </c>
    </row>
    <row r="17" spans="1:15" ht="13" x14ac:dyDescent="0.3">
      <c r="C17" s="77">
        <f>SUM(C10:C14)</f>
        <v>1</v>
      </c>
      <c r="N17" s="92">
        <f>SUM(N10:N14)</f>
        <v>129.53124569872787</v>
      </c>
      <c r="O17" s="5" t="str">
        <f>"(13)"</f>
        <v>(13)</v>
      </c>
    </row>
    <row r="20" spans="1:15" s="75" customFormat="1" ht="13" x14ac:dyDescent="0.3">
      <c r="A20" s="23" t="str">
        <f>"(1)"</f>
        <v>(1)</v>
      </c>
      <c r="B20" s="15" t="s">
        <v>238</v>
      </c>
      <c r="C20" s="104"/>
      <c r="D20" s="130"/>
      <c r="E20" s="134"/>
      <c r="F20" s="86"/>
      <c r="H20" s="71"/>
      <c r="I20" s="72"/>
      <c r="J20" s="106"/>
      <c r="K20" s="74"/>
      <c r="L20" s="71"/>
      <c r="M20" s="71"/>
      <c r="N20" s="71"/>
    </row>
    <row r="21" spans="1:15" ht="13" x14ac:dyDescent="0.3">
      <c r="A21" s="23" t="str">
        <f>"(2)"</f>
        <v>(2)</v>
      </c>
      <c r="B21" s="61" t="s">
        <v>288</v>
      </c>
      <c r="C21" s="78"/>
      <c r="D21" s="130"/>
      <c r="E21" s="134"/>
      <c r="F21" s="78"/>
    </row>
    <row r="22" spans="1:15" ht="13" x14ac:dyDescent="0.3">
      <c r="A22" s="23" t="str">
        <f>"(3)"</f>
        <v>(3)</v>
      </c>
      <c r="B22" t="s">
        <v>263</v>
      </c>
      <c r="C22" s="78"/>
      <c r="D22" s="130"/>
      <c r="E22" s="134"/>
      <c r="F22" s="78"/>
    </row>
    <row r="23" spans="1:15" ht="13" x14ac:dyDescent="0.3">
      <c r="A23" s="23" t="str">
        <f>"(4)"</f>
        <v>(4)</v>
      </c>
      <c r="B23" t="s">
        <v>241</v>
      </c>
      <c r="C23" s="78"/>
      <c r="D23" s="130"/>
      <c r="E23" s="134"/>
      <c r="F23" s="78"/>
    </row>
    <row r="24" spans="1:15" ht="13" x14ac:dyDescent="0.3">
      <c r="A24" s="23" t="str">
        <f>"(5)"</f>
        <v>(5)</v>
      </c>
      <c r="B24" t="s">
        <v>243</v>
      </c>
    </row>
    <row r="25" spans="1:15" ht="13" x14ac:dyDescent="0.3">
      <c r="A25" s="23" t="str">
        <f>"(6)"</f>
        <v>(6)</v>
      </c>
      <c r="B25" t="s">
        <v>288</v>
      </c>
    </row>
    <row r="26" spans="1:15" ht="13" x14ac:dyDescent="0.3">
      <c r="A26" s="23" t="str">
        <f>"(7)"</f>
        <v>(7)</v>
      </c>
      <c r="B26" t="s">
        <v>244</v>
      </c>
    </row>
    <row r="27" spans="1:15" ht="13" x14ac:dyDescent="0.3">
      <c r="A27" s="23" t="str">
        <f>"(8)"</f>
        <v>(8)</v>
      </c>
      <c r="B27" t="s">
        <v>288</v>
      </c>
    </row>
    <row r="28" spans="1:15" ht="13" x14ac:dyDescent="0.3">
      <c r="A28" s="23" t="str">
        <f>"(9)"</f>
        <v>(9)</v>
      </c>
      <c r="B28" t="s">
        <v>288</v>
      </c>
    </row>
    <row r="29" spans="1:15" ht="13" x14ac:dyDescent="0.3">
      <c r="A29" s="23" t="str">
        <f>"(10)"</f>
        <v>(10)</v>
      </c>
      <c r="B29" t="s">
        <v>245</v>
      </c>
    </row>
    <row r="30" spans="1:15" ht="13" x14ac:dyDescent="0.3">
      <c r="A30" s="23" t="str">
        <f>"(11)"</f>
        <v>(11)</v>
      </c>
      <c r="B30" t="s">
        <v>246</v>
      </c>
    </row>
    <row r="31" spans="1:15" ht="13" x14ac:dyDescent="0.3">
      <c r="A31" s="23" t="str">
        <f>"(12)"</f>
        <v>(12)</v>
      </c>
      <c r="B31" t="s">
        <v>247</v>
      </c>
    </row>
    <row r="32" spans="1:15" ht="13" x14ac:dyDescent="0.3">
      <c r="A32" s="23" t="str">
        <f>"(13)"</f>
        <v>(13)</v>
      </c>
      <c r="B32" t="s">
        <v>248</v>
      </c>
    </row>
    <row r="56" spans="2:2" x14ac:dyDescent="0.25">
      <c r="B56" t="s">
        <v>283</v>
      </c>
    </row>
  </sheetData>
  <phoneticPr fontId="3" type="noConversion"/>
  <printOptions horizontalCentered="1"/>
  <pageMargins left="0.75" right="0.75" top="1" bottom="1" header="0.5" footer="0.5"/>
  <pageSetup scale="66" orientation="landscape" horizontalDpi="4294967292" r:id="rId1"/>
  <headerFooter alignWithMargins="0">
    <oddHeader>&amp;RUSPS -FY15-21
Section B
Page  4 of 11</oddHeader>
  </headerFooter>
  <ignoredErrors>
    <ignoredError sqref="E4 G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J21"/>
  <sheetViews>
    <sheetView zoomScaleNormal="100" workbookViewId="0">
      <selection activeCell="B56" sqref="B56"/>
    </sheetView>
  </sheetViews>
  <sheetFormatPr defaultColWidth="9.1796875" defaultRowHeight="12.5" x14ac:dyDescent="0.25"/>
  <cols>
    <col min="1" max="1" width="5.7265625" customWidth="1"/>
    <col min="2" max="2" width="30.7265625" customWidth="1"/>
    <col min="3" max="4" width="12.7265625" customWidth="1"/>
    <col min="5" max="5" width="10.7265625" style="11" customWidth="1"/>
    <col min="6" max="6" width="10.7265625" style="69" customWidth="1"/>
    <col min="7" max="7" width="10.7265625" style="14" customWidth="1"/>
    <col min="8" max="8" width="10.7265625" style="13" customWidth="1"/>
    <col min="9" max="9" width="12.7265625" style="11" customWidth="1"/>
    <col min="10" max="10" width="12.7265625" style="69" customWidth="1"/>
  </cols>
  <sheetData>
    <row r="1" spans="1:10" ht="15.5" x14ac:dyDescent="0.35">
      <c r="A1" s="3" t="s">
        <v>128</v>
      </c>
      <c r="B1" s="3"/>
    </row>
    <row r="2" spans="1:10" x14ac:dyDescent="0.25">
      <c r="A2" s="60"/>
    </row>
    <row r="3" spans="1:10" s="23" customFormat="1" ht="13" x14ac:dyDescent="0.3">
      <c r="C3" s="23" t="str">
        <f>"(1)"</f>
        <v>(1)</v>
      </c>
      <c r="D3" s="23" t="str">
        <f>"(2)"</f>
        <v>(2)</v>
      </c>
      <c r="E3" s="21" t="str">
        <f>"(3)"</f>
        <v>(3)</v>
      </c>
      <c r="F3" s="21" t="str">
        <f>"(4)"</f>
        <v>(4)</v>
      </c>
      <c r="G3" s="23" t="str">
        <f>"(5)"</f>
        <v>(5)</v>
      </c>
      <c r="H3" s="23" t="str">
        <f>"(6)"</f>
        <v>(6)</v>
      </c>
      <c r="I3" s="21" t="str">
        <f>"(7)"</f>
        <v>(7)</v>
      </c>
      <c r="J3" s="21" t="str">
        <f>"(8)"</f>
        <v>(8)</v>
      </c>
    </row>
    <row r="4" spans="1:10" s="23" customFormat="1" ht="13" x14ac:dyDescent="0.3">
      <c r="E4" s="21"/>
      <c r="F4" s="21"/>
      <c r="I4" s="21"/>
      <c r="J4" s="21"/>
    </row>
    <row r="5" spans="1:10" ht="13" x14ac:dyDescent="0.3">
      <c r="I5" s="21" t="s">
        <v>115</v>
      </c>
    </row>
    <row r="6" spans="1:10" ht="13" x14ac:dyDescent="0.3">
      <c r="C6" s="20" t="s">
        <v>129</v>
      </c>
      <c r="D6" s="20" t="s">
        <v>115</v>
      </c>
      <c r="F6" s="21" t="s">
        <v>115</v>
      </c>
      <c r="G6" s="13"/>
      <c r="H6" s="4" t="s">
        <v>20</v>
      </c>
      <c r="I6" s="21" t="s">
        <v>20</v>
      </c>
      <c r="J6" s="21" t="s">
        <v>115</v>
      </c>
    </row>
    <row r="7" spans="1:10" ht="13" x14ac:dyDescent="0.3">
      <c r="C7" s="20" t="s">
        <v>130</v>
      </c>
      <c r="D7" s="20" t="s">
        <v>130</v>
      </c>
      <c r="E7" s="21" t="s">
        <v>24</v>
      </c>
      <c r="F7" s="21" t="s">
        <v>19</v>
      </c>
      <c r="G7" s="4" t="s">
        <v>26</v>
      </c>
      <c r="H7" s="4" t="s">
        <v>27</v>
      </c>
      <c r="I7" s="21" t="s">
        <v>27</v>
      </c>
      <c r="J7" s="21" t="s">
        <v>21</v>
      </c>
    </row>
    <row r="8" spans="1:10" ht="13" x14ac:dyDescent="0.3">
      <c r="A8" s="6" t="s">
        <v>117</v>
      </c>
      <c r="B8" s="6"/>
      <c r="C8" s="24" t="s">
        <v>118</v>
      </c>
      <c r="D8" s="24" t="s">
        <v>118</v>
      </c>
      <c r="E8" s="25" t="s">
        <v>31</v>
      </c>
      <c r="F8" s="25" t="s">
        <v>119</v>
      </c>
      <c r="G8" s="8" t="s">
        <v>33</v>
      </c>
      <c r="H8" s="8" t="s">
        <v>33</v>
      </c>
      <c r="I8" s="25" t="s">
        <v>120</v>
      </c>
      <c r="J8" s="25" t="s">
        <v>119</v>
      </c>
    </row>
    <row r="9" spans="1:10" ht="13" x14ac:dyDescent="0.3">
      <c r="A9" t="s">
        <v>131</v>
      </c>
      <c r="C9" s="13">
        <f>6.505/60</f>
        <v>0.10841666666666666</v>
      </c>
      <c r="D9" s="13">
        <f>C9*52</f>
        <v>5.6376666666666662</v>
      </c>
      <c r="E9" s="11">
        <f>'BRM FEE INPUTS'!H52</f>
        <v>50.10717457546064</v>
      </c>
      <c r="F9" s="11">
        <f>E9*D9</f>
        <v>282.48754786492191</v>
      </c>
      <c r="G9" s="13">
        <f>'BRM FEE INPUTS'!H59</f>
        <v>1.2907912016362046</v>
      </c>
      <c r="H9" s="13">
        <f>'BRM FEE INPUTS'!H64</f>
        <v>1.0126008477139226</v>
      </c>
      <c r="I9" s="11">
        <f>(H9-1)*F9</f>
        <v>3.5595825717252905</v>
      </c>
      <c r="J9" s="163">
        <f>F9*G9+I9</f>
        <v>368.19202392755273</v>
      </c>
    </row>
    <row r="12" spans="1:10" ht="13" x14ac:dyDescent="0.3">
      <c r="A12" s="23" t="str">
        <f>"(1)"</f>
        <v>(1)</v>
      </c>
      <c r="B12" s="61" t="s">
        <v>202</v>
      </c>
      <c r="D12" s="86"/>
    </row>
    <row r="13" spans="1:10" ht="13" x14ac:dyDescent="0.3">
      <c r="A13" s="23" t="str">
        <f>"(2)"</f>
        <v>(2)</v>
      </c>
      <c r="B13" t="s">
        <v>132</v>
      </c>
    </row>
    <row r="14" spans="1:10" ht="13" x14ac:dyDescent="0.3">
      <c r="A14" s="23" t="str">
        <f>"(3)"</f>
        <v>(3)</v>
      </c>
      <c r="B14" s="61" t="s">
        <v>288</v>
      </c>
    </row>
    <row r="15" spans="1:10" ht="13" x14ac:dyDescent="0.3">
      <c r="A15" s="23" t="str">
        <f>"(4)"</f>
        <v>(4)</v>
      </c>
      <c r="B15" t="s">
        <v>133</v>
      </c>
    </row>
    <row r="16" spans="1:10" ht="13" x14ac:dyDescent="0.3">
      <c r="A16" s="23" t="str">
        <f>"(5)"</f>
        <v>(5)</v>
      </c>
      <c r="B16" s="61" t="s">
        <v>288</v>
      </c>
    </row>
    <row r="17" spans="1:2" ht="13" x14ac:dyDescent="0.3">
      <c r="A17" s="23" t="str">
        <f>"(6)"</f>
        <v>(6)</v>
      </c>
      <c r="B17" s="61" t="s">
        <v>288</v>
      </c>
    </row>
    <row r="18" spans="1:2" ht="13" x14ac:dyDescent="0.3">
      <c r="A18" s="23" t="str">
        <f>"(7)"</f>
        <v>(7)</v>
      </c>
      <c r="B18" t="s">
        <v>43</v>
      </c>
    </row>
    <row r="19" spans="1:2" ht="13" x14ac:dyDescent="0.3">
      <c r="A19" s="23" t="str">
        <f>"(8)"</f>
        <v>(8)</v>
      </c>
      <c r="B19" t="s">
        <v>44</v>
      </c>
    </row>
    <row r="20" spans="1:2" ht="13" x14ac:dyDescent="0.3">
      <c r="A20" s="23"/>
    </row>
    <row r="21" spans="1:2" ht="13" x14ac:dyDescent="0.3">
      <c r="A21" s="23"/>
    </row>
  </sheetData>
  <phoneticPr fontId="3" type="noConversion"/>
  <printOptions horizontalCentered="1"/>
  <pageMargins left="0.75" right="0.75" top="1" bottom="1" header="0.5" footer="0.5"/>
  <pageSetup scale="94" orientation="landscape" horizontalDpi="4294967292" r:id="rId1"/>
  <headerFooter alignWithMargins="0">
    <oddHeader>&amp;RUSPS -FY15-21
Section B
Page 3 of 11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N34"/>
  <sheetViews>
    <sheetView zoomScale="115" zoomScaleNormal="115" workbookViewId="0">
      <selection activeCell="B56" sqref="B56"/>
    </sheetView>
  </sheetViews>
  <sheetFormatPr defaultColWidth="9.1796875" defaultRowHeight="12.5" x14ac:dyDescent="0.25"/>
  <cols>
    <col min="1" max="1" width="5.7265625" customWidth="1"/>
    <col min="2" max="2" width="30.7265625" customWidth="1"/>
    <col min="3" max="6" width="12.7265625" customWidth="1"/>
    <col min="7" max="7" width="13.7265625" customWidth="1"/>
    <col min="8" max="8" width="10.7265625" style="11" customWidth="1"/>
    <col min="9" max="9" width="10.7265625" style="69" customWidth="1"/>
    <col min="10" max="10" width="10.7265625" style="14" customWidth="1"/>
    <col min="11" max="11" width="10.7265625" style="13" customWidth="1"/>
    <col min="12" max="13" width="12.7265625" style="11" customWidth="1"/>
  </cols>
  <sheetData>
    <row r="1" spans="1:13" ht="15.5" x14ac:dyDescent="0.35">
      <c r="A1" s="3" t="s">
        <v>141</v>
      </c>
      <c r="B1" s="3"/>
    </row>
    <row r="2" spans="1:13" x14ac:dyDescent="0.25">
      <c r="A2" s="75"/>
    </row>
    <row r="4" spans="1:13" s="23" customFormat="1" ht="13" x14ac:dyDescent="0.3">
      <c r="C4" s="23" t="str">
        <f>"(1)"</f>
        <v>(1)</v>
      </c>
      <c r="D4" s="23" t="str">
        <f>"(2)"</f>
        <v>(2)</v>
      </c>
      <c r="E4" s="23" t="str">
        <f>"(3)"</f>
        <v>(3)</v>
      </c>
      <c r="F4" s="23" t="str">
        <f>"(4)"</f>
        <v>(4)</v>
      </c>
      <c r="G4" s="23" t="str">
        <f>"(5)"</f>
        <v>(5)</v>
      </c>
      <c r="H4" s="21" t="str">
        <f>"(6)"</f>
        <v>(6)</v>
      </c>
      <c r="I4" s="21" t="str">
        <f>"(7)"</f>
        <v>(7)</v>
      </c>
      <c r="J4" s="23" t="str">
        <f>"(8)"</f>
        <v>(8)</v>
      </c>
      <c r="K4" s="4" t="str">
        <f>"(9)"</f>
        <v>(9)</v>
      </c>
      <c r="L4" s="21" t="str">
        <f>"(10)"</f>
        <v>(10)</v>
      </c>
      <c r="M4" s="21" t="str">
        <f>"(11)"</f>
        <v>(11)</v>
      </c>
    </row>
    <row r="5" spans="1:13" s="23" customFormat="1" ht="13" x14ac:dyDescent="0.3">
      <c r="H5" s="21"/>
      <c r="I5" s="21"/>
      <c r="K5" s="4"/>
      <c r="L5" s="21"/>
      <c r="M5" s="21"/>
    </row>
    <row r="6" spans="1:13" ht="13" x14ac:dyDescent="0.3">
      <c r="L6" s="21"/>
    </row>
    <row r="7" spans="1:13" ht="13" x14ac:dyDescent="0.3">
      <c r="C7" s="91"/>
      <c r="D7" s="20" t="s">
        <v>230</v>
      </c>
      <c r="E7" s="20" t="s">
        <v>230</v>
      </c>
      <c r="F7" s="20"/>
      <c r="G7" s="20"/>
      <c r="I7" s="21" t="s">
        <v>135</v>
      </c>
      <c r="J7" s="13"/>
      <c r="K7" s="4" t="s">
        <v>20</v>
      </c>
      <c r="L7" s="21" t="s">
        <v>20</v>
      </c>
      <c r="M7" s="21" t="s">
        <v>135</v>
      </c>
    </row>
    <row r="8" spans="1:13" ht="13" x14ac:dyDescent="0.3">
      <c r="C8" s="20" t="s">
        <v>116</v>
      </c>
      <c r="D8" s="20" t="s">
        <v>231</v>
      </c>
      <c r="E8" s="20" t="s">
        <v>231</v>
      </c>
      <c r="F8" s="20" t="s">
        <v>116</v>
      </c>
      <c r="G8" s="20" t="s">
        <v>242</v>
      </c>
      <c r="H8" s="21" t="s">
        <v>24</v>
      </c>
      <c r="I8" s="21" t="s">
        <v>19</v>
      </c>
      <c r="J8" s="4" t="s">
        <v>26</v>
      </c>
      <c r="K8" s="4" t="s">
        <v>27</v>
      </c>
      <c r="L8" s="21" t="s">
        <v>27</v>
      </c>
      <c r="M8" s="21" t="s">
        <v>21</v>
      </c>
    </row>
    <row r="9" spans="1:13" ht="13" x14ac:dyDescent="0.3">
      <c r="A9" s="6" t="s">
        <v>138</v>
      </c>
      <c r="B9" s="6"/>
      <c r="C9" s="24" t="s">
        <v>237</v>
      </c>
      <c r="D9" s="24" t="s">
        <v>232</v>
      </c>
      <c r="E9" s="24" t="s">
        <v>142</v>
      </c>
      <c r="F9" s="24" t="s">
        <v>236</v>
      </c>
      <c r="G9" s="24" t="s">
        <v>142</v>
      </c>
      <c r="H9" s="25" t="s">
        <v>31</v>
      </c>
      <c r="I9" s="25" t="s">
        <v>119</v>
      </c>
      <c r="J9" s="8" t="s">
        <v>33</v>
      </c>
      <c r="K9" s="8" t="s">
        <v>33</v>
      </c>
      <c r="L9" s="25" t="s">
        <v>120</v>
      </c>
      <c r="M9" s="25" t="s">
        <v>119</v>
      </c>
    </row>
    <row r="10" spans="1:13" ht="13" x14ac:dyDescent="0.3">
      <c r="A10" s="6"/>
      <c r="B10" s="6"/>
      <c r="C10" s="24"/>
      <c r="D10" s="24"/>
      <c r="E10" s="24"/>
      <c r="F10" s="24"/>
      <c r="G10" s="24"/>
      <c r="H10" s="25"/>
      <c r="I10" s="25"/>
      <c r="J10" s="8"/>
      <c r="K10" s="8"/>
      <c r="L10" s="25"/>
      <c r="M10" s="25"/>
    </row>
    <row r="11" spans="1:13" ht="13" x14ac:dyDescent="0.3">
      <c r="A11" s="6"/>
      <c r="B11" s="6"/>
      <c r="C11" s="24"/>
      <c r="D11" s="24"/>
      <c r="E11" s="24"/>
      <c r="F11" s="24"/>
      <c r="G11" s="24"/>
      <c r="H11" s="25"/>
      <c r="I11" s="25"/>
      <c r="J11" s="8"/>
      <c r="K11" s="8"/>
      <c r="L11" s="25"/>
      <c r="M11" s="25"/>
    </row>
    <row r="12" spans="1:13" x14ac:dyDescent="0.25">
      <c r="A12" t="s">
        <v>143</v>
      </c>
      <c r="C12" s="13">
        <f>'BRM FEE INPUTS'!H31</f>
        <v>4.6037638545350843</v>
      </c>
      <c r="D12" s="46">
        <v>303</v>
      </c>
      <c r="E12" s="46">
        <f>D12/12</f>
        <v>25.25</v>
      </c>
      <c r="F12" s="13">
        <f>C12*E12</f>
        <v>116.24503732701088</v>
      </c>
      <c r="G12" s="13">
        <f>F12/60</f>
        <v>1.9374172887835146</v>
      </c>
      <c r="H12" s="11">
        <f>'BRM FEE INPUTS'!$H$52</f>
        <v>50.10717457546064</v>
      </c>
      <c r="I12" s="11">
        <f>G12*H12</f>
        <v>97.078506314591209</v>
      </c>
      <c r="J12" s="13">
        <f>'BRM FEE INPUTS'!$H$58</f>
        <v>1.2907912016362046</v>
      </c>
      <c r="K12" s="13">
        <f>'BRM FEE INPUTS'!$H$64</f>
        <v>1.0126008477139226</v>
      </c>
      <c r="L12" s="11">
        <f>(K12-1)*I12</f>
        <v>1.2232714743652333</v>
      </c>
      <c r="M12" s="11">
        <f>I12*J12+L12</f>
        <v>126.5313532932243</v>
      </c>
    </row>
    <row r="13" spans="1:13" x14ac:dyDescent="0.25">
      <c r="C13" s="13"/>
      <c r="D13" s="46"/>
      <c r="E13" s="14"/>
      <c r="F13" s="13"/>
      <c r="G13" s="13"/>
      <c r="I13" s="11"/>
    </row>
    <row r="14" spans="1:13" x14ac:dyDescent="0.25">
      <c r="A14" t="s">
        <v>144</v>
      </c>
      <c r="C14" s="13">
        <f>'BRM FEE INPUTS'!H32</f>
        <v>49.802780496019572</v>
      </c>
      <c r="D14" s="46">
        <v>303</v>
      </c>
      <c r="E14" s="46">
        <v>6</v>
      </c>
      <c r="F14" s="13">
        <f>C14*E14</f>
        <v>298.81668297611742</v>
      </c>
      <c r="G14" s="13">
        <f>F14/60</f>
        <v>4.9802780496019574</v>
      </c>
      <c r="H14" s="11">
        <f>'BRM FEE INPUTS'!$H$52</f>
        <v>50.10717457546064</v>
      </c>
      <c r="I14" s="11">
        <f>G14*H14</f>
        <v>249.54766166573989</v>
      </c>
      <c r="J14" s="13">
        <f>'BRM FEE INPUTS'!$H$58</f>
        <v>1.2907912016362046</v>
      </c>
      <c r="K14" s="13">
        <f>'BRM FEE INPUTS'!$H$64</f>
        <v>1.0126008477139226</v>
      </c>
      <c r="L14" s="11">
        <f>(K14-1)*I14</f>
        <v>3.1445120820154586</v>
      </c>
      <c r="M14" s="11">
        <f>I14*J14+L14</f>
        <v>325.2584381490409</v>
      </c>
    </row>
    <row r="17" spans="1:14" ht="13" x14ac:dyDescent="0.3">
      <c r="M17" s="92">
        <f>SUM(M12:M14)</f>
        <v>451.7897914422652</v>
      </c>
      <c r="N17" s="5" t="str">
        <f>"(12)"</f>
        <v>(12)</v>
      </c>
    </row>
    <row r="21" spans="1:14" ht="13" x14ac:dyDescent="0.3">
      <c r="A21" s="23" t="str">
        <f>"(1)"</f>
        <v>(1)</v>
      </c>
      <c r="B21" s="61" t="s">
        <v>288</v>
      </c>
      <c r="G21" s="52"/>
      <c r="H21" s="76"/>
    </row>
    <row r="22" spans="1:14" ht="13" x14ac:dyDescent="0.3">
      <c r="A22" s="23" t="str">
        <f>"(2)"</f>
        <v>(2)</v>
      </c>
      <c r="B22" t="s">
        <v>263</v>
      </c>
      <c r="G22" s="52"/>
      <c r="H22" s="76"/>
    </row>
    <row r="23" spans="1:14" ht="13" x14ac:dyDescent="0.3">
      <c r="A23" s="23" t="str">
        <f>"(3)"</f>
        <v>(3)</v>
      </c>
      <c r="B23" t="s">
        <v>249</v>
      </c>
      <c r="G23" s="52"/>
      <c r="H23" s="76"/>
    </row>
    <row r="24" spans="1:14" ht="13" x14ac:dyDescent="0.3">
      <c r="A24" s="23"/>
      <c r="B24" t="s">
        <v>250</v>
      </c>
      <c r="G24" s="52"/>
      <c r="H24" s="76"/>
    </row>
    <row r="25" spans="1:14" ht="13" x14ac:dyDescent="0.3">
      <c r="A25" s="23" t="str">
        <f>"(4)"</f>
        <v>(4)</v>
      </c>
      <c r="B25" t="s">
        <v>251</v>
      </c>
      <c r="G25" s="52"/>
      <c r="H25" s="76"/>
    </row>
    <row r="26" spans="1:14" ht="13" x14ac:dyDescent="0.3">
      <c r="A26" s="23" t="str">
        <f>"(5)"</f>
        <v>(5)</v>
      </c>
      <c r="B26" t="s">
        <v>243</v>
      </c>
    </row>
    <row r="27" spans="1:14" ht="13" x14ac:dyDescent="0.3">
      <c r="A27" s="23" t="str">
        <f>"(6)"</f>
        <v>(6)</v>
      </c>
      <c r="B27" s="61" t="s">
        <v>288</v>
      </c>
    </row>
    <row r="28" spans="1:14" ht="13" x14ac:dyDescent="0.3">
      <c r="A28" s="23" t="str">
        <f>"(7)"</f>
        <v>(7)</v>
      </c>
      <c r="B28" t="s">
        <v>252</v>
      </c>
    </row>
    <row r="29" spans="1:14" ht="13" x14ac:dyDescent="0.3">
      <c r="A29" s="23" t="str">
        <f>"(8)"</f>
        <v>(8)</v>
      </c>
      <c r="B29" s="61" t="s">
        <v>288</v>
      </c>
    </row>
    <row r="30" spans="1:14" ht="13" x14ac:dyDescent="0.3">
      <c r="A30" s="23" t="str">
        <f>"(9)"</f>
        <v>(9)</v>
      </c>
      <c r="B30" s="61" t="s">
        <v>288</v>
      </c>
    </row>
    <row r="31" spans="1:14" ht="13" x14ac:dyDescent="0.3">
      <c r="A31" s="23" t="str">
        <f>"(10)"</f>
        <v>(10)</v>
      </c>
      <c r="B31" t="s">
        <v>245</v>
      </c>
    </row>
    <row r="32" spans="1:14" ht="13" x14ac:dyDescent="0.3">
      <c r="A32" s="23" t="str">
        <f>"(11)"</f>
        <v>(11)</v>
      </c>
      <c r="B32" t="s">
        <v>246</v>
      </c>
    </row>
    <row r="33" spans="1:2" ht="13" x14ac:dyDescent="0.3">
      <c r="A33" s="23" t="str">
        <f>"(12)"</f>
        <v>(12)</v>
      </c>
      <c r="B33" t="s">
        <v>253</v>
      </c>
    </row>
    <row r="34" spans="1:2" ht="13" x14ac:dyDescent="0.3">
      <c r="A34" s="23"/>
    </row>
  </sheetData>
  <phoneticPr fontId="3" type="noConversion"/>
  <printOptions horizontalCentered="1"/>
  <pageMargins left="0.75" right="0.75" top="1" bottom="1" header="0.5" footer="0.5"/>
  <pageSetup scale="68" orientation="landscape" horizontalDpi="4294967292" r:id="rId1"/>
  <headerFooter alignWithMargins="0">
    <oddHeader>&amp;RUSPS -FY15-21
Section B
Page 5 of 11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L26"/>
  <sheetViews>
    <sheetView zoomScale="115" zoomScaleNormal="115" workbookViewId="0">
      <selection activeCell="B56" sqref="B56"/>
    </sheetView>
  </sheetViews>
  <sheetFormatPr defaultColWidth="9.1796875" defaultRowHeight="12.5" x14ac:dyDescent="0.25"/>
  <cols>
    <col min="1" max="1" width="5.7265625" customWidth="1"/>
    <col min="2" max="2" width="20.7265625" customWidth="1"/>
    <col min="3" max="3" width="12.7265625" style="77" customWidth="1"/>
    <col min="4" max="4" width="12.7265625" style="30" customWidth="1"/>
    <col min="5" max="5" width="9.1796875" style="11"/>
    <col min="6" max="8" width="10.7265625" style="13" customWidth="1"/>
    <col min="9" max="9" width="12.7265625" style="13" customWidth="1"/>
    <col min="10" max="10" width="10.7265625" style="14" customWidth="1"/>
    <col min="11" max="11" width="10.7265625" style="13" customWidth="1"/>
  </cols>
  <sheetData>
    <row r="1" spans="1:12" ht="15.5" x14ac:dyDescent="0.35">
      <c r="A1" s="3" t="s">
        <v>146</v>
      </c>
    </row>
    <row r="2" spans="1:12" x14ac:dyDescent="0.25">
      <c r="A2" s="60"/>
    </row>
    <row r="4" spans="1:12" s="23" customFormat="1" ht="13" x14ac:dyDescent="0.3">
      <c r="C4" s="80" t="str">
        <f>"(1)"</f>
        <v>(1)</v>
      </c>
      <c r="D4" s="20" t="str">
        <f>"(2)"</f>
        <v>(2)</v>
      </c>
      <c r="E4" s="21" t="str">
        <f>"(3)"</f>
        <v>(3)</v>
      </c>
      <c r="F4" s="4" t="str">
        <f>"(4)"</f>
        <v>(4)</v>
      </c>
      <c r="G4" s="4" t="str">
        <f>"(5)"</f>
        <v>(5)</v>
      </c>
      <c r="H4" s="4" t="str">
        <f>"(6)"</f>
        <v>(6)</v>
      </c>
      <c r="I4" s="4" t="str">
        <f>"(7)"</f>
        <v>(7)</v>
      </c>
      <c r="J4" s="4" t="str">
        <f>"(8)"</f>
        <v>(8)</v>
      </c>
      <c r="K4" s="4" t="str">
        <f>"(9)"</f>
        <v>(9)</v>
      </c>
    </row>
    <row r="6" spans="1:12" ht="13" x14ac:dyDescent="0.3">
      <c r="F6" s="4" t="s">
        <v>19</v>
      </c>
      <c r="H6" s="4" t="s">
        <v>20</v>
      </c>
      <c r="I6" s="4" t="s">
        <v>20</v>
      </c>
      <c r="J6" s="23" t="s">
        <v>21</v>
      </c>
      <c r="K6" s="4" t="s">
        <v>22</v>
      </c>
    </row>
    <row r="7" spans="1:12" ht="13" x14ac:dyDescent="0.3">
      <c r="C7" s="80" t="s">
        <v>147</v>
      </c>
      <c r="D7" s="20" t="s">
        <v>148</v>
      </c>
      <c r="E7" s="21" t="s">
        <v>24</v>
      </c>
      <c r="F7" s="4" t="s">
        <v>149</v>
      </c>
      <c r="G7" s="4" t="s">
        <v>26</v>
      </c>
      <c r="H7" s="4" t="s">
        <v>27</v>
      </c>
      <c r="I7" s="4" t="s">
        <v>27</v>
      </c>
      <c r="J7" s="23" t="s">
        <v>149</v>
      </c>
      <c r="K7" s="4" t="s">
        <v>149</v>
      </c>
    </row>
    <row r="8" spans="1:12" ht="13" x14ac:dyDescent="0.3">
      <c r="A8" s="6" t="s">
        <v>150</v>
      </c>
      <c r="C8" s="83" t="s">
        <v>151</v>
      </c>
      <c r="D8" s="24" t="s">
        <v>152</v>
      </c>
      <c r="E8" s="25" t="s">
        <v>31</v>
      </c>
      <c r="F8" s="8" t="s">
        <v>153</v>
      </c>
      <c r="G8" s="8" t="s">
        <v>33</v>
      </c>
      <c r="H8" s="8" t="s">
        <v>33</v>
      </c>
      <c r="I8" s="8" t="s">
        <v>120</v>
      </c>
      <c r="J8" s="27" t="s">
        <v>153</v>
      </c>
      <c r="K8" s="8" t="s">
        <v>153</v>
      </c>
    </row>
    <row r="9" spans="1:12" x14ac:dyDescent="0.25">
      <c r="B9" t="s">
        <v>214</v>
      </c>
      <c r="C9" s="77">
        <v>3.4000000000000002E-2</v>
      </c>
      <c r="D9" s="30">
        <f>'BRM FEE INPUTS'!H7</f>
        <v>165386.68355393532</v>
      </c>
      <c r="E9" s="11">
        <f>'BRM FEE INPUTS'!$H$52</f>
        <v>50.10717457546064</v>
      </c>
      <c r="F9" s="13">
        <f>E9*100/D9</f>
        <v>3.0296982501085021E-2</v>
      </c>
      <c r="G9" s="13">
        <f>'BRM FEE INPUTS'!$H$58</f>
        <v>1.2907912016362046</v>
      </c>
      <c r="H9" s="13">
        <f>'BRM FEE INPUTS'!$H$64</f>
        <v>1.0126008477139226</v>
      </c>
      <c r="I9" s="13">
        <f>(H9-1)*F9</f>
        <v>3.8176766268754891E-4</v>
      </c>
      <c r="J9" s="13">
        <f>F9*G9+I9</f>
        <v>3.948884611121415E-2</v>
      </c>
      <c r="K9" s="13">
        <f>C9*J9</f>
        <v>1.3426207677812811E-3</v>
      </c>
      <c r="L9" s="60"/>
    </row>
    <row r="10" spans="1:12" x14ac:dyDescent="0.25">
      <c r="B10" t="s">
        <v>206</v>
      </c>
      <c r="C10" s="77">
        <v>0.45400000000000001</v>
      </c>
      <c r="D10" s="30">
        <f>'BRM FEE INPUTS'!H8</f>
        <v>74266.663941963096</v>
      </c>
      <c r="E10" s="11">
        <f>'BRM FEE INPUTS'!$H$52</f>
        <v>50.10717457546064</v>
      </c>
      <c r="F10" s="13">
        <f>E10*100/D10</f>
        <v>6.7469268061667226E-2</v>
      </c>
      <c r="G10" s="13">
        <f>'BRM FEE INPUTS'!$H$58</f>
        <v>1.2907912016362046</v>
      </c>
      <c r="H10" s="13">
        <f>'BRM FEE INPUTS'!$H$64</f>
        <v>1.0126008477139226</v>
      </c>
      <c r="I10" s="13">
        <f>(H10-1)*F10</f>
        <v>8.5016997221488771E-4</v>
      </c>
      <c r="J10" s="13">
        <f>F10*G10+I10</f>
        <v>8.7938907567049529E-2</v>
      </c>
      <c r="K10" s="13">
        <f>C10*J10</f>
        <v>3.9924264035440485E-2</v>
      </c>
    </row>
    <row r="11" spans="1:12" x14ac:dyDescent="0.25">
      <c r="B11" t="s">
        <v>154</v>
      </c>
      <c r="C11" s="77">
        <v>0.1</v>
      </c>
      <c r="D11" s="30">
        <f>'BRM FEE INPUTS'!H9</f>
        <v>5767.5517742505954</v>
      </c>
      <c r="E11" s="11">
        <f>'BRM FEE INPUTS'!$H$52</f>
        <v>50.10717457546064</v>
      </c>
      <c r="F11" s="13">
        <f>E11*100/D11</f>
        <v>0.86877719588345259</v>
      </c>
      <c r="G11" s="13">
        <f>'BRM FEE INPUTS'!$H$58</f>
        <v>1.2907912016362046</v>
      </c>
      <c r="H11" s="13">
        <f>'BRM FEE INPUTS'!$H$64</f>
        <v>1.0126008477139226</v>
      </c>
      <c r="I11" s="13">
        <f>(H11-1)*F11</f>
        <v>1.0947329142656054E-2</v>
      </c>
      <c r="J11" s="13">
        <f>F11*G11+I11</f>
        <v>1.1323572897711902</v>
      </c>
      <c r="K11" s="13">
        <f>C11*J11</f>
        <v>0.11323572897711903</v>
      </c>
      <c r="L11" s="60"/>
    </row>
    <row r="12" spans="1:12" x14ac:dyDescent="0.25">
      <c r="B12" t="s">
        <v>97</v>
      </c>
      <c r="C12" s="77">
        <v>0.26600000000000001</v>
      </c>
      <c r="D12" s="30">
        <f>'BRM FEE INPUTS'!H10</f>
        <v>2478.3084280663425</v>
      </c>
      <c r="E12" s="11">
        <f>'BRM FEE INPUTS'!$H$52</f>
        <v>50.10717457546064</v>
      </c>
      <c r="F12" s="13">
        <f>E12*100/D12</f>
        <v>2.0218296483200802</v>
      </c>
      <c r="G12" s="13">
        <f>'BRM FEE INPUTS'!$H$58</f>
        <v>1.2907912016362046</v>
      </c>
      <c r="H12" s="13">
        <f>'BRM FEE INPUTS'!$H$64</f>
        <v>1.0126008477139226</v>
      </c>
      <c r="I12" s="13">
        <f>(H12-1)*F12</f>
        <v>2.5476767501974931E-2</v>
      </c>
      <c r="J12" s="13">
        <f>F12*G12+I12</f>
        <v>2.6352366887607563</v>
      </c>
      <c r="K12" s="13">
        <f>C12*J12</f>
        <v>0.70097295921036118</v>
      </c>
    </row>
    <row r="13" spans="1:12" x14ac:dyDescent="0.25">
      <c r="B13" t="s">
        <v>155</v>
      </c>
      <c r="C13" s="85">
        <v>0.14599999999999999</v>
      </c>
      <c r="D13" s="67">
        <f>'BRM FEE INPUTS'!H11</f>
        <v>25011.595254920405</v>
      </c>
      <c r="E13" s="11">
        <f>'BRM FEE INPUTS'!$H$52</f>
        <v>50.10717457546064</v>
      </c>
      <c r="F13" s="13">
        <f>E13*100/D13</f>
        <v>0.20033578052404838</v>
      </c>
      <c r="G13" s="13">
        <f>'BRM FEE INPUTS'!$H$58</f>
        <v>1.2907912016362046</v>
      </c>
      <c r="H13" s="13">
        <f>'BRM FEE INPUTS'!$H$64</f>
        <v>1.0126008477139226</v>
      </c>
      <c r="I13" s="13">
        <f>(H13-1)*F13</f>
        <v>2.5244006620333465E-3</v>
      </c>
      <c r="J13" s="13">
        <f>F13*G13+I13</f>
        <v>0.26111606353539674</v>
      </c>
      <c r="K13" s="79">
        <f>C13*J13</f>
        <v>3.812294527616792E-2</v>
      </c>
    </row>
    <row r="14" spans="1:12" ht="13" x14ac:dyDescent="0.3">
      <c r="C14" s="80">
        <f>SUM(C9:C13)</f>
        <v>1</v>
      </c>
      <c r="D14" s="20"/>
      <c r="J14" s="23"/>
      <c r="K14" s="81">
        <f>SUM(K9:K13)</f>
        <v>0.89359851826686987</v>
      </c>
      <c r="L14" s="5" t="str">
        <f>"(10)"</f>
        <v>(10)</v>
      </c>
    </row>
    <row r="17" spans="1:11" s="75" customFormat="1" ht="13" x14ac:dyDescent="0.3">
      <c r="A17" s="23" t="str">
        <f>"(1)"</f>
        <v>(1)</v>
      </c>
      <c r="B17" s="15" t="s">
        <v>238</v>
      </c>
      <c r="C17" s="107"/>
      <c r="D17" s="105"/>
      <c r="E17" s="73"/>
      <c r="F17" s="74"/>
      <c r="G17" s="74"/>
      <c r="H17" s="74"/>
      <c r="I17" s="74"/>
      <c r="J17" s="106"/>
      <c r="K17" s="74"/>
    </row>
    <row r="18" spans="1:11" ht="13" x14ac:dyDescent="0.3">
      <c r="A18" s="23" t="str">
        <f>"(2)"</f>
        <v>(2)</v>
      </c>
      <c r="B18" s="61" t="s">
        <v>288</v>
      </c>
    </row>
    <row r="19" spans="1:11" ht="13" x14ac:dyDescent="0.3">
      <c r="A19" s="23" t="str">
        <f>"(3)"</f>
        <v>(3)</v>
      </c>
      <c r="B19" s="61" t="s">
        <v>288</v>
      </c>
    </row>
    <row r="20" spans="1:11" ht="13" x14ac:dyDescent="0.3">
      <c r="A20" s="23" t="str">
        <f>"(4)"</f>
        <v>(4)</v>
      </c>
      <c r="B20" t="s">
        <v>156</v>
      </c>
    </row>
    <row r="21" spans="1:11" ht="13" x14ac:dyDescent="0.3">
      <c r="A21" s="23" t="str">
        <f>"(5)"</f>
        <v>(5)</v>
      </c>
      <c r="B21" s="61" t="s">
        <v>288</v>
      </c>
    </row>
    <row r="22" spans="1:11" ht="13" x14ac:dyDescent="0.3">
      <c r="A22" s="23" t="str">
        <f>"(6)"</f>
        <v>(6)</v>
      </c>
      <c r="B22" s="61" t="s">
        <v>288</v>
      </c>
    </row>
    <row r="23" spans="1:11" ht="13" x14ac:dyDescent="0.3">
      <c r="A23" s="23" t="str">
        <f>"(7)"</f>
        <v>(7)</v>
      </c>
      <c r="B23" t="s">
        <v>43</v>
      </c>
    </row>
    <row r="24" spans="1:11" ht="13" x14ac:dyDescent="0.3">
      <c r="A24" s="23" t="str">
        <f>"(8)"</f>
        <v>(8)</v>
      </c>
      <c r="B24" t="s">
        <v>44</v>
      </c>
    </row>
    <row r="25" spans="1:11" ht="13" x14ac:dyDescent="0.3">
      <c r="A25" s="23" t="str">
        <f>"(9)"</f>
        <v>(9)</v>
      </c>
      <c r="B25" t="s">
        <v>157</v>
      </c>
    </row>
    <row r="26" spans="1:11" ht="13" x14ac:dyDescent="0.3">
      <c r="A26" s="23" t="str">
        <f>"(10)"</f>
        <v>(10)</v>
      </c>
      <c r="B26" t="s">
        <v>158</v>
      </c>
    </row>
  </sheetData>
  <phoneticPr fontId="3" type="noConversion"/>
  <printOptions horizontalCentered="1"/>
  <pageMargins left="0.75" right="0.75" top="1" bottom="1" header="0.5" footer="0.5"/>
  <pageSetup scale="89" orientation="landscape" horizontalDpi="4294967292" r:id="rId1"/>
  <headerFooter alignWithMargins="0">
    <oddHeader>&amp;L
&amp;RUSPS -FY15-21
Section B
Page  6 of 11</oddHeader>
  </headerFooter>
  <ignoredErrors>
    <ignoredError sqref="I9:K9 D9 F9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L34"/>
  <sheetViews>
    <sheetView zoomScale="115" zoomScaleNormal="115" workbookViewId="0">
      <selection activeCell="B56" sqref="B56"/>
    </sheetView>
  </sheetViews>
  <sheetFormatPr defaultColWidth="9.1796875" defaultRowHeight="12.5" x14ac:dyDescent="0.25"/>
  <cols>
    <col min="1" max="1" width="5.7265625" customWidth="1"/>
    <col min="2" max="2" width="29.453125" customWidth="1"/>
    <col min="3" max="3" width="12.7265625" style="89" customWidth="1"/>
    <col min="4" max="4" width="12.7265625" style="30" customWidth="1"/>
    <col min="5" max="5" width="9.1796875" style="11"/>
    <col min="6" max="8" width="10.7265625" style="13" customWidth="1"/>
    <col min="9" max="9" width="12.7265625" style="13" customWidth="1"/>
    <col min="10" max="10" width="10.7265625" style="14" customWidth="1"/>
    <col min="11" max="11" width="10.7265625" style="13" customWidth="1"/>
  </cols>
  <sheetData>
    <row r="1" spans="1:12" ht="15.5" x14ac:dyDescent="0.35">
      <c r="A1" s="3" t="s">
        <v>159</v>
      </c>
      <c r="C1" s="66"/>
    </row>
    <row r="2" spans="1:12" x14ac:dyDescent="0.25">
      <c r="A2" s="75"/>
      <c r="C2" s="66"/>
    </row>
    <row r="4" spans="1:12" s="23" customFormat="1" ht="13" x14ac:dyDescent="0.3">
      <c r="C4" s="88" t="str">
        <f>"(1)"</f>
        <v>(1)</v>
      </c>
      <c r="D4" s="20" t="str">
        <f>"(2)"</f>
        <v>(2)</v>
      </c>
      <c r="E4" s="21" t="str">
        <f>"(3)"</f>
        <v>(3)</v>
      </c>
      <c r="F4" s="4" t="str">
        <f>"(4)"</f>
        <v>(4)</v>
      </c>
      <c r="G4" s="4" t="str">
        <f>"(5)"</f>
        <v>(5)</v>
      </c>
      <c r="H4" s="4" t="str">
        <f>"(6)"</f>
        <v>(6)</v>
      </c>
      <c r="I4" s="4" t="str">
        <f>"(7)"</f>
        <v>(7)</v>
      </c>
      <c r="J4" s="4" t="str">
        <f>"(8)"</f>
        <v>(8)</v>
      </c>
      <c r="K4" s="4" t="str">
        <f>"(9)"</f>
        <v>(9)</v>
      </c>
    </row>
    <row r="6" spans="1:12" ht="13" x14ac:dyDescent="0.3">
      <c r="F6" s="4" t="s">
        <v>19</v>
      </c>
      <c r="H6" s="4" t="s">
        <v>20</v>
      </c>
      <c r="I6" s="4" t="s">
        <v>20</v>
      </c>
      <c r="J6" s="23" t="s">
        <v>21</v>
      </c>
      <c r="K6" s="4" t="s">
        <v>22</v>
      </c>
    </row>
    <row r="7" spans="1:12" ht="13" x14ac:dyDescent="0.3">
      <c r="C7" s="88" t="s">
        <v>147</v>
      </c>
      <c r="D7" s="20" t="s">
        <v>148</v>
      </c>
      <c r="E7" s="21" t="s">
        <v>24</v>
      </c>
      <c r="F7" s="4" t="s">
        <v>149</v>
      </c>
      <c r="G7" s="4" t="s">
        <v>26</v>
      </c>
      <c r="H7" s="4" t="s">
        <v>27</v>
      </c>
      <c r="I7" s="4" t="s">
        <v>27</v>
      </c>
      <c r="J7" s="23" t="s">
        <v>149</v>
      </c>
      <c r="K7" s="4" t="s">
        <v>149</v>
      </c>
    </row>
    <row r="8" spans="1:12" ht="13" x14ac:dyDescent="0.3">
      <c r="A8" s="6" t="s">
        <v>150</v>
      </c>
      <c r="C8" s="90" t="s">
        <v>151</v>
      </c>
      <c r="D8" s="24" t="s">
        <v>152</v>
      </c>
      <c r="E8" s="25" t="s">
        <v>31</v>
      </c>
      <c r="F8" s="8" t="s">
        <v>153</v>
      </c>
      <c r="G8" s="8" t="s">
        <v>33</v>
      </c>
      <c r="H8" s="8" t="s">
        <v>33</v>
      </c>
      <c r="I8" s="8" t="s">
        <v>120</v>
      </c>
      <c r="J8" s="27" t="s">
        <v>153</v>
      </c>
      <c r="K8" s="8" t="s">
        <v>153</v>
      </c>
    </row>
    <row r="9" spans="1:12" x14ac:dyDescent="0.25">
      <c r="B9" t="s">
        <v>214</v>
      </c>
      <c r="C9" s="89">
        <f>8.9%+5.8%</f>
        <v>0.14700000000000002</v>
      </c>
      <c r="D9" s="30">
        <f>'BRM FEE INPUTS'!H7</f>
        <v>165386.68355393532</v>
      </c>
      <c r="E9" s="11">
        <f>'BRM FEE INPUTS'!$H$52</f>
        <v>50.10717457546064</v>
      </c>
      <c r="F9" s="13">
        <f>E9*100/D9</f>
        <v>3.0296982501085021E-2</v>
      </c>
      <c r="G9" s="13">
        <f>'BRM FEE INPUTS'!$H$58</f>
        <v>1.2907912016362046</v>
      </c>
      <c r="H9" s="13">
        <f>'BRM FEE INPUTS'!$H$64</f>
        <v>1.0126008477139226</v>
      </c>
      <c r="I9" s="13">
        <f>(H9-1)*F9</f>
        <v>3.8176766268754891E-4</v>
      </c>
      <c r="J9" s="13">
        <f>F9*G9+I9</f>
        <v>3.948884611121415E-2</v>
      </c>
      <c r="K9" s="13">
        <f>C9*J9</f>
        <v>5.8048603783484812E-3</v>
      </c>
    </row>
    <row r="10" spans="1:12" x14ac:dyDescent="0.25">
      <c r="B10" t="s">
        <v>206</v>
      </c>
      <c r="C10" s="89">
        <v>0.35899999999999999</v>
      </c>
      <c r="D10" s="30">
        <f>'BRM FEE INPUTS'!H8</f>
        <v>74266.663941963096</v>
      </c>
      <c r="E10" s="11">
        <f>'BRM FEE INPUTS'!$H$52</f>
        <v>50.10717457546064</v>
      </c>
      <c r="F10" s="13">
        <f>E10*100/D10</f>
        <v>6.7469268061667226E-2</v>
      </c>
      <c r="G10" s="13">
        <f>'BRM FEE INPUTS'!$H$58</f>
        <v>1.2907912016362046</v>
      </c>
      <c r="H10" s="13">
        <f>'BRM FEE INPUTS'!$H$64</f>
        <v>1.0126008477139226</v>
      </c>
      <c r="I10" s="13">
        <f>(H10-1)*F10</f>
        <v>8.5016997221488771E-4</v>
      </c>
      <c r="J10" s="13">
        <f>F10*G10+I10</f>
        <v>8.7938907567049529E-2</v>
      </c>
      <c r="K10" s="13">
        <f>C10*J10</f>
        <v>3.1570067816570777E-2</v>
      </c>
    </row>
    <row r="11" spans="1:12" x14ac:dyDescent="0.25">
      <c r="B11" t="s">
        <v>154</v>
      </c>
      <c r="C11" s="89">
        <v>8.9999999999999993E-3</v>
      </c>
      <c r="D11" s="30">
        <f>'BRM FEE INPUTS'!H9</f>
        <v>5767.5517742505954</v>
      </c>
      <c r="E11" s="11">
        <f>'BRM FEE INPUTS'!$H$52</f>
        <v>50.10717457546064</v>
      </c>
      <c r="F11" s="13">
        <f>E11*100/D11</f>
        <v>0.86877719588345259</v>
      </c>
      <c r="G11" s="13">
        <f>'BRM FEE INPUTS'!$H$58</f>
        <v>1.2907912016362046</v>
      </c>
      <c r="H11" s="13">
        <f>'BRM FEE INPUTS'!$H$64</f>
        <v>1.0126008477139226</v>
      </c>
      <c r="I11" s="13">
        <f>(H11-1)*F11</f>
        <v>1.0947329142656054E-2</v>
      </c>
      <c r="J11" s="13">
        <f>F11*G11+I11</f>
        <v>1.1323572897711902</v>
      </c>
      <c r="K11" s="13">
        <f>C11*J11</f>
        <v>1.0191215607940712E-2</v>
      </c>
      <c r="L11" s="60"/>
    </row>
    <row r="12" spans="1:12" x14ac:dyDescent="0.25">
      <c r="B12" t="s">
        <v>97</v>
      </c>
      <c r="C12" s="89">
        <v>0.434</v>
      </c>
      <c r="D12" s="30">
        <f>'BRM FEE INPUTS'!H10</f>
        <v>2478.3084280663425</v>
      </c>
      <c r="E12" s="11">
        <f>'BRM FEE INPUTS'!$H$52</f>
        <v>50.10717457546064</v>
      </c>
      <c r="F12" s="13">
        <f>E12*100/D12</f>
        <v>2.0218296483200802</v>
      </c>
      <c r="G12" s="13">
        <f>'BRM FEE INPUTS'!$H$58</f>
        <v>1.2907912016362046</v>
      </c>
      <c r="H12" s="13">
        <f>'BRM FEE INPUTS'!$H$64</f>
        <v>1.0126008477139226</v>
      </c>
      <c r="I12" s="13">
        <f>(H12-1)*F12</f>
        <v>2.5476767501974931E-2</v>
      </c>
      <c r="J12" s="13">
        <f>F12*G12+I12</f>
        <v>2.6352366887607563</v>
      </c>
      <c r="K12" s="13">
        <f>C12*J12</f>
        <v>1.1436927229221683</v>
      </c>
    </row>
    <row r="13" spans="1:12" x14ac:dyDescent="0.25">
      <c r="B13" t="s">
        <v>155</v>
      </c>
      <c r="C13" s="89">
        <v>5.0999999999999997E-2</v>
      </c>
      <c r="D13" s="67">
        <f>'BRM FEE INPUTS'!$H$11</f>
        <v>25011.595254920405</v>
      </c>
      <c r="E13" s="11">
        <f>'BRM FEE INPUTS'!$H$52</f>
        <v>50.10717457546064</v>
      </c>
      <c r="F13" s="13">
        <f>E13*100/D13</f>
        <v>0.20033578052404838</v>
      </c>
      <c r="G13" s="13">
        <f>'BRM FEE INPUTS'!$H$58</f>
        <v>1.2907912016362046</v>
      </c>
      <c r="H13" s="13">
        <f>'BRM FEE INPUTS'!$H$64</f>
        <v>1.0126008477139226</v>
      </c>
      <c r="I13" s="13">
        <f>(H13-1)*F13</f>
        <v>2.5244006620333465E-3</v>
      </c>
      <c r="J13" s="13">
        <f>F13*G13+I13</f>
        <v>0.26111606353539674</v>
      </c>
      <c r="K13" s="2">
        <f>C13*J13</f>
        <v>1.3316919240305232E-2</v>
      </c>
    </row>
    <row r="14" spans="1:12" ht="13" x14ac:dyDescent="0.3">
      <c r="C14" s="88">
        <f>SUM(C9:C13)</f>
        <v>1</v>
      </c>
      <c r="D14" s="20"/>
      <c r="J14" s="23"/>
    </row>
    <row r="15" spans="1:12" ht="13" x14ac:dyDescent="0.3">
      <c r="C15" s="88"/>
      <c r="D15" s="20"/>
      <c r="J15" s="23"/>
      <c r="K15" s="4"/>
      <c r="L15" s="5"/>
    </row>
    <row r="16" spans="1:12" ht="13" x14ac:dyDescent="0.3">
      <c r="A16" s="6" t="s">
        <v>160</v>
      </c>
      <c r="C16" s="88"/>
      <c r="D16" s="20"/>
      <c r="J16" s="23"/>
      <c r="K16" s="4"/>
      <c r="L16" s="5"/>
    </row>
    <row r="17" spans="1:12" x14ac:dyDescent="0.25">
      <c r="B17" t="s">
        <v>264</v>
      </c>
      <c r="C17" s="89">
        <f>81.6%+2.81%</f>
        <v>0.84409999999999996</v>
      </c>
      <c r="D17" s="30">
        <f>'BRM FEE INPUTS'!H18</f>
        <v>9083.7824693522816</v>
      </c>
      <c r="E17" s="11">
        <f>'BRM FEE INPUTS'!$H$52</f>
        <v>50.10717457546064</v>
      </c>
      <c r="F17" s="13">
        <f>E17*100/D17</f>
        <v>0.55161134411261969</v>
      </c>
      <c r="G17" s="13">
        <f>'BRM FEE INPUTS'!$H$58</f>
        <v>1.2907912016362046</v>
      </c>
      <c r="H17" s="13">
        <f>'BRM FEE INPUTS'!$H$64</f>
        <v>1.0126008477139226</v>
      </c>
      <c r="I17" s="13">
        <f>(H17-1)*F17</f>
        <v>6.9507705444352532E-3</v>
      </c>
      <c r="J17" s="13">
        <f>F17*G17+I17</f>
        <v>0.71896584024772558</v>
      </c>
      <c r="K17" s="13">
        <f>C17*J17</f>
        <v>0.60687906575310513</v>
      </c>
    </row>
    <row r="18" spans="1:12" x14ac:dyDescent="0.25">
      <c r="B18" t="s">
        <v>97</v>
      </c>
      <c r="C18" s="87">
        <f>14.72%+0.0087</f>
        <v>0.15589999999999998</v>
      </c>
      <c r="D18" s="30">
        <f>'BRM FEE INPUTS'!H21</f>
        <v>3208.3364382826612</v>
      </c>
      <c r="E18" s="11">
        <f>'BRM FEE INPUTS'!$H$52</f>
        <v>50.10717457546064</v>
      </c>
      <c r="F18" s="13">
        <f>E18*100/D18</f>
        <v>1.5617805532352993</v>
      </c>
      <c r="G18" s="13">
        <f>'BRM FEE INPUTS'!$H$58</f>
        <v>1.2907912016362046</v>
      </c>
      <c r="H18" s="13">
        <f>'BRM FEE INPUTS'!$H$64</f>
        <v>1.0126008477139226</v>
      </c>
      <c r="I18" s="13">
        <f>(H18-1)*F18</f>
        <v>1.9679758913883731E-2</v>
      </c>
      <c r="J18" s="13">
        <f>F18*G18+I18</f>
        <v>2.0356123559165322</v>
      </c>
      <c r="K18" s="13">
        <f>C18*J18</f>
        <v>0.31735196628738732</v>
      </c>
    </row>
    <row r="19" spans="1:12" ht="13" x14ac:dyDescent="0.3">
      <c r="C19" s="88">
        <f>SUM(C17:C18)</f>
        <v>1</v>
      </c>
    </row>
    <row r="20" spans="1:12" ht="13" x14ac:dyDescent="0.3">
      <c r="K20" s="81">
        <f>SUM(K9:K18)</f>
        <v>2.1288068180058262</v>
      </c>
      <c r="L20" s="5" t="str">
        <f>"(10)"</f>
        <v>(10)</v>
      </c>
    </row>
    <row r="22" spans="1:12" x14ac:dyDescent="0.25">
      <c r="A22" s="75"/>
    </row>
    <row r="23" spans="1:12" x14ac:dyDescent="0.25">
      <c r="A23" s="75"/>
    </row>
    <row r="25" spans="1:12" s="75" customFormat="1" ht="13" x14ac:dyDescent="0.3">
      <c r="A25" s="23" t="str">
        <f>"(1)"</f>
        <v>(1)</v>
      </c>
      <c r="B25" s="15" t="s">
        <v>238</v>
      </c>
      <c r="C25" s="107"/>
      <c r="D25" s="105"/>
      <c r="E25" s="71"/>
      <c r="F25" s="74"/>
      <c r="G25" s="74"/>
      <c r="H25" s="74"/>
      <c r="I25" s="74"/>
      <c r="J25" s="106"/>
      <c r="K25" s="74"/>
    </row>
    <row r="26" spans="1:12" ht="13" x14ac:dyDescent="0.3">
      <c r="A26" s="23" t="str">
        <f>"(2)"</f>
        <v>(2)</v>
      </c>
      <c r="B26" s="61" t="s">
        <v>288</v>
      </c>
    </row>
    <row r="27" spans="1:12" ht="13" x14ac:dyDescent="0.3">
      <c r="A27" s="23" t="str">
        <f>"(3)"</f>
        <v>(3)</v>
      </c>
      <c r="B27" s="61" t="s">
        <v>288</v>
      </c>
    </row>
    <row r="28" spans="1:12" ht="13" x14ac:dyDescent="0.3">
      <c r="A28" s="23" t="str">
        <f>"(4)"</f>
        <v>(4)</v>
      </c>
      <c r="B28" t="s">
        <v>156</v>
      </c>
    </row>
    <row r="29" spans="1:12" ht="13" x14ac:dyDescent="0.3">
      <c r="A29" s="23" t="str">
        <f>"(5)"</f>
        <v>(5)</v>
      </c>
      <c r="B29" s="61" t="s">
        <v>288</v>
      </c>
    </row>
    <row r="30" spans="1:12" ht="13" x14ac:dyDescent="0.3">
      <c r="A30" s="23" t="str">
        <f>"(6)"</f>
        <v>(6)</v>
      </c>
      <c r="B30" s="61" t="s">
        <v>288</v>
      </c>
    </row>
    <row r="31" spans="1:12" ht="13" x14ac:dyDescent="0.3">
      <c r="A31" s="23" t="str">
        <f>"(7)"</f>
        <v>(7)</v>
      </c>
      <c r="B31" t="s">
        <v>43</v>
      </c>
      <c r="E31" s="11" t="s">
        <v>17</v>
      </c>
    </row>
    <row r="32" spans="1:12" ht="13" x14ac:dyDescent="0.3">
      <c r="A32" s="23" t="str">
        <f>"(8)"</f>
        <v>(8)</v>
      </c>
      <c r="B32" t="s">
        <v>44</v>
      </c>
    </row>
    <row r="33" spans="1:2" ht="13" x14ac:dyDescent="0.3">
      <c r="A33" s="23" t="str">
        <f>"(9)"</f>
        <v>(9)</v>
      </c>
      <c r="B33" t="s">
        <v>157</v>
      </c>
    </row>
    <row r="34" spans="1:2" ht="13" x14ac:dyDescent="0.3">
      <c r="A34" s="23" t="str">
        <f>"(10)"</f>
        <v>(10)</v>
      </c>
      <c r="B34" t="s">
        <v>161</v>
      </c>
    </row>
  </sheetData>
  <phoneticPr fontId="3" type="noConversion"/>
  <printOptions horizontalCentered="1"/>
  <pageMargins left="0.75" right="0.75" top="1" bottom="1" header="0.5" footer="0.5"/>
  <pageSetup scale="84" orientation="landscape" horizontalDpi="4294967292" r:id="rId1"/>
  <headerFooter alignWithMargins="0">
    <oddHeader>&amp;RUSPS-FY15-21
Section B
Page 7 of 11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L33"/>
  <sheetViews>
    <sheetView zoomScale="115" zoomScaleNormal="115" workbookViewId="0">
      <selection activeCell="B56" sqref="B56"/>
    </sheetView>
  </sheetViews>
  <sheetFormatPr defaultColWidth="9.1796875" defaultRowHeight="12.5" x14ac:dyDescent="0.25"/>
  <cols>
    <col min="1" max="1" width="5.7265625" customWidth="1"/>
    <col min="2" max="2" width="30.7265625" customWidth="1"/>
    <col min="3" max="3" width="16.26953125" style="77" customWidth="1"/>
    <col min="4" max="4" width="12.7265625" style="30" customWidth="1"/>
    <col min="5" max="5" width="9.1796875" style="11"/>
    <col min="6" max="8" width="10.7265625" style="13" customWidth="1"/>
    <col min="9" max="9" width="12.7265625" style="13" customWidth="1"/>
    <col min="10" max="10" width="10.7265625" style="14" customWidth="1"/>
    <col min="11" max="11" width="10.7265625" style="13" customWidth="1"/>
  </cols>
  <sheetData>
    <row r="1" spans="1:12" ht="15.5" x14ac:dyDescent="0.35">
      <c r="A1" s="3" t="s">
        <v>162</v>
      </c>
    </row>
    <row r="2" spans="1:12" x14ac:dyDescent="0.25">
      <c r="A2" s="60"/>
    </row>
    <row r="4" spans="1:12" s="23" customFormat="1" ht="13" x14ac:dyDescent="0.3">
      <c r="C4" s="80" t="str">
        <f>"(1)"</f>
        <v>(1)</v>
      </c>
      <c r="D4" s="20" t="str">
        <f>"(2)"</f>
        <v>(2)</v>
      </c>
      <c r="E4" s="21" t="str">
        <f>"(3)"</f>
        <v>(3)</v>
      </c>
      <c r="F4" s="4" t="str">
        <f>"(4)"</f>
        <v>(4)</v>
      </c>
      <c r="G4" s="4" t="str">
        <f>"(5)"</f>
        <v>(5)</v>
      </c>
      <c r="H4" s="4" t="str">
        <f>"(6)"</f>
        <v>(6)</v>
      </c>
      <c r="I4" s="4" t="str">
        <f>"(7)"</f>
        <v>(7)</v>
      </c>
      <c r="J4" s="4" t="str">
        <f>"(8)"</f>
        <v>(8)</v>
      </c>
      <c r="K4" s="4" t="str">
        <f>"(9)"</f>
        <v>(9)</v>
      </c>
    </row>
    <row r="6" spans="1:12" ht="13" x14ac:dyDescent="0.3">
      <c r="F6" s="4" t="s">
        <v>19</v>
      </c>
      <c r="H6" s="4" t="s">
        <v>20</v>
      </c>
      <c r="I6" s="4" t="s">
        <v>20</v>
      </c>
      <c r="J6" s="23" t="s">
        <v>21</v>
      </c>
      <c r="K6" s="4" t="s">
        <v>22</v>
      </c>
    </row>
    <row r="7" spans="1:12" ht="13" x14ac:dyDescent="0.3">
      <c r="C7" s="80" t="s">
        <v>147</v>
      </c>
      <c r="D7" s="20" t="s">
        <v>148</v>
      </c>
      <c r="E7" s="21" t="s">
        <v>24</v>
      </c>
      <c r="F7" s="4" t="s">
        <v>149</v>
      </c>
      <c r="G7" s="4" t="s">
        <v>26</v>
      </c>
      <c r="H7" s="4" t="s">
        <v>27</v>
      </c>
      <c r="I7" s="4" t="s">
        <v>27</v>
      </c>
      <c r="J7" s="23" t="s">
        <v>149</v>
      </c>
      <c r="K7" s="4" t="s">
        <v>149</v>
      </c>
    </row>
    <row r="8" spans="1:12" ht="13" x14ac:dyDescent="0.3">
      <c r="A8" s="6" t="s">
        <v>150</v>
      </c>
      <c r="C8" s="83" t="s">
        <v>151</v>
      </c>
      <c r="D8" s="24" t="s">
        <v>152</v>
      </c>
      <c r="E8" s="25" t="s">
        <v>31</v>
      </c>
      <c r="F8" s="8" t="s">
        <v>153</v>
      </c>
      <c r="G8" s="8" t="s">
        <v>33</v>
      </c>
      <c r="H8" s="8" t="s">
        <v>33</v>
      </c>
      <c r="I8" s="8" t="s">
        <v>120</v>
      </c>
      <c r="J8" s="27" t="s">
        <v>153</v>
      </c>
      <c r="K8" s="8" t="s">
        <v>153</v>
      </c>
    </row>
    <row r="9" spans="1:12" x14ac:dyDescent="0.25">
      <c r="B9" t="s">
        <v>214</v>
      </c>
      <c r="C9" s="77">
        <v>9.4299999999999995E-2</v>
      </c>
      <c r="D9" s="30">
        <f>'BRM FEE INPUTS'!H7</f>
        <v>165386.68355393532</v>
      </c>
      <c r="E9" s="11">
        <f>'BRM FEE INPUTS'!$H$52</f>
        <v>50.10717457546064</v>
      </c>
      <c r="F9" s="13">
        <f>E9*100/D9</f>
        <v>3.0296982501085021E-2</v>
      </c>
      <c r="G9" s="13">
        <f>'BRM FEE INPUTS'!$H$58</f>
        <v>1.2907912016362046</v>
      </c>
      <c r="H9" s="13">
        <f>'BRM FEE INPUTS'!$H$64</f>
        <v>1.0126008477139226</v>
      </c>
      <c r="I9" s="13">
        <f>(H9-1)*F9</f>
        <v>3.8176766268754891E-4</v>
      </c>
      <c r="J9" s="13">
        <f>F9*G9+I9</f>
        <v>3.948884611121415E-2</v>
      </c>
      <c r="K9" s="13">
        <f>C9*J9</f>
        <v>3.7237981882874941E-3</v>
      </c>
    </row>
    <row r="10" spans="1:12" x14ac:dyDescent="0.25">
      <c r="B10" t="s">
        <v>206</v>
      </c>
      <c r="C10" s="77">
        <v>0.1221</v>
      </c>
      <c r="D10" s="30">
        <f>'BRM FEE INPUTS'!H8</f>
        <v>74266.663941963096</v>
      </c>
      <c r="E10" s="11">
        <f>'BRM FEE INPUTS'!$H$52</f>
        <v>50.10717457546064</v>
      </c>
      <c r="F10" s="13">
        <f>E10*100/D10</f>
        <v>6.7469268061667226E-2</v>
      </c>
      <c r="G10" s="13">
        <f>'BRM FEE INPUTS'!$H$58</f>
        <v>1.2907912016362046</v>
      </c>
      <c r="H10" s="13">
        <f>'BRM FEE INPUTS'!$H$64</f>
        <v>1.0126008477139226</v>
      </c>
      <c r="I10" s="13">
        <f>(H10-1)*F10</f>
        <v>8.5016997221488771E-4</v>
      </c>
      <c r="J10" s="13">
        <f>F10*G10+I10</f>
        <v>8.7938907567049529E-2</v>
      </c>
      <c r="K10" s="13">
        <f>C10*J10</f>
        <v>1.0737340613936747E-2</v>
      </c>
    </row>
    <row r="11" spans="1:12" x14ac:dyDescent="0.25">
      <c r="B11" t="s">
        <v>154</v>
      </c>
      <c r="C11" s="84">
        <v>4.4900000000000002E-2</v>
      </c>
      <c r="D11" s="30">
        <f>'BRM FEE INPUTS'!$H$9</f>
        <v>5767.5517742505954</v>
      </c>
      <c r="E11" s="11">
        <f>'BRM FEE INPUTS'!$H$52</f>
        <v>50.10717457546064</v>
      </c>
      <c r="F11" s="13">
        <f>E11*100/D11</f>
        <v>0.86877719588345259</v>
      </c>
      <c r="G11" s="13">
        <f>'BRM FEE INPUTS'!$H$58</f>
        <v>1.2907912016362046</v>
      </c>
      <c r="H11" s="13">
        <f>'BRM FEE INPUTS'!$H$64</f>
        <v>1.0126008477139226</v>
      </c>
      <c r="I11" s="13">
        <f>(H11-1)*F11</f>
        <v>1.0947329142656054E-2</v>
      </c>
      <c r="J11" s="13">
        <f>F11*G11+I11</f>
        <v>1.1323572897711902</v>
      </c>
      <c r="K11" s="13">
        <f>C11*J11</f>
        <v>5.0842842310726444E-2</v>
      </c>
      <c r="L11" s="60"/>
    </row>
    <row r="12" spans="1:12" x14ac:dyDescent="0.25">
      <c r="B12" t="s">
        <v>97</v>
      </c>
      <c r="C12" s="84">
        <f>72.75%+0.0052</f>
        <v>0.73270000000000002</v>
      </c>
      <c r="D12" s="30">
        <f>'BRM FEE INPUTS'!H10</f>
        <v>2478.3084280663425</v>
      </c>
      <c r="E12" s="11">
        <f>'BRM FEE INPUTS'!$H$52</f>
        <v>50.10717457546064</v>
      </c>
      <c r="F12" s="13">
        <f>E12*100/D12</f>
        <v>2.0218296483200802</v>
      </c>
      <c r="G12" s="13">
        <f>'BRM FEE INPUTS'!$H$58</f>
        <v>1.2907912016362046</v>
      </c>
      <c r="H12" s="13">
        <f>'BRM FEE INPUTS'!$H$64</f>
        <v>1.0126008477139226</v>
      </c>
      <c r="I12" s="13">
        <f>(H12-1)*F12</f>
        <v>2.5476767501974931E-2</v>
      </c>
      <c r="J12" s="13">
        <f>F12*G12+I12</f>
        <v>2.6352366887607563</v>
      </c>
      <c r="K12" s="13">
        <f>C12*J12</f>
        <v>1.9308379218550062</v>
      </c>
    </row>
    <row r="13" spans="1:12" x14ac:dyDescent="0.25">
      <c r="B13" t="s">
        <v>199</v>
      </c>
      <c r="C13" s="85">
        <v>6.0000000000000001E-3</v>
      </c>
      <c r="D13" s="67">
        <f>'BRM FEE INPUTS'!$H$11</f>
        <v>25011.595254920405</v>
      </c>
      <c r="E13" s="11">
        <f>'BRM FEE INPUTS'!$H$52</f>
        <v>50.10717457546064</v>
      </c>
      <c r="F13" s="13">
        <f>E13*100/D13</f>
        <v>0.20033578052404838</v>
      </c>
      <c r="G13" s="13">
        <f>'BRM FEE INPUTS'!$H$58</f>
        <v>1.2907912016362046</v>
      </c>
      <c r="H13" s="13">
        <f>'BRM FEE INPUTS'!$H$64</f>
        <v>1.0126008477139226</v>
      </c>
      <c r="I13" s="13">
        <f>(H13-1)*F13</f>
        <v>2.5244006620333465E-3</v>
      </c>
      <c r="J13" s="13">
        <f>F13*G13+I13</f>
        <v>0.26111606353539674</v>
      </c>
      <c r="K13" s="2">
        <f>C13*J13</f>
        <v>1.5666963812123805E-3</v>
      </c>
      <c r="L13" s="60"/>
    </row>
    <row r="14" spans="1:12" ht="13" x14ac:dyDescent="0.3">
      <c r="C14" s="80">
        <f>SUM(C9:C13)</f>
        <v>1</v>
      </c>
      <c r="D14" s="20"/>
      <c r="J14" s="23"/>
    </row>
    <row r="15" spans="1:12" ht="13" x14ac:dyDescent="0.3">
      <c r="C15" s="80"/>
      <c r="D15" s="20"/>
      <c r="J15" s="23"/>
      <c r="K15" s="4"/>
      <c r="L15" s="5"/>
    </row>
    <row r="16" spans="1:12" ht="13" x14ac:dyDescent="0.3">
      <c r="A16" s="6" t="s">
        <v>160</v>
      </c>
      <c r="C16" s="80"/>
      <c r="D16" s="20"/>
      <c r="J16" s="23"/>
      <c r="K16" s="4"/>
      <c r="L16" s="5"/>
    </row>
    <row r="17" spans="1:12" x14ac:dyDescent="0.25">
      <c r="B17" t="s">
        <v>265</v>
      </c>
      <c r="C17" s="77">
        <f>71.86%+0.41%</f>
        <v>0.72270000000000001</v>
      </c>
      <c r="D17" s="30">
        <f>'BRM FEE INPUTS'!H19</f>
        <v>4529.579908113541</v>
      </c>
      <c r="E17" s="11">
        <f>'BRM FEE INPUTS'!$H$52</f>
        <v>50.10717457546064</v>
      </c>
      <c r="F17" s="13">
        <f>E17*100/D17</f>
        <v>1.1062212300462329</v>
      </c>
      <c r="G17" s="13">
        <f>'BRM FEE INPUTS'!$H$58</f>
        <v>1.2907912016362046</v>
      </c>
      <c r="H17" s="13">
        <f>'BRM FEE INPUTS'!$H$64</f>
        <v>1.0126008477139226</v>
      </c>
      <c r="I17" s="13">
        <f>(H17-1)*F17</f>
        <v>1.3939325257720674E-2</v>
      </c>
      <c r="J17" s="13">
        <f>F17*G17+I17</f>
        <v>1.441839956064578</v>
      </c>
      <c r="K17" s="13">
        <f>C17*J17</f>
        <v>1.0420177362478706</v>
      </c>
    </row>
    <row r="18" spans="1:12" x14ac:dyDescent="0.25">
      <c r="B18" t="s">
        <v>97</v>
      </c>
      <c r="C18" s="85">
        <f>26.61%+0.0112</f>
        <v>0.27729999999999999</v>
      </c>
      <c r="D18" s="30">
        <f>'BRM FEE INPUTS'!H22</f>
        <v>1599.8199338595491</v>
      </c>
      <c r="E18" s="11">
        <f>'BRM FEE INPUTS'!$H$52</f>
        <v>50.10717457546064</v>
      </c>
      <c r="F18" s="13">
        <f>E18*100/D18</f>
        <v>3.1320508961641451</v>
      </c>
      <c r="G18" s="13">
        <f>'BRM FEE INPUTS'!$H$58</f>
        <v>1.2907912016362046</v>
      </c>
      <c r="H18" s="13">
        <f>'BRM FEE INPUTS'!$H$64</f>
        <v>1.0126008477139226</v>
      </c>
      <c r="I18" s="13">
        <f>(H18-1)*F18</f>
        <v>3.9466496374819068E-2</v>
      </c>
      <c r="J18" s="13">
        <f>F18*G18+I18</f>
        <v>4.0822902362202882</v>
      </c>
      <c r="K18" s="13">
        <f>C18*J18</f>
        <v>1.1320190825038858</v>
      </c>
    </row>
    <row r="19" spans="1:12" ht="13" x14ac:dyDescent="0.3">
      <c r="C19" s="80">
        <f>SUM(C17:C18)</f>
        <v>1</v>
      </c>
    </row>
    <row r="20" spans="1:12" ht="13" x14ac:dyDescent="0.3">
      <c r="K20" s="81">
        <f>SUM(K9:K18)</f>
        <v>4.1717454181009259</v>
      </c>
      <c r="L20" s="5" t="str">
        <f>"(10)"</f>
        <v>(10)</v>
      </c>
    </row>
    <row r="24" spans="1:12" s="75" customFormat="1" ht="13" x14ac:dyDescent="0.3">
      <c r="A24" s="23" t="str">
        <f>"(1)"</f>
        <v>(1)</v>
      </c>
      <c r="B24" s="15" t="s">
        <v>238</v>
      </c>
      <c r="C24" s="107"/>
      <c r="D24" s="105"/>
      <c r="E24" s="71"/>
      <c r="F24" s="74"/>
      <c r="G24" s="74"/>
      <c r="H24" s="74"/>
      <c r="I24" s="74"/>
      <c r="J24" s="106"/>
      <c r="K24" s="74"/>
    </row>
    <row r="25" spans="1:12" ht="13" x14ac:dyDescent="0.3">
      <c r="A25" s="23" t="str">
        <f>"(2)"</f>
        <v>(2)</v>
      </c>
      <c r="B25" s="61" t="s">
        <v>288</v>
      </c>
    </row>
    <row r="26" spans="1:12" ht="13" x14ac:dyDescent="0.3">
      <c r="A26" s="23" t="str">
        <f>"(3)"</f>
        <v>(3)</v>
      </c>
      <c r="B26" s="61" t="s">
        <v>288</v>
      </c>
    </row>
    <row r="27" spans="1:12" ht="13" x14ac:dyDescent="0.3">
      <c r="A27" s="23" t="str">
        <f>"(4)"</f>
        <v>(4)</v>
      </c>
      <c r="B27" t="s">
        <v>156</v>
      </c>
    </row>
    <row r="28" spans="1:12" ht="13" x14ac:dyDescent="0.3">
      <c r="A28" s="23" t="str">
        <f>"(5)"</f>
        <v>(5)</v>
      </c>
      <c r="B28" s="61" t="s">
        <v>288</v>
      </c>
    </row>
    <row r="29" spans="1:12" ht="13" x14ac:dyDescent="0.3">
      <c r="A29" s="23" t="str">
        <f>"(6)"</f>
        <v>(6)</v>
      </c>
      <c r="B29" s="61" t="s">
        <v>288</v>
      </c>
    </row>
    <row r="30" spans="1:12" ht="13" x14ac:dyDescent="0.3">
      <c r="A30" s="23" t="str">
        <f>"(7)"</f>
        <v>(7)</v>
      </c>
      <c r="B30" t="s">
        <v>43</v>
      </c>
    </row>
    <row r="31" spans="1:12" ht="13" x14ac:dyDescent="0.3">
      <c r="A31" s="23" t="str">
        <f>"(8)"</f>
        <v>(8)</v>
      </c>
      <c r="B31" t="s">
        <v>44</v>
      </c>
    </row>
    <row r="32" spans="1:12" ht="13" x14ac:dyDescent="0.3">
      <c r="A32" s="23" t="str">
        <f>"(9)"</f>
        <v>(9)</v>
      </c>
      <c r="B32" t="s">
        <v>157</v>
      </c>
    </row>
    <row r="33" spans="1:2" ht="13" x14ac:dyDescent="0.3">
      <c r="A33" s="23" t="str">
        <f>"(10)"</f>
        <v>(10)</v>
      </c>
      <c r="B33" t="s">
        <v>161</v>
      </c>
    </row>
  </sheetData>
  <phoneticPr fontId="3" type="noConversion"/>
  <printOptions horizontalCentered="1"/>
  <pageMargins left="0.75" right="0.75" top="1" bottom="1" header="0.5" footer="0.5"/>
  <pageSetup scale="81" orientation="landscape" horizontalDpi="4294967292" r:id="rId1"/>
  <headerFooter alignWithMargins="0">
    <oddHeader>&amp;L
&amp;RUSPS-FY15-21
Section B
Page 8 of 11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M56"/>
  <sheetViews>
    <sheetView zoomScaleNormal="100" workbookViewId="0">
      <selection activeCell="B56" sqref="B56"/>
    </sheetView>
  </sheetViews>
  <sheetFormatPr defaultColWidth="9.1796875" defaultRowHeight="12.5" x14ac:dyDescent="0.25"/>
  <cols>
    <col min="1" max="2" width="5.7265625" customWidth="1"/>
    <col min="3" max="3" width="35.7265625" customWidth="1"/>
    <col min="4" max="4" width="12.7265625" style="77" customWidth="1"/>
    <col min="5" max="5" width="12.7265625" style="30" customWidth="1"/>
    <col min="6" max="6" width="9.1796875" style="11"/>
    <col min="7" max="9" width="10.7265625" style="13" customWidth="1"/>
    <col min="10" max="10" width="12.7265625" style="13" customWidth="1"/>
    <col min="11" max="11" width="10.7265625" style="14" customWidth="1"/>
    <col min="12" max="12" width="10.7265625" style="13" customWidth="1"/>
  </cols>
  <sheetData>
    <row r="1" spans="1:13" ht="15.5" x14ac:dyDescent="0.35">
      <c r="A1" s="3" t="s">
        <v>163</v>
      </c>
    </row>
    <row r="2" spans="1:13" x14ac:dyDescent="0.25">
      <c r="A2" s="60"/>
    </row>
    <row r="4" spans="1:13" s="23" customFormat="1" ht="13" x14ac:dyDescent="0.3">
      <c r="D4" s="80" t="str">
        <f>"(1)"</f>
        <v>(1)</v>
      </c>
      <c r="E4" s="20" t="str">
        <f>"(2)"</f>
        <v>(2)</v>
      </c>
      <c r="F4" s="21" t="str">
        <f>"(3)"</f>
        <v>(3)</v>
      </c>
      <c r="G4" s="4" t="str">
        <f>"(4)"</f>
        <v>(4)</v>
      </c>
      <c r="H4" s="4" t="str">
        <f>"(5)"</f>
        <v>(5)</v>
      </c>
      <c r="I4" s="4" t="str">
        <f>"(6)"</f>
        <v>(6)</v>
      </c>
      <c r="J4" s="4" t="str">
        <f>"(7)"</f>
        <v>(7)</v>
      </c>
      <c r="K4" s="4" t="str">
        <f>"(8)"</f>
        <v>(8)</v>
      </c>
      <c r="L4" s="4" t="str">
        <f>"(9)"</f>
        <v>(9)</v>
      </c>
    </row>
    <row r="6" spans="1:13" ht="13" x14ac:dyDescent="0.3">
      <c r="G6" s="4" t="s">
        <v>19</v>
      </c>
      <c r="I6" s="4" t="s">
        <v>20</v>
      </c>
      <c r="J6" s="4" t="s">
        <v>20</v>
      </c>
      <c r="K6" s="23" t="s">
        <v>21</v>
      </c>
      <c r="L6" s="4" t="s">
        <v>22</v>
      </c>
    </row>
    <row r="7" spans="1:13" ht="13" x14ac:dyDescent="0.3">
      <c r="D7" s="80" t="s">
        <v>147</v>
      </c>
      <c r="E7" s="20" t="s">
        <v>148</v>
      </c>
      <c r="F7" s="21" t="s">
        <v>24</v>
      </c>
      <c r="G7" s="4" t="s">
        <v>149</v>
      </c>
      <c r="H7" s="4" t="s">
        <v>26</v>
      </c>
      <c r="I7" s="4" t="s">
        <v>27</v>
      </c>
      <c r="J7" s="4" t="s">
        <v>27</v>
      </c>
      <c r="K7" s="23" t="s">
        <v>149</v>
      </c>
      <c r="L7" s="4" t="s">
        <v>149</v>
      </c>
    </row>
    <row r="8" spans="1:13" ht="13" x14ac:dyDescent="0.3">
      <c r="A8" s="6" t="s">
        <v>150</v>
      </c>
      <c r="D8" s="83" t="s">
        <v>151</v>
      </c>
      <c r="E8" s="24" t="s">
        <v>152</v>
      </c>
      <c r="F8" s="25" t="s">
        <v>31</v>
      </c>
      <c r="G8" s="8" t="s">
        <v>153</v>
      </c>
      <c r="H8" s="8" t="s">
        <v>33</v>
      </c>
      <c r="I8" s="8" t="s">
        <v>33</v>
      </c>
      <c r="J8" s="8" t="s">
        <v>120</v>
      </c>
      <c r="K8" s="27" t="s">
        <v>153</v>
      </c>
      <c r="L8" s="8" t="s">
        <v>153</v>
      </c>
    </row>
    <row r="9" spans="1:13" x14ac:dyDescent="0.25">
      <c r="B9" t="s">
        <v>214</v>
      </c>
      <c r="D9" s="77">
        <v>8.8000000000000005E-3</v>
      </c>
      <c r="E9" s="30">
        <f>'BRM FEE INPUTS'!H7</f>
        <v>165386.68355393532</v>
      </c>
      <c r="F9" s="11">
        <f>'BRM FEE INPUTS'!$H$52</f>
        <v>50.10717457546064</v>
      </c>
      <c r="G9" s="13">
        <f>F9*100/E9</f>
        <v>3.0296982501085021E-2</v>
      </c>
      <c r="H9" s="13">
        <f>'BRM FEE INPUTS'!$H$58</f>
        <v>1.2907912016362046</v>
      </c>
      <c r="I9" s="13">
        <f>'BRM FEE INPUTS'!$H$64</f>
        <v>1.0126008477139226</v>
      </c>
      <c r="J9" s="13">
        <f>(I9-1)*G9</f>
        <v>3.8176766268754891E-4</v>
      </c>
      <c r="K9" s="13">
        <f>G9*H9+J9</f>
        <v>3.948884611121415E-2</v>
      </c>
      <c r="L9" s="13">
        <f>D9*K9</f>
        <v>3.4750184577868456E-4</v>
      </c>
    </row>
    <row r="10" spans="1:13" x14ac:dyDescent="0.25">
      <c r="B10" t="s">
        <v>206</v>
      </c>
      <c r="D10" s="77">
        <v>6.6E-3</v>
      </c>
      <c r="E10" s="30">
        <f>'BRM FEE INPUTS'!H8</f>
        <v>74266.663941963096</v>
      </c>
      <c r="F10" s="11">
        <f>'BRM FEE INPUTS'!$H$52</f>
        <v>50.10717457546064</v>
      </c>
      <c r="G10" s="13">
        <f>F10*100/E10</f>
        <v>6.7469268061667226E-2</v>
      </c>
      <c r="H10" s="13">
        <f>'BRM FEE INPUTS'!$H$58</f>
        <v>1.2907912016362046</v>
      </c>
      <c r="I10" s="13">
        <f>'BRM FEE INPUTS'!$H$64</f>
        <v>1.0126008477139226</v>
      </c>
      <c r="J10" s="13">
        <f>(I10-1)*G10</f>
        <v>8.5016997221488771E-4</v>
      </c>
      <c r="K10" s="13">
        <f>G10*H10+J10</f>
        <v>8.7938907567049529E-2</v>
      </c>
      <c r="L10" s="13">
        <f>D10*K10</f>
        <v>5.8039678994252692E-4</v>
      </c>
    </row>
    <row r="11" spans="1:13" x14ac:dyDescent="0.25">
      <c r="B11" t="s">
        <v>154</v>
      </c>
      <c r="D11" s="84">
        <v>5.1000000000000004E-3</v>
      </c>
      <c r="E11" s="30">
        <f>'BRM FEE INPUTS'!$H$9</f>
        <v>5767.5517742505954</v>
      </c>
      <c r="F11" s="11">
        <f>'BRM FEE INPUTS'!$H$52</f>
        <v>50.10717457546064</v>
      </c>
      <c r="G11" s="13">
        <f>F11*100/E11</f>
        <v>0.86877719588345259</v>
      </c>
      <c r="H11" s="13">
        <f>'BRM FEE INPUTS'!$H$58</f>
        <v>1.2907912016362046</v>
      </c>
      <c r="I11" s="13">
        <f>'BRM FEE INPUTS'!$H$64</f>
        <v>1.0126008477139226</v>
      </c>
      <c r="J11" s="13">
        <f>(I11-1)*G11</f>
        <v>1.0947329142656054E-2</v>
      </c>
      <c r="K11" s="13">
        <f>G11*H11+J11</f>
        <v>1.1323572897711902</v>
      </c>
      <c r="L11" s="13">
        <f>D11*K11</f>
        <v>5.7750221778330706E-3</v>
      </c>
      <c r="M11" s="60"/>
    </row>
    <row r="12" spans="1:13" x14ac:dyDescent="0.25">
      <c r="B12" t="s">
        <v>97</v>
      </c>
      <c r="D12" s="84">
        <v>0.97899999999999998</v>
      </c>
      <c r="E12" s="30">
        <f>'BRM FEE INPUTS'!H10</f>
        <v>2478.3084280663425</v>
      </c>
      <c r="F12" s="11">
        <f>'BRM FEE INPUTS'!$H$52</f>
        <v>50.10717457546064</v>
      </c>
      <c r="G12" s="13">
        <f>F12*100/E12</f>
        <v>2.0218296483200802</v>
      </c>
      <c r="H12" s="13">
        <f>'BRM FEE INPUTS'!$H$58</f>
        <v>1.2907912016362046</v>
      </c>
      <c r="I12" s="13">
        <f>'BRM FEE INPUTS'!$H$64</f>
        <v>1.0126008477139226</v>
      </c>
      <c r="J12" s="13">
        <f>(I12-1)*G12</f>
        <v>2.5476767501974931E-2</v>
      </c>
      <c r="K12" s="13">
        <f>G12*H12+J12</f>
        <v>2.6352366887607563</v>
      </c>
      <c r="L12" s="13">
        <f>D12*K12</f>
        <v>2.5798967182967805</v>
      </c>
    </row>
    <row r="13" spans="1:13" x14ac:dyDescent="0.25">
      <c r="B13" t="s">
        <v>155</v>
      </c>
      <c r="D13" s="85">
        <v>5.0000000000000001E-4</v>
      </c>
      <c r="E13" s="67">
        <f>'BRM FEE INPUTS'!$H$11</f>
        <v>25011.595254920405</v>
      </c>
      <c r="F13" s="11">
        <f>'BRM FEE INPUTS'!$H$52</f>
        <v>50.10717457546064</v>
      </c>
      <c r="G13" s="13">
        <f>F13*100/E13</f>
        <v>0.20033578052404838</v>
      </c>
      <c r="H13" s="13">
        <f>'BRM FEE INPUTS'!$H$58</f>
        <v>1.2907912016362046</v>
      </c>
      <c r="I13" s="13">
        <f>'BRM FEE INPUTS'!$H$64</f>
        <v>1.0126008477139226</v>
      </c>
      <c r="J13" s="13">
        <f>(I13-1)*G13</f>
        <v>2.5244006620333465E-3</v>
      </c>
      <c r="K13" s="13">
        <f>G13*H13+J13</f>
        <v>0.26111606353539674</v>
      </c>
      <c r="L13" s="2">
        <f>D13*K13</f>
        <v>1.3055803176769838E-4</v>
      </c>
      <c r="M13" s="60"/>
    </row>
    <row r="14" spans="1:13" ht="13" x14ac:dyDescent="0.3">
      <c r="D14" s="80">
        <f>SUM(D9:D13)</f>
        <v>0.99999999999999989</v>
      </c>
      <c r="E14" s="20"/>
      <c r="K14" s="23"/>
    </row>
    <row r="15" spans="1:13" ht="13" x14ac:dyDescent="0.3">
      <c r="D15" s="80"/>
      <c r="E15" s="20"/>
      <c r="K15" s="23"/>
      <c r="L15" s="4"/>
      <c r="M15" s="5"/>
    </row>
    <row r="16" spans="1:13" ht="13" x14ac:dyDescent="0.3">
      <c r="A16" s="6" t="s">
        <v>160</v>
      </c>
      <c r="D16" s="80"/>
      <c r="E16" s="20"/>
      <c r="K16" s="23"/>
      <c r="L16" s="4"/>
      <c r="M16" s="5"/>
    </row>
    <row r="17" spans="1:12" x14ac:dyDescent="0.25">
      <c r="B17" t="s">
        <v>266</v>
      </c>
      <c r="D17" s="77">
        <f>52.34%+0.2%</f>
        <v>0.52540000000000009</v>
      </c>
      <c r="E17" s="30">
        <f>'BRM FEE INPUTS'!H20</f>
        <v>828.50825819005797</v>
      </c>
      <c r="F17" s="11">
        <f>'BRM FEE INPUTS'!$H$52</f>
        <v>50.10717457546064</v>
      </c>
      <c r="G17" s="13">
        <f>F17*100/E17</f>
        <v>6.0478787121475097</v>
      </c>
      <c r="H17" s="13">
        <f>'BRM FEE INPUTS'!$H$58</f>
        <v>1.2907912016362046</v>
      </c>
      <c r="I17" s="13">
        <f>'BRM FEE INPUTS'!$H$64</f>
        <v>1.0126008477139226</v>
      </c>
      <c r="J17" s="13">
        <f>(I17-1)*G17</f>
        <v>7.6208398644044856E-2</v>
      </c>
      <c r="K17" s="13">
        <f>G17*H17+J17</f>
        <v>7.8827570288469513</v>
      </c>
      <c r="L17" s="13">
        <f>D17*K17</f>
        <v>4.1416005429561888</v>
      </c>
    </row>
    <row r="18" spans="1:12" x14ac:dyDescent="0.25">
      <c r="B18" t="s">
        <v>97</v>
      </c>
      <c r="D18" s="85">
        <f>46.34%+0.0112</f>
        <v>0.47460000000000002</v>
      </c>
      <c r="E18" s="30">
        <f>'BRM FEE INPUTS'!H23</f>
        <v>292.6240520551346</v>
      </c>
      <c r="F18" s="11">
        <f>'BRM FEE INPUTS'!$H$52</f>
        <v>50.10717457546064</v>
      </c>
      <c r="G18" s="13">
        <f>F18*100/E18</f>
        <v>17.123395778150091</v>
      </c>
      <c r="H18" s="13">
        <f>'BRM FEE INPUTS'!$H$58</f>
        <v>1.2907912016362046</v>
      </c>
      <c r="I18" s="13">
        <f>'BRM FEE INPUTS'!$H$64</f>
        <v>1.0126008477139226</v>
      </c>
      <c r="J18" s="13">
        <f>(I18-1)*G18</f>
        <v>0.21576930254569376</v>
      </c>
      <c r="K18" s="13">
        <f>G18*H18+J18</f>
        <v>22.318497915116364</v>
      </c>
      <c r="L18" s="13">
        <f>D18*K18</f>
        <v>10.592359110514227</v>
      </c>
    </row>
    <row r="19" spans="1:12" ht="13" x14ac:dyDescent="0.3">
      <c r="D19" s="80">
        <f>SUM(D17:D18)</f>
        <v>1</v>
      </c>
    </row>
    <row r="20" spans="1:12" ht="13" x14ac:dyDescent="0.3">
      <c r="D20" s="80"/>
    </row>
    <row r="21" spans="1:12" ht="13" x14ac:dyDescent="0.3">
      <c r="A21" s="6" t="s">
        <v>164</v>
      </c>
      <c r="D21" s="80"/>
    </row>
    <row r="22" spans="1:12" x14ac:dyDescent="0.25">
      <c r="B22" t="s">
        <v>165</v>
      </c>
    </row>
    <row r="23" spans="1:12" x14ac:dyDescent="0.25">
      <c r="C23" t="s">
        <v>166</v>
      </c>
      <c r="D23" s="84"/>
      <c r="E23" s="30">
        <f>'BRM FEE INPUTS'!H36</f>
        <v>4026.4994437139676</v>
      </c>
      <c r="F23" s="11">
        <f>'BRM FEE INPUTS'!$H$52</f>
        <v>50.10717457546064</v>
      </c>
      <c r="G23" s="13">
        <f t="shared" ref="G23:G28" si="0">F23*100/E23</f>
        <v>1.2444351545530756</v>
      </c>
      <c r="H23" s="13">
        <f>'BRM FEE INPUTS'!$H$58</f>
        <v>1.2907912016362046</v>
      </c>
      <c r="I23" s="13">
        <f>'BRM FEE INPUTS'!$H$64</f>
        <v>1.0126008477139226</v>
      </c>
      <c r="J23" s="13">
        <f t="shared" ref="J23:J28" si="1">(I23-1)*G23</f>
        <v>1.5680937872374987E-2</v>
      </c>
      <c r="K23" s="13">
        <f t="shared" ref="K23:K28" si="2">G23*H23+J23</f>
        <v>1.6219868863762756</v>
      </c>
    </row>
    <row r="24" spans="1:12" x14ac:dyDescent="0.25">
      <c r="C24" t="s">
        <v>167</v>
      </c>
      <c r="D24" s="84"/>
      <c r="E24" s="30">
        <f>'BRM FEE INPUTS'!H37</f>
        <v>306.46303226458986</v>
      </c>
      <c r="F24" s="11">
        <f>'BRM FEE INPUTS'!$H$52</f>
        <v>50.10717457546064</v>
      </c>
      <c r="G24" s="13">
        <f t="shared" si="0"/>
        <v>16.35015297120724</v>
      </c>
      <c r="H24" s="13">
        <f>'BRM FEE INPUTS'!$H$58</f>
        <v>1.2907912016362046</v>
      </c>
      <c r="I24" s="13">
        <f>'BRM FEE INPUTS'!$H$64</f>
        <v>1.0126008477139226</v>
      </c>
      <c r="J24" s="13">
        <f t="shared" si="1"/>
        <v>0.20602578768952087</v>
      </c>
      <c r="K24" s="13">
        <f t="shared" si="2"/>
        <v>21.310659388329874</v>
      </c>
    </row>
    <row r="25" spans="1:12" x14ac:dyDescent="0.25">
      <c r="C25" t="s">
        <v>168</v>
      </c>
      <c r="D25" s="84"/>
      <c r="E25" s="30">
        <f>'BRM FEE INPUTS'!H38</f>
        <v>339.8401941943967</v>
      </c>
      <c r="F25" s="11">
        <f>'BRM FEE INPUTS'!$H$52</f>
        <v>50.10717457546064</v>
      </c>
      <c r="G25" s="13">
        <f t="shared" si="0"/>
        <v>14.744334375820813</v>
      </c>
      <c r="H25" s="13">
        <f>'BRM FEE INPUTS'!$H$58</f>
        <v>1.2907912016362046</v>
      </c>
      <c r="I25" s="13">
        <f>'BRM FEE INPUTS'!$H$64</f>
        <v>1.0126008477139226</v>
      </c>
      <c r="J25" s="13">
        <f t="shared" si="1"/>
        <v>0.18579111211287147</v>
      </c>
      <c r="K25" s="13">
        <f t="shared" si="2"/>
        <v>19.217648198404618</v>
      </c>
    </row>
    <row r="26" spans="1:12" x14ac:dyDescent="0.25">
      <c r="C26" t="s">
        <v>169</v>
      </c>
      <c r="D26" s="84"/>
      <c r="E26" s="30">
        <f>'BRM FEE INPUTS'!H39</f>
        <v>228.5829877617073</v>
      </c>
      <c r="F26" s="11">
        <f>'BRM FEE INPUTS'!$H$52</f>
        <v>50.10717457546064</v>
      </c>
      <c r="G26" s="13">
        <f t="shared" si="0"/>
        <v>21.920780310954836</v>
      </c>
      <c r="H26" s="13">
        <f>'BRM FEE INPUTS'!$H$58</f>
        <v>1.2907912016362046</v>
      </c>
      <c r="I26" s="13">
        <f>'BRM FEE INPUTS'!$H$64</f>
        <v>1.0126008477139226</v>
      </c>
      <c r="J26" s="13">
        <f t="shared" si="1"/>
        <v>0.27622041446869389</v>
      </c>
      <c r="K26" s="13">
        <f t="shared" si="2"/>
        <v>28.571370772849342</v>
      </c>
    </row>
    <row r="27" spans="1:12" x14ac:dyDescent="0.25">
      <c r="C27" t="s">
        <v>170</v>
      </c>
      <c r="D27" s="84"/>
      <c r="E27" s="30">
        <f>'BRM FEE INPUTS'!H40</f>
        <v>252.85728734702133</v>
      </c>
      <c r="F27" s="11">
        <f>'BRM FEE INPUTS'!$H$52</f>
        <v>50.10717457546064</v>
      </c>
      <c r="G27" s="13">
        <f t="shared" si="0"/>
        <v>19.816385401103176</v>
      </c>
      <c r="H27" s="13">
        <f>'BRM FEE INPUTS'!$H$58</f>
        <v>1.2907912016362046</v>
      </c>
      <c r="I27" s="13">
        <f>'BRM FEE INPUTS'!$H$64</f>
        <v>1.0126008477139226</v>
      </c>
      <c r="J27" s="13">
        <f t="shared" si="1"/>
        <v>0.24970325467969931</v>
      </c>
      <c r="K27" s="13">
        <f t="shared" si="2"/>
        <v>25.82851917865581</v>
      </c>
    </row>
    <row r="28" spans="1:12" x14ac:dyDescent="0.25">
      <c r="C28" t="s">
        <v>171</v>
      </c>
      <c r="D28" s="84"/>
      <c r="E28" s="30">
        <f>'BRM FEE INPUTS'!H41</f>
        <v>262.97157884090217</v>
      </c>
      <c r="F28" s="11">
        <f>'BRM FEE INPUTS'!$H$52</f>
        <v>50.10717457546064</v>
      </c>
      <c r="G28" s="13">
        <f t="shared" si="0"/>
        <v>19.054216731829978</v>
      </c>
      <c r="H28" s="13">
        <f>'BRM FEE INPUTS'!$H$58</f>
        <v>1.2907912016362046</v>
      </c>
      <c r="I28" s="13">
        <f>'BRM FEE INPUTS'!$H$64</f>
        <v>1.0126008477139226</v>
      </c>
      <c r="J28" s="13">
        <f t="shared" si="1"/>
        <v>0.24009928334586475</v>
      </c>
      <c r="K28" s="79">
        <f t="shared" si="2"/>
        <v>24.835114594861356</v>
      </c>
    </row>
    <row r="29" spans="1:12" x14ac:dyDescent="0.25">
      <c r="B29" t="s">
        <v>172</v>
      </c>
      <c r="D29" s="84">
        <v>0.01</v>
      </c>
      <c r="K29" s="13">
        <f>SUM(K23:K28)</f>
        <v>121.38529901947727</v>
      </c>
      <c r="L29" s="13">
        <f>K29*D29</f>
        <v>1.2138529901947728</v>
      </c>
    </row>
    <row r="30" spans="1:12" x14ac:dyDescent="0.25">
      <c r="D30" s="84"/>
    </row>
    <row r="31" spans="1:12" x14ac:dyDescent="0.25">
      <c r="B31" t="s">
        <v>173</v>
      </c>
    </row>
    <row r="32" spans="1:12" x14ac:dyDescent="0.25">
      <c r="C32" t="s">
        <v>166</v>
      </c>
      <c r="D32" s="84"/>
      <c r="E32" s="30">
        <f>'BRM FEE INPUTS'!H44</f>
        <v>3114</v>
      </c>
      <c r="F32" s="11">
        <f>'BRM FEE INPUTS'!$H$53</f>
        <v>48.936477929815645</v>
      </c>
      <c r="G32" s="13">
        <f>F32*100/E32</f>
        <v>1.5714989701289546</v>
      </c>
      <c r="H32" s="13">
        <f>'BRM FEE INPUTS'!$H$60</f>
        <v>1.2638248250031257</v>
      </c>
      <c r="I32" s="13">
        <f>'BRM FEE INPUTS'!$H$64</f>
        <v>1.0126008477139226</v>
      </c>
      <c r="J32" s="13">
        <f>(I32-1)*G32</f>
        <v>1.980221920518109E-2</v>
      </c>
      <c r="K32" s="13">
        <f>G32*H32+J32</f>
        <v>2.0059016301209991</v>
      </c>
    </row>
    <row r="33" spans="1:13" x14ac:dyDescent="0.25">
      <c r="C33" t="s">
        <v>167</v>
      </c>
      <c r="D33" s="84"/>
      <c r="E33" s="30">
        <f>'BRM FEE INPUTS'!H45</f>
        <v>315</v>
      </c>
      <c r="F33" s="11">
        <f>'BRM FEE INPUTS'!$H$53</f>
        <v>48.936477929815645</v>
      </c>
      <c r="G33" s="13">
        <f>F33*100/E33</f>
        <v>15.535389818989094</v>
      </c>
      <c r="H33" s="13">
        <f>'BRM FEE INPUTS'!$H$60</f>
        <v>1.2638248250031257</v>
      </c>
      <c r="I33" s="13">
        <f>'BRM FEE INPUTS'!$H$64</f>
        <v>1.0126008477139226</v>
      </c>
      <c r="J33" s="13">
        <f>(I33-1)*G33</f>
        <v>0.19575908128550451</v>
      </c>
      <c r="K33" s="13">
        <f>G33*H33+J33</f>
        <v>19.829770400624735</v>
      </c>
    </row>
    <row r="34" spans="1:13" x14ac:dyDescent="0.25">
      <c r="C34" t="s">
        <v>169</v>
      </c>
      <c r="D34" s="84"/>
      <c r="E34" s="30">
        <f>'BRM FEE INPUTS'!H46</f>
        <v>69</v>
      </c>
      <c r="F34" s="11">
        <f>'BRM FEE INPUTS'!$H$53</f>
        <v>48.936477929815645</v>
      </c>
      <c r="G34" s="13">
        <f>F34*100/E34</f>
        <v>70.922431782341519</v>
      </c>
      <c r="H34" s="13">
        <f>'BRM FEE INPUTS'!$H$60</f>
        <v>1.2638248250031257</v>
      </c>
      <c r="I34" s="13">
        <f>'BRM FEE INPUTS'!$H$64</f>
        <v>1.0126008477139226</v>
      </c>
      <c r="J34" s="13">
        <f>(I34-1)*G34</f>
        <v>0.89368276239034672</v>
      </c>
      <c r="K34" s="13">
        <f>G34*H34+J34</f>
        <v>90.527212698504229</v>
      </c>
    </row>
    <row r="35" spans="1:13" x14ac:dyDescent="0.25">
      <c r="C35" t="s">
        <v>170</v>
      </c>
      <c r="D35" s="84"/>
      <c r="E35" s="30">
        <f>'BRM FEE INPUTS'!H47</f>
        <v>265</v>
      </c>
      <c r="F35" s="11">
        <f>'BRM FEE INPUTS'!$H$53</f>
        <v>48.936477929815645</v>
      </c>
      <c r="G35" s="13">
        <f>F35*100/E35</f>
        <v>18.46659544521345</v>
      </c>
      <c r="H35" s="13">
        <f>'BRM FEE INPUTS'!$H$60</f>
        <v>1.2638248250031257</v>
      </c>
      <c r="I35" s="13">
        <f>'BRM FEE INPUTS'!$H$64</f>
        <v>1.0126008477139226</v>
      </c>
      <c r="J35" s="13">
        <f>(I35-1)*G35</f>
        <v>0.23269475699975062</v>
      </c>
      <c r="K35" s="13">
        <f>G35*H35+J35</f>
        <v>23.571236513950158</v>
      </c>
    </row>
    <row r="36" spans="1:13" x14ac:dyDescent="0.25">
      <c r="C36" t="s">
        <v>174</v>
      </c>
      <c r="D36" s="84"/>
      <c r="E36" s="30">
        <f>'BRM FEE INPUTS'!H48</f>
        <v>260</v>
      </c>
      <c r="F36" s="11">
        <f>'BRM FEE INPUTS'!$H$53</f>
        <v>48.936477929815645</v>
      </c>
      <c r="G36" s="13">
        <f>F36*100/E36</f>
        <v>18.821722280698324</v>
      </c>
      <c r="H36" s="13">
        <f>'BRM FEE INPUTS'!$H$60</f>
        <v>1.2638248250031257</v>
      </c>
      <c r="I36" s="13">
        <f>'BRM FEE INPUTS'!$H$64</f>
        <v>1.0126008477139226</v>
      </c>
      <c r="J36" s="13">
        <f>(I36-1)*G36</f>
        <v>0.23716965617282276</v>
      </c>
      <c r="K36" s="79">
        <f>G36*H36+J36</f>
        <v>24.024529523833817</v>
      </c>
    </row>
    <row r="37" spans="1:13" x14ac:dyDescent="0.25">
      <c r="B37" t="s">
        <v>198</v>
      </c>
      <c r="D37" s="84">
        <v>0.01</v>
      </c>
      <c r="K37" s="13">
        <f>SUM(K32:K36)</f>
        <v>159.95865076703396</v>
      </c>
      <c r="L37" s="13">
        <f>K37*D37</f>
        <v>1.5995865076703397</v>
      </c>
    </row>
    <row r="38" spans="1:13" x14ac:dyDescent="0.25">
      <c r="D38" s="84"/>
    </row>
    <row r="39" spans="1:13" ht="13" x14ac:dyDescent="0.3">
      <c r="A39" s="6" t="s">
        <v>175</v>
      </c>
      <c r="D39" s="84"/>
    </row>
    <row r="40" spans="1:13" ht="13" x14ac:dyDescent="0.3">
      <c r="B40" t="s">
        <v>176</v>
      </c>
      <c r="D40" s="85">
        <v>0.98</v>
      </c>
      <c r="K40" s="13">
        <f>'ANNUAL ACCOUNTING '!J9*100/1000</f>
        <v>36.819202392755273</v>
      </c>
      <c r="L40" s="13">
        <f>K40*D40</f>
        <v>36.082818344900168</v>
      </c>
      <c r="M40" s="5" t="str">
        <f>"(10)"</f>
        <v>(10)</v>
      </c>
    </row>
    <row r="41" spans="1:13" ht="13" x14ac:dyDescent="0.3">
      <c r="D41" s="80">
        <f>SUM(D29:D40)</f>
        <v>1</v>
      </c>
    </row>
    <row r="42" spans="1:13" ht="13" x14ac:dyDescent="0.3">
      <c r="L42" s="81">
        <f>SUM(L9:L40)</f>
        <v>56.216947693377797</v>
      </c>
      <c r="M42" s="5" t="str">
        <f>"(11)"</f>
        <v>(11)</v>
      </c>
    </row>
    <row r="46" spans="1:13" s="75" customFormat="1" ht="13" x14ac:dyDescent="0.3">
      <c r="A46" s="23" t="str">
        <f>"(1)"</f>
        <v>(1)</v>
      </c>
      <c r="B46" s="15" t="s">
        <v>238</v>
      </c>
      <c r="C46" s="15"/>
      <c r="D46" s="105"/>
      <c r="E46" s="108"/>
      <c r="F46" s="71"/>
      <c r="G46" s="74"/>
      <c r="H46" s="74"/>
      <c r="I46" s="74"/>
      <c r="J46" s="74"/>
      <c r="K46" s="106"/>
      <c r="L46" s="74"/>
    </row>
    <row r="47" spans="1:13" ht="13" x14ac:dyDescent="0.3">
      <c r="A47" s="23" t="str">
        <f>"(2)"</f>
        <v>(2)</v>
      </c>
      <c r="B47" s="61" t="s">
        <v>288</v>
      </c>
    </row>
    <row r="48" spans="1:13" ht="13" x14ac:dyDescent="0.3">
      <c r="A48" s="23" t="str">
        <f>"(3)"</f>
        <v>(3)</v>
      </c>
      <c r="B48" s="61" t="s">
        <v>288</v>
      </c>
    </row>
    <row r="49" spans="1:2" ht="13" x14ac:dyDescent="0.3">
      <c r="A49" s="23" t="str">
        <f>"(4)"</f>
        <v>(4)</v>
      </c>
      <c r="B49" t="s">
        <v>156</v>
      </c>
    </row>
    <row r="50" spans="1:2" ht="13" x14ac:dyDescent="0.3">
      <c r="A50" s="23" t="str">
        <f>"(5)"</f>
        <v>(5)</v>
      </c>
      <c r="B50" s="61" t="s">
        <v>288</v>
      </c>
    </row>
    <row r="51" spans="1:2" ht="13" x14ac:dyDescent="0.3">
      <c r="A51" s="23" t="str">
        <f>"(6)"</f>
        <v>(6)</v>
      </c>
      <c r="B51" s="61" t="s">
        <v>288</v>
      </c>
    </row>
    <row r="52" spans="1:2" ht="13" x14ac:dyDescent="0.3">
      <c r="A52" s="23" t="str">
        <f>"(7)"</f>
        <v>(7)</v>
      </c>
      <c r="B52" t="s">
        <v>43</v>
      </c>
    </row>
    <row r="53" spans="1:2" ht="13" x14ac:dyDescent="0.3">
      <c r="A53" s="23" t="str">
        <f>"(8)"</f>
        <v>(8)</v>
      </c>
      <c r="B53" t="s">
        <v>44</v>
      </c>
    </row>
    <row r="54" spans="1:2" ht="13" x14ac:dyDescent="0.3">
      <c r="A54" s="23" t="str">
        <f>"(9)"</f>
        <v>(9)</v>
      </c>
      <c r="B54" t="s">
        <v>157</v>
      </c>
    </row>
    <row r="55" spans="1:2" ht="13" x14ac:dyDescent="0.3">
      <c r="A55" s="23" t="str">
        <f>"(10)"</f>
        <v>(10)</v>
      </c>
      <c r="B55" t="s">
        <v>254</v>
      </c>
    </row>
    <row r="56" spans="1:2" ht="13" x14ac:dyDescent="0.3">
      <c r="A56" s="23" t="str">
        <f>"(11)"</f>
        <v>(11)</v>
      </c>
      <c r="B56" t="s">
        <v>145</v>
      </c>
    </row>
  </sheetData>
  <phoneticPr fontId="3" type="noConversion"/>
  <printOptions horizontalCentered="1"/>
  <pageMargins left="0.75" right="0.75" top="1" bottom="1" header="0.5" footer="0.5"/>
  <pageSetup scale="66" orientation="landscape" horizontalDpi="4294967292" r:id="rId1"/>
  <headerFooter alignWithMargins="0">
    <oddHeader>&amp;RUSPS-FY15-21
Section B
Page 9 of 11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J21"/>
  <sheetViews>
    <sheetView zoomScale="115" zoomScaleNormal="115" workbookViewId="0">
      <selection activeCell="F7" sqref="F7"/>
    </sheetView>
  </sheetViews>
  <sheetFormatPr defaultColWidth="9.1796875" defaultRowHeight="12.5" x14ac:dyDescent="0.25"/>
  <cols>
    <col min="1" max="1" width="5.7265625" customWidth="1"/>
    <col min="2" max="2" width="20.7265625" customWidth="1"/>
    <col min="3" max="3" width="12.7265625" style="30" customWidth="1"/>
    <col min="4" max="4" width="9.1796875" style="11"/>
    <col min="5" max="7" width="10.7265625" style="13" customWidth="1"/>
    <col min="8" max="8" width="12.7265625" style="13" customWidth="1"/>
    <col min="9" max="9" width="10.7265625" style="14" customWidth="1"/>
  </cols>
  <sheetData>
    <row r="1" spans="1:10" ht="15.5" x14ac:dyDescent="0.35">
      <c r="A1" s="3" t="s">
        <v>177</v>
      </c>
    </row>
    <row r="2" spans="1:10" x14ac:dyDescent="0.25">
      <c r="A2" s="60"/>
    </row>
    <row r="4" spans="1:10" s="23" customFormat="1" ht="13" x14ac:dyDescent="0.3">
      <c r="C4" s="20" t="str">
        <f>"(1)"</f>
        <v>(1)</v>
      </c>
      <c r="D4" s="21" t="str">
        <f>"(2)"</f>
        <v>(2)</v>
      </c>
      <c r="E4" s="4" t="str">
        <f>"(3)"</f>
        <v>(3)</v>
      </c>
      <c r="F4" s="4" t="str">
        <f>"(4)"</f>
        <v>(4)</v>
      </c>
      <c r="G4" s="4" t="str">
        <f>"(5)"</f>
        <v>(5)</v>
      </c>
      <c r="H4" s="4" t="str">
        <f>"(6)"</f>
        <v>(6)</v>
      </c>
      <c r="I4" s="4" t="str">
        <f>"(7)"</f>
        <v>(7)</v>
      </c>
    </row>
    <row r="6" spans="1:10" ht="13" x14ac:dyDescent="0.3">
      <c r="E6" s="4" t="s">
        <v>19</v>
      </c>
      <c r="G6" s="4" t="s">
        <v>20</v>
      </c>
      <c r="H6" s="4" t="s">
        <v>20</v>
      </c>
      <c r="I6" s="23" t="s">
        <v>21</v>
      </c>
    </row>
    <row r="7" spans="1:10" ht="13" x14ac:dyDescent="0.3">
      <c r="C7" s="20" t="s">
        <v>148</v>
      </c>
      <c r="D7" s="21" t="s">
        <v>24</v>
      </c>
      <c r="E7" s="4" t="s">
        <v>149</v>
      </c>
      <c r="F7" s="4" t="s">
        <v>26</v>
      </c>
      <c r="G7" s="4" t="s">
        <v>27</v>
      </c>
      <c r="H7" s="4" t="s">
        <v>27</v>
      </c>
      <c r="I7" s="23" t="s">
        <v>149</v>
      </c>
    </row>
    <row r="8" spans="1:10" ht="13" x14ac:dyDescent="0.3">
      <c r="A8" s="6" t="s">
        <v>150</v>
      </c>
      <c r="C8" s="24" t="s">
        <v>152</v>
      </c>
      <c r="D8" s="25" t="s">
        <v>31</v>
      </c>
      <c r="E8" s="8" t="s">
        <v>153</v>
      </c>
      <c r="F8" s="8" t="s">
        <v>33</v>
      </c>
      <c r="G8" s="8" t="s">
        <v>33</v>
      </c>
      <c r="H8" s="8" t="s">
        <v>120</v>
      </c>
      <c r="I8" s="27" t="s">
        <v>153</v>
      </c>
    </row>
    <row r="9" spans="1:10" ht="13" x14ac:dyDescent="0.3">
      <c r="B9" t="s">
        <v>155</v>
      </c>
      <c r="C9" s="67">
        <f>'BRM FEE INPUTS'!H14</f>
        <v>21069.181343161894</v>
      </c>
      <c r="D9" s="17">
        <f>'BRM FEE INPUTS'!$H$52</f>
        <v>50.10717457546064</v>
      </c>
      <c r="E9" s="2">
        <f>D9*100/C9</f>
        <v>0.23782212397978705</v>
      </c>
      <c r="F9" s="2">
        <f>'BRM FEE INPUTS'!$H$58</f>
        <v>1.2907912016362046</v>
      </c>
      <c r="G9" s="2">
        <f>'BRM FEE INPUTS'!$H$64</f>
        <v>1.0126008477139226</v>
      </c>
      <c r="H9" s="2">
        <f>(G9-1)*E9</f>
        <v>2.9967603672709071E-3</v>
      </c>
      <c r="I9" s="81">
        <f>E9*F9+H9</f>
        <v>0.3099754655548147</v>
      </c>
    </row>
    <row r="10" spans="1:10" ht="13" x14ac:dyDescent="0.3">
      <c r="C10" s="20"/>
      <c r="I10" s="23"/>
      <c r="J10" s="5"/>
    </row>
    <row r="13" spans="1:10" ht="13" x14ac:dyDescent="0.3">
      <c r="A13" s="23" t="str">
        <f>"(1)"</f>
        <v>(1)</v>
      </c>
      <c r="B13" s="61" t="s">
        <v>288</v>
      </c>
    </row>
    <row r="14" spans="1:10" ht="13" x14ac:dyDescent="0.3">
      <c r="A14" s="23" t="str">
        <f>"(2)"</f>
        <v>(2)</v>
      </c>
      <c r="B14" s="61" t="s">
        <v>288</v>
      </c>
    </row>
    <row r="15" spans="1:10" ht="13" x14ac:dyDescent="0.3">
      <c r="A15" s="23" t="str">
        <f>"(3)"</f>
        <v>(3)</v>
      </c>
      <c r="B15" t="s">
        <v>178</v>
      </c>
    </row>
    <row r="16" spans="1:10" ht="13" x14ac:dyDescent="0.3">
      <c r="A16" s="23" t="str">
        <f>"(4)"</f>
        <v>(4)</v>
      </c>
      <c r="B16" s="61" t="s">
        <v>288</v>
      </c>
    </row>
    <row r="17" spans="1:2" ht="13" x14ac:dyDescent="0.3">
      <c r="A17" s="23" t="str">
        <f>"(5)"</f>
        <v>(5)</v>
      </c>
      <c r="B17" s="61" t="s">
        <v>288</v>
      </c>
    </row>
    <row r="18" spans="1:2" ht="13" x14ac:dyDescent="0.3">
      <c r="A18" s="23" t="str">
        <f>"(6)"</f>
        <v>(6)</v>
      </c>
      <c r="B18" t="s">
        <v>125</v>
      </c>
    </row>
    <row r="19" spans="1:2" ht="13" x14ac:dyDescent="0.3">
      <c r="A19" s="23" t="str">
        <f>"(7)"</f>
        <v>(7)</v>
      </c>
      <c r="B19" t="s">
        <v>126</v>
      </c>
    </row>
    <row r="20" spans="1:2" ht="13" x14ac:dyDescent="0.3">
      <c r="A20" s="23"/>
    </row>
    <row r="21" spans="1:2" ht="13" x14ac:dyDescent="0.3">
      <c r="A21" s="23"/>
    </row>
  </sheetData>
  <phoneticPr fontId="3" type="noConversion"/>
  <printOptions horizontalCentered="1"/>
  <pageMargins left="0.75" right="0.75" top="1" bottom="1" header="0.5" footer="0.5"/>
  <pageSetup orientation="landscape" horizontalDpi="4294967292" r:id="rId1"/>
  <headerFooter alignWithMargins="0">
    <oddHeader>&amp;RUSPS-FY15-21
Section B
Page 10 of 11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J98"/>
  <sheetViews>
    <sheetView topLeftCell="A42" zoomScaleNormal="100" workbookViewId="0">
      <selection activeCell="H60" sqref="H60"/>
    </sheetView>
  </sheetViews>
  <sheetFormatPr defaultColWidth="9.1796875" defaultRowHeight="12.5" x14ac:dyDescent="0.25"/>
  <cols>
    <col min="1" max="1" width="4.7265625" customWidth="1"/>
    <col min="2" max="2" width="40.7265625" customWidth="1"/>
    <col min="3" max="3" width="12.7265625" style="13" customWidth="1"/>
    <col min="4" max="4" width="10.7265625" style="14" customWidth="1"/>
    <col min="5" max="5" width="10.7265625" style="30" customWidth="1"/>
    <col min="6" max="6" width="10.7265625" style="68" customWidth="1"/>
    <col min="7" max="7" width="14.7265625" style="13" customWidth="1"/>
    <col min="8" max="8" width="10.54296875" style="14" bestFit="1" customWidth="1"/>
  </cols>
  <sheetData>
    <row r="1" spans="1:9" ht="15.5" x14ac:dyDescent="0.35">
      <c r="A1" s="3" t="s">
        <v>274</v>
      </c>
      <c r="E1" s="82"/>
      <c r="F1" s="122"/>
      <c r="G1" s="129"/>
      <c r="H1" s="62"/>
    </row>
    <row r="2" spans="1:9" ht="13" x14ac:dyDescent="0.3">
      <c r="C2" s="4"/>
      <c r="D2" s="4"/>
      <c r="E2" s="4" t="str">
        <f>"(1)"</f>
        <v>(1)</v>
      </c>
      <c r="F2" s="4" t="str">
        <f>"(2)"</f>
        <v>(2)</v>
      </c>
      <c r="G2" s="4" t="str">
        <f>"(3)"</f>
        <v>(3)</v>
      </c>
      <c r="H2" s="4" t="str">
        <f>"(4)"</f>
        <v>(4)</v>
      </c>
    </row>
    <row r="3" spans="1:9" ht="13" x14ac:dyDescent="0.3">
      <c r="C3" s="4" t="s">
        <v>226</v>
      </c>
      <c r="E3" s="20"/>
      <c r="F3" s="123"/>
      <c r="G3" s="4" t="s">
        <v>147</v>
      </c>
      <c r="H3" s="62"/>
    </row>
    <row r="4" spans="1:9" ht="13" x14ac:dyDescent="0.3">
      <c r="C4" s="4" t="s">
        <v>116</v>
      </c>
      <c r="D4" s="23" t="s">
        <v>221</v>
      </c>
      <c r="E4" s="20" t="s">
        <v>23</v>
      </c>
      <c r="F4" s="123" t="s">
        <v>203</v>
      </c>
      <c r="G4" s="4" t="s">
        <v>179</v>
      </c>
      <c r="H4" s="165" t="s">
        <v>148</v>
      </c>
    </row>
    <row r="5" spans="1:9" ht="13" x14ac:dyDescent="0.3">
      <c r="A5" s="6" t="s">
        <v>152</v>
      </c>
      <c r="C5" s="8" t="s">
        <v>118</v>
      </c>
      <c r="D5" s="27" t="s">
        <v>30</v>
      </c>
      <c r="E5" s="24" t="s">
        <v>30</v>
      </c>
      <c r="F5" s="124" t="s">
        <v>33</v>
      </c>
      <c r="G5" s="8" t="s">
        <v>33</v>
      </c>
      <c r="H5" s="117" t="s">
        <v>180</v>
      </c>
    </row>
    <row r="6" spans="1:9" ht="13" x14ac:dyDescent="0.3">
      <c r="A6" s="6"/>
      <c r="B6" s="5" t="s">
        <v>181</v>
      </c>
      <c r="C6" s="4"/>
      <c r="D6" s="23"/>
      <c r="E6" s="24"/>
      <c r="F6" s="124"/>
      <c r="G6" s="8"/>
      <c r="H6" s="117"/>
    </row>
    <row r="7" spans="1:9" s="15" customFormat="1" x14ac:dyDescent="0.25">
      <c r="B7" s="15" t="s">
        <v>262</v>
      </c>
      <c r="C7" s="2"/>
      <c r="D7" s="19"/>
      <c r="E7" s="67">
        <v>193036.73686310468</v>
      </c>
      <c r="F7" s="95">
        <f t="shared" ref="F7:F14" si="0">$H$67</f>
        <v>1.1805242016503081</v>
      </c>
      <c r="G7" s="2">
        <f t="shared" ref="G7:G14" si="1">H$70</f>
        <v>0.98870000000000002</v>
      </c>
      <c r="H7" s="166">
        <f>E7/F7/G7</f>
        <v>165386.68355393532</v>
      </c>
    </row>
    <row r="8" spans="1:9" s="15" customFormat="1" x14ac:dyDescent="0.25">
      <c r="B8" s="15" t="s">
        <v>204</v>
      </c>
      <c r="C8" s="2"/>
      <c r="D8" s="19"/>
      <c r="E8" s="67">
        <v>86682.882545317421</v>
      </c>
      <c r="F8" s="95">
        <f t="shared" si="0"/>
        <v>1.1805242016503081</v>
      </c>
      <c r="G8" s="2">
        <f t="shared" si="1"/>
        <v>0.98870000000000002</v>
      </c>
      <c r="H8" s="166">
        <f t="shared" ref="H8:H14" si="2">E8/F8/G8</f>
        <v>74266.663941963096</v>
      </c>
    </row>
    <row r="9" spans="1:9" s="15" customFormat="1" x14ac:dyDescent="0.25">
      <c r="B9" s="15" t="s">
        <v>154</v>
      </c>
      <c r="C9" s="2"/>
      <c r="D9" s="19"/>
      <c r="E9" s="67">
        <v>6731.795754446357</v>
      </c>
      <c r="F9" s="95">
        <f t="shared" si="0"/>
        <v>1.1805242016503081</v>
      </c>
      <c r="G9" s="2">
        <f t="shared" si="1"/>
        <v>0.98870000000000002</v>
      </c>
      <c r="H9" s="166">
        <f>E9/F9/G9</f>
        <v>5767.5517742505954</v>
      </c>
    </row>
    <row r="10" spans="1:9" s="15" customFormat="1" x14ac:dyDescent="0.25">
      <c r="B10" s="15" t="s">
        <v>255</v>
      </c>
      <c r="C10" s="2"/>
      <c r="D10" s="19"/>
      <c r="E10" s="30">
        <v>2892.6426336993545</v>
      </c>
      <c r="F10" s="95">
        <f t="shared" si="0"/>
        <v>1.1805242016503081</v>
      </c>
      <c r="G10" s="2">
        <f t="shared" si="1"/>
        <v>0.98870000000000002</v>
      </c>
      <c r="H10" s="166">
        <f>E10/F10/G10</f>
        <v>2478.3084280663425</v>
      </c>
      <c r="I10" s="61"/>
    </row>
    <row r="11" spans="1:9" s="15" customFormat="1" x14ac:dyDescent="0.25">
      <c r="B11" s="15" t="s">
        <v>207</v>
      </c>
      <c r="C11" s="2"/>
      <c r="D11" s="19"/>
      <c r="E11" s="67">
        <v>29193.140753535979</v>
      </c>
      <c r="F11" s="95">
        <f t="shared" si="0"/>
        <v>1.1805242016503081</v>
      </c>
      <c r="G11" s="2">
        <f t="shared" si="1"/>
        <v>0.98870000000000002</v>
      </c>
      <c r="H11" s="166">
        <f t="shared" si="2"/>
        <v>25011.595254920405</v>
      </c>
    </row>
    <row r="12" spans="1:9" s="15" customFormat="1" x14ac:dyDescent="0.25">
      <c r="B12" s="15" t="s">
        <v>208</v>
      </c>
      <c r="C12" s="2"/>
      <c r="D12" s="19"/>
      <c r="E12" s="67">
        <v>24591.617217686213</v>
      </c>
      <c r="F12" s="95">
        <f t="shared" si="0"/>
        <v>1.1805242016503081</v>
      </c>
      <c r="G12" s="2">
        <f t="shared" si="1"/>
        <v>0.98870000000000002</v>
      </c>
      <c r="H12" s="166">
        <f t="shared" si="2"/>
        <v>21069.181343161894</v>
      </c>
    </row>
    <row r="13" spans="1:9" s="15" customFormat="1" x14ac:dyDescent="0.25">
      <c r="B13" s="15" t="s">
        <v>209</v>
      </c>
      <c r="C13" s="2"/>
      <c r="D13" s="19"/>
      <c r="E13" s="67">
        <v>6162.7407235959563</v>
      </c>
      <c r="F13" s="95">
        <f t="shared" si="0"/>
        <v>1.1805242016503081</v>
      </c>
      <c r="G13" s="2">
        <f t="shared" si="1"/>
        <v>0.98870000000000002</v>
      </c>
      <c r="H13" s="166">
        <f t="shared" si="2"/>
        <v>5280.0066269309291</v>
      </c>
    </row>
    <row r="14" spans="1:9" s="15" customFormat="1" x14ac:dyDescent="0.25">
      <c r="B14" s="15" t="s">
        <v>210</v>
      </c>
      <c r="C14" s="2"/>
      <c r="D14" s="19"/>
      <c r="E14" s="67">
        <f>H74*E12+H75*E13</f>
        <v>24591.617217686213</v>
      </c>
      <c r="F14" s="95">
        <f t="shared" si="0"/>
        <v>1.1805242016503081</v>
      </c>
      <c r="G14" s="2">
        <f t="shared" si="1"/>
        <v>0.98870000000000002</v>
      </c>
      <c r="H14" s="166">
        <f t="shared" si="2"/>
        <v>21069.181343161894</v>
      </c>
    </row>
    <row r="15" spans="1:9" s="15" customFormat="1" x14ac:dyDescent="0.25">
      <c r="C15" s="2"/>
      <c r="D15" s="19"/>
      <c r="E15" s="67"/>
      <c r="F15" s="95"/>
      <c r="G15" s="2"/>
      <c r="H15" s="166"/>
    </row>
    <row r="16" spans="1:9" s="15" customFormat="1" ht="13" x14ac:dyDescent="0.3">
      <c r="C16" s="2"/>
      <c r="D16" s="4" t="str">
        <f>"(5)"</f>
        <v>(5)</v>
      </c>
      <c r="E16" s="4" t="str">
        <f>"(6)"</f>
        <v>(6)</v>
      </c>
      <c r="F16" s="4" t="str">
        <f>"(7)"</f>
        <v>(7)</v>
      </c>
      <c r="G16" s="4" t="str">
        <f>"(8)"</f>
        <v>(8)</v>
      </c>
      <c r="H16" s="4" t="str">
        <f>"(9)"</f>
        <v>(9)</v>
      </c>
    </row>
    <row r="17" spans="2:8" s="15" customFormat="1" ht="13" x14ac:dyDescent="0.3">
      <c r="B17" s="5" t="s">
        <v>183</v>
      </c>
      <c r="C17" s="4"/>
      <c r="D17" s="23"/>
      <c r="E17" s="67"/>
      <c r="F17" s="95"/>
      <c r="G17" s="2" t="s">
        <v>17</v>
      </c>
      <c r="H17" s="166"/>
    </row>
    <row r="18" spans="2:8" s="15" customFormat="1" x14ac:dyDescent="0.25">
      <c r="B18" s="15" t="s">
        <v>215</v>
      </c>
      <c r="C18" s="2"/>
      <c r="D18" s="67">
        <v>97.852212013296722</v>
      </c>
      <c r="E18" s="67">
        <f>D18*H80</f>
        <v>10602.448084559321</v>
      </c>
      <c r="F18" s="95">
        <f t="shared" ref="F18:F23" si="3">$H$67</f>
        <v>1.1805242016503081</v>
      </c>
      <c r="G18" s="2">
        <f t="shared" ref="G18:G23" si="4">H$70</f>
        <v>0.98870000000000002</v>
      </c>
      <c r="H18" s="166">
        <f t="shared" ref="H18:H23" si="5">E18/F18/G18</f>
        <v>9083.7824693522816</v>
      </c>
    </row>
    <row r="19" spans="2:8" s="15" customFormat="1" x14ac:dyDescent="0.25">
      <c r="B19" s="15" t="s">
        <v>216</v>
      </c>
      <c r="C19" s="2"/>
      <c r="D19" s="67">
        <v>97.852212013296722</v>
      </c>
      <c r="E19" s="67">
        <f>D19*H81</f>
        <v>5286.8544554723558</v>
      </c>
      <c r="F19" s="95">
        <f t="shared" si="3"/>
        <v>1.1805242016503081</v>
      </c>
      <c r="G19" s="2">
        <f t="shared" si="4"/>
        <v>0.98870000000000002</v>
      </c>
      <c r="H19" s="166">
        <f t="shared" si="5"/>
        <v>4529.579908113541</v>
      </c>
    </row>
    <row r="20" spans="2:8" s="15" customFormat="1" x14ac:dyDescent="0.25">
      <c r="B20" s="15" t="s">
        <v>217</v>
      </c>
      <c r="C20" s="2"/>
      <c r="D20" s="67">
        <v>97.852212013296722</v>
      </c>
      <c r="E20" s="67">
        <f>D20*H82</f>
        <v>967.02181329482187</v>
      </c>
      <c r="F20" s="95">
        <f t="shared" si="3"/>
        <v>1.1805242016503081</v>
      </c>
      <c r="G20" s="2">
        <f t="shared" si="4"/>
        <v>0.98870000000000002</v>
      </c>
      <c r="H20" s="166">
        <f t="shared" si="5"/>
        <v>828.50825819005797</v>
      </c>
    </row>
    <row r="21" spans="2:8" s="15" customFormat="1" x14ac:dyDescent="0.25">
      <c r="B21" s="15" t="s">
        <v>223</v>
      </c>
      <c r="C21" s="2"/>
      <c r="D21" s="126">
        <v>34.560803104657111</v>
      </c>
      <c r="E21" s="67">
        <f>D21*H80</f>
        <v>3744.7198498487815</v>
      </c>
      <c r="F21" s="95">
        <f t="shared" si="3"/>
        <v>1.1805242016503081</v>
      </c>
      <c r="G21" s="2">
        <f t="shared" si="4"/>
        <v>0.98870000000000002</v>
      </c>
      <c r="H21" s="166">
        <f t="shared" si="5"/>
        <v>3208.3364382826612</v>
      </c>
    </row>
    <row r="22" spans="2:8" s="15" customFormat="1" x14ac:dyDescent="0.25">
      <c r="B22" s="15" t="s">
        <v>224</v>
      </c>
      <c r="C22" s="2"/>
      <c r="D22" s="126">
        <v>34.560803104657111</v>
      </c>
      <c r="E22" s="67">
        <f>D22*H81</f>
        <v>1867.2846747064903</v>
      </c>
      <c r="F22" s="95">
        <f t="shared" si="3"/>
        <v>1.1805242016503081</v>
      </c>
      <c r="G22" s="2">
        <f t="shared" si="4"/>
        <v>0.98870000000000002</v>
      </c>
      <c r="H22" s="166">
        <f t="shared" si="5"/>
        <v>1599.8199338595491</v>
      </c>
    </row>
    <row r="23" spans="2:8" s="15" customFormat="1" x14ac:dyDescent="0.25">
      <c r="B23" s="15" t="s">
        <v>225</v>
      </c>
      <c r="C23" s="2"/>
      <c r="D23" s="126">
        <v>34.560803104657111</v>
      </c>
      <c r="E23" s="67">
        <f>D23*H82</f>
        <v>341.54619297363848</v>
      </c>
      <c r="F23" s="95">
        <f t="shared" si="3"/>
        <v>1.1805242016503081</v>
      </c>
      <c r="G23" s="2">
        <f t="shared" si="4"/>
        <v>0.98870000000000002</v>
      </c>
      <c r="H23" s="166">
        <f t="shared" si="5"/>
        <v>292.6240520551346</v>
      </c>
    </row>
    <row r="24" spans="2:8" s="15" customFormat="1" x14ac:dyDescent="0.25">
      <c r="C24" s="2"/>
      <c r="D24" s="126"/>
      <c r="E24" s="67"/>
      <c r="F24" s="95"/>
      <c r="G24" s="2"/>
      <c r="H24" s="166"/>
    </row>
    <row r="25" spans="2:8" s="15" customFormat="1" ht="13" x14ac:dyDescent="0.3">
      <c r="C25" s="4" t="str">
        <f>"(10)"</f>
        <v>(10)</v>
      </c>
      <c r="D25" s="132"/>
      <c r="E25" s="20"/>
      <c r="F25" s="123" t="str">
        <f>"(11)"</f>
        <v>(11)</v>
      </c>
      <c r="G25" s="4" t="str">
        <f>"(12)"</f>
        <v>(12)</v>
      </c>
      <c r="H25" s="20" t="str">
        <f>"(13)"</f>
        <v>(13)</v>
      </c>
    </row>
    <row r="26" spans="2:8" s="15" customFormat="1" ht="13" x14ac:dyDescent="0.3">
      <c r="B26" s="5" t="s">
        <v>227</v>
      </c>
      <c r="C26" s="4"/>
      <c r="D26" s="126"/>
      <c r="E26" s="67"/>
      <c r="F26" s="95"/>
      <c r="G26" s="2"/>
      <c r="H26" s="166"/>
    </row>
    <row r="27" spans="2:8" s="15" customFormat="1" x14ac:dyDescent="0.25">
      <c r="B27" s="15" t="s">
        <v>228</v>
      </c>
      <c r="C27" s="2">
        <v>1.2143909178128074</v>
      </c>
      <c r="D27" s="126"/>
      <c r="E27" s="67"/>
      <c r="F27" s="95">
        <f>$H$67</f>
        <v>1.1805242016503081</v>
      </c>
      <c r="G27" s="2">
        <f t="shared" ref="G27:G32" si="6">H$70</f>
        <v>0.98870000000000002</v>
      </c>
      <c r="H27" s="167">
        <f>C27*F27*G27</f>
        <v>1.4174179868255607</v>
      </c>
    </row>
    <row r="28" spans="2:8" s="15" customFormat="1" x14ac:dyDescent="0.25">
      <c r="B28" s="15" t="s">
        <v>229</v>
      </c>
      <c r="C28" s="2">
        <v>1.7648449612403101</v>
      </c>
      <c r="D28" s="126"/>
      <c r="E28" s="67"/>
      <c r="F28" s="95">
        <f>$H$67</f>
        <v>1.1805242016503081</v>
      </c>
      <c r="G28" s="2">
        <f t="shared" si="6"/>
        <v>0.98870000000000002</v>
      </c>
      <c r="H28" s="167">
        <f>C28*F28*G28</f>
        <v>2.0598992921701624</v>
      </c>
    </row>
    <row r="29" spans="2:8" s="15" customFormat="1" x14ac:dyDescent="0.25">
      <c r="C29" s="2"/>
      <c r="D29" s="19"/>
      <c r="E29" s="67"/>
      <c r="F29" s="95"/>
      <c r="G29" s="2"/>
      <c r="H29" s="166"/>
    </row>
    <row r="30" spans="2:8" s="15" customFormat="1" ht="13" x14ac:dyDescent="0.3">
      <c r="B30" s="5" t="s">
        <v>233</v>
      </c>
      <c r="C30" s="2"/>
      <c r="D30" s="19"/>
      <c r="E30" s="67"/>
      <c r="F30" s="95"/>
      <c r="G30" s="2"/>
      <c r="H30" s="166"/>
    </row>
    <row r="31" spans="2:8" s="15" customFormat="1" x14ac:dyDescent="0.25">
      <c r="B31" s="15" t="s">
        <v>234</v>
      </c>
      <c r="C31" s="2">
        <v>3.9443333333333341</v>
      </c>
      <c r="D31" s="19"/>
      <c r="E31" s="67"/>
      <c r="F31" s="95">
        <f>$H$67</f>
        <v>1.1805242016503081</v>
      </c>
      <c r="G31" s="2">
        <f t="shared" si="6"/>
        <v>0.98870000000000002</v>
      </c>
      <c r="H31" s="167">
        <f>C31*F31*G31</f>
        <v>4.6037638545350843</v>
      </c>
    </row>
    <row r="32" spans="2:8" s="15" customFormat="1" x14ac:dyDescent="0.25">
      <c r="B32" s="15" t="s">
        <v>235</v>
      </c>
      <c r="C32" s="2">
        <v>42.669166666666669</v>
      </c>
      <c r="D32" s="19"/>
      <c r="E32" s="67"/>
      <c r="F32" s="95">
        <f>$H$67</f>
        <v>1.1805242016503081</v>
      </c>
      <c r="G32" s="2">
        <f t="shared" si="6"/>
        <v>0.98870000000000002</v>
      </c>
      <c r="H32" s="167">
        <f>C32*F32*G32</f>
        <v>49.802780496019572</v>
      </c>
    </row>
    <row r="33" spans="2:10" s="15" customFormat="1" x14ac:dyDescent="0.25">
      <c r="C33" s="2"/>
      <c r="D33" s="19"/>
      <c r="E33" s="67"/>
      <c r="F33" s="95"/>
      <c r="G33" s="2"/>
      <c r="H33" s="166"/>
    </row>
    <row r="34" spans="2:10" s="15" customFormat="1" ht="13" x14ac:dyDescent="0.3">
      <c r="C34" s="2"/>
      <c r="D34" s="19"/>
      <c r="E34" s="20" t="str">
        <f>"(14)"</f>
        <v>(14)</v>
      </c>
      <c r="F34" s="95"/>
      <c r="G34" s="4" t="str">
        <f>"(15)"</f>
        <v>(15)</v>
      </c>
      <c r="H34" s="20" t="str">
        <f>"(16)"</f>
        <v>(16)</v>
      </c>
    </row>
    <row r="35" spans="2:10" s="15" customFormat="1" ht="13" x14ac:dyDescent="0.3">
      <c r="B35" s="5" t="s">
        <v>184</v>
      </c>
      <c r="C35" s="4"/>
      <c r="D35" s="23"/>
      <c r="E35" s="67"/>
      <c r="F35" s="95"/>
      <c r="G35" s="2"/>
      <c r="H35" s="166"/>
    </row>
    <row r="36" spans="2:10" s="15" customFormat="1" x14ac:dyDescent="0.25">
      <c r="B36" t="s">
        <v>166</v>
      </c>
      <c r="C36" s="13"/>
      <c r="D36" s="14"/>
      <c r="E36" s="30">
        <v>3981</v>
      </c>
      <c r="F36" s="68"/>
      <c r="G36" s="2">
        <f t="shared" ref="G36:G41" si="7">H$70</f>
        <v>0.98870000000000002</v>
      </c>
      <c r="H36" s="166">
        <f t="shared" ref="H36:H41" si="8">E36/G36</f>
        <v>4026.4994437139676</v>
      </c>
    </row>
    <row r="37" spans="2:10" s="15" customFormat="1" x14ac:dyDescent="0.25">
      <c r="B37" t="s">
        <v>167</v>
      </c>
      <c r="C37" s="13"/>
      <c r="D37" s="14"/>
      <c r="E37" s="30">
        <v>303</v>
      </c>
      <c r="F37" s="68"/>
      <c r="G37" s="2">
        <f t="shared" si="7"/>
        <v>0.98870000000000002</v>
      </c>
      <c r="H37" s="166">
        <f t="shared" si="8"/>
        <v>306.46303226458986</v>
      </c>
    </row>
    <row r="38" spans="2:10" s="15" customFormat="1" x14ac:dyDescent="0.25">
      <c r="B38" t="s">
        <v>168</v>
      </c>
      <c r="C38" s="13"/>
      <c r="D38" s="14"/>
      <c r="E38" s="30">
        <v>336</v>
      </c>
      <c r="F38" s="68"/>
      <c r="G38" s="2">
        <f t="shared" si="7"/>
        <v>0.98870000000000002</v>
      </c>
      <c r="H38" s="166">
        <f t="shared" si="8"/>
        <v>339.8401941943967</v>
      </c>
      <c r="I38" s="136"/>
    </row>
    <row r="39" spans="2:10" s="15" customFormat="1" x14ac:dyDescent="0.25">
      <c r="B39" t="s">
        <v>169</v>
      </c>
      <c r="C39" s="13"/>
      <c r="D39" s="14"/>
      <c r="E39" s="30">
        <v>226</v>
      </c>
      <c r="F39" s="68"/>
      <c r="G39" s="2">
        <f t="shared" si="7"/>
        <v>0.98870000000000002</v>
      </c>
      <c r="H39" s="166">
        <f t="shared" si="8"/>
        <v>228.5829877617073</v>
      </c>
    </row>
    <row r="40" spans="2:10" s="15" customFormat="1" x14ac:dyDescent="0.25">
      <c r="B40" t="s">
        <v>170</v>
      </c>
      <c r="C40" s="13"/>
      <c r="D40" s="14"/>
      <c r="E40" s="30">
        <v>250</v>
      </c>
      <c r="F40" s="68"/>
      <c r="G40" s="2">
        <f t="shared" si="7"/>
        <v>0.98870000000000002</v>
      </c>
      <c r="H40" s="166">
        <f t="shared" si="8"/>
        <v>252.85728734702133</v>
      </c>
    </row>
    <row r="41" spans="2:10" s="15" customFormat="1" x14ac:dyDescent="0.25">
      <c r="B41" t="s">
        <v>171</v>
      </c>
      <c r="C41" s="13"/>
      <c r="D41" s="14"/>
      <c r="E41" s="30">
        <v>260</v>
      </c>
      <c r="F41" s="68"/>
      <c r="G41" s="2">
        <f t="shared" si="7"/>
        <v>0.98870000000000002</v>
      </c>
      <c r="H41" s="166">
        <f t="shared" si="8"/>
        <v>262.97157884090217</v>
      </c>
    </row>
    <row r="42" spans="2:10" s="15" customFormat="1" x14ac:dyDescent="0.25">
      <c r="C42" s="2"/>
      <c r="D42" s="19"/>
      <c r="E42" s="67"/>
      <c r="F42" s="95"/>
      <c r="G42" s="2"/>
      <c r="H42" s="166"/>
      <c r="J42" s="15" t="s">
        <v>17</v>
      </c>
    </row>
    <row r="43" spans="2:10" s="15" customFormat="1" ht="13" x14ac:dyDescent="0.3">
      <c r="B43" s="5" t="s">
        <v>185</v>
      </c>
      <c r="C43" s="4"/>
      <c r="D43" s="23"/>
      <c r="E43" s="67"/>
      <c r="F43" s="95"/>
      <c r="G43" s="2"/>
      <c r="H43" s="166"/>
    </row>
    <row r="44" spans="2:10" s="15" customFormat="1" x14ac:dyDescent="0.25">
      <c r="B44" t="s">
        <v>166</v>
      </c>
      <c r="C44" s="13"/>
      <c r="D44" s="14"/>
      <c r="E44" s="30">
        <v>3114</v>
      </c>
      <c r="F44" s="68"/>
      <c r="G44" s="127" t="str">
        <f>"---"</f>
        <v>---</v>
      </c>
      <c r="H44" s="166">
        <f>E44</f>
        <v>3114</v>
      </c>
    </row>
    <row r="45" spans="2:10" s="15" customFormat="1" x14ac:dyDescent="0.25">
      <c r="B45" t="s">
        <v>167</v>
      </c>
      <c r="C45" s="13"/>
      <c r="D45" s="14"/>
      <c r="E45" s="30">
        <v>315</v>
      </c>
      <c r="F45" s="68"/>
      <c r="G45" s="127" t="str">
        <f>"---"</f>
        <v>---</v>
      </c>
      <c r="H45" s="166">
        <f>E45</f>
        <v>315</v>
      </c>
    </row>
    <row r="46" spans="2:10" s="15" customFormat="1" x14ac:dyDescent="0.25">
      <c r="B46" t="s">
        <v>169</v>
      </c>
      <c r="C46" s="13"/>
      <c r="D46" s="14"/>
      <c r="E46" s="30">
        <v>69</v>
      </c>
      <c r="F46" s="68"/>
      <c r="G46" s="127" t="str">
        <f>"---"</f>
        <v>---</v>
      </c>
      <c r="H46" s="166">
        <f>E46</f>
        <v>69</v>
      </c>
    </row>
    <row r="47" spans="2:10" s="15" customFormat="1" x14ac:dyDescent="0.25">
      <c r="B47" t="s">
        <v>170</v>
      </c>
      <c r="C47" s="13"/>
      <c r="D47" s="14"/>
      <c r="E47" s="30">
        <v>265</v>
      </c>
      <c r="F47" s="68"/>
      <c r="G47" s="127" t="str">
        <f>"---"</f>
        <v>---</v>
      </c>
      <c r="H47" s="166">
        <f>E47</f>
        <v>265</v>
      </c>
    </row>
    <row r="48" spans="2:10" s="15" customFormat="1" x14ac:dyDescent="0.25">
      <c r="B48" t="s">
        <v>174</v>
      </c>
      <c r="C48" s="13"/>
      <c r="D48" s="14"/>
      <c r="E48" s="30">
        <v>260</v>
      </c>
      <c r="F48" s="68"/>
      <c r="G48" s="127" t="str">
        <f>"---"</f>
        <v>---</v>
      </c>
      <c r="H48" s="166">
        <f>E48</f>
        <v>260</v>
      </c>
    </row>
    <row r="49" spans="2:10" s="15" customFormat="1" x14ac:dyDescent="0.25">
      <c r="C49" s="2"/>
      <c r="D49" s="19"/>
      <c r="E49" s="67"/>
      <c r="F49" s="95"/>
      <c r="G49" s="2"/>
      <c r="H49" s="100"/>
    </row>
    <row r="50" spans="2:10" ht="13" x14ac:dyDescent="0.3">
      <c r="H50" s="23" t="str">
        <f>"(17)"</f>
        <v>(17)</v>
      </c>
    </row>
    <row r="51" spans="2:10" ht="13" x14ac:dyDescent="0.3">
      <c r="B51" s="6" t="s">
        <v>186</v>
      </c>
      <c r="C51" s="8"/>
      <c r="D51" s="27"/>
      <c r="E51" s="24"/>
      <c r="F51" s="124"/>
      <c r="G51" s="148"/>
      <c r="H51" s="27" t="s">
        <v>187</v>
      </c>
      <c r="I51" s="15"/>
    </row>
    <row r="52" spans="2:10" x14ac:dyDescent="0.25">
      <c r="B52" t="s">
        <v>188</v>
      </c>
      <c r="G52" s="130"/>
      <c r="H52" s="170">
        <f>'QBRM COST AVOIDANCE INPUTS'!G8</f>
        <v>50.10717457546064</v>
      </c>
      <c r="I52" s="15"/>
    </row>
    <row r="53" spans="2:10" s="61" customFormat="1" x14ac:dyDescent="0.25">
      <c r="B53" s="61" t="s">
        <v>189</v>
      </c>
      <c r="C53" s="127"/>
      <c r="D53" s="62"/>
      <c r="E53" s="65"/>
      <c r="F53" s="114"/>
      <c r="G53" s="130"/>
      <c r="H53" s="171">
        <f>[10]Sheet1!$G$18</f>
        <v>48.936477929815645</v>
      </c>
      <c r="I53" s="15"/>
    </row>
    <row r="54" spans="2:10" x14ac:dyDescent="0.25">
      <c r="H54" s="19"/>
      <c r="I54" s="15"/>
    </row>
    <row r="55" spans="2:10" ht="13" x14ac:dyDescent="0.3">
      <c r="H55" s="23" t="str">
        <f>"(18)"</f>
        <v>(18)</v>
      </c>
      <c r="I55" s="15"/>
    </row>
    <row r="56" spans="2:10" ht="13" x14ac:dyDescent="0.3">
      <c r="B56" s="6" t="s">
        <v>93</v>
      </c>
      <c r="C56" s="8"/>
      <c r="D56" s="27"/>
      <c r="E56" s="24"/>
      <c r="F56" s="124"/>
      <c r="G56" s="8"/>
      <c r="H56" s="27" t="s">
        <v>33</v>
      </c>
    </row>
    <row r="57" spans="2:10" x14ac:dyDescent="0.25">
      <c r="G57" s="137"/>
      <c r="H57" s="172"/>
      <c r="I57" s="60"/>
      <c r="J57" s="60"/>
    </row>
    <row r="58" spans="2:10" ht="15.5" x14ac:dyDescent="0.35">
      <c r="B58" t="s">
        <v>190</v>
      </c>
      <c r="G58" s="149"/>
      <c r="H58" s="173">
        <f>'[5]MP Piggybacks'!$J$30</f>
        <v>1.2907912016362046</v>
      </c>
      <c r="I58" s="60"/>
      <c r="J58" s="60"/>
    </row>
    <row r="59" spans="2:10" ht="15.5" x14ac:dyDescent="0.35">
      <c r="B59" t="s">
        <v>191</v>
      </c>
      <c r="G59" s="149"/>
      <c r="H59" s="174">
        <f>H58</f>
        <v>1.2907912016362046</v>
      </c>
    </row>
    <row r="60" spans="2:10" x14ac:dyDescent="0.25">
      <c r="B60" t="s">
        <v>192</v>
      </c>
      <c r="G60" s="150"/>
      <c r="H60" s="175">
        <f>[11]PBRatios!$M$15</f>
        <v>1.2638248250031257</v>
      </c>
    </row>
    <row r="61" spans="2:10" x14ac:dyDescent="0.25">
      <c r="H61" s="19"/>
      <c r="I61" s="15"/>
    </row>
    <row r="62" spans="2:10" ht="13" x14ac:dyDescent="0.3">
      <c r="H62" s="23" t="str">
        <f>"(19)"</f>
        <v>(19)</v>
      </c>
      <c r="I62" s="15"/>
    </row>
    <row r="63" spans="2:10" ht="13" x14ac:dyDescent="0.3">
      <c r="B63" s="6" t="s">
        <v>193</v>
      </c>
      <c r="C63" s="8"/>
      <c r="D63" s="27"/>
      <c r="H63" s="27" t="s">
        <v>33</v>
      </c>
      <c r="I63" s="15"/>
    </row>
    <row r="64" spans="2:10" x14ac:dyDescent="0.25">
      <c r="B64" t="s">
        <v>201</v>
      </c>
      <c r="G64" s="128"/>
      <c r="H64" s="2">
        <f>'QBRM COST AVOIDANCE INPUTS'!G10</f>
        <v>1.0126008477139226</v>
      </c>
      <c r="I64" s="15"/>
    </row>
    <row r="65" spans="2:9" x14ac:dyDescent="0.25">
      <c r="H65" s="19"/>
      <c r="I65" s="75"/>
    </row>
    <row r="66" spans="2:9" ht="13" x14ac:dyDescent="0.3">
      <c r="H66" s="23" t="str">
        <f>"(20)"</f>
        <v>(20)</v>
      </c>
      <c r="I66" s="75"/>
    </row>
    <row r="67" spans="2:9" ht="13" x14ac:dyDescent="0.3">
      <c r="B67" s="6" t="s">
        <v>256</v>
      </c>
      <c r="C67" s="8"/>
      <c r="D67" s="27"/>
      <c r="G67" s="128"/>
      <c r="H67" s="2">
        <f>'[2] nonmods OVH Factors'!$G$13</f>
        <v>1.1805242016503081</v>
      </c>
      <c r="I67" s="75"/>
    </row>
    <row r="68" spans="2:9" ht="13" x14ac:dyDescent="0.3">
      <c r="B68" s="6"/>
      <c r="C68" s="8"/>
      <c r="D68" s="27"/>
      <c r="G68" s="128"/>
      <c r="H68" s="2"/>
      <c r="I68" s="75"/>
    </row>
    <row r="69" spans="2:9" ht="13" x14ac:dyDescent="0.3">
      <c r="H69" s="23" t="str">
        <f>"(21)"</f>
        <v>(21)</v>
      </c>
      <c r="I69" s="75"/>
    </row>
    <row r="70" spans="2:9" ht="13" x14ac:dyDescent="0.3">
      <c r="B70" s="6" t="s">
        <v>194</v>
      </c>
      <c r="C70" s="8"/>
      <c r="D70" s="27"/>
      <c r="G70" s="128"/>
      <c r="H70" s="2">
        <f>'[2]volume-variability factors'!$G$47</f>
        <v>0.98870000000000002</v>
      </c>
      <c r="I70" s="75"/>
    </row>
    <row r="71" spans="2:9" x14ac:dyDescent="0.25">
      <c r="H71" s="106"/>
    </row>
    <row r="72" spans="2:9" ht="13" x14ac:dyDescent="0.3">
      <c r="H72" s="23" t="str">
        <f>"(22)"</f>
        <v>(22)</v>
      </c>
    </row>
    <row r="73" spans="2:9" ht="13" x14ac:dyDescent="0.3">
      <c r="B73" s="6" t="s">
        <v>211</v>
      </c>
      <c r="C73" s="8"/>
      <c r="D73" s="27"/>
      <c r="H73" s="168"/>
    </row>
    <row r="74" spans="2:9" x14ac:dyDescent="0.25">
      <c r="B74" s="158" t="s">
        <v>212</v>
      </c>
      <c r="C74" s="127"/>
      <c r="D74" s="62"/>
      <c r="H74" s="77">
        <v>1</v>
      </c>
    </row>
    <row r="75" spans="2:9" x14ac:dyDescent="0.25">
      <c r="B75" s="158" t="s">
        <v>213</v>
      </c>
      <c r="C75" s="127"/>
      <c r="D75" s="62"/>
      <c r="H75" s="87">
        <v>0</v>
      </c>
    </row>
    <row r="76" spans="2:9" x14ac:dyDescent="0.25">
      <c r="B76" s="60"/>
      <c r="C76" s="128"/>
      <c r="D76" s="125"/>
      <c r="H76" s="77">
        <f>H74+H75</f>
        <v>1</v>
      </c>
    </row>
    <row r="77" spans="2:9" x14ac:dyDescent="0.25">
      <c r="B77" s="60"/>
      <c r="C77" s="128"/>
      <c r="D77" s="125"/>
    </row>
    <row r="78" spans="2:9" ht="13" x14ac:dyDescent="0.3">
      <c r="B78" s="60"/>
      <c r="C78" s="128"/>
      <c r="D78" s="125"/>
      <c r="H78" s="23" t="str">
        <f>"(23)"</f>
        <v>(23)</v>
      </c>
    </row>
    <row r="79" spans="2:9" ht="13" x14ac:dyDescent="0.3">
      <c r="B79" s="6" t="s">
        <v>222</v>
      </c>
      <c r="C79" s="8"/>
      <c r="D79" s="27"/>
    </row>
    <row r="80" spans="2:9" x14ac:dyDescent="0.25">
      <c r="B80" t="s">
        <v>220</v>
      </c>
      <c r="H80" s="30">
        <v>108.35164444845252</v>
      </c>
    </row>
    <row r="81" spans="1:8" x14ac:dyDescent="0.25">
      <c r="B81" t="s">
        <v>219</v>
      </c>
      <c r="H81" s="30">
        <v>54.028972331805313</v>
      </c>
    </row>
    <row r="82" spans="1:8" x14ac:dyDescent="0.25">
      <c r="B82" t="s">
        <v>218</v>
      </c>
      <c r="H82" s="30">
        <v>9.8824726942648713</v>
      </c>
    </row>
    <row r="84" spans="1:8" ht="13" x14ac:dyDescent="0.3">
      <c r="A84" s="5" t="str">
        <f>"(1)"</f>
        <v>(1)</v>
      </c>
      <c r="B84" s="5" t="s">
        <v>205</v>
      </c>
      <c r="C84" s="9" t="str">
        <f>"(13)"</f>
        <v>(13)</v>
      </c>
      <c r="D84" s="5" t="s">
        <v>260</v>
      </c>
      <c r="E84"/>
      <c r="H84" s="100"/>
    </row>
    <row r="85" spans="1:8" ht="13" x14ac:dyDescent="0.3">
      <c r="A85" s="5" t="str">
        <f>"(2)"</f>
        <v>(2)</v>
      </c>
      <c r="B85" s="5" t="str">
        <f>"(20)"</f>
        <v>(20)</v>
      </c>
      <c r="C85" s="9" t="str">
        <f>"(14)"</f>
        <v>(14)</v>
      </c>
      <c r="D85" s="5" t="s">
        <v>182</v>
      </c>
      <c r="E85"/>
      <c r="H85" s="100"/>
    </row>
    <row r="86" spans="1:8" ht="13" x14ac:dyDescent="0.3">
      <c r="A86" s="5" t="str">
        <f>"(3)"</f>
        <v>(3)</v>
      </c>
      <c r="B86" s="5" t="str">
        <f>"(21)"</f>
        <v>(21)</v>
      </c>
      <c r="C86" s="9" t="str">
        <f>"(15)"</f>
        <v>(15)</v>
      </c>
      <c r="D86" s="5" t="str">
        <f>"(21)"</f>
        <v>(21)</v>
      </c>
      <c r="E86"/>
      <c r="H86" s="100"/>
    </row>
    <row r="87" spans="1:8" ht="13" x14ac:dyDescent="0.3">
      <c r="A87" s="5" t="str">
        <f>"(4)"</f>
        <v>(4)</v>
      </c>
      <c r="B87" s="5" t="s">
        <v>257</v>
      </c>
      <c r="C87" s="9" t="str">
        <f>"(16)"</f>
        <v>(16)</v>
      </c>
      <c r="D87" s="5" t="s">
        <v>261</v>
      </c>
      <c r="E87"/>
      <c r="H87" s="100"/>
    </row>
    <row r="88" spans="1:8" ht="13" x14ac:dyDescent="0.3">
      <c r="A88" s="5" t="str">
        <f>"(5)"</f>
        <v>(5)</v>
      </c>
      <c r="B88" s="5" t="s">
        <v>205</v>
      </c>
      <c r="C88" s="9" t="str">
        <f>"(17)"</f>
        <v>(17)</v>
      </c>
      <c r="D88" s="5" t="s">
        <v>303</v>
      </c>
      <c r="E88"/>
      <c r="H88" s="100"/>
    </row>
    <row r="89" spans="1:8" ht="13" x14ac:dyDescent="0.3">
      <c r="A89" s="5" t="str">
        <f>"(6)"</f>
        <v>(6)</v>
      </c>
      <c r="B89" s="5" t="s">
        <v>258</v>
      </c>
      <c r="C89" s="9" t="str">
        <f>"(18)"</f>
        <v>(18)</v>
      </c>
      <c r="D89" s="5" t="s">
        <v>304</v>
      </c>
      <c r="H89" s="100"/>
    </row>
    <row r="90" spans="1:8" ht="13" x14ac:dyDescent="0.3">
      <c r="A90" s="5" t="str">
        <f>"(7)"</f>
        <v>(7)</v>
      </c>
      <c r="B90" s="5" t="str">
        <f>"(20)"</f>
        <v>(20)</v>
      </c>
      <c r="C90" s="9" t="str">
        <f>"(19)"</f>
        <v>(19)</v>
      </c>
      <c r="D90" s="5" t="s">
        <v>297</v>
      </c>
    </row>
    <row r="91" spans="1:8" ht="13" x14ac:dyDescent="0.3">
      <c r="A91" s="5" t="str">
        <f>"(8)"</f>
        <v>(8)</v>
      </c>
      <c r="B91" s="5" t="str">
        <f>"(21)"</f>
        <v>(21)</v>
      </c>
      <c r="C91" s="9" t="str">
        <f>"(20)"</f>
        <v>(20)</v>
      </c>
      <c r="D91" s="5" t="str">
        <f>D90</f>
        <v>USPS-FY25-7</v>
      </c>
    </row>
    <row r="92" spans="1:8" ht="13" x14ac:dyDescent="0.3">
      <c r="A92" s="5" t="str">
        <f>"(9)"</f>
        <v>(9)</v>
      </c>
      <c r="B92" s="5" t="s">
        <v>259</v>
      </c>
      <c r="C92" s="9" t="str">
        <f>"(21)"</f>
        <v>(21)</v>
      </c>
      <c r="D92" s="5" t="str">
        <f>D91</f>
        <v>USPS-FY25-7</v>
      </c>
    </row>
    <row r="93" spans="1:8" ht="13" x14ac:dyDescent="0.3">
      <c r="A93" s="5" t="str">
        <f>"(10)"</f>
        <v>(10)</v>
      </c>
      <c r="B93" s="5" t="s">
        <v>205</v>
      </c>
      <c r="C93" s="9" t="str">
        <f>"(22)"</f>
        <v>(22)</v>
      </c>
      <c r="D93" s="5" t="s">
        <v>305</v>
      </c>
    </row>
    <row r="94" spans="1:8" ht="13" x14ac:dyDescent="0.3">
      <c r="A94" s="5" t="str">
        <f>"(11)"</f>
        <v>(11)</v>
      </c>
      <c r="B94" s="5" t="str">
        <f>"(20)"</f>
        <v>(20)</v>
      </c>
      <c r="C94" s="9" t="str">
        <f>"(23)"</f>
        <v>(23)</v>
      </c>
      <c r="D94" s="5" t="s">
        <v>273</v>
      </c>
    </row>
    <row r="95" spans="1:8" ht="13" x14ac:dyDescent="0.3">
      <c r="A95" s="5" t="str">
        <f>"(12)"</f>
        <v>(12)</v>
      </c>
      <c r="B95" s="5" t="str">
        <f>"(21)"</f>
        <v>(21)</v>
      </c>
    </row>
    <row r="98" spans="3:8" s="151" customFormat="1" ht="11.25" customHeight="1" x14ac:dyDescent="0.55000000000000004">
      <c r="C98" s="152"/>
      <c r="D98" s="153"/>
      <c r="E98" s="154"/>
      <c r="F98" s="155"/>
      <c r="G98" s="152"/>
      <c r="H98" s="153"/>
    </row>
  </sheetData>
  <phoneticPr fontId="3" type="noConversion"/>
  <printOptions horizontalCentered="1"/>
  <pageMargins left="0.75" right="0.75" top="1" bottom="1" header="0.5" footer="0.5"/>
  <pageSetup scale="53" orientation="portrait" horizontalDpi="4294967292" r:id="rId1"/>
  <headerFooter alignWithMargins="0">
    <oddHeader>&amp;RUSPS -FY15-21
Section B
Page 11 of 11</oddHeader>
  </headerFooter>
  <ignoredErrors>
    <ignoredError sqref="C86 C89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EB0E29CC5B443B20AD0ADCD173D34" ma:contentTypeVersion="4" ma:contentTypeDescription="Create a new document." ma:contentTypeScope="" ma:versionID="fefafd6d308eb8b5a8cc413f7e344640">
  <xsd:schema xmlns:xsd="http://www.w3.org/2001/XMLSchema" xmlns:xs="http://www.w3.org/2001/XMLSchema" xmlns:p="http://schemas.microsoft.com/office/2006/metadata/properties" xmlns:ns2="fd280014-f047-445d-a75d-a0f18d80e10d" targetNamespace="http://schemas.microsoft.com/office/2006/metadata/properties" ma:root="true" ma:fieldsID="d0167217136ba33b7f2a5da369f8bb0e" ns2:_="">
    <xsd:import namespace="fd280014-f047-445d-a75d-a0f18d80e1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80014-f047-445d-a75d-a0f18d80e1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743DA0-49B0-4E82-A292-E6E471081A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918A8C-5C1C-4D8C-B852-4B718AAC84BD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sharepoint/v3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c87a8cc-970f-4adc-8c66-210181bb4d89"/>
  </ds:schemaRefs>
</ds:datastoreItem>
</file>

<file path=customXml/itemProps3.xml><?xml version="1.0" encoding="utf-8"?>
<ds:datastoreItem xmlns:ds="http://schemas.openxmlformats.org/officeDocument/2006/customXml" ds:itemID="{B1DC2D02-8925-49B7-9B2F-D51C5AB679B3}"/>
</file>

<file path=docMetadata/LabelInfo.xml><?xml version="1.0" encoding="utf-8"?>
<clbl:labelList xmlns:clbl="http://schemas.microsoft.com/office/2020/mipLabelMetadata">
  <clbl:label id="{f9aa5788-eb33-4a49-8ad0-76101910cac3}" enabled="0" method="" siteId="{f9aa5788-eb33-4a49-8ad0-76101910ca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QBRM COST AVOIDANCE SUMMARY</vt:lpstr>
      <vt:lpstr>HAND FLOW</vt:lpstr>
      <vt:lpstr>HAND COSTS</vt:lpstr>
      <vt:lpstr>QBRM COSTS</vt:lpstr>
      <vt:lpstr>QBRM FLOW</vt:lpstr>
      <vt:lpstr>QBRM COST AVOIDANCE INPUTS</vt:lpstr>
      <vt:lpstr>BRM FEES SUMMARY</vt:lpstr>
      <vt:lpstr>ANNUAL PERMIT</vt:lpstr>
      <vt:lpstr>QBRM QUARTERLY</vt:lpstr>
      <vt:lpstr>ANNUAL ACCOUNTING </vt:lpstr>
      <vt:lpstr>NONLETTER SIZE BRM MONTHLY </vt:lpstr>
      <vt:lpstr>HI VOL QBRM </vt:lpstr>
      <vt:lpstr>BASIC QBRM </vt:lpstr>
      <vt:lpstr>HI VOL BRM</vt:lpstr>
      <vt:lpstr>BASIC BRM</vt:lpstr>
      <vt:lpstr>NONLETTER SIZE BRM</vt:lpstr>
      <vt:lpstr>BRM FEE INPUTS</vt:lpstr>
      <vt:lpstr>'BRM FEE INPUTS'!Print_Area</vt:lpstr>
    </vt:vector>
  </TitlesOfParts>
  <Company>USPS - Advanced Computing Environment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scottjs</dc:creator>
  <cp:lastModifiedBy>Easton, Katie - Washington, DC</cp:lastModifiedBy>
  <cp:lastPrinted>2012-12-17T19:59:00Z</cp:lastPrinted>
  <dcterms:created xsi:type="dcterms:W3CDTF">2005-03-18T13:43:17Z</dcterms:created>
  <dcterms:modified xsi:type="dcterms:W3CDTF">2026-02-03T22:25:10Z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0x0101000B6EB0E29CC5B443B20AD0ADCD173D34</vt:lpwstr>
  </property>
  <property fmtid="{D5CDD505-2E9C-101B-9397-08002B2CF9AE}" pid="3" name="Order">
    <vt:r8>7600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