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ps365.sharepoint.com/sites/CostAttribution/Shared Documents/ACR 2025/FY25 ACR Revision CHIR No.2 Q30/USPS-FY25-10 MODS Update/"/>
    </mc:Choice>
  </mc:AlternateContent>
  <xr:revisionPtr revIDLastSave="21" documentId="8_{0F56E392-5C80-42B5-9CBC-BE9500070279}" xr6:coauthVersionLast="47" xr6:coauthVersionMax="47" xr10:uidLastSave="{69C97A6F-EBCC-49F8-8717-70AB95F16F41}"/>
  <bookViews>
    <workbookView xWindow="-14505" yWindow="0" windowWidth="14610" windowHeight="15585" tabRatio="589" xr2:uid="{00000000-000D-0000-FFFF-FFFF00000000}"/>
  </bookViews>
  <sheets>
    <sheet name="SUMMARY" sheetId="60" r:id="rId1"/>
    <sheet name="PRESORT LETTERS SUM" sheetId="51" r:id="rId2"/>
    <sheet name="CRA - PRESORT LETTERS" sheetId="50" r:id="rId3"/>
    <sheet name="AUTO MAADC COST" sheetId="21" r:id="rId4"/>
    <sheet name="AUTO MAADC MODEL" sheetId="22" r:id="rId5"/>
    <sheet name="MACH MAADC BC-BENCH COST " sheetId="65" r:id="rId6"/>
    <sheet name="MACH MAADC BC-BENCH MODEL " sheetId="66" r:id="rId7"/>
    <sheet name="ACCEPT" sheetId="14" r:id="rId8"/>
    <sheet name="MACH MAADC COST" sheetId="31" r:id="rId9"/>
    <sheet name="MACH MAADC MODEL" sheetId="32" r:id="rId10"/>
    <sheet name="AUTO AADC COST" sheetId="19" r:id="rId11"/>
    <sheet name="AUTO AADC MODEL" sheetId="20" r:id="rId12"/>
    <sheet name="AUTO 3-DIGIT COST" sheetId="17" r:id="rId13"/>
    <sheet name="AUTO 3-DIGIT MODEL" sheetId="18" r:id="rId14"/>
    <sheet name="AUTO 5-DIGIT COST" sheetId="15" r:id="rId15"/>
    <sheet name="AUTO 5-DIGIT MODEL" sheetId="16" r:id="rId16"/>
    <sheet name="MACH AADC COST" sheetId="64" r:id="rId17"/>
    <sheet name="MACH AADC MODEL" sheetId="63" r:id="rId18"/>
    <sheet name="NMACH MADC COST" sheetId="29" r:id="rId19"/>
    <sheet name="NMACH MADC MODEL" sheetId="30" r:id="rId20"/>
    <sheet name="NMACH ADC COST" sheetId="27" r:id="rId21"/>
    <sheet name="NMACH ADC MODEL" sheetId="28" r:id="rId22"/>
    <sheet name="NMACH 3-DIGIT COST" sheetId="25" r:id="rId23"/>
    <sheet name="NMACH 3-DIGIT MODEL" sheetId="26" r:id="rId24"/>
    <sheet name="NMACH 5-DIGIT COST" sheetId="23" r:id="rId25"/>
    <sheet name="NMACH 5-DIGIT MODEL" sheetId="24" r:id="rId26"/>
    <sheet name="NONAUTO MACH SUM" sheetId="61" r:id="rId27"/>
    <sheet name="NONAUTO NMACH SUM" sheetId="55" r:id="rId28"/>
    <sheet name="PRODUCTIVITY" sheetId="9" r:id="rId29"/>
    <sheet name="MISC" sheetId="3" r:id="rId30"/>
    <sheet name="DENSITY" sheetId="4" r:id="rId31"/>
    <sheet name="WAGE RATE - PIGGYBACK FACTORS" sheetId="11" r:id="rId32"/>
    <sheet name="MCS LETTERS" sheetId="58" r:id="rId33"/>
    <sheet name="BUNDLE SORT" sheetId="62" r:id="rId34"/>
    <sheet name="ACCEPT(old)" sheetId="2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xlnm.Print_Area" localSheetId="34">'ACCEPT(old)'!$A$1:$L$28</definedName>
    <definedName name="_xlnm.Print_Area" localSheetId="13">'AUTO 3-DIGIT MODEL'!$A$1:$AF$78</definedName>
    <definedName name="_xlnm.Print_Area" localSheetId="15">'AUTO 5-DIGIT MODEL'!$A$1:$AF$78</definedName>
    <definedName name="_xlnm.Print_Area" localSheetId="11">'AUTO AADC MODEL'!$A$1:$AF$78</definedName>
    <definedName name="_xlnm.Print_Area" localSheetId="4">'AUTO MAADC MODEL'!$A$1:$AF$78</definedName>
    <definedName name="_xlnm.Print_Area" localSheetId="2">'CRA - PRESORT LETTERS'!$A$1:$N$82</definedName>
    <definedName name="_xlnm.Print_Area" localSheetId="9">'MACH MAADC MODEL'!$A$1:$AF$78</definedName>
    <definedName name="_xlnm.Print_Area" localSheetId="29">MISC!$A$1:$F$30</definedName>
    <definedName name="_xlnm.Print_Area" localSheetId="23">'NMACH 3-DIGIT MODEL'!$A$1:$AF$78</definedName>
    <definedName name="_xlnm.Print_Area" localSheetId="25">'NMACH 5-DIGIT MODEL'!$A$1:$AF$78</definedName>
    <definedName name="_xlnm.Print_Area" localSheetId="21">'NMACH ADC MODEL'!$A$1:$AF$78</definedName>
    <definedName name="_xlnm.Print_Area" localSheetId="19">'NMACH MADC MODEL'!$A$1:$AF$78</definedName>
    <definedName name="_xlnm.Print_Area" localSheetId="27">'NONAUTO NMACH SUM'!$A$1:$C$28</definedName>
    <definedName name="_xlnm.Print_Area" localSheetId="1">'PRESORT LETTERS SUM'!$A$1:$G$62</definedName>
    <definedName name="_xlnm.Print_Area" localSheetId="28">PRODUCTIVITY!$A$1:$I$40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1" l="1"/>
  <c r="D14" i="11"/>
  <c r="D11" i="11"/>
  <c r="D10" i="11"/>
  <c r="D9" i="11"/>
  <c r="D18" i="9"/>
  <c r="D17" i="9"/>
  <c r="D16" i="9"/>
  <c r="D15" i="9"/>
  <c r="D14" i="9"/>
  <c r="D13" i="9"/>
  <c r="D10" i="9"/>
  <c r="D8" i="9"/>
  <c r="D9" i="9"/>
  <c r="C74" i="50"/>
  <c r="C73" i="50"/>
  <c r="C72" i="50"/>
  <c r="C71" i="50"/>
  <c r="C70" i="50"/>
  <c r="C69" i="50"/>
  <c r="C68" i="50"/>
  <c r="C67" i="50"/>
  <c r="C66" i="50"/>
  <c r="C65" i="50"/>
  <c r="C64" i="50"/>
  <c r="C63" i="50"/>
  <c r="C62" i="50"/>
  <c r="C60" i="50"/>
  <c r="C59" i="50"/>
  <c r="C58" i="50"/>
  <c r="C57" i="50"/>
  <c r="C56" i="50"/>
  <c r="C55" i="50"/>
  <c r="C53" i="50"/>
  <c r="C40" i="50"/>
  <c r="C39" i="50"/>
  <c r="C38" i="50"/>
  <c r="C37" i="50"/>
  <c r="C36" i="50"/>
  <c r="C35" i="50"/>
  <c r="C34" i="50"/>
  <c r="C33" i="50"/>
  <c r="C32" i="50"/>
  <c r="C31" i="50"/>
  <c r="C30" i="50"/>
  <c r="C29" i="50"/>
  <c r="C28" i="50"/>
  <c r="C27" i="50"/>
  <c r="C26" i="50"/>
  <c r="C25" i="50"/>
  <c r="C24" i="50"/>
  <c r="C22" i="50"/>
  <c r="C21" i="50"/>
  <c r="C20" i="50"/>
  <c r="C19" i="50"/>
  <c r="C18" i="50"/>
  <c r="C17" i="50"/>
  <c r="C16" i="50"/>
  <c r="C15" i="50"/>
  <c r="C14" i="50"/>
  <c r="C13" i="50"/>
  <c r="C12" i="50"/>
  <c r="C8" i="50"/>
  <c r="C7" i="50"/>
  <c r="E7" i="3"/>
  <c r="G20" i="9"/>
  <c r="G25" i="9"/>
  <c r="D6" i="11" l="1"/>
  <c r="D5" i="11"/>
  <c r="D4" i="11"/>
  <c r="G27" i="9"/>
  <c r="G9" i="9"/>
  <c r="G7" i="9"/>
  <c r="D24" i="9"/>
  <c r="C10" i="14"/>
  <c r="C11" i="14"/>
  <c r="C12" i="14"/>
  <c r="C13" i="14"/>
  <c r="C15" i="14"/>
  <c r="C16" i="14"/>
  <c r="C17" i="14"/>
  <c r="C18" i="14"/>
  <c r="C19" i="14"/>
  <c r="C20" i="14"/>
  <c r="C21" i="14"/>
  <c r="C9" i="14"/>
  <c r="C5" i="14"/>
  <c r="E18" i="3" l="1"/>
  <c r="E16" i="3"/>
  <c r="E10" i="3" l="1"/>
  <c r="E29" i="58" l="1"/>
  <c r="F29" i="58"/>
  <c r="E30" i="58"/>
  <c r="F30" i="58"/>
  <c r="E31" i="58"/>
  <c r="F31" i="58"/>
  <c r="E32" i="58"/>
  <c r="F32" i="58"/>
  <c r="F28" i="58"/>
  <c r="E39" i="58"/>
  <c r="F39" i="58"/>
  <c r="F38" i="58"/>
  <c r="E53" i="58"/>
  <c r="E52" i="58"/>
  <c r="E51" i="58"/>
  <c r="E50" i="58"/>
  <c r="E49" i="58"/>
  <c r="E45" i="58"/>
  <c r="E38" i="58"/>
  <c r="E28" i="58"/>
  <c r="E20" i="58"/>
  <c r="F20" i="58"/>
  <c r="E21" i="58"/>
  <c r="F21" i="58"/>
  <c r="E22" i="58"/>
  <c r="F22" i="58"/>
  <c r="F19" i="58"/>
  <c r="E19" i="58"/>
  <c r="E13" i="58"/>
  <c r="E12" i="58"/>
  <c r="E6" i="58"/>
  <c r="A3" i="58"/>
  <c r="A2" i="58"/>
  <c r="A1" i="58"/>
  <c r="C51" i="50"/>
  <c r="C61" i="50"/>
  <c r="E46" i="58" l="1"/>
  <c r="E48" i="58" l="1"/>
  <c r="B2" i="51" l="1"/>
  <c r="G26" i="9" l="1"/>
  <c r="G23" i="9"/>
  <c r="G10" i="9"/>
  <c r="G18" i="9"/>
  <c r="G24" i="9" l="1"/>
  <c r="G8" i="9"/>
  <c r="G12" i="9"/>
  <c r="G16" i="9"/>
  <c r="G21" i="9"/>
  <c r="G13" i="9"/>
  <c r="G17" i="9"/>
  <c r="G22" i="9"/>
  <c r="G11" i="9"/>
  <c r="G15" i="9"/>
  <c r="G14" i="9"/>
  <c r="D12" i="11" l="1"/>
  <c r="D15" i="11" l="1"/>
  <c r="D23" i="9"/>
  <c r="D22" i="9"/>
  <c r="D21" i="9"/>
  <c r="D20" i="9"/>
  <c r="D11" i="9"/>
  <c r="D12" i="9"/>
  <c r="D7" i="9" l="1"/>
  <c r="C75" i="50" l="1"/>
  <c r="K14" i="15"/>
  <c r="I38" i="65"/>
  <c r="E23" i="51"/>
  <c r="E24" i="51"/>
  <c r="E17" i="51"/>
  <c r="K39" i="62"/>
  <c r="K34" i="62"/>
  <c r="K33" i="62"/>
  <c r="K29" i="62"/>
  <c r="K31" i="62"/>
  <c r="E7" i="58"/>
  <c r="E18" i="51" s="1"/>
  <c r="G64" i="50"/>
  <c r="G33" i="50"/>
  <c r="G25" i="50"/>
  <c r="E20" i="50"/>
  <c r="D42" i="11"/>
  <c r="I27" i="9"/>
  <c r="B36" i="62" s="1"/>
  <c r="E44" i="58"/>
  <c r="E37" i="58"/>
  <c r="K37" i="62"/>
  <c r="E27" i="58"/>
  <c r="E18" i="58"/>
  <c r="K28" i="62"/>
  <c r="E11" i="58"/>
  <c r="E5" i="58"/>
  <c r="E9" i="22"/>
  <c r="D41" i="11"/>
  <c r="J42" i="17" s="1"/>
  <c r="A16" i="60"/>
  <c r="A42" i="51"/>
  <c r="G6" i="14"/>
  <c r="H51" i="66"/>
  <c r="H54" i="66" s="1"/>
  <c r="H58" i="66" s="1"/>
  <c r="J62" i="66" s="1"/>
  <c r="E7" i="66"/>
  <c r="H18" i="66"/>
  <c r="J38" i="65"/>
  <c r="E38" i="65"/>
  <c r="J38" i="31"/>
  <c r="G73" i="50"/>
  <c r="E67" i="50"/>
  <c r="G66" i="50"/>
  <c r="E65" i="50"/>
  <c r="G21" i="50"/>
  <c r="G24" i="50"/>
  <c r="G26" i="50"/>
  <c r="G28" i="50"/>
  <c r="G29" i="50"/>
  <c r="G35" i="50"/>
  <c r="G55" i="50"/>
  <c r="G56" i="50"/>
  <c r="G74" i="50"/>
  <c r="E7" i="50"/>
  <c r="E17" i="50"/>
  <c r="E58" i="50"/>
  <c r="E63" i="50"/>
  <c r="E70" i="50"/>
  <c r="E38" i="25"/>
  <c r="K7" i="63"/>
  <c r="H51" i="63"/>
  <c r="H18" i="63"/>
  <c r="I15" i="63" s="1"/>
  <c r="K21" i="64"/>
  <c r="L21" i="64" s="1"/>
  <c r="E7" i="32"/>
  <c r="H18" i="32"/>
  <c r="H51" i="32"/>
  <c r="I48" i="32" s="1"/>
  <c r="K42" i="62"/>
  <c r="J38" i="23"/>
  <c r="L10" i="50"/>
  <c r="C8" i="62"/>
  <c r="D8" i="62"/>
  <c r="B8" i="62"/>
  <c r="F8" i="62"/>
  <c r="D9" i="62"/>
  <c r="M9" i="62" s="1"/>
  <c r="B9" i="62"/>
  <c r="C9" i="62"/>
  <c r="F9" i="62"/>
  <c r="I9" i="62"/>
  <c r="M19" i="62"/>
  <c r="M16" i="62"/>
  <c r="J14" i="62"/>
  <c r="I14" i="62"/>
  <c r="I13" i="62"/>
  <c r="J13" i="62"/>
  <c r="L13" i="62" s="1"/>
  <c r="C10" i="62"/>
  <c r="B10" i="62"/>
  <c r="D10" i="62"/>
  <c r="L21" i="62"/>
  <c r="I34" i="62"/>
  <c r="I35" i="62"/>
  <c r="L12" i="62"/>
  <c r="H33" i="62"/>
  <c r="I33" i="62"/>
  <c r="I29" i="62"/>
  <c r="I30" i="62"/>
  <c r="E10" i="62"/>
  <c r="I31" i="62"/>
  <c r="L15" i="62"/>
  <c r="I36" i="62"/>
  <c r="L16" i="62"/>
  <c r="I37" i="62"/>
  <c r="H18" i="28"/>
  <c r="I15" i="28" s="1"/>
  <c r="H51" i="28"/>
  <c r="H54" i="28" s="1"/>
  <c r="H58" i="28" s="1"/>
  <c r="J62" i="28" s="1"/>
  <c r="H61" i="28" s="1"/>
  <c r="H65" i="28" s="1"/>
  <c r="Q7" i="28"/>
  <c r="J38" i="27"/>
  <c r="K21" i="27"/>
  <c r="L21" i="27"/>
  <c r="L19" i="62"/>
  <c r="I40" i="62"/>
  <c r="L18" i="62"/>
  <c r="H39" i="62"/>
  <c r="I39" i="62"/>
  <c r="H18" i="26"/>
  <c r="H51" i="26"/>
  <c r="Q8" i="26"/>
  <c r="J38" i="25"/>
  <c r="K21" i="25"/>
  <c r="L21" i="25"/>
  <c r="K30" i="62"/>
  <c r="I28" i="62"/>
  <c r="L7" i="62"/>
  <c r="H28" i="62"/>
  <c r="H18" i="24"/>
  <c r="H51" i="24"/>
  <c r="Q9" i="24"/>
  <c r="K21" i="23"/>
  <c r="L21" i="23"/>
  <c r="H18" i="30"/>
  <c r="H51" i="30"/>
  <c r="K21" i="31"/>
  <c r="L21" i="31"/>
  <c r="H18" i="22"/>
  <c r="H51" i="22"/>
  <c r="K21" i="21"/>
  <c r="L21" i="21"/>
  <c r="H18" i="20"/>
  <c r="H51" i="20"/>
  <c r="K8" i="20"/>
  <c r="K21" i="19"/>
  <c r="L21" i="19"/>
  <c r="H18" i="18"/>
  <c r="H51" i="18"/>
  <c r="K9" i="18"/>
  <c r="K21" i="17"/>
  <c r="L21" i="17"/>
  <c r="H18" i="16"/>
  <c r="H51" i="16"/>
  <c r="H54" i="16" s="1"/>
  <c r="H58" i="16" s="1"/>
  <c r="J62" i="16" s="1"/>
  <c r="H61" i="16" s="1"/>
  <c r="H65" i="16" s="1"/>
  <c r="K10" i="16"/>
  <c r="K21" i="15"/>
  <c r="L21" i="15" s="1"/>
  <c r="E7" i="2"/>
  <c r="E8" i="2"/>
  <c r="F9" i="2"/>
  <c r="G9" i="2"/>
  <c r="H9" i="2"/>
  <c r="I9" i="2"/>
  <c r="K16" i="2"/>
  <c r="K17" i="2" s="1"/>
  <c r="H7" i="4"/>
  <c r="H8" i="4"/>
  <c r="H9" i="4"/>
  <c r="H10" i="4"/>
  <c r="H11" i="4"/>
  <c r="H12" i="4"/>
  <c r="H13" i="4"/>
  <c r="H14" i="4"/>
  <c r="H15" i="4"/>
  <c r="H16" i="4"/>
  <c r="E12" i="30"/>
  <c r="K21" i="29"/>
  <c r="L21" i="29"/>
  <c r="E13" i="51"/>
  <c r="G8" i="62"/>
  <c r="E38" i="64"/>
  <c r="E38" i="23"/>
  <c r="E38" i="19"/>
  <c r="E38" i="15"/>
  <c r="E38" i="31"/>
  <c r="E38" i="27"/>
  <c r="E38" i="21"/>
  <c r="E38" i="17"/>
  <c r="E38" i="29"/>
  <c r="J38" i="19"/>
  <c r="J38" i="21"/>
  <c r="J38" i="64"/>
  <c r="J38" i="17"/>
  <c r="J38" i="29"/>
  <c r="J38" i="15"/>
  <c r="M13" i="62"/>
  <c r="G9" i="62"/>
  <c r="G19" i="21"/>
  <c r="I16" i="9"/>
  <c r="E34" i="65" s="1"/>
  <c r="I14" i="9"/>
  <c r="E22" i="31" s="1"/>
  <c r="G25" i="27"/>
  <c r="I38" i="27"/>
  <c r="K38" i="27" s="1"/>
  <c r="I38" i="19"/>
  <c r="K38" i="19" s="1"/>
  <c r="I38" i="25"/>
  <c r="K38" i="25" s="1"/>
  <c r="I24" i="9"/>
  <c r="E40" i="29" s="1"/>
  <c r="D24" i="11"/>
  <c r="J20" i="21" s="1"/>
  <c r="F40" i="62"/>
  <c r="D39" i="11"/>
  <c r="J40" i="15" s="1"/>
  <c r="F35" i="62"/>
  <c r="F42" i="62"/>
  <c r="D38" i="11"/>
  <c r="F29" i="62"/>
  <c r="F30" i="62"/>
  <c r="D26" i="11"/>
  <c r="J23" i="21" s="1"/>
  <c r="F36" i="62"/>
  <c r="F31" i="62"/>
  <c r="F37" i="62"/>
  <c r="F34" i="62"/>
  <c r="D34" i="11"/>
  <c r="J35" i="23" s="1"/>
  <c r="D32" i="11"/>
  <c r="J32" i="31" s="1"/>
  <c r="D40" i="11"/>
  <c r="J41" i="15" s="1"/>
  <c r="C79" i="50"/>
  <c r="D19" i="11"/>
  <c r="J13" i="15" s="1"/>
  <c r="D27" i="11"/>
  <c r="J25" i="21" s="1"/>
  <c r="I9" i="9"/>
  <c r="E15" i="17" s="1"/>
  <c r="G27" i="23"/>
  <c r="I21" i="9"/>
  <c r="E23" i="64" s="1"/>
  <c r="G31" i="64"/>
  <c r="D29" i="11"/>
  <c r="J28" i="27" s="1"/>
  <c r="D31" i="11"/>
  <c r="J31" i="23" s="1"/>
  <c r="H21" i="18"/>
  <c r="H25" i="18" s="1"/>
  <c r="L29" i="18" s="1"/>
  <c r="J28" i="18" s="1"/>
  <c r="H54" i="18"/>
  <c r="H58" i="18" s="1"/>
  <c r="D20" i="11"/>
  <c r="J15" i="25" s="1"/>
  <c r="D28" i="11"/>
  <c r="J27" i="25" s="1"/>
  <c r="I17" i="9"/>
  <c r="E37" i="17" s="1"/>
  <c r="I15" i="9"/>
  <c r="I18" i="9"/>
  <c r="E39" i="65" s="1"/>
  <c r="I12" i="9"/>
  <c r="I8" i="9"/>
  <c r="E25" i="65" s="1"/>
  <c r="I13" i="9"/>
  <c r="E19" i="25" s="1"/>
  <c r="I7" i="9"/>
  <c r="E13" i="15" s="1"/>
  <c r="I11" i="9"/>
  <c r="E16" i="29" s="1"/>
  <c r="K40" i="62"/>
  <c r="E40" i="58"/>
  <c r="E16" i="51" s="1"/>
  <c r="I38" i="17"/>
  <c r="K38" i="17" s="1"/>
  <c r="I38" i="21"/>
  <c r="K38" i="21" s="1"/>
  <c r="I38" i="23"/>
  <c r="K38" i="23" s="1"/>
  <c r="I38" i="29"/>
  <c r="K38" i="29" s="1"/>
  <c r="I38" i="64"/>
  <c r="K38" i="64" s="1"/>
  <c r="I38" i="31"/>
  <c r="K38" i="31" s="1"/>
  <c r="G15" i="19"/>
  <c r="I38" i="15"/>
  <c r="K38" i="15" s="1"/>
  <c r="K35" i="62"/>
  <c r="I26" i="9"/>
  <c r="I25" i="9"/>
  <c r="E41" i="31" s="1"/>
  <c r="G42" i="21"/>
  <c r="G28" i="31"/>
  <c r="G16" i="65"/>
  <c r="G23" i="27"/>
  <c r="G38" i="64"/>
  <c r="G31" i="19"/>
  <c r="G23" i="64"/>
  <c r="G22" i="15"/>
  <c r="G39" i="31"/>
  <c r="C30" i="62"/>
  <c r="G35" i="19"/>
  <c r="G37" i="17"/>
  <c r="G34" i="27"/>
  <c r="G42" i="25"/>
  <c r="C40" i="62"/>
  <c r="G34" i="19"/>
  <c r="G19" i="15"/>
  <c r="G40" i="15"/>
  <c r="G13" i="19"/>
  <c r="G39" i="25"/>
  <c r="G17" i="25"/>
  <c r="G37" i="65"/>
  <c r="G28" i="27"/>
  <c r="G20" i="17"/>
  <c r="G38" i="29"/>
  <c r="G34" i="64"/>
  <c r="G34" i="23"/>
  <c r="G25" i="17"/>
  <c r="G28" i="23"/>
  <c r="G19" i="29"/>
  <c r="G23" i="65"/>
  <c r="G20" i="15"/>
  <c r="G29" i="25"/>
  <c r="G34" i="21"/>
  <c r="G32" i="25"/>
  <c r="G19" i="64"/>
  <c r="C42" i="62"/>
  <c r="G28" i="19"/>
  <c r="G23" i="19"/>
  <c r="G40" i="21"/>
  <c r="G23" i="29"/>
  <c r="G32" i="15"/>
  <c r="G34" i="25"/>
  <c r="G19" i="27"/>
  <c r="G41" i="21"/>
  <c r="G20" i="65"/>
  <c r="G31" i="17"/>
  <c r="G41" i="15"/>
  <c r="C31" i="62"/>
  <c r="G39" i="17"/>
  <c r="G29" i="31"/>
  <c r="G39" i="64"/>
  <c r="G25" i="19"/>
  <c r="G32" i="65"/>
  <c r="G38" i="25"/>
  <c r="G41" i="29"/>
  <c r="G37" i="21"/>
  <c r="G17" i="65"/>
  <c r="G20" i="21"/>
  <c r="G22" i="64"/>
  <c r="G42" i="23"/>
  <c r="G35" i="65"/>
  <c r="G31" i="27"/>
  <c r="G13" i="17"/>
  <c r="G16" i="27"/>
  <c r="G23" i="15"/>
  <c r="G42" i="29"/>
  <c r="G23" i="23"/>
  <c r="G13" i="25"/>
  <c r="G39" i="21"/>
  <c r="G16" i="29"/>
  <c r="G31" i="31"/>
  <c r="G41" i="17"/>
  <c r="G13" i="15"/>
  <c r="G31" i="25"/>
  <c r="G29" i="19"/>
  <c r="G16" i="64"/>
  <c r="G34" i="65"/>
  <c r="G38" i="21"/>
  <c r="G32" i="17"/>
  <c r="G20" i="25"/>
  <c r="G23" i="21"/>
  <c r="G28" i="25"/>
  <c r="G22" i="31"/>
  <c r="G32" i="21"/>
  <c r="G39" i="15"/>
  <c r="G22" i="17"/>
  <c r="G13" i="21"/>
  <c r="G13" i="31"/>
  <c r="G32" i="64"/>
  <c r="G35" i="23"/>
  <c r="G22" i="25"/>
  <c r="G37" i="23"/>
  <c r="G20" i="29"/>
  <c r="G32" i="23"/>
  <c r="G38" i="31"/>
  <c r="G17" i="15"/>
  <c r="G37" i="25"/>
  <c r="G40" i="29"/>
  <c r="G19" i="25"/>
  <c r="G29" i="29"/>
  <c r="G37" i="15"/>
  <c r="G32" i="31"/>
  <c r="G22" i="29"/>
  <c r="G19" i="31"/>
  <c r="G31" i="29"/>
  <c r="G35" i="21"/>
  <c r="G31" i="15"/>
  <c r="G37" i="64"/>
  <c r="G38" i="23"/>
  <c r="G25" i="23"/>
  <c r="G38" i="65"/>
  <c r="G29" i="27"/>
  <c r="G17" i="17"/>
  <c r="G19" i="19"/>
  <c r="G29" i="64"/>
  <c r="G40" i="19"/>
  <c r="G39" i="23"/>
  <c r="G13" i="29"/>
  <c r="G13" i="23"/>
  <c r="G31" i="21"/>
  <c r="C37" i="62"/>
  <c r="G17" i="64"/>
  <c r="G35" i="15"/>
  <c r="G41" i="64"/>
  <c r="G37" i="27"/>
  <c r="G20" i="64"/>
  <c r="G16" i="25"/>
  <c r="G17" i="19"/>
  <c r="G23" i="17"/>
  <c r="G25" i="31"/>
  <c r="G42" i="19"/>
  <c r="G39" i="27"/>
  <c r="G13" i="64"/>
  <c r="G25" i="25"/>
  <c r="G28" i="29"/>
  <c r="G39" i="65"/>
  <c r="G16" i="23"/>
  <c r="C29" i="62"/>
  <c r="G29" i="21"/>
  <c r="I15" i="66"/>
  <c r="I48" i="16"/>
  <c r="I48" i="63"/>
  <c r="I15" i="16"/>
  <c r="I15" i="32"/>
  <c r="H54" i="26"/>
  <c r="H58" i="26" s="1"/>
  <c r="H21" i="24"/>
  <c r="H25" i="24" s="1"/>
  <c r="I15" i="22"/>
  <c r="H21" i="26"/>
  <c r="H25" i="26" s="1"/>
  <c r="L29" i="26" s="1"/>
  <c r="I15" i="24"/>
  <c r="H21" i="16"/>
  <c r="H25" i="16" s="1"/>
  <c r="I15" i="20"/>
  <c r="I48" i="30"/>
  <c r="E6" i="14"/>
  <c r="F6" i="14" s="1"/>
  <c r="H21" i="63"/>
  <c r="H25" i="63" s="1"/>
  <c r="H54" i="24"/>
  <c r="H58" i="24" s="1"/>
  <c r="H54" i="20"/>
  <c r="H58" i="20" s="1"/>
  <c r="H21" i="20"/>
  <c r="H25" i="20" s="1"/>
  <c r="L29" i="20" s="1"/>
  <c r="J28" i="20" s="1"/>
  <c r="G35" i="31"/>
  <c r="K26" i="65"/>
  <c r="K26" i="23"/>
  <c r="K26" i="19"/>
  <c r="K14" i="64"/>
  <c r="K26" i="25"/>
  <c r="K14" i="17"/>
  <c r="E33" i="58"/>
  <c r="E15" i="51" s="1"/>
  <c r="K36" i="62"/>
  <c r="C10" i="61"/>
  <c r="E20" i="51"/>
  <c r="E54" i="58"/>
  <c r="E14" i="58"/>
  <c r="E19" i="51" s="1"/>
  <c r="H21" i="22"/>
  <c r="H25" i="22" s="1"/>
  <c r="I15" i="18"/>
  <c r="H54" i="32"/>
  <c r="H58" i="32" s="1"/>
  <c r="I48" i="26"/>
  <c r="I48" i="24"/>
  <c r="H21" i="30"/>
  <c r="H25" i="30" s="1"/>
  <c r="I48" i="20"/>
  <c r="I48" i="18"/>
  <c r="I48" i="28"/>
  <c r="I15" i="26"/>
  <c r="H21" i="28"/>
  <c r="H25" i="28" s="1"/>
  <c r="L29" i="28" s="1"/>
  <c r="H54" i="22"/>
  <c r="H58" i="22" s="1"/>
  <c r="L62" i="22" s="1"/>
  <c r="I48" i="66"/>
  <c r="I15" i="30"/>
  <c r="H54" i="30"/>
  <c r="H58" i="30" s="1"/>
  <c r="I48" i="22"/>
  <c r="K14" i="27"/>
  <c r="K26" i="17"/>
  <c r="K14" i="21"/>
  <c r="K26" i="31"/>
  <c r="K26" i="21"/>
  <c r="K26" i="27"/>
  <c r="K14" i="31"/>
  <c r="K14" i="23"/>
  <c r="K14" i="29"/>
  <c r="K26" i="15"/>
  <c r="K26" i="29"/>
  <c r="K14" i="19"/>
  <c r="K14" i="65"/>
  <c r="K14" i="25"/>
  <c r="K26" i="64"/>
  <c r="E39" i="19" l="1"/>
  <c r="J25" i="27"/>
  <c r="J40" i="21"/>
  <c r="J23" i="19"/>
  <c r="J39" i="62"/>
  <c r="J28" i="62"/>
  <c r="J13" i="64"/>
  <c r="E41" i="17"/>
  <c r="H41" i="17" s="1"/>
  <c r="I41" i="17" s="1"/>
  <c r="J13" i="29"/>
  <c r="E79" i="50"/>
  <c r="E80" i="50" s="1"/>
  <c r="E71" i="50" s="1"/>
  <c r="J41" i="17"/>
  <c r="J40" i="23"/>
  <c r="J25" i="64"/>
  <c r="J42" i="21"/>
  <c r="J28" i="65"/>
  <c r="B35" i="62"/>
  <c r="J13" i="19"/>
  <c r="L62" i="28"/>
  <c r="E40" i="19"/>
  <c r="H40" i="19" s="1"/>
  <c r="I40" i="19" s="1"/>
  <c r="E40" i="15"/>
  <c r="H40" i="15" s="1"/>
  <c r="I40" i="15" s="1"/>
  <c r="K40" i="15" s="1"/>
  <c r="E25" i="23"/>
  <c r="H25" i="23" s="1"/>
  <c r="I25" i="23" s="1"/>
  <c r="G79" i="50"/>
  <c r="G80" i="50" s="1"/>
  <c r="G30" i="50" s="1"/>
  <c r="L62" i="16"/>
  <c r="E19" i="21"/>
  <c r="H19" i="21" s="1"/>
  <c r="I19" i="21" s="1"/>
  <c r="E22" i="25"/>
  <c r="H22" i="25" s="1"/>
  <c r="I22" i="25" s="1"/>
  <c r="J23" i="29"/>
  <c r="J15" i="29"/>
  <c r="J23" i="15"/>
  <c r="E19" i="29"/>
  <c r="H19" i="29" s="1"/>
  <c r="E25" i="21"/>
  <c r="E22" i="29"/>
  <c r="H22" i="29" s="1"/>
  <c r="H40" i="29"/>
  <c r="I40" i="29" s="1"/>
  <c r="J20" i="29"/>
  <c r="J13" i="21"/>
  <c r="L62" i="24"/>
  <c r="J62" i="24"/>
  <c r="M64" i="24" s="1"/>
  <c r="J68" i="24" s="1"/>
  <c r="H23" i="64"/>
  <c r="I23" i="64" s="1"/>
  <c r="H19" i="25"/>
  <c r="I19" i="25" s="1"/>
  <c r="E23" i="31"/>
  <c r="E19" i="27"/>
  <c r="H19" i="27" s="1"/>
  <c r="I19" i="27" s="1"/>
  <c r="E19" i="65"/>
  <c r="E13" i="27"/>
  <c r="J28" i="26"/>
  <c r="H28" i="26" s="1"/>
  <c r="E13" i="31"/>
  <c r="H13" i="31" s="1"/>
  <c r="I13" i="31" s="1"/>
  <c r="E39" i="31"/>
  <c r="H39" i="31" s="1"/>
  <c r="I39" i="31" s="1"/>
  <c r="L62" i="66"/>
  <c r="J15" i="17"/>
  <c r="J13" i="65"/>
  <c r="B34" i="62"/>
  <c r="K38" i="65"/>
  <c r="E23" i="21"/>
  <c r="H23" i="21" s="1"/>
  <c r="I23" i="21" s="1"/>
  <c r="E13" i="23"/>
  <c r="H13" i="23" s="1"/>
  <c r="I13" i="23" s="1"/>
  <c r="E41" i="29"/>
  <c r="H41" i="29" s="1"/>
  <c r="I41" i="29" s="1"/>
  <c r="E19" i="17"/>
  <c r="E22" i="64"/>
  <c r="H22" i="64" s="1"/>
  <c r="I22" i="64" s="1"/>
  <c r="E23" i="29"/>
  <c r="H23" i="29" s="1"/>
  <c r="I23" i="29" s="1"/>
  <c r="J13" i="25"/>
  <c r="J27" i="23"/>
  <c r="J13" i="17"/>
  <c r="J40" i="17"/>
  <c r="H34" i="65"/>
  <c r="I34" i="65" s="1"/>
  <c r="E39" i="29"/>
  <c r="E39" i="15"/>
  <c r="H39" i="15" s="1"/>
  <c r="I39" i="15" s="1"/>
  <c r="E19" i="23"/>
  <c r="E19" i="64"/>
  <c r="H19" i="64" s="1"/>
  <c r="I19" i="64" s="1"/>
  <c r="E39" i="27"/>
  <c r="H39" i="27" s="1"/>
  <c r="I39" i="27" s="1"/>
  <c r="E39" i="17"/>
  <c r="H39" i="17" s="1"/>
  <c r="I39" i="17" s="1"/>
  <c r="E40" i="64"/>
  <c r="E40" i="25"/>
  <c r="E39" i="64"/>
  <c r="H39" i="64" s="1"/>
  <c r="I39" i="64" s="1"/>
  <c r="E39" i="23"/>
  <c r="H39" i="23" s="1"/>
  <c r="I39" i="23" s="1"/>
  <c r="E37" i="15"/>
  <c r="H37" i="15" s="1"/>
  <c r="I37" i="15" s="1"/>
  <c r="E19" i="31"/>
  <c r="H19" i="31" s="1"/>
  <c r="I19" i="31" s="1"/>
  <c r="E40" i="23"/>
  <c r="E23" i="65"/>
  <c r="H23" i="65" s="1"/>
  <c r="I23" i="65" s="1"/>
  <c r="E25" i="27"/>
  <c r="H25" i="27" s="1"/>
  <c r="I25" i="27" s="1"/>
  <c r="E23" i="17"/>
  <c r="H23" i="17" s="1"/>
  <c r="I23" i="17" s="1"/>
  <c r="E25" i="29"/>
  <c r="E23" i="15"/>
  <c r="H23" i="15" s="1"/>
  <c r="E23" i="25"/>
  <c r="E16" i="64"/>
  <c r="H16" i="64" s="1"/>
  <c r="I16" i="64" s="1"/>
  <c r="E25" i="64"/>
  <c r="E25" i="31"/>
  <c r="H25" i="31" s="1"/>
  <c r="E25" i="15"/>
  <c r="E23" i="27"/>
  <c r="H23" i="27" s="1"/>
  <c r="I23" i="27" s="1"/>
  <c r="H37" i="17"/>
  <c r="I37" i="17" s="1"/>
  <c r="E23" i="19"/>
  <c r="H23" i="19" s="1"/>
  <c r="I23" i="19" s="1"/>
  <c r="K23" i="19" s="1"/>
  <c r="E16" i="65"/>
  <c r="H16" i="65" s="1"/>
  <c r="I16" i="65" s="1"/>
  <c r="E34" i="64"/>
  <c r="H34" i="64" s="1"/>
  <c r="I34" i="64" s="1"/>
  <c r="E23" i="23"/>
  <c r="J27" i="64"/>
  <c r="J15" i="64"/>
  <c r="J31" i="27"/>
  <c r="J15" i="19"/>
  <c r="J15" i="15"/>
  <c r="J40" i="31"/>
  <c r="J15" i="21"/>
  <c r="J40" i="64"/>
  <c r="J25" i="31"/>
  <c r="J25" i="19"/>
  <c r="J40" i="27"/>
  <c r="J15" i="23"/>
  <c r="J15" i="31"/>
  <c r="J28" i="15"/>
  <c r="J40" i="65"/>
  <c r="J40" i="19"/>
  <c r="J23" i="31"/>
  <c r="J23" i="25"/>
  <c r="J23" i="23"/>
  <c r="J13" i="27"/>
  <c r="J13" i="23"/>
  <c r="J15" i="65"/>
  <c r="J15" i="27"/>
  <c r="J13" i="31"/>
  <c r="J40" i="29"/>
  <c r="J42" i="15"/>
  <c r="J40" i="25"/>
  <c r="J23" i="17"/>
  <c r="J23" i="27"/>
  <c r="H13" i="15"/>
  <c r="I13" i="15" s="1"/>
  <c r="K13" i="15" s="1"/>
  <c r="H16" i="29"/>
  <c r="I16" i="29" s="1"/>
  <c r="E42" i="23"/>
  <c r="H42" i="23" s="1"/>
  <c r="I42" i="23" s="1"/>
  <c r="E42" i="15"/>
  <c r="E42" i="21"/>
  <c r="H42" i="21" s="1"/>
  <c r="I42" i="21" s="1"/>
  <c r="E42" i="31"/>
  <c r="E42" i="27"/>
  <c r="E42" i="19"/>
  <c r="H42" i="19" s="1"/>
  <c r="I42" i="19" s="1"/>
  <c r="E42" i="29"/>
  <c r="H42" i="29" s="1"/>
  <c r="I42" i="29" s="1"/>
  <c r="E42" i="65"/>
  <c r="E42" i="17"/>
  <c r="E42" i="25"/>
  <c r="H42" i="25" s="1"/>
  <c r="I42" i="25" s="1"/>
  <c r="E42" i="64"/>
  <c r="E27" i="25"/>
  <c r="E28" i="65"/>
  <c r="E28" i="17"/>
  <c r="E28" i="19"/>
  <c r="H28" i="19" s="1"/>
  <c r="I28" i="19" s="1"/>
  <c r="E28" i="15"/>
  <c r="E16" i="27"/>
  <c r="H16" i="27" s="1"/>
  <c r="I16" i="27" s="1"/>
  <c r="E22" i="17"/>
  <c r="H22" i="17" s="1"/>
  <c r="I22" i="17" s="1"/>
  <c r="E22" i="19"/>
  <c r="E16" i="25"/>
  <c r="H16" i="25" s="1"/>
  <c r="I16" i="25" s="1"/>
  <c r="E22" i="23"/>
  <c r="E22" i="15"/>
  <c r="H22" i="15" s="1"/>
  <c r="E22" i="65"/>
  <c r="E22" i="21"/>
  <c r="E22" i="27"/>
  <c r="E13" i="65"/>
  <c r="E13" i="25"/>
  <c r="H13" i="25" s="1"/>
  <c r="I13" i="25" s="1"/>
  <c r="E13" i="64"/>
  <c r="H13" i="64" s="1"/>
  <c r="I13" i="64" s="1"/>
  <c r="E41" i="19"/>
  <c r="E41" i="21"/>
  <c r="H41" i="21" s="1"/>
  <c r="I41" i="21" s="1"/>
  <c r="E13" i="21"/>
  <c r="H13" i="21" s="1"/>
  <c r="I13" i="21" s="1"/>
  <c r="E13" i="19"/>
  <c r="H13" i="19" s="1"/>
  <c r="I13" i="19" s="1"/>
  <c r="K13" i="19" s="1"/>
  <c r="E13" i="29"/>
  <c r="H13" i="29" s="1"/>
  <c r="I13" i="29" s="1"/>
  <c r="E13" i="17"/>
  <c r="H13" i="17" s="1"/>
  <c r="I13" i="17" s="1"/>
  <c r="H39" i="65"/>
  <c r="I39" i="65" s="1"/>
  <c r="B42" i="62"/>
  <c r="D42" i="62" s="1"/>
  <c r="B31" i="62"/>
  <c r="D31" i="62" s="1"/>
  <c r="E31" i="62" s="1"/>
  <c r="G31" i="62" s="1"/>
  <c r="K44" i="62"/>
  <c r="M64" i="28"/>
  <c r="J68" i="28" s="1"/>
  <c r="J62" i="32"/>
  <c r="L62" i="32"/>
  <c r="L29" i="30"/>
  <c r="J28" i="30" s="1"/>
  <c r="H21" i="66"/>
  <c r="H25" i="66" s="1"/>
  <c r="L29" i="66" s="1"/>
  <c r="J28" i="66" s="1"/>
  <c r="H21" i="32"/>
  <c r="H25" i="32" s="1"/>
  <c r="L29" i="32" s="1"/>
  <c r="H54" i="63"/>
  <c r="H58" i="63" s="1"/>
  <c r="L29" i="16"/>
  <c r="J28" i="16" s="1"/>
  <c r="M31" i="20"/>
  <c r="J35" i="20" s="1"/>
  <c r="L29" i="63"/>
  <c r="J28" i="63" s="1"/>
  <c r="L62" i="18"/>
  <c r="J62" i="18"/>
  <c r="J62" i="20"/>
  <c r="L62" i="20"/>
  <c r="E31" i="21"/>
  <c r="H31" i="21" s="1"/>
  <c r="I31" i="21" s="1"/>
  <c r="E31" i="23"/>
  <c r="E31" i="64"/>
  <c r="H31" i="64" s="1"/>
  <c r="I31" i="64" s="1"/>
  <c r="E31" i="27"/>
  <c r="H31" i="27" s="1"/>
  <c r="I31" i="27" s="1"/>
  <c r="E31" i="31"/>
  <c r="H31" i="31" s="1"/>
  <c r="I31" i="31" s="1"/>
  <c r="E31" i="15"/>
  <c r="H31" i="15" s="1"/>
  <c r="I31" i="15" s="1"/>
  <c r="E37" i="23"/>
  <c r="H37" i="23" s="1"/>
  <c r="I37" i="23" s="1"/>
  <c r="E37" i="25"/>
  <c r="H37" i="25" s="1"/>
  <c r="I37" i="25" s="1"/>
  <c r="E37" i="27"/>
  <c r="H37" i="27" s="1"/>
  <c r="I37" i="27" s="1"/>
  <c r="E37" i="21"/>
  <c r="H37" i="21" s="1"/>
  <c r="I37" i="21" s="1"/>
  <c r="E37" i="29"/>
  <c r="E28" i="23"/>
  <c r="H28" i="23" s="1"/>
  <c r="I28" i="23" s="1"/>
  <c r="E28" i="31"/>
  <c r="H28" i="31" s="1"/>
  <c r="I28" i="31" s="1"/>
  <c r="E16" i="21"/>
  <c r="E28" i="27"/>
  <c r="H28" i="27" s="1"/>
  <c r="I28" i="27" s="1"/>
  <c r="K28" i="27" s="1"/>
  <c r="E16" i="17"/>
  <c r="E37" i="19"/>
  <c r="E37" i="31"/>
  <c r="E37" i="64"/>
  <c r="H37" i="64" s="1"/>
  <c r="I37" i="64" s="1"/>
  <c r="E37" i="65"/>
  <c r="H37" i="65" s="1"/>
  <c r="I37" i="65" s="1"/>
  <c r="E28" i="21"/>
  <c r="E28" i="25"/>
  <c r="H28" i="25" s="1"/>
  <c r="I28" i="25" s="1"/>
  <c r="E16" i="19"/>
  <c r="E16" i="31"/>
  <c r="L29" i="24"/>
  <c r="J28" i="24" s="1"/>
  <c r="J28" i="28"/>
  <c r="L29" i="22"/>
  <c r="J28" i="22" s="1"/>
  <c r="H28" i="18"/>
  <c r="M31" i="18"/>
  <c r="J35" i="18" s="1"/>
  <c r="H32" i="18"/>
  <c r="J62" i="30"/>
  <c r="L62" i="30"/>
  <c r="J62" i="22"/>
  <c r="M64" i="16"/>
  <c r="H32" i="20"/>
  <c r="H28" i="20"/>
  <c r="L62" i="26"/>
  <c r="J62" i="26"/>
  <c r="H23" i="23"/>
  <c r="E34" i="15"/>
  <c r="E34" i="27"/>
  <c r="H34" i="27" s="1"/>
  <c r="E34" i="31"/>
  <c r="E34" i="25"/>
  <c r="H34" i="25" s="1"/>
  <c r="E34" i="29"/>
  <c r="E34" i="21"/>
  <c r="H34" i="21" s="1"/>
  <c r="E34" i="19"/>
  <c r="H34" i="19" s="1"/>
  <c r="E34" i="23"/>
  <c r="H34" i="23" s="1"/>
  <c r="H61" i="66"/>
  <c r="H65" i="66" s="1"/>
  <c r="M64" i="66"/>
  <c r="E34" i="17"/>
  <c r="E27" i="27"/>
  <c r="E27" i="19"/>
  <c r="E15" i="25"/>
  <c r="E27" i="31"/>
  <c r="E15" i="64"/>
  <c r="E27" i="64"/>
  <c r="E27" i="17"/>
  <c r="E15" i="21"/>
  <c r="E15" i="27"/>
  <c r="E27" i="29"/>
  <c r="E15" i="15"/>
  <c r="E27" i="21"/>
  <c r="E27" i="15"/>
  <c r="E15" i="29"/>
  <c r="E15" i="19"/>
  <c r="H15" i="19" s="1"/>
  <c r="E15" i="31"/>
  <c r="E15" i="65"/>
  <c r="E27" i="23"/>
  <c r="H27" i="23" s="1"/>
  <c r="E27" i="65"/>
  <c r="E15" i="23"/>
  <c r="H22" i="31"/>
  <c r="E41" i="25"/>
  <c r="E41" i="15"/>
  <c r="H41" i="15" s="1"/>
  <c r="E41" i="65"/>
  <c r="E41" i="64"/>
  <c r="H41" i="64" s="1"/>
  <c r="E41" i="23"/>
  <c r="E41" i="27"/>
  <c r="J31" i="17"/>
  <c r="J31" i="65"/>
  <c r="J31" i="29"/>
  <c r="J31" i="15"/>
  <c r="J31" i="25"/>
  <c r="J31" i="31"/>
  <c r="J31" i="19"/>
  <c r="J31" i="64"/>
  <c r="J31" i="21"/>
  <c r="E22" i="51"/>
  <c r="C11" i="61"/>
  <c r="C12" i="61" s="1"/>
  <c r="D10" i="61" s="1"/>
  <c r="D30" i="11"/>
  <c r="D22" i="11"/>
  <c r="G15" i="31"/>
  <c r="G15" i="21"/>
  <c r="G15" i="15"/>
  <c r="G15" i="23"/>
  <c r="G15" i="27"/>
  <c r="G27" i="27"/>
  <c r="G27" i="25"/>
  <c r="G27" i="19"/>
  <c r="G27" i="29"/>
  <c r="G15" i="25"/>
  <c r="G15" i="29"/>
  <c r="G15" i="65"/>
  <c r="G27" i="21"/>
  <c r="G27" i="65"/>
  <c r="G27" i="15"/>
  <c r="G27" i="31"/>
  <c r="G27" i="17"/>
  <c r="G27" i="64"/>
  <c r="G15" i="17"/>
  <c r="H15" i="17" s="1"/>
  <c r="G15" i="64"/>
  <c r="C77" i="50"/>
  <c r="E19" i="15"/>
  <c r="H19" i="15" s="1"/>
  <c r="E19" i="19"/>
  <c r="H19" i="19" s="1"/>
  <c r="L8" i="62"/>
  <c r="E16" i="23"/>
  <c r="H16" i="23" s="1"/>
  <c r="E16" i="15"/>
  <c r="J41" i="27"/>
  <c r="J41" i="25"/>
  <c r="J41" i="29"/>
  <c r="J41" i="19"/>
  <c r="J41" i="31"/>
  <c r="J41" i="21"/>
  <c r="J41" i="23"/>
  <c r="J41" i="65"/>
  <c r="J41" i="64"/>
  <c r="J28" i="19"/>
  <c r="J28" i="31"/>
  <c r="J28" i="64"/>
  <c r="J28" i="25"/>
  <c r="J28" i="17"/>
  <c r="J28" i="29"/>
  <c r="J32" i="27"/>
  <c r="J32" i="29"/>
  <c r="J32" i="65"/>
  <c r="J32" i="17"/>
  <c r="J32" i="23"/>
  <c r="J32" i="64"/>
  <c r="J35" i="21"/>
  <c r="J35" i="27"/>
  <c r="J35" i="17"/>
  <c r="J35" i="64"/>
  <c r="J35" i="29"/>
  <c r="J35" i="25"/>
  <c r="J35" i="31"/>
  <c r="J35" i="65"/>
  <c r="F10" i="62"/>
  <c r="J10" i="62" s="1"/>
  <c r="H10" i="62"/>
  <c r="G10" i="62"/>
  <c r="K14" i="62"/>
  <c r="M14" i="62" s="1"/>
  <c r="L14" i="62"/>
  <c r="J42" i="65"/>
  <c r="J42" i="27"/>
  <c r="J42" i="23"/>
  <c r="J42" i="19"/>
  <c r="J42" i="31"/>
  <c r="J42" i="25"/>
  <c r="J42" i="64"/>
  <c r="J42" i="29"/>
  <c r="D33" i="11"/>
  <c r="D37" i="11"/>
  <c r="D25" i="11"/>
  <c r="D23" i="11"/>
  <c r="D35" i="11"/>
  <c r="D21" i="11"/>
  <c r="G25" i="65"/>
  <c r="H25" i="65" s="1"/>
  <c r="G25" i="29"/>
  <c r="G16" i="17"/>
  <c r="G19" i="23"/>
  <c r="G13" i="27"/>
  <c r="G42" i="65"/>
  <c r="G35" i="25"/>
  <c r="G37" i="29"/>
  <c r="G17" i="23"/>
  <c r="G42" i="15"/>
  <c r="G42" i="31"/>
  <c r="G42" i="17"/>
  <c r="C35" i="62"/>
  <c r="G29" i="23"/>
  <c r="G22" i="21"/>
  <c r="G35" i="27"/>
  <c r="G19" i="65"/>
  <c r="G34" i="17"/>
  <c r="G42" i="27"/>
  <c r="G39" i="29"/>
  <c r="C36" i="62"/>
  <c r="D36" i="62" s="1"/>
  <c r="G25" i="15"/>
  <c r="G41" i="19"/>
  <c r="G28" i="64"/>
  <c r="G20" i="23"/>
  <c r="G42" i="64"/>
  <c r="G40" i="27"/>
  <c r="G28" i="15"/>
  <c r="I20" i="9"/>
  <c r="I23" i="9"/>
  <c r="E19" i="3"/>
  <c r="E8" i="3"/>
  <c r="G28" i="17"/>
  <c r="G38" i="27"/>
  <c r="G22" i="23"/>
  <c r="G17" i="29"/>
  <c r="G22" i="65"/>
  <c r="G32" i="19"/>
  <c r="G35" i="64"/>
  <c r="J32" i="21"/>
  <c r="J28" i="23"/>
  <c r="E25" i="19"/>
  <c r="H25" i="19" s="1"/>
  <c r="E25" i="25"/>
  <c r="H25" i="25" s="1"/>
  <c r="E25" i="17"/>
  <c r="H25" i="17" s="1"/>
  <c r="E39" i="21"/>
  <c r="H39" i="21" s="1"/>
  <c r="E39" i="25"/>
  <c r="H39" i="25" s="1"/>
  <c r="J27" i="65"/>
  <c r="J27" i="17"/>
  <c r="J27" i="15"/>
  <c r="J27" i="21"/>
  <c r="J27" i="29"/>
  <c r="J27" i="19"/>
  <c r="J27" i="31"/>
  <c r="J28" i="21"/>
  <c r="G32" i="27"/>
  <c r="J25" i="17"/>
  <c r="J25" i="65"/>
  <c r="J25" i="25"/>
  <c r="J25" i="23"/>
  <c r="J25" i="15"/>
  <c r="J25" i="29"/>
  <c r="J35" i="15"/>
  <c r="J32" i="25"/>
  <c r="G19" i="17"/>
  <c r="M8" i="62"/>
  <c r="B40" i="62"/>
  <c r="D40" i="62" s="1"/>
  <c r="B30" i="62"/>
  <c r="D30" i="62" s="1"/>
  <c r="B37" i="62"/>
  <c r="D37" i="62" s="1"/>
  <c r="B29" i="62"/>
  <c r="D29" i="62" s="1"/>
  <c r="E31" i="25"/>
  <c r="H31" i="25" s="1"/>
  <c r="E31" i="65"/>
  <c r="E31" i="29"/>
  <c r="H31" i="29" s="1"/>
  <c r="E31" i="19"/>
  <c r="H31" i="19" s="1"/>
  <c r="E31" i="17"/>
  <c r="H31" i="17" s="1"/>
  <c r="E40" i="31"/>
  <c r="E40" i="17"/>
  <c r="E40" i="27"/>
  <c r="E40" i="65"/>
  <c r="E40" i="21"/>
  <c r="H40" i="21" s="1"/>
  <c r="G22" i="19"/>
  <c r="G40" i="65"/>
  <c r="G20" i="27"/>
  <c r="G20" i="31"/>
  <c r="G25" i="64"/>
  <c r="G16" i="19"/>
  <c r="G23" i="25"/>
  <c r="G20" i="19"/>
  <c r="G13" i="65"/>
  <c r="G39" i="19"/>
  <c r="H39" i="19" s="1"/>
  <c r="G29" i="65"/>
  <c r="G40" i="25"/>
  <c r="G37" i="19"/>
  <c r="G16" i="21"/>
  <c r="G41" i="27"/>
  <c r="G40" i="17"/>
  <c r="G41" i="65"/>
  <c r="G35" i="17"/>
  <c r="G32" i="29"/>
  <c r="G41" i="23"/>
  <c r="G34" i="29"/>
  <c r="G40" i="64"/>
  <c r="G29" i="17"/>
  <c r="G23" i="31"/>
  <c r="G25" i="21"/>
  <c r="G16" i="31"/>
  <c r="G38" i="15"/>
  <c r="G40" i="31"/>
  <c r="G28" i="21"/>
  <c r="G35" i="29"/>
  <c r="G41" i="25"/>
  <c r="G37" i="31"/>
  <c r="G17" i="27"/>
  <c r="G34" i="15"/>
  <c r="C34" i="62"/>
  <c r="G17" i="31"/>
  <c r="G22" i="27"/>
  <c r="G31" i="23"/>
  <c r="G29" i="15"/>
  <c r="G41" i="31"/>
  <c r="H41" i="31" s="1"/>
  <c r="G16" i="15"/>
  <c r="H16" i="15" s="1"/>
  <c r="G17" i="21"/>
  <c r="G34" i="31"/>
  <c r="G38" i="17"/>
  <c r="G38" i="19"/>
  <c r="G40" i="23"/>
  <c r="G31" i="65"/>
  <c r="J32" i="19"/>
  <c r="J27" i="27"/>
  <c r="E28" i="29"/>
  <c r="H28" i="29" s="1"/>
  <c r="E28" i="64"/>
  <c r="G28" i="65"/>
  <c r="I22" i="9"/>
  <c r="J35" i="19"/>
  <c r="J32" i="15"/>
  <c r="J20" i="27"/>
  <c r="J20" i="19"/>
  <c r="J20" i="31"/>
  <c r="J20" i="25"/>
  <c r="J20" i="15"/>
  <c r="J20" i="65"/>
  <c r="J20" i="17"/>
  <c r="J20" i="64"/>
  <c r="J20" i="23"/>
  <c r="J23" i="65"/>
  <c r="J23" i="64"/>
  <c r="I10" i="9"/>
  <c r="J33" i="62"/>
  <c r="L9" i="62"/>
  <c r="E23" i="58"/>
  <c r="E14" i="51" s="1"/>
  <c r="H72" i="28" l="1"/>
  <c r="K13" i="29"/>
  <c r="D35" i="62"/>
  <c r="K42" i="21"/>
  <c r="H68" i="28"/>
  <c r="H34" i="15"/>
  <c r="I34" i="15" s="1"/>
  <c r="E69" i="50"/>
  <c r="E40" i="50"/>
  <c r="E57" i="50"/>
  <c r="E8" i="50"/>
  <c r="E12" i="50"/>
  <c r="E16" i="50"/>
  <c r="E19" i="50"/>
  <c r="E59" i="50"/>
  <c r="E10" i="50"/>
  <c r="E32" i="50"/>
  <c r="E62" i="50"/>
  <c r="E52" i="50"/>
  <c r="E15" i="50"/>
  <c r="E36" i="50"/>
  <c r="E60" i="50"/>
  <c r="E34" i="50"/>
  <c r="E68" i="50"/>
  <c r="E27" i="50"/>
  <c r="E14" i="50"/>
  <c r="E13" i="50"/>
  <c r="E39" i="50"/>
  <c r="E18" i="50"/>
  <c r="G15" i="50"/>
  <c r="G62" i="50"/>
  <c r="E53" i="50"/>
  <c r="E30" i="50"/>
  <c r="G69" i="50"/>
  <c r="G13" i="50"/>
  <c r="E37" i="50"/>
  <c r="E31" i="50"/>
  <c r="E22" i="50"/>
  <c r="E72" i="50"/>
  <c r="E38" i="50"/>
  <c r="K23" i="64"/>
  <c r="H40" i="31"/>
  <c r="H37" i="31"/>
  <c r="I37" i="31" s="1"/>
  <c r="H22" i="19"/>
  <c r="H37" i="29"/>
  <c r="H16" i="21"/>
  <c r="I16" i="21" s="1"/>
  <c r="K23" i="17"/>
  <c r="H42" i="17"/>
  <c r="I42" i="17" s="1"/>
  <c r="K42" i="17" s="1"/>
  <c r="H40" i="25"/>
  <c r="I40" i="25" s="1"/>
  <c r="K40" i="25" s="1"/>
  <c r="H42" i="27"/>
  <c r="I42" i="27" s="1"/>
  <c r="K42" i="27" s="1"/>
  <c r="D34" i="62"/>
  <c r="E34" i="62" s="1"/>
  <c r="G34" i="62" s="1"/>
  <c r="H34" i="62" s="1"/>
  <c r="J34" i="62" s="1"/>
  <c r="H22" i="21"/>
  <c r="I22" i="21" s="1"/>
  <c r="H27" i="29"/>
  <c r="I27" i="29" s="1"/>
  <c r="K27" i="29" s="1"/>
  <c r="H39" i="29"/>
  <c r="I39" i="29" s="1"/>
  <c r="H19" i="65"/>
  <c r="I19" i="65" s="1"/>
  <c r="H25" i="21"/>
  <c r="I25" i="21" s="1"/>
  <c r="K25" i="21" s="1"/>
  <c r="H72" i="24"/>
  <c r="D69" i="24" s="1"/>
  <c r="D65" i="24" s="1"/>
  <c r="C65" i="24" s="1"/>
  <c r="C29" i="23" s="1"/>
  <c r="G16" i="50"/>
  <c r="G36" i="50"/>
  <c r="G39" i="50"/>
  <c r="G72" i="50"/>
  <c r="G18" i="50"/>
  <c r="G34" i="50"/>
  <c r="G27" i="50"/>
  <c r="G14" i="50"/>
  <c r="G40" i="50"/>
  <c r="G19" i="50"/>
  <c r="G12" i="50"/>
  <c r="G22" i="50"/>
  <c r="G52" i="50"/>
  <c r="G68" i="50"/>
  <c r="G37" i="50"/>
  <c r="G71" i="50"/>
  <c r="G31" i="50"/>
  <c r="G10" i="50"/>
  <c r="G38" i="50"/>
  <c r="G8" i="50"/>
  <c r="G57" i="50"/>
  <c r="G32" i="50"/>
  <c r="G53" i="50"/>
  <c r="G60" i="50"/>
  <c r="G59" i="50"/>
  <c r="K13" i="21"/>
  <c r="K13" i="31"/>
  <c r="H40" i="64"/>
  <c r="I40" i="64" s="1"/>
  <c r="K40" i="64" s="1"/>
  <c r="K23" i="21"/>
  <c r="H27" i="15"/>
  <c r="I27" i="15" s="1"/>
  <c r="K27" i="15" s="1"/>
  <c r="H28" i="65"/>
  <c r="I28" i="65" s="1"/>
  <c r="K28" i="65" s="1"/>
  <c r="H25" i="15"/>
  <c r="I25" i="15" s="1"/>
  <c r="K25" i="15" s="1"/>
  <c r="H27" i="19"/>
  <c r="I27" i="19" s="1"/>
  <c r="K27" i="19" s="1"/>
  <c r="H27" i="17"/>
  <c r="I27" i="17" s="1"/>
  <c r="K27" i="17" s="1"/>
  <c r="K13" i="23"/>
  <c r="K13" i="25"/>
  <c r="M31" i="26"/>
  <c r="J35" i="26" s="1"/>
  <c r="H39" i="26" s="1"/>
  <c r="H32" i="26"/>
  <c r="J28" i="32"/>
  <c r="M31" i="32" s="1"/>
  <c r="J35" i="32" s="1"/>
  <c r="K72" i="24"/>
  <c r="H61" i="24"/>
  <c r="H65" i="24" s="1"/>
  <c r="H23" i="31"/>
  <c r="I23" i="31" s="1"/>
  <c r="K23" i="31" s="1"/>
  <c r="H68" i="24"/>
  <c r="H42" i="64"/>
  <c r="I42" i="64" s="1"/>
  <c r="K42" i="64" s="1"/>
  <c r="H34" i="17"/>
  <c r="I34" i="17" s="1"/>
  <c r="H42" i="15"/>
  <c r="I42" i="15" s="1"/>
  <c r="K42" i="15" s="1"/>
  <c r="H27" i="64"/>
  <c r="I27" i="64" s="1"/>
  <c r="K27" i="64" s="1"/>
  <c r="H23" i="25"/>
  <c r="I23" i="25" s="1"/>
  <c r="K23" i="25" s="1"/>
  <c r="K23" i="29"/>
  <c r="K41" i="17"/>
  <c r="H25" i="29"/>
  <c r="I25" i="29" s="1"/>
  <c r="K25" i="29" s="1"/>
  <c r="H40" i="23"/>
  <c r="I40" i="23" s="1"/>
  <c r="K40" i="23" s="1"/>
  <c r="H16" i="31"/>
  <c r="I16" i="31" s="1"/>
  <c r="H13" i="27"/>
  <c r="I13" i="27" s="1"/>
  <c r="K13" i="27" s="1"/>
  <c r="H15" i="27"/>
  <c r="I15" i="27" s="1"/>
  <c r="K15" i="27" s="1"/>
  <c r="K40" i="19"/>
  <c r="H19" i="17"/>
  <c r="I19" i="17" s="1"/>
  <c r="K42" i="25"/>
  <c r="H25" i="64"/>
  <c r="I25" i="64" s="1"/>
  <c r="K25" i="64" s="1"/>
  <c r="H19" i="23"/>
  <c r="I19" i="23" s="1"/>
  <c r="K25" i="27"/>
  <c r="H27" i="25"/>
  <c r="I27" i="25" s="1"/>
  <c r="K27" i="25" s="1"/>
  <c r="H42" i="65"/>
  <c r="I42" i="65" s="1"/>
  <c r="K42" i="65" s="1"/>
  <c r="K41" i="21"/>
  <c r="K42" i="19"/>
  <c r="K31" i="15"/>
  <c r="H31" i="23"/>
  <c r="I31" i="23" s="1"/>
  <c r="K31" i="23" s="1"/>
  <c r="H40" i="65"/>
  <c r="I40" i="65" s="1"/>
  <c r="K40" i="65" s="1"/>
  <c r="H28" i="17"/>
  <c r="I28" i="17" s="1"/>
  <c r="K28" i="17" s="1"/>
  <c r="K40" i="29"/>
  <c r="K23" i="65"/>
  <c r="H22" i="27"/>
  <c r="I22" i="27" s="1"/>
  <c r="K13" i="64"/>
  <c r="H22" i="23"/>
  <c r="I22" i="23" s="1"/>
  <c r="K23" i="27"/>
  <c r="K28" i="25"/>
  <c r="K28" i="31"/>
  <c r="K25" i="23"/>
  <c r="K42" i="29"/>
  <c r="K28" i="19"/>
  <c r="K42" i="23"/>
  <c r="H41" i="19"/>
  <c r="I41" i="19" s="1"/>
  <c r="K41" i="19" s="1"/>
  <c r="H42" i="31"/>
  <c r="I42" i="31" s="1"/>
  <c r="K42" i="31" s="1"/>
  <c r="K41" i="29"/>
  <c r="H16" i="19"/>
  <c r="I16" i="19" s="1"/>
  <c r="H22" i="65"/>
  <c r="I22" i="65" s="1"/>
  <c r="K13" i="17"/>
  <c r="H13" i="65"/>
  <c r="I13" i="65" s="1"/>
  <c r="H28" i="15"/>
  <c r="I28" i="15" s="1"/>
  <c r="K28" i="15" s="1"/>
  <c r="K31" i="31"/>
  <c r="H28" i="64"/>
  <c r="I28" i="64" s="1"/>
  <c r="K28" i="64" s="1"/>
  <c r="H15" i="64"/>
  <c r="I15" i="64" s="1"/>
  <c r="K15" i="64" s="1"/>
  <c r="H15" i="65"/>
  <c r="I15" i="65" s="1"/>
  <c r="E42" i="62"/>
  <c r="G42" i="62" s="1"/>
  <c r="H42" i="62" s="1"/>
  <c r="J42" i="62" s="1"/>
  <c r="M42" i="62" s="1"/>
  <c r="K11" i="23" s="1"/>
  <c r="L11" i="23" s="1"/>
  <c r="K31" i="21"/>
  <c r="H41" i="23"/>
  <c r="I41" i="23" s="1"/>
  <c r="K41" i="23" s="1"/>
  <c r="H27" i="27"/>
  <c r="I27" i="27" s="1"/>
  <c r="M31" i="30"/>
  <c r="J35" i="30" s="1"/>
  <c r="H28" i="30"/>
  <c r="H32" i="30"/>
  <c r="M64" i="32"/>
  <c r="J68" i="32" s="1"/>
  <c r="H68" i="32" s="1"/>
  <c r="H61" i="32"/>
  <c r="H65" i="32" s="1"/>
  <c r="H35" i="20"/>
  <c r="H39" i="20"/>
  <c r="E40" i="20" s="1"/>
  <c r="M31" i="16"/>
  <c r="J35" i="16" s="1"/>
  <c r="H39" i="16" s="1"/>
  <c r="H32" i="16"/>
  <c r="H28" i="16"/>
  <c r="J62" i="63"/>
  <c r="L62" i="63"/>
  <c r="M31" i="63"/>
  <c r="J35" i="63" s="1"/>
  <c r="H32" i="63"/>
  <c r="H28" i="63"/>
  <c r="H61" i="18"/>
  <c r="H65" i="18" s="1"/>
  <c r="M64" i="18"/>
  <c r="J68" i="18" s="1"/>
  <c r="H68" i="18" s="1"/>
  <c r="M64" i="20"/>
  <c r="J68" i="20" s="1"/>
  <c r="H61" i="20"/>
  <c r="H65" i="20" s="1"/>
  <c r="H37" i="19"/>
  <c r="I37" i="19" s="1"/>
  <c r="I25" i="31"/>
  <c r="K25" i="31" s="1"/>
  <c r="H16" i="17"/>
  <c r="I16" i="17" s="1"/>
  <c r="K28" i="23"/>
  <c r="H28" i="21"/>
  <c r="I28" i="21" s="1"/>
  <c r="K28" i="21" s="1"/>
  <c r="H34" i="29"/>
  <c r="I34" i="29" s="1"/>
  <c r="H27" i="65"/>
  <c r="I27" i="65" s="1"/>
  <c r="K27" i="65" s="1"/>
  <c r="H15" i="25"/>
  <c r="I15" i="25" s="1"/>
  <c r="K15" i="25" s="1"/>
  <c r="H15" i="21"/>
  <c r="I15" i="21" s="1"/>
  <c r="K31" i="64"/>
  <c r="K31" i="27"/>
  <c r="H32" i="22"/>
  <c r="H28" i="22"/>
  <c r="M31" i="22"/>
  <c r="I25" i="17"/>
  <c r="K25" i="17" s="1"/>
  <c r="I19" i="19"/>
  <c r="I16" i="23"/>
  <c r="H39" i="18"/>
  <c r="H35" i="18"/>
  <c r="I28" i="29"/>
  <c r="K28" i="29" s="1"/>
  <c r="E29" i="62"/>
  <c r="G29" i="62" s="1"/>
  <c r="H29" i="62" s="1"/>
  <c r="J29" i="62" s="1"/>
  <c r="I41" i="15"/>
  <c r="K41" i="15" s="1"/>
  <c r="E35" i="25"/>
  <c r="H35" i="25" s="1"/>
  <c r="E35" i="65"/>
  <c r="H35" i="65" s="1"/>
  <c r="E35" i="17"/>
  <c r="H35" i="17" s="1"/>
  <c r="E35" i="64"/>
  <c r="H35" i="64" s="1"/>
  <c r="E35" i="31"/>
  <c r="H35" i="31" s="1"/>
  <c r="E35" i="29"/>
  <c r="H35" i="29" s="1"/>
  <c r="E35" i="23"/>
  <c r="H35" i="23" s="1"/>
  <c r="E35" i="27"/>
  <c r="H35" i="27" s="1"/>
  <c r="E35" i="19"/>
  <c r="H35" i="19" s="1"/>
  <c r="E35" i="15"/>
  <c r="H35" i="15" s="1"/>
  <c r="E35" i="21"/>
  <c r="H35" i="21" s="1"/>
  <c r="I39" i="19"/>
  <c r="I25" i="19"/>
  <c r="K25" i="19" s="1"/>
  <c r="I15" i="19"/>
  <c r="K15" i="19" s="1"/>
  <c r="E30" i="62"/>
  <c r="G30" i="62" s="1"/>
  <c r="H30" i="62" s="1"/>
  <c r="J30" i="62" s="1"/>
  <c r="I34" i="25"/>
  <c r="H28" i="24"/>
  <c r="H32" i="24"/>
  <c r="M31" i="24"/>
  <c r="E25" i="51"/>
  <c r="F22" i="51" s="1"/>
  <c r="E32" i="65"/>
  <c r="H32" i="65" s="1"/>
  <c r="E32" i="29"/>
  <c r="H32" i="29" s="1"/>
  <c r="E32" i="25"/>
  <c r="H32" i="25" s="1"/>
  <c r="E32" i="64"/>
  <c r="H32" i="64" s="1"/>
  <c r="E32" i="15"/>
  <c r="H32" i="15" s="1"/>
  <c r="E32" i="21"/>
  <c r="H32" i="21" s="1"/>
  <c r="E32" i="19"/>
  <c r="H32" i="19" s="1"/>
  <c r="E32" i="17"/>
  <c r="H32" i="17" s="1"/>
  <c r="E32" i="23"/>
  <c r="H32" i="23" s="1"/>
  <c r="E32" i="27"/>
  <c r="H32" i="27" s="1"/>
  <c r="E32" i="31"/>
  <c r="H32" i="31" s="1"/>
  <c r="I16" i="15"/>
  <c r="H41" i="65"/>
  <c r="I22" i="19"/>
  <c r="E20" i="64"/>
  <c r="H20" i="64" s="1"/>
  <c r="E20" i="19"/>
  <c r="H20" i="19" s="1"/>
  <c r="E20" i="17"/>
  <c r="H20" i="17" s="1"/>
  <c r="E20" i="27"/>
  <c r="H20" i="27" s="1"/>
  <c r="E20" i="29"/>
  <c r="H20" i="29" s="1"/>
  <c r="E20" i="15"/>
  <c r="H20" i="15" s="1"/>
  <c r="E20" i="25"/>
  <c r="H20" i="25" s="1"/>
  <c r="E20" i="65"/>
  <c r="H20" i="65" s="1"/>
  <c r="E20" i="31"/>
  <c r="H20" i="31" s="1"/>
  <c r="E20" i="23"/>
  <c r="H20" i="23" s="1"/>
  <c r="E20" i="21"/>
  <c r="H20" i="21" s="1"/>
  <c r="E36" i="62"/>
  <c r="G36" i="62" s="1"/>
  <c r="H36" i="62" s="1"/>
  <c r="J36" i="62" s="1"/>
  <c r="I25" i="65"/>
  <c r="K25" i="65" s="1"/>
  <c r="I19" i="15"/>
  <c r="H27" i="21"/>
  <c r="H15" i="31"/>
  <c r="I22" i="31"/>
  <c r="E17" i="15"/>
  <c r="H17" i="15" s="1"/>
  <c r="E17" i="64"/>
  <c r="H17" i="64" s="1"/>
  <c r="E17" i="19"/>
  <c r="H17" i="19" s="1"/>
  <c r="E17" i="25"/>
  <c r="H17" i="25" s="1"/>
  <c r="E29" i="31"/>
  <c r="H29" i="31" s="1"/>
  <c r="E17" i="31"/>
  <c r="H17" i="31" s="1"/>
  <c r="E17" i="21"/>
  <c r="H17" i="21" s="1"/>
  <c r="E29" i="29"/>
  <c r="H29" i="29" s="1"/>
  <c r="E29" i="17"/>
  <c r="H29" i="17" s="1"/>
  <c r="E29" i="65"/>
  <c r="H29" i="65" s="1"/>
  <c r="E17" i="65"/>
  <c r="H17" i="65" s="1"/>
  <c r="E17" i="29"/>
  <c r="H17" i="29" s="1"/>
  <c r="E17" i="27"/>
  <c r="H17" i="27" s="1"/>
  <c r="E17" i="17"/>
  <c r="H17" i="17" s="1"/>
  <c r="E29" i="23"/>
  <c r="H29" i="23" s="1"/>
  <c r="E29" i="19"/>
  <c r="H29" i="19" s="1"/>
  <c r="E29" i="25"/>
  <c r="H29" i="25" s="1"/>
  <c r="E29" i="64"/>
  <c r="H29" i="64" s="1"/>
  <c r="E29" i="15"/>
  <c r="H29" i="15" s="1"/>
  <c r="E29" i="27"/>
  <c r="H29" i="27" s="1"/>
  <c r="E29" i="21"/>
  <c r="H29" i="21" s="1"/>
  <c r="E17" i="23"/>
  <c r="H17" i="23" s="1"/>
  <c r="I41" i="31"/>
  <c r="K41" i="31" s="1"/>
  <c r="I40" i="31"/>
  <c r="K40" i="31" s="1"/>
  <c r="H40" i="17"/>
  <c r="I40" i="21"/>
  <c r="K40" i="21" s="1"/>
  <c r="I37" i="29"/>
  <c r="J16" i="17"/>
  <c r="J16" i="15"/>
  <c r="J16" i="25"/>
  <c r="K16" i="25" s="1"/>
  <c r="J16" i="21"/>
  <c r="J16" i="31"/>
  <c r="J16" i="27"/>
  <c r="K16" i="27" s="1"/>
  <c r="J16" i="29"/>
  <c r="K16" i="29" s="1"/>
  <c r="J16" i="65"/>
  <c r="K16" i="65" s="1"/>
  <c r="J16" i="19"/>
  <c r="J16" i="64"/>
  <c r="K16" i="64" s="1"/>
  <c r="J16" i="23"/>
  <c r="J39" i="29"/>
  <c r="J39" i="17"/>
  <c r="K39" i="17" s="1"/>
  <c r="J39" i="21"/>
  <c r="J39" i="25"/>
  <c r="J39" i="64"/>
  <c r="K39" i="64" s="1"/>
  <c r="J39" i="65"/>
  <c r="K39" i="65" s="1"/>
  <c r="J39" i="15"/>
  <c r="K39" i="15" s="1"/>
  <c r="J39" i="27"/>
  <c r="K39" i="27" s="1"/>
  <c r="J39" i="19"/>
  <c r="J39" i="31"/>
  <c r="K39" i="31" s="1"/>
  <c r="J39" i="23"/>
  <c r="K39" i="23" s="1"/>
  <c r="I23" i="15"/>
  <c r="K23" i="15" s="1"/>
  <c r="I22" i="15"/>
  <c r="H27" i="31"/>
  <c r="H15" i="23"/>
  <c r="J17" i="19"/>
  <c r="J17" i="29"/>
  <c r="J17" i="27"/>
  <c r="J17" i="25"/>
  <c r="J17" i="15"/>
  <c r="J17" i="23"/>
  <c r="J17" i="64"/>
  <c r="J17" i="31"/>
  <c r="J17" i="65"/>
  <c r="J17" i="17"/>
  <c r="J17" i="21"/>
  <c r="I27" i="23"/>
  <c r="K27" i="23" s="1"/>
  <c r="I22" i="29"/>
  <c r="J68" i="66"/>
  <c r="I34" i="27"/>
  <c r="I23" i="23"/>
  <c r="K23" i="23" s="1"/>
  <c r="M64" i="26"/>
  <c r="J68" i="26" s="1"/>
  <c r="H61" i="26"/>
  <c r="H65" i="26" s="1"/>
  <c r="M64" i="30"/>
  <c r="H61" i="30"/>
  <c r="H65" i="30" s="1"/>
  <c r="H32" i="66"/>
  <c r="H28" i="66"/>
  <c r="M31" i="66"/>
  <c r="J35" i="66" s="1"/>
  <c r="H32" i="28"/>
  <c r="H28" i="28"/>
  <c r="M31" i="28"/>
  <c r="I10" i="62"/>
  <c r="H31" i="65"/>
  <c r="H34" i="31"/>
  <c r="H41" i="25"/>
  <c r="H41" i="27"/>
  <c r="I31" i="17"/>
  <c r="K31" i="17" s="1"/>
  <c r="H40" i="27"/>
  <c r="J37" i="65"/>
  <c r="K37" i="65" s="1"/>
  <c r="J37" i="15"/>
  <c r="K37" i="15" s="1"/>
  <c r="J37" i="23"/>
  <c r="K37" i="23" s="1"/>
  <c r="J37" i="27"/>
  <c r="K37" i="27" s="1"/>
  <c r="J37" i="21"/>
  <c r="K37" i="21" s="1"/>
  <c r="J37" i="31"/>
  <c r="J37" i="19"/>
  <c r="J37" i="17"/>
  <c r="K37" i="17" s="1"/>
  <c r="J37" i="64"/>
  <c r="K37" i="64" s="1"/>
  <c r="J37" i="29"/>
  <c r="J37" i="25"/>
  <c r="K37" i="25" s="1"/>
  <c r="J34" i="64"/>
  <c r="K34" i="64" s="1"/>
  <c r="J34" i="31"/>
  <c r="J34" i="19"/>
  <c r="J34" i="29"/>
  <c r="J34" i="17"/>
  <c r="J34" i="27"/>
  <c r="J34" i="21"/>
  <c r="J34" i="65"/>
  <c r="K34" i="65" s="1"/>
  <c r="J34" i="23"/>
  <c r="J34" i="15"/>
  <c r="J34" i="25"/>
  <c r="I15" i="17"/>
  <c r="K15" i="17" s="1"/>
  <c r="H15" i="29"/>
  <c r="H15" i="15"/>
  <c r="J29" i="25"/>
  <c r="J29" i="21"/>
  <c r="J29" i="15"/>
  <c r="J29" i="19"/>
  <c r="J29" i="17"/>
  <c r="J29" i="29"/>
  <c r="J29" i="27"/>
  <c r="J29" i="65"/>
  <c r="J29" i="64"/>
  <c r="J29" i="31"/>
  <c r="J29" i="23"/>
  <c r="I41" i="64"/>
  <c r="K41" i="64" s="1"/>
  <c r="I19" i="29"/>
  <c r="H75" i="28"/>
  <c r="D69" i="28"/>
  <c r="D65" i="28" s="1"/>
  <c r="C65" i="28" s="1"/>
  <c r="E73" i="28"/>
  <c r="E59" i="28"/>
  <c r="K72" i="28"/>
  <c r="I31" i="19"/>
  <c r="K31" i="19" s="1"/>
  <c r="I39" i="25"/>
  <c r="J19" i="25"/>
  <c r="K19" i="25" s="1"/>
  <c r="J19" i="29"/>
  <c r="J19" i="31"/>
  <c r="K19" i="31" s="1"/>
  <c r="J19" i="23"/>
  <c r="J19" i="64"/>
  <c r="K19" i="64" s="1"/>
  <c r="J19" i="15"/>
  <c r="J19" i="19"/>
  <c r="J19" i="21"/>
  <c r="K19" i="21" s="1"/>
  <c r="J19" i="27"/>
  <c r="K19" i="27" s="1"/>
  <c r="J19" i="65"/>
  <c r="J19" i="17"/>
  <c r="D11" i="61"/>
  <c r="D12" i="61" s="1"/>
  <c r="I34" i="23"/>
  <c r="E40" i="62"/>
  <c r="G40" i="62" s="1"/>
  <c r="H40" i="62" s="1"/>
  <c r="J40" i="62" s="1"/>
  <c r="M40" i="62" s="1"/>
  <c r="K11" i="25" s="1"/>
  <c r="L11" i="25" s="1"/>
  <c r="M64" i="22"/>
  <c r="J68" i="22" s="1"/>
  <c r="H61" i="22"/>
  <c r="H65" i="22" s="1"/>
  <c r="I34" i="21"/>
  <c r="I31" i="29"/>
  <c r="K31" i="29" s="1"/>
  <c r="E37" i="62"/>
  <c r="G37" i="62" s="1"/>
  <c r="H37" i="62" s="1"/>
  <c r="J37" i="62" s="1"/>
  <c r="I39" i="21"/>
  <c r="E35" i="62"/>
  <c r="G35" i="62" s="1"/>
  <c r="H35" i="62" s="1"/>
  <c r="J35" i="62" s="1"/>
  <c r="J22" i="21"/>
  <c r="J22" i="64"/>
  <c r="K22" i="64" s="1"/>
  <c r="J22" i="65"/>
  <c r="J22" i="15"/>
  <c r="J22" i="27"/>
  <c r="J22" i="29"/>
  <c r="J22" i="25"/>
  <c r="K22" i="25" s="1"/>
  <c r="J22" i="31"/>
  <c r="J22" i="17"/>
  <c r="K22" i="17" s="1"/>
  <c r="J22" i="19"/>
  <c r="J22" i="23"/>
  <c r="I31" i="25"/>
  <c r="K31" i="25" s="1"/>
  <c r="I34" i="19"/>
  <c r="I25" i="25"/>
  <c r="K25" i="25" s="1"/>
  <c r="J68" i="16"/>
  <c r="H75" i="24" l="1"/>
  <c r="H35" i="26"/>
  <c r="E73" i="24"/>
  <c r="E59" i="24"/>
  <c r="K34" i="23"/>
  <c r="E61" i="50"/>
  <c r="E75" i="50"/>
  <c r="E51" i="50"/>
  <c r="G75" i="50"/>
  <c r="G61" i="50"/>
  <c r="G51" i="50"/>
  <c r="C53" i="24"/>
  <c r="G51" i="24" s="1"/>
  <c r="C25" i="23" s="1"/>
  <c r="L25" i="23" s="1"/>
  <c r="K39" i="25"/>
  <c r="H72" i="18"/>
  <c r="E73" i="18" s="1"/>
  <c r="H28" i="32"/>
  <c r="H32" i="32"/>
  <c r="K22" i="27"/>
  <c r="E27" i="20"/>
  <c r="K22" i="19"/>
  <c r="K19" i="19"/>
  <c r="H72" i="32"/>
  <c r="E59" i="32" s="1"/>
  <c r="H35" i="16"/>
  <c r="K22" i="21"/>
  <c r="K22" i="23"/>
  <c r="K34" i="25"/>
  <c r="K37" i="29"/>
  <c r="K37" i="31"/>
  <c r="K39" i="21"/>
  <c r="K16" i="15"/>
  <c r="K34" i="29"/>
  <c r="K34" i="21"/>
  <c r="K16" i="31"/>
  <c r="K19" i="23"/>
  <c r="K16" i="17"/>
  <c r="K34" i="19"/>
  <c r="K16" i="19"/>
  <c r="K16" i="23"/>
  <c r="K39" i="29"/>
  <c r="K13" i="65"/>
  <c r="K19" i="65"/>
  <c r="K27" i="27"/>
  <c r="K22" i="15"/>
  <c r="K34" i="27"/>
  <c r="K22" i="31"/>
  <c r="K37" i="19"/>
  <c r="M35" i="62"/>
  <c r="K11" i="27" s="1"/>
  <c r="L11" i="27" s="1"/>
  <c r="K15" i="65"/>
  <c r="K39" i="19"/>
  <c r="K16" i="21"/>
  <c r="K15" i="21"/>
  <c r="K19" i="15"/>
  <c r="K19" i="29"/>
  <c r="D36" i="20"/>
  <c r="D32" i="20" s="1"/>
  <c r="H42" i="20"/>
  <c r="L39" i="20"/>
  <c r="H35" i="30"/>
  <c r="H39" i="30"/>
  <c r="H35" i="63"/>
  <c r="H39" i="63"/>
  <c r="E27" i="63" s="1"/>
  <c r="M64" i="63"/>
  <c r="J68" i="63" s="1"/>
  <c r="H61" i="63"/>
  <c r="H65" i="63" s="1"/>
  <c r="H72" i="20"/>
  <c r="H68" i="20"/>
  <c r="K22" i="65"/>
  <c r="K34" i="15"/>
  <c r="K22" i="29"/>
  <c r="K19" i="17"/>
  <c r="K34" i="17"/>
  <c r="H35" i="66"/>
  <c r="H39" i="66"/>
  <c r="I17" i="23"/>
  <c r="K17" i="23" s="1"/>
  <c r="I17" i="31"/>
  <c r="K17" i="31" s="1"/>
  <c r="I17" i="27"/>
  <c r="K17" i="27" s="1"/>
  <c r="I35" i="27"/>
  <c r="K35" i="27" s="1"/>
  <c r="I35" i="64"/>
  <c r="K35" i="64" s="1"/>
  <c r="L10" i="62"/>
  <c r="H31" i="62" s="1"/>
  <c r="J31" i="62" s="1"/>
  <c r="M30" i="62" s="1"/>
  <c r="K11" i="29" s="1"/>
  <c r="L11" i="29" s="1"/>
  <c r="I29" i="65"/>
  <c r="K29" i="65" s="1"/>
  <c r="I20" i="31"/>
  <c r="K20" i="31" s="1"/>
  <c r="I20" i="64"/>
  <c r="K20" i="64" s="1"/>
  <c r="I32" i="23"/>
  <c r="K32" i="23" s="1"/>
  <c r="I32" i="65"/>
  <c r="K32" i="65" s="1"/>
  <c r="I29" i="23"/>
  <c r="K29" i="23" s="1"/>
  <c r="L29" i="23" s="1"/>
  <c r="I35" i="17"/>
  <c r="K35" i="17" s="1"/>
  <c r="I32" i="29"/>
  <c r="K32" i="29" s="1"/>
  <c r="H72" i="66"/>
  <c r="H68" i="66"/>
  <c r="I15" i="23"/>
  <c r="K15" i="23" s="1"/>
  <c r="K10" i="62"/>
  <c r="M10" i="62" s="1"/>
  <c r="I17" i="29"/>
  <c r="K17" i="29" s="1"/>
  <c r="I29" i="21"/>
  <c r="K29" i="21" s="1"/>
  <c r="I29" i="25"/>
  <c r="K29" i="25" s="1"/>
  <c r="I29" i="31"/>
  <c r="K29" i="31" s="1"/>
  <c r="I17" i="15"/>
  <c r="K17" i="15" s="1"/>
  <c r="I15" i="31"/>
  <c r="K15" i="31" s="1"/>
  <c r="I20" i="65"/>
  <c r="K20" i="65" s="1"/>
  <c r="I32" i="17"/>
  <c r="K32" i="17" s="1"/>
  <c r="I32" i="64"/>
  <c r="K32" i="64" s="1"/>
  <c r="L39" i="16"/>
  <c r="D36" i="16"/>
  <c r="E40" i="16"/>
  <c r="H42" i="16"/>
  <c r="E27" i="16"/>
  <c r="I35" i="21"/>
  <c r="K35" i="21" s="1"/>
  <c r="I35" i="23"/>
  <c r="K35" i="23" s="1"/>
  <c r="I32" i="19"/>
  <c r="K32" i="19" s="1"/>
  <c r="I32" i="27"/>
  <c r="K32" i="27" s="1"/>
  <c r="I41" i="27"/>
  <c r="K41" i="27" s="1"/>
  <c r="I31" i="65"/>
  <c r="K31" i="65" s="1"/>
  <c r="I17" i="17"/>
  <c r="K17" i="17" s="1"/>
  <c r="I32" i="15"/>
  <c r="K32" i="15" s="1"/>
  <c r="H72" i="22"/>
  <c r="H68" i="22"/>
  <c r="I17" i="21"/>
  <c r="K17" i="21" s="1"/>
  <c r="I15" i="29"/>
  <c r="K15" i="29" s="1"/>
  <c r="I29" i="17"/>
  <c r="K29" i="17" s="1"/>
  <c r="I29" i="15"/>
  <c r="K29" i="15" s="1"/>
  <c r="H35" i="32"/>
  <c r="H39" i="32"/>
  <c r="I27" i="31"/>
  <c r="K27" i="31" s="1"/>
  <c r="I40" i="17"/>
  <c r="K40" i="17" s="1"/>
  <c r="I29" i="27"/>
  <c r="K29" i="27" s="1"/>
  <c r="I29" i="19"/>
  <c r="K29" i="19" s="1"/>
  <c r="I29" i="29"/>
  <c r="K29" i="29" s="1"/>
  <c r="I17" i="25"/>
  <c r="K17" i="25" s="1"/>
  <c r="I27" i="21"/>
  <c r="K27" i="21" s="1"/>
  <c r="I20" i="21"/>
  <c r="K20" i="21" s="1"/>
  <c r="I20" i="25"/>
  <c r="K20" i="25" s="1"/>
  <c r="I20" i="17"/>
  <c r="K20" i="17" s="1"/>
  <c r="I32" i="31"/>
  <c r="K32" i="31" s="1"/>
  <c r="I32" i="25"/>
  <c r="K32" i="25" s="1"/>
  <c r="I35" i="29"/>
  <c r="K35" i="29" s="1"/>
  <c r="E27" i="26"/>
  <c r="L39" i="26"/>
  <c r="D36" i="26"/>
  <c r="H42" i="26"/>
  <c r="E40" i="26"/>
  <c r="I35" i="15"/>
  <c r="K35" i="15" s="1"/>
  <c r="I35" i="65"/>
  <c r="K35" i="65" s="1"/>
  <c r="C29" i="27"/>
  <c r="C53" i="28"/>
  <c r="I40" i="27"/>
  <c r="K40" i="27" s="1"/>
  <c r="I20" i="27"/>
  <c r="K20" i="27" s="1"/>
  <c r="H72" i="26"/>
  <c r="H68" i="26"/>
  <c r="I29" i="64"/>
  <c r="K29" i="64" s="1"/>
  <c r="I17" i="64"/>
  <c r="K17" i="64" s="1"/>
  <c r="I20" i="29"/>
  <c r="K20" i="29" s="1"/>
  <c r="I41" i="65"/>
  <c r="K41" i="65" s="1"/>
  <c r="F17" i="51"/>
  <c r="F23" i="51"/>
  <c r="F19" i="51"/>
  <c r="F18" i="51"/>
  <c r="F20" i="51"/>
  <c r="F16" i="51"/>
  <c r="F24" i="51"/>
  <c r="F15" i="51"/>
  <c r="H72" i="16"/>
  <c r="H68" i="16"/>
  <c r="I20" i="23"/>
  <c r="K20" i="23" s="1"/>
  <c r="I15" i="15"/>
  <c r="K15" i="15" s="1"/>
  <c r="I35" i="25"/>
  <c r="K35" i="25" s="1"/>
  <c r="I41" i="25"/>
  <c r="K41" i="25" s="1"/>
  <c r="I34" i="31"/>
  <c r="K34" i="31" s="1"/>
  <c r="J35" i="28"/>
  <c r="J68" i="30"/>
  <c r="I20" i="19"/>
  <c r="K20" i="19" s="1"/>
  <c r="I17" i="65"/>
  <c r="K17" i="65" s="1"/>
  <c r="I17" i="19"/>
  <c r="K17" i="19" s="1"/>
  <c r="I20" i="15"/>
  <c r="K20" i="15" s="1"/>
  <c r="I32" i="21"/>
  <c r="K32" i="21" s="1"/>
  <c r="F14" i="51"/>
  <c r="J35" i="24"/>
  <c r="I35" i="19"/>
  <c r="K35" i="19" s="1"/>
  <c r="I35" i="31"/>
  <c r="K35" i="31" s="1"/>
  <c r="D36" i="18"/>
  <c r="E40" i="18"/>
  <c r="E27" i="18"/>
  <c r="H42" i="18"/>
  <c r="L39" i="18"/>
  <c r="J35" i="22"/>
  <c r="I49" i="24" l="1"/>
  <c r="K48" i="24" s="1"/>
  <c r="G54" i="24"/>
  <c r="K72" i="18"/>
  <c r="D69" i="18"/>
  <c r="D65" i="18" s="1"/>
  <c r="C65" i="18" s="1"/>
  <c r="C53" i="18" s="1"/>
  <c r="E59" i="18"/>
  <c r="H75" i="18"/>
  <c r="E77" i="50"/>
  <c r="D6" i="51" s="1"/>
  <c r="G77" i="50"/>
  <c r="D7" i="51" s="1"/>
  <c r="F40" i="51" s="1"/>
  <c r="C32" i="20"/>
  <c r="C20" i="20" s="1"/>
  <c r="E73" i="32"/>
  <c r="H75" i="32"/>
  <c r="D69" i="32"/>
  <c r="D65" i="32" s="1"/>
  <c r="C65" i="32" s="1"/>
  <c r="C53" i="32" s="1"/>
  <c r="K72" i="32"/>
  <c r="D36" i="63"/>
  <c r="D32" i="63" s="1"/>
  <c r="E40" i="63"/>
  <c r="H42" i="63"/>
  <c r="L39" i="63"/>
  <c r="D36" i="30"/>
  <c r="H42" i="30"/>
  <c r="E40" i="30"/>
  <c r="L39" i="30"/>
  <c r="E27" i="30"/>
  <c r="H68" i="63"/>
  <c r="H72" i="63"/>
  <c r="E59" i="20"/>
  <c r="K72" i="20"/>
  <c r="H75" i="20"/>
  <c r="D69" i="20"/>
  <c r="D65" i="20" s="1"/>
  <c r="C65" i="20" s="1"/>
  <c r="E73" i="20"/>
  <c r="H39" i="28"/>
  <c r="H35" i="28"/>
  <c r="G58" i="24"/>
  <c r="C26" i="23" s="1"/>
  <c r="L26" i="23" s="1"/>
  <c r="K62" i="24"/>
  <c r="I62" i="24"/>
  <c r="H39" i="24"/>
  <c r="H35" i="24"/>
  <c r="H68" i="30"/>
  <c r="H72" i="30"/>
  <c r="E59" i="26"/>
  <c r="K72" i="26"/>
  <c r="H75" i="26"/>
  <c r="D69" i="26"/>
  <c r="D65" i="26" s="1"/>
  <c r="C65" i="26" s="1"/>
  <c r="E73" i="26"/>
  <c r="L29" i="27"/>
  <c r="E40" i="32"/>
  <c r="H42" i="32"/>
  <c r="L39" i="32"/>
  <c r="E27" i="32"/>
  <c r="D36" i="32"/>
  <c r="D32" i="16"/>
  <c r="C32" i="16"/>
  <c r="N49" i="24"/>
  <c r="N48" i="24"/>
  <c r="N50" i="24"/>
  <c r="C32" i="18"/>
  <c r="D32" i="18"/>
  <c r="C32" i="26"/>
  <c r="D32" i="26"/>
  <c r="H35" i="22"/>
  <c r="H39" i="22"/>
  <c r="F25" i="51"/>
  <c r="D69" i="16"/>
  <c r="D65" i="16" s="1"/>
  <c r="C65" i="16" s="1"/>
  <c r="E59" i="16"/>
  <c r="E73" i="16"/>
  <c r="K72" i="16"/>
  <c r="H75" i="16"/>
  <c r="G54" i="28"/>
  <c r="I49" i="28"/>
  <c r="K48" i="28" s="1"/>
  <c r="G51" i="28"/>
  <c r="C25" i="27" s="1"/>
  <c r="L25" i="27" s="1"/>
  <c r="D69" i="22"/>
  <c r="D65" i="22" s="1"/>
  <c r="C65" i="22" s="1"/>
  <c r="H75" i="22"/>
  <c r="E73" i="22"/>
  <c r="K72" i="22"/>
  <c r="E59" i="22"/>
  <c r="K72" i="66"/>
  <c r="H75" i="66"/>
  <c r="D69" i="66"/>
  <c r="D65" i="66" s="1"/>
  <c r="C65" i="66" s="1"/>
  <c r="E73" i="66"/>
  <c r="E59" i="66"/>
  <c r="L39" i="66"/>
  <c r="D36" i="66"/>
  <c r="E27" i="66"/>
  <c r="H42" i="66"/>
  <c r="E40" i="66"/>
  <c r="C29" i="17" l="1"/>
  <c r="L29" i="17" s="1"/>
  <c r="C17" i="19"/>
  <c r="L17" i="19" s="1"/>
  <c r="C29" i="31"/>
  <c r="L29" i="31" s="1"/>
  <c r="D8" i="51"/>
  <c r="F45" i="51"/>
  <c r="F42" i="51"/>
  <c r="F41" i="51"/>
  <c r="F44" i="51"/>
  <c r="F38" i="51"/>
  <c r="F37" i="51"/>
  <c r="F39" i="51"/>
  <c r="F43" i="51"/>
  <c r="F35" i="51"/>
  <c r="F36" i="51"/>
  <c r="C32" i="63"/>
  <c r="C20" i="63" s="1"/>
  <c r="C32" i="30"/>
  <c r="D32" i="30"/>
  <c r="E59" i="63"/>
  <c r="H75" i="63"/>
  <c r="E73" i="63"/>
  <c r="K72" i="63"/>
  <c r="D69" i="63"/>
  <c r="D65" i="63" s="1"/>
  <c r="C65" i="63" s="1"/>
  <c r="C53" i="20"/>
  <c r="C29" i="19"/>
  <c r="L29" i="19" s="1"/>
  <c r="C29" i="21"/>
  <c r="L29" i="21" s="1"/>
  <c r="C53" i="22"/>
  <c r="C20" i="26"/>
  <c r="C17" i="25"/>
  <c r="L17" i="25" s="1"/>
  <c r="G54" i="32"/>
  <c r="G51" i="32"/>
  <c r="C25" i="31" s="1"/>
  <c r="L25" i="31" s="1"/>
  <c r="I49" i="32"/>
  <c r="K48" i="32" s="1"/>
  <c r="C17" i="64"/>
  <c r="L17" i="64" s="1"/>
  <c r="C53" i="16"/>
  <c r="C29" i="15"/>
  <c r="L29" i="15" s="1"/>
  <c r="C20" i="16"/>
  <c r="C17" i="15"/>
  <c r="L17" i="15" s="1"/>
  <c r="I49" i="18"/>
  <c r="K48" i="18" s="1"/>
  <c r="G54" i="18"/>
  <c r="G51" i="18"/>
  <c r="C25" i="17" s="1"/>
  <c r="L25" i="17" s="1"/>
  <c r="D32" i="66"/>
  <c r="C32" i="66"/>
  <c r="C53" i="66"/>
  <c r="C29" i="65"/>
  <c r="L29" i="65" s="1"/>
  <c r="N49" i="28"/>
  <c r="N48" i="28"/>
  <c r="N50" i="28"/>
  <c r="C53" i="26"/>
  <c r="C29" i="25"/>
  <c r="L29" i="25" s="1"/>
  <c r="M65" i="24"/>
  <c r="N64" i="24" s="1"/>
  <c r="G61" i="24"/>
  <c r="G65" i="24" s="1"/>
  <c r="C27" i="23" s="1"/>
  <c r="L27" i="23" s="1"/>
  <c r="E40" i="28"/>
  <c r="E27" i="28"/>
  <c r="D36" i="28"/>
  <c r="L39" i="28"/>
  <c r="H42" i="28"/>
  <c r="D32" i="32"/>
  <c r="C32" i="32"/>
  <c r="I62" i="28"/>
  <c r="G58" i="28"/>
  <c r="C26" i="27" s="1"/>
  <c r="L26" i="27" s="1"/>
  <c r="K62" i="28"/>
  <c r="G21" i="20"/>
  <c r="I16" i="20"/>
  <c r="K15" i="20" s="1"/>
  <c r="G18" i="20"/>
  <c r="C13" i="19" s="1"/>
  <c r="L13" i="19" s="1"/>
  <c r="D36" i="22"/>
  <c r="L39" i="22"/>
  <c r="E40" i="22"/>
  <c r="H42" i="22"/>
  <c r="E27" i="22"/>
  <c r="C17" i="17"/>
  <c r="L17" i="17" s="1"/>
  <c r="C20" i="18"/>
  <c r="K72" i="30"/>
  <c r="E73" i="30"/>
  <c r="D69" i="30"/>
  <c r="D65" i="30" s="1"/>
  <c r="C65" i="30" s="1"/>
  <c r="E59" i="30"/>
  <c r="H75" i="30"/>
  <c r="E40" i="24"/>
  <c r="L39" i="24"/>
  <c r="H42" i="24"/>
  <c r="D36" i="24"/>
  <c r="E27" i="24"/>
  <c r="C17" i="29" l="1"/>
  <c r="L17" i="29" s="1"/>
  <c r="C20" i="30"/>
  <c r="C29" i="64"/>
  <c r="L29" i="64" s="1"/>
  <c r="C53" i="63"/>
  <c r="G51" i="20"/>
  <c r="C25" i="19" s="1"/>
  <c r="L25" i="19" s="1"/>
  <c r="G54" i="20"/>
  <c r="I49" i="20"/>
  <c r="K48" i="20" s="1"/>
  <c r="C53" i="30"/>
  <c r="C29" i="29"/>
  <c r="L29" i="29" s="1"/>
  <c r="G18" i="18"/>
  <c r="C13" i="17" s="1"/>
  <c r="L13" i="17" s="1"/>
  <c r="G21" i="18"/>
  <c r="I16" i="18"/>
  <c r="K15" i="18" s="1"/>
  <c r="G18" i="26"/>
  <c r="C13" i="25" s="1"/>
  <c r="L13" i="25" s="1"/>
  <c r="G21" i="26"/>
  <c r="I16" i="26"/>
  <c r="K15" i="26" s="1"/>
  <c r="C32" i="24"/>
  <c r="D32" i="24"/>
  <c r="N19" i="20"/>
  <c r="N15" i="20"/>
  <c r="N16" i="20"/>
  <c r="N18" i="20"/>
  <c r="N17" i="20"/>
  <c r="G18" i="16"/>
  <c r="C13" i="15" s="1"/>
  <c r="L13" i="15" s="1"/>
  <c r="I16" i="16"/>
  <c r="K15" i="16" s="1"/>
  <c r="G21" i="16"/>
  <c r="I16" i="63"/>
  <c r="K15" i="63" s="1"/>
  <c r="G21" i="63"/>
  <c r="G18" i="63"/>
  <c r="C13" i="64" s="1"/>
  <c r="L13" i="64" s="1"/>
  <c r="C17" i="31"/>
  <c r="L17" i="31" s="1"/>
  <c r="C20" i="32"/>
  <c r="I49" i="26"/>
  <c r="K48" i="26" s="1"/>
  <c r="G51" i="26"/>
  <c r="C25" i="25" s="1"/>
  <c r="L25" i="25" s="1"/>
  <c r="G54" i="26"/>
  <c r="I49" i="66"/>
  <c r="K48" i="66" s="1"/>
  <c r="G54" i="66"/>
  <c r="G51" i="66"/>
  <c r="C25" i="65" s="1"/>
  <c r="L25" i="65" s="1"/>
  <c r="I62" i="18"/>
  <c r="G58" i="18"/>
  <c r="C26" i="17" s="1"/>
  <c r="L26" i="17" s="1"/>
  <c r="K62" i="18"/>
  <c r="I49" i="22"/>
  <c r="K48" i="22" s="1"/>
  <c r="G54" i="22"/>
  <c r="G51" i="22"/>
  <c r="C25" i="21" s="1"/>
  <c r="L25" i="21" s="1"/>
  <c r="G61" i="28"/>
  <c r="G65" i="28" s="1"/>
  <c r="C27" i="27" s="1"/>
  <c r="L27" i="27" s="1"/>
  <c r="M65" i="28"/>
  <c r="N64" i="28" s="1"/>
  <c r="I62" i="32"/>
  <c r="K62" i="32"/>
  <c r="G58" i="32"/>
  <c r="C26" i="31" s="1"/>
  <c r="L26" i="31" s="1"/>
  <c r="K29" i="20"/>
  <c r="I28" i="20" s="1"/>
  <c r="G25" i="20"/>
  <c r="C14" i="19" s="1"/>
  <c r="L14" i="19" s="1"/>
  <c r="D32" i="22"/>
  <c r="C32" i="22"/>
  <c r="D32" i="28"/>
  <c r="C32" i="28"/>
  <c r="I68" i="24"/>
  <c r="C20" i="66"/>
  <c r="C17" i="65"/>
  <c r="L17" i="65" s="1"/>
  <c r="N50" i="18"/>
  <c r="N49" i="18"/>
  <c r="N48" i="18"/>
  <c r="G54" i="16"/>
  <c r="I49" i="16"/>
  <c r="K48" i="16" s="1"/>
  <c r="G51" i="16"/>
  <c r="C25" i="15" s="1"/>
  <c r="L25" i="15" s="1"/>
  <c r="N50" i="32"/>
  <c r="N48" i="32"/>
  <c r="N49" i="32"/>
  <c r="G21" i="30" l="1"/>
  <c r="G18" i="30"/>
  <c r="C13" i="29" s="1"/>
  <c r="L13" i="29" s="1"/>
  <c r="I16" i="30"/>
  <c r="K15" i="30" s="1"/>
  <c r="G51" i="63"/>
  <c r="C25" i="64" s="1"/>
  <c r="L25" i="64" s="1"/>
  <c r="G54" i="63"/>
  <c r="I49" i="63"/>
  <c r="K48" i="63" s="1"/>
  <c r="N50" i="20"/>
  <c r="N48" i="20"/>
  <c r="N49" i="20"/>
  <c r="K62" i="20"/>
  <c r="G58" i="20"/>
  <c r="C26" i="19" s="1"/>
  <c r="L26" i="19" s="1"/>
  <c r="I62" i="20"/>
  <c r="G28" i="20"/>
  <c r="M32" i="20"/>
  <c r="N31" i="20" s="1"/>
  <c r="G32" i="20"/>
  <c r="C15" i="19" s="1"/>
  <c r="L15" i="19" s="1"/>
  <c r="I62" i="16"/>
  <c r="G58" i="16"/>
  <c r="C26" i="15" s="1"/>
  <c r="L26" i="15" s="1"/>
  <c r="K62" i="16"/>
  <c r="N48" i="26"/>
  <c r="N50" i="26"/>
  <c r="N49" i="26"/>
  <c r="N19" i="18"/>
  <c r="N18" i="18"/>
  <c r="N17" i="18"/>
  <c r="N16" i="18"/>
  <c r="N15" i="18"/>
  <c r="G25" i="18"/>
  <c r="C14" i="17" s="1"/>
  <c r="L14" i="17" s="1"/>
  <c r="K29" i="18"/>
  <c r="I28" i="18" s="1"/>
  <c r="I62" i="66"/>
  <c r="G58" i="66"/>
  <c r="C26" i="65" s="1"/>
  <c r="L26" i="65" s="1"/>
  <c r="K62" i="66"/>
  <c r="K29" i="26"/>
  <c r="I28" i="26" s="1"/>
  <c r="G25" i="26"/>
  <c r="C14" i="25" s="1"/>
  <c r="L14" i="25" s="1"/>
  <c r="G21" i="66"/>
  <c r="I16" i="66"/>
  <c r="K15" i="66" s="1"/>
  <c r="G18" i="66"/>
  <c r="C13" i="65" s="1"/>
  <c r="L13" i="65" s="1"/>
  <c r="N49" i="66"/>
  <c r="N50" i="66"/>
  <c r="N48" i="66"/>
  <c r="G25" i="16"/>
  <c r="C14" i="15" s="1"/>
  <c r="L14" i="15" s="1"/>
  <c r="K29" i="16"/>
  <c r="I28" i="16" s="1"/>
  <c r="G68" i="24"/>
  <c r="G72" i="24"/>
  <c r="G61" i="32"/>
  <c r="G65" i="32" s="1"/>
  <c r="C27" i="31" s="1"/>
  <c r="L27" i="31" s="1"/>
  <c r="M65" i="32"/>
  <c r="N64" i="32" s="1"/>
  <c r="K62" i="22"/>
  <c r="I62" i="22"/>
  <c r="G58" i="22"/>
  <c r="C26" i="21" s="1"/>
  <c r="L26" i="21" s="1"/>
  <c r="M65" i="18"/>
  <c r="N64" i="18" s="1"/>
  <c r="G61" i="18"/>
  <c r="G65" i="18" s="1"/>
  <c r="C27" i="17" s="1"/>
  <c r="L27" i="17" s="1"/>
  <c r="G58" i="26"/>
  <c r="C26" i="25" s="1"/>
  <c r="L26" i="25" s="1"/>
  <c r="K62" i="26"/>
  <c r="I62" i="26"/>
  <c r="G21" i="32"/>
  <c r="G18" i="32"/>
  <c r="C13" i="31" s="1"/>
  <c r="L13" i="31" s="1"/>
  <c r="I16" i="32"/>
  <c r="K15" i="32" s="1"/>
  <c r="N15" i="16"/>
  <c r="N19" i="16"/>
  <c r="N17" i="16"/>
  <c r="N18" i="16"/>
  <c r="N16" i="16"/>
  <c r="C20" i="24"/>
  <c r="C17" i="23"/>
  <c r="L17" i="23" s="1"/>
  <c r="N15" i="63"/>
  <c r="N19" i="63"/>
  <c r="N18" i="63"/>
  <c r="N16" i="63"/>
  <c r="N17" i="63"/>
  <c r="G51" i="30"/>
  <c r="C25" i="29" s="1"/>
  <c r="L25" i="29" s="1"/>
  <c r="G54" i="30"/>
  <c r="I49" i="30"/>
  <c r="K48" i="30" s="1"/>
  <c r="C20" i="22"/>
  <c r="C17" i="21"/>
  <c r="L17" i="21" s="1"/>
  <c r="N48" i="16"/>
  <c r="N49" i="16"/>
  <c r="N50" i="16"/>
  <c r="C20" i="28"/>
  <c r="C17" i="27"/>
  <c r="L17" i="27" s="1"/>
  <c r="I68" i="28"/>
  <c r="N49" i="22"/>
  <c r="N50" i="22"/>
  <c r="N48" i="22"/>
  <c r="K29" i="63"/>
  <c r="I28" i="63" s="1"/>
  <c r="G25" i="63"/>
  <c r="C14" i="64" s="1"/>
  <c r="L14" i="64" s="1"/>
  <c r="N17" i="26"/>
  <c r="N15" i="26"/>
  <c r="N16" i="26"/>
  <c r="N18" i="26"/>
  <c r="N19" i="26"/>
  <c r="N19" i="30" l="1"/>
  <c r="N15" i="30"/>
  <c r="N17" i="30"/>
  <c r="N16" i="30"/>
  <c r="N18" i="30"/>
  <c r="G25" i="30"/>
  <c r="C14" i="29" s="1"/>
  <c r="L14" i="29" s="1"/>
  <c r="K29" i="30"/>
  <c r="I28" i="30" s="1"/>
  <c r="N48" i="63"/>
  <c r="N49" i="63"/>
  <c r="N50" i="63"/>
  <c r="G58" i="63"/>
  <c r="C26" i="64" s="1"/>
  <c r="L26" i="64" s="1"/>
  <c r="I62" i="63"/>
  <c r="K62" i="63"/>
  <c r="I68" i="32"/>
  <c r="G72" i="32" s="1"/>
  <c r="M65" i="20"/>
  <c r="N64" i="20" s="1"/>
  <c r="G61" i="20"/>
  <c r="G65" i="20" s="1"/>
  <c r="C27" i="19" s="1"/>
  <c r="L27" i="19" s="1"/>
  <c r="G32" i="16"/>
  <c r="C15" i="15" s="1"/>
  <c r="L15" i="15" s="1"/>
  <c r="M32" i="16"/>
  <c r="N31" i="16" s="1"/>
  <c r="G28" i="16"/>
  <c r="G28" i="63"/>
  <c r="G32" i="63"/>
  <c r="C15" i="64" s="1"/>
  <c r="L15" i="64" s="1"/>
  <c r="M32" i="63"/>
  <c r="N31" i="63" s="1"/>
  <c r="G28" i="26"/>
  <c r="M32" i="26"/>
  <c r="N31" i="26" s="1"/>
  <c r="G32" i="26"/>
  <c r="C15" i="25" s="1"/>
  <c r="L15" i="25" s="1"/>
  <c r="M32" i="18"/>
  <c r="N31" i="18" s="1"/>
  <c r="G28" i="18"/>
  <c r="G32" i="18"/>
  <c r="C15" i="17" s="1"/>
  <c r="L15" i="17" s="1"/>
  <c r="G18" i="22"/>
  <c r="C13" i="21" s="1"/>
  <c r="L13" i="21" s="1"/>
  <c r="G21" i="22"/>
  <c r="I16" i="22"/>
  <c r="K15" i="22" s="1"/>
  <c r="G18" i="24"/>
  <c r="C13" i="23" s="1"/>
  <c r="L13" i="23" s="1"/>
  <c r="G21" i="24"/>
  <c r="I16" i="24"/>
  <c r="K15" i="24" s="1"/>
  <c r="N17" i="32"/>
  <c r="N15" i="32"/>
  <c r="N16" i="32"/>
  <c r="N18" i="32"/>
  <c r="N19" i="32"/>
  <c r="N17" i="66"/>
  <c r="N19" i="66"/>
  <c r="N16" i="66"/>
  <c r="N18" i="66"/>
  <c r="G61" i="66"/>
  <c r="G65" i="66" s="1"/>
  <c r="C27" i="65" s="1"/>
  <c r="L27" i="65" s="1"/>
  <c r="M65" i="66"/>
  <c r="N64" i="66" s="1"/>
  <c r="G68" i="28"/>
  <c r="G72" i="28"/>
  <c r="G68" i="32"/>
  <c r="G25" i="66"/>
  <c r="C14" i="65" s="1"/>
  <c r="L14" i="65" s="1"/>
  <c r="K29" i="66"/>
  <c r="I28" i="66" s="1"/>
  <c r="G61" i="16"/>
  <c r="G65" i="16" s="1"/>
  <c r="C27" i="15" s="1"/>
  <c r="L27" i="15" s="1"/>
  <c r="M65" i="16"/>
  <c r="N64" i="16" s="1"/>
  <c r="I16" i="28"/>
  <c r="K15" i="28" s="1"/>
  <c r="G18" i="28"/>
  <c r="C13" i="27" s="1"/>
  <c r="L13" i="27" s="1"/>
  <c r="G21" i="28"/>
  <c r="M65" i="26"/>
  <c r="N64" i="26" s="1"/>
  <c r="G61" i="26"/>
  <c r="G65" i="26" s="1"/>
  <c r="C27" i="25" s="1"/>
  <c r="L27" i="25" s="1"/>
  <c r="I68" i="18"/>
  <c r="N49" i="30"/>
  <c r="N50" i="30"/>
  <c r="N48" i="30"/>
  <c r="K62" i="30"/>
  <c r="I62" i="30"/>
  <c r="G58" i="30"/>
  <c r="C26" i="29" s="1"/>
  <c r="L26" i="29" s="1"/>
  <c r="G25" i="32"/>
  <c r="C14" i="31" s="1"/>
  <c r="L14" i="31" s="1"/>
  <c r="K29" i="32"/>
  <c r="I28" i="32" s="1"/>
  <c r="M65" i="22"/>
  <c r="N64" i="22" s="1"/>
  <c r="G61" i="22"/>
  <c r="G65" i="22" s="1"/>
  <c r="C27" i="21" s="1"/>
  <c r="L27" i="21" s="1"/>
  <c r="K73" i="24"/>
  <c r="N72" i="24" s="1"/>
  <c r="C28" i="23"/>
  <c r="L28" i="23" s="1"/>
  <c r="H76" i="24"/>
  <c r="K75" i="24" s="1"/>
  <c r="I35" i="20"/>
  <c r="I35" i="18" l="1"/>
  <c r="G35" i="18" s="1"/>
  <c r="I68" i="22"/>
  <c r="G68" i="22" s="1"/>
  <c r="G28" i="30"/>
  <c r="M32" i="30"/>
  <c r="N31" i="30" s="1"/>
  <c r="G32" i="30"/>
  <c r="C15" i="29" s="1"/>
  <c r="L15" i="29" s="1"/>
  <c r="I68" i="16"/>
  <c r="G68" i="16" s="1"/>
  <c r="I35" i="26"/>
  <c r="G35" i="26" s="1"/>
  <c r="I68" i="20"/>
  <c r="G72" i="20" s="1"/>
  <c r="M65" i="63"/>
  <c r="N64" i="63" s="1"/>
  <c r="G61" i="63"/>
  <c r="G65" i="63" s="1"/>
  <c r="C27" i="64" s="1"/>
  <c r="L27" i="64" s="1"/>
  <c r="I68" i="26"/>
  <c r="G68" i="26" s="1"/>
  <c r="G32" i="66"/>
  <c r="C15" i="65" s="1"/>
  <c r="L15" i="65" s="1"/>
  <c r="M32" i="66"/>
  <c r="N31" i="66" s="1"/>
  <c r="G28" i="66"/>
  <c r="N18" i="24"/>
  <c r="N16" i="24"/>
  <c r="N15" i="24"/>
  <c r="N19" i="24"/>
  <c r="N17" i="24"/>
  <c r="G35" i="20"/>
  <c r="G39" i="20"/>
  <c r="N76" i="24"/>
  <c r="N77" i="24"/>
  <c r="N75" i="24"/>
  <c r="I68" i="66"/>
  <c r="G25" i="24"/>
  <c r="C14" i="23" s="1"/>
  <c r="L14" i="23" s="1"/>
  <c r="K29" i="24"/>
  <c r="I28" i="24" s="1"/>
  <c r="N15" i="22"/>
  <c r="N16" i="22"/>
  <c r="N17" i="22"/>
  <c r="N18" i="22"/>
  <c r="N19" i="22"/>
  <c r="M32" i="32"/>
  <c r="N31" i="32" s="1"/>
  <c r="G28" i="32"/>
  <c r="G32" i="32"/>
  <c r="C15" i="31" s="1"/>
  <c r="L15" i="31" s="1"/>
  <c r="G25" i="28"/>
  <c r="C14" i="27" s="1"/>
  <c r="L14" i="27" s="1"/>
  <c r="K29" i="28"/>
  <c r="I28" i="28" s="1"/>
  <c r="N19" i="28"/>
  <c r="N18" i="28"/>
  <c r="N16" i="28"/>
  <c r="N17" i="28"/>
  <c r="N15" i="28"/>
  <c r="K73" i="32"/>
  <c r="N72" i="32" s="1"/>
  <c r="H76" i="32"/>
  <c r="K75" i="32" s="1"/>
  <c r="C28" i="31"/>
  <c r="L28" i="31" s="1"/>
  <c r="K29" i="22"/>
  <c r="I28" i="22" s="1"/>
  <c r="G25" i="22"/>
  <c r="C14" i="21" s="1"/>
  <c r="L14" i="21" s="1"/>
  <c r="I35" i="16"/>
  <c r="G68" i="18"/>
  <c r="G72" i="18"/>
  <c r="G61" i="30"/>
  <c r="G65" i="30" s="1"/>
  <c r="C27" i="29" s="1"/>
  <c r="L27" i="29" s="1"/>
  <c r="M65" i="30"/>
  <c r="N64" i="30" s="1"/>
  <c r="H76" i="28"/>
  <c r="K75" i="28" s="1"/>
  <c r="K73" i="28"/>
  <c r="N72" i="28" s="1"/>
  <c r="C28" i="27"/>
  <c r="L28" i="27" s="1"/>
  <c r="I35" i="63"/>
  <c r="G72" i="22" l="1"/>
  <c r="C28" i="21" s="1"/>
  <c r="L28" i="21" s="1"/>
  <c r="G39" i="18"/>
  <c r="G72" i="16"/>
  <c r="K73" i="16" s="1"/>
  <c r="N72" i="16" s="1"/>
  <c r="I35" i="66"/>
  <c r="G39" i="66" s="1"/>
  <c r="G68" i="20"/>
  <c r="G39" i="26"/>
  <c r="H43" i="26" s="1"/>
  <c r="J42" i="26" s="1"/>
  <c r="G72" i="26"/>
  <c r="C28" i="25" s="1"/>
  <c r="L28" i="25" s="1"/>
  <c r="I35" i="30"/>
  <c r="I68" i="63"/>
  <c r="C28" i="19"/>
  <c r="L28" i="19" s="1"/>
  <c r="H76" i="20"/>
  <c r="K75" i="20" s="1"/>
  <c r="K73" i="20"/>
  <c r="N72" i="20" s="1"/>
  <c r="G28" i="24"/>
  <c r="M32" i="24"/>
  <c r="N31" i="24" s="1"/>
  <c r="G32" i="24"/>
  <c r="C15" i="23" s="1"/>
  <c r="L15" i="23" s="1"/>
  <c r="C28" i="15"/>
  <c r="L28" i="15" s="1"/>
  <c r="H76" i="16"/>
  <c r="K75" i="16" s="1"/>
  <c r="L40" i="18"/>
  <c r="N39" i="18" s="1"/>
  <c r="C16" i="17"/>
  <c r="L16" i="17" s="1"/>
  <c r="H43" i="18"/>
  <c r="J42" i="18" s="1"/>
  <c r="G68" i="66"/>
  <c r="G72" i="66"/>
  <c r="G28" i="22"/>
  <c r="G32" i="22"/>
  <c r="C15" i="21" s="1"/>
  <c r="L15" i="21" s="1"/>
  <c r="M32" i="22"/>
  <c r="N31" i="22" s="1"/>
  <c r="H43" i="20"/>
  <c r="J42" i="20" s="1"/>
  <c r="L40" i="20"/>
  <c r="N39" i="20" s="1"/>
  <c r="C16" i="19"/>
  <c r="L16" i="19" s="1"/>
  <c r="K73" i="18"/>
  <c r="N72" i="18" s="1"/>
  <c r="H76" i="18"/>
  <c r="K75" i="18" s="1"/>
  <c r="C28" i="17"/>
  <c r="L28" i="17" s="1"/>
  <c r="G35" i="66"/>
  <c r="G35" i="16"/>
  <c r="G39" i="16"/>
  <c r="I35" i="32"/>
  <c r="N76" i="28"/>
  <c r="N77" i="28"/>
  <c r="N75" i="28"/>
  <c r="G32" i="28"/>
  <c r="C15" i="27" s="1"/>
  <c r="L15" i="27" s="1"/>
  <c r="G28" i="28"/>
  <c r="M32" i="28"/>
  <c r="N31" i="28" s="1"/>
  <c r="G35" i="63"/>
  <c r="G39" i="63"/>
  <c r="I68" i="30"/>
  <c r="N75" i="32"/>
  <c r="N76" i="32"/>
  <c r="N77" i="32"/>
  <c r="H76" i="22" l="1"/>
  <c r="K75" i="22" s="1"/>
  <c r="H76" i="26"/>
  <c r="K75" i="26" s="1"/>
  <c r="N77" i="26" s="1"/>
  <c r="K73" i="22"/>
  <c r="N72" i="22" s="1"/>
  <c r="L40" i="26"/>
  <c r="N39" i="26" s="1"/>
  <c r="K73" i="26"/>
  <c r="N72" i="26" s="1"/>
  <c r="C16" i="25"/>
  <c r="L16" i="25" s="1"/>
  <c r="G39" i="30"/>
  <c r="G35" i="30"/>
  <c r="I35" i="28"/>
  <c r="G39" i="28" s="1"/>
  <c r="G68" i="63"/>
  <c r="G72" i="63"/>
  <c r="I35" i="22"/>
  <c r="G35" i="22" s="1"/>
  <c r="N77" i="20"/>
  <c r="N76" i="20"/>
  <c r="N75" i="20"/>
  <c r="G68" i="30"/>
  <c r="G72" i="30"/>
  <c r="N43" i="26"/>
  <c r="N41" i="26"/>
  <c r="T16" i="26" s="1"/>
  <c r="N42" i="26"/>
  <c r="N45" i="26"/>
  <c r="N44" i="26"/>
  <c r="G35" i="32"/>
  <c r="G39" i="32"/>
  <c r="N77" i="18"/>
  <c r="N75" i="18"/>
  <c r="N76" i="18"/>
  <c r="C16" i="65"/>
  <c r="L16" i="65" s="1"/>
  <c r="L40" i="66"/>
  <c r="N39" i="66" s="1"/>
  <c r="H43" i="66"/>
  <c r="J42" i="66" s="1"/>
  <c r="N76" i="16"/>
  <c r="N75" i="16"/>
  <c r="N77" i="16"/>
  <c r="I35" i="24"/>
  <c r="N75" i="26"/>
  <c r="N76" i="26"/>
  <c r="N75" i="22"/>
  <c r="N77" i="22"/>
  <c r="N76" i="22"/>
  <c r="K73" i="66"/>
  <c r="N72" i="66" s="1"/>
  <c r="H76" i="66"/>
  <c r="K75" i="66" s="1"/>
  <c r="C28" i="65"/>
  <c r="L28" i="65" s="1"/>
  <c r="C16" i="64"/>
  <c r="L16" i="64" s="1"/>
  <c r="H43" i="63"/>
  <c r="J42" i="63" s="1"/>
  <c r="L40" i="63"/>
  <c r="N39" i="63" s="1"/>
  <c r="H43" i="16"/>
  <c r="J42" i="16" s="1"/>
  <c r="C16" i="15"/>
  <c r="L16" i="15" s="1"/>
  <c r="L40" i="16"/>
  <c r="N39" i="16" s="1"/>
  <c r="N43" i="20"/>
  <c r="N41" i="20"/>
  <c r="T16" i="20" s="1"/>
  <c r="N45" i="20"/>
  <c r="N42" i="20"/>
  <c r="N44" i="20"/>
  <c r="N42" i="18"/>
  <c r="N44" i="18"/>
  <c r="N45" i="18"/>
  <c r="N43" i="18"/>
  <c r="N41" i="18"/>
  <c r="T16" i="18" s="1"/>
  <c r="G39" i="22" l="1"/>
  <c r="G35" i="28"/>
  <c r="H43" i="30"/>
  <c r="J42" i="30" s="1"/>
  <c r="L40" i="30"/>
  <c r="N39" i="30" s="1"/>
  <c r="C16" i="29"/>
  <c r="L16" i="29" s="1"/>
  <c r="H76" i="63"/>
  <c r="K75" i="63" s="1"/>
  <c r="C28" i="64"/>
  <c r="L28" i="64" s="1"/>
  <c r="K73" i="63"/>
  <c r="N72" i="63" s="1"/>
  <c r="L40" i="28"/>
  <c r="N39" i="28" s="1"/>
  <c r="H43" i="28"/>
  <c r="J42" i="28" s="1"/>
  <c r="C16" i="27"/>
  <c r="L16" i="27" s="1"/>
  <c r="N41" i="66"/>
  <c r="T16" i="66" s="1"/>
  <c r="N44" i="66"/>
  <c r="N42" i="66"/>
  <c r="N43" i="66"/>
  <c r="N45" i="66"/>
  <c r="H43" i="22"/>
  <c r="J42" i="22" s="1"/>
  <c r="L40" i="22"/>
  <c r="N39" i="22" s="1"/>
  <c r="C16" i="21"/>
  <c r="L16" i="21" s="1"/>
  <c r="S16" i="18"/>
  <c r="C19" i="17" s="1"/>
  <c r="L19" i="17" s="1"/>
  <c r="V14" i="18"/>
  <c r="AB16" i="18" s="1"/>
  <c r="V17" i="18"/>
  <c r="N77" i="66"/>
  <c r="N76" i="66"/>
  <c r="N75" i="66"/>
  <c r="N43" i="63"/>
  <c r="N45" i="63"/>
  <c r="N44" i="63"/>
  <c r="N42" i="63"/>
  <c r="N41" i="63"/>
  <c r="T16" i="63" s="1"/>
  <c r="L40" i="32"/>
  <c r="N39" i="32" s="1"/>
  <c r="H43" i="32"/>
  <c r="J42" i="32" s="1"/>
  <c r="C16" i="31"/>
  <c r="L16" i="31" s="1"/>
  <c r="K73" i="30"/>
  <c r="N72" i="30" s="1"/>
  <c r="H76" i="30"/>
  <c r="K75" i="30" s="1"/>
  <c r="C28" i="29"/>
  <c r="L28" i="29" s="1"/>
  <c r="V17" i="26"/>
  <c r="V14" i="26"/>
  <c r="AB16" i="26" s="1"/>
  <c r="S16" i="26"/>
  <c r="C19" i="25" s="1"/>
  <c r="L19" i="25" s="1"/>
  <c r="G35" i="24"/>
  <c r="G39" i="24"/>
  <c r="V14" i="20"/>
  <c r="AB16" i="20" s="1"/>
  <c r="S16" i="20"/>
  <c r="C19" i="19" s="1"/>
  <c r="L19" i="19" s="1"/>
  <c r="V17" i="20"/>
  <c r="N45" i="16"/>
  <c r="N44" i="16"/>
  <c r="N43" i="16"/>
  <c r="N42" i="16"/>
  <c r="N41" i="16"/>
  <c r="T16" i="16" s="1"/>
  <c r="N45" i="30" l="1"/>
  <c r="N42" i="30"/>
  <c r="N44" i="30"/>
  <c r="N43" i="30"/>
  <c r="N41" i="30"/>
  <c r="T16" i="30" s="1"/>
  <c r="N77" i="63"/>
  <c r="N76" i="63"/>
  <c r="N75" i="63"/>
  <c r="C16" i="23"/>
  <c r="L16" i="23" s="1"/>
  <c r="H43" i="24"/>
  <c r="J42" i="24" s="1"/>
  <c r="L40" i="24"/>
  <c r="N39" i="24" s="1"/>
  <c r="W19" i="18"/>
  <c r="W16" i="18"/>
  <c r="T24" i="18" s="1"/>
  <c r="W17" i="18"/>
  <c r="W18" i="18"/>
  <c r="N43" i="28"/>
  <c r="N45" i="28"/>
  <c r="N42" i="28"/>
  <c r="N41" i="28"/>
  <c r="T16" i="28" s="1"/>
  <c r="N44" i="28"/>
  <c r="S16" i="16"/>
  <c r="C19" i="15" s="1"/>
  <c r="L19" i="15" s="1"/>
  <c r="V14" i="16"/>
  <c r="AB16" i="16" s="1"/>
  <c r="V17" i="16"/>
  <c r="W19" i="20"/>
  <c r="W18" i="20"/>
  <c r="W16" i="20"/>
  <c r="T24" i="20" s="1"/>
  <c r="W17" i="20"/>
  <c r="AD18" i="26"/>
  <c r="AD16" i="26"/>
  <c r="AD17" i="26"/>
  <c r="AA16" i="26"/>
  <c r="C20" i="25" s="1"/>
  <c r="L20" i="25" s="1"/>
  <c r="AD15" i="26"/>
  <c r="N77" i="30"/>
  <c r="N76" i="30"/>
  <c r="N75" i="30"/>
  <c r="N42" i="32"/>
  <c r="N45" i="32"/>
  <c r="N41" i="32"/>
  <c r="T16" i="32" s="1"/>
  <c r="N44" i="32"/>
  <c r="N43" i="32"/>
  <c r="V14" i="63"/>
  <c r="AB16" i="63" s="1"/>
  <c r="V17" i="63"/>
  <c r="S16" i="63"/>
  <c r="C19" i="64" s="1"/>
  <c r="L19" i="64" s="1"/>
  <c r="AD15" i="18"/>
  <c r="AD18" i="18"/>
  <c r="AA16" i="18"/>
  <c r="C20" i="17" s="1"/>
  <c r="L20" i="17" s="1"/>
  <c r="AD16" i="18"/>
  <c r="AD17" i="18"/>
  <c r="N42" i="22"/>
  <c r="N45" i="22"/>
  <c r="N41" i="22"/>
  <c r="T16" i="22" s="1"/>
  <c r="N43" i="22"/>
  <c r="N44" i="22"/>
  <c r="AD15" i="20"/>
  <c r="AA16" i="20"/>
  <c r="C20" i="19" s="1"/>
  <c r="L20" i="19" s="1"/>
  <c r="AD16" i="20"/>
  <c r="AD17" i="20"/>
  <c r="AD18" i="20"/>
  <c r="W17" i="26"/>
  <c r="W18" i="26"/>
  <c r="W19" i="26"/>
  <c r="W16" i="26"/>
  <c r="T24" i="26" s="1"/>
  <c r="S16" i="66"/>
  <c r="C19" i="65" s="1"/>
  <c r="L19" i="65" s="1"/>
  <c r="V17" i="66"/>
  <c r="V14" i="66"/>
  <c r="AB16" i="66" s="1"/>
  <c r="V17" i="30" l="1"/>
  <c r="S16" i="30"/>
  <c r="C19" i="29" s="1"/>
  <c r="L19" i="29" s="1"/>
  <c r="V14" i="30"/>
  <c r="AB16" i="30" s="1"/>
  <c r="V14" i="22"/>
  <c r="AB16" i="22" s="1"/>
  <c r="S16" i="22"/>
  <c r="C19" i="21" s="1"/>
  <c r="L19" i="21" s="1"/>
  <c r="V17" i="22"/>
  <c r="S24" i="26"/>
  <c r="C22" i="25" s="1"/>
  <c r="L22" i="25" s="1"/>
  <c r="V25" i="26"/>
  <c r="V22" i="26"/>
  <c r="AB24" i="26" s="1"/>
  <c r="AD15" i="66"/>
  <c r="AD17" i="66"/>
  <c r="AA16" i="66"/>
  <c r="C20" i="65" s="1"/>
  <c r="L20" i="65" s="1"/>
  <c r="AD18" i="66"/>
  <c r="AD16" i="66"/>
  <c r="W17" i="63"/>
  <c r="W16" i="63"/>
  <c r="T24" i="63" s="1"/>
  <c r="W19" i="63"/>
  <c r="W18" i="63"/>
  <c r="S16" i="32"/>
  <c r="C19" i="31" s="1"/>
  <c r="L19" i="31" s="1"/>
  <c r="V17" i="32"/>
  <c r="V14" i="32"/>
  <c r="AB16" i="32" s="1"/>
  <c r="V25" i="20"/>
  <c r="V22" i="20"/>
  <c r="AB24" i="20" s="1"/>
  <c r="S24" i="20"/>
  <c r="C22" i="19" s="1"/>
  <c r="L22" i="19" s="1"/>
  <c r="W17" i="16"/>
  <c r="W16" i="16"/>
  <c r="T24" i="16" s="1"/>
  <c r="W19" i="16"/>
  <c r="W18" i="16"/>
  <c r="S16" i="28"/>
  <c r="C19" i="27" s="1"/>
  <c r="L19" i="27" s="1"/>
  <c r="V14" i="28"/>
  <c r="AB16" i="28" s="1"/>
  <c r="V17" i="28"/>
  <c r="W19" i="66"/>
  <c r="W18" i="66"/>
  <c r="W17" i="66"/>
  <c r="W16" i="66"/>
  <c r="T24" i="66" s="1"/>
  <c r="AD17" i="63"/>
  <c r="AD18" i="63"/>
  <c r="AA16" i="63"/>
  <c r="C20" i="64" s="1"/>
  <c r="L20" i="64" s="1"/>
  <c r="AD15" i="63"/>
  <c r="AD16" i="63"/>
  <c r="AA16" i="16"/>
  <c r="C20" i="15" s="1"/>
  <c r="L20" i="15" s="1"/>
  <c r="AD16" i="16"/>
  <c r="AD17" i="16"/>
  <c r="AD18" i="16"/>
  <c r="AD15" i="16"/>
  <c r="V25" i="18"/>
  <c r="V22" i="18"/>
  <c r="AB24" i="18" s="1"/>
  <c r="S24" i="18"/>
  <c r="C22" i="17" s="1"/>
  <c r="L22" i="17" s="1"/>
  <c r="N44" i="24"/>
  <c r="N43" i="24"/>
  <c r="N42" i="24"/>
  <c r="N45" i="24"/>
  <c r="N41" i="24"/>
  <c r="T16" i="24" s="1"/>
  <c r="AD15" i="30" l="1"/>
  <c r="AA16" i="30"/>
  <c r="C20" i="29" s="1"/>
  <c r="L20" i="29" s="1"/>
  <c r="AD17" i="30"/>
  <c r="AD18" i="30"/>
  <c r="AD16" i="30"/>
  <c r="W17" i="30"/>
  <c r="W18" i="30"/>
  <c r="W16" i="30"/>
  <c r="T24" i="30" s="1"/>
  <c r="W19" i="30"/>
  <c r="AD15" i="32"/>
  <c r="AD16" i="32"/>
  <c r="AD18" i="32"/>
  <c r="AD17" i="32"/>
  <c r="AA16" i="32"/>
  <c r="C20" i="31" s="1"/>
  <c r="L20" i="31" s="1"/>
  <c r="AA24" i="26"/>
  <c r="C23" i="25" s="1"/>
  <c r="L23" i="25" s="1"/>
  <c r="AD25" i="26"/>
  <c r="AD26" i="26"/>
  <c r="AD24" i="26"/>
  <c r="W26" i="26"/>
  <c r="W24" i="26"/>
  <c r="T32" i="26" s="1"/>
  <c r="W25" i="26"/>
  <c r="AD18" i="22"/>
  <c r="AD16" i="22"/>
  <c r="AD17" i="22"/>
  <c r="AA16" i="22"/>
  <c r="C20" i="21" s="1"/>
  <c r="L20" i="21" s="1"/>
  <c r="AD15" i="22"/>
  <c r="W18" i="22"/>
  <c r="W16" i="22"/>
  <c r="T24" i="22" s="1"/>
  <c r="W17" i="22"/>
  <c r="W19" i="22"/>
  <c r="AA24" i="18"/>
  <c r="C23" i="17" s="1"/>
  <c r="L23" i="17" s="1"/>
  <c r="AD25" i="18"/>
  <c r="AD24" i="18"/>
  <c r="AD26" i="18"/>
  <c r="W18" i="28"/>
  <c r="W16" i="28"/>
  <c r="T24" i="28" s="1"/>
  <c r="W17" i="28"/>
  <c r="W19" i="28"/>
  <c r="AA24" i="20"/>
  <c r="C23" i="19" s="1"/>
  <c r="L23" i="19" s="1"/>
  <c r="AD24" i="20"/>
  <c r="AD26" i="20"/>
  <c r="AD25" i="20"/>
  <c r="W17" i="32"/>
  <c r="W19" i="32"/>
  <c r="W16" i="32"/>
  <c r="T24" i="32" s="1"/>
  <c r="W18" i="32"/>
  <c r="S24" i="63"/>
  <c r="C22" i="64" s="1"/>
  <c r="L22" i="64" s="1"/>
  <c r="V25" i="63"/>
  <c r="V22" i="63"/>
  <c r="AB24" i="63" s="1"/>
  <c r="W24" i="18"/>
  <c r="T32" i="18" s="1"/>
  <c r="W26" i="18"/>
  <c r="W25" i="18"/>
  <c r="AA16" i="28"/>
  <c r="C20" i="27" s="1"/>
  <c r="L20" i="27" s="1"/>
  <c r="AD18" i="28"/>
  <c r="AD16" i="28"/>
  <c r="AD17" i="28"/>
  <c r="AD15" i="28"/>
  <c r="V22" i="16"/>
  <c r="AB24" i="16" s="1"/>
  <c r="S24" i="16"/>
  <c r="C22" i="15" s="1"/>
  <c r="L22" i="15" s="1"/>
  <c r="V25" i="16"/>
  <c r="W24" i="20"/>
  <c r="T32" i="20" s="1"/>
  <c r="W25" i="20"/>
  <c r="W26" i="20"/>
  <c r="S16" i="24"/>
  <c r="C19" i="23" s="1"/>
  <c r="L19" i="23" s="1"/>
  <c r="V14" i="24"/>
  <c r="AB16" i="24" s="1"/>
  <c r="V17" i="24"/>
  <c r="V25" i="66"/>
  <c r="S24" i="66"/>
  <c r="C22" i="65" s="1"/>
  <c r="L22" i="65" s="1"/>
  <c r="V22" i="66"/>
  <c r="AB24" i="66" s="1"/>
  <c r="S24" i="30" l="1"/>
  <c r="C22" i="29" s="1"/>
  <c r="L22" i="29" s="1"/>
  <c r="V22" i="30"/>
  <c r="AB24" i="30" s="1"/>
  <c r="V25" i="30"/>
  <c r="AD24" i="16"/>
  <c r="AD26" i="16"/>
  <c r="AD25" i="16"/>
  <c r="AA24" i="16"/>
  <c r="C23" i="15" s="1"/>
  <c r="L23" i="15" s="1"/>
  <c r="S24" i="28"/>
  <c r="C22" i="27" s="1"/>
  <c r="L22" i="27" s="1"/>
  <c r="V22" i="28"/>
  <c r="AB24" i="28" s="1"/>
  <c r="V25" i="28"/>
  <c r="S32" i="20"/>
  <c r="C31" i="19" s="1"/>
  <c r="L31" i="19" s="1"/>
  <c r="V33" i="20"/>
  <c r="V30" i="20"/>
  <c r="AB32" i="20" s="1"/>
  <c r="V25" i="22"/>
  <c r="S24" i="22"/>
  <c r="C22" i="21" s="1"/>
  <c r="L22" i="21" s="1"/>
  <c r="V22" i="22"/>
  <c r="AB24" i="22" s="1"/>
  <c r="W24" i="66"/>
  <c r="T32" i="66" s="1"/>
  <c r="W26" i="66"/>
  <c r="W25" i="66"/>
  <c r="W26" i="16"/>
  <c r="W24" i="16"/>
  <c r="T32" i="16" s="1"/>
  <c r="W25" i="16"/>
  <c r="AA24" i="63"/>
  <c r="C23" i="64" s="1"/>
  <c r="L23" i="64" s="1"/>
  <c r="AD26" i="63"/>
  <c r="AD25" i="63"/>
  <c r="AD24" i="63"/>
  <c r="S24" i="32"/>
  <c r="C22" i="31" s="1"/>
  <c r="L22" i="31" s="1"/>
  <c r="V22" i="32"/>
  <c r="AB24" i="32" s="1"/>
  <c r="V25" i="32"/>
  <c r="AA24" i="66"/>
  <c r="C23" i="65" s="1"/>
  <c r="L23" i="65" s="1"/>
  <c r="AD25" i="66"/>
  <c r="AD26" i="66"/>
  <c r="AD24" i="66"/>
  <c r="W16" i="24"/>
  <c r="T24" i="24" s="1"/>
  <c r="W18" i="24"/>
  <c r="W17" i="24"/>
  <c r="W19" i="24"/>
  <c r="AD16" i="24"/>
  <c r="AD15" i="24"/>
  <c r="AD18" i="24"/>
  <c r="AA16" i="24"/>
  <c r="C20" i="23" s="1"/>
  <c r="L20" i="23" s="1"/>
  <c r="AD17" i="24"/>
  <c r="V33" i="18"/>
  <c r="S32" i="18"/>
  <c r="C31" i="17" s="1"/>
  <c r="L31" i="17" s="1"/>
  <c r="V30" i="18"/>
  <c r="AB32" i="18" s="1"/>
  <c r="W26" i="63"/>
  <c r="W25" i="63"/>
  <c r="W24" i="63"/>
  <c r="T32" i="63" s="1"/>
  <c r="S32" i="26"/>
  <c r="C31" i="25" s="1"/>
  <c r="L31" i="25" s="1"/>
  <c r="V30" i="26"/>
  <c r="AB32" i="26" s="1"/>
  <c r="V33" i="26"/>
  <c r="W26" i="30" l="1"/>
  <c r="W24" i="30"/>
  <c r="T32" i="30" s="1"/>
  <c r="W25" i="30"/>
  <c r="AD24" i="30"/>
  <c r="AD25" i="30"/>
  <c r="AA24" i="30"/>
  <c r="C23" i="29" s="1"/>
  <c r="L23" i="29" s="1"/>
  <c r="AD26" i="30"/>
  <c r="AD34" i="18"/>
  <c r="AD33" i="18"/>
  <c r="AA32" i="18"/>
  <c r="C32" i="17" s="1"/>
  <c r="L32" i="17" s="1"/>
  <c r="V25" i="24"/>
  <c r="V22" i="24"/>
  <c r="AB24" i="24" s="1"/>
  <c r="S24" i="24"/>
  <c r="C22" i="23" s="1"/>
  <c r="L22" i="23" s="1"/>
  <c r="AD33" i="26"/>
  <c r="AD34" i="26"/>
  <c r="AA32" i="26"/>
  <c r="C32" i="25" s="1"/>
  <c r="L32" i="25" s="1"/>
  <c r="W24" i="32"/>
  <c r="T32" i="32" s="1"/>
  <c r="W26" i="32"/>
  <c r="W25" i="32"/>
  <c r="V33" i="16"/>
  <c r="S32" i="16"/>
  <c r="C31" i="15" s="1"/>
  <c r="L31" i="15" s="1"/>
  <c r="V30" i="16"/>
  <c r="AB32" i="16" s="1"/>
  <c r="AD33" i="20"/>
  <c r="AD34" i="20"/>
  <c r="AA32" i="20"/>
  <c r="C32" i="19" s="1"/>
  <c r="L32" i="19" s="1"/>
  <c r="S32" i="63"/>
  <c r="C31" i="64" s="1"/>
  <c r="L31" i="64" s="1"/>
  <c r="V33" i="63"/>
  <c r="V30" i="63"/>
  <c r="AB32" i="63" s="1"/>
  <c r="W34" i="18"/>
  <c r="T40" i="18" s="1"/>
  <c r="W33" i="18"/>
  <c r="AD26" i="32"/>
  <c r="AD24" i="32"/>
  <c r="AA24" i="32"/>
  <c r="C23" i="31" s="1"/>
  <c r="L23" i="31" s="1"/>
  <c r="AD25" i="32"/>
  <c r="W34" i="20"/>
  <c r="T40" i="20" s="1"/>
  <c r="W33" i="20"/>
  <c r="W26" i="22"/>
  <c r="W25" i="22"/>
  <c r="W24" i="22"/>
  <c r="T32" i="22" s="1"/>
  <c r="AD24" i="28"/>
  <c r="AD25" i="28"/>
  <c r="AA24" i="28"/>
  <c r="C23" i="27" s="1"/>
  <c r="L23" i="27" s="1"/>
  <c r="AD26" i="28"/>
  <c r="W33" i="26"/>
  <c r="W34" i="26"/>
  <c r="T40" i="26" s="1"/>
  <c r="V30" i="66"/>
  <c r="AB32" i="66" s="1"/>
  <c r="V33" i="66"/>
  <c r="S32" i="66"/>
  <c r="C31" i="65" s="1"/>
  <c r="L31" i="65" s="1"/>
  <c r="AD24" i="22"/>
  <c r="AD25" i="22"/>
  <c r="AA24" i="22"/>
  <c r="C23" i="21" s="1"/>
  <c r="L23" i="21" s="1"/>
  <c r="AD26" i="22"/>
  <c r="W26" i="28"/>
  <c r="W24" i="28"/>
  <c r="T32" i="28" s="1"/>
  <c r="W25" i="28"/>
  <c r="S32" i="30" l="1"/>
  <c r="C31" i="29" s="1"/>
  <c r="L31" i="29" s="1"/>
  <c r="V33" i="30"/>
  <c r="V30" i="30"/>
  <c r="AB32" i="30" s="1"/>
  <c r="V41" i="26"/>
  <c r="T56" i="26" s="1"/>
  <c r="S40" i="26"/>
  <c r="C34" i="25" s="1"/>
  <c r="L34" i="25" s="1"/>
  <c r="V38" i="26"/>
  <c r="AB40" i="26" s="1"/>
  <c r="AD34" i="63"/>
  <c r="AA32" i="63"/>
  <c r="C32" i="64" s="1"/>
  <c r="L32" i="64" s="1"/>
  <c r="AD33" i="63"/>
  <c r="W34" i="16"/>
  <c r="T40" i="16" s="1"/>
  <c r="W33" i="16"/>
  <c r="AD34" i="66"/>
  <c r="AA32" i="66"/>
  <c r="C32" i="65" s="1"/>
  <c r="L32" i="65" s="1"/>
  <c r="AD33" i="66"/>
  <c r="W34" i="63"/>
  <c r="T40" i="63" s="1"/>
  <c r="W33" i="63"/>
  <c r="W33" i="66"/>
  <c r="W34" i="66"/>
  <c r="T40" i="66" s="1"/>
  <c r="V33" i="28"/>
  <c r="S32" i="28"/>
  <c r="C31" i="27" s="1"/>
  <c r="L31" i="27" s="1"/>
  <c r="V30" i="28"/>
  <c r="AB32" i="28" s="1"/>
  <c r="V41" i="20"/>
  <c r="T56" i="20" s="1"/>
  <c r="V38" i="20"/>
  <c r="AB40" i="20" s="1"/>
  <c r="S40" i="20"/>
  <c r="C34" i="19" s="1"/>
  <c r="L34" i="19" s="1"/>
  <c r="V30" i="22"/>
  <c r="AB32" i="22" s="1"/>
  <c r="V33" i="22"/>
  <c r="S32" i="22"/>
  <c r="C31" i="21" s="1"/>
  <c r="L31" i="21" s="1"/>
  <c r="AD33" i="16"/>
  <c r="AD34" i="16"/>
  <c r="AA32" i="16"/>
  <c r="C32" i="15" s="1"/>
  <c r="L32" i="15" s="1"/>
  <c r="AD24" i="24"/>
  <c r="AD26" i="24"/>
  <c r="AA24" i="24"/>
  <c r="C23" i="23" s="1"/>
  <c r="L23" i="23" s="1"/>
  <c r="AD25" i="24"/>
  <c r="S40" i="18"/>
  <c r="C34" i="17" s="1"/>
  <c r="L34" i="17" s="1"/>
  <c r="V38" i="18"/>
  <c r="AB40" i="18" s="1"/>
  <c r="V41" i="18"/>
  <c r="T56" i="18" s="1"/>
  <c r="V30" i="32"/>
  <c r="AB32" i="32" s="1"/>
  <c r="S32" i="32"/>
  <c r="C31" i="31" s="1"/>
  <c r="L31" i="31" s="1"/>
  <c r="V33" i="32"/>
  <c r="W25" i="24"/>
  <c r="W24" i="24"/>
  <c r="T32" i="24" s="1"/>
  <c r="W26" i="24"/>
  <c r="AD33" i="30" l="1"/>
  <c r="AA32" i="30"/>
  <c r="C32" i="29" s="1"/>
  <c r="L32" i="29" s="1"/>
  <c r="AD34" i="30"/>
  <c r="W34" i="30"/>
  <c r="T40" i="30" s="1"/>
  <c r="W33" i="30"/>
  <c r="S56" i="26"/>
  <c r="V63" i="26"/>
  <c r="X63" i="26" s="1"/>
  <c r="V48" i="26"/>
  <c r="X49" i="26" s="1"/>
  <c r="Z67" i="26"/>
  <c r="AE50" i="26"/>
  <c r="S56" i="18"/>
  <c r="V48" i="18"/>
  <c r="X49" i="18" s="1"/>
  <c r="AE50" i="18"/>
  <c r="Z67" i="18"/>
  <c r="V63" i="18"/>
  <c r="X63" i="18" s="1"/>
  <c r="AD34" i="32"/>
  <c r="AD33" i="32"/>
  <c r="AA32" i="32"/>
  <c r="C32" i="31" s="1"/>
  <c r="L32" i="31" s="1"/>
  <c r="W34" i="22"/>
  <c r="T40" i="22" s="1"/>
  <c r="W33" i="22"/>
  <c r="V48" i="20"/>
  <c r="X49" i="20" s="1"/>
  <c r="Z67" i="20"/>
  <c r="S56" i="20"/>
  <c r="AE50" i="20"/>
  <c r="V63" i="20"/>
  <c r="X63" i="20" s="1"/>
  <c r="W34" i="28"/>
  <c r="T40" i="28" s="1"/>
  <c r="W33" i="28"/>
  <c r="AD41" i="20"/>
  <c r="AA40" i="20"/>
  <c r="C35" i="19" s="1"/>
  <c r="L35" i="19" s="1"/>
  <c r="V41" i="16"/>
  <c r="T56" i="16" s="1"/>
  <c r="S40" i="16"/>
  <c r="C34" i="15" s="1"/>
  <c r="L34" i="15" s="1"/>
  <c r="V38" i="16"/>
  <c r="AB40" i="16" s="1"/>
  <c r="AD34" i="22"/>
  <c r="AD33" i="22"/>
  <c r="AA32" i="22"/>
  <c r="C32" i="21" s="1"/>
  <c r="L32" i="21" s="1"/>
  <c r="W34" i="32"/>
  <c r="T40" i="32" s="1"/>
  <c r="W33" i="32"/>
  <c r="AA40" i="18"/>
  <c r="C35" i="17" s="1"/>
  <c r="L35" i="17" s="1"/>
  <c r="AD41" i="18"/>
  <c r="S40" i="66"/>
  <c r="C34" i="65" s="1"/>
  <c r="L34" i="65" s="1"/>
  <c r="V41" i="66"/>
  <c r="T56" i="66" s="1"/>
  <c r="V38" i="66"/>
  <c r="AB40" i="66" s="1"/>
  <c r="V38" i="63"/>
  <c r="AB40" i="63" s="1"/>
  <c r="V41" i="63"/>
  <c r="T56" i="63" s="1"/>
  <c r="S40" i="63"/>
  <c r="C34" i="64" s="1"/>
  <c r="L34" i="64" s="1"/>
  <c r="AA40" i="26"/>
  <c r="C35" i="25" s="1"/>
  <c r="L35" i="25" s="1"/>
  <c r="AD41" i="26"/>
  <c r="S32" i="24"/>
  <c r="C31" i="23" s="1"/>
  <c r="L31" i="23" s="1"/>
  <c r="V30" i="24"/>
  <c r="AB32" i="24" s="1"/>
  <c r="V33" i="24"/>
  <c r="AA32" i="28"/>
  <c r="C32" i="27" s="1"/>
  <c r="L32" i="27" s="1"/>
  <c r="AD33" i="28"/>
  <c r="AD34" i="28"/>
  <c r="S40" i="30" l="1"/>
  <c r="C34" i="29" s="1"/>
  <c r="L34" i="29" s="1"/>
  <c r="V41" i="30"/>
  <c r="T56" i="30" s="1"/>
  <c r="V38" i="30"/>
  <c r="AB40" i="30" s="1"/>
  <c r="V48" i="63"/>
  <c r="X49" i="63" s="1"/>
  <c r="AE50" i="63"/>
  <c r="S56" i="63"/>
  <c r="Z67" i="63"/>
  <c r="V63" i="63"/>
  <c r="X63" i="63" s="1"/>
  <c r="V38" i="32"/>
  <c r="AB40" i="32" s="1"/>
  <c r="S40" i="32"/>
  <c r="C34" i="31" s="1"/>
  <c r="L34" i="31" s="1"/>
  <c r="V41" i="32"/>
  <c r="T56" i="32" s="1"/>
  <c r="AE64" i="20"/>
  <c r="Z61" i="20" s="1"/>
  <c r="W63" i="20"/>
  <c r="C39" i="19" s="1"/>
  <c r="L39" i="19" s="1"/>
  <c r="Z47" i="20"/>
  <c r="W49" i="20"/>
  <c r="C37" i="19" s="1"/>
  <c r="L37" i="19" s="1"/>
  <c r="Z47" i="18"/>
  <c r="X52" i="18" s="1"/>
  <c r="X56" i="18" s="1"/>
  <c r="W49" i="18"/>
  <c r="C37" i="17" s="1"/>
  <c r="L37" i="17" s="1"/>
  <c r="W49" i="26"/>
  <c r="C37" i="25" s="1"/>
  <c r="L37" i="25" s="1"/>
  <c r="Z47" i="26"/>
  <c r="X52" i="26" s="1"/>
  <c r="X56" i="26" s="1"/>
  <c r="Z67" i="66"/>
  <c r="S56" i="66"/>
  <c r="V63" i="66"/>
  <c r="X63" i="66" s="1"/>
  <c r="AE50" i="66"/>
  <c r="V48" i="66"/>
  <c r="X49" i="66" s="1"/>
  <c r="AD41" i="16"/>
  <c r="AA40" i="16"/>
  <c r="C35" i="15" s="1"/>
  <c r="L35" i="15" s="1"/>
  <c r="AA40" i="63"/>
  <c r="C35" i="64" s="1"/>
  <c r="L35" i="64" s="1"/>
  <c r="AD41" i="63"/>
  <c r="W34" i="24"/>
  <c r="T40" i="24" s="1"/>
  <c r="W33" i="24"/>
  <c r="AD41" i="66"/>
  <c r="AA40" i="66"/>
  <c r="C35" i="65" s="1"/>
  <c r="L35" i="65" s="1"/>
  <c r="AE64" i="18"/>
  <c r="Z61" i="18" s="1"/>
  <c r="W63" i="18"/>
  <c r="C39" i="17" s="1"/>
  <c r="L39" i="17" s="1"/>
  <c r="W63" i="26"/>
  <c r="C39" i="25" s="1"/>
  <c r="L39" i="25" s="1"/>
  <c r="AE64" i="26"/>
  <c r="Z61" i="26" s="1"/>
  <c r="Z67" i="16"/>
  <c r="AE50" i="16"/>
  <c r="S56" i="16"/>
  <c r="V63" i="16"/>
  <c r="X63" i="16" s="1"/>
  <c r="V48" i="16"/>
  <c r="X49" i="16" s="1"/>
  <c r="AD33" i="24"/>
  <c r="AA32" i="24"/>
  <c r="C32" i="23" s="1"/>
  <c r="L32" i="23" s="1"/>
  <c r="AD34" i="24"/>
  <c r="V41" i="28"/>
  <c r="T56" i="28" s="1"/>
  <c r="S40" i="28"/>
  <c r="C34" i="27" s="1"/>
  <c r="L34" i="27" s="1"/>
  <c r="V38" i="28"/>
  <c r="AB40" i="28" s="1"/>
  <c r="V38" i="22"/>
  <c r="AB40" i="22" s="1"/>
  <c r="V41" i="22"/>
  <c r="T56" i="22" s="1"/>
  <c r="S40" i="22"/>
  <c r="C34" i="21" s="1"/>
  <c r="L34" i="21" s="1"/>
  <c r="AE50" i="30" l="1"/>
  <c r="V48" i="30"/>
  <c r="X49" i="30" s="1"/>
  <c r="S56" i="30"/>
  <c r="Z67" i="30"/>
  <c r="V63" i="30"/>
  <c r="X63" i="30" s="1"/>
  <c r="AD41" i="30"/>
  <c r="AA40" i="30"/>
  <c r="C35" i="29" s="1"/>
  <c r="L35" i="29" s="1"/>
  <c r="V48" i="32"/>
  <c r="X49" i="32" s="1"/>
  <c r="AE50" i="32"/>
  <c r="Z67" i="32"/>
  <c r="S56" i="32"/>
  <c r="V63" i="32"/>
  <c r="X63" i="32" s="1"/>
  <c r="AE50" i="22"/>
  <c r="V48" i="22"/>
  <c r="X49" i="22" s="1"/>
  <c r="Z67" i="22"/>
  <c r="S56" i="22"/>
  <c r="V63" i="22"/>
  <c r="X63" i="22" s="1"/>
  <c r="V63" i="28"/>
  <c r="X63" i="28" s="1"/>
  <c r="S56" i="28"/>
  <c r="V48" i="28"/>
  <c r="X49" i="28" s="1"/>
  <c r="Z67" i="28"/>
  <c r="AE50" i="28"/>
  <c r="Z54" i="26"/>
  <c r="AB74" i="26" s="1"/>
  <c r="W56" i="26"/>
  <c r="C38" i="25" s="1"/>
  <c r="L38" i="25" s="1"/>
  <c r="W49" i="66"/>
  <c r="C37" i="65" s="1"/>
  <c r="L37" i="65" s="1"/>
  <c r="Z47" i="66"/>
  <c r="X52" i="66" s="1"/>
  <c r="X56" i="66" s="1"/>
  <c r="W56" i="18"/>
  <c r="C38" i="17" s="1"/>
  <c r="L38" i="17" s="1"/>
  <c r="Z54" i="18"/>
  <c r="AB74" i="18" s="1"/>
  <c r="S40" i="24"/>
  <c r="C34" i="23" s="1"/>
  <c r="L34" i="23" s="1"/>
  <c r="V38" i="24"/>
  <c r="AB40" i="24" s="1"/>
  <c r="V41" i="24"/>
  <c r="T56" i="24" s="1"/>
  <c r="AA40" i="32"/>
  <c r="C35" i="31" s="1"/>
  <c r="L35" i="31" s="1"/>
  <c r="AD41" i="32"/>
  <c r="AA40" i="28"/>
  <c r="C35" i="27" s="1"/>
  <c r="L35" i="27" s="1"/>
  <c r="AD41" i="28"/>
  <c r="AE64" i="16"/>
  <c r="Z61" i="16" s="1"/>
  <c r="W63" i="16"/>
  <c r="C39" i="15" s="1"/>
  <c r="L39" i="15" s="1"/>
  <c r="AA40" i="22"/>
  <c r="C35" i="21" s="1"/>
  <c r="L35" i="21" s="1"/>
  <c r="AD41" i="22"/>
  <c r="Z47" i="16"/>
  <c r="W49" i="16"/>
  <c r="C37" i="15" s="1"/>
  <c r="L37" i="15" s="1"/>
  <c r="AE64" i="66"/>
  <c r="W63" i="66"/>
  <c r="C39" i="65" s="1"/>
  <c r="L39" i="65" s="1"/>
  <c r="X52" i="20"/>
  <c r="X56" i="20" s="1"/>
  <c r="AE64" i="63"/>
  <c r="Z61" i="63" s="1"/>
  <c r="W63" i="63"/>
  <c r="C39" i="64" s="1"/>
  <c r="L39" i="64" s="1"/>
  <c r="Z47" i="63"/>
  <c r="X52" i="63" s="1"/>
  <c r="X56" i="63" s="1"/>
  <c r="W49" i="63"/>
  <c r="C37" i="64" s="1"/>
  <c r="L37" i="64" s="1"/>
  <c r="W49" i="30" l="1"/>
  <c r="C37" i="29" s="1"/>
  <c r="L37" i="29" s="1"/>
  <c r="Z47" i="30"/>
  <c r="X52" i="30" s="1"/>
  <c r="X56" i="30" s="1"/>
  <c r="W63" i="30"/>
  <c r="C39" i="29" s="1"/>
  <c r="L39" i="29" s="1"/>
  <c r="AE64" i="30"/>
  <c r="AE57" i="26"/>
  <c r="C41" i="25" s="1"/>
  <c r="L41" i="25" s="1"/>
  <c r="V48" i="24"/>
  <c r="X49" i="24" s="1"/>
  <c r="V63" i="24"/>
  <c r="X63" i="24" s="1"/>
  <c r="AE50" i="24"/>
  <c r="S56" i="24"/>
  <c r="Z67" i="24"/>
  <c r="W63" i="22"/>
  <c r="C39" i="21" s="1"/>
  <c r="L39" i="21" s="1"/>
  <c r="AE64" i="22"/>
  <c r="AE64" i="28"/>
  <c r="Z61" i="28" s="1"/>
  <c r="W63" i="28"/>
  <c r="C39" i="27" s="1"/>
  <c r="L39" i="27" s="1"/>
  <c r="W49" i="22"/>
  <c r="C37" i="21" s="1"/>
  <c r="L37" i="21" s="1"/>
  <c r="Z47" i="22"/>
  <c r="X52" i="22" s="1"/>
  <c r="X56" i="22" s="1"/>
  <c r="AD41" i="24"/>
  <c r="AA40" i="24"/>
  <c r="C35" i="23" s="1"/>
  <c r="L35" i="23" s="1"/>
  <c r="Z54" i="20"/>
  <c r="AB74" i="20" s="1"/>
  <c r="W56" i="20"/>
  <c r="C38" i="19" s="1"/>
  <c r="L38" i="19" s="1"/>
  <c r="W49" i="28"/>
  <c r="C37" i="27" s="1"/>
  <c r="L37" i="27" s="1"/>
  <c r="Z47" i="28"/>
  <c r="X52" i="28" s="1"/>
  <c r="X56" i="28" s="1"/>
  <c r="W56" i="63"/>
  <c r="C38" i="64" s="1"/>
  <c r="L38" i="64" s="1"/>
  <c r="Z54" i="63"/>
  <c r="AB74" i="63" s="1"/>
  <c r="AA74" i="18"/>
  <c r="C40" i="17" s="1"/>
  <c r="L40" i="17" s="1"/>
  <c r="AE75" i="18"/>
  <c r="C42" i="17" s="1"/>
  <c r="L42" i="17" s="1"/>
  <c r="Z54" i="66"/>
  <c r="W56" i="66"/>
  <c r="C38" i="65" s="1"/>
  <c r="L38" i="65" s="1"/>
  <c r="AA74" i="26"/>
  <c r="C40" i="25" s="1"/>
  <c r="L40" i="25" s="1"/>
  <c r="AE75" i="26"/>
  <c r="C42" i="25" s="1"/>
  <c r="L42" i="25" s="1"/>
  <c r="Z61" i="66"/>
  <c r="X52" i="16"/>
  <c r="X56" i="16" s="1"/>
  <c r="AE57" i="18"/>
  <c r="AE64" i="32"/>
  <c r="Z61" i="32" s="1"/>
  <c r="W63" i="32"/>
  <c r="C39" i="31" s="1"/>
  <c r="L39" i="31" s="1"/>
  <c r="W49" i="32"/>
  <c r="C37" i="31" s="1"/>
  <c r="L37" i="31" s="1"/>
  <c r="Z47" i="32"/>
  <c r="W56" i="30" l="1"/>
  <c r="C38" i="29" s="1"/>
  <c r="L38" i="29" s="1"/>
  <c r="Z54" i="30"/>
  <c r="AE57" i="30" s="1"/>
  <c r="Z61" i="30"/>
  <c r="AE57" i="63"/>
  <c r="C41" i="64" s="1"/>
  <c r="L41" i="64" s="1"/>
  <c r="AB74" i="66"/>
  <c r="AE75" i="66" s="1"/>
  <c r="C42" i="65" s="1"/>
  <c r="L42" i="65" s="1"/>
  <c r="L44" i="25"/>
  <c r="D16" i="51" s="1"/>
  <c r="D37" i="51" s="1"/>
  <c r="AE57" i="20"/>
  <c r="C41" i="19" s="1"/>
  <c r="L41" i="19" s="1"/>
  <c r="AA74" i="63"/>
  <c r="C40" i="64" s="1"/>
  <c r="L40" i="64" s="1"/>
  <c r="AE75" i="63"/>
  <c r="C42" i="64" s="1"/>
  <c r="L42" i="64" s="1"/>
  <c r="Z54" i="28"/>
  <c r="AE57" i="28" s="1"/>
  <c r="W56" i="28"/>
  <c r="C38" i="27" s="1"/>
  <c r="L38" i="27" s="1"/>
  <c r="W63" i="24"/>
  <c r="C39" i="23" s="1"/>
  <c r="L39" i="23" s="1"/>
  <c r="AE64" i="24"/>
  <c r="Z61" i="24" s="1"/>
  <c r="N4" i="26"/>
  <c r="C3" i="25" s="1"/>
  <c r="L46" i="25" s="1"/>
  <c r="W49" i="24"/>
  <c r="C37" i="23" s="1"/>
  <c r="L37" i="23" s="1"/>
  <c r="Z47" i="24"/>
  <c r="X52" i="24" s="1"/>
  <c r="X56" i="24" s="1"/>
  <c r="W56" i="16"/>
  <c r="C38" i="15" s="1"/>
  <c r="L38" i="15" s="1"/>
  <c r="Z54" i="16"/>
  <c r="AB74" i="16" s="1"/>
  <c r="Z54" i="22"/>
  <c r="AE57" i="22" s="1"/>
  <c r="W56" i="22"/>
  <c r="C38" i="21" s="1"/>
  <c r="L38" i="21" s="1"/>
  <c r="N4" i="18"/>
  <c r="C3" i="17" s="1"/>
  <c r="L46" i="17" s="1"/>
  <c r="C41" i="17"/>
  <c r="L41" i="17" s="1"/>
  <c r="L44" i="17" s="1"/>
  <c r="D23" i="51" s="1"/>
  <c r="D44" i="51" s="1"/>
  <c r="AA74" i="20"/>
  <c r="C40" i="19" s="1"/>
  <c r="L40" i="19" s="1"/>
  <c r="AE75" i="20"/>
  <c r="C42" i="19" s="1"/>
  <c r="L42" i="19" s="1"/>
  <c r="X52" i="32"/>
  <c r="X56" i="32" s="1"/>
  <c r="AE57" i="66"/>
  <c r="Z61" i="22"/>
  <c r="AB74" i="28" l="1"/>
  <c r="AB74" i="22"/>
  <c r="AE75" i="22" s="1"/>
  <c r="C42" i="21" s="1"/>
  <c r="L42" i="21" s="1"/>
  <c r="N4" i="63"/>
  <c r="AA74" i="66"/>
  <c r="C40" i="65" s="1"/>
  <c r="L40" i="65" s="1"/>
  <c r="AB74" i="30"/>
  <c r="C41" i="29"/>
  <c r="L41" i="29" s="1"/>
  <c r="AE57" i="16"/>
  <c r="C41" i="15" s="1"/>
  <c r="L41" i="15" s="1"/>
  <c r="W56" i="24"/>
  <c r="C38" i="23" s="1"/>
  <c r="L38" i="23" s="1"/>
  <c r="Z54" i="24"/>
  <c r="AB74" i="24" s="1"/>
  <c r="C41" i="27"/>
  <c r="L41" i="27" s="1"/>
  <c r="L44" i="64"/>
  <c r="D19" i="51" s="1"/>
  <c r="D40" i="51" s="1"/>
  <c r="AE75" i="28"/>
  <c r="C42" i="27" s="1"/>
  <c r="L42" i="27" s="1"/>
  <c r="AA74" i="28"/>
  <c r="C40" i="27" s="1"/>
  <c r="L40" i="27" s="1"/>
  <c r="W56" i="32"/>
  <c r="C38" i="31" s="1"/>
  <c r="L38" i="31" s="1"/>
  <c r="Z54" i="32"/>
  <c r="AB74" i="32" s="1"/>
  <c r="AA74" i="16"/>
  <c r="C40" i="15" s="1"/>
  <c r="L40" i="15" s="1"/>
  <c r="AE75" i="16"/>
  <c r="C42" i="15" s="1"/>
  <c r="L42" i="15" s="1"/>
  <c r="N4" i="20"/>
  <c r="C3" i="19" s="1"/>
  <c r="L46" i="19" s="1"/>
  <c r="N4" i="66"/>
  <c r="C41" i="65"/>
  <c r="L41" i="65" s="1"/>
  <c r="C41" i="21"/>
  <c r="L41" i="21" s="1"/>
  <c r="L44" i="19"/>
  <c r="D22" i="51" s="1"/>
  <c r="D43" i="51" s="1"/>
  <c r="AA74" i="22" l="1"/>
  <c r="C40" i="21" s="1"/>
  <c r="L40" i="21" s="1"/>
  <c r="L44" i="65"/>
  <c r="D21" i="51" s="1"/>
  <c r="D42" i="51" s="1"/>
  <c r="N4" i="22"/>
  <c r="C3" i="21" s="1"/>
  <c r="L46" i="21" s="1"/>
  <c r="AE57" i="32"/>
  <c r="C41" i="31" s="1"/>
  <c r="L41" i="31" s="1"/>
  <c r="AA74" i="30"/>
  <c r="C40" i="29" s="1"/>
  <c r="L40" i="29" s="1"/>
  <c r="AE75" i="30"/>
  <c r="N4" i="16"/>
  <c r="C3" i="15" s="1"/>
  <c r="L46" i="15" s="1"/>
  <c r="L44" i="21"/>
  <c r="D20" i="51" s="1"/>
  <c r="D41" i="51" s="1"/>
  <c r="AA74" i="24"/>
  <c r="C40" i="23" s="1"/>
  <c r="L40" i="23" s="1"/>
  <c r="AE75" i="24"/>
  <c r="C42" i="23" s="1"/>
  <c r="L42" i="23" s="1"/>
  <c r="AE75" i="32"/>
  <c r="C42" i="31" s="1"/>
  <c r="L42" i="31" s="1"/>
  <c r="AA74" i="32"/>
  <c r="C40" i="31" s="1"/>
  <c r="L40" i="31" s="1"/>
  <c r="L44" i="27"/>
  <c r="D15" i="51" s="1"/>
  <c r="L44" i="15"/>
  <c r="D24" i="51" s="1"/>
  <c r="D45" i="51" s="1"/>
  <c r="N4" i="28"/>
  <c r="C3" i="27" s="1"/>
  <c r="L46" i="27" s="1"/>
  <c r="AE57" i="24"/>
  <c r="C42" i="29" l="1"/>
  <c r="L42" i="29" s="1"/>
  <c r="L44" i="29" s="1"/>
  <c r="D14" i="51" s="1"/>
  <c r="D35" i="51" s="1"/>
  <c r="N4" i="30"/>
  <c r="C3" i="29" s="1"/>
  <c r="L46" i="29" s="1"/>
  <c r="N4" i="32"/>
  <c r="C3" i="64" s="1"/>
  <c r="L46" i="64" s="1"/>
  <c r="N4" i="24"/>
  <c r="C3" i="23" s="1"/>
  <c r="L46" i="23" s="1"/>
  <c r="C41" i="23"/>
  <c r="L41" i="23" s="1"/>
  <c r="L44" i="23" s="1"/>
  <c r="D17" i="51" s="1"/>
  <c r="L44" i="31"/>
  <c r="D18" i="51" s="1"/>
  <c r="D39" i="51" s="1"/>
  <c r="D36" i="51"/>
  <c r="C3" i="65" l="1"/>
  <c r="L46" i="65" s="1"/>
  <c r="C3" i="31"/>
  <c r="L46" i="31" s="1"/>
  <c r="D38" i="51"/>
  <c r="D25" i="51"/>
  <c r="D27" i="51" s="1"/>
  <c r="E37" i="51" l="1"/>
  <c r="G37" i="51" s="1"/>
  <c r="B11" i="60" s="1"/>
  <c r="E35" i="51"/>
  <c r="G35" i="51" s="1"/>
  <c r="E44" i="51"/>
  <c r="G44" i="51" s="1"/>
  <c r="B18" i="60" s="1"/>
  <c r="E42" i="51"/>
  <c r="G42" i="51" s="1"/>
  <c r="B16" i="60" s="1"/>
  <c r="E43" i="51"/>
  <c r="G43" i="51" s="1"/>
  <c r="E40" i="51"/>
  <c r="G40" i="51" s="1"/>
  <c r="E41" i="51"/>
  <c r="G41" i="51" s="1"/>
  <c r="E45" i="51"/>
  <c r="G45" i="51" s="1"/>
  <c r="B19" i="60" s="1"/>
  <c r="E36" i="51"/>
  <c r="G36" i="51" s="1"/>
  <c r="E39" i="51"/>
  <c r="G39" i="51" s="1"/>
  <c r="E10" i="61" s="1"/>
  <c r="E38" i="51"/>
  <c r="G38" i="51" s="1"/>
  <c r="B12" i="60" s="1"/>
  <c r="B15" i="60" l="1"/>
  <c r="B10" i="61"/>
  <c r="B12" i="55"/>
  <c r="B13" i="60"/>
  <c r="B9" i="55"/>
  <c r="B9" i="60"/>
  <c r="B11" i="55"/>
  <c r="B8" i="55"/>
  <c r="E11" i="61"/>
  <c r="B14" i="60"/>
  <c r="B15" i="55"/>
  <c r="B10" i="60"/>
  <c r="B14" i="55"/>
  <c r="B17" i="60"/>
  <c r="B11" i="61"/>
  <c r="E12" i="61" l="1"/>
  <c r="B13" i="55"/>
  <c r="B16" i="55"/>
  <c r="B12" i="61"/>
  <c r="B10" i="55"/>
  <c r="B16" i="61" l="1"/>
</calcChain>
</file>

<file path=xl/sharedStrings.xml><?xml version="1.0" encoding="utf-8"?>
<sst xmlns="http://schemas.openxmlformats.org/spreadsheetml/2006/main" count="3023" uniqueCount="567">
  <si>
    <t>MARKETING MAIL PRESORT LETTERS SUMMARY</t>
  </si>
  <si>
    <t xml:space="preserve">USPS-FY25-10 </t>
  </si>
  <si>
    <t>[1]</t>
  </si>
  <si>
    <t>TOTAL MAIL</t>
  </si>
  <si>
    <t xml:space="preserve">PROCESSING </t>
  </si>
  <si>
    <t>PRICE CATEGORY</t>
  </si>
  <si>
    <t>UNIT COST</t>
  </si>
  <si>
    <t>(CENTS)</t>
  </si>
  <si>
    <t>Nonautomation Nonmachinable MADC Presort Letters</t>
  </si>
  <si>
    <t>Nonautomation Nonmachinable ADC Presort Letters</t>
  </si>
  <si>
    <t>Nonautomation Nonmachinable 3-Digit Presort Letters</t>
  </si>
  <si>
    <t>Nonautomation Nonmachinable 5-Digit Presort Letters</t>
  </si>
  <si>
    <t>Nonautomation Machinable MAADC Presort Letters</t>
  </si>
  <si>
    <t>Nonautomation Machinable AADC Presort Letters</t>
  </si>
  <si>
    <t>Automation MAADC Presort Letters</t>
  </si>
  <si>
    <t>Automation AADC Presort Letters</t>
  </si>
  <si>
    <t>Automation 3-Digit Presort Letters</t>
  </si>
  <si>
    <t>Automation 5-Digit Presort Letters</t>
  </si>
  <si>
    <t>Sources:</t>
  </si>
  <si>
    <t>[1]: from 'PRESORT LETTERS SUM'</t>
  </si>
  <si>
    <t>MARKETING MAIL PRESORT LETTERS MAIL PROCESSING UNIT COST SUMMARY</t>
  </si>
  <si>
    <t>Table 1:  CRA Mail Processing Unit Costs</t>
  </si>
  <si>
    <t>Proportional Cost Pools</t>
  </si>
  <si>
    <t>1/</t>
  </si>
  <si>
    <t>Fixed Cost Pools</t>
  </si>
  <si>
    <t>2/</t>
  </si>
  <si>
    <t>Total</t>
  </si>
  <si>
    <t>3/</t>
  </si>
  <si>
    <t>Table 2:  CRA Proportional Adjustment Factor</t>
  </si>
  <si>
    <t>Model Cost</t>
  </si>
  <si>
    <t>Volume</t>
  </si>
  <si>
    <t>Volume %</t>
  </si>
  <si>
    <t>Base Model Costs</t>
  </si>
  <si>
    <t>[3]</t>
  </si>
  <si>
    <t>Nonautomation Nonmachinable MADC</t>
  </si>
  <si>
    <t>Nonautomation Nonmachinable ADC</t>
  </si>
  <si>
    <t>Nonautomation Nonmachinable 3-Digit</t>
  </si>
  <si>
    <t>Nonautomation Nonmachinable 5-Digit</t>
  </si>
  <si>
    <t>Nonautomation Machinable MAADC</t>
  </si>
  <si>
    <t>Nonautomation Machinable AADC</t>
  </si>
  <si>
    <t>Automation MAADC</t>
  </si>
  <si>
    <t>Nonauto MAADC BC-Benchmark</t>
  </si>
  <si>
    <t>NA</t>
  </si>
  <si>
    <t>Automation AADC</t>
  </si>
  <si>
    <t>Automation 3-Digit</t>
  </si>
  <si>
    <t>Automation 5-Digit</t>
  </si>
  <si>
    <t>Total Weighted Model Cost</t>
  </si>
  <si>
    <t>4/</t>
  </si>
  <si>
    <t>CRA Proportional Adjustment</t>
  </si>
  <si>
    <t>5/</t>
  </si>
  <si>
    <t>.</t>
  </si>
  <si>
    <t>Table 3:  Adjusted Letter Unit Mail Processing Costs</t>
  </si>
  <si>
    <t>CRA</t>
  </si>
  <si>
    <t>Fixed</t>
  </si>
  <si>
    <t>Model</t>
  </si>
  <si>
    <t xml:space="preserve">Adjusted </t>
  </si>
  <si>
    <t>Cost Pool</t>
  </si>
  <si>
    <t>Mail Proc</t>
  </si>
  <si>
    <t>Unit Cost</t>
  </si>
  <si>
    <t>Price Category</t>
  </si>
  <si>
    <t>[4]</t>
  </si>
  <si>
    <t>[5]</t>
  </si>
  <si>
    <t>[6]</t>
  </si>
  <si>
    <t>[7]</t>
  </si>
  <si>
    <t>[1]:  Model costs from pages corresponding Price Category 'cost' sheets</t>
  </si>
  <si>
    <t xml:space="preserve">[2]:  Tab 'MCS LETTERS' mail volume data </t>
  </si>
  <si>
    <t>[3]:  Volume in each row [2] divided by the total volume [2]</t>
  </si>
  <si>
    <t>[4]:  [1]</t>
  </si>
  <si>
    <t>[5]:  [4] x 5/</t>
  </si>
  <si>
    <t>[6]:  2/</t>
  </si>
  <si>
    <t>[7]:  [5] + [6]</t>
  </si>
  <si>
    <t>1/: Sum of tab 'CRA - PRESORT LETTERS' proportional cost pools</t>
  </si>
  <si>
    <t>2/: Sum of 'CRA - PRESORT LETTERS' fixed cost pools</t>
  </si>
  <si>
    <t>3/: 1/ + 2/</t>
  </si>
  <si>
    <t xml:space="preserve">4/:  Sumproduct ( [1] , [3] ) </t>
  </si>
  <si>
    <t>5/:  1/ divided by 4/</t>
  </si>
  <si>
    <t>MARKETING  MAIL PRESORT LETTERS</t>
  </si>
  <si>
    <t>CRA MAIL PROCESSING COSTS</t>
  </si>
  <si>
    <t>Source: USPS-FY25-26</t>
  </si>
  <si>
    <t>Source - Worksheet LTTR Unit Costs  Final Adj.</t>
  </si>
  <si>
    <t>Worksharing-Related</t>
  </si>
  <si>
    <t>Cost Pools</t>
  </si>
  <si>
    <t>Total (Cents)</t>
  </si>
  <si>
    <t>Proportional (Cents)</t>
  </si>
  <si>
    <t>Fixed (Cents)</t>
  </si>
  <si>
    <t>Key</t>
  </si>
  <si>
    <t>Treatment</t>
  </si>
  <si>
    <t>MODS 11</t>
  </si>
  <si>
    <t>D/BCS</t>
  </si>
  <si>
    <t>Piece Sorting</t>
  </si>
  <si>
    <t>Proportional</t>
  </si>
  <si>
    <t>MODS 12</t>
  </si>
  <si>
    <t>AFSM100</t>
  </si>
  <si>
    <t>Fwd/Accept/Cust.Srv.</t>
  </si>
  <si>
    <t>WS Fixed</t>
  </si>
  <si>
    <t>Non-WS</t>
  </si>
  <si>
    <t>Non WS</t>
  </si>
  <si>
    <t>FSS</t>
  </si>
  <si>
    <t>Unexpected</t>
  </si>
  <si>
    <t>MODS 13</t>
  </si>
  <si>
    <t>APBS BUNDLE</t>
  </si>
  <si>
    <t>Allied/Support</t>
  </si>
  <si>
    <t>Piggybacked</t>
  </si>
  <si>
    <t>APBSPRIO</t>
  </si>
  <si>
    <t>MODS 16</t>
  </si>
  <si>
    <t>LCUS-SSM</t>
  </si>
  <si>
    <t>Note: OPBULK, OPPREF and Pouching</t>
  </si>
  <si>
    <t>1TRAYSRT</t>
  </si>
  <si>
    <t xml:space="preserve">were WS related fixed in 3 column system, </t>
  </si>
  <si>
    <t>MODS 14</t>
  </si>
  <si>
    <t>MANF</t>
  </si>
  <si>
    <t>are grouped with prep and accept</t>
  </si>
  <si>
    <t>MANL</t>
  </si>
  <si>
    <t>MANP</t>
  </si>
  <si>
    <t>PRIORITY</t>
  </si>
  <si>
    <t>MODS 15</t>
  </si>
  <si>
    <t>LD15</t>
  </si>
  <si>
    <t>MODS 17</t>
  </si>
  <si>
    <t>1CANCEL</t>
  </si>
  <si>
    <t>1DSPATCH</t>
  </si>
  <si>
    <t xml:space="preserve">                                                                         </t>
  </si>
  <si>
    <t>1MTRPREP</t>
  </si>
  <si>
    <t>1OPBULK</t>
  </si>
  <si>
    <t>1OPPREF</t>
  </si>
  <si>
    <t>1OPTRANS</t>
  </si>
  <si>
    <t>1PLATFRM</t>
  </si>
  <si>
    <t>1POUCHNG</t>
  </si>
  <si>
    <t>1PRESORT</t>
  </si>
  <si>
    <t>1SACKS_H</t>
  </si>
  <si>
    <t>1SCAN</t>
  </si>
  <si>
    <t>MODS 18</t>
  </si>
  <si>
    <t>BUSREPLY</t>
  </si>
  <si>
    <t>EXPRESS</t>
  </si>
  <si>
    <t>REGISTRY</t>
  </si>
  <si>
    <t>REWRAP</t>
  </si>
  <si>
    <t>1EEQMT</t>
  </si>
  <si>
    <t>1MISC</t>
  </si>
  <si>
    <t>1SUPPORT</t>
  </si>
  <si>
    <t>MODS 19</t>
  </si>
  <si>
    <t>INTL ISC</t>
  </si>
  <si>
    <t>MODS Subtotal</t>
  </si>
  <si>
    <t>NDCS</t>
  </si>
  <si>
    <t>OTHR</t>
  </si>
  <si>
    <t>PLA</t>
  </si>
  <si>
    <t>PSM</t>
  </si>
  <si>
    <t>APBS</t>
  </si>
  <si>
    <t>SSM</t>
  </si>
  <si>
    <t>TRAYSORT</t>
  </si>
  <si>
    <t>NDC Subtotal</t>
  </si>
  <si>
    <t>NON MODS</t>
  </si>
  <si>
    <t>ALLIED</t>
  </si>
  <si>
    <t>AUTO/MEC</t>
  </si>
  <si>
    <t>BULKACCP</t>
  </si>
  <si>
    <t>CFS</t>
  </si>
  <si>
    <t>D.PO BOX</t>
  </si>
  <si>
    <t>MISC</t>
  </si>
  <si>
    <t>OTH ACCT</t>
  </si>
  <si>
    <t>Non MODS Subtotal</t>
  </si>
  <si>
    <t>Total Assigned</t>
  </si>
  <si>
    <t>(piggyback basis)</t>
  </si>
  <si>
    <t>MARKETING MAIL AUTOMATION MAADC PRESORTED LETTERS</t>
  </si>
  <si>
    <t>COST SHEET</t>
  </si>
  <si>
    <t>Total Pieces</t>
  </si>
  <si>
    <t>[2]</t>
  </si>
  <si>
    <t>[8]</t>
  </si>
  <si>
    <t>Direct</t>
  </si>
  <si>
    <t>Premium</t>
  </si>
  <si>
    <t>Weighted</t>
  </si>
  <si>
    <t>Pieces</t>
  </si>
  <si>
    <t>Wage</t>
  </si>
  <si>
    <t>Cents</t>
  </si>
  <si>
    <t>Pay</t>
  </si>
  <si>
    <t>Piggyback</t>
  </si>
  <si>
    <t>TPH</t>
  </si>
  <si>
    <t>Per Hour</t>
  </si>
  <si>
    <t>Rate</t>
  </si>
  <si>
    <t>Per Piece</t>
  </si>
  <si>
    <t>Adjust</t>
  </si>
  <si>
    <t>Factor</t>
  </si>
  <si>
    <t>Entry Activities</t>
  </si>
  <si>
    <t>Package Sorting</t>
  </si>
  <si>
    <t>Outgoing RBCS</t>
  </si>
  <si>
    <t>ISS</t>
  </si>
  <si>
    <t>RCR</t>
  </si>
  <si>
    <t>--</t>
  </si>
  <si>
    <t>REC</t>
  </si>
  <si>
    <t>OSS</t>
  </si>
  <si>
    <t>LCREM</t>
  </si>
  <si>
    <t>Outgoing Primary</t>
  </si>
  <si>
    <t>Automation</t>
  </si>
  <si>
    <t>Manual</t>
  </si>
  <si>
    <t>Outgoing Secondary</t>
  </si>
  <si>
    <t>Incoming RBCS</t>
  </si>
  <si>
    <t>Incoming MMP</t>
  </si>
  <si>
    <t>Manual ADC</t>
  </si>
  <si>
    <t>Incoming SCF/Primary</t>
  </si>
  <si>
    <t>Incoming Secondaries</t>
  </si>
  <si>
    <t>Auto Carrier Route</t>
  </si>
  <si>
    <t>Auto 3-Pass DPS</t>
  </si>
  <si>
    <t>Auto 2-Pass DPS</t>
  </si>
  <si>
    <t>Man Inc Sec Final At DU</t>
  </si>
  <si>
    <t>Box Section Sort, DPS</t>
  </si>
  <si>
    <t>Box Section Sort, Other</t>
  </si>
  <si>
    <t>Model Cost  1/</t>
  </si>
  <si>
    <t>DPS %  2/</t>
  </si>
  <si>
    <t>[1]:  Tab 'AUTO MAADC MODEL'</t>
  </si>
  <si>
    <t>[2]:  Tab 'PRODUCTIVITY'</t>
  </si>
  <si>
    <t>[3]:  Tab 'WAGE RATE - PIGGYBACK FACTORS'</t>
  </si>
  <si>
    <t>[4]:  [3] * [2] / 100</t>
  </si>
  <si>
    <t>[5]:  [4] * [ premium pay factor (page 30) - 1]</t>
  </si>
  <si>
    <t>[6]:  Tab 'WAGE RATE - PIGGYBACK FACTORS'</t>
  </si>
  <si>
    <t>[7]:  [4] * [6] + [5]</t>
  </si>
  <si>
    <t>[8]:  [1] * [7] / 10,000</t>
  </si>
  <si>
    <t>1/:  Sum of [8]</t>
  </si>
  <si>
    <t>2/:  Tab 'AUTO MAADC MODEL' (Pieces Finalized in DPS Operations) / (Total Pieces Out)</t>
  </si>
  <si>
    <t>MAIL FLOW MODEL</t>
  </si>
  <si>
    <t>PCS IN =</t>
  </si>
  <si>
    <t>PCS OUT =</t>
  </si>
  <si>
    <t>ENTRY POINTS:</t>
  </si>
  <si>
    <t>Out ISS</t>
  </si>
  <si>
    <t>Inc ISS/RCR</t>
  </si>
  <si>
    <t>Inc ADC Man</t>
  </si>
  <si>
    <t>Out RCR</t>
  </si>
  <si>
    <t>Inc MMP Auto</t>
  </si>
  <si>
    <t>Inc SCF/Prim Man</t>
  </si>
  <si>
    <t>Out Prim Auto</t>
  </si>
  <si>
    <t>Inc SCF/Prim Auto</t>
  </si>
  <si>
    <t>Inc Sec Man</t>
  </si>
  <si>
    <t>Out Sec Auto</t>
  </si>
  <si>
    <t>Inc Sec Auto</t>
  </si>
  <si>
    <t>Out Prim Man</t>
  </si>
  <si>
    <t>Out Sec Man</t>
  </si>
  <si>
    <t>OUTGOING RBCS</t>
  </si>
  <si>
    <t>Rejects to Out Prim Man</t>
  </si>
  <si>
    <t>Inc Prim Man</t>
  </si>
  <si>
    <t>Rejects to Out Sec Man</t>
  </si>
  <si>
    <t>(to out OSS)</t>
  </si>
  <si>
    <t>(image)</t>
  </si>
  <si>
    <t>(mail</t>
  </si>
  <si>
    <t>piece)</t>
  </si>
  <si>
    <t>Out LCREM</t>
  </si>
  <si>
    <t>Out REC</t>
  </si>
  <si>
    <t>Rejects to Inc ADC Man</t>
  </si>
  <si>
    <t>Leakage to Out Prim Man</t>
  </si>
  <si>
    <t>Out OSS</t>
  </si>
  <si>
    <t>ID Tag Error</t>
  </si>
  <si>
    <t>Rejects to Inc Prim Man</t>
  </si>
  <si>
    <t>OSS Refeeds</t>
  </si>
  <si>
    <t>INCOMING RBCS</t>
  </si>
  <si>
    <t>Inc Sec 1 Pass Auto</t>
  </si>
  <si>
    <t>Rejects to Inc Sec Man</t>
  </si>
  <si>
    <t>Finalized</t>
  </si>
  <si>
    <t>Inc Sec 3 Pass Auto</t>
  </si>
  <si>
    <t>(to inc OSS)</t>
  </si>
  <si>
    <t>Inc Sec 2 Pass Auto</t>
  </si>
  <si>
    <t>Inc LCREM</t>
  </si>
  <si>
    <t>Inc REC</t>
  </si>
  <si>
    <t>Leakage to Inc ADC Man</t>
  </si>
  <si>
    <t>Inc OSS</t>
  </si>
  <si>
    <t>MARKETING MAIL MACHINABLE MAADC PRESORTED LETTERS</t>
  </si>
  <si>
    <t>[1]:  Tab 'MACH MAADC MODEL'</t>
  </si>
  <si>
    <t>2/:  Tab 'MACH MAADC MODEL' (Pieces Finalized in DPS Operations) / (Total Pieces Out)</t>
  </si>
  <si>
    <t>ACCEPTANCE RATE SUMMARY</t>
  </si>
  <si>
    <t>Operation</t>
  </si>
  <si>
    <t>Percent</t>
  </si>
  <si>
    <t>DIOSS Accept Rate</t>
  </si>
  <si>
    <t>DIOSS Rejects</t>
  </si>
  <si>
    <t>To OSS</t>
  </si>
  <si>
    <t>To Man</t>
  </si>
  <si>
    <t>OSS Reject Rates</t>
  </si>
  <si>
    <t>ISS Refeeds</t>
  </si>
  <si>
    <t>Inc Sec 2 Pass Auto - Pass 1</t>
  </si>
  <si>
    <t>Inc Sec 2 Pass Auto - Pass 2</t>
  </si>
  <si>
    <t xml:space="preserve">1/:  USPS-FY08-10 density results.xls 'RBCS RESULTS' </t>
  </si>
  <si>
    <t>2/:  WebEOR data extract FY25</t>
  </si>
  <si>
    <t>MARKETING MAIL AUTOMATION AADC PRESORTED LETTERS</t>
  </si>
  <si>
    <t>[1]:  Tab 'AUTO AADC MODEL'</t>
  </si>
  <si>
    <t>[3]:  Tab ''WAGE RATE - PIGGYBACK FACTORS'</t>
  </si>
  <si>
    <t>2/:  Tab 'AUTO AADC MODEL' (Pieces Finalized in DPS Operations) / (Total Pieces Out)</t>
  </si>
  <si>
    <t>MARKETING MAIL AUTOMATION 3-DIGIT PRESORTED LETTERS</t>
  </si>
  <si>
    <t>[1]:  Tab'AUTO 3-DIGIT MODEL'</t>
  </si>
  <si>
    <t>2/:  Tab 'AUTO 3-DIGIT MODEL' (Pieces Finalized in DPS Operations) / (Total Pieces Out)</t>
  </si>
  <si>
    <t>MARKETING MAIL AUTOMATION 5-DIGIT PRESORTED LETTERS</t>
  </si>
  <si>
    <t>[1]:  Tab'AUTO 5-DIGIT MODEL'</t>
  </si>
  <si>
    <t>2/:  Tab 'AUTO 5-DIGIT MODEL' (Pieces Finalized in DPS Operations) / (Total Pieces Out)</t>
  </si>
  <si>
    <t>MARKETING MAIL MACHINABLE AADC PRESORTED LETTERS</t>
  </si>
  <si>
    <t>[1]:  Tab 'MACH AADC MODEL'</t>
  </si>
  <si>
    <t>2/:  Tab 'MACH AADC MODEL' (Pieces Finalized in DPS Operations) / (Total Pieces Out)</t>
  </si>
  <si>
    <t>MARKETING MAIL NONMACHINABLE MADC PRESORTED LETTERS</t>
  </si>
  <si>
    <t>[1]:  Tab 'NMACH MADC MODEL'</t>
  </si>
  <si>
    <t>2/:  Tab 'NMACH MADC MODEL' (Pieces Finalized in DPS Operations) / (Total Pieces Out)</t>
  </si>
  <si>
    <t>MARKETING MAIL NONMACHINABLE ADC PRESORTED LETTERS</t>
  </si>
  <si>
    <t>[1]:  Tab 'NMACH ADC MODEL'</t>
  </si>
  <si>
    <t>2/:  Tab 'NMACH ADC MODEL' (Pieces Finalized in DPS Operations) / (Total Pieces Out)</t>
  </si>
  <si>
    <t>MARKETING MAIL NONMACHINABLE 3-DIGIT PRESORTED LETTERS</t>
  </si>
  <si>
    <t>[1]:  Tab 'NMACH 3-DIGIT MODEL'</t>
  </si>
  <si>
    <t>2/:  Tab 'NMACH 3-DIGIT MODEL' (Pieces Finalized in DPS Operations) / (Total Pieces Out)</t>
  </si>
  <si>
    <t>MARKETING MAIL NONMACHINABLE 5-DIGIT PRESORTED LETTERS</t>
  </si>
  <si>
    <t>[1]:  Tab 'NMACH 5-DIGIT MODEL'</t>
  </si>
  <si>
    <t>2/:  Tab 'NMACH 5-DIGIT MODEL' (Pieces Finalized in DPS Operations) / (Total Pieces Out)</t>
  </si>
  <si>
    <t>MARKETING MAIL PRESORT LETTERS</t>
  </si>
  <si>
    <t>NONAUTOMATION MACHINABLE ADDITIONAL COST SUMMARY</t>
  </si>
  <si>
    <t>Nonautomation</t>
  </si>
  <si>
    <t>Machinable</t>
  </si>
  <si>
    <t>Letters</t>
  </si>
  <si>
    <t>Mail Processing</t>
  </si>
  <si>
    <t>Presort Level</t>
  </si>
  <si>
    <t>Unit Cost (Cents)</t>
  </si>
  <si>
    <t>MADC</t>
  </si>
  <si>
    <t>AADC</t>
  </si>
  <si>
    <t>Aggregate / Total</t>
  </si>
  <si>
    <t>Additional Cost</t>
  </si>
  <si>
    <t>[1]: Tab 'PRESORT LETTERS SUM'</t>
  </si>
  <si>
    <t>[2]: Tab 'MCS LETTERS'</t>
  </si>
  <si>
    <t>[3]: Price Category [2] / Total [2]</t>
  </si>
  <si>
    <t>[4]: Tab  'PRESORT LETTERS SUM'</t>
  </si>
  <si>
    <t>1/: Sumproduct ( [4] , [3] )</t>
  </si>
  <si>
    <t>2/: Aggregate [4] - Aggregate [1]</t>
  </si>
  <si>
    <t>NONAUTOMATION NONMACHINABLE ADDITIONAL COST SUMMARY</t>
  </si>
  <si>
    <t>LETTERS</t>
  </si>
  <si>
    <t>MAIL PROCESSING</t>
  </si>
  <si>
    <t>MAIL TYPE</t>
  </si>
  <si>
    <t>Nonautomation Nonmachinable MADC / ADC</t>
  </si>
  <si>
    <t>Nonautomation Machinable MAADC / AADC</t>
  </si>
  <si>
    <t>Cost Difference</t>
  </si>
  <si>
    <t>6/</t>
  </si>
  <si>
    <t>7/</t>
  </si>
  <si>
    <t>8/</t>
  </si>
  <si>
    <t>9/</t>
  </si>
  <si>
    <t xml:space="preserve">     </t>
  </si>
  <si>
    <t xml:space="preserve">      </t>
  </si>
  <si>
    <t>1/:  Weighted Average of  from Tab 'PRESORT LETTERS SUM'</t>
  </si>
  <si>
    <t xml:space="preserve">    </t>
  </si>
  <si>
    <t>2/:  Weighted average of Tab 'PRESORT LETTERS SUM'</t>
  </si>
  <si>
    <t>3/:  1/ - 2/</t>
  </si>
  <si>
    <t xml:space="preserve">       </t>
  </si>
  <si>
    <t>4/:  Tab 'PRESORT LETTERS SUM'</t>
  </si>
  <si>
    <t xml:space="preserve">                </t>
  </si>
  <si>
    <t>5/:  'PRESORT LETTERS SUM'</t>
  </si>
  <si>
    <t>6/:  4/ - 5/</t>
  </si>
  <si>
    <t>7/:  Tab 'PRESORT LETTERS SUM'</t>
  </si>
  <si>
    <t>8/:  Tab 'PRESORT LETTERS SUM'</t>
  </si>
  <si>
    <t>9/:  7/ - 8/</t>
  </si>
  <si>
    <t>Productivities</t>
  </si>
  <si>
    <t>Average</t>
  </si>
  <si>
    <t>Variability</t>
  </si>
  <si>
    <t>Marginal</t>
  </si>
  <si>
    <t>Description</t>
  </si>
  <si>
    <t>Productivity</t>
  </si>
  <si>
    <t>Outgoing ISS</t>
  </si>
  <si>
    <t>[1f]</t>
  </si>
  <si>
    <t>Incoming ISS</t>
  </si>
  <si>
    <t>[1g]</t>
  </si>
  <si>
    <t>[1a]</t>
  </si>
  <si>
    <t>Outgoing OSS</t>
  </si>
  <si>
    <t>Incoming OSS</t>
  </si>
  <si>
    <t>Outgoing BCS Primary</t>
  </si>
  <si>
    <t>Outgoing BCS Secondary</t>
  </si>
  <si>
    <t>Incoming BCS MMP</t>
  </si>
  <si>
    <t>Incoming BCS SCF/Primary</t>
  </si>
  <si>
    <t>Incoming BCS Secondary Carrier Route(1 Pass)</t>
  </si>
  <si>
    <t>Incoming BCS Secondary DPS (2 Pass)</t>
  </si>
  <si>
    <t>Manual Out Primary</t>
  </si>
  <si>
    <t>[1h]</t>
  </si>
  <si>
    <t>Manual Out Secondary</t>
  </si>
  <si>
    <t>Manual In MMP</t>
  </si>
  <si>
    <t>Manual In SCF/Primary</t>
  </si>
  <si>
    <t>Manual Incoming Secondary Delivery Units</t>
  </si>
  <si>
    <t>[1b]</t>
  </si>
  <si>
    <t>Post Office Box DPS Wall</t>
  </si>
  <si>
    <t>[1c]</t>
  </si>
  <si>
    <t>Post Office Box Non-DPS Wall</t>
  </si>
  <si>
    <t>Manual Plant Bundle Sorting Productivity</t>
  </si>
  <si>
    <t>[1d]</t>
  </si>
  <si>
    <t>[1]:  Data Source for Average Productivities</t>
  </si>
  <si>
    <t>[1a]:  USPS-FY25-23</t>
  </si>
  <si>
    <t>[1b]:  Docket No. RM2025-4 Order No. 8713 (February 21, 2025)</t>
  </si>
  <si>
    <t>[1c]:  Docket No. MC95-1, Exhibit USPS-T-10J, page 2</t>
  </si>
  <si>
    <t>[1d]:  Docket No. MC95-1, Exhibit USPS-T-10B, page 1, column 1</t>
  </si>
  <si>
    <t>[1f]:   USPS-FY25-23; Docket No. RM2012-2 Proposal Seventeen</t>
  </si>
  <si>
    <t>[1g]:  USPS-FY25-23; Docket No. RM2012-2 Proposal Seventeen</t>
  </si>
  <si>
    <t>[1h]:  USPS-FY15-23</t>
  </si>
  <si>
    <t>[2]:  USPS-FY25-7</t>
  </si>
  <si>
    <t>[3]:  [1] / [2]</t>
  </si>
  <si>
    <t>MISCELLANEOUS FACTORS</t>
  </si>
  <si>
    <t xml:space="preserve"> </t>
  </si>
  <si>
    <t>Value</t>
  </si>
  <si>
    <t>RBCS leakage rate</t>
  </si>
  <si>
    <t>1a/</t>
  </si>
  <si>
    <t>RCR finalization rate</t>
  </si>
  <si>
    <t>1b/</t>
  </si>
  <si>
    <t>RCR cost per image (cents)</t>
  </si>
  <si>
    <t>Auto carrier route presort % to CSBCS site</t>
  </si>
  <si>
    <t>Finalized at least to carrier route at plant</t>
  </si>
  <si>
    <t>Post Office Box destination</t>
  </si>
  <si>
    <t>Nonmachinable single-piece letters % accept</t>
  </si>
  <si>
    <t>Automation Incoming Secondaries</t>
  </si>
  <si>
    <t>Delivery Unit (ZIP Code)</t>
  </si>
  <si>
    <t>Carrier Route</t>
  </si>
  <si>
    <t>2-Pass DPS (DBCS)</t>
  </si>
  <si>
    <t>1a/:  Pursuant to Order No. 741</t>
  </si>
  <si>
    <t>1b/:  FY25 RBCS Data</t>
  </si>
  <si>
    <t>2/: RCR Costs (in cents)/ RCR images processed</t>
  </si>
  <si>
    <t>3/: Zeroed due to CSBCS equipment removal from service in FY 13</t>
  </si>
  <si>
    <t>4/:  Docket No. R2006-1, USPS-T-42, page 20 at lines 2-5</t>
  </si>
  <si>
    <t>5/:  FY25 CPC Data</t>
  </si>
  <si>
    <t>6/:  Docket No. R2000-1, Tr. 22/10162 at 16</t>
  </si>
  <si>
    <t>7/:  FY25 F.A.S.T. Data</t>
  </si>
  <si>
    <t>Presort Letters Mail Flow Densities</t>
  </si>
  <si>
    <t>Outgoing</t>
  </si>
  <si>
    <t>Incoming</t>
  </si>
  <si>
    <t>Mgd Mail</t>
  </si>
  <si>
    <t>SCF/</t>
  </si>
  <si>
    <t>From Operation</t>
  </si>
  <si>
    <t>Refeeds</t>
  </si>
  <si>
    <t>Primary</t>
  </si>
  <si>
    <t>Secondary</t>
  </si>
  <si>
    <t>Program</t>
  </si>
  <si>
    <t>Inc Sec</t>
  </si>
  <si>
    <t>Out ISS Auto</t>
  </si>
  <si>
    <t>Out OSS Auto</t>
  </si>
  <si>
    <t>Inc ISS Auto</t>
  </si>
  <si>
    <t>Inc OSS Auto</t>
  </si>
  <si>
    <t>Source:</t>
  </si>
  <si>
    <t>Pursuant to Order No. 741</t>
  </si>
  <si>
    <t>Wage Rates and Piggyback Factors</t>
  </si>
  <si>
    <t>WAGE RATES</t>
  </si>
  <si>
    <t>VALUE</t>
  </si>
  <si>
    <t>Remote Encoding Centers (REC)</t>
  </si>
  <si>
    <t>Other Mail Processing</t>
  </si>
  <si>
    <t>Premium Pay Adjustment Factor</t>
  </si>
  <si>
    <t>PIGGYBACK FACTORS</t>
  </si>
  <si>
    <t>EQUIPMENT DESCRIPTION</t>
  </si>
  <si>
    <t>LCREM &amp; LMLM</t>
  </si>
  <si>
    <t>DBCS</t>
  </si>
  <si>
    <t>CSBCS</t>
  </si>
  <si>
    <t>Manual P.O. Box</t>
  </si>
  <si>
    <r>
      <t xml:space="preserve">Tray Opening Unit Bundle Sorting- </t>
    </r>
    <r>
      <rPr>
        <b/>
        <sz val="10"/>
        <rFont val="Arial"/>
        <family val="2"/>
      </rPr>
      <t>Bulk Mail</t>
    </r>
  </si>
  <si>
    <t>OPERATION DESCRIPTION</t>
  </si>
  <si>
    <t>Outgoing REC</t>
  </si>
  <si>
    <t>Outgoing LCREM</t>
  </si>
  <si>
    <t>Outgoing Prim Auto</t>
  </si>
  <si>
    <t>Outgoing Prim Man</t>
  </si>
  <si>
    <t>Outgoing Sec Auto</t>
  </si>
  <si>
    <t>Outgoing Sec Man</t>
  </si>
  <si>
    <t>Incoming REC</t>
  </si>
  <si>
    <t>Incoming LCREM</t>
  </si>
  <si>
    <t>Incoming MMP Auto</t>
  </si>
  <si>
    <t>Incoming ADC Man</t>
  </si>
  <si>
    <t>Incoming SCF/Prim Auto</t>
  </si>
  <si>
    <t>Incoming SCF/Prim Man</t>
  </si>
  <si>
    <t>Incoming Sec Auto Carrier Route</t>
  </si>
  <si>
    <t>Incoming Sec Auto 3-Pass DPS</t>
  </si>
  <si>
    <t>Incoming Sec Auto 2-Pass DPS</t>
  </si>
  <si>
    <t>Man Inc Sec Final At Plant</t>
  </si>
  <si>
    <t>Tray Opening Unit Bundle Sorting</t>
  </si>
  <si>
    <t>1/:  USPS-FY25-7, part 8</t>
  </si>
  <si>
    <t>2/:  USPS-FY25-7, part 7</t>
  </si>
  <si>
    <t>3/:  USPS-FY25-25</t>
  </si>
  <si>
    <t>4/:  Linked to appropriate equipment piggyback factor above</t>
  </si>
  <si>
    <t>5/: CSBCS equipment removed from service by end of FY 13</t>
  </si>
  <si>
    <t>AVERAGE</t>
  </si>
  <si>
    <t>PCS PER</t>
  </si>
  <si>
    <t>MACHINABILITY</t>
  </si>
  <si>
    <t>TRAY PRESORT</t>
  </si>
  <si>
    <t>PACKAGE PRESORT</t>
  </si>
  <si>
    <t>PACKAGE</t>
  </si>
  <si>
    <t>Nonauto MADC Presort Letters</t>
  </si>
  <si>
    <t>Machinable ("MACH")</t>
  </si>
  <si>
    <t>Mixed AADC</t>
  </si>
  <si>
    <t>N/A (FULL TRAYS)</t>
  </si>
  <si>
    <t>N/A</t>
  </si>
  <si>
    <t>TOTAL</t>
  </si>
  <si>
    <t>Nonauto ADC Presort Letters</t>
  </si>
  <si>
    <t>3-Digit</t>
  </si>
  <si>
    <t>Nonmachinable ("MANUAL")</t>
  </si>
  <si>
    <t>Mixed ADC</t>
  </si>
  <si>
    <t>ADC</t>
  </si>
  <si>
    <t>5-Digit</t>
  </si>
  <si>
    <t>Nonauto 3 Digit Presort Letters</t>
  </si>
  <si>
    <t>Nonauto 5 Digit Presort Letters</t>
  </si>
  <si>
    <t>Nonauto Presort Letters</t>
  </si>
  <si>
    <t>Auto MAADC Presort Letters</t>
  </si>
  <si>
    <t>Auto AADC Presort Letters</t>
  </si>
  <si>
    <t>Auto 3-Digit Presort Letters</t>
  </si>
  <si>
    <t>Auto 5-Digit Presort Letters</t>
  </si>
  <si>
    <t>Total Presort Letters</t>
  </si>
  <si>
    <t>MARKETING MAIL NONAUTOMATION PRESORT BUNDLE SORTING COSTS</t>
  </si>
  <si>
    <t>[9]</t>
  </si>
  <si>
    <t>[10]</t>
  </si>
  <si>
    <t>[11]</t>
  </si>
  <si>
    <t xml:space="preserve">Tray Presort - </t>
  </si>
  <si>
    <t>OP to</t>
  </si>
  <si>
    <t>OS to</t>
  </si>
  <si>
    <t>MMP to</t>
  </si>
  <si>
    <t>SCF to</t>
  </si>
  <si>
    <t xml:space="preserve">Total </t>
  </si>
  <si>
    <t>Bundle Presort</t>
  </si>
  <si>
    <t>OS</t>
  </si>
  <si>
    <t>MMP</t>
  </si>
  <si>
    <t>SCF</t>
  </si>
  <si>
    <t>IS</t>
  </si>
  <si>
    <t>Handlings</t>
  </si>
  <si>
    <t>MADC - MADC Bundle</t>
  </si>
  <si>
    <t>MADC - ADC Bundle</t>
  </si>
  <si>
    <t>MADC - 3D Bundle</t>
  </si>
  <si>
    <t>MADC - 5D Bundle</t>
  </si>
  <si>
    <t>ADC - ADC Bundle</t>
  </si>
  <si>
    <t>ADC - 3D Bundle</t>
  </si>
  <si>
    <t>ADC - 5D Bundle</t>
  </si>
  <si>
    <t>3D - 3D Bundle</t>
  </si>
  <si>
    <t>3D - 5D Bundle</t>
  </si>
  <si>
    <t>5D Full Trays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</si>
  <si>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</si>
  <si>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</si>
  <si>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</si>
  <si>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</si>
  <si>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</si>
  <si>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</si>
  <si>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</si>
  <si>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</si>
  <si>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</si>
  <si>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</si>
  <si>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</si>
  <si>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Bundles</t>
  </si>
  <si>
    <t xml:space="preserve">Pay </t>
  </si>
  <si>
    <t>Per</t>
  </si>
  <si>
    <t>Per Bndl</t>
  </si>
  <si>
    <t>Bundle</t>
  </si>
  <si>
    <t>[1] - [10]: Based on manual density table from Tab 'DENSITY'</t>
  </si>
  <si>
    <t>[11]:  Sum ( [1] : [10] )</t>
  </si>
  <si>
    <t>[12]:  Tab 'PRODUCTIVITY'</t>
  </si>
  <si>
    <t>[13]:  Tab 'WAGE RATE - PIGGYBACK FACTORS'</t>
  </si>
  <si>
    <t>[14]:  ( [13] / [12] ) * 100</t>
  </si>
  <si>
    <t>[15]:  [14] * [ Premium Pay Factor (Page 30) - 1 ]</t>
  </si>
  <si>
    <t>[16]:  Tab WAGE RATE - PIGGYBACK FACTORS'</t>
  </si>
  <si>
    <t>[17]:  [14] * [16] + [15]</t>
  </si>
  <si>
    <t>[18]:  [17] * [11]</t>
  </si>
  <si>
    <t>[19]:  Tab 'MCS LETTERS'</t>
  </si>
  <si>
    <t>[20]:  [18] / [19]</t>
  </si>
  <si>
    <t>[21]:  Tab 'MCS LETTERS'</t>
  </si>
  <si>
    <t>[22]:  [ Sumproduct ( [20] , [21] ) / Sum (21) ]  By Bundle Presort Level</t>
  </si>
  <si>
    <t>ACCEPT/FINALIZATION RATES</t>
  </si>
  <si>
    <t>STD(A)</t>
  </si>
  <si>
    <t>Nonauto</t>
  </si>
  <si>
    <t>3/5 Upgr</t>
  </si>
  <si>
    <t>3/5 NO</t>
  </si>
  <si>
    <t>Basic Upgr</t>
  </si>
  <si>
    <t>Basic NO</t>
  </si>
  <si>
    <t>MLOCR-ISS Accept Rate</t>
  </si>
  <si>
    <t>MLOCR-ISS/RCR Machine Printed</t>
  </si>
  <si>
    <t>MLOCR-ISS/RCR Handwritten</t>
  </si>
  <si>
    <t>MPBCS OSS Accept</t>
  </si>
  <si>
    <t>MPBCS OSS Upgrade</t>
  </si>
  <si>
    <t>Is this the ability to upgrade to 5-digits</t>
  </si>
  <si>
    <t>MPBCS OSS Errors:</t>
  </si>
  <si>
    <t>Or upgrade 5 digits to 9 digits?</t>
  </si>
  <si>
    <t>LMLM - ID Tag</t>
  </si>
  <si>
    <t>Incoming BCS Secondary Carrier Route</t>
  </si>
  <si>
    <t>Incoming BCS Secondary DPS Pass 1</t>
  </si>
  <si>
    <t>Incoming BCS Secondary DPS Pass 2</t>
  </si>
  <si>
    <t>Incoming CSBCS Secondary Pass1</t>
  </si>
  <si>
    <t>Incoming CSBCS Secondary Pass2,3</t>
  </si>
  <si>
    <t>Sources</t>
  </si>
  <si>
    <t>1/:  Engineering</t>
  </si>
  <si>
    <t>2/:  Docket No. R97-1, USPS LR-H-130</t>
  </si>
  <si>
    <t>3/:  USPS LR-J-56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</si>
</sst>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0.000"/>
    <numFmt numFmtId="165" formatCode="0.00000%"/>
    <numFmt numFmtId="166" formatCode="#,##0.000"/>
    <numFmt numFmtId="167" formatCode="&quot;$&quot;#,##0.000"/>
    <numFmt numFmtId="168" formatCode="0.0000"/>
    <numFmt numFmtId="169" formatCode="#,##0.000_);\(#,##0.000\)"/>
    <numFmt numFmtId="170" formatCode="0.0"/>
    <numFmt numFmtId="171" formatCode="&quot;$&quot;#,##0"/>
    <numFmt numFmtId="172" formatCode="#,##0.0"/>
    <numFmt numFmtId="173" formatCode="0.0%"/>
    <numFmt numFmtId="174" formatCode="0.00000000000000"/>
    <numFmt numFmtId="175" formatCode="0.00000000000000000"/>
    <numFmt numFmtId="176" formatCode="_(* #,##0.00000_);_(* \(#,##0.00000\);_(* &quot;-&quot;??_);_(@_)"/>
    <numFmt numFmtId="177" formatCode="_(* #,##0.000_);_(* \(#,##0.000\);_(* &quot;-&quot;??_);_(@_)"/>
    <numFmt numFmtId="178" formatCode="_(* #,##0_);_(* \(#,##0\);_(* &quot;-&quot;??_);_(@_)"/>
    <numFmt numFmtId="179" formatCode="_(* #,##0.0000_);_(* \(#,##0.0000\);_(* &quot;-&quot;??_);_(@_)"/>
  </numFmts>
  <fonts count="56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indexed="20"/>
      <name val="Arial"/>
      <family val="2"/>
    </font>
    <font>
      <sz val="10"/>
      <color indexed="17"/>
      <name val="Arial"/>
      <family val="2"/>
    </font>
    <font>
      <sz val="10"/>
      <color indexed="2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4"/>
      <name val="Arial"/>
      <family val="2"/>
    </font>
    <font>
      <sz val="8"/>
      <color indexed="48"/>
      <name val="Arial"/>
      <family val="2"/>
    </font>
    <font>
      <b/>
      <sz val="10"/>
      <color indexed="48"/>
      <name val="Arial"/>
      <family val="2"/>
    </font>
    <font>
      <sz val="10"/>
      <color indexed="48"/>
      <name val="Arial"/>
      <family val="2"/>
    </font>
    <font>
      <sz val="8"/>
      <color indexed="12"/>
      <name val="Arial"/>
      <family val="2"/>
    </font>
    <font>
      <sz val="10"/>
      <color indexed="57"/>
      <name val="Arial"/>
      <family val="2"/>
    </font>
    <font>
      <b/>
      <sz val="10"/>
      <color indexed="21"/>
      <name val="Arial"/>
      <family val="2"/>
    </font>
    <font>
      <sz val="10"/>
      <color indexed="2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sz val="10"/>
      <color indexed="59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52"/>
      <name val="Arial"/>
      <family val="2"/>
    </font>
    <font>
      <sz val="10"/>
      <color indexed="50"/>
      <name val="Arial"/>
      <family val="2"/>
    </font>
    <font>
      <sz val="10"/>
      <color indexed="61"/>
      <name val="Arial"/>
      <family val="2"/>
    </font>
    <font>
      <sz val="12"/>
      <color indexed="10"/>
      <name val="Arial"/>
      <family val="2"/>
    </font>
    <font>
      <sz val="10"/>
      <name val="Univers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0"/>
      <color rgb="FFFF0000"/>
      <name val="Arial"/>
      <family val="2"/>
    </font>
    <font>
      <b/>
      <u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2"/>
      <color rgb="FFFF000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1" fillId="0" borderId="0"/>
    <xf numFmtId="0" fontId="45" fillId="0" borderId="0"/>
    <xf numFmtId="9" fontId="1" fillId="0" borderId="0" applyFont="0" applyFill="0" applyBorder="0" applyAlignment="0" applyProtection="0"/>
  </cellStyleXfs>
  <cellXfs count="47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1" fontId="0" fillId="0" borderId="0" xfId="0" applyNumberFormat="1"/>
    <xf numFmtId="1" fontId="4" fillId="0" borderId="1" xfId="0" applyNumberFormat="1" applyFont="1" applyBorder="1"/>
    <xf numFmtId="1" fontId="5" fillId="0" borderId="2" xfId="0" applyNumberFormat="1" applyFont="1" applyBorder="1"/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/>
    <xf numFmtId="1" fontId="5" fillId="0" borderId="3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left"/>
    </xf>
    <xf numFmtId="0" fontId="7" fillId="0" borderId="0" xfId="0" applyFont="1"/>
    <xf numFmtId="1" fontId="6" fillId="0" borderId="0" xfId="0" applyNumberFormat="1" applyFont="1" applyAlignment="1">
      <alignment horizontal="left"/>
    </xf>
    <xf numFmtId="1" fontId="6" fillId="0" borderId="4" xfId="0" applyNumberFormat="1" applyFont="1" applyBorder="1" applyAlignment="1">
      <alignment horizontal="left"/>
    </xf>
    <xf numFmtId="1" fontId="6" fillId="0" borderId="0" xfId="0" applyNumberFormat="1" applyFont="1" applyAlignment="1">
      <alignment horizontal="right"/>
    </xf>
    <xf numFmtId="1" fontId="0" fillId="0" borderId="5" xfId="0" applyNumberFormat="1" applyBorder="1" applyAlignment="1">
      <alignment horizontal="center"/>
    </xf>
    <xf numFmtId="0" fontId="8" fillId="0" borderId="0" xfId="0" applyFont="1"/>
    <xf numFmtId="1" fontId="6" fillId="0" borderId="6" xfId="0" applyNumberFormat="1" applyFont="1" applyBorder="1" applyAlignment="1">
      <alignment horizontal="left"/>
    </xf>
    <xf numFmtId="1" fontId="6" fillId="0" borderId="7" xfId="0" applyNumberFormat="1" applyFont="1" applyBorder="1" applyAlignment="1">
      <alignment horizontal="right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6" fillId="0" borderId="9" xfId="0" applyFont="1" applyBorder="1"/>
    <xf numFmtId="0" fontId="0" fillId="0" borderId="10" xfId="0" applyBorder="1" applyAlignment="1">
      <alignment horizontal="center"/>
    </xf>
    <xf numFmtId="0" fontId="9" fillId="0" borderId="0" xfId="0" applyFont="1"/>
    <xf numFmtId="1" fontId="10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1" fillId="0" borderId="11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Continuous"/>
    </xf>
    <xf numFmtId="1" fontId="11" fillId="0" borderId="0" xfId="0" applyNumberFormat="1" applyFont="1" applyAlignment="1">
      <alignment horizontal="center"/>
    </xf>
    <xf numFmtId="1" fontId="0" fillId="0" borderId="11" xfId="0" applyNumberForma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right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2" xfId="0" applyBorder="1"/>
    <xf numFmtId="1" fontId="0" fillId="0" borderId="13" xfId="0" applyNumberFormat="1" applyBorder="1" applyAlignment="1">
      <alignment horizontal="center"/>
    </xf>
    <xf numFmtId="0" fontId="0" fillId="0" borderId="11" xfId="0" applyBorder="1"/>
    <xf numFmtId="1" fontId="10" fillId="0" borderId="0" xfId="0" applyNumberFormat="1" applyFont="1" applyAlignment="1">
      <alignment horizontal="left"/>
    </xf>
    <xf numFmtId="0" fontId="12" fillId="0" borderId="0" xfId="0" applyFont="1"/>
    <xf numFmtId="1" fontId="7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6" fillId="0" borderId="0" xfId="0" applyNumberFormat="1" applyFont="1" applyAlignment="1">
      <alignment horizontal="center"/>
    </xf>
    <xf numFmtId="165" fontId="0" fillId="0" borderId="0" xfId="0" quotePrefix="1" applyNumberForma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10" fontId="6" fillId="0" borderId="7" xfId="0" applyNumberFormat="1" applyFont="1" applyBorder="1" applyAlignment="1">
      <alignment horizontal="center"/>
    </xf>
    <xf numFmtId="0" fontId="13" fillId="0" borderId="0" xfId="0" applyFont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14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10" fontId="14" fillId="0" borderId="0" xfId="0" applyNumberFormat="1" applyFont="1" applyAlignment="1">
      <alignment horizontal="center"/>
    </xf>
    <xf numFmtId="10" fontId="0" fillId="0" borderId="0" xfId="0" applyNumberFormat="1"/>
    <xf numFmtId="0" fontId="4" fillId="0" borderId="0" xfId="0" applyFont="1"/>
    <xf numFmtId="0" fontId="14" fillId="0" borderId="0" xfId="0" applyFont="1"/>
    <xf numFmtId="0" fontId="0" fillId="3" borderId="0" xfId="0" applyFill="1"/>
    <xf numFmtId="1" fontId="15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70" fontId="16" fillId="0" borderId="0" xfId="0" applyNumberFormat="1" applyFont="1"/>
    <xf numFmtId="170" fontId="0" fillId="0" borderId="0" xfId="0" applyNumberFormat="1" applyAlignment="1">
      <alignment horizontal="center"/>
    </xf>
    <xf numFmtId="170" fontId="16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1" fontId="19" fillId="0" borderId="0" xfId="0" applyNumberFormat="1" applyFont="1" applyAlignment="1">
      <alignment horizontal="center"/>
    </xf>
    <xf numFmtId="1" fontId="7" fillId="0" borderId="0" xfId="0" applyNumberFormat="1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3" fontId="5" fillId="0" borderId="0" xfId="0" applyNumberFormat="1" applyFont="1" applyAlignment="1">
      <alignment horizontal="centerContinuous"/>
    </xf>
    <xf numFmtId="167" fontId="5" fillId="0" borderId="0" xfId="0" applyNumberFormat="1" applyFont="1" applyAlignment="1">
      <alignment horizontal="centerContinuous"/>
    </xf>
    <xf numFmtId="168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3" fontId="0" fillId="0" borderId="0" xfId="0" applyNumberFormat="1" applyAlignment="1">
      <alignment horizontal="centerContinuous"/>
    </xf>
    <xf numFmtId="167" fontId="0" fillId="0" borderId="0" xfId="0" applyNumberFormat="1" applyAlignment="1">
      <alignment horizontal="centerContinuous"/>
    </xf>
    <xf numFmtId="168" fontId="0" fillId="0" borderId="0" xfId="0" applyNumberFormat="1" applyAlignment="1">
      <alignment horizontal="centerContinuous"/>
    </xf>
    <xf numFmtId="164" fontId="0" fillId="0" borderId="0" xfId="0" applyNumberFormat="1" applyAlignment="1">
      <alignment horizontal="centerContinuous"/>
    </xf>
    <xf numFmtId="3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3" fontId="0" fillId="0" borderId="0" xfId="0" applyNumberFormat="1"/>
    <xf numFmtId="167" fontId="0" fillId="0" borderId="0" xfId="0" applyNumberFormat="1" applyAlignment="1">
      <alignment horizontal="center"/>
    </xf>
    <xf numFmtId="168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7" xfId="0" applyFont="1" applyBorder="1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3" fontId="0" fillId="0" borderId="7" xfId="0" applyNumberFormat="1" applyBorder="1"/>
    <xf numFmtId="167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6" fillId="0" borderId="14" xfId="0" applyNumberFormat="1" applyFont="1" applyBorder="1" applyAlignment="1">
      <alignment horizontal="left"/>
    </xf>
    <xf numFmtId="168" fontId="0" fillId="0" borderId="15" xfId="0" applyNumberFormat="1" applyBorder="1" applyAlignment="1">
      <alignment horizontal="center"/>
    </xf>
    <xf numFmtId="0" fontId="6" fillId="0" borderId="0" xfId="0" applyFont="1" applyAlignment="1">
      <alignment horizontal="left"/>
    </xf>
    <xf numFmtId="168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0" fontId="6" fillId="0" borderId="17" xfId="0" applyFont="1" applyBorder="1"/>
    <xf numFmtId="0" fontId="1" fillId="0" borderId="0" xfId="0" applyFont="1" applyAlignment="1">
      <alignment horizontal="center"/>
    </xf>
    <xf numFmtId="3" fontId="1" fillId="0" borderId="0" xfId="0" applyNumberFormat="1" applyFont="1"/>
    <xf numFmtId="164" fontId="6" fillId="0" borderId="7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1" fontId="5" fillId="0" borderId="18" xfId="0" applyNumberFormat="1" applyFont="1" applyBorder="1" applyAlignment="1">
      <alignment horizontal="center"/>
    </xf>
    <xf numFmtId="1" fontId="5" fillId="0" borderId="0" xfId="0" applyNumberFormat="1" applyFont="1"/>
    <xf numFmtId="0" fontId="0" fillId="0" borderId="17" xfId="0" applyBorder="1"/>
    <xf numFmtId="164" fontId="6" fillId="0" borderId="17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Continuous"/>
    </xf>
    <xf numFmtId="174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10" fontId="0" fillId="3" borderId="0" xfId="0" applyNumberFormat="1" applyFill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/>
    <xf numFmtId="1" fontId="0" fillId="0" borderId="20" xfId="0" applyNumberFormat="1" applyBorder="1" applyAlignment="1">
      <alignment horizontal="center"/>
    </xf>
    <xf numFmtId="0" fontId="1" fillId="0" borderId="11" xfId="0" applyFont="1" applyBorder="1"/>
    <xf numFmtId="0" fontId="7" fillId="0" borderId="11" xfId="0" applyFont="1" applyBorder="1"/>
    <xf numFmtId="0" fontId="6" fillId="0" borderId="20" xfId="0" applyFont="1" applyBorder="1"/>
    <xf numFmtId="0" fontId="6" fillId="0" borderId="11" xfId="0" applyFont="1" applyBorder="1"/>
    <xf numFmtId="1" fontId="6" fillId="4" borderId="21" xfId="0" applyNumberFormat="1" applyFont="1" applyFill="1" applyBorder="1" applyAlignment="1">
      <alignment horizontal="left"/>
    </xf>
    <xf numFmtId="1" fontId="6" fillId="4" borderId="22" xfId="0" applyNumberFormat="1" applyFont="1" applyFill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6" fillId="4" borderId="14" xfId="0" applyNumberFormat="1" applyFont="1" applyFill="1" applyBorder="1" applyAlignment="1">
      <alignment horizontal="left"/>
    </xf>
    <xf numFmtId="1" fontId="6" fillId="4" borderId="16" xfId="0" applyNumberFormat="1" applyFont="1" applyFill="1" applyBorder="1" applyAlignment="1">
      <alignment horizontal="center"/>
    </xf>
    <xf numFmtId="1" fontId="6" fillId="4" borderId="28" xfId="0" applyNumberFormat="1" applyFont="1" applyFill="1" applyBorder="1" applyAlignment="1">
      <alignment horizontal="left"/>
    </xf>
    <xf numFmtId="1" fontId="6" fillId="4" borderId="28" xfId="0" applyNumberFormat="1" applyFont="1" applyFill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0" fontId="6" fillId="4" borderId="28" xfId="0" applyFont="1" applyFill="1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26" xfId="0" applyNumberFormat="1" applyBorder="1" applyAlignment="1">
      <alignment horizontal="centerContinuous"/>
    </xf>
    <xf numFmtId="1" fontId="1" fillId="0" borderId="26" xfId="0" applyNumberFormat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1" fontId="0" fillId="0" borderId="23" xfId="0" applyNumberFormat="1" applyBorder="1" applyAlignment="1">
      <alignment horizontal="centerContinuous"/>
    </xf>
    <xf numFmtId="0" fontId="0" fillId="0" borderId="24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1" fontId="0" fillId="0" borderId="32" xfId="0" applyNumberForma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23" xfId="0" applyNumberFormat="1" applyBorder="1"/>
    <xf numFmtId="1" fontId="0" fillId="0" borderId="24" xfId="0" applyNumberFormat="1" applyBorder="1"/>
    <xf numFmtId="1" fontId="6" fillId="4" borderId="14" xfId="0" applyNumberFormat="1" applyFont="1" applyFill="1" applyBorder="1"/>
    <xf numFmtId="1" fontId="0" fillId="0" borderId="29" xfId="0" applyNumberFormat="1" applyBorder="1"/>
    <xf numFmtId="1" fontId="0" fillId="0" borderId="27" xfId="0" applyNumberFormat="1" applyBorder="1"/>
    <xf numFmtId="0" fontId="0" fillId="0" borderId="31" xfId="0" applyBorder="1"/>
    <xf numFmtId="0" fontId="6" fillId="0" borderId="33" xfId="0" applyFont="1" applyBorder="1"/>
    <xf numFmtId="0" fontId="6" fillId="0" borderId="33" xfId="0" applyFont="1" applyBorder="1" applyAlignment="1">
      <alignment horizontal="center"/>
    </xf>
    <xf numFmtId="0" fontId="6" fillId="0" borderId="23" xfId="0" applyFont="1" applyBorder="1"/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25" fillId="0" borderId="0" xfId="0" applyFont="1" applyAlignment="1">
      <alignment horizontal="centerContinuous"/>
    </xf>
    <xf numFmtId="164" fontId="25" fillId="0" borderId="0" xfId="0" applyNumberFormat="1" applyFont="1" applyAlignment="1">
      <alignment horizontal="centerContinuous"/>
    </xf>
    <xf numFmtId="3" fontId="25" fillId="0" borderId="0" xfId="0" applyNumberFormat="1" applyFont="1" applyAlignment="1">
      <alignment horizontal="centerContinuous"/>
    </xf>
    <xf numFmtId="171" fontId="25" fillId="0" borderId="0" xfId="0" applyNumberFormat="1" applyFont="1" applyAlignment="1">
      <alignment horizontal="centerContinuous"/>
    </xf>
    <xf numFmtId="0" fontId="25" fillId="0" borderId="0" xfId="0" applyFont="1"/>
    <xf numFmtId="0" fontId="6" fillId="0" borderId="6" xfId="0" applyFont="1" applyBorder="1" applyAlignment="1">
      <alignment horizontal="left"/>
    </xf>
    <xf numFmtId="0" fontId="6" fillId="0" borderId="7" xfId="0" quotePrefix="1" applyFont="1" applyBorder="1" applyAlignment="1">
      <alignment horizontal="left"/>
    </xf>
    <xf numFmtId="164" fontId="6" fillId="0" borderId="33" xfId="0" applyNumberFormat="1" applyFont="1" applyBorder="1" applyAlignment="1">
      <alignment horizontal="center"/>
    </xf>
    <xf numFmtId="0" fontId="6" fillId="0" borderId="36" xfId="0" applyFont="1" applyBorder="1"/>
    <xf numFmtId="10" fontId="6" fillId="0" borderId="32" xfId="0" applyNumberFormat="1" applyFont="1" applyBorder="1" applyAlignment="1">
      <alignment horizontal="center"/>
    </xf>
    <xf numFmtId="0" fontId="6" fillId="0" borderId="24" xfId="0" applyFont="1" applyBorder="1" applyAlignment="1">
      <alignment horizontal="left"/>
    </xf>
    <xf numFmtId="0" fontId="6" fillId="0" borderId="37" xfId="0" quotePrefix="1" applyFont="1" applyBorder="1" applyAlignment="1">
      <alignment horizontal="left"/>
    </xf>
    <xf numFmtId="164" fontId="6" fillId="0" borderId="37" xfId="0" applyNumberFormat="1" applyFont="1" applyBorder="1" applyAlignment="1">
      <alignment horizontal="center"/>
    </xf>
    <xf numFmtId="164" fontId="6" fillId="0" borderId="31" xfId="0" applyNumberFormat="1" applyFont="1" applyBorder="1" applyAlignment="1">
      <alignment horizontal="center"/>
    </xf>
    <xf numFmtId="0" fontId="6" fillId="0" borderId="0" xfId="0" quotePrefix="1" applyFont="1" applyAlignment="1">
      <alignment horizontal="left"/>
    </xf>
    <xf numFmtId="171" fontId="6" fillId="0" borderId="34" xfId="0" applyNumberFormat="1" applyFont="1" applyBorder="1" applyAlignment="1">
      <alignment horizontal="center"/>
    </xf>
    <xf numFmtId="171" fontId="6" fillId="0" borderId="32" xfId="0" applyNumberFormat="1" applyFont="1" applyBorder="1" applyAlignment="1">
      <alignment horizontal="center"/>
    </xf>
    <xf numFmtId="164" fontId="6" fillId="0" borderId="0" xfId="0" applyNumberFormat="1" applyFont="1"/>
    <xf numFmtId="0" fontId="26" fillId="0" borderId="0" xfId="0" applyFont="1"/>
    <xf numFmtId="164" fontId="26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right"/>
    </xf>
    <xf numFmtId="171" fontId="26" fillId="0" borderId="0" xfId="0" applyNumberFormat="1" applyFont="1" applyAlignment="1">
      <alignment horizontal="center"/>
    </xf>
    <xf numFmtId="3" fontId="6" fillId="0" borderId="0" xfId="0" applyNumberFormat="1" applyFont="1"/>
    <xf numFmtId="3" fontId="14" fillId="0" borderId="0" xfId="0" applyNumberFormat="1" applyFont="1"/>
    <xf numFmtId="0" fontId="6" fillId="0" borderId="7" xfId="0" applyFont="1" applyBorder="1" applyAlignment="1">
      <alignment horizontal="left"/>
    </xf>
    <xf numFmtId="3" fontId="0" fillId="0" borderId="0" xfId="0" quotePrefix="1" applyNumberFormat="1" applyAlignment="1">
      <alignment horizontal="right"/>
    </xf>
    <xf numFmtId="3" fontId="6" fillId="0" borderId="0" xfId="0" applyNumberFormat="1" applyFont="1" applyAlignment="1">
      <alignment horizontal="right"/>
    </xf>
    <xf numFmtId="0" fontId="30" fillId="0" borderId="0" xfId="0" applyFont="1"/>
    <xf numFmtId="0" fontId="31" fillId="0" borderId="0" xfId="0" applyFont="1"/>
    <xf numFmtId="0" fontId="29" fillId="0" borderId="0" xfId="0" applyFont="1"/>
    <xf numFmtId="3" fontId="11" fillId="0" borderId="0" xfId="0" applyNumberFormat="1" applyFont="1"/>
    <xf numFmtId="3" fontId="11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left"/>
    </xf>
    <xf numFmtId="1" fontId="20" fillId="0" borderId="0" xfId="0" applyNumberFormat="1" applyFont="1"/>
    <xf numFmtId="172" fontId="11" fillId="0" borderId="0" xfId="0" applyNumberFormat="1" applyFont="1"/>
    <xf numFmtId="170" fontId="11" fillId="0" borderId="0" xfId="0" applyNumberFormat="1" applyFont="1" applyAlignment="1">
      <alignment horizontal="left"/>
    </xf>
    <xf numFmtId="166" fontId="11" fillId="0" borderId="0" xfId="0" applyNumberFormat="1" applyFont="1"/>
    <xf numFmtId="1" fontId="11" fillId="0" borderId="0" xfId="0" applyNumberFormat="1" applyFont="1" applyAlignment="1">
      <alignment horizontal="left"/>
    </xf>
    <xf numFmtId="4" fontId="11" fillId="0" borderId="0" xfId="0" applyNumberFormat="1" applyFont="1"/>
    <xf numFmtId="2" fontId="11" fillId="0" borderId="0" xfId="0" applyNumberFormat="1" applyFont="1" applyAlignment="1">
      <alignment horizontal="left"/>
    </xf>
    <xf numFmtId="1" fontId="20" fillId="0" borderId="0" xfId="0" applyNumberFormat="1" applyFont="1" applyAlignment="1">
      <alignment horizontal="center"/>
    </xf>
    <xf numFmtId="1" fontId="22" fillId="0" borderId="0" xfId="0" applyNumberFormat="1" applyFont="1"/>
    <xf numFmtId="1" fontId="20" fillId="0" borderId="0" xfId="0" applyNumberFormat="1" applyFont="1" applyAlignment="1">
      <alignment horizontal="left"/>
    </xf>
    <xf numFmtId="175" fontId="0" fillId="0" borderId="0" xfId="0" applyNumberFormat="1" applyAlignment="1">
      <alignment horizontal="center"/>
    </xf>
    <xf numFmtId="170" fontId="20" fillId="0" borderId="0" xfId="0" applyNumberFormat="1" applyFont="1"/>
    <xf numFmtId="170" fontId="20" fillId="0" borderId="0" xfId="0" applyNumberFormat="1" applyFont="1" applyAlignment="1">
      <alignment horizontal="center"/>
    </xf>
    <xf numFmtId="170" fontId="11" fillId="0" borderId="0" xfId="0" applyNumberFormat="1" applyFont="1"/>
    <xf numFmtId="1" fontId="22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0" fontId="20" fillId="0" borderId="0" xfId="0" applyFont="1"/>
    <xf numFmtId="164" fontId="11" fillId="0" borderId="0" xfId="0" applyNumberFormat="1" applyFont="1" applyAlignment="1">
      <alignment horizontal="left"/>
    </xf>
    <xf numFmtId="1" fontId="21" fillId="0" borderId="0" xfId="0" applyNumberFormat="1" applyFont="1"/>
    <xf numFmtId="3" fontId="14" fillId="0" borderId="0" xfId="0" applyNumberFormat="1" applyFont="1" applyAlignment="1">
      <alignment horizontal="center"/>
    </xf>
    <xf numFmtId="0" fontId="28" fillId="0" borderId="0" xfId="0" applyFont="1"/>
    <xf numFmtId="3" fontId="28" fillId="0" borderId="0" xfId="0" applyNumberFormat="1" applyFont="1"/>
    <xf numFmtId="167" fontId="28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6" fillId="0" borderId="39" xfId="0" applyFont="1" applyBorder="1"/>
    <xf numFmtId="164" fontId="6" fillId="0" borderId="39" xfId="0" applyNumberFormat="1" applyFont="1" applyBorder="1" applyAlignment="1">
      <alignment horizontal="center"/>
    </xf>
    <xf numFmtId="0" fontId="6" fillId="0" borderId="40" xfId="0" applyFont="1" applyBorder="1"/>
    <xf numFmtId="164" fontId="6" fillId="0" borderId="40" xfId="0" applyNumberFormat="1" applyFont="1" applyBorder="1" applyAlignment="1">
      <alignment horizontal="center"/>
    </xf>
    <xf numFmtId="0" fontId="6" fillId="0" borderId="41" xfId="0" applyFont="1" applyBorder="1"/>
    <xf numFmtId="164" fontId="6" fillId="0" borderId="41" xfId="0" applyNumberFormat="1" applyFont="1" applyBorder="1" applyAlignment="1">
      <alignment horizontal="center"/>
    </xf>
    <xf numFmtId="0" fontId="0" fillId="0" borderId="4" xfId="0" applyBorder="1"/>
    <xf numFmtId="0" fontId="0" fillId="0" borderId="42" xfId="0" applyBorder="1"/>
    <xf numFmtId="164" fontId="0" fillId="0" borderId="18" xfId="0" applyNumberFormat="1" applyBorder="1" applyAlignment="1">
      <alignment horizontal="center"/>
    </xf>
    <xf numFmtId="0" fontId="28" fillId="0" borderId="0" xfId="0" applyFont="1" applyAlignment="1">
      <alignment horizontal="left"/>
    </xf>
    <xf numFmtId="0" fontId="33" fillId="0" borderId="0" xfId="0" applyFont="1"/>
    <xf numFmtId="0" fontId="27" fillId="0" borderId="0" xfId="0" applyFont="1"/>
    <xf numFmtId="164" fontId="27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right"/>
    </xf>
    <xf numFmtId="171" fontId="27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left"/>
    </xf>
    <xf numFmtId="10" fontId="34" fillId="0" borderId="0" xfId="0" applyNumberFormat="1" applyFont="1" applyAlignment="1">
      <alignment horizontal="center"/>
    </xf>
    <xf numFmtId="0" fontId="34" fillId="0" borderId="0" xfId="0" applyFo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73" fontId="1" fillId="0" borderId="0" xfId="0" applyNumberFormat="1" applyFont="1"/>
    <xf numFmtId="168" fontId="6" fillId="0" borderId="0" xfId="0" applyNumberFormat="1" applyFont="1" applyAlignment="1">
      <alignment horizontal="left"/>
    </xf>
    <xf numFmtId="0" fontId="32" fillId="0" borderId="0" xfId="0" applyFont="1"/>
    <xf numFmtId="0" fontId="23" fillId="0" borderId="0" xfId="0" applyFont="1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0" fontId="29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 wrapText="1"/>
    </xf>
    <xf numFmtId="43" fontId="0" fillId="0" borderId="0" xfId="0" applyNumberFormat="1"/>
    <xf numFmtId="0" fontId="6" fillId="0" borderId="17" xfId="0" applyFont="1" applyBorder="1" applyAlignment="1">
      <alignment horizontal="left"/>
    </xf>
    <xf numFmtId="0" fontId="6" fillId="0" borderId="17" xfId="0" applyFont="1" applyBorder="1" applyAlignment="1">
      <alignment horizontal="centerContinuous"/>
    </xf>
    <xf numFmtId="0" fontId="6" fillId="0" borderId="17" xfId="0" applyFont="1" applyBorder="1" applyAlignment="1">
      <alignment horizontal="center" wrapText="1"/>
    </xf>
    <xf numFmtId="0" fontId="6" fillId="0" borderId="17" xfId="0" quotePrefix="1" applyFont="1" applyBorder="1" applyAlignment="1">
      <alignment horizontal="center" wrapText="1"/>
    </xf>
    <xf numFmtId="0" fontId="0" fillId="5" borderId="0" xfId="0" applyFill="1"/>
    <xf numFmtId="0" fontId="29" fillId="5" borderId="0" xfId="0" applyFont="1" applyFill="1"/>
    <xf numFmtId="0" fontId="0" fillId="6" borderId="0" xfId="0" applyFill="1"/>
    <xf numFmtId="0" fontId="0" fillId="7" borderId="0" xfId="0" applyFill="1"/>
    <xf numFmtId="0" fontId="29" fillId="8" borderId="0" xfId="0" applyFont="1" applyFill="1"/>
    <xf numFmtId="0" fontId="0" fillId="8" borderId="0" xfId="0" applyFill="1"/>
    <xf numFmtId="0" fontId="29" fillId="3" borderId="0" xfId="0" applyFont="1" applyFill="1"/>
    <xf numFmtId="164" fontId="29" fillId="0" borderId="0" xfId="0" applyNumberFormat="1" applyFont="1"/>
    <xf numFmtId="0" fontId="29" fillId="6" borderId="0" xfId="0" applyFont="1" applyFill="1"/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164" fontId="38" fillId="0" borderId="0" xfId="0" applyNumberFormat="1" applyFont="1"/>
    <xf numFmtId="164" fontId="39" fillId="0" borderId="0" xfId="0" applyNumberFormat="1" applyFont="1" applyAlignment="1">
      <alignment horizontal="center"/>
    </xf>
    <xf numFmtId="0" fontId="6" fillId="0" borderId="17" xfId="0" quotePrefix="1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168" fontId="6" fillId="0" borderId="15" xfId="0" applyNumberFormat="1" applyFont="1" applyBorder="1" applyAlignment="1">
      <alignment horizontal="right"/>
    </xf>
    <xf numFmtId="10" fontId="6" fillId="0" borderId="16" xfId="0" applyNumberFormat="1" applyFont="1" applyBorder="1" applyAlignment="1">
      <alignment horizontal="center"/>
    </xf>
    <xf numFmtId="10" fontId="6" fillId="0" borderId="0" xfId="0" applyNumberFormat="1" applyFont="1"/>
    <xf numFmtId="10" fontId="35" fillId="0" borderId="0" xfId="0" applyNumberFormat="1" applyFont="1"/>
    <xf numFmtId="0" fontId="40" fillId="0" borderId="0" xfId="0" applyFont="1"/>
    <xf numFmtId="10" fontId="35" fillId="0" borderId="0" xfId="0" applyNumberFormat="1" applyFont="1" applyAlignment="1">
      <alignment horizontal="center"/>
    </xf>
    <xf numFmtId="10" fontId="30" fillId="0" borderId="0" xfId="0" applyNumberFormat="1" applyFont="1"/>
    <xf numFmtId="173" fontId="0" fillId="0" borderId="0" xfId="0" applyNumberFormat="1"/>
    <xf numFmtId="10" fontId="40" fillId="0" borderId="0" xfId="0" applyNumberFormat="1" applyFont="1"/>
    <xf numFmtId="169" fontId="0" fillId="0" borderId="0" xfId="0" applyNumberFormat="1"/>
    <xf numFmtId="43" fontId="29" fillId="0" borderId="0" xfId="0" applyNumberFormat="1" applyFont="1"/>
    <xf numFmtId="177" fontId="0" fillId="0" borderId="0" xfId="1" applyNumberFormat="1" applyFont="1" applyFill="1"/>
    <xf numFmtId="43" fontId="1" fillId="0" borderId="0" xfId="1"/>
    <xf numFmtId="43" fontId="1" fillId="9" borderId="0" xfId="1" applyFill="1"/>
    <xf numFmtId="0" fontId="3" fillId="0" borderId="0" xfId="0" applyFont="1" applyAlignment="1">
      <alignment horizontal="centerContinuous"/>
    </xf>
    <xf numFmtId="10" fontId="30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0" fontId="1" fillId="0" borderId="0" xfId="0" applyNumberFormat="1" applyFont="1" applyAlignment="1">
      <alignment horizontal="center"/>
    </xf>
    <xf numFmtId="10" fontId="35" fillId="0" borderId="0" xfId="0" applyNumberFormat="1" applyFont="1" applyAlignment="1">
      <alignment horizontal="left"/>
    </xf>
    <xf numFmtId="10" fontId="34" fillId="0" borderId="0" xfId="0" applyNumberFormat="1" applyFont="1"/>
    <xf numFmtId="166" fontId="1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6" fillId="0" borderId="7" xfId="0" applyNumberFormat="1" applyFont="1" applyBorder="1" applyAlignment="1">
      <alignment horizontal="centerContinuous"/>
    </xf>
    <xf numFmtId="0" fontId="41" fillId="0" borderId="0" xfId="0" applyFont="1"/>
    <xf numFmtId="4" fontId="0" fillId="0" borderId="0" xfId="0" applyNumberFormat="1"/>
    <xf numFmtId="0" fontId="1" fillId="0" borderId="43" xfId="0" applyFont="1" applyBorder="1"/>
    <xf numFmtId="169" fontId="0" fillId="0" borderId="0" xfId="0" applyNumberFormat="1" applyAlignment="1">
      <alignment horizontal="center"/>
    </xf>
    <xf numFmtId="0" fontId="1" fillId="0" borderId="4" xfId="0" applyFont="1" applyBorder="1"/>
    <xf numFmtId="166" fontId="0" fillId="0" borderId="0" xfId="0" applyNumberFormat="1"/>
    <xf numFmtId="0" fontId="1" fillId="0" borderId="6" xfId="0" applyFont="1" applyBorder="1"/>
    <xf numFmtId="10" fontId="0" fillId="0" borderId="0" xfId="0" applyNumberFormat="1" applyAlignment="1">
      <alignment horizontal="centerContinuous"/>
    </xf>
    <xf numFmtId="10" fontId="6" fillId="10" borderId="0" xfId="0" applyNumberFormat="1" applyFont="1" applyFill="1" applyAlignment="1">
      <alignment horizontal="center"/>
    </xf>
    <xf numFmtId="10" fontId="0" fillId="10" borderId="0" xfId="0" applyNumberFormat="1" applyFill="1" applyAlignment="1">
      <alignment horizontal="center"/>
    </xf>
    <xf numFmtId="10" fontId="1" fillId="0" borderId="7" xfId="0" applyNumberFormat="1" applyFont="1" applyBorder="1" applyAlignment="1">
      <alignment horizontal="centerContinuous"/>
    </xf>
    <xf numFmtId="0" fontId="24" fillId="0" borderId="0" xfId="0" applyFont="1"/>
    <xf numFmtId="0" fontId="6" fillId="0" borderId="37" xfId="0" applyFont="1" applyBorder="1"/>
    <xf numFmtId="178" fontId="0" fillId="0" borderId="0" xfId="1" applyNumberFormat="1" applyFont="1" applyFill="1"/>
    <xf numFmtId="10" fontId="0" fillId="0" borderId="0" xfId="5" applyNumberFormat="1" applyFont="1" applyFill="1"/>
    <xf numFmtId="3" fontId="3" fillId="0" borderId="0" xfId="0" applyNumberFormat="1" applyFont="1"/>
    <xf numFmtId="10" fontId="3" fillId="0" borderId="0" xfId="0" applyNumberFormat="1" applyFont="1" applyAlignment="1">
      <alignment horizontal="left"/>
    </xf>
    <xf numFmtId="3" fontId="30" fillId="0" borderId="0" xfId="0" applyNumberFormat="1" applyFont="1"/>
    <xf numFmtId="3" fontId="14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left"/>
    </xf>
    <xf numFmtId="10" fontId="1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164" fontId="14" fillId="0" borderId="0" xfId="0" applyNumberFormat="1" applyFont="1"/>
    <xf numFmtId="167" fontId="14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0" xfId="5" applyNumberFormat="1" applyFont="1" applyFill="1"/>
    <xf numFmtId="164" fontId="1" fillId="0" borderId="0" xfId="0" applyNumberFormat="1" applyFont="1" applyAlignment="1">
      <alignment horizontal="centerContinuous"/>
    </xf>
    <xf numFmtId="164" fontId="1" fillId="0" borderId="0" xfId="0" applyNumberFormat="1" applyFont="1" applyAlignment="1">
      <alignment horizontal="left"/>
    </xf>
    <xf numFmtId="164" fontId="24" fillId="0" borderId="0" xfId="0" applyNumberFormat="1" applyFont="1" applyAlignment="1">
      <alignment horizontal="center"/>
    </xf>
    <xf numFmtId="173" fontId="0" fillId="0" borderId="0" xfId="5" applyNumberFormat="1" applyFont="1" applyFill="1" applyAlignment="1">
      <alignment horizontal="center"/>
    </xf>
    <xf numFmtId="1" fontId="1" fillId="0" borderId="0" xfId="0" applyNumberFormat="1" applyFont="1"/>
    <xf numFmtId="2" fontId="0" fillId="0" borderId="0" xfId="0" applyNumberFormat="1"/>
    <xf numFmtId="3" fontId="1" fillId="0" borderId="0" xfId="0" applyNumberFormat="1" applyFont="1" applyAlignment="1">
      <alignment horizontal="right"/>
    </xf>
    <xf numFmtId="0" fontId="42" fillId="0" borderId="0" xfId="0" applyFont="1" applyAlignment="1">
      <alignment horizontal="left"/>
    </xf>
    <xf numFmtId="10" fontId="6" fillId="0" borderId="0" xfId="0" quotePrefix="1" applyNumberFormat="1" applyFont="1"/>
    <xf numFmtId="0" fontId="6" fillId="0" borderId="0" xfId="0" quotePrefix="1" applyFont="1"/>
    <xf numFmtId="178" fontId="42" fillId="0" borderId="0" xfId="1" applyNumberFormat="1" applyFont="1" applyFill="1" applyAlignment="1">
      <alignment horizontal="center"/>
    </xf>
    <xf numFmtId="164" fontId="48" fillId="0" borderId="0" xfId="0" applyNumberFormat="1" applyFont="1"/>
    <xf numFmtId="176" fontId="19" fillId="0" borderId="0" xfId="0" applyNumberFormat="1" applyFont="1"/>
    <xf numFmtId="0" fontId="36" fillId="0" borderId="0" xfId="0" quotePrefix="1" applyFont="1" applyAlignment="1">
      <alignment horizontal="left"/>
    </xf>
    <xf numFmtId="0" fontId="37" fillId="0" borderId="0" xfId="0" applyFont="1"/>
    <xf numFmtId="168" fontId="0" fillId="0" borderId="0" xfId="0" applyNumberFormat="1"/>
    <xf numFmtId="0" fontId="46" fillId="0" borderId="0" xfId="0" applyFont="1"/>
    <xf numFmtId="0" fontId="47" fillId="0" borderId="0" xfId="0" applyFont="1"/>
    <xf numFmtId="177" fontId="1" fillId="0" borderId="0" xfId="0" applyNumberFormat="1" applyFont="1"/>
    <xf numFmtId="0" fontId="1" fillId="0" borderId="0" xfId="3"/>
    <xf numFmtId="3" fontId="6" fillId="0" borderId="0" xfId="3" applyNumberFormat="1" applyFont="1" applyAlignment="1">
      <alignment horizontal="center"/>
    </xf>
    <xf numFmtId="3" fontId="14" fillId="0" borderId="0" xfId="3" applyNumberFormat="1" applyFont="1" applyAlignment="1">
      <alignment horizontal="center"/>
    </xf>
    <xf numFmtId="3" fontId="1" fillId="0" borderId="0" xfId="3" applyNumberFormat="1" applyAlignment="1">
      <alignment horizontal="center"/>
    </xf>
    <xf numFmtId="3" fontId="13" fillId="0" borderId="0" xfId="0" applyNumberFormat="1" applyFont="1"/>
    <xf numFmtId="0" fontId="29" fillId="7" borderId="0" xfId="0" applyFont="1" applyFill="1"/>
    <xf numFmtId="0" fontId="28" fillId="0" borderId="7" xfId="0" applyFont="1" applyBorder="1"/>
    <xf numFmtId="0" fontId="1" fillId="8" borderId="0" xfId="0" applyFont="1" applyFill="1"/>
    <xf numFmtId="0" fontId="1" fillId="0" borderId="23" xfId="0" applyFont="1" applyBorder="1"/>
    <xf numFmtId="10" fontId="1" fillId="0" borderId="32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left"/>
    </xf>
    <xf numFmtId="1" fontId="6" fillId="0" borderId="16" xfId="0" applyNumberFormat="1" applyFont="1" applyBorder="1" applyAlignment="1">
      <alignment horizontal="center"/>
    </xf>
    <xf numFmtId="1" fontId="6" fillId="0" borderId="21" xfId="0" applyNumberFormat="1" applyFont="1" applyBorder="1" applyAlignment="1">
      <alignment horizontal="left"/>
    </xf>
    <xf numFmtId="1" fontId="6" fillId="0" borderId="22" xfId="0" applyNumberFormat="1" applyFont="1" applyBorder="1" applyAlignment="1">
      <alignment horizontal="center"/>
    </xf>
    <xf numFmtId="10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/>
    <xf numFmtId="0" fontId="48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9" fontId="48" fillId="0" borderId="0" xfId="5" applyFont="1"/>
    <xf numFmtId="0" fontId="54" fillId="0" borderId="0" xfId="0" applyFont="1"/>
    <xf numFmtId="171" fontId="51" fillId="0" borderId="0" xfId="0" applyNumberFormat="1" applyFont="1" applyAlignment="1">
      <alignment horizontal="center"/>
    </xf>
    <xf numFmtId="171" fontId="48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9" fontId="48" fillId="0" borderId="0" xfId="5" applyFont="1" applyFill="1" applyBorder="1"/>
    <xf numFmtId="0" fontId="1" fillId="0" borderId="0" xfId="0" applyFont="1" applyAlignment="1">
      <alignment horizontal="left"/>
    </xf>
    <xf numFmtId="0" fontId="35" fillId="0" borderId="0" xfId="0" applyFont="1"/>
    <xf numFmtId="164" fontId="48" fillId="0" borderId="0" xfId="5" applyNumberFormat="1" applyFont="1" applyFill="1" applyBorder="1" applyAlignment="1">
      <alignment horizontal="center"/>
    </xf>
    <xf numFmtId="164" fontId="48" fillId="0" borderId="0" xfId="5" applyNumberFormat="1" applyFont="1"/>
    <xf numFmtId="173" fontId="48" fillId="0" borderId="0" xfId="5" applyNumberFormat="1" applyFont="1" applyFill="1" applyBorder="1"/>
    <xf numFmtId="164" fontId="51" fillId="0" borderId="0" xfId="0" applyNumberFormat="1" applyFont="1"/>
    <xf numFmtId="164" fontId="29" fillId="0" borderId="0" xfId="0" applyNumberFormat="1" applyFont="1" applyAlignment="1">
      <alignment horizontal="centerContinuous"/>
    </xf>
    <xf numFmtId="10" fontId="55" fillId="0" borderId="0" xfId="0" applyNumberFormat="1" applyFont="1" applyAlignment="1">
      <alignment horizontal="center"/>
    </xf>
    <xf numFmtId="10" fontId="5" fillId="0" borderId="0" xfId="0" applyNumberFormat="1" applyFont="1"/>
    <xf numFmtId="10" fontId="1" fillId="0" borderId="0" xfId="0" applyNumberFormat="1" applyFont="1"/>
    <xf numFmtId="10" fontId="1" fillId="0" borderId="0" xfId="5" applyNumberFormat="1" applyFont="1" applyFill="1" applyBorder="1"/>
    <xf numFmtId="10" fontId="28" fillId="0" borderId="8" xfId="0" applyNumberFormat="1" applyFont="1" applyBorder="1" applyAlignment="1">
      <alignment horizontal="right"/>
    </xf>
    <xf numFmtId="0" fontId="14" fillId="0" borderId="7" xfId="0" applyFont="1" applyBorder="1" applyAlignment="1">
      <alignment horizontal="centerContinuous"/>
    </xf>
    <xf numFmtId="166" fontId="6" fillId="0" borderId="7" xfId="0" applyNumberFormat="1" applyFont="1" applyBorder="1" applyAlignment="1">
      <alignment horizontal="center"/>
    </xf>
    <xf numFmtId="164" fontId="6" fillId="0" borderId="16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43" fontId="1" fillId="0" borderId="0" xfId="1" applyFont="1" applyFill="1"/>
    <xf numFmtId="3" fontId="1" fillId="0" borderId="0" xfId="3" applyNumberFormat="1" applyAlignment="1">
      <alignment horizontal="right"/>
    </xf>
    <xf numFmtId="3" fontId="6" fillId="0" borderId="0" xfId="3" applyNumberFormat="1" applyFont="1" applyAlignment="1">
      <alignment horizontal="right"/>
    </xf>
    <xf numFmtId="173" fontId="0" fillId="0" borderId="0" xfId="5" applyNumberFormat="1" applyFont="1" applyAlignment="1">
      <alignment horizontal="left"/>
    </xf>
    <xf numFmtId="164" fontId="1" fillId="0" borderId="0" xfId="0" applyNumberFormat="1" applyFont="1"/>
    <xf numFmtId="10" fontId="28" fillId="0" borderId="44" xfId="0" applyNumberFormat="1" applyFont="1" applyBorder="1" applyAlignment="1">
      <alignment horizontal="right"/>
    </xf>
    <xf numFmtId="179" fontId="1" fillId="0" borderId="0" xfId="2" applyNumberFormat="1" applyFont="1" applyFill="1"/>
    <xf numFmtId="179" fontId="1" fillId="0" borderId="0" xfId="1" applyNumberFormat="1" applyFont="1" applyFill="1" applyAlignment="1">
      <alignment horizontal="center"/>
    </xf>
    <xf numFmtId="3" fontId="42" fillId="0" borderId="0" xfId="3" applyNumberFormat="1" applyFont="1" applyAlignment="1">
      <alignment horizontal="right"/>
    </xf>
    <xf numFmtId="178" fontId="1" fillId="0" borderId="0" xfId="1" applyNumberFormat="1" applyFont="1" applyFill="1" applyAlignment="1">
      <alignment horizontal="right"/>
    </xf>
    <xf numFmtId="0" fontId="1" fillId="0" borderId="0" xfId="0" quotePrefix="1" applyFont="1" applyAlignment="1">
      <alignment horizontal="center"/>
    </xf>
    <xf numFmtId="2" fontId="1" fillId="0" borderId="0" xfId="0" applyNumberFormat="1" applyFont="1" applyAlignment="1">
      <alignment horizontal="center"/>
    </xf>
    <xf numFmtId="178" fontId="1" fillId="11" borderId="0" xfId="1" applyNumberFormat="1" applyFont="1" applyFill="1"/>
    <xf numFmtId="3" fontId="0" fillId="11" borderId="0" xfId="0" applyNumberFormat="1" applyFill="1"/>
    <xf numFmtId="3" fontId="42" fillId="11" borderId="0" xfId="0" applyNumberFormat="1" applyFont="1" applyFill="1" applyAlignment="1">
      <alignment horizontal="right"/>
    </xf>
    <xf numFmtId="0" fontId="0" fillId="0" borderId="0" xfId="0"/>
    <xf numFmtId="1" fontId="1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/>
    <xf numFmtId="1" fontId="5" fillId="0" borderId="42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" fontId="1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7" xfId="0" applyNumberFormat="1" applyBorder="1" applyAlignment="1">
      <alignment horizontal="left"/>
    </xf>
    <xf numFmtId="164" fontId="1" fillId="11" borderId="40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quotePrefix="1" applyFont="1" applyAlignment="1">
      <alignment horizontal="left"/>
    </xf>
    <xf numFmtId="164" fontId="1" fillId="0" borderId="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71" fontId="1" fillId="0" borderId="0" xfId="0" applyNumberFormat="1" applyFont="1" applyAlignment="1">
      <alignment horizontal="center"/>
    </xf>
    <xf numFmtId="0" fontId="1" fillId="0" borderId="30" xfId="0" applyFont="1" applyBorder="1"/>
    <xf numFmtId="0" fontId="1" fillId="0" borderId="38" xfId="0" applyFont="1" applyBorder="1"/>
    <xf numFmtId="0" fontId="1" fillId="0" borderId="33" xfId="0" applyFont="1" applyBorder="1"/>
    <xf numFmtId="0" fontId="1" fillId="0" borderId="24" xfId="0" applyFont="1" applyBorder="1"/>
    <xf numFmtId="0" fontId="1" fillId="0" borderId="37" xfId="0" applyFont="1" applyBorder="1"/>
    <xf numFmtId="164" fontId="1" fillId="0" borderId="37" xfId="0" applyNumberFormat="1" applyFont="1" applyBorder="1" applyAlignment="1">
      <alignment horizontal="center"/>
    </xf>
    <xf numFmtId="0" fontId="7" fillId="0" borderId="0" xfId="0" applyFont="1" applyAlignment="1">
      <alignment horizontal="centerContinuous"/>
    </xf>
    <xf numFmtId="164" fontId="6" fillId="0" borderId="17" xfId="0" quotePrefix="1" applyNumberFormat="1" applyFont="1" applyBorder="1" applyAlignment="1">
      <alignment horizontal="center" wrapText="1"/>
    </xf>
    <xf numFmtId="43" fontId="1" fillId="0" borderId="0" xfId="1" applyFont="1"/>
    <xf numFmtId="0" fontId="30" fillId="0" borderId="0" xfId="0" applyFont="1" applyAlignment="1">
      <alignment horizontal="center"/>
    </xf>
    <xf numFmtId="164" fontId="30" fillId="0" borderId="0" xfId="0" applyNumberFormat="1" applyFont="1"/>
    <xf numFmtId="43" fontId="1" fillId="0" borderId="0" xfId="0" applyNumberFormat="1" applyFont="1" applyAlignment="1">
      <alignment horizontal="center"/>
    </xf>
    <xf numFmtId="164" fontId="1" fillId="0" borderId="0" xfId="5" applyNumberFormat="1" applyFont="1" applyFill="1" applyAlignment="1">
      <alignment horizontal="center"/>
    </xf>
    <xf numFmtId="167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3" fontId="6" fillId="0" borderId="7" xfId="0" applyNumberFormat="1" applyFont="1" applyBorder="1" applyAlignment="1">
      <alignment horizontal="right"/>
    </xf>
    <xf numFmtId="3" fontId="6" fillId="0" borderId="7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168" fontId="6" fillId="0" borderId="7" xfId="0" applyNumberFormat="1" applyFont="1" applyBorder="1" applyAlignment="1">
      <alignment horizontal="center"/>
    </xf>
    <xf numFmtId="0" fontId="5" fillId="0" borderId="44" xfId="0" applyFont="1" applyBorder="1" applyAlignment="1"/>
    <xf numFmtId="1" fontId="1" fillId="0" borderId="0" xfId="0" applyNumberFormat="1" applyFont="1" applyAlignment="1">
      <alignment horizontal="left"/>
    </xf>
    <xf numFmtId="0" fontId="1" fillId="0" borderId="0" xfId="0" applyFont="1" applyAlignment="1"/>
    <xf numFmtId="0" fontId="0" fillId="0" borderId="0" xfId="0" applyAlignment="1"/>
    <xf numFmtId="0" fontId="0" fillId="0" borderId="7" xfId="0" applyBorder="1" applyAlignment="1"/>
    <xf numFmtId="0" fontId="1" fillId="0" borderId="10" xfId="0" applyFont="1" applyBorder="1"/>
    <xf numFmtId="0" fontId="7" fillId="0" borderId="19" xfId="0" applyFont="1" applyBorder="1"/>
    <xf numFmtId="1" fontId="8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/>
    <xf numFmtId="0" fontId="10" fillId="0" borderId="0" xfId="0" applyFont="1"/>
    <xf numFmtId="1" fontId="8" fillId="0" borderId="0" xfId="0" applyNumberFormat="1" applyFont="1" applyAlignment="1">
      <alignment horizontal="right"/>
    </xf>
    <xf numFmtId="0" fontId="11" fillId="0" borderId="0" xfId="0" applyFont="1"/>
    <xf numFmtId="0" fontId="30" fillId="0" borderId="0" xfId="0" applyFont="1" applyAlignment="1">
      <alignment horizontal="left"/>
    </xf>
    <xf numFmtId="10" fontId="13" fillId="0" borderId="0" xfId="0" applyNumberFormat="1" applyFont="1" applyAlignment="1">
      <alignment horizontal="center"/>
    </xf>
    <xf numFmtId="0" fontId="30" fillId="0" borderId="0" xfId="0" applyFont="1" applyAlignment="1">
      <alignment horizontal="centerContinuous"/>
    </xf>
    <xf numFmtId="10" fontId="30" fillId="0" borderId="0" xfId="0" applyNumberFormat="1" applyFont="1" applyAlignment="1">
      <alignment horizontal="centerContinuous"/>
    </xf>
    <xf numFmtId="178" fontId="1" fillId="0" borderId="0" xfId="1" applyNumberFormat="1" applyFont="1" applyFill="1"/>
    <xf numFmtId="0" fontId="6" fillId="0" borderId="42" xfId="0" applyFont="1" applyBorder="1"/>
    <xf numFmtId="10" fontId="30" fillId="10" borderId="0" xfId="0" applyNumberFormat="1" applyFont="1" applyFill="1" applyAlignment="1">
      <alignment horizontal="center"/>
    </xf>
    <xf numFmtId="10" fontId="6" fillId="0" borderId="7" xfId="0" applyNumberFormat="1" applyFont="1" applyBorder="1" applyAlignment="1">
      <alignment horizontal="centerContinuous"/>
    </xf>
    <xf numFmtId="0" fontId="1" fillId="0" borderId="7" xfId="0" applyFont="1" applyBorder="1" applyAlignment="1">
      <alignment horizontal="left"/>
    </xf>
  </cellXfs>
  <cellStyles count="6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5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15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styles" Target="styles.xml"/><Relationship Id="rId58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57642" name="Line 1">
          <a:extLst>
            <a:ext uri="{FF2B5EF4-FFF2-40B4-BE49-F238E27FC236}">
              <a16:creationId xmlns:a16="http://schemas.microsoft.com/office/drawing/2014/main" id="{74942604-6C84-4172-A11D-1CA3B249358C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57643" name="Line 2">
          <a:extLst>
            <a:ext uri="{FF2B5EF4-FFF2-40B4-BE49-F238E27FC236}">
              <a16:creationId xmlns:a16="http://schemas.microsoft.com/office/drawing/2014/main" id="{DBA8EA17-C726-4A75-96C7-52C1523F76AB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57644" name="Line 3">
          <a:extLst>
            <a:ext uri="{FF2B5EF4-FFF2-40B4-BE49-F238E27FC236}">
              <a16:creationId xmlns:a16="http://schemas.microsoft.com/office/drawing/2014/main" id="{035A4C05-F836-428C-94AC-C40FFB3D7859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57645" name="Line 4">
          <a:extLst>
            <a:ext uri="{FF2B5EF4-FFF2-40B4-BE49-F238E27FC236}">
              <a16:creationId xmlns:a16="http://schemas.microsoft.com/office/drawing/2014/main" id="{5D751C0E-C24A-43CC-8504-37143CF5E823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57646" name="Line 5">
          <a:extLst>
            <a:ext uri="{FF2B5EF4-FFF2-40B4-BE49-F238E27FC236}">
              <a16:creationId xmlns:a16="http://schemas.microsoft.com/office/drawing/2014/main" id="{50D7EAD2-3CBB-45AF-AABD-546ED59E6935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57647" name="Line 6">
          <a:extLst>
            <a:ext uri="{FF2B5EF4-FFF2-40B4-BE49-F238E27FC236}">
              <a16:creationId xmlns:a16="http://schemas.microsoft.com/office/drawing/2014/main" id="{1E65673C-264C-413F-827E-CE4545723A8E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57648" name="Line 7">
          <a:extLst>
            <a:ext uri="{FF2B5EF4-FFF2-40B4-BE49-F238E27FC236}">
              <a16:creationId xmlns:a16="http://schemas.microsoft.com/office/drawing/2014/main" id="{204552E0-DB68-4D0C-944C-18565ABEA977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57649" name="Line 8">
          <a:extLst>
            <a:ext uri="{FF2B5EF4-FFF2-40B4-BE49-F238E27FC236}">
              <a16:creationId xmlns:a16="http://schemas.microsoft.com/office/drawing/2014/main" id="{AC83618D-3F4B-4427-B42A-AD644833324C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57650" name="Line 9">
          <a:extLst>
            <a:ext uri="{FF2B5EF4-FFF2-40B4-BE49-F238E27FC236}">
              <a16:creationId xmlns:a16="http://schemas.microsoft.com/office/drawing/2014/main" id="{6FEF3691-8DD0-4E27-9E67-33410DECF714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57651" name="Line 10">
          <a:extLst>
            <a:ext uri="{FF2B5EF4-FFF2-40B4-BE49-F238E27FC236}">
              <a16:creationId xmlns:a16="http://schemas.microsoft.com/office/drawing/2014/main" id="{55F56D73-9619-4105-AF89-11BD56F450B1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57652" name="Line 11">
          <a:extLst>
            <a:ext uri="{FF2B5EF4-FFF2-40B4-BE49-F238E27FC236}">
              <a16:creationId xmlns:a16="http://schemas.microsoft.com/office/drawing/2014/main" id="{C589B49B-F28C-4259-8CE9-A82ECF957791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57653" name="Line 12">
          <a:extLst>
            <a:ext uri="{FF2B5EF4-FFF2-40B4-BE49-F238E27FC236}">
              <a16:creationId xmlns:a16="http://schemas.microsoft.com/office/drawing/2014/main" id="{A8FF6970-66E5-414D-8D3C-A569B080141D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57654" name="Line 13">
          <a:extLst>
            <a:ext uri="{FF2B5EF4-FFF2-40B4-BE49-F238E27FC236}">
              <a16:creationId xmlns:a16="http://schemas.microsoft.com/office/drawing/2014/main" id="{56F018F6-07A5-449B-99C6-9A45BACD304D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57655" name="Line 14">
          <a:extLst>
            <a:ext uri="{FF2B5EF4-FFF2-40B4-BE49-F238E27FC236}">
              <a16:creationId xmlns:a16="http://schemas.microsoft.com/office/drawing/2014/main" id="{77F0D939-FD3E-4E65-B031-946101006F74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57656" name="Line 15">
          <a:extLst>
            <a:ext uri="{FF2B5EF4-FFF2-40B4-BE49-F238E27FC236}">
              <a16:creationId xmlns:a16="http://schemas.microsoft.com/office/drawing/2014/main" id="{8061AC58-97F2-4CFD-9050-8502F8F0F464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57657" name="Line 16">
          <a:extLst>
            <a:ext uri="{FF2B5EF4-FFF2-40B4-BE49-F238E27FC236}">
              <a16:creationId xmlns:a16="http://schemas.microsoft.com/office/drawing/2014/main" id="{E9E95539-E592-4566-868F-E22B8FA3BFB6}"/>
            </a:ext>
          </a:extLst>
        </xdr:cNvPr>
        <xdr:cNvSpPr>
          <a:spLocks noChangeShapeType="1"/>
        </xdr:cNvSpPr>
      </xdr:nvSpPr>
      <xdr:spPr bwMode="auto">
        <a:xfrm>
          <a:off x="104489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57658" name="Line 17">
          <a:extLst>
            <a:ext uri="{FF2B5EF4-FFF2-40B4-BE49-F238E27FC236}">
              <a16:creationId xmlns:a16="http://schemas.microsoft.com/office/drawing/2014/main" id="{112A5E60-4491-4F23-9004-111B3B3623AB}"/>
            </a:ext>
          </a:extLst>
        </xdr:cNvPr>
        <xdr:cNvSpPr>
          <a:spLocks noChangeShapeType="1"/>
        </xdr:cNvSpPr>
      </xdr:nvSpPr>
      <xdr:spPr bwMode="auto">
        <a:xfrm>
          <a:off x="96869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57659" name="Line 18">
          <a:extLst>
            <a:ext uri="{FF2B5EF4-FFF2-40B4-BE49-F238E27FC236}">
              <a16:creationId xmlns:a16="http://schemas.microsoft.com/office/drawing/2014/main" id="{7AC9E53E-BBCD-4D07-ACE5-94562816FFB2}"/>
            </a:ext>
          </a:extLst>
        </xdr:cNvPr>
        <xdr:cNvSpPr>
          <a:spLocks noChangeShapeType="1"/>
        </xdr:cNvSpPr>
      </xdr:nvSpPr>
      <xdr:spPr bwMode="auto">
        <a:xfrm>
          <a:off x="104489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57660" name="Line 19">
          <a:extLst>
            <a:ext uri="{FF2B5EF4-FFF2-40B4-BE49-F238E27FC236}">
              <a16:creationId xmlns:a16="http://schemas.microsoft.com/office/drawing/2014/main" id="{AFAA5E5B-18F1-4D94-ABCB-7D2F4C438FCE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57661" name="Line 20">
          <a:extLst>
            <a:ext uri="{FF2B5EF4-FFF2-40B4-BE49-F238E27FC236}">
              <a16:creationId xmlns:a16="http://schemas.microsoft.com/office/drawing/2014/main" id="{C276E150-CFA9-4E56-9E6B-A9A5427C2E1C}"/>
            </a:ext>
          </a:extLst>
        </xdr:cNvPr>
        <xdr:cNvSpPr>
          <a:spLocks noChangeShapeType="1"/>
        </xdr:cNvSpPr>
      </xdr:nvSpPr>
      <xdr:spPr bwMode="auto">
        <a:xfrm>
          <a:off x="96869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57662" name="Line 21">
          <a:extLst>
            <a:ext uri="{FF2B5EF4-FFF2-40B4-BE49-F238E27FC236}">
              <a16:creationId xmlns:a16="http://schemas.microsoft.com/office/drawing/2014/main" id="{4680F074-6935-4179-9658-B590B3454F53}"/>
            </a:ext>
          </a:extLst>
        </xdr:cNvPr>
        <xdr:cNvSpPr>
          <a:spLocks noChangeShapeType="1"/>
        </xdr:cNvSpPr>
      </xdr:nvSpPr>
      <xdr:spPr bwMode="auto">
        <a:xfrm>
          <a:off x="104489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57663" name="Line 22">
          <a:extLst>
            <a:ext uri="{FF2B5EF4-FFF2-40B4-BE49-F238E27FC236}">
              <a16:creationId xmlns:a16="http://schemas.microsoft.com/office/drawing/2014/main" id="{6F6A5268-CDF2-41F0-982D-8394EA5B7A2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57664" name="Line 23">
          <a:extLst>
            <a:ext uri="{FF2B5EF4-FFF2-40B4-BE49-F238E27FC236}">
              <a16:creationId xmlns:a16="http://schemas.microsoft.com/office/drawing/2014/main" id="{A961BB08-040B-426B-96F8-34CE70B06FC3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57665" name="Line 24">
          <a:extLst>
            <a:ext uri="{FF2B5EF4-FFF2-40B4-BE49-F238E27FC236}">
              <a16:creationId xmlns:a16="http://schemas.microsoft.com/office/drawing/2014/main" id="{18BC8FA4-C51D-49A6-85C1-7DBC2C74A9D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57666" name="Line 25">
          <a:extLst>
            <a:ext uri="{FF2B5EF4-FFF2-40B4-BE49-F238E27FC236}">
              <a16:creationId xmlns:a16="http://schemas.microsoft.com/office/drawing/2014/main" id="{B1548ED4-26C6-45A8-A5F6-3B26D75AD1E2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57667" name="Line 26">
          <a:extLst>
            <a:ext uri="{FF2B5EF4-FFF2-40B4-BE49-F238E27FC236}">
              <a16:creationId xmlns:a16="http://schemas.microsoft.com/office/drawing/2014/main" id="{9CD92208-B02E-4906-96A9-C249C0F39DE0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57668" name="Line 27">
          <a:extLst>
            <a:ext uri="{FF2B5EF4-FFF2-40B4-BE49-F238E27FC236}">
              <a16:creationId xmlns:a16="http://schemas.microsoft.com/office/drawing/2014/main" id="{B5C683C3-DBE7-49B7-9AE9-B48429E29872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57669" name="Line 28">
          <a:extLst>
            <a:ext uri="{FF2B5EF4-FFF2-40B4-BE49-F238E27FC236}">
              <a16:creationId xmlns:a16="http://schemas.microsoft.com/office/drawing/2014/main" id="{CDD822EC-49C1-4613-9F7A-20BE6890EB41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57670" name="Line 29">
          <a:extLst>
            <a:ext uri="{FF2B5EF4-FFF2-40B4-BE49-F238E27FC236}">
              <a16:creationId xmlns:a16="http://schemas.microsoft.com/office/drawing/2014/main" id="{AFDE2F36-F042-4F2D-B512-28CD8C14F37E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57671" name="Line 30">
          <a:extLst>
            <a:ext uri="{FF2B5EF4-FFF2-40B4-BE49-F238E27FC236}">
              <a16:creationId xmlns:a16="http://schemas.microsoft.com/office/drawing/2014/main" id="{074A1192-DEC5-4551-8BBD-E870364137EF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57672" name="Line 31">
          <a:extLst>
            <a:ext uri="{FF2B5EF4-FFF2-40B4-BE49-F238E27FC236}">
              <a16:creationId xmlns:a16="http://schemas.microsoft.com/office/drawing/2014/main" id="{D4FA1BE6-A29D-4AAC-B4F0-DDAC16DECA07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57673" name="Line 32">
          <a:extLst>
            <a:ext uri="{FF2B5EF4-FFF2-40B4-BE49-F238E27FC236}">
              <a16:creationId xmlns:a16="http://schemas.microsoft.com/office/drawing/2014/main" id="{2BECC7AF-A501-4100-81FE-2AA9BAFD360F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57674" name="Line 33">
          <a:extLst>
            <a:ext uri="{FF2B5EF4-FFF2-40B4-BE49-F238E27FC236}">
              <a16:creationId xmlns:a16="http://schemas.microsoft.com/office/drawing/2014/main" id="{260A1DE4-45DD-4F36-8682-3CA4007ED20F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57675" name="Line 34">
          <a:extLst>
            <a:ext uri="{FF2B5EF4-FFF2-40B4-BE49-F238E27FC236}">
              <a16:creationId xmlns:a16="http://schemas.microsoft.com/office/drawing/2014/main" id="{F8E254D1-5DE1-4BB5-8D07-B6941A4E1351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57676" name="Line 35">
          <a:extLst>
            <a:ext uri="{FF2B5EF4-FFF2-40B4-BE49-F238E27FC236}">
              <a16:creationId xmlns:a16="http://schemas.microsoft.com/office/drawing/2014/main" id="{913A4190-BAC4-4F31-ABF2-27F8E97DE779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57677" name="Line 36">
          <a:extLst>
            <a:ext uri="{FF2B5EF4-FFF2-40B4-BE49-F238E27FC236}">
              <a16:creationId xmlns:a16="http://schemas.microsoft.com/office/drawing/2014/main" id="{4814A6B5-6CE1-4056-B73D-D7D2C0029673}"/>
            </a:ext>
          </a:extLst>
        </xdr:cNvPr>
        <xdr:cNvSpPr>
          <a:spLocks noChangeShapeType="1"/>
        </xdr:cNvSpPr>
      </xdr:nvSpPr>
      <xdr:spPr bwMode="auto">
        <a:xfrm flipV="1">
          <a:off x="104489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57678" name="Line 37">
          <a:extLst>
            <a:ext uri="{FF2B5EF4-FFF2-40B4-BE49-F238E27FC236}">
              <a16:creationId xmlns:a16="http://schemas.microsoft.com/office/drawing/2014/main" id="{BC58A48D-88CB-49C7-AD68-1783F10552D5}"/>
            </a:ext>
          </a:extLst>
        </xdr:cNvPr>
        <xdr:cNvSpPr>
          <a:spLocks noChangeShapeType="1"/>
        </xdr:cNvSpPr>
      </xdr:nvSpPr>
      <xdr:spPr bwMode="auto">
        <a:xfrm>
          <a:off x="96869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57679" name="Line 38">
          <a:extLst>
            <a:ext uri="{FF2B5EF4-FFF2-40B4-BE49-F238E27FC236}">
              <a16:creationId xmlns:a16="http://schemas.microsoft.com/office/drawing/2014/main" id="{BF1CC8D3-7A95-4445-ADCC-9F88E8022ED8}"/>
            </a:ext>
          </a:extLst>
        </xdr:cNvPr>
        <xdr:cNvSpPr>
          <a:spLocks noChangeShapeType="1"/>
        </xdr:cNvSpPr>
      </xdr:nvSpPr>
      <xdr:spPr bwMode="auto">
        <a:xfrm>
          <a:off x="11763375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57680" name="Line 39">
          <a:extLst>
            <a:ext uri="{FF2B5EF4-FFF2-40B4-BE49-F238E27FC236}">
              <a16:creationId xmlns:a16="http://schemas.microsoft.com/office/drawing/2014/main" id="{B896CAEE-6BBC-4724-8D6A-CEF839756A4E}"/>
            </a:ext>
          </a:extLst>
        </xdr:cNvPr>
        <xdr:cNvSpPr>
          <a:spLocks noChangeShapeType="1"/>
        </xdr:cNvSpPr>
      </xdr:nvSpPr>
      <xdr:spPr bwMode="auto">
        <a:xfrm>
          <a:off x="11763375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57681" name="Line 40">
          <a:extLst>
            <a:ext uri="{FF2B5EF4-FFF2-40B4-BE49-F238E27FC236}">
              <a16:creationId xmlns:a16="http://schemas.microsoft.com/office/drawing/2014/main" id="{69DADADB-4329-4EA0-AC89-CF1C120F95DC}"/>
            </a:ext>
          </a:extLst>
        </xdr:cNvPr>
        <xdr:cNvSpPr>
          <a:spLocks noChangeShapeType="1"/>
        </xdr:cNvSpPr>
      </xdr:nvSpPr>
      <xdr:spPr bwMode="auto">
        <a:xfrm>
          <a:off x="11763375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57682" name="Line 41">
          <a:extLst>
            <a:ext uri="{FF2B5EF4-FFF2-40B4-BE49-F238E27FC236}">
              <a16:creationId xmlns:a16="http://schemas.microsoft.com/office/drawing/2014/main" id="{C7B427B4-D041-4072-B31F-E83506C8126E}"/>
            </a:ext>
          </a:extLst>
        </xdr:cNvPr>
        <xdr:cNvSpPr>
          <a:spLocks noChangeShapeType="1"/>
        </xdr:cNvSpPr>
      </xdr:nvSpPr>
      <xdr:spPr bwMode="auto">
        <a:xfrm>
          <a:off x="1111567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57683" name="Line 42">
          <a:extLst>
            <a:ext uri="{FF2B5EF4-FFF2-40B4-BE49-F238E27FC236}">
              <a16:creationId xmlns:a16="http://schemas.microsoft.com/office/drawing/2014/main" id="{179A06C1-9162-475D-A493-CF14F34A37EA}"/>
            </a:ext>
          </a:extLst>
        </xdr:cNvPr>
        <xdr:cNvSpPr>
          <a:spLocks noChangeShapeType="1"/>
        </xdr:cNvSpPr>
      </xdr:nvSpPr>
      <xdr:spPr bwMode="auto">
        <a:xfrm>
          <a:off x="1432560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57684" name="Line 43">
          <a:extLst>
            <a:ext uri="{FF2B5EF4-FFF2-40B4-BE49-F238E27FC236}">
              <a16:creationId xmlns:a16="http://schemas.microsoft.com/office/drawing/2014/main" id="{34BD1499-7D79-40CC-8001-5770CD2AC1C4}"/>
            </a:ext>
          </a:extLst>
        </xdr:cNvPr>
        <xdr:cNvSpPr>
          <a:spLocks noChangeShapeType="1"/>
        </xdr:cNvSpPr>
      </xdr:nvSpPr>
      <xdr:spPr bwMode="auto">
        <a:xfrm>
          <a:off x="1432560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57685" name="Line 44">
          <a:extLst>
            <a:ext uri="{FF2B5EF4-FFF2-40B4-BE49-F238E27FC236}">
              <a16:creationId xmlns:a16="http://schemas.microsoft.com/office/drawing/2014/main" id="{617781F2-5AA9-4E85-8732-2995137466E6}"/>
            </a:ext>
          </a:extLst>
        </xdr:cNvPr>
        <xdr:cNvSpPr>
          <a:spLocks noChangeShapeType="1"/>
        </xdr:cNvSpPr>
      </xdr:nvSpPr>
      <xdr:spPr bwMode="auto">
        <a:xfrm>
          <a:off x="1390650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57686" name="Line 45">
          <a:extLst>
            <a:ext uri="{FF2B5EF4-FFF2-40B4-BE49-F238E27FC236}">
              <a16:creationId xmlns:a16="http://schemas.microsoft.com/office/drawing/2014/main" id="{D812A361-3591-4236-8AB2-4928488AB55D}"/>
            </a:ext>
          </a:extLst>
        </xdr:cNvPr>
        <xdr:cNvSpPr>
          <a:spLocks noChangeShapeType="1"/>
        </xdr:cNvSpPr>
      </xdr:nvSpPr>
      <xdr:spPr bwMode="auto">
        <a:xfrm>
          <a:off x="1432560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57687" name="Line 46">
          <a:extLst>
            <a:ext uri="{FF2B5EF4-FFF2-40B4-BE49-F238E27FC236}">
              <a16:creationId xmlns:a16="http://schemas.microsoft.com/office/drawing/2014/main" id="{5E2D1819-8217-4074-8035-D916481CD962}"/>
            </a:ext>
          </a:extLst>
        </xdr:cNvPr>
        <xdr:cNvSpPr>
          <a:spLocks noChangeShapeType="1"/>
        </xdr:cNvSpPr>
      </xdr:nvSpPr>
      <xdr:spPr bwMode="auto">
        <a:xfrm>
          <a:off x="1432560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57688" name="Line 47">
          <a:extLst>
            <a:ext uri="{FF2B5EF4-FFF2-40B4-BE49-F238E27FC236}">
              <a16:creationId xmlns:a16="http://schemas.microsoft.com/office/drawing/2014/main" id="{BC557893-B486-4EA8-A149-DC4B75C0764E}"/>
            </a:ext>
          </a:extLst>
        </xdr:cNvPr>
        <xdr:cNvSpPr>
          <a:spLocks noChangeShapeType="1"/>
        </xdr:cNvSpPr>
      </xdr:nvSpPr>
      <xdr:spPr bwMode="auto">
        <a:xfrm>
          <a:off x="1390650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57689" name="Line 48">
          <a:extLst>
            <a:ext uri="{FF2B5EF4-FFF2-40B4-BE49-F238E27FC236}">
              <a16:creationId xmlns:a16="http://schemas.microsoft.com/office/drawing/2014/main" id="{FB32B9ED-3F11-4147-A5EC-8851A70DF360}"/>
            </a:ext>
          </a:extLst>
        </xdr:cNvPr>
        <xdr:cNvSpPr>
          <a:spLocks noChangeShapeType="1"/>
        </xdr:cNvSpPr>
      </xdr:nvSpPr>
      <xdr:spPr bwMode="auto">
        <a:xfrm>
          <a:off x="1432560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57690" name="Line 49">
          <a:extLst>
            <a:ext uri="{FF2B5EF4-FFF2-40B4-BE49-F238E27FC236}">
              <a16:creationId xmlns:a16="http://schemas.microsoft.com/office/drawing/2014/main" id="{DD9AB3B9-805C-449A-A2FF-C6C1F10EABE8}"/>
            </a:ext>
          </a:extLst>
        </xdr:cNvPr>
        <xdr:cNvSpPr>
          <a:spLocks noChangeShapeType="1"/>
        </xdr:cNvSpPr>
      </xdr:nvSpPr>
      <xdr:spPr bwMode="auto">
        <a:xfrm>
          <a:off x="1390650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57691" name="Line 50">
          <a:extLst>
            <a:ext uri="{FF2B5EF4-FFF2-40B4-BE49-F238E27FC236}">
              <a16:creationId xmlns:a16="http://schemas.microsoft.com/office/drawing/2014/main" id="{1A55C982-6798-48FE-A041-9FFE2DC5FB09}"/>
            </a:ext>
          </a:extLst>
        </xdr:cNvPr>
        <xdr:cNvSpPr>
          <a:spLocks noChangeShapeType="1"/>
        </xdr:cNvSpPr>
      </xdr:nvSpPr>
      <xdr:spPr bwMode="auto">
        <a:xfrm flipV="1">
          <a:off x="1432560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57692" name="Line 51">
          <a:extLst>
            <a:ext uri="{FF2B5EF4-FFF2-40B4-BE49-F238E27FC236}">
              <a16:creationId xmlns:a16="http://schemas.microsoft.com/office/drawing/2014/main" id="{6523B551-BFC7-4144-B60A-302F9E88DDBD}"/>
            </a:ext>
          </a:extLst>
        </xdr:cNvPr>
        <xdr:cNvSpPr>
          <a:spLocks noChangeShapeType="1"/>
        </xdr:cNvSpPr>
      </xdr:nvSpPr>
      <xdr:spPr bwMode="auto">
        <a:xfrm flipV="1">
          <a:off x="1390650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57693" name="Line 52">
          <a:extLst>
            <a:ext uri="{FF2B5EF4-FFF2-40B4-BE49-F238E27FC236}">
              <a16:creationId xmlns:a16="http://schemas.microsoft.com/office/drawing/2014/main" id="{815874BF-A8A9-4F61-BC21-BEE786603016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57694" name="Line 53">
          <a:extLst>
            <a:ext uri="{FF2B5EF4-FFF2-40B4-BE49-F238E27FC236}">
              <a16:creationId xmlns:a16="http://schemas.microsoft.com/office/drawing/2014/main" id="{DE8C9351-25F7-49CC-8C73-A9AEDE6048F2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57695" name="Line 54">
          <a:extLst>
            <a:ext uri="{FF2B5EF4-FFF2-40B4-BE49-F238E27FC236}">
              <a16:creationId xmlns:a16="http://schemas.microsoft.com/office/drawing/2014/main" id="{0E8EDB0E-FECD-4356-9AB6-879052764FB8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57696" name="Line 55">
          <a:extLst>
            <a:ext uri="{FF2B5EF4-FFF2-40B4-BE49-F238E27FC236}">
              <a16:creationId xmlns:a16="http://schemas.microsoft.com/office/drawing/2014/main" id="{66C17447-7839-4AB4-9602-5046A71C248B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57697" name="Line 56">
          <a:extLst>
            <a:ext uri="{FF2B5EF4-FFF2-40B4-BE49-F238E27FC236}">
              <a16:creationId xmlns:a16="http://schemas.microsoft.com/office/drawing/2014/main" id="{92E29AB0-EEEE-4672-85D2-F50BA2825E27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57698" name="Line 57">
          <a:extLst>
            <a:ext uri="{FF2B5EF4-FFF2-40B4-BE49-F238E27FC236}">
              <a16:creationId xmlns:a16="http://schemas.microsoft.com/office/drawing/2014/main" id="{CE7F48A1-D1DF-4AA0-96E2-8B88E339D2E7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57699" name="Line 58">
          <a:extLst>
            <a:ext uri="{FF2B5EF4-FFF2-40B4-BE49-F238E27FC236}">
              <a16:creationId xmlns:a16="http://schemas.microsoft.com/office/drawing/2014/main" id="{E6180F54-DC11-4C33-BF3A-947A4922C750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57700" name="Line 59">
          <a:extLst>
            <a:ext uri="{FF2B5EF4-FFF2-40B4-BE49-F238E27FC236}">
              <a16:creationId xmlns:a16="http://schemas.microsoft.com/office/drawing/2014/main" id="{7C60173B-D0D8-4222-A9A1-2204B3FA2E04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57701" name="Line 60">
          <a:extLst>
            <a:ext uri="{FF2B5EF4-FFF2-40B4-BE49-F238E27FC236}">
              <a16:creationId xmlns:a16="http://schemas.microsoft.com/office/drawing/2014/main" id="{8A5E0465-CFC8-4C8D-9D9F-6B87ECDCAB3E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57702" name="Line 61">
          <a:extLst>
            <a:ext uri="{FF2B5EF4-FFF2-40B4-BE49-F238E27FC236}">
              <a16:creationId xmlns:a16="http://schemas.microsoft.com/office/drawing/2014/main" id="{1B77DF90-B7C8-44DD-9FF4-1605E805D7F9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57703" name="Line 62">
          <a:extLst>
            <a:ext uri="{FF2B5EF4-FFF2-40B4-BE49-F238E27FC236}">
              <a16:creationId xmlns:a16="http://schemas.microsoft.com/office/drawing/2014/main" id="{1DBBEDC7-9B7F-4B72-BB72-1B4351D5113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57704" name="Line 63">
          <a:extLst>
            <a:ext uri="{FF2B5EF4-FFF2-40B4-BE49-F238E27FC236}">
              <a16:creationId xmlns:a16="http://schemas.microsoft.com/office/drawing/2014/main" id="{8F50F53E-2711-47B0-9C2B-B9E3B554A56C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57705" name="Line 64">
          <a:extLst>
            <a:ext uri="{FF2B5EF4-FFF2-40B4-BE49-F238E27FC236}">
              <a16:creationId xmlns:a16="http://schemas.microsoft.com/office/drawing/2014/main" id="{6A6E88E0-59E5-4548-9B03-1AAA683840B3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57706" name="Line 65">
          <a:extLst>
            <a:ext uri="{FF2B5EF4-FFF2-40B4-BE49-F238E27FC236}">
              <a16:creationId xmlns:a16="http://schemas.microsoft.com/office/drawing/2014/main" id="{5349D229-1D6C-4CAA-9E3B-A0339C7CA24F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57707" name="Line 66">
          <a:extLst>
            <a:ext uri="{FF2B5EF4-FFF2-40B4-BE49-F238E27FC236}">
              <a16:creationId xmlns:a16="http://schemas.microsoft.com/office/drawing/2014/main" id="{F00884FC-F566-4297-8F33-D30115F35858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57708" name="Line 67">
          <a:extLst>
            <a:ext uri="{FF2B5EF4-FFF2-40B4-BE49-F238E27FC236}">
              <a16:creationId xmlns:a16="http://schemas.microsoft.com/office/drawing/2014/main" id="{8455B5C5-C0DD-451B-A966-4791DCFD0147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57709" name="Line 68">
          <a:extLst>
            <a:ext uri="{FF2B5EF4-FFF2-40B4-BE49-F238E27FC236}">
              <a16:creationId xmlns:a16="http://schemas.microsoft.com/office/drawing/2014/main" id="{70D32E9B-CC7B-4AA4-A617-EFBDA7F2A4AF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57710" name="Line 69">
          <a:extLst>
            <a:ext uri="{FF2B5EF4-FFF2-40B4-BE49-F238E27FC236}">
              <a16:creationId xmlns:a16="http://schemas.microsoft.com/office/drawing/2014/main" id="{2834CACB-75B4-4235-8AA9-F194F541F7F0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57711" name="Line 70">
          <a:extLst>
            <a:ext uri="{FF2B5EF4-FFF2-40B4-BE49-F238E27FC236}">
              <a16:creationId xmlns:a16="http://schemas.microsoft.com/office/drawing/2014/main" id="{DA71ABD9-B39A-4352-BC97-0A70864E0138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57712" name="Line 71">
          <a:extLst>
            <a:ext uri="{FF2B5EF4-FFF2-40B4-BE49-F238E27FC236}">
              <a16:creationId xmlns:a16="http://schemas.microsoft.com/office/drawing/2014/main" id="{F2C151C8-3D65-44FC-9081-8749D63195B0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57713" name="Line 72">
          <a:extLst>
            <a:ext uri="{FF2B5EF4-FFF2-40B4-BE49-F238E27FC236}">
              <a16:creationId xmlns:a16="http://schemas.microsoft.com/office/drawing/2014/main" id="{73344998-1E28-4587-9076-5B7819416754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57714" name="Line 73">
          <a:extLst>
            <a:ext uri="{FF2B5EF4-FFF2-40B4-BE49-F238E27FC236}">
              <a16:creationId xmlns:a16="http://schemas.microsoft.com/office/drawing/2014/main" id="{2C11CF32-C458-4891-8203-CB76B73B28E2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57715" name="Line 74">
          <a:extLst>
            <a:ext uri="{FF2B5EF4-FFF2-40B4-BE49-F238E27FC236}">
              <a16:creationId xmlns:a16="http://schemas.microsoft.com/office/drawing/2014/main" id="{99B90DF9-5E86-4783-A026-37699A46D07B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57716" name="Line 75">
          <a:extLst>
            <a:ext uri="{FF2B5EF4-FFF2-40B4-BE49-F238E27FC236}">
              <a16:creationId xmlns:a16="http://schemas.microsoft.com/office/drawing/2014/main" id="{C59E6D69-725D-4CED-9D99-999AE3947E08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57717" name="Line 76">
          <a:extLst>
            <a:ext uri="{FF2B5EF4-FFF2-40B4-BE49-F238E27FC236}">
              <a16:creationId xmlns:a16="http://schemas.microsoft.com/office/drawing/2014/main" id="{E15594AE-CDC6-4BF3-9F36-B9356BB66355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57718" name="Line 77">
          <a:extLst>
            <a:ext uri="{FF2B5EF4-FFF2-40B4-BE49-F238E27FC236}">
              <a16:creationId xmlns:a16="http://schemas.microsoft.com/office/drawing/2014/main" id="{6677B83C-8A33-4833-ABD9-2323E7822B14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57719" name="Line 78">
          <a:extLst>
            <a:ext uri="{FF2B5EF4-FFF2-40B4-BE49-F238E27FC236}">
              <a16:creationId xmlns:a16="http://schemas.microsoft.com/office/drawing/2014/main" id="{9AF7BDB2-495B-452D-B6DF-AA7C7FE915EC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57720" name="Line 79">
          <a:extLst>
            <a:ext uri="{FF2B5EF4-FFF2-40B4-BE49-F238E27FC236}">
              <a16:creationId xmlns:a16="http://schemas.microsoft.com/office/drawing/2014/main" id="{8E731F8B-DEBD-40BE-B699-4CACF5FBD5CD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57721" name="Line 80">
          <a:extLst>
            <a:ext uri="{FF2B5EF4-FFF2-40B4-BE49-F238E27FC236}">
              <a16:creationId xmlns:a16="http://schemas.microsoft.com/office/drawing/2014/main" id="{3A1588FB-ED9C-499D-ADF7-642DE5496126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57722" name="Line 81">
          <a:extLst>
            <a:ext uri="{FF2B5EF4-FFF2-40B4-BE49-F238E27FC236}">
              <a16:creationId xmlns:a16="http://schemas.microsoft.com/office/drawing/2014/main" id="{46C76569-1D46-4712-9ED0-19E3200ABD82}"/>
            </a:ext>
          </a:extLst>
        </xdr:cNvPr>
        <xdr:cNvSpPr>
          <a:spLocks noChangeShapeType="1"/>
        </xdr:cNvSpPr>
      </xdr:nvSpPr>
      <xdr:spPr bwMode="auto">
        <a:xfrm>
          <a:off x="96869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57723" name="Line 82">
          <a:extLst>
            <a:ext uri="{FF2B5EF4-FFF2-40B4-BE49-F238E27FC236}">
              <a16:creationId xmlns:a16="http://schemas.microsoft.com/office/drawing/2014/main" id="{B9F8A8B5-A340-4AA6-AF28-7F70E7C6D13E}"/>
            </a:ext>
          </a:extLst>
        </xdr:cNvPr>
        <xdr:cNvSpPr>
          <a:spLocks noChangeShapeType="1"/>
        </xdr:cNvSpPr>
      </xdr:nvSpPr>
      <xdr:spPr bwMode="auto">
        <a:xfrm>
          <a:off x="96869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57724" name="Line 83">
          <a:extLst>
            <a:ext uri="{FF2B5EF4-FFF2-40B4-BE49-F238E27FC236}">
              <a16:creationId xmlns:a16="http://schemas.microsoft.com/office/drawing/2014/main" id="{589B6EF1-F00A-4545-BEFA-866BC3AF1CB1}"/>
            </a:ext>
          </a:extLst>
        </xdr:cNvPr>
        <xdr:cNvSpPr>
          <a:spLocks noChangeShapeType="1"/>
        </xdr:cNvSpPr>
      </xdr:nvSpPr>
      <xdr:spPr bwMode="auto">
        <a:xfrm>
          <a:off x="1432560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57725" name="Line 84">
          <a:extLst>
            <a:ext uri="{FF2B5EF4-FFF2-40B4-BE49-F238E27FC236}">
              <a16:creationId xmlns:a16="http://schemas.microsoft.com/office/drawing/2014/main" id="{C956E602-96A0-41C5-9F36-08B928985C49}"/>
            </a:ext>
          </a:extLst>
        </xdr:cNvPr>
        <xdr:cNvSpPr>
          <a:spLocks noChangeShapeType="1"/>
        </xdr:cNvSpPr>
      </xdr:nvSpPr>
      <xdr:spPr bwMode="auto">
        <a:xfrm>
          <a:off x="1432560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57726" name="Line 85">
          <a:extLst>
            <a:ext uri="{FF2B5EF4-FFF2-40B4-BE49-F238E27FC236}">
              <a16:creationId xmlns:a16="http://schemas.microsoft.com/office/drawing/2014/main" id="{2D7D60A6-EF2A-4BB2-A057-9F3CE0E1051C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57727" name="Line 86">
          <a:extLst>
            <a:ext uri="{FF2B5EF4-FFF2-40B4-BE49-F238E27FC236}">
              <a16:creationId xmlns:a16="http://schemas.microsoft.com/office/drawing/2014/main" id="{81D5C71B-2EF9-487E-9B32-380F7B3CE786}"/>
            </a:ext>
          </a:extLst>
        </xdr:cNvPr>
        <xdr:cNvSpPr>
          <a:spLocks noChangeShapeType="1"/>
        </xdr:cNvSpPr>
      </xdr:nvSpPr>
      <xdr:spPr bwMode="auto">
        <a:xfrm>
          <a:off x="96869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57728" name="Line 87">
          <a:extLst>
            <a:ext uri="{FF2B5EF4-FFF2-40B4-BE49-F238E27FC236}">
              <a16:creationId xmlns:a16="http://schemas.microsoft.com/office/drawing/2014/main" id="{B80454B8-EAE9-4839-BF29-8E5CBED7E6EB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57729" name="Line 88">
          <a:extLst>
            <a:ext uri="{FF2B5EF4-FFF2-40B4-BE49-F238E27FC236}">
              <a16:creationId xmlns:a16="http://schemas.microsoft.com/office/drawing/2014/main" id="{3AE67B2F-5E5B-46DF-9621-E10110248642}"/>
            </a:ext>
          </a:extLst>
        </xdr:cNvPr>
        <xdr:cNvSpPr>
          <a:spLocks noChangeShapeType="1"/>
        </xdr:cNvSpPr>
      </xdr:nvSpPr>
      <xdr:spPr bwMode="auto">
        <a:xfrm>
          <a:off x="96869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57730" name="Line 89">
          <a:extLst>
            <a:ext uri="{FF2B5EF4-FFF2-40B4-BE49-F238E27FC236}">
              <a16:creationId xmlns:a16="http://schemas.microsoft.com/office/drawing/2014/main" id="{1E11D0C1-7073-4514-8502-8FE7F2BEEE91}"/>
            </a:ext>
          </a:extLst>
        </xdr:cNvPr>
        <xdr:cNvSpPr>
          <a:spLocks noChangeShapeType="1"/>
        </xdr:cNvSpPr>
      </xdr:nvSpPr>
      <xdr:spPr bwMode="auto">
        <a:xfrm>
          <a:off x="9686925" y="11287125"/>
          <a:ext cx="2943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57731" name="Line 90">
          <a:extLst>
            <a:ext uri="{FF2B5EF4-FFF2-40B4-BE49-F238E27FC236}">
              <a16:creationId xmlns:a16="http://schemas.microsoft.com/office/drawing/2014/main" id="{AE1FC8BE-7F41-47AC-B25E-6DD87E5D11C3}"/>
            </a:ext>
          </a:extLst>
        </xdr:cNvPr>
        <xdr:cNvSpPr>
          <a:spLocks noChangeShapeType="1"/>
        </xdr:cNvSpPr>
      </xdr:nvSpPr>
      <xdr:spPr bwMode="auto">
        <a:xfrm>
          <a:off x="98012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57732" name="Line 91">
          <a:extLst>
            <a:ext uri="{FF2B5EF4-FFF2-40B4-BE49-F238E27FC236}">
              <a16:creationId xmlns:a16="http://schemas.microsoft.com/office/drawing/2014/main" id="{A01E7C4A-5E1B-4638-8F23-58FFDE2254C8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57733" name="Line 92">
          <a:extLst>
            <a:ext uri="{FF2B5EF4-FFF2-40B4-BE49-F238E27FC236}">
              <a16:creationId xmlns:a16="http://schemas.microsoft.com/office/drawing/2014/main" id="{7D077078-6958-41D5-A135-13B3DD6E40F3}"/>
            </a:ext>
          </a:extLst>
        </xdr:cNvPr>
        <xdr:cNvSpPr>
          <a:spLocks noChangeShapeType="1"/>
        </xdr:cNvSpPr>
      </xdr:nvSpPr>
      <xdr:spPr bwMode="auto">
        <a:xfrm flipV="1">
          <a:off x="96869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57734" name="Line 93">
          <a:extLst>
            <a:ext uri="{FF2B5EF4-FFF2-40B4-BE49-F238E27FC236}">
              <a16:creationId xmlns:a16="http://schemas.microsoft.com/office/drawing/2014/main" id="{3D45C101-D061-41EF-8F83-73D1C526BD24}"/>
            </a:ext>
          </a:extLst>
        </xdr:cNvPr>
        <xdr:cNvSpPr>
          <a:spLocks noChangeShapeType="1"/>
        </xdr:cNvSpPr>
      </xdr:nvSpPr>
      <xdr:spPr bwMode="auto">
        <a:xfrm>
          <a:off x="98012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57735" name="Line 94">
          <a:extLst>
            <a:ext uri="{FF2B5EF4-FFF2-40B4-BE49-F238E27FC236}">
              <a16:creationId xmlns:a16="http://schemas.microsoft.com/office/drawing/2014/main" id="{81BF8A59-7317-4706-8107-738227D35C1C}"/>
            </a:ext>
          </a:extLst>
        </xdr:cNvPr>
        <xdr:cNvSpPr>
          <a:spLocks noChangeShapeType="1"/>
        </xdr:cNvSpPr>
      </xdr:nvSpPr>
      <xdr:spPr bwMode="auto">
        <a:xfrm>
          <a:off x="1176337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57736" name="Line 95">
          <a:extLst>
            <a:ext uri="{FF2B5EF4-FFF2-40B4-BE49-F238E27FC236}">
              <a16:creationId xmlns:a16="http://schemas.microsoft.com/office/drawing/2014/main" id="{3704EF90-E396-48D5-AA68-32A555547778}"/>
            </a:ext>
          </a:extLst>
        </xdr:cNvPr>
        <xdr:cNvSpPr>
          <a:spLocks noChangeShapeType="1"/>
        </xdr:cNvSpPr>
      </xdr:nvSpPr>
      <xdr:spPr bwMode="auto">
        <a:xfrm>
          <a:off x="1176337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57737" name="Line 96">
          <a:extLst>
            <a:ext uri="{FF2B5EF4-FFF2-40B4-BE49-F238E27FC236}">
              <a16:creationId xmlns:a16="http://schemas.microsoft.com/office/drawing/2014/main" id="{946288C0-A4C1-41EE-B0F7-B6735664DF4F}"/>
            </a:ext>
          </a:extLst>
        </xdr:cNvPr>
        <xdr:cNvSpPr>
          <a:spLocks noChangeShapeType="1"/>
        </xdr:cNvSpPr>
      </xdr:nvSpPr>
      <xdr:spPr bwMode="auto">
        <a:xfrm>
          <a:off x="96869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57738" name="Line 97">
          <a:extLst>
            <a:ext uri="{FF2B5EF4-FFF2-40B4-BE49-F238E27FC236}">
              <a16:creationId xmlns:a16="http://schemas.microsoft.com/office/drawing/2014/main" id="{0B226203-FC3F-4C0C-94D8-9B7A802D6C63}"/>
            </a:ext>
          </a:extLst>
        </xdr:cNvPr>
        <xdr:cNvSpPr>
          <a:spLocks noChangeShapeType="1"/>
        </xdr:cNvSpPr>
      </xdr:nvSpPr>
      <xdr:spPr bwMode="auto">
        <a:xfrm>
          <a:off x="1176337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57739" name="Line 98">
          <a:extLst>
            <a:ext uri="{FF2B5EF4-FFF2-40B4-BE49-F238E27FC236}">
              <a16:creationId xmlns:a16="http://schemas.microsoft.com/office/drawing/2014/main" id="{99217515-31F0-4E24-A4C6-CC3B81EF0316}"/>
            </a:ext>
          </a:extLst>
        </xdr:cNvPr>
        <xdr:cNvSpPr>
          <a:spLocks noChangeShapeType="1"/>
        </xdr:cNvSpPr>
      </xdr:nvSpPr>
      <xdr:spPr bwMode="auto">
        <a:xfrm flipV="1">
          <a:off x="96869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57740" name="Line 99">
          <a:extLst>
            <a:ext uri="{FF2B5EF4-FFF2-40B4-BE49-F238E27FC236}">
              <a16:creationId xmlns:a16="http://schemas.microsoft.com/office/drawing/2014/main" id="{D3616170-1B95-4535-A66A-D3C3D8748541}"/>
            </a:ext>
          </a:extLst>
        </xdr:cNvPr>
        <xdr:cNvSpPr>
          <a:spLocks noChangeShapeType="1"/>
        </xdr:cNvSpPr>
      </xdr:nvSpPr>
      <xdr:spPr bwMode="auto">
        <a:xfrm>
          <a:off x="104489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57741" name="Line 100">
          <a:extLst>
            <a:ext uri="{FF2B5EF4-FFF2-40B4-BE49-F238E27FC236}">
              <a16:creationId xmlns:a16="http://schemas.microsoft.com/office/drawing/2014/main" id="{35B46E06-03B6-41A3-838C-C0B6FF517250}"/>
            </a:ext>
          </a:extLst>
        </xdr:cNvPr>
        <xdr:cNvSpPr>
          <a:spLocks noChangeShapeType="1"/>
        </xdr:cNvSpPr>
      </xdr:nvSpPr>
      <xdr:spPr bwMode="auto">
        <a:xfrm>
          <a:off x="1432560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57742" name="Line 101">
          <a:extLst>
            <a:ext uri="{FF2B5EF4-FFF2-40B4-BE49-F238E27FC236}">
              <a16:creationId xmlns:a16="http://schemas.microsoft.com/office/drawing/2014/main" id="{A84021F0-9C98-476B-9883-00BE495865CE}"/>
            </a:ext>
          </a:extLst>
        </xdr:cNvPr>
        <xdr:cNvSpPr>
          <a:spLocks noChangeShapeType="1"/>
        </xdr:cNvSpPr>
      </xdr:nvSpPr>
      <xdr:spPr bwMode="auto">
        <a:xfrm>
          <a:off x="13906500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57743" name="Line 102">
          <a:extLst>
            <a:ext uri="{FF2B5EF4-FFF2-40B4-BE49-F238E27FC236}">
              <a16:creationId xmlns:a16="http://schemas.microsoft.com/office/drawing/2014/main" id="{5D91C6A0-3E6A-42F8-BA7A-93DA00786859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57744" name="Line 103">
          <a:extLst>
            <a:ext uri="{FF2B5EF4-FFF2-40B4-BE49-F238E27FC236}">
              <a16:creationId xmlns:a16="http://schemas.microsoft.com/office/drawing/2014/main" id="{95224072-DF68-4EBA-BC46-45DA40FD537C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57745" name="Line 104">
          <a:extLst>
            <a:ext uri="{FF2B5EF4-FFF2-40B4-BE49-F238E27FC236}">
              <a16:creationId xmlns:a16="http://schemas.microsoft.com/office/drawing/2014/main" id="{AF813CFE-6D70-48B3-8152-D4C8D8507A44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57746" name="Line 105">
          <a:extLst>
            <a:ext uri="{FF2B5EF4-FFF2-40B4-BE49-F238E27FC236}">
              <a16:creationId xmlns:a16="http://schemas.microsoft.com/office/drawing/2014/main" id="{FD0E803E-386E-438D-BD8B-BB2692ED0507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57747" name="Line 106">
          <a:extLst>
            <a:ext uri="{FF2B5EF4-FFF2-40B4-BE49-F238E27FC236}">
              <a16:creationId xmlns:a16="http://schemas.microsoft.com/office/drawing/2014/main" id="{B30C1103-FE14-4F9B-AB28-7A7917F4F4E3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57748" name="Line 107">
          <a:extLst>
            <a:ext uri="{FF2B5EF4-FFF2-40B4-BE49-F238E27FC236}">
              <a16:creationId xmlns:a16="http://schemas.microsoft.com/office/drawing/2014/main" id="{12FDDFF5-5CBC-45E3-A8BA-12FF16DB0235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57749" name="Line 108">
          <a:extLst>
            <a:ext uri="{FF2B5EF4-FFF2-40B4-BE49-F238E27FC236}">
              <a16:creationId xmlns:a16="http://schemas.microsoft.com/office/drawing/2014/main" id="{BEC477E9-72D7-4C58-AA7B-E3E744587E33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57750" name="Line 109">
          <a:extLst>
            <a:ext uri="{FF2B5EF4-FFF2-40B4-BE49-F238E27FC236}">
              <a16:creationId xmlns:a16="http://schemas.microsoft.com/office/drawing/2014/main" id="{B56520D2-0414-440C-8556-A8DAEA208762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57751" name="Line 110">
          <a:extLst>
            <a:ext uri="{FF2B5EF4-FFF2-40B4-BE49-F238E27FC236}">
              <a16:creationId xmlns:a16="http://schemas.microsoft.com/office/drawing/2014/main" id="{A1FAA021-2767-43D6-BED7-5D0FEE0E91DE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57752" name="Line 111">
          <a:extLst>
            <a:ext uri="{FF2B5EF4-FFF2-40B4-BE49-F238E27FC236}">
              <a16:creationId xmlns:a16="http://schemas.microsoft.com/office/drawing/2014/main" id="{2BED5CDE-8E89-4957-BC88-F9D9EB4FAF10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57753" name="Line 112">
          <a:extLst>
            <a:ext uri="{FF2B5EF4-FFF2-40B4-BE49-F238E27FC236}">
              <a16:creationId xmlns:a16="http://schemas.microsoft.com/office/drawing/2014/main" id="{54067476-67A2-46E7-8423-A3365019BE28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57754" name="Line 113">
          <a:extLst>
            <a:ext uri="{FF2B5EF4-FFF2-40B4-BE49-F238E27FC236}">
              <a16:creationId xmlns:a16="http://schemas.microsoft.com/office/drawing/2014/main" id="{A358B479-5F84-4464-B1EF-51E5DB9F3D4F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57755" name="Line 114">
          <a:extLst>
            <a:ext uri="{FF2B5EF4-FFF2-40B4-BE49-F238E27FC236}">
              <a16:creationId xmlns:a16="http://schemas.microsoft.com/office/drawing/2014/main" id="{6B405C54-F98F-4C0E-96C4-224F52C6E19A}"/>
            </a:ext>
          </a:extLst>
        </xdr:cNvPr>
        <xdr:cNvSpPr>
          <a:spLocks noChangeShapeType="1"/>
        </xdr:cNvSpPr>
      </xdr:nvSpPr>
      <xdr:spPr bwMode="auto">
        <a:xfrm flipV="1">
          <a:off x="96869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7745" name="Line 1">
          <a:extLst>
            <a:ext uri="{FF2B5EF4-FFF2-40B4-BE49-F238E27FC236}">
              <a16:creationId xmlns:a16="http://schemas.microsoft.com/office/drawing/2014/main" id="{8D47050C-2C54-4CE7-87E4-1A551ED7EAA1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7746" name="Line 2">
          <a:extLst>
            <a:ext uri="{FF2B5EF4-FFF2-40B4-BE49-F238E27FC236}">
              <a16:creationId xmlns:a16="http://schemas.microsoft.com/office/drawing/2014/main" id="{27B81362-AAC2-4E4F-8CBF-9064B45244DC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7747" name="Line 3">
          <a:extLst>
            <a:ext uri="{FF2B5EF4-FFF2-40B4-BE49-F238E27FC236}">
              <a16:creationId xmlns:a16="http://schemas.microsoft.com/office/drawing/2014/main" id="{752F42BB-2445-4C9B-8CFE-C9A3332CAAD6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7748" name="Line 4">
          <a:extLst>
            <a:ext uri="{FF2B5EF4-FFF2-40B4-BE49-F238E27FC236}">
              <a16:creationId xmlns:a16="http://schemas.microsoft.com/office/drawing/2014/main" id="{A28A9828-62A2-4605-AA60-F81E13B7BEF5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7749" name="Line 5">
          <a:extLst>
            <a:ext uri="{FF2B5EF4-FFF2-40B4-BE49-F238E27FC236}">
              <a16:creationId xmlns:a16="http://schemas.microsoft.com/office/drawing/2014/main" id="{6C4CA2E3-3D40-452B-A145-B1B69E885957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7750" name="Line 6">
          <a:extLst>
            <a:ext uri="{FF2B5EF4-FFF2-40B4-BE49-F238E27FC236}">
              <a16:creationId xmlns:a16="http://schemas.microsoft.com/office/drawing/2014/main" id="{B4129BA6-6938-47CA-AA3B-FCBE3DBAC4DA}"/>
            </a:ext>
          </a:extLst>
        </xdr:cNvPr>
        <xdr:cNvSpPr>
          <a:spLocks noChangeShapeType="1"/>
        </xdr:cNvSpPr>
      </xdr:nvSpPr>
      <xdr:spPr bwMode="auto">
        <a:xfrm>
          <a:off x="5905500" y="25431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7751" name="Line 7">
          <a:extLst>
            <a:ext uri="{FF2B5EF4-FFF2-40B4-BE49-F238E27FC236}">
              <a16:creationId xmlns:a16="http://schemas.microsoft.com/office/drawing/2014/main" id="{4B19C6A1-255E-49CF-A164-0A03DF5A61A4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3724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7752" name="Line 8">
          <a:extLst>
            <a:ext uri="{FF2B5EF4-FFF2-40B4-BE49-F238E27FC236}">
              <a16:creationId xmlns:a16="http://schemas.microsoft.com/office/drawing/2014/main" id="{91873758-7BE5-4BE7-A9CE-8D8D0B7CE63C}"/>
            </a:ext>
          </a:extLst>
        </xdr:cNvPr>
        <xdr:cNvSpPr>
          <a:spLocks noChangeShapeType="1"/>
        </xdr:cNvSpPr>
      </xdr:nvSpPr>
      <xdr:spPr bwMode="auto">
        <a:xfrm>
          <a:off x="5905500" y="30480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7753" name="Line 9">
          <a:extLst>
            <a:ext uri="{FF2B5EF4-FFF2-40B4-BE49-F238E27FC236}">
              <a16:creationId xmlns:a16="http://schemas.microsoft.com/office/drawing/2014/main" id="{8B1CD1A6-8C43-4592-A976-025DCA713372}"/>
            </a:ext>
          </a:extLst>
        </xdr:cNvPr>
        <xdr:cNvSpPr>
          <a:spLocks noChangeShapeType="1"/>
        </xdr:cNvSpPr>
      </xdr:nvSpPr>
      <xdr:spPr bwMode="auto">
        <a:xfrm>
          <a:off x="5905500" y="27146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7754" name="Line 10">
          <a:extLst>
            <a:ext uri="{FF2B5EF4-FFF2-40B4-BE49-F238E27FC236}">
              <a16:creationId xmlns:a16="http://schemas.microsoft.com/office/drawing/2014/main" id="{4FC60C89-6D09-4715-8BC7-00ED135B9050}"/>
            </a:ext>
          </a:extLst>
        </xdr:cNvPr>
        <xdr:cNvSpPr>
          <a:spLocks noChangeShapeType="1"/>
        </xdr:cNvSpPr>
      </xdr:nvSpPr>
      <xdr:spPr bwMode="auto">
        <a:xfrm>
          <a:off x="5905500" y="69056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7755" name="Line 11">
          <a:extLst>
            <a:ext uri="{FF2B5EF4-FFF2-40B4-BE49-F238E27FC236}">
              <a16:creationId xmlns:a16="http://schemas.microsoft.com/office/drawing/2014/main" id="{629BA836-74CF-4C9A-A094-0EF2C2C244C9}"/>
            </a:ext>
          </a:extLst>
        </xdr:cNvPr>
        <xdr:cNvSpPr>
          <a:spLocks noChangeShapeType="1"/>
        </xdr:cNvSpPr>
      </xdr:nvSpPr>
      <xdr:spPr bwMode="auto">
        <a:xfrm>
          <a:off x="5905500" y="72294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7756" name="Line 12">
          <a:extLst>
            <a:ext uri="{FF2B5EF4-FFF2-40B4-BE49-F238E27FC236}">
              <a16:creationId xmlns:a16="http://schemas.microsoft.com/office/drawing/2014/main" id="{6A7A728F-960F-4264-93F6-BF6E19D81C20}"/>
            </a:ext>
          </a:extLst>
        </xdr:cNvPr>
        <xdr:cNvSpPr>
          <a:spLocks noChangeShapeType="1"/>
        </xdr:cNvSpPr>
      </xdr:nvSpPr>
      <xdr:spPr bwMode="auto">
        <a:xfrm>
          <a:off x="5905500" y="73914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7757" name="Line 13">
          <a:extLst>
            <a:ext uri="{FF2B5EF4-FFF2-40B4-BE49-F238E27FC236}">
              <a16:creationId xmlns:a16="http://schemas.microsoft.com/office/drawing/2014/main" id="{C1F6498C-EE02-4025-8C83-A0BFAD112134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3171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7758" name="Line 14">
          <a:extLst>
            <a:ext uri="{FF2B5EF4-FFF2-40B4-BE49-F238E27FC236}">
              <a16:creationId xmlns:a16="http://schemas.microsoft.com/office/drawing/2014/main" id="{CAB235DF-1692-4F17-86CC-E2809C5C1ECB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7759" name="Line 15">
          <a:extLst>
            <a:ext uri="{FF2B5EF4-FFF2-40B4-BE49-F238E27FC236}">
              <a16:creationId xmlns:a16="http://schemas.microsoft.com/office/drawing/2014/main" id="{58030EB6-827B-4586-8083-C6CCC8C9BA1F}"/>
            </a:ext>
          </a:extLst>
        </xdr:cNvPr>
        <xdr:cNvSpPr>
          <a:spLocks noChangeShapeType="1"/>
        </xdr:cNvSpPr>
      </xdr:nvSpPr>
      <xdr:spPr bwMode="auto">
        <a:xfrm>
          <a:off x="11572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7760" name="Line 16">
          <a:extLst>
            <a:ext uri="{FF2B5EF4-FFF2-40B4-BE49-F238E27FC236}">
              <a16:creationId xmlns:a16="http://schemas.microsoft.com/office/drawing/2014/main" id="{BEA415D4-F584-4334-B18F-A6E59948A2AF}"/>
            </a:ext>
          </a:extLst>
        </xdr:cNvPr>
        <xdr:cNvSpPr>
          <a:spLocks noChangeShapeType="1"/>
        </xdr:cNvSpPr>
      </xdr:nvSpPr>
      <xdr:spPr bwMode="auto">
        <a:xfrm>
          <a:off x="11572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7761" name="Line 17">
          <a:extLst>
            <a:ext uri="{FF2B5EF4-FFF2-40B4-BE49-F238E27FC236}">
              <a16:creationId xmlns:a16="http://schemas.microsoft.com/office/drawing/2014/main" id="{FAD9B75A-3FBF-4218-92A5-8C2824FC54B2}"/>
            </a:ext>
          </a:extLst>
        </xdr:cNvPr>
        <xdr:cNvSpPr>
          <a:spLocks noChangeShapeType="1"/>
        </xdr:cNvSpPr>
      </xdr:nvSpPr>
      <xdr:spPr bwMode="auto">
        <a:xfrm>
          <a:off x="10810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7762" name="Line 18">
          <a:extLst>
            <a:ext uri="{FF2B5EF4-FFF2-40B4-BE49-F238E27FC236}">
              <a16:creationId xmlns:a16="http://schemas.microsoft.com/office/drawing/2014/main" id="{2E5BB2A0-D5BB-4860-863B-AC691547BCEC}"/>
            </a:ext>
          </a:extLst>
        </xdr:cNvPr>
        <xdr:cNvSpPr>
          <a:spLocks noChangeShapeType="1"/>
        </xdr:cNvSpPr>
      </xdr:nvSpPr>
      <xdr:spPr bwMode="auto">
        <a:xfrm>
          <a:off x="115728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7763" name="Line 19">
          <a:extLst>
            <a:ext uri="{FF2B5EF4-FFF2-40B4-BE49-F238E27FC236}">
              <a16:creationId xmlns:a16="http://schemas.microsoft.com/office/drawing/2014/main" id="{7B1C3921-A522-487C-B69A-636BF63199C7}"/>
            </a:ext>
          </a:extLst>
        </xdr:cNvPr>
        <xdr:cNvSpPr>
          <a:spLocks noChangeShapeType="1"/>
        </xdr:cNvSpPr>
      </xdr:nvSpPr>
      <xdr:spPr bwMode="auto">
        <a:xfrm>
          <a:off x="11572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7764" name="Line 20">
          <a:extLst>
            <a:ext uri="{FF2B5EF4-FFF2-40B4-BE49-F238E27FC236}">
              <a16:creationId xmlns:a16="http://schemas.microsoft.com/office/drawing/2014/main" id="{CF3EE9C1-C65F-4D60-AC70-B90B4C351A50}"/>
            </a:ext>
          </a:extLst>
        </xdr:cNvPr>
        <xdr:cNvSpPr>
          <a:spLocks noChangeShapeType="1"/>
        </xdr:cNvSpPr>
      </xdr:nvSpPr>
      <xdr:spPr bwMode="auto">
        <a:xfrm>
          <a:off x="10810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7765" name="Line 21">
          <a:extLst>
            <a:ext uri="{FF2B5EF4-FFF2-40B4-BE49-F238E27FC236}">
              <a16:creationId xmlns:a16="http://schemas.microsoft.com/office/drawing/2014/main" id="{9FC8BA79-7EE0-442B-8839-CF80B3BF82C9}"/>
            </a:ext>
          </a:extLst>
        </xdr:cNvPr>
        <xdr:cNvSpPr>
          <a:spLocks noChangeShapeType="1"/>
        </xdr:cNvSpPr>
      </xdr:nvSpPr>
      <xdr:spPr bwMode="auto">
        <a:xfrm>
          <a:off x="115728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7766" name="Line 22">
          <a:extLst>
            <a:ext uri="{FF2B5EF4-FFF2-40B4-BE49-F238E27FC236}">
              <a16:creationId xmlns:a16="http://schemas.microsoft.com/office/drawing/2014/main" id="{58E3BB89-74F6-402F-9954-56D607BD0604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7767" name="Line 23">
          <a:extLst>
            <a:ext uri="{FF2B5EF4-FFF2-40B4-BE49-F238E27FC236}">
              <a16:creationId xmlns:a16="http://schemas.microsoft.com/office/drawing/2014/main" id="{3F533D5C-ABBE-407D-9B3D-8923D7906493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7768" name="Line 24">
          <a:extLst>
            <a:ext uri="{FF2B5EF4-FFF2-40B4-BE49-F238E27FC236}">
              <a16:creationId xmlns:a16="http://schemas.microsoft.com/office/drawing/2014/main" id="{0A8C51DF-1D0B-4386-8721-66B4FED757F3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7769" name="Line 25">
          <a:extLst>
            <a:ext uri="{FF2B5EF4-FFF2-40B4-BE49-F238E27FC236}">
              <a16:creationId xmlns:a16="http://schemas.microsoft.com/office/drawing/2014/main" id="{02F33448-667E-42F4-8EBA-B87B75C4677C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7770" name="Line 26">
          <a:extLst>
            <a:ext uri="{FF2B5EF4-FFF2-40B4-BE49-F238E27FC236}">
              <a16:creationId xmlns:a16="http://schemas.microsoft.com/office/drawing/2014/main" id="{DF32EFE8-C589-4120-8EC5-3AD6892EADA9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7771" name="Line 27">
          <a:extLst>
            <a:ext uri="{FF2B5EF4-FFF2-40B4-BE49-F238E27FC236}">
              <a16:creationId xmlns:a16="http://schemas.microsoft.com/office/drawing/2014/main" id="{967D0226-14DD-4EFF-A3C7-56D37F31E2EF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7772" name="Line 28">
          <a:extLst>
            <a:ext uri="{FF2B5EF4-FFF2-40B4-BE49-F238E27FC236}">
              <a16:creationId xmlns:a16="http://schemas.microsoft.com/office/drawing/2014/main" id="{0F583DD2-7F09-4D4E-81F8-B06C9E555BD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7773" name="Line 29">
          <a:extLst>
            <a:ext uri="{FF2B5EF4-FFF2-40B4-BE49-F238E27FC236}">
              <a16:creationId xmlns:a16="http://schemas.microsoft.com/office/drawing/2014/main" id="{DC328DC8-140F-4030-A53A-50756576AA5F}"/>
            </a:ext>
          </a:extLst>
        </xdr:cNvPr>
        <xdr:cNvSpPr>
          <a:spLocks noChangeShapeType="1"/>
        </xdr:cNvSpPr>
      </xdr:nvSpPr>
      <xdr:spPr bwMode="auto">
        <a:xfrm flipV="1">
          <a:off x="5905500" y="82391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7774" name="Line 30">
          <a:extLst>
            <a:ext uri="{FF2B5EF4-FFF2-40B4-BE49-F238E27FC236}">
              <a16:creationId xmlns:a16="http://schemas.microsoft.com/office/drawing/2014/main" id="{A996C4D8-529A-4327-9FC1-A969774EA023}"/>
            </a:ext>
          </a:extLst>
        </xdr:cNvPr>
        <xdr:cNvSpPr>
          <a:spLocks noChangeShapeType="1"/>
        </xdr:cNvSpPr>
      </xdr:nvSpPr>
      <xdr:spPr bwMode="auto">
        <a:xfrm>
          <a:off x="5905500" y="84105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7775" name="Line 31">
          <a:extLst>
            <a:ext uri="{FF2B5EF4-FFF2-40B4-BE49-F238E27FC236}">
              <a16:creationId xmlns:a16="http://schemas.microsoft.com/office/drawing/2014/main" id="{5D07FB47-A920-4DAA-A76A-DFED76284582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4305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7776" name="Line 32">
          <a:extLst>
            <a:ext uri="{FF2B5EF4-FFF2-40B4-BE49-F238E27FC236}">
              <a16:creationId xmlns:a16="http://schemas.microsoft.com/office/drawing/2014/main" id="{0B730CD8-B893-41D7-9640-D2D8DFE63003}"/>
            </a:ext>
          </a:extLst>
        </xdr:cNvPr>
        <xdr:cNvSpPr>
          <a:spLocks noChangeShapeType="1"/>
        </xdr:cNvSpPr>
      </xdr:nvSpPr>
      <xdr:spPr bwMode="auto">
        <a:xfrm flipV="1">
          <a:off x="5905500" y="129635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7777" name="Line 33">
          <a:extLst>
            <a:ext uri="{FF2B5EF4-FFF2-40B4-BE49-F238E27FC236}">
              <a16:creationId xmlns:a16="http://schemas.microsoft.com/office/drawing/2014/main" id="{FB8DF4A1-054E-41D0-A104-9EEA793AB4F0}"/>
            </a:ext>
          </a:extLst>
        </xdr:cNvPr>
        <xdr:cNvSpPr>
          <a:spLocks noChangeShapeType="1"/>
        </xdr:cNvSpPr>
      </xdr:nvSpPr>
      <xdr:spPr bwMode="auto">
        <a:xfrm>
          <a:off x="5905500" y="128016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7778" name="Line 34">
          <a:extLst>
            <a:ext uri="{FF2B5EF4-FFF2-40B4-BE49-F238E27FC236}">
              <a16:creationId xmlns:a16="http://schemas.microsoft.com/office/drawing/2014/main" id="{1BA28B80-77B4-40C0-B90E-DE85B8A8CAC6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3171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7779" name="Line 35">
          <a:extLst>
            <a:ext uri="{FF2B5EF4-FFF2-40B4-BE49-F238E27FC236}">
              <a16:creationId xmlns:a16="http://schemas.microsoft.com/office/drawing/2014/main" id="{00042573-FEF8-47E3-9E39-6C098AAF1AC2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7780" name="Line 36">
          <a:extLst>
            <a:ext uri="{FF2B5EF4-FFF2-40B4-BE49-F238E27FC236}">
              <a16:creationId xmlns:a16="http://schemas.microsoft.com/office/drawing/2014/main" id="{5A29E8F2-9E22-40B8-B388-189EFD606459}"/>
            </a:ext>
          </a:extLst>
        </xdr:cNvPr>
        <xdr:cNvSpPr>
          <a:spLocks noChangeShapeType="1"/>
        </xdr:cNvSpPr>
      </xdr:nvSpPr>
      <xdr:spPr bwMode="auto">
        <a:xfrm flipV="1">
          <a:off x="115728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7781" name="Line 37">
          <a:extLst>
            <a:ext uri="{FF2B5EF4-FFF2-40B4-BE49-F238E27FC236}">
              <a16:creationId xmlns:a16="http://schemas.microsoft.com/office/drawing/2014/main" id="{3072E3A6-0C92-4542-A8CC-9E268C08183D}"/>
            </a:ext>
          </a:extLst>
        </xdr:cNvPr>
        <xdr:cNvSpPr>
          <a:spLocks noChangeShapeType="1"/>
        </xdr:cNvSpPr>
      </xdr:nvSpPr>
      <xdr:spPr bwMode="auto">
        <a:xfrm>
          <a:off x="10810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7782" name="Line 38">
          <a:extLst>
            <a:ext uri="{FF2B5EF4-FFF2-40B4-BE49-F238E27FC236}">
              <a16:creationId xmlns:a16="http://schemas.microsoft.com/office/drawing/2014/main" id="{C2D792EB-63F7-4DB0-A3AB-438751C861D8}"/>
            </a:ext>
          </a:extLst>
        </xdr:cNvPr>
        <xdr:cNvSpPr>
          <a:spLocks noChangeShapeType="1"/>
        </xdr:cNvSpPr>
      </xdr:nvSpPr>
      <xdr:spPr bwMode="auto">
        <a:xfrm>
          <a:off x="12963525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7783" name="Line 39">
          <a:extLst>
            <a:ext uri="{FF2B5EF4-FFF2-40B4-BE49-F238E27FC236}">
              <a16:creationId xmlns:a16="http://schemas.microsoft.com/office/drawing/2014/main" id="{45109B52-DF49-45EF-BC1F-7957F33A519C}"/>
            </a:ext>
          </a:extLst>
        </xdr:cNvPr>
        <xdr:cNvSpPr>
          <a:spLocks noChangeShapeType="1"/>
        </xdr:cNvSpPr>
      </xdr:nvSpPr>
      <xdr:spPr bwMode="auto">
        <a:xfrm>
          <a:off x="12963525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7784" name="Line 40">
          <a:extLst>
            <a:ext uri="{FF2B5EF4-FFF2-40B4-BE49-F238E27FC236}">
              <a16:creationId xmlns:a16="http://schemas.microsoft.com/office/drawing/2014/main" id="{FBF7C9CC-00BD-49D0-8E8B-27420AC5933C}"/>
            </a:ext>
          </a:extLst>
        </xdr:cNvPr>
        <xdr:cNvSpPr>
          <a:spLocks noChangeShapeType="1"/>
        </xdr:cNvSpPr>
      </xdr:nvSpPr>
      <xdr:spPr bwMode="auto">
        <a:xfrm>
          <a:off x="12963525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7785" name="Line 41">
          <a:extLst>
            <a:ext uri="{FF2B5EF4-FFF2-40B4-BE49-F238E27FC236}">
              <a16:creationId xmlns:a16="http://schemas.microsoft.com/office/drawing/2014/main" id="{401CBD23-B540-4CE0-A060-CE840375781B}"/>
            </a:ext>
          </a:extLst>
        </xdr:cNvPr>
        <xdr:cNvSpPr>
          <a:spLocks noChangeShapeType="1"/>
        </xdr:cNvSpPr>
      </xdr:nvSpPr>
      <xdr:spPr bwMode="auto">
        <a:xfrm>
          <a:off x="1223962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7786" name="Line 42">
          <a:extLst>
            <a:ext uri="{FF2B5EF4-FFF2-40B4-BE49-F238E27FC236}">
              <a16:creationId xmlns:a16="http://schemas.microsoft.com/office/drawing/2014/main" id="{14D3D80B-03FE-4DB0-82CC-7D4210A3EC05}"/>
            </a:ext>
          </a:extLst>
        </xdr:cNvPr>
        <xdr:cNvSpPr>
          <a:spLocks noChangeShapeType="1"/>
        </xdr:cNvSpPr>
      </xdr:nvSpPr>
      <xdr:spPr bwMode="auto">
        <a:xfrm>
          <a:off x="155257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7787" name="Line 43">
          <a:extLst>
            <a:ext uri="{FF2B5EF4-FFF2-40B4-BE49-F238E27FC236}">
              <a16:creationId xmlns:a16="http://schemas.microsoft.com/office/drawing/2014/main" id="{B81AE695-6052-4B4A-BF2D-3E0E42F63C14}"/>
            </a:ext>
          </a:extLst>
        </xdr:cNvPr>
        <xdr:cNvSpPr>
          <a:spLocks noChangeShapeType="1"/>
        </xdr:cNvSpPr>
      </xdr:nvSpPr>
      <xdr:spPr bwMode="auto">
        <a:xfrm>
          <a:off x="155257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7788" name="Line 44">
          <a:extLst>
            <a:ext uri="{FF2B5EF4-FFF2-40B4-BE49-F238E27FC236}">
              <a16:creationId xmlns:a16="http://schemas.microsoft.com/office/drawing/2014/main" id="{118D772F-BE1E-453D-83EA-1028CD2A0620}"/>
            </a:ext>
          </a:extLst>
        </xdr:cNvPr>
        <xdr:cNvSpPr>
          <a:spLocks noChangeShapeType="1"/>
        </xdr:cNvSpPr>
      </xdr:nvSpPr>
      <xdr:spPr bwMode="auto">
        <a:xfrm>
          <a:off x="151066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7789" name="Line 45">
          <a:extLst>
            <a:ext uri="{FF2B5EF4-FFF2-40B4-BE49-F238E27FC236}">
              <a16:creationId xmlns:a16="http://schemas.microsoft.com/office/drawing/2014/main" id="{79E5497C-7A68-4386-808E-B5D3643AE1E9}"/>
            </a:ext>
          </a:extLst>
        </xdr:cNvPr>
        <xdr:cNvSpPr>
          <a:spLocks noChangeShapeType="1"/>
        </xdr:cNvSpPr>
      </xdr:nvSpPr>
      <xdr:spPr bwMode="auto">
        <a:xfrm>
          <a:off x="155257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7790" name="Line 46">
          <a:extLst>
            <a:ext uri="{FF2B5EF4-FFF2-40B4-BE49-F238E27FC236}">
              <a16:creationId xmlns:a16="http://schemas.microsoft.com/office/drawing/2014/main" id="{BA4D171B-DA68-4764-871C-115B7A020694}"/>
            </a:ext>
          </a:extLst>
        </xdr:cNvPr>
        <xdr:cNvSpPr>
          <a:spLocks noChangeShapeType="1"/>
        </xdr:cNvSpPr>
      </xdr:nvSpPr>
      <xdr:spPr bwMode="auto">
        <a:xfrm>
          <a:off x="155257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7791" name="Line 47">
          <a:extLst>
            <a:ext uri="{FF2B5EF4-FFF2-40B4-BE49-F238E27FC236}">
              <a16:creationId xmlns:a16="http://schemas.microsoft.com/office/drawing/2014/main" id="{457220CE-84ED-48DA-A0A5-123291BFBC08}"/>
            </a:ext>
          </a:extLst>
        </xdr:cNvPr>
        <xdr:cNvSpPr>
          <a:spLocks noChangeShapeType="1"/>
        </xdr:cNvSpPr>
      </xdr:nvSpPr>
      <xdr:spPr bwMode="auto">
        <a:xfrm>
          <a:off x="151066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7792" name="Line 48">
          <a:extLst>
            <a:ext uri="{FF2B5EF4-FFF2-40B4-BE49-F238E27FC236}">
              <a16:creationId xmlns:a16="http://schemas.microsoft.com/office/drawing/2014/main" id="{57D353EF-C2F1-4A74-9FD9-1D5B905C1D40}"/>
            </a:ext>
          </a:extLst>
        </xdr:cNvPr>
        <xdr:cNvSpPr>
          <a:spLocks noChangeShapeType="1"/>
        </xdr:cNvSpPr>
      </xdr:nvSpPr>
      <xdr:spPr bwMode="auto">
        <a:xfrm>
          <a:off x="155257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7793" name="Line 49">
          <a:extLst>
            <a:ext uri="{FF2B5EF4-FFF2-40B4-BE49-F238E27FC236}">
              <a16:creationId xmlns:a16="http://schemas.microsoft.com/office/drawing/2014/main" id="{AAEBC1A9-78BE-4F47-9976-091C822D5D5C}"/>
            </a:ext>
          </a:extLst>
        </xdr:cNvPr>
        <xdr:cNvSpPr>
          <a:spLocks noChangeShapeType="1"/>
        </xdr:cNvSpPr>
      </xdr:nvSpPr>
      <xdr:spPr bwMode="auto">
        <a:xfrm>
          <a:off x="151066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7794" name="Line 50">
          <a:extLst>
            <a:ext uri="{FF2B5EF4-FFF2-40B4-BE49-F238E27FC236}">
              <a16:creationId xmlns:a16="http://schemas.microsoft.com/office/drawing/2014/main" id="{7A185D02-065F-4A4F-9720-674D085776A1}"/>
            </a:ext>
          </a:extLst>
        </xdr:cNvPr>
        <xdr:cNvSpPr>
          <a:spLocks noChangeShapeType="1"/>
        </xdr:cNvSpPr>
      </xdr:nvSpPr>
      <xdr:spPr bwMode="auto">
        <a:xfrm flipV="1">
          <a:off x="155257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7795" name="Line 51">
          <a:extLst>
            <a:ext uri="{FF2B5EF4-FFF2-40B4-BE49-F238E27FC236}">
              <a16:creationId xmlns:a16="http://schemas.microsoft.com/office/drawing/2014/main" id="{2E1ED5AA-EA0F-47B0-A16D-0CE243C34A24}"/>
            </a:ext>
          </a:extLst>
        </xdr:cNvPr>
        <xdr:cNvSpPr>
          <a:spLocks noChangeShapeType="1"/>
        </xdr:cNvSpPr>
      </xdr:nvSpPr>
      <xdr:spPr bwMode="auto">
        <a:xfrm flipV="1">
          <a:off x="151066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7796" name="Line 52">
          <a:extLst>
            <a:ext uri="{FF2B5EF4-FFF2-40B4-BE49-F238E27FC236}">
              <a16:creationId xmlns:a16="http://schemas.microsoft.com/office/drawing/2014/main" id="{C7FBBDA0-E070-4B68-BE11-D97DFE4AE151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7797" name="Line 53">
          <a:extLst>
            <a:ext uri="{FF2B5EF4-FFF2-40B4-BE49-F238E27FC236}">
              <a16:creationId xmlns:a16="http://schemas.microsoft.com/office/drawing/2014/main" id="{8496DD84-81F5-4C8C-BEE4-04AD98E1AD94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22479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7798" name="Line 54">
          <a:extLst>
            <a:ext uri="{FF2B5EF4-FFF2-40B4-BE49-F238E27FC236}">
              <a16:creationId xmlns:a16="http://schemas.microsoft.com/office/drawing/2014/main" id="{41D9DF85-D45D-43B0-8047-4E10BBC6CE3D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7799" name="Line 55">
          <a:extLst>
            <a:ext uri="{FF2B5EF4-FFF2-40B4-BE49-F238E27FC236}">
              <a16:creationId xmlns:a16="http://schemas.microsoft.com/office/drawing/2014/main" id="{BECFD5AF-6949-44F9-8FE7-DB7E832A5B46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7800" name="Line 56">
          <a:extLst>
            <a:ext uri="{FF2B5EF4-FFF2-40B4-BE49-F238E27FC236}">
              <a16:creationId xmlns:a16="http://schemas.microsoft.com/office/drawing/2014/main" id="{48B7635E-6089-4A64-999F-E72D23AAD727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7801" name="Line 57">
          <a:extLst>
            <a:ext uri="{FF2B5EF4-FFF2-40B4-BE49-F238E27FC236}">
              <a16:creationId xmlns:a16="http://schemas.microsoft.com/office/drawing/2014/main" id="{FDD406D7-BEAB-4FF7-A3A1-2D6D8E9FB1D4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7802" name="Line 58">
          <a:extLst>
            <a:ext uri="{FF2B5EF4-FFF2-40B4-BE49-F238E27FC236}">
              <a16:creationId xmlns:a16="http://schemas.microsoft.com/office/drawing/2014/main" id="{B6E85722-3342-465E-95ED-BA7F52A0A092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7803" name="Line 59">
          <a:extLst>
            <a:ext uri="{FF2B5EF4-FFF2-40B4-BE49-F238E27FC236}">
              <a16:creationId xmlns:a16="http://schemas.microsoft.com/office/drawing/2014/main" id="{5348D52D-966B-4FC9-B87C-E263D547B72A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4305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7804" name="Line 60">
          <a:extLst>
            <a:ext uri="{FF2B5EF4-FFF2-40B4-BE49-F238E27FC236}">
              <a16:creationId xmlns:a16="http://schemas.microsoft.com/office/drawing/2014/main" id="{D0A654E9-3B00-45FF-A6F2-991C595416EE}"/>
            </a:ext>
          </a:extLst>
        </xdr:cNvPr>
        <xdr:cNvSpPr>
          <a:spLocks noChangeShapeType="1"/>
        </xdr:cNvSpPr>
      </xdr:nvSpPr>
      <xdr:spPr bwMode="auto">
        <a:xfrm>
          <a:off x="5905500" y="75533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7805" name="Line 61">
          <a:extLst>
            <a:ext uri="{FF2B5EF4-FFF2-40B4-BE49-F238E27FC236}">
              <a16:creationId xmlns:a16="http://schemas.microsoft.com/office/drawing/2014/main" id="{73A0BAA5-4AC9-4DE8-BA5A-D65F5E173CCF}"/>
            </a:ext>
          </a:extLst>
        </xdr:cNvPr>
        <xdr:cNvSpPr>
          <a:spLocks noChangeShapeType="1"/>
        </xdr:cNvSpPr>
      </xdr:nvSpPr>
      <xdr:spPr bwMode="auto">
        <a:xfrm>
          <a:off x="53340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7806" name="Line 62">
          <a:extLst>
            <a:ext uri="{FF2B5EF4-FFF2-40B4-BE49-F238E27FC236}">
              <a16:creationId xmlns:a16="http://schemas.microsoft.com/office/drawing/2014/main" id="{2E9A08C6-9650-4E20-B86D-30F5EBBE9673}"/>
            </a:ext>
          </a:extLst>
        </xdr:cNvPr>
        <xdr:cNvSpPr>
          <a:spLocks noChangeShapeType="1"/>
        </xdr:cNvSpPr>
      </xdr:nvSpPr>
      <xdr:spPr bwMode="auto">
        <a:xfrm>
          <a:off x="59055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7807" name="Line 63">
          <a:extLst>
            <a:ext uri="{FF2B5EF4-FFF2-40B4-BE49-F238E27FC236}">
              <a16:creationId xmlns:a16="http://schemas.microsoft.com/office/drawing/2014/main" id="{6BABBC48-595F-4224-BFAC-F475DDA2661E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7808" name="Line 64">
          <a:extLst>
            <a:ext uri="{FF2B5EF4-FFF2-40B4-BE49-F238E27FC236}">
              <a16:creationId xmlns:a16="http://schemas.microsoft.com/office/drawing/2014/main" id="{6E206945-81A3-4CF3-A236-35BBBB51E0DE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7809" name="Line 65">
          <a:extLst>
            <a:ext uri="{FF2B5EF4-FFF2-40B4-BE49-F238E27FC236}">
              <a16:creationId xmlns:a16="http://schemas.microsoft.com/office/drawing/2014/main" id="{263A003F-278E-4936-BAC5-9FECC4074680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7810" name="Line 66">
          <a:extLst>
            <a:ext uri="{FF2B5EF4-FFF2-40B4-BE49-F238E27FC236}">
              <a16:creationId xmlns:a16="http://schemas.microsoft.com/office/drawing/2014/main" id="{C4FCD894-A775-4A30-86C9-AD209E1FE4B5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7811" name="Line 67">
          <a:extLst>
            <a:ext uri="{FF2B5EF4-FFF2-40B4-BE49-F238E27FC236}">
              <a16:creationId xmlns:a16="http://schemas.microsoft.com/office/drawing/2014/main" id="{FA55CE2E-86E0-493E-88BF-D0390FD17759}"/>
            </a:ext>
          </a:extLst>
        </xdr:cNvPr>
        <xdr:cNvSpPr>
          <a:spLocks noChangeShapeType="1"/>
        </xdr:cNvSpPr>
      </xdr:nvSpPr>
      <xdr:spPr bwMode="auto">
        <a:xfrm>
          <a:off x="59055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7812" name="Line 68">
          <a:extLst>
            <a:ext uri="{FF2B5EF4-FFF2-40B4-BE49-F238E27FC236}">
              <a16:creationId xmlns:a16="http://schemas.microsoft.com/office/drawing/2014/main" id="{8C1AC2CC-4C33-4424-892B-2F0B2E0AF8FF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7813" name="Line 69">
          <a:extLst>
            <a:ext uri="{FF2B5EF4-FFF2-40B4-BE49-F238E27FC236}">
              <a16:creationId xmlns:a16="http://schemas.microsoft.com/office/drawing/2014/main" id="{B950A898-84FC-44E3-8895-A78C56F64F52}"/>
            </a:ext>
          </a:extLst>
        </xdr:cNvPr>
        <xdr:cNvSpPr>
          <a:spLocks noChangeShapeType="1"/>
        </xdr:cNvSpPr>
      </xdr:nvSpPr>
      <xdr:spPr bwMode="auto">
        <a:xfrm>
          <a:off x="59055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7814" name="Line 70">
          <a:extLst>
            <a:ext uri="{FF2B5EF4-FFF2-40B4-BE49-F238E27FC236}">
              <a16:creationId xmlns:a16="http://schemas.microsoft.com/office/drawing/2014/main" id="{654FEC36-418C-4484-A248-F3C3E647BDA2}"/>
            </a:ext>
          </a:extLst>
        </xdr:cNvPr>
        <xdr:cNvSpPr>
          <a:spLocks noChangeShapeType="1"/>
        </xdr:cNvSpPr>
      </xdr:nvSpPr>
      <xdr:spPr bwMode="auto">
        <a:xfrm>
          <a:off x="53340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7815" name="Line 71">
          <a:extLst>
            <a:ext uri="{FF2B5EF4-FFF2-40B4-BE49-F238E27FC236}">
              <a16:creationId xmlns:a16="http://schemas.microsoft.com/office/drawing/2014/main" id="{A6543C7C-BB51-4E85-BF4E-FC8A3882005C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7816" name="Line 72">
          <a:extLst>
            <a:ext uri="{FF2B5EF4-FFF2-40B4-BE49-F238E27FC236}">
              <a16:creationId xmlns:a16="http://schemas.microsoft.com/office/drawing/2014/main" id="{C04CA02C-720B-40B9-A516-706A551FDBAC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7817" name="Line 73">
          <a:extLst>
            <a:ext uri="{FF2B5EF4-FFF2-40B4-BE49-F238E27FC236}">
              <a16:creationId xmlns:a16="http://schemas.microsoft.com/office/drawing/2014/main" id="{3E7EB3E6-7718-43C3-80D0-756875828951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7818" name="Line 74">
          <a:extLst>
            <a:ext uri="{FF2B5EF4-FFF2-40B4-BE49-F238E27FC236}">
              <a16:creationId xmlns:a16="http://schemas.microsoft.com/office/drawing/2014/main" id="{8438D314-F0B5-402F-8A26-55EF3FF0BE94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7819" name="Line 75">
          <a:extLst>
            <a:ext uri="{FF2B5EF4-FFF2-40B4-BE49-F238E27FC236}">
              <a16:creationId xmlns:a16="http://schemas.microsoft.com/office/drawing/2014/main" id="{DF362E83-9295-40B0-8A1B-EFAFBFEC20A9}"/>
            </a:ext>
          </a:extLst>
        </xdr:cNvPr>
        <xdr:cNvSpPr>
          <a:spLocks noChangeShapeType="1"/>
        </xdr:cNvSpPr>
      </xdr:nvSpPr>
      <xdr:spPr bwMode="auto">
        <a:xfrm flipH="1">
          <a:off x="59055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7820" name="Line 76">
          <a:extLst>
            <a:ext uri="{FF2B5EF4-FFF2-40B4-BE49-F238E27FC236}">
              <a16:creationId xmlns:a16="http://schemas.microsoft.com/office/drawing/2014/main" id="{70DB5245-B773-48B5-8CA4-A37F6353CA3D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7821" name="Line 77">
          <a:extLst>
            <a:ext uri="{FF2B5EF4-FFF2-40B4-BE49-F238E27FC236}">
              <a16:creationId xmlns:a16="http://schemas.microsoft.com/office/drawing/2014/main" id="{8F86F465-F61A-4CBD-A840-8E85242E0C7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7822" name="Line 78">
          <a:extLst>
            <a:ext uri="{FF2B5EF4-FFF2-40B4-BE49-F238E27FC236}">
              <a16:creationId xmlns:a16="http://schemas.microsoft.com/office/drawing/2014/main" id="{E81F35C7-56A5-49FB-9728-C1AE387AF562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7823" name="Line 79">
          <a:extLst>
            <a:ext uri="{FF2B5EF4-FFF2-40B4-BE49-F238E27FC236}">
              <a16:creationId xmlns:a16="http://schemas.microsoft.com/office/drawing/2014/main" id="{5A60AFDD-CA80-42BB-A649-00F6A2BCB230}"/>
            </a:ext>
          </a:extLst>
        </xdr:cNvPr>
        <xdr:cNvSpPr>
          <a:spLocks noChangeShapeType="1"/>
        </xdr:cNvSpPr>
      </xdr:nvSpPr>
      <xdr:spPr bwMode="auto">
        <a:xfrm>
          <a:off x="115728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7824" name="Line 80">
          <a:extLst>
            <a:ext uri="{FF2B5EF4-FFF2-40B4-BE49-F238E27FC236}">
              <a16:creationId xmlns:a16="http://schemas.microsoft.com/office/drawing/2014/main" id="{736B958C-F83E-44AE-BDB9-59E153251828}"/>
            </a:ext>
          </a:extLst>
        </xdr:cNvPr>
        <xdr:cNvSpPr>
          <a:spLocks noChangeShapeType="1"/>
        </xdr:cNvSpPr>
      </xdr:nvSpPr>
      <xdr:spPr bwMode="auto">
        <a:xfrm>
          <a:off x="115728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7825" name="Line 81">
          <a:extLst>
            <a:ext uri="{FF2B5EF4-FFF2-40B4-BE49-F238E27FC236}">
              <a16:creationId xmlns:a16="http://schemas.microsoft.com/office/drawing/2014/main" id="{B856FD92-0C6E-4C8D-8C82-884F0C67ED6D}"/>
            </a:ext>
          </a:extLst>
        </xdr:cNvPr>
        <xdr:cNvSpPr>
          <a:spLocks noChangeShapeType="1"/>
        </xdr:cNvSpPr>
      </xdr:nvSpPr>
      <xdr:spPr bwMode="auto">
        <a:xfrm>
          <a:off x="10810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7826" name="Line 82">
          <a:extLst>
            <a:ext uri="{FF2B5EF4-FFF2-40B4-BE49-F238E27FC236}">
              <a16:creationId xmlns:a16="http://schemas.microsoft.com/office/drawing/2014/main" id="{2B410FE5-1F34-417D-AE53-EFC033C047A5}"/>
            </a:ext>
          </a:extLst>
        </xdr:cNvPr>
        <xdr:cNvSpPr>
          <a:spLocks noChangeShapeType="1"/>
        </xdr:cNvSpPr>
      </xdr:nvSpPr>
      <xdr:spPr bwMode="auto">
        <a:xfrm>
          <a:off x="10810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7827" name="Line 83">
          <a:extLst>
            <a:ext uri="{FF2B5EF4-FFF2-40B4-BE49-F238E27FC236}">
              <a16:creationId xmlns:a16="http://schemas.microsoft.com/office/drawing/2014/main" id="{8840B71A-137E-473E-9F0D-BDD714C7BBBB}"/>
            </a:ext>
          </a:extLst>
        </xdr:cNvPr>
        <xdr:cNvSpPr>
          <a:spLocks noChangeShapeType="1"/>
        </xdr:cNvSpPr>
      </xdr:nvSpPr>
      <xdr:spPr bwMode="auto">
        <a:xfrm>
          <a:off x="155257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7828" name="Line 84">
          <a:extLst>
            <a:ext uri="{FF2B5EF4-FFF2-40B4-BE49-F238E27FC236}">
              <a16:creationId xmlns:a16="http://schemas.microsoft.com/office/drawing/2014/main" id="{CA2CFE18-CD61-4900-B7BC-AEE7DEB4E781}"/>
            </a:ext>
          </a:extLst>
        </xdr:cNvPr>
        <xdr:cNvSpPr>
          <a:spLocks noChangeShapeType="1"/>
        </xdr:cNvSpPr>
      </xdr:nvSpPr>
      <xdr:spPr bwMode="auto">
        <a:xfrm>
          <a:off x="155257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7829" name="Line 85">
          <a:extLst>
            <a:ext uri="{FF2B5EF4-FFF2-40B4-BE49-F238E27FC236}">
              <a16:creationId xmlns:a16="http://schemas.microsoft.com/office/drawing/2014/main" id="{C72005AA-7611-403A-99BC-A697F00FD8F0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7830" name="Line 86">
          <a:extLst>
            <a:ext uri="{FF2B5EF4-FFF2-40B4-BE49-F238E27FC236}">
              <a16:creationId xmlns:a16="http://schemas.microsoft.com/office/drawing/2014/main" id="{48B05634-85C4-4C1A-BDDE-6FC776AF58CC}"/>
            </a:ext>
          </a:extLst>
        </xdr:cNvPr>
        <xdr:cNvSpPr>
          <a:spLocks noChangeShapeType="1"/>
        </xdr:cNvSpPr>
      </xdr:nvSpPr>
      <xdr:spPr bwMode="auto">
        <a:xfrm>
          <a:off x="108108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7831" name="Line 87">
          <a:extLst>
            <a:ext uri="{FF2B5EF4-FFF2-40B4-BE49-F238E27FC236}">
              <a16:creationId xmlns:a16="http://schemas.microsoft.com/office/drawing/2014/main" id="{B7584A7A-69B7-42AD-B957-08A09B3EEEF7}"/>
            </a:ext>
          </a:extLst>
        </xdr:cNvPr>
        <xdr:cNvSpPr>
          <a:spLocks noChangeShapeType="1"/>
        </xdr:cNvSpPr>
      </xdr:nvSpPr>
      <xdr:spPr bwMode="auto">
        <a:xfrm flipV="1">
          <a:off x="109251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7832" name="Line 88">
          <a:extLst>
            <a:ext uri="{FF2B5EF4-FFF2-40B4-BE49-F238E27FC236}">
              <a16:creationId xmlns:a16="http://schemas.microsoft.com/office/drawing/2014/main" id="{6B39BDA0-7424-4BA8-950B-3AD4FE010F3E}"/>
            </a:ext>
          </a:extLst>
        </xdr:cNvPr>
        <xdr:cNvSpPr>
          <a:spLocks noChangeShapeType="1"/>
        </xdr:cNvSpPr>
      </xdr:nvSpPr>
      <xdr:spPr bwMode="auto">
        <a:xfrm>
          <a:off x="108108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7833" name="Line 89">
          <a:extLst>
            <a:ext uri="{FF2B5EF4-FFF2-40B4-BE49-F238E27FC236}">
              <a16:creationId xmlns:a16="http://schemas.microsoft.com/office/drawing/2014/main" id="{34839491-D06C-445A-87AE-A8B1B3A650BC}"/>
            </a:ext>
          </a:extLst>
        </xdr:cNvPr>
        <xdr:cNvSpPr>
          <a:spLocks noChangeShapeType="1"/>
        </xdr:cNvSpPr>
      </xdr:nvSpPr>
      <xdr:spPr bwMode="auto">
        <a:xfrm>
          <a:off x="10810875" y="11287125"/>
          <a:ext cx="30194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7834" name="Line 90">
          <a:extLst>
            <a:ext uri="{FF2B5EF4-FFF2-40B4-BE49-F238E27FC236}">
              <a16:creationId xmlns:a16="http://schemas.microsoft.com/office/drawing/2014/main" id="{F0485EF4-1E68-4C1F-B0E8-61B451892B22}"/>
            </a:ext>
          </a:extLst>
        </xdr:cNvPr>
        <xdr:cNvSpPr>
          <a:spLocks noChangeShapeType="1"/>
        </xdr:cNvSpPr>
      </xdr:nvSpPr>
      <xdr:spPr bwMode="auto">
        <a:xfrm>
          <a:off x="109251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7835" name="Line 91">
          <a:extLst>
            <a:ext uri="{FF2B5EF4-FFF2-40B4-BE49-F238E27FC236}">
              <a16:creationId xmlns:a16="http://schemas.microsoft.com/office/drawing/2014/main" id="{D86F4328-1F73-4C1F-A6E2-1755D05FCBE5}"/>
            </a:ext>
          </a:extLst>
        </xdr:cNvPr>
        <xdr:cNvSpPr>
          <a:spLocks noChangeShapeType="1"/>
        </xdr:cNvSpPr>
      </xdr:nvSpPr>
      <xdr:spPr bwMode="auto">
        <a:xfrm flipV="1">
          <a:off x="109251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7836" name="Line 92">
          <a:extLst>
            <a:ext uri="{FF2B5EF4-FFF2-40B4-BE49-F238E27FC236}">
              <a16:creationId xmlns:a16="http://schemas.microsoft.com/office/drawing/2014/main" id="{0A2970BD-03E5-4D9D-AFFE-A5F7CEE01D96}"/>
            </a:ext>
          </a:extLst>
        </xdr:cNvPr>
        <xdr:cNvSpPr>
          <a:spLocks noChangeShapeType="1"/>
        </xdr:cNvSpPr>
      </xdr:nvSpPr>
      <xdr:spPr bwMode="auto">
        <a:xfrm flipV="1">
          <a:off x="108108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7837" name="Line 93">
          <a:extLst>
            <a:ext uri="{FF2B5EF4-FFF2-40B4-BE49-F238E27FC236}">
              <a16:creationId xmlns:a16="http://schemas.microsoft.com/office/drawing/2014/main" id="{B7432A4F-2834-48F2-8D18-32202F956255}"/>
            </a:ext>
          </a:extLst>
        </xdr:cNvPr>
        <xdr:cNvSpPr>
          <a:spLocks noChangeShapeType="1"/>
        </xdr:cNvSpPr>
      </xdr:nvSpPr>
      <xdr:spPr bwMode="auto">
        <a:xfrm>
          <a:off x="109251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7838" name="Line 94">
          <a:extLst>
            <a:ext uri="{FF2B5EF4-FFF2-40B4-BE49-F238E27FC236}">
              <a16:creationId xmlns:a16="http://schemas.microsoft.com/office/drawing/2014/main" id="{360A440B-42C0-4B2C-9B00-DA38861ADF12}"/>
            </a:ext>
          </a:extLst>
        </xdr:cNvPr>
        <xdr:cNvSpPr>
          <a:spLocks noChangeShapeType="1"/>
        </xdr:cNvSpPr>
      </xdr:nvSpPr>
      <xdr:spPr bwMode="auto">
        <a:xfrm>
          <a:off x="129635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7839" name="Line 95">
          <a:extLst>
            <a:ext uri="{FF2B5EF4-FFF2-40B4-BE49-F238E27FC236}">
              <a16:creationId xmlns:a16="http://schemas.microsoft.com/office/drawing/2014/main" id="{B45C8276-EEB1-4C29-A7A6-43017AC1F0C7}"/>
            </a:ext>
          </a:extLst>
        </xdr:cNvPr>
        <xdr:cNvSpPr>
          <a:spLocks noChangeShapeType="1"/>
        </xdr:cNvSpPr>
      </xdr:nvSpPr>
      <xdr:spPr bwMode="auto">
        <a:xfrm>
          <a:off x="129635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7840" name="Line 96">
          <a:extLst>
            <a:ext uri="{FF2B5EF4-FFF2-40B4-BE49-F238E27FC236}">
              <a16:creationId xmlns:a16="http://schemas.microsoft.com/office/drawing/2014/main" id="{35FB53F4-ABD9-42B7-BE62-57822F68461F}"/>
            </a:ext>
          </a:extLst>
        </xdr:cNvPr>
        <xdr:cNvSpPr>
          <a:spLocks noChangeShapeType="1"/>
        </xdr:cNvSpPr>
      </xdr:nvSpPr>
      <xdr:spPr bwMode="auto">
        <a:xfrm>
          <a:off x="10810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7841" name="Line 97">
          <a:extLst>
            <a:ext uri="{FF2B5EF4-FFF2-40B4-BE49-F238E27FC236}">
              <a16:creationId xmlns:a16="http://schemas.microsoft.com/office/drawing/2014/main" id="{B6024741-18FA-4F60-B8A6-6094A02C575B}"/>
            </a:ext>
          </a:extLst>
        </xdr:cNvPr>
        <xdr:cNvSpPr>
          <a:spLocks noChangeShapeType="1"/>
        </xdr:cNvSpPr>
      </xdr:nvSpPr>
      <xdr:spPr bwMode="auto">
        <a:xfrm>
          <a:off x="129635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7842" name="Line 98">
          <a:extLst>
            <a:ext uri="{FF2B5EF4-FFF2-40B4-BE49-F238E27FC236}">
              <a16:creationId xmlns:a16="http://schemas.microsoft.com/office/drawing/2014/main" id="{E7514C06-7433-427D-917D-1B9744187040}"/>
            </a:ext>
          </a:extLst>
        </xdr:cNvPr>
        <xdr:cNvSpPr>
          <a:spLocks noChangeShapeType="1"/>
        </xdr:cNvSpPr>
      </xdr:nvSpPr>
      <xdr:spPr bwMode="auto">
        <a:xfrm flipV="1">
          <a:off x="10810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7843" name="Line 99">
          <a:extLst>
            <a:ext uri="{FF2B5EF4-FFF2-40B4-BE49-F238E27FC236}">
              <a16:creationId xmlns:a16="http://schemas.microsoft.com/office/drawing/2014/main" id="{B421886F-5E4E-40B7-8C38-B878E860D697}"/>
            </a:ext>
          </a:extLst>
        </xdr:cNvPr>
        <xdr:cNvSpPr>
          <a:spLocks noChangeShapeType="1"/>
        </xdr:cNvSpPr>
      </xdr:nvSpPr>
      <xdr:spPr bwMode="auto">
        <a:xfrm>
          <a:off x="115728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7844" name="Line 100">
          <a:extLst>
            <a:ext uri="{FF2B5EF4-FFF2-40B4-BE49-F238E27FC236}">
              <a16:creationId xmlns:a16="http://schemas.microsoft.com/office/drawing/2014/main" id="{D208B27B-7C89-4865-9B16-F8BE3D0CA279}"/>
            </a:ext>
          </a:extLst>
        </xdr:cNvPr>
        <xdr:cNvSpPr>
          <a:spLocks noChangeShapeType="1"/>
        </xdr:cNvSpPr>
      </xdr:nvSpPr>
      <xdr:spPr bwMode="auto">
        <a:xfrm>
          <a:off x="155257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7845" name="Line 101">
          <a:extLst>
            <a:ext uri="{FF2B5EF4-FFF2-40B4-BE49-F238E27FC236}">
              <a16:creationId xmlns:a16="http://schemas.microsoft.com/office/drawing/2014/main" id="{59C6FC4E-17A2-405B-A066-A9F82891DF82}"/>
            </a:ext>
          </a:extLst>
        </xdr:cNvPr>
        <xdr:cNvSpPr>
          <a:spLocks noChangeShapeType="1"/>
        </xdr:cNvSpPr>
      </xdr:nvSpPr>
      <xdr:spPr bwMode="auto">
        <a:xfrm>
          <a:off x="15106650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7846" name="Line 102">
          <a:extLst>
            <a:ext uri="{FF2B5EF4-FFF2-40B4-BE49-F238E27FC236}">
              <a16:creationId xmlns:a16="http://schemas.microsoft.com/office/drawing/2014/main" id="{40624BEC-9759-4655-B741-14B79F4E0F06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7847" name="Line 103">
          <a:extLst>
            <a:ext uri="{FF2B5EF4-FFF2-40B4-BE49-F238E27FC236}">
              <a16:creationId xmlns:a16="http://schemas.microsoft.com/office/drawing/2014/main" id="{0B33BEF3-9F35-468C-AC05-3BE7B57089AF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7848" name="Line 104">
          <a:extLst>
            <a:ext uri="{FF2B5EF4-FFF2-40B4-BE49-F238E27FC236}">
              <a16:creationId xmlns:a16="http://schemas.microsoft.com/office/drawing/2014/main" id="{5956AA03-DFBB-4E19-B9AF-2D3F9266BA1D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7849" name="Line 105">
          <a:extLst>
            <a:ext uri="{FF2B5EF4-FFF2-40B4-BE49-F238E27FC236}">
              <a16:creationId xmlns:a16="http://schemas.microsoft.com/office/drawing/2014/main" id="{31E8DD83-2657-40AC-8F20-958499E40191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7850" name="Line 106">
          <a:extLst>
            <a:ext uri="{FF2B5EF4-FFF2-40B4-BE49-F238E27FC236}">
              <a16:creationId xmlns:a16="http://schemas.microsoft.com/office/drawing/2014/main" id="{C70DFB7E-9C38-45ED-AA14-791E215C4ABA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7851" name="Line 107">
          <a:extLst>
            <a:ext uri="{FF2B5EF4-FFF2-40B4-BE49-F238E27FC236}">
              <a16:creationId xmlns:a16="http://schemas.microsoft.com/office/drawing/2014/main" id="{39F6C2AC-6FF2-47C5-9444-0399A11DF159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22764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7852" name="Line 108">
          <a:extLst>
            <a:ext uri="{FF2B5EF4-FFF2-40B4-BE49-F238E27FC236}">
              <a16:creationId xmlns:a16="http://schemas.microsoft.com/office/drawing/2014/main" id="{C6845D94-36A9-414D-AF87-1D33E878C6A2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7853" name="Line 109">
          <a:extLst>
            <a:ext uri="{FF2B5EF4-FFF2-40B4-BE49-F238E27FC236}">
              <a16:creationId xmlns:a16="http://schemas.microsoft.com/office/drawing/2014/main" id="{249CA8BF-DD5E-4CBF-B522-EE468B027559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7854" name="Line 110">
          <a:extLst>
            <a:ext uri="{FF2B5EF4-FFF2-40B4-BE49-F238E27FC236}">
              <a16:creationId xmlns:a16="http://schemas.microsoft.com/office/drawing/2014/main" id="{1929BE66-98B9-43DE-BC20-B59B0477F24A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7855" name="Line 111">
          <a:extLst>
            <a:ext uri="{FF2B5EF4-FFF2-40B4-BE49-F238E27FC236}">
              <a16:creationId xmlns:a16="http://schemas.microsoft.com/office/drawing/2014/main" id="{8C69DACA-31B3-447C-9C05-CC74B9D2AAA3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7856" name="Line 112">
          <a:extLst>
            <a:ext uri="{FF2B5EF4-FFF2-40B4-BE49-F238E27FC236}">
              <a16:creationId xmlns:a16="http://schemas.microsoft.com/office/drawing/2014/main" id="{FDAF895D-FDB1-4400-8F30-13A19A786F84}"/>
            </a:ext>
          </a:extLst>
        </xdr:cNvPr>
        <xdr:cNvSpPr>
          <a:spLocks noChangeShapeType="1"/>
        </xdr:cNvSpPr>
      </xdr:nvSpPr>
      <xdr:spPr bwMode="auto">
        <a:xfrm>
          <a:off x="5905500" y="28860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7857" name="Line 113">
          <a:extLst>
            <a:ext uri="{FF2B5EF4-FFF2-40B4-BE49-F238E27FC236}">
              <a16:creationId xmlns:a16="http://schemas.microsoft.com/office/drawing/2014/main" id="{0EC31ADB-2832-4874-8510-2AC7FD680F7E}"/>
            </a:ext>
          </a:extLst>
        </xdr:cNvPr>
        <xdr:cNvSpPr>
          <a:spLocks noChangeShapeType="1"/>
        </xdr:cNvSpPr>
      </xdr:nvSpPr>
      <xdr:spPr bwMode="auto">
        <a:xfrm>
          <a:off x="5905500" y="321945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7858" name="Line 114">
          <a:extLst>
            <a:ext uri="{FF2B5EF4-FFF2-40B4-BE49-F238E27FC236}">
              <a16:creationId xmlns:a16="http://schemas.microsoft.com/office/drawing/2014/main" id="{3FBD9B71-3331-4D41-B2FB-D70808A702D2}"/>
            </a:ext>
          </a:extLst>
        </xdr:cNvPr>
        <xdr:cNvSpPr>
          <a:spLocks noChangeShapeType="1"/>
        </xdr:cNvSpPr>
      </xdr:nvSpPr>
      <xdr:spPr bwMode="auto">
        <a:xfrm flipV="1">
          <a:off x="108108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58661" name="Line 1">
          <a:extLst>
            <a:ext uri="{FF2B5EF4-FFF2-40B4-BE49-F238E27FC236}">
              <a16:creationId xmlns:a16="http://schemas.microsoft.com/office/drawing/2014/main" id="{573ED890-7EF8-4DEB-A9FE-7A904CD56BAC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58662" name="Line 2">
          <a:extLst>
            <a:ext uri="{FF2B5EF4-FFF2-40B4-BE49-F238E27FC236}">
              <a16:creationId xmlns:a16="http://schemas.microsoft.com/office/drawing/2014/main" id="{F821A694-67EB-49A7-83CA-3F8D428DA2E9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58663" name="Line 3">
          <a:extLst>
            <a:ext uri="{FF2B5EF4-FFF2-40B4-BE49-F238E27FC236}">
              <a16:creationId xmlns:a16="http://schemas.microsoft.com/office/drawing/2014/main" id="{1DD9D4CD-4EFF-4D47-B597-7E2EA3E332C8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58664" name="Line 4">
          <a:extLst>
            <a:ext uri="{FF2B5EF4-FFF2-40B4-BE49-F238E27FC236}">
              <a16:creationId xmlns:a16="http://schemas.microsoft.com/office/drawing/2014/main" id="{A056842C-2F5D-4149-82D3-2CA57D1D427D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58665" name="Line 5">
          <a:extLst>
            <a:ext uri="{FF2B5EF4-FFF2-40B4-BE49-F238E27FC236}">
              <a16:creationId xmlns:a16="http://schemas.microsoft.com/office/drawing/2014/main" id="{06E9FE00-0F28-433D-B96D-A583E0C672E8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58666" name="Line 6">
          <a:extLst>
            <a:ext uri="{FF2B5EF4-FFF2-40B4-BE49-F238E27FC236}">
              <a16:creationId xmlns:a16="http://schemas.microsoft.com/office/drawing/2014/main" id="{90CE2A5D-3CC4-44B6-9476-A8551A949D4E}"/>
            </a:ext>
          </a:extLst>
        </xdr:cNvPr>
        <xdr:cNvSpPr>
          <a:spLocks noChangeShapeType="1"/>
        </xdr:cNvSpPr>
      </xdr:nvSpPr>
      <xdr:spPr bwMode="auto">
        <a:xfrm>
          <a:off x="5905500" y="25431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58667" name="Line 7">
          <a:extLst>
            <a:ext uri="{FF2B5EF4-FFF2-40B4-BE49-F238E27FC236}">
              <a16:creationId xmlns:a16="http://schemas.microsoft.com/office/drawing/2014/main" id="{E334C389-3EB4-4CF3-81F7-10B7404B8288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3724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58668" name="Line 8">
          <a:extLst>
            <a:ext uri="{FF2B5EF4-FFF2-40B4-BE49-F238E27FC236}">
              <a16:creationId xmlns:a16="http://schemas.microsoft.com/office/drawing/2014/main" id="{22F0F95D-84F2-4E19-9E53-169358999634}"/>
            </a:ext>
          </a:extLst>
        </xdr:cNvPr>
        <xdr:cNvSpPr>
          <a:spLocks noChangeShapeType="1"/>
        </xdr:cNvSpPr>
      </xdr:nvSpPr>
      <xdr:spPr bwMode="auto">
        <a:xfrm>
          <a:off x="5905500" y="30480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58669" name="Line 9">
          <a:extLst>
            <a:ext uri="{FF2B5EF4-FFF2-40B4-BE49-F238E27FC236}">
              <a16:creationId xmlns:a16="http://schemas.microsoft.com/office/drawing/2014/main" id="{44261F71-178D-47FC-B9B0-71574E57821B}"/>
            </a:ext>
          </a:extLst>
        </xdr:cNvPr>
        <xdr:cNvSpPr>
          <a:spLocks noChangeShapeType="1"/>
        </xdr:cNvSpPr>
      </xdr:nvSpPr>
      <xdr:spPr bwMode="auto">
        <a:xfrm>
          <a:off x="5905500" y="27146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58670" name="Line 10">
          <a:extLst>
            <a:ext uri="{FF2B5EF4-FFF2-40B4-BE49-F238E27FC236}">
              <a16:creationId xmlns:a16="http://schemas.microsoft.com/office/drawing/2014/main" id="{955C7DDF-EA28-46A2-B564-2E842761EAC8}"/>
            </a:ext>
          </a:extLst>
        </xdr:cNvPr>
        <xdr:cNvSpPr>
          <a:spLocks noChangeShapeType="1"/>
        </xdr:cNvSpPr>
      </xdr:nvSpPr>
      <xdr:spPr bwMode="auto">
        <a:xfrm>
          <a:off x="5905500" y="69056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58671" name="Line 11">
          <a:extLst>
            <a:ext uri="{FF2B5EF4-FFF2-40B4-BE49-F238E27FC236}">
              <a16:creationId xmlns:a16="http://schemas.microsoft.com/office/drawing/2014/main" id="{D87484A0-C0C3-4DC7-961C-4C26529E82E5}"/>
            </a:ext>
          </a:extLst>
        </xdr:cNvPr>
        <xdr:cNvSpPr>
          <a:spLocks noChangeShapeType="1"/>
        </xdr:cNvSpPr>
      </xdr:nvSpPr>
      <xdr:spPr bwMode="auto">
        <a:xfrm>
          <a:off x="5905500" y="72294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58672" name="Line 12">
          <a:extLst>
            <a:ext uri="{FF2B5EF4-FFF2-40B4-BE49-F238E27FC236}">
              <a16:creationId xmlns:a16="http://schemas.microsoft.com/office/drawing/2014/main" id="{BDAD31BF-F24E-46C4-865C-4D41E4D8198F}"/>
            </a:ext>
          </a:extLst>
        </xdr:cNvPr>
        <xdr:cNvSpPr>
          <a:spLocks noChangeShapeType="1"/>
        </xdr:cNvSpPr>
      </xdr:nvSpPr>
      <xdr:spPr bwMode="auto">
        <a:xfrm>
          <a:off x="5905500" y="73914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58673" name="Line 13">
          <a:extLst>
            <a:ext uri="{FF2B5EF4-FFF2-40B4-BE49-F238E27FC236}">
              <a16:creationId xmlns:a16="http://schemas.microsoft.com/office/drawing/2014/main" id="{A1F03390-6B3B-47BE-A7CF-32AB25EF73E9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3171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58674" name="Line 14">
          <a:extLst>
            <a:ext uri="{FF2B5EF4-FFF2-40B4-BE49-F238E27FC236}">
              <a16:creationId xmlns:a16="http://schemas.microsoft.com/office/drawing/2014/main" id="{D3A6250D-C2B6-478C-A425-039DFD12CD30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58675" name="Line 15">
          <a:extLst>
            <a:ext uri="{FF2B5EF4-FFF2-40B4-BE49-F238E27FC236}">
              <a16:creationId xmlns:a16="http://schemas.microsoft.com/office/drawing/2014/main" id="{7CD7ED7D-24E2-49CB-804E-D3AD37A37EF6}"/>
            </a:ext>
          </a:extLst>
        </xdr:cNvPr>
        <xdr:cNvSpPr>
          <a:spLocks noChangeShapeType="1"/>
        </xdr:cNvSpPr>
      </xdr:nvSpPr>
      <xdr:spPr bwMode="auto">
        <a:xfrm>
          <a:off x="11572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58676" name="Line 16">
          <a:extLst>
            <a:ext uri="{FF2B5EF4-FFF2-40B4-BE49-F238E27FC236}">
              <a16:creationId xmlns:a16="http://schemas.microsoft.com/office/drawing/2014/main" id="{9F032183-BAC1-46C8-A795-0B5FEE9EF0FF}"/>
            </a:ext>
          </a:extLst>
        </xdr:cNvPr>
        <xdr:cNvSpPr>
          <a:spLocks noChangeShapeType="1"/>
        </xdr:cNvSpPr>
      </xdr:nvSpPr>
      <xdr:spPr bwMode="auto">
        <a:xfrm>
          <a:off x="11572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58677" name="Line 17">
          <a:extLst>
            <a:ext uri="{FF2B5EF4-FFF2-40B4-BE49-F238E27FC236}">
              <a16:creationId xmlns:a16="http://schemas.microsoft.com/office/drawing/2014/main" id="{B548F8C2-15CB-4EE1-9699-488A7CD67C8B}"/>
            </a:ext>
          </a:extLst>
        </xdr:cNvPr>
        <xdr:cNvSpPr>
          <a:spLocks noChangeShapeType="1"/>
        </xdr:cNvSpPr>
      </xdr:nvSpPr>
      <xdr:spPr bwMode="auto">
        <a:xfrm>
          <a:off x="10810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58678" name="Line 18">
          <a:extLst>
            <a:ext uri="{FF2B5EF4-FFF2-40B4-BE49-F238E27FC236}">
              <a16:creationId xmlns:a16="http://schemas.microsoft.com/office/drawing/2014/main" id="{807FB7AA-9D04-4DA6-B2D9-9A4F0E919E35}"/>
            </a:ext>
          </a:extLst>
        </xdr:cNvPr>
        <xdr:cNvSpPr>
          <a:spLocks noChangeShapeType="1"/>
        </xdr:cNvSpPr>
      </xdr:nvSpPr>
      <xdr:spPr bwMode="auto">
        <a:xfrm>
          <a:off x="115728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58679" name="Line 19">
          <a:extLst>
            <a:ext uri="{FF2B5EF4-FFF2-40B4-BE49-F238E27FC236}">
              <a16:creationId xmlns:a16="http://schemas.microsoft.com/office/drawing/2014/main" id="{88880F74-8CFC-4574-BFA3-1D18742049DE}"/>
            </a:ext>
          </a:extLst>
        </xdr:cNvPr>
        <xdr:cNvSpPr>
          <a:spLocks noChangeShapeType="1"/>
        </xdr:cNvSpPr>
      </xdr:nvSpPr>
      <xdr:spPr bwMode="auto">
        <a:xfrm>
          <a:off x="11572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58680" name="Line 20">
          <a:extLst>
            <a:ext uri="{FF2B5EF4-FFF2-40B4-BE49-F238E27FC236}">
              <a16:creationId xmlns:a16="http://schemas.microsoft.com/office/drawing/2014/main" id="{8931C369-493B-499A-BA11-121FD488E8DF}"/>
            </a:ext>
          </a:extLst>
        </xdr:cNvPr>
        <xdr:cNvSpPr>
          <a:spLocks noChangeShapeType="1"/>
        </xdr:cNvSpPr>
      </xdr:nvSpPr>
      <xdr:spPr bwMode="auto">
        <a:xfrm>
          <a:off x="10810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58681" name="Line 21">
          <a:extLst>
            <a:ext uri="{FF2B5EF4-FFF2-40B4-BE49-F238E27FC236}">
              <a16:creationId xmlns:a16="http://schemas.microsoft.com/office/drawing/2014/main" id="{7C48644E-01FF-4AD4-B28F-6EB8B9CFC55E}"/>
            </a:ext>
          </a:extLst>
        </xdr:cNvPr>
        <xdr:cNvSpPr>
          <a:spLocks noChangeShapeType="1"/>
        </xdr:cNvSpPr>
      </xdr:nvSpPr>
      <xdr:spPr bwMode="auto">
        <a:xfrm>
          <a:off x="115728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58682" name="Line 22">
          <a:extLst>
            <a:ext uri="{FF2B5EF4-FFF2-40B4-BE49-F238E27FC236}">
              <a16:creationId xmlns:a16="http://schemas.microsoft.com/office/drawing/2014/main" id="{9900E8C8-EA28-4EE4-A8FA-8733A98C82B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58683" name="Line 23">
          <a:extLst>
            <a:ext uri="{FF2B5EF4-FFF2-40B4-BE49-F238E27FC236}">
              <a16:creationId xmlns:a16="http://schemas.microsoft.com/office/drawing/2014/main" id="{909F1367-20E3-47ED-A2C7-BA5A048D3DBE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58684" name="Line 24">
          <a:extLst>
            <a:ext uri="{FF2B5EF4-FFF2-40B4-BE49-F238E27FC236}">
              <a16:creationId xmlns:a16="http://schemas.microsoft.com/office/drawing/2014/main" id="{29A03855-A0C3-4C16-B0C4-65124146DB1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58685" name="Line 25">
          <a:extLst>
            <a:ext uri="{FF2B5EF4-FFF2-40B4-BE49-F238E27FC236}">
              <a16:creationId xmlns:a16="http://schemas.microsoft.com/office/drawing/2014/main" id="{777F92CB-F661-4596-A48C-E75FA5B32F14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58686" name="Line 26">
          <a:extLst>
            <a:ext uri="{FF2B5EF4-FFF2-40B4-BE49-F238E27FC236}">
              <a16:creationId xmlns:a16="http://schemas.microsoft.com/office/drawing/2014/main" id="{B5E4C3E4-3338-46AE-BDA8-6DEE0348B4D2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58687" name="Line 27">
          <a:extLst>
            <a:ext uri="{FF2B5EF4-FFF2-40B4-BE49-F238E27FC236}">
              <a16:creationId xmlns:a16="http://schemas.microsoft.com/office/drawing/2014/main" id="{45344632-AF56-4C35-922A-1D1F17573D41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58688" name="Line 28">
          <a:extLst>
            <a:ext uri="{FF2B5EF4-FFF2-40B4-BE49-F238E27FC236}">
              <a16:creationId xmlns:a16="http://schemas.microsoft.com/office/drawing/2014/main" id="{37ECF90D-CB96-499C-8169-D121B9D5D884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58689" name="Line 29">
          <a:extLst>
            <a:ext uri="{FF2B5EF4-FFF2-40B4-BE49-F238E27FC236}">
              <a16:creationId xmlns:a16="http://schemas.microsoft.com/office/drawing/2014/main" id="{1F65968F-DB66-4ABC-9E5A-4E2278647DD9}"/>
            </a:ext>
          </a:extLst>
        </xdr:cNvPr>
        <xdr:cNvSpPr>
          <a:spLocks noChangeShapeType="1"/>
        </xdr:cNvSpPr>
      </xdr:nvSpPr>
      <xdr:spPr bwMode="auto">
        <a:xfrm flipV="1">
          <a:off x="5905500" y="82391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58690" name="Line 30">
          <a:extLst>
            <a:ext uri="{FF2B5EF4-FFF2-40B4-BE49-F238E27FC236}">
              <a16:creationId xmlns:a16="http://schemas.microsoft.com/office/drawing/2014/main" id="{76BCC66A-83F8-4D86-9819-28C63331DFA0}"/>
            </a:ext>
          </a:extLst>
        </xdr:cNvPr>
        <xdr:cNvSpPr>
          <a:spLocks noChangeShapeType="1"/>
        </xdr:cNvSpPr>
      </xdr:nvSpPr>
      <xdr:spPr bwMode="auto">
        <a:xfrm>
          <a:off x="5905500" y="84105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58691" name="Line 31">
          <a:extLst>
            <a:ext uri="{FF2B5EF4-FFF2-40B4-BE49-F238E27FC236}">
              <a16:creationId xmlns:a16="http://schemas.microsoft.com/office/drawing/2014/main" id="{E3077B9F-1805-4F86-B719-5B551349DDA2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4305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58692" name="Line 32">
          <a:extLst>
            <a:ext uri="{FF2B5EF4-FFF2-40B4-BE49-F238E27FC236}">
              <a16:creationId xmlns:a16="http://schemas.microsoft.com/office/drawing/2014/main" id="{053BF2C9-F805-480A-8E00-EE86F9D39693}"/>
            </a:ext>
          </a:extLst>
        </xdr:cNvPr>
        <xdr:cNvSpPr>
          <a:spLocks noChangeShapeType="1"/>
        </xdr:cNvSpPr>
      </xdr:nvSpPr>
      <xdr:spPr bwMode="auto">
        <a:xfrm flipV="1">
          <a:off x="5905500" y="129635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58693" name="Line 33">
          <a:extLst>
            <a:ext uri="{FF2B5EF4-FFF2-40B4-BE49-F238E27FC236}">
              <a16:creationId xmlns:a16="http://schemas.microsoft.com/office/drawing/2014/main" id="{0773CAC3-BC3D-49B6-A900-3A7E11240F67}"/>
            </a:ext>
          </a:extLst>
        </xdr:cNvPr>
        <xdr:cNvSpPr>
          <a:spLocks noChangeShapeType="1"/>
        </xdr:cNvSpPr>
      </xdr:nvSpPr>
      <xdr:spPr bwMode="auto">
        <a:xfrm>
          <a:off x="5905500" y="128016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58694" name="Line 34">
          <a:extLst>
            <a:ext uri="{FF2B5EF4-FFF2-40B4-BE49-F238E27FC236}">
              <a16:creationId xmlns:a16="http://schemas.microsoft.com/office/drawing/2014/main" id="{09BC1C2E-D256-4238-B999-F8C155BDB9BA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3171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58695" name="Line 35">
          <a:extLst>
            <a:ext uri="{FF2B5EF4-FFF2-40B4-BE49-F238E27FC236}">
              <a16:creationId xmlns:a16="http://schemas.microsoft.com/office/drawing/2014/main" id="{F009B0FA-8532-4349-A2AD-75BD05F50FE4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58696" name="Line 36">
          <a:extLst>
            <a:ext uri="{FF2B5EF4-FFF2-40B4-BE49-F238E27FC236}">
              <a16:creationId xmlns:a16="http://schemas.microsoft.com/office/drawing/2014/main" id="{D845E2A5-0ADD-4822-8834-5EACEA3ED9D9}"/>
            </a:ext>
          </a:extLst>
        </xdr:cNvPr>
        <xdr:cNvSpPr>
          <a:spLocks noChangeShapeType="1"/>
        </xdr:cNvSpPr>
      </xdr:nvSpPr>
      <xdr:spPr bwMode="auto">
        <a:xfrm flipV="1">
          <a:off x="115728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58697" name="Line 37">
          <a:extLst>
            <a:ext uri="{FF2B5EF4-FFF2-40B4-BE49-F238E27FC236}">
              <a16:creationId xmlns:a16="http://schemas.microsoft.com/office/drawing/2014/main" id="{D32E4C3E-E997-4AF7-9FB9-EDC7FEB4F4AE}"/>
            </a:ext>
          </a:extLst>
        </xdr:cNvPr>
        <xdr:cNvSpPr>
          <a:spLocks noChangeShapeType="1"/>
        </xdr:cNvSpPr>
      </xdr:nvSpPr>
      <xdr:spPr bwMode="auto">
        <a:xfrm>
          <a:off x="10810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58698" name="Line 38">
          <a:extLst>
            <a:ext uri="{FF2B5EF4-FFF2-40B4-BE49-F238E27FC236}">
              <a16:creationId xmlns:a16="http://schemas.microsoft.com/office/drawing/2014/main" id="{EA93BC86-6CFD-4B27-AD37-056EB1CD5B7E}"/>
            </a:ext>
          </a:extLst>
        </xdr:cNvPr>
        <xdr:cNvSpPr>
          <a:spLocks noChangeShapeType="1"/>
        </xdr:cNvSpPr>
      </xdr:nvSpPr>
      <xdr:spPr bwMode="auto">
        <a:xfrm>
          <a:off x="12963525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58699" name="Line 39">
          <a:extLst>
            <a:ext uri="{FF2B5EF4-FFF2-40B4-BE49-F238E27FC236}">
              <a16:creationId xmlns:a16="http://schemas.microsoft.com/office/drawing/2014/main" id="{AB2E50D6-2515-45EA-9566-F1CAE4835975}"/>
            </a:ext>
          </a:extLst>
        </xdr:cNvPr>
        <xdr:cNvSpPr>
          <a:spLocks noChangeShapeType="1"/>
        </xdr:cNvSpPr>
      </xdr:nvSpPr>
      <xdr:spPr bwMode="auto">
        <a:xfrm>
          <a:off x="12963525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58700" name="Line 40">
          <a:extLst>
            <a:ext uri="{FF2B5EF4-FFF2-40B4-BE49-F238E27FC236}">
              <a16:creationId xmlns:a16="http://schemas.microsoft.com/office/drawing/2014/main" id="{B1FBBBF3-BFB3-4A0E-B630-C0D08F460C5C}"/>
            </a:ext>
          </a:extLst>
        </xdr:cNvPr>
        <xdr:cNvSpPr>
          <a:spLocks noChangeShapeType="1"/>
        </xdr:cNvSpPr>
      </xdr:nvSpPr>
      <xdr:spPr bwMode="auto">
        <a:xfrm>
          <a:off x="12963525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58701" name="Line 41">
          <a:extLst>
            <a:ext uri="{FF2B5EF4-FFF2-40B4-BE49-F238E27FC236}">
              <a16:creationId xmlns:a16="http://schemas.microsoft.com/office/drawing/2014/main" id="{85B22A7D-F1F8-487B-8380-C600808457FF}"/>
            </a:ext>
          </a:extLst>
        </xdr:cNvPr>
        <xdr:cNvSpPr>
          <a:spLocks noChangeShapeType="1"/>
        </xdr:cNvSpPr>
      </xdr:nvSpPr>
      <xdr:spPr bwMode="auto">
        <a:xfrm>
          <a:off x="1223962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58702" name="Line 42">
          <a:extLst>
            <a:ext uri="{FF2B5EF4-FFF2-40B4-BE49-F238E27FC236}">
              <a16:creationId xmlns:a16="http://schemas.microsoft.com/office/drawing/2014/main" id="{C300BAE2-DCA2-4678-8FEE-E1DCFCEC7D1E}"/>
            </a:ext>
          </a:extLst>
        </xdr:cNvPr>
        <xdr:cNvSpPr>
          <a:spLocks noChangeShapeType="1"/>
        </xdr:cNvSpPr>
      </xdr:nvSpPr>
      <xdr:spPr bwMode="auto">
        <a:xfrm>
          <a:off x="155257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58703" name="Line 43">
          <a:extLst>
            <a:ext uri="{FF2B5EF4-FFF2-40B4-BE49-F238E27FC236}">
              <a16:creationId xmlns:a16="http://schemas.microsoft.com/office/drawing/2014/main" id="{84BD5BB0-DD27-4E78-B7D6-ECC62C8BB101}"/>
            </a:ext>
          </a:extLst>
        </xdr:cNvPr>
        <xdr:cNvSpPr>
          <a:spLocks noChangeShapeType="1"/>
        </xdr:cNvSpPr>
      </xdr:nvSpPr>
      <xdr:spPr bwMode="auto">
        <a:xfrm>
          <a:off x="155257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58704" name="Line 44">
          <a:extLst>
            <a:ext uri="{FF2B5EF4-FFF2-40B4-BE49-F238E27FC236}">
              <a16:creationId xmlns:a16="http://schemas.microsoft.com/office/drawing/2014/main" id="{E67695BC-C4B7-40A6-9229-58322B6312F4}"/>
            </a:ext>
          </a:extLst>
        </xdr:cNvPr>
        <xdr:cNvSpPr>
          <a:spLocks noChangeShapeType="1"/>
        </xdr:cNvSpPr>
      </xdr:nvSpPr>
      <xdr:spPr bwMode="auto">
        <a:xfrm>
          <a:off x="151066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58705" name="Line 45">
          <a:extLst>
            <a:ext uri="{FF2B5EF4-FFF2-40B4-BE49-F238E27FC236}">
              <a16:creationId xmlns:a16="http://schemas.microsoft.com/office/drawing/2014/main" id="{15BA6F7C-5A5A-41DC-9F37-5556A4B2FE2F}"/>
            </a:ext>
          </a:extLst>
        </xdr:cNvPr>
        <xdr:cNvSpPr>
          <a:spLocks noChangeShapeType="1"/>
        </xdr:cNvSpPr>
      </xdr:nvSpPr>
      <xdr:spPr bwMode="auto">
        <a:xfrm>
          <a:off x="155257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58706" name="Line 46">
          <a:extLst>
            <a:ext uri="{FF2B5EF4-FFF2-40B4-BE49-F238E27FC236}">
              <a16:creationId xmlns:a16="http://schemas.microsoft.com/office/drawing/2014/main" id="{21CC778F-642F-45B9-93E5-9194BC867CC9}"/>
            </a:ext>
          </a:extLst>
        </xdr:cNvPr>
        <xdr:cNvSpPr>
          <a:spLocks noChangeShapeType="1"/>
        </xdr:cNvSpPr>
      </xdr:nvSpPr>
      <xdr:spPr bwMode="auto">
        <a:xfrm>
          <a:off x="155257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58707" name="Line 47">
          <a:extLst>
            <a:ext uri="{FF2B5EF4-FFF2-40B4-BE49-F238E27FC236}">
              <a16:creationId xmlns:a16="http://schemas.microsoft.com/office/drawing/2014/main" id="{C83BFD7C-2E07-499D-9AD8-1E24A4768EF0}"/>
            </a:ext>
          </a:extLst>
        </xdr:cNvPr>
        <xdr:cNvSpPr>
          <a:spLocks noChangeShapeType="1"/>
        </xdr:cNvSpPr>
      </xdr:nvSpPr>
      <xdr:spPr bwMode="auto">
        <a:xfrm>
          <a:off x="151066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58708" name="Line 48">
          <a:extLst>
            <a:ext uri="{FF2B5EF4-FFF2-40B4-BE49-F238E27FC236}">
              <a16:creationId xmlns:a16="http://schemas.microsoft.com/office/drawing/2014/main" id="{A1B8DB12-AE55-438E-9C42-76746B490BFF}"/>
            </a:ext>
          </a:extLst>
        </xdr:cNvPr>
        <xdr:cNvSpPr>
          <a:spLocks noChangeShapeType="1"/>
        </xdr:cNvSpPr>
      </xdr:nvSpPr>
      <xdr:spPr bwMode="auto">
        <a:xfrm>
          <a:off x="155257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58709" name="Line 49">
          <a:extLst>
            <a:ext uri="{FF2B5EF4-FFF2-40B4-BE49-F238E27FC236}">
              <a16:creationId xmlns:a16="http://schemas.microsoft.com/office/drawing/2014/main" id="{1D1E072D-D2C1-408F-B4A3-53B38C1671C4}"/>
            </a:ext>
          </a:extLst>
        </xdr:cNvPr>
        <xdr:cNvSpPr>
          <a:spLocks noChangeShapeType="1"/>
        </xdr:cNvSpPr>
      </xdr:nvSpPr>
      <xdr:spPr bwMode="auto">
        <a:xfrm>
          <a:off x="151066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58710" name="Line 50">
          <a:extLst>
            <a:ext uri="{FF2B5EF4-FFF2-40B4-BE49-F238E27FC236}">
              <a16:creationId xmlns:a16="http://schemas.microsoft.com/office/drawing/2014/main" id="{EB5BF749-54D7-40B9-B7B4-C0E95954054B}"/>
            </a:ext>
          </a:extLst>
        </xdr:cNvPr>
        <xdr:cNvSpPr>
          <a:spLocks noChangeShapeType="1"/>
        </xdr:cNvSpPr>
      </xdr:nvSpPr>
      <xdr:spPr bwMode="auto">
        <a:xfrm flipV="1">
          <a:off x="155257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58711" name="Line 51">
          <a:extLst>
            <a:ext uri="{FF2B5EF4-FFF2-40B4-BE49-F238E27FC236}">
              <a16:creationId xmlns:a16="http://schemas.microsoft.com/office/drawing/2014/main" id="{C5E38926-9AA2-465A-A0D2-03B6513C69EF}"/>
            </a:ext>
          </a:extLst>
        </xdr:cNvPr>
        <xdr:cNvSpPr>
          <a:spLocks noChangeShapeType="1"/>
        </xdr:cNvSpPr>
      </xdr:nvSpPr>
      <xdr:spPr bwMode="auto">
        <a:xfrm flipV="1">
          <a:off x="151066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58712" name="Line 52">
          <a:extLst>
            <a:ext uri="{FF2B5EF4-FFF2-40B4-BE49-F238E27FC236}">
              <a16:creationId xmlns:a16="http://schemas.microsoft.com/office/drawing/2014/main" id="{0C104FB8-91FD-4F00-B7C2-64E2F91DC97D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58713" name="Line 53">
          <a:extLst>
            <a:ext uri="{FF2B5EF4-FFF2-40B4-BE49-F238E27FC236}">
              <a16:creationId xmlns:a16="http://schemas.microsoft.com/office/drawing/2014/main" id="{B6A3E437-217C-4104-A72D-D5D106D3056E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22479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58714" name="Line 54">
          <a:extLst>
            <a:ext uri="{FF2B5EF4-FFF2-40B4-BE49-F238E27FC236}">
              <a16:creationId xmlns:a16="http://schemas.microsoft.com/office/drawing/2014/main" id="{DABF04ED-5E54-4372-A8FD-02C6A87E33EC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58715" name="Line 55">
          <a:extLst>
            <a:ext uri="{FF2B5EF4-FFF2-40B4-BE49-F238E27FC236}">
              <a16:creationId xmlns:a16="http://schemas.microsoft.com/office/drawing/2014/main" id="{E06EC782-A88F-43D2-A197-0A85C453B94E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58716" name="Line 56">
          <a:extLst>
            <a:ext uri="{FF2B5EF4-FFF2-40B4-BE49-F238E27FC236}">
              <a16:creationId xmlns:a16="http://schemas.microsoft.com/office/drawing/2014/main" id="{733073CD-621C-407B-9C8F-A37BD19F6AB3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58717" name="Line 57">
          <a:extLst>
            <a:ext uri="{FF2B5EF4-FFF2-40B4-BE49-F238E27FC236}">
              <a16:creationId xmlns:a16="http://schemas.microsoft.com/office/drawing/2014/main" id="{D1E51821-B4D7-4022-84CC-7AA5DD0F030D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58718" name="Line 58">
          <a:extLst>
            <a:ext uri="{FF2B5EF4-FFF2-40B4-BE49-F238E27FC236}">
              <a16:creationId xmlns:a16="http://schemas.microsoft.com/office/drawing/2014/main" id="{3870B0A3-D1B9-44E5-B66A-5341070AE256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58719" name="Line 59">
          <a:extLst>
            <a:ext uri="{FF2B5EF4-FFF2-40B4-BE49-F238E27FC236}">
              <a16:creationId xmlns:a16="http://schemas.microsoft.com/office/drawing/2014/main" id="{F30FBC06-542F-4BD5-AF89-DF78045810C8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4305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58720" name="Line 60">
          <a:extLst>
            <a:ext uri="{FF2B5EF4-FFF2-40B4-BE49-F238E27FC236}">
              <a16:creationId xmlns:a16="http://schemas.microsoft.com/office/drawing/2014/main" id="{E0C95E8B-4D6A-415A-B8F9-ED68F4CED669}"/>
            </a:ext>
          </a:extLst>
        </xdr:cNvPr>
        <xdr:cNvSpPr>
          <a:spLocks noChangeShapeType="1"/>
        </xdr:cNvSpPr>
      </xdr:nvSpPr>
      <xdr:spPr bwMode="auto">
        <a:xfrm>
          <a:off x="5905500" y="75533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58721" name="Line 61">
          <a:extLst>
            <a:ext uri="{FF2B5EF4-FFF2-40B4-BE49-F238E27FC236}">
              <a16:creationId xmlns:a16="http://schemas.microsoft.com/office/drawing/2014/main" id="{ECC283E1-01E7-4169-A9E7-2967E8266DC7}"/>
            </a:ext>
          </a:extLst>
        </xdr:cNvPr>
        <xdr:cNvSpPr>
          <a:spLocks noChangeShapeType="1"/>
        </xdr:cNvSpPr>
      </xdr:nvSpPr>
      <xdr:spPr bwMode="auto">
        <a:xfrm>
          <a:off x="53340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58722" name="Line 62">
          <a:extLst>
            <a:ext uri="{FF2B5EF4-FFF2-40B4-BE49-F238E27FC236}">
              <a16:creationId xmlns:a16="http://schemas.microsoft.com/office/drawing/2014/main" id="{AB408E37-DBD3-4A9E-8EBC-567D982948B2}"/>
            </a:ext>
          </a:extLst>
        </xdr:cNvPr>
        <xdr:cNvSpPr>
          <a:spLocks noChangeShapeType="1"/>
        </xdr:cNvSpPr>
      </xdr:nvSpPr>
      <xdr:spPr bwMode="auto">
        <a:xfrm>
          <a:off x="59055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58723" name="Line 63">
          <a:extLst>
            <a:ext uri="{FF2B5EF4-FFF2-40B4-BE49-F238E27FC236}">
              <a16:creationId xmlns:a16="http://schemas.microsoft.com/office/drawing/2014/main" id="{A47EF07E-6142-4FF3-8605-B349D3A03B79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58724" name="Line 64">
          <a:extLst>
            <a:ext uri="{FF2B5EF4-FFF2-40B4-BE49-F238E27FC236}">
              <a16:creationId xmlns:a16="http://schemas.microsoft.com/office/drawing/2014/main" id="{5FD0F845-27EE-447E-B92A-3605D6E5FAA0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58725" name="Line 65">
          <a:extLst>
            <a:ext uri="{FF2B5EF4-FFF2-40B4-BE49-F238E27FC236}">
              <a16:creationId xmlns:a16="http://schemas.microsoft.com/office/drawing/2014/main" id="{4E5F1691-DA22-481E-AF45-06EAF5F83279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58726" name="Line 66">
          <a:extLst>
            <a:ext uri="{FF2B5EF4-FFF2-40B4-BE49-F238E27FC236}">
              <a16:creationId xmlns:a16="http://schemas.microsoft.com/office/drawing/2014/main" id="{76E6A952-7238-448C-92FA-1989CE244440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58727" name="Line 67">
          <a:extLst>
            <a:ext uri="{FF2B5EF4-FFF2-40B4-BE49-F238E27FC236}">
              <a16:creationId xmlns:a16="http://schemas.microsoft.com/office/drawing/2014/main" id="{3E17EBE1-FBA2-4C6D-AD58-777108A3309B}"/>
            </a:ext>
          </a:extLst>
        </xdr:cNvPr>
        <xdr:cNvSpPr>
          <a:spLocks noChangeShapeType="1"/>
        </xdr:cNvSpPr>
      </xdr:nvSpPr>
      <xdr:spPr bwMode="auto">
        <a:xfrm>
          <a:off x="59055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58728" name="Line 68">
          <a:extLst>
            <a:ext uri="{FF2B5EF4-FFF2-40B4-BE49-F238E27FC236}">
              <a16:creationId xmlns:a16="http://schemas.microsoft.com/office/drawing/2014/main" id="{B501EA9B-80BF-40F3-A5D6-0DDFC38463C6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58729" name="Line 69">
          <a:extLst>
            <a:ext uri="{FF2B5EF4-FFF2-40B4-BE49-F238E27FC236}">
              <a16:creationId xmlns:a16="http://schemas.microsoft.com/office/drawing/2014/main" id="{D49BA4A6-B39E-4789-AEB2-735D2240F25D}"/>
            </a:ext>
          </a:extLst>
        </xdr:cNvPr>
        <xdr:cNvSpPr>
          <a:spLocks noChangeShapeType="1"/>
        </xdr:cNvSpPr>
      </xdr:nvSpPr>
      <xdr:spPr bwMode="auto">
        <a:xfrm>
          <a:off x="59055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58730" name="Line 70">
          <a:extLst>
            <a:ext uri="{FF2B5EF4-FFF2-40B4-BE49-F238E27FC236}">
              <a16:creationId xmlns:a16="http://schemas.microsoft.com/office/drawing/2014/main" id="{8DFEB6FE-E3BD-40AE-85D1-0DADA945EF63}"/>
            </a:ext>
          </a:extLst>
        </xdr:cNvPr>
        <xdr:cNvSpPr>
          <a:spLocks noChangeShapeType="1"/>
        </xdr:cNvSpPr>
      </xdr:nvSpPr>
      <xdr:spPr bwMode="auto">
        <a:xfrm>
          <a:off x="53340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58731" name="Line 71">
          <a:extLst>
            <a:ext uri="{FF2B5EF4-FFF2-40B4-BE49-F238E27FC236}">
              <a16:creationId xmlns:a16="http://schemas.microsoft.com/office/drawing/2014/main" id="{B6DA7D04-8950-489B-A9CE-F8279503D9F7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58732" name="Line 72">
          <a:extLst>
            <a:ext uri="{FF2B5EF4-FFF2-40B4-BE49-F238E27FC236}">
              <a16:creationId xmlns:a16="http://schemas.microsoft.com/office/drawing/2014/main" id="{9343B8FB-1496-4AA2-B8C3-788F2F904FCA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58733" name="Line 73">
          <a:extLst>
            <a:ext uri="{FF2B5EF4-FFF2-40B4-BE49-F238E27FC236}">
              <a16:creationId xmlns:a16="http://schemas.microsoft.com/office/drawing/2014/main" id="{9FDF1F4F-8429-476D-BD18-26FFAE37DCEB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58734" name="Line 74">
          <a:extLst>
            <a:ext uri="{FF2B5EF4-FFF2-40B4-BE49-F238E27FC236}">
              <a16:creationId xmlns:a16="http://schemas.microsoft.com/office/drawing/2014/main" id="{CB4DCEA0-122A-43B2-851D-9E6A7630CA16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58735" name="Line 75">
          <a:extLst>
            <a:ext uri="{FF2B5EF4-FFF2-40B4-BE49-F238E27FC236}">
              <a16:creationId xmlns:a16="http://schemas.microsoft.com/office/drawing/2014/main" id="{EC26B6E6-882E-4C28-BF61-BFC788CBDD07}"/>
            </a:ext>
          </a:extLst>
        </xdr:cNvPr>
        <xdr:cNvSpPr>
          <a:spLocks noChangeShapeType="1"/>
        </xdr:cNvSpPr>
      </xdr:nvSpPr>
      <xdr:spPr bwMode="auto">
        <a:xfrm flipH="1">
          <a:off x="59055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58736" name="Line 76">
          <a:extLst>
            <a:ext uri="{FF2B5EF4-FFF2-40B4-BE49-F238E27FC236}">
              <a16:creationId xmlns:a16="http://schemas.microsoft.com/office/drawing/2014/main" id="{2D14AB1E-BBE3-4332-AA62-35F66A5BB4D3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58737" name="Line 77">
          <a:extLst>
            <a:ext uri="{FF2B5EF4-FFF2-40B4-BE49-F238E27FC236}">
              <a16:creationId xmlns:a16="http://schemas.microsoft.com/office/drawing/2014/main" id="{22C34B3C-D817-4B49-9F73-C631840A4A7A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58738" name="Line 78">
          <a:extLst>
            <a:ext uri="{FF2B5EF4-FFF2-40B4-BE49-F238E27FC236}">
              <a16:creationId xmlns:a16="http://schemas.microsoft.com/office/drawing/2014/main" id="{16FDD45B-CECC-4DC3-99D4-71C5E6799EA7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58739" name="Line 79">
          <a:extLst>
            <a:ext uri="{FF2B5EF4-FFF2-40B4-BE49-F238E27FC236}">
              <a16:creationId xmlns:a16="http://schemas.microsoft.com/office/drawing/2014/main" id="{55AED194-F637-4B10-AB6E-82E0A60DB55B}"/>
            </a:ext>
          </a:extLst>
        </xdr:cNvPr>
        <xdr:cNvSpPr>
          <a:spLocks noChangeShapeType="1"/>
        </xdr:cNvSpPr>
      </xdr:nvSpPr>
      <xdr:spPr bwMode="auto">
        <a:xfrm>
          <a:off x="115728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58740" name="Line 80">
          <a:extLst>
            <a:ext uri="{FF2B5EF4-FFF2-40B4-BE49-F238E27FC236}">
              <a16:creationId xmlns:a16="http://schemas.microsoft.com/office/drawing/2014/main" id="{5E1EC2B1-6AFD-4582-A43D-14B165A7BD62}"/>
            </a:ext>
          </a:extLst>
        </xdr:cNvPr>
        <xdr:cNvSpPr>
          <a:spLocks noChangeShapeType="1"/>
        </xdr:cNvSpPr>
      </xdr:nvSpPr>
      <xdr:spPr bwMode="auto">
        <a:xfrm>
          <a:off x="115728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58741" name="Line 81">
          <a:extLst>
            <a:ext uri="{FF2B5EF4-FFF2-40B4-BE49-F238E27FC236}">
              <a16:creationId xmlns:a16="http://schemas.microsoft.com/office/drawing/2014/main" id="{AECD0D60-104A-426E-9177-4CA71613B709}"/>
            </a:ext>
          </a:extLst>
        </xdr:cNvPr>
        <xdr:cNvSpPr>
          <a:spLocks noChangeShapeType="1"/>
        </xdr:cNvSpPr>
      </xdr:nvSpPr>
      <xdr:spPr bwMode="auto">
        <a:xfrm>
          <a:off x="10810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58742" name="Line 82">
          <a:extLst>
            <a:ext uri="{FF2B5EF4-FFF2-40B4-BE49-F238E27FC236}">
              <a16:creationId xmlns:a16="http://schemas.microsoft.com/office/drawing/2014/main" id="{773DC298-80DF-4A2C-ADF6-D3BE23756ADC}"/>
            </a:ext>
          </a:extLst>
        </xdr:cNvPr>
        <xdr:cNvSpPr>
          <a:spLocks noChangeShapeType="1"/>
        </xdr:cNvSpPr>
      </xdr:nvSpPr>
      <xdr:spPr bwMode="auto">
        <a:xfrm>
          <a:off x="10810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58743" name="Line 83">
          <a:extLst>
            <a:ext uri="{FF2B5EF4-FFF2-40B4-BE49-F238E27FC236}">
              <a16:creationId xmlns:a16="http://schemas.microsoft.com/office/drawing/2014/main" id="{B439A79B-BD2C-4F37-8FB4-E1C5F1240856}"/>
            </a:ext>
          </a:extLst>
        </xdr:cNvPr>
        <xdr:cNvSpPr>
          <a:spLocks noChangeShapeType="1"/>
        </xdr:cNvSpPr>
      </xdr:nvSpPr>
      <xdr:spPr bwMode="auto">
        <a:xfrm>
          <a:off x="155257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58744" name="Line 84">
          <a:extLst>
            <a:ext uri="{FF2B5EF4-FFF2-40B4-BE49-F238E27FC236}">
              <a16:creationId xmlns:a16="http://schemas.microsoft.com/office/drawing/2014/main" id="{B84284AC-C4B2-42F2-A7CA-C671241F36BA}"/>
            </a:ext>
          </a:extLst>
        </xdr:cNvPr>
        <xdr:cNvSpPr>
          <a:spLocks noChangeShapeType="1"/>
        </xdr:cNvSpPr>
      </xdr:nvSpPr>
      <xdr:spPr bwMode="auto">
        <a:xfrm>
          <a:off x="155257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58745" name="Line 85">
          <a:extLst>
            <a:ext uri="{FF2B5EF4-FFF2-40B4-BE49-F238E27FC236}">
              <a16:creationId xmlns:a16="http://schemas.microsoft.com/office/drawing/2014/main" id="{E9C9EEFC-E0EA-4123-9299-2F0326DC536A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58746" name="Line 86">
          <a:extLst>
            <a:ext uri="{FF2B5EF4-FFF2-40B4-BE49-F238E27FC236}">
              <a16:creationId xmlns:a16="http://schemas.microsoft.com/office/drawing/2014/main" id="{68591711-0464-4F36-B69A-C5357DA22EA7}"/>
            </a:ext>
          </a:extLst>
        </xdr:cNvPr>
        <xdr:cNvSpPr>
          <a:spLocks noChangeShapeType="1"/>
        </xdr:cNvSpPr>
      </xdr:nvSpPr>
      <xdr:spPr bwMode="auto">
        <a:xfrm>
          <a:off x="108108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58747" name="Line 87">
          <a:extLst>
            <a:ext uri="{FF2B5EF4-FFF2-40B4-BE49-F238E27FC236}">
              <a16:creationId xmlns:a16="http://schemas.microsoft.com/office/drawing/2014/main" id="{7EF558CB-867B-40C2-955A-64E0CE1ED388}"/>
            </a:ext>
          </a:extLst>
        </xdr:cNvPr>
        <xdr:cNvSpPr>
          <a:spLocks noChangeShapeType="1"/>
        </xdr:cNvSpPr>
      </xdr:nvSpPr>
      <xdr:spPr bwMode="auto">
        <a:xfrm flipV="1">
          <a:off x="109251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58748" name="Line 88">
          <a:extLst>
            <a:ext uri="{FF2B5EF4-FFF2-40B4-BE49-F238E27FC236}">
              <a16:creationId xmlns:a16="http://schemas.microsoft.com/office/drawing/2014/main" id="{4DB7ED2E-1FCE-4B91-9D1F-BE1BC4A824CB}"/>
            </a:ext>
          </a:extLst>
        </xdr:cNvPr>
        <xdr:cNvSpPr>
          <a:spLocks noChangeShapeType="1"/>
        </xdr:cNvSpPr>
      </xdr:nvSpPr>
      <xdr:spPr bwMode="auto">
        <a:xfrm>
          <a:off x="108108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58749" name="Line 89">
          <a:extLst>
            <a:ext uri="{FF2B5EF4-FFF2-40B4-BE49-F238E27FC236}">
              <a16:creationId xmlns:a16="http://schemas.microsoft.com/office/drawing/2014/main" id="{A596F2DE-3CEA-4925-8FA5-E7CC312508AD}"/>
            </a:ext>
          </a:extLst>
        </xdr:cNvPr>
        <xdr:cNvSpPr>
          <a:spLocks noChangeShapeType="1"/>
        </xdr:cNvSpPr>
      </xdr:nvSpPr>
      <xdr:spPr bwMode="auto">
        <a:xfrm>
          <a:off x="10810875" y="11287125"/>
          <a:ext cx="30194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58750" name="Line 90">
          <a:extLst>
            <a:ext uri="{FF2B5EF4-FFF2-40B4-BE49-F238E27FC236}">
              <a16:creationId xmlns:a16="http://schemas.microsoft.com/office/drawing/2014/main" id="{ADE23E95-663A-4857-943F-1C5ECA55A2D3}"/>
            </a:ext>
          </a:extLst>
        </xdr:cNvPr>
        <xdr:cNvSpPr>
          <a:spLocks noChangeShapeType="1"/>
        </xdr:cNvSpPr>
      </xdr:nvSpPr>
      <xdr:spPr bwMode="auto">
        <a:xfrm>
          <a:off x="109251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58751" name="Line 91">
          <a:extLst>
            <a:ext uri="{FF2B5EF4-FFF2-40B4-BE49-F238E27FC236}">
              <a16:creationId xmlns:a16="http://schemas.microsoft.com/office/drawing/2014/main" id="{1AF93EFB-612D-4C89-A728-723B83AC143A}"/>
            </a:ext>
          </a:extLst>
        </xdr:cNvPr>
        <xdr:cNvSpPr>
          <a:spLocks noChangeShapeType="1"/>
        </xdr:cNvSpPr>
      </xdr:nvSpPr>
      <xdr:spPr bwMode="auto">
        <a:xfrm flipV="1">
          <a:off x="109251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58752" name="Line 92">
          <a:extLst>
            <a:ext uri="{FF2B5EF4-FFF2-40B4-BE49-F238E27FC236}">
              <a16:creationId xmlns:a16="http://schemas.microsoft.com/office/drawing/2014/main" id="{89D04C94-D85A-4F1F-8B65-E223727D60A4}"/>
            </a:ext>
          </a:extLst>
        </xdr:cNvPr>
        <xdr:cNvSpPr>
          <a:spLocks noChangeShapeType="1"/>
        </xdr:cNvSpPr>
      </xdr:nvSpPr>
      <xdr:spPr bwMode="auto">
        <a:xfrm flipV="1">
          <a:off x="108108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58753" name="Line 93">
          <a:extLst>
            <a:ext uri="{FF2B5EF4-FFF2-40B4-BE49-F238E27FC236}">
              <a16:creationId xmlns:a16="http://schemas.microsoft.com/office/drawing/2014/main" id="{8215D43E-F33A-492B-ACE0-9A330B061E5C}"/>
            </a:ext>
          </a:extLst>
        </xdr:cNvPr>
        <xdr:cNvSpPr>
          <a:spLocks noChangeShapeType="1"/>
        </xdr:cNvSpPr>
      </xdr:nvSpPr>
      <xdr:spPr bwMode="auto">
        <a:xfrm>
          <a:off x="109251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58754" name="Line 94">
          <a:extLst>
            <a:ext uri="{FF2B5EF4-FFF2-40B4-BE49-F238E27FC236}">
              <a16:creationId xmlns:a16="http://schemas.microsoft.com/office/drawing/2014/main" id="{B3E14706-EDEF-4C4E-9965-CF66A87F071E}"/>
            </a:ext>
          </a:extLst>
        </xdr:cNvPr>
        <xdr:cNvSpPr>
          <a:spLocks noChangeShapeType="1"/>
        </xdr:cNvSpPr>
      </xdr:nvSpPr>
      <xdr:spPr bwMode="auto">
        <a:xfrm>
          <a:off x="129635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58755" name="Line 95">
          <a:extLst>
            <a:ext uri="{FF2B5EF4-FFF2-40B4-BE49-F238E27FC236}">
              <a16:creationId xmlns:a16="http://schemas.microsoft.com/office/drawing/2014/main" id="{A4B83ADC-AF3C-4E6C-93D3-BA01445C1D13}"/>
            </a:ext>
          </a:extLst>
        </xdr:cNvPr>
        <xdr:cNvSpPr>
          <a:spLocks noChangeShapeType="1"/>
        </xdr:cNvSpPr>
      </xdr:nvSpPr>
      <xdr:spPr bwMode="auto">
        <a:xfrm>
          <a:off x="129635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58756" name="Line 96">
          <a:extLst>
            <a:ext uri="{FF2B5EF4-FFF2-40B4-BE49-F238E27FC236}">
              <a16:creationId xmlns:a16="http://schemas.microsoft.com/office/drawing/2014/main" id="{34DD65F3-0C3C-4A9C-996E-397DCD0064F9}"/>
            </a:ext>
          </a:extLst>
        </xdr:cNvPr>
        <xdr:cNvSpPr>
          <a:spLocks noChangeShapeType="1"/>
        </xdr:cNvSpPr>
      </xdr:nvSpPr>
      <xdr:spPr bwMode="auto">
        <a:xfrm>
          <a:off x="10810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58757" name="Line 97">
          <a:extLst>
            <a:ext uri="{FF2B5EF4-FFF2-40B4-BE49-F238E27FC236}">
              <a16:creationId xmlns:a16="http://schemas.microsoft.com/office/drawing/2014/main" id="{096A68B1-6023-4DED-827C-22074E1DFCBD}"/>
            </a:ext>
          </a:extLst>
        </xdr:cNvPr>
        <xdr:cNvSpPr>
          <a:spLocks noChangeShapeType="1"/>
        </xdr:cNvSpPr>
      </xdr:nvSpPr>
      <xdr:spPr bwMode="auto">
        <a:xfrm>
          <a:off x="129635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58758" name="Line 98">
          <a:extLst>
            <a:ext uri="{FF2B5EF4-FFF2-40B4-BE49-F238E27FC236}">
              <a16:creationId xmlns:a16="http://schemas.microsoft.com/office/drawing/2014/main" id="{5D56663E-8D2D-4BA6-A355-75C3195D329E}"/>
            </a:ext>
          </a:extLst>
        </xdr:cNvPr>
        <xdr:cNvSpPr>
          <a:spLocks noChangeShapeType="1"/>
        </xdr:cNvSpPr>
      </xdr:nvSpPr>
      <xdr:spPr bwMode="auto">
        <a:xfrm flipV="1">
          <a:off x="10810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58759" name="Line 99">
          <a:extLst>
            <a:ext uri="{FF2B5EF4-FFF2-40B4-BE49-F238E27FC236}">
              <a16:creationId xmlns:a16="http://schemas.microsoft.com/office/drawing/2014/main" id="{7D443837-AD84-498D-A68A-97D181809E92}"/>
            </a:ext>
          </a:extLst>
        </xdr:cNvPr>
        <xdr:cNvSpPr>
          <a:spLocks noChangeShapeType="1"/>
        </xdr:cNvSpPr>
      </xdr:nvSpPr>
      <xdr:spPr bwMode="auto">
        <a:xfrm>
          <a:off x="115728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58760" name="Line 100">
          <a:extLst>
            <a:ext uri="{FF2B5EF4-FFF2-40B4-BE49-F238E27FC236}">
              <a16:creationId xmlns:a16="http://schemas.microsoft.com/office/drawing/2014/main" id="{69E8602A-926B-4200-8EE7-DEB561BE40D6}"/>
            </a:ext>
          </a:extLst>
        </xdr:cNvPr>
        <xdr:cNvSpPr>
          <a:spLocks noChangeShapeType="1"/>
        </xdr:cNvSpPr>
      </xdr:nvSpPr>
      <xdr:spPr bwMode="auto">
        <a:xfrm>
          <a:off x="155257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58761" name="Line 101">
          <a:extLst>
            <a:ext uri="{FF2B5EF4-FFF2-40B4-BE49-F238E27FC236}">
              <a16:creationId xmlns:a16="http://schemas.microsoft.com/office/drawing/2014/main" id="{FCC5D732-164F-4620-9177-9D8B3C1063EE}"/>
            </a:ext>
          </a:extLst>
        </xdr:cNvPr>
        <xdr:cNvSpPr>
          <a:spLocks noChangeShapeType="1"/>
        </xdr:cNvSpPr>
      </xdr:nvSpPr>
      <xdr:spPr bwMode="auto">
        <a:xfrm>
          <a:off x="15106650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58762" name="Line 102">
          <a:extLst>
            <a:ext uri="{FF2B5EF4-FFF2-40B4-BE49-F238E27FC236}">
              <a16:creationId xmlns:a16="http://schemas.microsoft.com/office/drawing/2014/main" id="{3A81A3CF-2104-4A57-B56D-4CB4A5B6806F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58763" name="Line 103">
          <a:extLst>
            <a:ext uri="{FF2B5EF4-FFF2-40B4-BE49-F238E27FC236}">
              <a16:creationId xmlns:a16="http://schemas.microsoft.com/office/drawing/2014/main" id="{2F173047-BCB2-47AD-AA4D-ED31C4910728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58764" name="Line 104">
          <a:extLst>
            <a:ext uri="{FF2B5EF4-FFF2-40B4-BE49-F238E27FC236}">
              <a16:creationId xmlns:a16="http://schemas.microsoft.com/office/drawing/2014/main" id="{79E05A5B-80A0-4AC4-A093-A7CDE05E7910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58765" name="Line 105">
          <a:extLst>
            <a:ext uri="{FF2B5EF4-FFF2-40B4-BE49-F238E27FC236}">
              <a16:creationId xmlns:a16="http://schemas.microsoft.com/office/drawing/2014/main" id="{584759A8-D920-4A84-8BB0-E2601DE2D2D6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58766" name="Line 106">
          <a:extLst>
            <a:ext uri="{FF2B5EF4-FFF2-40B4-BE49-F238E27FC236}">
              <a16:creationId xmlns:a16="http://schemas.microsoft.com/office/drawing/2014/main" id="{3618E551-4A7F-49FD-B026-43B88B700200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58767" name="Line 107">
          <a:extLst>
            <a:ext uri="{FF2B5EF4-FFF2-40B4-BE49-F238E27FC236}">
              <a16:creationId xmlns:a16="http://schemas.microsoft.com/office/drawing/2014/main" id="{79DC0356-1AE2-49EA-9582-7DC3A921F4CF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22764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58768" name="Line 108">
          <a:extLst>
            <a:ext uri="{FF2B5EF4-FFF2-40B4-BE49-F238E27FC236}">
              <a16:creationId xmlns:a16="http://schemas.microsoft.com/office/drawing/2014/main" id="{D87E731D-D892-4613-8A61-57F64AB29A6F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58769" name="Line 109">
          <a:extLst>
            <a:ext uri="{FF2B5EF4-FFF2-40B4-BE49-F238E27FC236}">
              <a16:creationId xmlns:a16="http://schemas.microsoft.com/office/drawing/2014/main" id="{D02B513A-FB3D-4CBF-BC8D-F34A01190016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58770" name="Line 110">
          <a:extLst>
            <a:ext uri="{FF2B5EF4-FFF2-40B4-BE49-F238E27FC236}">
              <a16:creationId xmlns:a16="http://schemas.microsoft.com/office/drawing/2014/main" id="{6F720954-3FD8-49CC-8543-949321572AA2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58771" name="Line 111">
          <a:extLst>
            <a:ext uri="{FF2B5EF4-FFF2-40B4-BE49-F238E27FC236}">
              <a16:creationId xmlns:a16="http://schemas.microsoft.com/office/drawing/2014/main" id="{B772D1A4-51DF-44F4-9762-C46F2D461C6D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58772" name="Line 112">
          <a:extLst>
            <a:ext uri="{FF2B5EF4-FFF2-40B4-BE49-F238E27FC236}">
              <a16:creationId xmlns:a16="http://schemas.microsoft.com/office/drawing/2014/main" id="{B0574AA5-ECEE-4818-A0FB-E7DDBAD8D424}"/>
            </a:ext>
          </a:extLst>
        </xdr:cNvPr>
        <xdr:cNvSpPr>
          <a:spLocks noChangeShapeType="1"/>
        </xdr:cNvSpPr>
      </xdr:nvSpPr>
      <xdr:spPr bwMode="auto">
        <a:xfrm>
          <a:off x="5905500" y="28860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58773" name="Line 113">
          <a:extLst>
            <a:ext uri="{FF2B5EF4-FFF2-40B4-BE49-F238E27FC236}">
              <a16:creationId xmlns:a16="http://schemas.microsoft.com/office/drawing/2014/main" id="{BC4D23C7-4DEE-4027-9DDC-0AF5969A0B8A}"/>
            </a:ext>
          </a:extLst>
        </xdr:cNvPr>
        <xdr:cNvSpPr>
          <a:spLocks noChangeShapeType="1"/>
        </xdr:cNvSpPr>
      </xdr:nvSpPr>
      <xdr:spPr bwMode="auto">
        <a:xfrm>
          <a:off x="5905500" y="321945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58774" name="Line 114">
          <a:extLst>
            <a:ext uri="{FF2B5EF4-FFF2-40B4-BE49-F238E27FC236}">
              <a16:creationId xmlns:a16="http://schemas.microsoft.com/office/drawing/2014/main" id="{441F777D-7F54-4AB3-B846-63F41D4B6109}"/>
            </a:ext>
          </a:extLst>
        </xdr:cNvPr>
        <xdr:cNvSpPr>
          <a:spLocks noChangeShapeType="1"/>
        </xdr:cNvSpPr>
      </xdr:nvSpPr>
      <xdr:spPr bwMode="auto">
        <a:xfrm flipV="1">
          <a:off x="108108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59685" name="Line 1">
          <a:extLst>
            <a:ext uri="{FF2B5EF4-FFF2-40B4-BE49-F238E27FC236}">
              <a16:creationId xmlns:a16="http://schemas.microsoft.com/office/drawing/2014/main" id="{4570808F-AD84-4CEB-91E2-1BC3CF2EBDD4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59686" name="Line 2">
          <a:extLst>
            <a:ext uri="{FF2B5EF4-FFF2-40B4-BE49-F238E27FC236}">
              <a16:creationId xmlns:a16="http://schemas.microsoft.com/office/drawing/2014/main" id="{FA2D0716-2A68-436A-9B27-0E136518E641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59687" name="Line 3">
          <a:extLst>
            <a:ext uri="{FF2B5EF4-FFF2-40B4-BE49-F238E27FC236}">
              <a16:creationId xmlns:a16="http://schemas.microsoft.com/office/drawing/2014/main" id="{7B8D2E49-E650-4FEC-BB15-13EF3BCE10E0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59688" name="Line 4">
          <a:extLst>
            <a:ext uri="{FF2B5EF4-FFF2-40B4-BE49-F238E27FC236}">
              <a16:creationId xmlns:a16="http://schemas.microsoft.com/office/drawing/2014/main" id="{1F00A414-FE63-43B0-92BD-5C2E09677708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59689" name="Line 5">
          <a:extLst>
            <a:ext uri="{FF2B5EF4-FFF2-40B4-BE49-F238E27FC236}">
              <a16:creationId xmlns:a16="http://schemas.microsoft.com/office/drawing/2014/main" id="{479A5D6E-941D-40C0-933A-402EC2A6E79F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59690" name="Line 6">
          <a:extLst>
            <a:ext uri="{FF2B5EF4-FFF2-40B4-BE49-F238E27FC236}">
              <a16:creationId xmlns:a16="http://schemas.microsoft.com/office/drawing/2014/main" id="{733EF920-4494-4A92-B24E-2376A8667024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59691" name="Line 7">
          <a:extLst>
            <a:ext uri="{FF2B5EF4-FFF2-40B4-BE49-F238E27FC236}">
              <a16:creationId xmlns:a16="http://schemas.microsoft.com/office/drawing/2014/main" id="{3C39F2F9-5EA4-485F-9FB5-4C38DB30B0B7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705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59692" name="Line 8">
          <a:extLst>
            <a:ext uri="{FF2B5EF4-FFF2-40B4-BE49-F238E27FC236}">
              <a16:creationId xmlns:a16="http://schemas.microsoft.com/office/drawing/2014/main" id="{B4EB190E-919D-4947-AE8F-B6CED4A27D83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59693" name="Line 9">
          <a:extLst>
            <a:ext uri="{FF2B5EF4-FFF2-40B4-BE49-F238E27FC236}">
              <a16:creationId xmlns:a16="http://schemas.microsoft.com/office/drawing/2014/main" id="{B4D6E91A-3948-45F3-80B1-B7962C46EF5C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59694" name="Line 10">
          <a:extLst>
            <a:ext uri="{FF2B5EF4-FFF2-40B4-BE49-F238E27FC236}">
              <a16:creationId xmlns:a16="http://schemas.microsoft.com/office/drawing/2014/main" id="{EF46A3BA-2DDF-4ECC-A253-19991594EECB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59695" name="Line 11">
          <a:extLst>
            <a:ext uri="{FF2B5EF4-FFF2-40B4-BE49-F238E27FC236}">
              <a16:creationId xmlns:a16="http://schemas.microsoft.com/office/drawing/2014/main" id="{C57E9F48-9BD4-4F8E-A87F-D4C9059D4735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59696" name="Line 12">
          <a:extLst>
            <a:ext uri="{FF2B5EF4-FFF2-40B4-BE49-F238E27FC236}">
              <a16:creationId xmlns:a16="http://schemas.microsoft.com/office/drawing/2014/main" id="{466D6821-C676-4CB4-ABD4-2AAFE0F6428C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59697" name="Line 13">
          <a:extLst>
            <a:ext uri="{FF2B5EF4-FFF2-40B4-BE49-F238E27FC236}">
              <a16:creationId xmlns:a16="http://schemas.microsoft.com/office/drawing/2014/main" id="{5C42C594-5A78-49C1-9124-4DFC90B3ECDE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152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59698" name="Line 14">
          <a:extLst>
            <a:ext uri="{FF2B5EF4-FFF2-40B4-BE49-F238E27FC236}">
              <a16:creationId xmlns:a16="http://schemas.microsoft.com/office/drawing/2014/main" id="{9807319E-B82E-4342-A187-2A5E56BC9AB4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686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59699" name="Line 15">
          <a:extLst>
            <a:ext uri="{FF2B5EF4-FFF2-40B4-BE49-F238E27FC236}">
              <a16:creationId xmlns:a16="http://schemas.microsoft.com/office/drawing/2014/main" id="{ABFC522D-A28E-48CA-83DD-0206686FBAFB}"/>
            </a:ext>
          </a:extLst>
        </xdr:cNvPr>
        <xdr:cNvSpPr>
          <a:spLocks noChangeShapeType="1"/>
        </xdr:cNvSpPr>
      </xdr:nvSpPr>
      <xdr:spPr bwMode="auto">
        <a:xfrm>
          <a:off x="10553700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59700" name="Line 16">
          <a:extLst>
            <a:ext uri="{FF2B5EF4-FFF2-40B4-BE49-F238E27FC236}">
              <a16:creationId xmlns:a16="http://schemas.microsoft.com/office/drawing/2014/main" id="{ACA4F06E-4349-4933-95F9-D99992F5CCB9}"/>
            </a:ext>
          </a:extLst>
        </xdr:cNvPr>
        <xdr:cNvSpPr>
          <a:spLocks noChangeShapeType="1"/>
        </xdr:cNvSpPr>
      </xdr:nvSpPr>
      <xdr:spPr bwMode="auto">
        <a:xfrm>
          <a:off x="10553700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59701" name="Line 17">
          <a:extLst>
            <a:ext uri="{FF2B5EF4-FFF2-40B4-BE49-F238E27FC236}">
              <a16:creationId xmlns:a16="http://schemas.microsoft.com/office/drawing/2014/main" id="{8E793EB9-4784-486F-97A4-CE659AE065DC}"/>
            </a:ext>
          </a:extLst>
        </xdr:cNvPr>
        <xdr:cNvSpPr>
          <a:spLocks noChangeShapeType="1"/>
        </xdr:cNvSpPr>
      </xdr:nvSpPr>
      <xdr:spPr bwMode="auto">
        <a:xfrm>
          <a:off x="9791700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59702" name="Line 18">
          <a:extLst>
            <a:ext uri="{FF2B5EF4-FFF2-40B4-BE49-F238E27FC236}">
              <a16:creationId xmlns:a16="http://schemas.microsoft.com/office/drawing/2014/main" id="{00E39D41-2D43-44EE-94DA-A781EAC769B5}"/>
            </a:ext>
          </a:extLst>
        </xdr:cNvPr>
        <xdr:cNvSpPr>
          <a:spLocks noChangeShapeType="1"/>
        </xdr:cNvSpPr>
      </xdr:nvSpPr>
      <xdr:spPr bwMode="auto">
        <a:xfrm>
          <a:off x="10553700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59703" name="Line 19">
          <a:extLst>
            <a:ext uri="{FF2B5EF4-FFF2-40B4-BE49-F238E27FC236}">
              <a16:creationId xmlns:a16="http://schemas.microsoft.com/office/drawing/2014/main" id="{60228F71-0BE6-4D7E-9ECA-5CCFB9499DE1}"/>
            </a:ext>
          </a:extLst>
        </xdr:cNvPr>
        <xdr:cNvSpPr>
          <a:spLocks noChangeShapeType="1"/>
        </xdr:cNvSpPr>
      </xdr:nvSpPr>
      <xdr:spPr bwMode="auto">
        <a:xfrm>
          <a:off x="10553700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59704" name="Line 20">
          <a:extLst>
            <a:ext uri="{FF2B5EF4-FFF2-40B4-BE49-F238E27FC236}">
              <a16:creationId xmlns:a16="http://schemas.microsoft.com/office/drawing/2014/main" id="{5ECE339C-6D82-4403-84A9-F5EE12FA2AAC}"/>
            </a:ext>
          </a:extLst>
        </xdr:cNvPr>
        <xdr:cNvSpPr>
          <a:spLocks noChangeShapeType="1"/>
        </xdr:cNvSpPr>
      </xdr:nvSpPr>
      <xdr:spPr bwMode="auto">
        <a:xfrm>
          <a:off x="9791700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59705" name="Line 21">
          <a:extLst>
            <a:ext uri="{FF2B5EF4-FFF2-40B4-BE49-F238E27FC236}">
              <a16:creationId xmlns:a16="http://schemas.microsoft.com/office/drawing/2014/main" id="{62314EEB-81FC-41B6-AD3B-F35092C6AA5C}"/>
            </a:ext>
          </a:extLst>
        </xdr:cNvPr>
        <xdr:cNvSpPr>
          <a:spLocks noChangeShapeType="1"/>
        </xdr:cNvSpPr>
      </xdr:nvSpPr>
      <xdr:spPr bwMode="auto">
        <a:xfrm>
          <a:off x="10553700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59706" name="Line 22">
          <a:extLst>
            <a:ext uri="{FF2B5EF4-FFF2-40B4-BE49-F238E27FC236}">
              <a16:creationId xmlns:a16="http://schemas.microsoft.com/office/drawing/2014/main" id="{A3F52D49-5157-48AC-8D9D-E41DFDDBDABF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59707" name="Line 23">
          <a:extLst>
            <a:ext uri="{FF2B5EF4-FFF2-40B4-BE49-F238E27FC236}">
              <a16:creationId xmlns:a16="http://schemas.microsoft.com/office/drawing/2014/main" id="{909C7D8A-B6A1-4046-8313-51BB2952FB6C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59708" name="Line 24">
          <a:extLst>
            <a:ext uri="{FF2B5EF4-FFF2-40B4-BE49-F238E27FC236}">
              <a16:creationId xmlns:a16="http://schemas.microsoft.com/office/drawing/2014/main" id="{ED69BA8B-E159-4D9A-B6F1-A72CD45728E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59709" name="Line 25">
          <a:extLst>
            <a:ext uri="{FF2B5EF4-FFF2-40B4-BE49-F238E27FC236}">
              <a16:creationId xmlns:a16="http://schemas.microsoft.com/office/drawing/2014/main" id="{7C4BC81B-1077-4F7A-BED2-8D0EF183524D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59710" name="Line 26">
          <a:extLst>
            <a:ext uri="{FF2B5EF4-FFF2-40B4-BE49-F238E27FC236}">
              <a16:creationId xmlns:a16="http://schemas.microsoft.com/office/drawing/2014/main" id="{43F8BB45-537F-4786-8905-E78139A566F4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59711" name="Line 27">
          <a:extLst>
            <a:ext uri="{FF2B5EF4-FFF2-40B4-BE49-F238E27FC236}">
              <a16:creationId xmlns:a16="http://schemas.microsoft.com/office/drawing/2014/main" id="{5123AFA4-844A-4AA5-81E4-977814142A81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59712" name="Line 28">
          <a:extLst>
            <a:ext uri="{FF2B5EF4-FFF2-40B4-BE49-F238E27FC236}">
              <a16:creationId xmlns:a16="http://schemas.microsoft.com/office/drawing/2014/main" id="{7CD4D9A5-7446-448F-AD72-32465BDF5266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59713" name="Line 29">
          <a:extLst>
            <a:ext uri="{FF2B5EF4-FFF2-40B4-BE49-F238E27FC236}">
              <a16:creationId xmlns:a16="http://schemas.microsoft.com/office/drawing/2014/main" id="{9EC5F111-E6E6-4A3B-93CE-2E907D80F6A4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59714" name="Line 30">
          <a:extLst>
            <a:ext uri="{FF2B5EF4-FFF2-40B4-BE49-F238E27FC236}">
              <a16:creationId xmlns:a16="http://schemas.microsoft.com/office/drawing/2014/main" id="{FBB63159-D0BC-4F42-A033-C7BA3B169FB2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59715" name="Line 31">
          <a:extLst>
            <a:ext uri="{FF2B5EF4-FFF2-40B4-BE49-F238E27FC236}">
              <a16:creationId xmlns:a16="http://schemas.microsoft.com/office/drawing/2014/main" id="{3B64FB9E-F95C-4FC9-A23F-74D586CC32B6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286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59716" name="Line 32">
          <a:extLst>
            <a:ext uri="{FF2B5EF4-FFF2-40B4-BE49-F238E27FC236}">
              <a16:creationId xmlns:a16="http://schemas.microsoft.com/office/drawing/2014/main" id="{ACC19F17-3A4B-4F39-A97A-D808A8ADFB48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59717" name="Line 33">
          <a:extLst>
            <a:ext uri="{FF2B5EF4-FFF2-40B4-BE49-F238E27FC236}">
              <a16:creationId xmlns:a16="http://schemas.microsoft.com/office/drawing/2014/main" id="{4CF61F9B-C4AA-42F6-BD33-5A284489F4C7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59718" name="Line 34">
          <a:extLst>
            <a:ext uri="{FF2B5EF4-FFF2-40B4-BE49-F238E27FC236}">
              <a16:creationId xmlns:a16="http://schemas.microsoft.com/office/drawing/2014/main" id="{F56D15A7-0F8F-426E-B776-85A30E8A76A7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152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59719" name="Line 35">
          <a:extLst>
            <a:ext uri="{FF2B5EF4-FFF2-40B4-BE49-F238E27FC236}">
              <a16:creationId xmlns:a16="http://schemas.microsoft.com/office/drawing/2014/main" id="{FA80308A-7319-458C-AC0F-4AC11A109FB0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686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59720" name="Line 36">
          <a:extLst>
            <a:ext uri="{FF2B5EF4-FFF2-40B4-BE49-F238E27FC236}">
              <a16:creationId xmlns:a16="http://schemas.microsoft.com/office/drawing/2014/main" id="{E7E2D685-7089-4755-9AAC-4D27A48B9E52}"/>
            </a:ext>
          </a:extLst>
        </xdr:cNvPr>
        <xdr:cNvSpPr>
          <a:spLocks noChangeShapeType="1"/>
        </xdr:cNvSpPr>
      </xdr:nvSpPr>
      <xdr:spPr bwMode="auto">
        <a:xfrm flipV="1">
          <a:off x="10553700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59721" name="Line 37">
          <a:extLst>
            <a:ext uri="{FF2B5EF4-FFF2-40B4-BE49-F238E27FC236}">
              <a16:creationId xmlns:a16="http://schemas.microsoft.com/office/drawing/2014/main" id="{279EC0EC-ABE6-49C5-AF65-F0F12963F1FA}"/>
            </a:ext>
          </a:extLst>
        </xdr:cNvPr>
        <xdr:cNvSpPr>
          <a:spLocks noChangeShapeType="1"/>
        </xdr:cNvSpPr>
      </xdr:nvSpPr>
      <xdr:spPr bwMode="auto">
        <a:xfrm>
          <a:off x="9791700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59722" name="Line 38">
          <a:extLst>
            <a:ext uri="{FF2B5EF4-FFF2-40B4-BE49-F238E27FC236}">
              <a16:creationId xmlns:a16="http://schemas.microsoft.com/office/drawing/2014/main" id="{920F20F2-671A-4CB0-83D6-1B8D2E54EF1F}"/>
            </a:ext>
          </a:extLst>
        </xdr:cNvPr>
        <xdr:cNvSpPr>
          <a:spLocks noChangeShapeType="1"/>
        </xdr:cNvSpPr>
      </xdr:nvSpPr>
      <xdr:spPr bwMode="auto">
        <a:xfrm>
          <a:off x="11944350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59723" name="Line 39">
          <a:extLst>
            <a:ext uri="{FF2B5EF4-FFF2-40B4-BE49-F238E27FC236}">
              <a16:creationId xmlns:a16="http://schemas.microsoft.com/office/drawing/2014/main" id="{0FF43064-B800-4A59-B9CD-FBB4EEE2E419}"/>
            </a:ext>
          </a:extLst>
        </xdr:cNvPr>
        <xdr:cNvSpPr>
          <a:spLocks noChangeShapeType="1"/>
        </xdr:cNvSpPr>
      </xdr:nvSpPr>
      <xdr:spPr bwMode="auto">
        <a:xfrm>
          <a:off x="11944350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59724" name="Line 40">
          <a:extLst>
            <a:ext uri="{FF2B5EF4-FFF2-40B4-BE49-F238E27FC236}">
              <a16:creationId xmlns:a16="http://schemas.microsoft.com/office/drawing/2014/main" id="{49987C88-39C6-4637-9B80-95CD090CEB1A}"/>
            </a:ext>
          </a:extLst>
        </xdr:cNvPr>
        <xdr:cNvSpPr>
          <a:spLocks noChangeShapeType="1"/>
        </xdr:cNvSpPr>
      </xdr:nvSpPr>
      <xdr:spPr bwMode="auto">
        <a:xfrm>
          <a:off x="11944350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59725" name="Line 41">
          <a:extLst>
            <a:ext uri="{FF2B5EF4-FFF2-40B4-BE49-F238E27FC236}">
              <a16:creationId xmlns:a16="http://schemas.microsoft.com/office/drawing/2014/main" id="{F2DF0CED-DEBD-44AD-9235-878B3D4C8E91}"/>
            </a:ext>
          </a:extLst>
        </xdr:cNvPr>
        <xdr:cNvSpPr>
          <a:spLocks noChangeShapeType="1"/>
        </xdr:cNvSpPr>
      </xdr:nvSpPr>
      <xdr:spPr bwMode="auto">
        <a:xfrm>
          <a:off x="11220450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59726" name="Line 42">
          <a:extLst>
            <a:ext uri="{FF2B5EF4-FFF2-40B4-BE49-F238E27FC236}">
              <a16:creationId xmlns:a16="http://schemas.microsoft.com/office/drawing/2014/main" id="{5FB80934-166F-480E-87F4-CDE2825A99CD}"/>
            </a:ext>
          </a:extLst>
        </xdr:cNvPr>
        <xdr:cNvSpPr>
          <a:spLocks noChangeShapeType="1"/>
        </xdr:cNvSpPr>
      </xdr:nvSpPr>
      <xdr:spPr bwMode="auto">
        <a:xfrm>
          <a:off x="1450657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59727" name="Line 43">
          <a:extLst>
            <a:ext uri="{FF2B5EF4-FFF2-40B4-BE49-F238E27FC236}">
              <a16:creationId xmlns:a16="http://schemas.microsoft.com/office/drawing/2014/main" id="{365F3DC2-A70E-4317-A90D-B1DE45B0C5CC}"/>
            </a:ext>
          </a:extLst>
        </xdr:cNvPr>
        <xdr:cNvSpPr>
          <a:spLocks noChangeShapeType="1"/>
        </xdr:cNvSpPr>
      </xdr:nvSpPr>
      <xdr:spPr bwMode="auto">
        <a:xfrm>
          <a:off x="1450657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59728" name="Line 44">
          <a:extLst>
            <a:ext uri="{FF2B5EF4-FFF2-40B4-BE49-F238E27FC236}">
              <a16:creationId xmlns:a16="http://schemas.microsoft.com/office/drawing/2014/main" id="{8989C568-97B9-4568-924B-65ECD855CFBE}"/>
            </a:ext>
          </a:extLst>
        </xdr:cNvPr>
        <xdr:cNvSpPr>
          <a:spLocks noChangeShapeType="1"/>
        </xdr:cNvSpPr>
      </xdr:nvSpPr>
      <xdr:spPr bwMode="auto">
        <a:xfrm>
          <a:off x="1408747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59729" name="Line 45">
          <a:extLst>
            <a:ext uri="{FF2B5EF4-FFF2-40B4-BE49-F238E27FC236}">
              <a16:creationId xmlns:a16="http://schemas.microsoft.com/office/drawing/2014/main" id="{FB381576-AF42-4D9B-AE33-FACB724BB2D7}"/>
            </a:ext>
          </a:extLst>
        </xdr:cNvPr>
        <xdr:cNvSpPr>
          <a:spLocks noChangeShapeType="1"/>
        </xdr:cNvSpPr>
      </xdr:nvSpPr>
      <xdr:spPr bwMode="auto">
        <a:xfrm>
          <a:off x="1450657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59730" name="Line 46">
          <a:extLst>
            <a:ext uri="{FF2B5EF4-FFF2-40B4-BE49-F238E27FC236}">
              <a16:creationId xmlns:a16="http://schemas.microsoft.com/office/drawing/2014/main" id="{A8FAF04F-BCB7-43F8-B4C2-6C09E526A90E}"/>
            </a:ext>
          </a:extLst>
        </xdr:cNvPr>
        <xdr:cNvSpPr>
          <a:spLocks noChangeShapeType="1"/>
        </xdr:cNvSpPr>
      </xdr:nvSpPr>
      <xdr:spPr bwMode="auto">
        <a:xfrm>
          <a:off x="1450657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59731" name="Line 47">
          <a:extLst>
            <a:ext uri="{FF2B5EF4-FFF2-40B4-BE49-F238E27FC236}">
              <a16:creationId xmlns:a16="http://schemas.microsoft.com/office/drawing/2014/main" id="{43844989-46F0-4F71-A45A-CECEBA5EC841}"/>
            </a:ext>
          </a:extLst>
        </xdr:cNvPr>
        <xdr:cNvSpPr>
          <a:spLocks noChangeShapeType="1"/>
        </xdr:cNvSpPr>
      </xdr:nvSpPr>
      <xdr:spPr bwMode="auto">
        <a:xfrm>
          <a:off x="1408747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59732" name="Line 48">
          <a:extLst>
            <a:ext uri="{FF2B5EF4-FFF2-40B4-BE49-F238E27FC236}">
              <a16:creationId xmlns:a16="http://schemas.microsoft.com/office/drawing/2014/main" id="{B85CEC67-EC71-4646-9054-06A51DF8B46F}"/>
            </a:ext>
          </a:extLst>
        </xdr:cNvPr>
        <xdr:cNvSpPr>
          <a:spLocks noChangeShapeType="1"/>
        </xdr:cNvSpPr>
      </xdr:nvSpPr>
      <xdr:spPr bwMode="auto">
        <a:xfrm>
          <a:off x="1450657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59733" name="Line 49">
          <a:extLst>
            <a:ext uri="{FF2B5EF4-FFF2-40B4-BE49-F238E27FC236}">
              <a16:creationId xmlns:a16="http://schemas.microsoft.com/office/drawing/2014/main" id="{BEF46CD7-4A9E-4184-9DE2-DE838E346383}"/>
            </a:ext>
          </a:extLst>
        </xdr:cNvPr>
        <xdr:cNvSpPr>
          <a:spLocks noChangeShapeType="1"/>
        </xdr:cNvSpPr>
      </xdr:nvSpPr>
      <xdr:spPr bwMode="auto">
        <a:xfrm>
          <a:off x="1408747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59734" name="Line 50">
          <a:extLst>
            <a:ext uri="{FF2B5EF4-FFF2-40B4-BE49-F238E27FC236}">
              <a16:creationId xmlns:a16="http://schemas.microsoft.com/office/drawing/2014/main" id="{FA80E5C9-989B-40AA-B809-53D40A266F56}"/>
            </a:ext>
          </a:extLst>
        </xdr:cNvPr>
        <xdr:cNvSpPr>
          <a:spLocks noChangeShapeType="1"/>
        </xdr:cNvSpPr>
      </xdr:nvSpPr>
      <xdr:spPr bwMode="auto">
        <a:xfrm flipV="1">
          <a:off x="1450657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59735" name="Line 51">
          <a:extLst>
            <a:ext uri="{FF2B5EF4-FFF2-40B4-BE49-F238E27FC236}">
              <a16:creationId xmlns:a16="http://schemas.microsoft.com/office/drawing/2014/main" id="{E51CD704-E70A-483E-8C14-28296024AE7A}"/>
            </a:ext>
          </a:extLst>
        </xdr:cNvPr>
        <xdr:cNvSpPr>
          <a:spLocks noChangeShapeType="1"/>
        </xdr:cNvSpPr>
      </xdr:nvSpPr>
      <xdr:spPr bwMode="auto">
        <a:xfrm flipV="1">
          <a:off x="1408747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59736" name="Line 52">
          <a:extLst>
            <a:ext uri="{FF2B5EF4-FFF2-40B4-BE49-F238E27FC236}">
              <a16:creationId xmlns:a16="http://schemas.microsoft.com/office/drawing/2014/main" id="{14A8E109-EBE9-40F8-9801-67A75EF9EDB5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59737" name="Line 53">
          <a:extLst>
            <a:ext uri="{FF2B5EF4-FFF2-40B4-BE49-F238E27FC236}">
              <a16:creationId xmlns:a16="http://schemas.microsoft.com/office/drawing/2014/main" id="{49ED7961-C429-4B9F-8B27-9D50536A033E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59738" name="Line 54">
          <a:extLst>
            <a:ext uri="{FF2B5EF4-FFF2-40B4-BE49-F238E27FC236}">
              <a16:creationId xmlns:a16="http://schemas.microsoft.com/office/drawing/2014/main" id="{A2D2C6A2-64C7-4DB8-A8EB-D4D4A2CC3407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59739" name="Line 55">
          <a:extLst>
            <a:ext uri="{FF2B5EF4-FFF2-40B4-BE49-F238E27FC236}">
              <a16:creationId xmlns:a16="http://schemas.microsoft.com/office/drawing/2014/main" id="{8CECDB68-34C8-425F-8087-C7C7F1F530C1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59740" name="Line 56">
          <a:extLst>
            <a:ext uri="{FF2B5EF4-FFF2-40B4-BE49-F238E27FC236}">
              <a16:creationId xmlns:a16="http://schemas.microsoft.com/office/drawing/2014/main" id="{E742E4B5-3ED0-4BD0-B1DA-733AE76F3F94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59741" name="Line 57">
          <a:extLst>
            <a:ext uri="{FF2B5EF4-FFF2-40B4-BE49-F238E27FC236}">
              <a16:creationId xmlns:a16="http://schemas.microsoft.com/office/drawing/2014/main" id="{A9445F43-B977-4022-9CF7-22B36CF6093D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59742" name="Line 58">
          <a:extLst>
            <a:ext uri="{FF2B5EF4-FFF2-40B4-BE49-F238E27FC236}">
              <a16:creationId xmlns:a16="http://schemas.microsoft.com/office/drawing/2014/main" id="{1237CAFD-8F52-4BBA-8647-6CA8A32E6380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59743" name="Line 59">
          <a:extLst>
            <a:ext uri="{FF2B5EF4-FFF2-40B4-BE49-F238E27FC236}">
              <a16:creationId xmlns:a16="http://schemas.microsoft.com/office/drawing/2014/main" id="{29EB802C-D4E2-4971-B15C-087F0A60A482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286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59744" name="Line 60">
          <a:extLst>
            <a:ext uri="{FF2B5EF4-FFF2-40B4-BE49-F238E27FC236}">
              <a16:creationId xmlns:a16="http://schemas.microsoft.com/office/drawing/2014/main" id="{304ECB54-DF27-4F99-B0C4-3C1AB83C55DE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59745" name="Line 61">
          <a:extLst>
            <a:ext uri="{FF2B5EF4-FFF2-40B4-BE49-F238E27FC236}">
              <a16:creationId xmlns:a16="http://schemas.microsoft.com/office/drawing/2014/main" id="{85BDEDA4-C9AB-46D7-81DF-B61A819A5993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59746" name="Line 62">
          <a:extLst>
            <a:ext uri="{FF2B5EF4-FFF2-40B4-BE49-F238E27FC236}">
              <a16:creationId xmlns:a16="http://schemas.microsoft.com/office/drawing/2014/main" id="{B42FD95E-E110-46AC-AD6D-C263ADECF921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59747" name="Line 63">
          <a:extLst>
            <a:ext uri="{FF2B5EF4-FFF2-40B4-BE49-F238E27FC236}">
              <a16:creationId xmlns:a16="http://schemas.microsoft.com/office/drawing/2014/main" id="{692346A4-021B-43A3-9271-6AC05A5C4A00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59748" name="Line 64">
          <a:extLst>
            <a:ext uri="{FF2B5EF4-FFF2-40B4-BE49-F238E27FC236}">
              <a16:creationId xmlns:a16="http://schemas.microsoft.com/office/drawing/2014/main" id="{0EFD4C34-5F9B-487F-9B36-5F113E7D1A98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59749" name="Line 65">
          <a:extLst>
            <a:ext uri="{FF2B5EF4-FFF2-40B4-BE49-F238E27FC236}">
              <a16:creationId xmlns:a16="http://schemas.microsoft.com/office/drawing/2014/main" id="{6C8E7A5E-6F99-40E4-8010-856FFDFAB682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59750" name="Line 66">
          <a:extLst>
            <a:ext uri="{FF2B5EF4-FFF2-40B4-BE49-F238E27FC236}">
              <a16:creationId xmlns:a16="http://schemas.microsoft.com/office/drawing/2014/main" id="{9E218422-4139-4565-9EC2-1043DEFA7800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59751" name="Line 67">
          <a:extLst>
            <a:ext uri="{FF2B5EF4-FFF2-40B4-BE49-F238E27FC236}">
              <a16:creationId xmlns:a16="http://schemas.microsoft.com/office/drawing/2014/main" id="{9C8EF0D5-01CF-4E95-875E-72133EF9F556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59752" name="Line 68">
          <a:extLst>
            <a:ext uri="{FF2B5EF4-FFF2-40B4-BE49-F238E27FC236}">
              <a16:creationId xmlns:a16="http://schemas.microsoft.com/office/drawing/2014/main" id="{7C43C764-3A5A-48A1-A9C4-D15F2DC27C1D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686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59753" name="Line 69">
          <a:extLst>
            <a:ext uri="{FF2B5EF4-FFF2-40B4-BE49-F238E27FC236}">
              <a16:creationId xmlns:a16="http://schemas.microsoft.com/office/drawing/2014/main" id="{205B08D1-72F8-4EC5-8DC6-41E1C374221C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59754" name="Line 70">
          <a:extLst>
            <a:ext uri="{FF2B5EF4-FFF2-40B4-BE49-F238E27FC236}">
              <a16:creationId xmlns:a16="http://schemas.microsoft.com/office/drawing/2014/main" id="{74C5BF74-62A7-41B0-8A70-3A8453EC300E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59755" name="Line 71">
          <a:extLst>
            <a:ext uri="{FF2B5EF4-FFF2-40B4-BE49-F238E27FC236}">
              <a16:creationId xmlns:a16="http://schemas.microsoft.com/office/drawing/2014/main" id="{0E553082-3532-4C8D-8F68-8178ABA030D6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59756" name="Line 72">
          <a:extLst>
            <a:ext uri="{FF2B5EF4-FFF2-40B4-BE49-F238E27FC236}">
              <a16:creationId xmlns:a16="http://schemas.microsoft.com/office/drawing/2014/main" id="{24B99AB2-B136-4023-83AB-7AA5A96D0AF0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59757" name="Line 73">
          <a:extLst>
            <a:ext uri="{FF2B5EF4-FFF2-40B4-BE49-F238E27FC236}">
              <a16:creationId xmlns:a16="http://schemas.microsoft.com/office/drawing/2014/main" id="{944C45F4-1BB2-47BA-9EEA-8583DFCC6C28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59758" name="Line 74">
          <a:extLst>
            <a:ext uri="{FF2B5EF4-FFF2-40B4-BE49-F238E27FC236}">
              <a16:creationId xmlns:a16="http://schemas.microsoft.com/office/drawing/2014/main" id="{56479358-688A-41F8-A982-307D518B6D2B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59759" name="Line 75">
          <a:extLst>
            <a:ext uri="{FF2B5EF4-FFF2-40B4-BE49-F238E27FC236}">
              <a16:creationId xmlns:a16="http://schemas.microsoft.com/office/drawing/2014/main" id="{DE68C828-79D4-41D1-8D28-BD3D8FAED591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59760" name="Line 76">
          <a:extLst>
            <a:ext uri="{FF2B5EF4-FFF2-40B4-BE49-F238E27FC236}">
              <a16:creationId xmlns:a16="http://schemas.microsoft.com/office/drawing/2014/main" id="{8B607E16-7065-4E9C-9E90-0D03A3C3E5BA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59761" name="Line 77">
          <a:extLst>
            <a:ext uri="{FF2B5EF4-FFF2-40B4-BE49-F238E27FC236}">
              <a16:creationId xmlns:a16="http://schemas.microsoft.com/office/drawing/2014/main" id="{43FBA767-17AA-4F09-ADC2-2788FA286770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59762" name="Line 78">
          <a:extLst>
            <a:ext uri="{FF2B5EF4-FFF2-40B4-BE49-F238E27FC236}">
              <a16:creationId xmlns:a16="http://schemas.microsoft.com/office/drawing/2014/main" id="{E2A2B8F4-A93D-4977-A8A7-109E184D8C24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59763" name="Line 79">
          <a:extLst>
            <a:ext uri="{FF2B5EF4-FFF2-40B4-BE49-F238E27FC236}">
              <a16:creationId xmlns:a16="http://schemas.microsoft.com/office/drawing/2014/main" id="{D4FC2061-1854-40B9-AE60-271CA093E2A7}"/>
            </a:ext>
          </a:extLst>
        </xdr:cNvPr>
        <xdr:cNvSpPr>
          <a:spLocks noChangeShapeType="1"/>
        </xdr:cNvSpPr>
      </xdr:nvSpPr>
      <xdr:spPr bwMode="auto">
        <a:xfrm>
          <a:off x="1055370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59764" name="Line 80">
          <a:extLst>
            <a:ext uri="{FF2B5EF4-FFF2-40B4-BE49-F238E27FC236}">
              <a16:creationId xmlns:a16="http://schemas.microsoft.com/office/drawing/2014/main" id="{869F93AA-9691-48D4-8EC3-83E0D505C770}"/>
            </a:ext>
          </a:extLst>
        </xdr:cNvPr>
        <xdr:cNvSpPr>
          <a:spLocks noChangeShapeType="1"/>
        </xdr:cNvSpPr>
      </xdr:nvSpPr>
      <xdr:spPr bwMode="auto">
        <a:xfrm>
          <a:off x="10553700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59765" name="Line 81">
          <a:extLst>
            <a:ext uri="{FF2B5EF4-FFF2-40B4-BE49-F238E27FC236}">
              <a16:creationId xmlns:a16="http://schemas.microsoft.com/office/drawing/2014/main" id="{5772F09D-C756-4902-8743-44AEEE0D7B02}"/>
            </a:ext>
          </a:extLst>
        </xdr:cNvPr>
        <xdr:cNvSpPr>
          <a:spLocks noChangeShapeType="1"/>
        </xdr:cNvSpPr>
      </xdr:nvSpPr>
      <xdr:spPr bwMode="auto">
        <a:xfrm>
          <a:off x="9791700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59766" name="Line 82">
          <a:extLst>
            <a:ext uri="{FF2B5EF4-FFF2-40B4-BE49-F238E27FC236}">
              <a16:creationId xmlns:a16="http://schemas.microsoft.com/office/drawing/2014/main" id="{ADAE97A4-C1F3-4286-9003-F2AF1F66ABFC}"/>
            </a:ext>
          </a:extLst>
        </xdr:cNvPr>
        <xdr:cNvSpPr>
          <a:spLocks noChangeShapeType="1"/>
        </xdr:cNvSpPr>
      </xdr:nvSpPr>
      <xdr:spPr bwMode="auto">
        <a:xfrm>
          <a:off x="9791700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59767" name="Line 83">
          <a:extLst>
            <a:ext uri="{FF2B5EF4-FFF2-40B4-BE49-F238E27FC236}">
              <a16:creationId xmlns:a16="http://schemas.microsoft.com/office/drawing/2014/main" id="{9FD4B686-1F3A-424F-892C-5B7AF2C3DFF8}"/>
            </a:ext>
          </a:extLst>
        </xdr:cNvPr>
        <xdr:cNvSpPr>
          <a:spLocks noChangeShapeType="1"/>
        </xdr:cNvSpPr>
      </xdr:nvSpPr>
      <xdr:spPr bwMode="auto">
        <a:xfrm>
          <a:off x="1450657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59768" name="Line 84">
          <a:extLst>
            <a:ext uri="{FF2B5EF4-FFF2-40B4-BE49-F238E27FC236}">
              <a16:creationId xmlns:a16="http://schemas.microsoft.com/office/drawing/2014/main" id="{5B6B23EE-868D-4E76-86A1-47481274CDDA}"/>
            </a:ext>
          </a:extLst>
        </xdr:cNvPr>
        <xdr:cNvSpPr>
          <a:spLocks noChangeShapeType="1"/>
        </xdr:cNvSpPr>
      </xdr:nvSpPr>
      <xdr:spPr bwMode="auto">
        <a:xfrm>
          <a:off x="145065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59769" name="Line 85">
          <a:extLst>
            <a:ext uri="{FF2B5EF4-FFF2-40B4-BE49-F238E27FC236}">
              <a16:creationId xmlns:a16="http://schemas.microsoft.com/office/drawing/2014/main" id="{FDD11FC5-D2EA-4083-A57B-A3E64DA19B69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59770" name="Line 86">
          <a:extLst>
            <a:ext uri="{FF2B5EF4-FFF2-40B4-BE49-F238E27FC236}">
              <a16:creationId xmlns:a16="http://schemas.microsoft.com/office/drawing/2014/main" id="{CFD0F123-9AD6-4BED-B70A-C975EA24D46B}"/>
            </a:ext>
          </a:extLst>
        </xdr:cNvPr>
        <xdr:cNvSpPr>
          <a:spLocks noChangeShapeType="1"/>
        </xdr:cNvSpPr>
      </xdr:nvSpPr>
      <xdr:spPr bwMode="auto">
        <a:xfrm>
          <a:off x="9791700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59771" name="Line 87">
          <a:extLst>
            <a:ext uri="{FF2B5EF4-FFF2-40B4-BE49-F238E27FC236}">
              <a16:creationId xmlns:a16="http://schemas.microsoft.com/office/drawing/2014/main" id="{F7625732-0ADD-422E-AA43-4485C5B572FB}"/>
            </a:ext>
          </a:extLst>
        </xdr:cNvPr>
        <xdr:cNvSpPr>
          <a:spLocks noChangeShapeType="1"/>
        </xdr:cNvSpPr>
      </xdr:nvSpPr>
      <xdr:spPr bwMode="auto">
        <a:xfrm flipV="1">
          <a:off x="9906000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59772" name="Line 88">
          <a:extLst>
            <a:ext uri="{FF2B5EF4-FFF2-40B4-BE49-F238E27FC236}">
              <a16:creationId xmlns:a16="http://schemas.microsoft.com/office/drawing/2014/main" id="{5B00BD4A-6006-4253-8311-BC47C39F723E}"/>
            </a:ext>
          </a:extLst>
        </xdr:cNvPr>
        <xdr:cNvSpPr>
          <a:spLocks noChangeShapeType="1"/>
        </xdr:cNvSpPr>
      </xdr:nvSpPr>
      <xdr:spPr bwMode="auto">
        <a:xfrm>
          <a:off x="9791700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59773" name="Line 89">
          <a:extLst>
            <a:ext uri="{FF2B5EF4-FFF2-40B4-BE49-F238E27FC236}">
              <a16:creationId xmlns:a16="http://schemas.microsoft.com/office/drawing/2014/main" id="{A1684927-7551-41E9-86AA-F3A5B1267F73}"/>
            </a:ext>
          </a:extLst>
        </xdr:cNvPr>
        <xdr:cNvSpPr>
          <a:spLocks noChangeShapeType="1"/>
        </xdr:cNvSpPr>
      </xdr:nvSpPr>
      <xdr:spPr bwMode="auto">
        <a:xfrm>
          <a:off x="9791700" y="11287125"/>
          <a:ext cx="30194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59774" name="Line 90">
          <a:extLst>
            <a:ext uri="{FF2B5EF4-FFF2-40B4-BE49-F238E27FC236}">
              <a16:creationId xmlns:a16="http://schemas.microsoft.com/office/drawing/2014/main" id="{57ACF827-7127-443B-9C7C-CB3160128A83}"/>
            </a:ext>
          </a:extLst>
        </xdr:cNvPr>
        <xdr:cNvSpPr>
          <a:spLocks noChangeShapeType="1"/>
        </xdr:cNvSpPr>
      </xdr:nvSpPr>
      <xdr:spPr bwMode="auto">
        <a:xfrm>
          <a:off x="9906000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59775" name="Line 91">
          <a:extLst>
            <a:ext uri="{FF2B5EF4-FFF2-40B4-BE49-F238E27FC236}">
              <a16:creationId xmlns:a16="http://schemas.microsoft.com/office/drawing/2014/main" id="{F0517DB5-0872-4EDF-BA63-B21991039A60}"/>
            </a:ext>
          </a:extLst>
        </xdr:cNvPr>
        <xdr:cNvSpPr>
          <a:spLocks noChangeShapeType="1"/>
        </xdr:cNvSpPr>
      </xdr:nvSpPr>
      <xdr:spPr bwMode="auto">
        <a:xfrm flipV="1">
          <a:off x="9906000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59776" name="Line 92">
          <a:extLst>
            <a:ext uri="{FF2B5EF4-FFF2-40B4-BE49-F238E27FC236}">
              <a16:creationId xmlns:a16="http://schemas.microsoft.com/office/drawing/2014/main" id="{356EA499-3CAC-464E-ABFE-6E6626B343D8}"/>
            </a:ext>
          </a:extLst>
        </xdr:cNvPr>
        <xdr:cNvSpPr>
          <a:spLocks noChangeShapeType="1"/>
        </xdr:cNvSpPr>
      </xdr:nvSpPr>
      <xdr:spPr bwMode="auto">
        <a:xfrm flipV="1">
          <a:off x="9791700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59777" name="Line 93">
          <a:extLst>
            <a:ext uri="{FF2B5EF4-FFF2-40B4-BE49-F238E27FC236}">
              <a16:creationId xmlns:a16="http://schemas.microsoft.com/office/drawing/2014/main" id="{2C577964-9413-4DE5-A248-A273D63B7186}"/>
            </a:ext>
          </a:extLst>
        </xdr:cNvPr>
        <xdr:cNvSpPr>
          <a:spLocks noChangeShapeType="1"/>
        </xdr:cNvSpPr>
      </xdr:nvSpPr>
      <xdr:spPr bwMode="auto">
        <a:xfrm>
          <a:off x="9906000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59778" name="Line 94">
          <a:extLst>
            <a:ext uri="{FF2B5EF4-FFF2-40B4-BE49-F238E27FC236}">
              <a16:creationId xmlns:a16="http://schemas.microsoft.com/office/drawing/2014/main" id="{A297A707-6446-4F95-B7F1-C2CD0C52E8D2}"/>
            </a:ext>
          </a:extLst>
        </xdr:cNvPr>
        <xdr:cNvSpPr>
          <a:spLocks noChangeShapeType="1"/>
        </xdr:cNvSpPr>
      </xdr:nvSpPr>
      <xdr:spPr bwMode="auto">
        <a:xfrm>
          <a:off x="1194435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59779" name="Line 95">
          <a:extLst>
            <a:ext uri="{FF2B5EF4-FFF2-40B4-BE49-F238E27FC236}">
              <a16:creationId xmlns:a16="http://schemas.microsoft.com/office/drawing/2014/main" id="{20E16BDB-EC52-43A2-AF57-CFA349D287B7}"/>
            </a:ext>
          </a:extLst>
        </xdr:cNvPr>
        <xdr:cNvSpPr>
          <a:spLocks noChangeShapeType="1"/>
        </xdr:cNvSpPr>
      </xdr:nvSpPr>
      <xdr:spPr bwMode="auto">
        <a:xfrm>
          <a:off x="1194435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59780" name="Line 96">
          <a:extLst>
            <a:ext uri="{FF2B5EF4-FFF2-40B4-BE49-F238E27FC236}">
              <a16:creationId xmlns:a16="http://schemas.microsoft.com/office/drawing/2014/main" id="{6F19F302-5F62-47D8-9FD4-7C3B1E51601C}"/>
            </a:ext>
          </a:extLst>
        </xdr:cNvPr>
        <xdr:cNvSpPr>
          <a:spLocks noChangeShapeType="1"/>
        </xdr:cNvSpPr>
      </xdr:nvSpPr>
      <xdr:spPr bwMode="auto">
        <a:xfrm>
          <a:off x="9791700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59781" name="Line 97">
          <a:extLst>
            <a:ext uri="{FF2B5EF4-FFF2-40B4-BE49-F238E27FC236}">
              <a16:creationId xmlns:a16="http://schemas.microsoft.com/office/drawing/2014/main" id="{9BF372EE-2CE3-4496-8CC2-AFB90F605152}"/>
            </a:ext>
          </a:extLst>
        </xdr:cNvPr>
        <xdr:cNvSpPr>
          <a:spLocks noChangeShapeType="1"/>
        </xdr:cNvSpPr>
      </xdr:nvSpPr>
      <xdr:spPr bwMode="auto">
        <a:xfrm>
          <a:off x="1194435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59782" name="Line 98">
          <a:extLst>
            <a:ext uri="{FF2B5EF4-FFF2-40B4-BE49-F238E27FC236}">
              <a16:creationId xmlns:a16="http://schemas.microsoft.com/office/drawing/2014/main" id="{49E2F71C-045F-410D-BC69-3883ECA28F78}"/>
            </a:ext>
          </a:extLst>
        </xdr:cNvPr>
        <xdr:cNvSpPr>
          <a:spLocks noChangeShapeType="1"/>
        </xdr:cNvSpPr>
      </xdr:nvSpPr>
      <xdr:spPr bwMode="auto">
        <a:xfrm flipV="1">
          <a:off x="9791700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59783" name="Line 99">
          <a:extLst>
            <a:ext uri="{FF2B5EF4-FFF2-40B4-BE49-F238E27FC236}">
              <a16:creationId xmlns:a16="http://schemas.microsoft.com/office/drawing/2014/main" id="{06825E20-63FE-4497-BCF1-A1231B8DE257}"/>
            </a:ext>
          </a:extLst>
        </xdr:cNvPr>
        <xdr:cNvSpPr>
          <a:spLocks noChangeShapeType="1"/>
        </xdr:cNvSpPr>
      </xdr:nvSpPr>
      <xdr:spPr bwMode="auto">
        <a:xfrm>
          <a:off x="1055370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59784" name="Line 100">
          <a:extLst>
            <a:ext uri="{FF2B5EF4-FFF2-40B4-BE49-F238E27FC236}">
              <a16:creationId xmlns:a16="http://schemas.microsoft.com/office/drawing/2014/main" id="{99D7342F-F0F4-4282-A479-EF2699644375}"/>
            </a:ext>
          </a:extLst>
        </xdr:cNvPr>
        <xdr:cNvSpPr>
          <a:spLocks noChangeShapeType="1"/>
        </xdr:cNvSpPr>
      </xdr:nvSpPr>
      <xdr:spPr bwMode="auto">
        <a:xfrm>
          <a:off x="145065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59785" name="Line 101">
          <a:extLst>
            <a:ext uri="{FF2B5EF4-FFF2-40B4-BE49-F238E27FC236}">
              <a16:creationId xmlns:a16="http://schemas.microsoft.com/office/drawing/2014/main" id="{19EF3FE9-1F08-4036-A084-B13833016718}"/>
            </a:ext>
          </a:extLst>
        </xdr:cNvPr>
        <xdr:cNvSpPr>
          <a:spLocks noChangeShapeType="1"/>
        </xdr:cNvSpPr>
      </xdr:nvSpPr>
      <xdr:spPr bwMode="auto">
        <a:xfrm>
          <a:off x="14087475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59786" name="Line 102">
          <a:extLst>
            <a:ext uri="{FF2B5EF4-FFF2-40B4-BE49-F238E27FC236}">
              <a16:creationId xmlns:a16="http://schemas.microsoft.com/office/drawing/2014/main" id="{A67DCD2F-A956-49D3-85F3-276E9A4AF271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59787" name="Line 103">
          <a:extLst>
            <a:ext uri="{FF2B5EF4-FFF2-40B4-BE49-F238E27FC236}">
              <a16:creationId xmlns:a16="http://schemas.microsoft.com/office/drawing/2014/main" id="{1A115E11-15F7-4C45-A377-DA9075AB3583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59788" name="Line 104">
          <a:extLst>
            <a:ext uri="{FF2B5EF4-FFF2-40B4-BE49-F238E27FC236}">
              <a16:creationId xmlns:a16="http://schemas.microsoft.com/office/drawing/2014/main" id="{39B7D150-5586-43B6-9F11-FB97A99A2807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59789" name="Line 105">
          <a:extLst>
            <a:ext uri="{FF2B5EF4-FFF2-40B4-BE49-F238E27FC236}">
              <a16:creationId xmlns:a16="http://schemas.microsoft.com/office/drawing/2014/main" id="{BF062258-AA53-4318-8C57-CA9CD83B9B1C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59790" name="Line 106">
          <a:extLst>
            <a:ext uri="{FF2B5EF4-FFF2-40B4-BE49-F238E27FC236}">
              <a16:creationId xmlns:a16="http://schemas.microsoft.com/office/drawing/2014/main" id="{C91AF931-B99D-4107-BE0D-7CD90A371201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59791" name="Line 107">
          <a:extLst>
            <a:ext uri="{FF2B5EF4-FFF2-40B4-BE49-F238E27FC236}">
              <a16:creationId xmlns:a16="http://schemas.microsoft.com/office/drawing/2014/main" id="{C2C1E242-5CDA-4150-B937-F01ACECC1B5D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59792" name="Line 108">
          <a:extLst>
            <a:ext uri="{FF2B5EF4-FFF2-40B4-BE49-F238E27FC236}">
              <a16:creationId xmlns:a16="http://schemas.microsoft.com/office/drawing/2014/main" id="{E8DF7003-578B-4CBA-A167-FB8B6E411BB0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59793" name="Line 109">
          <a:extLst>
            <a:ext uri="{FF2B5EF4-FFF2-40B4-BE49-F238E27FC236}">
              <a16:creationId xmlns:a16="http://schemas.microsoft.com/office/drawing/2014/main" id="{49BACA52-3ADC-47DB-ACD2-C465AC5305DB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59794" name="Line 110">
          <a:extLst>
            <a:ext uri="{FF2B5EF4-FFF2-40B4-BE49-F238E27FC236}">
              <a16:creationId xmlns:a16="http://schemas.microsoft.com/office/drawing/2014/main" id="{092E60ED-8E8A-405C-A9A1-03BB4EA5D34B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59795" name="Line 111">
          <a:extLst>
            <a:ext uri="{FF2B5EF4-FFF2-40B4-BE49-F238E27FC236}">
              <a16:creationId xmlns:a16="http://schemas.microsoft.com/office/drawing/2014/main" id="{2FC69D13-E9A6-437B-B9A8-9958D628F0F3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59796" name="Line 112">
          <a:extLst>
            <a:ext uri="{FF2B5EF4-FFF2-40B4-BE49-F238E27FC236}">
              <a16:creationId xmlns:a16="http://schemas.microsoft.com/office/drawing/2014/main" id="{11527851-AFC8-4C3F-8985-C1461F2CFCBF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59797" name="Line 113">
          <a:extLst>
            <a:ext uri="{FF2B5EF4-FFF2-40B4-BE49-F238E27FC236}">
              <a16:creationId xmlns:a16="http://schemas.microsoft.com/office/drawing/2014/main" id="{02FF834E-82F7-4E86-B579-D0098BFE5CA6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714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59798" name="Line 114">
          <a:extLst>
            <a:ext uri="{FF2B5EF4-FFF2-40B4-BE49-F238E27FC236}">
              <a16:creationId xmlns:a16="http://schemas.microsoft.com/office/drawing/2014/main" id="{63B8DBD1-CAA3-4243-91A8-0FB444F57454}"/>
            </a:ext>
          </a:extLst>
        </xdr:cNvPr>
        <xdr:cNvSpPr>
          <a:spLocks noChangeShapeType="1"/>
        </xdr:cNvSpPr>
      </xdr:nvSpPr>
      <xdr:spPr bwMode="auto">
        <a:xfrm flipV="1">
          <a:off x="9791700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0709" name="Line 1">
          <a:extLst>
            <a:ext uri="{FF2B5EF4-FFF2-40B4-BE49-F238E27FC236}">
              <a16:creationId xmlns:a16="http://schemas.microsoft.com/office/drawing/2014/main" id="{334BB2D7-951C-43B6-9C12-24623CBFFFE3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0710" name="Line 2">
          <a:extLst>
            <a:ext uri="{FF2B5EF4-FFF2-40B4-BE49-F238E27FC236}">
              <a16:creationId xmlns:a16="http://schemas.microsoft.com/office/drawing/2014/main" id="{23C4E0BB-8B3C-4631-94E8-4BCC3BC4AD93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0711" name="Line 3">
          <a:extLst>
            <a:ext uri="{FF2B5EF4-FFF2-40B4-BE49-F238E27FC236}">
              <a16:creationId xmlns:a16="http://schemas.microsoft.com/office/drawing/2014/main" id="{739ABA6A-BF66-4556-BCE2-85675E0FAA0A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0712" name="Line 4">
          <a:extLst>
            <a:ext uri="{FF2B5EF4-FFF2-40B4-BE49-F238E27FC236}">
              <a16:creationId xmlns:a16="http://schemas.microsoft.com/office/drawing/2014/main" id="{C9DDBD4F-64D8-45A0-A474-8E0E0E4C2C35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0713" name="Line 5">
          <a:extLst>
            <a:ext uri="{FF2B5EF4-FFF2-40B4-BE49-F238E27FC236}">
              <a16:creationId xmlns:a16="http://schemas.microsoft.com/office/drawing/2014/main" id="{796B08F8-A9A0-408F-A83A-42BFB1BA62D3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0714" name="Line 6">
          <a:extLst>
            <a:ext uri="{FF2B5EF4-FFF2-40B4-BE49-F238E27FC236}">
              <a16:creationId xmlns:a16="http://schemas.microsoft.com/office/drawing/2014/main" id="{EF168C21-DECF-48B1-963F-B975DAEC9CCF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0715" name="Line 7">
          <a:extLst>
            <a:ext uri="{FF2B5EF4-FFF2-40B4-BE49-F238E27FC236}">
              <a16:creationId xmlns:a16="http://schemas.microsoft.com/office/drawing/2014/main" id="{EBC1711E-E629-41AF-A0BC-046C75C1F3E2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384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0716" name="Line 8">
          <a:extLst>
            <a:ext uri="{FF2B5EF4-FFF2-40B4-BE49-F238E27FC236}">
              <a16:creationId xmlns:a16="http://schemas.microsoft.com/office/drawing/2014/main" id="{9F709A33-CA42-453C-8D80-9D2643D7DCBF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0717" name="Line 9">
          <a:extLst>
            <a:ext uri="{FF2B5EF4-FFF2-40B4-BE49-F238E27FC236}">
              <a16:creationId xmlns:a16="http://schemas.microsoft.com/office/drawing/2014/main" id="{97E4B07C-E0CA-452E-AC74-4A4F98AC773A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0718" name="Line 10">
          <a:extLst>
            <a:ext uri="{FF2B5EF4-FFF2-40B4-BE49-F238E27FC236}">
              <a16:creationId xmlns:a16="http://schemas.microsoft.com/office/drawing/2014/main" id="{5EB7A316-1EAC-46FD-A62A-5C6366CC3664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0719" name="Line 11">
          <a:extLst>
            <a:ext uri="{FF2B5EF4-FFF2-40B4-BE49-F238E27FC236}">
              <a16:creationId xmlns:a16="http://schemas.microsoft.com/office/drawing/2014/main" id="{7CAFA993-3061-4A86-A246-FE72E882E4A1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0720" name="Line 12">
          <a:extLst>
            <a:ext uri="{FF2B5EF4-FFF2-40B4-BE49-F238E27FC236}">
              <a16:creationId xmlns:a16="http://schemas.microsoft.com/office/drawing/2014/main" id="{6707C156-D01B-4C64-BB46-511684E55988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0721" name="Line 13">
          <a:extLst>
            <a:ext uri="{FF2B5EF4-FFF2-40B4-BE49-F238E27FC236}">
              <a16:creationId xmlns:a16="http://schemas.microsoft.com/office/drawing/2014/main" id="{6FECCBE6-F178-402B-B289-446BEEDF5DC1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85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0722" name="Line 14">
          <a:extLst>
            <a:ext uri="{FF2B5EF4-FFF2-40B4-BE49-F238E27FC236}">
              <a16:creationId xmlns:a16="http://schemas.microsoft.com/office/drawing/2014/main" id="{A152B625-E2D0-4946-B135-FC367B65C4D7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0723" name="Line 15">
          <a:extLst>
            <a:ext uri="{FF2B5EF4-FFF2-40B4-BE49-F238E27FC236}">
              <a16:creationId xmlns:a16="http://schemas.microsoft.com/office/drawing/2014/main" id="{1492DB72-F1C6-491D-8B31-BC1E018A4FFF}"/>
            </a:ext>
          </a:extLst>
        </xdr:cNvPr>
        <xdr:cNvSpPr>
          <a:spLocks noChangeShapeType="1"/>
        </xdr:cNvSpPr>
      </xdr:nvSpPr>
      <xdr:spPr bwMode="auto">
        <a:xfrm>
          <a:off x="104870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0724" name="Line 16">
          <a:extLst>
            <a:ext uri="{FF2B5EF4-FFF2-40B4-BE49-F238E27FC236}">
              <a16:creationId xmlns:a16="http://schemas.microsoft.com/office/drawing/2014/main" id="{26086726-5DD1-4A0D-BF35-CBD718621404}"/>
            </a:ext>
          </a:extLst>
        </xdr:cNvPr>
        <xdr:cNvSpPr>
          <a:spLocks noChangeShapeType="1"/>
        </xdr:cNvSpPr>
      </xdr:nvSpPr>
      <xdr:spPr bwMode="auto">
        <a:xfrm>
          <a:off x="104870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0725" name="Line 17">
          <a:extLst>
            <a:ext uri="{FF2B5EF4-FFF2-40B4-BE49-F238E27FC236}">
              <a16:creationId xmlns:a16="http://schemas.microsoft.com/office/drawing/2014/main" id="{95BE9ADB-B2CA-4353-BD68-23D4E9338572}"/>
            </a:ext>
          </a:extLst>
        </xdr:cNvPr>
        <xdr:cNvSpPr>
          <a:spLocks noChangeShapeType="1"/>
        </xdr:cNvSpPr>
      </xdr:nvSpPr>
      <xdr:spPr bwMode="auto">
        <a:xfrm>
          <a:off x="97250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0726" name="Line 18">
          <a:extLst>
            <a:ext uri="{FF2B5EF4-FFF2-40B4-BE49-F238E27FC236}">
              <a16:creationId xmlns:a16="http://schemas.microsoft.com/office/drawing/2014/main" id="{EF201A67-9871-4E34-81A3-980CB961F0A1}"/>
            </a:ext>
          </a:extLst>
        </xdr:cNvPr>
        <xdr:cNvSpPr>
          <a:spLocks noChangeShapeType="1"/>
        </xdr:cNvSpPr>
      </xdr:nvSpPr>
      <xdr:spPr bwMode="auto">
        <a:xfrm>
          <a:off x="104870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0727" name="Line 19">
          <a:extLst>
            <a:ext uri="{FF2B5EF4-FFF2-40B4-BE49-F238E27FC236}">
              <a16:creationId xmlns:a16="http://schemas.microsoft.com/office/drawing/2014/main" id="{2D19200E-8603-4FA8-AA57-279AC7B103AC}"/>
            </a:ext>
          </a:extLst>
        </xdr:cNvPr>
        <xdr:cNvSpPr>
          <a:spLocks noChangeShapeType="1"/>
        </xdr:cNvSpPr>
      </xdr:nvSpPr>
      <xdr:spPr bwMode="auto">
        <a:xfrm>
          <a:off x="104870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0728" name="Line 20">
          <a:extLst>
            <a:ext uri="{FF2B5EF4-FFF2-40B4-BE49-F238E27FC236}">
              <a16:creationId xmlns:a16="http://schemas.microsoft.com/office/drawing/2014/main" id="{AC8FA071-C0B1-442B-869E-F76F16AA0F3B}"/>
            </a:ext>
          </a:extLst>
        </xdr:cNvPr>
        <xdr:cNvSpPr>
          <a:spLocks noChangeShapeType="1"/>
        </xdr:cNvSpPr>
      </xdr:nvSpPr>
      <xdr:spPr bwMode="auto">
        <a:xfrm>
          <a:off x="97250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0729" name="Line 21">
          <a:extLst>
            <a:ext uri="{FF2B5EF4-FFF2-40B4-BE49-F238E27FC236}">
              <a16:creationId xmlns:a16="http://schemas.microsoft.com/office/drawing/2014/main" id="{1EA630A7-77F9-4174-AF24-F87478077FBC}"/>
            </a:ext>
          </a:extLst>
        </xdr:cNvPr>
        <xdr:cNvSpPr>
          <a:spLocks noChangeShapeType="1"/>
        </xdr:cNvSpPr>
      </xdr:nvSpPr>
      <xdr:spPr bwMode="auto">
        <a:xfrm>
          <a:off x="104870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0730" name="Line 22">
          <a:extLst>
            <a:ext uri="{FF2B5EF4-FFF2-40B4-BE49-F238E27FC236}">
              <a16:creationId xmlns:a16="http://schemas.microsoft.com/office/drawing/2014/main" id="{4A17084A-0FC4-4503-9317-B7CC8508129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0731" name="Line 23">
          <a:extLst>
            <a:ext uri="{FF2B5EF4-FFF2-40B4-BE49-F238E27FC236}">
              <a16:creationId xmlns:a16="http://schemas.microsoft.com/office/drawing/2014/main" id="{6C6FE3C1-5639-46A2-8D2C-E85BA5F81ED3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0732" name="Line 24">
          <a:extLst>
            <a:ext uri="{FF2B5EF4-FFF2-40B4-BE49-F238E27FC236}">
              <a16:creationId xmlns:a16="http://schemas.microsoft.com/office/drawing/2014/main" id="{75C9F593-CF66-4E52-9FA3-C6B23ED04169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0733" name="Line 25">
          <a:extLst>
            <a:ext uri="{FF2B5EF4-FFF2-40B4-BE49-F238E27FC236}">
              <a16:creationId xmlns:a16="http://schemas.microsoft.com/office/drawing/2014/main" id="{CE711BA2-514D-43D2-8938-2E6E0CC1891F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0734" name="Line 26">
          <a:extLst>
            <a:ext uri="{FF2B5EF4-FFF2-40B4-BE49-F238E27FC236}">
              <a16:creationId xmlns:a16="http://schemas.microsoft.com/office/drawing/2014/main" id="{C2052C7B-B6A9-4928-832D-16B86869BD73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0735" name="Line 27">
          <a:extLst>
            <a:ext uri="{FF2B5EF4-FFF2-40B4-BE49-F238E27FC236}">
              <a16:creationId xmlns:a16="http://schemas.microsoft.com/office/drawing/2014/main" id="{FDB81FED-19B5-4DF0-8BD5-A7C376734B5F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0736" name="Line 28">
          <a:extLst>
            <a:ext uri="{FF2B5EF4-FFF2-40B4-BE49-F238E27FC236}">
              <a16:creationId xmlns:a16="http://schemas.microsoft.com/office/drawing/2014/main" id="{E230FF07-7ABE-4AB4-90DA-1CD96DAB2665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0737" name="Line 29">
          <a:extLst>
            <a:ext uri="{FF2B5EF4-FFF2-40B4-BE49-F238E27FC236}">
              <a16:creationId xmlns:a16="http://schemas.microsoft.com/office/drawing/2014/main" id="{09100B9C-D989-4B3C-AE5C-3641CAF84B64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0738" name="Line 30">
          <a:extLst>
            <a:ext uri="{FF2B5EF4-FFF2-40B4-BE49-F238E27FC236}">
              <a16:creationId xmlns:a16="http://schemas.microsoft.com/office/drawing/2014/main" id="{059274AA-61A5-43CB-9769-636653C4D2E8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0739" name="Line 31">
          <a:extLst>
            <a:ext uri="{FF2B5EF4-FFF2-40B4-BE49-F238E27FC236}">
              <a16:creationId xmlns:a16="http://schemas.microsoft.com/office/drawing/2014/main" id="{10D0F21E-0B56-4744-BDFD-DE629600302E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21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0740" name="Line 32">
          <a:extLst>
            <a:ext uri="{FF2B5EF4-FFF2-40B4-BE49-F238E27FC236}">
              <a16:creationId xmlns:a16="http://schemas.microsoft.com/office/drawing/2014/main" id="{AA3A32D1-66FF-4266-9F5F-A032B78E2930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0741" name="Line 33">
          <a:extLst>
            <a:ext uri="{FF2B5EF4-FFF2-40B4-BE49-F238E27FC236}">
              <a16:creationId xmlns:a16="http://schemas.microsoft.com/office/drawing/2014/main" id="{9AB582B1-3E53-4B7C-9E8B-5BE2403FD43E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0742" name="Line 34">
          <a:extLst>
            <a:ext uri="{FF2B5EF4-FFF2-40B4-BE49-F238E27FC236}">
              <a16:creationId xmlns:a16="http://schemas.microsoft.com/office/drawing/2014/main" id="{691AF83E-5C24-40B1-9A35-73AAA83CC56D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85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0743" name="Line 35">
          <a:extLst>
            <a:ext uri="{FF2B5EF4-FFF2-40B4-BE49-F238E27FC236}">
              <a16:creationId xmlns:a16="http://schemas.microsoft.com/office/drawing/2014/main" id="{F7F39581-CFB2-4950-B1EF-7D95A980D722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0744" name="Line 36">
          <a:extLst>
            <a:ext uri="{FF2B5EF4-FFF2-40B4-BE49-F238E27FC236}">
              <a16:creationId xmlns:a16="http://schemas.microsoft.com/office/drawing/2014/main" id="{7F67F81A-E3E1-4156-AAC2-6F4EA1E5F9C2}"/>
            </a:ext>
          </a:extLst>
        </xdr:cNvPr>
        <xdr:cNvSpPr>
          <a:spLocks noChangeShapeType="1"/>
        </xdr:cNvSpPr>
      </xdr:nvSpPr>
      <xdr:spPr bwMode="auto">
        <a:xfrm flipV="1">
          <a:off x="104870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0745" name="Line 37">
          <a:extLst>
            <a:ext uri="{FF2B5EF4-FFF2-40B4-BE49-F238E27FC236}">
              <a16:creationId xmlns:a16="http://schemas.microsoft.com/office/drawing/2014/main" id="{7B7CA129-B8FD-4AB5-9725-4DDFECA66392}"/>
            </a:ext>
          </a:extLst>
        </xdr:cNvPr>
        <xdr:cNvSpPr>
          <a:spLocks noChangeShapeType="1"/>
        </xdr:cNvSpPr>
      </xdr:nvSpPr>
      <xdr:spPr bwMode="auto">
        <a:xfrm>
          <a:off x="97250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0746" name="Line 38">
          <a:extLst>
            <a:ext uri="{FF2B5EF4-FFF2-40B4-BE49-F238E27FC236}">
              <a16:creationId xmlns:a16="http://schemas.microsoft.com/office/drawing/2014/main" id="{762454C8-B400-4816-8D85-FB5C5B855C01}"/>
            </a:ext>
          </a:extLst>
        </xdr:cNvPr>
        <xdr:cNvSpPr>
          <a:spLocks noChangeShapeType="1"/>
        </xdr:cNvSpPr>
      </xdr:nvSpPr>
      <xdr:spPr bwMode="auto">
        <a:xfrm>
          <a:off x="11839575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0747" name="Line 39">
          <a:extLst>
            <a:ext uri="{FF2B5EF4-FFF2-40B4-BE49-F238E27FC236}">
              <a16:creationId xmlns:a16="http://schemas.microsoft.com/office/drawing/2014/main" id="{AE2E5D19-EBDD-414C-A445-0D07DDA5256A}"/>
            </a:ext>
          </a:extLst>
        </xdr:cNvPr>
        <xdr:cNvSpPr>
          <a:spLocks noChangeShapeType="1"/>
        </xdr:cNvSpPr>
      </xdr:nvSpPr>
      <xdr:spPr bwMode="auto">
        <a:xfrm>
          <a:off x="11839575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0748" name="Line 40">
          <a:extLst>
            <a:ext uri="{FF2B5EF4-FFF2-40B4-BE49-F238E27FC236}">
              <a16:creationId xmlns:a16="http://schemas.microsoft.com/office/drawing/2014/main" id="{C6C88734-373B-460C-A612-EB7D9D24AD7F}"/>
            </a:ext>
          </a:extLst>
        </xdr:cNvPr>
        <xdr:cNvSpPr>
          <a:spLocks noChangeShapeType="1"/>
        </xdr:cNvSpPr>
      </xdr:nvSpPr>
      <xdr:spPr bwMode="auto">
        <a:xfrm>
          <a:off x="11839575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0749" name="Line 41">
          <a:extLst>
            <a:ext uri="{FF2B5EF4-FFF2-40B4-BE49-F238E27FC236}">
              <a16:creationId xmlns:a16="http://schemas.microsoft.com/office/drawing/2014/main" id="{877B5988-9416-431B-B145-49F3FCBE1171}"/>
            </a:ext>
          </a:extLst>
        </xdr:cNvPr>
        <xdr:cNvSpPr>
          <a:spLocks noChangeShapeType="1"/>
        </xdr:cNvSpPr>
      </xdr:nvSpPr>
      <xdr:spPr bwMode="auto">
        <a:xfrm>
          <a:off x="1115377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0750" name="Line 42">
          <a:extLst>
            <a:ext uri="{FF2B5EF4-FFF2-40B4-BE49-F238E27FC236}">
              <a16:creationId xmlns:a16="http://schemas.microsoft.com/office/drawing/2014/main" id="{B855EE4B-C7EF-4CA8-872A-2EF044A465CB}"/>
            </a:ext>
          </a:extLst>
        </xdr:cNvPr>
        <xdr:cNvSpPr>
          <a:spLocks noChangeShapeType="1"/>
        </xdr:cNvSpPr>
      </xdr:nvSpPr>
      <xdr:spPr bwMode="auto">
        <a:xfrm>
          <a:off x="1440180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0751" name="Line 43">
          <a:extLst>
            <a:ext uri="{FF2B5EF4-FFF2-40B4-BE49-F238E27FC236}">
              <a16:creationId xmlns:a16="http://schemas.microsoft.com/office/drawing/2014/main" id="{220A8DDA-2DAD-44CF-AB06-DC15179F9C68}"/>
            </a:ext>
          </a:extLst>
        </xdr:cNvPr>
        <xdr:cNvSpPr>
          <a:spLocks noChangeShapeType="1"/>
        </xdr:cNvSpPr>
      </xdr:nvSpPr>
      <xdr:spPr bwMode="auto">
        <a:xfrm>
          <a:off x="1440180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0752" name="Line 44">
          <a:extLst>
            <a:ext uri="{FF2B5EF4-FFF2-40B4-BE49-F238E27FC236}">
              <a16:creationId xmlns:a16="http://schemas.microsoft.com/office/drawing/2014/main" id="{7A66C8D4-7B21-4E6D-8BE7-6D8DA6BD56AF}"/>
            </a:ext>
          </a:extLst>
        </xdr:cNvPr>
        <xdr:cNvSpPr>
          <a:spLocks noChangeShapeType="1"/>
        </xdr:cNvSpPr>
      </xdr:nvSpPr>
      <xdr:spPr bwMode="auto">
        <a:xfrm>
          <a:off x="1398270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0753" name="Line 45">
          <a:extLst>
            <a:ext uri="{FF2B5EF4-FFF2-40B4-BE49-F238E27FC236}">
              <a16:creationId xmlns:a16="http://schemas.microsoft.com/office/drawing/2014/main" id="{0D70519D-1F68-4939-96E0-0D92FB66DCF2}"/>
            </a:ext>
          </a:extLst>
        </xdr:cNvPr>
        <xdr:cNvSpPr>
          <a:spLocks noChangeShapeType="1"/>
        </xdr:cNvSpPr>
      </xdr:nvSpPr>
      <xdr:spPr bwMode="auto">
        <a:xfrm>
          <a:off x="1440180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0754" name="Line 46">
          <a:extLst>
            <a:ext uri="{FF2B5EF4-FFF2-40B4-BE49-F238E27FC236}">
              <a16:creationId xmlns:a16="http://schemas.microsoft.com/office/drawing/2014/main" id="{5089E2FD-77A5-457A-BAE5-5515EFA541CA}"/>
            </a:ext>
          </a:extLst>
        </xdr:cNvPr>
        <xdr:cNvSpPr>
          <a:spLocks noChangeShapeType="1"/>
        </xdr:cNvSpPr>
      </xdr:nvSpPr>
      <xdr:spPr bwMode="auto">
        <a:xfrm>
          <a:off x="1440180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0755" name="Line 47">
          <a:extLst>
            <a:ext uri="{FF2B5EF4-FFF2-40B4-BE49-F238E27FC236}">
              <a16:creationId xmlns:a16="http://schemas.microsoft.com/office/drawing/2014/main" id="{9972F3AD-C299-4F60-9A19-CCE50FCF7771}"/>
            </a:ext>
          </a:extLst>
        </xdr:cNvPr>
        <xdr:cNvSpPr>
          <a:spLocks noChangeShapeType="1"/>
        </xdr:cNvSpPr>
      </xdr:nvSpPr>
      <xdr:spPr bwMode="auto">
        <a:xfrm>
          <a:off x="1398270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0756" name="Line 48">
          <a:extLst>
            <a:ext uri="{FF2B5EF4-FFF2-40B4-BE49-F238E27FC236}">
              <a16:creationId xmlns:a16="http://schemas.microsoft.com/office/drawing/2014/main" id="{9CFDFAFE-22D3-4B27-8990-6618055415F5}"/>
            </a:ext>
          </a:extLst>
        </xdr:cNvPr>
        <xdr:cNvSpPr>
          <a:spLocks noChangeShapeType="1"/>
        </xdr:cNvSpPr>
      </xdr:nvSpPr>
      <xdr:spPr bwMode="auto">
        <a:xfrm>
          <a:off x="1440180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0757" name="Line 49">
          <a:extLst>
            <a:ext uri="{FF2B5EF4-FFF2-40B4-BE49-F238E27FC236}">
              <a16:creationId xmlns:a16="http://schemas.microsoft.com/office/drawing/2014/main" id="{66BB5AC4-F2A8-4EBC-BDE7-CF99B5E36114}"/>
            </a:ext>
          </a:extLst>
        </xdr:cNvPr>
        <xdr:cNvSpPr>
          <a:spLocks noChangeShapeType="1"/>
        </xdr:cNvSpPr>
      </xdr:nvSpPr>
      <xdr:spPr bwMode="auto">
        <a:xfrm>
          <a:off x="1398270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0758" name="Line 50">
          <a:extLst>
            <a:ext uri="{FF2B5EF4-FFF2-40B4-BE49-F238E27FC236}">
              <a16:creationId xmlns:a16="http://schemas.microsoft.com/office/drawing/2014/main" id="{415C5046-F847-4E49-AC12-12C1D95D15FD}"/>
            </a:ext>
          </a:extLst>
        </xdr:cNvPr>
        <xdr:cNvSpPr>
          <a:spLocks noChangeShapeType="1"/>
        </xdr:cNvSpPr>
      </xdr:nvSpPr>
      <xdr:spPr bwMode="auto">
        <a:xfrm flipV="1">
          <a:off x="1440180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0759" name="Line 51">
          <a:extLst>
            <a:ext uri="{FF2B5EF4-FFF2-40B4-BE49-F238E27FC236}">
              <a16:creationId xmlns:a16="http://schemas.microsoft.com/office/drawing/2014/main" id="{67780B70-14D2-4544-A40C-16E9A0B12733}"/>
            </a:ext>
          </a:extLst>
        </xdr:cNvPr>
        <xdr:cNvSpPr>
          <a:spLocks noChangeShapeType="1"/>
        </xdr:cNvSpPr>
      </xdr:nvSpPr>
      <xdr:spPr bwMode="auto">
        <a:xfrm flipV="1">
          <a:off x="1398270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0760" name="Line 52">
          <a:extLst>
            <a:ext uri="{FF2B5EF4-FFF2-40B4-BE49-F238E27FC236}">
              <a16:creationId xmlns:a16="http://schemas.microsoft.com/office/drawing/2014/main" id="{06A3D116-C297-4CD5-BC95-FE5B262FEFAE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0761" name="Line 53">
          <a:extLst>
            <a:ext uri="{FF2B5EF4-FFF2-40B4-BE49-F238E27FC236}">
              <a16:creationId xmlns:a16="http://schemas.microsoft.com/office/drawing/2014/main" id="{65B8CDB0-C498-4E15-A4E6-242E9C490B2D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0762" name="Line 54">
          <a:extLst>
            <a:ext uri="{FF2B5EF4-FFF2-40B4-BE49-F238E27FC236}">
              <a16:creationId xmlns:a16="http://schemas.microsoft.com/office/drawing/2014/main" id="{1329ABFC-22FE-4EA9-9249-002B0613DD3B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0763" name="Line 55">
          <a:extLst>
            <a:ext uri="{FF2B5EF4-FFF2-40B4-BE49-F238E27FC236}">
              <a16:creationId xmlns:a16="http://schemas.microsoft.com/office/drawing/2014/main" id="{2AD66BBE-D242-4960-8CA5-01EE0D39B932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0764" name="Line 56">
          <a:extLst>
            <a:ext uri="{FF2B5EF4-FFF2-40B4-BE49-F238E27FC236}">
              <a16:creationId xmlns:a16="http://schemas.microsoft.com/office/drawing/2014/main" id="{068B5D15-CC38-4D9E-9CB4-EF2DB1DADC8C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0765" name="Line 57">
          <a:extLst>
            <a:ext uri="{FF2B5EF4-FFF2-40B4-BE49-F238E27FC236}">
              <a16:creationId xmlns:a16="http://schemas.microsoft.com/office/drawing/2014/main" id="{604E46F9-B560-4C12-B7EF-D77423D2FD09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0766" name="Line 58">
          <a:extLst>
            <a:ext uri="{FF2B5EF4-FFF2-40B4-BE49-F238E27FC236}">
              <a16:creationId xmlns:a16="http://schemas.microsoft.com/office/drawing/2014/main" id="{204F8907-4851-4B17-A935-EC585B88E869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0767" name="Line 59">
          <a:extLst>
            <a:ext uri="{FF2B5EF4-FFF2-40B4-BE49-F238E27FC236}">
              <a16:creationId xmlns:a16="http://schemas.microsoft.com/office/drawing/2014/main" id="{FB93252E-C14D-49E6-A6DE-0474147B782B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21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0768" name="Line 60">
          <a:extLst>
            <a:ext uri="{FF2B5EF4-FFF2-40B4-BE49-F238E27FC236}">
              <a16:creationId xmlns:a16="http://schemas.microsoft.com/office/drawing/2014/main" id="{5DFF67B2-4CA2-41E6-B6E0-98A0037F52CD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0769" name="Line 61">
          <a:extLst>
            <a:ext uri="{FF2B5EF4-FFF2-40B4-BE49-F238E27FC236}">
              <a16:creationId xmlns:a16="http://schemas.microsoft.com/office/drawing/2014/main" id="{24710533-BFD9-4CA2-B63E-71F268C5B73B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0770" name="Line 62">
          <a:extLst>
            <a:ext uri="{FF2B5EF4-FFF2-40B4-BE49-F238E27FC236}">
              <a16:creationId xmlns:a16="http://schemas.microsoft.com/office/drawing/2014/main" id="{BCBF6178-9269-40CD-9FBF-7C4D0D7F36ED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0771" name="Line 63">
          <a:extLst>
            <a:ext uri="{FF2B5EF4-FFF2-40B4-BE49-F238E27FC236}">
              <a16:creationId xmlns:a16="http://schemas.microsoft.com/office/drawing/2014/main" id="{877B4ACC-B2F2-45D1-B62D-A3686D906EA7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0772" name="Line 64">
          <a:extLst>
            <a:ext uri="{FF2B5EF4-FFF2-40B4-BE49-F238E27FC236}">
              <a16:creationId xmlns:a16="http://schemas.microsoft.com/office/drawing/2014/main" id="{D737379A-BC6E-4CB6-888C-671FC4B49551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0773" name="Line 65">
          <a:extLst>
            <a:ext uri="{FF2B5EF4-FFF2-40B4-BE49-F238E27FC236}">
              <a16:creationId xmlns:a16="http://schemas.microsoft.com/office/drawing/2014/main" id="{F7BF8F16-6C14-4BD5-A909-C909D5A8C2AF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0774" name="Line 66">
          <a:extLst>
            <a:ext uri="{FF2B5EF4-FFF2-40B4-BE49-F238E27FC236}">
              <a16:creationId xmlns:a16="http://schemas.microsoft.com/office/drawing/2014/main" id="{01CAE673-584B-42D0-A24F-36D900E66438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0775" name="Line 67">
          <a:extLst>
            <a:ext uri="{FF2B5EF4-FFF2-40B4-BE49-F238E27FC236}">
              <a16:creationId xmlns:a16="http://schemas.microsoft.com/office/drawing/2014/main" id="{0FF1DE18-8DCC-4324-82A7-1E0F3BDFC429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0776" name="Line 68">
          <a:extLst>
            <a:ext uri="{FF2B5EF4-FFF2-40B4-BE49-F238E27FC236}">
              <a16:creationId xmlns:a16="http://schemas.microsoft.com/office/drawing/2014/main" id="{C4073709-B430-4FA6-A5D8-458CC0C279EC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0777" name="Line 69">
          <a:extLst>
            <a:ext uri="{FF2B5EF4-FFF2-40B4-BE49-F238E27FC236}">
              <a16:creationId xmlns:a16="http://schemas.microsoft.com/office/drawing/2014/main" id="{DAD7EBCD-E8BF-4FB0-8EA4-D6AE709AC8C2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0778" name="Line 70">
          <a:extLst>
            <a:ext uri="{FF2B5EF4-FFF2-40B4-BE49-F238E27FC236}">
              <a16:creationId xmlns:a16="http://schemas.microsoft.com/office/drawing/2014/main" id="{96442E36-24CC-497A-9FA8-44080C62F5FD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0779" name="Line 71">
          <a:extLst>
            <a:ext uri="{FF2B5EF4-FFF2-40B4-BE49-F238E27FC236}">
              <a16:creationId xmlns:a16="http://schemas.microsoft.com/office/drawing/2014/main" id="{28FD8CE6-9309-4CD9-8F22-87643A373F01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0780" name="Line 72">
          <a:extLst>
            <a:ext uri="{FF2B5EF4-FFF2-40B4-BE49-F238E27FC236}">
              <a16:creationId xmlns:a16="http://schemas.microsoft.com/office/drawing/2014/main" id="{11814003-3466-401F-BC33-1567F1D14F0C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0781" name="Line 73">
          <a:extLst>
            <a:ext uri="{FF2B5EF4-FFF2-40B4-BE49-F238E27FC236}">
              <a16:creationId xmlns:a16="http://schemas.microsoft.com/office/drawing/2014/main" id="{3BE949F0-D0A8-40B2-A1F9-07DA05F17E6D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0782" name="Line 74">
          <a:extLst>
            <a:ext uri="{FF2B5EF4-FFF2-40B4-BE49-F238E27FC236}">
              <a16:creationId xmlns:a16="http://schemas.microsoft.com/office/drawing/2014/main" id="{4331C993-095E-4664-8E5D-D46FC9095DF6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0783" name="Line 75">
          <a:extLst>
            <a:ext uri="{FF2B5EF4-FFF2-40B4-BE49-F238E27FC236}">
              <a16:creationId xmlns:a16="http://schemas.microsoft.com/office/drawing/2014/main" id="{DA5B5CE7-3594-4C37-83B7-F4DA6E23C2D7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0784" name="Line 76">
          <a:extLst>
            <a:ext uri="{FF2B5EF4-FFF2-40B4-BE49-F238E27FC236}">
              <a16:creationId xmlns:a16="http://schemas.microsoft.com/office/drawing/2014/main" id="{868FFD10-259E-406D-BE17-3B4A169790D1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0785" name="Line 77">
          <a:extLst>
            <a:ext uri="{FF2B5EF4-FFF2-40B4-BE49-F238E27FC236}">
              <a16:creationId xmlns:a16="http://schemas.microsoft.com/office/drawing/2014/main" id="{C26B56D2-614B-41C4-9239-D90EFAD2D289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0786" name="Line 78">
          <a:extLst>
            <a:ext uri="{FF2B5EF4-FFF2-40B4-BE49-F238E27FC236}">
              <a16:creationId xmlns:a16="http://schemas.microsoft.com/office/drawing/2014/main" id="{A885806D-F707-431A-B84A-7C5F03E00906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0787" name="Line 79">
          <a:extLst>
            <a:ext uri="{FF2B5EF4-FFF2-40B4-BE49-F238E27FC236}">
              <a16:creationId xmlns:a16="http://schemas.microsoft.com/office/drawing/2014/main" id="{C2931E6F-EA12-4F87-AF94-E88ACF002E0B}"/>
            </a:ext>
          </a:extLst>
        </xdr:cNvPr>
        <xdr:cNvSpPr>
          <a:spLocks noChangeShapeType="1"/>
        </xdr:cNvSpPr>
      </xdr:nvSpPr>
      <xdr:spPr bwMode="auto">
        <a:xfrm>
          <a:off x="104870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0788" name="Line 80">
          <a:extLst>
            <a:ext uri="{FF2B5EF4-FFF2-40B4-BE49-F238E27FC236}">
              <a16:creationId xmlns:a16="http://schemas.microsoft.com/office/drawing/2014/main" id="{B3F904C9-941F-4DC9-BF67-D9AE09DC8636}"/>
            </a:ext>
          </a:extLst>
        </xdr:cNvPr>
        <xdr:cNvSpPr>
          <a:spLocks noChangeShapeType="1"/>
        </xdr:cNvSpPr>
      </xdr:nvSpPr>
      <xdr:spPr bwMode="auto">
        <a:xfrm>
          <a:off x="104870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0789" name="Line 81">
          <a:extLst>
            <a:ext uri="{FF2B5EF4-FFF2-40B4-BE49-F238E27FC236}">
              <a16:creationId xmlns:a16="http://schemas.microsoft.com/office/drawing/2014/main" id="{6CC31603-46F6-4B58-812B-CC6DBB95D1F4}"/>
            </a:ext>
          </a:extLst>
        </xdr:cNvPr>
        <xdr:cNvSpPr>
          <a:spLocks noChangeShapeType="1"/>
        </xdr:cNvSpPr>
      </xdr:nvSpPr>
      <xdr:spPr bwMode="auto">
        <a:xfrm>
          <a:off x="97250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0790" name="Line 82">
          <a:extLst>
            <a:ext uri="{FF2B5EF4-FFF2-40B4-BE49-F238E27FC236}">
              <a16:creationId xmlns:a16="http://schemas.microsoft.com/office/drawing/2014/main" id="{1322C65A-DA1E-4645-BE79-C1DB18BEE5A0}"/>
            </a:ext>
          </a:extLst>
        </xdr:cNvPr>
        <xdr:cNvSpPr>
          <a:spLocks noChangeShapeType="1"/>
        </xdr:cNvSpPr>
      </xdr:nvSpPr>
      <xdr:spPr bwMode="auto">
        <a:xfrm>
          <a:off x="97250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0791" name="Line 83">
          <a:extLst>
            <a:ext uri="{FF2B5EF4-FFF2-40B4-BE49-F238E27FC236}">
              <a16:creationId xmlns:a16="http://schemas.microsoft.com/office/drawing/2014/main" id="{E7DB8652-15E2-455A-AF55-D7D06C23E1D2}"/>
            </a:ext>
          </a:extLst>
        </xdr:cNvPr>
        <xdr:cNvSpPr>
          <a:spLocks noChangeShapeType="1"/>
        </xdr:cNvSpPr>
      </xdr:nvSpPr>
      <xdr:spPr bwMode="auto">
        <a:xfrm>
          <a:off x="1440180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0792" name="Line 84">
          <a:extLst>
            <a:ext uri="{FF2B5EF4-FFF2-40B4-BE49-F238E27FC236}">
              <a16:creationId xmlns:a16="http://schemas.microsoft.com/office/drawing/2014/main" id="{93379435-F16D-4F93-B008-794C9C946151}"/>
            </a:ext>
          </a:extLst>
        </xdr:cNvPr>
        <xdr:cNvSpPr>
          <a:spLocks noChangeShapeType="1"/>
        </xdr:cNvSpPr>
      </xdr:nvSpPr>
      <xdr:spPr bwMode="auto">
        <a:xfrm>
          <a:off x="1440180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0793" name="Line 85">
          <a:extLst>
            <a:ext uri="{FF2B5EF4-FFF2-40B4-BE49-F238E27FC236}">
              <a16:creationId xmlns:a16="http://schemas.microsoft.com/office/drawing/2014/main" id="{D30BCA5C-D086-4EAA-8890-89EC72D758F1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0794" name="Line 86">
          <a:extLst>
            <a:ext uri="{FF2B5EF4-FFF2-40B4-BE49-F238E27FC236}">
              <a16:creationId xmlns:a16="http://schemas.microsoft.com/office/drawing/2014/main" id="{D6B44CF8-F2D6-43DA-9763-53E34A4C53E1}"/>
            </a:ext>
          </a:extLst>
        </xdr:cNvPr>
        <xdr:cNvSpPr>
          <a:spLocks noChangeShapeType="1"/>
        </xdr:cNvSpPr>
      </xdr:nvSpPr>
      <xdr:spPr bwMode="auto">
        <a:xfrm>
          <a:off x="97250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0795" name="Line 87">
          <a:extLst>
            <a:ext uri="{FF2B5EF4-FFF2-40B4-BE49-F238E27FC236}">
              <a16:creationId xmlns:a16="http://schemas.microsoft.com/office/drawing/2014/main" id="{AA4017FA-2EED-4A0A-A464-0D814F150058}"/>
            </a:ext>
          </a:extLst>
        </xdr:cNvPr>
        <xdr:cNvSpPr>
          <a:spLocks noChangeShapeType="1"/>
        </xdr:cNvSpPr>
      </xdr:nvSpPr>
      <xdr:spPr bwMode="auto">
        <a:xfrm flipV="1">
          <a:off x="98393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0796" name="Line 88">
          <a:extLst>
            <a:ext uri="{FF2B5EF4-FFF2-40B4-BE49-F238E27FC236}">
              <a16:creationId xmlns:a16="http://schemas.microsoft.com/office/drawing/2014/main" id="{75711F0C-FEB2-4641-9F52-BBF5775B5874}"/>
            </a:ext>
          </a:extLst>
        </xdr:cNvPr>
        <xdr:cNvSpPr>
          <a:spLocks noChangeShapeType="1"/>
        </xdr:cNvSpPr>
      </xdr:nvSpPr>
      <xdr:spPr bwMode="auto">
        <a:xfrm>
          <a:off x="97250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0797" name="Line 89">
          <a:extLst>
            <a:ext uri="{FF2B5EF4-FFF2-40B4-BE49-F238E27FC236}">
              <a16:creationId xmlns:a16="http://schemas.microsoft.com/office/drawing/2014/main" id="{2E8C7AAE-CB97-4D24-A443-1A46E64851DC}"/>
            </a:ext>
          </a:extLst>
        </xdr:cNvPr>
        <xdr:cNvSpPr>
          <a:spLocks noChangeShapeType="1"/>
        </xdr:cNvSpPr>
      </xdr:nvSpPr>
      <xdr:spPr bwMode="auto">
        <a:xfrm>
          <a:off x="9725025" y="11287125"/>
          <a:ext cx="2981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0798" name="Line 90">
          <a:extLst>
            <a:ext uri="{FF2B5EF4-FFF2-40B4-BE49-F238E27FC236}">
              <a16:creationId xmlns:a16="http://schemas.microsoft.com/office/drawing/2014/main" id="{491E5925-6F4B-46DA-A6F4-7443AB84BCC5}"/>
            </a:ext>
          </a:extLst>
        </xdr:cNvPr>
        <xdr:cNvSpPr>
          <a:spLocks noChangeShapeType="1"/>
        </xdr:cNvSpPr>
      </xdr:nvSpPr>
      <xdr:spPr bwMode="auto">
        <a:xfrm>
          <a:off x="98393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0799" name="Line 91">
          <a:extLst>
            <a:ext uri="{FF2B5EF4-FFF2-40B4-BE49-F238E27FC236}">
              <a16:creationId xmlns:a16="http://schemas.microsoft.com/office/drawing/2014/main" id="{503F0585-0B21-4968-BCB7-71F03529EC3C}"/>
            </a:ext>
          </a:extLst>
        </xdr:cNvPr>
        <xdr:cNvSpPr>
          <a:spLocks noChangeShapeType="1"/>
        </xdr:cNvSpPr>
      </xdr:nvSpPr>
      <xdr:spPr bwMode="auto">
        <a:xfrm flipV="1">
          <a:off x="98393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0800" name="Line 92">
          <a:extLst>
            <a:ext uri="{FF2B5EF4-FFF2-40B4-BE49-F238E27FC236}">
              <a16:creationId xmlns:a16="http://schemas.microsoft.com/office/drawing/2014/main" id="{75799573-9943-45C5-81A8-D83701F36610}"/>
            </a:ext>
          </a:extLst>
        </xdr:cNvPr>
        <xdr:cNvSpPr>
          <a:spLocks noChangeShapeType="1"/>
        </xdr:cNvSpPr>
      </xdr:nvSpPr>
      <xdr:spPr bwMode="auto">
        <a:xfrm flipV="1">
          <a:off x="97250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0801" name="Line 93">
          <a:extLst>
            <a:ext uri="{FF2B5EF4-FFF2-40B4-BE49-F238E27FC236}">
              <a16:creationId xmlns:a16="http://schemas.microsoft.com/office/drawing/2014/main" id="{3276EBF7-ADAB-431C-93AE-D5975B404BBC}"/>
            </a:ext>
          </a:extLst>
        </xdr:cNvPr>
        <xdr:cNvSpPr>
          <a:spLocks noChangeShapeType="1"/>
        </xdr:cNvSpPr>
      </xdr:nvSpPr>
      <xdr:spPr bwMode="auto">
        <a:xfrm>
          <a:off x="98393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0802" name="Line 94">
          <a:extLst>
            <a:ext uri="{FF2B5EF4-FFF2-40B4-BE49-F238E27FC236}">
              <a16:creationId xmlns:a16="http://schemas.microsoft.com/office/drawing/2014/main" id="{24375ABC-25C2-4A04-8028-EB6170C73363}"/>
            </a:ext>
          </a:extLst>
        </xdr:cNvPr>
        <xdr:cNvSpPr>
          <a:spLocks noChangeShapeType="1"/>
        </xdr:cNvSpPr>
      </xdr:nvSpPr>
      <xdr:spPr bwMode="auto">
        <a:xfrm>
          <a:off x="1183957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0803" name="Line 95">
          <a:extLst>
            <a:ext uri="{FF2B5EF4-FFF2-40B4-BE49-F238E27FC236}">
              <a16:creationId xmlns:a16="http://schemas.microsoft.com/office/drawing/2014/main" id="{DB22D0C0-E277-47CE-9D74-2F5495E0EB53}"/>
            </a:ext>
          </a:extLst>
        </xdr:cNvPr>
        <xdr:cNvSpPr>
          <a:spLocks noChangeShapeType="1"/>
        </xdr:cNvSpPr>
      </xdr:nvSpPr>
      <xdr:spPr bwMode="auto">
        <a:xfrm>
          <a:off x="1183957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0804" name="Line 96">
          <a:extLst>
            <a:ext uri="{FF2B5EF4-FFF2-40B4-BE49-F238E27FC236}">
              <a16:creationId xmlns:a16="http://schemas.microsoft.com/office/drawing/2014/main" id="{629AFDD2-33DE-4DA6-8216-644F1041C4C4}"/>
            </a:ext>
          </a:extLst>
        </xdr:cNvPr>
        <xdr:cNvSpPr>
          <a:spLocks noChangeShapeType="1"/>
        </xdr:cNvSpPr>
      </xdr:nvSpPr>
      <xdr:spPr bwMode="auto">
        <a:xfrm>
          <a:off x="97250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0805" name="Line 97">
          <a:extLst>
            <a:ext uri="{FF2B5EF4-FFF2-40B4-BE49-F238E27FC236}">
              <a16:creationId xmlns:a16="http://schemas.microsoft.com/office/drawing/2014/main" id="{FB33A9B3-419D-4868-A453-B4FC0208156A}"/>
            </a:ext>
          </a:extLst>
        </xdr:cNvPr>
        <xdr:cNvSpPr>
          <a:spLocks noChangeShapeType="1"/>
        </xdr:cNvSpPr>
      </xdr:nvSpPr>
      <xdr:spPr bwMode="auto">
        <a:xfrm>
          <a:off x="1183957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0806" name="Line 98">
          <a:extLst>
            <a:ext uri="{FF2B5EF4-FFF2-40B4-BE49-F238E27FC236}">
              <a16:creationId xmlns:a16="http://schemas.microsoft.com/office/drawing/2014/main" id="{CA0C5D81-FCDA-4B08-B527-BD5918928728}"/>
            </a:ext>
          </a:extLst>
        </xdr:cNvPr>
        <xdr:cNvSpPr>
          <a:spLocks noChangeShapeType="1"/>
        </xdr:cNvSpPr>
      </xdr:nvSpPr>
      <xdr:spPr bwMode="auto">
        <a:xfrm flipV="1">
          <a:off x="97250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0807" name="Line 99">
          <a:extLst>
            <a:ext uri="{FF2B5EF4-FFF2-40B4-BE49-F238E27FC236}">
              <a16:creationId xmlns:a16="http://schemas.microsoft.com/office/drawing/2014/main" id="{F400377B-F817-40BC-9C41-F256612613AE}"/>
            </a:ext>
          </a:extLst>
        </xdr:cNvPr>
        <xdr:cNvSpPr>
          <a:spLocks noChangeShapeType="1"/>
        </xdr:cNvSpPr>
      </xdr:nvSpPr>
      <xdr:spPr bwMode="auto">
        <a:xfrm>
          <a:off x="104870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0808" name="Line 100">
          <a:extLst>
            <a:ext uri="{FF2B5EF4-FFF2-40B4-BE49-F238E27FC236}">
              <a16:creationId xmlns:a16="http://schemas.microsoft.com/office/drawing/2014/main" id="{6AFB0FDA-DC80-4EF0-B93A-4DF609B355AA}"/>
            </a:ext>
          </a:extLst>
        </xdr:cNvPr>
        <xdr:cNvSpPr>
          <a:spLocks noChangeShapeType="1"/>
        </xdr:cNvSpPr>
      </xdr:nvSpPr>
      <xdr:spPr bwMode="auto">
        <a:xfrm>
          <a:off x="1440180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0809" name="Line 101">
          <a:extLst>
            <a:ext uri="{FF2B5EF4-FFF2-40B4-BE49-F238E27FC236}">
              <a16:creationId xmlns:a16="http://schemas.microsoft.com/office/drawing/2014/main" id="{028A10B6-C17F-497D-B5B8-6E737C030BD1}"/>
            </a:ext>
          </a:extLst>
        </xdr:cNvPr>
        <xdr:cNvSpPr>
          <a:spLocks noChangeShapeType="1"/>
        </xdr:cNvSpPr>
      </xdr:nvSpPr>
      <xdr:spPr bwMode="auto">
        <a:xfrm>
          <a:off x="13982700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0810" name="Line 102">
          <a:extLst>
            <a:ext uri="{FF2B5EF4-FFF2-40B4-BE49-F238E27FC236}">
              <a16:creationId xmlns:a16="http://schemas.microsoft.com/office/drawing/2014/main" id="{CCF67B0F-59BC-47F3-9CBA-E7957B261656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0811" name="Line 103">
          <a:extLst>
            <a:ext uri="{FF2B5EF4-FFF2-40B4-BE49-F238E27FC236}">
              <a16:creationId xmlns:a16="http://schemas.microsoft.com/office/drawing/2014/main" id="{87E9ED51-A3C2-4F35-A80D-3FCD265C5B5E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0812" name="Line 104">
          <a:extLst>
            <a:ext uri="{FF2B5EF4-FFF2-40B4-BE49-F238E27FC236}">
              <a16:creationId xmlns:a16="http://schemas.microsoft.com/office/drawing/2014/main" id="{37E818DA-C6EF-47CC-B8CC-0DB6C93A0331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0813" name="Line 105">
          <a:extLst>
            <a:ext uri="{FF2B5EF4-FFF2-40B4-BE49-F238E27FC236}">
              <a16:creationId xmlns:a16="http://schemas.microsoft.com/office/drawing/2014/main" id="{CE96834A-2EC1-4594-9D8F-79AD4E24FD0C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0814" name="Line 106">
          <a:extLst>
            <a:ext uri="{FF2B5EF4-FFF2-40B4-BE49-F238E27FC236}">
              <a16:creationId xmlns:a16="http://schemas.microsoft.com/office/drawing/2014/main" id="{202AC7A4-92A8-4996-9D53-DD81047CECF3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0815" name="Line 107">
          <a:extLst>
            <a:ext uri="{FF2B5EF4-FFF2-40B4-BE49-F238E27FC236}">
              <a16:creationId xmlns:a16="http://schemas.microsoft.com/office/drawing/2014/main" id="{2A77E9D6-4BA1-4D12-A659-1E47F6EF39F9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0816" name="Line 108">
          <a:extLst>
            <a:ext uri="{FF2B5EF4-FFF2-40B4-BE49-F238E27FC236}">
              <a16:creationId xmlns:a16="http://schemas.microsoft.com/office/drawing/2014/main" id="{B874ABB3-E1C8-4111-B143-985A342AAA26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0817" name="Line 109">
          <a:extLst>
            <a:ext uri="{FF2B5EF4-FFF2-40B4-BE49-F238E27FC236}">
              <a16:creationId xmlns:a16="http://schemas.microsoft.com/office/drawing/2014/main" id="{BC259079-49EE-46ED-BC21-BCD4D209A392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0818" name="Line 110">
          <a:extLst>
            <a:ext uri="{FF2B5EF4-FFF2-40B4-BE49-F238E27FC236}">
              <a16:creationId xmlns:a16="http://schemas.microsoft.com/office/drawing/2014/main" id="{6DE16EF7-20CA-48AC-A83F-D290D5F7DC9C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0819" name="Line 111">
          <a:extLst>
            <a:ext uri="{FF2B5EF4-FFF2-40B4-BE49-F238E27FC236}">
              <a16:creationId xmlns:a16="http://schemas.microsoft.com/office/drawing/2014/main" id="{F1C66813-9757-4385-90FC-8B5EBFDC5BDD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0820" name="Line 112">
          <a:extLst>
            <a:ext uri="{FF2B5EF4-FFF2-40B4-BE49-F238E27FC236}">
              <a16:creationId xmlns:a16="http://schemas.microsoft.com/office/drawing/2014/main" id="{2A8B4E36-16E4-43D1-8425-B2E43378B5E5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0821" name="Line 113">
          <a:extLst>
            <a:ext uri="{FF2B5EF4-FFF2-40B4-BE49-F238E27FC236}">
              <a16:creationId xmlns:a16="http://schemas.microsoft.com/office/drawing/2014/main" id="{271B7585-7B00-442F-BD85-EC9338AC8AE4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0822" name="Line 114">
          <a:extLst>
            <a:ext uri="{FF2B5EF4-FFF2-40B4-BE49-F238E27FC236}">
              <a16:creationId xmlns:a16="http://schemas.microsoft.com/office/drawing/2014/main" id="{AC5787C1-E45D-4FC0-8167-E6B7108E9319}"/>
            </a:ext>
          </a:extLst>
        </xdr:cNvPr>
        <xdr:cNvSpPr>
          <a:spLocks noChangeShapeType="1"/>
        </xdr:cNvSpPr>
      </xdr:nvSpPr>
      <xdr:spPr bwMode="auto">
        <a:xfrm flipV="1">
          <a:off x="97250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1733" name="Line 1">
          <a:extLst>
            <a:ext uri="{FF2B5EF4-FFF2-40B4-BE49-F238E27FC236}">
              <a16:creationId xmlns:a16="http://schemas.microsoft.com/office/drawing/2014/main" id="{ED7AC41F-5577-43A8-B15C-4CC11B042640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1734" name="Line 2">
          <a:extLst>
            <a:ext uri="{FF2B5EF4-FFF2-40B4-BE49-F238E27FC236}">
              <a16:creationId xmlns:a16="http://schemas.microsoft.com/office/drawing/2014/main" id="{FA5BF5C7-DD50-472F-A22F-76351C9A5D5C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1735" name="Line 3">
          <a:extLst>
            <a:ext uri="{FF2B5EF4-FFF2-40B4-BE49-F238E27FC236}">
              <a16:creationId xmlns:a16="http://schemas.microsoft.com/office/drawing/2014/main" id="{160BF015-2705-4CC7-8898-D998F1097E63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1736" name="Line 4">
          <a:extLst>
            <a:ext uri="{FF2B5EF4-FFF2-40B4-BE49-F238E27FC236}">
              <a16:creationId xmlns:a16="http://schemas.microsoft.com/office/drawing/2014/main" id="{87A9ED54-9D74-4EED-ABE0-11804A164138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1737" name="Line 5">
          <a:extLst>
            <a:ext uri="{FF2B5EF4-FFF2-40B4-BE49-F238E27FC236}">
              <a16:creationId xmlns:a16="http://schemas.microsoft.com/office/drawing/2014/main" id="{05BD0CE5-04C0-4346-9C99-E5FBEECE0A10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1738" name="Line 6">
          <a:extLst>
            <a:ext uri="{FF2B5EF4-FFF2-40B4-BE49-F238E27FC236}">
              <a16:creationId xmlns:a16="http://schemas.microsoft.com/office/drawing/2014/main" id="{97D76DC8-4C56-410A-BE29-CFD7DBF5A039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1739" name="Line 7">
          <a:extLst>
            <a:ext uri="{FF2B5EF4-FFF2-40B4-BE49-F238E27FC236}">
              <a16:creationId xmlns:a16="http://schemas.microsoft.com/office/drawing/2014/main" id="{01E032D1-7001-4394-A22F-B479664B933A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1740" name="Line 8">
          <a:extLst>
            <a:ext uri="{FF2B5EF4-FFF2-40B4-BE49-F238E27FC236}">
              <a16:creationId xmlns:a16="http://schemas.microsoft.com/office/drawing/2014/main" id="{5574C476-C134-466A-969B-93D655EEEEEC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1741" name="Line 9">
          <a:extLst>
            <a:ext uri="{FF2B5EF4-FFF2-40B4-BE49-F238E27FC236}">
              <a16:creationId xmlns:a16="http://schemas.microsoft.com/office/drawing/2014/main" id="{27BEE299-B22E-4688-911A-56C2B6BF038C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1742" name="Line 10">
          <a:extLst>
            <a:ext uri="{FF2B5EF4-FFF2-40B4-BE49-F238E27FC236}">
              <a16:creationId xmlns:a16="http://schemas.microsoft.com/office/drawing/2014/main" id="{8E4A9EB9-2998-4D78-873A-C3B274AC67DB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1743" name="Line 11">
          <a:extLst>
            <a:ext uri="{FF2B5EF4-FFF2-40B4-BE49-F238E27FC236}">
              <a16:creationId xmlns:a16="http://schemas.microsoft.com/office/drawing/2014/main" id="{10F60ECD-BCBE-4B0F-ABB0-A2B9938160BF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1744" name="Line 12">
          <a:extLst>
            <a:ext uri="{FF2B5EF4-FFF2-40B4-BE49-F238E27FC236}">
              <a16:creationId xmlns:a16="http://schemas.microsoft.com/office/drawing/2014/main" id="{1105C24E-8AC6-4A03-B30F-838722F5ADA0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1745" name="Line 13">
          <a:extLst>
            <a:ext uri="{FF2B5EF4-FFF2-40B4-BE49-F238E27FC236}">
              <a16:creationId xmlns:a16="http://schemas.microsoft.com/office/drawing/2014/main" id="{EEC9B2DD-DEBA-4BFB-8154-5D32A6C2E7EA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19716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1746" name="Line 14">
          <a:extLst>
            <a:ext uri="{FF2B5EF4-FFF2-40B4-BE49-F238E27FC236}">
              <a16:creationId xmlns:a16="http://schemas.microsoft.com/office/drawing/2014/main" id="{6563A6DA-4C97-44FE-BC8E-EB33C21257D8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050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1747" name="Line 15">
          <a:extLst>
            <a:ext uri="{FF2B5EF4-FFF2-40B4-BE49-F238E27FC236}">
              <a16:creationId xmlns:a16="http://schemas.microsoft.com/office/drawing/2014/main" id="{7920F2F0-82CB-40C3-A71C-79C8586AEC21}"/>
            </a:ext>
          </a:extLst>
        </xdr:cNvPr>
        <xdr:cNvSpPr>
          <a:spLocks noChangeShapeType="1"/>
        </xdr:cNvSpPr>
      </xdr:nvSpPr>
      <xdr:spPr bwMode="auto">
        <a:xfrm>
          <a:off x="103727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1748" name="Line 16">
          <a:extLst>
            <a:ext uri="{FF2B5EF4-FFF2-40B4-BE49-F238E27FC236}">
              <a16:creationId xmlns:a16="http://schemas.microsoft.com/office/drawing/2014/main" id="{9E2487AF-F645-4AD7-A1F4-7A9A2FE75002}"/>
            </a:ext>
          </a:extLst>
        </xdr:cNvPr>
        <xdr:cNvSpPr>
          <a:spLocks noChangeShapeType="1"/>
        </xdr:cNvSpPr>
      </xdr:nvSpPr>
      <xdr:spPr bwMode="auto">
        <a:xfrm>
          <a:off x="103727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1749" name="Line 17">
          <a:extLst>
            <a:ext uri="{FF2B5EF4-FFF2-40B4-BE49-F238E27FC236}">
              <a16:creationId xmlns:a16="http://schemas.microsoft.com/office/drawing/2014/main" id="{C9340870-24E9-4E32-8BC3-D2AAB1ED947F}"/>
            </a:ext>
          </a:extLst>
        </xdr:cNvPr>
        <xdr:cNvSpPr>
          <a:spLocks noChangeShapeType="1"/>
        </xdr:cNvSpPr>
      </xdr:nvSpPr>
      <xdr:spPr bwMode="auto">
        <a:xfrm>
          <a:off x="96107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1750" name="Line 18">
          <a:extLst>
            <a:ext uri="{FF2B5EF4-FFF2-40B4-BE49-F238E27FC236}">
              <a16:creationId xmlns:a16="http://schemas.microsoft.com/office/drawing/2014/main" id="{CEBCB002-C78A-4D62-BC3D-01F703A2AF16}"/>
            </a:ext>
          </a:extLst>
        </xdr:cNvPr>
        <xdr:cNvSpPr>
          <a:spLocks noChangeShapeType="1"/>
        </xdr:cNvSpPr>
      </xdr:nvSpPr>
      <xdr:spPr bwMode="auto">
        <a:xfrm>
          <a:off x="103727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1751" name="Line 19">
          <a:extLst>
            <a:ext uri="{FF2B5EF4-FFF2-40B4-BE49-F238E27FC236}">
              <a16:creationId xmlns:a16="http://schemas.microsoft.com/office/drawing/2014/main" id="{930D85A5-4991-4D8F-AC75-CE7C5E2AD6AA}"/>
            </a:ext>
          </a:extLst>
        </xdr:cNvPr>
        <xdr:cNvSpPr>
          <a:spLocks noChangeShapeType="1"/>
        </xdr:cNvSpPr>
      </xdr:nvSpPr>
      <xdr:spPr bwMode="auto">
        <a:xfrm>
          <a:off x="103727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1752" name="Line 20">
          <a:extLst>
            <a:ext uri="{FF2B5EF4-FFF2-40B4-BE49-F238E27FC236}">
              <a16:creationId xmlns:a16="http://schemas.microsoft.com/office/drawing/2014/main" id="{EEEEDD0F-6A6D-40AF-AF36-78C663195615}"/>
            </a:ext>
          </a:extLst>
        </xdr:cNvPr>
        <xdr:cNvSpPr>
          <a:spLocks noChangeShapeType="1"/>
        </xdr:cNvSpPr>
      </xdr:nvSpPr>
      <xdr:spPr bwMode="auto">
        <a:xfrm>
          <a:off x="96107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1753" name="Line 21">
          <a:extLst>
            <a:ext uri="{FF2B5EF4-FFF2-40B4-BE49-F238E27FC236}">
              <a16:creationId xmlns:a16="http://schemas.microsoft.com/office/drawing/2014/main" id="{F7B2A2C5-62AB-4E1A-B0E9-B7E3FB218DDB}"/>
            </a:ext>
          </a:extLst>
        </xdr:cNvPr>
        <xdr:cNvSpPr>
          <a:spLocks noChangeShapeType="1"/>
        </xdr:cNvSpPr>
      </xdr:nvSpPr>
      <xdr:spPr bwMode="auto">
        <a:xfrm>
          <a:off x="103727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1754" name="Line 22">
          <a:extLst>
            <a:ext uri="{FF2B5EF4-FFF2-40B4-BE49-F238E27FC236}">
              <a16:creationId xmlns:a16="http://schemas.microsoft.com/office/drawing/2014/main" id="{2FB5168C-172E-423B-8EC6-160D07CC0CF4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1755" name="Line 23">
          <a:extLst>
            <a:ext uri="{FF2B5EF4-FFF2-40B4-BE49-F238E27FC236}">
              <a16:creationId xmlns:a16="http://schemas.microsoft.com/office/drawing/2014/main" id="{AC0042D3-944E-401E-8480-C58D8092C189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1756" name="Line 24">
          <a:extLst>
            <a:ext uri="{FF2B5EF4-FFF2-40B4-BE49-F238E27FC236}">
              <a16:creationId xmlns:a16="http://schemas.microsoft.com/office/drawing/2014/main" id="{46389CD3-C0D9-4D1F-BBCF-73FA1073CF7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1757" name="Line 25">
          <a:extLst>
            <a:ext uri="{FF2B5EF4-FFF2-40B4-BE49-F238E27FC236}">
              <a16:creationId xmlns:a16="http://schemas.microsoft.com/office/drawing/2014/main" id="{B358BA3B-4C07-4C99-BFE3-712B6FFE16C6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1758" name="Line 26">
          <a:extLst>
            <a:ext uri="{FF2B5EF4-FFF2-40B4-BE49-F238E27FC236}">
              <a16:creationId xmlns:a16="http://schemas.microsoft.com/office/drawing/2014/main" id="{D33F7CC7-03B6-4F82-91CC-E9A89CEB960C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1759" name="Line 27">
          <a:extLst>
            <a:ext uri="{FF2B5EF4-FFF2-40B4-BE49-F238E27FC236}">
              <a16:creationId xmlns:a16="http://schemas.microsoft.com/office/drawing/2014/main" id="{5A0DC5B3-ACE4-436F-AE0D-F2BF2D09C2DA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1760" name="Line 28">
          <a:extLst>
            <a:ext uri="{FF2B5EF4-FFF2-40B4-BE49-F238E27FC236}">
              <a16:creationId xmlns:a16="http://schemas.microsoft.com/office/drawing/2014/main" id="{59CAB7DE-20E8-4C48-87AD-15FA25E39B21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1761" name="Line 29">
          <a:extLst>
            <a:ext uri="{FF2B5EF4-FFF2-40B4-BE49-F238E27FC236}">
              <a16:creationId xmlns:a16="http://schemas.microsoft.com/office/drawing/2014/main" id="{B0962350-F2E7-4D0E-82FF-0C7C3587EA8C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1762" name="Line 30">
          <a:extLst>
            <a:ext uri="{FF2B5EF4-FFF2-40B4-BE49-F238E27FC236}">
              <a16:creationId xmlns:a16="http://schemas.microsoft.com/office/drawing/2014/main" id="{737F3C96-FB40-4564-9AD0-C5143DEFB999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1763" name="Line 31">
          <a:extLst>
            <a:ext uri="{FF2B5EF4-FFF2-40B4-BE49-F238E27FC236}">
              <a16:creationId xmlns:a16="http://schemas.microsoft.com/office/drawing/2014/main" id="{D46C5929-C91A-4B1A-8AAD-DAED8209B0B4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05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1764" name="Line 32">
          <a:extLst>
            <a:ext uri="{FF2B5EF4-FFF2-40B4-BE49-F238E27FC236}">
              <a16:creationId xmlns:a16="http://schemas.microsoft.com/office/drawing/2014/main" id="{13DE58A0-33DA-4E96-A337-051AE3E6ED1F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1765" name="Line 33">
          <a:extLst>
            <a:ext uri="{FF2B5EF4-FFF2-40B4-BE49-F238E27FC236}">
              <a16:creationId xmlns:a16="http://schemas.microsoft.com/office/drawing/2014/main" id="{0FD67E44-4B59-4787-A629-EFBC7DABE709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1766" name="Line 34">
          <a:extLst>
            <a:ext uri="{FF2B5EF4-FFF2-40B4-BE49-F238E27FC236}">
              <a16:creationId xmlns:a16="http://schemas.microsoft.com/office/drawing/2014/main" id="{13D8947D-016F-4B9F-9295-E12415A4DBA5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19716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1767" name="Line 35">
          <a:extLst>
            <a:ext uri="{FF2B5EF4-FFF2-40B4-BE49-F238E27FC236}">
              <a16:creationId xmlns:a16="http://schemas.microsoft.com/office/drawing/2014/main" id="{63A38352-2A6E-49A1-872B-2AA10701E069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050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1768" name="Line 36">
          <a:extLst>
            <a:ext uri="{FF2B5EF4-FFF2-40B4-BE49-F238E27FC236}">
              <a16:creationId xmlns:a16="http://schemas.microsoft.com/office/drawing/2014/main" id="{53B59E57-C9FC-4113-82BA-F5FDDDD1E0BF}"/>
            </a:ext>
          </a:extLst>
        </xdr:cNvPr>
        <xdr:cNvSpPr>
          <a:spLocks noChangeShapeType="1"/>
        </xdr:cNvSpPr>
      </xdr:nvSpPr>
      <xdr:spPr bwMode="auto">
        <a:xfrm flipV="1">
          <a:off x="103727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1769" name="Line 37">
          <a:extLst>
            <a:ext uri="{FF2B5EF4-FFF2-40B4-BE49-F238E27FC236}">
              <a16:creationId xmlns:a16="http://schemas.microsoft.com/office/drawing/2014/main" id="{B8BF0313-2615-49E1-956C-7D222ED60ADC}"/>
            </a:ext>
          </a:extLst>
        </xdr:cNvPr>
        <xdr:cNvSpPr>
          <a:spLocks noChangeShapeType="1"/>
        </xdr:cNvSpPr>
      </xdr:nvSpPr>
      <xdr:spPr bwMode="auto">
        <a:xfrm>
          <a:off x="96107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1770" name="Line 38">
          <a:extLst>
            <a:ext uri="{FF2B5EF4-FFF2-40B4-BE49-F238E27FC236}">
              <a16:creationId xmlns:a16="http://schemas.microsoft.com/office/drawing/2014/main" id="{08D4033C-C515-41E8-AD5C-744166344E38}"/>
            </a:ext>
          </a:extLst>
        </xdr:cNvPr>
        <xdr:cNvSpPr>
          <a:spLocks noChangeShapeType="1"/>
        </xdr:cNvSpPr>
      </xdr:nvSpPr>
      <xdr:spPr bwMode="auto">
        <a:xfrm>
          <a:off x="11753850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1771" name="Line 39">
          <a:extLst>
            <a:ext uri="{FF2B5EF4-FFF2-40B4-BE49-F238E27FC236}">
              <a16:creationId xmlns:a16="http://schemas.microsoft.com/office/drawing/2014/main" id="{444EE315-ED86-4C4F-A77A-17F3A60E1F98}"/>
            </a:ext>
          </a:extLst>
        </xdr:cNvPr>
        <xdr:cNvSpPr>
          <a:spLocks noChangeShapeType="1"/>
        </xdr:cNvSpPr>
      </xdr:nvSpPr>
      <xdr:spPr bwMode="auto">
        <a:xfrm>
          <a:off x="11753850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1772" name="Line 40">
          <a:extLst>
            <a:ext uri="{FF2B5EF4-FFF2-40B4-BE49-F238E27FC236}">
              <a16:creationId xmlns:a16="http://schemas.microsoft.com/office/drawing/2014/main" id="{300E22DE-0883-4202-940C-E95AD210FC85}"/>
            </a:ext>
          </a:extLst>
        </xdr:cNvPr>
        <xdr:cNvSpPr>
          <a:spLocks noChangeShapeType="1"/>
        </xdr:cNvSpPr>
      </xdr:nvSpPr>
      <xdr:spPr bwMode="auto">
        <a:xfrm>
          <a:off x="11753850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1773" name="Line 41">
          <a:extLst>
            <a:ext uri="{FF2B5EF4-FFF2-40B4-BE49-F238E27FC236}">
              <a16:creationId xmlns:a16="http://schemas.microsoft.com/office/drawing/2014/main" id="{12CB4543-DACF-4073-B244-6F9BD935BAAE}"/>
            </a:ext>
          </a:extLst>
        </xdr:cNvPr>
        <xdr:cNvSpPr>
          <a:spLocks noChangeShapeType="1"/>
        </xdr:cNvSpPr>
      </xdr:nvSpPr>
      <xdr:spPr bwMode="auto">
        <a:xfrm>
          <a:off x="1103947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1774" name="Line 42">
          <a:extLst>
            <a:ext uri="{FF2B5EF4-FFF2-40B4-BE49-F238E27FC236}">
              <a16:creationId xmlns:a16="http://schemas.microsoft.com/office/drawing/2014/main" id="{80A47F30-7B53-4C95-8671-486D83157E17}"/>
            </a:ext>
          </a:extLst>
        </xdr:cNvPr>
        <xdr:cNvSpPr>
          <a:spLocks noChangeShapeType="1"/>
        </xdr:cNvSpPr>
      </xdr:nvSpPr>
      <xdr:spPr bwMode="auto">
        <a:xfrm>
          <a:off x="1431607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1775" name="Line 43">
          <a:extLst>
            <a:ext uri="{FF2B5EF4-FFF2-40B4-BE49-F238E27FC236}">
              <a16:creationId xmlns:a16="http://schemas.microsoft.com/office/drawing/2014/main" id="{2EFE884B-01AA-4966-9245-26009ABF45A5}"/>
            </a:ext>
          </a:extLst>
        </xdr:cNvPr>
        <xdr:cNvSpPr>
          <a:spLocks noChangeShapeType="1"/>
        </xdr:cNvSpPr>
      </xdr:nvSpPr>
      <xdr:spPr bwMode="auto">
        <a:xfrm>
          <a:off x="1431607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1776" name="Line 44">
          <a:extLst>
            <a:ext uri="{FF2B5EF4-FFF2-40B4-BE49-F238E27FC236}">
              <a16:creationId xmlns:a16="http://schemas.microsoft.com/office/drawing/2014/main" id="{4E7C4E5A-8D54-49F9-A255-D5E017D41294}"/>
            </a:ext>
          </a:extLst>
        </xdr:cNvPr>
        <xdr:cNvSpPr>
          <a:spLocks noChangeShapeType="1"/>
        </xdr:cNvSpPr>
      </xdr:nvSpPr>
      <xdr:spPr bwMode="auto">
        <a:xfrm>
          <a:off x="1389697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1777" name="Line 45">
          <a:extLst>
            <a:ext uri="{FF2B5EF4-FFF2-40B4-BE49-F238E27FC236}">
              <a16:creationId xmlns:a16="http://schemas.microsoft.com/office/drawing/2014/main" id="{0E8592EB-0BC6-4368-9A62-0E71719DF91E}"/>
            </a:ext>
          </a:extLst>
        </xdr:cNvPr>
        <xdr:cNvSpPr>
          <a:spLocks noChangeShapeType="1"/>
        </xdr:cNvSpPr>
      </xdr:nvSpPr>
      <xdr:spPr bwMode="auto">
        <a:xfrm>
          <a:off x="1431607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1778" name="Line 46">
          <a:extLst>
            <a:ext uri="{FF2B5EF4-FFF2-40B4-BE49-F238E27FC236}">
              <a16:creationId xmlns:a16="http://schemas.microsoft.com/office/drawing/2014/main" id="{8580BE21-D324-428D-A6B6-A6623D245C21}"/>
            </a:ext>
          </a:extLst>
        </xdr:cNvPr>
        <xdr:cNvSpPr>
          <a:spLocks noChangeShapeType="1"/>
        </xdr:cNvSpPr>
      </xdr:nvSpPr>
      <xdr:spPr bwMode="auto">
        <a:xfrm>
          <a:off x="1431607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1779" name="Line 47">
          <a:extLst>
            <a:ext uri="{FF2B5EF4-FFF2-40B4-BE49-F238E27FC236}">
              <a16:creationId xmlns:a16="http://schemas.microsoft.com/office/drawing/2014/main" id="{91EFC78A-D6E1-4F99-A31B-0351E436999A}"/>
            </a:ext>
          </a:extLst>
        </xdr:cNvPr>
        <xdr:cNvSpPr>
          <a:spLocks noChangeShapeType="1"/>
        </xdr:cNvSpPr>
      </xdr:nvSpPr>
      <xdr:spPr bwMode="auto">
        <a:xfrm>
          <a:off x="1389697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1780" name="Line 48">
          <a:extLst>
            <a:ext uri="{FF2B5EF4-FFF2-40B4-BE49-F238E27FC236}">
              <a16:creationId xmlns:a16="http://schemas.microsoft.com/office/drawing/2014/main" id="{87164DC2-7FE2-4BAD-AA9E-A4FE73A3005C}"/>
            </a:ext>
          </a:extLst>
        </xdr:cNvPr>
        <xdr:cNvSpPr>
          <a:spLocks noChangeShapeType="1"/>
        </xdr:cNvSpPr>
      </xdr:nvSpPr>
      <xdr:spPr bwMode="auto">
        <a:xfrm>
          <a:off x="1431607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1781" name="Line 49">
          <a:extLst>
            <a:ext uri="{FF2B5EF4-FFF2-40B4-BE49-F238E27FC236}">
              <a16:creationId xmlns:a16="http://schemas.microsoft.com/office/drawing/2014/main" id="{B704BDE2-DA67-41A9-B4EC-FB331D4F8AAC}"/>
            </a:ext>
          </a:extLst>
        </xdr:cNvPr>
        <xdr:cNvSpPr>
          <a:spLocks noChangeShapeType="1"/>
        </xdr:cNvSpPr>
      </xdr:nvSpPr>
      <xdr:spPr bwMode="auto">
        <a:xfrm>
          <a:off x="1389697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1782" name="Line 50">
          <a:extLst>
            <a:ext uri="{FF2B5EF4-FFF2-40B4-BE49-F238E27FC236}">
              <a16:creationId xmlns:a16="http://schemas.microsoft.com/office/drawing/2014/main" id="{8B84BA18-566A-4FF7-BA02-7611EE7E5722}"/>
            </a:ext>
          </a:extLst>
        </xdr:cNvPr>
        <xdr:cNvSpPr>
          <a:spLocks noChangeShapeType="1"/>
        </xdr:cNvSpPr>
      </xdr:nvSpPr>
      <xdr:spPr bwMode="auto">
        <a:xfrm flipV="1">
          <a:off x="1431607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1783" name="Line 51">
          <a:extLst>
            <a:ext uri="{FF2B5EF4-FFF2-40B4-BE49-F238E27FC236}">
              <a16:creationId xmlns:a16="http://schemas.microsoft.com/office/drawing/2014/main" id="{84BEC38B-2448-4228-8A73-D5ADF636D0E8}"/>
            </a:ext>
          </a:extLst>
        </xdr:cNvPr>
        <xdr:cNvSpPr>
          <a:spLocks noChangeShapeType="1"/>
        </xdr:cNvSpPr>
      </xdr:nvSpPr>
      <xdr:spPr bwMode="auto">
        <a:xfrm flipV="1">
          <a:off x="1389697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1784" name="Line 52">
          <a:extLst>
            <a:ext uri="{FF2B5EF4-FFF2-40B4-BE49-F238E27FC236}">
              <a16:creationId xmlns:a16="http://schemas.microsoft.com/office/drawing/2014/main" id="{F0ABB53C-9ACD-404F-84AA-FC005B6DA43F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1785" name="Line 53">
          <a:extLst>
            <a:ext uri="{FF2B5EF4-FFF2-40B4-BE49-F238E27FC236}">
              <a16:creationId xmlns:a16="http://schemas.microsoft.com/office/drawing/2014/main" id="{E6B6BD7A-1AFB-406C-9266-9DE1406CFFF1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1786" name="Line 54">
          <a:extLst>
            <a:ext uri="{FF2B5EF4-FFF2-40B4-BE49-F238E27FC236}">
              <a16:creationId xmlns:a16="http://schemas.microsoft.com/office/drawing/2014/main" id="{C0184FDC-3AEA-4A89-A13C-89E63CB5878A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1787" name="Line 55">
          <a:extLst>
            <a:ext uri="{FF2B5EF4-FFF2-40B4-BE49-F238E27FC236}">
              <a16:creationId xmlns:a16="http://schemas.microsoft.com/office/drawing/2014/main" id="{0E4FDA37-531E-46F0-9DFF-FB6E4717BF88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1788" name="Line 56">
          <a:extLst>
            <a:ext uri="{FF2B5EF4-FFF2-40B4-BE49-F238E27FC236}">
              <a16:creationId xmlns:a16="http://schemas.microsoft.com/office/drawing/2014/main" id="{9CB98DF1-6120-4FEB-A03F-1524C57A466D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1789" name="Line 57">
          <a:extLst>
            <a:ext uri="{FF2B5EF4-FFF2-40B4-BE49-F238E27FC236}">
              <a16:creationId xmlns:a16="http://schemas.microsoft.com/office/drawing/2014/main" id="{373C1720-1372-48A5-A544-FE5AD7BA1D4F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1790" name="Line 58">
          <a:extLst>
            <a:ext uri="{FF2B5EF4-FFF2-40B4-BE49-F238E27FC236}">
              <a16:creationId xmlns:a16="http://schemas.microsoft.com/office/drawing/2014/main" id="{3883B859-AC33-47AD-83F5-29E3AB908E99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1791" name="Line 59">
          <a:extLst>
            <a:ext uri="{FF2B5EF4-FFF2-40B4-BE49-F238E27FC236}">
              <a16:creationId xmlns:a16="http://schemas.microsoft.com/office/drawing/2014/main" id="{30245CA3-AAF5-4BEA-A26E-15FCECC539FE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05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1792" name="Line 60">
          <a:extLst>
            <a:ext uri="{FF2B5EF4-FFF2-40B4-BE49-F238E27FC236}">
              <a16:creationId xmlns:a16="http://schemas.microsoft.com/office/drawing/2014/main" id="{B444A514-EF0D-48A1-8A80-A97371CAC7DC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1793" name="Line 61">
          <a:extLst>
            <a:ext uri="{FF2B5EF4-FFF2-40B4-BE49-F238E27FC236}">
              <a16:creationId xmlns:a16="http://schemas.microsoft.com/office/drawing/2014/main" id="{6D89B7C8-6388-4F0A-90E4-4BF0BFB2101E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1794" name="Line 62">
          <a:extLst>
            <a:ext uri="{FF2B5EF4-FFF2-40B4-BE49-F238E27FC236}">
              <a16:creationId xmlns:a16="http://schemas.microsoft.com/office/drawing/2014/main" id="{0D72B933-BCAB-45BE-951D-FE2812676E2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1795" name="Line 63">
          <a:extLst>
            <a:ext uri="{FF2B5EF4-FFF2-40B4-BE49-F238E27FC236}">
              <a16:creationId xmlns:a16="http://schemas.microsoft.com/office/drawing/2014/main" id="{9E6F3262-1D51-41C7-A846-56C6C7FA3CF6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1796" name="Line 64">
          <a:extLst>
            <a:ext uri="{FF2B5EF4-FFF2-40B4-BE49-F238E27FC236}">
              <a16:creationId xmlns:a16="http://schemas.microsoft.com/office/drawing/2014/main" id="{4AF83BF2-A824-4DAF-A9E7-0A6361E3743E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1797" name="Line 65">
          <a:extLst>
            <a:ext uri="{FF2B5EF4-FFF2-40B4-BE49-F238E27FC236}">
              <a16:creationId xmlns:a16="http://schemas.microsoft.com/office/drawing/2014/main" id="{6998ECBC-6C5B-44C1-825E-BD5647380585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1798" name="Line 66">
          <a:extLst>
            <a:ext uri="{FF2B5EF4-FFF2-40B4-BE49-F238E27FC236}">
              <a16:creationId xmlns:a16="http://schemas.microsoft.com/office/drawing/2014/main" id="{27EDE414-E51A-4FF3-B056-5438239128E3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1799" name="Line 67">
          <a:extLst>
            <a:ext uri="{FF2B5EF4-FFF2-40B4-BE49-F238E27FC236}">
              <a16:creationId xmlns:a16="http://schemas.microsoft.com/office/drawing/2014/main" id="{CA896F21-87FF-45C2-BD1E-BABE2CF2EAB0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1800" name="Line 68">
          <a:extLst>
            <a:ext uri="{FF2B5EF4-FFF2-40B4-BE49-F238E27FC236}">
              <a16:creationId xmlns:a16="http://schemas.microsoft.com/office/drawing/2014/main" id="{25B2622B-401A-4844-8958-DD09E56FED06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050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1801" name="Line 69">
          <a:extLst>
            <a:ext uri="{FF2B5EF4-FFF2-40B4-BE49-F238E27FC236}">
              <a16:creationId xmlns:a16="http://schemas.microsoft.com/office/drawing/2014/main" id="{FE32B880-B2CD-4D03-AC29-21A86976185A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1802" name="Line 70">
          <a:extLst>
            <a:ext uri="{FF2B5EF4-FFF2-40B4-BE49-F238E27FC236}">
              <a16:creationId xmlns:a16="http://schemas.microsoft.com/office/drawing/2014/main" id="{61D2BAA5-A4FB-4BBB-B330-69A6E2C1FCA5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1803" name="Line 71">
          <a:extLst>
            <a:ext uri="{FF2B5EF4-FFF2-40B4-BE49-F238E27FC236}">
              <a16:creationId xmlns:a16="http://schemas.microsoft.com/office/drawing/2014/main" id="{88E45795-FF5D-41A4-B97E-CACE17630D2A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1804" name="Line 72">
          <a:extLst>
            <a:ext uri="{FF2B5EF4-FFF2-40B4-BE49-F238E27FC236}">
              <a16:creationId xmlns:a16="http://schemas.microsoft.com/office/drawing/2014/main" id="{952CAEF4-583F-4C2B-B775-FB5AEFB42B06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1805" name="Line 73">
          <a:extLst>
            <a:ext uri="{FF2B5EF4-FFF2-40B4-BE49-F238E27FC236}">
              <a16:creationId xmlns:a16="http://schemas.microsoft.com/office/drawing/2014/main" id="{E89B34EF-F9F6-432B-80CE-CEBB338E9D25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1806" name="Line 74">
          <a:extLst>
            <a:ext uri="{FF2B5EF4-FFF2-40B4-BE49-F238E27FC236}">
              <a16:creationId xmlns:a16="http://schemas.microsoft.com/office/drawing/2014/main" id="{EDFE597E-3EAD-498F-848F-A10B0CCC8D90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1807" name="Line 75">
          <a:extLst>
            <a:ext uri="{FF2B5EF4-FFF2-40B4-BE49-F238E27FC236}">
              <a16:creationId xmlns:a16="http://schemas.microsoft.com/office/drawing/2014/main" id="{ACCEE80F-388D-4E0D-B164-92015AB7F48A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1808" name="Line 76">
          <a:extLst>
            <a:ext uri="{FF2B5EF4-FFF2-40B4-BE49-F238E27FC236}">
              <a16:creationId xmlns:a16="http://schemas.microsoft.com/office/drawing/2014/main" id="{335A4EF0-5DB5-4A3C-96EC-1CB3B5C0E208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1809" name="Line 77">
          <a:extLst>
            <a:ext uri="{FF2B5EF4-FFF2-40B4-BE49-F238E27FC236}">
              <a16:creationId xmlns:a16="http://schemas.microsoft.com/office/drawing/2014/main" id="{9242B834-D79D-4A0E-B83B-B762FDFA907C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1810" name="Line 78">
          <a:extLst>
            <a:ext uri="{FF2B5EF4-FFF2-40B4-BE49-F238E27FC236}">
              <a16:creationId xmlns:a16="http://schemas.microsoft.com/office/drawing/2014/main" id="{94E395EC-9E5E-467B-8029-37DCD9E901CD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1811" name="Line 79">
          <a:extLst>
            <a:ext uri="{FF2B5EF4-FFF2-40B4-BE49-F238E27FC236}">
              <a16:creationId xmlns:a16="http://schemas.microsoft.com/office/drawing/2014/main" id="{2CC2E2A9-C2B1-41C6-9C1A-06117697FF7A}"/>
            </a:ext>
          </a:extLst>
        </xdr:cNvPr>
        <xdr:cNvSpPr>
          <a:spLocks noChangeShapeType="1"/>
        </xdr:cNvSpPr>
      </xdr:nvSpPr>
      <xdr:spPr bwMode="auto">
        <a:xfrm>
          <a:off x="103727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1812" name="Line 80">
          <a:extLst>
            <a:ext uri="{FF2B5EF4-FFF2-40B4-BE49-F238E27FC236}">
              <a16:creationId xmlns:a16="http://schemas.microsoft.com/office/drawing/2014/main" id="{AA724889-C92B-4D3E-963B-BC526B1871DB}"/>
            </a:ext>
          </a:extLst>
        </xdr:cNvPr>
        <xdr:cNvSpPr>
          <a:spLocks noChangeShapeType="1"/>
        </xdr:cNvSpPr>
      </xdr:nvSpPr>
      <xdr:spPr bwMode="auto">
        <a:xfrm>
          <a:off x="103727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1813" name="Line 81">
          <a:extLst>
            <a:ext uri="{FF2B5EF4-FFF2-40B4-BE49-F238E27FC236}">
              <a16:creationId xmlns:a16="http://schemas.microsoft.com/office/drawing/2014/main" id="{8CBCD28A-FAB9-4A56-AD28-399EF9F482E0}"/>
            </a:ext>
          </a:extLst>
        </xdr:cNvPr>
        <xdr:cNvSpPr>
          <a:spLocks noChangeShapeType="1"/>
        </xdr:cNvSpPr>
      </xdr:nvSpPr>
      <xdr:spPr bwMode="auto">
        <a:xfrm>
          <a:off x="96107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1814" name="Line 82">
          <a:extLst>
            <a:ext uri="{FF2B5EF4-FFF2-40B4-BE49-F238E27FC236}">
              <a16:creationId xmlns:a16="http://schemas.microsoft.com/office/drawing/2014/main" id="{7A10542D-06EB-4DAD-909A-ADF3BE05889D}"/>
            </a:ext>
          </a:extLst>
        </xdr:cNvPr>
        <xdr:cNvSpPr>
          <a:spLocks noChangeShapeType="1"/>
        </xdr:cNvSpPr>
      </xdr:nvSpPr>
      <xdr:spPr bwMode="auto">
        <a:xfrm>
          <a:off x="96107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1815" name="Line 83">
          <a:extLst>
            <a:ext uri="{FF2B5EF4-FFF2-40B4-BE49-F238E27FC236}">
              <a16:creationId xmlns:a16="http://schemas.microsoft.com/office/drawing/2014/main" id="{73B09509-CB46-4F3E-85A5-4DE3556AF445}"/>
            </a:ext>
          </a:extLst>
        </xdr:cNvPr>
        <xdr:cNvSpPr>
          <a:spLocks noChangeShapeType="1"/>
        </xdr:cNvSpPr>
      </xdr:nvSpPr>
      <xdr:spPr bwMode="auto">
        <a:xfrm>
          <a:off x="1431607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1816" name="Line 84">
          <a:extLst>
            <a:ext uri="{FF2B5EF4-FFF2-40B4-BE49-F238E27FC236}">
              <a16:creationId xmlns:a16="http://schemas.microsoft.com/office/drawing/2014/main" id="{1EB00665-F3BF-40B0-BC85-E39CA2A01C07}"/>
            </a:ext>
          </a:extLst>
        </xdr:cNvPr>
        <xdr:cNvSpPr>
          <a:spLocks noChangeShapeType="1"/>
        </xdr:cNvSpPr>
      </xdr:nvSpPr>
      <xdr:spPr bwMode="auto">
        <a:xfrm>
          <a:off x="143160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1817" name="Line 85">
          <a:extLst>
            <a:ext uri="{FF2B5EF4-FFF2-40B4-BE49-F238E27FC236}">
              <a16:creationId xmlns:a16="http://schemas.microsoft.com/office/drawing/2014/main" id="{01D1EAA8-CE86-4FAB-9101-A12FCC2EA993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1818" name="Line 86">
          <a:extLst>
            <a:ext uri="{FF2B5EF4-FFF2-40B4-BE49-F238E27FC236}">
              <a16:creationId xmlns:a16="http://schemas.microsoft.com/office/drawing/2014/main" id="{4001C27A-AEA0-46FD-A2AF-9F57B78D0841}"/>
            </a:ext>
          </a:extLst>
        </xdr:cNvPr>
        <xdr:cNvSpPr>
          <a:spLocks noChangeShapeType="1"/>
        </xdr:cNvSpPr>
      </xdr:nvSpPr>
      <xdr:spPr bwMode="auto">
        <a:xfrm>
          <a:off x="96107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1819" name="Line 87">
          <a:extLst>
            <a:ext uri="{FF2B5EF4-FFF2-40B4-BE49-F238E27FC236}">
              <a16:creationId xmlns:a16="http://schemas.microsoft.com/office/drawing/2014/main" id="{722CDC0A-77A3-4AF3-9A7D-6D94AD596A6B}"/>
            </a:ext>
          </a:extLst>
        </xdr:cNvPr>
        <xdr:cNvSpPr>
          <a:spLocks noChangeShapeType="1"/>
        </xdr:cNvSpPr>
      </xdr:nvSpPr>
      <xdr:spPr bwMode="auto">
        <a:xfrm flipV="1">
          <a:off x="97250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1820" name="Line 88">
          <a:extLst>
            <a:ext uri="{FF2B5EF4-FFF2-40B4-BE49-F238E27FC236}">
              <a16:creationId xmlns:a16="http://schemas.microsoft.com/office/drawing/2014/main" id="{66B44CB8-A693-4F00-B0C9-B91E614B1D36}"/>
            </a:ext>
          </a:extLst>
        </xdr:cNvPr>
        <xdr:cNvSpPr>
          <a:spLocks noChangeShapeType="1"/>
        </xdr:cNvSpPr>
      </xdr:nvSpPr>
      <xdr:spPr bwMode="auto">
        <a:xfrm>
          <a:off x="96107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1821" name="Line 89">
          <a:extLst>
            <a:ext uri="{FF2B5EF4-FFF2-40B4-BE49-F238E27FC236}">
              <a16:creationId xmlns:a16="http://schemas.microsoft.com/office/drawing/2014/main" id="{14488504-5D80-4843-9300-1B247862CC9E}"/>
            </a:ext>
          </a:extLst>
        </xdr:cNvPr>
        <xdr:cNvSpPr>
          <a:spLocks noChangeShapeType="1"/>
        </xdr:cNvSpPr>
      </xdr:nvSpPr>
      <xdr:spPr bwMode="auto">
        <a:xfrm>
          <a:off x="9610725" y="11287125"/>
          <a:ext cx="3009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1822" name="Line 90">
          <a:extLst>
            <a:ext uri="{FF2B5EF4-FFF2-40B4-BE49-F238E27FC236}">
              <a16:creationId xmlns:a16="http://schemas.microsoft.com/office/drawing/2014/main" id="{F253A1F1-E6EA-4C2E-9FFE-F3605382FD22}"/>
            </a:ext>
          </a:extLst>
        </xdr:cNvPr>
        <xdr:cNvSpPr>
          <a:spLocks noChangeShapeType="1"/>
        </xdr:cNvSpPr>
      </xdr:nvSpPr>
      <xdr:spPr bwMode="auto">
        <a:xfrm>
          <a:off x="97250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1823" name="Line 91">
          <a:extLst>
            <a:ext uri="{FF2B5EF4-FFF2-40B4-BE49-F238E27FC236}">
              <a16:creationId xmlns:a16="http://schemas.microsoft.com/office/drawing/2014/main" id="{24AD354D-7B80-478F-A2D9-E9B0C5E01668}"/>
            </a:ext>
          </a:extLst>
        </xdr:cNvPr>
        <xdr:cNvSpPr>
          <a:spLocks noChangeShapeType="1"/>
        </xdr:cNvSpPr>
      </xdr:nvSpPr>
      <xdr:spPr bwMode="auto">
        <a:xfrm flipV="1">
          <a:off x="97250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1824" name="Line 92">
          <a:extLst>
            <a:ext uri="{FF2B5EF4-FFF2-40B4-BE49-F238E27FC236}">
              <a16:creationId xmlns:a16="http://schemas.microsoft.com/office/drawing/2014/main" id="{A04B13D1-9C55-4CD9-9B1E-91F38B05A607}"/>
            </a:ext>
          </a:extLst>
        </xdr:cNvPr>
        <xdr:cNvSpPr>
          <a:spLocks noChangeShapeType="1"/>
        </xdr:cNvSpPr>
      </xdr:nvSpPr>
      <xdr:spPr bwMode="auto">
        <a:xfrm flipV="1">
          <a:off x="96107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1825" name="Line 93">
          <a:extLst>
            <a:ext uri="{FF2B5EF4-FFF2-40B4-BE49-F238E27FC236}">
              <a16:creationId xmlns:a16="http://schemas.microsoft.com/office/drawing/2014/main" id="{3AC01814-93A2-4127-91C9-3C2E3F25F715}"/>
            </a:ext>
          </a:extLst>
        </xdr:cNvPr>
        <xdr:cNvSpPr>
          <a:spLocks noChangeShapeType="1"/>
        </xdr:cNvSpPr>
      </xdr:nvSpPr>
      <xdr:spPr bwMode="auto">
        <a:xfrm>
          <a:off x="97250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1826" name="Line 94">
          <a:extLst>
            <a:ext uri="{FF2B5EF4-FFF2-40B4-BE49-F238E27FC236}">
              <a16:creationId xmlns:a16="http://schemas.microsoft.com/office/drawing/2014/main" id="{DA355749-9539-49AD-B933-AFF5361318AF}"/>
            </a:ext>
          </a:extLst>
        </xdr:cNvPr>
        <xdr:cNvSpPr>
          <a:spLocks noChangeShapeType="1"/>
        </xdr:cNvSpPr>
      </xdr:nvSpPr>
      <xdr:spPr bwMode="auto">
        <a:xfrm>
          <a:off x="1175385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1827" name="Line 95">
          <a:extLst>
            <a:ext uri="{FF2B5EF4-FFF2-40B4-BE49-F238E27FC236}">
              <a16:creationId xmlns:a16="http://schemas.microsoft.com/office/drawing/2014/main" id="{A0B09086-DB32-4128-99CF-95C6D068B1EB}"/>
            </a:ext>
          </a:extLst>
        </xdr:cNvPr>
        <xdr:cNvSpPr>
          <a:spLocks noChangeShapeType="1"/>
        </xdr:cNvSpPr>
      </xdr:nvSpPr>
      <xdr:spPr bwMode="auto">
        <a:xfrm>
          <a:off x="1175385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1828" name="Line 96">
          <a:extLst>
            <a:ext uri="{FF2B5EF4-FFF2-40B4-BE49-F238E27FC236}">
              <a16:creationId xmlns:a16="http://schemas.microsoft.com/office/drawing/2014/main" id="{351B759F-250D-4000-BCD7-E1AB2346BF76}"/>
            </a:ext>
          </a:extLst>
        </xdr:cNvPr>
        <xdr:cNvSpPr>
          <a:spLocks noChangeShapeType="1"/>
        </xdr:cNvSpPr>
      </xdr:nvSpPr>
      <xdr:spPr bwMode="auto">
        <a:xfrm>
          <a:off x="96107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1829" name="Line 97">
          <a:extLst>
            <a:ext uri="{FF2B5EF4-FFF2-40B4-BE49-F238E27FC236}">
              <a16:creationId xmlns:a16="http://schemas.microsoft.com/office/drawing/2014/main" id="{0359C741-86D2-4F11-A20E-3C57260657ED}"/>
            </a:ext>
          </a:extLst>
        </xdr:cNvPr>
        <xdr:cNvSpPr>
          <a:spLocks noChangeShapeType="1"/>
        </xdr:cNvSpPr>
      </xdr:nvSpPr>
      <xdr:spPr bwMode="auto">
        <a:xfrm>
          <a:off x="1175385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1830" name="Line 98">
          <a:extLst>
            <a:ext uri="{FF2B5EF4-FFF2-40B4-BE49-F238E27FC236}">
              <a16:creationId xmlns:a16="http://schemas.microsoft.com/office/drawing/2014/main" id="{8F556084-7E20-4DC3-AC02-E908E5FDC2DA}"/>
            </a:ext>
          </a:extLst>
        </xdr:cNvPr>
        <xdr:cNvSpPr>
          <a:spLocks noChangeShapeType="1"/>
        </xdr:cNvSpPr>
      </xdr:nvSpPr>
      <xdr:spPr bwMode="auto">
        <a:xfrm flipV="1">
          <a:off x="96107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1831" name="Line 99">
          <a:extLst>
            <a:ext uri="{FF2B5EF4-FFF2-40B4-BE49-F238E27FC236}">
              <a16:creationId xmlns:a16="http://schemas.microsoft.com/office/drawing/2014/main" id="{6247F6AA-4FEE-453C-9775-532C0F0C9A6C}"/>
            </a:ext>
          </a:extLst>
        </xdr:cNvPr>
        <xdr:cNvSpPr>
          <a:spLocks noChangeShapeType="1"/>
        </xdr:cNvSpPr>
      </xdr:nvSpPr>
      <xdr:spPr bwMode="auto">
        <a:xfrm>
          <a:off x="103727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1832" name="Line 100">
          <a:extLst>
            <a:ext uri="{FF2B5EF4-FFF2-40B4-BE49-F238E27FC236}">
              <a16:creationId xmlns:a16="http://schemas.microsoft.com/office/drawing/2014/main" id="{7ED4828B-75C7-46EF-AD2D-81A5FAC2B695}"/>
            </a:ext>
          </a:extLst>
        </xdr:cNvPr>
        <xdr:cNvSpPr>
          <a:spLocks noChangeShapeType="1"/>
        </xdr:cNvSpPr>
      </xdr:nvSpPr>
      <xdr:spPr bwMode="auto">
        <a:xfrm>
          <a:off x="143160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1833" name="Line 101">
          <a:extLst>
            <a:ext uri="{FF2B5EF4-FFF2-40B4-BE49-F238E27FC236}">
              <a16:creationId xmlns:a16="http://schemas.microsoft.com/office/drawing/2014/main" id="{C1A7A902-CB2C-4467-81F2-D8D2145A3F5F}"/>
            </a:ext>
          </a:extLst>
        </xdr:cNvPr>
        <xdr:cNvSpPr>
          <a:spLocks noChangeShapeType="1"/>
        </xdr:cNvSpPr>
      </xdr:nvSpPr>
      <xdr:spPr bwMode="auto">
        <a:xfrm>
          <a:off x="13896975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1834" name="Line 102">
          <a:extLst>
            <a:ext uri="{FF2B5EF4-FFF2-40B4-BE49-F238E27FC236}">
              <a16:creationId xmlns:a16="http://schemas.microsoft.com/office/drawing/2014/main" id="{4DA1CD55-1859-4D66-8EED-EEE978C25BA0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1835" name="Line 103">
          <a:extLst>
            <a:ext uri="{FF2B5EF4-FFF2-40B4-BE49-F238E27FC236}">
              <a16:creationId xmlns:a16="http://schemas.microsoft.com/office/drawing/2014/main" id="{2C597730-664A-4FE2-A8E8-EFCDFFE3DE09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1836" name="Line 104">
          <a:extLst>
            <a:ext uri="{FF2B5EF4-FFF2-40B4-BE49-F238E27FC236}">
              <a16:creationId xmlns:a16="http://schemas.microsoft.com/office/drawing/2014/main" id="{E46992E7-BEC4-43CD-B7C4-5B05291434E9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1837" name="Line 105">
          <a:extLst>
            <a:ext uri="{FF2B5EF4-FFF2-40B4-BE49-F238E27FC236}">
              <a16:creationId xmlns:a16="http://schemas.microsoft.com/office/drawing/2014/main" id="{8ACF8150-E2D1-4EDD-AE13-6731C06D92FF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1838" name="Line 106">
          <a:extLst>
            <a:ext uri="{FF2B5EF4-FFF2-40B4-BE49-F238E27FC236}">
              <a16:creationId xmlns:a16="http://schemas.microsoft.com/office/drawing/2014/main" id="{68E6FBD5-3415-4286-9DB7-BF3823717808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1839" name="Line 107">
          <a:extLst>
            <a:ext uri="{FF2B5EF4-FFF2-40B4-BE49-F238E27FC236}">
              <a16:creationId xmlns:a16="http://schemas.microsoft.com/office/drawing/2014/main" id="{F014372C-8124-452B-925C-7455E09A714C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1840" name="Line 108">
          <a:extLst>
            <a:ext uri="{FF2B5EF4-FFF2-40B4-BE49-F238E27FC236}">
              <a16:creationId xmlns:a16="http://schemas.microsoft.com/office/drawing/2014/main" id="{07A4C128-4952-4B88-B110-7C989812B59A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1841" name="Line 109">
          <a:extLst>
            <a:ext uri="{FF2B5EF4-FFF2-40B4-BE49-F238E27FC236}">
              <a16:creationId xmlns:a16="http://schemas.microsoft.com/office/drawing/2014/main" id="{51BEDB0D-8C2C-43F6-9AA9-7F7A2208F1DE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1842" name="Line 110">
          <a:extLst>
            <a:ext uri="{FF2B5EF4-FFF2-40B4-BE49-F238E27FC236}">
              <a16:creationId xmlns:a16="http://schemas.microsoft.com/office/drawing/2014/main" id="{8AA855F1-9976-4A7A-BF18-B53D6EEAABD5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1843" name="Line 111">
          <a:extLst>
            <a:ext uri="{FF2B5EF4-FFF2-40B4-BE49-F238E27FC236}">
              <a16:creationId xmlns:a16="http://schemas.microsoft.com/office/drawing/2014/main" id="{EECE7AE3-16BF-4F20-8FC5-FB8271F4EF40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1844" name="Line 112">
          <a:extLst>
            <a:ext uri="{FF2B5EF4-FFF2-40B4-BE49-F238E27FC236}">
              <a16:creationId xmlns:a16="http://schemas.microsoft.com/office/drawing/2014/main" id="{4038A6AD-4294-49A8-8885-53E600FF095A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1845" name="Line 113">
          <a:extLst>
            <a:ext uri="{FF2B5EF4-FFF2-40B4-BE49-F238E27FC236}">
              <a16:creationId xmlns:a16="http://schemas.microsoft.com/office/drawing/2014/main" id="{4287631E-A409-4226-AFF7-B40FC347D70A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1846" name="Line 114">
          <a:extLst>
            <a:ext uri="{FF2B5EF4-FFF2-40B4-BE49-F238E27FC236}">
              <a16:creationId xmlns:a16="http://schemas.microsoft.com/office/drawing/2014/main" id="{6F36B326-9104-4A92-9937-5425EED7F3E8}"/>
            </a:ext>
          </a:extLst>
        </xdr:cNvPr>
        <xdr:cNvSpPr>
          <a:spLocks noChangeShapeType="1"/>
        </xdr:cNvSpPr>
      </xdr:nvSpPr>
      <xdr:spPr bwMode="auto">
        <a:xfrm flipV="1">
          <a:off x="96107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2757" name="Line 1">
          <a:extLst>
            <a:ext uri="{FF2B5EF4-FFF2-40B4-BE49-F238E27FC236}">
              <a16:creationId xmlns:a16="http://schemas.microsoft.com/office/drawing/2014/main" id="{C7690091-02B3-4133-A540-70A1F33C2E3E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2758" name="Line 2">
          <a:extLst>
            <a:ext uri="{FF2B5EF4-FFF2-40B4-BE49-F238E27FC236}">
              <a16:creationId xmlns:a16="http://schemas.microsoft.com/office/drawing/2014/main" id="{D40D98C0-22F7-4CA1-A03A-A212C1217144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2759" name="Line 3">
          <a:extLst>
            <a:ext uri="{FF2B5EF4-FFF2-40B4-BE49-F238E27FC236}">
              <a16:creationId xmlns:a16="http://schemas.microsoft.com/office/drawing/2014/main" id="{657DC229-51FB-4D70-A1D9-CE2844106AF0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2760" name="Line 4">
          <a:extLst>
            <a:ext uri="{FF2B5EF4-FFF2-40B4-BE49-F238E27FC236}">
              <a16:creationId xmlns:a16="http://schemas.microsoft.com/office/drawing/2014/main" id="{EA18707C-AE67-4282-8102-419742A7C33D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2761" name="Line 5">
          <a:extLst>
            <a:ext uri="{FF2B5EF4-FFF2-40B4-BE49-F238E27FC236}">
              <a16:creationId xmlns:a16="http://schemas.microsoft.com/office/drawing/2014/main" id="{867D8F3E-4BC5-431F-939F-619E01E0547D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2762" name="Line 6">
          <a:extLst>
            <a:ext uri="{FF2B5EF4-FFF2-40B4-BE49-F238E27FC236}">
              <a16:creationId xmlns:a16="http://schemas.microsoft.com/office/drawing/2014/main" id="{B2C106F3-27BD-4992-9539-DFDB9287FA41}"/>
            </a:ext>
          </a:extLst>
        </xdr:cNvPr>
        <xdr:cNvSpPr>
          <a:spLocks noChangeShapeType="1"/>
        </xdr:cNvSpPr>
      </xdr:nvSpPr>
      <xdr:spPr bwMode="auto">
        <a:xfrm>
          <a:off x="5905500" y="25431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2763" name="Line 7">
          <a:extLst>
            <a:ext uri="{FF2B5EF4-FFF2-40B4-BE49-F238E27FC236}">
              <a16:creationId xmlns:a16="http://schemas.microsoft.com/office/drawing/2014/main" id="{00DF0E12-E47E-493C-86F4-AF3C7F5FF53C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3724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2764" name="Line 8">
          <a:extLst>
            <a:ext uri="{FF2B5EF4-FFF2-40B4-BE49-F238E27FC236}">
              <a16:creationId xmlns:a16="http://schemas.microsoft.com/office/drawing/2014/main" id="{C5E09ED5-5BA4-473B-AE80-0B9ABE12D690}"/>
            </a:ext>
          </a:extLst>
        </xdr:cNvPr>
        <xdr:cNvSpPr>
          <a:spLocks noChangeShapeType="1"/>
        </xdr:cNvSpPr>
      </xdr:nvSpPr>
      <xdr:spPr bwMode="auto">
        <a:xfrm>
          <a:off x="5905500" y="30480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2765" name="Line 9">
          <a:extLst>
            <a:ext uri="{FF2B5EF4-FFF2-40B4-BE49-F238E27FC236}">
              <a16:creationId xmlns:a16="http://schemas.microsoft.com/office/drawing/2014/main" id="{1F0EB183-31E3-463B-99FA-A63261B7FEEF}"/>
            </a:ext>
          </a:extLst>
        </xdr:cNvPr>
        <xdr:cNvSpPr>
          <a:spLocks noChangeShapeType="1"/>
        </xdr:cNvSpPr>
      </xdr:nvSpPr>
      <xdr:spPr bwMode="auto">
        <a:xfrm>
          <a:off x="5905500" y="27146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2766" name="Line 10">
          <a:extLst>
            <a:ext uri="{FF2B5EF4-FFF2-40B4-BE49-F238E27FC236}">
              <a16:creationId xmlns:a16="http://schemas.microsoft.com/office/drawing/2014/main" id="{BE0D994C-A621-4E05-A960-FC88AA4AB6D1}"/>
            </a:ext>
          </a:extLst>
        </xdr:cNvPr>
        <xdr:cNvSpPr>
          <a:spLocks noChangeShapeType="1"/>
        </xdr:cNvSpPr>
      </xdr:nvSpPr>
      <xdr:spPr bwMode="auto">
        <a:xfrm>
          <a:off x="5905500" y="69056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2767" name="Line 11">
          <a:extLst>
            <a:ext uri="{FF2B5EF4-FFF2-40B4-BE49-F238E27FC236}">
              <a16:creationId xmlns:a16="http://schemas.microsoft.com/office/drawing/2014/main" id="{81F6347F-B1D0-4056-94BF-F179CF5EB0C6}"/>
            </a:ext>
          </a:extLst>
        </xdr:cNvPr>
        <xdr:cNvSpPr>
          <a:spLocks noChangeShapeType="1"/>
        </xdr:cNvSpPr>
      </xdr:nvSpPr>
      <xdr:spPr bwMode="auto">
        <a:xfrm>
          <a:off x="5905500" y="72294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2768" name="Line 12">
          <a:extLst>
            <a:ext uri="{FF2B5EF4-FFF2-40B4-BE49-F238E27FC236}">
              <a16:creationId xmlns:a16="http://schemas.microsoft.com/office/drawing/2014/main" id="{1D6E568A-20F8-4AC7-8302-CA59D7C27B64}"/>
            </a:ext>
          </a:extLst>
        </xdr:cNvPr>
        <xdr:cNvSpPr>
          <a:spLocks noChangeShapeType="1"/>
        </xdr:cNvSpPr>
      </xdr:nvSpPr>
      <xdr:spPr bwMode="auto">
        <a:xfrm>
          <a:off x="5905500" y="73914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2769" name="Line 13">
          <a:extLst>
            <a:ext uri="{FF2B5EF4-FFF2-40B4-BE49-F238E27FC236}">
              <a16:creationId xmlns:a16="http://schemas.microsoft.com/office/drawing/2014/main" id="{EF7E8858-9D7C-49BF-B71C-C2FC65526074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3171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2770" name="Line 14">
          <a:extLst>
            <a:ext uri="{FF2B5EF4-FFF2-40B4-BE49-F238E27FC236}">
              <a16:creationId xmlns:a16="http://schemas.microsoft.com/office/drawing/2014/main" id="{00C01F00-66FE-41C5-A689-A794CA7175B1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2771" name="Line 15">
          <a:extLst>
            <a:ext uri="{FF2B5EF4-FFF2-40B4-BE49-F238E27FC236}">
              <a16:creationId xmlns:a16="http://schemas.microsoft.com/office/drawing/2014/main" id="{59F2FA22-F8E3-4CBE-8AE5-E0BD19A53D5E}"/>
            </a:ext>
          </a:extLst>
        </xdr:cNvPr>
        <xdr:cNvSpPr>
          <a:spLocks noChangeShapeType="1"/>
        </xdr:cNvSpPr>
      </xdr:nvSpPr>
      <xdr:spPr bwMode="auto">
        <a:xfrm>
          <a:off x="11572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2772" name="Line 16">
          <a:extLst>
            <a:ext uri="{FF2B5EF4-FFF2-40B4-BE49-F238E27FC236}">
              <a16:creationId xmlns:a16="http://schemas.microsoft.com/office/drawing/2014/main" id="{E7932251-86A8-4C46-992A-31998EF90CA3}"/>
            </a:ext>
          </a:extLst>
        </xdr:cNvPr>
        <xdr:cNvSpPr>
          <a:spLocks noChangeShapeType="1"/>
        </xdr:cNvSpPr>
      </xdr:nvSpPr>
      <xdr:spPr bwMode="auto">
        <a:xfrm>
          <a:off x="11572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2773" name="Line 17">
          <a:extLst>
            <a:ext uri="{FF2B5EF4-FFF2-40B4-BE49-F238E27FC236}">
              <a16:creationId xmlns:a16="http://schemas.microsoft.com/office/drawing/2014/main" id="{1BF991A2-6A84-4D7D-9842-1D2593145DBE}"/>
            </a:ext>
          </a:extLst>
        </xdr:cNvPr>
        <xdr:cNvSpPr>
          <a:spLocks noChangeShapeType="1"/>
        </xdr:cNvSpPr>
      </xdr:nvSpPr>
      <xdr:spPr bwMode="auto">
        <a:xfrm>
          <a:off x="10810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2774" name="Line 18">
          <a:extLst>
            <a:ext uri="{FF2B5EF4-FFF2-40B4-BE49-F238E27FC236}">
              <a16:creationId xmlns:a16="http://schemas.microsoft.com/office/drawing/2014/main" id="{748FBF80-6F38-4A82-84F3-95A1B4F757CE}"/>
            </a:ext>
          </a:extLst>
        </xdr:cNvPr>
        <xdr:cNvSpPr>
          <a:spLocks noChangeShapeType="1"/>
        </xdr:cNvSpPr>
      </xdr:nvSpPr>
      <xdr:spPr bwMode="auto">
        <a:xfrm>
          <a:off x="115728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2775" name="Line 19">
          <a:extLst>
            <a:ext uri="{FF2B5EF4-FFF2-40B4-BE49-F238E27FC236}">
              <a16:creationId xmlns:a16="http://schemas.microsoft.com/office/drawing/2014/main" id="{9DA02DF4-4A49-448A-B033-D72CCEEDA234}"/>
            </a:ext>
          </a:extLst>
        </xdr:cNvPr>
        <xdr:cNvSpPr>
          <a:spLocks noChangeShapeType="1"/>
        </xdr:cNvSpPr>
      </xdr:nvSpPr>
      <xdr:spPr bwMode="auto">
        <a:xfrm>
          <a:off x="11572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2776" name="Line 20">
          <a:extLst>
            <a:ext uri="{FF2B5EF4-FFF2-40B4-BE49-F238E27FC236}">
              <a16:creationId xmlns:a16="http://schemas.microsoft.com/office/drawing/2014/main" id="{9F75F059-EC29-445B-BCD7-E2D2F36B91F5}"/>
            </a:ext>
          </a:extLst>
        </xdr:cNvPr>
        <xdr:cNvSpPr>
          <a:spLocks noChangeShapeType="1"/>
        </xdr:cNvSpPr>
      </xdr:nvSpPr>
      <xdr:spPr bwMode="auto">
        <a:xfrm>
          <a:off x="10810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2777" name="Line 21">
          <a:extLst>
            <a:ext uri="{FF2B5EF4-FFF2-40B4-BE49-F238E27FC236}">
              <a16:creationId xmlns:a16="http://schemas.microsoft.com/office/drawing/2014/main" id="{1177AF6B-C013-46F6-8F91-58CC9E12B713}"/>
            </a:ext>
          </a:extLst>
        </xdr:cNvPr>
        <xdr:cNvSpPr>
          <a:spLocks noChangeShapeType="1"/>
        </xdr:cNvSpPr>
      </xdr:nvSpPr>
      <xdr:spPr bwMode="auto">
        <a:xfrm>
          <a:off x="115728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2778" name="Line 22">
          <a:extLst>
            <a:ext uri="{FF2B5EF4-FFF2-40B4-BE49-F238E27FC236}">
              <a16:creationId xmlns:a16="http://schemas.microsoft.com/office/drawing/2014/main" id="{0D5A8305-FFA4-4DDE-B5AB-EA8780B23758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2779" name="Line 23">
          <a:extLst>
            <a:ext uri="{FF2B5EF4-FFF2-40B4-BE49-F238E27FC236}">
              <a16:creationId xmlns:a16="http://schemas.microsoft.com/office/drawing/2014/main" id="{7D6E7907-CB3C-420C-A02F-1FEAA00C15AD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2780" name="Line 24">
          <a:extLst>
            <a:ext uri="{FF2B5EF4-FFF2-40B4-BE49-F238E27FC236}">
              <a16:creationId xmlns:a16="http://schemas.microsoft.com/office/drawing/2014/main" id="{063D0390-92E0-45C0-BDE7-D6EDC799BE9D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2781" name="Line 25">
          <a:extLst>
            <a:ext uri="{FF2B5EF4-FFF2-40B4-BE49-F238E27FC236}">
              <a16:creationId xmlns:a16="http://schemas.microsoft.com/office/drawing/2014/main" id="{D9EE5608-E27B-411D-A5C5-4F6010FB0251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2782" name="Line 26">
          <a:extLst>
            <a:ext uri="{FF2B5EF4-FFF2-40B4-BE49-F238E27FC236}">
              <a16:creationId xmlns:a16="http://schemas.microsoft.com/office/drawing/2014/main" id="{44BB072B-231B-49E2-868E-BD4DACE4F69A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2783" name="Line 27">
          <a:extLst>
            <a:ext uri="{FF2B5EF4-FFF2-40B4-BE49-F238E27FC236}">
              <a16:creationId xmlns:a16="http://schemas.microsoft.com/office/drawing/2014/main" id="{A72A0AAF-4329-45F0-AB88-4ABDFD502D73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2784" name="Line 28">
          <a:extLst>
            <a:ext uri="{FF2B5EF4-FFF2-40B4-BE49-F238E27FC236}">
              <a16:creationId xmlns:a16="http://schemas.microsoft.com/office/drawing/2014/main" id="{449509A1-AEDD-4B64-AE5C-4AE480C0287B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2785" name="Line 29">
          <a:extLst>
            <a:ext uri="{FF2B5EF4-FFF2-40B4-BE49-F238E27FC236}">
              <a16:creationId xmlns:a16="http://schemas.microsoft.com/office/drawing/2014/main" id="{DB095085-7965-4AAA-8CE7-F407E8F69086}"/>
            </a:ext>
          </a:extLst>
        </xdr:cNvPr>
        <xdr:cNvSpPr>
          <a:spLocks noChangeShapeType="1"/>
        </xdr:cNvSpPr>
      </xdr:nvSpPr>
      <xdr:spPr bwMode="auto">
        <a:xfrm flipV="1">
          <a:off x="5905500" y="82391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2786" name="Line 30">
          <a:extLst>
            <a:ext uri="{FF2B5EF4-FFF2-40B4-BE49-F238E27FC236}">
              <a16:creationId xmlns:a16="http://schemas.microsoft.com/office/drawing/2014/main" id="{E46D2C0F-A3BE-49B0-A357-10C6EE11352D}"/>
            </a:ext>
          </a:extLst>
        </xdr:cNvPr>
        <xdr:cNvSpPr>
          <a:spLocks noChangeShapeType="1"/>
        </xdr:cNvSpPr>
      </xdr:nvSpPr>
      <xdr:spPr bwMode="auto">
        <a:xfrm>
          <a:off x="5905500" y="84105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2787" name="Line 31">
          <a:extLst>
            <a:ext uri="{FF2B5EF4-FFF2-40B4-BE49-F238E27FC236}">
              <a16:creationId xmlns:a16="http://schemas.microsoft.com/office/drawing/2014/main" id="{62504067-5E1C-4F9A-ABE2-17EA4FA47038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4305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2788" name="Line 32">
          <a:extLst>
            <a:ext uri="{FF2B5EF4-FFF2-40B4-BE49-F238E27FC236}">
              <a16:creationId xmlns:a16="http://schemas.microsoft.com/office/drawing/2014/main" id="{15EF0EC7-AD24-4F08-AC66-DA44107C77B0}"/>
            </a:ext>
          </a:extLst>
        </xdr:cNvPr>
        <xdr:cNvSpPr>
          <a:spLocks noChangeShapeType="1"/>
        </xdr:cNvSpPr>
      </xdr:nvSpPr>
      <xdr:spPr bwMode="auto">
        <a:xfrm flipV="1">
          <a:off x="5905500" y="129635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2789" name="Line 33">
          <a:extLst>
            <a:ext uri="{FF2B5EF4-FFF2-40B4-BE49-F238E27FC236}">
              <a16:creationId xmlns:a16="http://schemas.microsoft.com/office/drawing/2014/main" id="{2282E6B1-7EDE-45A3-9BE2-CE324430FBF3}"/>
            </a:ext>
          </a:extLst>
        </xdr:cNvPr>
        <xdr:cNvSpPr>
          <a:spLocks noChangeShapeType="1"/>
        </xdr:cNvSpPr>
      </xdr:nvSpPr>
      <xdr:spPr bwMode="auto">
        <a:xfrm>
          <a:off x="5905500" y="1280160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2790" name="Line 34">
          <a:extLst>
            <a:ext uri="{FF2B5EF4-FFF2-40B4-BE49-F238E27FC236}">
              <a16:creationId xmlns:a16="http://schemas.microsoft.com/office/drawing/2014/main" id="{3D4599B6-D801-400B-A50D-FC427E016D5C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3171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2791" name="Line 35">
          <a:extLst>
            <a:ext uri="{FF2B5EF4-FFF2-40B4-BE49-F238E27FC236}">
              <a16:creationId xmlns:a16="http://schemas.microsoft.com/office/drawing/2014/main" id="{BCF62C69-BBF5-44D5-AA6C-3D166458D8A4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2792" name="Line 36">
          <a:extLst>
            <a:ext uri="{FF2B5EF4-FFF2-40B4-BE49-F238E27FC236}">
              <a16:creationId xmlns:a16="http://schemas.microsoft.com/office/drawing/2014/main" id="{48FC9235-8ADD-4AA7-8E4C-ACE5B9A3A0BA}"/>
            </a:ext>
          </a:extLst>
        </xdr:cNvPr>
        <xdr:cNvSpPr>
          <a:spLocks noChangeShapeType="1"/>
        </xdr:cNvSpPr>
      </xdr:nvSpPr>
      <xdr:spPr bwMode="auto">
        <a:xfrm flipV="1">
          <a:off x="115728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2793" name="Line 37">
          <a:extLst>
            <a:ext uri="{FF2B5EF4-FFF2-40B4-BE49-F238E27FC236}">
              <a16:creationId xmlns:a16="http://schemas.microsoft.com/office/drawing/2014/main" id="{E1D2A6D1-8627-4DBD-978E-D964025255ED}"/>
            </a:ext>
          </a:extLst>
        </xdr:cNvPr>
        <xdr:cNvSpPr>
          <a:spLocks noChangeShapeType="1"/>
        </xdr:cNvSpPr>
      </xdr:nvSpPr>
      <xdr:spPr bwMode="auto">
        <a:xfrm>
          <a:off x="10810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2794" name="Line 38">
          <a:extLst>
            <a:ext uri="{FF2B5EF4-FFF2-40B4-BE49-F238E27FC236}">
              <a16:creationId xmlns:a16="http://schemas.microsoft.com/office/drawing/2014/main" id="{94C73DED-812B-4095-ACB8-A57A68C84FF5}"/>
            </a:ext>
          </a:extLst>
        </xdr:cNvPr>
        <xdr:cNvSpPr>
          <a:spLocks noChangeShapeType="1"/>
        </xdr:cNvSpPr>
      </xdr:nvSpPr>
      <xdr:spPr bwMode="auto">
        <a:xfrm>
          <a:off x="12963525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2795" name="Line 39">
          <a:extLst>
            <a:ext uri="{FF2B5EF4-FFF2-40B4-BE49-F238E27FC236}">
              <a16:creationId xmlns:a16="http://schemas.microsoft.com/office/drawing/2014/main" id="{86E84F78-269B-49A7-B252-DDD0DEAB1BF2}"/>
            </a:ext>
          </a:extLst>
        </xdr:cNvPr>
        <xdr:cNvSpPr>
          <a:spLocks noChangeShapeType="1"/>
        </xdr:cNvSpPr>
      </xdr:nvSpPr>
      <xdr:spPr bwMode="auto">
        <a:xfrm>
          <a:off x="12963525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2796" name="Line 40">
          <a:extLst>
            <a:ext uri="{FF2B5EF4-FFF2-40B4-BE49-F238E27FC236}">
              <a16:creationId xmlns:a16="http://schemas.microsoft.com/office/drawing/2014/main" id="{F1EE3142-57AD-460F-8994-FFC4CBFE60A3}"/>
            </a:ext>
          </a:extLst>
        </xdr:cNvPr>
        <xdr:cNvSpPr>
          <a:spLocks noChangeShapeType="1"/>
        </xdr:cNvSpPr>
      </xdr:nvSpPr>
      <xdr:spPr bwMode="auto">
        <a:xfrm>
          <a:off x="12963525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2797" name="Line 41">
          <a:extLst>
            <a:ext uri="{FF2B5EF4-FFF2-40B4-BE49-F238E27FC236}">
              <a16:creationId xmlns:a16="http://schemas.microsoft.com/office/drawing/2014/main" id="{3F978CBA-3DF7-44B3-8B67-7E0766A7F18A}"/>
            </a:ext>
          </a:extLst>
        </xdr:cNvPr>
        <xdr:cNvSpPr>
          <a:spLocks noChangeShapeType="1"/>
        </xdr:cNvSpPr>
      </xdr:nvSpPr>
      <xdr:spPr bwMode="auto">
        <a:xfrm>
          <a:off x="1223962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2798" name="Line 42">
          <a:extLst>
            <a:ext uri="{FF2B5EF4-FFF2-40B4-BE49-F238E27FC236}">
              <a16:creationId xmlns:a16="http://schemas.microsoft.com/office/drawing/2014/main" id="{273F03A0-149A-41D3-B8BB-999ED11506FA}"/>
            </a:ext>
          </a:extLst>
        </xdr:cNvPr>
        <xdr:cNvSpPr>
          <a:spLocks noChangeShapeType="1"/>
        </xdr:cNvSpPr>
      </xdr:nvSpPr>
      <xdr:spPr bwMode="auto">
        <a:xfrm>
          <a:off x="155257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2799" name="Line 43">
          <a:extLst>
            <a:ext uri="{FF2B5EF4-FFF2-40B4-BE49-F238E27FC236}">
              <a16:creationId xmlns:a16="http://schemas.microsoft.com/office/drawing/2014/main" id="{14A997E7-E2E4-437A-A1E2-0142C027D11D}"/>
            </a:ext>
          </a:extLst>
        </xdr:cNvPr>
        <xdr:cNvSpPr>
          <a:spLocks noChangeShapeType="1"/>
        </xdr:cNvSpPr>
      </xdr:nvSpPr>
      <xdr:spPr bwMode="auto">
        <a:xfrm>
          <a:off x="155257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2800" name="Line 44">
          <a:extLst>
            <a:ext uri="{FF2B5EF4-FFF2-40B4-BE49-F238E27FC236}">
              <a16:creationId xmlns:a16="http://schemas.microsoft.com/office/drawing/2014/main" id="{77DF3F4D-884F-4E5F-9ECE-B998BFFC19CC}"/>
            </a:ext>
          </a:extLst>
        </xdr:cNvPr>
        <xdr:cNvSpPr>
          <a:spLocks noChangeShapeType="1"/>
        </xdr:cNvSpPr>
      </xdr:nvSpPr>
      <xdr:spPr bwMode="auto">
        <a:xfrm>
          <a:off x="151066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2801" name="Line 45">
          <a:extLst>
            <a:ext uri="{FF2B5EF4-FFF2-40B4-BE49-F238E27FC236}">
              <a16:creationId xmlns:a16="http://schemas.microsoft.com/office/drawing/2014/main" id="{BB5ED03B-4761-4375-87C7-895292F8B64C}"/>
            </a:ext>
          </a:extLst>
        </xdr:cNvPr>
        <xdr:cNvSpPr>
          <a:spLocks noChangeShapeType="1"/>
        </xdr:cNvSpPr>
      </xdr:nvSpPr>
      <xdr:spPr bwMode="auto">
        <a:xfrm>
          <a:off x="155257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2802" name="Line 46">
          <a:extLst>
            <a:ext uri="{FF2B5EF4-FFF2-40B4-BE49-F238E27FC236}">
              <a16:creationId xmlns:a16="http://schemas.microsoft.com/office/drawing/2014/main" id="{E7250876-A5B7-40A8-9227-6103D62729D3}"/>
            </a:ext>
          </a:extLst>
        </xdr:cNvPr>
        <xdr:cNvSpPr>
          <a:spLocks noChangeShapeType="1"/>
        </xdr:cNvSpPr>
      </xdr:nvSpPr>
      <xdr:spPr bwMode="auto">
        <a:xfrm>
          <a:off x="155257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2803" name="Line 47">
          <a:extLst>
            <a:ext uri="{FF2B5EF4-FFF2-40B4-BE49-F238E27FC236}">
              <a16:creationId xmlns:a16="http://schemas.microsoft.com/office/drawing/2014/main" id="{1D91BF2F-082E-4F75-9A73-1205C75784C7}"/>
            </a:ext>
          </a:extLst>
        </xdr:cNvPr>
        <xdr:cNvSpPr>
          <a:spLocks noChangeShapeType="1"/>
        </xdr:cNvSpPr>
      </xdr:nvSpPr>
      <xdr:spPr bwMode="auto">
        <a:xfrm>
          <a:off x="151066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2804" name="Line 48">
          <a:extLst>
            <a:ext uri="{FF2B5EF4-FFF2-40B4-BE49-F238E27FC236}">
              <a16:creationId xmlns:a16="http://schemas.microsoft.com/office/drawing/2014/main" id="{6D59250C-810C-46A3-AF21-1B5AB4FC59FC}"/>
            </a:ext>
          </a:extLst>
        </xdr:cNvPr>
        <xdr:cNvSpPr>
          <a:spLocks noChangeShapeType="1"/>
        </xdr:cNvSpPr>
      </xdr:nvSpPr>
      <xdr:spPr bwMode="auto">
        <a:xfrm>
          <a:off x="155257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2805" name="Line 49">
          <a:extLst>
            <a:ext uri="{FF2B5EF4-FFF2-40B4-BE49-F238E27FC236}">
              <a16:creationId xmlns:a16="http://schemas.microsoft.com/office/drawing/2014/main" id="{785FF2B2-9180-4FE7-99BF-B2EEEB333858}"/>
            </a:ext>
          </a:extLst>
        </xdr:cNvPr>
        <xdr:cNvSpPr>
          <a:spLocks noChangeShapeType="1"/>
        </xdr:cNvSpPr>
      </xdr:nvSpPr>
      <xdr:spPr bwMode="auto">
        <a:xfrm>
          <a:off x="151066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2806" name="Line 50">
          <a:extLst>
            <a:ext uri="{FF2B5EF4-FFF2-40B4-BE49-F238E27FC236}">
              <a16:creationId xmlns:a16="http://schemas.microsoft.com/office/drawing/2014/main" id="{6A16671B-BC7B-4635-9CA9-F3D46179A565}"/>
            </a:ext>
          </a:extLst>
        </xdr:cNvPr>
        <xdr:cNvSpPr>
          <a:spLocks noChangeShapeType="1"/>
        </xdr:cNvSpPr>
      </xdr:nvSpPr>
      <xdr:spPr bwMode="auto">
        <a:xfrm flipV="1">
          <a:off x="155257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2807" name="Line 51">
          <a:extLst>
            <a:ext uri="{FF2B5EF4-FFF2-40B4-BE49-F238E27FC236}">
              <a16:creationId xmlns:a16="http://schemas.microsoft.com/office/drawing/2014/main" id="{E8DA1630-4283-47EB-A3FF-5CE1BC46EE52}"/>
            </a:ext>
          </a:extLst>
        </xdr:cNvPr>
        <xdr:cNvSpPr>
          <a:spLocks noChangeShapeType="1"/>
        </xdr:cNvSpPr>
      </xdr:nvSpPr>
      <xdr:spPr bwMode="auto">
        <a:xfrm flipV="1">
          <a:off x="151066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2808" name="Line 52">
          <a:extLst>
            <a:ext uri="{FF2B5EF4-FFF2-40B4-BE49-F238E27FC236}">
              <a16:creationId xmlns:a16="http://schemas.microsoft.com/office/drawing/2014/main" id="{F7B4F865-46FD-4A78-8D0F-82DAE9B2456B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2809" name="Line 53">
          <a:extLst>
            <a:ext uri="{FF2B5EF4-FFF2-40B4-BE49-F238E27FC236}">
              <a16:creationId xmlns:a16="http://schemas.microsoft.com/office/drawing/2014/main" id="{B0E7865E-6C01-4D4B-9114-C91843F0F081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22479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2810" name="Line 54">
          <a:extLst>
            <a:ext uri="{FF2B5EF4-FFF2-40B4-BE49-F238E27FC236}">
              <a16:creationId xmlns:a16="http://schemas.microsoft.com/office/drawing/2014/main" id="{09FE4F54-FB00-4468-A439-4CCB600ACAA7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2811" name="Line 55">
          <a:extLst>
            <a:ext uri="{FF2B5EF4-FFF2-40B4-BE49-F238E27FC236}">
              <a16:creationId xmlns:a16="http://schemas.microsoft.com/office/drawing/2014/main" id="{4891D702-1C59-4023-9420-F76B97604760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2812" name="Line 56">
          <a:extLst>
            <a:ext uri="{FF2B5EF4-FFF2-40B4-BE49-F238E27FC236}">
              <a16:creationId xmlns:a16="http://schemas.microsoft.com/office/drawing/2014/main" id="{CFA9E1D4-DE4C-4359-BD8C-3E15569E7B44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2813" name="Line 57">
          <a:extLst>
            <a:ext uri="{FF2B5EF4-FFF2-40B4-BE49-F238E27FC236}">
              <a16:creationId xmlns:a16="http://schemas.microsoft.com/office/drawing/2014/main" id="{1B1CBB54-C2C4-48FD-AF42-24E985A423D9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2814" name="Line 58">
          <a:extLst>
            <a:ext uri="{FF2B5EF4-FFF2-40B4-BE49-F238E27FC236}">
              <a16:creationId xmlns:a16="http://schemas.microsoft.com/office/drawing/2014/main" id="{B2B6370A-F867-447A-843E-59CCE1A7B929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2815" name="Line 59">
          <a:extLst>
            <a:ext uri="{FF2B5EF4-FFF2-40B4-BE49-F238E27FC236}">
              <a16:creationId xmlns:a16="http://schemas.microsoft.com/office/drawing/2014/main" id="{57AA997D-EF67-4B39-8A59-5AA4F7A8B8D7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4305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2816" name="Line 60">
          <a:extLst>
            <a:ext uri="{FF2B5EF4-FFF2-40B4-BE49-F238E27FC236}">
              <a16:creationId xmlns:a16="http://schemas.microsoft.com/office/drawing/2014/main" id="{CFC7E70D-D4F2-4061-8792-797C2E559EBF}"/>
            </a:ext>
          </a:extLst>
        </xdr:cNvPr>
        <xdr:cNvSpPr>
          <a:spLocks noChangeShapeType="1"/>
        </xdr:cNvSpPr>
      </xdr:nvSpPr>
      <xdr:spPr bwMode="auto">
        <a:xfrm>
          <a:off x="5905500" y="755332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2817" name="Line 61">
          <a:extLst>
            <a:ext uri="{FF2B5EF4-FFF2-40B4-BE49-F238E27FC236}">
              <a16:creationId xmlns:a16="http://schemas.microsoft.com/office/drawing/2014/main" id="{B030D07B-8096-4DC8-A695-A9C56296C63B}"/>
            </a:ext>
          </a:extLst>
        </xdr:cNvPr>
        <xdr:cNvSpPr>
          <a:spLocks noChangeShapeType="1"/>
        </xdr:cNvSpPr>
      </xdr:nvSpPr>
      <xdr:spPr bwMode="auto">
        <a:xfrm>
          <a:off x="53340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2818" name="Line 62">
          <a:extLst>
            <a:ext uri="{FF2B5EF4-FFF2-40B4-BE49-F238E27FC236}">
              <a16:creationId xmlns:a16="http://schemas.microsoft.com/office/drawing/2014/main" id="{B8085D0D-3261-46B4-B319-88D1BA375B78}"/>
            </a:ext>
          </a:extLst>
        </xdr:cNvPr>
        <xdr:cNvSpPr>
          <a:spLocks noChangeShapeType="1"/>
        </xdr:cNvSpPr>
      </xdr:nvSpPr>
      <xdr:spPr bwMode="auto">
        <a:xfrm>
          <a:off x="59055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2819" name="Line 63">
          <a:extLst>
            <a:ext uri="{FF2B5EF4-FFF2-40B4-BE49-F238E27FC236}">
              <a16:creationId xmlns:a16="http://schemas.microsoft.com/office/drawing/2014/main" id="{26C94D08-595E-47FC-BA25-2ECD3D273246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2820" name="Line 64">
          <a:extLst>
            <a:ext uri="{FF2B5EF4-FFF2-40B4-BE49-F238E27FC236}">
              <a16:creationId xmlns:a16="http://schemas.microsoft.com/office/drawing/2014/main" id="{4E6DE5D8-3B83-4B64-9109-E6A5605E87B5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2821" name="Line 65">
          <a:extLst>
            <a:ext uri="{FF2B5EF4-FFF2-40B4-BE49-F238E27FC236}">
              <a16:creationId xmlns:a16="http://schemas.microsoft.com/office/drawing/2014/main" id="{F534B1FA-BDC4-4A83-A02F-C9057757FF94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2822" name="Line 66">
          <a:extLst>
            <a:ext uri="{FF2B5EF4-FFF2-40B4-BE49-F238E27FC236}">
              <a16:creationId xmlns:a16="http://schemas.microsoft.com/office/drawing/2014/main" id="{B5B6F5BD-4AFE-4115-A8F0-63C39A929B04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2823" name="Line 67">
          <a:extLst>
            <a:ext uri="{FF2B5EF4-FFF2-40B4-BE49-F238E27FC236}">
              <a16:creationId xmlns:a16="http://schemas.microsoft.com/office/drawing/2014/main" id="{C87304DE-A623-425F-B1E2-70D294B3A193}"/>
            </a:ext>
          </a:extLst>
        </xdr:cNvPr>
        <xdr:cNvSpPr>
          <a:spLocks noChangeShapeType="1"/>
        </xdr:cNvSpPr>
      </xdr:nvSpPr>
      <xdr:spPr bwMode="auto">
        <a:xfrm>
          <a:off x="59055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2824" name="Line 68">
          <a:extLst>
            <a:ext uri="{FF2B5EF4-FFF2-40B4-BE49-F238E27FC236}">
              <a16:creationId xmlns:a16="http://schemas.microsoft.com/office/drawing/2014/main" id="{865DD1C3-F89B-47C8-8978-F90784F3A59A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3705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2825" name="Line 69">
          <a:extLst>
            <a:ext uri="{FF2B5EF4-FFF2-40B4-BE49-F238E27FC236}">
              <a16:creationId xmlns:a16="http://schemas.microsoft.com/office/drawing/2014/main" id="{50DE0B29-571C-4E21-97B7-293D5ADABF52}"/>
            </a:ext>
          </a:extLst>
        </xdr:cNvPr>
        <xdr:cNvSpPr>
          <a:spLocks noChangeShapeType="1"/>
        </xdr:cNvSpPr>
      </xdr:nvSpPr>
      <xdr:spPr bwMode="auto">
        <a:xfrm>
          <a:off x="59055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2826" name="Line 70">
          <a:extLst>
            <a:ext uri="{FF2B5EF4-FFF2-40B4-BE49-F238E27FC236}">
              <a16:creationId xmlns:a16="http://schemas.microsoft.com/office/drawing/2014/main" id="{CBB22A36-C012-4C15-8DB5-B3DA1500632A}"/>
            </a:ext>
          </a:extLst>
        </xdr:cNvPr>
        <xdr:cNvSpPr>
          <a:spLocks noChangeShapeType="1"/>
        </xdr:cNvSpPr>
      </xdr:nvSpPr>
      <xdr:spPr bwMode="auto">
        <a:xfrm>
          <a:off x="53340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2827" name="Line 71">
          <a:extLst>
            <a:ext uri="{FF2B5EF4-FFF2-40B4-BE49-F238E27FC236}">
              <a16:creationId xmlns:a16="http://schemas.microsoft.com/office/drawing/2014/main" id="{BDE10BA6-DFF2-4851-A890-F56A7511D5EC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22764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2828" name="Line 72">
          <a:extLst>
            <a:ext uri="{FF2B5EF4-FFF2-40B4-BE49-F238E27FC236}">
              <a16:creationId xmlns:a16="http://schemas.microsoft.com/office/drawing/2014/main" id="{6E2AC24C-3A54-4895-A03C-99C6FBACE03B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2829" name="Line 73">
          <a:extLst>
            <a:ext uri="{FF2B5EF4-FFF2-40B4-BE49-F238E27FC236}">
              <a16:creationId xmlns:a16="http://schemas.microsoft.com/office/drawing/2014/main" id="{F254B53E-0631-4E86-9434-5C56B2E4E36D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2830" name="Line 74">
          <a:extLst>
            <a:ext uri="{FF2B5EF4-FFF2-40B4-BE49-F238E27FC236}">
              <a16:creationId xmlns:a16="http://schemas.microsoft.com/office/drawing/2014/main" id="{789CE60C-3FC3-4F29-9718-E43737D32356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2831" name="Line 75">
          <a:extLst>
            <a:ext uri="{FF2B5EF4-FFF2-40B4-BE49-F238E27FC236}">
              <a16:creationId xmlns:a16="http://schemas.microsoft.com/office/drawing/2014/main" id="{488D833D-1609-47E7-A4FF-2C8618EB528E}"/>
            </a:ext>
          </a:extLst>
        </xdr:cNvPr>
        <xdr:cNvSpPr>
          <a:spLocks noChangeShapeType="1"/>
        </xdr:cNvSpPr>
      </xdr:nvSpPr>
      <xdr:spPr bwMode="auto">
        <a:xfrm flipH="1">
          <a:off x="59055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2832" name="Line 76">
          <a:extLst>
            <a:ext uri="{FF2B5EF4-FFF2-40B4-BE49-F238E27FC236}">
              <a16:creationId xmlns:a16="http://schemas.microsoft.com/office/drawing/2014/main" id="{C42A8357-2171-4F91-8941-5B09797EBB16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2833" name="Line 77">
          <a:extLst>
            <a:ext uri="{FF2B5EF4-FFF2-40B4-BE49-F238E27FC236}">
              <a16:creationId xmlns:a16="http://schemas.microsoft.com/office/drawing/2014/main" id="{34EC0A2D-A7BE-4709-B845-9B2ADFEADC2F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2834" name="Line 78">
          <a:extLst>
            <a:ext uri="{FF2B5EF4-FFF2-40B4-BE49-F238E27FC236}">
              <a16:creationId xmlns:a16="http://schemas.microsoft.com/office/drawing/2014/main" id="{56B3B048-B16F-453C-BD94-62302E8597E2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2835" name="Line 79">
          <a:extLst>
            <a:ext uri="{FF2B5EF4-FFF2-40B4-BE49-F238E27FC236}">
              <a16:creationId xmlns:a16="http://schemas.microsoft.com/office/drawing/2014/main" id="{DE888291-EC54-4E8E-83A1-E1A7CA1657D5}"/>
            </a:ext>
          </a:extLst>
        </xdr:cNvPr>
        <xdr:cNvSpPr>
          <a:spLocks noChangeShapeType="1"/>
        </xdr:cNvSpPr>
      </xdr:nvSpPr>
      <xdr:spPr bwMode="auto">
        <a:xfrm>
          <a:off x="115728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2836" name="Line 80">
          <a:extLst>
            <a:ext uri="{FF2B5EF4-FFF2-40B4-BE49-F238E27FC236}">
              <a16:creationId xmlns:a16="http://schemas.microsoft.com/office/drawing/2014/main" id="{922F6B31-92F4-41C6-9818-B441AB4C013B}"/>
            </a:ext>
          </a:extLst>
        </xdr:cNvPr>
        <xdr:cNvSpPr>
          <a:spLocks noChangeShapeType="1"/>
        </xdr:cNvSpPr>
      </xdr:nvSpPr>
      <xdr:spPr bwMode="auto">
        <a:xfrm>
          <a:off x="115728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2837" name="Line 81">
          <a:extLst>
            <a:ext uri="{FF2B5EF4-FFF2-40B4-BE49-F238E27FC236}">
              <a16:creationId xmlns:a16="http://schemas.microsoft.com/office/drawing/2014/main" id="{90D4ECFE-7DF7-4674-A643-DA0F0BD4E5CE}"/>
            </a:ext>
          </a:extLst>
        </xdr:cNvPr>
        <xdr:cNvSpPr>
          <a:spLocks noChangeShapeType="1"/>
        </xdr:cNvSpPr>
      </xdr:nvSpPr>
      <xdr:spPr bwMode="auto">
        <a:xfrm>
          <a:off x="10810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2838" name="Line 82">
          <a:extLst>
            <a:ext uri="{FF2B5EF4-FFF2-40B4-BE49-F238E27FC236}">
              <a16:creationId xmlns:a16="http://schemas.microsoft.com/office/drawing/2014/main" id="{9F606672-0721-4F7F-AFAB-F72BF6296858}"/>
            </a:ext>
          </a:extLst>
        </xdr:cNvPr>
        <xdr:cNvSpPr>
          <a:spLocks noChangeShapeType="1"/>
        </xdr:cNvSpPr>
      </xdr:nvSpPr>
      <xdr:spPr bwMode="auto">
        <a:xfrm>
          <a:off x="10810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2839" name="Line 83">
          <a:extLst>
            <a:ext uri="{FF2B5EF4-FFF2-40B4-BE49-F238E27FC236}">
              <a16:creationId xmlns:a16="http://schemas.microsoft.com/office/drawing/2014/main" id="{4DFED3C0-9574-446D-B408-62C7936BE6BD}"/>
            </a:ext>
          </a:extLst>
        </xdr:cNvPr>
        <xdr:cNvSpPr>
          <a:spLocks noChangeShapeType="1"/>
        </xdr:cNvSpPr>
      </xdr:nvSpPr>
      <xdr:spPr bwMode="auto">
        <a:xfrm>
          <a:off x="155257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2840" name="Line 84">
          <a:extLst>
            <a:ext uri="{FF2B5EF4-FFF2-40B4-BE49-F238E27FC236}">
              <a16:creationId xmlns:a16="http://schemas.microsoft.com/office/drawing/2014/main" id="{40D0993E-0CA9-44F2-82E9-B27EB4D11FA6}"/>
            </a:ext>
          </a:extLst>
        </xdr:cNvPr>
        <xdr:cNvSpPr>
          <a:spLocks noChangeShapeType="1"/>
        </xdr:cNvSpPr>
      </xdr:nvSpPr>
      <xdr:spPr bwMode="auto">
        <a:xfrm>
          <a:off x="155257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2841" name="Line 85">
          <a:extLst>
            <a:ext uri="{FF2B5EF4-FFF2-40B4-BE49-F238E27FC236}">
              <a16:creationId xmlns:a16="http://schemas.microsoft.com/office/drawing/2014/main" id="{CF0FFED4-CB11-4662-ADBC-A3D53CA16685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2842" name="Line 86">
          <a:extLst>
            <a:ext uri="{FF2B5EF4-FFF2-40B4-BE49-F238E27FC236}">
              <a16:creationId xmlns:a16="http://schemas.microsoft.com/office/drawing/2014/main" id="{3A05FB89-E09A-42A9-8F3F-BD533309B2F6}"/>
            </a:ext>
          </a:extLst>
        </xdr:cNvPr>
        <xdr:cNvSpPr>
          <a:spLocks noChangeShapeType="1"/>
        </xdr:cNvSpPr>
      </xdr:nvSpPr>
      <xdr:spPr bwMode="auto">
        <a:xfrm>
          <a:off x="108108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2843" name="Line 87">
          <a:extLst>
            <a:ext uri="{FF2B5EF4-FFF2-40B4-BE49-F238E27FC236}">
              <a16:creationId xmlns:a16="http://schemas.microsoft.com/office/drawing/2014/main" id="{DA1F62D1-B8F1-45BA-BE48-658139FEDFFA}"/>
            </a:ext>
          </a:extLst>
        </xdr:cNvPr>
        <xdr:cNvSpPr>
          <a:spLocks noChangeShapeType="1"/>
        </xdr:cNvSpPr>
      </xdr:nvSpPr>
      <xdr:spPr bwMode="auto">
        <a:xfrm flipV="1">
          <a:off x="109251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2844" name="Line 88">
          <a:extLst>
            <a:ext uri="{FF2B5EF4-FFF2-40B4-BE49-F238E27FC236}">
              <a16:creationId xmlns:a16="http://schemas.microsoft.com/office/drawing/2014/main" id="{7970583B-C2C7-4DE6-A502-E6DCCA3BAAFB}"/>
            </a:ext>
          </a:extLst>
        </xdr:cNvPr>
        <xdr:cNvSpPr>
          <a:spLocks noChangeShapeType="1"/>
        </xdr:cNvSpPr>
      </xdr:nvSpPr>
      <xdr:spPr bwMode="auto">
        <a:xfrm>
          <a:off x="108108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2845" name="Line 89">
          <a:extLst>
            <a:ext uri="{FF2B5EF4-FFF2-40B4-BE49-F238E27FC236}">
              <a16:creationId xmlns:a16="http://schemas.microsoft.com/office/drawing/2014/main" id="{F3C86A88-AF00-4CB5-91A2-E51C8DF25F57}"/>
            </a:ext>
          </a:extLst>
        </xdr:cNvPr>
        <xdr:cNvSpPr>
          <a:spLocks noChangeShapeType="1"/>
        </xdr:cNvSpPr>
      </xdr:nvSpPr>
      <xdr:spPr bwMode="auto">
        <a:xfrm>
          <a:off x="10810875" y="11287125"/>
          <a:ext cx="30194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2846" name="Line 90">
          <a:extLst>
            <a:ext uri="{FF2B5EF4-FFF2-40B4-BE49-F238E27FC236}">
              <a16:creationId xmlns:a16="http://schemas.microsoft.com/office/drawing/2014/main" id="{7A82DCA8-26BB-48A2-A7AC-B7D6AF09E3C5}"/>
            </a:ext>
          </a:extLst>
        </xdr:cNvPr>
        <xdr:cNvSpPr>
          <a:spLocks noChangeShapeType="1"/>
        </xdr:cNvSpPr>
      </xdr:nvSpPr>
      <xdr:spPr bwMode="auto">
        <a:xfrm>
          <a:off x="109251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2847" name="Line 91">
          <a:extLst>
            <a:ext uri="{FF2B5EF4-FFF2-40B4-BE49-F238E27FC236}">
              <a16:creationId xmlns:a16="http://schemas.microsoft.com/office/drawing/2014/main" id="{62434ED7-8B7D-4BCF-8C8B-5F2BDBAD6123}"/>
            </a:ext>
          </a:extLst>
        </xdr:cNvPr>
        <xdr:cNvSpPr>
          <a:spLocks noChangeShapeType="1"/>
        </xdr:cNvSpPr>
      </xdr:nvSpPr>
      <xdr:spPr bwMode="auto">
        <a:xfrm flipV="1">
          <a:off x="109251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2848" name="Line 92">
          <a:extLst>
            <a:ext uri="{FF2B5EF4-FFF2-40B4-BE49-F238E27FC236}">
              <a16:creationId xmlns:a16="http://schemas.microsoft.com/office/drawing/2014/main" id="{7462D73C-7B2C-481C-9BEE-7E65DD7265A8}"/>
            </a:ext>
          </a:extLst>
        </xdr:cNvPr>
        <xdr:cNvSpPr>
          <a:spLocks noChangeShapeType="1"/>
        </xdr:cNvSpPr>
      </xdr:nvSpPr>
      <xdr:spPr bwMode="auto">
        <a:xfrm flipV="1">
          <a:off x="108108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2849" name="Line 93">
          <a:extLst>
            <a:ext uri="{FF2B5EF4-FFF2-40B4-BE49-F238E27FC236}">
              <a16:creationId xmlns:a16="http://schemas.microsoft.com/office/drawing/2014/main" id="{63355CF7-62A6-4011-A742-7AB1BB87FB59}"/>
            </a:ext>
          </a:extLst>
        </xdr:cNvPr>
        <xdr:cNvSpPr>
          <a:spLocks noChangeShapeType="1"/>
        </xdr:cNvSpPr>
      </xdr:nvSpPr>
      <xdr:spPr bwMode="auto">
        <a:xfrm>
          <a:off x="109251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2850" name="Line 94">
          <a:extLst>
            <a:ext uri="{FF2B5EF4-FFF2-40B4-BE49-F238E27FC236}">
              <a16:creationId xmlns:a16="http://schemas.microsoft.com/office/drawing/2014/main" id="{F9292221-DBF6-4A2A-A9B5-0E36E4E492AA}"/>
            </a:ext>
          </a:extLst>
        </xdr:cNvPr>
        <xdr:cNvSpPr>
          <a:spLocks noChangeShapeType="1"/>
        </xdr:cNvSpPr>
      </xdr:nvSpPr>
      <xdr:spPr bwMode="auto">
        <a:xfrm>
          <a:off x="129635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2851" name="Line 95">
          <a:extLst>
            <a:ext uri="{FF2B5EF4-FFF2-40B4-BE49-F238E27FC236}">
              <a16:creationId xmlns:a16="http://schemas.microsoft.com/office/drawing/2014/main" id="{A9454FCD-88B0-4096-8222-FA3B56FE103C}"/>
            </a:ext>
          </a:extLst>
        </xdr:cNvPr>
        <xdr:cNvSpPr>
          <a:spLocks noChangeShapeType="1"/>
        </xdr:cNvSpPr>
      </xdr:nvSpPr>
      <xdr:spPr bwMode="auto">
        <a:xfrm>
          <a:off x="129635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2852" name="Line 96">
          <a:extLst>
            <a:ext uri="{FF2B5EF4-FFF2-40B4-BE49-F238E27FC236}">
              <a16:creationId xmlns:a16="http://schemas.microsoft.com/office/drawing/2014/main" id="{7E1B963E-0928-4618-BBEB-33796A6BE10D}"/>
            </a:ext>
          </a:extLst>
        </xdr:cNvPr>
        <xdr:cNvSpPr>
          <a:spLocks noChangeShapeType="1"/>
        </xdr:cNvSpPr>
      </xdr:nvSpPr>
      <xdr:spPr bwMode="auto">
        <a:xfrm>
          <a:off x="10810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2853" name="Line 97">
          <a:extLst>
            <a:ext uri="{FF2B5EF4-FFF2-40B4-BE49-F238E27FC236}">
              <a16:creationId xmlns:a16="http://schemas.microsoft.com/office/drawing/2014/main" id="{516B1561-F840-4C22-89E8-68C1943F7FE5}"/>
            </a:ext>
          </a:extLst>
        </xdr:cNvPr>
        <xdr:cNvSpPr>
          <a:spLocks noChangeShapeType="1"/>
        </xdr:cNvSpPr>
      </xdr:nvSpPr>
      <xdr:spPr bwMode="auto">
        <a:xfrm>
          <a:off x="129635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2854" name="Line 98">
          <a:extLst>
            <a:ext uri="{FF2B5EF4-FFF2-40B4-BE49-F238E27FC236}">
              <a16:creationId xmlns:a16="http://schemas.microsoft.com/office/drawing/2014/main" id="{A6F18507-CF21-4768-BC9B-4D9F23AC782E}"/>
            </a:ext>
          </a:extLst>
        </xdr:cNvPr>
        <xdr:cNvSpPr>
          <a:spLocks noChangeShapeType="1"/>
        </xdr:cNvSpPr>
      </xdr:nvSpPr>
      <xdr:spPr bwMode="auto">
        <a:xfrm flipV="1">
          <a:off x="10810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2855" name="Line 99">
          <a:extLst>
            <a:ext uri="{FF2B5EF4-FFF2-40B4-BE49-F238E27FC236}">
              <a16:creationId xmlns:a16="http://schemas.microsoft.com/office/drawing/2014/main" id="{A37B1B53-00F9-42D6-9735-D1E54BE33912}"/>
            </a:ext>
          </a:extLst>
        </xdr:cNvPr>
        <xdr:cNvSpPr>
          <a:spLocks noChangeShapeType="1"/>
        </xdr:cNvSpPr>
      </xdr:nvSpPr>
      <xdr:spPr bwMode="auto">
        <a:xfrm>
          <a:off x="115728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2856" name="Line 100">
          <a:extLst>
            <a:ext uri="{FF2B5EF4-FFF2-40B4-BE49-F238E27FC236}">
              <a16:creationId xmlns:a16="http://schemas.microsoft.com/office/drawing/2014/main" id="{C9013BAD-7F7A-4B42-ABB2-3971E8F4B983}"/>
            </a:ext>
          </a:extLst>
        </xdr:cNvPr>
        <xdr:cNvSpPr>
          <a:spLocks noChangeShapeType="1"/>
        </xdr:cNvSpPr>
      </xdr:nvSpPr>
      <xdr:spPr bwMode="auto">
        <a:xfrm>
          <a:off x="155257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2857" name="Line 101">
          <a:extLst>
            <a:ext uri="{FF2B5EF4-FFF2-40B4-BE49-F238E27FC236}">
              <a16:creationId xmlns:a16="http://schemas.microsoft.com/office/drawing/2014/main" id="{691555DB-1ACE-4C81-9172-7EB982DF56C3}"/>
            </a:ext>
          </a:extLst>
        </xdr:cNvPr>
        <xdr:cNvSpPr>
          <a:spLocks noChangeShapeType="1"/>
        </xdr:cNvSpPr>
      </xdr:nvSpPr>
      <xdr:spPr bwMode="auto">
        <a:xfrm>
          <a:off x="15106650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2858" name="Line 102">
          <a:extLst>
            <a:ext uri="{FF2B5EF4-FFF2-40B4-BE49-F238E27FC236}">
              <a16:creationId xmlns:a16="http://schemas.microsoft.com/office/drawing/2014/main" id="{1814CA61-8940-40D0-989C-FA675A7464E2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2859" name="Line 103">
          <a:extLst>
            <a:ext uri="{FF2B5EF4-FFF2-40B4-BE49-F238E27FC236}">
              <a16:creationId xmlns:a16="http://schemas.microsoft.com/office/drawing/2014/main" id="{38B080A9-9FBA-474D-9AFD-A9F2B3B6C4D3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2860" name="Line 104">
          <a:extLst>
            <a:ext uri="{FF2B5EF4-FFF2-40B4-BE49-F238E27FC236}">
              <a16:creationId xmlns:a16="http://schemas.microsoft.com/office/drawing/2014/main" id="{DE667E1C-2224-4A5E-871E-DC035327AC88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2861" name="Line 105">
          <a:extLst>
            <a:ext uri="{FF2B5EF4-FFF2-40B4-BE49-F238E27FC236}">
              <a16:creationId xmlns:a16="http://schemas.microsoft.com/office/drawing/2014/main" id="{7DF0E47F-F506-4E9D-8C78-5690F2F2C180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2862" name="Line 106">
          <a:extLst>
            <a:ext uri="{FF2B5EF4-FFF2-40B4-BE49-F238E27FC236}">
              <a16:creationId xmlns:a16="http://schemas.microsoft.com/office/drawing/2014/main" id="{0ADA997C-BC29-4DA1-B2DB-852E699DD69C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2863" name="Line 107">
          <a:extLst>
            <a:ext uri="{FF2B5EF4-FFF2-40B4-BE49-F238E27FC236}">
              <a16:creationId xmlns:a16="http://schemas.microsoft.com/office/drawing/2014/main" id="{C972FE0A-062E-40CF-BF0D-AF59DDCC8E14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22764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2864" name="Line 108">
          <a:extLst>
            <a:ext uri="{FF2B5EF4-FFF2-40B4-BE49-F238E27FC236}">
              <a16:creationId xmlns:a16="http://schemas.microsoft.com/office/drawing/2014/main" id="{12633A1D-3645-4F45-BB6E-7EDAEE7689EA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2865" name="Line 109">
          <a:extLst>
            <a:ext uri="{FF2B5EF4-FFF2-40B4-BE49-F238E27FC236}">
              <a16:creationId xmlns:a16="http://schemas.microsoft.com/office/drawing/2014/main" id="{60361A99-58DC-4811-8A4F-0CB5327EFDB9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2866" name="Line 110">
          <a:extLst>
            <a:ext uri="{FF2B5EF4-FFF2-40B4-BE49-F238E27FC236}">
              <a16:creationId xmlns:a16="http://schemas.microsoft.com/office/drawing/2014/main" id="{7C585A18-4522-45CE-95B6-0BE465021353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2867" name="Line 111">
          <a:extLst>
            <a:ext uri="{FF2B5EF4-FFF2-40B4-BE49-F238E27FC236}">
              <a16:creationId xmlns:a16="http://schemas.microsoft.com/office/drawing/2014/main" id="{A4EA8F59-0B7E-44B3-9674-C42F67B09642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2868" name="Line 112">
          <a:extLst>
            <a:ext uri="{FF2B5EF4-FFF2-40B4-BE49-F238E27FC236}">
              <a16:creationId xmlns:a16="http://schemas.microsoft.com/office/drawing/2014/main" id="{4A1032E1-2AD0-41F2-BE55-52210D0D2BE5}"/>
            </a:ext>
          </a:extLst>
        </xdr:cNvPr>
        <xdr:cNvSpPr>
          <a:spLocks noChangeShapeType="1"/>
        </xdr:cNvSpPr>
      </xdr:nvSpPr>
      <xdr:spPr bwMode="auto">
        <a:xfrm>
          <a:off x="5905500" y="2886075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2869" name="Line 113">
          <a:extLst>
            <a:ext uri="{FF2B5EF4-FFF2-40B4-BE49-F238E27FC236}">
              <a16:creationId xmlns:a16="http://schemas.microsoft.com/office/drawing/2014/main" id="{D1A9C98E-1F11-4E56-AB51-A64EE2CFD1EC}"/>
            </a:ext>
          </a:extLst>
        </xdr:cNvPr>
        <xdr:cNvSpPr>
          <a:spLocks noChangeShapeType="1"/>
        </xdr:cNvSpPr>
      </xdr:nvSpPr>
      <xdr:spPr bwMode="auto">
        <a:xfrm>
          <a:off x="5905500" y="3219450"/>
          <a:ext cx="857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2870" name="Line 114">
          <a:extLst>
            <a:ext uri="{FF2B5EF4-FFF2-40B4-BE49-F238E27FC236}">
              <a16:creationId xmlns:a16="http://schemas.microsoft.com/office/drawing/2014/main" id="{D821FF6A-050E-45E8-9CDE-FB96870395B7}"/>
            </a:ext>
          </a:extLst>
        </xdr:cNvPr>
        <xdr:cNvSpPr>
          <a:spLocks noChangeShapeType="1"/>
        </xdr:cNvSpPr>
      </xdr:nvSpPr>
      <xdr:spPr bwMode="auto">
        <a:xfrm flipV="1">
          <a:off x="108108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3781" name="Line 1">
          <a:extLst>
            <a:ext uri="{FF2B5EF4-FFF2-40B4-BE49-F238E27FC236}">
              <a16:creationId xmlns:a16="http://schemas.microsoft.com/office/drawing/2014/main" id="{A3349411-84D8-484F-AEAB-21DB8339D06A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3782" name="Line 2">
          <a:extLst>
            <a:ext uri="{FF2B5EF4-FFF2-40B4-BE49-F238E27FC236}">
              <a16:creationId xmlns:a16="http://schemas.microsoft.com/office/drawing/2014/main" id="{939B2BB6-A9C3-4E7E-9997-7790CC2A6353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3783" name="Line 3">
          <a:extLst>
            <a:ext uri="{FF2B5EF4-FFF2-40B4-BE49-F238E27FC236}">
              <a16:creationId xmlns:a16="http://schemas.microsoft.com/office/drawing/2014/main" id="{D58D991E-C9D6-47FB-8B9A-F62A3C6D33C8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3784" name="Line 4">
          <a:extLst>
            <a:ext uri="{FF2B5EF4-FFF2-40B4-BE49-F238E27FC236}">
              <a16:creationId xmlns:a16="http://schemas.microsoft.com/office/drawing/2014/main" id="{0D7EC7F2-0C13-40DD-B873-E6983646764C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3785" name="Line 5">
          <a:extLst>
            <a:ext uri="{FF2B5EF4-FFF2-40B4-BE49-F238E27FC236}">
              <a16:creationId xmlns:a16="http://schemas.microsoft.com/office/drawing/2014/main" id="{30911D5F-B3C2-4C35-BD2A-C82C3A73073B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3786" name="Line 6">
          <a:extLst>
            <a:ext uri="{FF2B5EF4-FFF2-40B4-BE49-F238E27FC236}">
              <a16:creationId xmlns:a16="http://schemas.microsoft.com/office/drawing/2014/main" id="{E85F89A1-325E-4297-9797-4871B965909B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3787" name="Line 7">
          <a:extLst>
            <a:ext uri="{FF2B5EF4-FFF2-40B4-BE49-F238E27FC236}">
              <a16:creationId xmlns:a16="http://schemas.microsoft.com/office/drawing/2014/main" id="{DFAC5F5E-8938-4D70-A9D9-C405A0729C2A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3788" name="Line 8">
          <a:extLst>
            <a:ext uri="{FF2B5EF4-FFF2-40B4-BE49-F238E27FC236}">
              <a16:creationId xmlns:a16="http://schemas.microsoft.com/office/drawing/2014/main" id="{17E667FD-2CA5-4EF4-9078-8BDB41B439B0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3789" name="Line 9">
          <a:extLst>
            <a:ext uri="{FF2B5EF4-FFF2-40B4-BE49-F238E27FC236}">
              <a16:creationId xmlns:a16="http://schemas.microsoft.com/office/drawing/2014/main" id="{1781080B-3E1F-4086-8483-F5DD3AE48EA2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3790" name="Line 10">
          <a:extLst>
            <a:ext uri="{FF2B5EF4-FFF2-40B4-BE49-F238E27FC236}">
              <a16:creationId xmlns:a16="http://schemas.microsoft.com/office/drawing/2014/main" id="{E828FA94-75E1-46D2-8F9C-F6AE06D418B9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3791" name="Line 11">
          <a:extLst>
            <a:ext uri="{FF2B5EF4-FFF2-40B4-BE49-F238E27FC236}">
              <a16:creationId xmlns:a16="http://schemas.microsoft.com/office/drawing/2014/main" id="{BA4A0369-B313-429C-B1AC-D0C4411334EC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3792" name="Line 12">
          <a:extLst>
            <a:ext uri="{FF2B5EF4-FFF2-40B4-BE49-F238E27FC236}">
              <a16:creationId xmlns:a16="http://schemas.microsoft.com/office/drawing/2014/main" id="{5D2C9B64-8373-4F45-9F75-FD65918C1D15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3793" name="Line 13">
          <a:extLst>
            <a:ext uri="{FF2B5EF4-FFF2-40B4-BE49-F238E27FC236}">
              <a16:creationId xmlns:a16="http://schemas.microsoft.com/office/drawing/2014/main" id="{CA8708C3-69D7-4159-BA0D-0BF73A78023B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3794" name="Line 14">
          <a:extLst>
            <a:ext uri="{FF2B5EF4-FFF2-40B4-BE49-F238E27FC236}">
              <a16:creationId xmlns:a16="http://schemas.microsoft.com/office/drawing/2014/main" id="{8760002F-4473-46B5-8AF4-1797737D4B88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3795" name="Line 15">
          <a:extLst>
            <a:ext uri="{FF2B5EF4-FFF2-40B4-BE49-F238E27FC236}">
              <a16:creationId xmlns:a16="http://schemas.microsoft.com/office/drawing/2014/main" id="{FEEE56D4-3D7D-4711-9CF9-A2B74984071D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3796" name="Line 16">
          <a:extLst>
            <a:ext uri="{FF2B5EF4-FFF2-40B4-BE49-F238E27FC236}">
              <a16:creationId xmlns:a16="http://schemas.microsoft.com/office/drawing/2014/main" id="{A076AD99-C4F6-4A2E-B674-9D4A1B0B15A6}"/>
            </a:ext>
          </a:extLst>
        </xdr:cNvPr>
        <xdr:cNvSpPr>
          <a:spLocks noChangeShapeType="1"/>
        </xdr:cNvSpPr>
      </xdr:nvSpPr>
      <xdr:spPr bwMode="auto">
        <a:xfrm>
          <a:off x="104489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3797" name="Line 17">
          <a:extLst>
            <a:ext uri="{FF2B5EF4-FFF2-40B4-BE49-F238E27FC236}">
              <a16:creationId xmlns:a16="http://schemas.microsoft.com/office/drawing/2014/main" id="{A5419177-F58A-4CD5-B0C0-0EC34D67720F}"/>
            </a:ext>
          </a:extLst>
        </xdr:cNvPr>
        <xdr:cNvSpPr>
          <a:spLocks noChangeShapeType="1"/>
        </xdr:cNvSpPr>
      </xdr:nvSpPr>
      <xdr:spPr bwMode="auto">
        <a:xfrm>
          <a:off x="96869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3798" name="Line 18">
          <a:extLst>
            <a:ext uri="{FF2B5EF4-FFF2-40B4-BE49-F238E27FC236}">
              <a16:creationId xmlns:a16="http://schemas.microsoft.com/office/drawing/2014/main" id="{7A275065-B0F9-4E9D-9FE1-49359B362594}"/>
            </a:ext>
          </a:extLst>
        </xdr:cNvPr>
        <xdr:cNvSpPr>
          <a:spLocks noChangeShapeType="1"/>
        </xdr:cNvSpPr>
      </xdr:nvSpPr>
      <xdr:spPr bwMode="auto">
        <a:xfrm>
          <a:off x="104489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3799" name="Line 19">
          <a:extLst>
            <a:ext uri="{FF2B5EF4-FFF2-40B4-BE49-F238E27FC236}">
              <a16:creationId xmlns:a16="http://schemas.microsoft.com/office/drawing/2014/main" id="{EC9DF1D9-5BA3-425E-91C1-018F940E78A6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3800" name="Line 20">
          <a:extLst>
            <a:ext uri="{FF2B5EF4-FFF2-40B4-BE49-F238E27FC236}">
              <a16:creationId xmlns:a16="http://schemas.microsoft.com/office/drawing/2014/main" id="{BB129639-FEC6-46B7-8480-7338EEA5EDD6}"/>
            </a:ext>
          </a:extLst>
        </xdr:cNvPr>
        <xdr:cNvSpPr>
          <a:spLocks noChangeShapeType="1"/>
        </xdr:cNvSpPr>
      </xdr:nvSpPr>
      <xdr:spPr bwMode="auto">
        <a:xfrm>
          <a:off x="96869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3801" name="Line 21">
          <a:extLst>
            <a:ext uri="{FF2B5EF4-FFF2-40B4-BE49-F238E27FC236}">
              <a16:creationId xmlns:a16="http://schemas.microsoft.com/office/drawing/2014/main" id="{08BB73C7-AE2A-4C98-A869-8478F2A7FEC4}"/>
            </a:ext>
          </a:extLst>
        </xdr:cNvPr>
        <xdr:cNvSpPr>
          <a:spLocks noChangeShapeType="1"/>
        </xdr:cNvSpPr>
      </xdr:nvSpPr>
      <xdr:spPr bwMode="auto">
        <a:xfrm>
          <a:off x="104489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3802" name="Line 22">
          <a:extLst>
            <a:ext uri="{FF2B5EF4-FFF2-40B4-BE49-F238E27FC236}">
              <a16:creationId xmlns:a16="http://schemas.microsoft.com/office/drawing/2014/main" id="{24C5449B-320E-48F0-AA43-3A5EB57F39B3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3803" name="Line 23">
          <a:extLst>
            <a:ext uri="{FF2B5EF4-FFF2-40B4-BE49-F238E27FC236}">
              <a16:creationId xmlns:a16="http://schemas.microsoft.com/office/drawing/2014/main" id="{9BC0B7A3-0348-4C30-B98E-57DA27158C97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3804" name="Line 24">
          <a:extLst>
            <a:ext uri="{FF2B5EF4-FFF2-40B4-BE49-F238E27FC236}">
              <a16:creationId xmlns:a16="http://schemas.microsoft.com/office/drawing/2014/main" id="{DD0B3E6C-EADC-47C0-89A6-5F9B8D36218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3805" name="Line 25">
          <a:extLst>
            <a:ext uri="{FF2B5EF4-FFF2-40B4-BE49-F238E27FC236}">
              <a16:creationId xmlns:a16="http://schemas.microsoft.com/office/drawing/2014/main" id="{27CC164F-2D9A-4FC5-97AE-C2B60EE2FF03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3806" name="Line 26">
          <a:extLst>
            <a:ext uri="{FF2B5EF4-FFF2-40B4-BE49-F238E27FC236}">
              <a16:creationId xmlns:a16="http://schemas.microsoft.com/office/drawing/2014/main" id="{51B4C9CA-134A-45F7-9AC7-EEE6A71A853C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3807" name="Line 27">
          <a:extLst>
            <a:ext uri="{FF2B5EF4-FFF2-40B4-BE49-F238E27FC236}">
              <a16:creationId xmlns:a16="http://schemas.microsoft.com/office/drawing/2014/main" id="{8E1DF30E-00A6-469B-9C81-E963769D9DF0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3808" name="Line 28">
          <a:extLst>
            <a:ext uri="{FF2B5EF4-FFF2-40B4-BE49-F238E27FC236}">
              <a16:creationId xmlns:a16="http://schemas.microsoft.com/office/drawing/2014/main" id="{E3ADF3C8-69A6-405D-A69F-8EB8A3683E8C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3809" name="Line 29">
          <a:extLst>
            <a:ext uri="{FF2B5EF4-FFF2-40B4-BE49-F238E27FC236}">
              <a16:creationId xmlns:a16="http://schemas.microsoft.com/office/drawing/2014/main" id="{DAC43D50-9E6F-43CB-9BAF-F4DB8924DFD0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3810" name="Line 30">
          <a:extLst>
            <a:ext uri="{FF2B5EF4-FFF2-40B4-BE49-F238E27FC236}">
              <a16:creationId xmlns:a16="http://schemas.microsoft.com/office/drawing/2014/main" id="{70E79AAA-F867-4DBA-96A4-67560D68736C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3811" name="Line 31">
          <a:extLst>
            <a:ext uri="{FF2B5EF4-FFF2-40B4-BE49-F238E27FC236}">
              <a16:creationId xmlns:a16="http://schemas.microsoft.com/office/drawing/2014/main" id="{01841F87-3E21-4299-BC48-016543F278E0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3812" name="Line 32">
          <a:extLst>
            <a:ext uri="{FF2B5EF4-FFF2-40B4-BE49-F238E27FC236}">
              <a16:creationId xmlns:a16="http://schemas.microsoft.com/office/drawing/2014/main" id="{8C5023CB-9C61-4D26-A713-9293975001C9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3813" name="Line 33">
          <a:extLst>
            <a:ext uri="{FF2B5EF4-FFF2-40B4-BE49-F238E27FC236}">
              <a16:creationId xmlns:a16="http://schemas.microsoft.com/office/drawing/2014/main" id="{8EED2290-EA6F-4345-B8FA-BA514665DB88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3814" name="Line 34">
          <a:extLst>
            <a:ext uri="{FF2B5EF4-FFF2-40B4-BE49-F238E27FC236}">
              <a16:creationId xmlns:a16="http://schemas.microsoft.com/office/drawing/2014/main" id="{771D711D-4158-41A3-9094-CC67383084C5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3815" name="Line 35">
          <a:extLst>
            <a:ext uri="{FF2B5EF4-FFF2-40B4-BE49-F238E27FC236}">
              <a16:creationId xmlns:a16="http://schemas.microsoft.com/office/drawing/2014/main" id="{C0CF6740-398B-4579-A99D-477D388645A4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3816" name="Line 36">
          <a:extLst>
            <a:ext uri="{FF2B5EF4-FFF2-40B4-BE49-F238E27FC236}">
              <a16:creationId xmlns:a16="http://schemas.microsoft.com/office/drawing/2014/main" id="{9AF5CF01-F15D-427D-856A-43EFB49AF466}"/>
            </a:ext>
          </a:extLst>
        </xdr:cNvPr>
        <xdr:cNvSpPr>
          <a:spLocks noChangeShapeType="1"/>
        </xdr:cNvSpPr>
      </xdr:nvSpPr>
      <xdr:spPr bwMode="auto">
        <a:xfrm flipV="1">
          <a:off x="104489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3817" name="Line 37">
          <a:extLst>
            <a:ext uri="{FF2B5EF4-FFF2-40B4-BE49-F238E27FC236}">
              <a16:creationId xmlns:a16="http://schemas.microsoft.com/office/drawing/2014/main" id="{21CB41C1-C93D-4F6C-BB98-E9BECFFE84F6}"/>
            </a:ext>
          </a:extLst>
        </xdr:cNvPr>
        <xdr:cNvSpPr>
          <a:spLocks noChangeShapeType="1"/>
        </xdr:cNvSpPr>
      </xdr:nvSpPr>
      <xdr:spPr bwMode="auto">
        <a:xfrm>
          <a:off x="96869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3818" name="Line 38">
          <a:extLst>
            <a:ext uri="{FF2B5EF4-FFF2-40B4-BE49-F238E27FC236}">
              <a16:creationId xmlns:a16="http://schemas.microsoft.com/office/drawing/2014/main" id="{FD56BEEB-C767-4F98-AD9B-59E91D5EB49F}"/>
            </a:ext>
          </a:extLst>
        </xdr:cNvPr>
        <xdr:cNvSpPr>
          <a:spLocks noChangeShapeType="1"/>
        </xdr:cNvSpPr>
      </xdr:nvSpPr>
      <xdr:spPr bwMode="auto">
        <a:xfrm>
          <a:off x="11839575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3819" name="Line 39">
          <a:extLst>
            <a:ext uri="{FF2B5EF4-FFF2-40B4-BE49-F238E27FC236}">
              <a16:creationId xmlns:a16="http://schemas.microsoft.com/office/drawing/2014/main" id="{0FD94C11-4775-4881-9645-68BEE3CE1A59}"/>
            </a:ext>
          </a:extLst>
        </xdr:cNvPr>
        <xdr:cNvSpPr>
          <a:spLocks noChangeShapeType="1"/>
        </xdr:cNvSpPr>
      </xdr:nvSpPr>
      <xdr:spPr bwMode="auto">
        <a:xfrm>
          <a:off x="11839575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3820" name="Line 40">
          <a:extLst>
            <a:ext uri="{FF2B5EF4-FFF2-40B4-BE49-F238E27FC236}">
              <a16:creationId xmlns:a16="http://schemas.microsoft.com/office/drawing/2014/main" id="{7E155B0B-C478-4956-8AAE-05A4C346A66A}"/>
            </a:ext>
          </a:extLst>
        </xdr:cNvPr>
        <xdr:cNvSpPr>
          <a:spLocks noChangeShapeType="1"/>
        </xdr:cNvSpPr>
      </xdr:nvSpPr>
      <xdr:spPr bwMode="auto">
        <a:xfrm>
          <a:off x="11839575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3821" name="Line 41">
          <a:extLst>
            <a:ext uri="{FF2B5EF4-FFF2-40B4-BE49-F238E27FC236}">
              <a16:creationId xmlns:a16="http://schemas.microsoft.com/office/drawing/2014/main" id="{DF210B95-7787-4039-BD66-90EB1ED9255C}"/>
            </a:ext>
          </a:extLst>
        </xdr:cNvPr>
        <xdr:cNvSpPr>
          <a:spLocks noChangeShapeType="1"/>
        </xdr:cNvSpPr>
      </xdr:nvSpPr>
      <xdr:spPr bwMode="auto">
        <a:xfrm>
          <a:off x="1111567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3822" name="Line 42">
          <a:extLst>
            <a:ext uri="{FF2B5EF4-FFF2-40B4-BE49-F238E27FC236}">
              <a16:creationId xmlns:a16="http://schemas.microsoft.com/office/drawing/2014/main" id="{B513FA11-8D50-4378-91BD-CA918C688A96}"/>
            </a:ext>
          </a:extLst>
        </xdr:cNvPr>
        <xdr:cNvSpPr>
          <a:spLocks noChangeShapeType="1"/>
        </xdr:cNvSpPr>
      </xdr:nvSpPr>
      <xdr:spPr bwMode="auto">
        <a:xfrm>
          <a:off x="1440180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3823" name="Line 43">
          <a:extLst>
            <a:ext uri="{FF2B5EF4-FFF2-40B4-BE49-F238E27FC236}">
              <a16:creationId xmlns:a16="http://schemas.microsoft.com/office/drawing/2014/main" id="{DFAD338D-1033-4501-A1D5-D095BF5A7801}"/>
            </a:ext>
          </a:extLst>
        </xdr:cNvPr>
        <xdr:cNvSpPr>
          <a:spLocks noChangeShapeType="1"/>
        </xdr:cNvSpPr>
      </xdr:nvSpPr>
      <xdr:spPr bwMode="auto">
        <a:xfrm>
          <a:off x="1440180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3824" name="Line 44">
          <a:extLst>
            <a:ext uri="{FF2B5EF4-FFF2-40B4-BE49-F238E27FC236}">
              <a16:creationId xmlns:a16="http://schemas.microsoft.com/office/drawing/2014/main" id="{1AD50305-8141-4508-986D-732EF65490F9}"/>
            </a:ext>
          </a:extLst>
        </xdr:cNvPr>
        <xdr:cNvSpPr>
          <a:spLocks noChangeShapeType="1"/>
        </xdr:cNvSpPr>
      </xdr:nvSpPr>
      <xdr:spPr bwMode="auto">
        <a:xfrm>
          <a:off x="1398270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3825" name="Line 45">
          <a:extLst>
            <a:ext uri="{FF2B5EF4-FFF2-40B4-BE49-F238E27FC236}">
              <a16:creationId xmlns:a16="http://schemas.microsoft.com/office/drawing/2014/main" id="{31E0F0E7-738C-471F-880C-FA61657AC06B}"/>
            </a:ext>
          </a:extLst>
        </xdr:cNvPr>
        <xdr:cNvSpPr>
          <a:spLocks noChangeShapeType="1"/>
        </xdr:cNvSpPr>
      </xdr:nvSpPr>
      <xdr:spPr bwMode="auto">
        <a:xfrm>
          <a:off x="1440180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3826" name="Line 46">
          <a:extLst>
            <a:ext uri="{FF2B5EF4-FFF2-40B4-BE49-F238E27FC236}">
              <a16:creationId xmlns:a16="http://schemas.microsoft.com/office/drawing/2014/main" id="{5CA2457F-3E74-4BDB-AFE8-7EABBD55A9A2}"/>
            </a:ext>
          </a:extLst>
        </xdr:cNvPr>
        <xdr:cNvSpPr>
          <a:spLocks noChangeShapeType="1"/>
        </xdr:cNvSpPr>
      </xdr:nvSpPr>
      <xdr:spPr bwMode="auto">
        <a:xfrm>
          <a:off x="1440180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3827" name="Line 47">
          <a:extLst>
            <a:ext uri="{FF2B5EF4-FFF2-40B4-BE49-F238E27FC236}">
              <a16:creationId xmlns:a16="http://schemas.microsoft.com/office/drawing/2014/main" id="{FF19EDE6-D168-42A4-85C8-2188C0D9000B}"/>
            </a:ext>
          </a:extLst>
        </xdr:cNvPr>
        <xdr:cNvSpPr>
          <a:spLocks noChangeShapeType="1"/>
        </xdr:cNvSpPr>
      </xdr:nvSpPr>
      <xdr:spPr bwMode="auto">
        <a:xfrm>
          <a:off x="1398270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3828" name="Line 48">
          <a:extLst>
            <a:ext uri="{FF2B5EF4-FFF2-40B4-BE49-F238E27FC236}">
              <a16:creationId xmlns:a16="http://schemas.microsoft.com/office/drawing/2014/main" id="{E9BA6CEE-140F-4793-9805-AFA3C2729154}"/>
            </a:ext>
          </a:extLst>
        </xdr:cNvPr>
        <xdr:cNvSpPr>
          <a:spLocks noChangeShapeType="1"/>
        </xdr:cNvSpPr>
      </xdr:nvSpPr>
      <xdr:spPr bwMode="auto">
        <a:xfrm>
          <a:off x="1440180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3829" name="Line 49">
          <a:extLst>
            <a:ext uri="{FF2B5EF4-FFF2-40B4-BE49-F238E27FC236}">
              <a16:creationId xmlns:a16="http://schemas.microsoft.com/office/drawing/2014/main" id="{2FBCE739-7AD6-4EE5-ABD7-A9329589FE81}"/>
            </a:ext>
          </a:extLst>
        </xdr:cNvPr>
        <xdr:cNvSpPr>
          <a:spLocks noChangeShapeType="1"/>
        </xdr:cNvSpPr>
      </xdr:nvSpPr>
      <xdr:spPr bwMode="auto">
        <a:xfrm>
          <a:off x="1398270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3830" name="Line 50">
          <a:extLst>
            <a:ext uri="{FF2B5EF4-FFF2-40B4-BE49-F238E27FC236}">
              <a16:creationId xmlns:a16="http://schemas.microsoft.com/office/drawing/2014/main" id="{58119AEC-4493-4FDA-BBA7-6D2169C36333}"/>
            </a:ext>
          </a:extLst>
        </xdr:cNvPr>
        <xdr:cNvSpPr>
          <a:spLocks noChangeShapeType="1"/>
        </xdr:cNvSpPr>
      </xdr:nvSpPr>
      <xdr:spPr bwMode="auto">
        <a:xfrm flipV="1">
          <a:off x="1440180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3831" name="Line 51">
          <a:extLst>
            <a:ext uri="{FF2B5EF4-FFF2-40B4-BE49-F238E27FC236}">
              <a16:creationId xmlns:a16="http://schemas.microsoft.com/office/drawing/2014/main" id="{CD47AAED-06B7-4451-9F04-F17F86673400}"/>
            </a:ext>
          </a:extLst>
        </xdr:cNvPr>
        <xdr:cNvSpPr>
          <a:spLocks noChangeShapeType="1"/>
        </xdr:cNvSpPr>
      </xdr:nvSpPr>
      <xdr:spPr bwMode="auto">
        <a:xfrm flipV="1">
          <a:off x="1398270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3832" name="Line 52">
          <a:extLst>
            <a:ext uri="{FF2B5EF4-FFF2-40B4-BE49-F238E27FC236}">
              <a16:creationId xmlns:a16="http://schemas.microsoft.com/office/drawing/2014/main" id="{0358CBA1-4FF8-4B37-9A3F-B3A817623AF6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3833" name="Line 53">
          <a:extLst>
            <a:ext uri="{FF2B5EF4-FFF2-40B4-BE49-F238E27FC236}">
              <a16:creationId xmlns:a16="http://schemas.microsoft.com/office/drawing/2014/main" id="{7735CC10-9005-4131-8282-4A03A2E41BAF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3834" name="Line 54">
          <a:extLst>
            <a:ext uri="{FF2B5EF4-FFF2-40B4-BE49-F238E27FC236}">
              <a16:creationId xmlns:a16="http://schemas.microsoft.com/office/drawing/2014/main" id="{EC7BC6D2-D01C-4573-9CEC-C340A771021F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3835" name="Line 55">
          <a:extLst>
            <a:ext uri="{FF2B5EF4-FFF2-40B4-BE49-F238E27FC236}">
              <a16:creationId xmlns:a16="http://schemas.microsoft.com/office/drawing/2014/main" id="{8679C958-E942-40AA-B46B-3B799D9AB12F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3836" name="Line 56">
          <a:extLst>
            <a:ext uri="{FF2B5EF4-FFF2-40B4-BE49-F238E27FC236}">
              <a16:creationId xmlns:a16="http://schemas.microsoft.com/office/drawing/2014/main" id="{7EDBB1D5-7BDF-49A2-BC93-9DCAF88E211D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3837" name="Line 57">
          <a:extLst>
            <a:ext uri="{FF2B5EF4-FFF2-40B4-BE49-F238E27FC236}">
              <a16:creationId xmlns:a16="http://schemas.microsoft.com/office/drawing/2014/main" id="{E883590E-1D5B-4722-A0E5-84EE8BBBB6B4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3838" name="Line 58">
          <a:extLst>
            <a:ext uri="{FF2B5EF4-FFF2-40B4-BE49-F238E27FC236}">
              <a16:creationId xmlns:a16="http://schemas.microsoft.com/office/drawing/2014/main" id="{0B0ED70E-B6D4-4DAF-8135-CDBC5F8CFEBF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3839" name="Line 59">
          <a:extLst>
            <a:ext uri="{FF2B5EF4-FFF2-40B4-BE49-F238E27FC236}">
              <a16:creationId xmlns:a16="http://schemas.microsoft.com/office/drawing/2014/main" id="{00E8C3D6-4D78-4C23-A61B-55D44E2D2D9D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3840" name="Line 60">
          <a:extLst>
            <a:ext uri="{FF2B5EF4-FFF2-40B4-BE49-F238E27FC236}">
              <a16:creationId xmlns:a16="http://schemas.microsoft.com/office/drawing/2014/main" id="{F2E45BB4-2E21-44C6-B528-2D48D3227153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3841" name="Line 61">
          <a:extLst>
            <a:ext uri="{FF2B5EF4-FFF2-40B4-BE49-F238E27FC236}">
              <a16:creationId xmlns:a16="http://schemas.microsoft.com/office/drawing/2014/main" id="{BFBC465A-E3C3-4DD8-86E2-39805A741F88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3842" name="Line 62">
          <a:extLst>
            <a:ext uri="{FF2B5EF4-FFF2-40B4-BE49-F238E27FC236}">
              <a16:creationId xmlns:a16="http://schemas.microsoft.com/office/drawing/2014/main" id="{BF1002EB-66AF-4CE8-8E8B-B761EDC50561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3843" name="Line 63">
          <a:extLst>
            <a:ext uri="{FF2B5EF4-FFF2-40B4-BE49-F238E27FC236}">
              <a16:creationId xmlns:a16="http://schemas.microsoft.com/office/drawing/2014/main" id="{6A1DB1FE-79EF-446A-B1F5-15B5844124C7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3844" name="Line 64">
          <a:extLst>
            <a:ext uri="{FF2B5EF4-FFF2-40B4-BE49-F238E27FC236}">
              <a16:creationId xmlns:a16="http://schemas.microsoft.com/office/drawing/2014/main" id="{24507EEB-25B8-473E-8782-9CE4A78B6227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3845" name="Line 65">
          <a:extLst>
            <a:ext uri="{FF2B5EF4-FFF2-40B4-BE49-F238E27FC236}">
              <a16:creationId xmlns:a16="http://schemas.microsoft.com/office/drawing/2014/main" id="{F280C4E4-6562-4504-8EDB-14BDCA047E8A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3846" name="Line 66">
          <a:extLst>
            <a:ext uri="{FF2B5EF4-FFF2-40B4-BE49-F238E27FC236}">
              <a16:creationId xmlns:a16="http://schemas.microsoft.com/office/drawing/2014/main" id="{F70701F9-0758-46F6-BD99-0E00014AAE4D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3847" name="Line 67">
          <a:extLst>
            <a:ext uri="{FF2B5EF4-FFF2-40B4-BE49-F238E27FC236}">
              <a16:creationId xmlns:a16="http://schemas.microsoft.com/office/drawing/2014/main" id="{DB8F7FA7-0FA8-4635-BC9E-7CAB28F141AF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3848" name="Line 68">
          <a:extLst>
            <a:ext uri="{FF2B5EF4-FFF2-40B4-BE49-F238E27FC236}">
              <a16:creationId xmlns:a16="http://schemas.microsoft.com/office/drawing/2014/main" id="{8A5FCF1C-4ADE-4D0F-A8EF-1D0954ACEF5F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3849" name="Line 69">
          <a:extLst>
            <a:ext uri="{FF2B5EF4-FFF2-40B4-BE49-F238E27FC236}">
              <a16:creationId xmlns:a16="http://schemas.microsoft.com/office/drawing/2014/main" id="{E6E6DE9D-28FB-4FA1-B7D4-0ED288A0D966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3850" name="Line 70">
          <a:extLst>
            <a:ext uri="{FF2B5EF4-FFF2-40B4-BE49-F238E27FC236}">
              <a16:creationId xmlns:a16="http://schemas.microsoft.com/office/drawing/2014/main" id="{EF02541B-4F22-4AC0-9428-C8A1307E8F1B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3851" name="Line 71">
          <a:extLst>
            <a:ext uri="{FF2B5EF4-FFF2-40B4-BE49-F238E27FC236}">
              <a16:creationId xmlns:a16="http://schemas.microsoft.com/office/drawing/2014/main" id="{08486839-1BC8-46C2-8D8A-11685CFB3264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3852" name="Line 72">
          <a:extLst>
            <a:ext uri="{FF2B5EF4-FFF2-40B4-BE49-F238E27FC236}">
              <a16:creationId xmlns:a16="http://schemas.microsoft.com/office/drawing/2014/main" id="{5F946765-9309-407B-BF28-E2A207DF8A52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3853" name="Line 73">
          <a:extLst>
            <a:ext uri="{FF2B5EF4-FFF2-40B4-BE49-F238E27FC236}">
              <a16:creationId xmlns:a16="http://schemas.microsoft.com/office/drawing/2014/main" id="{17D300C9-BECA-4C56-AC58-5BD933AB913C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3854" name="Line 74">
          <a:extLst>
            <a:ext uri="{FF2B5EF4-FFF2-40B4-BE49-F238E27FC236}">
              <a16:creationId xmlns:a16="http://schemas.microsoft.com/office/drawing/2014/main" id="{B836AD36-E683-48BC-B3A1-70D7F5EDE891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3855" name="Line 75">
          <a:extLst>
            <a:ext uri="{FF2B5EF4-FFF2-40B4-BE49-F238E27FC236}">
              <a16:creationId xmlns:a16="http://schemas.microsoft.com/office/drawing/2014/main" id="{F2C9D502-4593-454D-9E2C-99C3A4E25DA7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3856" name="Line 76">
          <a:extLst>
            <a:ext uri="{FF2B5EF4-FFF2-40B4-BE49-F238E27FC236}">
              <a16:creationId xmlns:a16="http://schemas.microsoft.com/office/drawing/2014/main" id="{4BD9C972-4E2F-4E07-995E-47150A06C58B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3857" name="Line 77">
          <a:extLst>
            <a:ext uri="{FF2B5EF4-FFF2-40B4-BE49-F238E27FC236}">
              <a16:creationId xmlns:a16="http://schemas.microsoft.com/office/drawing/2014/main" id="{EAEA74AE-A0FC-42F7-A1C3-FC7AA0BAF665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3858" name="Line 78">
          <a:extLst>
            <a:ext uri="{FF2B5EF4-FFF2-40B4-BE49-F238E27FC236}">
              <a16:creationId xmlns:a16="http://schemas.microsoft.com/office/drawing/2014/main" id="{EE539A75-99C7-456E-AD3E-C7A9A256FA32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3859" name="Line 79">
          <a:extLst>
            <a:ext uri="{FF2B5EF4-FFF2-40B4-BE49-F238E27FC236}">
              <a16:creationId xmlns:a16="http://schemas.microsoft.com/office/drawing/2014/main" id="{FC285ABA-9C5A-462D-9102-8F0D472B7C9E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3860" name="Line 80">
          <a:extLst>
            <a:ext uri="{FF2B5EF4-FFF2-40B4-BE49-F238E27FC236}">
              <a16:creationId xmlns:a16="http://schemas.microsoft.com/office/drawing/2014/main" id="{D6E0643A-FFB6-4E5B-8443-341829499C47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3861" name="Line 81">
          <a:extLst>
            <a:ext uri="{FF2B5EF4-FFF2-40B4-BE49-F238E27FC236}">
              <a16:creationId xmlns:a16="http://schemas.microsoft.com/office/drawing/2014/main" id="{A1BC0125-FAD8-4ED5-A617-2E3FBCF039EA}"/>
            </a:ext>
          </a:extLst>
        </xdr:cNvPr>
        <xdr:cNvSpPr>
          <a:spLocks noChangeShapeType="1"/>
        </xdr:cNvSpPr>
      </xdr:nvSpPr>
      <xdr:spPr bwMode="auto">
        <a:xfrm>
          <a:off x="96869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3862" name="Line 82">
          <a:extLst>
            <a:ext uri="{FF2B5EF4-FFF2-40B4-BE49-F238E27FC236}">
              <a16:creationId xmlns:a16="http://schemas.microsoft.com/office/drawing/2014/main" id="{2782CB89-DEB8-493A-BA58-D147449E78C8}"/>
            </a:ext>
          </a:extLst>
        </xdr:cNvPr>
        <xdr:cNvSpPr>
          <a:spLocks noChangeShapeType="1"/>
        </xdr:cNvSpPr>
      </xdr:nvSpPr>
      <xdr:spPr bwMode="auto">
        <a:xfrm>
          <a:off x="96869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3863" name="Line 83">
          <a:extLst>
            <a:ext uri="{FF2B5EF4-FFF2-40B4-BE49-F238E27FC236}">
              <a16:creationId xmlns:a16="http://schemas.microsoft.com/office/drawing/2014/main" id="{15C757FC-18D2-4B04-AE86-1E5324EF962C}"/>
            </a:ext>
          </a:extLst>
        </xdr:cNvPr>
        <xdr:cNvSpPr>
          <a:spLocks noChangeShapeType="1"/>
        </xdr:cNvSpPr>
      </xdr:nvSpPr>
      <xdr:spPr bwMode="auto">
        <a:xfrm>
          <a:off x="1440180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3864" name="Line 84">
          <a:extLst>
            <a:ext uri="{FF2B5EF4-FFF2-40B4-BE49-F238E27FC236}">
              <a16:creationId xmlns:a16="http://schemas.microsoft.com/office/drawing/2014/main" id="{159501C6-7A06-438E-B10E-52593F96BEE4}"/>
            </a:ext>
          </a:extLst>
        </xdr:cNvPr>
        <xdr:cNvSpPr>
          <a:spLocks noChangeShapeType="1"/>
        </xdr:cNvSpPr>
      </xdr:nvSpPr>
      <xdr:spPr bwMode="auto">
        <a:xfrm>
          <a:off x="1440180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3865" name="Line 85">
          <a:extLst>
            <a:ext uri="{FF2B5EF4-FFF2-40B4-BE49-F238E27FC236}">
              <a16:creationId xmlns:a16="http://schemas.microsoft.com/office/drawing/2014/main" id="{A7E7310B-4236-43CC-81DC-7E6F087A8B6E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3866" name="Line 86">
          <a:extLst>
            <a:ext uri="{FF2B5EF4-FFF2-40B4-BE49-F238E27FC236}">
              <a16:creationId xmlns:a16="http://schemas.microsoft.com/office/drawing/2014/main" id="{F08D3CC6-B2FE-4F8A-8DCF-5DBB3C9FFA7D}"/>
            </a:ext>
          </a:extLst>
        </xdr:cNvPr>
        <xdr:cNvSpPr>
          <a:spLocks noChangeShapeType="1"/>
        </xdr:cNvSpPr>
      </xdr:nvSpPr>
      <xdr:spPr bwMode="auto">
        <a:xfrm>
          <a:off x="96869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3867" name="Line 87">
          <a:extLst>
            <a:ext uri="{FF2B5EF4-FFF2-40B4-BE49-F238E27FC236}">
              <a16:creationId xmlns:a16="http://schemas.microsoft.com/office/drawing/2014/main" id="{4B3983C9-5CC7-4FAC-BC3B-7F0C374A76DC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3868" name="Line 88">
          <a:extLst>
            <a:ext uri="{FF2B5EF4-FFF2-40B4-BE49-F238E27FC236}">
              <a16:creationId xmlns:a16="http://schemas.microsoft.com/office/drawing/2014/main" id="{F52D6CD9-2EDA-4F4A-90A0-EED4310006D3}"/>
            </a:ext>
          </a:extLst>
        </xdr:cNvPr>
        <xdr:cNvSpPr>
          <a:spLocks noChangeShapeType="1"/>
        </xdr:cNvSpPr>
      </xdr:nvSpPr>
      <xdr:spPr bwMode="auto">
        <a:xfrm>
          <a:off x="96869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3869" name="Line 89">
          <a:extLst>
            <a:ext uri="{FF2B5EF4-FFF2-40B4-BE49-F238E27FC236}">
              <a16:creationId xmlns:a16="http://schemas.microsoft.com/office/drawing/2014/main" id="{32CD9819-D588-4A65-BDD9-20BDDEBFC82C}"/>
            </a:ext>
          </a:extLst>
        </xdr:cNvPr>
        <xdr:cNvSpPr>
          <a:spLocks noChangeShapeType="1"/>
        </xdr:cNvSpPr>
      </xdr:nvSpPr>
      <xdr:spPr bwMode="auto">
        <a:xfrm>
          <a:off x="9686925" y="11287125"/>
          <a:ext cx="30194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3870" name="Line 90">
          <a:extLst>
            <a:ext uri="{FF2B5EF4-FFF2-40B4-BE49-F238E27FC236}">
              <a16:creationId xmlns:a16="http://schemas.microsoft.com/office/drawing/2014/main" id="{ABD62F71-DEB9-486C-94A8-221BDA95775D}"/>
            </a:ext>
          </a:extLst>
        </xdr:cNvPr>
        <xdr:cNvSpPr>
          <a:spLocks noChangeShapeType="1"/>
        </xdr:cNvSpPr>
      </xdr:nvSpPr>
      <xdr:spPr bwMode="auto">
        <a:xfrm>
          <a:off x="98012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3871" name="Line 91">
          <a:extLst>
            <a:ext uri="{FF2B5EF4-FFF2-40B4-BE49-F238E27FC236}">
              <a16:creationId xmlns:a16="http://schemas.microsoft.com/office/drawing/2014/main" id="{8362C640-8B31-4082-8162-02D644A3650E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3872" name="Line 92">
          <a:extLst>
            <a:ext uri="{FF2B5EF4-FFF2-40B4-BE49-F238E27FC236}">
              <a16:creationId xmlns:a16="http://schemas.microsoft.com/office/drawing/2014/main" id="{E0C9809F-5DB3-4594-A9D2-5FBDA0C630A0}"/>
            </a:ext>
          </a:extLst>
        </xdr:cNvPr>
        <xdr:cNvSpPr>
          <a:spLocks noChangeShapeType="1"/>
        </xdr:cNvSpPr>
      </xdr:nvSpPr>
      <xdr:spPr bwMode="auto">
        <a:xfrm flipV="1">
          <a:off x="96869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3873" name="Line 93">
          <a:extLst>
            <a:ext uri="{FF2B5EF4-FFF2-40B4-BE49-F238E27FC236}">
              <a16:creationId xmlns:a16="http://schemas.microsoft.com/office/drawing/2014/main" id="{29FE9C27-7173-4DFC-B4A4-6319D5466D0D}"/>
            </a:ext>
          </a:extLst>
        </xdr:cNvPr>
        <xdr:cNvSpPr>
          <a:spLocks noChangeShapeType="1"/>
        </xdr:cNvSpPr>
      </xdr:nvSpPr>
      <xdr:spPr bwMode="auto">
        <a:xfrm>
          <a:off x="98012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3874" name="Line 94">
          <a:extLst>
            <a:ext uri="{FF2B5EF4-FFF2-40B4-BE49-F238E27FC236}">
              <a16:creationId xmlns:a16="http://schemas.microsoft.com/office/drawing/2014/main" id="{6983C01B-71A3-44B2-9119-ED6DFB73FAC6}"/>
            </a:ext>
          </a:extLst>
        </xdr:cNvPr>
        <xdr:cNvSpPr>
          <a:spLocks noChangeShapeType="1"/>
        </xdr:cNvSpPr>
      </xdr:nvSpPr>
      <xdr:spPr bwMode="auto">
        <a:xfrm>
          <a:off x="1183957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3875" name="Line 95">
          <a:extLst>
            <a:ext uri="{FF2B5EF4-FFF2-40B4-BE49-F238E27FC236}">
              <a16:creationId xmlns:a16="http://schemas.microsoft.com/office/drawing/2014/main" id="{4BFD069B-22C1-49D2-B63C-281345BE1336}"/>
            </a:ext>
          </a:extLst>
        </xdr:cNvPr>
        <xdr:cNvSpPr>
          <a:spLocks noChangeShapeType="1"/>
        </xdr:cNvSpPr>
      </xdr:nvSpPr>
      <xdr:spPr bwMode="auto">
        <a:xfrm>
          <a:off x="1183957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3876" name="Line 96">
          <a:extLst>
            <a:ext uri="{FF2B5EF4-FFF2-40B4-BE49-F238E27FC236}">
              <a16:creationId xmlns:a16="http://schemas.microsoft.com/office/drawing/2014/main" id="{0218CE68-410B-4F2A-BB94-3318C7434E81}"/>
            </a:ext>
          </a:extLst>
        </xdr:cNvPr>
        <xdr:cNvSpPr>
          <a:spLocks noChangeShapeType="1"/>
        </xdr:cNvSpPr>
      </xdr:nvSpPr>
      <xdr:spPr bwMode="auto">
        <a:xfrm>
          <a:off x="96869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3877" name="Line 97">
          <a:extLst>
            <a:ext uri="{FF2B5EF4-FFF2-40B4-BE49-F238E27FC236}">
              <a16:creationId xmlns:a16="http://schemas.microsoft.com/office/drawing/2014/main" id="{7EAB79B9-B7F7-44B8-972F-928A6353858D}"/>
            </a:ext>
          </a:extLst>
        </xdr:cNvPr>
        <xdr:cNvSpPr>
          <a:spLocks noChangeShapeType="1"/>
        </xdr:cNvSpPr>
      </xdr:nvSpPr>
      <xdr:spPr bwMode="auto">
        <a:xfrm>
          <a:off x="1183957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3878" name="Line 98">
          <a:extLst>
            <a:ext uri="{FF2B5EF4-FFF2-40B4-BE49-F238E27FC236}">
              <a16:creationId xmlns:a16="http://schemas.microsoft.com/office/drawing/2014/main" id="{469F1FA2-64CB-4AD3-903C-84B3F4A3EFB9}"/>
            </a:ext>
          </a:extLst>
        </xdr:cNvPr>
        <xdr:cNvSpPr>
          <a:spLocks noChangeShapeType="1"/>
        </xdr:cNvSpPr>
      </xdr:nvSpPr>
      <xdr:spPr bwMode="auto">
        <a:xfrm flipV="1">
          <a:off x="96869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3879" name="Line 99">
          <a:extLst>
            <a:ext uri="{FF2B5EF4-FFF2-40B4-BE49-F238E27FC236}">
              <a16:creationId xmlns:a16="http://schemas.microsoft.com/office/drawing/2014/main" id="{C1309255-15B7-4BE4-8542-89A8B07F827B}"/>
            </a:ext>
          </a:extLst>
        </xdr:cNvPr>
        <xdr:cNvSpPr>
          <a:spLocks noChangeShapeType="1"/>
        </xdr:cNvSpPr>
      </xdr:nvSpPr>
      <xdr:spPr bwMode="auto">
        <a:xfrm>
          <a:off x="104489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3880" name="Line 100">
          <a:extLst>
            <a:ext uri="{FF2B5EF4-FFF2-40B4-BE49-F238E27FC236}">
              <a16:creationId xmlns:a16="http://schemas.microsoft.com/office/drawing/2014/main" id="{AEA856BC-6F97-40EE-97B0-94C61B3C53A4}"/>
            </a:ext>
          </a:extLst>
        </xdr:cNvPr>
        <xdr:cNvSpPr>
          <a:spLocks noChangeShapeType="1"/>
        </xdr:cNvSpPr>
      </xdr:nvSpPr>
      <xdr:spPr bwMode="auto">
        <a:xfrm>
          <a:off x="1440180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3881" name="Line 101">
          <a:extLst>
            <a:ext uri="{FF2B5EF4-FFF2-40B4-BE49-F238E27FC236}">
              <a16:creationId xmlns:a16="http://schemas.microsoft.com/office/drawing/2014/main" id="{F5A02DF6-0C25-4FAB-AA9F-5BADB985D8CA}"/>
            </a:ext>
          </a:extLst>
        </xdr:cNvPr>
        <xdr:cNvSpPr>
          <a:spLocks noChangeShapeType="1"/>
        </xdr:cNvSpPr>
      </xdr:nvSpPr>
      <xdr:spPr bwMode="auto">
        <a:xfrm>
          <a:off x="13982700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3882" name="Line 102">
          <a:extLst>
            <a:ext uri="{FF2B5EF4-FFF2-40B4-BE49-F238E27FC236}">
              <a16:creationId xmlns:a16="http://schemas.microsoft.com/office/drawing/2014/main" id="{B9522029-FCB5-4109-990B-324581592861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3883" name="Line 103">
          <a:extLst>
            <a:ext uri="{FF2B5EF4-FFF2-40B4-BE49-F238E27FC236}">
              <a16:creationId xmlns:a16="http://schemas.microsoft.com/office/drawing/2014/main" id="{5BCD6170-0175-4F41-A1A3-EB590B583892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3884" name="Line 104">
          <a:extLst>
            <a:ext uri="{FF2B5EF4-FFF2-40B4-BE49-F238E27FC236}">
              <a16:creationId xmlns:a16="http://schemas.microsoft.com/office/drawing/2014/main" id="{841908B0-FAF7-47D6-9AF1-0D75EFD32976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3885" name="Line 105">
          <a:extLst>
            <a:ext uri="{FF2B5EF4-FFF2-40B4-BE49-F238E27FC236}">
              <a16:creationId xmlns:a16="http://schemas.microsoft.com/office/drawing/2014/main" id="{8C95E648-6190-4FC7-9E8C-C62AEFB9C108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3886" name="Line 106">
          <a:extLst>
            <a:ext uri="{FF2B5EF4-FFF2-40B4-BE49-F238E27FC236}">
              <a16:creationId xmlns:a16="http://schemas.microsoft.com/office/drawing/2014/main" id="{0E067AE9-ABF5-4A51-9269-ED9B6A1B20D1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3887" name="Line 107">
          <a:extLst>
            <a:ext uri="{FF2B5EF4-FFF2-40B4-BE49-F238E27FC236}">
              <a16:creationId xmlns:a16="http://schemas.microsoft.com/office/drawing/2014/main" id="{2F37A54D-BB36-4076-87AF-EE2E2C1F6AB0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3888" name="Line 108">
          <a:extLst>
            <a:ext uri="{FF2B5EF4-FFF2-40B4-BE49-F238E27FC236}">
              <a16:creationId xmlns:a16="http://schemas.microsoft.com/office/drawing/2014/main" id="{66D8D9C3-7213-4861-B6E2-12A7C8E68CED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3889" name="Line 109">
          <a:extLst>
            <a:ext uri="{FF2B5EF4-FFF2-40B4-BE49-F238E27FC236}">
              <a16:creationId xmlns:a16="http://schemas.microsoft.com/office/drawing/2014/main" id="{0CB1B8C2-56EE-4303-9EEC-1BF2C77C8C19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3890" name="Line 110">
          <a:extLst>
            <a:ext uri="{FF2B5EF4-FFF2-40B4-BE49-F238E27FC236}">
              <a16:creationId xmlns:a16="http://schemas.microsoft.com/office/drawing/2014/main" id="{A8EB17A0-05C0-46A3-863A-A53CD99DCD78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3891" name="Line 111">
          <a:extLst>
            <a:ext uri="{FF2B5EF4-FFF2-40B4-BE49-F238E27FC236}">
              <a16:creationId xmlns:a16="http://schemas.microsoft.com/office/drawing/2014/main" id="{C5073BC5-E256-4C31-9C15-396252A0D211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3892" name="Line 112">
          <a:extLst>
            <a:ext uri="{FF2B5EF4-FFF2-40B4-BE49-F238E27FC236}">
              <a16:creationId xmlns:a16="http://schemas.microsoft.com/office/drawing/2014/main" id="{31E5E816-1BBE-4ABD-A10D-C68B24146A46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3893" name="Line 113">
          <a:extLst>
            <a:ext uri="{FF2B5EF4-FFF2-40B4-BE49-F238E27FC236}">
              <a16:creationId xmlns:a16="http://schemas.microsoft.com/office/drawing/2014/main" id="{2A5E2EF0-F545-4E12-B520-010DA6134D40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3894" name="Line 114">
          <a:extLst>
            <a:ext uri="{FF2B5EF4-FFF2-40B4-BE49-F238E27FC236}">
              <a16:creationId xmlns:a16="http://schemas.microsoft.com/office/drawing/2014/main" id="{EB218988-3601-4E41-8D44-DEE176E146EE}"/>
            </a:ext>
          </a:extLst>
        </xdr:cNvPr>
        <xdr:cNvSpPr>
          <a:spLocks noChangeShapeType="1"/>
        </xdr:cNvSpPr>
      </xdr:nvSpPr>
      <xdr:spPr bwMode="auto">
        <a:xfrm flipV="1">
          <a:off x="96869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4805" name="Line 1">
          <a:extLst>
            <a:ext uri="{FF2B5EF4-FFF2-40B4-BE49-F238E27FC236}">
              <a16:creationId xmlns:a16="http://schemas.microsoft.com/office/drawing/2014/main" id="{DB62B747-CA19-471C-B965-B215D9B5FA3E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4806" name="Line 2">
          <a:extLst>
            <a:ext uri="{FF2B5EF4-FFF2-40B4-BE49-F238E27FC236}">
              <a16:creationId xmlns:a16="http://schemas.microsoft.com/office/drawing/2014/main" id="{E197D9F9-8C6F-4054-AD1D-926F33031018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4807" name="Line 3">
          <a:extLst>
            <a:ext uri="{FF2B5EF4-FFF2-40B4-BE49-F238E27FC236}">
              <a16:creationId xmlns:a16="http://schemas.microsoft.com/office/drawing/2014/main" id="{B69F795A-EB1D-4B75-8AC5-4450BE22357B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4808" name="Line 4">
          <a:extLst>
            <a:ext uri="{FF2B5EF4-FFF2-40B4-BE49-F238E27FC236}">
              <a16:creationId xmlns:a16="http://schemas.microsoft.com/office/drawing/2014/main" id="{9B6CD2F7-68FC-4D0C-8527-5A65121A66A7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4809" name="Line 5">
          <a:extLst>
            <a:ext uri="{FF2B5EF4-FFF2-40B4-BE49-F238E27FC236}">
              <a16:creationId xmlns:a16="http://schemas.microsoft.com/office/drawing/2014/main" id="{2AD64060-2636-4291-9E9B-DA69A20A9914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4810" name="Line 6">
          <a:extLst>
            <a:ext uri="{FF2B5EF4-FFF2-40B4-BE49-F238E27FC236}">
              <a16:creationId xmlns:a16="http://schemas.microsoft.com/office/drawing/2014/main" id="{4D3B3470-D632-4FEC-A2A9-A7EADD453CE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4811" name="Line 7">
          <a:extLst>
            <a:ext uri="{FF2B5EF4-FFF2-40B4-BE49-F238E27FC236}">
              <a16:creationId xmlns:a16="http://schemas.microsoft.com/office/drawing/2014/main" id="{A2732D1C-63ED-4607-8A8E-2481005B2A19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4812" name="Line 8">
          <a:extLst>
            <a:ext uri="{FF2B5EF4-FFF2-40B4-BE49-F238E27FC236}">
              <a16:creationId xmlns:a16="http://schemas.microsoft.com/office/drawing/2014/main" id="{02131A41-86E8-42EC-8FD3-D28C4ABFEAD0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4813" name="Line 9">
          <a:extLst>
            <a:ext uri="{FF2B5EF4-FFF2-40B4-BE49-F238E27FC236}">
              <a16:creationId xmlns:a16="http://schemas.microsoft.com/office/drawing/2014/main" id="{77802263-533F-4F2A-8D2C-4B4A5D81B816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4814" name="Line 10">
          <a:extLst>
            <a:ext uri="{FF2B5EF4-FFF2-40B4-BE49-F238E27FC236}">
              <a16:creationId xmlns:a16="http://schemas.microsoft.com/office/drawing/2014/main" id="{4DC04464-C0B4-41BD-8189-2B660B35A261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4815" name="Line 11">
          <a:extLst>
            <a:ext uri="{FF2B5EF4-FFF2-40B4-BE49-F238E27FC236}">
              <a16:creationId xmlns:a16="http://schemas.microsoft.com/office/drawing/2014/main" id="{66527EA4-D0B2-461A-99ED-AC7F4D932216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4816" name="Line 12">
          <a:extLst>
            <a:ext uri="{FF2B5EF4-FFF2-40B4-BE49-F238E27FC236}">
              <a16:creationId xmlns:a16="http://schemas.microsoft.com/office/drawing/2014/main" id="{9467D8A1-E788-451B-B3C8-C7590410D839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4817" name="Line 13">
          <a:extLst>
            <a:ext uri="{FF2B5EF4-FFF2-40B4-BE49-F238E27FC236}">
              <a16:creationId xmlns:a16="http://schemas.microsoft.com/office/drawing/2014/main" id="{0E1EC210-4FE2-4CDF-B7D2-7E2F0A111089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4818" name="Line 14">
          <a:extLst>
            <a:ext uri="{FF2B5EF4-FFF2-40B4-BE49-F238E27FC236}">
              <a16:creationId xmlns:a16="http://schemas.microsoft.com/office/drawing/2014/main" id="{149C9CBB-BCCC-41BB-B2E3-8AFC93B3DC08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4819" name="Line 15">
          <a:extLst>
            <a:ext uri="{FF2B5EF4-FFF2-40B4-BE49-F238E27FC236}">
              <a16:creationId xmlns:a16="http://schemas.microsoft.com/office/drawing/2014/main" id="{50DE22E1-39C6-49A4-9085-36F791C90835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4820" name="Line 16">
          <a:extLst>
            <a:ext uri="{FF2B5EF4-FFF2-40B4-BE49-F238E27FC236}">
              <a16:creationId xmlns:a16="http://schemas.microsoft.com/office/drawing/2014/main" id="{EA62B476-0C52-4BC4-806A-254DFD39424E}"/>
            </a:ext>
          </a:extLst>
        </xdr:cNvPr>
        <xdr:cNvSpPr>
          <a:spLocks noChangeShapeType="1"/>
        </xdr:cNvSpPr>
      </xdr:nvSpPr>
      <xdr:spPr bwMode="auto">
        <a:xfrm>
          <a:off x="104489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4821" name="Line 17">
          <a:extLst>
            <a:ext uri="{FF2B5EF4-FFF2-40B4-BE49-F238E27FC236}">
              <a16:creationId xmlns:a16="http://schemas.microsoft.com/office/drawing/2014/main" id="{315F72E0-7D91-46A4-B350-F236D2FB7569}"/>
            </a:ext>
          </a:extLst>
        </xdr:cNvPr>
        <xdr:cNvSpPr>
          <a:spLocks noChangeShapeType="1"/>
        </xdr:cNvSpPr>
      </xdr:nvSpPr>
      <xdr:spPr bwMode="auto">
        <a:xfrm>
          <a:off x="96869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4822" name="Line 18">
          <a:extLst>
            <a:ext uri="{FF2B5EF4-FFF2-40B4-BE49-F238E27FC236}">
              <a16:creationId xmlns:a16="http://schemas.microsoft.com/office/drawing/2014/main" id="{E2E9A259-E1EF-4522-BCB4-28F6910CE298}"/>
            </a:ext>
          </a:extLst>
        </xdr:cNvPr>
        <xdr:cNvSpPr>
          <a:spLocks noChangeShapeType="1"/>
        </xdr:cNvSpPr>
      </xdr:nvSpPr>
      <xdr:spPr bwMode="auto">
        <a:xfrm>
          <a:off x="104489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4823" name="Line 19">
          <a:extLst>
            <a:ext uri="{FF2B5EF4-FFF2-40B4-BE49-F238E27FC236}">
              <a16:creationId xmlns:a16="http://schemas.microsoft.com/office/drawing/2014/main" id="{D4E07FF5-B1C1-40EE-BB49-C84E6DEC893E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4824" name="Line 20">
          <a:extLst>
            <a:ext uri="{FF2B5EF4-FFF2-40B4-BE49-F238E27FC236}">
              <a16:creationId xmlns:a16="http://schemas.microsoft.com/office/drawing/2014/main" id="{A7D0C903-AD58-4E11-B572-5AC47E3068B7}"/>
            </a:ext>
          </a:extLst>
        </xdr:cNvPr>
        <xdr:cNvSpPr>
          <a:spLocks noChangeShapeType="1"/>
        </xdr:cNvSpPr>
      </xdr:nvSpPr>
      <xdr:spPr bwMode="auto">
        <a:xfrm>
          <a:off x="96869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4825" name="Line 21">
          <a:extLst>
            <a:ext uri="{FF2B5EF4-FFF2-40B4-BE49-F238E27FC236}">
              <a16:creationId xmlns:a16="http://schemas.microsoft.com/office/drawing/2014/main" id="{04A8DE2C-F601-4843-B232-056586BB4D2F}"/>
            </a:ext>
          </a:extLst>
        </xdr:cNvPr>
        <xdr:cNvSpPr>
          <a:spLocks noChangeShapeType="1"/>
        </xdr:cNvSpPr>
      </xdr:nvSpPr>
      <xdr:spPr bwMode="auto">
        <a:xfrm>
          <a:off x="104489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4826" name="Line 22">
          <a:extLst>
            <a:ext uri="{FF2B5EF4-FFF2-40B4-BE49-F238E27FC236}">
              <a16:creationId xmlns:a16="http://schemas.microsoft.com/office/drawing/2014/main" id="{04946DD4-A406-4747-88B8-8394F883FB3C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4827" name="Line 23">
          <a:extLst>
            <a:ext uri="{FF2B5EF4-FFF2-40B4-BE49-F238E27FC236}">
              <a16:creationId xmlns:a16="http://schemas.microsoft.com/office/drawing/2014/main" id="{00508B72-5278-4E4F-B895-8035C5743AE4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4828" name="Line 24">
          <a:extLst>
            <a:ext uri="{FF2B5EF4-FFF2-40B4-BE49-F238E27FC236}">
              <a16:creationId xmlns:a16="http://schemas.microsoft.com/office/drawing/2014/main" id="{59F36C74-714D-4DD6-9E4B-08D7ABAB7BBF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4829" name="Line 25">
          <a:extLst>
            <a:ext uri="{FF2B5EF4-FFF2-40B4-BE49-F238E27FC236}">
              <a16:creationId xmlns:a16="http://schemas.microsoft.com/office/drawing/2014/main" id="{2B67B289-3107-4516-B890-5C65C3EE596A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4830" name="Line 26">
          <a:extLst>
            <a:ext uri="{FF2B5EF4-FFF2-40B4-BE49-F238E27FC236}">
              <a16:creationId xmlns:a16="http://schemas.microsoft.com/office/drawing/2014/main" id="{6A48F11D-0C11-40C3-BE0A-4267470ABAA1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4831" name="Line 27">
          <a:extLst>
            <a:ext uri="{FF2B5EF4-FFF2-40B4-BE49-F238E27FC236}">
              <a16:creationId xmlns:a16="http://schemas.microsoft.com/office/drawing/2014/main" id="{100581B4-7284-42A8-9A82-BABB895B2D72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4832" name="Line 28">
          <a:extLst>
            <a:ext uri="{FF2B5EF4-FFF2-40B4-BE49-F238E27FC236}">
              <a16:creationId xmlns:a16="http://schemas.microsoft.com/office/drawing/2014/main" id="{5474A7FC-FCB1-4B2E-ACED-3E832D503DFE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4833" name="Line 29">
          <a:extLst>
            <a:ext uri="{FF2B5EF4-FFF2-40B4-BE49-F238E27FC236}">
              <a16:creationId xmlns:a16="http://schemas.microsoft.com/office/drawing/2014/main" id="{7DF182A0-F118-4763-8BB6-3048DED53874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4834" name="Line 30">
          <a:extLst>
            <a:ext uri="{FF2B5EF4-FFF2-40B4-BE49-F238E27FC236}">
              <a16:creationId xmlns:a16="http://schemas.microsoft.com/office/drawing/2014/main" id="{D239950B-CF53-4C10-8154-09A45F470964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4835" name="Line 31">
          <a:extLst>
            <a:ext uri="{FF2B5EF4-FFF2-40B4-BE49-F238E27FC236}">
              <a16:creationId xmlns:a16="http://schemas.microsoft.com/office/drawing/2014/main" id="{BFC8E8DD-9FF3-4D8B-8C03-068710AAB7F5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4836" name="Line 32">
          <a:extLst>
            <a:ext uri="{FF2B5EF4-FFF2-40B4-BE49-F238E27FC236}">
              <a16:creationId xmlns:a16="http://schemas.microsoft.com/office/drawing/2014/main" id="{9379ED56-BCA7-494D-AA9F-180E8C18C949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4837" name="Line 33">
          <a:extLst>
            <a:ext uri="{FF2B5EF4-FFF2-40B4-BE49-F238E27FC236}">
              <a16:creationId xmlns:a16="http://schemas.microsoft.com/office/drawing/2014/main" id="{831B8EEB-49A5-404F-A0EF-0B7EB02E8A3E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4838" name="Line 34">
          <a:extLst>
            <a:ext uri="{FF2B5EF4-FFF2-40B4-BE49-F238E27FC236}">
              <a16:creationId xmlns:a16="http://schemas.microsoft.com/office/drawing/2014/main" id="{047F2A29-C7B8-4DCF-A637-4386C96C83E0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4839" name="Line 35">
          <a:extLst>
            <a:ext uri="{FF2B5EF4-FFF2-40B4-BE49-F238E27FC236}">
              <a16:creationId xmlns:a16="http://schemas.microsoft.com/office/drawing/2014/main" id="{6F9CBE09-2B17-4403-8C10-399F4B3A98A8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4840" name="Line 36">
          <a:extLst>
            <a:ext uri="{FF2B5EF4-FFF2-40B4-BE49-F238E27FC236}">
              <a16:creationId xmlns:a16="http://schemas.microsoft.com/office/drawing/2014/main" id="{EC3A1A11-1FCB-4E44-91FD-B29AA13418D2}"/>
            </a:ext>
          </a:extLst>
        </xdr:cNvPr>
        <xdr:cNvSpPr>
          <a:spLocks noChangeShapeType="1"/>
        </xdr:cNvSpPr>
      </xdr:nvSpPr>
      <xdr:spPr bwMode="auto">
        <a:xfrm flipV="1">
          <a:off x="104489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4841" name="Line 37">
          <a:extLst>
            <a:ext uri="{FF2B5EF4-FFF2-40B4-BE49-F238E27FC236}">
              <a16:creationId xmlns:a16="http://schemas.microsoft.com/office/drawing/2014/main" id="{C70D3E89-383F-4766-883B-2AE5FDB1BA60}"/>
            </a:ext>
          </a:extLst>
        </xdr:cNvPr>
        <xdr:cNvSpPr>
          <a:spLocks noChangeShapeType="1"/>
        </xdr:cNvSpPr>
      </xdr:nvSpPr>
      <xdr:spPr bwMode="auto">
        <a:xfrm>
          <a:off x="96869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4842" name="Line 38">
          <a:extLst>
            <a:ext uri="{FF2B5EF4-FFF2-40B4-BE49-F238E27FC236}">
              <a16:creationId xmlns:a16="http://schemas.microsoft.com/office/drawing/2014/main" id="{C2513C26-7B5A-4303-AD07-3011E97746FC}"/>
            </a:ext>
          </a:extLst>
        </xdr:cNvPr>
        <xdr:cNvSpPr>
          <a:spLocks noChangeShapeType="1"/>
        </xdr:cNvSpPr>
      </xdr:nvSpPr>
      <xdr:spPr bwMode="auto">
        <a:xfrm>
          <a:off x="11763375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4843" name="Line 39">
          <a:extLst>
            <a:ext uri="{FF2B5EF4-FFF2-40B4-BE49-F238E27FC236}">
              <a16:creationId xmlns:a16="http://schemas.microsoft.com/office/drawing/2014/main" id="{0969D44E-BFDD-4FF2-B89B-D293B42CA7CE}"/>
            </a:ext>
          </a:extLst>
        </xdr:cNvPr>
        <xdr:cNvSpPr>
          <a:spLocks noChangeShapeType="1"/>
        </xdr:cNvSpPr>
      </xdr:nvSpPr>
      <xdr:spPr bwMode="auto">
        <a:xfrm>
          <a:off x="11763375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4844" name="Line 40">
          <a:extLst>
            <a:ext uri="{FF2B5EF4-FFF2-40B4-BE49-F238E27FC236}">
              <a16:creationId xmlns:a16="http://schemas.microsoft.com/office/drawing/2014/main" id="{01FC6A5C-E141-4F51-A1E3-B0C35265711A}"/>
            </a:ext>
          </a:extLst>
        </xdr:cNvPr>
        <xdr:cNvSpPr>
          <a:spLocks noChangeShapeType="1"/>
        </xdr:cNvSpPr>
      </xdr:nvSpPr>
      <xdr:spPr bwMode="auto">
        <a:xfrm>
          <a:off x="11763375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4845" name="Line 41">
          <a:extLst>
            <a:ext uri="{FF2B5EF4-FFF2-40B4-BE49-F238E27FC236}">
              <a16:creationId xmlns:a16="http://schemas.microsoft.com/office/drawing/2014/main" id="{BED31845-9CF6-48D1-93CE-0BFFE14E298C}"/>
            </a:ext>
          </a:extLst>
        </xdr:cNvPr>
        <xdr:cNvSpPr>
          <a:spLocks noChangeShapeType="1"/>
        </xdr:cNvSpPr>
      </xdr:nvSpPr>
      <xdr:spPr bwMode="auto">
        <a:xfrm>
          <a:off x="1111567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4846" name="Line 42">
          <a:extLst>
            <a:ext uri="{FF2B5EF4-FFF2-40B4-BE49-F238E27FC236}">
              <a16:creationId xmlns:a16="http://schemas.microsoft.com/office/drawing/2014/main" id="{FFFC693A-656E-4341-B774-3BFCFA44DA40}"/>
            </a:ext>
          </a:extLst>
        </xdr:cNvPr>
        <xdr:cNvSpPr>
          <a:spLocks noChangeShapeType="1"/>
        </xdr:cNvSpPr>
      </xdr:nvSpPr>
      <xdr:spPr bwMode="auto">
        <a:xfrm>
          <a:off x="1432560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4847" name="Line 43">
          <a:extLst>
            <a:ext uri="{FF2B5EF4-FFF2-40B4-BE49-F238E27FC236}">
              <a16:creationId xmlns:a16="http://schemas.microsoft.com/office/drawing/2014/main" id="{CF80DCDE-204B-4532-A6AB-7E0843E00D3B}"/>
            </a:ext>
          </a:extLst>
        </xdr:cNvPr>
        <xdr:cNvSpPr>
          <a:spLocks noChangeShapeType="1"/>
        </xdr:cNvSpPr>
      </xdr:nvSpPr>
      <xdr:spPr bwMode="auto">
        <a:xfrm>
          <a:off x="1432560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4848" name="Line 44">
          <a:extLst>
            <a:ext uri="{FF2B5EF4-FFF2-40B4-BE49-F238E27FC236}">
              <a16:creationId xmlns:a16="http://schemas.microsoft.com/office/drawing/2014/main" id="{02BE5748-D13D-4162-8571-598EF1463288}"/>
            </a:ext>
          </a:extLst>
        </xdr:cNvPr>
        <xdr:cNvSpPr>
          <a:spLocks noChangeShapeType="1"/>
        </xdr:cNvSpPr>
      </xdr:nvSpPr>
      <xdr:spPr bwMode="auto">
        <a:xfrm>
          <a:off x="1390650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4849" name="Line 45">
          <a:extLst>
            <a:ext uri="{FF2B5EF4-FFF2-40B4-BE49-F238E27FC236}">
              <a16:creationId xmlns:a16="http://schemas.microsoft.com/office/drawing/2014/main" id="{4E386BED-E041-41B6-B490-7E67B23969A3}"/>
            </a:ext>
          </a:extLst>
        </xdr:cNvPr>
        <xdr:cNvSpPr>
          <a:spLocks noChangeShapeType="1"/>
        </xdr:cNvSpPr>
      </xdr:nvSpPr>
      <xdr:spPr bwMode="auto">
        <a:xfrm>
          <a:off x="1432560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4850" name="Line 46">
          <a:extLst>
            <a:ext uri="{FF2B5EF4-FFF2-40B4-BE49-F238E27FC236}">
              <a16:creationId xmlns:a16="http://schemas.microsoft.com/office/drawing/2014/main" id="{456D0473-3153-48E6-8617-3E4C0F7FDFCF}"/>
            </a:ext>
          </a:extLst>
        </xdr:cNvPr>
        <xdr:cNvSpPr>
          <a:spLocks noChangeShapeType="1"/>
        </xdr:cNvSpPr>
      </xdr:nvSpPr>
      <xdr:spPr bwMode="auto">
        <a:xfrm>
          <a:off x="1432560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4851" name="Line 47">
          <a:extLst>
            <a:ext uri="{FF2B5EF4-FFF2-40B4-BE49-F238E27FC236}">
              <a16:creationId xmlns:a16="http://schemas.microsoft.com/office/drawing/2014/main" id="{790DA60F-7AB6-4533-BE1C-62403B46395F}"/>
            </a:ext>
          </a:extLst>
        </xdr:cNvPr>
        <xdr:cNvSpPr>
          <a:spLocks noChangeShapeType="1"/>
        </xdr:cNvSpPr>
      </xdr:nvSpPr>
      <xdr:spPr bwMode="auto">
        <a:xfrm>
          <a:off x="1390650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4852" name="Line 48">
          <a:extLst>
            <a:ext uri="{FF2B5EF4-FFF2-40B4-BE49-F238E27FC236}">
              <a16:creationId xmlns:a16="http://schemas.microsoft.com/office/drawing/2014/main" id="{DEC59196-B6BB-4BB6-86F2-3771A358FED8}"/>
            </a:ext>
          </a:extLst>
        </xdr:cNvPr>
        <xdr:cNvSpPr>
          <a:spLocks noChangeShapeType="1"/>
        </xdr:cNvSpPr>
      </xdr:nvSpPr>
      <xdr:spPr bwMode="auto">
        <a:xfrm>
          <a:off x="1432560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4853" name="Line 49">
          <a:extLst>
            <a:ext uri="{FF2B5EF4-FFF2-40B4-BE49-F238E27FC236}">
              <a16:creationId xmlns:a16="http://schemas.microsoft.com/office/drawing/2014/main" id="{E8C2A28B-2F61-4525-899E-EBD84EB375C4}"/>
            </a:ext>
          </a:extLst>
        </xdr:cNvPr>
        <xdr:cNvSpPr>
          <a:spLocks noChangeShapeType="1"/>
        </xdr:cNvSpPr>
      </xdr:nvSpPr>
      <xdr:spPr bwMode="auto">
        <a:xfrm>
          <a:off x="1390650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4854" name="Line 50">
          <a:extLst>
            <a:ext uri="{FF2B5EF4-FFF2-40B4-BE49-F238E27FC236}">
              <a16:creationId xmlns:a16="http://schemas.microsoft.com/office/drawing/2014/main" id="{E9177929-F3AB-445C-87AD-6BABE9FF3069}"/>
            </a:ext>
          </a:extLst>
        </xdr:cNvPr>
        <xdr:cNvSpPr>
          <a:spLocks noChangeShapeType="1"/>
        </xdr:cNvSpPr>
      </xdr:nvSpPr>
      <xdr:spPr bwMode="auto">
        <a:xfrm flipV="1">
          <a:off x="1432560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4855" name="Line 51">
          <a:extLst>
            <a:ext uri="{FF2B5EF4-FFF2-40B4-BE49-F238E27FC236}">
              <a16:creationId xmlns:a16="http://schemas.microsoft.com/office/drawing/2014/main" id="{EA51B991-6406-4AAC-AA86-8C240BEE3B92}"/>
            </a:ext>
          </a:extLst>
        </xdr:cNvPr>
        <xdr:cNvSpPr>
          <a:spLocks noChangeShapeType="1"/>
        </xdr:cNvSpPr>
      </xdr:nvSpPr>
      <xdr:spPr bwMode="auto">
        <a:xfrm flipV="1">
          <a:off x="1390650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4856" name="Line 52">
          <a:extLst>
            <a:ext uri="{FF2B5EF4-FFF2-40B4-BE49-F238E27FC236}">
              <a16:creationId xmlns:a16="http://schemas.microsoft.com/office/drawing/2014/main" id="{5E19D8A5-9349-4276-8153-85FC921534E4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4857" name="Line 53">
          <a:extLst>
            <a:ext uri="{FF2B5EF4-FFF2-40B4-BE49-F238E27FC236}">
              <a16:creationId xmlns:a16="http://schemas.microsoft.com/office/drawing/2014/main" id="{AD4908AD-68D9-41F0-864E-2489F646DAEC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4858" name="Line 54">
          <a:extLst>
            <a:ext uri="{FF2B5EF4-FFF2-40B4-BE49-F238E27FC236}">
              <a16:creationId xmlns:a16="http://schemas.microsoft.com/office/drawing/2014/main" id="{4378220B-F528-4EF0-B87F-2AC9783ABEBC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4859" name="Line 55">
          <a:extLst>
            <a:ext uri="{FF2B5EF4-FFF2-40B4-BE49-F238E27FC236}">
              <a16:creationId xmlns:a16="http://schemas.microsoft.com/office/drawing/2014/main" id="{029D49F2-575D-46A4-B7B6-E91C6454FB7A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4860" name="Line 56">
          <a:extLst>
            <a:ext uri="{FF2B5EF4-FFF2-40B4-BE49-F238E27FC236}">
              <a16:creationId xmlns:a16="http://schemas.microsoft.com/office/drawing/2014/main" id="{C8A29040-7F11-4304-AEB1-2B8B680886AD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4861" name="Line 57">
          <a:extLst>
            <a:ext uri="{FF2B5EF4-FFF2-40B4-BE49-F238E27FC236}">
              <a16:creationId xmlns:a16="http://schemas.microsoft.com/office/drawing/2014/main" id="{88DE1ABD-24A5-4D4E-94F1-FEE1B9802D5D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4862" name="Line 58">
          <a:extLst>
            <a:ext uri="{FF2B5EF4-FFF2-40B4-BE49-F238E27FC236}">
              <a16:creationId xmlns:a16="http://schemas.microsoft.com/office/drawing/2014/main" id="{2AC63543-AB93-4D8C-8852-0C96C073EC94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4863" name="Line 59">
          <a:extLst>
            <a:ext uri="{FF2B5EF4-FFF2-40B4-BE49-F238E27FC236}">
              <a16:creationId xmlns:a16="http://schemas.microsoft.com/office/drawing/2014/main" id="{36172DE8-DCAC-47CF-BFE8-55306A3F5BF5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4864" name="Line 60">
          <a:extLst>
            <a:ext uri="{FF2B5EF4-FFF2-40B4-BE49-F238E27FC236}">
              <a16:creationId xmlns:a16="http://schemas.microsoft.com/office/drawing/2014/main" id="{3A81A5B7-EF02-4E04-A787-784CAF8E86F4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4865" name="Line 61">
          <a:extLst>
            <a:ext uri="{FF2B5EF4-FFF2-40B4-BE49-F238E27FC236}">
              <a16:creationId xmlns:a16="http://schemas.microsoft.com/office/drawing/2014/main" id="{D609D056-78CA-4EF2-B268-DEB751B4779E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4866" name="Line 62">
          <a:extLst>
            <a:ext uri="{FF2B5EF4-FFF2-40B4-BE49-F238E27FC236}">
              <a16:creationId xmlns:a16="http://schemas.microsoft.com/office/drawing/2014/main" id="{16C43ADA-13A4-4FC7-BDEF-A6D06BB39908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4867" name="Line 63">
          <a:extLst>
            <a:ext uri="{FF2B5EF4-FFF2-40B4-BE49-F238E27FC236}">
              <a16:creationId xmlns:a16="http://schemas.microsoft.com/office/drawing/2014/main" id="{5531FFCD-AB3D-41F2-A43B-EEC537CFCD33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4868" name="Line 64">
          <a:extLst>
            <a:ext uri="{FF2B5EF4-FFF2-40B4-BE49-F238E27FC236}">
              <a16:creationId xmlns:a16="http://schemas.microsoft.com/office/drawing/2014/main" id="{36131543-9B59-4F1F-80B2-FFD784845350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4869" name="Line 65">
          <a:extLst>
            <a:ext uri="{FF2B5EF4-FFF2-40B4-BE49-F238E27FC236}">
              <a16:creationId xmlns:a16="http://schemas.microsoft.com/office/drawing/2014/main" id="{B8B3717B-C91D-49F5-A3A1-66F5F3C615D5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4870" name="Line 66">
          <a:extLst>
            <a:ext uri="{FF2B5EF4-FFF2-40B4-BE49-F238E27FC236}">
              <a16:creationId xmlns:a16="http://schemas.microsoft.com/office/drawing/2014/main" id="{74988167-5AA4-42B7-BEA9-A00B2CD8DE9A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4871" name="Line 67">
          <a:extLst>
            <a:ext uri="{FF2B5EF4-FFF2-40B4-BE49-F238E27FC236}">
              <a16:creationId xmlns:a16="http://schemas.microsoft.com/office/drawing/2014/main" id="{19D11E2E-1059-44DB-B2BC-C91FBE65E3AB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4872" name="Line 68">
          <a:extLst>
            <a:ext uri="{FF2B5EF4-FFF2-40B4-BE49-F238E27FC236}">
              <a16:creationId xmlns:a16="http://schemas.microsoft.com/office/drawing/2014/main" id="{339B01BF-D88C-49CB-B157-05C8EF55FC1B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4873" name="Line 69">
          <a:extLst>
            <a:ext uri="{FF2B5EF4-FFF2-40B4-BE49-F238E27FC236}">
              <a16:creationId xmlns:a16="http://schemas.microsoft.com/office/drawing/2014/main" id="{D51BD4A6-5A8D-4B2F-929C-C075093C531B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4874" name="Line 70">
          <a:extLst>
            <a:ext uri="{FF2B5EF4-FFF2-40B4-BE49-F238E27FC236}">
              <a16:creationId xmlns:a16="http://schemas.microsoft.com/office/drawing/2014/main" id="{B18FE418-C3DA-4117-982E-185D705616B6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4875" name="Line 71">
          <a:extLst>
            <a:ext uri="{FF2B5EF4-FFF2-40B4-BE49-F238E27FC236}">
              <a16:creationId xmlns:a16="http://schemas.microsoft.com/office/drawing/2014/main" id="{58EE7DD2-2F8C-457D-B6BD-88B237D0633E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4876" name="Line 72">
          <a:extLst>
            <a:ext uri="{FF2B5EF4-FFF2-40B4-BE49-F238E27FC236}">
              <a16:creationId xmlns:a16="http://schemas.microsoft.com/office/drawing/2014/main" id="{0F6CE547-FA36-4541-8CA0-5CA2D788BB04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4877" name="Line 73">
          <a:extLst>
            <a:ext uri="{FF2B5EF4-FFF2-40B4-BE49-F238E27FC236}">
              <a16:creationId xmlns:a16="http://schemas.microsoft.com/office/drawing/2014/main" id="{66CFFE45-17F9-4EE5-8BF8-D7EA047BDDB0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4878" name="Line 74">
          <a:extLst>
            <a:ext uri="{FF2B5EF4-FFF2-40B4-BE49-F238E27FC236}">
              <a16:creationId xmlns:a16="http://schemas.microsoft.com/office/drawing/2014/main" id="{C826788E-C438-4EBB-A825-EB7B3DC6DCB8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4879" name="Line 75">
          <a:extLst>
            <a:ext uri="{FF2B5EF4-FFF2-40B4-BE49-F238E27FC236}">
              <a16:creationId xmlns:a16="http://schemas.microsoft.com/office/drawing/2014/main" id="{1B0F10D6-233D-4CBB-8383-D5C5F48963EF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4880" name="Line 76">
          <a:extLst>
            <a:ext uri="{FF2B5EF4-FFF2-40B4-BE49-F238E27FC236}">
              <a16:creationId xmlns:a16="http://schemas.microsoft.com/office/drawing/2014/main" id="{91931DBC-94BC-4361-BEFD-A7C69CDAAA15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4881" name="Line 77">
          <a:extLst>
            <a:ext uri="{FF2B5EF4-FFF2-40B4-BE49-F238E27FC236}">
              <a16:creationId xmlns:a16="http://schemas.microsoft.com/office/drawing/2014/main" id="{B8EB1BEB-CA70-4BD7-8DA7-567F8E9B5D4E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4882" name="Line 78">
          <a:extLst>
            <a:ext uri="{FF2B5EF4-FFF2-40B4-BE49-F238E27FC236}">
              <a16:creationId xmlns:a16="http://schemas.microsoft.com/office/drawing/2014/main" id="{CEEF9143-74DB-4D59-A3D0-0A0D5E302A49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4883" name="Line 79">
          <a:extLst>
            <a:ext uri="{FF2B5EF4-FFF2-40B4-BE49-F238E27FC236}">
              <a16:creationId xmlns:a16="http://schemas.microsoft.com/office/drawing/2014/main" id="{CBFF3D48-2FF0-4A6E-82A6-71EED3CD1140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4884" name="Line 80">
          <a:extLst>
            <a:ext uri="{FF2B5EF4-FFF2-40B4-BE49-F238E27FC236}">
              <a16:creationId xmlns:a16="http://schemas.microsoft.com/office/drawing/2014/main" id="{B5AB6215-BBED-4C17-9740-43A3E2693CFE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4885" name="Line 81">
          <a:extLst>
            <a:ext uri="{FF2B5EF4-FFF2-40B4-BE49-F238E27FC236}">
              <a16:creationId xmlns:a16="http://schemas.microsoft.com/office/drawing/2014/main" id="{82BC8FE2-4478-4B5F-B5F6-6D40D2A2C4EB}"/>
            </a:ext>
          </a:extLst>
        </xdr:cNvPr>
        <xdr:cNvSpPr>
          <a:spLocks noChangeShapeType="1"/>
        </xdr:cNvSpPr>
      </xdr:nvSpPr>
      <xdr:spPr bwMode="auto">
        <a:xfrm>
          <a:off x="96869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4886" name="Line 82">
          <a:extLst>
            <a:ext uri="{FF2B5EF4-FFF2-40B4-BE49-F238E27FC236}">
              <a16:creationId xmlns:a16="http://schemas.microsoft.com/office/drawing/2014/main" id="{AE66EBE0-896C-4464-9144-AA731041FAC6}"/>
            </a:ext>
          </a:extLst>
        </xdr:cNvPr>
        <xdr:cNvSpPr>
          <a:spLocks noChangeShapeType="1"/>
        </xdr:cNvSpPr>
      </xdr:nvSpPr>
      <xdr:spPr bwMode="auto">
        <a:xfrm>
          <a:off x="96869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4887" name="Line 83">
          <a:extLst>
            <a:ext uri="{FF2B5EF4-FFF2-40B4-BE49-F238E27FC236}">
              <a16:creationId xmlns:a16="http://schemas.microsoft.com/office/drawing/2014/main" id="{B3D2B78E-4043-49E7-9A21-85B216445EB5}"/>
            </a:ext>
          </a:extLst>
        </xdr:cNvPr>
        <xdr:cNvSpPr>
          <a:spLocks noChangeShapeType="1"/>
        </xdr:cNvSpPr>
      </xdr:nvSpPr>
      <xdr:spPr bwMode="auto">
        <a:xfrm>
          <a:off x="1432560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4888" name="Line 84">
          <a:extLst>
            <a:ext uri="{FF2B5EF4-FFF2-40B4-BE49-F238E27FC236}">
              <a16:creationId xmlns:a16="http://schemas.microsoft.com/office/drawing/2014/main" id="{0CEAB632-4880-48E6-A73F-70020E1311DC}"/>
            </a:ext>
          </a:extLst>
        </xdr:cNvPr>
        <xdr:cNvSpPr>
          <a:spLocks noChangeShapeType="1"/>
        </xdr:cNvSpPr>
      </xdr:nvSpPr>
      <xdr:spPr bwMode="auto">
        <a:xfrm>
          <a:off x="1432560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4889" name="Line 85">
          <a:extLst>
            <a:ext uri="{FF2B5EF4-FFF2-40B4-BE49-F238E27FC236}">
              <a16:creationId xmlns:a16="http://schemas.microsoft.com/office/drawing/2014/main" id="{145A53EA-84D7-4365-86E5-2F5078A0B04E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4890" name="Line 86">
          <a:extLst>
            <a:ext uri="{FF2B5EF4-FFF2-40B4-BE49-F238E27FC236}">
              <a16:creationId xmlns:a16="http://schemas.microsoft.com/office/drawing/2014/main" id="{DC11F64C-CCBF-48C6-AD94-7C4BE2103C4F}"/>
            </a:ext>
          </a:extLst>
        </xdr:cNvPr>
        <xdr:cNvSpPr>
          <a:spLocks noChangeShapeType="1"/>
        </xdr:cNvSpPr>
      </xdr:nvSpPr>
      <xdr:spPr bwMode="auto">
        <a:xfrm>
          <a:off x="96869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4891" name="Line 87">
          <a:extLst>
            <a:ext uri="{FF2B5EF4-FFF2-40B4-BE49-F238E27FC236}">
              <a16:creationId xmlns:a16="http://schemas.microsoft.com/office/drawing/2014/main" id="{8DDCBF53-E2F4-4506-928F-7798FFE984D8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4892" name="Line 88">
          <a:extLst>
            <a:ext uri="{FF2B5EF4-FFF2-40B4-BE49-F238E27FC236}">
              <a16:creationId xmlns:a16="http://schemas.microsoft.com/office/drawing/2014/main" id="{5F97E93D-122A-4EB1-9D12-13E678EEDE91}"/>
            </a:ext>
          </a:extLst>
        </xdr:cNvPr>
        <xdr:cNvSpPr>
          <a:spLocks noChangeShapeType="1"/>
        </xdr:cNvSpPr>
      </xdr:nvSpPr>
      <xdr:spPr bwMode="auto">
        <a:xfrm>
          <a:off x="96869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4893" name="Line 89">
          <a:extLst>
            <a:ext uri="{FF2B5EF4-FFF2-40B4-BE49-F238E27FC236}">
              <a16:creationId xmlns:a16="http://schemas.microsoft.com/office/drawing/2014/main" id="{10B1633C-156C-4FDA-81F0-FE1885A24357}"/>
            </a:ext>
          </a:extLst>
        </xdr:cNvPr>
        <xdr:cNvSpPr>
          <a:spLocks noChangeShapeType="1"/>
        </xdr:cNvSpPr>
      </xdr:nvSpPr>
      <xdr:spPr bwMode="auto">
        <a:xfrm>
          <a:off x="9686925" y="11287125"/>
          <a:ext cx="2943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4894" name="Line 90">
          <a:extLst>
            <a:ext uri="{FF2B5EF4-FFF2-40B4-BE49-F238E27FC236}">
              <a16:creationId xmlns:a16="http://schemas.microsoft.com/office/drawing/2014/main" id="{22F562FA-D442-48F8-9424-AB32081061F0}"/>
            </a:ext>
          </a:extLst>
        </xdr:cNvPr>
        <xdr:cNvSpPr>
          <a:spLocks noChangeShapeType="1"/>
        </xdr:cNvSpPr>
      </xdr:nvSpPr>
      <xdr:spPr bwMode="auto">
        <a:xfrm>
          <a:off x="98012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4895" name="Line 91">
          <a:extLst>
            <a:ext uri="{FF2B5EF4-FFF2-40B4-BE49-F238E27FC236}">
              <a16:creationId xmlns:a16="http://schemas.microsoft.com/office/drawing/2014/main" id="{B1C85A2E-F117-4415-A03E-E926299371D4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4896" name="Line 92">
          <a:extLst>
            <a:ext uri="{FF2B5EF4-FFF2-40B4-BE49-F238E27FC236}">
              <a16:creationId xmlns:a16="http://schemas.microsoft.com/office/drawing/2014/main" id="{742E8AF0-7F56-49B3-B053-BD88BAAE3D36}"/>
            </a:ext>
          </a:extLst>
        </xdr:cNvPr>
        <xdr:cNvSpPr>
          <a:spLocks noChangeShapeType="1"/>
        </xdr:cNvSpPr>
      </xdr:nvSpPr>
      <xdr:spPr bwMode="auto">
        <a:xfrm flipV="1">
          <a:off x="96869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4897" name="Line 93">
          <a:extLst>
            <a:ext uri="{FF2B5EF4-FFF2-40B4-BE49-F238E27FC236}">
              <a16:creationId xmlns:a16="http://schemas.microsoft.com/office/drawing/2014/main" id="{E4D24A0C-9EFB-47B5-8784-B17F7C85004E}"/>
            </a:ext>
          </a:extLst>
        </xdr:cNvPr>
        <xdr:cNvSpPr>
          <a:spLocks noChangeShapeType="1"/>
        </xdr:cNvSpPr>
      </xdr:nvSpPr>
      <xdr:spPr bwMode="auto">
        <a:xfrm>
          <a:off x="98012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4898" name="Line 94">
          <a:extLst>
            <a:ext uri="{FF2B5EF4-FFF2-40B4-BE49-F238E27FC236}">
              <a16:creationId xmlns:a16="http://schemas.microsoft.com/office/drawing/2014/main" id="{98DC55A7-CBA7-4480-A0B4-576FB7EC0C4B}"/>
            </a:ext>
          </a:extLst>
        </xdr:cNvPr>
        <xdr:cNvSpPr>
          <a:spLocks noChangeShapeType="1"/>
        </xdr:cNvSpPr>
      </xdr:nvSpPr>
      <xdr:spPr bwMode="auto">
        <a:xfrm>
          <a:off x="1176337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4899" name="Line 95">
          <a:extLst>
            <a:ext uri="{FF2B5EF4-FFF2-40B4-BE49-F238E27FC236}">
              <a16:creationId xmlns:a16="http://schemas.microsoft.com/office/drawing/2014/main" id="{BC93A939-C561-4DFB-9FF7-E175B1620C82}"/>
            </a:ext>
          </a:extLst>
        </xdr:cNvPr>
        <xdr:cNvSpPr>
          <a:spLocks noChangeShapeType="1"/>
        </xdr:cNvSpPr>
      </xdr:nvSpPr>
      <xdr:spPr bwMode="auto">
        <a:xfrm>
          <a:off x="1176337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4900" name="Line 96">
          <a:extLst>
            <a:ext uri="{FF2B5EF4-FFF2-40B4-BE49-F238E27FC236}">
              <a16:creationId xmlns:a16="http://schemas.microsoft.com/office/drawing/2014/main" id="{A2206DAB-92A6-48C0-8AEA-9AA1EFFA77BE}"/>
            </a:ext>
          </a:extLst>
        </xdr:cNvPr>
        <xdr:cNvSpPr>
          <a:spLocks noChangeShapeType="1"/>
        </xdr:cNvSpPr>
      </xdr:nvSpPr>
      <xdr:spPr bwMode="auto">
        <a:xfrm>
          <a:off x="96869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4901" name="Line 97">
          <a:extLst>
            <a:ext uri="{FF2B5EF4-FFF2-40B4-BE49-F238E27FC236}">
              <a16:creationId xmlns:a16="http://schemas.microsoft.com/office/drawing/2014/main" id="{2042BB31-340A-435E-B8EF-2079274A7928}"/>
            </a:ext>
          </a:extLst>
        </xdr:cNvPr>
        <xdr:cNvSpPr>
          <a:spLocks noChangeShapeType="1"/>
        </xdr:cNvSpPr>
      </xdr:nvSpPr>
      <xdr:spPr bwMode="auto">
        <a:xfrm>
          <a:off x="1176337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4902" name="Line 98">
          <a:extLst>
            <a:ext uri="{FF2B5EF4-FFF2-40B4-BE49-F238E27FC236}">
              <a16:creationId xmlns:a16="http://schemas.microsoft.com/office/drawing/2014/main" id="{51589FA2-E552-475F-81F9-91421673C0FC}"/>
            </a:ext>
          </a:extLst>
        </xdr:cNvPr>
        <xdr:cNvSpPr>
          <a:spLocks noChangeShapeType="1"/>
        </xdr:cNvSpPr>
      </xdr:nvSpPr>
      <xdr:spPr bwMode="auto">
        <a:xfrm flipV="1">
          <a:off x="96869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4903" name="Line 99">
          <a:extLst>
            <a:ext uri="{FF2B5EF4-FFF2-40B4-BE49-F238E27FC236}">
              <a16:creationId xmlns:a16="http://schemas.microsoft.com/office/drawing/2014/main" id="{ED9C4B44-35C1-4F23-90C9-D79F3CEEBC22}"/>
            </a:ext>
          </a:extLst>
        </xdr:cNvPr>
        <xdr:cNvSpPr>
          <a:spLocks noChangeShapeType="1"/>
        </xdr:cNvSpPr>
      </xdr:nvSpPr>
      <xdr:spPr bwMode="auto">
        <a:xfrm>
          <a:off x="104489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4904" name="Line 100">
          <a:extLst>
            <a:ext uri="{FF2B5EF4-FFF2-40B4-BE49-F238E27FC236}">
              <a16:creationId xmlns:a16="http://schemas.microsoft.com/office/drawing/2014/main" id="{E2DDB3B3-64BC-42BA-9883-4A28D9A2E1AD}"/>
            </a:ext>
          </a:extLst>
        </xdr:cNvPr>
        <xdr:cNvSpPr>
          <a:spLocks noChangeShapeType="1"/>
        </xdr:cNvSpPr>
      </xdr:nvSpPr>
      <xdr:spPr bwMode="auto">
        <a:xfrm>
          <a:off x="1432560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4905" name="Line 101">
          <a:extLst>
            <a:ext uri="{FF2B5EF4-FFF2-40B4-BE49-F238E27FC236}">
              <a16:creationId xmlns:a16="http://schemas.microsoft.com/office/drawing/2014/main" id="{2613552B-9999-405A-A188-4766C5F643EA}"/>
            </a:ext>
          </a:extLst>
        </xdr:cNvPr>
        <xdr:cNvSpPr>
          <a:spLocks noChangeShapeType="1"/>
        </xdr:cNvSpPr>
      </xdr:nvSpPr>
      <xdr:spPr bwMode="auto">
        <a:xfrm>
          <a:off x="13906500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4906" name="Line 102">
          <a:extLst>
            <a:ext uri="{FF2B5EF4-FFF2-40B4-BE49-F238E27FC236}">
              <a16:creationId xmlns:a16="http://schemas.microsoft.com/office/drawing/2014/main" id="{16ED9469-86C2-4227-9714-1D7F6A2428A6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4907" name="Line 103">
          <a:extLst>
            <a:ext uri="{FF2B5EF4-FFF2-40B4-BE49-F238E27FC236}">
              <a16:creationId xmlns:a16="http://schemas.microsoft.com/office/drawing/2014/main" id="{B84F02D5-5175-42B1-83A0-31F337EE3063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4908" name="Line 104">
          <a:extLst>
            <a:ext uri="{FF2B5EF4-FFF2-40B4-BE49-F238E27FC236}">
              <a16:creationId xmlns:a16="http://schemas.microsoft.com/office/drawing/2014/main" id="{EC563BAE-CFCC-4C43-84E9-8D9404A3992A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4909" name="Line 105">
          <a:extLst>
            <a:ext uri="{FF2B5EF4-FFF2-40B4-BE49-F238E27FC236}">
              <a16:creationId xmlns:a16="http://schemas.microsoft.com/office/drawing/2014/main" id="{0A6EC73F-16F7-42AB-99AB-43C8F021BBD4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4910" name="Line 106">
          <a:extLst>
            <a:ext uri="{FF2B5EF4-FFF2-40B4-BE49-F238E27FC236}">
              <a16:creationId xmlns:a16="http://schemas.microsoft.com/office/drawing/2014/main" id="{4F45F542-6D44-4389-97F0-8278A6E061E5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4911" name="Line 107">
          <a:extLst>
            <a:ext uri="{FF2B5EF4-FFF2-40B4-BE49-F238E27FC236}">
              <a16:creationId xmlns:a16="http://schemas.microsoft.com/office/drawing/2014/main" id="{7582FCCA-9D36-434A-A7E0-48BF7762FD83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4912" name="Line 108">
          <a:extLst>
            <a:ext uri="{FF2B5EF4-FFF2-40B4-BE49-F238E27FC236}">
              <a16:creationId xmlns:a16="http://schemas.microsoft.com/office/drawing/2014/main" id="{E94697F0-7C63-4FAF-8FF6-1BAEC9D81058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4913" name="Line 109">
          <a:extLst>
            <a:ext uri="{FF2B5EF4-FFF2-40B4-BE49-F238E27FC236}">
              <a16:creationId xmlns:a16="http://schemas.microsoft.com/office/drawing/2014/main" id="{87F164F5-A989-4799-93CA-74C661FBB93D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4914" name="Line 110">
          <a:extLst>
            <a:ext uri="{FF2B5EF4-FFF2-40B4-BE49-F238E27FC236}">
              <a16:creationId xmlns:a16="http://schemas.microsoft.com/office/drawing/2014/main" id="{0C666EAE-5DBD-4F01-8491-7BD3D58B9893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4915" name="Line 111">
          <a:extLst>
            <a:ext uri="{FF2B5EF4-FFF2-40B4-BE49-F238E27FC236}">
              <a16:creationId xmlns:a16="http://schemas.microsoft.com/office/drawing/2014/main" id="{05CB703C-B9C7-4143-89F5-364BC0ACB558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4916" name="Line 112">
          <a:extLst>
            <a:ext uri="{FF2B5EF4-FFF2-40B4-BE49-F238E27FC236}">
              <a16:creationId xmlns:a16="http://schemas.microsoft.com/office/drawing/2014/main" id="{2F273831-E78B-4C00-BCC9-F09AFEE687CB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4917" name="Line 113">
          <a:extLst>
            <a:ext uri="{FF2B5EF4-FFF2-40B4-BE49-F238E27FC236}">
              <a16:creationId xmlns:a16="http://schemas.microsoft.com/office/drawing/2014/main" id="{C031CC39-F9C5-4561-B33E-56CE297526CF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4918" name="Line 114">
          <a:extLst>
            <a:ext uri="{FF2B5EF4-FFF2-40B4-BE49-F238E27FC236}">
              <a16:creationId xmlns:a16="http://schemas.microsoft.com/office/drawing/2014/main" id="{D0F776C2-A905-4826-B76C-E55A8819949B}"/>
            </a:ext>
          </a:extLst>
        </xdr:cNvPr>
        <xdr:cNvSpPr>
          <a:spLocks noChangeShapeType="1"/>
        </xdr:cNvSpPr>
      </xdr:nvSpPr>
      <xdr:spPr bwMode="auto">
        <a:xfrm flipV="1">
          <a:off x="96869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5829" name="Line 1">
          <a:extLst>
            <a:ext uri="{FF2B5EF4-FFF2-40B4-BE49-F238E27FC236}">
              <a16:creationId xmlns:a16="http://schemas.microsoft.com/office/drawing/2014/main" id="{BF3A0E02-17EA-45B4-9506-E9DF129417E8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5830" name="Line 2">
          <a:extLst>
            <a:ext uri="{FF2B5EF4-FFF2-40B4-BE49-F238E27FC236}">
              <a16:creationId xmlns:a16="http://schemas.microsoft.com/office/drawing/2014/main" id="{87C0C64D-21D4-4F4E-83E6-A7624C4115EF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5831" name="Line 3">
          <a:extLst>
            <a:ext uri="{FF2B5EF4-FFF2-40B4-BE49-F238E27FC236}">
              <a16:creationId xmlns:a16="http://schemas.microsoft.com/office/drawing/2014/main" id="{261813A1-7E18-4DAC-B162-E4EB9B646AD7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5832" name="Line 4">
          <a:extLst>
            <a:ext uri="{FF2B5EF4-FFF2-40B4-BE49-F238E27FC236}">
              <a16:creationId xmlns:a16="http://schemas.microsoft.com/office/drawing/2014/main" id="{C126D119-8684-4021-A462-860C1260C81A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5833" name="Line 5">
          <a:extLst>
            <a:ext uri="{FF2B5EF4-FFF2-40B4-BE49-F238E27FC236}">
              <a16:creationId xmlns:a16="http://schemas.microsoft.com/office/drawing/2014/main" id="{85C0D6EB-CFAE-470F-9343-2FD8C5FE2E58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5834" name="Line 6">
          <a:extLst>
            <a:ext uri="{FF2B5EF4-FFF2-40B4-BE49-F238E27FC236}">
              <a16:creationId xmlns:a16="http://schemas.microsoft.com/office/drawing/2014/main" id="{A52DE9C1-FD24-4086-8DA9-4652682CBB18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5835" name="Line 7">
          <a:extLst>
            <a:ext uri="{FF2B5EF4-FFF2-40B4-BE49-F238E27FC236}">
              <a16:creationId xmlns:a16="http://schemas.microsoft.com/office/drawing/2014/main" id="{722BE2EC-B798-4FDD-A2DA-C2D569823545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431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5836" name="Line 8">
          <a:extLst>
            <a:ext uri="{FF2B5EF4-FFF2-40B4-BE49-F238E27FC236}">
              <a16:creationId xmlns:a16="http://schemas.microsoft.com/office/drawing/2014/main" id="{4AC1E40D-5E46-40E9-8F46-9CAEAABA2C85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5837" name="Line 9">
          <a:extLst>
            <a:ext uri="{FF2B5EF4-FFF2-40B4-BE49-F238E27FC236}">
              <a16:creationId xmlns:a16="http://schemas.microsoft.com/office/drawing/2014/main" id="{1CAF53B7-A56F-4293-8D7F-35B330371CB6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5838" name="Line 10">
          <a:extLst>
            <a:ext uri="{FF2B5EF4-FFF2-40B4-BE49-F238E27FC236}">
              <a16:creationId xmlns:a16="http://schemas.microsoft.com/office/drawing/2014/main" id="{E419606B-6EA0-4142-9524-07ECA76B5B6F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5839" name="Line 11">
          <a:extLst>
            <a:ext uri="{FF2B5EF4-FFF2-40B4-BE49-F238E27FC236}">
              <a16:creationId xmlns:a16="http://schemas.microsoft.com/office/drawing/2014/main" id="{D4F61920-9E39-4B22-9EA5-184262A313EB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5840" name="Line 12">
          <a:extLst>
            <a:ext uri="{FF2B5EF4-FFF2-40B4-BE49-F238E27FC236}">
              <a16:creationId xmlns:a16="http://schemas.microsoft.com/office/drawing/2014/main" id="{AD35F587-A2A3-4AD3-9E55-FF9E05A27597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5841" name="Line 13">
          <a:extLst>
            <a:ext uri="{FF2B5EF4-FFF2-40B4-BE49-F238E27FC236}">
              <a16:creationId xmlns:a16="http://schemas.microsoft.com/office/drawing/2014/main" id="{BE373A52-A1D4-45B9-844A-AC17B302694E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5842" name="Line 14">
          <a:extLst>
            <a:ext uri="{FF2B5EF4-FFF2-40B4-BE49-F238E27FC236}">
              <a16:creationId xmlns:a16="http://schemas.microsoft.com/office/drawing/2014/main" id="{844646AF-7B06-44F9-AA96-B8F0C1033470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5843" name="Line 15">
          <a:extLst>
            <a:ext uri="{FF2B5EF4-FFF2-40B4-BE49-F238E27FC236}">
              <a16:creationId xmlns:a16="http://schemas.microsoft.com/office/drawing/2014/main" id="{5722C352-D2CD-4F81-A032-D8461CAEA13D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5844" name="Line 16">
          <a:extLst>
            <a:ext uri="{FF2B5EF4-FFF2-40B4-BE49-F238E27FC236}">
              <a16:creationId xmlns:a16="http://schemas.microsoft.com/office/drawing/2014/main" id="{12249205-FBAD-4AB2-810B-BFEDAA363DAB}"/>
            </a:ext>
          </a:extLst>
        </xdr:cNvPr>
        <xdr:cNvSpPr>
          <a:spLocks noChangeShapeType="1"/>
        </xdr:cNvSpPr>
      </xdr:nvSpPr>
      <xdr:spPr bwMode="auto">
        <a:xfrm>
          <a:off x="103917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5845" name="Line 17">
          <a:extLst>
            <a:ext uri="{FF2B5EF4-FFF2-40B4-BE49-F238E27FC236}">
              <a16:creationId xmlns:a16="http://schemas.microsoft.com/office/drawing/2014/main" id="{6B4DCD36-B72C-4203-9DCA-0A04E0FFDDE2}"/>
            </a:ext>
          </a:extLst>
        </xdr:cNvPr>
        <xdr:cNvSpPr>
          <a:spLocks noChangeShapeType="1"/>
        </xdr:cNvSpPr>
      </xdr:nvSpPr>
      <xdr:spPr bwMode="auto">
        <a:xfrm>
          <a:off x="96297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5846" name="Line 18">
          <a:extLst>
            <a:ext uri="{FF2B5EF4-FFF2-40B4-BE49-F238E27FC236}">
              <a16:creationId xmlns:a16="http://schemas.microsoft.com/office/drawing/2014/main" id="{9D0CC0F8-670B-4126-A3E8-5640A42C2A65}"/>
            </a:ext>
          </a:extLst>
        </xdr:cNvPr>
        <xdr:cNvSpPr>
          <a:spLocks noChangeShapeType="1"/>
        </xdr:cNvSpPr>
      </xdr:nvSpPr>
      <xdr:spPr bwMode="auto">
        <a:xfrm>
          <a:off x="103917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5847" name="Line 19">
          <a:extLst>
            <a:ext uri="{FF2B5EF4-FFF2-40B4-BE49-F238E27FC236}">
              <a16:creationId xmlns:a16="http://schemas.microsoft.com/office/drawing/2014/main" id="{864EC9A4-6839-4A35-BEA3-5020D088EB77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5848" name="Line 20">
          <a:extLst>
            <a:ext uri="{FF2B5EF4-FFF2-40B4-BE49-F238E27FC236}">
              <a16:creationId xmlns:a16="http://schemas.microsoft.com/office/drawing/2014/main" id="{9BFD8C61-0CEE-4BF5-A4C9-D7155B2EDEB3}"/>
            </a:ext>
          </a:extLst>
        </xdr:cNvPr>
        <xdr:cNvSpPr>
          <a:spLocks noChangeShapeType="1"/>
        </xdr:cNvSpPr>
      </xdr:nvSpPr>
      <xdr:spPr bwMode="auto">
        <a:xfrm>
          <a:off x="96297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5849" name="Line 21">
          <a:extLst>
            <a:ext uri="{FF2B5EF4-FFF2-40B4-BE49-F238E27FC236}">
              <a16:creationId xmlns:a16="http://schemas.microsoft.com/office/drawing/2014/main" id="{B93F2F54-9D21-4185-9F82-0DC266AD1DF2}"/>
            </a:ext>
          </a:extLst>
        </xdr:cNvPr>
        <xdr:cNvSpPr>
          <a:spLocks noChangeShapeType="1"/>
        </xdr:cNvSpPr>
      </xdr:nvSpPr>
      <xdr:spPr bwMode="auto">
        <a:xfrm>
          <a:off x="103917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5850" name="Line 22">
          <a:extLst>
            <a:ext uri="{FF2B5EF4-FFF2-40B4-BE49-F238E27FC236}">
              <a16:creationId xmlns:a16="http://schemas.microsoft.com/office/drawing/2014/main" id="{351D76E3-7B89-4EC1-B875-501B2B9DDAE3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5851" name="Line 23">
          <a:extLst>
            <a:ext uri="{FF2B5EF4-FFF2-40B4-BE49-F238E27FC236}">
              <a16:creationId xmlns:a16="http://schemas.microsoft.com/office/drawing/2014/main" id="{3BE3AE22-DA99-43DA-8976-EAD2498CD961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5852" name="Line 24">
          <a:extLst>
            <a:ext uri="{FF2B5EF4-FFF2-40B4-BE49-F238E27FC236}">
              <a16:creationId xmlns:a16="http://schemas.microsoft.com/office/drawing/2014/main" id="{33D8F333-E0A1-4548-96B6-083B9A4D4C5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5853" name="Line 25">
          <a:extLst>
            <a:ext uri="{FF2B5EF4-FFF2-40B4-BE49-F238E27FC236}">
              <a16:creationId xmlns:a16="http://schemas.microsoft.com/office/drawing/2014/main" id="{78462D76-44B6-432F-9C16-1C4AADF6EAC5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5854" name="Line 26">
          <a:extLst>
            <a:ext uri="{FF2B5EF4-FFF2-40B4-BE49-F238E27FC236}">
              <a16:creationId xmlns:a16="http://schemas.microsoft.com/office/drawing/2014/main" id="{91002BF9-6FE7-4B30-8C8C-E5F8E345707D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5855" name="Line 27">
          <a:extLst>
            <a:ext uri="{FF2B5EF4-FFF2-40B4-BE49-F238E27FC236}">
              <a16:creationId xmlns:a16="http://schemas.microsoft.com/office/drawing/2014/main" id="{8BE5772E-7168-407F-85F3-D58BDC3867A3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5856" name="Line 28">
          <a:extLst>
            <a:ext uri="{FF2B5EF4-FFF2-40B4-BE49-F238E27FC236}">
              <a16:creationId xmlns:a16="http://schemas.microsoft.com/office/drawing/2014/main" id="{754776C1-F784-49B7-A9C7-E15494FF3C0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5857" name="Line 29">
          <a:extLst>
            <a:ext uri="{FF2B5EF4-FFF2-40B4-BE49-F238E27FC236}">
              <a16:creationId xmlns:a16="http://schemas.microsoft.com/office/drawing/2014/main" id="{547F5CE3-8B51-4A53-94DC-F7F07264AC9F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5858" name="Line 30">
          <a:extLst>
            <a:ext uri="{FF2B5EF4-FFF2-40B4-BE49-F238E27FC236}">
              <a16:creationId xmlns:a16="http://schemas.microsoft.com/office/drawing/2014/main" id="{A45EE9EA-44F7-4076-BB4B-8366471EBAA4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5859" name="Line 31">
          <a:extLst>
            <a:ext uri="{FF2B5EF4-FFF2-40B4-BE49-F238E27FC236}">
              <a16:creationId xmlns:a16="http://schemas.microsoft.com/office/drawing/2014/main" id="{7ED43821-B75A-4ED2-B22B-08A96DB9865F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5860" name="Line 32">
          <a:extLst>
            <a:ext uri="{FF2B5EF4-FFF2-40B4-BE49-F238E27FC236}">
              <a16:creationId xmlns:a16="http://schemas.microsoft.com/office/drawing/2014/main" id="{58806FAE-FFF2-4483-8BCC-8F1107F8CFA4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5861" name="Line 33">
          <a:extLst>
            <a:ext uri="{FF2B5EF4-FFF2-40B4-BE49-F238E27FC236}">
              <a16:creationId xmlns:a16="http://schemas.microsoft.com/office/drawing/2014/main" id="{9B5FC9BC-DC3B-43CA-B61B-17814C20A80A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5862" name="Line 34">
          <a:extLst>
            <a:ext uri="{FF2B5EF4-FFF2-40B4-BE49-F238E27FC236}">
              <a16:creationId xmlns:a16="http://schemas.microsoft.com/office/drawing/2014/main" id="{3447C4EA-2C6D-41AF-9265-3CB3141E6147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5863" name="Line 35">
          <a:extLst>
            <a:ext uri="{FF2B5EF4-FFF2-40B4-BE49-F238E27FC236}">
              <a16:creationId xmlns:a16="http://schemas.microsoft.com/office/drawing/2014/main" id="{CF2D77AF-BB88-4E2F-A7EB-4D11DD403ADB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5864" name="Line 36">
          <a:extLst>
            <a:ext uri="{FF2B5EF4-FFF2-40B4-BE49-F238E27FC236}">
              <a16:creationId xmlns:a16="http://schemas.microsoft.com/office/drawing/2014/main" id="{1C5759CD-77B2-46C6-AF8F-F3228480CD45}"/>
            </a:ext>
          </a:extLst>
        </xdr:cNvPr>
        <xdr:cNvSpPr>
          <a:spLocks noChangeShapeType="1"/>
        </xdr:cNvSpPr>
      </xdr:nvSpPr>
      <xdr:spPr bwMode="auto">
        <a:xfrm flipV="1">
          <a:off x="103917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5865" name="Line 37">
          <a:extLst>
            <a:ext uri="{FF2B5EF4-FFF2-40B4-BE49-F238E27FC236}">
              <a16:creationId xmlns:a16="http://schemas.microsoft.com/office/drawing/2014/main" id="{77321874-2C54-4680-8895-A2BCAAA1E9C5}"/>
            </a:ext>
          </a:extLst>
        </xdr:cNvPr>
        <xdr:cNvSpPr>
          <a:spLocks noChangeShapeType="1"/>
        </xdr:cNvSpPr>
      </xdr:nvSpPr>
      <xdr:spPr bwMode="auto">
        <a:xfrm>
          <a:off x="96297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5866" name="Line 38">
          <a:extLst>
            <a:ext uri="{FF2B5EF4-FFF2-40B4-BE49-F238E27FC236}">
              <a16:creationId xmlns:a16="http://schemas.microsoft.com/office/drawing/2014/main" id="{D59F3A90-2E63-49A7-99DF-C2929FDEFF2B}"/>
            </a:ext>
          </a:extLst>
        </xdr:cNvPr>
        <xdr:cNvSpPr>
          <a:spLocks noChangeShapeType="1"/>
        </xdr:cNvSpPr>
      </xdr:nvSpPr>
      <xdr:spPr bwMode="auto">
        <a:xfrm>
          <a:off x="11753850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5867" name="Line 39">
          <a:extLst>
            <a:ext uri="{FF2B5EF4-FFF2-40B4-BE49-F238E27FC236}">
              <a16:creationId xmlns:a16="http://schemas.microsoft.com/office/drawing/2014/main" id="{6192814C-EA10-4D85-BB2B-60CC0D0AAA2B}"/>
            </a:ext>
          </a:extLst>
        </xdr:cNvPr>
        <xdr:cNvSpPr>
          <a:spLocks noChangeShapeType="1"/>
        </xdr:cNvSpPr>
      </xdr:nvSpPr>
      <xdr:spPr bwMode="auto">
        <a:xfrm>
          <a:off x="11753850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5868" name="Line 40">
          <a:extLst>
            <a:ext uri="{FF2B5EF4-FFF2-40B4-BE49-F238E27FC236}">
              <a16:creationId xmlns:a16="http://schemas.microsoft.com/office/drawing/2014/main" id="{38465437-8544-4C3E-BA91-A464CC7C3C00}"/>
            </a:ext>
          </a:extLst>
        </xdr:cNvPr>
        <xdr:cNvSpPr>
          <a:spLocks noChangeShapeType="1"/>
        </xdr:cNvSpPr>
      </xdr:nvSpPr>
      <xdr:spPr bwMode="auto">
        <a:xfrm>
          <a:off x="11753850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5869" name="Line 41">
          <a:extLst>
            <a:ext uri="{FF2B5EF4-FFF2-40B4-BE49-F238E27FC236}">
              <a16:creationId xmlns:a16="http://schemas.microsoft.com/office/drawing/2014/main" id="{66136C95-72D5-4758-BDC5-D74918DB14F7}"/>
            </a:ext>
          </a:extLst>
        </xdr:cNvPr>
        <xdr:cNvSpPr>
          <a:spLocks noChangeShapeType="1"/>
        </xdr:cNvSpPr>
      </xdr:nvSpPr>
      <xdr:spPr bwMode="auto">
        <a:xfrm>
          <a:off x="1105852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5870" name="Line 42">
          <a:extLst>
            <a:ext uri="{FF2B5EF4-FFF2-40B4-BE49-F238E27FC236}">
              <a16:creationId xmlns:a16="http://schemas.microsoft.com/office/drawing/2014/main" id="{3786C7D6-6D23-439A-B1E5-BE563AD202D1}"/>
            </a:ext>
          </a:extLst>
        </xdr:cNvPr>
        <xdr:cNvSpPr>
          <a:spLocks noChangeShapeType="1"/>
        </xdr:cNvSpPr>
      </xdr:nvSpPr>
      <xdr:spPr bwMode="auto">
        <a:xfrm>
          <a:off x="1431607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5871" name="Line 43">
          <a:extLst>
            <a:ext uri="{FF2B5EF4-FFF2-40B4-BE49-F238E27FC236}">
              <a16:creationId xmlns:a16="http://schemas.microsoft.com/office/drawing/2014/main" id="{D180040E-9710-40C8-BB76-F4E0FC13E745}"/>
            </a:ext>
          </a:extLst>
        </xdr:cNvPr>
        <xdr:cNvSpPr>
          <a:spLocks noChangeShapeType="1"/>
        </xdr:cNvSpPr>
      </xdr:nvSpPr>
      <xdr:spPr bwMode="auto">
        <a:xfrm>
          <a:off x="1431607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5872" name="Line 44">
          <a:extLst>
            <a:ext uri="{FF2B5EF4-FFF2-40B4-BE49-F238E27FC236}">
              <a16:creationId xmlns:a16="http://schemas.microsoft.com/office/drawing/2014/main" id="{ABE6502F-438B-4358-BD45-C6AB5F3CAE98}"/>
            </a:ext>
          </a:extLst>
        </xdr:cNvPr>
        <xdr:cNvSpPr>
          <a:spLocks noChangeShapeType="1"/>
        </xdr:cNvSpPr>
      </xdr:nvSpPr>
      <xdr:spPr bwMode="auto">
        <a:xfrm>
          <a:off x="1389697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5873" name="Line 45">
          <a:extLst>
            <a:ext uri="{FF2B5EF4-FFF2-40B4-BE49-F238E27FC236}">
              <a16:creationId xmlns:a16="http://schemas.microsoft.com/office/drawing/2014/main" id="{CE2737A8-2AD4-4C07-9964-D7C4B861EE39}"/>
            </a:ext>
          </a:extLst>
        </xdr:cNvPr>
        <xdr:cNvSpPr>
          <a:spLocks noChangeShapeType="1"/>
        </xdr:cNvSpPr>
      </xdr:nvSpPr>
      <xdr:spPr bwMode="auto">
        <a:xfrm>
          <a:off x="1431607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5874" name="Line 46">
          <a:extLst>
            <a:ext uri="{FF2B5EF4-FFF2-40B4-BE49-F238E27FC236}">
              <a16:creationId xmlns:a16="http://schemas.microsoft.com/office/drawing/2014/main" id="{CC86B208-D0DF-4B3E-AE5B-3FE6694B2820}"/>
            </a:ext>
          </a:extLst>
        </xdr:cNvPr>
        <xdr:cNvSpPr>
          <a:spLocks noChangeShapeType="1"/>
        </xdr:cNvSpPr>
      </xdr:nvSpPr>
      <xdr:spPr bwMode="auto">
        <a:xfrm>
          <a:off x="1431607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5875" name="Line 47">
          <a:extLst>
            <a:ext uri="{FF2B5EF4-FFF2-40B4-BE49-F238E27FC236}">
              <a16:creationId xmlns:a16="http://schemas.microsoft.com/office/drawing/2014/main" id="{71FBFBF6-328E-477E-A015-FD077041F454}"/>
            </a:ext>
          </a:extLst>
        </xdr:cNvPr>
        <xdr:cNvSpPr>
          <a:spLocks noChangeShapeType="1"/>
        </xdr:cNvSpPr>
      </xdr:nvSpPr>
      <xdr:spPr bwMode="auto">
        <a:xfrm>
          <a:off x="1389697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5876" name="Line 48">
          <a:extLst>
            <a:ext uri="{FF2B5EF4-FFF2-40B4-BE49-F238E27FC236}">
              <a16:creationId xmlns:a16="http://schemas.microsoft.com/office/drawing/2014/main" id="{6DC0DC1D-FF16-4B8F-B5F7-75879F5124A2}"/>
            </a:ext>
          </a:extLst>
        </xdr:cNvPr>
        <xdr:cNvSpPr>
          <a:spLocks noChangeShapeType="1"/>
        </xdr:cNvSpPr>
      </xdr:nvSpPr>
      <xdr:spPr bwMode="auto">
        <a:xfrm>
          <a:off x="1431607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5877" name="Line 49">
          <a:extLst>
            <a:ext uri="{FF2B5EF4-FFF2-40B4-BE49-F238E27FC236}">
              <a16:creationId xmlns:a16="http://schemas.microsoft.com/office/drawing/2014/main" id="{6F9D9F7F-8674-4B2C-88A4-756A0B2C518D}"/>
            </a:ext>
          </a:extLst>
        </xdr:cNvPr>
        <xdr:cNvSpPr>
          <a:spLocks noChangeShapeType="1"/>
        </xdr:cNvSpPr>
      </xdr:nvSpPr>
      <xdr:spPr bwMode="auto">
        <a:xfrm>
          <a:off x="1389697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5878" name="Line 50">
          <a:extLst>
            <a:ext uri="{FF2B5EF4-FFF2-40B4-BE49-F238E27FC236}">
              <a16:creationId xmlns:a16="http://schemas.microsoft.com/office/drawing/2014/main" id="{321C75B2-89CF-42B6-A7F3-662F3CF04AE9}"/>
            </a:ext>
          </a:extLst>
        </xdr:cNvPr>
        <xdr:cNvSpPr>
          <a:spLocks noChangeShapeType="1"/>
        </xdr:cNvSpPr>
      </xdr:nvSpPr>
      <xdr:spPr bwMode="auto">
        <a:xfrm flipV="1">
          <a:off x="1431607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5879" name="Line 51">
          <a:extLst>
            <a:ext uri="{FF2B5EF4-FFF2-40B4-BE49-F238E27FC236}">
              <a16:creationId xmlns:a16="http://schemas.microsoft.com/office/drawing/2014/main" id="{06F9FBFF-09BD-4C06-A4D7-7DF67C567E4E}"/>
            </a:ext>
          </a:extLst>
        </xdr:cNvPr>
        <xdr:cNvSpPr>
          <a:spLocks noChangeShapeType="1"/>
        </xdr:cNvSpPr>
      </xdr:nvSpPr>
      <xdr:spPr bwMode="auto">
        <a:xfrm flipV="1">
          <a:off x="1389697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5880" name="Line 52">
          <a:extLst>
            <a:ext uri="{FF2B5EF4-FFF2-40B4-BE49-F238E27FC236}">
              <a16:creationId xmlns:a16="http://schemas.microsoft.com/office/drawing/2014/main" id="{8D8284F1-AFD9-4975-A797-AC84A1115052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5881" name="Line 53">
          <a:extLst>
            <a:ext uri="{FF2B5EF4-FFF2-40B4-BE49-F238E27FC236}">
              <a16:creationId xmlns:a16="http://schemas.microsoft.com/office/drawing/2014/main" id="{E9E5527D-3CF7-4689-B3F3-FC9E2C8A469B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5882" name="Line 54">
          <a:extLst>
            <a:ext uri="{FF2B5EF4-FFF2-40B4-BE49-F238E27FC236}">
              <a16:creationId xmlns:a16="http://schemas.microsoft.com/office/drawing/2014/main" id="{80AE5D56-C751-450F-801C-FEA4E4C90B57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5883" name="Line 55">
          <a:extLst>
            <a:ext uri="{FF2B5EF4-FFF2-40B4-BE49-F238E27FC236}">
              <a16:creationId xmlns:a16="http://schemas.microsoft.com/office/drawing/2014/main" id="{A7E14C1C-E60E-48EC-9132-7D4B64EF9C6E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5884" name="Line 56">
          <a:extLst>
            <a:ext uri="{FF2B5EF4-FFF2-40B4-BE49-F238E27FC236}">
              <a16:creationId xmlns:a16="http://schemas.microsoft.com/office/drawing/2014/main" id="{11F899BD-A05B-4819-BA36-1A21F5B6B329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5885" name="Line 57">
          <a:extLst>
            <a:ext uri="{FF2B5EF4-FFF2-40B4-BE49-F238E27FC236}">
              <a16:creationId xmlns:a16="http://schemas.microsoft.com/office/drawing/2014/main" id="{176A5A2D-CE69-4801-85E3-26A739BD2AF1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5886" name="Line 58">
          <a:extLst>
            <a:ext uri="{FF2B5EF4-FFF2-40B4-BE49-F238E27FC236}">
              <a16:creationId xmlns:a16="http://schemas.microsoft.com/office/drawing/2014/main" id="{7B9214D8-13DB-4859-88FD-F236AD099256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5887" name="Line 59">
          <a:extLst>
            <a:ext uri="{FF2B5EF4-FFF2-40B4-BE49-F238E27FC236}">
              <a16:creationId xmlns:a16="http://schemas.microsoft.com/office/drawing/2014/main" id="{95160470-EEF1-4C46-9ABA-F2A8B49F63B6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5888" name="Line 60">
          <a:extLst>
            <a:ext uri="{FF2B5EF4-FFF2-40B4-BE49-F238E27FC236}">
              <a16:creationId xmlns:a16="http://schemas.microsoft.com/office/drawing/2014/main" id="{61E1F8B1-AF4E-4039-ADAA-2EED383C36E0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5889" name="Line 61">
          <a:extLst>
            <a:ext uri="{FF2B5EF4-FFF2-40B4-BE49-F238E27FC236}">
              <a16:creationId xmlns:a16="http://schemas.microsoft.com/office/drawing/2014/main" id="{E5EE2F1E-4F71-4F5F-B13A-E29833B62E2C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5890" name="Line 62">
          <a:extLst>
            <a:ext uri="{FF2B5EF4-FFF2-40B4-BE49-F238E27FC236}">
              <a16:creationId xmlns:a16="http://schemas.microsoft.com/office/drawing/2014/main" id="{F853CD19-913C-4B91-BE48-D883EFBBCAD0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5891" name="Line 63">
          <a:extLst>
            <a:ext uri="{FF2B5EF4-FFF2-40B4-BE49-F238E27FC236}">
              <a16:creationId xmlns:a16="http://schemas.microsoft.com/office/drawing/2014/main" id="{089FB14A-BE29-4641-8269-C281D30E8265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5892" name="Line 64">
          <a:extLst>
            <a:ext uri="{FF2B5EF4-FFF2-40B4-BE49-F238E27FC236}">
              <a16:creationId xmlns:a16="http://schemas.microsoft.com/office/drawing/2014/main" id="{9B5E6892-C8A8-4489-856A-5BCD44B85408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5893" name="Line 65">
          <a:extLst>
            <a:ext uri="{FF2B5EF4-FFF2-40B4-BE49-F238E27FC236}">
              <a16:creationId xmlns:a16="http://schemas.microsoft.com/office/drawing/2014/main" id="{24EFB1B6-FDDE-4930-A98C-200816CD111C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5894" name="Line 66">
          <a:extLst>
            <a:ext uri="{FF2B5EF4-FFF2-40B4-BE49-F238E27FC236}">
              <a16:creationId xmlns:a16="http://schemas.microsoft.com/office/drawing/2014/main" id="{C49AB1B5-2CCA-47E8-9A06-08B12A396933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5895" name="Line 67">
          <a:extLst>
            <a:ext uri="{FF2B5EF4-FFF2-40B4-BE49-F238E27FC236}">
              <a16:creationId xmlns:a16="http://schemas.microsoft.com/office/drawing/2014/main" id="{AD027616-09C2-43A5-8212-2267E158D9E1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5896" name="Line 68">
          <a:extLst>
            <a:ext uri="{FF2B5EF4-FFF2-40B4-BE49-F238E27FC236}">
              <a16:creationId xmlns:a16="http://schemas.microsoft.com/office/drawing/2014/main" id="{E5364D6D-191E-42B5-8A7D-45591449BC5B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5897" name="Line 69">
          <a:extLst>
            <a:ext uri="{FF2B5EF4-FFF2-40B4-BE49-F238E27FC236}">
              <a16:creationId xmlns:a16="http://schemas.microsoft.com/office/drawing/2014/main" id="{6A9D8A0D-9C0F-4B31-A932-B864F28668AD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5898" name="Line 70">
          <a:extLst>
            <a:ext uri="{FF2B5EF4-FFF2-40B4-BE49-F238E27FC236}">
              <a16:creationId xmlns:a16="http://schemas.microsoft.com/office/drawing/2014/main" id="{CAF331FC-CE59-4C37-B64A-4F8E4703CEB7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5899" name="Line 71">
          <a:extLst>
            <a:ext uri="{FF2B5EF4-FFF2-40B4-BE49-F238E27FC236}">
              <a16:creationId xmlns:a16="http://schemas.microsoft.com/office/drawing/2014/main" id="{7B0478E0-9471-4D62-89BA-8D8F339B0A8C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5900" name="Line 72">
          <a:extLst>
            <a:ext uri="{FF2B5EF4-FFF2-40B4-BE49-F238E27FC236}">
              <a16:creationId xmlns:a16="http://schemas.microsoft.com/office/drawing/2014/main" id="{9AB12F61-BB40-4F84-8E76-C1313C4B9200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5901" name="Line 73">
          <a:extLst>
            <a:ext uri="{FF2B5EF4-FFF2-40B4-BE49-F238E27FC236}">
              <a16:creationId xmlns:a16="http://schemas.microsoft.com/office/drawing/2014/main" id="{4BF51C91-D02F-4E90-AA3B-4A2EFC56BCF0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5902" name="Line 74">
          <a:extLst>
            <a:ext uri="{FF2B5EF4-FFF2-40B4-BE49-F238E27FC236}">
              <a16:creationId xmlns:a16="http://schemas.microsoft.com/office/drawing/2014/main" id="{553B8B16-5E1B-4C6F-AEAF-37C29129F7BC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5903" name="Line 75">
          <a:extLst>
            <a:ext uri="{FF2B5EF4-FFF2-40B4-BE49-F238E27FC236}">
              <a16:creationId xmlns:a16="http://schemas.microsoft.com/office/drawing/2014/main" id="{78D0CE05-4311-4A4C-8C1F-5B12092E43DD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5904" name="Line 76">
          <a:extLst>
            <a:ext uri="{FF2B5EF4-FFF2-40B4-BE49-F238E27FC236}">
              <a16:creationId xmlns:a16="http://schemas.microsoft.com/office/drawing/2014/main" id="{9AE2725B-B39B-4434-B09F-A55812437A75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5905" name="Line 77">
          <a:extLst>
            <a:ext uri="{FF2B5EF4-FFF2-40B4-BE49-F238E27FC236}">
              <a16:creationId xmlns:a16="http://schemas.microsoft.com/office/drawing/2014/main" id="{8018470E-F160-43AE-A54A-DBE6BBE0CBD7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5906" name="Line 78">
          <a:extLst>
            <a:ext uri="{FF2B5EF4-FFF2-40B4-BE49-F238E27FC236}">
              <a16:creationId xmlns:a16="http://schemas.microsoft.com/office/drawing/2014/main" id="{F5051197-28E1-4B8B-AA0F-1F7D508B8776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5907" name="Line 79">
          <a:extLst>
            <a:ext uri="{FF2B5EF4-FFF2-40B4-BE49-F238E27FC236}">
              <a16:creationId xmlns:a16="http://schemas.microsoft.com/office/drawing/2014/main" id="{03CE8DB3-45A7-4527-882A-E627F2AADB90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5908" name="Line 80">
          <a:extLst>
            <a:ext uri="{FF2B5EF4-FFF2-40B4-BE49-F238E27FC236}">
              <a16:creationId xmlns:a16="http://schemas.microsoft.com/office/drawing/2014/main" id="{D0E64A93-F8AA-400A-BDDC-B294E9FB02C7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5909" name="Line 81">
          <a:extLst>
            <a:ext uri="{FF2B5EF4-FFF2-40B4-BE49-F238E27FC236}">
              <a16:creationId xmlns:a16="http://schemas.microsoft.com/office/drawing/2014/main" id="{50B3B05B-2F4F-4F78-BFC8-FF99332B4666}"/>
            </a:ext>
          </a:extLst>
        </xdr:cNvPr>
        <xdr:cNvSpPr>
          <a:spLocks noChangeShapeType="1"/>
        </xdr:cNvSpPr>
      </xdr:nvSpPr>
      <xdr:spPr bwMode="auto">
        <a:xfrm>
          <a:off x="96297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5910" name="Line 82">
          <a:extLst>
            <a:ext uri="{FF2B5EF4-FFF2-40B4-BE49-F238E27FC236}">
              <a16:creationId xmlns:a16="http://schemas.microsoft.com/office/drawing/2014/main" id="{96D9156E-7302-40E9-B8E9-42A1AAE7A6F6}"/>
            </a:ext>
          </a:extLst>
        </xdr:cNvPr>
        <xdr:cNvSpPr>
          <a:spLocks noChangeShapeType="1"/>
        </xdr:cNvSpPr>
      </xdr:nvSpPr>
      <xdr:spPr bwMode="auto">
        <a:xfrm>
          <a:off x="96297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5911" name="Line 83">
          <a:extLst>
            <a:ext uri="{FF2B5EF4-FFF2-40B4-BE49-F238E27FC236}">
              <a16:creationId xmlns:a16="http://schemas.microsoft.com/office/drawing/2014/main" id="{24608D67-B12E-4526-8E95-4393A39CC46B}"/>
            </a:ext>
          </a:extLst>
        </xdr:cNvPr>
        <xdr:cNvSpPr>
          <a:spLocks noChangeShapeType="1"/>
        </xdr:cNvSpPr>
      </xdr:nvSpPr>
      <xdr:spPr bwMode="auto">
        <a:xfrm>
          <a:off x="1431607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5912" name="Line 84">
          <a:extLst>
            <a:ext uri="{FF2B5EF4-FFF2-40B4-BE49-F238E27FC236}">
              <a16:creationId xmlns:a16="http://schemas.microsoft.com/office/drawing/2014/main" id="{C335189C-272A-4B9B-A20B-63E70FAA0461}"/>
            </a:ext>
          </a:extLst>
        </xdr:cNvPr>
        <xdr:cNvSpPr>
          <a:spLocks noChangeShapeType="1"/>
        </xdr:cNvSpPr>
      </xdr:nvSpPr>
      <xdr:spPr bwMode="auto">
        <a:xfrm>
          <a:off x="143160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5913" name="Line 85">
          <a:extLst>
            <a:ext uri="{FF2B5EF4-FFF2-40B4-BE49-F238E27FC236}">
              <a16:creationId xmlns:a16="http://schemas.microsoft.com/office/drawing/2014/main" id="{B39F97C5-94DB-40CF-8595-DB059B48C4C7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5914" name="Line 86">
          <a:extLst>
            <a:ext uri="{FF2B5EF4-FFF2-40B4-BE49-F238E27FC236}">
              <a16:creationId xmlns:a16="http://schemas.microsoft.com/office/drawing/2014/main" id="{31336A1E-7B7D-43FE-8F64-7A9C0465D67F}"/>
            </a:ext>
          </a:extLst>
        </xdr:cNvPr>
        <xdr:cNvSpPr>
          <a:spLocks noChangeShapeType="1"/>
        </xdr:cNvSpPr>
      </xdr:nvSpPr>
      <xdr:spPr bwMode="auto">
        <a:xfrm>
          <a:off x="96297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5915" name="Line 87">
          <a:extLst>
            <a:ext uri="{FF2B5EF4-FFF2-40B4-BE49-F238E27FC236}">
              <a16:creationId xmlns:a16="http://schemas.microsoft.com/office/drawing/2014/main" id="{BC90C7B8-6F78-4719-8B94-ECBB2CCE3C2A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5916" name="Line 88">
          <a:extLst>
            <a:ext uri="{FF2B5EF4-FFF2-40B4-BE49-F238E27FC236}">
              <a16:creationId xmlns:a16="http://schemas.microsoft.com/office/drawing/2014/main" id="{27340F14-1622-4F72-ACA8-AD4C118EFA93}"/>
            </a:ext>
          </a:extLst>
        </xdr:cNvPr>
        <xdr:cNvSpPr>
          <a:spLocks noChangeShapeType="1"/>
        </xdr:cNvSpPr>
      </xdr:nvSpPr>
      <xdr:spPr bwMode="auto">
        <a:xfrm>
          <a:off x="96297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5917" name="Line 89">
          <a:extLst>
            <a:ext uri="{FF2B5EF4-FFF2-40B4-BE49-F238E27FC236}">
              <a16:creationId xmlns:a16="http://schemas.microsoft.com/office/drawing/2014/main" id="{B6483C1D-286F-4FE3-B8D4-B7F636B7FD09}"/>
            </a:ext>
          </a:extLst>
        </xdr:cNvPr>
        <xdr:cNvSpPr>
          <a:spLocks noChangeShapeType="1"/>
        </xdr:cNvSpPr>
      </xdr:nvSpPr>
      <xdr:spPr bwMode="auto">
        <a:xfrm>
          <a:off x="9629775" y="11287125"/>
          <a:ext cx="2990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5918" name="Line 90">
          <a:extLst>
            <a:ext uri="{FF2B5EF4-FFF2-40B4-BE49-F238E27FC236}">
              <a16:creationId xmlns:a16="http://schemas.microsoft.com/office/drawing/2014/main" id="{910B4643-E996-4555-ACDF-3841275CCE52}"/>
            </a:ext>
          </a:extLst>
        </xdr:cNvPr>
        <xdr:cNvSpPr>
          <a:spLocks noChangeShapeType="1"/>
        </xdr:cNvSpPr>
      </xdr:nvSpPr>
      <xdr:spPr bwMode="auto">
        <a:xfrm>
          <a:off x="97440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5919" name="Line 91">
          <a:extLst>
            <a:ext uri="{FF2B5EF4-FFF2-40B4-BE49-F238E27FC236}">
              <a16:creationId xmlns:a16="http://schemas.microsoft.com/office/drawing/2014/main" id="{8F07434C-6677-4677-A061-D45097129E89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5920" name="Line 92">
          <a:extLst>
            <a:ext uri="{FF2B5EF4-FFF2-40B4-BE49-F238E27FC236}">
              <a16:creationId xmlns:a16="http://schemas.microsoft.com/office/drawing/2014/main" id="{303EACD2-ABE2-47DE-BCE6-104F6D0D38EB}"/>
            </a:ext>
          </a:extLst>
        </xdr:cNvPr>
        <xdr:cNvSpPr>
          <a:spLocks noChangeShapeType="1"/>
        </xdr:cNvSpPr>
      </xdr:nvSpPr>
      <xdr:spPr bwMode="auto">
        <a:xfrm flipV="1">
          <a:off x="96297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5921" name="Line 93">
          <a:extLst>
            <a:ext uri="{FF2B5EF4-FFF2-40B4-BE49-F238E27FC236}">
              <a16:creationId xmlns:a16="http://schemas.microsoft.com/office/drawing/2014/main" id="{A323E03D-CBB6-42C8-A240-EE22B7AA31AF}"/>
            </a:ext>
          </a:extLst>
        </xdr:cNvPr>
        <xdr:cNvSpPr>
          <a:spLocks noChangeShapeType="1"/>
        </xdr:cNvSpPr>
      </xdr:nvSpPr>
      <xdr:spPr bwMode="auto">
        <a:xfrm>
          <a:off x="97440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5922" name="Line 94">
          <a:extLst>
            <a:ext uri="{FF2B5EF4-FFF2-40B4-BE49-F238E27FC236}">
              <a16:creationId xmlns:a16="http://schemas.microsoft.com/office/drawing/2014/main" id="{821EAB57-08DE-4A36-949A-42F6FFC65E9A}"/>
            </a:ext>
          </a:extLst>
        </xdr:cNvPr>
        <xdr:cNvSpPr>
          <a:spLocks noChangeShapeType="1"/>
        </xdr:cNvSpPr>
      </xdr:nvSpPr>
      <xdr:spPr bwMode="auto">
        <a:xfrm>
          <a:off x="1175385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5923" name="Line 95">
          <a:extLst>
            <a:ext uri="{FF2B5EF4-FFF2-40B4-BE49-F238E27FC236}">
              <a16:creationId xmlns:a16="http://schemas.microsoft.com/office/drawing/2014/main" id="{1B3C0C52-91C0-43C3-95A1-52439B0FE5E1}"/>
            </a:ext>
          </a:extLst>
        </xdr:cNvPr>
        <xdr:cNvSpPr>
          <a:spLocks noChangeShapeType="1"/>
        </xdr:cNvSpPr>
      </xdr:nvSpPr>
      <xdr:spPr bwMode="auto">
        <a:xfrm>
          <a:off x="1175385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5924" name="Line 96">
          <a:extLst>
            <a:ext uri="{FF2B5EF4-FFF2-40B4-BE49-F238E27FC236}">
              <a16:creationId xmlns:a16="http://schemas.microsoft.com/office/drawing/2014/main" id="{A877DC1A-6150-4DA9-8FA0-E051DB4434F1}"/>
            </a:ext>
          </a:extLst>
        </xdr:cNvPr>
        <xdr:cNvSpPr>
          <a:spLocks noChangeShapeType="1"/>
        </xdr:cNvSpPr>
      </xdr:nvSpPr>
      <xdr:spPr bwMode="auto">
        <a:xfrm>
          <a:off x="96297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5925" name="Line 97">
          <a:extLst>
            <a:ext uri="{FF2B5EF4-FFF2-40B4-BE49-F238E27FC236}">
              <a16:creationId xmlns:a16="http://schemas.microsoft.com/office/drawing/2014/main" id="{BB0C99BA-9C44-4B64-A701-5E64E8AFEB4F}"/>
            </a:ext>
          </a:extLst>
        </xdr:cNvPr>
        <xdr:cNvSpPr>
          <a:spLocks noChangeShapeType="1"/>
        </xdr:cNvSpPr>
      </xdr:nvSpPr>
      <xdr:spPr bwMode="auto">
        <a:xfrm>
          <a:off x="1175385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5926" name="Line 98">
          <a:extLst>
            <a:ext uri="{FF2B5EF4-FFF2-40B4-BE49-F238E27FC236}">
              <a16:creationId xmlns:a16="http://schemas.microsoft.com/office/drawing/2014/main" id="{FBDC0F69-DBF6-4C38-A98A-F5E0550DD41A}"/>
            </a:ext>
          </a:extLst>
        </xdr:cNvPr>
        <xdr:cNvSpPr>
          <a:spLocks noChangeShapeType="1"/>
        </xdr:cNvSpPr>
      </xdr:nvSpPr>
      <xdr:spPr bwMode="auto">
        <a:xfrm flipV="1">
          <a:off x="96297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5927" name="Line 99">
          <a:extLst>
            <a:ext uri="{FF2B5EF4-FFF2-40B4-BE49-F238E27FC236}">
              <a16:creationId xmlns:a16="http://schemas.microsoft.com/office/drawing/2014/main" id="{6FCC9B6B-94D6-476A-BBA5-718E32009D3E}"/>
            </a:ext>
          </a:extLst>
        </xdr:cNvPr>
        <xdr:cNvSpPr>
          <a:spLocks noChangeShapeType="1"/>
        </xdr:cNvSpPr>
      </xdr:nvSpPr>
      <xdr:spPr bwMode="auto">
        <a:xfrm>
          <a:off x="103917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5928" name="Line 100">
          <a:extLst>
            <a:ext uri="{FF2B5EF4-FFF2-40B4-BE49-F238E27FC236}">
              <a16:creationId xmlns:a16="http://schemas.microsoft.com/office/drawing/2014/main" id="{260A599A-16D4-4EBB-AA12-49C08E6D01F6}"/>
            </a:ext>
          </a:extLst>
        </xdr:cNvPr>
        <xdr:cNvSpPr>
          <a:spLocks noChangeShapeType="1"/>
        </xdr:cNvSpPr>
      </xdr:nvSpPr>
      <xdr:spPr bwMode="auto">
        <a:xfrm>
          <a:off x="143160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5929" name="Line 101">
          <a:extLst>
            <a:ext uri="{FF2B5EF4-FFF2-40B4-BE49-F238E27FC236}">
              <a16:creationId xmlns:a16="http://schemas.microsoft.com/office/drawing/2014/main" id="{E2D7E758-51BD-42DD-A73C-1EC18552E30D}"/>
            </a:ext>
          </a:extLst>
        </xdr:cNvPr>
        <xdr:cNvSpPr>
          <a:spLocks noChangeShapeType="1"/>
        </xdr:cNvSpPr>
      </xdr:nvSpPr>
      <xdr:spPr bwMode="auto">
        <a:xfrm>
          <a:off x="13896975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5930" name="Line 102">
          <a:extLst>
            <a:ext uri="{FF2B5EF4-FFF2-40B4-BE49-F238E27FC236}">
              <a16:creationId xmlns:a16="http://schemas.microsoft.com/office/drawing/2014/main" id="{743675EA-94D2-4A18-882B-4315C14949B7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5931" name="Line 103">
          <a:extLst>
            <a:ext uri="{FF2B5EF4-FFF2-40B4-BE49-F238E27FC236}">
              <a16:creationId xmlns:a16="http://schemas.microsoft.com/office/drawing/2014/main" id="{0DE6DBE8-41C5-4AAF-A265-9BC382C8DE65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5932" name="Line 104">
          <a:extLst>
            <a:ext uri="{FF2B5EF4-FFF2-40B4-BE49-F238E27FC236}">
              <a16:creationId xmlns:a16="http://schemas.microsoft.com/office/drawing/2014/main" id="{E53945EF-37B0-4799-ADCB-DF9390E77326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5933" name="Line 105">
          <a:extLst>
            <a:ext uri="{FF2B5EF4-FFF2-40B4-BE49-F238E27FC236}">
              <a16:creationId xmlns:a16="http://schemas.microsoft.com/office/drawing/2014/main" id="{DD8C5DAB-9487-460E-BCBE-4748724EF066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5934" name="Line 106">
          <a:extLst>
            <a:ext uri="{FF2B5EF4-FFF2-40B4-BE49-F238E27FC236}">
              <a16:creationId xmlns:a16="http://schemas.microsoft.com/office/drawing/2014/main" id="{4E777377-CAFC-4A16-A716-29DA3225D713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5935" name="Line 107">
          <a:extLst>
            <a:ext uri="{FF2B5EF4-FFF2-40B4-BE49-F238E27FC236}">
              <a16:creationId xmlns:a16="http://schemas.microsoft.com/office/drawing/2014/main" id="{17CF6E6D-FD2D-413E-B68B-E231DD3E2D28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5936" name="Line 108">
          <a:extLst>
            <a:ext uri="{FF2B5EF4-FFF2-40B4-BE49-F238E27FC236}">
              <a16:creationId xmlns:a16="http://schemas.microsoft.com/office/drawing/2014/main" id="{40AD9713-6772-4157-B883-6C820CEEABD0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5937" name="Line 109">
          <a:extLst>
            <a:ext uri="{FF2B5EF4-FFF2-40B4-BE49-F238E27FC236}">
              <a16:creationId xmlns:a16="http://schemas.microsoft.com/office/drawing/2014/main" id="{BBA77647-9C0C-47B1-A8C0-71D0C62A5252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5938" name="Line 110">
          <a:extLst>
            <a:ext uri="{FF2B5EF4-FFF2-40B4-BE49-F238E27FC236}">
              <a16:creationId xmlns:a16="http://schemas.microsoft.com/office/drawing/2014/main" id="{1097457B-8AAC-4025-BB27-20334342FA05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5939" name="Line 111">
          <a:extLst>
            <a:ext uri="{FF2B5EF4-FFF2-40B4-BE49-F238E27FC236}">
              <a16:creationId xmlns:a16="http://schemas.microsoft.com/office/drawing/2014/main" id="{4FC246B4-48A9-4E35-B3DE-3CCBA0ACD4EB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5940" name="Line 112">
          <a:extLst>
            <a:ext uri="{FF2B5EF4-FFF2-40B4-BE49-F238E27FC236}">
              <a16:creationId xmlns:a16="http://schemas.microsoft.com/office/drawing/2014/main" id="{05DC1117-C3B6-49D2-9D63-237C79977D16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5941" name="Line 113">
          <a:extLst>
            <a:ext uri="{FF2B5EF4-FFF2-40B4-BE49-F238E27FC236}">
              <a16:creationId xmlns:a16="http://schemas.microsoft.com/office/drawing/2014/main" id="{54408FF6-3790-46FD-99CD-E19EB4A4A612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5942" name="Line 114">
          <a:extLst>
            <a:ext uri="{FF2B5EF4-FFF2-40B4-BE49-F238E27FC236}">
              <a16:creationId xmlns:a16="http://schemas.microsoft.com/office/drawing/2014/main" id="{6169CAD9-4F59-42D1-B526-DA4889F6916B}"/>
            </a:ext>
          </a:extLst>
        </xdr:cNvPr>
        <xdr:cNvSpPr>
          <a:spLocks noChangeShapeType="1"/>
        </xdr:cNvSpPr>
      </xdr:nvSpPr>
      <xdr:spPr bwMode="auto">
        <a:xfrm flipV="1">
          <a:off x="96297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66853" name="Line 1">
          <a:extLst>
            <a:ext uri="{FF2B5EF4-FFF2-40B4-BE49-F238E27FC236}">
              <a16:creationId xmlns:a16="http://schemas.microsoft.com/office/drawing/2014/main" id="{EE027CFB-4A2B-4B1F-B363-42A55D12CE53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266854" name="Line 2">
          <a:extLst>
            <a:ext uri="{FF2B5EF4-FFF2-40B4-BE49-F238E27FC236}">
              <a16:creationId xmlns:a16="http://schemas.microsoft.com/office/drawing/2014/main" id="{EC135E9A-A646-4D8D-989E-BD1907419852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266855" name="Line 3">
          <a:extLst>
            <a:ext uri="{FF2B5EF4-FFF2-40B4-BE49-F238E27FC236}">
              <a16:creationId xmlns:a16="http://schemas.microsoft.com/office/drawing/2014/main" id="{58D8B2C5-3CE8-484D-AD60-953E12E159D6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266856" name="Line 4">
          <a:extLst>
            <a:ext uri="{FF2B5EF4-FFF2-40B4-BE49-F238E27FC236}">
              <a16:creationId xmlns:a16="http://schemas.microsoft.com/office/drawing/2014/main" id="{402DE192-30CA-4662-A736-11A3D27770F9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266857" name="Line 5">
          <a:extLst>
            <a:ext uri="{FF2B5EF4-FFF2-40B4-BE49-F238E27FC236}">
              <a16:creationId xmlns:a16="http://schemas.microsoft.com/office/drawing/2014/main" id="{A990249B-64F5-4FE6-8B53-A58E91BA1A6A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66858" name="Line 6">
          <a:extLst>
            <a:ext uri="{FF2B5EF4-FFF2-40B4-BE49-F238E27FC236}">
              <a16:creationId xmlns:a16="http://schemas.microsoft.com/office/drawing/2014/main" id="{D941D194-0D8F-4783-943E-7A85A0D8F3D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266859" name="Line 7">
          <a:extLst>
            <a:ext uri="{FF2B5EF4-FFF2-40B4-BE49-F238E27FC236}">
              <a16:creationId xmlns:a16="http://schemas.microsoft.com/office/drawing/2014/main" id="{085CDCB1-476D-4837-8CCE-75D2490C75C5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266860" name="Line 8">
          <a:extLst>
            <a:ext uri="{FF2B5EF4-FFF2-40B4-BE49-F238E27FC236}">
              <a16:creationId xmlns:a16="http://schemas.microsoft.com/office/drawing/2014/main" id="{4D9088BB-E120-47D5-9E43-965D9A1E4697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266861" name="Line 9">
          <a:extLst>
            <a:ext uri="{FF2B5EF4-FFF2-40B4-BE49-F238E27FC236}">
              <a16:creationId xmlns:a16="http://schemas.microsoft.com/office/drawing/2014/main" id="{90185FF5-C468-4E97-B82E-49932CDFE159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266862" name="Line 10">
          <a:extLst>
            <a:ext uri="{FF2B5EF4-FFF2-40B4-BE49-F238E27FC236}">
              <a16:creationId xmlns:a16="http://schemas.microsoft.com/office/drawing/2014/main" id="{482EB0AD-93C7-4711-846B-52155E9D3846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266863" name="Line 11">
          <a:extLst>
            <a:ext uri="{FF2B5EF4-FFF2-40B4-BE49-F238E27FC236}">
              <a16:creationId xmlns:a16="http://schemas.microsoft.com/office/drawing/2014/main" id="{6855A223-D4A6-4B58-9A9D-EBA5017A1CD1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266864" name="Line 12">
          <a:extLst>
            <a:ext uri="{FF2B5EF4-FFF2-40B4-BE49-F238E27FC236}">
              <a16:creationId xmlns:a16="http://schemas.microsoft.com/office/drawing/2014/main" id="{80AEE688-5239-479A-A011-B61100FEB9B5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66865" name="Line 13">
          <a:extLst>
            <a:ext uri="{FF2B5EF4-FFF2-40B4-BE49-F238E27FC236}">
              <a16:creationId xmlns:a16="http://schemas.microsoft.com/office/drawing/2014/main" id="{2A7C5B96-92D7-4D7C-AA6E-094E45AD159B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266866" name="Line 14">
          <a:extLst>
            <a:ext uri="{FF2B5EF4-FFF2-40B4-BE49-F238E27FC236}">
              <a16:creationId xmlns:a16="http://schemas.microsoft.com/office/drawing/2014/main" id="{781F4A60-B831-417C-8A40-AC264F6DE480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266867" name="Line 15">
          <a:extLst>
            <a:ext uri="{FF2B5EF4-FFF2-40B4-BE49-F238E27FC236}">
              <a16:creationId xmlns:a16="http://schemas.microsoft.com/office/drawing/2014/main" id="{9E4B9615-79BE-49E9-B4E2-115315F39EE4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266868" name="Line 16">
          <a:extLst>
            <a:ext uri="{FF2B5EF4-FFF2-40B4-BE49-F238E27FC236}">
              <a16:creationId xmlns:a16="http://schemas.microsoft.com/office/drawing/2014/main" id="{FA89106B-B4AC-407C-8D62-9F11154D04B1}"/>
            </a:ext>
          </a:extLst>
        </xdr:cNvPr>
        <xdr:cNvSpPr>
          <a:spLocks noChangeShapeType="1"/>
        </xdr:cNvSpPr>
      </xdr:nvSpPr>
      <xdr:spPr bwMode="auto">
        <a:xfrm>
          <a:off x="104489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266869" name="Line 17">
          <a:extLst>
            <a:ext uri="{FF2B5EF4-FFF2-40B4-BE49-F238E27FC236}">
              <a16:creationId xmlns:a16="http://schemas.microsoft.com/office/drawing/2014/main" id="{18AD08E4-09FB-403C-9512-4220B3423B5D}"/>
            </a:ext>
          </a:extLst>
        </xdr:cNvPr>
        <xdr:cNvSpPr>
          <a:spLocks noChangeShapeType="1"/>
        </xdr:cNvSpPr>
      </xdr:nvSpPr>
      <xdr:spPr bwMode="auto">
        <a:xfrm>
          <a:off x="96869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266870" name="Line 18">
          <a:extLst>
            <a:ext uri="{FF2B5EF4-FFF2-40B4-BE49-F238E27FC236}">
              <a16:creationId xmlns:a16="http://schemas.microsoft.com/office/drawing/2014/main" id="{686D55F3-6A51-43EF-9288-76AEB1A9A04A}"/>
            </a:ext>
          </a:extLst>
        </xdr:cNvPr>
        <xdr:cNvSpPr>
          <a:spLocks noChangeShapeType="1"/>
        </xdr:cNvSpPr>
      </xdr:nvSpPr>
      <xdr:spPr bwMode="auto">
        <a:xfrm>
          <a:off x="104489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66871" name="Line 19">
          <a:extLst>
            <a:ext uri="{FF2B5EF4-FFF2-40B4-BE49-F238E27FC236}">
              <a16:creationId xmlns:a16="http://schemas.microsoft.com/office/drawing/2014/main" id="{D3747C3C-9B7F-4F11-99FA-1315A52DA48A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66872" name="Line 20">
          <a:extLst>
            <a:ext uri="{FF2B5EF4-FFF2-40B4-BE49-F238E27FC236}">
              <a16:creationId xmlns:a16="http://schemas.microsoft.com/office/drawing/2014/main" id="{B73F1E1D-ECC7-420A-8734-98A5EEEAAFBA}"/>
            </a:ext>
          </a:extLst>
        </xdr:cNvPr>
        <xdr:cNvSpPr>
          <a:spLocks noChangeShapeType="1"/>
        </xdr:cNvSpPr>
      </xdr:nvSpPr>
      <xdr:spPr bwMode="auto">
        <a:xfrm>
          <a:off x="96869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66873" name="Line 21">
          <a:extLst>
            <a:ext uri="{FF2B5EF4-FFF2-40B4-BE49-F238E27FC236}">
              <a16:creationId xmlns:a16="http://schemas.microsoft.com/office/drawing/2014/main" id="{735F4CA9-DBFD-4655-814F-4E14A5AE4163}"/>
            </a:ext>
          </a:extLst>
        </xdr:cNvPr>
        <xdr:cNvSpPr>
          <a:spLocks noChangeShapeType="1"/>
        </xdr:cNvSpPr>
      </xdr:nvSpPr>
      <xdr:spPr bwMode="auto">
        <a:xfrm>
          <a:off x="104489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66874" name="Line 22">
          <a:extLst>
            <a:ext uri="{FF2B5EF4-FFF2-40B4-BE49-F238E27FC236}">
              <a16:creationId xmlns:a16="http://schemas.microsoft.com/office/drawing/2014/main" id="{C1844FD0-A050-422A-BE03-509925CE3C53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6875" name="Line 23">
          <a:extLst>
            <a:ext uri="{FF2B5EF4-FFF2-40B4-BE49-F238E27FC236}">
              <a16:creationId xmlns:a16="http://schemas.microsoft.com/office/drawing/2014/main" id="{AC2774F0-358A-413B-9170-9C37C2E9EE51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66876" name="Line 24">
          <a:extLst>
            <a:ext uri="{FF2B5EF4-FFF2-40B4-BE49-F238E27FC236}">
              <a16:creationId xmlns:a16="http://schemas.microsoft.com/office/drawing/2014/main" id="{7BDAF1B8-C0B2-4B41-8CAD-4B34F1F35EC3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6877" name="Line 25">
          <a:extLst>
            <a:ext uri="{FF2B5EF4-FFF2-40B4-BE49-F238E27FC236}">
              <a16:creationId xmlns:a16="http://schemas.microsoft.com/office/drawing/2014/main" id="{9B0D1790-AFC8-4177-AF40-3048068F80D7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66878" name="Line 26">
          <a:extLst>
            <a:ext uri="{FF2B5EF4-FFF2-40B4-BE49-F238E27FC236}">
              <a16:creationId xmlns:a16="http://schemas.microsoft.com/office/drawing/2014/main" id="{67A1ECF6-5C36-4FAC-9314-68214B6B5145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66879" name="Line 27">
          <a:extLst>
            <a:ext uri="{FF2B5EF4-FFF2-40B4-BE49-F238E27FC236}">
              <a16:creationId xmlns:a16="http://schemas.microsoft.com/office/drawing/2014/main" id="{059A5C74-426C-4ECE-A161-C5C50664B6D7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66880" name="Line 28">
          <a:extLst>
            <a:ext uri="{FF2B5EF4-FFF2-40B4-BE49-F238E27FC236}">
              <a16:creationId xmlns:a16="http://schemas.microsoft.com/office/drawing/2014/main" id="{DCEE6522-9F81-4024-BD0D-B06066253C9A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66881" name="Line 29">
          <a:extLst>
            <a:ext uri="{FF2B5EF4-FFF2-40B4-BE49-F238E27FC236}">
              <a16:creationId xmlns:a16="http://schemas.microsoft.com/office/drawing/2014/main" id="{B20A1994-FBD2-4E4A-BA09-015208CE0998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266882" name="Line 30">
          <a:extLst>
            <a:ext uri="{FF2B5EF4-FFF2-40B4-BE49-F238E27FC236}">
              <a16:creationId xmlns:a16="http://schemas.microsoft.com/office/drawing/2014/main" id="{D6BC032A-E692-448C-9104-04D11330D72E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266883" name="Line 31">
          <a:extLst>
            <a:ext uri="{FF2B5EF4-FFF2-40B4-BE49-F238E27FC236}">
              <a16:creationId xmlns:a16="http://schemas.microsoft.com/office/drawing/2014/main" id="{CB89124A-1809-4E9D-85F4-3490E102E957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266884" name="Line 32">
          <a:extLst>
            <a:ext uri="{FF2B5EF4-FFF2-40B4-BE49-F238E27FC236}">
              <a16:creationId xmlns:a16="http://schemas.microsoft.com/office/drawing/2014/main" id="{4BF25008-EDF2-4A3C-B3D5-ED2063A66352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266885" name="Line 33">
          <a:extLst>
            <a:ext uri="{FF2B5EF4-FFF2-40B4-BE49-F238E27FC236}">
              <a16:creationId xmlns:a16="http://schemas.microsoft.com/office/drawing/2014/main" id="{1A5DE044-E94D-40E0-B900-BD31721AEE06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266886" name="Line 34">
          <a:extLst>
            <a:ext uri="{FF2B5EF4-FFF2-40B4-BE49-F238E27FC236}">
              <a16:creationId xmlns:a16="http://schemas.microsoft.com/office/drawing/2014/main" id="{D78D531B-48B0-4845-A11F-E7889EC36DF3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47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266887" name="Line 35">
          <a:extLst>
            <a:ext uri="{FF2B5EF4-FFF2-40B4-BE49-F238E27FC236}">
              <a16:creationId xmlns:a16="http://schemas.microsoft.com/office/drawing/2014/main" id="{F9DA237F-4FDA-4B00-BC89-F728D6B34112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266888" name="Line 36">
          <a:extLst>
            <a:ext uri="{FF2B5EF4-FFF2-40B4-BE49-F238E27FC236}">
              <a16:creationId xmlns:a16="http://schemas.microsoft.com/office/drawing/2014/main" id="{7FC4DB77-EA6C-4172-846E-E24D3825867E}"/>
            </a:ext>
          </a:extLst>
        </xdr:cNvPr>
        <xdr:cNvSpPr>
          <a:spLocks noChangeShapeType="1"/>
        </xdr:cNvSpPr>
      </xdr:nvSpPr>
      <xdr:spPr bwMode="auto">
        <a:xfrm flipV="1">
          <a:off x="104489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266889" name="Line 37">
          <a:extLst>
            <a:ext uri="{FF2B5EF4-FFF2-40B4-BE49-F238E27FC236}">
              <a16:creationId xmlns:a16="http://schemas.microsoft.com/office/drawing/2014/main" id="{571C0644-3BD9-411E-98A2-B73F8240D4DA}"/>
            </a:ext>
          </a:extLst>
        </xdr:cNvPr>
        <xdr:cNvSpPr>
          <a:spLocks noChangeShapeType="1"/>
        </xdr:cNvSpPr>
      </xdr:nvSpPr>
      <xdr:spPr bwMode="auto">
        <a:xfrm>
          <a:off x="96869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266890" name="Line 38">
          <a:extLst>
            <a:ext uri="{FF2B5EF4-FFF2-40B4-BE49-F238E27FC236}">
              <a16:creationId xmlns:a16="http://schemas.microsoft.com/office/drawing/2014/main" id="{B687123C-5E6D-4542-BAC8-D444433C96AB}"/>
            </a:ext>
          </a:extLst>
        </xdr:cNvPr>
        <xdr:cNvSpPr>
          <a:spLocks noChangeShapeType="1"/>
        </xdr:cNvSpPr>
      </xdr:nvSpPr>
      <xdr:spPr bwMode="auto">
        <a:xfrm>
          <a:off x="11830050" y="841057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266891" name="Line 39">
          <a:extLst>
            <a:ext uri="{FF2B5EF4-FFF2-40B4-BE49-F238E27FC236}">
              <a16:creationId xmlns:a16="http://schemas.microsoft.com/office/drawing/2014/main" id="{079E6740-7472-47D1-9633-22BF362F73E5}"/>
            </a:ext>
          </a:extLst>
        </xdr:cNvPr>
        <xdr:cNvSpPr>
          <a:spLocks noChangeShapeType="1"/>
        </xdr:cNvSpPr>
      </xdr:nvSpPr>
      <xdr:spPr bwMode="auto">
        <a:xfrm>
          <a:off x="11830050" y="9601200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266892" name="Line 40">
          <a:extLst>
            <a:ext uri="{FF2B5EF4-FFF2-40B4-BE49-F238E27FC236}">
              <a16:creationId xmlns:a16="http://schemas.microsoft.com/office/drawing/2014/main" id="{780A1EA6-F2A4-4F94-9226-A87E98BD7D7C}"/>
            </a:ext>
          </a:extLst>
        </xdr:cNvPr>
        <xdr:cNvSpPr>
          <a:spLocks noChangeShapeType="1"/>
        </xdr:cNvSpPr>
      </xdr:nvSpPr>
      <xdr:spPr bwMode="auto">
        <a:xfrm>
          <a:off x="11830050" y="10791825"/>
          <a:ext cx="352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152400</xdr:rowOff>
    </xdr:to>
    <xdr:sp macro="" textlink="">
      <xdr:nvSpPr>
        <xdr:cNvPr id="266893" name="Line 41">
          <a:extLst>
            <a:ext uri="{FF2B5EF4-FFF2-40B4-BE49-F238E27FC236}">
              <a16:creationId xmlns:a16="http://schemas.microsoft.com/office/drawing/2014/main" id="{B534309A-92D1-49CC-A484-2FBD86078019}"/>
            </a:ext>
          </a:extLst>
        </xdr:cNvPr>
        <xdr:cNvSpPr>
          <a:spLocks noChangeShapeType="1"/>
        </xdr:cNvSpPr>
      </xdr:nvSpPr>
      <xdr:spPr bwMode="auto">
        <a:xfrm>
          <a:off x="11115675" y="8410575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266894" name="Line 42">
          <a:extLst>
            <a:ext uri="{FF2B5EF4-FFF2-40B4-BE49-F238E27FC236}">
              <a16:creationId xmlns:a16="http://schemas.microsoft.com/office/drawing/2014/main" id="{51AC8C29-A4D3-4102-9C1E-F61C2C80277F}"/>
            </a:ext>
          </a:extLst>
        </xdr:cNvPr>
        <xdr:cNvSpPr>
          <a:spLocks noChangeShapeType="1"/>
        </xdr:cNvSpPr>
      </xdr:nvSpPr>
      <xdr:spPr bwMode="auto">
        <a:xfrm>
          <a:off x="1439227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266895" name="Line 43">
          <a:extLst>
            <a:ext uri="{FF2B5EF4-FFF2-40B4-BE49-F238E27FC236}">
              <a16:creationId xmlns:a16="http://schemas.microsoft.com/office/drawing/2014/main" id="{8AA73973-23DF-4F25-AB83-2D701475198D}"/>
            </a:ext>
          </a:extLst>
        </xdr:cNvPr>
        <xdr:cNvSpPr>
          <a:spLocks noChangeShapeType="1"/>
        </xdr:cNvSpPr>
      </xdr:nvSpPr>
      <xdr:spPr bwMode="auto">
        <a:xfrm>
          <a:off x="1439227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266896" name="Line 44">
          <a:extLst>
            <a:ext uri="{FF2B5EF4-FFF2-40B4-BE49-F238E27FC236}">
              <a16:creationId xmlns:a16="http://schemas.microsoft.com/office/drawing/2014/main" id="{CECC8019-87A6-4F04-8CF8-2D2DE1A53154}"/>
            </a:ext>
          </a:extLst>
        </xdr:cNvPr>
        <xdr:cNvSpPr>
          <a:spLocks noChangeShapeType="1"/>
        </xdr:cNvSpPr>
      </xdr:nvSpPr>
      <xdr:spPr bwMode="auto">
        <a:xfrm>
          <a:off x="1397317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266897" name="Line 45">
          <a:extLst>
            <a:ext uri="{FF2B5EF4-FFF2-40B4-BE49-F238E27FC236}">
              <a16:creationId xmlns:a16="http://schemas.microsoft.com/office/drawing/2014/main" id="{711CD2AF-08CC-4C8C-A683-AC08CF765923}"/>
            </a:ext>
          </a:extLst>
        </xdr:cNvPr>
        <xdr:cNvSpPr>
          <a:spLocks noChangeShapeType="1"/>
        </xdr:cNvSpPr>
      </xdr:nvSpPr>
      <xdr:spPr bwMode="auto">
        <a:xfrm>
          <a:off x="1439227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266898" name="Line 46">
          <a:extLst>
            <a:ext uri="{FF2B5EF4-FFF2-40B4-BE49-F238E27FC236}">
              <a16:creationId xmlns:a16="http://schemas.microsoft.com/office/drawing/2014/main" id="{946FC576-2380-4881-A59C-A08231657071}"/>
            </a:ext>
          </a:extLst>
        </xdr:cNvPr>
        <xdr:cNvSpPr>
          <a:spLocks noChangeShapeType="1"/>
        </xdr:cNvSpPr>
      </xdr:nvSpPr>
      <xdr:spPr bwMode="auto">
        <a:xfrm>
          <a:off x="1439227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266899" name="Line 47">
          <a:extLst>
            <a:ext uri="{FF2B5EF4-FFF2-40B4-BE49-F238E27FC236}">
              <a16:creationId xmlns:a16="http://schemas.microsoft.com/office/drawing/2014/main" id="{D93236E1-7652-45B7-A5D8-1C80822B6519}"/>
            </a:ext>
          </a:extLst>
        </xdr:cNvPr>
        <xdr:cNvSpPr>
          <a:spLocks noChangeShapeType="1"/>
        </xdr:cNvSpPr>
      </xdr:nvSpPr>
      <xdr:spPr bwMode="auto">
        <a:xfrm>
          <a:off x="1397317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266900" name="Line 48">
          <a:extLst>
            <a:ext uri="{FF2B5EF4-FFF2-40B4-BE49-F238E27FC236}">
              <a16:creationId xmlns:a16="http://schemas.microsoft.com/office/drawing/2014/main" id="{BFD5B0D5-77E0-4B29-B092-6185CDB66F31}"/>
            </a:ext>
          </a:extLst>
        </xdr:cNvPr>
        <xdr:cNvSpPr>
          <a:spLocks noChangeShapeType="1"/>
        </xdr:cNvSpPr>
      </xdr:nvSpPr>
      <xdr:spPr bwMode="auto">
        <a:xfrm>
          <a:off x="1439227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266901" name="Line 49">
          <a:extLst>
            <a:ext uri="{FF2B5EF4-FFF2-40B4-BE49-F238E27FC236}">
              <a16:creationId xmlns:a16="http://schemas.microsoft.com/office/drawing/2014/main" id="{8E297757-D85C-4F23-84C3-C825722CA4E8}"/>
            </a:ext>
          </a:extLst>
        </xdr:cNvPr>
        <xdr:cNvSpPr>
          <a:spLocks noChangeShapeType="1"/>
        </xdr:cNvSpPr>
      </xdr:nvSpPr>
      <xdr:spPr bwMode="auto">
        <a:xfrm>
          <a:off x="1397317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266902" name="Line 50">
          <a:extLst>
            <a:ext uri="{FF2B5EF4-FFF2-40B4-BE49-F238E27FC236}">
              <a16:creationId xmlns:a16="http://schemas.microsoft.com/office/drawing/2014/main" id="{EEE5D003-7E85-4BED-8C68-7F31C1914790}"/>
            </a:ext>
          </a:extLst>
        </xdr:cNvPr>
        <xdr:cNvSpPr>
          <a:spLocks noChangeShapeType="1"/>
        </xdr:cNvSpPr>
      </xdr:nvSpPr>
      <xdr:spPr bwMode="auto">
        <a:xfrm flipV="1">
          <a:off x="1439227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266903" name="Line 51">
          <a:extLst>
            <a:ext uri="{FF2B5EF4-FFF2-40B4-BE49-F238E27FC236}">
              <a16:creationId xmlns:a16="http://schemas.microsoft.com/office/drawing/2014/main" id="{FD6801A4-225C-4A26-8646-A85AFF7F4BAF}"/>
            </a:ext>
          </a:extLst>
        </xdr:cNvPr>
        <xdr:cNvSpPr>
          <a:spLocks noChangeShapeType="1"/>
        </xdr:cNvSpPr>
      </xdr:nvSpPr>
      <xdr:spPr bwMode="auto">
        <a:xfrm flipV="1">
          <a:off x="1397317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266904" name="Line 52">
          <a:extLst>
            <a:ext uri="{FF2B5EF4-FFF2-40B4-BE49-F238E27FC236}">
              <a16:creationId xmlns:a16="http://schemas.microsoft.com/office/drawing/2014/main" id="{E73A20F9-281F-4458-8A74-8A674DA3BD5A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6905" name="Line 53">
          <a:extLst>
            <a:ext uri="{FF2B5EF4-FFF2-40B4-BE49-F238E27FC236}">
              <a16:creationId xmlns:a16="http://schemas.microsoft.com/office/drawing/2014/main" id="{F5F6E714-AB85-4C35-9494-1B9A38A8CDFC}"/>
            </a:ext>
          </a:extLst>
        </xdr:cNvPr>
        <xdr:cNvSpPr>
          <a:spLocks noChangeShapeType="1"/>
        </xdr:cNvSpPr>
      </xdr:nvSpPr>
      <xdr:spPr bwMode="auto">
        <a:xfrm>
          <a:off x="3086100" y="9763125"/>
          <a:ext cx="137160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6906" name="Line 54">
          <a:extLst>
            <a:ext uri="{FF2B5EF4-FFF2-40B4-BE49-F238E27FC236}">
              <a16:creationId xmlns:a16="http://schemas.microsoft.com/office/drawing/2014/main" id="{58D470A6-BB2F-47B0-8E50-6D835C1898E3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6907" name="Line 55">
          <a:extLst>
            <a:ext uri="{FF2B5EF4-FFF2-40B4-BE49-F238E27FC236}">
              <a16:creationId xmlns:a16="http://schemas.microsoft.com/office/drawing/2014/main" id="{84214091-B87B-4BC8-80A3-3E1273CB5A5D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266908" name="Line 56">
          <a:extLst>
            <a:ext uri="{FF2B5EF4-FFF2-40B4-BE49-F238E27FC236}">
              <a16:creationId xmlns:a16="http://schemas.microsoft.com/office/drawing/2014/main" id="{831A18B7-CC4B-4B48-B829-42BFDC26BCBE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266909" name="Line 57">
          <a:extLst>
            <a:ext uri="{FF2B5EF4-FFF2-40B4-BE49-F238E27FC236}">
              <a16:creationId xmlns:a16="http://schemas.microsoft.com/office/drawing/2014/main" id="{0C66FBE9-FA50-4CD6-B0F2-4EB1CF853E5C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266910" name="Line 58">
          <a:extLst>
            <a:ext uri="{FF2B5EF4-FFF2-40B4-BE49-F238E27FC236}">
              <a16:creationId xmlns:a16="http://schemas.microsoft.com/office/drawing/2014/main" id="{858FF1B4-5047-431E-AC3B-D5993BBD6CF8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266911" name="Line 59">
          <a:extLst>
            <a:ext uri="{FF2B5EF4-FFF2-40B4-BE49-F238E27FC236}">
              <a16:creationId xmlns:a16="http://schemas.microsoft.com/office/drawing/2014/main" id="{18C09410-F25B-4A27-8D74-8347932889A5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813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266912" name="Line 60">
          <a:extLst>
            <a:ext uri="{FF2B5EF4-FFF2-40B4-BE49-F238E27FC236}">
              <a16:creationId xmlns:a16="http://schemas.microsoft.com/office/drawing/2014/main" id="{87EE7E40-4309-4378-B4FE-F6F2312304B5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266913" name="Line 61">
          <a:extLst>
            <a:ext uri="{FF2B5EF4-FFF2-40B4-BE49-F238E27FC236}">
              <a16:creationId xmlns:a16="http://schemas.microsoft.com/office/drawing/2014/main" id="{B3DA2784-DD32-4D2F-B9C6-A87E61E77BC4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266914" name="Line 62">
          <a:extLst>
            <a:ext uri="{FF2B5EF4-FFF2-40B4-BE49-F238E27FC236}">
              <a16:creationId xmlns:a16="http://schemas.microsoft.com/office/drawing/2014/main" id="{D13E09E0-0865-4587-9723-5B1D44406BF3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66915" name="Line 63">
          <a:extLst>
            <a:ext uri="{FF2B5EF4-FFF2-40B4-BE49-F238E27FC236}">
              <a16:creationId xmlns:a16="http://schemas.microsoft.com/office/drawing/2014/main" id="{1E19A1FA-3830-4EDA-9E92-764CF01EC49F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266916" name="Line 64">
          <a:extLst>
            <a:ext uri="{FF2B5EF4-FFF2-40B4-BE49-F238E27FC236}">
              <a16:creationId xmlns:a16="http://schemas.microsoft.com/office/drawing/2014/main" id="{452C0045-AD82-419E-8119-96B28C140CA7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266917" name="Line 65">
          <a:extLst>
            <a:ext uri="{FF2B5EF4-FFF2-40B4-BE49-F238E27FC236}">
              <a16:creationId xmlns:a16="http://schemas.microsoft.com/office/drawing/2014/main" id="{C5DCC01A-43F8-4B64-AE2B-2A9A3618C43C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266918" name="Line 66">
          <a:extLst>
            <a:ext uri="{FF2B5EF4-FFF2-40B4-BE49-F238E27FC236}">
              <a16:creationId xmlns:a16="http://schemas.microsoft.com/office/drawing/2014/main" id="{C1B3D2A4-BB78-4870-B993-54E4B8244569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266919" name="Line 67">
          <a:extLst>
            <a:ext uri="{FF2B5EF4-FFF2-40B4-BE49-F238E27FC236}">
              <a16:creationId xmlns:a16="http://schemas.microsoft.com/office/drawing/2014/main" id="{8980E350-164A-4DA8-99D9-EAC8E3A013CF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266920" name="Line 68">
          <a:extLst>
            <a:ext uri="{FF2B5EF4-FFF2-40B4-BE49-F238E27FC236}">
              <a16:creationId xmlns:a16="http://schemas.microsoft.com/office/drawing/2014/main" id="{6AFC9077-6366-4675-98D5-A365E0DE37C0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266921" name="Line 69">
          <a:extLst>
            <a:ext uri="{FF2B5EF4-FFF2-40B4-BE49-F238E27FC236}">
              <a16:creationId xmlns:a16="http://schemas.microsoft.com/office/drawing/2014/main" id="{1FCC9781-7F0F-4F0C-9BDC-10252385FFC6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6922" name="Line 70">
          <a:extLst>
            <a:ext uri="{FF2B5EF4-FFF2-40B4-BE49-F238E27FC236}">
              <a16:creationId xmlns:a16="http://schemas.microsoft.com/office/drawing/2014/main" id="{1F5F3182-4AD7-4AF6-8795-30FDF63B5E41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266923" name="Line 71">
          <a:extLst>
            <a:ext uri="{FF2B5EF4-FFF2-40B4-BE49-F238E27FC236}">
              <a16:creationId xmlns:a16="http://schemas.microsoft.com/office/drawing/2014/main" id="{4510761A-BDE1-4F8B-957D-39A781490E64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6924" name="Line 72">
          <a:extLst>
            <a:ext uri="{FF2B5EF4-FFF2-40B4-BE49-F238E27FC236}">
              <a16:creationId xmlns:a16="http://schemas.microsoft.com/office/drawing/2014/main" id="{B04E110E-7BD7-43EC-8DDC-A1CBE4121876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266925" name="Line 73">
          <a:extLst>
            <a:ext uri="{FF2B5EF4-FFF2-40B4-BE49-F238E27FC236}">
              <a16:creationId xmlns:a16="http://schemas.microsoft.com/office/drawing/2014/main" id="{DC904C91-1CC1-4A6E-A7BA-D9A97B06D82B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266926" name="Line 74">
          <a:extLst>
            <a:ext uri="{FF2B5EF4-FFF2-40B4-BE49-F238E27FC236}">
              <a16:creationId xmlns:a16="http://schemas.microsoft.com/office/drawing/2014/main" id="{BAA85966-D404-4E14-8E7D-1AF5521B3A5E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266927" name="Line 75">
          <a:extLst>
            <a:ext uri="{FF2B5EF4-FFF2-40B4-BE49-F238E27FC236}">
              <a16:creationId xmlns:a16="http://schemas.microsoft.com/office/drawing/2014/main" id="{FDE898CF-2E3F-46E3-A476-1BF194649591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266928" name="Line 76">
          <a:extLst>
            <a:ext uri="{FF2B5EF4-FFF2-40B4-BE49-F238E27FC236}">
              <a16:creationId xmlns:a16="http://schemas.microsoft.com/office/drawing/2014/main" id="{F7061308-D953-465C-94E0-06C57BAF8956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266929" name="Line 77">
          <a:extLst>
            <a:ext uri="{FF2B5EF4-FFF2-40B4-BE49-F238E27FC236}">
              <a16:creationId xmlns:a16="http://schemas.microsoft.com/office/drawing/2014/main" id="{E8666AC1-BF30-4871-977E-885EF80C90E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66930" name="Line 78">
          <a:extLst>
            <a:ext uri="{FF2B5EF4-FFF2-40B4-BE49-F238E27FC236}">
              <a16:creationId xmlns:a16="http://schemas.microsoft.com/office/drawing/2014/main" id="{8DF682EE-59BB-4F5B-911E-741B4695C621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266931" name="Line 79">
          <a:extLst>
            <a:ext uri="{FF2B5EF4-FFF2-40B4-BE49-F238E27FC236}">
              <a16:creationId xmlns:a16="http://schemas.microsoft.com/office/drawing/2014/main" id="{73A1B6EF-AABD-42F0-AFDF-2CA8A26DA8FE}"/>
            </a:ext>
          </a:extLst>
        </xdr:cNvPr>
        <xdr:cNvSpPr>
          <a:spLocks noChangeShapeType="1"/>
        </xdr:cNvSpPr>
      </xdr:nvSpPr>
      <xdr:spPr bwMode="auto">
        <a:xfrm>
          <a:off x="104489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266932" name="Line 80">
          <a:extLst>
            <a:ext uri="{FF2B5EF4-FFF2-40B4-BE49-F238E27FC236}">
              <a16:creationId xmlns:a16="http://schemas.microsoft.com/office/drawing/2014/main" id="{8CEFBF64-62EA-440D-9713-27A2393D4377}"/>
            </a:ext>
          </a:extLst>
        </xdr:cNvPr>
        <xdr:cNvSpPr>
          <a:spLocks noChangeShapeType="1"/>
        </xdr:cNvSpPr>
      </xdr:nvSpPr>
      <xdr:spPr bwMode="auto">
        <a:xfrm>
          <a:off x="104489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266933" name="Line 81">
          <a:extLst>
            <a:ext uri="{FF2B5EF4-FFF2-40B4-BE49-F238E27FC236}">
              <a16:creationId xmlns:a16="http://schemas.microsoft.com/office/drawing/2014/main" id="{BA553B3E-FECD-4E3F-A7BC-4902879F92B7}"/>
            </a:ext>
          </a:extLst>
        </xdr:cNvPr>
        <xdr:cNvSpPr>
          <a:spLocks noChangeShapeType="1"/>
        </xdr:cNvSpPr>
      </xdr:nvSpPr>
      <xdr:spPr bwMode="auto">
        <a:xfrm>
          <a:off x="96869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266934" name="Line 82">
          <a:extLst>
            <a:ext uri="{FF2B5EF4-FFF2-40B4-BE49-F238E27FC236}">
              <a16:creationId xmlns:a16="http://schemas.microsoft.com/office/drawing/2014/main" id="{D7F1B697-30CD-43C2-8176-44B660F39D66}"/>
            </a:ext>
          </a:extLst>
        </xdr:cNvPr>
        <xdr:cNvSpPr>
          <a:spLocks noChangeShapeType="1"/>
        </xdr:cNvSpPr>
      </xdr:nvSpPr>
      <xdr:spPr bwMode="auto">
        <a:xfrm>
          <a:off x="96869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266935" name="Line 83">
          <a:extLst>
            <a:ext uri="{FF2B5EF4-FFF2-40B4-BE49-F238E27FC236}">
              <a16:creationId xmlns:a16="http://schemas.microsoft.com/office/drawing/2014/main" id="{73DC1FF7-58F9-449F-9B01-6E07B5B5FF15}"/>
            </a:ext>
          </a:extLst>
        </xdr:cNvPr>
        <xdr:cNvSpPr>
          <a:spLocks noChangeShapeType="1"/>
        </xdr:cNvSpPr>
      </xdr:nvSpPr>
      <xdr:spPr bwMode="auto">
        <a:xfrm>
          <a:off x="1439227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266936" name="Line 84">
          <a:extLst>
            <a:ext uri="{FF2B5EF4-FFF2-40B4-BE49-F238E27FC236}">
              <a16:creationId xmlns:a16="http://schemas.microsoft.com/office/drawing/2014/main" id="{33ABC22A-9CB7-46A0-A2B9-3240F13EA72A}"/>
            </a:ext>
          </a:extLst>
        </xdr:cNvPr>
        <xdr:cNvSpPr>
          <a:spLocks noChangeShapeType="1"/>
        </xdr:cNvSpPr>
      </xdr:nvSpPr>
      <xdr:spPr bwMode="auto">
        <a:xfrm>
          <a:off x="143922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66937" name="Line 85">
          <a:extLst>
            <a:ext uri="{FF2B5EF4-FFF2-40B4-BE49-F238E27FC236}">
              <a16:creationId xmlns:a16="http://schemas.microsoft.com/office/drawing/2014/main" id="{CA53E51C-C29D-4FD2-9829-42CE673F9C06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6938" name="Line 86">
          <a:extLst>
            <a:ext uri="{FF2B5EF4-FFF2-40B4-BE49-F238E27FC236}">
              <a16:creationId xmlns:a16="http://schemas.microsoft.com/office/drawing/2014/main" id="{07181390-AD0B-4AEA-9880-08115A409E34}"/>
            </a:ext>
          </a:extLst>
        </xdr:cNvPr>
        <xdr:cNvSpPr>
          <a:spLocks noChangeShapeType="1"/>
        </xdr:cNvSpPr>
      </xdr:nvSpPr>
      <xdr:spPr bwMode="auto">
        <a:xfrm>
          <a:off x="96869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66939" name="Line 87">
          <a:extLst>
            <a:ext uri="{FF2B5EF4-FFF2-40B4-BE49-F238E27FC236}">
              <a16:creationId xmlns:a16="http://schemas.microsoft.com/office/drawing/2014/main" id="{B29C76C9-932A-4196-A3EC-0336C7FF7364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66940" name="Line 88">
          <a:extLst>
            <a:ext uri="{FF2B5EF4-FFF2-40B4-BE49-F238E27FC236}">
              <a16:creationId xmlns:a16="http://schemas.microsoft.com/office/drawing/2014/main" id="{088B3D86-0253-4097-8A0D-E06897538492}"/>
            </a:ext>
          </a:extLst>
        </xdr:cNvPr>
        <xdr:cNvSpPr>
          <a:spLocks noChangeShapeType="1"/>
        </xdr:cNvSpPr>
      </xdr:nvSpPr>
      <xdr:spPr bwMode="auto">
        <a:xfrm>
          <a:off x="96869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66941" name="Line 89">
          <a:extLst>
            <a:ext uri="{FF2B5EF4-FFF2-40B4-BE49-F238E27FC236}">
              <a16:creationId xmlns:a16="http://schemas.microsoft.com/office/drawing/2014/main" id="{A5CD9CB4-CDF2-431D-9D5C-1C7F0E19F113}"/>
            </a:ext>
          </a:extLst>
        </xdr:cNvPr>
        <xdr:cNvSpPr>
          <a:spLocks noChangeShapeType="1"/>
        </xdr:cNvSpPr>
      </xdr:nvSpPr>
      <xdr:spPr bwMode="auto">
        <a:xfrm>
          <a:off x="9686925" y="11287125"/>
          <a:ext cx="3009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66942" name="Line 90">
          <a:extLst>
            <a:ext uri="{FF2B5EF4-FFF2-40B4-BE49-F238E27FC236}">
              <a16:creationId xmlns:a16="http://schemas.microsoft.com/office/drawing/2014/main" id="{85CB76B8-1B8C-4AFB-A46D-A14493EDEACF}"/>
            </a:ext>
          </a:extLst>
        </xdr:cNvPr>
        <xdr:cNvSpPr>
          <a:spLocks noChangeShapeType="1"/>
        </xdr:cNvSpPr>
      </xdr:nvSpPr>
      <xdr:spPr bwMode="auto">
        <a:xfrm>
          <a:off x="98012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66943" name="Line 91">
          <a:extLst>
            <a:ext uri="{FF2B5EF4-FFF2-40B4-BE49-F238E27FC236}">
              <a16:creationId xmlns:a16="http://schemas.microsoft.com/office/drawing/2014/main" id="{CEF02173-8EB5-4FA8-B8CE-C553020B10A6}"/>
            </a:ext>
          </a:extLst>
        </xdr:cNvPr>
        <xdr:cNvSpPr>
          <a:spLocks noChangeShapeType="1"/>
        </xdr:cNvSpPr>
      </xdr:nvSpPr>
      <xdr:spPr bwMode="auto">
        <a:xfrm flipV="1">
          <a:off x="98012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66944" name="Line 92">
          <a:extLst>
            <a:ext uri="{FF2B5EF4-FFF2-40B4-BE49-F238E27FC236}">
              <a16:creationId xmlns:a16="http://schemas.microsoft.com/office/drawing/2014/main" id="{72E3BBFD-DB20-489C-A2CD-457C7C156816}"/>
            </a:ext>
          </a:extLst>
        </xdr:cNvPr>
        <xdr:cNvSpPr>
          <a:spLocks noChangeShapeType="1"/>
        </xdr:cNvSpPr>
      </xdr:nvSpPr>
      <xdr:spPr bwMode="auto">
        <a:xfrm flipV="1">
          <a:off x="96869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66945" name="Line 93">
          <a:extLst>
            <a:ext uri="{FF2B5EF4-FFF2-40B4-BE49-F238E27FC236}">
              <a16:creationId xmlns:a16="http://schemas.microsoft.com/office/drawing/2014/main" id="{BCE4F462-24E0-40A9-B6D8-5110584EB046}"/>
            </a:ext>
          </a:extLst>
        </xdr:cNvPr>
        <xdr:cNvSpPr>
          <a:spLocks noChangeShapeType="1"/>
        </xdr:cNvSpPr>
      </xdr:nvSpPr>
      <xdr:spPr bwMode="auto">
        <a:xfrm>
          <a:off x="98012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66946" name="Line 94">
          <a:extLst>
            <a:ext uri="{FF2B5EF4-FFF2-40B4-BE49-F238E27FC236}">
              <a16:creationId xmlns:a16="http://schemas.microsoft.com/office/drawing/2014/main" id="{73E3B88D-12FE-4962-B9AE-669327B21A3A}"/>
            </a:ext>
          </a:extLst>
        </xdr:cNvPr>
        <xdr:cNvSpPr>
          <a:spLocks noChangeShapeType="1"/>
        </xdr:cNvSpPr>
      </xdr:nvSpPr>
      <xdr:spPr bwMode="auto">
        <a:xfrm>
          <a:off x="1183005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66947" name="Line 95">
          <a:extLst>
            <a:ext uri="{FF2B5EF4-FFF2-40B4-BE49-F238E27FC236}">
              <a16:creationId xmlns:a16="http://schemas.microsoft.com/office/drawing/2014/main" id="{C56D78BC-8174-447B-89B2-A8A3E9CC8D57}"/>
            </a:ext>
          </a:extLst>
        </xdr:cNvPr>
        <xdr:cNvSpPr>
          <a:spLocks noChangeShapeType="1"/>
        </xdr:cNvSpPr>
      </xdr:nvSpPr>
      <xdr:spPr bwMode="auto">
        <a:xfrm>
          <a:off x="1183005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66948" name="Line 96">
          <a:extLst>
            <a:ext uri="{FF2B5EF4-FFF2-40B4-BE49-F238E27FC236}">
              <a16:creationId xmlns:a16="http://schemas.microsoft.com/office/drawing/2014/main" id="{9357A52C-317D-4F82-A88A-233ADF4BC054}"/>
            </a:ext>
          </a:extLst>
        </xdr:cNvPr>
        <xdr:cNvSpPr>
          <a:spLocks noChangeShapeType="1"/>
        </xdr:cNvSpPr>
      </xdr:nvSpPr>
      <xdr:spPr bwMode="auto">
        <a:xfrm>
          <a:off x="96869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66949" name="Line 97">
          <a:extLst>
            <a:ext uri="{FF2B5EF4-FFF2-40B4-BE49-F238E27FC236}">
              <a16:creationId xmlns:a16="http://schemas.microsoft.com/office/drawing/2014/main" id="{0EBDC6F6-394E-4BD6-83E8-BE6B172F6D02}"/>
            </a:ext>
          </a:extLst>
        </xdr:cNvPr>
        <xdr:cNvSpPr>
          <a:spLocks noChangeShapeType="1"/>
        </xdr:cNvSpPr>
      </xdr:nvSpPr>
      <xdr:spPr bwMode="auto">
        <a:xfrm>
          <a:off x="1183005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66950" name="Line 98">
          <a:extLst>
            <a:ext uri="{FF2B5EF4-FFF2-40B4-BE49-F238E27FC236}">
              <a16:creationId xmlns:a16="http://schemas.microsoft.com/office/drawing/2014/main" id="{37A0200C-A9A5-430B-9E00-317AD8A86CD4}"/>
            </a:ext>
          </a:extLst>
        </xdr:cNvPr>
        <xdr:cNvSpPr>
          <a:spLocks noChangeShapeType="1"/>
        </xdr:cNvSpPr>
      </xdr:nvSpPr>
      <xdr:spPr bwMode="auto">
        <a:xfrm flipV="1">
          <a:off x="96869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66951" name="Line 99">
          <a:extLst>
            <a:ext uri="{FF2B5EF4-FFF2-40B4-BE49-F238E27FC236}">
              <a16:creationId xmlns:a16="http://schemas.microsoft.com/office/drawing/2014/main" id="{8C7616B4-E1F1-48C2-A151-8263B327F06D}"/>
            </a:ext>
          </a:extLst>
        </xdr:cNvPr>
        <xdr:cNvSpPr>
          <a:spLocks noChangeShapeType="1"/>
        </xdr:cNvSpPr>
      </xdr:nvSpPr>
      <xdr:spPr bwMode="auto">
        <a:xfrm>
          <a:off x="104489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66952" name="Line 100">
          <a:extLst>
            <a:ext uri="{FF2B5EF4-FFF2-40B4-BE49-F238E27FC236}">
              <a16:creationId xmlns:a16="http://schemas.microsoft.com/office/drawing/2014/main" id="{DC791454-DD4A-4E7B-8F7C-F8E2CC15CE93}"/>
            </a:ext>
          </a:extLst>
        </xdr:cNvPr>
        <xdr:cNvSpPr>
          <a:spLocks noChangeShapeType="1"/>
        </xdr:cNvSpPr>
      </xdr:nvSpPr>
      <xdr:spPr bwMode="auto">
        <a:xfrm>
          <a:off x="143922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66953" name="Line 101">
          <a:extLst>
            <a:ext uri="{FF2B5EF4-FFF2-40B4-BE49-F238E27FC236}">
              <a16:creationId xmlns:a16="http://schemas.microsoft.com/office/drawing/2014/main" id="{4F7E5ACD-AA2D-4BD6-83CE-CCEB63314171}"/>
            </a:ext>
          </a:extLst>
        </xdr:cNvPr>
        <xdr:cNvSpPr>
          <a:spLocks noChangeShapeType="1"/>
        </xdr:cNvSpPr>
      </xdr:nvSpPr>
      <xdr:spPr bwMode="auto">
        <a:xfrm>
          <a:off x="13973175" y="12639675"/>
          <a:ext cx="1400175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66954" name="Line 102">
          <a:extLst>
            <a:ext uri="{FF2B5EF4-FFF2-40B4-BE49-F238E27FC236}">
              <a16:creationId xmlns:a16="http://schemas.microsoft.com/office/drawing/2014/main" id="{172B4005-B32C-49F0-BB92-8883D43C8FA6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66955" name="Line 103">
          <a:extLst>
            <a:ext uri="{FF2B5EF4-FFF2-40B4-BE49-F238E27FC236}">
              <a16:creationId xmlns:a16="http://schemas.microsoft.com/office/drawing/2014/main" id="{7EDD4624-AFBD-4144-8B73-5E5EA3457093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66956" name="Line 104">
          <a:extLst>
            <a:ext uri="{FF2B5EF4-FFF2-40B4-BE49-F238E27FC236}">
              <a16:creationId xmlns:a16="http://schemas.microsoft.com/office/drawing/2014/main" id="{7551C1DC-7573-4836-96F8-D2DD3932DE27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66957" name="Line 105">
          <a:extLst>
            <a:ext uri="{FF2B5EF4-FFF2-40B4-BE49-F238E27FC236}">
              <a16:creationId xmlns:a16="http://schemas.microsoft.com/office/drawing/2014/main" id="{90D88947-AE55-4933-8C65-66726624D7BA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66958" name="Line 106">
          <a:extLst>
            <a:ext uri="{FF2B5EF4-FFF2-40B4-BE49-F238E27FC236}">
              <a16:creationId xmlns:a16="http://schemas.microsoft.com/office/drawing/2014/main" id="{CEBBB4DA-794C-45D8-B3B3-E49E191DF166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66959" name="Line 107">
          <a:extLst>
            <a:ext uri="{FF2B5EF4-FFF2-40B4-BE49-F238E27FC236}">
              <a16:creationId xmlns:a16="http://schemas.microsoft.com/office/drawing/2014/main" id="{43714D46-0B12-45AF-A89B-19D78B25AAAB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66960" name="Line 108">
          <a:extLst>
            <a:ext uri="{FF2B5EF4-FFF2-40B4-BE49-F238E27FC236}">
              <a16:creationId xmlns:a16="http://schemas.microsoft.com/office/drawing/2014/main" id="{DAF3B8D6-3FFB-4C9A-8FD9-8AA91A9A696D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66961" name="Line 109">
          <a:extLst>
            <a:ext uri="{FF2B5EF4-FFF2-40B4-BE49-F238E27FC236}">
              <a16:creationId xmlns:a16="http://schemas.microsoft.com/office/drawing/2014/main" id="{F6001299-2640-4C3E-BFE5-1C0F1546FF67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66962" name="Line 110">
          <a:extLst>
            <a:ext uri="{FF2B5EF4-FFF2-40B4-BE49-F238E27FC236}">
              <a16:creationId xmlns:a16="http://schemas.microsoft.com/office/drawing/2014/main" id="{D0251E4E-DA38-4B2F-A434-8977C2288D2B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66963" name="Line 111">
          <a:extLst>
            <a:ext uri="{FF2B5EF4-FFF2-40B4-BE49-F238E27FC236}">
              <a16:creationId xmlns:a16="http://schemas.microsoft.com/office/drawing/2014/main" id="{724612D7-A440-484C-A4E0-A17557F3DE90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66964" name="Line 112">
          <a:extLst>
            <a:ext uri="{FF2B5EF4-FFF2-40B4-BE49-F238E27FC236}">
              <a16:creationId xmlns:a16="http://schemas.microsoft.com/office/drawing/2014/main" id="{ADD982BD-5DE0-4D0B-A05A-C672E018B385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66965" name="Line 113">
          <a:extLst>
            <a:ext uri="{FF2B5EF4-FFF2-40B4-BE49-F238E27FC236}">
              <a16:creationId xmlns:a16="http://schemas.microsoft.com/office/drawing/2014/main" id="{1668CD8F-4173-420C-A96B-4C98B68B3319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09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66966" name="Line 114">
          <a:extLst>
            <a:ext uri="{FF2B5EF4-FFF2-40B4-BE49-F238E27FC236}">
              <a16:creationId xmlns:a16="http://schemas.microsoft.com/office/drawing/2014/main" id="{DE330E05-2997-4500-B3FE-B7111BF1A74A}"/>
            </a:ext>
          </a:extLst>
        </xdr:cNvPr>
        <xdr:cNvSpPr>
          <a:spLocks noChangeShapeType="1"/>
        </xdr:cNvSpPr>
      </xdr:nvSpPr>
      <xdr:spPr bwMode="auto">
        <a:xfrm flipV="1">
          <a:off x="96869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</xdr:row>
      <xdr:rowOff>161925</xdr:rowOff>
    </xdr:from>
    <xdr:to>
      <xdr:col>11</xdr:col>
      <xdr:colOff>476250</xdr:colOff>
      <xdr:row>29</xdr:row>
      <xdr:rowOff>85725</xdr:rowOff>
    </xdr:to>
    <xdr:sp macro="" textlink="">
      <xdr:nvSpPr>
        <xdr:cNvPr id="12677" name="Line 19">
          <a:extLst>
            <a:ext uri="{FF2B5EF4-FFF2-40B4-BE49-F238E27FC236}">
              <a16:creationId xmlns:a16="http://schemas.microsoft.com/office/drawing/2014/main" id="{F89B40ED-A6C1-44F1-9173-CBABB0EF79C0}"/>
            </a:ext>
          </a:extLst>
        </xdr:cNvPr>
        <xdr:cNvSpPr>
          <a:spLocks noChangeShapeType="1"/>
        </xdr:cNvSpPr>
      </xdr:nvSpPr>
      <xdr:spPr bwMode="auto">
        <a:xfrm>
          <a:off x="542925" y="390525"/>
          <a:ext cx="7467600" cy="4524375"/>
        </a:xfrm>
        <a:prstGeom prst="line">
          <a:avLst/>
        </a:prstGeom>
        <a:noFill/>
        <a:ln w="222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95250</xdr:colOff>
      <xdr:row>0</xdr:row>
      <xdr:rowOff>0</xdr:rowOff>
    </xdr:from>
    <xdr:to>
      <xdr:col>10</xdr:col>
      <xdr:colOff>428625</xdr:colOff>
      <xdr:row>30</xdr:row>
      <xdr:rowOff>9525</xdr:rowOff>
    </xdr:to>
    <xdr:sp macro="" textlink="">
      <xdr:nvSpPr>
        <xdr:cNvPr id="12678" name="Line 20">
          <a:extLst>
            <a:ext uri="{FF2B5EF4-FFF2-40B4-BE49-F238E27FC236}">
              <a16:creationId xmlns:a16="http://schemas.microsoft.com/office/drawing/2014/main" id="{E2D11535-FC8A-4AF5-B860-8F4CF3CC8119}"/>
            </a:ext>
          </a:extLst>
        </xdr:cNvPr>
        <xdr:cNvSpPr>
          <a:spLocks noChangeShapeType="1"/>
        </xdr:cNvSpPr>
      </xdr:nvSpPr>
      <xdr:spPr bwMode="auto">
        <a:xfrm flipV="1">
          <a:off x="95250" y="0"/>
          <a:ext cx="7153275" cy="5000625"/>
        </a:xfrm>
        <a:prstGeom prst="line">
          <a:avLst/>
        </a:prstGeom>
        <a:noFill/>
        <a:ln w="222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shp25prc.xlsx" TargetMode="External"/><Relationship Id="rId1" Type="http://schemas.openxmlformats.org/officeDocument/2006/relationships/externalLinkPath" Target="/personal/kamaldeep_walia_usps_gov/Documents/Desktop/ACR2025%20Inputs/shp25pr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Accept2025_v.xlsx" TargetMode="External"/><Relationship Id="rId1" Type="http://schemas.openxmlformats.org/officeDocument/2006/relationships/externalLinkPath" Target="/personal/kamaldeep_walia_usps_gov/Documents/Desktop/ACR2025%20Inputs/Accept2025_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FY25%20ACR%20inputs%20to%20Special%20Cost%20Studies%20Public.xlsx" TargetMode="External"/><Relationship Id="rId1" Type="http://schemas.openxmlformats.org/officeDocument/2006/relationships/externalLinkPath" Target="/personal/kamaldeep_walia_usps_gov/Documents/Desktop/ACR2025%20Inputs/FY25%20ACR%20inputs%20to%20Special%20Cost%20Studies%20Public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Incoming%20ISS-OSS%20FY2025%20revised.xlsx" TargetMode="External"/><Relationship Id="rId1" Type="http://schemas.openxmlformats.org/officeDocument/2006/relationships/externalLinkPath" Target="/personal/kamaldeep_walia_usps_gov/Documents/ACR2025%20Inputs/Incoming%20ISS-OSS%20FY2025%20revised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RECprods2025_revised.xlsx" TargetMode="External"/><Relationship Id="rId1" Type="http://schemas.openxmlformats.org/officeDocument/2006/relationships/externalLinkPath" Target="/personal/kamaldeep_walia_usps_gov/Documents/ACR2025%20Inputs/RECprods2025_revise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YRscrub2025_revised.xlsx" TargetMode="External"/><Relationship Id="rId1" Type="http://schemas.openxmlformats.org/officeDocument/2006/relationships/externalLinkPath" Target="/personal/kamaldeep_walia_usps_gov/Documents/ACR2025%20Inputs/YRscrub2025_revise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dchqsxf11.usa.dce.usps.gov\Redir\Users\vtbxqb\AppData\Local\Microsoft\Windows\Temporary%20Internet%20Files\Content.Outlook\WA7MIROI\YRscrub2015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eFlash_Prod_RM2025-4_FY2025.xlsx" TargetMode="External"/><Relationship Id="rId1" Type="http://schemas.openxmlformats.org/officeDocument/2006/relationships/externalLinkPath" Target="/personal/kamaldeep_walia_usps_gov/Documents/Desktop/ACR2025%20Inputs/eFlash_Prod_RM2025-4_FY2025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MPPGBY25PRC.xlsx" TargetMode="External"/><Relationship Id="rId1" Type="http://schemas.openxmlformats.org/officeDocument/2006/relationships/externalLinkPath" Target="/personal/kamaldeep_walia_usps_gov/Documents/Desktop/ACR2025%20Inputs/MPPGBY25PRC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dchqsxf11.usa.dce.usps.gov\Redir\vtbxqb\My%20Documents\RBCS%20FY%20report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PO%20Box%20Percent%202025.xlsx" TargetMode="External"/><Relationship Id="rId1" Type="http://schemas.openxmlformats.org/officeDocument/2006/relationships/externalLinkPath" Target="/personal/kamaldeep_walia_usps_gov/Documents/Desktop/ACR2025%20Inputs/PO%20Box%20Percent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FAST2025_v.xlsx" TargetMode="External"/><Relationship Id="rId1" Type="http://schemas.openxmlformats.org/officeDocument/2006/relationships/externalLinkPath" Target="/personal/kamaldeep_walia_usps_gov/Documents/Desktop/ACR2025%20Inputs/FAST2025_v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MPPGBY25PRC.xlsx" TargetMode="External"/><Relationship Id="rId1" Type="http://schemas.openxmlformats.org/officeDocument/2006/relationships/externalLinkPath" Target="/personal/kamaldeep_walia_usps_gov/Documents/ACR2025%20Inputs/MPPGBY25PRC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MCS_MAILCHAR25v.xlsx" TargetMode="External"/><Relationship Id="rId1" Type="http://schemas.openxmlformats.org/officeDocument/2006/relationships/externalLinkPath" Target="/personal/kamaldeep_walia_usps_gov/Documents/Desktop/ACR2025%20Inputs/MCS_MAILCHAR25v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dchqsxf11.usa.dce.usps.gov\Redir\Users\vtbxqb\AppData\Local\Microsoft\Windows\INetCache\Content.Outlook\3URWWDCC\MAILCHAR19V%20(003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tbxqb\AppData\Local\Microsoft\Windows\INetCache\Content.Outlook\X86GHWLO\MAILCHAR22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Products"/>
      <sheetName val="PB"/>
      <sheetName val="LTTR VVC"/>
      <sheetName val="LTTR VVC W Premium Pay"/>
      <sheetName val="LTTR Unit Costs W PB &amp; MP RF"/>
      <sheetName val="LTTR Unit Costs  Final Adj."/>
      <sheetName val="FLAT VVC"/>
      <sheetName val="FLAT VVC W Premium Pay"/>
      <sheetName val="FLAT Unit Costs W PB &amp; MP RF"/>
      <sheetName val="FLAT Unit Costs W Final Adj"/>
      <sheetName val="PARCEL VVC"/>
      <sheetName val="PARCEL VVC W Premium Pay"/>
      <sheetName val="PARCEL Unit Costs W PB &amp; MP RF"/>
      <sheetName val="PARCEL Unit Costs W  Final Adj."/>
      <sheetName val="VVC (All Shapes)  W Premium Pay"/>
      <sheetName val="Costs (All Shapes) W PB &amp; MP RF"/>
      <sheetName val="Costs (All Shapes) W Final RF"/>
      <sheetName val="Summary WO Cost Adj."/>
      <sheetName val="ECR Cost Adj."/>
      <sheetName val="Final Adj."/>
      <sheetName val="Final Summary"/>
      <sheetName val="Non-Letter Outside County Per.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>
            <v>3.5241512441823368</v>
          </cell>
          <cell r="J6">
            <v>2.6022915393619717</v>
          </cell>
        </row>
        <row r="7">
          <cell r="J7">
            <v>0.15318383717679926</v>
          </cell>
        </row>
        <row r="9">
          <cell r="J9">
            <v>3.079696607722354E-3</v>
          </cell>
        </row>
        <row r="10">
          <cell r="J10">
            <v>4.413480502306829E-2</v>
          </cell>
        </row>
        <row r="11">
          <cell r="J11">
            <v>7.1404652341435027E-3</v>
          </cell>
        </row>
        <row r="12">
          <cell r="J12">
            <v>0.42395533138360503</v>
          </cell>
        </row>
        <row r="13">
          <cell r="J13">
            <v>8.5569915356465062E-3</v>
          </cell>
        </row>
        <row r="14">
          <cell r="J14">
            <v>9.3758367636146603E-2</v>
          </cell>
        </row>
        <row r="15">
          <cell r="J15">
            <v>4.5205947692929547E-4</v>
          </cell>
        </row>
        <row r="16">
          <cell r="J16">
            <v>1.9743507850684221E-2</v>
          </cell>
        </row>
        <row r="17">
          <cell r="J17">
            <v>2.2185469690552552E-2</v>
          </cell>
        </row>
        <row r="18">
          <cell r="J18">
            <v>8.6088139932699426E-2</v>
          </cell>
        </row>
        <row r="19">
          <cell r="J19">
            <v>3.9376403143878302E-2</v>
          </cell>
        </row>
        <row r="20">
          <cell r="J20">
            <v>0</v>
          </cell>
        </row>
        <row r="21">
          <cell r="J21">
            <v>3.3370231158472742E-2</v>
          </cell>
        </row>
        <row r="22">
          <cell r="J22">
            <v>8.2179789818053101E-2</v>
          </cell>
        </row>
        <row r="23">
          <cell r="J23">
            <v>1.1218315494259045E-2</v>
          </cell>
        </row>
        <row r="24">
          <cell r="J24">
            <v>0.651245329176809</v>
          </cell>
        </row>
        <row r="25">
          <cell r="J25">
            <v>2.4506864065075894E-3</v>
          </cell>
        </row>
        <row r="26">
          <cell r="J26">
            <v>7.9116240988346097E-3</v>
          </cell>
        </row>
        <row r="27">
          <cell r="J27">
            <v>3.0909372424204815E-3</v>
          </cell>
        </row>
        <row r="28">
          <cell r="J28">
            <v>2.2259349900754091E-2</v>
          </cell>
        </row>
        <row r="29">
          <cell r="J29">
            <v>6.6310084301147553E-4</v>
          </cell>
        </row>
        <row r="30">
          <cell r="J30">
            <v>2.571012996572026E-3</v>
          </cell>
        </row>
        <row r="31">
          <cell r="J31">
            <v>2.3272978510975153E-3</v>
          </cell>
        </row>
        <row r="32">
          <cell r="J32">
            <v>2.7783630612658382E-3</v>
          </cell>
        </row>
        <row r="33">
          <cell r="J33">
            <v>4.5165054241720848E-2</v>
          </cell>
        </row>
        <row r="34">
          <cell r="J34">
            <v>2.3438400104758284E-2</v>
          </cell>
        </row>
        <row r="35">
          <cell r="J35">
            <v>1.7635838609949064E-2</v>
          </cell>
        </row>
        <row r="36">
          <cell r="J36">
            <v>5.9656027504609928E-4</v>
          </cell>
        </row>
        <row r="38">
          <cell r="J38">
            <v>4.2227383099128883E-6</v>
          </cell>
        </row>
        <row r="39">
          <cell r="J39">
            <v>2.6244234712704253E-3</v>
          </cell>
        </row>
        <row r="40">
          <cell r="J40">
            <v>3.7439883014413533E-2</v>
          </cell>
        </row>
        <row r="41">
          <cell r="J41">
            <v>1.0698661546396568E-3</v>
          </cell>
        </row>
        <row r="42">
          <cell r="J42">
            <v>5.9614630135474246E-3</v>
          </cell>
        </row>
        <row r="43">
          <cell r="J43">
            <v>7.4053671969498526E-3</v>
          </cell>
        </row>
        <row r="44">
          <cell r="J44">
            <v>2.9664508964550307E-2</v>
          </cell>
        </row>
        <row r="45">
          <cell r="J45">
            <v>0.21287522555359084</v>
          </cell>
        </row>
        <row r="46">
          <cell r="J46">
            <v>4.5524814792114818E-3</v>
          </cell>
        </row>
        <row r="47">
          <cell r="J47">
            <v>5.7522922668491801E-2</v>
          </cell>
        </row>
        <row r="48">
          <cell r="J48">
            <v>1.0101689885010151E-2</v>
          </cell>
        </row>
        <row r="49">
          <cell r="J49">
            <v>1.9025676477594258E-2</v>
          </cell>
        </row>
        <row r="50">
          <cell r="J50">
            <v>0.38462789002546577</v>
          </cell>
        </row>
        <row r="51">
          <cell r="J51">
            <v>0</v>
          </cell>
        </row>
        <row r="52">
          <cell r="J52">
            <v>3.537818663033386E-2</v>
          </cell>
        </row>
        <row r="53">
          <cell r="J53">
            <v>0.38246886986074902</v>
          </cell>
        </row>
        <row r="54">
          <cell r="J54">
            <v>1.7927580253311624E-2</v>
          </cell>
        </row>
        <row r="55">
          <cell r="J55">
            <v>0.13406893078364268</v>
          </cell>
        </row>
        <row r="56">
          <cell r="J56">
            <v>4.8072660695749279E-4</v>
          </cell>
        </row>
        <row r="57">
          <cell r="J57">
            <v>1.23556044770847E-3</v>
          </cell>
        </row>
      </sheetData>
      <sheetData sheetId="7"/>
      <sheetData sheetId="8"/>
      <sheetData sheetId="9"/>
      <sheetData sheetId="10">
        <row r="6">
          <cell r="E6">
            <v>1.1272591951197184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tters"/>
      <sheetName val="Flats"/>
      <sheetName val="Parcels"/>
      <sheetName val="ppgar"/>
      <sheetName val="afsmrefeed"/>
      <sheetName val="ufsmkey"/>
      <sheetName val="appsspbsgar"/>
      <sheetName val="flatgar"/>
      <sheetName val="mlissgar"/>
      <sheetName val="lettergar"/>
      <sheetName val="diossgar"/>
      <sheetName val="WebROADS"/>
    </sheetNames>
    <sheetDataSet>
      <sheetData sheetId="0">
        <row r="6">
          <cell r="C6">
            <v>0.90245715339016008</v>
          </cell>
        </row>
        <row r="9">
          <cell r="C9">
            <v>0.92692924831704915</v>
          </cell>
        </row>
        <row r="10">
          <cell r="C10">
            <v>2.5509608137740784E-2</v>
          </cell>
        </row>
        <row r="11">
          <cell r="C11">
            <v>1.4130932874979785E-2</v>
          </cell>
        </row>
        <row r="12">
          <cell r="C12">
            <v>2.0846133969331096E-3</v>
          </cell>
        </row>
        <row r="13">
          <cell r="C13">
            <v>3.1345597273297068E-2</v>
          </cell>
        </row>
        <row r="15">
          <cell r="C15">
            <v>0.9725090126152891</v>
          </cell>
        </row>
        <row r="16">
          <cell r="C16">
            <v>0.97423570514703772</v>
          </cell>
        </row>
        <row r="17">
          <cell r="C17">
            <v>0.95590648900471231</v>
          </cell>
        </row>
        <row r="18">
          <cell r="C18">
            <v>0.93837868872245755</v>
          </cell>
        </row>
        <row r="19">
          <cell r="C19">
            <v>0.94237909446185353</v>
          </cell>
        </row>
        <row r="20">
          <cell r="C20">
            <v>0.98552409339367097</v>
          </cell>
        </row>
        <row r="21">
          <cell r="C21">
            <v>0.99019294977333217</v>
          </cell>
        </row>
      </sheetData>
      <sheetData sheetId="1">
        <row r="8">
          <cell r="H8">
            <v>0.84905640284582573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lume-variability factors"/>
      <sheetName val="Disaggregated wage rates"/>
      <sheetName val="Premium Pay Fctrs"/>
      <sheetName val=" Overhead factors"/>
      <sheetName val=" MODS ovh factors"/>
      <sheetName val=" NDCs OVH Factors"/>
      <sheetName val=" nonmods OVH Factors"/>
      <sheetName val="crosswalk, % of direct"/>
    </sheetNames>
    <sheetDataSet>
      <sheetData sheetId="0">
        <row r="11">
          <cell r="G11">
            <v>0.98909999999999998</v>
          </cell>
        </row>
        <row r="18">
          <cell r="G18">
            <v>0.96399999999999997</v>
          </cell>
        </row>
        <row r="23">
          <cell r="G23">
            <v>0.97240000000000004</v>
          </cell>
        </row>
        <row r="27">
          <cell r="G27">
            <v>0.873</v>
          </cell>
        </row>
        <row r="86">
          <cell r="G86">
            <v>0.98199999999999998</v>
          </cell>
        </row>
      </sheetData>
      <sheetData sheetId="1">
        <row r="6">
          <cell r="C6">
            <v>54.142360316355024</v>
          </cell>
        </row>
        <row r="8">
          <cell r="C8">
            <v>50.10717457546064</v>
          </cell>
        </row>
      </sheetData>
      <sheetData sheetId="2">
        <row r="7">
          <cell r="D7">
            <v>1.0126008477139226</v>
          </cell>
        </row>
        <row r="20">
          <cell r="D20">
            <v>0.97408886611748369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">
          <cell r="E9">
            <v>5752.4748872811142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 Calc"/>
    </sheetNames>
    <sheetDataSet>
      <sheetData sheetId="0">
        <row r="10">
          <cell r="E10">
            <v>775.23422288961956</v>
          </cell>
        </row>
        <row r="13">
          <cell r="E13">
            <v>739.31456751386031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Table"/>
    </sheetNames>
    <sheetDataSet>
      <sheetData sheetId="0">
        <row r="10">
          <cell r="E10">
            <v>1447</v>
          </cell>
          <cell r="I10">
            <v>1731.3470699022496</v>
          </cell>
        </row>
        <row r="13">
          <cell r="I13">
            <v>6758.7504883831289</v>
          </cell>
        </row>
        <row r="14">
          <cell r="I14">
            <v>5382.1298908617546</v>
          </cell>
        </row>
        <row r="15">
          <cell r="I15">
            <v>5213.6847407717551</v>
          </cell>
        </row>
        <row r="16">
          <cell r="I16">
            <v>10064.860722147192</v>
          </cell>
        </row>
        <row r="17">
          <cell r="I17">
            <v>12951.571425542645</v>
          </cell>
        </row>
        <row r="18">
          <cell r="I18">
            <v>6834.7504399952659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</sheetNames>
    <sheetDataSet>
      <sheetData sheetId="0">
        <row r="10">
          <cell r="I10">
            <v>2229.4892578125</v>
          </cell>
        </row>
        <row r="19">
          <cell r="I19">
            <v>613.89764404296875</v>
          </cell>
        </row>
        <row r="20">
          <cell r="I20">
            <v>1057.969970703125</v>
          </cell>
        </row>
        <row r="21">
          <cell r="I21">
            <v>1180.437255859375</v>
          </cell>
        </row>
        <row r="22">
          <cell r="I22">
            <v>1076.494873046875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F4 Manual Productivity"/>
      <sheetName val="FY25 Est Hours"/>
      <sheetName val="FY25 Costs"/>
    </sheetNames>
    <sheetDataSet>
      <sheetData sheetId="0">
        <row r="4">
          <cell r="D4">
            <v>658.18475684439443</v>
          </cell>
        </row>
        <row r="5">
          <cell r="D5">
            <v>787.9458663233512</v>
          </cell>
        </row>
      </sheetData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/>
      <sheetData sheetId="1">
        <row r="13">
          <cell r="J13">
            <v>1.5358044573278811</v>
          </cell>
        </row>
        <row r="75">
          <cell r="B75">
            <v>50188.015295144804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BCS"/>
      <sheetName val="Notes"/>
    </sheetNames>
    <sheetDataSet>
      <sheetData sheetId="0" refreshError="1">
        <row r="5">
          <cell r="O5">
            <v>25338226418</v>
          </cell>
          <cell r="S5">
            <v>17902119278</v>
          </cell>
        </row>
        <row r="8">
          <cell r="S8">
            <v>93162615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</sheetNames>
    <sheetDataSet>
      <sheetData sheetId="0">
        <row r="25">
          <cell r="F25">
            <v>4.5834500459791531E-2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  <sheetName val="Incoming Secondary"/>
      <sheetName val="pivot table"/>
      <sheetName val="fast"/>
    </sheetNames>
    <sheetDataSet>
      <sheetData sheetId="0">
        <row r="5">
          <cell r="C5">
            <v>3.516613492307899E-2</v>
          </cell>
        </row>
        <row r="7">
          <cell r="C7">
            <v>0.96483386507692093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/>
      <sheetData sheetId="1">
        <row r="7">
          <cell r="J7">
            <v>1.754359816131257</v>
          </cell>
        </row>
        <row r="15">
          <cell r="J15">
            <v>1.2988119246888874</v>
          </cell>
        </row>
        <row r="22">
          <cell r="J22">
            <v>1.5480484240671368</v>
          </cell>
        </row>
        <row r="68">
          <cell r="J68">
            <v>1.6888485071959758</v>
          </cell>
        </row>
        <row r="71">
          <cell r="J71">
            <v>3.4396834863913082</v>
          </cell>
        </row>
        <row r="77">
          <cell r="J77">
            <v>1.2615773174013249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M PRESORT LETTERS"/>
      <sheetName val="FCM PRESORT CARDS"/>
      <sheetName val="FCM PRESORT FLATS"/>
      <sheetName val="PERIODICALS FLATS"/>
      <sheetName val="USPS MM LETTERS"/>
      <sheetName val="USPS MM FLATS"/>
      <sheetName val="USPS MM CARRIER ROUTE FLATS"/>
      <sheetName val="USPS MM CR FLATS"/>
      <sheetName val="USPS MM ENTRY PROFILE"/>
      <sheetName val="CONTAINER STATISTICS"/>
      <sheetName val="USPS MM FLATS BY CON RATE"/>
      <sheetName val="PERIODICAL BUNDLE DENSITIES"/>
      <sheetName val="USPS MM BUNDLE DENSITIES"/>
      <sheetName val="NON 5D-CONTAINER AVE BUN SIZE"/>
      <sheetName val="FCM PCS PER TRAY"/>
      <sheetName val="DELIVERY"/>
      <sheetName val="Order 6658"/>
      <sheetName val="BPM_20_Stats"/>
    </sheetNames>
    <sheetDataSet>
      <sheetData sheetId="0">
        <row r="1">
          <cell r="A1" t="str">
            <v>Table MCS - 1</v>
          </cell>
        </row>
      </sheetData>
      <sheetData sheetId="1">
        <row r="2">
          <cell r="A2" t="str">
            <v>FIRST-CLASS MAIL PRESORT CARDS MAIL CHARACTERISTICS DATA</v>
          </cell>
        </row>
      </sheetData>
      <sheetData sheetId="2">
        <row r="1">
          <cell r="A1" t="str">
            <v>USPS-FY25-14</v>
          </cell>
        </row>
      </sheetData>
      <sheetData sheetId="3">
        <row r="7">
          <cell r="D7">
            <v>0</v>
          </cell>
        </row>
      </sheetData>
      <sheetData sheetId="4">
        <row r="1">
          <cell r="C1" t="str">
            <v>USPS-FY25-14</v>
          </cell>
        </row>
        <row r="2">
          <cell r="C2" t="str">
            <v>Table MCS - 5</v>
          </cell>
        </row>
        <row r="3">
          <cell r="C3" t="str">
            <v>USPS MARKETING MAIL PRESORT LETTERS MAIL CHARACTERISTICS DATA</v>
          </cell>
        </row>
        <row r="8">
          <cell r="G8">
            <v>160965393</v>
          </cell>
        </row>
        <row r="14">
          <cell r="G14">
            <v>322485438.79381186</v>
          </cell>
        </row>
        <row r="15">
          <cell r="G15">
            <v>1376612.2061881423</v>
          </cell>
        </row>
        <row r="21">
          <cell r="G21">
            <v>457018.0054424433</v>
          </cell>
          <cell r="H21">
            <v>27.070259780342198</v>
          </cell>
        </row>
        <row r="22">
          <cell r="G22">
            <v>245244.85505278734</v>
          </cell>
          <cell r="H22">
            <v>17.046354699928315</v>
          </cell>
        </row>
        <row r="23">
          <cell r="G23">
            <v>30633.87738288394</v>
          </cell>
          <cell r="H23">
            <v>16.821802874283485</v>
          </cell>
        </row>
        <row r="24">
          <cell r="G24">
            <v>16195.262121885444</v>
          </cell>
          <cell r="H24">
            <v>16.373772352082291</v>
          </cell>
        </row>
        <row r="30">
          <cell r="G30">
            <v>351686.51312390034</v>
          </cell>
          <cell r="H30">
            <v>19.779418581122741</v>
          </cell>
        </row>
        <row r="31">
          <cell r="G31">
            <v>80113.557164218058</v>
          </cell>
          <cell r="H31">
            <v>22.284445039896788</v>
          </cell>
        </row>
        <row r="32">
          <cell r="G32">
            <v>2225.2405328785976</v>
          </cell>
          <cell r="H32">
            <v>19.149259256181772</v>
          </cell>
        </row>
        <row r="33">
          <cell r="G33">
            <v>123351.40374857426</v>
          </cell>
          <cell r="H33">
            <v>34.008890195403474</v>
          </cell>
        </row>
        <row r="34">
          <cell r="G34">
            <v>7115.2854304287866</v>
          </cell>
          <cell r="H34">
            <v>29.91086644067115</v>
          </cell>
        </row>
        <row r="41">
          <cell r="G41">
            <v>1331775.3619584476</v>
          </cell>
          <cell r="H41">
            <v>29.22509678566502</v>
          </cell>
        </row>
        <row r="42">
          <cell r="G42">
            <v>362244.63804155216</v>
          </cell>
          <cell r="H42">
            <v>26.906865653000025</v>
          </cell>
        </row>
        <row r="48">
          <cell r="G48">
            <v>1302844</v>
          </cell>
        </row>
        <row r="52">
          <cell r="G52">
            <v>489137892</v>
          </cell>
        </row>
        <row r="53">
          <cell r="G53">
            <v>972806127.87041736</v>
          </cell>
        </row>
        <row r="54">
          <cell r="G54">
            <v>5541777846.2147341</v>
          </cell>
        </row>
        <row r="55">
          <cell r="G55">
            <v>57876.221147411248</v>
          </cell>
        </row>
        <row r="56">
          <cell r="G56">
            <v>30913446244.139538</v>
          </cell>
        </row>
      </sheetData>
      <sheetData sheetId="5">
        <row r="8">
          <cell r="F8">
            <v>1326261.8809508262</v>
          </cell>
        </row>
      </sheetData>
      <sheetData sheetId="6">
        <row r="1">
          <cell r="B1" t="str">
            <v>USPS-FY25-14</v>
          </cell>
        </row>
      </sheetData>
      <sheetData sheetId="7"/>
      <sheetData sheetId="8"/>
      <sheetData sheetId="9"/>
      <sheetData sheetId="10"/>
      <sheetData sheetId="11">
        <row r="8">
          <cell r="D8">
            <v>1</v>
          </cell>
        </row>
      </sheetData>
      <sheetData sheetId="12">
        <row r="1">
          <cell r="A1" t="str">
            <v>USPS-FY25-14</v>
          </cell>
        </row>
      </sheetData>
      <sheetData sheetId="13">
        <row r="31">
          <cell r="E31">
            <v>25.091147345874898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M PRESORT LETTERS"/>
      <sheetName val="FCM PRESORT CARDS"/>
      <sheetName val="FCM PRESORT FLATS"/>
      <sheetName val="PERIODICALS FLATS"/>
      <sheetName val="USPS MM LETTERS"/>
      <sheetName val="USPS MM FLATS"/>
      <sheetName val="USPS MM CARRIER ROUTE FLATS"/>
      <sheetName val="USPS MM CR FLATS"/>
      <sheetName val="USPS MM ENTRY PROFILE"/>
      <sheetName val="CONTAINER STATISTICS"/>
      <sheetName val="USPS MM FLATS BY CON RATE"/>
      <sheetName val="PERIODICAL BUNDLE DENSITIES"/>
      <sheetName val="USPS MM BUNDLE DENSITIES"/>
      <sheetName val="NON 5D-CONTAINER AVE BUN SIZE"/>
      <sheetName val="DELIV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C1" t="str">
            <v>USPS-FY19-14</v>
          </cell>
        </row>
        <row r="7">
          <cell r="G7" t="str">
            <v>VOLUME</v>
          </cell>
        </row>
        <row r="13">
          <cell r="G13" t="str">
            <v>VOLUME</v>
          </cell>
        </row>
        <row r="20">
          <cell r="G20" t="str">
            <v>VOLUME</v>
          </cell>
        </row>
        <row r="29">
          <cell r="G29" t="str">
            <v>VOLUME</v>
          </cell>
        </row>
        <row r="40">
          <cell r="G40" t="str">
            <v>VOLUME</v>
          </cell>
        </row>
        <row r="47">
          <cell r="G47" t="str">
            <v>VOLUME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M PRESORT LETTERS"/>
      <sheetName val="FCM PRESORT CARDS"/>
      <sheetName val="FCM PRESORT FLATS"/>
      <sheetName val="PERIODICALS FLATS"/>
      <sheetName val="USPS MM LETTERS"/>
      <sheetName val="USPS MM FLATS"/>
      <sheetName val="USPS MM CARRIER ROUTE FLATS"/>
      <sheetName val="USPS MM CR FLATS"/>
      <sheetName val="USPS MM ENTRY PROFILE"/>
      <sheetName val="CONTAINER STATISTICS"/>
      <sheetName val="USPS MM FLATS BY CON RATE"/>
      <sheetName val="PERIODICAL BUNDLE DENSITIES"/>
      <sheetName val="USPS MM BUNDLE DENSITIES"/>
      <sheetName val="NON 5D-CONTAINER AVE BUN SIZE"/>
      <sheetName val="DELIVERY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G8">
            <v>191792332</v>
          </cell>
        </row>
        <row r="51">
          <cell r="G51" t="str">
            <v>VOLUME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FF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FF"/>
          </a:solidFill>
          <a:prstDash val="solid"/>
          <a:round/>
          <a:headEnd type="none" w="med" len="med"/>
          <a:tailEnd type="triangl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C27"/>
  <sheetViews>
    <sheetView tabSelected="1" zoomScale="80" zoomScaleNormal="80" workbookViewId="0">
      <selection activeCell="B13" sqref="B13"/>
    </sheetView>
  </sheetViews>
  <sheetFormatPr defaultRowHeight="12.95"/>
  <cols>
    <col min="1" max="1" width="52.7109375" customWidth="1"/>
    <col min="2" max="2" width="15.7109375" style="97" customWidth="1"/>
    <col min="3" max="3" width="9.140625" style="39" customWidth="1"/>
    <col min="4" max="4" width="15.42578125" bestFit="1" customWidth="1"/>
    <col min="5" max="5" width="9.5703125" customWidth="1"/>
  </cols>
  <sheetData>
    <row r="1" spans="1:3" ht="15.6">
      <c r="A1" s="66" t="s">
        <v>0</v>
      </c>
    </row>
    <row r="2" spans="1:3" ht="15.6">
      <c r="A2" s="66" t="s">
        <v>1</v>
      </c>
      <c r="C2" s="414"/>
    </row>
    <row r="3" spans="1:3" ht="15.6">
      <c r="A3" s="66"/>
      <c r="C3" s="414"/>
    </row>
    <row r="4" spans="1:3">
      <c r="A4" s="414"/>
      <c r="B4" s="93" t="s">
        <v>2</v>
      </c>
      <c r="C4" s="414"/>
    </row>
    <row r="5" spans="1:3">
      <c r="A5" s="230"/>
      <c r="B5" s="231" t="s">
        <v>3</v>
      </c>
      <c r="C5" s="414"/>
    </row>
    <row r="6" spans="1:3">
      <c r="A6" s="232"/>
      <c r="B6" s="233" t="s">
        <v>4</v>
      </c>
      <c r="C6" s="414"/>
    </row>
    <row r="7" spans="1:3">
      <c r="A7" s="232" t="s">
        <v>5</v>
      </c>
      <c r="B7" s="233" t="s">
        <v>6</v>
      </c>
      <c r="C7" s="414"/>
    </row>
    <row r="8" spans="1:3">
      <c r="A8" s="234"/>
      <c r="B8" s="235" t="s">
        <v>7</v>
      </c>
      <c r="C8" s="414"/>
    </row>
    <row r="9" spans="1:3" s="29" customFormat="1" ht="12.6">
      <c r="A9" s="308" t="s">
        <v>8</v>
      </c>
      <c r="B9" s="423">
        <f>'PRESORT LETTERS SUM'!$G$35</f>
        <v>33.911953209306589</v>
      </c>
      <c r="C9" s="32"/>
    </row>
    <row r="10" spans="1:3" s="29" customFormat="1" ht="12.6">
      <c r="A10" s="308" t="s">
        <v>9</v>
      </c>
      <c r="B10" s="423">
        <f>'PRESORT LETTERS SUM'!$G$36</f>
        <v>24.478645112187788</v>
      </c>
      <c r="C10" s="32"/>
    </row>
    <row r="11" spans="1:3" s="29" customFormat="1" ht="12.6">
      <c r="A11" s="308" t="s">
        <v>10</v>
      </c>
      <c r="B11" s="423">
        <f>'PRESORT LETTERS SUM'!$G$37</f>
        <v>21.675496149636551</v>
      </c>
      <c r="C11" s="32"/>
    </row>
    <row r="12" spans="1:3" s="29" customFormat="1" ht="12.6">
      <c r="A12" s="308" t="s">
        <v>11</v>
      </c>
      <c r="B12" s="423">
        <f>'PRESORT LETTERS SUM'!$G$38</f>
        <v>12.887536795848964</v>
      </c>
      <c r="C12" s="32"/>
    </row>
    <row r="13" spans="1:3" ht="12.6">
      <c r="A13" s="236" t="s">
        <v>12</v>
      </c>
      <c r="B13" s="423">
        <f>'PRESORT LETTERS SUM'!$G$39</f>
        <v>11.184447008822469</v>
      </c>
      <c r="C13" s="414"/>
    </row>
    <row r="14" spans="1:3" ht="12.6">
      <c r="A14" s="236" t="s">
        <v>13</v>
      </c>
      <c r="B14" s="423">
        <f>'PRESORT LETTERS SUM'!$G$40</f>
        <v>8.3010104307692458</v>
      </c>
      <c r="C14" s="414"/>
    </row>
    <row r="15" spans="1:3" ht="12.6">
      <c r="A15" s="236" t="s">
        <v>14</v>
      </c>
      <c r="B15" s="423">
        <f>'PRESORT LETTERS SUM'!$G$41</f>
        <v>10.466288546528453</v>
      </c>
      <c r="C15" s="414"/>
    </row>
    <row r="16" spans="1:3" ht="12.6">
      <c r="A16" s="362" t="str">
        <f>'PRESORT LETTERS SUM'!A21</f>
        <v>Nonauto MAADC BC-Benchmark</v>
      </c>
      <c r="B16" s="423">
        <f>'PRESORT LETTERS SUM'!G42</f>
        <v>10.827815313449403</v>
      </c>
      <c r="C16" s="414"/>
    </row>
    <row r="17" spans="1:3" ht="12.6">
      <c r="A17" s="236" t="s">
        <v>15</v>
      </c>
      <c r="B17" s="423">
        <f>'PRESORT LETTERS SUM'!$G$43</f>
        <v>8.3652523168968909</v>
      </c>
      <c r="C17" s="414"/>
    </row>
    <row r="18" spans="1:3" ht="12.6">
      <c r="A18" s="236" t="s">
        <v>16</v>
      </c>
      <c r="B18" s="423">
        <f>'PRESORT LETTERS SUM'!$G$44</f>
        <v>7.2367201879229279</v>
      </c>
      <c r="C18" s="414"/>
    </row>
    <row r="19" spans="1:3" ht="12.6">
      <c r="A19" s="236" t="s">
        <v>17</v>
      </c>
      <c r="B19" s="423">
        <f>'PRESORT LETTERS SUM'!$G$45</f>
        <v>5.0844657229044712</v>
      </c>
      <c r="C19" s="414"/>
    </row>
    <row r="20" spans="1:3" ht="12.6">
      <c r="A20" s="237"/>
      <c r="B20" s="238"/>
      <c r="C20" s="414"/>
    </row>
    <row r="22" spans="1:3">
      <c r="A22" s="67" t="s">
        <v>18</v>
      </c>
    </row>
    <row r="23" spans="1:3">
      <c r="A23" s="39" t="s">
        <v>19</v>
      </c>
      <c r="B23" s="93"/>
    </row>
    <row r="24" spans="1:3">
      <c r="A24" s="39"/>
      <c r="B24" s="93"/>
    </row>
    <row r="25" spans="1:3">
      <c r="A25" s="32"/>
      <c r="B25" s="93"/>
    </row>
    <row r="26" spans="1:3">
      <c r="A26" s="39"/>
      <c r="B26" s="93"/>
    </row>
    <row r="27" spans="1:3">
      <c r="A27" s="39"/>
      <c r="B27" s="93"/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&amp;RPage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GN235"/>
  <sheetViews>
    <sheetView zoomScale="115" zoomScaleNormal="115" workbookViewId="0"/>
  </sheetViews>
  <sheetFormatPr defaultColWidth="8.85546875" defaultRowHeight="11.45"/>
  <cols>
    <col min="1" max="1" width="5.7109375" style="190" customWidth="1"/>
    <col min="2" max="2" width="39.85546875" style="190" customWidth="1"/>
    <col min="3" max="3" width="3.5703125" style="190" customWidth="1"/>
    <col min="4" max="4" width="13.7109375" style="191" customWidth="1"/>
    <col min="5" max="5" width="19.5703125" style="191" customWidth="1"/>
    <col min="6" max="6" width="15.7109375" style="192" customWidth="1"/>
    <col min="7" max="7" width="13.7109375" style="193" customWidth="1"/>
    <col min="8" max="9" width="8.85546875" style="374"/>
    <col min="10" max="10" width="16.28515625" style="374" bestFit="1" customWidth="1"/>
    <col min="11" max="11" width="8.85546875" style="374"/>
    <col min="12" max="16384" width="8.85546875" style="190"/>
  </cols>
  <sheetData>
    <row r="1" spans="1:13" s="176" customFormat="1" ht="15.6">
      <c r="A1" s="79" t="s">
        <v>20</v>
      </c>
      <c r="B1" s="172"/>
      <c r="C1" s="172"/>
      <c r="D1" s="173"/>
      <c r="E1" s="173"/>
      <c r="F1" s="174"/>
      <c r="G1" s="175"/>
      <c r="H1" s="370"/>
      <c r="I1" s="370"/>
      <c r="J1" s="370"/>
      <c r="K1" s="370"/>
    </row>
    <row r="2" spans="1:13" s="176" customFormat="1" ht="14.1">
      <c r="A2" s="172"/>
      <c r="B2" s="172" t="str">
        <f>SUMMARY!A2</f>
        <v xml:space="preserve">USPS-FY25-10 </v>
      </c>
      <c r="C2" s="172"/>
      <c r="D2" s="173"/>
      <c r="E2" s="173"/>
      <c r="F2" s="174"/>
      <c r="G2" s="175"/>
      <c r="H2" s="370"/>
      <c r="I2" s="370"/>
      <c r="J2" s="370"/>
      <c r="K2" s="370"/>
    </row>
    <row r="3" spans="1:13" s="29" customFormat="1" ht="12.6">
      <c r="A3" s="32"/>
      <c r="B3" s="32"/>
      <c r="C3" s="32"/>
      <c r="D3" s="258"/>
      <c r="E3" s="258"/>
      <c r="F3" s="32"/>
      <c r="G3" s="114"/>
      <c r="H3" s="371"/>
      <c r="I3" s="371"/>
      <c r="J3" s="371"/>
      <c r="K3" s="371"/>
      <c r="L3" s="32"/>
      <c r="M3" s="32"/>
    </row>
    <row r="4" spans="1:13" s="29" customFormat="1" ht="12.6">
      <c r="A4" s="32"/>
      <c r="B4" s="32"/>
      <c r="C4" s="32"/>
      <c r="D4" s="258"/>
      <c r="E4" s="258"/>
      <c r="F4" s="341"/>
      <c r="G4" s="114"/>
      <c r="H4" s="371"/>
      <c r="I4" s="371"/>
      <c r="J4" s="371"/>
      <c r="K4" s="371"/>
      <c r="L4" s="32"/>
      <c r="M4" s="32"/>
    </row>
    <row r="5" spans="1:13" s="29" customFormat="1" ht="14.1" customHeight="1">
      <c r="A5" s="66" t="s">
        <v>21</v>
      </c>
      <c r="B5" s="39"/>
      <c r="C5" s="39"/>
      <c r="D5" s="258"/>
      <c r="E5" s="258"/>
      <c r="F5" s="341"/>
      <c r="G5" s="258"/>
      <c r="H5" s="371"/>
      <c r="I5" s="371"/>
      <c r="J5" s="371"/>
      <c r="K5" s="371"/>
      <c r="L5" s="32"/>
      <c r="M5" s="32"/>
    </row>
    <row r="6" spans="1:13" s="29" customFormat="1" ht="14.1" customHeight="1">
      <c r="A6" s="424" t="s">
        <v>22</v>
      </c>
      <c r="B6" s="425"/>
      <c r="C6" s="228" t="s">
        <v>23</v>
      </c>
      <c r="D6" s="426">
        <f>'CRA - PRESORT LETTERS'!E77</f>
        <v>4.5029067972145196</v>
      </c>
      <c r="E6" s="258"/>
      <c r="F6" s="403"/>
      <c r="G6" s="258"/>
      <c r="H6" s="371"/>
      <c r="I6" s="371"/>
      <c r="J6" s="371"/>
      <c r="K6" s="371"/>
      <c r="L6" s="32"/>
      <c r="M6" s="32"/>
    </row>
    <row r="7" spans="1:13" s="29" customFormat="1" ht="14.1" customHeight="1">
      <c r="A7" s="427" t="s">
        <v>24</v>
      </c>
      <c r="B7" s="428"/>
      <c r="C7" s="106" t="s">
        <v>25</v>
      </c>
      <c r="D7" s="429">
        <f>'CRA - PRESORT LETTERS'!G77</f>
        <v>1.2543771833446071</v>
      </c>
      <c r="E7" s="258"/>
      <c r="F7" s="32"/>
      <c r="G7" s="258"/>
      <c r="H7" s="371"/>
      <c r="I7" s="371"/>
      <c r="J7" s="371"/>
      <c r="K7" s="371"/>
      <c r="L7" s="32"/>
      <c r="M7" s="32"/>
    </row>
    <row r="8" spans="1:13" s="29" customFormat="1" ht="14.1" customHeight="1">
      <c r="A8" s="177" t="s">
        <v>26</v>
      </c>
      <c r="B8" s="178"/>
      <c r="C8" s="196" t="s">
        <v>27</v>
      </c>
      <c r="D8" s="430">
        <f>SUM(D6:D7)</f>
        <v>5.7572839805591265</v>
      </c>
      <c r="E8" s="258"/>
      <c r="F8" s="32"/>
      <c r="G8" s="93"/>
      <c r="H8" s="371"/>
      <c r="I8" s="371"/>
      <c r="J8" s="384"/>
      <c r="K8" s="385"/>
      <c r="L8" s="32"/>
      <c r="M8" s="32"/>
    </row>
    <row r="9" spans="1:13" s="29" customFormat="1" ht="14.1" customHeight="1">
      <c r="A9" s="39"/>
      <c r="B9" s="39"/>
      <c r="C9" s="39"/>
      <c r="D9" s="258"/>
      <c r="E9" s="258"/>
      <c r="F9" s="32"/>
      <c r="G9" s="431"/>
      <c r="H9" s="371"/>
      <c r="I9" s="371"/>
      <c r="J9" s="375"/>
      <c r="K9" s="380"/>
      <c r="L9" s="32"/>
      <c r="M9" s="32"/>
    </row>
    <row r="10" spans="1:13" s="29" customFormat="1" ht="14.1" customHeight="1">
      <c r="A10" s="39"/>
      <c r="B10" s="39"/>
      <c r="C10" s="39"/>
      <c r="D10" s="258"/>
      <c r="E10" s="258"/>
      <c r="F10" s="32"/>
      <c r="G10" s="431"/>
      <c r="H10" s="371"/>
      <c r="I10" s="371"/>
      <c r="J10" s="375"/>
      <c r="K10" s="380"/>
      <c r="L10" s="32"/>
      <c r="M10" s="32"/>
    </row>
    <row r="11" spans="1:13" s="29" customFormat="1" ht="14.1" customHeight="1" thickBot="1">
      <c r="A11" s="66" t="s">
        <v>28</v>
      </c>
      <c r="B11" s="39"/>
      <c r="C11" s="39"/>
      <c r="D11" s="258"/>
      <c r="E11" s="258"/>
      <c r="F11" s="32"/>
      <c r="G11" s="114"/>
      <c r="H11" s="371"/>
      <c r="I11" s="371"/>
      <c r="J11" s="375"/>
      <c r="K11" s="380"/>
      <c r="L11" s="32"/>
      <c r="M11" s="32"/>
    </row>
    <row r="12" spans="1:13" s="29" customFormat="1" ht="14.1" customHeight="1">
      <c r="A12" s="432"/>
      <c r="B12" s="167"/>
      <c r="C12" s="167"/>
      <c r="D12" s="179" t="s">
        <v>29</v>
      </c>
      <c r="E12" s="179" t="s">
        <v>30</v>
      </c>
      <c r="F12" s="170" t="s">
        <v>31</v>
      </c>
      <c r="G12" s="32"/>
      <c r="H12" s="371"/>
      <c r="I12" s="371"/>
      <c r="J12" s="375"/>
      <c r="K12" s="380"/>
      <c r="L12" s="32"/>
      <c r="M12" s="32"/>
    </row>
    <row r="13" spans="1:13" s="29" customFormat="1" ht="14.1" customHeight="1">
      <c r="A13" s="180" t="s">
        <v>32</v>
      </c>
      <c r="B13" s="54"/>
      <c r="C13" s="54"/>
      <c r="D13" s="116" t="s">
        <v>2</v>
      </c>
      <c r="E13" s="116" t="str">
        <f>"[2]"</f>
        <v>[2]</v>
      </c>
      <c r="F13" s="171" t="s">
        <v>33</v>
      </c>
      <c r="G13" s="32"/>
      <c r="H13" s="371"/>
      <c r="I13" s="371"/>
      <c r="J13" s="375"/>
      <c r="K13" s="380"/>
      <c r="L13" s="32"/>
      <c r="M13" s="32"/>
    </row>
    <row r="14" spans="1:13" s="29" customFormat="1" ht="14.1" customHeight="1">
      <c r="A14" s="433" t="s">
        <v>34</v>
      </c>
      <c r="B14" s="39"/>
      <c r="C14" s="39"/>
      <c r="D14" s="258">
        <f>'NMACH MADC COST'!L44</f>
        <v>22.936281702346779</v>
      </c>
      <c r="E14" s="341">
        <f>'MCS LETTERS'!E23</f>
        <v>749092</v>
      </c>
      <c r="F14" s="363">
        <f t="shared" ref="F14:F20" si="0">E14/$E$25</f>
        <v>1.9755981101248698E-5</v>
      </c>
      <c r="G14" s="32"/>
      <c r="H14" s="371"/>
      <c r="I14" s="371"/>
      <c r="J14" s="375"/>
      <c r="K14" s="380"/>
      <c r="L14" s="32"/>
      <c r="M14" s="403"/>
    </row>
    <row r="15" spans="1:13" s="29" customFormat="1" ht="14.1" customHeight="1">
      <c r="A15" s="362" t="s">
        <v>35</v>
      </c>
      <c r="B15" s="39"/>
      <c r="C15" s="39"/>
      <c r="D15" s="258">
        <f>'NMACH ADC COST'!L44</f>
        <v>16.311019260071799</v>
      </c>
      <c r="E15" s="341">
        <f>'MCS LETTERS'!E33</f>
        <v>564492</v>
      </c>
      <c r="F15" s="363">
        <f t="shared" si="0"/>
        <v>1.488748148933119E-5</v>
      </c>
      <c r="G15" s="32"/>
      <c r="H15" s="371"/>
      <c r="I15" s="371"/>
      <c r="J15" s="375"/>
      <c r="K15" s="380"/>
      <c r="L15" s="32"/>
      <c r="M15" s="403"/>
    </row>
    <row r="16" spans="1:13" s="29" customFormat="1" ht="14.1" customHeight="1">
      <c r="A16" s="362" t="s">
        <v>36</v>
      </c>
      <c r="B16" s="39"/>
      <c r="C16" s="39"/>
      <c r="D16" s="258">
        <f>'NMACH 3-DIGIT COST'!L44</f>
        <v>14.342293405844154</v>
      </c>
      <c r="E16" s="341">
        <f>'MCS LETTERS'!E40</f>
        <v>1694019.9999999998</v>
      </c>
      <c r="F16" s="363">
        <f t="shared" si="0"/>
        <v>4.4676791509103442E-5</v>
      </c>
      <c r="G16" s="32"/>
      <c r="H16" s="371"/>
      <c r="I16" s="371"/>
      <c r="J16" s="375"/>
      <c r="K16" s="380"/>
      <c r="L16" s="32"/>
      <c r="M16" s="403"/>
    </row>
    <row r="17" spans="1:196" s="29" customFormat="1" ht="14.1" customHeight="1">
      <c r="A17" s="362" t="s">
        <v>37</v>
      </c>
      <c r="B17" s="39"/>
      <c r="C17" s="39"/>
      <c r="D17" s="258">
        <f>'NMACH 5-DIGIT COST'!L44</f>
        <v>8.1702765002719939</v>
      </c>
      <c r="E17" s="341">
        <f>'MCS LETTERS'!E46</f>
        <v>1302844</v>
      </c>
      <c r="F17" s="363">
        <f t="shared" si="0"/>
        <v>3.4360214021609174E-5</v>
      </c>
      <c r="G17" s="32"/>
      <c r="H17" s="371"/>
      <c r="I17" s="371"/>
      <c r="J17" s="375"/>
      <c r="K17" s="380"/>
      <c r="L17" s="32"/>
      <c r="M17" s="403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</row>
    <row r="18" spans="1:196" s="29" customFormat="1" ht="14.1" customHeight="1">
      <c r="A18" s="362" t="s">
        <v>38</v>
      </c>
      <c r="B18" s="39"/>
      <c r="C18" s="39"/>
      <c r="D18" s="258">
        <f>'MACH MAADC COST'!L44</f>
        <v>6.9741513779244038</v>
      </c>
      <c r="E18" s="341">
        <f>'MCS LETTERS'!E7</f>
        <v>160965393</v>
      </c>
      <c r="F18" s="363">
        <f t="shared" si="0"/>
        <v>4.2451785122028666E-3</v>
      </c>
      <c r="G18" s="32"/>
      <c r="H18" s="371"/>
      <c r="I18" s="371"/>
      <c r="J18" s="375"/>
      <c r="K18" s="380"/>
      <c r="L18" s="32"/>
      <c r="M18" s="403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</row>
    <row r="19" spans="1:196" s="29" customFormat="1" ht="14.1" customHeight="1">
      <c r="A19" s="362" t="s">
        <v>39</v>
      </c>
      <c r="B19" s="39"/>
      <c r="C19" s="39"/>
      <c r="D19" s="258">
        <f>'MACH AADC COST'!L44</f>
        <v>4.9490374021503429</v>
      </c>
      <c r="E19" s="341">
        <f>'MCS LETTERS'!E14</f>
        <v>323862051</v>
      </c>
      <c r="F19" s="363">
        <f t="shared" si="0"/>
        <v>8.5412907346062196E-3</v>
      </c>
      <c r="G19" s="32"/>
      <c r="H19" s="371"/>
      <c r="I19" s="371"/>
      <c r="J19" s="375"/>
      <c r="K19" s="380"/>
      <c r="L19" s="32"/>
      <c r="M19" s="403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</row>
    <row r="20" spans="1:196" s="29" customFormat="1" ht="13.5" customHeight="1">
      <c r="A20" s="362" t="s">
        <v>40</v>
      </c>
      <c r="B20" s="32"/>
      <c r="C20" s="39"/>
      <c r="D20" s="258">
        <f>+'AUTO MAADC COST'!L44</f>
        <v>6.4697696447239679</v>
      </c>
      <c r="E20" s="341">
        <f>'MCS LETTERS'!E50</f>
        <v>972806127.87041736</v>
      </c>
      <c r="F20" s="363">
        <f t="shared" si="0"/>
        <v>2.5656046890618095E-2</v>
      </c>
      <c r="G20" s="32"/>
      <c r="H20" s="371"/>
      <c r="I20" s="371"/>
      <c r="J20" s="375"/>
      <c r="K20" s="380"/>
      <c r="L20" s="32"/>
      <c r="M20" s="403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</row>
    <row r="21" spans="1:196" s="29" customFormat="1" ht="13.5" customHeight="1">
      <c r="A21" s="362" t="s">
        <v>41</v>
      </c>
      <c r="B21" s="32"/>
      <c r="C21" s="39"/>
      <c r="D21" s="258">
        <f>'MACH MAADC BC-BENCH COST '!L44</f>
        <v>6.723679480605405</v>
      </c>
      <c r="E21" s="341" t="s">
        <v>42</v>
      </c>
      <c r="F21" s="363" t="s">
        <v>42</v>
      </c>
      <c r="G21" s="32"/>
      <c r="H21" s="371"/>
      <c r="I21" s="371"/>
      <c r="J21" s="375"/>
      <c r="K21" s="380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</row>
    <row r="22" spans="1:196" s="29" customFormat="1" ht="13.5" customHeight="1">
      <c r="A22" s="362" t="s">
        <v>43</v>
      </c>
      <c r="B22" s="32"/>
      <c r="C22" s="39"/>
      <c r="D22" s="258">
        <f>+'AUTO AADC COST'!L44</f>
        <v>4.9941561824340468</v>
      </c>
      <c r="E22" s="341">
        <f>'MCS LETTERS'!E51</f>
        <v>5541777846.2147341</v>
      </c>
      <c r="F22" s="363">
        <f>E22/$E$25</f>
        <v>0.14615462239235902</v>
      </c>
      <c r="G22" s="32"/>
      <c r="H22" s="371"/>
      <c r="I22" s="371"/>
      <c r="J22" s="375"/>
      <c r="K22" s="380"/>
      <c r="L22" s="32"/>
      <c r="M22" s="403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</row>
    <row r="23" spans="1:196" s="29" customFormat="1" ht="13.5" customHeight="1">
      <c r="A23" s="362" t="s">
        <v>44</v>
      </c>
      <c r="B23" s="32"/>
      <c r="C23" s="39"/>
      <c r="D23" s="258">
        <f>+'AUTO 3-DIGIT COST'!L44</f>
        <v>4.2015581402609676</v>
      </c>
      <c r="E23" s="341">
        <f>'MCS LETTERS'!E52</f>
        <v>57876.221147411248</v>
      </c>
      <c r="F23" s="363">
        <f>E23/$E$25</f>
        <v>1.5263833163349053E-6</v>
      </c>
      <c r="G23" s="32"/>
      <c r="H23" s="371"/>
      <c r="I23" s="371"/>
      <c r="J23" s="375"/>
      <c r="K23" s="380"/>
      <c r="L23" s="32"/>
      <c r="M23" s="403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</row>
    <row r="24" spans="1:196" s="29" customFormat="1" ht="13.5" customHeight="1">
      <c r="A24" s="362" t="s">
        <v>45</v>
      </c>
      <c r="B24" s="32"/>
      <c r="C24" s="39"/>
      <c r="D24" s="258">
        <f>+'AUTO 5-DIGIT COST'!L44</f>
        <v>2.6899727529819724</v>
      </c>
      <c r="E24" s="341">
        <f>'MCS LETTERS'!E53</f>
        <v>30913446244.139538</v>
      </c>
      <c r="F24" s="363">
        <f>E24/$E$25</f>
        <v>0.81528765461877617</v>
      </c>
      <c r="G24" s="32"/>
      <c r="H24" s="371"/>
      <c r="I24" s="371"/>
      <c r="J24" s="375"/>
      <c r="K24" s="380"/>
      <c r="L24" s="32"/>
      <c r="M24" s="403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</row>
    <row r="25" spans="1:196" s="39" customFormat="1" ht="14.1" customHeight="1">
      <c r="A25" s="169" t="s">
        <v>46</v>
      </c>
      <c r="C25" s="39" t="s">
        <v>47</v>
      </c>
      <c r="D25" s="93">
        <f>SUMPRODUCT(D14:D24,F14:F24)</f>
        <v>3.1625108580691741</v>
      </c>
      <c r="E25" s="198">
        <f>SUM(E14:E24)</f>
        <v>37917225986.445839</v>
      </c>
      <c r="F25" s="181">
        <f>SUM(F14:F24)</f>
        <v>1</v>
      </c>
      <c r="H25" s="372"/>
      <c r="I25" s="372"/>
      <c r="J25" s="375"/>
      <c r="K25" s="380"/>
      <c r="L25" s="32"/>
      <c r="M25" s="403"/>
    </row>
    <row r="26" spans="1:196" s="39" customFormat="1" ht="14.1" customHeight="1">
      <c r="A26" s="169"/>
      <c r="D26" s="93"/>
      <c r="E26" s="90"/>
      <c r="F26" s="181"/>
      <c r="H26" s="372"/>
      <c r="I26" s="372"/>
      <c r="J26" s="375"/>
      <c r="K26" s="380"/>
    </row>
    <row r="27" spans="1:196" s="39" customFormat="1" ht="14.1" customHeight="1" thickBot="1">
      <c r="A27" s="182" t="s">
        <v>48</v>
      </c>
      <c r="B27" s="183"/>
      <c r="C27" s="229" t="s">
        <v>49</v>
      </c>
      <c r="D27" s="184">
        <f>+D6/D25</f>
        <v>1.4238391579669405</v>
      </c>
      <c r="E27" s="184"/>
      <c r="F27" s="185"/>
      <c r="H27" s="372"/>
      <c r="I27" s="371"/>
      <c r="J27" s="375"/>
      <c r="K27" s="380"/>
    </row>
    <row r="28" spans="1:196" s="39" customFormat="1" ht="14.1" customHeight="1">
      <c r="A28" s="186"/>
      <c r="B28" s="186"/>
      <c r="C28" s="186"/>
      <c r="D28" s="93"/>
      <c r="E28" s="93"/>
      <c r="G28" s="96"/>
      <c r="H28" s="372"/>
      <c r="I28" s="371"/>
      <c r="J28" s="372"/>
      <c r="K28" s="380"/>
      <c r="GN28" s="39" t="s">
        <v>50</v>
      </c>
    </row>
    <row r="29" spans="1:196" s="8" customFormat="1" ht="14.1" customHeight="1">
      <c r="A29" s="414"/>
      <c r="B29" s="414"/>
      <c r="C29" s="414"/>
      <c r="D29" s="414"/>
      <c r="E29" s="414"/>
      <c r="F29" s="414"/>
      <c r="G29" s="414"/>
      <c r="H29" s="376"/>
      <c r="I29" s="371"/>
      <c r="J29" s="376"/>
      <c r="K29" s="380"/>
    </row>
    <row r="30" spans="1:196" s="29" customFormat="1" ht="14.1" customHeight="1" thickBot="1">
      <c r="A30" s="66" t="s">
        <v>51</v>
      </c>
      <c r="B30" s="39"/>
      <c r="C30" s="39"/>
      <c r="D30" s="32"/>
      <c r="E30" s="32"/>
      <c r="F30" s="32"/>
      <c r="G30" s="32"/>
      <c r="H30" s="371"/>
      <c r="I30" s="371"/>
      <c r="J30" s="371"/>
      <c r="K30" s="380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</row>
    <row r="31" spans="1:196" s="29" customFormat="1" ht="14.1" customHeight="1">
      <c r="A31" s="432"/>
      <c r="B31" s="434"/>
      <c r="C31" s="434"/>
      <c r="D31" s="179"/>
      <c r="E31" s="168" t="s">
        <v>52</v>
      </c>
      <c r="F31" s="168" t="s">
        <v>53</v>
      </c>
      <c r="G31" s="187" t="s">
        <v>26</v>
      </c>
      <c r="H31" s="371"/>
      <c r="I31" s="371"/>
      <c r="J31" s="377"/>
      <c r="K31" s="380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</row>
    <row r="32" spans="1:196" s="29" customFormat="1" ht="14.1" customHeight="1">
      <c r="A32" s="169"/>
      <c r="B32" s="32"/>
      <c r="C32" s="32"/>
      <c r="D32" s="93" t="s">
        <v>54</v>
      </c>
      <c r="E32" s="92" t="s">
        <v>55</v>
      </c>
      <c r="F32" s="92" t="s">
        <v>56</v>
      </c>
      <c r="G32" s="188" t="s">
        <v>57</v>
      </c>
      <c r="H32" s="371"/>
      <c r="I32" s="371"/>
      <c r="J32" s="378"/>
      <c r="K32" s="380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</row>
    <row r="33" spans="1:11" s="29" customFormat="1" ht="14.1" customHeight="1">
      <c r="A33" s="362"/>
      <c r="B33" s="39"/>
      <c r="C33" s="39"/>
      <c r="D33" s="93" t="s">
        <v>58</v>
      </c>
      <c r="E33" s="92" t="s">
        <v>58</v>
      </c>
      <c r="F33" s="92" t="s">
        <v>58</v>
      </c>
      <c r="G33" s="188" t="s">
        <v>58</v>
      </c>
      <c r="H33" s="371"/>
      <c r="I33" s="371"/>
      <c r="J33" s="378"/>
      <c r="K33" s="380"/>
    </row>
    <row r="34" spans="1:11" s="29" customFormat="1" ht="14.1" customHeight="1">
      <c r="A34" s="180" t="s">
        <v>59</v>
      </c>
      <c r="B34" s="54"/>
      <c r="C34" s="54"/>
      <c r="D34" s="116" t="s">
        <v>60</v>
      </c>
      <c r="E34" s="55" t="s">
        <v>61</v>
      </c>
      <c r="F34" s="55" t="s">
        <v>62</v>
      </c>
      <c r="G34" s="171" t="s">
        <v>63</v>
      </c>
      <c r="H34" s="371"/>
      <c r="I34" s="371"/>
      <c r="J34" s="379"/>
      <c r="K34" s="380"/>
    </row>
    <row r="35" spans="1:11" s="29" customFormat="1" ht="14.1" customHeight="1">
      <c r="A35" s="433" t="s">
        <v>34</v>
      </c>
      <c r="B35" s="39"/>
      <c r="C35" s="32"/>
      <c r="D35" s="258">
        <f t="shared" ref="D35:D40" si="1">D14</f>
        <v>22.936281702346779</v>
      </c>
      <c r="E35" s="258">
        <f>+D35*$D$27</f>
        <v>32.65757602596198</v>
      </c>
      <c r="F35" s="258">
        <f t="shared" ref="F35:F45" si="2">+$D$7</f>
        <v>1.2543771833446071</v>
      </c>
      <c r="G35" s="397">
        <f t="shared" ref="G35:G45" si="3">+F35+E35</f>
        <v>33.911953209306589</v>
      </c>
      <c r="H35" s="346"/>
      <c r="I35" s="380"/>
      <c r="J35" s="383"/>
      <c r="K35" s="380"/>
    </row>
    <row r="36" spans="1:11" s="29" customFormat="1" ht="14.1" customHeight="1">
      <c r="A36" s="362" t="s">
        <v>35</v>
      </c>
      <c r="B36" s="39"/>
      <c r="C36" s="32"/>
      <c r="D36" s="258">
        <f t="shared" si="1"/>
        <v>16.311019260071799</v>
      </c>
      <c r="E36" s="258">
        <f t="shared" ref="E36:E45" si="4">+D36*$D$27</f>
        <v>23.224267928843179</v>
      </c>
      <c r="F36" s="258">
        <f t="shared" si="2"/>
        <v>1.2543771833446071</v>
      </c>
      <c r="G36" s="397">
        <f t="shared" si="3"/>
        <v>24.478645112187788</v>
      </c>
      <c r="H36" s="346"/>
      <c r="I36" s="380"/>
      <c r="J36" s="383"/>
      <c r="K36" s="380"/>
    </row>
    <row r="37" spans="1:11" s="29" customFormat="1" ht="14.1" customHeight="1">
      <c r="A37" s="362" t="s">
        <v>36</v>
      </c>
      <c r="B37" s="39"/>
      <c r="C37" s="32"/>
      <c r="D37" s="258">
        <f t="shared" si="1"/>
        <v>14.342293405844154</v>
      </c>
      <c r="E37" s="258">
        <f t="shared" si="4"/>
        <v>20.421118966291942</v>
      </c>
      <c r="F37" s="258">
        <f t="shared" si="2"/>
        <v>1.2543771833446071</v>
      </c>
      <c r="G37" s="397">
        <f t="shared" si="3"/>
        <v>21.675496149636551</v>
      </c>
      <c r="H37" s="346"/>
      <c r="I37" s="380"/>
      <c r="J37" s="383"/>
      <c r="K37" s="380"/>
    </row>
    <row r="38" spans="1:11" s="29" customFormat="1" ht="14.1" customHeight="1">
      <c r="A38" s="362" t="s">
        <v>37</v>
      </c>
      <c r="B38" s="39"/>
      <c r="C38" s="32"/>
      <c r="D38" s="258">
        <f t="shared" si="1"/>
        <v>8.1702765002719939</v>
      </c>
      <c r="E38" s="258">
        <f t="shared" si="4"/>
        <v>11.633159612504357</v>
      </c>
      <c r="F38" s="258">
        <f t="shared" si="2"/>
        <v>1.2543771833446071</v>
      </c>
      <c r="G38" s="397">
        <f t="shared" si="3"/>
        <v>12.887536795848964</v>
      </c>
      <c r="H38" s="346"/>
      <c r="I38" s="380"/>
      <c r="J38" s="383"/>
      <c r="K38" s="380"/>
    </row>
    <row r="39" spans="1:11" s="29" customFormat="1" ht="14.1" customHeight="1">
      <c r="A39" s="362" t="s">
        <v>38</v>
      </c>
      <c r="B39" s="39"/>
      <c r="C39" s="32"/>
      <c r="D39" s="258">
        <f t="shared" si="1"/>
        <v>6.9741513779244038</v>
      </c>
      <c r="E39" s="258">
        <f t="shared" si="4"/>
        <v>9.9300698254778617</v>
      </c>
      <c r="F39" s="258">
        <f t="shared" si="2"/>
        <v>1.2543771833446071</v>
      </c>
      <c r="G39" s="397">
        <f t="shared" si="3"/>
        <v>11.184447008822469</v>
      </c>
      <c r="H39" s="346"/>
      <c r="I39" s="380"/>
      <c r="J39" s="383"/>
      <c r="K39" s="380"/>
    </row>
    <row r="40" spans="1:11" s="29" customFormat="1" ht="13.5" customHeight="1">
      <c r="A40" s="362" t="s">
        <v>39</v>
      </c>
      <c r="B40" s="39"/>
      <c r="C40" s="32"/>
      <c r="D40" s="258">
        <f t="shared" si="1"/>
        <v>4.9490374021503429</v>
      </c>
      <c r="E40" s="258">
        <f t="shared" si="4"/>
        <v>7.0466332474246389</v>
      </c>
      <c r="F40" s="258">
        <f t="shared" si="2"/>
        <v>1.2543771833446071</v>
      </c>
      <c r="G40" s="397">
        <f t="shared" si="3"/>
        <v>8.3010104307692458</v>
      </c>
      <c r="H40" s="346"/>
      <c r="I40" s="380"/>
      <c r="J40" s="383"/>
      <c r="K40" s="380"/>
    </row>
    <row r="41" spans="1:11" s="39" customFormat="1" ht="14.1" customHeight="1">
      <c r="A41" s="362" t="s">
        <v>40</v>
      </c>
      <c r="B41" s="32"/>
      <c r="D41" s="258">
        <f>+D20</f>
        <v>6.4697696447239679</v>
      </c>
      <c r="E41" s="258">
        <f t="shared" si="4"/>
        <v>9.2119113631838463</v>
      </c>
      <c r="F41" s="258">
        <f t="shared" si="2"/>
        <v>1.2543771833446071</v>
      </c>
      <c r="G41" s="397">
        <f t="shared" si="3"/>
        <v>10.466288546528453</v>
      </c>
      <c r="H41" s="386"/>
      <c r="I41" s="380"/>
      <c r="J41" s="383"/>
      <c r="K41" s="380"/>
    </row>
    <row r="42" spans="1:11" s="39" customFormat="1" ht="14.1" customHeight="1">
      <c r="A42" s="362" t="str">
        <f>A21</f>
        <v>Nonauto MAADC BC-Benchmark</v>
      </c>
      <c r="B42" s="32"/>
      <c r="D42" s="258">
        <f>D21</f>
        <v>6.723679480605405</v>
      </c>
      <c r="E42" s="258">
        <f t="shared" si="4"/>
        <v>9.5734381301047957</v>
      </c>
      <c r="F42" s="258">
        <f t="shared" si="2"/>
        <v>1.2543771833446071</v>
      </c>
      <c r="G42" s="397">
        <f t="shared" si="3"/>
        <v>10.827815313449403</v>
      </c>
      <c r="H42" s="386"/>
      <c r="I42" s="380"/>
      <c r="J42" s="383"/>
      <c r="K42" s="380"/>
    </row>
    <row r="43" spans="1:11" s="39" customFormat="1" ht="14.1" customHeight="1">
      <c r="A43" s="362" t="s">
        <v>43</v>
      </c>
      <c r="B43" s="32"/>
      <c r="D43" s="258">
        <f>+D22</f>
        <v>4.9941561824340468</v>
      </c>
      <c r="E43" s="258">
        <f t="shared" si="4"/>
        <v>7.1108751335522831</v>
      </c>
      <c r="F43" s="258">
        <f t="shared" si="2"/>
        <v>1.2543771833446071</v>
      </c>
      <c r="G43" s="397">
        <f t="shared" si="3"/>
        <v>8.3652523168968909</v>
      </c>
      <c r="H43" s="386"/>
      <c r="I43" s="380"/>
      <c r="J43" s="383"/>
      <c r="K43" s="380"/>
    </row>
    <row r="44" spans="1:11" s="39" customFormat="1" ht="14.1" customHeight="1">
      <c r="A44" s="362" t="s">
        <v>44</v>
      </c>
      <c r="B44" s="32"/>
      <c r="D44" s="258">
        <f>+D23</f>
        <v>4.2015581402609676</v>
      </c>
      <c r="E44" s="258">
        <f t="shared" si="4"/>
        <v>5.982343004578321</v>
      </c>
      <c r="F44" s="258">
        <f t="shared" si="2"/>
        <v>1.2543771833446071</v>
      </c>
      <c r="G44" s="397">
        <f t="shared" si="3"/>
        <v>7.2367201879229279</v>
      </c>
      <c r="H44" s="386"/>
      <c r="I44" s="380"/>
      <c r="J44" s="383"/>
      <c r="K44" s="380"/>
    </row>
    <row r="45" spans="1:11" s="39" customFormat="1" ht="14.1" customHeight="1" thickBot="1">
      <c r="A45" s="435" t="s">
        <v>45</v>
      </c>
      <c r="B45" s="436"/>
      <c r="C45" s="316"/>
      <c r="D45" s="437">
        <f>+D24</f>
        <v>2.6899727529819724</v>
      </c>
      <c r="E45" s="437">
        <f t="shared" si="4"/>
        <v>3.8300885395598643</v>
      </c>
      <c r="F45" s="437">
        <f t="shared" si="2"/>
        <v>1.2543771833446071</v>
      </c>
      <c r="G45" s="398">
        <f t="shared" si="3"/>
        <v>5.0844657229044712</v>
      </c>
      <c r="H45" s="386"/>
      <c r="I45" s="380"/>
      <c r="J45" s="383"/>
      <c r="K45" s="385"/>
    </row>
    <row r="46" spans="1:11" s="29" customFormat="1" ht="14.1" customHeight="1">
      <c r="A46" s="414"/>
      <c r="B46" s="414"/>
      <c r="C46" s="414"/>
      <c r="D46" s="414"/>
      <c r="E46" s="414"/>
      <c r="F46" s="414"/>
      <c r="G46" s="32"/>
      <c r="H46" s="371"/>
      <c r="I46" s="371"/>
      <c r="J46" s="371"/>
      <c r="K46" s="371"/>
    </row>
    <row r="47" spans="1:11" s="29" customFormat="1" ht="14.1" customHeight="1">
      <c r="A47" s="67"/>
      <c r="B47" s="32"/>
      <c r="C47" s="32"/>
      <c r="D47" s="93"/>
      <c r="E47" s="93"/>
      <c r="F47" s="93"/>
      <c r="G47" s="93"/>
      <c r="H47" s="371"/>
      <c r="I47" s="371"/>
      <c r="J47" s="371"/>
      <c r="K47" s="371"/>
    </row>
    <row r="48" spans="1:11" s="29" customFormat="1" ht="14.1" customHeight="1">
      <c r="A48" s="67" t="s">
        <v>18</v>
      </c>
      <c r="B48" s="32"/>
      <c r="C48" s="32"/>
      <c r="D48" s="93"/>
      <c r="E48" s="93"/>
      <c r="F48" s="93"/>
      <c r="G48" s="93"/>
      <c r="H48" s="371"/>
      <c r="I48" s="371"/>
      <c r="J48" s="371"/>
      <c r="K48" s="371"/>
    </row>
    <row r="49" spans="1:11" s="225" customFormat="1" ht="14.1" customHeight="1">
      <c r="A49" s="239" t="s">
        <v>64</v>
      </c>
      <c r="H49" s="372"/>
      <c r="I49" s="372"/>
      <c r="J49" s="372"/>
      <c r="K49" s="372"/>
    </row>
    <row r="50" spans="1:11" s="240" customFormat="1" ht="14.1" customHeight="1">
      <c r="A50" s="239" t="s">
        <v>65</v>
      </c>
      <c r="B50" s="225"/>
      <c r="C50" s="225"/>
      <c r="D50" s="225"/>
      <c r="E50" s="225"/>
      <c r="F50" s="225"/>
      <c r="G50" s="225"/>
      <c r="H50" s="373"/>
      <c r="I50" s="373"/>
      <c r="J50" s="373"/>
      <c r="K50" s="373"/>
    </row>
    <row r="51" spans="1:11" s="241" customFormat="1" ht="14.1" customHeight="1">
      <c r="A51" s="39" t="s">
        <v>66</v>
      </c>
      <c r="D51" s="242"/>
      <c r="E51" s="243"/>
      <c r="F51" s="244"/>
      <c r="G51" s="244"/>
      <c r="H51" s="373"/>
      <c r="I51" s="373"/>
      <c r="J51" s="373"/>
      <c r="K51" s="373"/>
    </row>
    <row r="52" spans="1:11" s="241" customFormat="1" ht="14.1" customHeight="1">
      <c r="A52" s="39" t="s">
        <v>67</v>
      </c>
      <c r="D52" s="242"/>
      <c r="E52" s="243"/>
      <c r="F52" s="244"/>
      <c r="G52" s="244"/>
      <c r="H52" s="373"/>
      <c r="I52" s="373"/>
      <c r="J52" s="373"/>
      <c r="K52" s="373"/>
    </row>
    <row r="53" spans="1:11" s="241" customFormat="1" ht="14.1" customHeight="1">
      <c r="A53" s="39" t="s">
        <v>68</v>
      </c>
      <c r="D53" s="242"/>
      <c r="E53" s="243"/>
      <c r="F53" s="244"/>
      <c r="G53" s="244"/>
      <c r="H53" s="373"/>
      <c r="I53" s="373"/>
      <c r="J53" s="373"/>
      <c r="K53" s="373"/>
    </row>
    <row r="54" spans="1:11" s="241" customFormat="1" ht="14.1" customHeight="1">
      <c r="A54" s="39" t="s">
        <v>69</v>
      </c>
      <c r="D54" s="242"/>
      <c r="E54" s="243"/>
      <c r="F54" s="244"/>
      <c r="G54" s="244"/>
      <c r="H54" s="373"/>
      <c r="I54" s="373"/>
      <c r="J54" s="373"/>
      <c r="K54" s="373"/>
    </row>
    <row r="55" spans="1:11" s="241" customFormat="1" ht="14.1" customHeight="1">
      <c r="A55" s="106" t="s">
        <v>70</v>
      </c>
      <c r="D55" s="242"/>
      <c r="E55" s="243"/>
      <c r="F55" s="244"/>
      <c r="G55" s="244"/>
      <c r="H55" s="373"/>
      <c r="I55" s="373"/>
      <c r="J55" s="373"/>
      <c r="K55" s="373"/>
    </row>
    <row r="56" spans="1:11" s="241" customFormat="1" ht="13.5" customHeight="1">
      <c r="A56" s="106"/>
      <c r="D56" s="242"/>
      <c r="E56" s="243"/>
      <c r="F56" s="244"/>
      <c r="G56" s="244"/>
      <c r="H56" s="373"/>
      <c r="I56" s="373"/>
      <c r="J56" s="373"/>
      <c r="K56" s="373"/>
    </row>
    <row r="57" spans="1:11" s="241" customFormat="1" ht="14.1" customHeight="1">
      <c r="A57" s="106" t="s">
        <v>71</v>
      </c>
      <c r="D57" s="242"/>
      <c r="E57" s="243"/>
      <c r="F57" s="244"/>
      <c r="G57" s="244"/>
      <c r="H57" s="373"/>
      <c r="I57" s="373"/>
      <c r="J57" s="373"/>
      <c r="K57" s="373"/>
    </row>
    <row r="58" spans="1:11" s="241" customFormat="1" ht="14.1" customHeight="1">
      <c r="A58" s="106" t="s">
        <v>72</v>
      </c>
      <c r="D58" s="242"/>
      <c r="E58" s="243"/>
      <c r="F58" s="244"/>
      <c r="G58" s="244"/>
      <c r="H58" s="373"/>
      <c r="I58" s="373"/>
      <c r="J58" s="373"/>
      <c r="K58" s="373"/>
    </row>
    <row r="59" spans="1:11" s="241" customFormat="1" ht="14.1" customHeight="1">
      <c r="A59" s="106" t="s">
        <v>73</v>
      </c>
      <c r="D59" s="242"/>
      <c r="E59" s="243"/>
      <c r="F59" s="244"/>
      <c r="G59" s="244"/>
      <c r="H59" s="373"/>
      <c r="I59" s="373"/>
      <c r="J59" s="373"/>
      <c r="K59" s="373"/>
    </row>
    <row r="60" spans="1:11" s="241" customFormat="1" ht="14.1" customHeight="1">
      <c r="A60" s="106" t="s">
        <v>74</v>
      </c>
      <c r="D60" s="242"/>
      <c r="E60" s="243"/>
      <c r="F60" s="244"/>
      <c r="G60" s="244"/>
      <c r="H60" s="373"/>
      <c r="I60" s="373"/>
      <c r="J60" s="373"/>
      <c r="K60" s="373"/>
    </row>
    <row r="61" spans="1:11" s="241" customFormat="1" ht="14.1" customHeight="1">
      <c r="A61" s="39" t="s">
        <v>75</v>
      </c>
      <c r="D61" s="242"/>
      <c r="E61" s="243"/>
      <c r="F61" s="244"/>
      <c r="G61" s="244"/>
      <c r="H61" s="373"/>
      <c r="I61" s="373"/>
      <c r="J61" s="373"/>
      <c r="K61" s="373"/>
    </row>
    <row r="62" spans="1:11" ht="14.1" customHeight="1"/>
    <row r="63" spans="1:11" ht="14.1" customHeight="1"/>
    <row r="64" spans="1:11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71" ht="14.1" customHeight="1"/>
    <row r="72" ht="14.1" customHeight="1"/>
    <row r="73" ht="14.1" customHeight="1"/>
    <row r="74" ht="14.1" customHeight="1"/>
    <row r="75" ht="14.1" customHeight="1"/>
    <row r="76" ht="14.1" customHeight="1"/>
    <row r="77" ht="14.1" customHeight="1"/>
    <row r="78" ht="14.1" customHeight="1"/>
    <row r="79" ht="14.1" customHeight="1"/>
    <row r="80" ht="14.1" customHeight="1"/>
    <row r="81" ht="14.1" customHeight="1"/>
    <row r="82" ht="14.1" customHeight="1"/>
    <row r="83" ht="14.1" customHeight="1"/>
    <row r="84" ht="14.1" customHeight="1"/>
    <row r="85" ht="14.1" customHeight="1"/>
    <row r="86" ht="14.1" customHeight="1"/>
    <row r="87" ht="14.1" customHeight="1"/>
    <row r="88" ht="14.1" customHeight="1"/>
    <row r="89" ht="14.1" customHeight="1"/>
    <row r="90" ht="14.1" customHeight="1"/>
    <row r="91" ht="14.1" customHeight="1"/>
    <row r="92" ht="14.1" customHeight="1"/>
    <row r="93" ht="14.1" customHeight="1"/>
    <row r="94" ht="14.1" customHeight="1"/>
    <row r="95" ht="14.1" customHeight="1"/>
    <row r="96" ht="14.1" customHeight="1"/>
    <row r="97" ht="14.1" customHeight="1"/>
    <row r="98" ht="14.1" customHeight="1"/>
    <row r="99" ht="14.1" customHeight="1"/>
    <row r="100" ht="14.1" customHeight="1"/>
    <row r="101" ht="14.1" customHeight="1"/>
    <row r="102" ht="14.1" customHeight="1"/>
    <row r="103" ht="14.1" customHeight="1"/>
    <row r="104" ht="14.1" customHeight="1"/>
    <row r="105" ht="14.1" customHeight="1"/>
    <row r="106" ht="14.1" customHeight="1"/>
    <row r="107" ht="14.1" customHeight="1"/>
    <row r="108" ht="14.1" customHeight="1"/>
    <row r="109" ht="14.1" customHeight="1"/>
    <row r="110" ht="14.1" customHeight="1"/>
    <row r="111" ht="14.1" customHeight="1"/>
    <row r="112" ht="14.1" customHeight="1"/>
    <row r="113" ht="14.1" customHeight="1"/>
    <row r="114" ht="14.1" customHeight="1"/>
    <row r="115" ht="14.1" customHeight="1"/>
    <row r="116" ht="14.1" customHeight="1"/>
    <row r="117" ht="14.1" customHeight="1"/>
    <row r="118" ht="14.1" customHeight="1"/>
    <row r="119" ht="14.1" customHeight="1"/>
    <row r="120" ht="14.1" customHeight="1"/>
    <row r="121" ht="14.1" customHeight="1"/>
    <row r="122" ht="14.1" customHeight="1"/>
    <row r="123" ht="14.1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  <row r="150" ht="15.95" customHeight="1"/>
    <row r="151" ht="15.95" customHeight="1"/>
    <row r="152" ht="15.95" customHeight="1"/>
    <row r="153" ht="15.95" customHeight="1"/>
    <row r="154" ht="15.95" customHeight="1"/>
    <row r="155" ht="15.95" customHeight="1"/>
    <row r="156" ht="15.95" customHeight="1"/>
    <row r="157" ht="15.95" customHeight="1"/>
    <row r="158" ht="15.95" customHeight="1"/>
    <row r="159" ht="15.95" customHeight="1"/>
    <row r="160" ht="15.95" customHeight="1"/>
    <row r="161" ht="15.95" customHeight="1"/>
    <row r="162" ht="15.95" customHeight="1"/>
    <row r="163" ht="15.95" customHeight="1"/>
    <row r="164" ht="15.95" customHeight="1"/>
    <row r="165" ht="15.95" customHeight="1"/>
    <row r="166" ht="15.95" customHeight="1"/>
    <row r="167" ht="15.95" customHeight="1"/>
    <row r="168" ht="15.95" customHeight="1"/>
    <row r="169" ht="15.95" customHeight="1"/>
    <row r="170" ht="15.95" customHeight="1"/>
    <row r="171" ht="15.95" customHeight="1"/>
    <row r="172" ht="15.95" customHeight="1"/>
    <row r="173" ht="15.95" customHeight="1"/>
    <row r="174" ht="15.95" customHeight="1"/>
    <row r="175" ht="15.95" customHeight="1"/>
    <row r="176" ht="15.95" customHeight="1"/>
    <row r="177" ht="15.95" customHeight="1"/>
    <row r="178" ht="15.95" customHeight="1"/>
    <row r="179" ht="15.95" customHeight="1"/>
    <row r="180" ht="15.95" customHeight="1"/>
    <row r="181" ht="15.95" customHeight="1"/>
    <row r="182" ht="15.95" customHeight="1"/>
    <row r="183" ht="15.95" customHeight="1"/>
    <row r="184" ht="15.95" customHeight="1"/>
    <row r="185" ht="15.95" customHeight="1"/>
    <row r="186" ht="15.95" customHeight="1"/>
    <row r="187" ht="15.95" customHeight="1"/>
    <row r="188" ht="15.95" customHeight="1"/>
    <row r="189" ht="15.95" customHeight="1"/>
    <row r="190" ht="15.95" customHeight="1"/>
    <row r="191" ht="15.95" customHeight="1"/>
    <row r="192" ht="15.95" customHeight="1"/>
    <row r="193" ht="15.95" customHeight="1"/>
    <row r="194" ht="15.95" customHeight="1"/>
    <row r="195" ht="15.95" customHeight="1"/>
    <row r="196" ht="15.95" customHeight="1"/>
    <row r="197" ht="15.95" customHeight="1"/>
    <row r="198" ht="15.95" customHeight="1"/>
    <row r="199" ht="15.95" customHeight="1"/>
    <row r="200" ht="15.95" customHeight="1"/>
    <row r="201" ht="15.95" customHeight="1"/>
    <row r="202" ht="15.95" customHeight="1"/>
    <row r="203" ht="15.95" customHeight="1"/>
    <row r="204" ht="15.95" customHeight="1"/>
    <row r="205" ht="15.95" customHeight="1"/>
    <row r="206" ht="15.95" customHeight="1"/>
    <row r="207" ht="15.95" customHeight="1"/>
    <row r="208" ht="15.95" customHeight="1"/>
    <row r="209" ht="15.95" customHeight="1"/>
    <row r="210" ht="15.95" customHeight="1"/>
    <row r="211" ht="15.95" customHeight="1"/>
    <row r="212" ht="15.95" customHeight="1"/>
    <row r="213" ht="15.95" customHeight="1"/>
    <row r="214" ht="15.95" customHeight="1"/>
    <row r="215" ht="15.95" customHeight="1"/>
    <row r="216" ht="15.95" customHeight="1"/>
    <row r="217" ht="15.95" customHeight="1"/>
    <row r="218" ht="15.95" customHeight="1"/>
    <row r="219" ht="15.95" customHeight="1"/>
    <row r="220" ht="15.95" customHeight="1"/>
    <row r="221" ht="15.95" customHeight="1"/>
    <row r="222" ht="15.95" customHeight="1"/>
    <row r="223" ht="15.95" customHeight="1"/>
    <row r="224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I92"/>
  <sheetViews>
    <sheetView zoomScale="115" zoomScaleNormal="115" workbookViewId="0">
      <pane xSplit="2" ySplit="6" topLeftCell="C7" activePane="bottomRight" state="frozen"/>
      <selection pane="bottomRight"/>
      <selection pane="bottomLeft" activeCell="Q49" sqref="Q49"/>
      <selection pane="topRight" activeCell="Q49" sqref="Q49"/>
    </sheetView>
  </sheetViews>
  <sheetFormatPr defaultColWidth="9.140625" defaultRowHeight="12.6"/>
  <cols>
    <col min="1" max="1" width="13.7109375" style="32" customWidth="1"/>
    <col min="2" max="2" width="11.7109375" style="32" customWidth="1"/>
    <col min="3" max="3" width="13.7109375" style="337" customWidth="1"/>
    <col min="4" max="4" width="5.42578125" style="107" bestFit="1" customWidth="1"/>
    <col min="5" max="5" width="13.7109375" style="107" customWidth="1"/>
    <col min="6" max="6" width="2.85546875" style="107" customWidth="1"/>
    <col min="7" max="7" width="17" style="107" customWidth="1"/>
    <col min="9" max="9" width="9.5703125" bestFit="1" customWidth="1"/>
    <col min="11" max="11" width="20.7109375" customWidth="1"/>
    <col min="12" max="12" width="12.7109375" customWidth="1"/>
    <col min="15" max="15" width="14.28515625" bestFit="1" customWidth="1"/>
    <col min="16" max="16" width="13.28515625" style="32" bestFit="1" customWidth="1"/>
    <col min="17" max="17" width="14.42578125" bestFit="1" customWidth="1"/>
  </cols>
  <sheetData>
    <row r="1" spans="1:61" s="176" customFormat="1" ht="15.6">
      <c r="A1" s="79" t="s">
        <v>76</v>
      </c>
      <c r="B1" s="85"/>
      <c r="C1" s="335"/>
      <c r="D1" s="85"/>
      <c r="E1" s="85"/>
      <c r="F1" s="85"/>
      <c r="G1" s="85"/>
      <c r="H1" s="414"/>
      <c r="I1" s="257"/>
      <c r="J1" s="414"/>
      <c r="K1" s="414"/>
      <c r="L1" s="414"/>
      <c r="P1" s="351"/>
    </row>
    <row r="2" spans="1:61" s="176" customFormat="1" ht="15.6">
      <c r="A2" s="79" t="s">
        <v>77</v>
      </c>
      <c r="B2" s="85"/>
      <c r="C2" s="335"/>
      <c r="D2" s="85"/>
      <c r="E2" s="85"/>
      <c r="F2" s="85"/>
      <c r="G2" s="85"/>
      <c r="H2" s="414"/>
      <c r="I2" s="257"/>
      <c r="J2" s="414"/>
      <c r="K2" s="414"/>
      <c r="L2" s="414"/>
      <c r="P2" s="351"/>
    </row>
    <row r="3" spans="1:61" s="255" customFormat="1" ht="14.1">
      <c r="A3" s="239" t="s">
        <v>78</v>
      </c>
      <c r="B3" s="259"/>
      <c r="C3" s="335"/>
      <c r="D3" s="259"/>
      <c r="E3" s="387"/>
      <c r="F3" s="259"/>
      <c r="G3" s="259"/>
      <c r="H3" s="199"/>
      <c r="I3" s="257"/>
      <c r="J3" s="201"/>
      <c r="K3" s="201"/>
      <c r="L3" s="201"/>
      <c r="P3" s="352"/>
    </row>
    <row r="4" spans="1:61" s="176" customFormat="1" ht="14.1">
      <c r="A4" s="39" t="s">
        <v>79</v>
      </c>
      <c r="B4" s="438"/>
      <c r="C4" s="335"/>
      <c r="D4" s="438"/>
      <c r="E4" s="438"/>
      <c r="F4" s="438"/>
      <c r="G4" s="438"/>
      <c r="H4" s="414"/>
      <c r="I4" s="257"/>
      <c r="J4" s="414"/>
      <c r="K4" s="414"/>
      <c r="L4" s="414"/>
    </row>
    <row r="5" spans="1:61" ht="12.95">
      <c r="A5" s="416"/>
      <c r="B5" s="416"/>
      <c r="C5" s="336"/>
      <c r="D5" s="416"/>
      <c r="E5" s="118" t="s">
        <v>80</v>
      </c>
      <c r="F5" s="118"/>
      <c r="G5" s="260"/>
      <c r="H5" s="416"/>
      <c r="I5" s="257"/>
      <c r="J5" s="414"/>
      <c r="K5" s="261"/>
      <c r="L5" s="261"/>
      <c r="M5" s="414"/>
      <c r="N5" s="414"/>
      <c r="O5" s="414"/>
      <c r="Q5" s="414"/>
      <c r="R5" s="414"/>
      <c r="S5" s="414"/>
      <c r="T5" s="414"/>
      <c r="U5" s="414"/>
      <c r="V5" s="414"/>
      <c r="W5" s="414"/>
      <c r="X5" s="414"/>
      <c r="Y5" s="414"/>
      <c r="Z5" s="414"/>
      <c r="AA5" s="414"/>
      <c r="AB5" s="414"/>
      <c r="AC5" s="414"/>
      <c r="AD5" s="414"/>
      <c r="AE5" s="414"/>
      <c r="AF5" s="414"/>
      <c r="AG5" s="414"/>
      <c r="AH5" s="414"/>
      <c r="AI5" s="414"/>
      <c r="AJ5" s="414"/>
      <c r="AK5" s="414"/>
      <c r="AL5" s="414"/>
      <c r="AM5" s="414"/>
      <c r="AN5" s="414"/>
      <c r="AO5" s="414"/>
      <c r="AP5" s="414"/>
      <c r="AQ5" s="414"/>
      <c r="AR5" s="414"/>
      <c r="AS5" s="414"/>
      <c r="AT5" s="414"/>
      <c r="AU5" s="414"/>
      <c r="AV5" s="414"/>
      <c r="AW5" s="414"/>
      <c r="AX5" s="414"/>
      <c r="AY5" s="414"/>
      <c r="AZ5" s="414"/>
      <c r="BA5" s="414"/>
      <c r="BB5" s="414"/>
      <c r="BC5" s="414"/>
      <c r="BD5" s="414"/>
      <c r="BE5" s="414"/>
      <c r="BF5" s="414"/>
      <c r="BG5" s="414"/>
      <c r="BH5" s="414"/>
      <c r="BI5" s="414"/>
    </row>
    <row r="6" spans="1:61" s="29" customFormat="1" ht="26.45" thickBot="1">
      <c r="A6" s="262" t="s">
        <v>81</v>
      </c>
      <c r="B6" s="263"/>
      <c r="C6" s="439" t="s">
        <v>82</v>
      </c>
      <c r="D6" s="264"/>
      <c r="E6" s="265" t="s">
        <v>83</v>
      </c>
      <c r="F6" s="264"/>
      <c r="G6" s="264" t="s">
        <v>84</v>
      </c>
      <c r="H6" s="414"/>
      <c r="I6" s="257"/>
      <c r="J6" s="414"/>
      <c r="K6" s="92" t="s">
        <v>85</v>
      </c>
      <c r="L6" s="92" t="s">
        <v>86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</row>
    <row r="7" spans="1:61" ht="12.95" thickTop="1">
      <c r="A7" s="414" t="s">
        <v>87</v>
      </c>
      <c r="B7" s="266" t="s">
        <v>88</v>
      </c>
      <c r="C7" s="399">
        <f>'[1]LTTR Unit Costs  Final Adj.'!$J$6</f>
        <v>2.6022915393619717</v>
      </c>
      <c r="D7" s="114"/>
      <c r="E7" s="258">
        <f>+C7</f>
        <v>2.6022915393619717</v>
      </c>
      <c r="F7" s="2"/>
      <c r="G7" s="97"/>
      <c r="H7" s="414"/>
      <c r="I7" s="414"/>
      <c r="J7" s="414"/>
      <c r="K7" s="266" t="s">
        <v>89</v>
      </c>
      <c r="L7" s="257" t="s">
        <v>90</v>
      </c>
      <c r="M7" s="414"/>
      <c r="N7" s="414"/>
      <c r="O7" s="414"/>
      <c r="P7" s="440"/>
      <c r="Q7" s="350"/>
      <c r="R7" s="293"/>
      <c r="S7" s="293"/>
      <c r="T7" s="293"/>
      <c r="U7" s="293"/>
      <c r="V7" s="293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  <c r="AS7" s="293"/>
      <c r="AT7" s="293"/>
      <c r="AU7" s="294"/>
      <c r="AV7" s="294"/>
      <c r="AW7" s="293"/>
      <c r="AX7" s="293"/>
      <c r="AY7" s="294"/>
      <c r="AZ7" s="294"/>
      <c r="BA7" s="294"/>
      <c r="BB7" s="294"/>
      <c r="BC7" s="294"/>
      <c r="BD7" s="294"/>
      <c r="BE7" s="294"/>
      <c r="BF7" s="294"/>
      <c r="BG7" s="293"/>
      <c r="BH7" s="293"/>
      <c r="BI7" s="293"/>
    </row>
    <row r="8" spans="1:61">
      <c r="A8" s="201" t="s">
        <v>91</v>
      </c>
      <c r="B8" s="270" t="s">
        <v>92</v>
      </c>
      <c r="C8" s="399">
        <f>'[1]LTTR Unit Costs  Final Adj.'!$J$7</f>
        <v>0.15318383717679926</v>
      </c>
      <c r="D8" s="114"/>
      <c r="E8" s="258">
        <f>IF($M$10=1,$C8*E$80,0)</f>
        <v>0.1198086708899538</v>
      </c>
      <c r="F8" s="2"/>
      <c r="G8" s="258">
        <f>IF($M$10=1,$C8*G$80,0)</f>
        <v>3.3375166286845448E-2</v>
      </c>
      <c r="H8" s="261"/>
      <c r="I8" s="414"/>
      <c r="J8" s="414"/>
      <c r="K8" s="268" t="s">
        <v>93</v>
      </c>
      <c r="L8" s="257" t="s">
        <v>94</v>
      </c>
      <c r="M8" s="414"/>
      <c r="N8" s="414"/>
      <c r="O8" s="414"/>
      <c r="P8" s="440"/>
      <c r="Q8" s="350"/>
      <c r="R8" s="414"/>
      <c r="S8" s="414"/>
      <c r="T8" s="414"/>
      <c r="U8" s="414"/>
      <c r="V8" s="414"/>
      <c r="W8" s="414"/>
      <c r="X8" s="414"/>
      <c r="Y8" s="414"/>
      <c r="Z8" s="414"/>
      <c r="AA8" s="414"/>
      <c r="AB8" s="414"/>
      <c r="AC8" s="414"/>
      <c r="AD8" s="414"/>
      <c r="AE8" s="414"/>
      <c r="AF8" s="414"/>
      <c r="AG8" s="414"/>
      <c r="AH8" s="414"/>
      <c r="AI8" s="414"/>
      <c r="AJ8" s="414"/>
      <c r="AK8" s="414"/>
      <c r="AL8" s="414"/>
      <c r="AM8" s="414"/>
      <c r="AN8" s="414"/>
      <c r="AO8" s="414"/>
      <c r="AP8" s="414"/>
      <c r="AQ8" s="414"/>
      <c r="AR8" s="414"/>
      <c r="AS8" s="414"/>
      <c r="AT8" s="414"/>
      <c r="AU8" s="414"/>
      <c r="AV8" s="414"/>
      <c r="AW8" s="414"/>
      <c r="AX8" s="414"/>
      <c r="AY8" s="414"/>
      <c r="AZ8" s="414"/>
      <c r="BA8" s="414"/>
      <c r="BB8" s="414"/>
      <c r="BC8" s="414"/>
      <c r="BD8" s="414"/>
      <c r="BE8" s="414"/>
      <c r="BF8" s="414"/>
      <c r="BG8" s="414"/>
      <c r="BH8" s="414"/>
      <c r="BI8" s="414"/>
    </row>
    <row r="9" spans="1:61">
      <c r="A9" s="201"/>
      <c r="B9" s="201"/>
      <c r="C9" s="399"/>
      <c r="D9" s="114"/>
      <c r="E9" s="258"/>
      <c r="F9" s="2"/>
      <c r="G9" s="258"/>
      <c r="H9" s="261"/>
      <c r="I9" s="414"/>
      <c r="J9" s="414"/>
      <c r="K9" s="269" t="s">
        <v>95</v>
      </c>
      <c r="L9" s="257" t="s">
        <v>96</v>
      </c>
      <c r="M9" s="414"/>
      <c r="N9" s="414"/>
      <c r="O9" s="414"/>
      <c r="P9" s="440"/>
      <c r="Q9" s="350"/>
      <c r="R9" s="414"/>
      <c r="S9" s="414"/>
      <c r="T9" s="414"/>
      <c r="U9" s="414"/>
      <c r="V9" s="414"/>
      <c r="W9" s="414"/>
      <c r="X9" s="414"/>
      <c r="Y9" s="414"/>
      <c r="Z9" s="414"/>
      <c r="AA9" s="414"/>
      <c r="AB9" s="414"/>
      <c r="AC9" s="414"/>
      <c r="AD9" s="414"/>
      <c r="AE9" s="414"/>
      <c r="AF9" s="414"/>
      <c r="AG9" s="414"/>
      <c r="AH9" s="414"/>
      <c r="AI9" s="414"/>
      <c r="AJ9" s="414"/>
      <c r="AK9" s="414"/>
      <c r="AL9" s="414"/>
      <c r="AM9" s="414"/>
      <c r="AN9" s="414"/>
      <c r="AO9" s="414"/>
      <c r="AP9" s="414"/>
      <c r="AQ9" s="414"/>
      <c r="AR9" s="414"/>
      <c r="AS9" s="414"/>
      <c r="AT9" s="414"/>
      <c r="AU9" s="414"/>
      <c r="AV9" s="414"/>
      <c r="AW9" s="414"/>
      <c r="AX9" s="414"/>
      <c r="AY9" s="414"/>
      <c r="AZ9" s="414"/>
      <c r="BA9" s="414"/>
      <c r="BB9" s="414"/>
      <c r="BC9" s="414"/>
      <c r="BD9" s="414"/>
      <c r="BE9" s="414"/>
      <c r="BF9" s="414"/>
      <c r="BG9" s="414"/>
      <c r="BH9" s="414"/>
      <c r="BI9" s="414"/>
    </row>
    <row r="10" spans="1:61" ht="12" customHeight="1">
      <c r="A10" s="201" t="s">
        <v>91</v>
      </c>
      <c r="B10" s="270" t="s">
        <v>97</v>
      </c>
      <c r="C10" s="399">
        <v>0</v>
      </c>
      <c r="D10" s="114"/>
      <c r="E10" s="258">
        <f t="shared" ref="E10:E19" si="0">IF($M$10=1,$C10*E$80,0)</f>
        <v>0</v>
      </c>
      <c r="F10" s="2"/>
      <c r="G10" s="258">
        <f t="shared" ref="G10:G19" si="1">IF($M$10=1,$C10*G$80,0)</f>
        <v>0</v>
      </c>
      <c r="H10" s="261"/>
      <c r="I10" s="414"/>
      <c r="J10" s="414"/>
      <c r="K10" s="271" t="s">
        <v>98</v>
      </c>
      <c r="L10" s="257" t="str">
        <f>IF(M10=1,"Piggybacked","Non WS")</f>
        <v>Piggybacked</v>
      </c>
      <c r="M10" s="414">
        <v>1</v>
      </c>
      <c r="N10" s="414"/>
      <c r="O10" s="414"/>
      <c r="P10" s="440"/>
      <c r="Q10" s="350"/>
      <c r="R10" s="414"/>
      <c r="S10" s="414"/>
      <c r="T10" s="414"/>
      <c r="U10" s="414"/>
      <c r="V10" s="414"/>
      <c r="W10" s="414"/>
      <c r="X10" s="414"/>
      <c r="Y10" s="414"/>
      <c r="Z10" s="414"/>
      <c r="AA10" s="414"/>
      <c r="AB10" s="414"/>
      <c r="AC10" s="414"/>
      <c r="AD10" s="414"/>
      <c r="AE10" s="414"/>
      <c r="AF10" s="414"/>
      <c r="AG10" s="414"/>
      <c r="AH10" s="414"/>
      <c r="AI10" s="414"/>
      <c r="AJ10" s="414"/>
      <c r="AK10" s="414"/>
      <c r="AL10" s="414"/>
      <c r="AM10" s="414"/>
      <c r="AN10" s="414"/>
      <c r="AO10" s="414"/>
      <c r="AP10" s="414"/>
      <c r="AQ10" s="414"/>
      <c r="AR10" s="414"/>
      <c r="AS10" s="414"/>
      <c r="AT10" s="414"/>
      <c r="AU10" s="414"/>
      <c r="AV10" s="414"/>
      <c r="AW10" s="414"/>
      <c r="AX10" s="414"/>
      <c r="AY10" s="414"/>
      <c r="AZ10" s="414"/>
      <c r="BA10" s="414"/>
      <c r="BB10" s="414"/>
      <c r="BC10" s="414"/>
      <c r="BD10" s="414"/>
      <c r="BE10" s="414"/>
      <c r="BF10" s="414"/>
      <c r="BG10" s="414"/>
      <c r="BH10" s="414"/>
      <c r="BI10" s="414"/>
    </row>
    <row r="11" spans="1:61">
      <c r="A11" s="201"/>
      <c r="B11" s="201"/>
      <c r="C11" s="399"/>
      <c r="D11" s="114"/>
      <c r="E11" s="258"/>
      <c r="F11" s="2"/>
      <c r="G11" s="258"/>
      <c r="H11" s="261"/>
      <c r="I11" s="414"/>
      <c r="J11" s="414"/>
      <c r="K11" s="414"/>
      <c r="L11" s="414"/>
      <c r="M11" s="414"/>
      <c r="N11" s="414"/>
      <c r="O11" s="414"/>
      <c r="P11" s="440"/>
      <c r="Q11" s="350"/>
      <c r="R11" s="414"/>
      <c r="S11" s="414"/>
      <c r="T11" s="414"/>
      <c r="U11" s="414"/>
      <c r="V11" s="414"/>
      <c r="W11" s="414"/>
      <c r="X11" s="414"/>
      <c r="Y11" s="414"/>
      <c r="Z11" s="414"/>
      <c r="AA11" s="414"/>
      <c r="AB11" s="414"/>
      <c r="AC11" s="414"/>
      <c r="AD11" s="414"/>
      <c r="AE11" s="414"/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  <c r="AW11" s="414"/>
      <c r="AX11" s="414"/>
      <c r="AY11" s="414"/>
      <c r="AZ11" s="414"/>
      <c r="BA11" s="414"/>
      <c r="BB11" s="414"/>
      <c r="BC11" s="414"/>
      <c r="BD11" s="414"/>
      <c r="BE11" s="414"/>
      <c r="BF11" s="414"/>
      <c r="BG11" s="414"/>
      <c r="BH11" s="414"/>
      <c r="BI11" s="414"/>
    </row>
    <row r="12" spans="1:61">
      <c r="A12" s="201" t="s">
        <v>99</v>
      </c>
      <c r="B12" s="270" t="s">
        <v>100</v>
      </c>
      <c r="C12" s="399">
        <f>'[1]LTTR Unit Costs  Final Adj.'!J9</f>
        <v>3.079696607722354E-3</v>
      </c>
      <c r="D12" s="114"/>
      <c r="E12" s="258">
        <f t="shared" si="0"/>
        <v>2.4087029292108523E-3</v>
      </c>
      <c r="F12" s="2"/>
      <c r="G12" s="258">
        <f t="shared" si="1"/>
        <v>6.7099367851150126E-4</v>
      </c>
      <c r="H12" s="261"/>
      <c r="I12" s="414"/>
      <c r="J12" s="414"/>
      <c r="K12" s="68" t="s">
        <v>101</v>
      </c>
      <c r="L12" s="257" t="s">
        <v>102</v>
      </c>
      <c r="M12" s="414"/>
      <c r="N12" s="414"/>
      <c r="O12" s="414"/>
      <c r="P12" s="440"/>
      <c r="Q12" s="350"/>
      <c r="R12" s="414"/>
      <c r="S12" s="414"/>
      <c r="T12" s="414"/>
      <c r="U12" s="414"/>
      <c r="V12" s="414"/>
      <c r="W12" s="414"/>
      <c r="X12" s="414"/>
      <c r="Y12" s="414"/>
      <c r="Z12" s="414"/>
      <c r="AA12" s="414"/>
      <c r="AB12" s="414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4"/>
      <c r="AO12" s="414"/>
      <c r="AP12" s="414"/>
      <c r="AQ12" s="414"/>
      <c r="AR12" s="414"/>
      <c r="AS12" s="414"/>
      <c r="AT12" s="414"/>
      <c r="AU12" s="414"/>
      <c r="AV12" s="414"/>
      <c r="AW12" s="414"/>
      <c r="AX12" s="414"/>
      <c r="AY12" s="414"/>
      <c r="AZ12" s="414"/>
      <c r="BA12" s="414"/>
      <c r="BB12" s="414"/>
      <c r="BC12" s="414"/>
      <c r="BD12" s="414"/>
      <c r="BE12" s="414"/>
      <c r="BF12" s="414"/>
      <c r="BG12" s="414"/>
      <c r="BH12" s="414"/>
      <c r="BI12" s="414"/>
    </row>
    <row r="13" spans="1:61">
      <c r="A13" s="201" t="s">
        <v>99</v>
      </c>
      <c r="B13" s="270" t="s">
        <v>103</v>
      </c>
      <c r="C13" s="399">
        <f>'[1]LTTR Unit Costs  Final Adj.'!J10</f>
        <v>4.413480502306829E-2</v>
      </c>
      <c r="D13" s="114"/>
      <c r="E13" s="258">
        <f t="shared" si="0"/>
        <v>3.4518865875504595E-2</v>
      </c>
      <c r="F13" s="2"/>
      <c r="G13" s="258">
        <f t="shared" si="1"/>
        <v>9.6159391475636891E-3</v>
      </c>
      <c r="H13" s="261"/>
      <c r="I13" s="414"/>
      <c r="J13" s="414"/>
      <c r="K13" s="414"/>
      <c r="L13" s="257"/>
      <c r="M13" s="414"/>
      <c r="N13" s="414"/>
      <c r="O13" s="414"/>
      <c r="P13" s="440"/>
      <c r="Q13" s="350"/>
      <c r="R13" s="414"/>
      <c r="S13" s="414"/>
      <c r="T13" s="414"/>
      <c r="U13" s="414"/>
      <c r="V13" s="414"/>
      <c r="W13" s="414"/>
      <c r="X13" s="414"/>
      <c r="Y13" s="414"/>
      <c r="Z13" s="414"/>
      <c r="AA13" s="414"/>
      <c r="AB13" s="414"/>
      <c r="AC13" s="414"/>
      <c r="AD13" s="414"/>
      <c r="AE13" s="414"/>
      <c r="AF13" s="414"/>
      <c r="AG13" s="414"/>
      <c r="AH13" s="414"/>
      <c r="AI13" s="414"/>
      <c r="AJ13" s="414"/>
      <c r="AK13" s="414"/>
      <c r="AL13" s="414"/>
      <c r="AM13" s="414"/>
      <c r="AN13" s="414"/>
      <c r="AO13" s="414"/>
      <c r="AP13" s="414"/>
      <c r="AQ13" s="414"/>
      <c r="AR13" s="414"/>
      <c r="AS13" s="414"/>
      <c r="AT13" s="414"/>
      <c r="AU13" s="414"/>
      <c r="AV13" s="414"/>
      <c r="AW13" s="414"/>
      <c r="AX13" s="414"/>
      <c r="AY13" s="414"/>
      <c r="AZ13" s="414"/>
      <c r="BA13" s="414"/>
      <c r="BB13" s="414"/>
      <c r="BC13" s="414"/>
      <c r="BD13" s="414"/>
      <c r="BE13" s="414"/>
      <c r="BF13" s="414"/>
      <c r="BG13" s="414"/>
      <c r="BH13" s="414"/>
      <c r="BI13" s="414"/>
    </row>
    <row r="14" spans="1:61">
      <c r="A14" s="201" t="s">
        <v>104</v>
      </c>
      <c r="B14" s="272" t="s">
        <v>105</v>
      </c>
      <c r="C14" s="399">
        <f>'[1]LTTR Unit Costs  Final Adj.'!J11</f>
        <v>7.1404652341435027E-3</v>
      </c>
      <c r="D14" s="114"/>
      <c r="E14" s="258">
        <f t="shared" si="0"/>
        <v>5.584725288290569E-3</v>
      </c>
      <c r="F14" s="2"/>
      <c r="G14" s="258">
        <f t="shared" si="1"/>
        <v>1.5557399458529333E-3</v>
      </c>
      <c r="H14" s="261"/>
      <c r="I14" s="414"/>
      <c r="J14" s="414"/>
      <c r="K14" s="414" t="s">
        <v>106</v>
      </c>
      <c r="L14" s="257"/>
      <c r="M14" s="414"/>
      <c r="N14" s="414"/>
      <c r="O14" s="414"/>
      <c r="P14" s="440"/>
      <c r="Q14" s="350"/>
      <c r="R14" s="414"/>
      <c r="S14" s="414"/>
      <c r="T14" s="414"/>
      <c r="U14" s="414"/>
      <c r="V14" s="414"/>
      <c r="W14" s="414"/>
      <c r="X14" s="414"/>
      <c r="Y14" s="414"/>
      <c r="Z14" s="414"/>
      <c r="AA14" s="414"/>
      <c r="AB14" s="414"/>
      <c r="AC14" s="414"/>
      <c r="AD14" s="414"/>
      <c r="AE14" s="414"/>
      <c r="AF14" s="414"/>
      <c r="AG14" s="414"/>
      <c r="AH14" s="414"/>
      <c r="AI14" s="414"/>
      <c r="AJ14" s="414"/>
      <c r="AK14" s="414"/>
      <c r="AL14" s="414"/>
      <c r="AM14" s="414"/>
      <c r="AN14" s="414"/>
      <c r="AO14" s="414"/>
      <c r="AP14" s="414"/>
      <c r="AQ14" s="414"/>
      <c r="AR14" s="414"/>
      <c r="AS14" s="414"/>
      <c r="AT14" s="414"/>
      <c r="AU14" s="414"/>
      <c r="AV14" s="414"/>
      <c r="AW14" s="414"/>
      <c r="AX14" s="414"/>
      <c r="AY14" s="414"/>
      <c r="AZ14" s="414"/>
      <c r="BA14" s="414"/>
      <c r="BB14" s="414"/>
      <c r="BC14" s="414"/>
      <c r="BD14" s="414"/>
      <c r="BE14" s="414"/>
      <c r="BF14" s="414"/>
      <c r="BG14" s="414"/>
      <c r="BH14" s="414"/>
      <c r="BI14" s="414"/>
    </row>
    <row r="15" spans="1:61">
      <c r="A15" s="201" t="s">
        <v>104</v>
      </c>
      <c r="B15" s="272" t="s">
        <v>107</v>
      </c>
      <c r="C15" s="399">
        <f>'[1]LTTR Unit Costs  Final Adj.'!J12</f>
        <v>0.42395533138360503</v>
      </c>
      <c r="D15" s="114"/>
      <c r="E15" s="258">
        <f t="shared" si="0"/>
        <v>0.33158540552261778</v>
      </c>
      <c r="F15" s="2"/>
      <c r="G15" s="258">
        <f t="shared" si="1"/>
        <v>9.2369925860987218E-2</v>
      </c>
      <c r="H15" s="261"/>
      <c r="I15" s="414"/>
      <c r="J15" s="414"/>
      <c r="K15" s="414" t="s">
        <v>108</v>
      </c>
      <c r="L15" s="257"/>
      <c r="M15" s="414"/>
      <c r="N15" s="414"/>
      <c r="O15" s="414"/>
      <c r="P15" s="440"/>
      <c r="Q15" s="350"/>
      <c r="R15" s="414"/>
      <c r="S15" s="414"/>
      <c r="T15" s="414"/>
      <c r="U15" s="414"/>
      <c r="V15" s="414"/>
      <c r="W15" s="414"/>
      <c r="X15" s="414"/>
      <c r="Y15" s="414"/>
      <c r="Z15" s="414"/>
      <c r="AA15" s="414"/>
      <c r="AB15" s="414"/>
      <c r="AC15" s="414"/>
      <c r="AD15" s="414"/>
      <c r="AE15" s="414"/>
      <c r="AF15" s="414"/>
      <c r="AG15" s="414"/>
      <c r="AH15" s="414"/>
      <c r="AI15" s="414"/>
      <c r="AJ15" s="414"/>
      <c r="AK15" s="414"/>
      <c r="AL15" s="414"/>
      <c r="AM15" s="414"/>
      <c r="AN15" s="414"/>
      <c r="AO15" s="414"/>
      <c r="AP15" s="414"/>
      <c r="AQ15" s="414"/>
      <c r="AR15" s="414"/>
      <c r="AS15" s="414"/>
      <c r="AT15" s="414"/>
      <c r="AU15" s="414"/>
      <c r="AV15" s="414"/>
      <c r="AW15" s="414"/>
      <c r="AX15" s="414"/>
      <c r="AY15" s="414"/>
      <c r="AZ15" s="414"/>
      <c r="BA15" s="414"/>
      <c r="BB15" s="414"/>
      <c r="BC15" s="414"/>
      <c r="BD15" s="414"/>
      <c r="BE15" s="414"/>
      <c r="BF15" s="414"/>
      <c r="BG15" s="414"/>
      <c r="BH15" s="414"/>
      <c r="BI15" s="414"/>
    </row>
    <row r="16" spans="1:61">
      <c r="A16" s="201" t="s">
        <v>109</v>
      </c>
      <c r="B16" s="270" t="s">
        <v>110</v>
      </c>
      <c r="C16" s="399">
        <f>'[1]LTTR Unit Costs  Final Adj.'!J13</f>
        <v>8.5569915356465062E-3</v>
      </c>
      <c r="D16" s="114"/>
      <c r="E16" s="258">
        <f t="shared" si="0"/>
        <v>6.6926237232139687E-3</v>
      </c>
      <c r="F16" s="2"/>
      <c r="G16" s="258">
        <f t="shared" si="1"/>
        <v>1.8643678124325368E-3</v>
      </c>
      <c r="H16" s="261"/>
      <c r="I16" s="414"/>
      <c r="J16" s="414"/>
      <c r="K16" s="414" t="s">
        <v>111</v>
      </c>
      <c r="L16" s="257"/>
      <c r="M16" s="414"/>
      <c r="N16" s="414"/>
      <c r="O16" s="414"/>
      <c r="P16" s="440"/>
      <c r="Q16" s="350"/>
      <c r="R16" s="414"/>
      <c r="S16" s="414"/>
      <c r="T16" s="414"/>
      <c r="U16" s="414"/>
      <c r="V16" s="414"/>
      <c r="W16" s="414"/>
      <c r="X16" s="414"/>
      <c r="Y16" s="414"/>
      <c r="Z16" s="414"/>
      <c r="AA16" s="414"/>
      <c r="AB16" s="414"/>
      <c r="AC16" s="414"/>
      <c r="AD16" s="414"/>
      <c r="AE16" s="414"/>
      <c r="AF16" s="414"/>
      <c r="AG16" s="414"/>
      <c r="AH16" s="414"/>
      <c r="AI16" s="414"/>
      <c r="AJ16" s="414"/>
      <c r="AK16" s="414"/>
      <c r="AL16" s="414"/>
      <c r="AM16" s="414"/>
      <c r="AN16" s="414"/>
      <c r="AO16" s="414"/>
      <c r="AP16" s="414"/>
      <c r="AQ16" s="414"/>
      <c r="AR16" s="414"/>
      <c r="AS16" s="414"/>
      <c r="AT16" s="414"/>
      <c r="AU16" s="414"/>
      <c r="AV16" s="414"/>
      <c r="AW16" s="414"/>
      <c r="AX16" s="414"/>
      <c r="AY16" s="414"/>
      <c r="AZ16" s="414"/>
      <c r="BA16" s="414"/>
      <c r="BB16" s="414"/>
      <c r="BC16" s="414"/>
      <c r="BD16" s="414"/>
      <c r="BE16" s="414"/>
      <c r="BF16" s="414"/>
      <c r="BG16" s="414"/>
      <c r="BH16" s="414"/>
      <c r="BI16" s="414"/>
    </row>
    <row r="17" spans="1:17">
      <c r="A17" s="201" t="s">
        <v>109</v>
      </c>
      <c r="B17" s="267" t="s">
        <v>112</v>
      </c>
      <c r="C17" s="399">
        <f>'[1]LTTR Unit Costs  Final Adj.'!J14</f>
        <v>9.3758367636146603E-2</v>
      </c>
      <c r="D17" s="114"/>
      <c r="E17" s="258">
        <f>+C17</f>
        <v>9.3758367636146603E-2</v>
      </c>
      <c r="F17" s="2"/>
      <c r="G17" s="97"/>
      <c r="H17" s="261"/>
      <c r="I17" s="414"/>
      <c r="J17" s="414"/>
      <c r="K17" s="414"/>
      <c r="L17" s="273"/>
      <c r="M17" s="414"/>
      <c r="N17" s="414"/>
      <c r="O17" s="414"/>
      <c r="P17" s="440"/>
      <c r="Q17" s="350"/>
    </row>
    <row r="18" spans="1:17">
      <c r="A18" s="201" t="s">
        <v>109</v>
      </c>
      <c r="B18" s="270" t="s">
        <v>113</v>
      </c>
      <c r="C18" s="399">
        <f>'[1]LTTR Unit Costs  Final Adj.'!J15</f>
        <v>4.5205947692929547E-4</v>
      </c>
      <c r="D18" s="114"/>
      <c r="E18" s="258">
        <f t="shared" si="0"/>
        <v>3.535663167361212E-4</v>
      </c>
      <c r="F18" s="2"/>
      <c r="G18" s="258">
        <f t="shared" si="1"/>
        <v>9.8493160193174244E-5</v>
      </c>
      <c r="H18" s="261"/>
      <c r="I18" s="414"/>
      <c r="J18" s="414"/>
      <c r="K18" s="414"/>
      <c r="L18" s="257"/>
      <c r="M18" s="414"/>
      <c r="N18" s="414"/>
      <c r="O18" s="414"/>
      <c r="P18" s="440"/>
      <c r="Q18" s="350"/>
    </row>
    <row r="19" spans="1:17">
      <c r="A19" s="201" t="s">
        <v>109</v>
      </c>
      <c r="B19" s="270" t="s">
        <v>114</v>
      </c>
      <c r="C19" s="399">
        <f>'[1]LTTR Unit Costs  Final Adj.'!J16</f>
        <v>1.9743507850684221E-2</v>
      </c>
      <c r="D19" s="114"/>
      <c r="E19" s="258">
        <f t="shared" si="0"/>
        <v>1.5441860433132613E-2</v>
      </c>
      <c r="F19" s="2"/>
      <c r="G19" s="258">
        <f t="shared" si="1"/>
        <v>4.3016474175516075E-3</v>
      </c>
      <c r="H19" s="261"/>
      <c r="I19" s="414"/>
      <c r="J19" s="414"/>
      <c r="K19" s="414"/>
      <c r="L19" s="257"/>
      <c r="M19" s="414"/>
      <c r="N19" s="414"/>
      <c r="O19" s="414"/>
      <c r="P19" s="440"/>
      <c r="Q19" s="350"/>
    </row>
    <row r="20" spans="1:17">
      <c r="A20" s="201" t="s">
        <v>115</v>
      </c>
      <c r="B20" s="267" t="s">
        <v>116</v>
      </c>
      <c r="C20" s="399">
        <f>'[1]LTTR Unit Costs  Final Adj.'!J17</f>
        <v>2.2185469690552552E-2</v>
      </c>
      <c r="D20" s="114"/>
      <c r="E20" s="258">
        <f>+C20</f>
        <v>2.2185469690552552E-2</v>
      </c>
      <c r="F20" s="2"/>
      <c r="G20" s="97"/>
      <c r="H20" s="261"/>
      <c r="I20" s="414"/>
      <c r="J20" s="414"/>
      <c r="K20" s="414"/>
      <c r="L20" s="273"/>
      <c r="M20" s="414"/>
      <c r="N20" s="414"/>
      <c r="O20" s="414"/>
      <c r="P20" s="440"/>
      <c r="Q20" s="350"/>
    </row>
    <row r="21" spans="1:17">
      <c r="A21" s="201" t="s">
        <v>117</v>
      </c>
      <c r="B21" s="274" t="s">
        <v>118</v>
      </c>
      <c r="C21" s="399">
        <f>'[1]LTTR Unit Costs  Final Adj.'!J18</f>
        <v>8.6088139932699426E-2</v>
      </c>
      <c r="D21" s="275"/>
      <c r="E21" s="275"/>
      <c r="F21" s="275"/>
      <c r="G21" s="276">
        <f>C21</f>
        <v>8.6088139932699426E-2</v>
      </c>
      <c r="H21" s="261"/>
      <c r="I21" s="414"/>
      <c r="J21" s="414"/>
      <c r="K21" s="414"/>
      <c r="L21" s="257"/>
      <c r="M21" s="414"/>
      <c r="N21" s="414"/>
      <c r="O21" s="414"/>
      <c r="P21" s="440"/>
      <c r="Q21" s="350"/>
    </row>
    <row r="22" spans="1:17">
      <c r="A22" s="201" t="s">
        <v>117</v>
      </c>
      <c r="B22" s="272" t="s">
        <v>119</v>
      </c>
      <c r="C22" s="399">
        <f>'[1]LTTR Unit Costs  Final Adj.'!J19</f>
        <v>3.9376403143878302E-2</v>
      </c>
      <c r="D22" s="114"/>
      <c r="E22" s="258">
        <f>IF($M$10=1,$C22*E$80,0)</f>
        <v>3.0797208191423838E-2</v>
      </c>
      <c r="F22" s="2"/>
      <c r="G22" s="258">
        <f>IF($M$10=1,$C22*G$80,0)</f>
        <v>8.5791949524544608E-3</v>
      </c>
      <c r="H22" s="261"/>
      <c r="I22" s="414"/>
      <c r="J22" s="414"/>
      <c r="K22" s="414" t="s">
        <v>120</v>
      </c>
      <c r="L22" s="257"/>
      <c r="M22" s="414"/>
      <c r="N22" s="414"/>
      <c r="O22" s="414"/>
      <c r="P22" s="440"/>
      <c r="Q22" s="350"/>
    </row>
    <row r="23" spans="1:17" s="200" customFormat="1">
      <c r="A23" s="201"/>
      <c r="B23" s="201"/>
      <c r="C23" s="399"/>
      <c r="D23" s="114"/>
      <c r="E23" s="258"/>
      <c r="F23" s="2"/>
      <c r="G23" s="258"/>
      <c r="H23" s="291"/>
      <c r="I23" s="201"/>
      <c r="J23" s="414"/>
      <c r="K23" s="414"/>
      <c r="L23" s="257"/>
      <c r="M23" s="201"/>
      <c r="N23" s="414"/>
      <c r="O23" s="414"/>
      <c r="P23" s="399"/>
      <c r="Q23" s="350"/>
    </row>
    <row r="24" spans="1:17">
      <c r="A24" s="201" t="s">
        <v>117</v>
      </c>
      <c r="B24" s="274" t="s">
        <v>121</v>
      </c>
      <c r="C24" s="399">
        <f>'[1]LTTR Unit Costs  Final Adj.'!J20</f>
        <v>0</v>
      </c>
      <c r="D24" s="275"/>
      <c r="E24" s="276"/>
      <c r="F24" s="275"/>
      <c r="G24" s="276">
        <f>C24</f>
        <v>0</v>
      </c>
      <c r="H24" s="261"/>
      <c r="I24" s="414"/>
      <c r="J24" s="414"/>
      <c r="K24" s="414"/>
      <c r="L24" s="257"/>
      <c r="M24" s="414"/>
      <c r="N24" s="414"/>
      <c r="O24" s="414"/>
      <c r="P24" s="440"/>
      <c r="Q24" s="350"/>
    </row>
    <row r="25" spans="1:17">
      <c r="A25" s="201" t="s">
        <v>117</v>
      </c>
      <c r="B25" s="274" t="s">
        <v>122</v>
      </c>
      <c r="C25" s="399">
        <f>'[1]LTTR Unit Costs  Final Adj.'!J21</f>
        <v>3.3370231158472742E-2</v>
      </c>
      <c r="D25" s="114"/>
      <c r="E25" s="258"/>
      <c r="F25" s="2"/>
      <c r="G25" s="97">
        <f>C25</f>
        <v>3.3370231158472742E-2</v>
      </c>
      <c r="H25" s="261"/>
      <c r="I25" s="414"/>
      <c r="J25" s="414"/>
      <c r="K25" s="414"/>
      <c r="L25" s="257"/>
      <c r="M25" s="414"/>
      <c r="N25" s="414"/>
      <c r="O25" s="414"/>
      <c r="P25" s="440"/>
      <c r="Q25" s="350"/>
    </row>
    <row r="26" spans="1:17" s="200" customFormat="1">
      <c r="A26" s="201" t="s">
        <v>117</v>
      </c>
      <c r="B26" s="274" t="s">
        <v>123</v>
      </c>
      <c r="C26" s="399">
        <f>'[1]LTTR Unit Costs  Final Adj.'!J22</f>
        <v>8.2179789818053101E-2</v>
      </c>
      <c r="D26" s="114"/>
      <c r="E26" s="258"/>
      <c r="F26" s="2"/>
      <c r="G26" s="97">
        <f>C26</f>
        <v>8.2179789818053101E-2</v>
      </c>
      <c r="H26" s="291"/>
      <c r="I26" s="201"/>
      <c r="J26" s="414"/>
      <c r="K26" s="414"/>
      <c r="L26" s="257"/>
      <c r="M26" s="201"/>
      <c r="N26" s="414"/>
      <c r="O26" s="414"/>
      <c r="P26" s="440"/>
      <c r="Q26" s="350"/>
    </row>
    <row r="27" spans="1:17">
      <c r="A27" s="201" t="s">
        <v>117</v>
      </c>
      <c r="B27" s="272" t="s">
        <v>124</v>
      </c>
      <c r="C27" s="399">
        <f>'[1]LTTR Unit Costs  Final Adj.'!J23</f>
        <v>1.1218315494259045E-2</v>
      </c>
      <c r="D27" s="114"/>
      <c r="E27" s="258">
        <f>IF($M$10=1,$C27*E$80,0)</f>
        <v>8.7741075936105164E-3</v>
      </c>
      <c r="F27" s="2"/>
      <c r="G27" s="258">
        <f>IF($M$10=1,$C27*G$80,0)</f>
        <v>2.4442079006485274E-3</v>
      </c>
      <c r="H27" s="261"/>
      <c r="I27" s="199"/>
      <c r="J27" s="199"/>
      <c r="K27" s="199"/>
      <c r="L27" s="257"/>
      <c r="M27" s="414"/>
      <c r="N27" s="414"/>
      <c r="O27" s="414"/>
      <c r="P27" s="440"/>
      <c r="Q27" s="350"/>
    </row>
    <row r="28" spans="1:17">
      <c r="A28" s="201" t="s">
        <v>117</v>
      </c>
      <c r="B28" s="272" t="s">
        <v>125</v>
      </c>
      <c r="C28" s="399">
        <f>'[1]LTTR Unit Costs  Final Adj.'!J24</f>
        <v>0.651245329176809</v>
      </c>
      <c r="D28" s="114"/>
      <c r="E28" s="258"/>
      <c r="F28" s="2"/>
      <c r="G28" s="258">
        <f>C28</f>
        <v>0.651245329176809</v>
      </c>
      <c r="H28" s="261"/>
      <c r="I28" s="199"/>
      <c r="J28" s="199"/>
      <c r="K28" s="199"/>
      <c r="L28" s="257"/>
      <c r="M28" s="414"/>
      <c r="N28" s="414"/>
      <c r="O28" s="414"/>
      <c r="P28" s="440"/>
      <c r="Q28" s="350"/>
    </row>
    <row r="29" spans="1:17">
      <c r="A29" s="201" t="s">
        <v>117</v>
      </c>
      <c r="B29" s="274" t="s">
        <v>126</v>
      </c>
      <c r="C29" s="399">
        <f>'[1]LTTR Unit Costs  Final Adj.'!J25</f>
        <v>2.4506864065075894E-3</v>
      </c>
      <c r="D29" s="114"/>
      <c r="E29" s="258"/>
      <c r="F29" s="441"/>
      <c r="G29" s="258">
        <f>C29</f>
        <v>2.4506864065075894E-3</v>
      </c>
      <c r="H29" s="261"/>
      <c r="I29" s="199"/>
      <c r="J29" s="199"/>
      <c r="K29" s="199"/>
      <c r="L29" s="257"/>
      <c r="M29" s="414"/>
      <c r="N29" s="414"/>
      <c r="O29" s="414"/>
      <c r="P29" s="440"/>
      <c r="Q29" s="350"/>
    </row>
    <row r="30" spans="1:17">
      <c r="A30" s="201" t="s">
        <v>117</v>
      </c>
      <c r="B30" s="272" t="s">
        <v>127</v>
      </c>
      <c r="C30" s="399">
        <f>'[1]LTTR Unit Costs  Final Adj.'!J26</f>
        <v>7.9116240988346097E-3</v>
      </c>
      <c r="D30" s="114"/>
      <c r="E30" s="258">
        <f>IF($M$10=1,$C30*E$80,0)</f>
        <v>6.1878667183946617E-3</v>
      </c>
      <c r="F30" s="2"/>
      <c r="G30" s="258">
        <f>IF($M$10=1,$C30*G$80,0)</f>
        <v>1.7237573804399471E-3</v>
      </c>
      <c r="H30" s="261"/>
      <c r="I30" s="199"/>
      <c r="J30" s="199"/>
      <c r="K30" s="199"/>
      <c r="L30" s="257"/>
      <c r="M30" s="414"/>
      <c r="N30" s="414"/>
      <c r="O30" s="414"/>
      <c r="P30" s="440"/>
      <c r="Q30" s="350"/>
    </row>
    <row r="31" spans="1:17">
      <c r="A31" s="201" t="s">
        <v>117</v>
      </c>
      <c r="B31" s="272" t="s">
        <v>128</v>
      </c>
      <c r="C31" s="399">
        <f>'[1]LTTR Unit Costs  Final Adj.'!J27</f>
        <v>3.0909372424204815E-3</v>
      </c>
      <c r="D31" s="114"/>
      <c r="E31" s="258">
        <f>IF($M$10=1,$C31*E$80,0)</f>
        <v>2.4174944931771463E-3</v>
      </c>
      <c r="F31" s="2"/>
      <c r="G31" s="258">
        <f>IF($M$10=1,$C31*G$80,0)</f>
        <v>6.7344274924333503E-4</v>
      </c>
      <c r="H31" s="261"/>
      <c r="I31" s="199"/>
      <c r="J31" s="199"/>
      <c r="K31" s="199"/>
      <c r="L31" s="257"/>
      <c r="M31" s="414"/>
      <c r="N31" s="414"/>
      <c r="O31" s="414"/>
      <c r="P31" s="440"/>
      <c r="Q31" s="350"/>
    </row>
    <row r="32" spans="1:17">
      <c r="A32" s="201" t="s">
        <v>117</v>
      </c>
      <c r="B32" s="270" t="s">
        <v>129</v>
      </c>
      <c r="C32" s="399">
        <f>'[1]LTTR Unit Costs  Final Adj.'!J28</f>
        <v>2.2259349900754091E-2</v>
      </c>
      <c r="D32" s="114"/>
      <c r="E32" s="258">
        <f>IF($M$10=1,$C32*E$80,0)</f>
        <v>1.7409559491617745E-2</v>
      </c>
      <c r="F32" s="2"/>
      <c r="G32" s="258">
        <f>IF($M$10=1,$C32*G$80,0)</f>
        <v>4.8497904091363451E-3</v>
      </c>
      <c r="H32" s="261"/>
      <c r="I32" s="414"/>
      <c r="J32" s="414"/>
      <c r="K32" s="414"/>
      <c r="L32" s="257"/>
      <c r="M32" s="414"/>
      <c r="N32" s="414"/>
      <c r="O32" s="414"/>
      <c r="P32" s="440"/>
      <c r="Q32" s="350"/>
    </row>
    <row r="33" spans="1:17">
      <c r="A33" s="201" t="s">
        <v>130</v>
      </c>
      <c r="B33" s="359" t="s">
        <v>131</v>
      </c>
      <c r="C33" s="399">
        <f>'[1]LTTR Unit Costs  Final Adj.'!J29</f>
        <v>6.6310084301147553E-4</v>
      </c>
      <c r="D33" s="114"/>
      <c r="E33" s="114"/>
      <c r="F33" s="2"/>
      <c r="G33" s="97">
        <f>C33</f>
        <v>6.6310084301147553E-4</v>
      </c>
      <c r="H33" s="261"/>
      <c r="I33" s="199"/>
      <c r="J33" s="199"/>
      <c r="K33" s="199"/>
      <c r="L33" s="442"/>
      <c r="M33" s="414"/>
      <c r="N33" s="414"/>
      <c r="O33" s="414"/>
      <c r="P33" s="440"/>
      <c r="Q33" s="350"/>
    </row>
    <row r="34" spans="1:17">
      <c r="A34" s="201" t="s">
        <v>130</v>
      </c>
      <c r="B34" s="270" t="s">
        <v>132</v>
      </c>
      <c r="C34" s="399">
        <f>'[1]LTTR Unit Costs  Final Adj.'!J30</f>
        <v>2.571012996572026E-3</v>
      </c>
      <c r="D34" s="114"/>
      <c r="E34" s="258">
        <f>IF($M$10=1,$C34*E$80,0)</f>
        <v>2.0108495493853904E-3</v>
      </c>
      <c r="F34" s="2"/>
      <c r="G34" s="258">
        <f>IF($M$10=1,$C34*G$80,0)</f>
        <v>5.6016344718663551E-4</v>
      </c>
      <c r="H34" s="261"/>
      <c r="I34" s="199"/>
      <c r="J34" s="199"/>
      <c r="K34" s="199"/>
      <c r="L34" s="442"/>
      <c r="M34" s="414"/>
      <c r="N34" s="414"/>
      <c r="O34" s="414"/>
      <c r="P34" s="440"/>
      <c r="Q34" s="350"/>
    </row>
    <row r="35" spans="1:17">
      <c r="A35" s="201" t="s">
        <v>130</v>
      </c>
      <c r="B35" s="359" t="s">
        <v>133</v>
      </c>
      <c r="C35" s="399">
        <f>'[1]LTTR Unit Costs  Final Adj.'!J31</f>
        <v>2.3272978510975153E-3</v>
      </c>
      <c r="D35" s="114"/>
      <c r="E35" s="114"/>
      <c r="F35" s="2"/>
      <c r="G35" s="97">
        <f>C35</f>
        <v>2.3272978510975153E-3</v>
      </c>
      <c r="H35" s="261"/>
      <c r="I35" s="414"/>
      <c r="J35" s="414"/>
      <c r="K35" s="414"/>
      <c r="L35" s="277"/>
      <c r="M35" s="414"/>
      <c r="N35" s="414"/>
      <c r="O35" s="414"/>
      <c r="P35" s="440"/>
      <c r="Q35" s="350"/>
    </row>
    <row r="36" spans="1:17">
      <c r="A36" s="201" t="s">
        <v>130</v>
      </c>
      <c r="B36" s="270" t="s">
        <v>134</v>
      </c>
      <c r="C36" s="399">
        <f>'[1]LTTR Unit Costs  Final Adj.'!J32</f>
        <v>2.7783630612658382E-3</v>
      </c>
      <c r="D36" s="114"/>
      <c r="E36" s="258">
        <f>IF($M$10=1,$C36*E$80,0)</f>
        <v>2.1730228968988062E-3</v>
      </c>
      <c r="F36" s="2"/>
      <c r="G36" s="258">
        <f>IF($M$10=1,$C36*G$80,0)</f>
        <v>6.0534016436703192E-4</v>
      </c>
      <c r="H36" s="261"/>
      <c r="I36" s="414"/>
      <c r="J36" s="414"/>
      <c r="K36" s="414"/>
      <c r="L36" s="257"/>
      <c r="M36" s="414"/>
      <c r="N36" s="414"/>
      <c r="O36" s="414"/>
      <c r="P36" s="440"/>
      <c r="Q36" s="350"/>
    </row>
    <row r="37" spans="1:17">
      <c r="A37" s="201" t="s">
        <v>130</v>
      </c>
      <c r="B37" s="272" t="s">
        <v>135</v>
      </c>
      <c r="C37" s="399">
        <f>'[1]LTTR Unit Costs  Final Adj.'!J33</f>
        <v>4.5165054241720848E-2</v>
      </c>
      <c r="D37" s="114"/>
      <c r="E37" s="258">
        <f>IF($M$10=1,$C37*E$80,0)</f>
        <v>3.5324647946557659E-2</v>
      </c>
      <c r="F37" s="2"/>
      <c r="G37" s="258">
        <f>IF($M$10=1,$C37*G$80,0)</f>
        <v>9.840406295163185E-3</v>
      </c>
      <c r="H37" s="261"/>
      <c r="I37" s="414"/>
      <c r="J37" s="414"/>
      <c r="K37" s="414"/>
      <c r="L37" s="257"/>
      <c r="M37" s="414"/>
      <c r="N37" s="414"/>
      <c r="O37" s="414"/>
      <c r="P37" s="440"/>
      <c r="Q37" s="350"/>
    </row>
    <row r="38" spans="1:17">
      <c r="A38" s="201" t="s">
        <v>130</v>
      </c>
      <c r="B38" s="272" t="s">
        <v>136</v>
      </c>
      <c r="C38" s="399">
        <f>'[1]LTTR Unit Costs  Final Adj.'!J34</f>
        <v>2.3438400104758284E-2</v>
      </c>
      <c r="D38" s="114"/>
      <c r="E38" s="258">
        <f>IF($M$10=1,$C38*E$80,0)</f>
        <v>1.8331722302379779E-2</v>
      </c>
      <c r="F38" s="2"/>
      <c r="G38" s="258">
        <f>IF($M$10=1,$C38*G$80,0)</f>
        <v>5.1066778023785018E-3</v>
      </c>
      <c r="H38" s="261"/>
      <c r="I38" s="414"/>
      <c r="J38" s="414"/>
      <c r="K38" s="414"/>
      <c r="L38" s="257"/>
      <c r="M38" s="414"/>
      <c r="N38" s="414"/>
      <c r="O38" s="414"/>
      <c r="P38" s="440"/>
      <c r="Q38" s="350"/>
    </row>
    <row r="39" spans="1:17">
      <c r="A39" s="201" t="s">
        <v>130</v>
      </c>
      <c r="B39" s="272" t="s">
        <v>137</v>
      </c>
      <c r="C39" s="399">
        <f>'[1]LTTR Unit Costs  Final Adj.'!J35</f>
        <v>1.7635838609949064E-2</v>
      </c>
      <c r="D39" s="114"/>
      <c r="E39" s="258">
        <f>IF($M$10=1,$C39*E$80,0)</f>
        <v>1.3793402899609208E-2</v>
      </c>
      <c r="F39" s="2"/>
      <c r="G39" s="258">
        <f>IF($M$10=1,$C39*G$80,0)</f>
        <v>3.8424357103398546E-3</v>
      </c>
      <c r="H39" s="261"/>
      <c r="I39" s="414"/>
      <c r="J39" s="414"/>
      <c r="K39" s="414"/>
      <c r="L39" s="277"/>
      <c r="M39" s="414"/>
      <c r="N39" s="414"/>
      <c r="O39" s="414"/>
      <c r="P39" s="440"/>
      <c r="Q39" s="350"/>
    </row>
    <row r="40" spans="1:17" ht="15" customHeight="1">
      <c r="A40" s="201" t="s">
        <v>138</v>
      </c>
      <c r="B40" s="270" t="s">
        <v>139</v>
      </c>
      <c r="C40" s="399">
        <f>'[1]LTTR Unit Costs  Final Adj.'!J36</f>
        <v>5.9656027504609928E-4</v>
      </c>
      <c r="D40" s="114"/>
      <c r="E40" s="258">
        <f>IF($M$10=1,$C40*E$80,0)</f>
        <v>4.6658377917852234E-4</v>
      </c>
      <c r="F40" s="2"/>
      <c r="G40" s="258">
        <f>IF($M$10=1,$C40*G$80,0)</f>
        <v>1.2997649586757689E-4</v>
      </c>
      <c r="H40" s="261"/>
      <c r="I40" s="414"/>
      <c r="J40" s="414"/>
      <c r="K40" s="414"/>
      <c r="L40" s="277"/>
      <c r="M40" s="414"/>
      <c r="N40" s="414"/>
      <c r="O40" s="414"/>
      <c r="P40" s="440"/>
      <c r="Q40" s="350"/>
    </row>
    <row r="41" spans="1:17" ht="15" customHeight="1">
      <c r="A41" s="201"/>
      <c r="B41" s="201"/>
      <c r="C41" s="399"/>
      <c r="D41" s="114"/>
      <c r="E41" s="258"/>
      <c r="F41" s="2"/>
      <c r="G41" s="97"/>
      <c r="H41" s="261"/>
      <c r="I41" s="414"/>
      <c r="J41" s="414"/>
      <c r="K41" s="414"/>
      <c r="L41" s="277"/>
      <c r="M41" s="414"/>
      <c r="N41" s="414"/>
      <c r="O41" s="414"/>
      <c r="P41" s="440"/>
      <c r="Q41" s="350"/>
    </row>
    <row r="42" spans="1:17" ht="15" customHeight="1">
      <c r="A42" s="201"/>
      <c r="B42" s="201"/>
      <c r="C42" s="399"/>
      <c r="D42" s="114"/>
      <c r="E42" s="258"/>
      <c r="F42" s="2"/>
      <c r="G42" s="97"/>
      <c r="H42" s="261"/>
      <c r="I42" s="414"/>
      <c r="J42" s="414"/>
      <c r="K42" s="414"/>
      <c r="L42" s="277"/>
      <c r="M42" s="414"/>
      <c r="N42" s="414"/>
      <c r="O42" s="414"/>
      <c r="P42" s="440"/>
      <c r="Q42" s="350"/>
    </row>
    <row r="43" spans="1:17" ht="15" customHeight="1">
      <c r="A43" s="201"/>
      <c r="B43" s="201"/>
      <c r="C43" s="399"/>
      <c r="D43" s="114"/>
      <c r="E43" s="258"/>
      <c r="F43" s="2"/>
      <c r="G43" s="97"/>
      <c r="H43" s="261"/>
      <c r="I43" s="414"/>
      <c r="J43" s="414"/>
      <c r="K43" s="414"/>
      <c r="L43" s="277"/>
      <c r="M43" s="414"/>
      <c r="N43" s="414"/>
      <c r="O43" s="414"/>
      <c r="P43" s="440"/>
      <c r="Q43" s="350"/>
    </row>
    <row r="44" spans="1:17" ht="15" customHeight="1">
      <c r="A44" s="201"/>
      <c r="B44" s="201"/>
      <c r="C44" s="399"/>
      <c r="D44" s="114"/>
      <c r="E44" s="258"/>
      <c r="F44" s="2"/>
      <c r="G44" s="97"/>
      <c r="H44" s="261"/>
      <c r="I44" s="414"/>
      <c r="J44" s="414"/>
      <c r="K44" s="414"/>
      <c r="L44" s="277"/>
      <c r="M44" s="414"/>
      <c r="N44" s="414"/>
      <c r="O44" s="414"/>
      <c r="P44" s="440"/>
      <c r="Q44" s="350"/>
    </row>
    <row r="45" spans="1:17" ht="15" customHeight="1">
      <c r="A45" s="201"/>
      <c r="B45" s="201"/>
      <c r="C45" s="399"/>
      <c r="D45" s="114"/>
      <c r="E45" s="258"/>
      <c r="F45" s="2"/>
      <c r="G45" s="258"/>
      <c r="H45" s="261"/>
      <c r="I45" s="414"/>
      <c r="J45" s="414"/>
      <c r="K45" s="414"/>
      <c r="L45" s="257"/>
      <c r="M45" s="414"/>
      <c r="N45" s="414"/>
      <c r="O45" s="414"/>
      <c r="P45" s="440"/>
      <c r="Q45" s="350"/>
    </row>
    <row r="46" spans="1:17" ht="15" customHeight="1">
      <c r="A46" s="201"/>
      <c r="B46" s="201"/>
      <c r="C46" s="399"/>
      <c r="D46" s="114"/>
      <c r="E46" s="278"/>
      <c r="F46" s="2"/>
      <c r="G46" s="258"/>
      <c r="H46" s="261"/>
      <c r="I46" s="414"/>
      <c r="J46" s="414"/>
      <c r="K46" s="414"/>
      <c r="L46" s="257"/>
      <c r="M46" s="414"/>
      <c r="N46" s="414"/>
      <c r="O46" s="414"/>
      <c r="P46" s="440"/>
      <c r="Q46" s="350"/>
    </row>
    <row r="47" spans="1:17" ht="15" customHeight="1">
      <c r="A47" s="201"/>
      <c r="B47" s="201"/>
      <c r="C47" s="399"/>
      <c r="D47" s="114"/>
      <c r="E47" s="278"/>
      <c r="F47" s="2"/>
      <c r="G47" s="258"/>
      <c r="H47" s="261"/>
      <c r="I47" s="414"/>
      <c r="J47" s="414"/>
      <c r="K47" s="414"/>
      <c r="L47" s="257"/>
      <c r="M47" s="414"/>
      <c r="N47" s="414"/>
      <c r="O47" s="414"/>
      <c r="P47" s="440"/>
      <c r="Q47" s="350"/>
    </row>
    <row r="48" spans="1:17" ht="15" customHeight="1">
      <c r="A48" s="201"/>
      <c r="B48" s="201"/>
      <c r="C48" s="399"/>
      <c r="D48" s="114"/>
      <c r="E48" s="258"/>
      <c r="F48" s="2"/>
      <c r="G48" s="97"/>
      <c r="H48" s="261"/>
      <c r="I48" s="414"/>
      <c r="J48" s="414"/>
      <c r="K48" s="414"/>
      <c r="L48" s="442"/>
      <c r="M48" s="414"/>
      <c r="N48" s="414"/>
      <c r="O48" s="414"/>
      <c r="P48" s="440"/>
      <c r="Q48" s="350"/>
    </row>
    <row r="49" spans="1:17" ht="15" customHeight="1">
      <c r="A49" s="201"/>
      <c r="B49" s="201"/>
      <c r="C49" s="399"/>
      <c r="D49" s="114"/>
      <c r="E49" s="258"/>
      <c r="F49" s="2"/>
      <c r="G49" s="97"/>
      <c r="H49" s="261"/>
      <c r="I49" s="414"/>
      <c r="J49" s="414"/>
      <c r="K49" s="414"/>
      <c r="L49" s="442"/>
      <c r="M49" s="414"/>
      <c r="N49" s="414"/>
      <c r="O49" s="414"/>
      <c r="P49" s="440"/>
      <c r="Q49" s="350"/>
    </row>
    <row r="50" spans="1:17" ht="15" customHeight="1">
      <c r="A50" s="201"/>
      <c r="B50" s="201"/>
      <c r="C50" s="399"/>
      <c r="D50" s="114"/>
      <c r="E50" s="258"/>
      <c r="F50" s="2"/>
      <c r="G50" s="97"/>
      <c r="H50" s="261"/>
      <c r="I50" s="414"/>
      <c r="J50" s="414"/>
      <c r="K50" s="414"/>
      <c r="L50" s="442"/>
      <c r="M50" s="414"/>
      <c r="N50" s="414"/>
      <c r="O50" s="414"/>
      <c r="P50" s="440"/>
      <c r="Q50" s="350"/>
    </row>
    <row r="51" spans="1:17" ht="15" customHeight="1">
      <c r="A51" s="360" t="s">
        <v>140</v>
      </c>
      <c r="B51" s="360"/>
      <c r="C51" s="116">
        <f>SUM(C7:C50)</f>
        <v>4.4128485053333781</v>
      </c>
      <c r="D51" s="116"/>
      <c r="E51" s="116">
        <f>SUM(E7:E50)</f>
        <v>3.3723162635295645</v>
      </c>
      <c r="F51" s="116"/>
      <c r="G51" s="116">
        <f>SUM(G7:G50)</f>
        <v>1.0405322418038143</v>
      </c>
      <c r="H51" s="261"/>
      <c r="I51" s="414"/>
      <c r="J51" s="414"/>
      <c r="K51" s="414"/>
      <c r="L51" s="442"/>
      <c r="M51" s="414"/>
      <c r="N51" s="414"/>
      <c r="O51" s="414"/>
      <c r="Q51" s="350"/>
    </row>
    <row r="52" spans="1:17" ht="12.95">
      <c r="A52" s="32" t="s">
        <v>141</v>
      </c>
      <c r="B52" s="361" t="s">
        <v>97</v>
      </c>
      <c r="C52" s="399">
        <v>0</v>
      </c>
      <c r="D52" s="93"/>
      <c r="E52" s="258">
        <f>IF($M$10=1,$C52*E$80,0)</f>
        <v>0</v>
      </c>
      <c r="F52" s="2"/>
      <c r="G52" s="258">
        <f>IF($M$10=1,$C52*G$80,0)</f>
        <v>0</v>
      </c>
      <c r="H52" s="261"/>
      <c r="I52" s="414"/>
      <c r="J52" s="414"/>
      <c r="K52" s="414"/>
      <c r="L52" s="442"/>
      <c r="M52" s="414"/>
      <c r="N52" s="414"/>
      <c r="O52" s="414"/>
      <c r="P52" s="440"/>
      <c r="Q52" s="350"/>
    </row>
    <row r="53" spans="1:17" ht="12.95">
      <c r="A53" s="32" t="s">
        <v>141</v>
      </c>
      <c r="B53" s="361" t="s">
        <v>113</v>
      </c>
      <c r="C53" s="399">
        <f>'[1]LTTR Unit Costs  Final Adj.'!$J$38</f>
        <v>4.2227383099128883E-6</v>
      </c>
      <c r="D53" s="93"/>
      <c r="E53" s="258">
        <f>IF($M$10=1,$C53*E$80,0)</f>
        <v>3.3027026463819257E-6</v>
      </c>
      <c r="F53" s="2"/>
      <c r="G53" s="258">
        <f>IF($M$10=1,$C53*G$80,0)</f>
        <v>9.2003566353096204E-7</v>
      </c>
      <c r="H53" s="261"/>
      <c r="I53" s="414"/>
      <c r="J53" s="414"/>
      <c r="K53" s="414"/>
      <c r="L53" s="414"/>
      <c r="M53" s="414"/>
      <c r="N53" s="414"/>
      <c r="O53" s="414"/>
      <c r="P53" s="440"/>
      <c r="Q53" s="350"/>
    </row>
    <row r="54" spans="1:17" s="39" customFormat="1" ht="12.95">
      <c r="A54" s="414"/>
      <c r="B54" s="414"/>
      <c r="C54" s="399"/>
      <c r="D54" s="114"/>
      <c r="E54" s="258"/>
      <c r="F54" s="2"/>
      <c r="G54" s="258"/>
      <c r="H54" s="261"/>
      <c r="I54" s="414"/>
      <c r="J54" s="414"/>
      <c r="K54" s="414"/>
      <c r="L54" s="414"/>
      <c r="N54" s="414"/>
      <c r="O54" s="414"/>
      <c r="P54" s="399"/>
      <c r="Q54" s="350"/>
    </row>
    <row r="55" spans="1:17" s="39" customFormat="1" ht="12.95">
      <c r="A55" s="414" t="s">
        <v>141</v>
      </c>
      <c r="B55" s="271" t="s">
        <v>142</v>
      </c>
      <c r="C55" s="399">
        <f>'[1]LTTR Unit Costs  Final Adj.'!J39</f>
        <v>2.6244234712704253E-3</v>
      </c>
      <c r="D55" s="114"/>
      <c r="E55" s="258"/>
      <c r="F55" s="2"/>
      <c r="G55" s="258">
        <f>C55</f>
        <v>2.6244234712704253E-3</v>
      </c>
      <c r="H55" s="261"/>
      <c r="I55" s="414"/>
      <c r="J55" s="414"/>
      <c r="K55" s="414"/>
      <c r="L55" s="414"/>
      <c r="N55" s="414"/>
      <c r="O55" s="414"/>
      <c r="P55" s="440"/>
      <c r="Q55" s="350"/>
    </row>
    <row r="56" spans="1:17">
      <c r="A56" s="414" t="s">
        <v>141</v>
      </c>
      <c r="B56" s="271" t="s">
        <v>143</v>
      </c>
      <c r="C56" s="399">
        <f>'[1]LTTR Unit Costs  Final Adj.'!J40</f>
        <v>3.7439883014413533E-2</v>
      </c>
      <c r="D56" s="114"/>
      <c r="E56" s="258"/>
      <c r="F56" s="2"/>
      <c r="G56" s="258">
        <f>C56</f>
        <v>3.7439883014413533E-2</v>
      </c>
      <c r="H56" s="261"/>
      <c r="I56" s="414"/>
      <c r="J56" s="414"/>
      <c r="K56" s="414"/>
      <c r="L56" s="257"/>
      <c r="M56" s="414"/>
      <c r="N56" s="414"/>
      <c r="O56" s="414"/>
      <c r="P56" s="440"/>
      <c r="Q56" s="350"/>
    </row>
    <row r="57" spans="1:17">
      <c r="A57" s="414" t="s">
        <v>141</v>
      </c>
      <c r="B57" s="271" t="s">
        <v>144</v>
      </c>
      <c r="C57" s="399">
        <f>'[1]LTTR Unit Costs  Final Adj.'!J41</f>
        <v>1.0698661546396568E-3</v>
      </c>
      <c r="D57" s="114"/>
      <c r="E57" s="258">
        <f>IF($M$10=1,$C57*E$80,0)</f>
        <v>8.3676740562115047E-4</v>
      </c>
      <c r="F57" s="2"/>
      <c r="G57" s="258">
        <f>IF($M$10=1,$C57*G$80,0)</f>
        <v>2.3309874901850623E-4</v>
      </c>
      <c r="H57" s="261"/>
      <c r="I57" s="414"/>
      <c r="J57" s="414"/>
      <c r="K57" s="414"/>
      <c r="L57" s="257"/>
      <c r="M57" s="414"/>
      <c r="N57" s="414"/>
      <c r="O57" s="414"/>
      <c r="P57" s="440"/>
      <c r="Q57" s="350"/>
    </row>
    <row r="58" spans="1:17">
      <c r="A58" s="414" t="s">
        <v>141</v>
      </c>
      <c r="B58" s="271" t="s">
        <v>145</v>
      </c>
      <c r="C58" s="399">
        <f>'[1]LTTR Unit Costs  Final Adj.'!J42</f>
        <v>5.9614630135474246E-3</v>
      </c>
      <c r="D58" s="114"/>
      <c r="E58" s="258">
        <f>C58</f>
        <v>5.9614630135474246E-3</v>
      </c>
      <c r="F58" s="2"/>
      <c r="G58" s="258"/>
      <c r="H58" s="261"/>
      <c r="I58" s="414"/>
      <c r="J58" s="414"/>
      <c r="K58" s="414"/>
      <c r="L58" s="414"/>
      <c r="M58" s="414"/>
      <c r="N58" s="414"/>
      <c r="O58" s="414"/>
      <c r="P58" s="440"/>
      <c r="Q58" s="350"/>
    </row>
    <row r="59" spans="1:17" ht="12.95">
      <c r="A59" s="414" t="s">
        <v>141</v>
      </c>
      <c r="B59" s="271" t="s">
        <v>146</v>
      </c>
      <c r="C59" s="399">
        <f>'[1]LTTR Unit Costs  Final Adj.'!J43</f>
        <v>7.4053671969498526E-3</v>
      </c>
      <c r="D59" s="114"/>
      <c r="E59" s="258">
        <f>IF($M$10=1,$C59*E$80,0)</f>
        <v>5.7919113247869546E-3</v>
      </c>
      <c r="F59" s="2"/>
      <c r="G59" s="258">
        <f>IF($M$10=1,$C59*G$80,0)</f>
        <v>1.6134558721628972E-3</v>
      </c>
      <c r="H59" s="261"/>
      <c r="I59" s="93"/>
      <c r="J59" s="414"/>
      <c r="K59" s="414"/>
      <c r="L59" s="414"/>
      <c r="M59" s="414"/>
      <c r="N59" s="414"/>
      <c r="O59" s="414"/>
      <c r="P59" s="440"/>
      <c r="Q59" s="350"/>
    </row>
    <row r="60" spans="1:17">
      <c r="A60" s="414" t="s">
        <v>141</v>
      </c>
      <c r="B60" s="271" t="s">
        <v>147</v>
      </c>
      <c r="C60" s="399">
        <f>'[1]LTTR Unit Costs  Final Adj.'!J44</f>
        <v>2.9664508964550307E-2</v>
      </c>
      <c r="D60" s="114"/>
      <c r="E60" s="258">
        <f>IF($M$10=1,$C60*E$80,0)</f>
        <v>2.3201308030584962E-2</v>
      </c>
      <c r="F60" s="2"/>
      <c r="G60" s="258">
        <f>IF($M$10=1,$C60*G$80,0)</f>
        <v>6.4632009339653431E-3</v>
      </c>
      <c r="H60" s="261"/>
      <c r="I60" s="414"/>
      <c r="J60" s="414"/>
      <c r="K60" s="414"/>
      <c r="L60" s="414"/>
      <c r="M60" s="414"/>
      <c r="N60" s="414"/>
      <c r="O60" s="32"/>
      <c r="P60" s="440"/>
      <c r="Q60" s="350"/>
    </row>
    <row r="61" spans="1:17" ht="12.95">
      <c r="A61" s="54" t="s">
        <v>148</v>
      </c>
      <c r="B61" s="417"/>
      <c r="C61" s="116">
        <f t="shared" ref="C61" si="2">SUM(C52:C60)</f>
        <v>8.4169734553681125E-2</v>
      </c>
      <c r="D61" s="116"/>
      <c r="E61" s="116">
        <f>SUM(E52:E60)</f>
        <v>3.5794752477186872E-2</v>
      </c>
      <c r="F61" s="116"/>
      <c r="G61" s="116">
        <f>SUM(G52:G60)</f>
        <v>4.8374982076494238E-2</v>
      </c>
      <c r="H61" s="261"/>
      <c r="I61" s="414"/>
      <c r="J61" s="414"/>
      <c r="K61" s="414"/>
      <c r="L61" s="257"/>
      <c r="M61" s="414"/>
      <c r="N61" s="414"/>
      <c r="O61" s="414"/>
      <c r="Q61" s="350"/>
    </row>
    <row r="62" spans="1:17">
      <c r="A62" s="414" t="s">
        <v>149</v>
      </c>
      <c r="B62" s="68" t="s">
        <v>150</v>
      </c>
      <c r="C62" s="399">
        <f>'[1]LTTR Unit Costs  Final Adj.'!J45</f>
        <v>0.21287522555359084</v>
      </c>
      <c r="D62" s="114"/>
      <c r="E62" s="258">
        <f>IF($M$10=1,$C62*E$80,0)</f>
        <v>0.16649470537507627</v>
      </c>
      <c r="F62" s="2"/>
      <c r="G62" s="258">
        <f>IF($M$10=1,$C62*G$80,0)</f>
        <v>4.6380520178514552E-2</v>
      </c>
      <c r="H62" s="261"/>
      <c r="I62" s="414"/>
      <c r="J62" s="414"/>
      <c r="K62" s="414"/>
      <c r="L62" s="257"/>
      <c r="M62" s="414"/>
      <c r="N62" s="114"/>
      <c r="O62" s="414"/>
      <c r="P62" s="440"/>
      <c r="Q62" s="350"/>
    </row>
    <row r="63" spans="1:17" s="39" customFormat="1" ht="12.95">
      <c r="A63" s="414" t="s">
        <v>149</v>
      </c>
      <c r="B63" s="266" t="s">
        <v>151</v>
      </c>
      <c r="C63" s="399">
        <f>'[1]LTTR Unit Costs  Final Adj.'!J46</f>
        <v>4.5524814792114818E-3</v>
      </c>
      <c r="D63" s="114"/>
      <c r="E63" s="258">
        <f>+C63</f>
        <v>4.5524814792114818E-3</v>
      </c>
      <c r="F63" s="2"/>
      <c r="G63" s="107"/>
      <c r="H63" s="261"/>
      <c r="I63" s="414"/>
      <c r="J63" s="414"/>
      <c r="K63" s="414"/>
      <c r="L63" s="442"/>
      <c r="N63" s="114"/>
      <c r="O63" s="414"/>
      <c r="P63" s="440"/>
      <c r="Q63" s="350"/>
    </row>
    <row r="64" spans="1:17" s="39" customFormat="1" ht="12.95">
      <c r="A64" s="414" t="s">
        <v>149</v>
      </c>
      <c r="B64" s="274" t="s">
        <v>152</v>
      </c>
      <c r="C64" s="399">
        <f>'[1]LTTR Unit Costs  Final Adj.'!J47</f>
        <v>5.7522922668491801E-2</v>
      </c>
      <c r="D64" s="114"/>
      <c r="E64" s="258"/>
      <c r="F64" s="2"/>
      <c r="G64" s="97">
        <f>C64</f>
        <v>5.7522922668491801E-2</v>
      </c>
      <c r="H64" s="261"/>
      <c r="I64" s="414"/>
      <c r="J64" s="414"/>
      <c r="K64" s="414"/>
      <c r="L64" s="442"/>
      <c r="N64" s="114"/>
      <c r="O64" s="114"/>
      <c r="P64" s="440"/>
      <c r="Q64" s="350"/>
    </row>
    <row r="65" spans="1:17" s="39" customFormat="1" ht="12.95">
      <c r="A65" s="414" t="s">
        <v>149</v>
      </c>
      <c r="B65" s="266" t="s">
        <v>131</v>
      </c>
      <c r="C65" s="399">
        <f>'[1]LTTR Unit Costs  Final Adj.'!J48</f>
        <v>1.0101689885010151E-2</v>
      </c>
      <c r="D65" s="114"/>
      <c r="E65" s="258">
        <f>C65</f>
        <v>1.0101689885010151E-2</v>
      </c>
      <c r="F65" s="2"/>
      <c r="G65" s="107"/>
      <c r="H65" s="261"/>
      <c r="I65" s="414"/>
      <c r="J65" s="414"/>
      <c r="K65" s="414"/>
      <c r="L65" s="442"/>
      <c r="N65" s="114"/>
      <c r="O65" s="114"/>
      <c r="P65" s="440"/>
      <c r="Q65" s="350"/>
    </row>
    <row r="66" spans="1:17" s="39" customFormat="1" ht="12.95">
      <c r="A66" s="414" t="s">
        <v>149</v>
      </c>
      <c r="B66" s="274" t="s">
        <v>153</v>
      </c>
      <c r="C66" s="399">
        <f>'[1]LTTR Unit Costs  Final Adj.'!J49</f>
        <v>1.9025676477594258E-2</v>
      </c>
      <c r="D66" s="114"/>
      <c r="E66" s="258"/>
      <c r="F66" s="2"/>
      <c r="G66" s="97">
        <f>C66</f>
        <v>1.9025676477594258E-2</v>
      </c>
      <c r="H66" s="261"/>
      <c r="I66" s="414"/>
      <c r="J66" s="414"/>
      <c r="K66" s="414"/>
      <c r="L66" s="442"/>
      <c r="N66" s="114"/>
      <c r="O66" s="114"/>
      <c r="P66" s="440"/>
      <c r="Q66" s="350"/>
    </row>
    <row r="67" spans="1:17" s="39" customFormat="1" ht="12.95">
      <c r="A67" s="414" t="s">
        <v>149</v>
      </c>
      <c r="B67" s="266" t="s">
        <v>154</v>
      </c>
      <c r="C67" s="399">
        <f>'[1]LTTR Unit Costs  Final Adj.'!J50</f>
        <v>0.38462789002546577</v>
      </c>
      <c r="D67" s="114"/>
      <c r="E67" s="258">
        <f>C67</f>
        <v>0.38462789002546577</v>
      </c>
      <c r="F67" s="2"/>
      <c r="G67" s="107"/>
      <c r="H67" s="261"/>
      <c r="I67" s="414"/>
      <c r="J67" s="414"/>
      <c r="K67" s="414"/>
      <c r="L67" s="442"/>
      <c r="N67" s="114"/>
      <c r="O67" s="114"/>
      <c r="P67" s="440"/>
      <c r="Q67" s="350"/>
    </row>
    <row r="68" spans="1:17">
      <c r="A68" s="414" t="s">
        <v>149</v>
      </c>
      <c r="B68" s="271" t="s">
        <v>132</v>
      </c>
      <c r="C68" s="399">
        <f>'[1]LTTR Unit Costs  Final Adj.'!J51</f>
        <v>0</v>
      </c>
      <c r="D68" s="114"/>
      <c r="E68" s="258">
        <f>IF($M$10=1,$C68*E$80,0)</f>
        <v>0</v>
      </c>
      <c r="F68" s="2"/>
      <c r="G68" s="258">
        <f>IF($M$10=1,$C68*G$80,0)</f>
        <v>0</v>
      </c>
      <c r="H68" s="261"/>
      <c r="I68" s="414"/>
      <c r="J68" s="414"/>
      <c r="K68" s="414"/>
      <c r="L68" s="257"/>
      <c r="M68" s="414"/>
      <c r="N68" s="114"/>
      <c r="O68" s="414"/>
      <c r="P68" s="440"/>
      <c r="Q68" s="350"/>
    </row>
    <row r="69" spans="1:17">
      <c r="A69" s="414" t="s">
        <v>149</v>
      </c>
      <c r="B69" s="271" t="s">
        <v>110</v>
      </c>
      <c r="C69" s="399">
        <f>'[1]LTTR Unit Costs  Final Adj.'!J52</f>
        <v>3.537818663033386E-2</v>
      </c>
      <c r="D69" s="114"/>
      <c r="E69" s="258">
        <f>IF($M$10=1,$C69*E$80,0)</f>
        <v>2.7670109306538512E-2</v>
      </c>
      <c r="F69" s="2"/>
      <c r="G69" s="258">
        <f>IF($M$10=1,$C69*G$80,0)</f>
        <v>7.7080773237953471E-3</v>
      </c>
      <c r="H69" s="261"/>
      <c r="I69" s="414"/>
      <c r="J69" s="414"/>
      <c r="K69" s="414"/>
      <c r="L69" s="257"/>
      <c r="M69" s="414"/>
      <c r="N69" s="114"/>
      <c r="O69" s="414"/>
      <c r="P69" s="440"/>
      <c r="Q69" s="350"/>
    </row>
    <row r="70" spans="1:17">
      <c r="A70" s="414" t="s">
        <v>149</v>
      </c>
      <c r="B70" s="266" t="s">
        <v>112</v>
      </c>
      <c r="C70" s="399">
        <f>'[1]LTTR Unit Costs  Final Adj.'!J53</f>
        <v>0.38246886986074902</v>
      </c>
      <c r="D70" s="114"/>
      <c r="E70" s="97">
        <f>+C70</f>
        <v>0.38246886986074902</v>
      </c>
      <c r="F70" s="2"/>
      <c r="G70" s="258"/>
      <c r="H70" s="261"/>
      <c r="I70" s="414"/>
      <c r="J70" s="414"/>
      <c r="K70" s="414"/>
      <c r="L70" s="257"/>
      <c r="M70" s="414"/>
      <c r="N70" s="114"/>
      <c r="O70" s="414"/>
      <c r="P70" s="440"/>
      <c r="Q70" s="350"/>
    </row>
    <row r="71" spans="1:17">
      <c r="A71" s="414" t="s">
        <v>149</v>
      </c>
      <c r="B71" s="271" t="s">
        <v>113</v>
      </c>
      <c r="C71" s="399">
        <f>'[1]LTTR Unit Costs  Final Adj.'!J54</f>
        <v>1.7927580253311624E-2</v>
      </c>
      <c r="D71" s="114"/>
      <c r="E71" s="258">
        <f>IF($M$10=1,$C71*E$80,0)</f>
        <v>1.4021580879601819E-2</v>
      </c>
      <c r="F71" s="2"/>
      <c r="G71" s="258">
        <f>IF($M$10=1,$C71*G$80,0)</f>
        <v>3.9059993737098025E-3</v>
      </c>
      <c r="H71" s="261"/>
      <c r="I71" s="414"/>
      <c r="J71" s="414"/>
      <c r="K71" s="414"/>
      <c r="L71" s="257"/>
      <c r="M71" s="414"/>
      <c r="N71" s="114"/>
      <c r="O71" s="414"/>
      <c r="P71" s="440"/>
      <c r="Q71" s="350"/>
    </row>
    <row r="72" spans="1:17">
      <c r="A72" s="414" t="s">
        <v>149</v>
      </c>
      <c r="B72" s="68" t="s">
        <v>155</v>
      </c>
      <c r="C72" s="399">
        <f>'[1]LTTR Unit Costs  Final Adj.'!J55</f>
        <v>0.13406893078364268</v>
      </c>
      <c r="D72" s="114"/>
      <c r="E72" s="258">
        <f>IF($M$10=1,$C72*E$80,0)</f>
        <v>0.10485845439611585</v>
      </c>
      <c r="F72" s="2"/>
      <c r="G72" s="258">
        <f>IF($M$10=1,$C72*G$80,0)</f>
        <v>2.9210476387526815E-2</v>
      </c>
      <c r="H72" s="261"/>
      <c r="I72" s="414"/>
      <c r="J72" s="414"/>
      <c r="K72" s="414"/>
      <c r="L72" s="257"/>
      <c r="M72" s="414"/>
      <c r="N72" s="114"/>
      <c r="O72" s="414"/>
      <c r="P72" s="440"/>
      <c r="Q72" s="350"/>
    </row>
    <row r="73" spans="1:17">
      <c r="A73" s="414" t="s">
        <v>149</v>
      </c>
      <c r="B73" s="414" t="s">
        <v>156</v>
      </c>
      <c r="C73" s="399">
        <f>'[1]LTTR Unit Costs  Final Adj.'!J56</f>
        <v>4.8072660695749279E-4</v>
      </c>
      <c r="D73" s="114"/>
      <c r="E73" s="258"/>
      <c r="F73" s="2"/>
      <c r="G73" s="97">
        <f>C73</f>
        <v>4.8072660695749279E-4</v>
      </c>
      <c r="H73" s="261"/>
      <c r="I73" s="414"/>
      <c r="J73" s="414"/>
      <c r="K73" s="414"/>
      <c r="L73" s="257"/>
      <c r="M73" s="414"/>
      <c r="N73" s="114"/>
      <c r="O73" s="114"/>
      <c r="P73" s="440"/>
      <c r="Q73" s="350"/>
    </row>
    <row r="74" spans="1:17">
      <c r="A74" s="414" t="s">
        <v>149</v>
      </c>
      <c r="B74" s="269" t="s">
        <v>133</v>
      </c>
      <c r="C74" s="399">
        <f>'[1]LTTR Unit Costs  Final Adj.'!J57</f>
        <v>1.23556044770847E-3</v>
      </c>
      <c r="D74" s="114"/>
      <c r="E74" s="114"/>
      <c r="F74" s="2"/>
      <c r="G74" s="107">
        <f>C74</f>
        <v>1.23556044770847E-3</v>
      </c>
      <c r="H74" s="261"/>
      <c r="I74" s="414"/>
      <c r="J74" s="414"/>
      <c r="K74" s="414"/>
      <c r="L74" s="257"/>
      <c r="M74" s="414"/>
      <c r="N74" s="114"/>
      <c r="O74" s="414"/>
      <c r="P74" s="440"/>
      <c r="Q74" s="350"/>
    </row>
    <row r="75" spans="1:17" ht="13.5" thickBot="1">
      <c r="A75" s="279" t="s">
        <v>157</v>
      </c>
      <c r="B75" s="123"/>
      <c r="C75" s="124">
        <f>SUM(C62:C74)</f>
        <v>1.2602657406720676</v>
      </c>
      <c r="D75" s="124"/>
      <c r="E75" s="124">
        <f>SUM(E62:E74)</f>
        <v>1.0947957812077687</v>
      </c>
      <c r="F75" s="124"/>
      <c r="G75" s="124">
        <f>SUM(G62:G74)</f>
        <v>0.16546995946429854</v>
      </c>
      <c r="H75" s="261"/>
      <c r="I75" s="414"/>
      <c r="J75" s="414"/>
      <c r="K75" s="414"/>
      <c r="L75" s="257"/>
      <c r="M75" s="414"/>
      <c r="N75" s="114"/>
      <c r="O75" s="114"/>
      <c r="P75" s="440"/>
      <c r="Q75" s="350"/>
    </row>
    <row r="76" spans="1:17" s="29" customFormat="1" ht="12.95" thickTop="1">
      <c r="A76" s="414"/>
      <c r="B76" s="414"/>
      <c r="C76" s="443"/>
      <c r="D76" s="2"/>
      <c r="E76" s="2"/>
      <c r="F76" s="2"/>
      <c r="G76" s="2"/>
      <c r="H76" s="261"/>
      <c r="I76" s="414"/>
      <c r="J76" s="414"/>
      <c r="K76" s="414"/>
      <c r="L76" s="257"/>
      <c r="M76" s="32"/>
      <c r="N76" s="114"/>
      <c r="O76" s="414"/>
      <c r="P76" s="440"/>
      <c r="Q76" s="350"/>
    </row>
    <row r="77" spans="1:17" s="39" customFormat="1" ht="12.95">
      <c r="A77" s="39" t="s">
        <v>26</v>
      </c>
      <c r="C77" s="93">
        <f>C61+C75+C51</f>
        <v>5.7572839805591265</v>
      </c>
      <c r="D77" s="93"/>
      <c r="E77" s="93">
        <f>E61+E75+E51</f>
        <v>4.5029067972145196</v>
      </c>
      <c r="F77" s="93"/>
      <c r="G77" s="93">
        <f>G61+G75+G51</f>
        <v>1.2543771833446071</v>
      </c>
      <c r="H77" s="257"/>
      <c r="I77" s="414"/>
      <c r="J77" s="414"/>
      <c r="K77" s="414"/>
      <c r="L77" s="257"/>
      <c r="N77" s="414"/>
      <c r="O77" s="414"/>
      <c r="P77" s="353"/>
      <c r="Q77" s="350"/>
    </row>
    <row r="78" spans="1:17" s="256" customFormat="1" ht="12.95">
      <c r="A78" s="414"/>
      <c r="B78" s="414"/>
      <c r="C78" s="403"/>
      <c r="D78" s="414"/>
      <c r="E78" s="414"/>
      <c r="F78" s="414"/>
      <c r="G78" s="2"/>
      <c r="H78" s="414"/>
      <c r="I78" s="414"/>
      <c r="J78" s="414"/>
      <c r="K78" s="414"/>
      <c r="L78" s="414"/>
      <c r="M78" s="39"/>
      <c r="N78" s="414"/>
      <c r="O78" s="414"/>
      <c r="P78" s="32"/>
      <c r="Q78" s="350"/>
    </row>
    <row r="79" spans="1:17" s="39" customFormat="1" ht="12.95">
      <c r="A79" s="414" t="s">
        <v>158</v>
      </c>
      <c r="B79" s="414"/>
      <c r="C79" s="258">
        <f>IF($M$10=1,SUM(C7,C17,C20:C21,C24:C26,C28:C29,C33,C35,C41:C44,C46:C50,C55:C56,C58,C63:C67,C70,C73:C74),SUM(C7:C13,C16:C21,C23:C26,C28:C29,C32:C36,C40:C50,C52:C59,C63:C71,C73:C74))</f>
        <v>4.4826015388257421</v>
      </c>
      <c r="D79" s="2"/>
      <c r="E79" s="258">
        <f>IF($M$10=1,SUM(E7,E17,E20:E21,E24:E26,E28:E29,E33,E35,E41:E44,E46:E50,E55:E56,E58,E63:E67,E70,E73:E74),SUM(E7:E13,E16:E21,E23:E26,E28:E29,E32:E36,E40:E50,E52:E59,E63:E71,E73:E74))</f>
        <v>3.505947770952655</v>
      </c>
      <c r="F79" s="2"/>
      <c r="G79" s="258">
        <f>IF($M$10=1,SUM(G7,G17,G20:G21,G24:G26,G28:G29,G33,G35,G41:G44,G46:G50,G55:G56,G58,G63:G67,G70,G73:G74),SUM(G7:G13,G16:G21,G23:G26,G28:G29,G32:G36,G40:G50,G52:G59,G63:G71,G73:G74))</f>
        <v>0.97665376787308689</v>
      </c>
      <c r="H79" s="93"/>
      <c r="I79" s="414"/>
      <c r="J79" s="414"/>
      <c r="K79" s="414"/>
      <c r="L79" s="414"/>
      <c r="N79" s="414"/>
      <c r="O79" s="414"/>
      <c r="P79" s="32"/>
      <c r="Q79" s="350"/>
    </row>
    <row r="80" spans="1:17" s="257" customFormat="1">
      <c r="A80" s="414" t="s">
        <v>159</v>
      </c>
      <c r="B80" s="414"/>
      <c r="C80" s="444"/>
      <c r="D80" s="2"/>
      <c r="E80" s="338">
        <f>E79/$C79</f>
        <v>0.78212344786529242</v>
      </c>
      <c r="F80" s="2"/>
      <c r="G80" s="338">
        <f>G79/$C79</f>
        <v>0.2178765521347075</v>
      </c>
      <c r="H80" s="292"/>
      <c r="I80" s="414"/>
      <c r="J80" s="414"/>
      <c r="K80" s="414"/>
      <c r="L80" s="414"/>
      <c r="N80" s="414"/>
      <c r="O80" s="414"/>
      <c r="P80" s="32"/>
      <c r="Q80" s="350"/>
    </row>
    <row r="81" spans="1:17" s="257" customFormat="1">
      <c r="A81" s="414"/>
      <c r="B81" s="414"/>
      <c r="C81" s="403"/>
      <c r="D81" s="414"/>
      <c r="E81" s="414"/>
      <c r="F81" s="414"/>
      <c r="G81" s="2"/>
      <c r="H81" s="261"/>
      <c r="I81" s="414"/>
      <c r="J81" s="414"/>
      <c r="K81" s="414"/>
      <c r="L81" s="414"/>
      <c r="N81" s="414"/>
      <c r="O81" s="414"/>
      <c r="P81" s="32"/>
      <c r="Q81" s="414"/>
    </row>
    <row r="82" spans="1:17">
      <c r="A82" s="414"/>
      <c r="B82" s="414"/>
      <c r="C82" s="403"/>
      <c r="D82" s="414"/>
      <c r="E82" s="414"/>
      <c r="F82" s="414"/>
      <c r="G82" s="2"/>
      <c r="H82" s="414"/>
      <c r="I82" s="414"/>
      <c r="J82" s="414"/>
      <c r="K82" s="414"/>
      <c r="L82" s="414"/>
      <c r="M82" s="414"/>
      <c r="N82" s="414"/>
      <c r="O82" s="414"/>
      <c r="Q82" s="414"/>
    </row>
    <row r="83" spans="1:17">
      <c r="A83" s="414"/>
      <c r="B83" s="414"/>
      <c r="C83" s="403"/>
      <c r="D83" s="414"/>
      <c r="E83" s="414"/>
      <c r="F83" s="414"/>
      <c r="G83" s="2"/>
      <c r="H83" s="414"/>
      <c r="I83" s="414"/>
      <c r="J83" s="414"/>
      <c r="K83" s="414"/>
      <c r="L83" s="414"/>
      <c r="M83" s="414"/>
      <c r="N83" s="414"/>
      <c r="O83" s="414"/>
      <c r="Q83" s="414"/>
    </row>
    <row r="84" spans="1:17">
      <c r="A84" s="414"/>
      <c r="B84" s="414"/>
      <c r="C84" s="403"/>
      <c r="D84" s="414"/>
      <c r="E84" s="414"/>
      <c r="F84" s="414"/>
      <c r="G84" s="2"/>
      <c r="H84" s="414"/>
      <c r="I84" s="414"/>
      <c r="J84" s="414"/>
      <c r="K84" s="414"/>
      <c r="L84" s="414"/>
      <c r="M84" s="414"/>
      <c r="N84" s="414"/>
      <c r="O84" s="414"/>
      <c r="Q84" s="414"/>
    </row>
    <row r="85" spans="1:17">
      <c r="A85" s="414"/>
      <c r="B85" s="414"/>
      <c r="C85" s="403"/>
      <c r="D85" s="414"/>
      <c r="E85" s="414"/>
      <c r="F85" s="414"/>
      <c r="G85" s="2"/>
      <c r="H85" s="414"/>
      <c r="I85" s="414"/>
      <c r="J85" s="414"/>
      <c r="K85" s="257"/>
      <c r="L85" s="414"/>
      <c r="M85" s="414"/>
      <c r="N85" s="414"/>
      <c r="O85" s="414"/>
      <c r="Q85" s="414"/>
    </row>
    <row r="86" spans="1:17">
      <c r="A86" s="414"/>
      <c r="B86" s="414"/>
      <c r="C86" s="403"/>
      <c r="D86" s="414"/>
      <c r="E86" s="414"/>
      <c r="F86" s="414"/>
      <c r="G86" s="2"/>
      <c r="H86" s="414"/>
      <c r="I86" s="414"/>
      <c r="J86" s="414"/>
      <c r="K86" s="414"/>
      <c r="L86" s="414"/>
      <c r="M86" s="414"/>
      <c r="N86" s="414"/>
      <c r="O86" s="414"/>
      <c r="Q86" s="414"/>
    </row>
    <row r="87" spans="1:17">
      <c r="A87" s="414"/>
      <c r="B87" s="414"/>
      <c r="C87" s="403"/>
      <c r="D87" s="414"/>
      <c r="E87" s="414"/>
      <c r="F87" s="414"/>
      <c r="G87" s="2"/>
      <c r="H87" s="414"/>
      <c r="I87" s="414"/>
      <c r="J87" s="414"/>
      <c r="K87" s="414"/>
      <c r="L87" s="414"/>
      <c r="M87" s="414"/>
      <c r="N87" s="414"/>
      <c r="O87" s="414"/>
      <c r="Q87" s="414"/>
    </row>
    <row r="88" spans="1:17">
      <c r="A88" s="414"/>
      <c r="B88" s="414"/>
      <c r="C88" s="403"/>
      <c r="D88" s="414"/>
      <c r="E88" s="414"/>
      <c r="F88" s="414"/>
      <c r="G88" s="2"/>
      <c r="H88" s="414"/>
      <c r="I88" s="414"/>
      <c r="J88" s="414"/>
      <c r="K88" s="414"/>
      <c r="L88" s="414"/>
      <c r="M88" s="414"/>
      <c r="N88" s="414"/>
      <c r="O88" s="414"/>
      <c r="Q88" s="414"/>
    </row>
    <row r="89" spans="1:17">
      <c r="A89" s="414"/>
      <c r="B89" s="414"/>
      <c r="C89" s="403"/>
      <c r="D89" s="414"/>
      <c r="E89" s="414"/>
      <c r="F89" s="414"/>
      <c r="G89" s="2"/>
      <c r="H89" s="414"/>
      <c r="I89" s="414"/>
      <c r="J89" s="414"/>
      <c r="K89" s="414"/>
      <c r="L89" s="414"/>
      <c r="M89" s="414"/>
      <c r="N89" s="414"/>
      <c r="O89" s="414"/>
      <c r="Q89" s="414"/>
    </row>
    <row r="90" spans="1:17">
      <c r="A90" s="414"/>
      <c r="B90" s="414"/>
      <c r="C90" s="403"/>
      <c r="D90" s="414"/>
      <c r="E90" s="414"/>
      <c r="F90" s="414"/>
      <c r="G90" s="2"/>
      <c r="H90" s="414"/>
      <c r="I90" s="414"/>
      <c r="J90" s="414"/>
      <c r="K90" s="414"/>
      <c r="L90" s="414"/>
      <c r="M90" s="414"/>
      <c r="N90" s="414"/>
      <c r="O90" s="414"/>
      <c r="Q90" s="414"/>
    </row>
    <row r="91" spans="1:17">
      <c r="A91" s="414"/>
      <c r="B91" s="414"/>
      <c r="C91" s="403"/>
      <c r="D91" s="414"/>
      <c r="E91" s="414"/>
      <c r="F91" s="414"/>
      <c r="G91" s="2"/>
      <c r="H91" s="414"/>
      <c r="I91" s="414"/>
      <c r="J91" s="414"/>
      <c r="K91" s="414"/>
      <c r="L91" s="414"/>
      <c r="M91" s="414"/>
      <c r="N91" s="414"/>
      <c r="O91" s="414"/>
      <c r="Q91" s="414"/>
    </row>
    <row r="92" spans="1:17">
      <c r="A92" s="414"/>
      <c r="B92" s="414"/>
      <c r="C92" s="403"/>
      <c r="D92" s="414"/>
      <c r="E92" s="414"/>
      <c r="F92" s="414"/>
      <c r="G92" s="2"/>
      <c r="H92" s="414"/>
      <c r="I92" s="414"/>
      <c r="J92" s="414"/>
      <c r="K92" s="414"/>
      <c r="L92" s="414"/>
      <c r="M92" s="414"/>
      <c r="N92" s="414"/>
      <c r="O92" s="414"/>
      <c r="Q92" s="414"/>
    </row>
  </sheetData>
  <phoneticPr fontId="0" type="noConversion"/>
  <printOptions horizontalCentered="1"/>
  <pageMargins left="0.75" right="0.75" top="1" bottom="1" header="0.5" footer="0.5"/>
  <pageSetup scale="58" orientation="portrait" r:id="rId1"/>
  <headerFooter alignWithMargins="0">
    <oddHeader>&amp;RPage 3</oddHeader>
  </headerFooter>
  <ignoredErrors>
    <ignoredError sqref="E17 G61 E61 E58 E70 G33:G34 G35 G2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58"/>
  <sheetViews>
    <sheetView zoomScale="115" zoomScaleNormal="115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160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+'AUTO MAADC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61</v>
      </c>
      <c r="J6" s="93" t="s">
        <v>62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/>
      <c r="L11" s="97"/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+'AUTO MAADC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+'AUTO MAADC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+'AUTO MAADC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+'AUTO MAADC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+'AUTO MAADC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+'AUTO MAADC MODEL'!S16</f>
        <v>10006.365119213184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1.2201857311516073</v>
      </c>
    </row>
    <row r="20" spans="1:12">
      <c r="A20" s="32"/>
      <c r="B20" s="414" t="s">
        <v>190</v>
      </c>
      <c r="C20" s="94">
        <f>+'AUTO MAADC MODEL'!AA16</f>
        <v>274.90987384710894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0.27773703375973469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+'AUTO MAADC MODEL'!S24</f>
        <v>93.788500433621266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1.4361884432040296E-2</v>
      </c>
    </row>
    <row r="23" spans="1:12">
      <c r="A23" s="32"/>
      <c r="B23" s="414" t="s">
        <v>190</v>
      </c>
      <c r="C23" s="94">
        <f>+'AUTO MAADC MODEL'!AA24</f>
        <v>50.269121527836631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2.9469134164542079E-2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+'AUTO MAADC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 t="shared" ref="L25:L32" si="0">+(K25*C25/10000)</f>
        <v>0</v>
      </c>
    </row>
    <row r="26" spans="1:12">
      <c r="A26" s="32"/>
      <c r="B26" s="414" t="s">
        <v>183</v>
      </c>
      <c r="C26" s="94">
        <f>+'AUTO MAADC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 t="shared" si="0"/>
        <v>0</v>
      </c>
    </row>
    <row r="27" spans="1:12">
      <c r="A27" s="32"/>
      <c r="B27" s="414" t="s">
        <v>185</v>
      </c>
      <c r="C27" s="94">
        <f>+'AUTO MAADC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 t="shared" si="0"/>
        <v>0</v>
      </c>
    </row>
    <row r="28" spans="1:12">
      <c r="A28" s="32"/>
      <c r="B28" s="414" t="s">
        <v>186</v>
      </c>
      <c r="C28" s="94">
        <f>+'AUTO MAADC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 t="shared" si="0"/>
        <v>0</v>
      </c>
    </row>
    <row r="29" spans="1:12">
      <c r="A29" s="32"/>
      <c r="B29" s="414" t="s">
        <v>187</v>
      </c>
      <c r="C29" s="94">
        <f>+'AUTO MAADC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 t="shared" si="0"/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+'AUTO MAADC MODEL'!S32</f>
        <v>5567.7046053478243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 t="shared" si="0"/>
        <v>0.88013122534300914</v>
      </c>
    </row>
    <row r="32" spans="1:12">
      <c r="A32" s="32"/>
      <c r="B32" s="414" t="s">
        <v>194</v>
      </c>
      <c r="C32" s="94">
        <f>+'AUTO MAADC MODEL'!AA32</f>
        <v>333.64366131521143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 t="shared" si="0"/>
        <v>0.17529898101040203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+'AUTO MAADC MODEL'!S40</f>
        <v>4661.5695502457193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0.38171603945235677</v>
      </c>
      <c r="M34" s="414"/>
    </row>
    <row r="35" spans="1:13">
      <c r="A35" s="32"/>
      <c r="B35" s="414" t="s">
        <v>190</v>
      </c>
      <c r="C35" s="94">
        <f>+'AUTO MAADC MODEL'!AA40</f>
        <v>621.01556814018682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0.35779143736957847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+'AUTO MAADC MODEL'!W49</f>
        <v>323.22806180494484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1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2">+H37*J37+I37</f>
        <v>0.63634633241078098</v>
      </c>
      <c r="L37" s="97">
        <f t="shared" ref="L37:L42" si="3">+(K37*C37/10000)</f>
        <v>2.056849916618219E-2</v>
      </c>
      <c r="M37" s="414"/>
    </row>
    <row r="38" spans="1:13">
      <c r="A38" s="414"/>
      <c r="B38" s="414" t="s">
        <v>198</v>
      </c>
      <c r="C38" s="94">
        <f>+'AUTO MAADC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2"/>
        <v>0</v>
      </c>
      <c r="L38" s="97">
        <f t="shared" si="3"/>
        <v>0</v>
      </c>
      <c r="M38" s="414"/>
    </row>
    <row r="39" spans="1:13">
      <c r="A39" s="414"/>
      <c r="B39" s="414" t="s">
        <v>199</v>
      </c>
      <c r="C39" s="94">
        <f>+'AUTO MAADC MODEL'!W63</f>
        <v>17608.084752165858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1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2"/>
        <v>1.2058501693598105</v>
      </c>
      <c r="L39" s="97">
        <f t="shared" si="3"/>
        <v>2.1232711980501096</v>
      </c>
      <c r="M39" s="414"/>
    </row>
    <row r="40" spans="1:13">
      <c r="A40" s="414"/>
      <c r="B40" s="414" t="s">
        <v>200</v>
      </c>
      <c r="C40" s="94">
        <f>+'AUTO MAADC MODEL'!AA74*(1-MISC!E9)</f>
        <v>1041.2542843333968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1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2"/>
        <v>7.8712379159307542</v>
      </c>
      <c r="L40" s="97">
        <f t="shared" si="3"/>
        <v>0.81959602029703749</v>
      </c>
      <c r="M40" s="414"/>
    </row>
    <row r="41" spans="1:13">
      <c r="A41" s="414"/>
      <c r="B41" s="414" t="s">
        <v>201</v>
      </c>
      <c r="C41" s="94">
        <f>+MISC!E10*('AUTO MAADC MODEL'!AE64+'AUTO MAADC MODEL'!AE57)</f>
        <v>396.65829140459095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1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2"/>
        <v>3.2621560324800813</v>
      </c>
      <c r="L41" s="97">
        <f t="shared" si="3"/>
        <v>0.12939612381387283</v>
      </c>
      <c r="M41" s="414"/>
    </row>
    <row r="42" spans="1:13">
      <c r="A42" s="417"/>
      <c r="B42" s="417" t="s">
        <v>202</v>
      </c>
      <c r="C42" s="101">
        <f>+MISC!E10*('AUTO MAADC MODEL'!AE75+'AUTO MAADC MODEL'!AE50)</f>
        <v>61.686713193324422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1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2"/>
        <v>6.5243120649601627</v>
      </c>
      <c r="L42" s="103">
        <f t="shared" si="3"/>
        <v>4.0246336713494375E-2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6.4697696447239679</v>
      </c>
      <c r="M44" s="414"/>
    </row>
    <row r="45" spans="1:13" ht="9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+('AUTO MAADC MODEL'!AE57+'AUTO MAADC MODEL'!AE64)/C3</f>
        <v>0.86541423474782009</v>
      </c>
      <c r="M46" s="39"/>
    </row>
    <row r="47" spans="1:13" ht="12.95">
      <c r="A47" s="67" t="s">
        <v>18</v>
      </c>
      <c r="B47" s="414"/>
      <c r="M47" s="414"/>
    </row>
    <row r="48" spans="1:13" ht="12.95">
      <c r="A48" s="225" t="s">
        <v>205</v>
      </c>
      <c r="B48" s="225"/>
      <c r="C48" s="226"/>
      <c r="D48" s="226"/>
      <c r="E48" s="226"/>
      <c r="F48" s="226"/>
      <c r="G48" s="227"/>
      <c r="H48" s="96"/>
      <c r="L48" s="51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96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96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96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96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109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109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9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96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96"/>
    </row>
    <row r="58" spans="1:10" ht="12.95">
      <c r="A58" s="108" t="s">
        <v>214</v>
      </c>
      <c r="B58" s="39"/>
      <c r="C58" s="194"/>
      <c r="D58" s="194"/>
      <c r="E58" s="194"/>
      <c r="F58" s="194"/>
      <c r="G58" s="91"/>
      <c r="H58" s="96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4</oddHeader>
  </headerFooter>
  <ignoredErrors>
    <ignoredError sqref="K14:L14 K2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9.71093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160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f>10000</f>
        <v>10000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274.90987384710894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47.859411262838236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10006.365119213184</v>
      </c>
      <c r="T16" s="142">
        <f>+E9+N15+N41</f>
        <v>10000</v>
      </c>
      <c r="U16" s="3"/>
      <c r="V16" s="15"/>
      <c r="W16" s="15">
        <f>+V17*DENSITY!D9</f>
        <v>93.529059450324525</v>
      </c>
      <c r="X16" s="22" t="s">
        <v>228</v>
      </c>
      <c r="Y16" s="15"/>
      <c r="Z16" s="15"/>
      <c r="AA16" s="139">
        <f>+AB16</f>
        <v>274.90987384710894</v>
      </c>
      <c r="AB16" s="142">
        <f>+E11+N31+N39+V14</f>
        <v>274.90987384710894</v>
      </c>
      <c r="AC16" s="15"/>
      <c r="AD16" s="15">
        <f>+AB16*DENSITY!E14</f>
        <v>48.980716645242005</v>
      </c>
      <c r="AE16" s="22" t="s">
        <v>221</v>
      </c>
      <c r="AF16" s="15"/>
    </row>
    <row r="17" spans="1:34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9725.0901261528907</v>
      </c>
      <c r="W17" s="15">
        <f>+V17*DENSITY!E9</f>
        <v>5480.6449537149265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178.06974593902871</v>
      </c>
      <c r="AE17" s="22" t="s">
        <v>234</v>
      </c>
      <c r="AF17" s="15"/>
      <c r="AG17" s="414"/>
      <c r="AH17" s="414"/>
    </row>
    <row r="18" spans="1:34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4150.9161129876402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  <c r="AG18" s="414"/>
      <c r="AH18" s="414"/>
    </row>
    <row r="19" spans="1:34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  <c r="AG19" s="414"/>
      <c r="AH19" s="414"/>
    </row>
    <row r="20" spans="1:34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  <c r="AG20" s="414"/>
      <c r="AH20" s="414"/>
    </row>
    <row r="21" spans="1:34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  <c r="AG21" s="414"/>
      <c r="AH21" s="414"/>
    </row>
    <row r="22" spans="1:34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2.4097102649983988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  <c r="AG22" s="414"/>
      <c r="AH22" s="414"/>
    </row>
    <row r="23" spans="1:34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  <c r="AG23" s="414"/>
      <c r="AH23" s="414"/>
    </row>
    <row r="24" spans="1:34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93.788500433621266</v>
      </c>
      <c r="T24" s="142">
        <f>+E10+N16+N42+W16</f>
        <v>93.529059450324525</v>
      </c>
      <c r="U24" s="3"/>
      <c r="V24" s="15"/>
      <c r="W24" s="15">
        <f>+V25*DENSITY!E10</f>
        <v>52.371311888810538</v>
      </c>
      <c r="X24" s="22" t="s">
        <v>223</v>
      </c>
      <c r="Y24" s="15"/>
      <c r="Z24" s="15"/>
      <c r="AA24" s="139">
        <f>+AB24</f>
        <v>50.269121527836631</v>
      </c>
      <c r="AB24" s="142">
        <f>+E12+V22+AD15</f>
        <v>50.269121527836631</v>
      </c>
      <c r="AC24" s="15"/>
      <c r="AD24" s="15">
        <f>+AB24*DENSITY!E15</f>
        <v>40.692831125465432</v>
      </c>
      <c r="AE24" s="22" t="s">
        <v>221</v>
      </c>
      <c r="AF24" s="15"/>
      <c r="AG24" s="414"/>
      <c r="AH24" s="414"/>
    </row>
    <row r="25" spans="1:34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91.119349185326129</v>
      </c>
      <c r="W25" s="15">
        <f>+V25*DENSITY!F10</f>
        <v>38.748037296515584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9.5762904023712032</v>
      </c>
      <c r="AE25" s="22" t="s">
        <v>234</v>
      </c>
      <c r="AF25" s="15"/>
      <c r="AG25" s="414"/>
      <c r="AH25" s="414"/>
    </row>
    <row r="26" spans="1:34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  <c r="AG26" s="414"/>
      <c r="AH26" s="414"/>
    </row>
    <row r="27" spans="1:34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  <c r="AG27" s="414"/>
      <c r="AH27" s="65"/>
    </row>
    <row r="28" spans="1:34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  <c r="AG28" s="414"/>
      <c r="AH28" s="414"/>
    </row>
    <row r="29" spans="1:34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  <c r="AG29" s="414"/>
      <c r="AH29" s="414"/>
    </row>
    <row r="30" spans="1:34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243.97011354450402</v>
      </c>
      <c r="W30" s="16" t="s">
        <v>242</v>
      </c>
      <c r="X30" s="414"/>
      <c r="AA30" s="163" t="s">
        <v>221</v>
      </c>
      <c r="AB30" s="145"/>
      <c r="AD30" s="18"/>
      <c r="AE30" s="414"/>
      <c r="AG30" s="414"/>
      <c r="AH30" s="414"/>
    </row>
    <row r="31" spans="1:34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  <c r="AG31" s="414"/>
      <c r="AH31" s="414"/>
    </row>
    <row r="32" spans="1:34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5567.7046053478243</v>
      </c>
      <c r="T32" s="159">
        <f>+K8+N17+N43+N48+N75+W17+W24</f>
        <v>5533.0162656037373</v>
      </c>
      <c r="U32" s="15"/>
      <c r="X32" s="414"/>
      <c r="AA32" s="142">
        <f>+AB32</f>
        <v>333.64366131521143</v>
      </c>
      <c r="AB32" s="159">
        <f>+Q7+N64+N72+V30+AD16+AD24</f>
        <v>333.64366131521143</v>
      </c>
      <c r="AD32" s="3"/>
      <c r="AE32" s="39"/>
      <c r="AG32" s="414"/>
      <c r="AH32" s="414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5289.0461520592335</v>
      </c>
      <c r="W33" s="15">
        <f>+V33*DENSITY!$G$13</f>
        <v>4817.1407520976718</v>
      </c>
      <c r="X33" s="22" t="s">
        <v>229</v>
      </c>
      <c r="AA33" s="165"/>
      <c r="AB33" s="157"/>
      <c r="AC33" s="15"/>
      <c r="AD33" s="15">
        <f>+AB32*DENSITY!F16</f>
        <v>146.11750350118183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471.9053999615636</v>
      </c>
      <c r="X34" s="22" t="s">
        <v>226</v>
      </c>
      <c r="AA34" s="414"/>
      <c r="AB34" s="414"/>
      <c r="AC34" s="15"/>
      <c r="AD34" s="15">
        <f>+AB32*DENSITY!G16</f>
        <v>187.5261578140296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287.25202829760502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4661.5695502457193</v>
      </c>
      <c r="T40" s="159">
        <f>+K9+N18+N44+N49+N76+W18+W25+W34</f>
        <v>4661.5695502457193</v>
      </c>
      <c r="U40" s="15"/>
      <c r="V40" s="15"/>
      <c r="W40" s="17"/>
      <c r="X40" s="15"/>
      <c r="AA40" s="142">
        <f>+AB40</f>
        <v>621.01556814018682</v>
      </c>
      <c r="AB40" s="159">
        <f>+Q8+V38+AD33+AD25+AD17</f>
        <v>621.01556814018682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4374.3175219481145</v>
      </c>
      <c r="W41" s="22" t="s">
        <v>229</v>
      </c>
      <c r="X41" s="15"/>
      <c r="AA41" s="165"/>
      <c r="AB41" s="157"/>
      <c r="AC41" s="414"/>
      <c r="AD41" s="15">
        <f>+AB40</f>
        <v>621.01556814018682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18.624693616540895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323.22806180494484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323.22806180494484</v>
      </c>
      <c r="X49" s="159">
        <f>+V48</f>
        <v>323.22806180494484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304.60336818840392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9191.4582740457863</v>
      </c>
      <c r="T56" s="159">
        <f>+K10+N19+N45+N50+N77+W19+W26+W33+V41</f>
        <v>9191.4582740457863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214.08786476263958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8868.23021224084</v>
      </c>
      <c r="W63" s="142">
        <f>+X63+X63*ACCEPT!C20</f>
        <v>17608.084752165858</v>
      </c>
      <c r="X63" s="159">
        <f>+V63</f>
        <v>8868.23021224084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8654.1423474782005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1041.2542843333968</v>
      </c>
      <c r="AB74" s="159">
        <f>+Q9+AD41+AD34+AD26+AD18+Z47+Z54+Z61+Z67</f>
        <v>1041.2542843333968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1041.2542843333968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8" orientation="portrait" r:id="rId1"/>
  <headerFooter alignWithMargins="0">
    <oddHeader>&amp;RPage 5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8"/>
  <sheetViews>
    <sheetView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4" s="8" customFormat="1" ht="15.6">
      <c r="A1" s="79" t="s">
        <v>259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4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  <c r="N2" s="414"/>
    </row>
    <row r="3" spans="1:14" ht="15.6">
      <c r="A3" s="119" t="s">
        <v>162</v>
      </c>
      <c r="B3" s="85"/>
      <c r="C3" s="120">
        <f>+'MACH MAADC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  <c r="N3" s="414"/>
    </row>
    <row r="4" spans="1:14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  <c r="N4" s="414"/>
    </row>
    <row r="5" spans="1:14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  <c r="N5" s="32"/>
    </row>
    <row r="6" spans="1:14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  <c r="N6" s="32"/>
    </row>
    <row r="7" spans="1:14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  <c r="N7" s="414"/>
    </row>
    <row r="8" spans="1:14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  <c r="N8" s="414"/>
    </row>
    <row r="9" spans="1:14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  <c r="N9" s="414"/>
    </row>
    <row r="10" spans="1:14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</row>
    <row r="11" spans="1:14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/>
      <c r="L11" s="97"/>
      <c r="M11" s="414"/>
      <c r="N11" s="414"/>
    </row>
    <row r="12" spans="1:14" ht="12.95">
      <c r="A12" s="39" t="s">
        <v>181</v>
      </c>
      <c r="B12" s="414"/>
      <c r="H12" s="97"/>
      <c r="I12" s="97"/>
      <c r="K12" s="97"/>
      <c r="L12" s="97"/>
      <c r="M12" s="414"/>
      <c r="N12" s="414"/>
    </row>
    <row r="13" spans="1:14">
      <c r="A13" s="32"/>
      <c r="B13" s="414" t="s">
        <v>182</v>
      </c>
      <c r="C13" s="94">
        <f>+'MACH MAADC BC-BENCH MODEL '!G18</f>
        <v>10113.242066018694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1.2332184082453836</v>
      </c>
      <c r="M13" s="257"/>
      <c r="N13" s="94"/>
    </row>
    <row r="14" spans="1:14">
      <c r="A14" s="32"/>
      <c r="B14" s="414" t="s">
        <v>183</v>
      </c>
      <c r="C14" s="94">
        <f>+'MACH MAADC BC-BENCH MODEL '!G25</f>
        <v>663.7512997321893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1.8511719116825594E-2</v>
      </c>
      <c r="M14" s="257"/>
      <c r="N14" s="94"/>
    </row>
    <row r="15" spans="1:14">
      <c r="A15" s="32"/>
      <c r="B15" s="414" t="s">
        <v>185</v>
      </c>
      <c r="C15" s="94">
        <f>+'MACH MAADC BC-BENCH MODEL '!G32</f>
        <v>13.407776254590269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1.0592051416151336E-2</v>
      </c>
      <c r="M15" s="257"/>
      <c r="N15" s="94"/>
    </row>
    <row r="16" spans="1:14">
      <c r="A16" s="32"/>
      <c r="B16" s="414" t="s">
        <v>186</v>
      </c>
      <c r="C16" s="94">
        <f>+'MACH MAADC BC-BENCH MODEL '!G39</f>
        <v>671.98310736251369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8.1942262690803278E-2</v>
      </c>
      <c r="M16" s="257"/>
      <c r="N16" s="94"/>
    </row>
    <row r="17" spans="1:14">
      <c r="A17" s="32"/>
      <c r="B17" s="414" t="s">
        <v>187</v>
      </c>
      <c r="C17" s="94">
        <f>+'MACH MAADC BC-BENCH MODEL '!C32</f>
        <v>1.3776554909938095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 t="shared" ref="L17:L42" si="0">+(K17*C17/10000)</f>
        <v>1.1882428408457181E-3</v>
      </c>
      <c r="M17" s="257"/>
      <c r="N17" s="94"/>
    </row>
    <row r="18" spans="1:14" ht="12.95">
      <c r="A18" s="39" t="s">
        <v>188</v>
      </c>
      <c r="B18" s="414"/>
      <c r="H18" s="97"/>
      <c r="I18" s="97"/>
      <c r="K18" s="97"/>
      <c r="L18" s="97"/>
      <c r="M18" s="257"/>
      <c r="N18" s="94"/>
    </row>
    <row r="19" spans="1:14">
      <c r="A19" s="32"/>
      <c r="B19" s="414" t="s">
        <v>189</v>
      </c>
      <c r="C19" s="94">
        <f>+'MACH MAADC BC-BENCH MODEL 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 t="shared" si="0"/>
        <v>0</v>
      </c>
      <c r="M19" s="257"/>
      <c r="N19" s="94"/>
    </row>
    <row r="20" spans="1:14">
      <c r="A20" s="32"/>
      <c r="B20" s="414" t="s">
        <v>190</v>
      </c>
      <c r="C20" s="94">
        <f>+'MACH MAADC BC-BENCH MODEL '!AA16</f>
        <v>336.09032193343103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 t="shared" si="0"/>
        <v>0.33954665862987182</v>
      </c>
      <c r="M20" s="257"/>
      <c r="N20" s="94"/>
    </row>
    <row r="21" spans="1:14" ht="12.95">
      <c r="A21" s="39" t="s">
        <v>191</v>
      </c>
      <c r="B21" s="414"/>
      <c r="H21" s="97"/>
      <c r="I21" s="97"/>
      <c r="K21" s="97"/>
      <c r="L21" s="97"/>
      <c r="M21" s="257"/>
      <c r="N21" s="94"/>
    </row>
    <row r="22" spans="1:14">
      <c r="A22" s="32"/>
      <c r="B22" s="414" t="s">
        <v>189</v>
      </c>
      <c r="C22" s="94">
        <f>+'MACH MAADC BC-BENCH MODEL '!S24</f>
        <v>93.198477882936388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 t="shared" si="0"/>
        <v>1.427153395574463E-2</v>
      </c>
      <c r="M22" s="257"/>
      <c r="N22" s="94"/>
    </row>
    <row r="23" spans="1:14">
      <c r="A23" s="32"/>
      <c r="B23" s="414" t="s">
        <v>190</v>
      </c>
      <c r="C23" s="94">
        <f>+'MACH MAADC BC-BENCH MODEL '!AA24</f>
        <v>60.904944457555381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 t="shared" si="0"/>
        <v>3.5704144511652137E-2</v>
      </c>
      <c r="M23" s="257"/>
      <c r="N23" s="94"/>
    </row>
    <row r="24" spans="1:14" ht="12.95">
      <c r="A24" s="39" t="s">
        <v>192</v>
      </c>
      <c r="B24" s="414"/>
      <c r="H24" s="97"/>
      <c r="I24" s="97"/>
      <c r="K24" s="97"/>
      <c r="L24" s="97"/>
      <c r="M24" s="257"/>
      <c r="N24" s="94"/>
    </row>
    <row r="25" spans="1:14">
      <c r="A25" s="32"/>
      <c r="B25" s="414" t="s">
        <v>182</v>
      </c>
      <c r="C25" s="94">
        <f>+'MACH MAADC BC-BENCH MODEL 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 t="shared" si="0"/>
        <v>0</v>
      </c>
      <c r="M25" s="257"/>
      <c r="N25" s="94"/>
    </row>
    <row r="26" spans="1:14">
      <c r="A26" s="32"/>
      <c r="B26" s="414" t="s">
        <v>183</v>
      </c>
      <c r="C26" s="94">
        <f>+'MACH MAADC BC-BENCH MODEL 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 t="shared" si="0"/>
        <v>0</v>
      </c>
      <c r="M26" s="257"/>
      <c r="N26" s="94"/>
    </row>
    <row r="27" spans="1:14">
      <c r="A27" s="32"/>
      <c r="B27" s="414" t="s">
        <v>185</v>
      </c>
      <c r="C27" s="94">
        <f>+'MACH MAADC BC-BENCH MODEL 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 t="shared" si="0"/>
        <v>0</v>
      </c>
      <c r="M27" s="257"/>
      <c r="N27" s="94"/>
    </row>
    <row r="28" spans="1:14">
      <c r="A28" s="32"/>
      <c r="B28" s="414" t="s">
        <v>186</v>
      </c>
      <c r="C28" s="94">
        <f>+'MACH MAADC BC-BENCH MODEL 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 t="shared" si="0"/>
        <v>0</v>
      </c>
      <c r="M28" s="257"/>
      <c r="N28" s="94"/>
    </row>
    <row r="29" spans="1:14">
      <c r="A29" s="32"/>
      <c r="B29" s="414" t="s">
        <v>187</v>
      </c>
      <c r="C29" s="94">
        <f>+'MACH MAADC BC-BENCH MODEL 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 t="shared" si="0"/>
        <v>0</v>
      </c>
      <c r="M29" s="257"/>
      <c r="N29" s="94"/>
    </row>
    <row r="30" spans="1:14" ht="12.95">
      <c r="A30" s="39" t="s">
        <v>193</v>
      </c>
      <c r="B30" s="414"/>
      <c r="H30" s="97"/>
      <c r="I30" s="97"/>
      <c r="K30" s="97"/>
      <c r="L30" s="97"/>
      <c r="M30" s="257"/>
      <c r="N30" s="94"/>
    </row>
    <row r="31" spans="1:14">
      <c r="A31" s="32"/>
      <c r="B31" s="414" t="s">
        <v>43</v>
      </c>
      <c r="C31" s="94">
        <f>+'MACH MAADC BC-BENCH MODEL '!S32</f>
        <v>5532.6782294326622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 t="shared" si="0"/>
        <v>0.87459432830218453</v>
      </c>
      <c r="M31" s="257"/>
      <c r="N31" s="94"/>
    </row>
    <row r="32" spans="1:14">
      <c r="A32" s="32"/>
      <c r="B32" s="414" t="s">
        <v>194</v>
      </c>
      <c r="C32" s="94">
        <f>+'MACH MAADC BC-BENCH MODEL '!AA32</f>
        <v>351.61906740497852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 t="shared" si="0"/>
        <v>0.18474339952074609</v>
      </c>
      <c r="M32" s="257"/>
      <c r="N32" s="94"/>
    </row>
    <row r="33" spans="1:14" ht="12.95">
      <c r="A33" s="39" t="s">
        <v>195</v>
      </c>
      <c r="B33" s="414"/>
      <c r="H33" s="97"/>
      <c r="I33" s="97"/>
      <c r="K33" s="97"/>
      <c r="L33" s="97"/>
      <c r="M33" s="257"/>
      <c r="N33" s="94"/>
    </row>
    <row r="34" spans="1:14">
      <c r="A34" s="32"/>
      <c r="B34" s="414" t="s">
        <v>189</v>
      </c>
      <c r="C34" s="94">
        <f>+'MACH MAADC BC-BENCH MODEL '!S40</f>
        <v>4632.243661213326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 t="shared" si="0"/>
        <v>0.37931466753369164</v>
      </c>
      <c r="M34" s="257"/>
      <c r="N34" s="94"/>
    </row>
    <row r="35" spans="1:14">
      <c r="A35" s="32"/>
      <c r="B35" s="414" t="s">
        <v>190</v>
      </c>
      <c r="C35" s="94">
        <f>+'MACH MAADC BC-BENCH MODEL '!AA40</f>
        <v>668.7357727693759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 t="shared" si="0"/>
        <v>0.38528491979060814</v>
      </c>
      <c r="M35" s="257"/>
      <c r="N35" s="94"/>
    </row>
    <row r="36" spans="1:14" ht="12.95">
      <c r="A36" s="39" t="s">
        <v>196</v>
      </c>
      <c r="B36" s="414"/>
      <c r="H36" s="97"/>
      <c r="I36" s="97"/>
      <c r="K36" s="97"/>
      <c r="L36" s="97"/>
      <c r="M36" s="257"/>
      <c r="N36" s="94"/>
    </row>
    <row r="37" spans="1:14">
      <c r="A37" s="414"/>
      <c r="B37" s="414" t="s">
        <v>197</v>
      </c>
      <c r="C37" s="94">
        <f>+'MACH MAADC BC-BENCH MODEL '!W49</f>
        <v>321.19463718894878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1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2">+H37*J37+I37</f>
        <v>0.63634633241078098</v>
      </c>
      <c r="L37" s="97">
        <f t="shared" si="0"/>
        <v>2.04391029365199E-2</v>
      </c>
      <c r="M37" s="257"/>
      <c r="N37" s="94"/>
    </row>
    <row r="38" spans="1:14">
      <c r="A38" s="414"/>
      <c r="B38" s="414" t="s">
        <v>198</v>
      </c>
      <c r="C38" s="94">
        <f>+'MACH MAADC BC-BENCH MODEL 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2"/>
        <v>0</v>
      </c>
      <c r="L38" s="97">
        <f t="shared" si="0"/>
        <v>0</v>
      </c>
      <c r="M38" s="257"/>
      <c r="N38" s="94"/>
    </row>
    <row r="39" spans="1:14">
      <c r="A39" s="414"/>
      <c r="B39" s="414" t="s">
        <v>199</v>
      </c>
      <c r="C39" s="94">
        <f>+'MACH MAADC BC-BENCH MODEL '!W63</f>
        <v>17497.312460998866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1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2"/>
        <v>1.2058501693598105</v>
      </c>
      <c r="L39" s="97">
        <f t="shared" si="0"/>
        <v>2.1099137194437003</v>
      </c>
      <c r="M39" s="257"/>
      <c r="N39" s="94"/>
    </row>
    <row r="40" spans="1:14">
      <c r="A40" s="414"/>
      <c r="B40" s="414" t="s">
        <v>200</v>
      </c>
      <c r="C40" s="94">
        <f>+'MACH MAADC BC-BENCH MODEL '!AA74*(1-MISC!E9)</f>
        <v>1097.6136671325285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1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2"/>
        <v>7.8712379159307542</v>
      </c>
      <c r="L40" s="97">
        <f t="shared" si="0"/>
        <v>0.86395783137773563</v>
      </c>
      <c r="M40" s="257"/>
      <c r="N40" s="94"/>
    </row>
    <row r="41" spans="1:14">
      <c r="A41" s="414"/>
      <c r="B41" s="414" t="s">
        <v>201</v>
      </c>
      <c r="C41" s="94">
        <f>+MISC!E10*('MACH MAADC BC-BENCH MODEL '!AE64+'MACH MAADC BC-BENCH MODEL '!AE57)</f>
        <v>394.16291792316412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1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2"/>
        <v>3.2621560324800813</v>
      </c>
      <c r="L41" s="97">
        <f t="shared" si="0"/>
        <v>0.12858209404830012</v>
      </c>
      <c r="M41" s="257"/>
      <c r="N41" s="94"/>
    </row>
    <row r="42" spans="1:14">
      <c r="A42" s="417"/>
      <c r="B42" s="417" t="s">
        <v>202</v>
      </c>
      <c r="C42" s="101">
        <f>+MISC!E10*('MACH MAADC BC-BENCH MODEL '!AE75+'MACH MAADC BC-BENCH MODEL '!AE50)</f>
        <v>64.182086674751275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1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2"/>
        <v>6.5243120649601627</v>
      </c>
      <c r="L42" s="103">
        <f t="shared" si="0"/>
        <v>4.1874396244639865E-2</v>
      </c>
      <c r="M42" s="257"/>
      <c r="N42" s="94"/>
    </row>
    <row r="43" spans="1:14" ht="9" customHeight="1" thickBot="1">
      <c r="A43" s="414"/>
      <c r="B43" s="414"/>
      <c r="H43" s="97"/>
      <c r="I43" s="97"/>
      <c r="K43" s="97"/>
      <c r="L43" s="93"/>
      <c r="M43" s="414"/>
      <c r="N43" s="414"/>
    </row>
    <row r="44" spans="1:14" ht="13.5" thickBot="1">
      <c r="A44" s="414"/>
      <c r="B44" s="414"/>
      <c r="H44" s="97"/>
      <c r="J44" s="104" t="s">
        <v>203</v>
      </c>
      <c r="K44" s="105"/>
      <c r="L44" s="395">
        <f>SUM(L11:L42)</f>
        <v>6.723679480605405</v>
      </c>
      <c r="M44" s="414"/>
      <c r="N44" s="414"/>
    </row>
    <row r="45" spans="1:14" ht="9" customHeight="1" thickBot="1">
      <c r="A45" s="414"/>
      <c r="B45" s="414"/>
      <c r="H45" s="97"/>
      <c r="J45" s="106"/>
      <c r="K45" s="2"/>
      <c r="L45" s="92"/>
      <c r="M45" s="414"/>
      <c r="N45" s="414"/>
    </row>
    <row r="46" spans="1:14" ht="13.5" thickBot="1">
      <c r="A46" s="414"/>
      <c r="B46" s="414"/>
      <c r="J46" s="280" t="s">
        <v>204</v>
      </c>
      <c r="K46" s="281"/>
      <c r="L46" s="282">
        <f>+('MACH MAADC MODEL'!AE57+'MACH MAADC MODEL'!AE64)/C3</f>
        <v>0.85384008270572487</v>
      </c>
      <c r="M46" s="39"/>
      <c r="N46" s="414"/>
    </row>
    <row r="47" spans="1:14" ht="12.95">
      <c r="A47" s="67" t="s">
        <v>18</v>
      </c>
      <c r="B47" s="414"/>
      <c r="H47" s="67"/>
      <c r="M47" s="414"/>
      <c r="N47" s="414"/>
    </row>
    <row r="48" spans="1:14" ht="12.95">
      <c r="A48" s="225" t="s">
        <v>260</v>
      </c>
      <c r="B48" s="225"/>
      <c r="C48" s="226"/>
      <c r="D48" s="226"/>
      <c r="E48" s="226"/>
      <c r="F48" s="226"/>
      <c r="G48" s="227"/>
      <c r="H48" s="225"/>
      <c r="M48" s="414"/>
      <c r="N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225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225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39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225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225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254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8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39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108"/>
    </row>
    <row r="58" spans="1:10" ht="12.95">
      <c r="A58" s="108" t="s">
        <v>261</v>
      </c>
      <c r="B58" s="39"/>
      <c r="C58" s="194"/>
      <c r="D58" s="194"/>
      <c r="E58" s="194"/>
      <c r="F58" s="194"/>
      <c r="G58" s="91"/>
      <c r="H58" s="108"/>
    </row>
  </sheetData>
  <pageMargins left="0.7" right="0.7" top="0.75" bottom="0.75" header="0.3" footer="0.3"/>
  <pageSetup orientation="portrait" horizontalDpi="300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0"/>
  <sheetViews>
    <sheetView zoomScaleNormal="100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19.85546875" style="3" customWidth="1"/>
    <col min="12" max="12" width="4.42578125" style="3" customWidth="1"/>
    <col min="13" max="13" width="4.140625" customWidth="1"/>
    <col min="14" max="14" width="12.8554687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855468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259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f>E4</f>
        <v>10000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9024.5715339016006</v>
      </c>
      <c r="J15" s="414"/>
      <c r="K15" s="458">
        <f>+I15+I16</f>
        <v>9041.0288814772794</v>
      </c>
      <c r="L15" s="458"/>
      <c r="M15" s="414"/>
      <c r="N15" s="15"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58.510393656567949</v>
      </c>
      <c r="AE15" s="22" t="s">
        <v>231</v>
      </c>
    </row>
    <row r="16" spans="1:32" ht="13.5" thickBot="1">
      <c r="A16" s="45"/>
      <c r="B16" s="414"/>
      <c r="E16" s="414"/>
      <c r="F16" s="414"/>
      <c r="G16" s="364" t="s">
        <v>219</v>
      </c>
      <c r="H16" s="365"/>
      <c r="I16" s="71">
        <f>+(C20+E27)*(ACCEPT!$C$5)</f>
        <v>16.457347575678348</v>
      </c>
      <c r="J16" s="414"/>
      <c r="K16" s="15"/>
      <c r="L16" s="15"/>
      <c r="M16" s="414"/>
      <c r="N16" s="15">
        <f>+(K15)*DENSITY!D9</f>
        <v>86.950240746231174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336.09032193343103</v>
      </c>
      <c r="AB16" s="142">
        <f>+E11+N31+N39+V14</f>
        <v>336.09032193343103</v>
      </c>
      <c r="AC16" s="15"/>
      <c r="AD16" s="15">
        <f>+AB16*DENSITY!E14</f>
        <v>59.881242515810307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+(K15)*DENSITY!E9</f>
        <v>5095.1372864305686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217.69868576105279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10113.242066018694</v>
      </c>
      <c r="H18" s="142">
        <f>+E7</f>
        <v>10000</v>
      </c>
      <c r="J18" s="414"/>
      <c r="M18" s="414"/>
      <c r="N18" s="15">
        <f>+(K15)*DENSITY!F9</f>
        <v>3858.9413543004803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+(K15)*DENSITY!G9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1.3776554909938095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1.7788063667607659</v>
      </c>
      <c r="H21" s="125">
        <f>+H18*ACCEPT!F6</f>
        <v>661.97249336542848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2.3945508009874334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364" t="s">
        <v>222</v>
      </c>
      <c r="H23" s="36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93.198477882936388</v>
      </c>
      <c r="T24" s="142">
        <f>+E10+N16+N42+W16</f>
        <v>92.940669040360618</v>
      </c>
      <c r="U24" s="3"/>
      <c r="V24" s="15"/>
      <c r="W24" s="15">
        <f>+V25*DENSITY!E10</f>
        <v>52.041844471371455</v>
      </c>
      <c r="X24" s="22" t="s">
        <v>223</v>
      </c>
      <c r="Y24" s="15"/>
      <c r="Z24" s="15"/>
      <c r="AA24" s="139">
        <f>+AB24</f>
        <v>60.904944457555381</v>
      </c>
      <c r="AB24" s="142">
        <f>+E12+V22+AD15</f>
        <v>60.904944457555381</v>
      </c>
      <c r="AC24" s="15"/>
      <c r="AD24" s="15">
        <f>+AB24*DENSITY!E15</f>
        <v>49.302524973402143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663.7512997321893</v>
      </c>
      <c r="H25" s="142">
        <f>+H21+E8</f>
        <v>661.97249336542848</v>
      </c>
      <c r="I25" s="30" t="s">
        <v>236</v>
      </c>
      <c r="J25" s="31"/>
      <c r="K25" s="15"/>
      <c r="L25" s="15"/>
      <c r="M25" s="9"/>
      <c r="N25" s="414"/>
      <c r="O25" s="414"/>
      <c r="Q25" s="37"/>
      <c r="R25" s="126"/>
      <c r="S25" s="140"/>
      <c r="T25" s="143"/>
      <c r="U25" s="3"/>
      <c r="V25" s="15">
        <f>+T24*ACCEPT!C16</f>
        <v>90.546118239373186</v>
      </c>
      <c r="W25" s="15">
        <f>+V25*DENSITY!F10</f>
        <v>38.504273768001724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11.60241948415324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16.858498451445303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3.5931888608567553E-2</v>
      </c>
      <c r="H28" s="36">
        <f>+J28</f>
        <v>13.371844365981701</v>
      </c>
      <c r="I28" s="48">
        <f>+G21-K29</f>
        <v>3.5931888608567553E-2</v>
      </c>
      <c r="J28" s="460">
        <f>+H25-L29</f>
        <v>13.371844365981701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1.7428744781521983</v>
      </c>
      <c r="L29" s="461">
        <f>+H25*(MISC!E6)</f>
        <v>648.60064899944678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366" t="s">
        <v>241</v>
      </c>
      <c r="H30" s="367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242.43529991576611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1.1039155175546262</v>
      </c>
      <c r="N31" s="127">
        <f>+M31+M32</f>
        <v>1.106881882427295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1.3776554909938095</v>
      </c>
      <c r="D32" s="152">
        <f>+D36</f>
        <v>1.3776554909938095</v>
      </c>
      <c r="E32" s="414"/>
      <c r="F32" s="414"/>
      <c r="G32" s="142">
        <f>+I28+H32</f>
        <v>13.407776254590269</v>
      </c>
      <c r="H32" s="142">
        <f>+J28</f>
        <v>13.371844365981701</v>
      </c>
      <c r="I32" s="48"/>
      <c r="J32" s="462"/>
      <c r="K32" s="15"/>
      <c r="L32" s="15"/>
      <c r="M32" s="74">
        <f>+I28*MISC!E5</f>
        <v>2.9663648726687779E-3</v>
      </c>
      <c r="N32" s="32"/>
      <c r="O32" s="32"/>
      <c r="P32" s="33"/>
      <c r="Q32" s="34"/>
      <c r="R32" s="15"/>
      <c r="S32" s="142">
        <f>+T32*(1+DENSITY!B13)</f>
        <v>5532.6782294326622</v>
      </c>
      <c r="T32" s="159">
        <f>+K8+N17+N43+N48+N75+W17+W24</f>
        <v>5498.2081136989837</v>
      </c>
      <c r="U32" s="15"/>
      <c r="X32" s="414"/>
      <c r="AA32" s="142">
        <f>+AB32</f>
        <v>351.61906740497852</v>
      </c>
      <c r="AB32" s="159">
        <f>+Q7+N64+N72+V30+AD16+AD24</f>
        <v>351.61906740497852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5255.7728137832173</v>
      </c>
      <c r="W33" s="15">
        <f>+V33*DENSITY!$G$13</f>
        <v>4786.8361661364916</v>
      </c>
      <c r="X33" s="22" t="s">
        <v>229</v>
      </c>
      <c r="AA33" s="165"/>
      <c r="AB33" s="157"/>
      <c r="AC33" s="15"/>
      <c r="AD33" s="15">
        <f>+AB32*DENSITY!F16</f>
        <v>153.98973896312063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468.93664764672769</v>
      </c>
      <c r="X34" s="22" t="s">
        <v>226</v>
      </c>
      <c r="AA34" s="414"/>
      <c r="AB34" s="414"/>
      <c r="AC34" s="15"/>
      <c r="AD34" s="15">
        <f>+AB32*DENSITY!G16</f>
        <v>197.62932844185789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3.2965523735898776E-2</v>
      </c>
      <c r="H35" s="36">
        <f>+J35</f>
        <v>12.267928848427076</v>
      </c>
      <c r="I35" s="48">
        <f>+I28-M32</f>
        <v>3.2965523735898776E-2</v>
      </c>
      <c r="J35" s="15">
        <f>+J28-M31</f>
        <v>12.267928848427076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1.3776554909938095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364" t="s">
        <v>244</v>
      </c>
      <c r="H37" s="36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285.44492856104921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671.98310736251369</v>
      </c>
      <c r="H39" s="142">
        <f>+J35+L29</f>
        <v>660.86857784787389</v>
      </c>
      <c r="J39" s="414"/>
      <c r="K39" s="15"/>
      <c r="L39" s="72">
        <f>+H39*ACCEPT!C13</f>
        <v>20.715320291796026</v>
      </c>
      <c r="M39" s="414"/>
      <c r="N39" s="463">
        <f>+L39+L40+H18*ACCEPT!G6</f>
        <v>334.98344005100375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9.3386895127516585</v>
      </c>
      <c r="F40" s="414"/>
      <c r="G40" s="140"/>
      <c r="H40" s="143"/>
      <c r="J40" s="414"/>
      <c r="L40" s="72">
        <f>+(G39-H39)*(1-ACCEPT!C9)</f>
        <v>0.81214702623707291</v>
      </c>
      <c r="M40" s="414"/>
      <c r="N40" s="15"/>
      <c r="O40" s="17"/>
      <c r="P40" s="17"/>
      <c r="Q40" s="134"/>
      <c r="R40" s="15"/>
      <c r="S40" s="142">
        <f>+T40</f>
        <v>4632.243661213326</v>
      </c>
      <c r="T40" s="159">
        <f>+K9+N18+N44+N49+N76+W18+W25+W34</f>
        <v>4632.243661213326</v>
      </c>
      <c r="U40" s="15"/>
      <c r="V40" s="15"/>
      <c r="W40" s="17"/>
      <c r="X40" s="15"/>
      <c r="AA40" s="142">
        <f>+AB40</f>
        <v>668.7357727693759</v>
      </c>
      <c r="AB40" s="159">
        <f>+Q8+V38+AD33+AD25+AD17</f>
        <v>668.7357727693759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+J42*DENSITY!C9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4346.7987326522771</v>
      </c>
      <c r="W41" s="22" t="s">
        <v>229</v>
      </c>
      <c r="X41" s="15"/>
      <c r="AA41" s="165"/>
      <c r="AB41" s="157"/>
      <c r="AC41" s="414"/>
      <c r="AD41" s="15">
        <f>+AB40</f>
        <v>668.7357727693759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612.57841410088702</v>
      </c>
      <c r="J42" s="464">
        <f>+H42+H43</f>
        <v>622.88079658928973</v>
      </c>
      <c r="M42" s="414"/>
      <c r="N42" s="15">
        <f>+J42*DENSITY!D9</f>
        <v>5.9904282941294458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10.302382488402726</v>
      </c>
      <c r="J43" s="414"/>
      <c r="M43" s="414"/>
      <c r="N43" s="15">
        <f>+J42*DENSITY!E9</f>
        <v>351.02898279704385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+J42*DENSITY!F9</f>
        <v>265.86138549811648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+J42*DENSITY!G9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18.507525848823644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321.19463718894878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321.19463718894878</v>
      </c>
      <c r="X49" s="159">
        <f>+V48</f>
        <v>321.19463718894878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302.68711134012511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9133.6348987887686</v>
      </c>
      <c r="T56" s="159">
        <f>+K10+N19+N45+N50+N77+W19+W26+W33+V41</f>
        <v>9133.6348987887686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212.74104007247115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8812.4402615998188</v>
      </c>
      <c r="W63" s="142">
        <f>+X63+X63*ACCEPT!C20</f>
        <v>17497.312460998866</v>
      </c>
      <c r="X63" s="159">
        <f>+V63</f>
        <v>8812.4402615998188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8599.6992215273476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1097.6136671325285</v>
      </c>
      <c r="AB74" s="159">
        <f>+Q9+AD41+AD34+AD26+AD18+Z47+Z54+Z61+Z67</f>
        <v>1097.6136671325285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1097.6136671325285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6"/>
      <c r="H83" s="203"/>
      <c r="I83" s="207"/>
      <c r="J83" s="414"/>
      <c r="K83" s="215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>
      <c r="G97" s="213"/>
      <c r="H97" s="212"/>
      <c r="I97" s="219"/>
    </row>
    <row r="98" spans="7:9">
      <c r="G98" s="21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12:F12"/>
    <mergeCell ref="M30:N30"/>
    <mergeCell ref="E4:F4"/>
    <mergeCell ref="E7:F7"/>
    <mergeCell ref="E8:F8"/>
    <mergeCell ref="E9:F9"/>
    <mergeCell ref="E10:F10"/>
    <mergeCell ref="E11:F11"/>
  </mergeCells>
  <pageMargins left="0.7" right="0.7" top="0.75" bottom="0.75" header="0.3" footer="0.3"/>
  <pageSetup orientation="portrait" horizontalDpi="300" verticalDpi="0" copies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6">
    <pageSetUpPr fitToPage="1"/>
  </sheetPr>
  <dimension ref="A1:L28"/>
  <sheetViews>
    <sheetView zoomScale="160" zoomScaleNormal="160" workbookViewId="0"/>
  </sheetViews>
  <sheetFormatPr defaultColWidth="9.140625" defaultRowHeight="12.95"/>
  <cols>
    <col min="1" max="1" width="8.7109375" customWidth="1"/>
    <col min="2" max="2" width="32.28515625" customWidth="1"/>
    <col min="3" max="3" width="10.7109375" style="29" customWidth="1"/>
    <col min="4" max="4" width="11.42578125" style="52" customWidth="1"/>
    <col min="5" max="5" width="38.5703125" style="51" customWidth="1"/>
    <col min="6" max="6" width="10.7109375" customWidth="1"/>
    <col min="7" max="11" width="10.7109375" style="51" customWidth="1"/>
    <col min="12" max="12" width="8.7109375" style="51" customWidth="1"/>
  </cols>
  <sheetData>
    <row r="1" spans="1:12" ht="18">
      <c r="A1" s="295" t="s">
        <v>262</v>
      </c>
      <c r="B1" s="250"/>
      <c r="C1" s="250"/>
      <c r="F1" s="2"/>
    </row>
    <row r="2" spans="1:12" ht="18">
      <c r="A2" s="295"/>
      <c r="B2" s="250"/>
      <c r="C2" s="250"/>
      <c r="E2" s="296"/>
      <c r="F2" s="2"/>
    </row>
    <row r="3" spans="1:12" s="57" customFormat="1">
      <c r="A3" s="67" t="s">
        <v>263</v>
      </c>
      <c r="B3" s="297"/>
      <c r="C3" s="64" t="s">
        <v>264</v>
      </c>
      <c r="D3" s="110"/>
      <c r="E3" s="64"/>
      <c r="F3" s="64"/>
      <c r="G3" s="110"/>
      <c r="H3" s="64"/>
      <c r="I3" s="64"/>
      <c r="J3" s="64"/>
      <c r="K3" s="64"/>
      <c r="L3" s="64"/>
    </row>
    <row r="4" spans="1:12" s="57" customFormat="1">
      <c r="A4" s="67"/>
      <c r="B4" s="297"/>
      <c r="C4" s="64"/>
      <c r="D4" s="61"/>
      <c r="H4" s="64"/>
      <c r="I4" s="64"/>
      <c r="J4" s="64"/>
      <c r="K4" s="64"/>
      <c r="L4" s="64"/>
    </row>
    <row r="5" spans="1:12" s="32" customFormat="1">
      <c r="A5" s="32" t="s">
        <v>265</v>
      </c>
      <c r="B5" s="381"/>
      <c r="C5" s="298">
        <f>[2]Letters!C6</f>
        <v>0.90245715339016008</v>
      </c>
      <c r="D5" s="106" t="s">
        <v>25</v>
      </c>
      <c r="E5" s="368" t="s">
        <v>266</v>
      </c>
      <c r="F5" s="368" t="s">
        <v>267</v>
      </c>
      <c r="G5" s="369" t="s">
        <v>268</v>
      </c>
      <c r="H5" s="298"/>
      <c r="I5" s="298"/>
      <c r="J5" s="298"/>
      <c r="K5" s="298"/>
      <c r="L5" s="298"/>
    </row>
    <row r="6" spans="1:12" s="32" customFormat="1">
      <c r="B6" s="381"/>
      <c r="C6" s="390"/>
      <c r="D6" s="106"/>
      <c r="E6" s="388">
        <f>1-C5</f>
        <v>9.7542846609839917E-2</v>
      </c>
      <c r="F6" s="388">
        <f>E6-C13</f>
        <v>6.6197249336542849E-2</v>
      </c>
      <c r="G6" s="388">
        <f>C13</f>
        <v>3.1345597273297068E-2</v>
      </c>
      <c r="H6" s="298"/>
      <c r="I6" s="298"/>
      <c r="J6" s="298"/>
      <c r="K6" s="298"/>
      <c r="L6" s="298"/>
    </row>
    <row r="7" spans="1:12" s="32" customFormat="1">
      <c r="A7" s="199"/>
      <c r="B7" s="468"/>
      <c r="C7" s="390"/>
      <c r="D7" s="299"/>
      <c r="E7" s="296"/>
      <c r="F7" s="296"/>
      <c r="G7" s="298"/>
      <c r="H7" s="298"/>
      <c r="I7" s="298"/>
      <c r="J7" s="298"/>
      <c r="K7" s="298"/>
      <c r="L7" s="298"/>
    </row>
    <row r="8" spans="1:12" s="32" customFormat="1">
      <c r="A8" s="32" t="s">
        <v>269</v>
      </c>
      <c r="C8" s="390"/>
      <c r="D8" s="245"/>
      <c r="E8" s="296"/>
      <c r="F8" s="296"/>
      <c r="G8" s="51"/>
      <c r="H8" s="51"/>
      <c r="I8" s="51"/>
      <c r="J8" s="51"/>
      <c r="K8" s="51"/>
      <c r="L8" s="51"/>
    </row>
    <row r="9" spans="1:12" s="32" customFormat="1">
      <c r="B9" s="32" t="s">
        <v>251</v>
      </c>
      <c r="C9" s="298">
        <f>[2]Letters!C9</f>
        <v>0.92692924831704915</v>
      </c>
      <c r="D9" s="106" t="s">
        <v>23</v>
      </c>
      <c r="E9" s="286"/>
      <c r="F9" s="296"/>
      <c r="G9" s="51"/>
      <c r="H9" s="51"/>
      <c r="I9" s="51"/>
      <c r="J9" s="51"/>
      <c r="K9" s="51"/>
      <c r="L9" s="51"/>
    </row>
    <row r="10" spans="1:12" s="32" customFormat="1">
      <c r="B10" s="32" t="s">
        <v>270</v>
      </c>
      <c r="C10" s="298">
        <f>[2]Letters!C10</f>
        <v>2.5509608137740784E-2</v>
      </c>
      <c r="D10" s="106" t="s">
        <v>23</v>
      </c>
      <c r="E10" s="296"/>
      <c r="F10" s="296"/>
      <c r="G10" s="2"/>
      <c r="H10" s="51"/>
      <c r="I10" s="51"/>
      <c r="J10" s="51"/>
      <c r="K10" s="51"/>
      <c r="L10" s="51"/>
    </row>
    <row r="11" spans="1:12" s="32" customFormat="1">
      <c r="B11" s="381" t="s">
        <v>247</v>
      </c>
      <c r="C11" s="298">
        <f>[2]Letters!C11</f>
        <v>1.4130932874979785E-2</v>
      </c>
      <c r="D11" s="106" t="s">
        <v>23</v>
      </c>
      <c r="E11" s="296"/>
      <c r="F11" s="296"/>
      <c r="G11" s="51"/>
      <c r="H11" s="51"/>
      <c r="I11" s="51"/>
      <c r="J11" s="51"/>
      <c r="K11" s="51"/>
      <c r="L11" s="51"/>
    </row>
    <row r="12" spans="1:12" s="32" customFormat="1">
      <c r="B12" s="381" t="s">
        <v>187</v>
      </c>
      <c r="C12" s="298">
        <f>[2]Letters!C12</f>
        <v>2.0846133969331096E-3</v>
      </c>
      <c r="D12" s="106" t="s">
        <v>23</v>
      </c>
      <c r="E12" s="296"/>
      <c r="F12" s="296"/>
      <c r="G12" s="51"/>
      <c r="H12" s="51"/>
      <c r="I12" s="51"/>
      <c r="J12" s="51"/>
      <c r="K12" s="51"/>
      <c r="L12" s="51"/>
    </row>
    <row r="13" spans="1:12" s="32" customFormat="1">
      <c r="B13" s="381" t="s">
        <v>190</v>
      </c>
      <c r="C13" s="298">
        <f>[2]Letters!C13</f>
        <v>3.1345597273297068E-2</v>
      </c>
      <c r="D13" s="106" t="s">
        <v>23</v>
      </c>
      <c r="E13" s="296"/>
      <c r="F13" s="296"/>
      <c r="G13" s="51"/>
      <c r="H13" s="51"/>
      <c r="I13" s="51"/>
      <c r="J13" s="51"/>
      <c r="K13" s="51"/>
      <c r="L13" s="51"/>
    </row>
    <row r="14" spans="1:12" s="32" customFormat="1">
      <c r="B14" s="381"/>
      <c r="C14" s="298"/>
      <c r="D14" s="106"/>
      <c r="F14" s="296"/>
      <c r="G14" s="51"/>
      <c r="H14" s="51"/>
      <c r="I14" s="51"/>
      <c r="J14" s="51"/>
      <c r="K14" s="51"/>
      <c r="L14" s="51"/>
    </row>
    <row r="15" spans="1:12">
      <c r="A15" s="32" t="s">
        <v>225</v>
      </c>
      <c r="B15" s="32"/>
      <c r="C15" s="298">
        <f>[2]Letters!C15</f>
        <v>0.9725090126152891</v>
      </c>
      <c r="D15" s="39" t="s">
        <v>25</v>
      </c>
      <c r="E15" s="296"/>
      <c r="F15" s="199"/>
    </row>
    <row r="16" spans="1:12">
      <c r="A16" s="32" t="s">
        <v>228</v>
      </c>
      <c r="B16" s="32"/>
      <c r="C16" s="298">
        <f>[2]Letters!C16</f>
        <v>0.97423570514703772</v>
      </c>
      <c r="D16" s="39" t="s">
        <v>25</v>
      </c>
      <c r="E16" s="296"/>
      <c r="F16" s="296"/>
    </row>
    <row r="17" spans="1:8">
      <c r="A17" s="32" t="s">
        <v>223</v>
      </c>
      <c r="B17" s="32"/>
      <c r="C17" s="298">
        <f>[2]Letters!C17</f>
        <v>0.95590648900471231</v>
      </c>
      <c r="D17" s="39" t="s">
        <v>25</v>
      </c>
      <c r="E17" s="296"/>
      <c r="F17" s="199"/>
    </row>
    <row r="18" spans="1:8">
      <c r="A18" s="32" t="s">
        <v>226</v>
      </c>
      <c r="B18" s="32"/>
      <c r="C18" s="298">
        <f>[2]Letters!C18</f>
        <v>0.93837868872245755</v>
      </c>
      <c r="D18" s="39" t="s">
        <v>25</v>
      </c>
      <c r="E18" s="296"/>
      <c r="F18" s="199"/>
    </row>
    <row r="19" spans="1:8">
      <c r="A19" s="32" t="s">
        <v>249</v>
      </c>
      <c r="B19" s="32"/>
      <c r="C19" s="298">
        <f>[2]Letters!C19</f>
        <v>0.94237909446185353</v>
      </c>
      <c r="D19" s="39" t="s">
        <v>25</v>
      </c>
      <c r="E19" s="296"/>
      <c r="F19" s="199"/>
    </row>
    <row r="20" spans="1:8">
      <c r="A20" s="32" t="s">
        <v>271</v>
      </c>
      <c r="B20" s="32"/>
      <c r="C20" s="298">
        <f>[2]Letters!C20</f>
        <v>0.98552409339367097</v>
      </c>
      <c r="D20" s="39" t="s">
        <v>25</v>
      </c>
      <c r="E20" s="296"/>
      <c r="F20" s="247"/>
    </row>
    <row r="21" spans="1:8">
      <c r="A21" s="32" t="s">
        <v>272</v>
      </c>
      <c r="B21" s="32"/>
      <c r="C21" s="298">
        <f>[2]Letters!C21</f>
        <v>0.99019294977333217</v>
      </c>
      <c r="D21" s="39" t="s">
        <v>25</v>
      </c>
      <c r="E21" s="296"/>
      <c r="F21" s="247"/>
      <c r="H21" s="414"/>
    </row>
    <row r="22" spans="1:8">
      <c r="A22" s="32"/>
      <c r="B22" s="32"/>
      <c r="C22" s="298"/>
      <c r="D22" s="39"/>
      <c r="E22" s="296"/>
      <c r="F22" s="247"/>
    </row>
    <row r="23" spans="1:8">
      <c r="A23" s="32"/>
      <c r="B23" s="32"/>
      <c r="C23" s="298"/>
      <c r="D23" s="39"/>
      <c r="E23" s="296"/>
      <c r="F23" s="300"/>
    </row>
    <row r="24" spans="1:8">
      <c r="A24" s="32"/>
      <c r="B24" s="32"/>
      <c r="C24" s="32"/>
      <c r="D24" s="283"/>
      <c r="E24" s="246"/>
      <c r="F24" s="247"/>
    </row>
    <row r="25" spans="1:8">
      <c r="A25" s="67" t="s">
        <v>18</v>
      </c>
      <c r="B25" s="32"/>
      <c r="C25" s="32"/>
      <c r="D25" s="283"/>
      <c r="E25" s="246"/>
      <c r="F25" s="300"/>
    </row>
    <row r="26" spans="1:8">
      <c r="A26" s="39" t="s">
        <v>273</v>
      </c>
      <c r="B26" s="32"/>
      <c r="C26" s="32"/>
      <c r="D26" s="284"/>
      <c r="F26" s="414"/>
    </row>
    <row r="27" spans="1:8">
      <c r="A27" s="39" t="s">
        <v>274</v>
      </c>
      <c r="B27" s="32"/>
      <c r="C27" s="32"/>
      <c r="F27" s="414"/>
    </row>
    <row r="28" spans="1:8">
      <c r="A28" s="39"/>
      <c r="B28" s="32"/>
      <c r="C28" s="32"/>
      <c r="F28" s="414"/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&amp;RPage 26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259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+'MACH MAADC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/>
      <c r="L11" s="97"/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+'MACH MAADC MODEL'!G18</f>
        <v>10113.242066018694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1.2332184082453836</v>
      </c>
      <c r="M13" s="414"/>
    </row>
    <row r="14" spans="1:13">
      <c r="A14" s="32"/>
      <c r="B14" s="414" t="s">
        <v>183</v>
      </c>
      <c r="C14" s="94">
        <f>+'MACH MAADC MODEL'!G25</f>
        <v>663.7512997321893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1.8511719116825594E-2</v>
      </c>
      <c r="M14" s="414"/>
    </row>
    <row r="15" spans="1:13">
      <c r="A15" s="32"/>
      <c r="B15" s="414" t="s">
        <v>185</v>
      </c>
      <c r="C15" s="94">
        <f>+'MACH MAADC MODEL'!G32</f>
        <v>13.407776254590269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1.0592051416151336E-2</v>
      </c>
      <c r="M15" s="414"/>
    </row>
    <row r="16" spans="1:13">
      <c r="A16" s="32"/>
      <c r="B16" s="414" t="s">
        <v>186</v>
      </c>
      <c r="C16" s="94">
        <f>+'MACH MAADC MODEL'!G39</f>
        <v>671.98310736251369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8.1942262690803278E-2</v>
      </c>
      <c r="M16" s="414"/>
    </row>
    <row r="17" spans="1:12">
      <c r="A17" s="32"/>
      <c r="B17" s="414" t="s">
        <v>187</v>
      </c>
      <c r="C17" s="94">
        <f>+'MACH MAADC MODEL'!C32</f>
        <v>1.3776554909938095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 t="shared" ref="L17:L42" si="0">+(K17*C17/10000)</f>
        <v>1.1882428408457181E-3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+'MACH MAADC MODEL'!S16</f>
        <v>149.25925673590135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 t="shared" si="0"/>
        <v>1.8200816494467666E-2</v>
      </c>
    </row>
    <row r="20" spans="1:12">
      <c r="A20" s="32"/>
      <c r="B20" s="414" t="s">
        <v>190</v>
      </c>
      <c r="C20" s="94">
        <f>+'MACH MAADC MODEL'!AA16</f>
        <v>340.19099614938511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 t="shared" si="0"/>
        <v>0.34368950398211812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 t="shared" si="0"/>
        <v>0</v>
      </c>
    </row>
    <row r="22" spans="1:12">
      <c r="A22" s="32"/>
      <c r="B22" s="414" t="s">
        <v>189</v>
      </c>
      <c r="C22" s="94">
        <f>+'MACH MAADC MODEL'!S24</f>
        <v>1846.4790149364385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 t="shared" si="0"/>
        <v>0.28275234272962363</v>
      </c>
    </row>
    <row r="23" spans="1:12">
      <c r="A23" s="32"/>
      <c r="B23" s="414" t="s">
        <v>190</v>
      </c>
      <c r="C23" s="94">
        <f>+'MACH MAADC MODEL'!AA24</f>
        <v>106.66591634363935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 t="shared" si="0"/>
        <v>6.2530478034590109E-2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+'MACH MAADC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 t="shared" si="0"/>
        <v>0</v>
      </c>
    </row>
    <row r="26" spans="1:12">
      <c r="A26" s="32"/>
      <c r="B26" s="414" t="s">
        <v>183</v>
      </c>
      <c r="C26" s="94">
        <f>+'MACH MAADC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 t="shared" si="0"/>
        <v>0</v>
      </c>
    </row>
    <row r="27" spans="1:12">
      <c r="A27" s="32"/>
      <c r="B27" s="414" t="s">
        <v>185</v>
      </c>
      <c r="C27" s="94">
        <f>+'MACH MAADC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 t="shared" si="0"/>
        <v>0</v>
      </c>
    </row>
    <row r="28" spans="1:12">
      <c r="A28" s="32"/>
      <c r="B28" s="414" t="s">
        <v>186</v>
      </c>
      <c r="C28" s="94">
        <f>+'MACH MAADC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 t="shared" si="0"/>
        <v>0</v>
      </c>
    </row>
    <row r="29" spans="1:12">
      <c r="A29" s="32"/>
      <c r="B29" s="414" t="s">
        <v>187</v>
      </c>
      <c r="C29" s="94">
        <f>+'MACH MAADC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 t="shared" si="0"/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+'MACH MAADC MODEL'!S32</f>
        <v>3975.9793170004223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 t="shared" si="0"/>
        <v>0.62851458478038813</v>
      </c>
    </row>
    <row r="32" spans="1:12">
      <c r="A32" s="32"/>
      <c r="B32" s="414" t="s">
        <v>194</v>
      </c>
      <c r="C32" s="94">
        <f>+'MACH MAADC MODEL'!AA32</f>
        <v>321.18049849709098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 t="shared" si="0"/>
        <v>0.16875073809288063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+'MACH MAADC MODEL'!S40</f>
        <v>5998.1540570231591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 t="shared" si="0"/>
        <v>0.49116324147760004</v>
      </c>
      <c r="M34" s="414"/>
    </row>
    <row r="35" spans="1:13">
      <c r="A35" s="32"/>
      <c r="B35" s="414" t="s">
        <v>190</v>
      </c>
      <c r="C35" s="94">
        <f>+'MACH MAADC MODEL'!AA40</f>
        <v>750.9482007172212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 t="shared" si="0"/>
        <v>0.43265072553553335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+'MACH MAADC MODEL'!W49</f>
        <v>318.90517158498864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1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2">+H37*J37+I37</f>
        <v>0.63634633241078098</v>
      </c>
      <c r="L37" s="97">
        <f t="shared" si="0"/>
        <v>2.0293413632493831E-2</v>
      </c>
      <c r="M37" s="414"/>
    </row>
    <row r="38" spans="1:13">
      <c r="A38" s="414"/>
      <c r="B38" s="414" t="s">
        <v>198</v>
      </c>
      <c r="C38" s="94">
        <f>+'MACH MAADC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2"/>
        <v>0</v>
      </c>
      <c r="L38" s="97">
        <f t="shared" si="0"/>
        <v>0</v>
      </c>
      <c r="M38" s="414"/>
    </row>
    <row r="39" spans="1:13">
      <c r="A39" s="414"/>
      <c r="B39" s="414" t="s">
        <v>199</v>
      </c>
      <c r="C39" s="94">
        <f>+'MACH MAADC MODEL'!W63</f>
        <v>17372.592150000542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1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2"/>
        <v>1.2058501693598105</v>
      </c>
      <c r="L39" s="97">
        <f t="shared" si="0"/>
        <v>2.094874318629707</v>
      </c>
      <c r="M39" s="414"/>
    </row>
    <row r="40" spans="1:13">
      <c r="A40" s="414"/>
      <c r="B40" s="414" t="s">
        <v>200</v>
      </c>
      <c r="C40" s="94">
        <f>+'MACH MAADC MODEL'!AA74*(1-MISC!E9)</f>
        <v>1161.0696061252879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1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2"/>
        <v>7.8712379159307542</v>
      </c>
      <c r="L40" s="97">
        <f t="shared" si="0"/>
        <v>0.91390551067681536</v>
      </c>
      <c r="M40" s="414"/>
    </row>
    <row r="41" spans="1:13">
      <c r="A41" s="414"/>
      <c r="B41" s="414" t="s">
        <v>201</v>
      </c>
      <c r="C41" s="94">
        <f>+MISC!E10*('MACH MAADC MODEL'!AE64+'MACH MAADC MODEL'!AE57)</f>
        <v>391.35333663363986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1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2"/>
        <v>3.2621560324800813</v>
      </c>
      <c r="L41" s="97">
        <f t="shared" si="0"/>
        <v>0.12766556479306362</v>
      </c>
      <c r="M41" s="414"/>
    </row>
    <row r="42" spans="1:13">
      <c r="A42" s="417"/>
      <c r="B42" s="417" t="s">
        <v>202</v>
      </c>
      <c r="C42" s="101">
        <f>+MISC!E10*('MACH MAADC MODEL'!AE75+'MACH MAADC MODEL'!AE50)</f>
        <v>66.991667964275464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1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2"/>
        <v>6.5243120649601627</v>
      </c>
      <c r="L42" s="103">
        <f t="shared" si="0"/>
        <v>4.3707454755112764E-2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6.9741513779244038</v>
      </c>
      <c r="M44" s="414"/>
    </row>
    <row r="45" spans="1:13" ht="9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+('MACH MAADC MODEL'!AE57+'MACH MAADC MODEL'!AE64)/C3</f>
        <v>0.85384008270572487</v>
      </c>
      <c r="M46" s="39"/>
    </row>
    <row r="47" spans="1:13" ht="12.95">
      <c r="A47" s="67" t="s">
        <v>18</v>
      </c>
      <c r="B47" s="414"/>
      <c r="H47" s="67"/>
      <c r="M47" s="414"/>
    </row>
    <row r="48" spans="1:13" ht="12.95">
      <c r="A48" s="225" t="s">
        <v>260</v>
      </c>
      <c r="B48" s="225"/>
      <c r="C48" s="226"/>
      <c r="D48" s="226"/>
      <c r="E48" s="226"/>
      <c r="F48" s="226"/>
      <c r="G48" s="227"/>
      <c r="H48" s="225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225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225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39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225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225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254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8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39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108"/>
    </row>
    <row r="58" spans="1:10" ht="12.95">
      <c r="A58" s="108" t="s">
        <v>261</v>
      </c>
      <c r="B58" s="39"/>
      <c r="C58" s="194"/>
      <c r="D58" s="194"/>
      <c r="E58" s="194"/>
      <c r="F58" s="194"/>
      <c r="G58" s="91"/>
      <c r="H58" s="108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12</oddHeader>
  </headerFooter>
  <ignoredErrors>
    <ignoredError sqref="K14:L14 K2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19.85546875" style="3" customWidth="1"/>
    <col min="12" max="12" width="4.42578125" style="3" customWidth="1"/>
    <col min="13" max="13" width="4.140625" customWidth="1"/>
    <col min="14" max="14" width="12.8554687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855468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259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f>E4</f>
        <v>10000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4.1006742159540917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9024.5715339016006</v>
      </c>
      <c r="J15" s="414"/>
      <c r="K15" s="458">
        <f>+I15+I16</f>
        <v>9041.0288814772794</v>
      </c>
      <c r="L15" s="458"/>
      <c r="M15" s="414"/>
      <c r="N15" s="15">
        <f>+(K15)*DENSITY!C7</f>
        <v>134.54379239645118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59.224285271335525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16.457347575678348</v>
      </c>
      <c r="J16" s="414"/>
      <c r="K16" s="15"/>
      <c r="L16" s="15"/>
      <c r="M16" s="414"/>
      <c r="N16" s="15">
        <f>+(K15)*DENSITY!D7</f>
        <v>1787.7061728758399</v>
      </c>
      <c r="O16" s="22" t="s">
        <v>228</v>
      </c>
      <c r="P16" s="32"/>
      <c r="Q16" s="134"/>
      <c r="S16" s="139">
        <f>+T16*(1+DENSITY!B9)</f>
        <v>149.25925673590135</v>
      </c>
      <c r="T16" s="142">
        <f>+E9+N15+N41</f>
        <v>149.16431187315885</v>
      </c>
      <c r="U16" s="3"/>
      <c r="V16" s="15"/>
      <c r="W16" s="15">
        <f>+V17*DENSITY!D9</f>
        <v>1.3951197793051424</v>
      </c>
      <c r="X16" s="22" t="s">
        <v>228</v>
      </c>
      <c r="Y16" s="15"/>
      <c r="Z16" s="15"/>
      <c r="AA16" s="139">
        <f>+AB16</f>
        <v>340.19099614938511</v>
      </c>
      <c r="AB16" s="142">
        <f>+E11+N31+N39+V14</f>
        <v>340.19099614938511</v>
      </c>
      <c r="AC16" s="15"/>
      <c r="AD16" s="15">
        <f>+AB16*DENSITY!E14</f>
        <v>60.611860005154476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2616.8622636854102</v>
      </c>
      <c r="O17" s="22" t="s">
        <v>223</v>
      </c>
      <c r="P17" s="32"/>
      <c r="Q17" s="134"/>
      <c r="S17" s="162"/>
      <c r="T17" s="143"/>
      <c r="U17" s="3"/>
      <c r="V17" s="15">
        <f>+T16*ACCEPT!C15</f>
        <v>145.06363765720477</v>
      </c>
      <c r="W17" s="15">
        <f>+V17*DENSITY!E9</f>
        <v>81.751663314198751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220.35485087289513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10113.242066018694</v>
      </c>
      <c r="H18" s="142">
        <f>+E7</f>
        <v>10000</v>
      </c>
      <c r="J18" s="414"/>
      <c r="M18" s="414"/>
      <c r="N18" s="15">
        <f>+(K15)*DENSITY!F7</f>
        <v>4501.9166525195778</v>
      </c>
      <c r="O18" s="22" t="s">
        <v>226</v>
      </c>
      <c r="Q18" s="37"/>
      <c r="S18" s="414"/>
      <c r="T18" s="414"/>
      <c r="U18" s="414"/>
      <c r="W18" s="15">
        <f>+V17*DENSITY!F9</f>
        <v>61.916854563700873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1.3776554909938095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1.7788063667607659</v>
      </c>
      <c r="H21" s="125">
        <f>+H18*ACCEPT!F6</f>
        <v>661.97249336542848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47.441631072303828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36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1846.4790149364385</v>
      </c>
      <c r="T24" s="142">
        <f>+E10+N16+N42+W16</f>
        <v>1841.3712210271951</v>
      </c>
      <c r="U24" s="3"/>
      <c r="V24" s="15"/>
      <c r="W24" s="15">
        <f>+V25*DENSITY!E10</f>
        <v>1031.0702051987812</v>
      </c>
      <c r="X24" s="22" t="s">
        <v>223</v>
      </c>
      <c r="Y24" s="15"/>
      <c r="Z24" s="15"/>
      <c r="AA24" s="139">
        <f>+AB24</f>
        <v>106.66591634363935</v>
      </c>
      <c r="AB24" s="142">
        <f>+E12+V22+AD15</f>
        <v>106.66591634363935</v>
      </c>
      <c r="AC24" s="15"/>
      <c r="AD24" s="15">
        <f>+AB24*DENSITY!E15</f>
        <v>86.346011004213736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663.7512997321893</v>
      </c>
      <c r="H25" s="142">
        <f>+H21+E8</f>
        <v>661.97249336542848</v>
      </c>
      <c r="I25" s="30" t="s">
        <v>236</v>
      </c>
      <c r="J25" s="31"/>
      <c r="K25" s="15"/>
      <c r="L25" s="15"/>
      <c r="M25" s="9"/>
      <c r="N25" s="414"/>
      <c r="O25" s="414"/>
      <c r="Q25" s="37"/>
      <c r="R25" s="126"/>
      <c r="S25" s="140"/>
      <c r="T25" s="143"/>
      <c r="U25" s="3"/>
      <c r="V25" s="15">
        <f>+T24*ACCEPT!C16</f>
        <v>1793.9295899548913</v>
      </c>
      <c r="W25" s="15">
        <f>+V25*DENSITY!F10</f>
        <v>762.85938475610999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20.319905339425624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16.858498451445303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3.5931888608567553E-2</v>
      </c>
      <c r="H28" s="36">
        <f>+J28</f>
        <v>13.371844365981701</v>
      </c>
      <c r="I28" s="48">
        <f>+G21-K29</f>
        <v>3.5931888608567553E-2</v>
      </c>
      <c r="J28" s="460">
        <f>+H25-L29</f>
        <v>13.371844365981701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1.7428744781521983</v>
      </c>
      <c r="L29" s="461">
        <f>+H25*(MISC!E6)</f>
        <v>648.60064899944678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367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174.22262748772278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1.1039155175546262</v>
      </c>
      <c r="N31" s="127">
        <f>+M31+M32</f>
        <v>1.106881882427295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1.3776554909938095</v>
      </c>
      <c r="D32" s="152">
        <f>+D36</f>
        <v>1.3776554909938095</v>
      </c>
      <c r="E32" s="414"/>
      <c r="F32" s="414"/>
      <c r="G32" s="142">
        <f>+I28+H32</f>
        <v>13.407776254590269</v>
      </c>
      <c r="H32" s="142">
        <f>+J28</f>
        <v>13.371844365981701</v>
      </c>
      <c r="I32" s="48"/>
      <c r="J32" s="462"/>
      <c r="K32" s="15"/>
      <c r="L32" s="15"/>
      <c r="M32" s="74">
        <f>+I28*MISC!E5</f>
        <v>2.9663648726687779E-3</v>
      </c>
      <c r="N32" s="32"/>
      <c r="O32" s="32"/>
      <c r="P32" s="33"/>
      <c r="Q32" s="34"/>
      <c r="R32" s="15"/>
      <c r="S32" s="142">
        <f>+T32*(1+DENSITY!B13)</f>
        <v>3975.9793170004223</v>
      </c>
      <c r="T32" s="159">
        <f>+K8+N17+N43+N48+N75+W17+W24</f>
        <v>3951.2078660812949</v>
      </c>
      <c r="U32" s="15"/>
      <c r="X32" s="414"/>
      <c r="AA32" s="142">
        <f>+AB32</f>
        <v>321.18049849709098</v>
      </c>
      <c r="AB32" s="159">
        <f>+Q7+N64+N72+V30+AD16+AD24</f>
        <v>321.18049849709098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3776.9852385935719</v>
      </c>
      <c r="W33" s="15">
        <f>+V33*DENSITY!$G$13</f>
        <v>3439.9906882674295</v>
      </c>
      <c r="X33" s="22" t="s">
        <v>229</v>
      </c>
      <c r="AA33" s="165"/>
      <c r="AB33" s="157"/>
      <c r="AC33" s="15"/>
      <c r="AD33" s="15">
        <f>+AB32*DENSITY!F16</f>
        <v>140.65932626642228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336.99455032614355</v>
      </c>
      <c r="X34" s="22" t="s">
        <v>226</v>
      </c>
      <c r="AA34" s="414"/>
      <c r="AB34" s="414"/>
      <c r="AC34" s="15"/>
      <c r="AD34" s="15">
        <f>+AB32*DENSITY!G16</f>
        <v>180.5211722306687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3.2965523735898776E-2</v>
      </c>
      <c r="H35" s="36">
        <f>+J35</f>
        <v>12.267928848427076</v>
      </c>
      <c r="I35" s="48">
        <f>+I28-M32</f>
        <v>3.2965523735898776E-2</v>
      </c>
      <c r="J35" s="15">
        <f>+J28-M31</f>
        <v>12.267928848427076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1.3776554909938095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36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369.61411823847817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671.98310736251369</v>
      </c>
      <c r="H39" s="142">
        <f>+J35+L29</f>
        <v>660.86857784787389</v>
      </c>
      <c r="J39" s="414"/>
      <c r="K39" s="15"/>
      <c r="L39" s="72">
        <f>+H39*ACCEPT!C13</f>
        <v>20.715320291796026</v>
      </c>
      <c r="M39" s="414"/>
      <c r="N39" s="463">
        <f>+L39+L40+H18*ACCEPT!G6</f>
        <v>334.98344005100375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9.3386895127516585</v>
      </c>
      <c r="F40" s="414"/>
      <c r="G40" s="140"/>
      <c r="H40" s="143"/>
      <c r="J40" s="414"/>
      <c r="L40" s="72">
        <f>+(G39-H39)*(1-ACCEPT!C9)</f>
        <v>0.81214702623707291</v>
      </c>
      <c r="M40" s="414"/>
      <c r="N40" s="15"/>
      <c r="O40" s="17"/>
      <c r="P40" s="17"/>
      <c r="Q40" s="134"/>
      <c r="R40" s="15"/>
      <c r="S40" s="142">
        <f>+T40</f>
        <v>5998.1540570231591</v>
      </c>
      <c r="T40" s="159">
        <f>+K9+N18+N44+N49+N76+W18+W25+W34</f>
        <v>5998.1540570231591</v>
      </c>
      <c r="U40" s="15"/>
      <c r="V40" s="15"/>
      <c r="W40" s="17"/>
      <c r="X40" s="15"/>
      <c r="AA40" s="142">
        <f>+AB40</f>
        <v>750.9482007172212</v>
      </c>
      <c r="AB40" s="159">
        <f>+Q8+V38+AD33+AD25+AD17</f>
        <v>750.9482007172212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14.620519476707662</v>
      </c>
      <c r="O41" s="22" t="s">
        <v>225</v>
      </c>
      <c r="P41" s="17"/>
      <c r="Q41" s="37"/>
      <c r="S41" s="143"/>
      <c r="T41" s="157"/>
      <c r="U41" s="15"/>
      <c r="V41" s="15">
        <f>+T40*(ACCEPT!C18)</f>
        <v>5628.539938784681</v>
      </c>
      <c r="W41" s="22" t="s">
        <v>229</v>
      </c>
      <c r="X41" s="15"/>
      <c r="AA41" s="165"/>
      <c r="AB41" s="157"/>
      <c r="AC41" s="414"/>
      <c r="AD41" s="15">
        <f>+AB40</f>
        <v>750.9482007172212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612.57841410088702</v>
      </c>
      <c r="J42" s="464">
        <f>+H42+H43</f>
        <v>622.88079658928973</v>
      </c>
      <c r="M42" s="414"/>
      <c r="N42" s="15">
        <f>+J42*DENSITY!D8</f>
        <v>52.269928372050131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10.302382488402726</v>
      </c>
      <c r="J43" s="414"/>
      <c r="M43" s="414"/>
      <c r="N43" s="15">
        <f>+J42*DENSITY!E8</f>
        <v>221.52373388290511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334.46661485762689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18.375604767525022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318.90517158498864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318.90517158498864</v>
      </c>
      <c r="X49" s="159">
        <f>+V48</f>
        <v>318.90517158498864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300.5295668174636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9068.5306270521105</v>
      </c>
      <c r="T56" s="159">
        <f>+K10+N19+N45+N50+N77+W19+W26+W33+V41</f>
        <v>9068.5306270521105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211.22462840987282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8749.6254554671214</v>
      </c>
      <c r="W63" s="142">
        <f>+X63+X63*ACCEPT!C20</f>
        <v>17372.592150000542</v>
      </c>
      <c r="X63" s="159">
        <f>+V63</f>
        <v>8749.6254554671214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8538.4008270572485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1161.0696061252879</v>
      </c>
      <c r="AB74" s="159">
        <f>+Q9+AD41+AD34+AD26+AD18+Z47+Z54+Z61+Z67</f>
        <v>1161.0696061252879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1161.0696061252879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6"/>
      <c r="H83" s="203"/>
      <c r="I83" s="207"/>
      <c r="J83" s="414"/>
      <c r="K83" s="215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>
      <c r="G97" s="213"/>
      <c r="H97" s="212"/>
      <c r="I97" s="219"/>
    </row>
    <row r="98" spans="7:9">
      <c r="G98" s="21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5" orientation="portrait" r:id="rId1"/>
  <headerFooter alignWithMargins="0">
    <oddHeader>&amp;RPage 13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M59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275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+'AUTO AADC MODEL'!N4</f>
        <v>10000.000000000002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/>
      <c r="L11" s="97"/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+'AUTO AADC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+'AUTO AADC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+'AUTO AADC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+'AUTO AADC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+'AUTO AADC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+'AUTO AADC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0</v>
      </c>
    </row>
    <row r="20" spans="1:12">
      <c r="A20" s="32"/>
      <c r="B20" s="414" t="s">
        <v>190</v>
      </c>
      <c r="C20" s="94">
        <f>+'AUTO AADC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+'AUTO AADC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0</v>
      </c>
    </row>
    <row r="23" spans="1:12">
      <c r="A23" s="32"/>
      <c r="B23" s="414" t="s">
        <v>190</v>
      </c>
      <c r="C23" s="94">
        <f>+'AUTO AADC MODEL'!AA24</f>
        <v>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0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+'AUTO AADC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>+(K25*C25/10000)</f>
        <v>0</v>
      </c>
    </row>
    <row r="26" spans="1:12">
      <c r="A26" s="32"/>
      <c r="B26" s="414" t="s">
        <v>183</v>
      </c>
      <c r="C26" s="94">
        <f>+'AUTO AADC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>+(K26*C26/10000)</f>
        <v>0</v>
      </c>
    </row>
    <row r="27" spans="1:12">
      <c r="A27" s="32"/>
      <c r="B27" s="414" t="s">
        <v>185</v>
      </c>
      <c r="C27" s="94">
        <f>+'AUTO AADC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>+(K27*C27/10000)</f>
        <v>0</v>
      </c>
    </row>
    <row r="28" spans="1:12">
      <c r="A28" s="32"/>
      <c r="B28" s="414" t="s">
        <v>186</v>
      </c>
      <c r="C28" s="94">
        <f>+'AUTO AADC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>+(K28*C28/10000)</f>
        <v>0</v>
      </c>
    </row>
    <row r="29" spans="1:12">
      <c r="A29" s="32"/>
      <c r="B29" s="414" t="s">
        <v>187</v>
      </c>
      <c r="C29" s="94">
        <f>+'AUTO AADC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>+(K29*C29/10000)</f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+'AUTO AADC MODEL'!S32</f>
        <v>10062.693363039123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>+(K31*C31/10000)</f>
        <v>1.5906897487621487</v>
      </c>
    </row>
    <row r="32" spans="1:12">
      <c r="A32" s="32"/>
      <c r="B32" s="414" t="s">
        <v>194</v>
      </c>
      <c r="C32" s="94">
        <f>+'AUTO AADC MODEL'!AA32</f>
        <v>440.93510995287687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>+(K32*C32/10000)</f>
        <v>0.23167074465539936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+'AUTO AADC MODEL'!S40</f>
        <v>852.88995605378261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6.983951920150662E-2</v>
      </c>
      <c r="M34" s="414"/>
    </row>
    <row r="35" spans="1:13">
      <c r="A35" s="32"/>
      <c r="B35" s="414" t="s">
        <v>190</v>
      </c>
      <c r="C35" s="94">
        <f>+'AUTO AADC MODEL'!AA40</f>
        <v>245.66143201130183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0.14153519070193629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+'AUTO AADC MODEL'!W49</f>
        <v>334.30716733067908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0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1">+H37*J37+I37</f>
        <v>0.63634633241078098</v>
      </c>
      <c r="L37" s="97">
        <f t="shared" ref="L37:L42" si="2">+(K37*C37/10000)</f>
        <v>2.1273513982951488E-2</v>
      </c>
      <c r="M37" s="414"/>
    </row>
    <row r="38" spans="1:13">
      <c r="A38" s="414"/>
      <c r="B38" s="414" t="s">
        <v>198</v>
      </c>
      <c r="C38" s="94">
        <f>+'AUTO AADC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1"/>
        <v>0</v>
      </c>
      <c r="L38" s="97">
        <f t="shared" si="2"/>
        <v>0</v>
      </c>
      <c r="M38" s="414"/>
    </row>
    <row r="39" spans="1:13">
      <c r="A39" s="414"/>
      <c r="B39" s="414" t="s">
        <v>199</v>
      </c>
      <c r="C39" s="94">
        <f>+'AUTO AADC MODEL'!W63</f>
        <v>18211.627117844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0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1"/>
        <v>1.2058501693598105</v>
      </c>
      <c r="L39" s="97">
        <f t="shared" si="2"/>
        <v>2.1960493644369903</v>
      </c>
      <c r="M39" s="414"/>
    </row>
    <row r="40" spans="1:13">
      <c r="A40" s="414"/>
      <c r="B40" s="414" t="s">
        <v>200</v>
      </c>
      <c r="C40" s="94">
        <f>+'AUTO AADC MODEL'!AA74*(1-MISC!E9)</f>
        <v>734.18042259058177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0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1"/>
        <v>7.8712379159307542</v>
      </c>
      <c r="L40" s="97">
        <f t="shared" si="2"/>
        <v>0.57789087794290506</v>
      </c>
      <c r="M40" s="414"/>
    </row>
    <row r="41" spans="1:13">
      <c r="A41" s="414"/>
      <c r="B41" s="414" t="s">
        <v>201</v>
      </c>
      <c r="C41" s="94">
        <f>+MISC!E10*('AUTO AADC MODEL'!AE64+'AUTO AADC MODEL'!AE57)</f>
        <v>410.25432339385827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0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1"/>
        <v>3.2621560324800813</v>
      </c>
      <c r="L41" s="97">
        <f t="shared" si="2"/>
        <v>0.1338313615910309</v>
      </c>
      <c r="M41" s="414"/>
    </row>
    <row r="42" spans="1:13">
      <c r="A42" s="417"/>
      <c r="B42" s="417" t="s">
        <v>202</v>
      </c>
      <c r="C42" s="101">
        <f>+MISC!E10*('AUTO AADC MODEL'!AE75+'AUTO AADC MODEL'!AE50)</f>
        <v>48.09068120405712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0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1"/>
        <v>6.5243120649601627</v>
      </c>
      <c r="L42" s="103">
        <f t="shared" si="2"/>
        <v>3.137586115917828E-2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4.9941561824340468</v>
      </c>
      <c r="M44" s="414"/>
    </row>
    <row r="45" spans="1:13" ht="9.75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+('AUTO AADC MODEL'!AE57+'AUTO AADC MODEL'!AE64)/C3</f>
        <v>0.89507754917882254</v>
      </c>
      <c r="M46" s="39"/>
    </row>
    <row r="47" spans="1:13" ht="12.95">
      <c r="A47" s="67" t="s">
        <v>18</v>
      </c>
      <c r="B47" s="414"/>
      <c r="L47" s="51"/>
      <c r="M47" s="414"/>
    </row>
    <row r="48" spans="1:13" ht="12.95">
      <c r="A48" s="225" t="s">
        <v>276</v>
      </c>
      <c r="B48" s="225"/>
      <c r="C48" s="226"/>
      <c r="D48" s="226"/>
      <c r="E48" s="226"/>
      <c r="F48" s="226"/>
      <c r="H48" s="96"/>
      <c r="J48" s="67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H49" s="96"/>
      <c r="J49" s="225"/>
    </row>
    <row r="50" spans="1:10" ht="12.95">
      <c r="A50" s="225" t="s">
        <v>277</v>
      </c>
      <c r="B50" s="225"/>
      <c r="C50" s="226"/>
      <c r="D50" s="226"/>
      <c r="E50" s="226"/>
      <c r="F50" s="226"/>
      <c r="H50" s="96"/>
      <c r="J50" s="225"/>
    </row>
    <row r="51" spans="1:10" ht="12.95">
      <c r="A51" s="39" t="s">
        <v>208</v>
      </c>
      <c r="B51" s="39"/>
      <c r="C51" s="194"/>
      <c r="D51" s="194"/>
      <c r="E51" s="194"/>
      <c r="F51" s="194"/>
      <c r="H51" s="96"/>
      <c r="J51" s="225"/>
    </row>
    <row r="52" spans="1:10" ht="12.95">
      <c r="A52" s="225" t="s">
        <v>209</v>
      </c>
      <c r="B52" s="225"/>
      <c r="C52" s="226"/>
      <c r="D52" s="226"/>
      <c r="E52" s="226"/>
      <c r="F52" s="226"/>
      <c r="H52" s="96"/>
      <c r="J52" s="39"/>
    </row>
    <row r="53" spans="1:10" ht="12.95">
      <c r="A53" s="225" t="s">
        <v>210</v>
      </c>
      <c r="B53" s="225"/>
      <c r="C53" s="226"/>
      <c r="D53" s="226"/>
      <c r="E53" s="226"/>
      <c r="F53" s="226"/>
      <c r="H53" s="109"/>
      <c r="J53" s="225"/>
    </row>
    <row r="54" spans="1:10" ht="12.95">
      <c r="A54" s="254" t="s">
        <v>211</v>
      </c>
      <c r="B54" s="39"/>
      <c r="C54" s="194"/>
      <c r="D54" s="194"/>
      <c r="E54" s="194"/>
      <c r="F54" s="194"/>
      <c r="H54" s="109"/>
      <c r="J54" s="225"/>
    </row>
    <row r="55" spans="1:10" ht="12.95">
      <c r="A55" s="108" t="s">
        <v>212</v>
      </c>
      <c r="B55" s="39"/>
      <c r="C55" s="194"/>
      <c r="D55" s="194"/>
      <c r="E55" s="194"/>
      <c r="F55" s="194"/>
      <c r="H55" s="109"/>
      <c r="J55" s="254"/>
    </row>
    <row r="56" spans="1:10" ht="12.95">
      <c r="A56" s="39"/>
      <c r="B56" s="39"/>
      <c r="C56" s="194"/>
      <c r="D56" s="194"/>
      <c r="E56" s="194"/>
      <c r="F56" s="194"/>
      <c r="H56" s="96"/>
      <c r="J56" s="108"/>
    </row>
    <row r="57" spans="1:10" ht="12.95">
      <c r="A57" s="108" t="s">
        <v>213</v>
      </c>
      <c r="B57" s="39"/>
      <c r="C57" s="194"/>
      <c r="D57" s="194"/>
      <c r="E57" s="194"/>
      <c r="F57" s="194"/>
      <c r="H57" s="96"/>
      <c r="J57" s="39"/>
    </row>
    <row r="58" spans="1:10" ht="12.95">
      <c r="A58" s="108" t="s">
        <v>278</v>
      </c>
      <c r="B58" s="39"/>
      <c r="C58" s="194"/>
      <c r="D58" s="194"/>
      <c r="E58" s="194"/>
      <c r="F58" s="194"/>
      <c r="H58" s="96"/>
      <c r="J58" s="108"/>
    </row>
    <row r="59" spans="1:10" ht="12.95">
      <c r="A59" s="414"/>
      <c r="B59" s="414"/>
      <c r="J59" s="108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6</oddHeader>
  </headerFooter>
  <ignoredErrors>
    <ignoredError sqref="K14:L14 K26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4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855468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275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10000.000000000002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f>+E4</f>
        <v>10000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0</v>
      </c>
      <c r="AB24" s="142">
        <f>+E12+V22+AD15</f>
        <v>0</v>
      </c>
      <c r="AC24" s="15"/>
      <c r="AD24" s="15">
        <f>+AB24*DENSITY!E15</f>
        <v>0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0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440.93510995287687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10062.693363039123</v>
      </c>
      <c r="T32" s="159">
        <f>+K8+N17+N43+N48+N75+W17+W24</f>
        <v>10000</v>
      </c>
      <c r="U32" s="15"/>
      <c r="X32" s="414"/>
      <c r="AA32" s="142">
        <f>+AB32</f>
        <v>440.93510995287687</v>
      </c>
      <c r="AB32" s="159">
        <f>+Q7+N64+N72+V30+AD16+AD24</f>
        <v>440.93510995287687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9559.0648900471224</v>
      </c>
      <c r="W33" s="15">
        <f>+V33*DENSITY!$G$13</f>
        <v>8706.1749339933431</v>
      </c>
      <c r="X33" s="22" t="s">
        <v>229</v>
      </c>
      <c r="AA33" s="165"/>
      <c r="AB33" s="157"/>
      <c r="AC33" s="15"/>
      <c r="AD33" s="15">
        <f>+AB32*DENSITY!F16</f>
        <v>193.10523454382221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852.88995605378261</v>
      </c>
      <c r="X34" s="22" t="s">
        <v>226</v>
      </c>
      <c r="AA34" s="414"/>
      <c r="AB34" s="414"/>
      <c r="AC34" s="15"/>
      <c r="AD34" s="15">
        <f>+AB32*DENSITY!G16</f>
        <v>247.82987540905467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52.556197467479635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852.88995605378261</v>
      </c>
      <c r="T40" s="159">
        <f>+K9+N18+N44+N49+N76+W18+W25+W34</f>
        <v>852.88995605378261</v>
      </c>
      <c r="U40" s="15"/>
      <c r="V40" s="15"/>
      <c r="W40" s="17"/>
      <c r="X40" s="15"/>
      <c r="AA40" s="142">
        <f>+AB40</f>
        <v>245.66143201130183</v>
      </c>
      <c r="AB40" s="159">
        <f>+Q8+V38+AD33+AD25+AD17</f>
        <v>245.66143201130183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800.33375858630302</v>
      </c>
      <c r="W41" s="22" t="s">
        <v>229</v>
      </c>
      <c r="X41" s="15"/>
      <c r="AA41" s="165"/>
      <c r="AB41" s="157"/>
      <c r="AC41" s="414"/>
      <c r="AD41" s="15">
        <f>+AB40</f>
        <v>245.66143201130183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19.263081709486386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334.30716733067908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334.30716733067908</v>
      </c>
      <c r="X49" s="159">
        <f>+V48</f>
        <v>334.30716733067908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315.04408562119272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9506.5086925796459</v>
      </c>
      <c r="T56" s="159">
        <f>+K10+N19+N45+N50+N77+W19+W26+W33+V41</f>
        <v>9506.5086925796459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221.42603346073884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9172.2015252489655</v>
      </c>
      <c r="W63" s="142">
        <f>+X63+X63*ACCEPT!C20</f>
        <v>18211.627117844</v>
      </c>
      <c r="X63" s="159">
        <f>+V63</f>
        <v>9172.2015252489655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8950.7754917882266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734.18042259058177</v>
      </c>
      <c r="AB74" s="159">
        <f>+Q9+AD41+AD34+AD26+AD18+Z47+Z54+Z61+Z67</f>
        <v>734.18042259058177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734.18042259058177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7" orientation="portrait" r:id="rId1"/>
  <headerFooter alignWithMargins="0">
    <oddHeader>&amp;RPage 7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279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+'AUTO 3-DIGIT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/>
      <c r="L11" s="97"/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+'AUTO 3-DIGIT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+'AUTO 3-DIGIT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+'AUTO 3-DIGIT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+'AUTO 3-DIGIT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+'AUTO 3-DIGIT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+'AUTO 3-DIGIT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0</v>
      </c>
    </row>
    <row r="20" spans="1:12">
      <c r="A20" s="32"/>
      <c r="B20" s="414" t="s">
        <v>190</v>
      </c>
      <c r="C20" s="94">
        <f>+'AUTO 3-DIGIT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+'AUTO 3-DIGIT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0</v>
      </c>
    </row>
    <row r="23" spans="1:12">
      <c r="A23" s="32"/>
      <c r="B23" s="414" t="s">
        <v>190</v>
      </c>
      <c r="C23" s="94">
        <f>+'AUTO 3-DIGIT MODEL'!AA24</f>
        <v>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0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+'AUTO 3-DIGIT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>+(K25*C25/10000)</f>
        <v>0</v>
      </c>
    </row>
    <row r="26" spans="1:12">
      <c r="A26" s="32"/>
      <c r="B26" s="414" t="s">
        <v>183</v>
      </c>
      <c r="C26" s="94">
        <f>+'AUTO 3-DIGIT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>+(K26*C26/10000)</f>
        <v>0</v>
      </c>
    </row>
    <row r="27" spans="1:12">
      <c r="A27" s="32"/>
      <c r="B27" s="414" t="s">
        <v>185</v>
      </c>
      <c r="C27" s="94">
        <f>+'AUTO 3-DIGIT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>+(K27*C27/10000)</f>
        <v>0</v>
      </c>
    </row>
    <row r="28" spans="1:12">
      <c r="A28" s="32"/>
      <c r="B28" s="414" t="s">
        <v>186</v>
      </c>
      <c r="C28" s="94">
        <f>+'AUTO 3-DIGIT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>+(K28*C28/10000)</f>
        <v>0</v>
      </c>
    </row>
    <row r="29" spans="1:12">
      <c r="A29" s="32"/>
      <c r="B29" s="414" t="s">
        <v>187</v>
      </c>
      <c r="C29" s="94">
        <f>+'AUTO 3-DIGIT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>+(K29*C29/10000)</f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+'AUTO 3-DIGIT MODEL'!S32</f>
        <v>0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>+(K31*C31/10000)</f>
        <v>0</v>
      </c>
    </row>
    <row r="32" spans="1:12">
      <c r="A32" s="32"/>
      <c r="B32" s="414" t="s">
        <v>194</v>
      </c>
      <c r="C32" s="94">
        <f>+'AUTO 3-DIGIT MODEL'!AA32</f>
        <v>0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>+(K32*C32/10000)</f>
        <v>0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+'AUTO 3-DIGIT MODEL'!S40</f>
        <v>10000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0.81885732978549219</v>
      </c>
      <c r="M34" s="414"/>
    </row>
    <row r="35" spans="1:13">
      <c r="A35" s="32"/>
      <c r="B35" s="414" t="s">
        <v>190</v>
      </c>
      <c r="C35" s="94">
        <f>+'AUTO 3-DIGIT MODEL'!AA40</f>
        <v>616.21311277542441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0.35502455438626218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+'AUTO 3-DIGIT MODEL'!W49</f>
        <v>329.99151576555886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0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1">+H37*J37+I37</f>
        <v>0.63634633241078098</v>
      </c>
      <c r="L37" s="97">
        <f t="shared" ref="L37:L42" si="2">+(K37*C37/10000)</f>
        <v>2.0998889078408779E-2</v>
      </c>
      <c r="M37" s="414"/>
    </row>
    <row r="38" spans="1:13">
      <c r="A38" s="414"/>
      <c r="B38" s="414" t="s">
        <v>198</v>
      </c>
      <c r="C38" s="94">
        <f>+'AUTO 3-DIGIT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1"/>
        <v>0</v>
      </c>
      <c r="L38" s="97">
        <f t="shared" si="2"/>
        <v>0</v>
      </c>
      <c r="M38" s="414"/>
    </row>
    <row r="39" spans="1:13">
      <c r="A39" s="414"/>
      <c r="B39" s="414" t="s">
        <v>199</v>
      </c>
      <c r="C39" s="94">
        <f>+'AUTO 3-DIGIT MODEL'!W63</f>
        <v>17976.528846687979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0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1"/>
        <v>1.2058501693598105</v>
      </c>
      <c r="L39" s="97">
        <f t="shared" si="2"/>
        <v>2.1677000354280218</v>
      </c>
      <c r="M39" s="414"/>
    </row>
    <row r="40" spans="1:13">
      <c r="A40" s="414"/>
      <c r="B40" s="414" t="s">
        <v>200</v>
      </c>
      <c r="C40" s="94">
        <f>+'AUTO 3-DIGIT MODEL'!AA74*(1-MISC!E9)</f>
        <v>853.79511431453659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0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1"/>
        <v>7.8712379159307542</v>
      </c>
      <c r="L40" s="97">
        <f t="shared" si="2"/>
        <v>0.67204244762290122</v>
      </c>
      <c r="M40" s="414"/>
    </row>
    <row r="41" spans="1:13">
      <c r="A41" s="414"/>
      <c r="B41" s="414" t="s">
        <v>201</v>
      </c>
      <c r="C41" s="94">
        <f>+MISC!E10*('AUTO 3-DIGIT MODEL'!AE64+'AUTO 3-DIGIT MODEL'!AE57)</f>
        <v>404.95825173919127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0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1"/>
        <v>3.2621560324800813</v>
      </c>
      <c r="L41" s="97">
        <f t="shared" si="2"/>
        <v>0.13210370038135902</v>
      </c>
      <c r="M41" s="414"/>
    </row>
    <row r="42" spans="1:13">
      <c r="A42" s="417"/>
      <c r="B42" s="417" t="s">
        <v>202</v>
      </c>
      <c r="C42" s="101">
        <f>+MISC!E10*('AUTO 3-DIGIT MODEL'!AE75+'AUTO 3-DIGIT MODEL'!AE50)</f>
        <v>53.386752858724059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0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1"/>
        <v>6.5243120649601627</v>
      </c>
      <c r="L42" s="103">
        <f t="shared" si="2"/>
        <v>3.4831183578521982E-2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4.2015581402609676</v>
      </c>
      <c r="M44" s="414"/>
    </row>
    <row r="45" spans="1:13" ht="9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+('AUTO 3-DIGIT MODEL'!AE57+'AUTO 3-DIGIT MODEL'!AE64)/C3</f>
        <v>0.88352277798782219</v>
      </c>
      <c r="M46" s="39"/>
    </row>
    <row r="47" spans="1:13" ht="12.95">
      <c r="A47" s="67" t="s">
        <v>18</v>
      </c>
      <c r="B47" s="414"/>
      <c r="H47" s="67"/>
      <c r="M47" s="414"/>
    </row>
    <row r="48" spans="1:13" ht="12.95">
      <c r="A48" s="225" t="s">
        <v>280</v>
      </c>
      <c r="B48" s="225"/>
      <c r="C48" s="226"/>
      <c r="D48" s="226"/>
      <c r="E48" s="226"/>
      <c r="F48" s="226"/>
      <c r="G48" s="227"/>
      <c r="H48" s="225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225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225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39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225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225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254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8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39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108"/>
    </row>
    <row r="58" spans="1:10" ht="12.95">
      <c r="A58" s="108" t="s">
        <v>281</v>
      </c>
      <c r="B58" s="39"/>
      <c r="C58" s="194"/>
      <c r="D58" s="194"/>
      <c r="E58" s="194"/>
      <c r="F58" s="194"/>
      <c r="G58" s="91"/>
      <c r="H58" s="108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8</oddHeader>
  </headerFooter>
  <ignoredErrors>
    <ignoredError sqref="K14:L14 K2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4" max="14" width="9.710937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2851562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279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f>+E4</f>
        <v>10000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0</v>
      </c>
      <c r="AB24" s="142">
        <f>+E12+V22+AD15</f>
        <v>0</v>
      </c>
      <c r="AC24" s="15"/>
      <c r="AD24" s="15">
        <f>+AB24*DENSITY!E15</f>
        <v>0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0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0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0</v>
      </c>
      <c r="T32" s="159">
        <f>+K8+N17+N43+N48+N75+W17+W24</f>
        <v>0</v>
      </c>
      <c r="U32" s="15"/>
      <c r="X32" s="414"/>
      <c r="AA32" s="142">
        <f>+AB32</f>
        <v>0</v>
      </c>
      <c r="AB32" s="159">
        <f>+Q7+N64+N72+V30+AD16+AD24</f>
        <v>0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0</v>
      </c>
      <c r="W33" s="15">
        <f>+V33*DENSITY!F13</f>
        <v>0</v>
      </c>
      <c r="X33" s="22" t="s">
        <v>229</v>
      </c>
      <c r="AA33" s="165"/>
      <c r="AB33" s="157"/>
      <c r="AC33" s="15"/>
      <c r="AD33" s="15">
        <f>+AB32*DENSITY!F16</f>
        <v>0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+V33*DENSITY!G13</f>
        <v>0</v>
      </c>
      <c r="X34" s="22" t="s">
        <v>226</v>
      </c>
      <c r="AA34" s="414"/>
      <c r="AB34" s="414"/>
      <c r="AC34" s="15"/>
      <c r="AD34" s="15">
        <f>+AB32*DENSITY!G16</f>
        <v>0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616.21311277542441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10000</v>
      </c>
      <c r="T40" s="159">
        <f>+K9+N18+N44+N49+N76+W18+W25+W34</f>
        <v>10000</v>
      </c>
      <c r="U40" s="15"/>
      <c r="V40" s="15"/>
      <c r="W40" s="17"/>
      <c r="X40" s="15"/>
      <c r="AA40" s="142">
        <f>+AB40</f>
        <v>616.21311277542441</v>
      </c>
      <c r="AB40" s="159">
        <f>+Q8+V38+AD33+AD25+AD17</f>
        <v>616.21311277542441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9383.7868872245763</v>
      </c>
      <c r="W41" s="22" t="s">
        <v>229</v>
      </c>
      <c r="X41" s="15"/>
      <c r="AA41" s="165"/>
      <c r="AB41" s="157"/>
      <c r="AC41" s="414"/>
      <c r="AD41" s="15">
        <f>+AB40</f>
        <v>616.21311277542441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19.014409958317039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329.99151576555886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329.99151576555886</v>
      </c>
      <c r="X49" s="159">
        <f>+V48</f>
        <v>329.99151576555886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310.9771058072418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9383.7868872245763</v>
      </c>
      <c r="T56" s="159">
        <f>+K10+N19+N45+N50+N77+W19+W26+W33+V41</f>
        <v>9383.7868872245763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218.56759158079512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9053.7953714590167</v>
      </c>
      <c r="W63" s="142">
        <f>+X63+X63*ACCEPT!C20</f>
        <v>17976.528846687979</v>
      </c>
      <c r="X63" s="159">
        <f>+V63</f>
        <v>9053.7953714590167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8835.2277798782216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853.79511431453659</v>
      </c>
      <c r="AB74" s="159">
        <f>+Q9+AD41+AD34+AD26+AD18+Z47+Z54+Z61+Z67</f>
        <v>853.79511431453659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853.79511431453659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7" orientation="portrait" r:id="rId1"/>
  <headerFooter alignWithMargins="0">
    <oddHeader>&amp;RPage 9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282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+'AUTO 5-DIGIT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/>
      <c r="L11" s="97"/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+'AUTO 5-DIGIT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+'AUTO 5-DIGIT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+'AUTO 5-DIGIT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+'AUTO 5-DIGIT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+'AUTO 5-DIGIT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+'AUTO 5-DIGIT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0</v>
      </c>
    </row>
    <row r="20" spans="1:12">
      <c r="A20" s="32"/>
      <c r="B20" s="414" t="s">
        <v>190</v>
      </c>
      <c r="C20" s="94">
        <f>+'AUTO 5-DIGIT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+'AUTO 5-DIGIT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0</v>
      </c>
    </row>
    <row r="23" spans="1:12">
      <c r="A23" s="32"/>
      <c r="B23" s="414" t="s">
        <v>190</v>
      </c>
      <c r="C23" s="94">
        <f>+'AUTO 5-DIGIT MODEL'!AA24</f>
        <v>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0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+'AUTO 5-DIGIT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>+(K25*C25/10000)</f>
        <v>0</v>
      </c>
    </row>
    <row r="26" spans="1:12">
      <c r="A26" s="32"/>
      <c r="B26" s="414" t="s">
        <v>183</v>
      </c>
      <c r="C26" s="94">
        <f>+'AUTO 5-DIGIT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>+(K26*C26/10000)</f>
        <v>0</v>
      </c>
    </row>
    <row r="27" spans="1:12">
      <c r="A27" s="32"/>
      <c r="B27" s="414" t="s">
        <v>185</v>
      </c>
      <c r="C27" s="94">
        <f>+'AUTO 5-DIGIT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>+(K27*C27/10000)</f>
        <v>0</v>
      </c>
    </row>
    <row r="28" spans="1:12">
      <c r="A28" s="32"/>
      <c r="B28" s="414" t="s">
        <v>186</v>
      </c>
      <c r="C28" s="94">
        <f>+'AUTO 5-DIGIT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>+(K28*C28/10000)</f>
        <v>0</v>
      </c>
    </row>
    <row r="29" spans="1:12">
      <c r="A29" s="32"/>
      <c r="B29" s="414" t="s">
        <v>187</v>
      </c>
      <c r="C29" s="94">
        <f>+'AUTO 5-DIGIT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>+(K29*C29/10000)</f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+'AUTO 5-DIGIT MODEL'!S32</f>
        <v>0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>+(K31*C31/10000)</f>
        <v>0</v>
      </c>
    </row>
    <row r="32" spans="1:12">
      <c r="A32" s="32"/>
      <c r="B32" s="414" t="s">
        <v>194</v>
      </c>
      <c r="C32" s="94">
        <f>+'AUTO 5-DIGIT MODEL'!AA32</f>
        <v>0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>+(K32*C32/10000)</f>
        <v>0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+'AUTO 5-DIGIT MODEL'!S40</f>
        <v>0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0</v>
      </c>
      <c r="M34" s="414"/>
    </row>
    <row r="35" spans="1:13">
      <c r="A35" s="32"/>
      <c r="B35" s="414" t="s">
        <v>190</v>
      </c>
      <c r="C35" s="94">
        <f>+'AUTO 5-DIGIT MODEL'!AA40</f>
        <v>0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0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+'AUTO 5-DIGIT MODEL'!W49</f>
        <v>351.66134923078988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0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1">+H37*J37+I37</f>
        <v>0.63634633241078098</v>
      </c>
      <c r="L37" s="97">
        <f t="shared" ref="L37:L42" si="2">+(K37*C37/10000)</f>
        <v>2.2377840983363994E-2</v>
      </c>
      <c r="M37" s="414"/>
    </row>
    <row r="38" spans="1:13">
      <c r="A38" s="414"/>
      <c r="B38" s="414" t="s">
        <v>198</v>
      </c>
      <c r="C38" s="94">
        <f>+'AUTO 5-DIGIT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1"/>
        <v>0</v>
      </c>
      <c r="L38" s="97">
        <f t="shared" si="2"/>
        <v>0</v>
      </c>
      <c r="M38" s="414"/>
    </row>
    <row r="39" spans="1:13">
      <c r="A39" s="414"/>
      <c r="B39" s="414" t="s">
        <v>199</v>
      </c>
      <c r="C39" s="94">
        <f>+'AUTO 5-DIGIT MODEL'!W63</f>
        <v>19157.008852323648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0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1"/>
        <v>1.2058501693598105</v>
      </c>
      <c r="L39" s="97">
        <f t="shared" si="2"/>
        <v>2.3100482369001862</v>
      </c>
      <c r="M39" s="414"/>
    </row>
    <row r="40" spans="1:13">
      <c r="A40" s="414"/>
      <c r="B40" s="414" t="s">
        <v>200</v>
      </c>
      <c r="C40" s="94">
        <f>+'AUTO 5-DIGIT MODEL'!AA74*(1-MISC!E9)</f>
        <v>253.1835008556782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0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1"/>
        <v>7.8712379159307542</v>
      </c>
      <c r="L40" s="97">
        <f t="shared" si="2"/>
        <v>0.19928675716233007</v>
      </c>
      <c r="M40" s="414"/>
    </row>
    <row r="41" spans="1:13">
      <c r="A41" s="414"/>
      <c r="B41" s="414" t="s">
        <v>201</v>
      </c>
      <c r="C41" s="94">
        <f>+MISC!E10*('AUTO 5-DIGIT MODEL'!AE64+'AUTO 5-DIGIT MODEL'!AE57)</f>
        <v>431.55098960156039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0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1"/>
        <v>3.2621560324800813</v>
      </c>
      <c r="L41" s="97">
        <f t="shared" si="2"/>
        <v>0.14077866640514788</v>
      </c>
      <c r="M41" s="414"/>
    </row>
    <row r="42" spans="1:13">
      <c r="A42" s="417"/>
      <c r="B42" s="417" t="s">
        <v>202</v>
      </c>
      <c r="C42" s="101">
        <f>+MISC!E10*('AUTO 5-DIGIT MODEL'!AE75+'AUTO 5-DIGIT MODEL'!AE50)</f>
        <v>26.794014996354832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0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1"/>
        <v>6.5243120649601627</v>
      </c>
      <c r="L42" s="103">
        <f t="shared" si="2"/>
        <v>1.7481251530944136E-2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2.6899727529819724</v>
      </c>
      <c r="M44" s="414"/>
    </row>
    <row r="45" spans="1:13" ht="8.25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+('AUTO 5-DIGIT MODEL'!AE57+'AUTO 5-DIGIT MODEL'!AE64)/C3</f>
        <v>0.94154181952989746</v>
      </c>
      <c r="M46" s="39"/>
    </row>
    <row r="47" spans="1:13" ht="12.95">
      <c r="A47" s="67" t="s">
        <v>18</v>
      </c>
      <c r="B47" s="414"/>
      <c r="H47" s="67"/>
      <c r="M47" s="414"/>
    </row>
    <row r="48" spans="1:13" ht="12.95">
      <c r="A48" s="225" t="s">
        <v>283</v>
      </c>
      <c r="B48" s="225"/>
      <c r="C48" s="226"/>
      <c r="D48" s="226"/>
      <c r="E48" s="226"/>
      <c r="F48" s="226"/>
      <c r="G48" s="227"/>
      <c r="H48" s="225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225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225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39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225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225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254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8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39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108"/>
    </row>
    <row r="58" spans="1:10" ht="12.95">
      <c r="A58" s="108" t="s">
        <v>284</v>
      </c>
      <c r="B58" s="39"/>
      <c r="C58" s="194"/>
      <c r="D58" s="194"/>
      <c r="E58" s="194"/>
      <c r="F58" s="194"/>
      <c r="G58" s="91"/>
      <c r="H58" s="108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10</oddHeader>
  </headerFooter>
  <ignoredErrors>
    <ignoredError sqref="K14:L14 K2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4" max="14" width="8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71093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282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f>+E4</f>
        <v>10000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0</v>
      </c>
      <c r="AB24" s="142">
        <f>+E12+V22+AD15</f>
        <v>0</v>
      </c>
      <c r="AC24" s="15"/>
      <c r="AD24" s="15">
        <f>+AB24*DENSITY!E15</f>
        <v>0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0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0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0</v>
      </c>
      <c r="T32" s="159">
        <f>+K8+N17+N43+N48+N75+W17+W24</f>
        <v>0</v>
      </c>
      <c r="U32" s="15"/>
      <c r="X32" s="414"/>
      <c r="AA32" s="142">
        <f>+AB32</f>
        <v>0</v>
      </c>
      <c r="AB32" s="159">
        <f>+Q7+N64+N72+V30+AD16+AD24</f>
        <v>0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0</v>
      </c>
      <c r="W33" s="15">
        <f>+V33*DENSITY!$G$13</f>
        <v>0</v>
      </c>
      <c r="X33" s="22" t="s">
        <v>229</v>
      </c>
      <c r="AA33" s="165"/>
      <c r="AB33" s="157"/>
      <c r="AC33" s="15"/>
      <c r="AD33" s="15">
        <f>+AB32*DENSITY!F16</f>
        <v>0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0</v>
      </c>
      <c r="X34" s="22" t="s">
        <v>226</v>
      </c>
      <c r="AA34" s="414"/>
      <c r="AB34" s="414"/>
      <c r="AC34" s="15"/>
      <c r="AD34" s="15">
        <f>+AB32*DENSITY!G16</f>
        <v>0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0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0</v>
      </c>
      <c r="T40" s="159">
        <f>+K9+N18+N44+N49+N76+W18+W25+W34</f>
        <v>0</v>
      </c>
      <c r="U40" s="15"/>
      <c r="V40" s="15"/>
      <c r="W40" s="17"/>
      <c r="X40" s="15"/>
      <c r="AA40" s="142">
        <f>+AB40</f>
        <v>0</v>
      </c>
      <c r="AB40" s="159">
        <f>+Q8+V38+AD33+AD25+AD17</f>
        <v>0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0</v>
      </c>
      <c r="W41" s="22" t="s">
        <v>229</v>
      </c>
      <c r="X41" s="15"/>
      <c r="AA41" s="165"/>
      <c r="AB41" s="157"/>
      <c r="AC41" s="414"/>
      <c r="AD41" s="15">
        <f>+AB40</f>
        <v>0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20.263045385444482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351.66134923078988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351.66134923078988</v>
      </c>
      <c r="X49" s="159">
        <f>+V48</f>
        <v>351.66134923078988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331.39830384534542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10000</v>
      </c>
      <c r="T56" s="159">
        <f>+K10+N19+N45+N50+N77+W19+W26+W33+V41</f>
        <v>10000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232.92045547023372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9648.3386507692085</v>
      </c>
      <c r="W63" s="142">
        <f>+X63+X63*ACCEPT!C20</f>
        <v>19157.008852323648</v>
      </c>
      <c r="X63" s="159">
        <f>+V63</f>
        <v>9648.3386507692085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9415.4181952989748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253.1835008556782</v>
      </c>
      <c r="AB74" s="159">
        <f>+Q9+AD41+AD34+AD26+AD18+Z47+Z54+Z61+Z67</f>
        <v>253.1835008556782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253.1835008556782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8" orientation="portrait" r:id="rId1"/>
  <headerFooter alignWithMargins="0">
    <oddHeader>&amp;RPage 11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>
    <pageSetUpPr fitToPage="1"/>
  </sheetPr>
  <dimension ref="A1:N58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285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+'MACH MAADC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/>
      <c r="L11" s="97"/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+'MACH AADC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+'MACH AADC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+'MACH AADC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+'MACH AADC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4">
      <c r="A17" s="32"/>
      <c r="B17" s="414" t="s">
        <v>187</v>
      </c>
      <c r="C17" s="94">
        <f>+'MACH AADC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 t="shared" ref="L17:L42" si="0">+(K17*C17/10000)</f>
        <v>0</v>
      </c>
      <c r="M17" s="414"/>
      <c r="N17" s="414"/>
    </row>
    <row r="18" spans="1:14" ht="12.95">
      <c r="A18" s="39" t="s">
        <v>188</v>
      </c>
      <c r="B18" s="414"/>
      <c r="H18" s="97"/>
      <c r="I18" s="97"/>
      <c r="K18" s="97"/>
      <c r="L18" s="97"/>
      <c r="M18" s="414"/>
      <c r="N18" s="414"/>
    </row>
    <row r="19" spans="1:14">
      <c r="A19" s="32"/>
      <c r="B19" s="414" t="s">
        <v>189</v>
      </c>
      <c r="C19" s="94">
        <f>+'MACH AADC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 t="shared" si="0"/>
        <v>0</v>
      </c>
      <c r="M19" s="414"/>
      <c r="N19" s="414"/>
    </row>
    <row r="20" spans="1:14">
      <c r="A20" s="32"/>
      <c r="B20" s="414" t="s">
        <v>190</v>
      </c>
      <c r="C20" s="94">
        <f>+'MACH AADC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 t="shared" si="0"/>
        <v>0</v>
      </c>
      <c r="M20" s="414"/>
      <c r="N20" s="414"/>
    </row>
    <row r="21" spans="1:14" ht="12.95">
      <c r="A21" s="39" t="s">
        <v>191</v>
      </c>
      <c r="B21" s="414"/>
      <c r="H21" s="97"/>
      <c r="I21" s="97"/>
      <c r="K21" s="97">
        <f>+H21*J21+I21</f>
        <v>0</v>
      </c>
      <c r="L21" s="97">
        <f t="shared" si="0"/>
        <v>0</v>
      </c>
      <c r="M21" s="414"/>
      <c r="N21" s="414"/>
    </row>
    <row r="22" spans="1:14">
      <c r="A22" s="32"/>
      <c r="B22" s="414" t="s">
        <v>189</v>
      </c>
      <c r="C22" s="94">
        <f>+'MACH AADC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 t="shared" si="0"/>
        <v>0</v>
      </c>
      <c r="M22" s="414"/>
      <c r="N22" s="414"/>
    </row>
    <row r="23" spans="1:14">
      <c r="A23" s="32"/>
      <c r="B23" s="414" t="s">
        <v>190</v>
      </c>
      <c r="C23" s="94">
        <f>+'MACH AADC MODEL'!AA24</f>
        <v>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 t="shared" si="0"/>
        <v>0</v>
      </c>
      <c r="M23" s="414"/>
      <c r="N23" s="414"/>
    </row>
    <row r="24" spans="1:14" ht="12.95">
      <c r="A24" s="39" t="s">
        <v>192</v>
      </c>
      <c r="B24" s="414"/>
      <c r="H24" s="97"/>
      <c r="I24" s="97"/>
      <c r="K24" s="97"/>
      <c r="L24" s="97"/>
      <c r="M24" s="414"/>
      <c r="N24" s="414"/>
    </row>
    <row r="25" spans="1:14">
      <c r="A25" s="32"/>
      <c r="B25" s="414" t="s">
        <v>182</v>
      </c>
      <c r="C25" s="94">
        <f>+'MACH AADC MODEL'!G51</f>
        <v>10276.357391420619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 t="shared" si="0"/>
        <v>1.4723141252477725</v>
      </c>
      <c r="M25" s="414"/>
      <c r="N25" s="94"/>
    </row>
    <row r="26" spans="1:14">
      <c r="A26" s="32"/>
      <c r="B26" s="414" t="s">
        <v>183</v>
      </c>
      <c r="C26" s="94">
        <f>+'MACH AADC MODEL'!G58</f>
        <v>663.7512997321893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 t="shared" si="0"/>
        <v>1.8511719116825594E-2</v>
      </c>
      <c r="M26" s="414"/>
      <c r="N26" s="94"/>
    </row>
    <row r="27" spans="1:14">
      <c r="A27" s="32"/>
      <c r="B27" s="414" t="s">
        <v>185</v>
      </c>
      <c r="C27" s="94">
        <f>+'MACH AADC MODEL'!G65</f>
        <v>13.407776254590221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 t="shared" si="0"/>
        <v>1.0592051416151297E-2</v>
      </c>
      <c r="M27" s="414"/>
      <c r="N27" s="94"/>
    </row>
    <row r="28" spans="1:14">
      <c r="A28" s="32"/>
      <c r="B28" s="414" t="s">
        <v>186</v>
      </c>
      <c r="C28" s="94">
        <f>+'MACH AADC MODEL'!G72</f>
        <v>671.98310736251358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 t="shared" si="0"/>
        <v>9.627635388816963E-2</v>
      </c>
      <c r="M28" s="414"/>
      <c r="N28" s="94"/>
    </row>
    <row r="29" spans="1:14">
      <c r="A29" s="32"/>
      <c r="B29" s="414" t="s">
        <v>187</v>
      </c>
      <c r="C29" s="94">
        <f>+'MACH AADC MODEL'!C65</f>
        <v>1.3776554909938092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 t="shared" si="0"/>
        <v>1.1882428408457179E-3</v>
      </c>
      <c r="M29" s="414"/>
      <c r="N29" s="94"/>
    </row>
    <row r="30" spans="1:14" ht="12.95">
      <c r="A30" s="39" t="s">
        <v>193</v>
      </c>
      <c r="B30" s="414"/>
      <c r="H30" s="97"/>
      <c r="I30" s="97"/>
      <c r="K30" s="97"/>
      <c r="L30" s="97"/>
      <c r="M30" s="414"/>
      <c r="N30" s="94"/>
    </row>
    <row r="31" spans="1:14">
      <c r="A31" s="32"/>
      <c r="B31" s="414" t="s">
        <v>43</v>
      </c>
      <c r="C31" s="94">
        <f>+'MACH AADC MODEL'!S32</f>
        <v>150.70650492176702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 t="shared" si="0"/>
        <v>2.3823372510918383E-2</v>
      </c>
      <c r="M31" s="414"/>
      <c r="N31" s="94"/>
    </row>
    <row r="32" spans="1:14">
      <c r="A32" s="32"/>
      <c r="B32" s="414" t="s">
        <v>194</v>
      </c>
      <c r="C32" s="94">
        <f>+'MACH AADC MODEL'!AA32</f>
        <v>342.69409956242788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 t="shared" si="0"/>
        <v>0.18005415183001405</v>
      </c>
      <c r="M32" s="414"/>
      <c r="N32" s="94"/>
    </row>
    <row r="33" spans="1:14" ht="12.95">
      <c r="A33" s="39" t="s">
        <v>195</v>
      </c>
      <c r="B33" s="414"/>
      <c r="H33" s="97"/>
      <c r="I33" s="97"/>
      <c r="K33" s="97"/>
      <c r="L33" s="97"/>
      <c r="M33" s="414"/>
      <c r="N33" s="94"/>
    </row>
    <row r="34" spans="1:14">
      <c r="A34" s="32"/>
      <c r="B34" s="414" t="s">
        <v>189</v>
      </c>
      <c r="C34" s="94">
        <f>+'MACH AADC MODEL'!S40</f>
        <v>1204.233975829243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 t="shared" si="0"/>
        <v>9.8609581788450085E-2</v>
      </c>
      <c r="M34" s="414"/>
      <c r="N34" s="94"/>
    </row>
    <row r="35" spans="1:14">
      <c r="A35" s="32"/>
      <c r="B35" s="414" t="s">
        <v>190</v>
      </c>
      <c r="C35" s="94">
        <f>+'MACH AADC MODEL'!AA40</f>
        <v>224.28757246278744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 t="shared" si="0"/>
        <v>0.12922087150877859</v>
      </c>
      <c r="M35" s="414"/>
      <c r="N35" s="94"/>
    </row>
    <row r="36" spans="1:14" ht="12.95">
      <c r="A36" s="39" t="s">
        <v>196</v>
      </c>
      <c r="B36" s="414"/>
      <c r="H36" s="97"/>
      <c r="I36" s="97"/>
      <c r="K36" s="97"/>
      <c r="L36" s="97"/>
      <c r="M36" s="414"/>
      <c r="N36" s="94"/>
    </row>
    <row r="37" spans="1:14">
      <c r="A37" s="414"/>
      <c r="B37" s="414" t="s">
        <v>197</v>
      </c>
      <c r="C37" s="94">
        <f>+'MACH AADC MODEL'!W49</f>
        <v>337.00056731729535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1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2">+H37*J37+I37</f>
        <v>0.63634633241078098</v>
      </c>
      <c r="L37" s="97">
        <f t="shared" si="0"/>
        <v>2.144490750327134E-2</v>
      </c>
      <c r="M37" s="414"/>
      <c r="N37" s="94"/>
    </row>
    <row r="38" spans="1:14">
      <c r="A38" s="414"/>
      <c r="B38" s="414" t="s">
        <v>198</v>
      </c>
      <c r="C38" s="94">
        <f>+'MACH AADC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2"/>
        <v>0</v>
      </c>
      <c r="L38" s="97">
        <f t="shared" si="0"/>
        <v>0</v>
      </c>
      <c r="M38" s="414"/>
      <c r="N38" s="94"/>
    </row>
    <row r="39" spans="1:14">
      <c r="A39" s="414"/>
      <c r="B39" s="414" t="s">
        <v>199</v>
      </c>
      <c r="C39" s="94">
        <f>+'MACH AADC MODEL'!W63</f>
        <v>18358.352049370646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1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2"/>
        <v>1.2058501693598105</v>
      </c>
      <c r="L39" s="97">
        <f t="shared" si="0"/>
        <v>2.2137421927900616</v>
      </c>
      <c r="M39" s="414"/>
      <c r="N39" s="94"/>
    </row>
    <row r="40" spans="1:14">
      <c r="A40" s="414"/>
      <c r="B40" s="414" t="s">
        <v>200</v>
      </c>
      <c r="C40" s="94">
        <f>+'MACH AADC MODEL'!AA74*(1-MISC!E9)</f>
        <v>659.52884235360352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1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2"/>
        <v>7.8712379159307542</v>
      </c>
      <c r="L40" s="97">
        <f t="shared" si="0"/>
        <v>0.5191308430583601</v>
      </c>
      <c r="M40" s="414"/>
      <c r="N40" s="94"/>
    </row>
    <row r="41" spans="1:14">
      <c r="A41" s="414"/>
      <c r="B41" s="414" t="s">
        <v>201</v>
      </c>
      <c r="C41" s="94">
        <f>+MISC!E10*('MACH AADC MODEL'!AE64+'MACH AADC MODEL'!AE57)</f>
        <v>413.55960397746389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1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2"/>
        <v>3.2621560324800813</v>
      </c>
      <c r="L41" s="97">
        <f t="shared" si="0"/>
        <v>0.13490959569051572</v>
      </c>
      <c r="M41" s="414"/>
      <c r="N41" s="94"/>
    </row>
    <row r="42" spans="1:14">
      <c r="A42" s="417"/>
      <c r="B42" s="417" t="s">
        <v>202</v>
      </c>
      <c r="C42" s="101">
        <f>+MISC!E10*('MACH AADC MODEL'!AE75+'MACH AADC MODEL'!AE50)</f>
        <v>44.78540062045154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1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2"/>
        <v>6.5243120649601627</v>
      </c>
      <c r="L42" s="103">
        <f t="shared" si="0"/>
        <v>2.9219392960208632E-2</v>
      </c>
      <c r="M42" s="414"/>
      <c r="N42" s="94"/>
    </row>
    <row r="43" spans="1:14" ht="9" customHeight="1" thickBot="1">
      <c r="A43" s="414"/>
      <c r="B43" s="414"/>
      <c r="H43" s="97"/>
      <c r="I43" s="97"/>
      <c r="K43" s="97"/>
      <c r="L43" s="93"/>
      <c r="M43" s="414"/>
      <c r="N43" s="414"/>
    </row>
    <row r="44" spans="1:14" ht="13.5" thickBot="1">
      <c r="A44" s="414"/>
      <c r="B44" s="414"/>
      <c r="H44" s="97"/>
      <c r="J44" s="104" t="s">
        <v>203</v>
      </c>
      <c r="K44" s="105"/>
      <c r="L44" s="395">
        <f>SUM(L11:L42)</f>
        <v>4.9490374021503429</v>
      </c>
      <c r="M44" s="414"/>
      <c r="N44" s="414"/>
    </row>
    <row r="45" spans="1:14" ht="9" customHeight="1" thickBot="1">
      <c r="A45" s="414"/>
      <c r="B45" s="414"/>
      <c r="H45" s="97"/>
      <c r="J45" s="106"/>
      <c r="K45" s="2"/>
      <c r="L45" s="92"/>
      <c r="M45" s="414"/>
      <c r="N45" s="414"/>
    </row>
    <row r="46" spans="1:14" ht="13.5" thickBot="1">
      <c r="A46" s="414"/>
      <c r="B46" s="414"/>
      <c r="J46" s="280" t="s">
        <v>204</v>
      </c>
      <c r="K46" s="281"/>
      <c r="L46" s="282">
        <f>('MACH AADC MODEL'!AE64+'MACH AADC MODEL'!AE57)/'MACH AADC COST'!C3</f>
        <v>0.90228888681847952</v>
      </c>
      <c r="M46" s="39"/>
      <c r="N46" s="414"/>
    </row>
    <row r="47" spans="1:14" ht="12.95">
      <c r="A47" s="67" t="s">
        <v>18</v>
      </c>
      <c r="B47" s="414"/>
      <c r="I47" s="67"/>
      <c r="M47" s="414"/>
      <c r="N47" s="414"/>
    </row>
    <row r="48" spans="1:14" ht="12.95">
      <c r="A48" s="225" t="s">
        <v>286</v>
      </c>
      <c r="B48" s="225"/>
      <c r="C48" s="226"/>
      <c r="D48" s="226"/>
      <c r="E48" s="226"/>
      <c r="F48" s="226"/>
      <c r="G48" s="227"/>
      <c r="H48" s="96"/>
      <c r="I48" s="225"/>
      <c r="M48" s="414"/>
      <c r="N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96"/>
      <c r="I49" s="225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96"/>
      <c r="I50" s="225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96"/>
      <c r="I51" s="39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96"/>
      <c r="I52" s="225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109"/>
      <c r="I53" s="225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109"/>
      <c r="I54" s="254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9"/>
      <c r="I55" s="108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96"/>
      <c r="I56" s="39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96"/>
      <c r="I57" s="108"/>
    </row>
    <row r="58" spans="1:10" ht="12.95">
      <c r="A58" s="108" t="s">
        <v>287</v>
      </c>
      <c r="B58" s="39"/>
      <c r="C58" s="194"/>
      <c r="D58" s="194"/>
      <c r="E58" s="194"/>
      <c r="F58" s="194"/>
      <c r="G58" s="91"/>
      <c r="H58" s="96"/>
      <c r="I58" s="108"/>
    </row>
  </sheetData>
  <phoneticPr fontId="43" type="noConversion"/>
  <printOptions horizontalCentered="1"/>
  <pageMargins left="0.75" right="0.75" top="1" bottom="1" header="0.5" footer="0.5"/>
  <pageSetup scale="80" orientation="portrait" r:id="rId1"/>
  <headerFooter alignWithMargins="0">
    <oddHeader>&amp;RPage 14</oddHeader>
  </headerFooter>
  <ignoredErrors>
    <ignoredError sqref="K14:L14 K26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19.85546875" style="3" customWidth="1"/>
    <col min="12" max="12" width="4.42578125" style="3" customWidth="1"/>
    <col min="13" max="13" width="4.140625" customWidth="1"/>
    <col min="14" max="14" width="12.8554687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855468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285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10000.000000000002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f>E4</f>
        <v>10000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0</v>
      </c>
      <c r="AB24" s="142">
        <f>+E12+V22+AD15</f>
        <v>0</v>
      </c>
      <c r="AC24" s="15"/>
      <c r="AD24" s="15">
        <f>+AB24*DENSITY!E15</f>
        <v>0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9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0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6.6037776289968777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150.70650492176702</v>
      </c>
      <c r="T32" s="159">
        <f>+K8+N17+N43+N48+N75+W17+W24</f>
        <v>149.76756170999013</v>
      </c>
      <c r="U32" s="15"/>
      <c r="X32" s="414"/>
      <c r="AA32" s="142">
        <f>+AB32</f>
        <v>342.69409956242788</v>
      </c>
      <c r="AB32" s="159">
        <f>+Q7+N64+N72+V30+AD16+AD24</f>
        <v>342.69409956242788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143.16378408099325</v>
      </c>
      <c r="W33" s="15">
        <f>+V33*DENSITY!$G$13</f>
        <v>130.39025916848172</v>
      </c>
      <c r="X33" s="22" t="s">
        <v>229</v>
      </c>
      <c r="AA33" s="165"/>
      <c r="AB33" s="157"/>
      <c r="AC33" s="15"/>
      <c r="AD33" s="15">
        <f>+AB32*DENSITY!F16</f>
        <v>150.08109578722113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12.773524912511567</v>
      </c>
      <c r="X34" s="22" t="s">
        <v>226</v>
      </c>
      <c r="AA34" s="414"/>
      <c r="AB34" s="414"/>
      <c r="AC34" s="15"/>
      <c r="AD34" s="15">
        <f>+AB32*DENSITY!G16</f>
        <v>192.61300377520675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74.206476675566307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1204.233975829243</v>
      </c>
      <c r="T40" s="159">
        <f>+K9+N18+N44+N49+N76+W18+W25+W34</f>
        <v>1204.233975829243</v>
      </c>
      <c r="U40" s="15"/>
      <c r="V40" s="15"/>
      <c r="W40" s="17"/>
      <c r="X40" s="15"/>
      <c r="AA40" s="142">
        <f>+AB40</f>
        <v>224.28757246278744</v>
      </c>
      <c r="AB40" s="159">
        <f>+Q8+V38+AD33+AD25+AD17</f>
        <v>224.28757246278744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1130.0274991536767</v>
      </c>
      <c r="W41" s="22" t="s">
        <v>229</v>
      </c>
      <c r="X41" s="15"/>
      <c r="AA41" s="165"/>
      <c r="AB41" s="157"/>
      <c r="AC41" s="414"/>
      <c r="AD41" s="15">
        <f>+AB40</f>
        <v>224.28757246278744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19.418277855691645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9024.5715339016006</v>
      </c>
      <c r="J48" s="414"/>
      <c r="K48" s="458">
        <f>+I48+I49</f>
        <v>9041.0288814772794</v>
      </c>
      <c r="L48" s="458"/>
      <c r="M48" s="17"/>
      <c r="N48" s="15">
        <f>+K48*DENSITY!E11</f>
        <v>145.64066594420257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337.00056731729535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16.457347575678344</v>
      </c>
      <c r="J49" s="414"/>
      <c r="K49" s="15"/>
      <c r="L49" s="15"/>
      <c r="M49" s="17"/>
      <c r="N49" s="15">
        <f>+K48*DENSITY!F11</f>
        <v>1071.1427920841072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337.00056731729535</v>
      </c>
      <c r="X49" s="159">
        <f>+V48</f>
        <v>337.00056731729535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7824.2454234489715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317.58228946160369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10276.357391420619</v>
      </c>
      <c r="H51" s="142">
        <f>+K7</f>
        <v>10000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1.3776554909938092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1.7788063667607656</v>
      </c>
      <c r="H54" s="15">
        <f>+H51*ACCEPT!F6</f>
        <v>661.97249336542848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365"/>
      <c r="J56" s="414"/>
      <c r="M56" s="414"/>
      <c r="N56" s="414"/>
      <c r="O56" s="414"/>
      <c r="Q56" s="37"/>
      <c r="S56" s="142">
        <f>+T56</f>
        <v>9583.0994237620089</v>
      </c>
      <c r="T56" s="159">
        <f>+K10+N19+N45+N50+N77+W19+W26+W33+V41</f>
        <v>9583.0994237620089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663.7512997321893</v>
      </c>
      <c r="H58" s="142">
        <f>+H54</f>
        <v>661.97249336542848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16.8584984514453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3.5931888608567455E-2</v>
      </c>
      <c r="H61" s="36">
        <f>+J62</f>
        <v>13.371844365981653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223.20998825991774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3.5931888608567455E-2</v>
      </c>
      <c r="J62" s="76">
        <f>+H58*((1-MISC!E6))</f>
        <v>13.371844365981653</v>
      </c>
      <c r="K62" s="38">
        <f>+G54*MISC!E6</f>
        <v>1.7428744781521981</v>
      </c>
      <c r="L62" s="415">
        <f>+H58*MISC!E6</f>
        <v>648.60064899944678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36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9246.0988564447125</v>
      </c>
      <c r="W63" s="142">
        <f>+X63+X63*ACCEPT!C20</f>
        <v>18358.352049370646</v>
      </c>
      <c r="X63" s="159">
        <f>+V63</f>
        <v>9246.0988564447125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1.1039155175546222</v>
      </c>
      <c r="N64" s="466">
        <f>+M64+M65</f>
        <v>1.106881882427291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9022.8888681847948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1.3776554909938092</v>
      </c>
      <c r="D65" s="152">
        <f>+D69</f>
        <v>1.3776554909938092</v>
      </c>
      <c r="E65" s="414"/>
      <c r="F65" s="414"/>
      <c r="G65" s="142">
        <f>+G61+H65</f>
        <v>13.407776254590221</v>
      </c>
      <c r="H65" s="142">
        <f>+H61</f>
        <v>13.371844365981653</v>
      </c>
      <c r="I65" s="48"/>
      <c r="J65" s="49"/>
      <c r="M65" s="74">
        <f>+I62*MISC!E5</f>
        <v>2.9663648726687701E-3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3.2965523735898686E-2</v>
      </c>
      <c r="H68" s="36">
        <f>+J68</f>
        <v>12.267928848427031</v>
      </c>
      <c r="I68" s="48">
        <f>+I62-M65</f>
        <v>3.2965523735898686E-2</v>
      </c>
      <c r="J68" s="15">
        <f>+J62-M64</f>
        <v>12.267928848427031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1.3776554909938092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36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671.98310736251358</v>
      </c>
      <c r="H72" s="142">
        <f>+J68+L62</f>
        <v>660.86857784787378</v>
      </c>
      <c r="I72" s="15"/>
      <c r="J72" s="414"/>
      <c r="K72" s="15">
        <f>+H72*ACCEPT!C13</f>
        <v>20.715320291796022</v>
      </c>
      <c r="L72" s="15"/>
      <c r="M72" s="414"/>
      <c r="N72" s="464">
        <f>+K72+K73+H51*ACCEPT!G6</f>
        <v>334.98344005100375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9.3386895127516567</v>
      </c>
      <c r="F73" s="414"/>
      <c r="G73" s="140"/>
      <c r="H73" s="143"/>
      <c r="J73" s="414"/>
      <c r="K73" s="75">
        <f>+(G72-H72)*(1-ACCEPT!C9)</f>
        <v>0.81214702623707291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659.52884235360352</v>
      </c>
      <c r="AB74" s="159">
        <f>+Q9+AD41+AD34+AD26+AD18+Z47+Z54+Z61+Z67</f>
        <v>659.52884235360352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612.5784141008869</v>
      </c>
      <c r="J75" s="414"/>
      <c r="K75" s="458">
        <f>+H75+H76</f>
        <v>622.88079658928962</v>
      </c>
      <c r="L75" s="458"/>
      <c r="M75" s="39"/>
      <c r="N75" s="15">
        <f>+K75*DENSITY!E12</f>
        <v>4.1268957657875713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659.52884235360352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10.302382488402726</v>
      </c>
      <c r="J76" s="414"/>
      <c r="M76" s="414"/>
      <c r="N76" s="15">
        <f>+K75*DENSITY!F12</f>
        <v>120.31765883262415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498.43624199087787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6"/>
      <c r="H83" s="203"/>
      <c r="I83" s="207"/>
      <c r="J83" s="414"/>
      <c r="K83" s="215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>
      <c r="G97" s="213"/>
      <c r="H97" s="212"/>
      <c r="I97" s="219"/>
    </row>
    <row r="98" spans="7:9">
      <c r="G98" s="21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12:F12"/>
    <mergeCell ref="M30:N30"/>
    <mergeCell ref="E4:F4"/>
    <mergeCell ref="E7:F7"/>
    <mergeCell ref="E8:F8"/>
    <mergeCell ref="E9:F9"/>
    <mergeCell ref="E10:F10"/>
    <mergeCell ref="E11:F11"/>
  </mergeCells>
  <phoneticPr fontId="43" type="noConversion"/>
  <printOptions horizontalCentered="1"/>
  <pageMargins left="0.75" right="0.75" top="1" bottom="1" header="0.5" footer="0.5"/>
  <pageSetup scale="35" orientation="portrait" r:id="rId1"/>
  <headerFooter alignWithMargins="0">
    <oddHeader>&amp;RPage 15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>
    <pageSetUpPr fitToPage="1"/>
  </sheetPr>
  <dimension ref="A1:M59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288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+'NMACH MADC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>
        <f>'BUNDLE SORT'!M30</f>
        <v>1.5105036311394753</v>
      </c>
      <c r="L11" s="97">
        <f>+K11</f>
        <v>1.5105036311394753</v>
      </c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+'NMACH MADC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+'NMACH MADC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+'NMACH MADC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+'NMACH MADC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+'NMACH MADC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+'NMACH MADC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0</v>
      </c>
    </row>
    <row r="20" spans="1:12">
      <c r="A20" s="32"/>
      <c r="B20" s="414" t="s">
        <v>190</v>
      </c>
      <c r="C20" s="94">
        <f>+'NMACH MADC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+'NMACH MADC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0</v>
      </c>
    </row>
    <row r="23" spans="1:12">
      <c r="A23" s="32"/>
      <c r="B23" s="414" t="s">
        <v>190</v>
      </c>
      <c r="C23" s="94">
        <f>+'NMACH MADC MODEL'!AA24</f>
        <v>10000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5.8622735526069381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+'NMACH MADC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>+(K25*C25/10000)</f>
        <v>0</v>
      </c>
    </row>
    <row r="26" spans="1:12">
      <c r="A26" s="32"/>
      <c r="B26" s="414" t="s">
        <v>183</v>
      </c>
      <c r="C26" s="94">
        <f>+'NMACH MADC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>+(K26*C26/10000)</f>
        <v>0</v>
      </c>
    </row>
    <row r="27" spans="1:12">
      <c r="A27" s="32"/>
      <c r="B27" s="414" t="s">
        <v>185</v>
      </c>
      <c r="C27" s="94">
        <f>+'NMACH MADC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>+(K27*C27/10000)</f>
        <v>0</v>
      </c>
    </row>
    <row r="28" spans="1:12">
      <c r="A28" s="32"/>
      <c r="B28" s="414" t="s">
        <v>186</v>
      </c>
      <c r="C28" s="94">
        <f>+'NMACH MADC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>+(K28*C28/10000)</f>
        <v>0</v>
      </c>
    </row>
    <row r="29" spans="1:12">
      <c r="A29" s="32"/>
      <c r="B29" s="414" t="s">
        <v>187</v>
      </c>
      <c r="C29" s="94">
        <f>+'NMACH MADC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>+(K29*C29/10000)</f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+'NMACH MADC MODEL'!S32</f>
        <v>0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>+(K31*C31/10000)</f>
        <v>0</v>
      </c>
    </row>
    <row r="32" spans="1:12">
      <c r="A32" s="32"/>
      <c r="B32" s="414" t="s">
        <v>194</v>
      </c>
      <c r="C32" s="94">
        <f>+'NMACH MADC MODEL'!AA32</f>
        <v>8094.9954740966959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>+(K32*C32/10000)</f>
        <v>4.2531737372115641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+'NMACH MADC MODEL'!S40</f>
        <v>0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0</v>
      </c>
      <c r="M34" s="414"/>
    </row>
    <row r="35" spans="1:13">
      <c r="A35" s="32"/>
      <c r="B35" s="414" t="s">
        <v>190</v>
      </c>
      <c r="C35" s="94">
        <f>+'NMACH MADC MODEL'!AA40</f>
        <v>5450.1656264191624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3.1400542811168091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+'NMACH MADC MODEL'!W49</f>
        <v>0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0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1">+H37*J37+I37</f>
        <v>0.63634633241078098</v>
      </c>
      <c r="L37" s="97">
        <f t="shared" ref="L37:L42" si="2">+(K37*C37/10000)</f>
        <v>0</v>
      </c>
      <c r="M37" s="414"/>
    </row>
    <row r="38" spans="1:13">
      <c r="A38" s="414"/>
      <c r="B38" s="414" t="s">
        <v>198</v>
      </c>
      <c r="C38" s="94">
        <f>+'NMACH MADC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1"/>
        <v>0</v>
      </c>
      <c r="L38" s="97">
        <f t="shared" si="2"/>
        <v>0</v>
      </c>
      <c r="M38" s="414"/>
    </row>
    <row r="39" spans="1:13">
      <c r="A39" s="414"/>
      <c r="B39" s="414" t="s">
        <v>199</v>
      </c>
      <c r="C39" s="94">
        <f>+'NMACH MADC MODEL'!W63</f>
        <v>0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0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1"/>
        <v>1.2058501693598105</v>
      </c>
      <c r="L39" s="97">
        <f t="shared" si="2"/>
        <v>0</v>
      </c>
      <c r="M39" s="414"/>
    </row>
    <row r="40" spans="1:13">
      <c r="A40" s="414"/>
      <c r="B40" s="414" t="s">
        <v>200</v>
      </c>
      <c r="C40" s="94">
        <f>+'NMACH MADC MODEL'!AA74*(1-MISC!E9)</f>
        <v>10000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0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1"/>
        <v>7.8712379159307542</v>
      </c>
      <c r="L40" s="97">
        <f t="shared" si="2"/>
        <v>7.8712379159307542</v>
      </c>
      <c r="M40" s="414"/>
    </row>
    <row r="41" spans="1:13">
      <c r="A41" s="414"/>
      <c r="B41" s="414" t="s">
        <v>201</v>
      </c>
      <c r="C41" s="94">
        <f>+MISC!E10*('NMACH MADC MODEL'!AE64+'NMACH MADC MODEL'!AE57)</f>
        <v>0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0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1"/>
        <v>3.2621560324800813</v>
      </c>
      <c r="L41" s="97">
        <f t="shared" si="2"/>
        <v>0</v>
      </c>
      <c r="M41" s="414"/>
    </row>
    <row r="42" spans="1:13">
      <c r="A42" s="417"/>
      <c r="B42" s="417" t="s">
        <v>202</v>
      </c>
      <c r="C42" s="101">
        <f>+MISC!E10*('NMACH MADC MODEL'!AE75+'NMACH MADC MODEL'!AE50)</f>
        <v>458.34500459791531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0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1"/>
        <v>6.5243120649601627</v>
      </c>
      <c r="L42" s="97">
        <f t="shared" si="2"/>
        <v>0.29903858434123998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22.936281702346779</v>
      </c>
      <c r="M44" s="414"/>
    </row>
    <row r="45" spans="1:13" ht="9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+('NMACH MADC MODEL'!AE57+'NMACH MADC MODEL'!AE64)/C3</f>
        <v>0</v>
      </c>
      <c r="M46" s="39"/>
    </row>
    <row r="47" spans="1:13" ht="12.95">
      <c r="A47" s="67" t="s">
        <v>18</v>
      </c>
      <c r="B47" s="414"/>
      <c r="H47" s="67"/>
      <c r="M47" s="414"/>
    </row>
    <row r="48" spans="1:13" ht="12.95">
      <c r="A48" s="225" t="s">
        <v>289</v>
      </c>
      <c r="B48" s="225"/>
      <c r="C48" s="226"/>
      <c r="D48" s="226"/>
      <c r="E48" s="226"/>
      <c r="F48" s="226"/>
      <c r="G48" s="227"/>
      <c r="H48" s="225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225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225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39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225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225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254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8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39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108"/>
    </row>
    <row r="58" spans="1:10" ht="12.95">
      <c r="A58" s="108" t="s">
        <v>290</v>
      </c>
      <c r="B58" s="39"/>
      <c r="C58" s="194"/>
      <c r="D58" s="194"/>
      <c r="E58" s="194"/>
      <c r="F58" s="194"/>
      <c r="G58" s="91"/>
      <c r="H58" s="108"/>
    </row>
    <row r="59" spans="1:10" ht="12" customHeight="1">
      <c r="A59" s="414"/>
      <c r="B59" s="414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16</oddHeader>
  </headerFooter>
  <ignoredErrors>
    <ignoredError sqref="K14:L14 K26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855468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288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f>+E4</f>
        <v>10000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10000</v>
      </c>
      <c r="AB24" s="142">
        <f>+E12+V22+AD15</f>
        <v>10000</v>
      </c>
      <c r="AC24" s="15"/>
      <c r="AD24" s="15">
        <f>+AB24*DENSITY!E15</f>
        <v>8094.9954740966959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1905.0045259033047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0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0</v>
      </c>
      <c r="T32" s="159">
        <f>+K8+N17+N43+N48+N75+W17+W24</f>
        <v>0</v>
      </c>
      <c r="U32" s="15"/>
      <c r="X32" s="414"/>
      <c r="AA32" s="142">
        <f>+AB32</f>
        <v>8094.9954740966959</v>
      </c>
      <c r="AB32" s="159">
        <f>+Q7+N64+N72+V30+AD16+AD24</f>
        <v>8094.9954740966959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0</v>
      </c>
      <c r="W33" s="15">
        <f>+V33*DENSITY!$G$13</f>
        <v>0</v>
      </c>
      <c r="X33" s="22" t="s">
        <v>229</v>
      </c>
      <c r="AA33" s="165"/>
      <c r="AB33" s="157"/>
      <c r="AC33" s="15"/>
      <c r="AD33" s="15">
        <f>+AB32*DENSITY!F16</f>
        <v>3545.1611005158575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0</v>
      </c>
      <c r="X34" s="22" t="s">
        <v>226</v>
      </c>
      <c r="AA34" s="414"/>
      <c r="AB34" s="414"/>
      <c r="AC34" s="15"/>
      <c r="AD34" s="15">
        <f>+AB32*DENSITY!G16</f>
        <v>4549.8343735808385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0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0</v>
      </c>
      <c r="T40" s="159">
        <f>+K9+N18+N44+N49+N76+W18+W25+W34</f>
        <v>0</v>
      </c>
      <c r="U40" s="15"/>
      <c r="V40" s="15"/>
      <c r="W40" s="17"/>
      <c r="X40" s="15"/>
      <c r="AA40" s="142">
        <f>+AB40</f>
        <v>5450.1656264191624</v>
      </c>
      <c r="AB40" s="159">
        <f>+Q8+V38+AD33+AD25+AD17</f>
        <v>5450.1656264191624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0</v>
      </c>
      <c r="W41" s="22" t="s">
        <v>229</v>
      </c>
      <c r="X41" s="15"/>
      <c r="AA41" s="165"/>
      <c r="AB41" s="157"/>
      <c r="AC41" s="414"/>
      <c r="AD41" s="15">
        <f>+AB40</f>
        <v>5450.1656264191624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0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0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0</v>
      </c>
      <c r="X49" s="159">
        <f>+V48</f>
        <v>0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0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0</v>
      </c>
      <c r="T56" s="159">
        <f>+K10+N19+N45+N50+N77+W19+W26+W33+V41</f>
        <v>0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0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0</v>
      </c>
      <c r="W63" s="142">
        <f>+X63+X63*ACCEPT!C20</f>
        <v>0</v>
      </c>
      <c r="X63" s="159">
        <f>+V63</f>
        <v>0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0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10000</v>
      </c>
      <c r="AB74" s="159">
        <f>+Q9+AD41+AD34+AD26+AD18+Z47+Z54+Z61+Z67</f>
        <v>10000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10000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7" orientation="portrait" r:id="rId1"/>
  <headerFooter alignWithMargins="0">
    <oddHeader>&amp;RPage 17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291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+'NMACH ADC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>
        <f>'BUNDLE SORT'!M35</f>
        <v>0.36349300223041464</v>
      </c>
      <c r="L11" s="97">
        <f>+K11</f>
        <v>0.36349300223041464</v>
      </c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+'NMACH ADC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+'NMACH ADC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+'NMACH ADC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+'NMACH ADC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+'NMACH ADC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+'NMACH ADC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0</v>
      </c>
    </row>
    <row r="20" spans="1:12">
      <c r="A20" s="32"/>
      <c r="B20" s="414" t="s">
        <v>190</v>
      </c>
      <c r="C20" s="94">
        <f>+'NMACH ADC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+'NMACH ADC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0</v>
      </c>
    </row>
    <row r="23" spans="1:12">
      <c r="A23" s="32"/>
      <c r="B23" s="414" t="s">
        <v>190</v>
      </c>
      <c r="C23" s="94">
        <f>+'NMACH ADC MODEL'!AA24</f>
        <v>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0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+'NMACH ADC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>+(K25*C25/10000)</f>
        <v>0</v>
      </c>
    </row>
    <row r="26" spans="1:12">
      <c r="A26" s="32"/>
      <c r="B26" s="414" t="s">
        <v>183</v>
      </c>
      <c r="C26" s="94">
        <f>+'NMACH ADC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>+(K26*C26/10000)</f>
        <v>0</v>
      </c>
    </row>
    <row r="27" spans="1:12">
      <c r="A27" s="32"/>
      <c r="B27" s="414" t="s">
        <v>185</v>
      </c>
      <c r="C27" s="94">
        <f>+'NMACH ADC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>+(K27*C27/10000)</f>
        <v>0</v>
      </c>
    </row>
    <row r="28" spans="1:12">
      <c r="A28" s="32"/>
      <c r="B28" s="414" t="s">
        <v>186</v>
      </c>
      <c r="C28" s="94">
        <f>+'NMACH ADC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>+(K28*C28/10000)</f>
        <v>0</v>
      </c>
    </row>
    <row r="29" spans="1:12">
      <c r="A29" s="32"/>
      <c r="B29" s="414" t="s">
        <v>187</v>
      </c>
      <c r="C29" s="94">
        <f>+'NMACH ADC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>+(K29*C29/10000)</f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+'NMACH ADC MODEL'!S32</f>
        <v>0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>+(K31*C31/10000)</f>
        <v>0</v>
      </c>
    </row>
    <row r="32" spans="1:12">
      <c r="A32" s="32"/>
      <c r="B32" s="414" t="s">
        <v>194</v>
      </c>
      <c r="C32" s="94">
        <f>+'NMACH ADC MODEL'!AA32</f>
        <v>10000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>+(K32*C32/10000)</f>
        <v>5.2540779680746725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+'NMACH ADC MODEL'!S40</f>
        <v>0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0</v>
      </c>
      <c r="M34" s="414"/>
    </row>
    <row r="35" spans="1:13">
      <c r="A35" s="32"/>
      <c r="B35" s="414" t="s">
        <v>190</v>
      </c>
      <c r="C35" s="94">
        <f>+'NMACH ADC MODEL'!AA40</f>
        <v>4379.4479093411164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2.5231717894947168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+'NMACH ADC MODEL'!W49</f>
        <v>0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0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1">+H37*J37+I37</f>
        <v>0.63634633241078098</v>
      </c>
      <c r="L37" s="97">
        <f t="shared" ref="L37:L42" si="2">+(K37*C37/10000)</f>
        <v>0</v>
      </c>
      <c r="M37" s="414"/>
    </row>
    <row r="38" spans="1:13">
      <c r="A38" s="414"/>
      <c r="B38" s="414" t="s">
        <v>198</v>
      </c>
      <c r="C38" s="94">
        <f>+'NMACH ADC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1"/>
        <v>0</v>
      </c>
      <c r="L38" s="97">
        <f t="shared" si="2"/>
        <v>0</v>
      </c>
      <c r="M38" s="414"/>
    </row>
    <row r="39" spans="1:13">
      <c r="A39" s="414"/>
      <c r="B39" s="414" t="s">
        <v>199</v>
      </c>
      <c r="C39" s="94">
        <f>+'NMACH ADC MODEL'!W63</f>
        <v>0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0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1"/>
        <v>1.2058501693598105</v>
      </c>
      <c r="L39" s="97">
        <f t="shared" si="2"/>
        <v>0</v>
      </c>
      <c r="M39" s="414"/>
    </row>
    <row r="40" spans="1:13">
      <c r="A40" s="414"/>
      <c r="B40" s="414" t="s">
        <v>200</v>
      </c>
      <c r="C40" s="94">
        <f>+'NMACH ADC MODEL'!AA74*(1-MISC!E9)</f>
        <v>10000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0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1"/>
        <v>7.8712379159307542</v>
      </c>
      <c r="L40" s="97">
        <f t="shared" si="2"/>
        <v>7.8712379159307542</v>
      </c>
      <c r="M40" s="414"/>
    </row>
    <row r="41" spans="1:13">
      <c r="A41" s="414"/>
      <c r="B41" s="414" t="s">
        <v>201</v>
      </c>
      <c r="C41" s="94">
        <f>+MISC!E10*('NMACH ADC MODEL'!AE64+'NMACH ADC MODEL'!AE57)</f>
        <v>0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0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1"/>
        <v>3.2621560324800813</v>
      </c>
      <c r="L41" s="97">
        <f t="shared" si="2"/>
        <v>0</v>
      </c>
      <c r="M41" s="414"/>
    </row>
    <row r="42" spans="1:13">
      <c r="A42" s="417"/>
      <c r="B42" s="417" t="s">
        <v>202</v>
      </c>
      <c r="C42" s="101">
        <f>+MISC!E10*('NMACH ADC MODEL'!AE75+'NMACH ADC MODEL'!AE50)</f>
        <v>458.34500459791531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0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1"/>
        <v>6.5243120649601627</v>
      </c>
      <c r="L42" s="103">
        <f t="shared" si="2"/>
        <v>0.29903858434123998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16.311019260071799</v>
      </c>
      <c r="M44" s="414"/>
    </row>
    <row r="45" spans="1:13" ht="9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+('NMACH ADC MODEL'!AE57+'NMACH ADC MODEL'!AE64)/C3</f>
        <v>0</v>
      </c>
      <c r="M46" s="39"/>
    </row>
    <row r="47" spans="1:13" ht="12.95">
      <c r="A47" s="67" t="s">
        <v>18</v>
      </c>
      <c r="B47" s="414"/>
      <c r="M47" s="414"/>
    </row>
    <row r="48" spans="1:13" ht="12.95">
      <c r="A48" s="225" t="s">
        <v>292</v>
      </c>
      <c r="B48" s="225"/>
      <c r="C48" s="226"/>
      <c r="D48" s="226"/>
      <c r="E48" s="226"/>
      <c r="F48" s="226"/>
      <c r="G48" s="227"/>
      <c r="H48" s="96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96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96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96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96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109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109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9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96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96"/>
    </row>
    <row r="58" spans="1:10" ht="12.95">
      <c r="A58" s="108" t="s">
        <v>293</v>
      </c>
      <c r="B58" s="39"/>
      <c r="C58" s="194"/>
      <c r="D58" s="194"/>
      <c r="E58" s="194"/>
      <c r="F58" s="194"/>
      <c r="G58" s="91"/>
      <c r="H58" s="96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18</oddHeader>
  </headerFooter>
  <ignoredErrors>
    <ignoredError sqref="K14:L14 K26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9.71093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291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f>+E4</f>
        <v>10000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0</v>
      </c>
      <c r="AB24" s="142">
        <f>+E12+V22+AD15</f>
        <v>0</v>
      </c>
      <c r="AC24" s="15"/>
      <c r="AD24" s="15">
        <f>+AB24*DENSITY!E15</f>
        <v>0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0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0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0</v>
      </c>
      <c r="T32" s="159">
        <f>+K8+N17+N43+N48+N75+W17+W24</f>
        <v>0</v>
      </c>
      <c r="U32" s="15"/>
      <c r="X32" s="414"/>
      <c r="AA32" s="142">
        <f>+AB32</f>
        <v>10000</v>
      </c>
      <c r="AB32" s="159">
        <f>+Q7+N64+N72+V30+AD16+AD24</f>
        <v>10000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0</v>
      </c>
      <c r="W33" s="15">
        <f>+V33*DENSITY!$G$13</f>
        <v>0</v>
      </c>
      <c r="X33" s="22" t="s">
        <v>229</v>
      </c>
      <c r="AA33" s="165"/>
      <c r="AB33" s="157"/>
      <c r="AC33" s="15"/>
      <c r="AD33" s="15">
        <f>+AB32*DENSITY!F16</f>
        <v>4379.4479093411164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0</v>
      </c>
      <c r="X34" s="22" t="s">
        <v>226</v>
      </c>
      <c r="AA34" s="414"/>
      <c r="AB34" s="414"/>
      <c r="AC34" s="15"/>
      <c r="AD34" s="15">
        <f>+AB32*DENSITY!G16</f>
        <v>5620.5520906588836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0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0</v>
      </c>
      <c r="T40" s="159">
        <f>+K9+N18+N44+N49+N76+W18+W25+W34</f>
        <v>0</v>
      </c>
      <c r="U40" s="15"/>
      <c r="V40" s="15"/>
      <c r="W40" s="17"/>
      <c r="X40" s="15"/>
      <c r="AA40" s="142">
        <f>+AB40</f>
        <v>4379.4479093411164</v>
      </c>
      <c r="AB40" s="159">
        <f>+Q8+V38+AD33+AD25+AD17</f>
        <v>4379.4479093411164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0</v>
      </c>
      <c r="W41" s="22" t="s">
        <v>229</v>
      </c>
      <c r="X41" s="15"/>
      <c r="AA41" s="165"/>
      <c r="AB41" s="157"/>
      <c r="AC41" s="414"/>
      <c r="AD41" s="15">
        <f>+AB40</f>
        <v>4379.4479093411164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0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0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0</v>
      </c>
      <c r="X49" s="159">
        <f>+V48</f>
        <v>0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0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0</v>
      </c>
      <c r="T56" s="159">
        <f>+K10+N19+N45+N50+N77+W19+W26+W33+V41</f>
        <v>0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0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0</v>
      </c>
      <c r="W63" s="142">
        <f>+X63+X63*ACCEPT!C20</f>
        <v>0</v>
      </c>
      <c r="X63" s="159">
        <f>+V63</f>
        <v>0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0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10000</v>
      </c>
      <c r="AB74" s="159">
        <f>+Q9+AD41+AD34+AD26+AD18+Z47+Z54+Z61+Z67</f>
        <v>10000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10000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8" orientation="portrait" r:id="rId1"/>
  <headerFooter alignWithMargins="0">
    <oddHeader>&amp;RPage 19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294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+'NMACH 3-DIGIT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>
        <f>'BUNDLE SORT'!M40</f>
        <v>0.41062450697111053</v>
      </c>
      <c r="L11" s="97">
        <f>+K11</f>
        <v>0.41062450697111053</v>
      </c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+'NMACH 3-DIGIT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+'NMACH 3-DIGIT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+'NMACH 3-DIGIT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+'NMACH 3-DIGIT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+'NMACH 3-DIGIT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+'NMACH 3-DIGIT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0</v>
      </c>
    </row>
    <row r="20" spans="1:12">
      <c r="A20" s="32"/>
      <c r="B20" s="414" t="s">
        <v>190</v>
      </c>
      <c r="C20" s="94">
        <f>+'NMACH 3-DIGIT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+'NMACH 3-DIGIT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0</v>
      </c>
    </row>
    <row r="23" spans="1:12">
      <c r="A23" s="32"/>
      <c r="B23" s="414" t="s">
        <v>190</v>
      </c>
      <c r="C23" s="94">
        <f>+'NMACH 3-DIGIT MODEL'!AA24</f>
        <v>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0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+'NMACH 3-DIGIT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>+(K25*C25/10000)</f>
        <v>0</v>
      </c>
    </row>
    <row r="26" spans="1:12">
      <c r="A26" s="32"/>
      <c r="B26" s="414" t="s">
        <v>183</v>
      </c>
      <c r="C26" s="94">
        <f>+'NMACH 3-DIGIT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>+(K26*C26/10000)</f>
        <v>0</v>
      </c>
    </row>
    <row r="27" spans="1:12">
      <c r="A27" s="32"/>
      <c r="B27" s="414" t="s">
        <v>185</v>
      </c>
      <c r="C27" s="94">
        <f>+'NMACH 3-DIGIT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>+(K27*C27/10000)</f>
        <v>0</v>
      </c>
    </row>
    <row r="28" spans="1:12">
      <c r="A28" s="32"/>
      <c r="B28" s="414" t="s">
        <v>186</v>
      </c>
      <c r="C28" s="94">
        <f>+'NMACH 3-DIGIT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>+(K28*C28/10000)</f>
        <v>0</v>
      </c>
    </row>
    <row r="29" spans="1:12">
      <c r="A29" s="32"/>
      <c r="B29" s="414" t="s">
        <v>187</v>
      </c>
      <c r="C29" s="94">
        <f>+'NMACH 3-DIGIT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>+(K29*C29/10000)</f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+'NMACH 3-DIGIT MODEL'!S32</f>
        <v>0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>+(K31*C31/10000)</f>
        <v>0</v>
      </c>
    </row>
    <row r="32" spans="1:12">
      <c r="A32" s="32"/>
      <c r="B32" s="414" t="s">
        <v>194</v>
      </c>
      <c r="C32" s="94">
        <f>+'NMACH 3-DIGIT MODEL'!AA32</f>
        <v>0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>+(K32*C32/10000)</f>
        <v>0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+'NMACH 3-DIGIT MODEL'!S40</f>
        <v>0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0</v>
      </c>
      <c r="M34" s="414"/>
    </row>
    <row r="35" spans="1:13">
      <c r="A35" s="32"/>
      <c r="B35" s="414" t="s">
        <v>190</v>
      </c>
      <c r="C35" s="94">
        <f>+'NMACH 3-DIGIT MODEL'!AA40</f>
        <v>10000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5.7613923986010498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+'NMACH 3-DIGIT MODEL'!W49</f>
        <v>0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0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1">+H37*J37+I37</f>
        <v>0.63634633241078098</v>
      </c>
      <c r="L37" s="97">
        <f t="shared" ref="L37:L42" si="2">+(K37*C37/10000)</f>
        <v>0</v>
      </c>
      <c r="M37" s="414"/>
    </row>
    <row r="38" spans="1:13">
      <c r="A38" s="414"/>
      <c r="B38" s="414" t="s">
        <v>198</v>
      </c>
      <c r="C38" s="94">
        <f>+'NMACH 3-DIGIT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1"/>
        <v>0</v>
      </c>
      <c r="L38" s="97">
        <f t="shared" si="2"/>
        <v>0</v>
      </c>
      <c r="M38" s="414"/>
    </row>
    <row r="39" spans="1:13">
      <c r="A39" s="414"/>
      <c r="B39" s="414" t="s">
        <v>199</v>
      </c>
      <c r="C39" s="94">
        <f>+'NMACH 3-DIGIT MODEL'!W63</f>
        <v>0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0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1"/>
        <v>1.2058501693598105</v>
      </c>
      <c r="L39" s="97">
        <f t="shared" si="2"/>
        <v>0</v>
      </c>
      <c r="M39" s="414"/>
    </row>
    <row r="40" spans="1:13">
      <c r="A40" s="414"/>
      <c r="B40" s="414" t="s">
        <v>200</v>
      </c>
      <c r="C40" s="94">
        <f>+'NMACH 3-DIGIT MODEL'!AA74*(1-MISC!E9)</f>
        <v>10000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0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1"/>
        <v>7.8712379159307542</v>
      </c>
      <c r="L40" s="97">
        <f t="shared" si="2"/>
        <v>7.8712379159307542</v>
      </c>
      <c r="M40" s="414"/>
    </row>
    <row r="41" spans="1:13">
      <c r="A41" s="414"/>
      <c r="B41" s="414" t="s">
        <v>201</v>
      </c>
      <c r="C41" s="94">
        <f>+MISC!E10*('NMACH 3-DIGIT MODEL'!AE64+'NMACH 3-DIGIT MODEL'!AE57)</f>
        <v>0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0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1"/>
        <v>3.2621560324800813</v>
      </c>
      <c r="L41" s="97">
        <f t="shared" si="2"/>
        <v>0</v>
      </c>
      <c r="M41" s="414"/>
    </row>
    <row r="42" spans="1:13">
      <c r="A42" s="417"/>
      <c r="B42" s="417" t="s">
        <v>202</v>
      </c>
      <c r="C42" s="101">
        <f>+MISC!E10*('NMACH 3-DIGIT MODEL'!AE75+'NMACH 3-DIGIT MODEL'!AE50)</f>
        <v>458.34500459791531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0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1"/>
        <v>6.5243120649601627</v>
      </c>
      <c r="L42" s="103">
        <f t="shared" si="2"/>
        <v>0.29903858434123998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14.342293405844154</v>
      </c>
      <c r="M44" s="414"/>
    </row>
    <row r="45" spans="1:13" ht="9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+('NMACH 3-DIGIT MODEL'!AE57+'NMACH 3-DIGIT MODEL'!AE64)/C3</f>
        <v>0</v>
      </c>
      <c r="M46" s="39"/>
    </row>
    <row r="47" spans="1:13" ht="12.95">
      <c r="A47" s="67" t="s">
        <v>18</v>
      </c>
      <c r="B47" s="414"/>
      <c r="M47" s="414"/>
    </row>
    <row r="48" spans="1:13" ht="12.95">
      <c r="A48" s="225" t="s">
        <v>295</v>
      </c>
      <c r="B48" s="225"/>
      <c r="C48" s="226"/>
      <c r="D48" s="226"/>
      <c r="E48" s="226"/>
      <c r="F48" s="226"/>
      <c r="G48" s="227"/>
      <c r="H48" s="96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96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96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96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96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109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109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9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96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96"/>
    </row>
    <row r="58" spans="1:10" ht="12.95">
      <c r="A58" s="108" t="s">
        <v>296</v>
      </c>
      <c r="B58" s="39"/>
      <c r="C58" s="194"/>
      <c r="D58" s="194"/>
      <c r="E58" s="194"/>
      <c r="F58" s="194"/>
      <c r="G58" s="91"/>
      <c r="H58" s="96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20</oddHeader>
  </headerFooter>
  <ignoredErrors>
    <ignoredError sqref="K14:L14 K26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4" max="14" width="8.2851562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4257812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294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f>+E4</f>
        <v>10000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v>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0</v>
      </c>
      <c r="AB24" s="142">
        <f>+E12+V22+AD15</f>
        <v>0</v>
      </c>
      <c r="AC24" s="15"/>
      <c r="AD24" s="15">
        <f>+AB24*DENSITY!E15</f>
        <v>0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0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0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0</v>
      </c>
      <c r="T32" s="159">
        <f>+K8+N17+N43+N48+N75+W17+W24</f>
        <v>0</v>
      </c>
      <c r="U32" s="15"/>
      <c r="X32" s="414"/>
      <c r="AA32" s="142">
        <f>+AB32</f>
        <v>0</v>
      </c>
      <c r="AB32" s="159">
        <f>+Q7+N64+N72+V30+AD16+AD24</f>
        <v>0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0</v>
      </c>
      <c r="W33" s="15">
        <f>+V33*DENSITY!$G$13</f>
        <v>0</v>
      </c>
      <c r="X33" s="22" t="s">
        <v>229</v>
      </c>
      <c r="AA33" s="165"/>
      <c r="AB33" s="157"/>
      <c r="AC33" s="15"/>
      <c r="AD33" s="15">
        <f>+AB32*DENSITY!F16</f>
        <v>0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0</v>
      </c>
      <c r="X34" s="22" t="s">
        <v>226</v>
      </c>
      <c r="AA34" s="414"/>
      <c r="AB34" s="414"/>
      <c r="AC34" s="15"/>
      <c r="AD34" s="15">
        <f>+AB32*DENSITY!G16</f>
        <v>0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0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0</v>
      </c>
      <c r="T40" s="159">
        <f>+K9+N18+N44+N49+N76+W18+W25+W34</f>
        <v>0</v>
      </c>
      <c r="U40" s="15"/>
      <c r="V40" s="15"/>
      <c r="W40" s="17"/>
      <c r="X40" s="15"/>
      <c r="AA40" s="142">
        <f>+AB40</f>
        <v>10000</v>
      </c>
      <c r="AB40" s="159">
        <f>+Q8+V38+AD33+AD25+AD17</f>
        <v>10000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0</v>
      </c>
      <c r="W41" s="22" t="s">
        <v>229</v>
      </c>
      <c r="X41" s="15"/>
      <c r="AA41" s="165"/>
      <c r="AB41" s="157"/>
      <c r="AC41" s="414"/>
      <c r="AD41" s="15">
        <f>+AB40</f>
        <v>10000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0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0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0</v>
      </c>
      <c r="X49" s="159">
        <f>+V48</f>
        <v>0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0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0</v>
      </c>
      <c r="T56" s="159">
        <f>+K10+N19+N45+N50+N77+W19+W26+W33+V41</f>
        <v>0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0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0</v>
      </c>
      <c r="W63" s="142">
        <f>+X63+X63*ACCEPT!C20</f>
        <v>0</v>
      </c>
      <c r="X63" s="159">
        <f>+V63</f>
        <v>0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0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10000</v>
      </c>
      <c r="AB74" s="159">
        <f>+Q9+AD41+AD34+AD26+AD18+Z47+Z54+Z61+Z67</f>
        <v>10000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10000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8" orientation="portrait" r:id="rId1"/>
  <headerFooter alignWithMargins="0">
    <oddHeader>&amp;RPage 21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2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5703125" customWidth="1"/>
    <col min="3" max="3" width="8.42578125" style="94" bestFit="1" customWidth="1"/>
    <col min="4" max="4" width="2.5703125" style="94" customWidth="1"/>
    <col min="5" max="5" width="9.42578125" style="94" customWidth="1"/>
    <col min="6" max="6" width="1.42578125" style="94" customWidth="1"/>
    <col min="7" max="7" width="10.7109375" style="95" customWidth="1"/>
    <col min="8" max="8" width="10.7109375" style="107" customWidth="1"/>
    <col min="9" max="9" width="10.7109375" style="2" customWidth="1"/>
    <col min="10" max="10" width="10.7109375" style="97" customWidth="1"/>
    <col min="11" max="12" width="10.7109375" style="107" customWidth="1"/>
    <col min="13" max="13" width="9.7109375" customWidth="1"/>
    <col min="14" max="14" width="9.28515625" customWidth="1"/>
    <col min="15" max="30" width="9.7109375" customWidth="1"/>
  </cols>
  <sheetData>
    <row r="1" spans="1:13" s="8" customFormat="1" ht="15.6">
      <c r="A1" s="79" t="s">
        <v>297</v>
      </c>
      <c r="B1" s="80"/>
      <c r="C1" s="81"/>
      <c r="D1" s="81"/>
      <c r="E1" s="81"/>
      <c r="F1" s="81"/>
      <c r="G1" s="82"/>
      <c r="H1" s="83"/>
      <c r="I1" s="80"/>
      <c r="J1" s="84"/>
      <c r="K1" s="83"/>
      <c r="L1" s="83"/>
      <c r="M1" s="414"/>
    </row>
    <row r="2" spans="1:13" ht="15.6">
      <c r="A2" s="79" t="s">
        <v>161</v>
      </c>
      <c r="B2" s="85"/>
      <c r="C2" s="86"/>
      <c r="D2" s="86"/>
      <c r="E2" s="86"/>
      <c r="F2" s="86"/>
      <c r="G2" s="87"/>
      <c r="H2" s="88"/>
      <c r="I2" s="85"/>
      <c r="J2" s="89"/>
      <c r="K2" s="88"/>
      <c r="L2" s="88"/>
      <c r="M2" s="414"/>
    </row>
    <row r="3" spans="1:13" ht="15.6">
      <c r="A3" s="119" t="s">
        <v>162</v>
      </c>
      <c r="B3" s="85"/>
      <c r="C3" s="120">
        <f>+'NMACH 5-DIGIT MODEL'!N4</f>
        <v>10000</v>
      </c>
      <c r="D3" s="86"/>
      <c r="E3" s="86"/>
      <c r="F3" s="86"/>
      <c r="G3" s="87"/>
      <c r="H3" s="88"/>
      <c r="I3" s="85"/>
      <c r="J3" s="89"/>
      <c r="K3" s="88"/>
      <c r="L3" s="88"/>
      <c r="M3" s="414"/>
    </row>
    <row r="4" spans="1:13" ht="15.6">
      <c r="A4" s="79"/>
      <c r="B4" s="85"/>
      <c r="C4" s="86"/>
      <c r="D4" s="86"/>
      <c r="E4" s="86"/>
      <c r="F4" s="86"/>
      <c r="G4" s="87"/>
      <c r="H4" s="88"/>
      <c r="I4" s="85"/>
      <c r="J4" s="89"/>
      <c r="K4" s="88"/>
      <c r="L4" s="88"/>
      <c r="M4" s="414"/>
    </row>
    <row r="5" spans="1:13" s="29" customFormat="1" ht="12.75" customHeight="1">
      <c r="A5" s="39"/>
      <c r="B5" s="32"/>
      <c r="C5" s="115"/>
      <c r="D5" s="115"/>
      <c r="E5" s="115"/>
      <c r="F5" s="115"/>
      <c r="G5" s="445"/>
      <c r="H5" s="446"/>
      <c r="I5" s="114"/>
      <c r="J5" s="258"/>
      <c r="K5" s="446"/>
      <c r="L5" s="446"/>
      <c r="M5" s="32"/>
    </row>
    <row r="6" spans="1:13" s="29" customFormat="1" ht="12.75" customHeight="1">
      <c r="A6" s="39"/>
      <c r="B6" s="32"/>
      <c r="C6" s="90" t="s">
        <v>2</v>
      </c>
      <c r="D6" s="90"/>
      <c r="E6" s="90" t="s">
        <v>163</v>
      </c>
      <c r="F6" s="90"/>
      <c r="G6" s="91" t="s">
        <v>33</v>
      </c>
      <c r="H6" s="90" t="s">
        <v>60</v>
      </c>
      <c r="I6" s="92" t="s">
        <v>62</v>
      </c>
      <c r="J6" s="93" t="s">
        <v>61</v>
      </c>
      <c r="K6" s="90" t="s">
        <v>63</v>
      </c>
      <c r="L6" s="90" t="s">
        <v>164</v>
      </c>
      <c r="M6" s="90"/>
    </row>
    <row r="7" spans="1:13" ht="12.95">
      <c r="A7" s="414"/>
      <c r="B7" s="414"/>
      <c r="H7" s="96" t="s">
        <v>165</v>
      </c>
      <c r="I7" s="92" t="s">
        <v>166</v>
      </c>
      <c r="K7" s="96" t="s">
        <v>26</v>
      </c>
      <c r="L7" s="96" t="s">
        <v>167</v>
      </c>
      <c r="M7" s="414"/>
    </row>
    <row r="8" spans="1:13" ht="12.95">
      <c r="A8" s="414"/>
      <c r="B8" s="414"/>
      <c r="E8" s="90" t="s">
        <v>168</v>
      </c>
      <c r="F8" s="90"/>
      <c r="G8" s="91" t="s">
        <v>169</v>
      </c>
      <c r="H8" s="96" t="s">
        <v>170</v>
      </c>
      <c r="I8" s="92" t="s">
        <v>171</v>
      </c>
      <c r="J8" s="93" t="s">
        <v>172</v>
      </c>
      <c r="K8" s="96" t="s">
        <v>170</v>
      </c>
      <c r="L8" s="96" t="s">
        <v>170</v>
      </c>
      <c r="M8" s="414"/>
    </row>
    <row r="9" spans="1:13" ht="12.95">
      <c r="A9" s="98"/>
      <c r="B9" s="98"/>
      <c r="C9" s="447" t="s">
        <v>173</v>
      </c>
      <c r="D9" s="448"/>
      <c r="E9" s="448" t="s">
        <v>174</v>
      </c>
      <c r="F9" s="448"/>
      <c r="G9" s="449" t="s">
        <v>175</v>
      </c>
      <c r="H9" s="450" t="s">
        <v>176</v>
      </c>
      <c r="I9" s="55" t="s">
        <v>177</v>
      </c>
      <c r="J9" s="116" t="s">
        <v>178</v>
      </c>
      <c r="K9" s="450" t="s">
        <v>176</v>
      </c>
      <c r="L9" s="450" t="s">
        <v>176</v>
      </c>
      <c r="M9" s="414"/>
    </row>
    <row r="10" spans="1:13" ht="12.95">
      <c r="A10" s="39" t="s">
        <v>179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</row>
    <row r="11" spans="1:13" ht="12.95">
      <c r="A11" s="39"/>
      <c r="B11" s="414" t="s">
        <v>180</v>
      </c>
      <c r="C11" s="99"/>
      <c r="D11" s="99"/>
      <c r="E11" s="100"/>
      <c r="F11" s="100"/>
      <c r="H11" s="97"/>
      <c r="I11" s="97"/>
      <c r="K11" s="97">
        <f>'BUNDLE SORT'!M42</f>
        <v>0</v>
      </c>
      <c r="L11" s="97">
        <f>+K11</f>
        <v>0</v>
      </c>
      <c r="M11" s="414"/>
    </row>
    <row r="12" spans="1:13" ht="12.95">
      <c r="A12" s="39" t="s">
        <v>181</v>
      </c>
      <c r="B12" s="414"/>
      <c r="H12" s="97"/>
      <c r="I12" s="97"/>
      <c r="K12" s="97"/>
      <c r="L12" s="97"/>
      <c r="M12" s="414"/>
    </row>
    <row r="13" spans="1:13">
      <c r="A13" s="32"/>
      <c r="B13" s="414" t="s">
        <v>182</v>
      </c>
      <c r="C13" s="94">
        <f>+'NMACH 5-DIGIT MODEL'!G18</f>
        <v>0</v>
      </c>
      <c r="E13" s="94">
        <f>+PRODUCTIVITY!I7</f>
        <v>6833.2327250865728</v>
      </c>
      <c r="G13" s="95">
        <f>+'WAGE RATE - PIGGYBACK FACTORS'!$D$5</f>
        <v>50.10717457546064</v>
      </c>
      <c r="H13" s="97">
        <f>+G13/E13*100</f>
        <v>0.73328652178791132</v>
      </c>
      <c r="I13" s="97">
        <f>+H13*('WAGE RATE - PIGGYBACK FACTORS'!$D$6-1)</f>
        <v>-1.9000285240291286E-2</v>
      </c>
      <c r="J13" s="97">
        <f>+'WAGE RATE - PIGGYBACK FACTORS'!D19</f>
        <v>1.6888485071959758</v>
      </c>
      <c r="K13" s="97">
        <f>+H13*J13+I13</f>
        <v>1.219409562428152</v>
      </c>
      <c r="L13" s="97">
        <f>+(K13*C13/10000)</f>
        <v>0</v>
      </c>
      <c r="M13" s="414"/>
    </row>
    <row r="14" spans="1:13">
      <c r="A14" s="32"/>
      <c r="B14" s="414" t="s">
        <v>183</v>
      </c>
      <c r="C14" s="94">
        <f>+'NMACH 5-DIGIT MODEL'!G25</f>
        <v>0</v>
      </c>
      <c r="E14" s="197" t="s">
        <v>184</v>
      </c>
      <c r="F14" s="197"/>
      <c r="G14" s="197" t="s">
        <v>184</v>
      </c>
      <c r="H14" s="197" t="s">
        <v>184</v>
      </c>
      <c r="I14" s="197" t="s">
        <v>184</v>
      </c>
      <c r="J14" s="197" t="s">
        <v>184</v>
      </c>
      <c r="K14" s="97">
        <f>+MISC!$E$7</f>
        <v>0.27889541043904115</v>
      </c>
      <c r="L14" s="97">
        <f>+K14*C14/10000</f>
        <v>0</v>
      </c>
      <c r="M14" s="414"/>
    </row>
    <row r="15" spans="1:13">
      <c r="A15" s="32"/>
      <c r="B15" s="414" t="s">
        <v>185</v>
      </c>
      <c r="C15" s="94">
        <f>+'NMACH 5-DIGIT MODEL'!G32</f>
        <v>0</v>
      </c>
      <c r="E15" s="94">
        <f>+PRODUCTIVITY!I9</f>
        <v>846.86662945459375</v>
      </c>
      <c r="G15" s="95">
        <f>+'WAGE RATE - PIGGYBACK FACTORS'!$D$4</f>
        <v>54.142360316355024</v>
      </c>
      <c r="H15" s="97">
        <f>+G15/E15*100</f>
        <v>6.3932570292944773</v>
      </c>
      <c r="I15" s="97">
        <f>+H15*('WAGE RATE - PIGGYBACK FACTORS'!$D$6-1)</f>
        <v>-0.16565653883138773</v>
      </c>
      <c r="J15" s="97">
        <f>+'WAGE RATE - PIGGYBACK FACTORS'!D20</f>
        <v>1.2615773174013249</v>
      </c>
      <c r="K15" s="97">
        <f>+H15*J15+I15</f>
        <v>7.8999315136431028</v>
      </c>
      <c r="L15" s="97">
        <f>+(K15*C15/10000)</f>
        <v>0</v>
      </c>
      <c r="M15" s="414"/>
    </row>
    <row r="16" spans="1:13">
      <c r="A16" s="32"/>
      <c r="B16" s="414" t="s">
        <v>186</v>
      </c>
      <c r="C16" s="94">
        <f>+'NMACH 5-DIGIT MODEL'!G39</f>
        <v>0</v>
      </c>
      <c r="E16" s="94">
        <f>+PRODUCTIVITY!I11</f>
        <v>6833.2327250865728</v>
      </c>
      <c r="G16" s="95">
        <f>+'WAGE RATE - PIGGYBACK FACTORS'!$D$5</f>
        <v>50.10717457546064</v>
      </c>
      <c r="H16" s="97">
        <f>+G16/E16*100</f>
        <v>0.73328652178791132</v>
      </c>
      <c r="I16" s="97">
        <f>+H16*('WAGE RATE - PIGGYBACK FACTORS'!$D$6-1)</f>
        <v>-1.9000285240291286E-2</v>
      </c>
      <c r="J16" s="97">
        <f>+'WAGE RATE - PIGGYBACK FACTORS'!D21</f>
        <v>1.6888485071959758</v>
      </c>
      <c r="K16" s="97">
        <f>+H16*J16+I16</f>
        <v>1.219409562428152</v>
      </c>
      <c r="L16" s="97">
        <f>+(K16*C16/10000)</f>
        <v>0</v>
      </c>
      <c r="M16" s="414"/>
    </row>
    <row r="17" spans="1:12">
      <c r="A17" s="32"/>
      <c r="B17" s="414" t="s">
        <v>187</v>
      </c>
      <c r="C17" s="94">
        <f>+'NMACH 5-DIGIT MODEL'!C32</f>
        <v>0</v>
      </c>
      <c r="E17" s="94">
        <f>+PRODUCTIVITY!I10</f>
        <v>1983.215429441294</v>
      </c>
      <c r="G17" s="95">
        <f>+'WAGE RATE - PIGGYBACK FACTORS'!$D$5</f>
        <v>50.10717457546064</v>
      </c>
      <c r="H17" s="97">
        <f>+G17/E17*100</f>
        <v>2.5265623608816261</v>
      </c>
      <c r="I17" s="97">
        <f>+H17*('WAGE RATE - PIGGYBACK FACTORS'!$D$6-1)</f>
        <v>-6.5466095595330315E-2</v>
      </c>
      <c r="J17" s="97">
        <f>+'WAGE RATE - PIGGYBACK FACTORS'!D22</f>
        <v>3.4396834863913082</v>
      </c>
      <c r="K17" s="97">
        <f>+H17*J17+I17</f>
        <v>8.6251087344670374</v>
      </c>
      <c r="L17" s="97">
        <f>+(K17*C17/10000)</f>
        <v>0</v>
      </c>
    </row>
    <row r="18" spans="1:12" ht="12.95">
      <c r="A18" s="39" t="s">
        <v>188</v>
      </c>
      <c r="B18" s="414"/>
      <c r="H18" s="97"/>
      <c r="I18" s="97"/>
      <c r="K18" s="97"/>
      <c r="L18" s="97"/>
    </row>
    <row r="19" spans="1:12">
      <c r="A19" s="32"/>
      <c r="B19" s="414" t="s">
        <v>189</v>
      </c>
      <c r="C19" s="94">
        <f>+'NMACH 5-DIGIT MODEL'!S16</f>
        <v>0</v>
      </c>
      <c r="E19" s="94">
        <f>+PRODUCTIVITY!I13</f>
        <v>6833.2327250865728</v>
      </c>
      <c r="G19" s="95">
        <f>+'WAGE RATE - PIGGYBACK FACTORS'!$D$5</f>
        <v>50.10717457546064</v>
      </c>
      <c r="H19" s="97">
        <f>+G19/E19*100</f>
        <v>0.73328652178791132</v>
      </c>
      <c r="I19" s="97">
        <f>+H19*('WAGE RATE - PIGGYBACK FACTORS'!$D$6-1)</f>
        <v>-1.9000285240291286E-2</v>
      </c>
      <c r="J19" s="97">
        <f>+'WAGE RATE - PIGGYBACK FACTORS'!D23</f>
        <v>1.6888485071959758</v>
      </c>
      <c r="K19" s="97">
        <f>+H19*J19+I19</f>
        <v>1.219409562428152</v>
      </c>
      <c r="L19" s="97">
        <f>+(K19*C19/10000)</f>
        <v>0</v>
      </c>
    </row>
    <row r="20" spans="1:12">
      <c r="A20" s="32"/>
      <c r="B20" s="414" t="s">
        <v>190</v>
      </c>
      <c r="C20" s="94">
        <f>+'NMACH 5-DIGIT MODEL'!AA16</f>
        <v>0</v>
      </c>
      <c r="E20" s="94">
        <f>+PRODUCTIVITY!I20</f>
        <v>631.32213496808799</v>
      </c>
      <c r="G20" s="95">
        <f>+'WAGE RATE - PIGGYBACK FACTORS'!$D$5</f>
        <v>50.10717457546064</v>
      </c>
      <c r="H20" s="97">
        <f>+G20/E20*100</f>
        <v>7.9368632588802628</v>
      </c>
      <c r="I20" s="97">
        <f>+H20*('WAGE RATE - PIGGYBACK FACTORS'!$D$6-1)</f>
        <v>-0.20565312650807122</v>
      </c>
      <c r="J20" s="97">
        <f>+'WAGE RATE - PIGGYBACK FACTORS'!D24</f>
        <v>1.2988119246888874</v>
      </c>
      <c r="K20" s="97">
        <f>+H20*J20+I20</f>
        <v>10.102839518750718</v>
      </c>
      <c r="L20" s="97">
        <f>+(K20*C20/10000)</f>
        <v>0</v>
      </c>
    </row>
    <row r="21" spans="1:12" ht="12.95">
      <c r="A21" s="39" t="s">
        <v>191</v>
      </c>
      <c r="B21" s="414"/>
      <c r="H21" s="97"/>
      <c r="I21" s="97"/>
      <c r="K21" s="97">
        <f>+H21*J21+I21</f>
        <v>0</v>
      </c>
      <c r="L21" s="97">
        <f>+(K21*C21/10000)</f>
        <v>0</v>
      </c>
    </row>
    <row r="22" spans="1:12">
      <c r="A22" s="32"/>
      <c r="B22" s="414" t="s">
        <v>189</v>
      </c>
      <c r="C22" s="94">
        <f>+'NMACH 5-DIGIT MODEL'!S24</f>
        <v>0</v>
      </c>
      <c r="E22" s="94">
        <f>+PRODUCTIVITY!I14</f>
        <v>5441.4416043491601</v>
      </c>
      <c r="G22" s="95">
        <f>+'WAGE RATE - PIGGYBACK FACTORS'!$D$5</f>
        <v>50.10717457546064</v>
      </c>
      <c r="H22" s="97">
        <f>+G22/E22*100</f>
        <v>0.92084374360301269</v>
      </c>
      <c r="I22" s="97">
        <f>+H22*('WAGE RATE - PIGGYBACK FACTORS'!$D$6-1)</f>
        <v>-2.3860105525375187E-2</v>
      </c>
      <c r="J22" s="97">
        <f>+'WAGE RATE - PIGGYBACK FACTORS'!D25</f>
        <v>1.6888485071959758</v>
      </c>
      <c r="K22" s="97">
        <f>+H22*J22+I22</f>
        <v>1.5313054762193268</v>
      </c>
      <c r="L22" s="97">
        <f>+(K22*C22/10000)</f>
        <v>0</v>
      </c>
    </row>
    <row r="23" spans="1:12">
      <c r="A23" s="32"/>
      <c r="B23" s="414" t="s">
        <v>190</v>
      </c>
      <c r="C23" s="94">
        <f>+'NMACH 5-DIGIT MODEL'!AA24</f>
        <v>0</v>
      </c>
      <c r="E23" s="94">
        <f>+PRODUCTIVITY!I21</f>
        <v>1087.9987358115229</v>
      </c>
      <c r="G23" s="95">
        <f>+'WAGE RATE - PIGGYBACK FACTORS'!$D$5</f>
        <v>50.10717457546064</v>
      </c>
      <c r="H23" s="97">
        <f>+G23/E23*100</f>
        <v>4.6054441908966375</v>
      </c>
      <c r="I23" s="97">
        <f>+H23*('WAGE RATE - PIGGYBACK FACTORS'!$D$6-1)</f>
        <v>-0.1193322810187798</v>
      </c>
      <c r="J23" s="97">
        <f>+'WAGE RATE - PIGGYBACK FACTORS'!D26</f>
        <v>1.2988119246888874</v>
      </c>
      <c r="K23" s="97">
        <f>+H23*J23+I23</f>
        <v>5.8622735526069381</v>
      </c>
      <c r="L23" s="97">
        <f>+(K23*C23/10000)</f>
        <v>0</v>
      </c>
    </row>
    <row r="24" spans="1:12" ht="12.95">
      <c r="A24" s="39" t="s">
        <v>192</v>
      </c>
      <c r="B24" s="414"/>
      <c r="H24" s="97"/>
      <c r="I24" s="97"/>
      <c r="K24" s="97"/>
      <c r="L24" s="97"/>
    </row>
    <row r="25" spans="1:12">
      <c r="A25" s="32"/>
      <c r="B25" s="414" t="s">
        <v>182</v>
      </c>
      <c r="C25" s="94">
        <f>+'NMACH 5-DIGIT MODEL'!G51</f>
        <v>0</v>
      </c>
      <c r="E25" s="94">
        <f>+PRODUCTIVITY!I8</f>
        <v>5815.8678468113585</v>
      </c>
      <c r="G25" s="95">
        <f>+'WAGE RATE - PIGGYBACK FACTORS'!$D$5</f>
        <v>50.10717457546064</v>
      </c>
      <c r="H25" s="97">
        <f>+G25/E25*100</f>
        <v>0.86155971723003799</v>
      </c>
      <c r="I25" s="97">
        <f>+H25*('WAGE RATE - PIGGYBACK FACTORS'!$D$6-1)</f>
        <v>-2.2323989180930412E-2</v>
      </c>
      <c r="J25" s="97">
        <f>+'WAGE RATE - PIGGYBACK FACTORS'!D27</f>
        <v>1.6888485071959758</v>
      </c>
      <c r="K25" s="97">
        <f>+H25*J25+I25</f>
        <v>1.4327198531232064</v>
      </c>
      <c r="L25" s="97">
        <f>+(K25*C25/10000)</f>
        <v>0</v>
      </c>
    </row>
    <row r="26" spans="1:12">
      <c r="A26" s="32"/>
      <c r="B26" s="414" t="s">
        <v>183</v>
      </c>
      <c r="C26" s="94">
        <f>+'NMACH 5-DIGIT MODEL'!G58</f>
        <v>0</v>
      </c>
      <c r="E26" s="197" t="s">
        <v>184</v>
      </c>
      <c r="F26" s="197"/>
      <c r="G26" s="197" t="s">
        <v>184</v>
      </c>
      <c r="H26" s="197" t="s">
        <v>184</v>
      </c>
      <c r="I26" s="197" t="s">
        <v>184</v>
      </c>
      <c r="J26" s="197" t="s">
        <v>184</v>
      </c>
      <c r="K26" s="97">
        <f>+MISC!$E$7</f>
        <v>0.27889541043904115</v>
      </c>
      <c r="L26" s="97">
        <f>+(K26*C26/10000)</f>
        <v>0</v>
      </c>
    </row>
    <row r="27" spans="1:12">
      <c r="A27" s="32"/>
      <c r="B27" s="414" t="s">
        <v>185</v>
      </c>
      <c r="C27" s="94">
        <f>+'NMACH 5-DIGIT MODEL'!G65</f>
        <v>0</v>
      </c>
      <c r="E27" s="94">
        <f>+PRODUCTIVITY!I9</f>
        <v>846.86662945459375</v>
      </c>
      <c r="G27" s="95">
        <f>+'WAGE RATE - PIGGYBACK FACTORS'!$D$4</f>
        <v>54.142360316355024</v>
      </c>
      <c r="H27" s="97">
        <f>+G27/E27*100</f>
        <v>6.3932570292944773</v>
      </c>
      <c r="I27" s="97">
        <f>+H27*('WAGE RATE - PIGGYBACK FACTORS'!$D$6-1)</f>
        <v>-0.16565653883138773</v>
      </c>
      <c r="J27" s="97">
        <f>+'WAGE RATE - PIGGYBACK FACTORS'!D28</f>
        <v>1.2615773174013249</v>
      </c>
      <c r="K27" s="97">
        <f>+H27*J27+I27</f>
        <v>7.8999315136431028</v>
      </c>
      <c r="L27" s="97">
        <f>+(K27*C27/10000)</f>
        <v>0</v>
      </c>
    </row>
    <row r="28" spans="1:12">
      <c r="A28" s="32"/>
      <c r="B28" s="414" t="s">
        <v>186</v>
      </c>
      <c r="C28" s="94">
        <f>+'NMACH 5-DIGIT MODEL'!G72</f>
        <v>0</v>
      </c>
      <c r="E28" s="94">
        <f>+PRODUCTIVITY!I12</f>
        <v>5815.8678468113585</v>
      </c>
      <c r="G28" s="95">
        <f>+'WAGE RATE - PIGGYBACK FACTORS'!$D$5</f>
        <v>50.10717457546064</v>
      </c>
      <c r="H28" s="97">
        <f>+G28/E28*100</f>
        <v>0.86155971723003799</v>
      </c>
      <c r="I28" s="97">
        <f>+H28*('WAGE RATE - PIGGYBACK FACTORS'!$D$6-1)</f>
        <v>-2.2323989180930412E-2</v>
      </c>
      <c r="J28" s="97">
        <f>+'WAGE RATE - PIGGYBACK FACTORS'!D29</f>
        <v>1.6888485071959758</v>
      </c>
      <c r="K28" s="97">
        <f>+H28*J28+I28</f>
        <v>1.4327198531232064</v>
      </c>
      <c r="L28" s="97">
        <f>+(K28*C28/10000)</f>
        <v>0</v>
      </c>
    </row>
    <row r="29" spans="1:12">
      <c r="A29" s="32"/>
      <c r="B29" s="414" t="s">
        <v>187</v>
      </c>
      <c r="C29" s="94">
        <f>+'NMACH 5-DIGIT MODEL'!C65</f>
        <v>0</v>
      </c>
      <c r="E29" s="94">
        <f>+PRODUCTIVITY!I10</f>
        <v>1983.215429441294</v>
      </c>
      <c r="G29" s="95">
        <f>+'WAGE RATE - PIGGYBACK FACTORS'!$D$5</f>
        <v>50.10717457546064</v>
      </c>
      <c r="H29" s="97">
        <f>+G29/E29*100</f>
        <v>2.5265623608816261</v>
      </c>
      <c r="I29" s="97">
        <f>+H29*('WAGE RATE - PIGGYBACK FACTORS'!$D$6-1)</f>
        <v>-6.5466095595330315E-2</v>
      </c>
      <c r="J29" s="97">
        <f>+'WAGE RATE - PIGGYBACK FACTORS'!D30</f>
        <v>3.4396834863913082</v>
      </c>
      <c r="K29" s="97">
        <f>+H29*J29+I29</f>
        <v>8.6251087344670374</v>
      </c>
      <c r="L29" s="97">
        <f>+(K29*C29/10000)</f>
        <v>0</v>
      </c>
    </row>
    <row r="30" spans="1:12" ht="12.95">
      <c r="A30" s="39" t="s">
        <v>193</v>
      </c>
      <c r="B30" s="414"/>
      <c r="H30" s="97"/>
      <c r="I30" s="97"/>
      <c r="K30" s="97"/>
      <c r="L30" s="97"/>
    </row>
    <row r="31" spans="1:12">
      <c r="A31" s="32"/>
      <c r="B31" s="414" t="s">
        <v>43</v>
      </c>
      <c r="C31" s="94">
        <f>+'NMACH 5-DIGIT MODEL'!S32</f>
        <v>0</v>
      </c>
      <c r="E31" s="94">
        <f>+PRODUCTIVITY!I15</f>
        <v>5271.1401686095996</v>
      </c>
      <c r="G31" s="95">
        <f>+'WAGE RATE - PIGGYBACK FACTORS'!$D$5</f>
        <v>50.10717457546064</v>
      </c>
      <c r="H31" s="97">
        <f>+G31/E31*100</f>
        <v>0.95059461468803463</v>
      </c>
      <c r="I31" s="97">
        <f>+H31*('WAGE RATE - PIGGYBACK FACTORS'!$D$6-1)</f>
        <v>-2.4630984329180674E-2</v>
      </c>
      <c r="J31" s="97">
        <f>+'WAGE RATE - PIGGYBACK FACTORS'!D31</f>
        <v>1.6888485071959758</v>
      </c>
      <c r="K31" s="97">
        <f>+H31*J31+I31</f>
        <v>1.5807793116352404</v>
      </c>
      <c r="L31" s="97">
        <f>+(K31*C31/10000)</f>
        <v>0</v>
      </c>
    </row>
    <row r="32" spans="1:12">
      <c r="A32" s="32"/>
      <c r="B32" s="414" t="s">
        <v>194</v>
      </c>
      <c r="C32" s="94">
        <f>+'NMACH 5-DIGIT MODEL'!AA32</f>
        <v>0</v>
      </c>
      <c r="E32" s="94">
        <f>+PRODUCTIVITY!I22</f>
        <v>1213.9420566221461</v>
      </c>
      <c r="G32" s="95">
        <f>+'WAGE RATE - PIGGYBACK FACTORS'!$D$5</f>
        <v>50.10717457546064</v>
      </c>
      <c r="H32" s="97">
        <f>+G32/E32*100</f>
        <v>4.1276413731711656</v>
      </c>
      <c r="I32" s="97">
        <f>+H32*('WAGE RATE - PIGGYBACK FACTORS'!$D$6-1)</f>
        <v>-0.10695186823925155</v>
      </c>
      <c r="J32" s="97">
        <f>+'WAGE RATE - PIGGYBACK FACTORS'!D32</f>
        <v>1.2988119246888874</v>
      </c>
      <c r="K32" s="97">
        <f>+H32*J32+I32</f>
        <v>5.2540779680746725</v>
      </c>
      <c r="L32" s="97">
        <f>+(K32*C32/10000)</f>
        <v>0</v>
      </c>
    </row>
    <row r="33" spans="1:13" ht="12.95">
      <c r="A33" s="39" t="s">
        <v>195</v>
      </c>
      <c r="B33" s="414"/>
      <c r="H33" s="97"/>
      <c r="I33" s="97"/>
      <c r="K33" s="97"/>
      <c r="L33" s="97"/>
      <c r="M33" s="414"/>
    </row>
    <row r="34" spans="1:13">
      <c r="A34" s="32"/>
      <c r="B34" s="414" t="s">
        <v>189</v>
      </c>
      <c r="C34" s="94">
        <f>+'NMACH 5-DIGIT MODEL'!S40</f>
        <v>0</v>
      </c>
      <c r="E34" s="94">
        <f>+PRODUCTIVITY!I16</f>
        <v>10175.776688046904</v>
      </c>
      <c r="G34" s="95">
        <f>+'WAGE RATE - PIGGYBACK FACTORS'!$D$5</f>
        <v>50.10717457546064</v>
      </c>
      <c r="H34" s="97">
        <f>+G34/E34*100</f>
        <v>0.49241621658540935</v>
      </c>
      <c r="I34" s="97">
        <f>+H34*('WAGE RATE - PIGGYBACK FACTORS'!$D$6-1)</f>
        <v>-1.2759062513866692E-2</v>
      </c>
      <c r="J34" s="97">
        <f>+'WAGE RATE - PIGGYBACK FACTORS'!D33</f>
        <v>1.6888485071959758</v>
      </c>
      <c r="K34" s="97">
        <f>+H34*J34+I34</f>
        <v>0.81885732978549219</v>
      </c>
      <c r="L34" s="97">
        <f>+(K34*C34/10000)</f>
        <v>0</v>
      </c>
      <c r="M34" s="414"/>
    </row>
    <row r="35" spans="1:13">
      <c r="A35" s="32"/>
      <c r="B35" s="414" t="s">
        <v>190</v>
      </c>
      <c r="C35" s="94">
        <f>+'NMACH 5-DIGIT MODEL'!AA40</f>
        <v>0</v>
      </c>
      <c r="E35" s="94">
        <f>+PRODUCTIVITY!I23</f>
        <v>1107.0494375224957</v>
      </c>
      <c r="G35" s="95">
        <f>+'WAGE RATE - PIGGYBACK FACTORS'!$D$5</f>
        <v>50.10717457546064</v>
      </c>
      <c r="H35" s="97">
        <f>+G35/E35*100</f>
        <v>4.5261912320372275</v>
      </c>
      <c r="I35" s="97">
        <f>+H35*('WAGE RATE - PIGGYBACK FACTORS'!$D$6-1)</f>
        <v>-0.11727874699118807</v>
      </c>
      <c r="J35" s="97">
        <f>+'WAGE RATE - PIGGYBACK FACTORS'!D34</f>
        <v>1.2988119246888874</v>
      </c>
      <c r="K35" s="97">
        <f>+H35*J35+I35</f>
        <v>5.7613923986010498</v>
      </c>
      <c r="L35" s="97">
        <f>+(K35*C35/10000)</f>
        <v>0</v>
      </c>
      <c r="M35" s="414"/>
    </row>
    <row r="36" spans="1:13" ht="12.95">
      <c r="A36" s="39" t="s">
        <v>196</v>
      </c>
      <c r="B36" s="414"/>
      <c r="H36" s="97"/>
      <c r="I36" s="97"/>
      <c r="K36" s="97"/>
      <c r="L36" s="97"/>
      <c r="M36" s="414"/>
    </row>
    <row r="37" spans="1:13">
      <c r="A37" s="414"/>
      <c r="B37" s="414" t="s">
        <v>197</v>
      </c>
      <c r="C37" s="94">
        <f>+'NMACH 5-DIGIT MODEL'!W49</f>
        <v>0</v>
      </c>
      <c r="E37" s="94">
        <f>+PRODUCTIVITY!I17</f>
        <v>13094.29928777944</v>
      </c>
      <c r="G37" s="95">
        <f>+'WAGE RATE - PIGGYBACK FACTORS'!$D$5</f>
        <v>50.10717457546064</v>
      </c>
      <c r="H37" s="97">
        <f t="shared" ref="H37:H42" si="0">+G37/E37*100</f>
        <v>0.38266403932148035</v>
      </c>
      <c r="I37" s="97">
        <f>+H37*('WAGE RATE - PIGGYBACK FACTORS'!$D$6-1)</f>
        <v>-9.915259154883364E-3</v>
      </c>
      <c r="J37" s="97">
        <f>+'WAGE RATE - PIGGYBACK FACTORS'!D35</f>
        <v>1.6888485071959758</v>
      </c>
      <c r="K37" s="97">
        <f t="shared" ref="K37:K42" si="1">+H37*J37+I37</f>
        <v>0.63634633241078098</v>
      </c>
      <c r="L37" s="97">
        <f t="shared" ref="L37:L42" si="2">+(K37*C37/10000)</f>
        <v>0</v>
      </c>
      <c r="M37" s="414"/>
    </row>
    <row r="38" spans="1:13">
      <c r="A38" s="414"/>
      <c r="B38" s="414" t="s">
        <v>198</v>
      </c>
      <c r="C38" s="94">
        <f>+'NMACH 5-DIGIT MODEL'!W56</f>
        <v>0</v>
      </c>
      <c r="E38" s="94">
        <f>+PRODUCTIVITY!I19</f>
        <v>0</v>
      </c>
      <c r="G38" s="95">
        <f>+'WAGE RATE - PIGGYBACK FACTORS'!$D$5</f>
        <v>50.10717457546064</v>
      </c>
      <c r="H38" s="97">
        <v>0</v>
      </c>
      <c r="I38" s="97">
        <f>+H38*('WAGE RATE - PIGGYBACK FACTORS'!$D$6-1)</f>
        <v>0</v>
      </c>
      <c r="J38" s="97">
        <f>+'WAGE RATE - PIGGYBACK FACTORS'!D36</f>
        <v>0</v>
      </c>
      <c r="K38" s="97">
        <f t="shared" si="1"/>
        <v>0</v>
      </c>
      <c r="L38" s="97">
        <f t="shared" si="2"/>
        <v>0</v>
      </c>
      <c r="M38" s="414"/>
    </row>
    <row r="39" spans="1:13">
      <c r="A39" s="414"/>
      <c r="B39" s="414" t="s">
        <v>199</v>
      </c>
      <c r="C39" s="94">
        <f>+'NMACH 5-DIGIT MODEL'!W63</f>
        <v>0</v>
      </c>
      <c r="E39" s="94">
        <f>+PRODUCTIVITY!I18</f>
        <v>6910.0702052322977</v>
      </c>
      <c r="G39" s="95">
        <f>+'WAGE RATE - PIGGYBACK FACTORS'!$D$5</f>
        <v>50.10717457546064</v>
      </c>
      <c r="H39" s="97">
        <f t="shared" si="0"/>
        <v>0.72513264101889352</v>
      </c>
      <c r="I39" s="97">
        <f>+H39*('WAGE RATE - PIGGYBACK FACTORS'!$D$6-1)</f>
        <v>-1.8789008944023189E-2</v>
      </c>
      <c r="J39" s="97">
        <f>+'WAGE RATE - PIGGYBACK FACTORS'!D37</f>
        <v>1.6888485071959758</v>
      </c>
      <c r="K39" s="97">
        <f t="shared" si="1"/>
        <v>1.2058501693598105</v>
      </c>
      <c r="L39" s="97">
        <f t="shared" si="2"/>
        <v>0</v>
      </c>
      <c r="M39" s="414"/>
    </row>
    <row r="40" spans="1:13">
      <c r="A40" s="414"/>
      <c r="B40" s="414" t="s">
        <v>200</v>
      </c>
      <c r="C40" s="94">
        <f>+'NMACH 5-DIGIT MODEL'!AA74*(1-MISC!E9)</f>
        <v>10000</v>
      </c>
      <c r="E40" s="94">
        <f>+PRODUCTIVITY!I24</f>
        <v>810.31043431031583</v>
      </c>
      <c r="G40" s="95">
        <f>+'WAGE RATE - PIGGYBACK FACTORS'!$D$5</f>
        <v>50.10717457546064</v>
      </c>
      <c r="H40" s="97">
        <f t="shared" si="0"/>
        <v>6.1837010180065928</v>
      </c>
      <c r="I40" s="97">
        <f>+H40*('WAGE RATE - PIGGYBACK FACTORS'!$D$6-1)</f>
        <v>-0.16022670496702124</v>
      </c>
      <c r="J40" s="97">
        <f>+'WAGE RATE - PIGGYBACK FACTORS'!D39</f>
        <v>1.2988119246888874</v>
      </c>
      <c r="K40" s="97">
        <f t="shared" si="1"/>
        <v>7.8712379159307542</v>
      </c>
      <c r="L40" s="97">
        <f t="shared" si="2"/>
        <v>7.8712379159307542</v>
      </c>
      <c r="M40" s="414"/>
    </row>
    <row r="41" spans="1:13">
      <c r="A41" s="414"/>
      <c r="B41" s="414" t="s">
        <v>201</v>
      </c>
      <c r="C41" s="94">
        <f>+MISC!E10*('NMACH 5-DIGIT MODEL'!AE64+'NMACH 5-DIGIT MODEL'!AE57)</f>
        <v>0</v>
      </c>
      <c r="E41" s="94">
        <f>+PRODUCTIVITY!I25</f>
        <v>1955.193482688391</v>
      </c>
      <c r="G41" s="95">
        <f>+'WAGE RATE - PIGGYBACK FACTORS'!$D$5</f>
        <v>50.10717457546064</v>
      </c>
      <c r="H41" s="97">
        <f t="shared" si="0"/>
        <v>2.5627731996407475</v>
      </c>
      <c r="I41" s="97">
        <f>+H41*('WAGE RATE - PIGGYBACK FACTORS'!$D$6-1)</f>
        <v>-6.6404359486416112E-2</v>
      </c>
      <c r="J41" s="97">
        <f>+'WAGE RATE - PIGGYBACK FACTORS'!D40</f>
        <v>1.2988119246888874</v>
      </c>
      <c r="K41" s="97">
        <f t="shared" si="1"/>
        <v>3.2621560324800813</v>
      </c>
      <c r="L41" s="97">
        <f t="shared" si="2"/>
        <v>0</v>
      </c>
      <c r="M41" s="414"/>
    </row>
    <row r="42" spans="1:13">
      <c r="A42" s="417"/>
      <c r="B42" s="417" t="s">
        <v>202</v>
      </c>
      <c r="C42" s="101">
        <f>+MISC!E10*('NMACH 5-DIGIT MODEL'!AE75+'NMACH 5-DIGIT MODEL'!AE50)</f>
        <v>458.34500459791531</v>
      </c>
      <c r="D42" s="101"/>
      <c r="E42" s="101">
        <f>+PRODUCTIVITY!I26</f>
        <v>977.59674134419549</v>
      </c>
      <c r="F42" s="101"/>
      <c r="G42" s="102">
        <f>+'WAGE RATE - PIGGYBACK FACTORS'!$D$5</f>
        <v>50.10717457546064</v>
      </c>
      <c r="H42" s="103">
        <f t="shared" si="0"/>
        <v>5.1255463992814949</v>
      </c>
      <c r="I42" s="103">
        <f>+H42*('WAGE RATE - PIGGYBACK FACTORS'!$D$6-1)</f>
        <v>-0.13280871897283222</v>
      </c>
      <c r="J42" s="103">
        <f>+'WAGE RATE - PIGGYBACK FACTORS'!D41</f>
        <v>1.2988119246888874</v>
      </c>
      <c r="K42" s="103">
        <f t="shared" si="1"/>
        <v>6.5243120649601627</v>
      </c>
      <c r="L42" s="103">
        <f t="shared" si="2"/>
        <v>0.29903858434123998</v>
      </c>
      <c r="M42" s="414"/>
    </row>
    <row r="43" spans="1:13" ht="9" customHeight="1" thickBot="1">
      <c r="A43" s="414"/>
      <c r="B43" s="414"/>
      <c r="H43" s="97"/>
      <c r="I43" s="97"/>
      <c r="K43" s="97"/>
      <c r="L43" s="93"/>
      <c r="M43" s="414"/>
    </row>
    <row r="44" spans="1:13" ht="13.5" thickBot="1">
      <c r="A44" s="414"/>
      <c r="B44" s="414"/>
      <c r="H44" s="97"/>
      <c r="J44" s="104" t="s">
        <v>203</v>
      </c>
      <c r="K44" s="105"/>
      <c r="L44" s="395">
        <f>SUM(L11:L42)</f>
        <v>8.1702765002719939</v>
      </c>
      <c r="M44" s="414"/>
    </row>
    <row r="45" spans="1:13" ht="9" customHeight="1" thickBot="1">
      <c r="A45" s="414"/>
      <c r="B45" s="414"/>
      <c r="H45" s="97"/>
      <c r="J45" s="106"/>
      <c r="K45" s="2"/>
      <c r="L45" s="92"/>
      <c r="M45" s="414"/>
    </row>
    <row r="46" spans="1:13" ht="13.5" thickBot="1">
      <c r="A46" s="414"/>
      <c r="B46" s="414"/>
      <c r="J46" s="280" t="s">
        <v>204</v>
      </c>
      <c r="K46" s="281"/>
      <c r="L46" s="282">
        <f>+('NMACH 5-DIGIT MODEL'!AE57+'NMACH 5-DIGIT MODEL'!AE64)/C3</f>
        <v>0</v>
      </c>
      <c r="M46" s="39"/>
    </row>
    <row r="47" spans="1:13" ht="12.95">
      <c r="A47" s="67" t="s">
        <v>18</v>
      </c>
      <c r="B47" s="414"/>
      <c r="M47" s="414"/>
    </row>
    <row r="48" spans="1:13" ht="12.95">
      <c r="A48" s="225" t="s">
        <v>298</v>
      </c>
      <c r="B48" s="225"/>
      <c r="C48" s="226"/>
      <c r="D48" s="226"/>
      <c r="E48" s="226"/>
      <c r="F48" s="226"/>
      <c r="G48" s="227"/>
      <c r="H48" s="96"/>
      <c r="M48" s="414"/>
    </row>
    <row r="49" spans="1:10" ht="12.95">
      <c r="A49" s="225" t="s">
        <v>206</v>
      </c>
      <c r="B49" s="225"/>
      <c r="C49" s="226"/>
      <c r="D49" s="226"/>
      <c r="E49" s="226"/>
      <c r="F49" s="226"/>
      <c r="G49" s="227"/>
      <c r="H49" s="96"/>
    </row>
    <row r="50" spans="1:10" ht="12.95">
      <c r="A50" s="225" t="s">
        <v>207</v>
      </c>
      <c r="B50" s="225"/>
      <c r="C50" s="226"/>
      <c r="D50" s="226"/>
      <c r="E50" s="226"/>
      <c r="F50" s="226"/>
      <c r="G50" s="227"/>
      <c r="H50" s="96"/>
      <c r="J50" s="108"/>
    </row>
    <row r="51" spans="1:10" ht="12.95">
      <c r="A51" s="39" t="s">
        <v>208</v>
      </c>
      <c r="B51" s="39"/>
      <c r="C51" s="194"/>
      <c r="D51" s="194"/>
      <c r="E51" s="194"/>
      <c r="F51" s="194"/>
      <c r="G51" s="91"/>
      <c r="H51" s="96"/>
      <c r="J51" s="108"/>
    </row>
    <row r="52" spans="1:10" ht="12.95">
      <c r="A52" s="225" t="s">
        <v>209</v>
      </c>
      <c r="B52" s="225"/>
      <c r="C52" s="226"/>
      <c r="D52" s="226"/>
      <c r="E52" s="226"/>
      <c r="F52" s="226"/>
      <c r="G52" s="227"/>
      <c r="H52" s="96"/>
    </row>
    <row r="53" spans="1:10" ht="12.95">
      <c r="A53" s="225" t="s">
        <v>210</v>
      </c>
      <c r="B53" s="225"/>
      <c r="C53" s="226"/>
      <c r="D53" s="226"/>
      <c r="E53" s="226"/>
      <c r="F53" s="226"/>
      <c r="G53" s="227"/>
      <c r="H53" s="109"/>
    </row>
    <row r="54" spans="1:10" ht="12.95">
      <c r="A54" s="254" t="s">
        <v>211</v>
      </c>
      <c r="B54" s="39"/>
      <c r="C54" s="194"/>
      <c r="D54" s="194"/>
      <c r="E54" s="194"/>
      <c r="F54" s="194"/>
      <c r="G54" s="91"/>
      <c r="H54" s="109"/>
    </row>
    <row r="55" spans="1:10" ht="12.95">
      <c r="A55" s="108" t="s">
        <v>212</v>
      </c>
      <c r="B55" s="39"/>
      <c r="C55" s="194"/>
      <c r="D55" s="194"/>
      <c r="E55" s="194"/>
      <c r="F55" s="194"/>
      <c r="G55" s="91"/>
      <c r="H55" s="109"/>
      <c r="J55" s="108"/>
    </row>
    <row r="56" spans="1:10" ht="12.95">
      <c r="A56" s="39"/>
      <c r="B56" s="39"/>
      <c r="C56" s="194"/>
      <c r="D56" s="194"/>
      <c r="E56" s="194"/>
      <c r="F56" s="194"/>
      <c r="G56" s="91"/>
      <c r="H56" s="96"/>
    </row>
    <row r="57" spans="1:10" ht="12.95">
      <c r="A57" s="108" t="s">
        <v>213</v>
      </c>
      <c r="B57" s="39"/>
      <c r="C57" s="194"/>
      <c r="D57" s="194"/>
      <c r="E57" s="194"/>
      <c r="F57" s="194"/>
      <c r="G57" s="91"/>
      <c r="H57" s="96"/>
    </row>
    <row r="58" spans="1:10" ht="12.95">
      <c r="A58" s="108" t="s">
        <v>299</v>
      </c>
      <c r="B58" s="39"/>
      <c r="C58" s="194"/>
      <c r="D58" s="194"/>
      <c r="E58" s="194"/>
      <c r="F58" s="194"/>
      <c r="G58" s="91"/>
      <c r="H58" s="96"/>
    </row>
  </sheetData>
  <phoneticPr fontId="0" type="noConversion"/>
  <printOptions horizontalCentered="1"/>
  <pageMargins left="0.75" right="0.75" top="1" bottom="1" header="0.5" footer="0.5"/>
  <pageSetup scale="80" orientation="portrait" r:id="rId1"/>
  <headerFooter alignWithMargins="0">
    <oddHeader>&amp;RPage 22</oddHeader>
  </headerFooter>
  <ignoredErrors>
    <ignoredError sqref="K14:L14 K26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3">
    <pageSetUpPr fitToPage="1"/>
  </sheetPr>
  <dimension ref="A1:AI100"/>
  <sheetViews>
    <sheetView zoomScale="75" workbookViewId="0"/>
  </sheetViews>
  <sheetFormatPr defaultRowHeight="12.6"/>
  <cols>
    <col min="1" max="1" width="1.7109375" customWidth="1"/>
    <col min="2" max="2" width="3.42578125" customWidth="1"/>
    <col min="3" max="3" width="6.28515625" style="2" customWidth="1"/>
    <col min="4" max="4" width="6.42578125" style="3" customWidth="1"/>
    <col min="5" max="5" width="4.7109375" customWidth="1"/>
    <col min="6" max="6" width="5.140625" customWidth="1"/>
    <col min="7" max="7" width="9.140625" style="3" customWidth="1"/>
    <col min="8" max="8" width="9" style="3" customWidth="1"/>
    <col min="9" max="9" width="8" style="3" customWidth="1"/>
    <col min="10" max="10" width="6.28515625" customWidth="1"/>
    <col min="11" max="11" width="6.7109375" style="3" customWidth="1"/>
    <col min="12" max="12" width="4.42578125" style="3" customWidth="1"/>
    <col min="13" max="13" width="4.140625" customWidth="1"/>
    <col min="15" max="15" width="10.7109375" customWidth="1"/>
    <col min="16" max="16" width="8.7109375" style="3" customWidth="1"/>
    <col min="17" max="17" width="10.140625" style="3" customWidth="1"/>
    <col min="18" max="18" width="12" style="3" customWidth="1"/>
    <col min="19" max="19" width="10.42578125" customWidth="1"/>
    <col min="20" max="20" width="8.7109375" customWidth="1"/>
    <col min="21" max="21" width="1.7109375" customWidth="1"/>
    <col min="22" max="22" width="9.7109375" style="3" customWidth="1"/>
    <col min="23" max="23" width="10" style="3" customWidth="1"/>
    <col min="24" max="24" width="10.7109375" customWidth="1"/>
    <col min="25" max="25" width="5.7109375" style="3" customWidth="1"/>
    <col min="26" max="26" width="7.28515625" style="3" customWidth="1"/>
    <col min="27" max="27" width="9.42578125" customWidth="1"/>
    <col min="28" max="28" width="9.7109375" style="3" customWidth="1"/>
    <col min="29" max="29" width="6.28515625" style="3" customWidth="1"/>
    <col min="30" max="30" width="7.85546875" customWidth="1"/>
    <col min="31" max="31" width="6.5703125" style="3" customWidth="1"/>
    <col min="32" max="32" width="9.7109375" style="3" customWidth="1"/>
    <col min="33" max="33" width="7" customWidth="1"/>
  </cols>
  <sheetData>
    <row r="1" spans="1:32" ht="20.100000000000001">
      <c r="A1" s="1"/>
      <c r="B1" s="1" t="s">
        <v>297</v>
      </c>
      <c r="C1" s="414"/>
      <c r="D1" s="414"/>
      <c r="E1" s="2"/>
      <c r="F1" s="3"/>
      <c r="G1" s="414"/>
      <c r="H1" s="414"/>
      <c r="J1" s="414"/>
      <c r="M1" s="414"/>
      <c r="N1" s="414"/>
      <c r="O1" s="414"/>
      <c r="S1" s="414"/>
      <c r="T1" s="414"/>
      <c r="U1" s="414"/>
      <c r="W1" s="414"/>
      <c r="X1" s="414"/>
      <c r="AA1" s="414"/>
      <c r="AD1" s="414"/>
    </row>
    <row r="2" spans="1:32" ht="18">
      <c r="A2" s="4"/>
      <c r="B2" s="4" t="s">
        <v>215</v>
      </c>
      <c r="C2" s="414"/>
      <c r="D2" s="414"/>
      <c r="E2" s="2"/>
      <c r="F2" s="3"/>
      <c r="G2" s="414"/>
      <c r="H2" s="414"/>
      <c r="J2" s="414"/>
      <c r="M2" s="414"/>
      <c r="N2" s="414"/>
      <c r="O2" s="414"/>
      <c r="S2" s="414"/>
      <c r="T2" s="414"/>
      <c r="U2" s="414"/>
      <c r="X2" s="414"/>
      <c r="AA2" s="414"/>
      <c r="AD2" s="414"/>
    </row>
    <row r="3" spans="1:32" ht="6.6" customHeight="1">
      <c r="A3" s="414"/>
      <c r="B3" s="414"/>
      <c r="C3" s="414"/>
      <c r="D3" s="414"/>
      <c r="E3" s="2"/>
      <c r="F3" s="3"/>
      <c r="G3" s="414"/>
      <c r="H3" s="414"/>
      <c r="J3" s="414"/>
      <c r="M3" s="414"/>
      <c r="N3" s="414"/>
      <c r="O3" s="414"/>
      <c r="S3" s="414"/>
      <c r="T3" s="414"/>
      <c r="U3" s="414"/>
      <c r="X3" s="414"/>
      <c r="AA3" s="414"/>
      <c r="AD3" s="414"/>
    </row>
    <row r="4" spans="1:32" s="8" customFormat="1" ht="15.6">
      <c r="A4" s="5"/>
      <c r="B4" s="5" t="s">
        <v>216</v>
      </c>
      <c r="C4" s="6"/>
      <c r="D4" s="7"/>
      <c r="E4" s="418">
        <v>10000</v>
      </c>
      <c r="F4" s="451"/>
      <c r="G4" s="7"/>
      <c r="I4" s="7"/>
      <c r="K4" s="5" t="s">
        <v>217</v>
      </c>
      <c r="N4" s="121">
        <f>AE50+AE57+AE64+AE75</f>
        <v>10000</v>
      </c>
      <c r="O4" s="7"/>
      <c r="P4" s="122"/>
      <c r="Q4" s="7"/>
      <c r="R4" s="7"/>
      <c r="V4" s="7"/>
      <c r="W4" s="7"/>
      <c r="Y4" s="7"/>
      <c r="Z4" s="7"/>
      <c r="AB4" s="7"/>
      <c r="AC4" s="7"/>
      <c r="AE4" s="7"/>
      <c r="AF4" s="7"/>
    </row>
    <row r="5" spans="1:32" ht="7.9" customHeight="1">
      <c r="A5" s="9"/>
      <c r="B5" s="9"/>
      <c r="C5" s="9"/>
      <c r="D5" s="9"/>
      <c r="E5" s="3"/>
      <c r="F5" s="3"/>
      <c r="G5" s="9"/>
      <c r="H5" s="9"/>
      <c r="J5" s="414"/>
      <c r="M5" s="414"/>
      <c r="N5" s="414"/>
      <c r="O5" s="414"/>
      <c r="S5" s="414"/>
      <c r="T5" s="414"/>
      <c r="U5" s="414"/>
      <c r="X5" s="414"/>
      <c r="AA5" s="414"/>
      <c r="AD5" s="414"/>
    </row>
    <row r="6" spans="1:32" s="8" customFormat="1" ht="15.6">
      <c r="B6" s="10" t="s">
        <v>218</v>
      </c>
      <c r="C6" s="11"/>
      <c r="D6" s="11"/>
      <c r="E6" s="12"/>
      <c r="F6" s="12"/>
      <c r="G6" s="11"/>
      <c r="H6" s="11"/>
      <c r="I6" s="12"/>
      <c r="J6" s="13"/>
      <c r="K6" s="12"/>
      <c r="L6" s="12"/>
      <c r="M6" s="13"/>
      <c r="N6" s="13"/>
      <c r="O6" s="13"/>
      <c r="P6" s="12"/>
      <c r="Q6" s="14"/>
      <c r="R6" s="7"/>
    </row>
    <row r="7" spans="1:32" ht="12.95">
      <c r="A7" s="414"/>
      <c r="B7" s="19" t="s">
        <v>219</v>
      </c>
      <c r="C7" s="20"/>
      <c r="D7" s="20"/>
      <c r="E7" s="452">
        <v>0</v>
      </c>
      <c r="F7" s="453"/>
      <c r="G7" s="33"/>
      <c r="H7" s="18" t="s">
        <v>220</v>
      </c>
      <c r="I7" s="33"/>
      <c r="J7" s="32"/>
      <c r="K7" s="33">
        <v>0</v>
      </c>
      <c r="M7" s="414"/>
      <c r="N7" s="18" t="s">
        <v>221</v>
      </c>
      <c r="O7" s="3"/>
      <c r="P7" s="414"/>
      <c r="Q7" s="21">
        <v>0</v>
      </c>
      <c r="S7" s="414"/>
      <c r="T7" s="414"/>
      <c r="U7" s="414"/>
      <c r="X7" s="414"/>
      <c r="AA7" s="414"/>
      <c r="AD7" s="414"/>
    </row>
    <row r="8" spans="1:32" ht="12.95">
      <c r="A8" s="414"/>
      <c r="B8" s="19" t="s">
        <v>222</v>
      </c>
      <c r="C8" s="20"/>
      <c r="D8" s="20"/>
      <c r="E8" s="452">
        <v>0</v>
      </c>
      <c r="F8" s="454"/>
      <c r="G8" s="33"/>
      <c r="H8" s="18" t="s">
        <v>223</v>
      </c>
      <c r="J8" s="414"/>
      <c r="K8" s="3">
        <v>0</v>
      </c>
      <c r="M8" s="414"/>
      <c r="N8" s="18" t="s">
        <v>224</v>
      </c>
      <c r="O8" s="414"/>
      <c r="Q8" s="21">
        <v>0</v>
      </c>
      <c r="S8" s="414"/>
      <c r="T8" s="414"/>
      <c r="U8" s="414"/>
      <c r="X8" s="414"/>
      <c r="AA8" s="414"/>
      <c r="AD8" s="414"/>
    </row>
    <row r="9" spans="1:32" ht="12.95">
      <c r="A9" s="414"/>
      <c r="B9" s="19" t="s">
        <v>225</v>
      </c>
      <c r="C9" s="20"/>
      <c r="D9" s="20"/>
      <c r="E9" s="419">
        <v>0</v>
      </c>
      <c r="F9" s="454"/>
      <c r="H9" s="18" t="s">
        <v>226</v>
      </c>
      <c r="J9" s="414"/>
      <c r="K9" s="3">
        <v>0</v>
      </c>
      <c r="M9" s="414"/>
      <c r="N9" s="18" t="s">
        <v>227</v>
      </c>
      <c r="O9" s="414"/>
      <c r="Q9" s="21">
        <f>+E4</f>
        <v>10000</v>
      </c>
      <c r="S9" s="414"/>
      <c r="T9" s="414"/>
      <c r="U9" s="414"/>
      <c r="X9" s="414"/>
      <c r="AA9" s="414"/>
      <c r="AD9" s="414"/>
    </row>
    <row r="10" spans="1:32" ht="12.95">
      <c r="A10" s="414"/>
      <c r="B10" s="19" t="s">
        <v>228</v>
      </c>
      <c r="C10" s="20"/>
      <c r="D10" s="20"/>
      <c r="E10" s="419">
        <v>0</v>
      </c>
      <c r="F10" s="454"/>
      <c r="H10" s="18" t="s">
        <v>229</v>
      </c>
      <c r="J10" s="414"/>
      <c r="K10" s="3">
        <v>0</v>
      </c>
      <c r="M10" s="414"/>
      <c r="N10" s="414"/>
      <c r="O10" s="414"/>
      <c r="Q10" s="21"/>
      <c r="S10" s="414"/>
      <c r="T10" s="414"/>
      <c r="U10" s="414"/>
      <c r="X10" s="414"/>
      <c r="AA10" s="414"/>
      <c r="AD10" s="414"/>
    </row>
    <row r="11" spans="1:32" ht="12.95">
      <c r="A11" s="414"/>
      <c r="B11" s="19" t="s">
        <v>230</v>
      </c>
      <c r="C11" s="20"/>
      <c r="D11" s="20"/>
      <c r="E11" s="419">
        <v>0</v>
      </c>
      <c r="F11" s="454"/>
      <c r="J11" s="414"/>
      <c r="M11" s="414"/>
      <c r="N11" s="414"/>
      <c r="O11" s="414"/>
      <c r="Q11" s="21"/>
      <c r="S11" s="414"/>
      <c r="T11" s="414"/>
      <c r="U11" s="414"/>
      <c r="X11" s="414"/>
      <c r="AA11" s="414"/>
      <c r="AD11" s="414"/>
    </row>
    <row r="12" spans="1:32" ht="12.95">
      <c r="A12" s="414"/>
      <c r="B12" s="23" t="s">
        <v>231</v>
      </c>
      <c r="C12" s="24"/>
      <c r="D12" s="24"/>
      <c r="E12" s="422">
        <v>0</v>
      </c>
      <c r="F12" s="455"/>
      <c r="G12" s="25"/>
      <c r="H12" s="25"/>
      <c r="I12" s="25"/>
      <c r="J12" s="417"/>
      <c r="K12" s="25"/>
      <c r="L12" s="25"/>
      <c r="M12" s="417"/>
      <c r="N12" s="417"/>
      <c r="O12" s="417"/>
      <c r="P12" s="25"/>
      <c r="Q12" s="26"/>
      <c r="S12" s="414"/>
      <c r="T12" s="414"/>
      <c r="U12" s="414"/>
      <c r="X12" s="414"/>
      <c r="AA12" s="414"/>
      <c r="AD12" s="414"/>
    </row>
    <row r="13" spans="1:32" ht="12.95" thickBot="1">
      <c r="A13" s="414"/>
      <c r="B13" s="414"/>
      <c r="E13" s="414"/>
      <c r="F13" s="414"/>
      <c r="J13" s="414"/>
      <c r="M13" s="414"/>
      <c r="N13" s="414"/>
      <c r="O13" s="414"/>
      <c r="S13" s="414"/>
      <c r="T13" s="414"/>
      <c r="U13" s="414"/>
      <c r="X13" s="414"/>
      <c r="AA13" s="414"/>
      <c r="AD13" s="414"/>
    </row>
    <row r="14" spans="1:32" ht="13.5" thickBot="1">
      <c r="A14" s="136"/>
      <c r="B14" s="135" t="s">
        <v>232</v>
      </c>
      <c r="C14" s="28"/>
      <c r="D14" s="130"/>
      <c r="E14" s="131"/>
      <c r="F14" s="131"/>
      <c r="G14" s="130"/>
      <c r="H14" s="130"/>
      <c r="I14" s="130"/>
      <c r="J14" s="131"/>
      <c r="K14" s="130"/>
      <c r="L14" s="130"/>
      <c r="M14" s="131"/>
      <c r="N14" s="131"/>
      <c r="O14" s="131"/>
      <c r="P14" s="456"/>
      <c r="Q14" s="457"/>
      <c r="S14" s="163" t="s">
        <v>225</v>
      </c>
      <c r="T14" s="145"/>
      <c r="U14" s="160"/>
      <c r="V14" s="15">
        <f>+T16*(1-ACCEPT!C15)</f>
        <v>0</v>
      </c>
      <c r="W14" s="16" t="s">
        <v>233</v>
      </c>
      <c r="X14" s="17"/>
      <c r="Y14" s="15"/>
      <c r="Z14" s="15"/>
      <c r="AA14" s="163" t="s">
        <v>230</v>
      </c>
      <c r="AB14" s="145"/>
      <c r="AD14" s="18"/>
      <c r="AE14" s="414"/>
    </row>
    <row r="15" spans="1:32" ht="13.5" thickBot="1">
      <c r="A15" s="45"/>
      <c r="B15" s="414"/>
      <c r="E15" s="414"/>
      <c r="F15" s="414"/>
      <c r="I15" s="70">
        <f>+H18*ACCEPT!$C$5</f>
        <v>0</v>
      </c>
      <c r="J15" s="414"/>
      <c r="K15" s="458">
        <f>+I15+I16</f>
        <v>0</v>
      </c>
      <c r="L15" s="458"/>
      <c r="M15" s="414"/>
      <c r="N15" s="15">
        <f>+(K15)*DENSITY!C7</f>
        <v>0</v>
      </c>
      <c r="O15" s="22" t="s">
        <v>225</v>
      </c>
      <c r="P15" s="32"/>
      <c r="Q15" s="134"/>
      <c r="S15" s="161"/>
      <c r="T15" s="148"/>
      <c r="U15" s="3"/>
      <c r="V15" s="15"/>
      <c r="W15" s="15"/>
      <c r="X15" s="17"/>
      <c r="Y15" s="15"/>
      <c r="Z15" s="15"/>
      <c r="AA15" s="161"/>
      <c r="AB15" s="148"/>
      <c r="AC15" s="15"/>
      <c r="AD15" s="15">
        <f>+AB16*DENSITY!D14</f>
        <v>0</v>
      </c>
      <c r="AE15" s="22" t="s">
        <v>231</v>
      </c>
    </row>
    <row r="16" spans="1:32" ht="13.5" thickBot="1">
      <c r="A16" s="45"/>
      <c r="B16" s="414"/>
      <c r="E16" s="414"/>
      <c r="F16" s="414"/>
      <c r="G16" s="144" t="s">
        <v>219</v>
      </c>
      <c r="H16" s="145"/>
      <c r="I16" s="71">
        <f>+(C20+E27)*(ACCEPT!$C$5)</f>
        <v>0</v>
      </c>
      <c r="J16" s="414"/>
      <c r="K16" s="15"/>
      <c r="L16" s="15"/>
      <c r="M16" s="414"/>
      <c r="N16" s="15">
        <f>+(K15)*DENSITY!D7</f>
        <v>0</v>
      </c>
      <c r="O16" s="22" t="s">
        <v>228</v>
      </c>
      <c r="P16" s="32"/>
      <c r="Q16" s="134"/>
      <c r="S16" s="139">
        <f>+T16*(1+DENSITY!B9)</f>
        <v>0</v>
      </c>
      <c r="T16" s="142">
        <f>+E9+N15+N41</f>
        <v>0</v>
      </c>
      <c r="U16" s="3"/>
      <c r="V16" s="15"/>
      <c r="W16" s="15">
        <f>+V17*DENSITY!D9</f>
        <v>0</v>
      </c>
      <c r="X16" s="22" t="s">
        <v>228</v>
      </c>
      <c r="Y16" s="15"/>
      <c r="Z16" s="15"/>
      <c r="AA16" s="139">
        <f>+AB16</f>
        <v>0</v>
      </c>
      <c r="AB16" s="142">
        <f>+E11+N31+N39+V14</f>
        <v>0</v>
      </c>
      <c r="AC16" s="15"/>
      <c r="AD16" s="15">
        <f>+AB16*DENSITY!E14</f>
        <v>0</v>
      </c>
      <c r="AE16" s="22" t="s">
        <v>221</v>
      </c>
      <c r="AF16" s="15"/>
    </row>
    <row r="17" spans="1:32" ht="13.5" thickBot="1">
      <c r="A17" s="45"/>
      <c r="B17" s="414"/>
      <c r="E17" s="414"/>
      <c r="F17" s="414"/>
      <c r="G17" s="139"/>
      <c r="H17" s="142"/>
      <c r="J17" s="414"/>
      <c r="M17" s="414"/>
      <c r="N17" s="15">
        <f>+(K15)*DENSITY!E7</f>
        <v>0</v>
      </c>
      <c r="O17" s="22" t="s">
        <v>223</v>
      </c>
      <c r="P17" s="32"/>
      <c r="Q17" s="134"/>
      <c r="S17" s="162"/>
      <c r="T17" s="143"/>
      <c r="U17" s="3"/>
      <c r="V17" s="15">
        <f>+T16*ACCEPT!C15</f>
        <v>0</v>
      </c>
      <c r="W17" s="15">
        <f>+V17*DENSITY!E9</f>
        <v>0</v>
      </c>
      <c r="X17" s="22" t="s">
        <v>223</v>
      </c>
      <c r="Y17" s="15"/>
      <c r="Z17" s="15"/>
      <c r="AA17" s="162"/>
      <c r="AB17" s="143"/>
      <c r="AC17" s="15"/>
      <c r="AD17" s="15">
        <f>+AB16*DENSITY!F14</f>
        <v>0</v>
      </c>
      <c r="AE17" s="22" t="s">
        <v>234</v>
      </c>
      <c r="AF17" s="15"/>
    </row>
    <row r="18" spans="1:32" ht="12.95">
      <c r="A18" s="45"/>
      <c r="B18" s="414"/>
      <c r="E18" s="414"/>
      <c r="F18" s="414"/>
      <c r="G18" s="139">
        <f>+H18*(1+DENSITY!B7)+C20+E27</f>
        <v>0</v>
      </c>
      <c r="H18" s="142">
        <f>+E7</f>
        <v>0</v>
      </c>
      <c r="J18" s="414"/>
      <c r="M18" s="414"/>
      <c r="N18" s="15">
        <f>+(K15)*DENSITY!F7</f>
        <v>0</v>
      </c>
      <c r="O18" s="22" t="s">
        <v>226</v>
      </c>
      <c r="Q18" s="37"/>
      <c r="S18" s="414"/>
      <c r="T18" s="414"/>
      <c r="U18" s="414"/>
      <c r="W18" s="15">
        <f>+V17*DENSITY!F9</f>
        <v>0</v>
      </c>
      <c r="X18" s="22" t="s">
        <v>226</v>
      </c>
      <c r="Y18" s="15"/>
      <c r="Z18" s="15"/>
      <c r="AA18" s="414"/>
      <c r="AB18" s="414"/>
      <c r="AC18" s="15"/>
      <c r="AD18" s="15">
        <f>+AB16*DENSITY!G14</f>
        <v>0</v>
      </c>
      <c r="AE18" s="22" t="s">
        <v>227</v>
      </c>
      <c r="AF18" s="15"/>
    </row>
    <row r="19" spans="1:32" ht="13.5" thickBot="1">
      <c r="A19" s="45"/>
      <c r="B19" s="414"/>
      <c r="C19" s="3"/>
      <c r="E19" s="414"/>
      <c r="F19" s="414"/>
      <c r="G19" s="140"/>
      <c r="H19" s="143"/>
      <c r="J19" s="17"/>
      <c r="M19" s="32"/>
      <c r="N19" s="15">
        <f>+(K15)*DENSITY!G7</f>
        <v>0</v>
      </c>
      <c r="O19" s="22" t="s">
        <v>229</v>
      </c>
      <c r="P19" s="33"/>
      <c r="Q19" s="34"/>
      <c r="S19" s="414"/>
      <c r="T19" s="414"/>
      <c r="U19" s="414"/>
      <c r="V19" s="15"/>
      <c r="W19" s="15">
        <f>+V17*DENSITY!G9</f>
        <v>0</v>
      </c>
      <c r="X19" s="22" t="s">
        <v>229</v>
      </c>
      <c r="Y19" s="15"/>
      <c r="Z19" s="15"/>
      <c r="AA19" s="414"/>
      <c r="AB19" s="414"/>
      <c r="AD19" s="414"/>
      <c r="AF19" s="15"/>
    </row>
    <row r="20" spans="1:32">
      <c r="A20" s="45"/>
      <c r="B20" s="414"/>
      <c r="C20" s="15">
        <f>+C32</f>
        <v>0</v>
      </c>
      <c r="E20" s="414"/>
      <c r="F20" s="414"/>
      <c r="G20" s="35"/>
      <c r="H20" s="35"/>
      <c r="J20" s="414"/>
      <c r="K20" s="15"/>
      <c r="L20" s="15"/>
      <c r="M20" s="414"/>
      <c r="N20" s="414"/>
      <c r="O20" s="414"/>
      <c r="Q20" s="37"/>
      <c r="S20" s="414"/>
      <c r="T20" s="9"/>
      <c r="U20" s="9"/>
      <c r="V20" s="15"/>
      <c r="W20" s="15"/>
      <c r="X20" s="17"/>
      <c r="Y20" s="15"/>
      <c r="Z20" s="15"/>
      <c r="AA20" s="414"/>
      <c r="AD20" s="414"/>
    </row>
    <row r="21" spans="1:32" ht="12.95" thickBot="1">
      <c r="A21" s="45"/>
      <c r="B21" s="414"/>
      <c r="C21" s="15"/>
      <c r="E21" s="414"/>
      <c r="F21" s="414"/>
      <c r="G21" s="125">
        <f>+(C20+E27)*(1-ACCEPT!C5)</f>
        <v>0</v>
      </c>
      <c r="H21" s="125">
        <f>+H18*(1-ACCEPT!C5)</f>
        <v>0</v>
      </c>
      <c r="J21" s="414"/>
      <c r="K21" s="15"/>
      <c r="L21" s="15"/>
      <c r="M21" s="414"/>
      <c r="N21" s="414"/>
      <c r="O21" s="414"/>
      <c r="Q21" s="37"/>
      <c r="S21" s="414"/>
      <c r="T21" s="414"/>
      <c r="U21" s="414"/>
      <c r="X21" s="414"/>
      <c r="AA21" s="414"/>
      <c r="AD21" s="414"/>
    </row>
    <row r="22" spans="1:32" ht="13.5" thickBot="1">
      <c r="A22" s="45"/>
      <c r="B22" s="414"/>
      <c r="C22" s="15"/>
      <c r="E22" s="414"/>
      <c r="F22" s="414"/>
      <c r="G22" s="35"/>
      <c r="H22" s="35"/>
      <c r="I22" s="459"/>
      <c r="J22" s="49"/>
      <c r="K22" s="15"/>
      <c r="L22" s="15"/>
      <c r="M22" s="414"/>
      <c r="N22" s="414"/>
      <c r="O22" s="414"/>
      <c r="Q22" s="37"/>
      <c r="S22" s="144" t="s">
        <v>228</v>
      </c>
      <c r="T22" s="145"/>
      <c r="U22" s="414"/>
      <c r="V22" s="15">
        <f>+T24*(1-ACCEPT!C16)</f>
        <v>0</v>
      </c>
      <c r="W22" s="16" t="s">
        <v>235</v>
      </c>
      <c r="X22" s="17"/>
      <c r="Y22" s="15"/>
      <c r="Z22" s="15"/>
      <c r="AA22" s="163" t="s">
        <v>231</v>
      </c>
      <c r="AB22" s="145"/>
      <c r="AD22" s="18"/>
      <c r="AE22" s="414"/>
    </row>
    <row r="23" spans="1:32" ht="13.5" thickBot="1">
      <c r="A23" s="45"/>
      <c r="B23" s="414"/>
      <c r="C23" s="15"/>
      <c r="E23" s="414"/>
      <c r="F23" s="414"/>
      <c r="G23" s="144" t="s">
        <v>222</v>
      </c>
      <c r="H23" s="145"/>
      <c r="I23" s="459"/>
      <c r="J23" s="49"/>
      <c r="K23" s="15"/>
      <c r="L23" s="15"/>
      <c r="M23" s="414"/>
      <c r="N23" s="414"/>
      <c r="O23" s="414"/>
      <c r="Q23" s="37"/>
      <c r="S23" s="139"/>
      <c r="T23" s="148"/>
      <c r="U23" s="3"/>
      <c r="V23" s="15"/>
      <c r="W23" s="15"/>
      <c r="X23" s="17"/>
      <c r="Y23" s="15"/>
      <c r="Z23" s="15"/>
      <c r="AA23" s="161"/>
      <c r="AB23" s="148"/>
      <c r="AD23" s="3"/>
      <c r="AE23" s="414"/>
    </row>
    <row r="24" spans="1:32" ht="12.95">
      <c r="A24" s="45"/>
      <c r="B24" s="414"/>
      <c r="C24" s="15"/>
      <c r="E24" s="414"/>
      <c r="F24" s="414"/>
      <c r="G24" s="148"/>
      <c r="H24" s="148"/>
      <c r="I24" s="15"/>
      <c r="J24" s="49"/>
      <c r="K24" s="15"/>
      <c r="L24" s="15"/>
      <c r="M24" s="414"/>
      <c r="N24" s="414"/>
      <c r="O24" s="414"/>
      <c r="Q24" s="37"/>
      <c r="S24" s="139">
        <f>+T24*(1+DENSITY!B10)</f>
        <v>0</v>
      </c>
      <c r="T24" s="142">
        <f>+E10+N16+N42+W16</f>
        <v>0</v>
      </c>
      <c r="U24" s="3"/>
      <c r="V24" s="15"/>
      <c r="W24" s="15">
        <f>+V25*DENSITY!E10</f>
        <v>0</v>
      </c>
      <c r="X24" s="22" t="s">
        <v>223</v>
      </c>
      <c r="Y24" s="15"/>
      <c r="Z24" s="15"/>
      <c r="AA24" s="139">
        <f>+AB24</f>
        <v>0</v>
      </c>
      <c r="AB24" s="142">
        <f>+E12+V22+AD15</f>
        <v>0</v>
      </c>
      <c r="AC24" s="15"/>
      <c r="AD24" s="15">
        <f>+AB24*DENSITY!E15</f>
        <v>0</v>
      </c>
      <c r="AE24" s="22" t="s">
        <v>221</v>
      </c>
      <c r="AF24" s="15"/>
    </row>
    <row r="25" spans="1:32" ht="13.5" thickBot="1">
      <c r="A25" s="45"/>
      <c r="B25" s="414"/>
      <c r="C25" s="15"/>
      <c r="E25" s="414"/>
      <c r="F25" s="414"/>
      <c r="G25" s="142">
        <f>+G21+H25</f>
        <v>0</v>
      </c>
      <c r="H25" s="142">
        <f>+H21+E8</f>
        <v>0</v>
      </c>
      <c r="I25" s="30" t="s">
        <v>236</v>
      </c>
      <c r="J25" s="31"/>
      <c r="K25" s="15"/>
      <c r="L25" s="15"/>
      <c r="M25" s="414"/>
      <c r="N25" s="414"/>
      <c r="O25" s="414"/>
      <c r="Q25" s="37"/>
      <c r="R25" s="126"/>
      <c r="S25" s="140"/>
      <c r="T25" s="143"/>
      <c r="U25" s="3"/>
      <c r="V25" s="15">
        <f>+T24*ACCEPT!C16</f>
        <v>0</v>
      </c>
      <c r="W25" s="15">
        <f>+V25*DENSITY!F10</f>
        <v>0</v>
      </c>
      <c r="X25" s="22" t="s">
        <v>226</v>
      </c>
      <c r="Y25" s="15"/>
      <c r="Z25" s="15"/>
      <c r="AA25" s="162"/>
      <c r="AB25" s="143"/>
      <c r="AC25" s="15"/>
      <c r="AD25" s="15">
        <f>+AB24*DENSITY!F15</f>
        <v>0</v>
      </c>
      <c r="AE25" s="22" t="s">
        <v>234</v>
      </c>
      <c r="AF25" s="15"/>
    </row>
    <row r="26" spans="1:32" ht="13.5" thickBot="1">
      <c r="A26" s="45"/>
      <c r="B26" s="414"/>
      <c r="C26" s="15"/>
      <c r="E26" s="414"/>
      <c r="F26" s="414"/>
      <c r="G26" s="143"/>
      <c r="H26" s="143"/>
      <c r="I26" s="459"/>
      <c r="J26" s="49"/>
      <c r="K26" s="15"/>
      <c r="L26" s="15"/>
      <c r="M26" s="414"/>
      <c r="N26" s="414"/>
      <c r="O26" s="414"/>
      <c r="Q26" s="45"/>
      <c r="S26" s="3"/>
      <c r="T26" s="414"/>
      <c r="U26" s="414"/>
      <c r="V26" s="15"/>
      <c r="W26" s="15">
        <f>+V25*DENSITY!G10</f>
        <v>0</v>
      </c>
      <c r="X26" s="22" t="s">
        <v>229</v>
      </c>
      <c r="Y26" s="15"/>
      <c r="Z26" s="15"/>
      <c r="AA26" s="414"/>
      <c r="AB26" s="414"/>
      <c r="AC26" s="15"/>
      <c r="AD26" s="15">
        <f>+AB24*DENSITY!G15</f>
        <v>0</v>
      </c>
      <c r="AE26" s="22" t="s">
        <v>227</v>
      </c>
      <c r="AF26" s="15"/>
    </row>
    <row r="27" spans="1:32">
      <c r="A27" s="45"/>
      <c r="B27" s="414"/>
      <c r="C27" s="15"/>
      <c r="E27" s="17">
        <f>+H39*ACCEPT!C10</f>
        <v>0</v>
      </c>
      <c r="F27" s="414"/>
      <c r="G27" s="35" t="s">
        <v>237</v>
      </c>
      <c r="H27" s="35"/>
      <c r="I27" s="459" t="s">
        <v>238</v>
      </c>
      <c r="J27" s="49" t="s">
        <v>239</v>
      </c>
      <c r="K27" s="15"/>
      <c r="L27" s="15"/>
      <c r="M27" s="414"/>
      <c r="N27" s="414"/>
      <c r="O27" s="414"/>
      <c r="Q27" s="45"/>
      <c r="S27" s="414"/>
      <c r="T27" s="414"/>
      <c r="U27" s="414"/>
      <c r="X27" s="414"/>
      <c r="AA27" s="414"/>
      <c r="AD27" s="414"/>
    </row>
    <row r="28" spans="1:32">
      <c r="A28" s="45"/>
      <c r="B28" s="414"/>
      <c r="E28" s="414"/>
      <c r="F28" s="414"/>
      <c r="G28" s="36">
        <f>+I28</f>
        <v>0</v>
      </c>
      <c r="H28" s="36">
        <f>+J28</f>
        <v>0</v>
      </c>
      <c r="I28" s="48">
        <f>+G21-K29</f>
        <v>0</v>
      </c>
      <c r="J28" s="460">
        <f>+H25-L29</f>
        <v>0</v>
      </c>
      <c r="K28" s="15"/>
      <c r="L28" s="15"/>
      <c r="M28" s="414"/>
      <c r="N28" s="414"/>
      <c r="O28" s="414"/>
      <c r="Q28" s="45"/>
      <c r="S28" s="414"/>
      <c r="T28" s="414"/>
      <c r="U28" s="414"/>
      <c r="X28" s="414"/>
      <c r="AA28" s="414"/>
      <c r="AD28" s="414"/>
    </row>
    <row r="29" spans="1:32" ht="12.95" thickBot="1">
      <c r="A29" s="45"/>
      <c r="B29" s="414"/>
      <c r="E29" s="414"/>
      <c r="F29" s="414"/>
      <c r="I29" s="438"/>
      <c r="J29" s="438"/>
      <c r="K29" s="38">
        <f>+G21*MISC!E6</f>
        <v>0</v>
      </c>
      <c r="L29" s="461">
        <f>+H25*(MISC!E6)</f>
        <v>0</v>
      </c>
      <c r="M29" s="414"/>
      <c r="N29" s="414"/>
      <c r="O29" s="414"/>
      <c r="P29" s="414"/>
      <c r="Q29" s="45"/>
      <c r="S29" s="414"/>
      <c r="T29" s="414"/>
      <c r="U29" s="414"/>
      <c r="X29" s="414"/>
      <c r="AA29" s="414"/>
      <c r="AD29" s="414"/>
    </row>
    <row r="30" spans="1:32" ht="13.5" thickBot="1">
      <c r="A30" s="45"/>
      <c r="B30" s="414"/>
      <c r="C30" s="149" t="s">
        <v>240</v>
      </c>
      <c r="D30" s="147"/>
      <c r="E30" s="414"/>
      <c r="F30" s="414"/>
      <c r="G30" s="137" t="s">
        <v>241</v>
      </c>
      <c r="H30" s="138"/>
      <c r="I30" s="48"/>
      <c r="J30" s="414"/>
      <c r="K30" s="38"/>
      <c r="L30" s="38"/>
      <c r="M30" s="420"/>
      <c r="N30" s="421"/>
      <c r="O30" s="32"/>
      <c r="P30" s="32"/>
      <c r="Q30" s="133"/>
      <c r="S30" s="144" t="s">
        <v>223</v>
      </c>
      <c r="T30" s="145"/>
      <c r="U30" s="414"/>
      <c r="V30" s="15">
        <f>+T32*(1-ACCEPT!C17)</f>
        <v>0</v>
      </c>
      <c r="W30" s="16" t="s">
        <v>242</v>
      </c>
      <c r="X30" s="414"/>
      <c r="AA30" s="163" t="s">
        <v>221</v>
      </c>
      <c r="AB30" s="145"/>
      <c r="AD30" s="18"/>
      <c r="AE30" s="414"/>
    </row>
    <row r="31" spans="1:32" ht="12.95">
      <c r="A31" s="45"/>
      <c r="B31" s="414"/>
      <c r="C31" s="150"/>
      <c r="D31" s="148"/>
      <c r="E31" s="414"/>
      <c r="F31" s="414"/>
      <c r="G31" s="142"/>
      <c r="H31" s="141"/>
      <c r="I31" s="48"/>
      <c r="J31" s="462"/>
      <c r="M31" s="128">
        <f>+J28*MISC!E5</f>
        <v>0</v>
      </c>
      <c r="N31" s="127">
        <f>+M31+M32</f>
        <v>0</v>
      </c>
      <c r="O31" s="16" t="s">
        <v>243</v>
      </c>
      <c r="P31" s="17"/>
      <c r="Q31" s="134"/>
      <c r="S31" s="148"/>
      <c r="T31" s="159"/>
      <c r="U31" s="15"/>
      <c r="V31" s="15"/>
      <c r="W31" s="17"/>
      <c r="X31" s="15"/>
      <c r="AA31" s="164"/>
      <c r="AB31" s="159"/>
      <c r="AD31" s="3"/>
      <c r="AE31" s="414"/>
    </row>
    <row r="32" spans="1:32" ht="12.95">
      <c r="A32" s="45"/>
      <c r="B32" s="414"/>
      <c r="C32" s="152">
        <f>+D36+C36</f>
        <v>0</v>
      </c>
      <c r="D32" s="152">
        <f>+D36</f>
        <v>0</v>
      </c>
      <c r="E32" s="414"/>
      <c r="F32" s="414"/>
      <c r="G32" s="142">
        <f>+I28+H32</f>
        <v>0</v>
      </c>
      <c r="H32" s="142">
        <f>+J28</f>
        <v>0</v>
      </c>
      <c r="I32" s="48"/>
      <c r="J32" s="462"/>
      <c r="K32" s="15"/>
      <c r="L32" s="15"/>
      <c r="M32" s="74">
        <f>+I28*MISC!E5</f>
        <v>0</v>
      </c>
      <c r="N32" s="32"/>
      <c r="O32" s="32"/>
      <c r="P32" s="33"/>
      <c r="Q32" s="34"/>
      <c r="R32" s="15"/>
      <c r="S32" s="142">
        <f>+T32*(1+DENSITY!B13)</f>
        <v>0</v>
      </c>
      <c r="T32" s="159">
        <f>+K8+N17+N43+N48+N75+W17+W24</f>
        <v>0</v>
      </c>
      <c r="U32" s="15"/>
      <c r="X32" s="414"/>
      <c r="AA32" s="142">
        <f>+AB32</f>
        <v>0</v>
      </c>
      <c r="AB32" s="159">
        <f>+Q7+N64+N72+V30+AD16+AD24</f>
        <v>0</v>
      </c>
      <c r="AD32" s="3"/>
      <c r="AE32" s="39"/>
    </row>
    <row r="33" spans="1:35" ht="13.5" thickBot="1">
      <c r="A33" s="45"/>
      <c r="B33" s="414"/>
      <c r="C33" s="151"/>
      <c r="D33" s="143"/>
      <c r="E33" s="414"/>
      <c r="F33" s="414"/>
      <c r="G33" s="143"/>
      <c r="H33" s="143"/>
      <c r="I33" s="48"/>
      <c r="J33" s="414"/>
      <c r="M33" s="414"/>
      <c r="N33" s="414"/>
      <c r="O33" s="414"/>
      <c r="Q33" s="37"/>
      <c r="S33" s="143"/>
      <c r="T33" s="157"/>
      <c r="U33" s="15"/>
      <c r="V33" s="15">
        <f>+T32*ACCEPT!C17</f>
        <v>0</v>
      </c>
      <c r="W33" s="15">
        <f>+V33*DENSITY!$G$13</f>
        <v>0</v>
      </c>
      <c r="X33" s="22" t="s">
        <v>229</v>
      </c>
      <c r="AA33" s="165"/>
      <c r="AB33" s="157"/>
      <c r="AC33" s="15"/>
      <c r="AD33" s="15">
        <f>+AB32*DENSITY!F16</f>
        <v>0</v>
      </c>
      <c r="AE33" s="22" t="s">
        <v>234</v>
      </c>
      <c r="AF33" s="15"/>
      <c r="AG33" s="414"/>
      <c r="AH33" s="414"/>
      <c r="AI33" s="414"/>
    </row>
    <row r="34" spans="1:35" ht="12.95">
      <c r="A34" s="45"/>
      <c r="B34" s="414"/>
      <c r="E34" s="414"/>
      <c r="F34" s="414"/>
      <c r="G34" s="35" t="s">
        <v>237</v>
      </c>
      <c r="H34" s="35"/>
      <c r="I34" s="459" t="s">
        <v>238</v>
      </c>
      <c r="J34" s="49" t="s">
        <v>239</v>
      </c>
      <c r="K34" s="15"/>
      <c r="L34" s="15"/>
      <c r="M34" s="414"/>
      <c r="N34" s="414"/>
      <c r="O34" s="414"/>
      <c r="Q34" s="37"/>
      <c r="S34" s="3"/>
      <c r="T34" s="414"/>
      <c r="U34" s="414"/>
      <c r="W34" s="15">
        <f>+V33*DENSITY!$F$13</f>
        <v>0</v>
      </c>
      <c r="X34" s="22" t="s">
        <v>226</v>
      </c>
      <c r="AA34" s="414"/>
      <c r="AB34" s="414"/>
      <c r="AC34" s="15"/>
      <c r="AD34" s="15">
        <f>+AB32*DENSITY!G16</f>
        <v>0</v>
      </c>
      <c r="AE34" s="22" t="s">
        <v>227</v>
      </c>
      <c r="AF34" s="15"/>
      <c r="AG34" s="414"/>
      <c r="AH34" s="414"/>
      <c r="AI34" s="414"/>
    </row>
    <row r="35" spans="1:35">
      <c r="A35" s="45"/>
      <c r="B35" s="414"/>
      <c r="D35" s="15"/>
      <c r="E35" s="414"/>
      <c r="F35" s="414"/>
      <c r="G35" s="36">
        <f>+I35</f>
        <v>0</v>
      </c>
      <c r="H35" s="36">
        <f>+J35</f>
        <v>0</v>
      </c>
      <c r="I35" s="48">
        <f>+I28-M32</f>
        <v>0</v>
      </c>
      <c r="J35" s="15">
        <f>+J28-M31</f>
        <v>0</v>
      </c>
      <c r="K35" s="15"/>
      <c r="L35" s="15"/>
      <c r="M35" s="414"/>
      <c r="N35" s="414"/>
      <c r="O35" s="414"/>
      <c r="Q35" s="37"/>
      <c r="S35" s="414"/>
      <c r="T35" s="414"/>
      <c r="U35" s="414"/>
      <c r="X35" s="414"/>
      <c r="AA35" s="414"/>
      <c r="AD35" s="414"/>
      <c r="AG35" s="414"/>
      <c r="AH35" s="414"/>
      <c r="AI35" s="414"/>
    </row>
    <row r="36" spans="1:35" ht="12.95" thickBot="1">
      <c r="A36" s="45"/>
      <c r="B36" s="414"/>
      <c r="C36" s="69"/>
      <c r="D36" s="15">
        <f>+H39*ACCEPT!C12</f>
        <v>0</v>
      </c>
      <c r="E36" s="414"/>
      <c r="F36" s="414"/>
      <c r="I36" s="15"/>
      <c r="J36" s="17"/>
      <c r="K36" s="15"/>
      <c r="L36" s="15"/>
      <c r="M36" s="414"/>
      <c r="N36" s="414"/>
      <c r="O36" s="414"/>
      <c r="Q36" s="37"/>
      <c r="S36" s="414"/>
      <c r="T36" s="414"/>
      <c r="U36" s="414"/>
      <c r="X36" s="414"/>
      <c r="AA36" s="414"/>
      <c r="AD36" s="414"/>
      <c r="AG36" s="414"/>
      <c r="AH36" s="414"/>
      <c r="AI36" s="414"/>
    </row>
    <row r="37" spans="1:35" ht="13.5" thickBot="1">
      <c r="A37" s="45"/>
      <c r="B37" s="414"/>
      <c r="E37" s="414"/>
      <c r="F37" s="414"/>
      <c r="G37" s="144" t="s">
        <v>244</v>
      </c>
      <c r="H37" s="145"/>
      <c r="I37" s="15"/>
      <c r="J37" s="17"/>
      <c r="K37" s="15"/>
      <c r="L37" s="15"/>
      <c r="M37" s="414"/>
      <c r="N37" s="414"/>
      <c r="O37" s="414"/>
      <c r="Q37" s="37"/>
      <c r="S37" s="414"/>
      <c r="T37" s="414"/>
      <c r="U37" s="414"/>
      <c r="X37" s="414"/>
      <c r="AA37" s="414"/>
      <c r="AD37" s="414"/>
      <c r="AG37" s="414"/>
      <c r="AH37" s="414"/>
      <c r="AI37" s="414"/>
    </row>
    <row r="38" spans="1:35" ht="13.5" thickBot="1">
      <c r="A38" s="45"/>
      <c r="B38" s="414"/>
      <c r="D38" s="16" t="s">
        <v>245</v>
      </c>
      <c r="E38" s="17"/>
      <c r="F38" s="414"/>
      <c r="G38" s="139"/>
      <c r="H38" s="148"/>
      <c r="J38" s="414"/>
      <c r="M38" s="414"/>
      <c r="N38" s="33"/>
      <c r="O38" s="414"/>
      <c r="Q38" s="37"/>
      <c r="S38" s="144" t="s">
        <v>226</v>
      </c>
      <c r="T38" s="145"/>
      <c r="U38" s="3"/>
      <c r="V38" s="15">
        <f>+T40*(1-ACCEPT!C18)</f>
        <v>0</v>
      </c>
      <c r="W38" s="16" t="s">
        <v>246</v>
      </c>
      <c r="X38" s="15"/>
      <c r="AA38" s="163" t="s">
        <v>234</v>
      </c>
      <c r="AB38" s="145"/>
      <c r="AD38" s="18"/>
      <c r="AE38" s="414"/>
      <c r="AG38" s="414"/>
      <c r="AH38" s="414"/>
      <c r="AI38" s="414"/>
    </row>
    <row r="39" spans="1:35" ht="12.95">
      <c r="A39" s="45"/>
      <c r="B39" s="414"/>
      <c r="E39" s="414"/>
      <c r="F39" s="414"/>
      <c r="G39" s="139">
        <f>+H39+E40+I35+K29</f>
        <v>0</v>
      </c>
      <c r="H39" s="142">
        <f>+J35+L29</f>
        <v>0</v>
      </c>
      <c r="J39" s="414"/>
      <c r="K39" s="15"/>
      <c r="L39" s="72">
        <f>+H39*ACCEPT!C13</f>
        <v>0</v>
      </c>
      <c r="M39" s="414"/>
      <c r="N39" s="463">
        <f>+L39+L40</f>
        <v>0</v>
      </c>
      <c r="O39" s="16" t="s">
        <v>233</v>
      </c>
      <c r="P39" s="17"/>
      <c r="Q39" s="134"/>
      <c r="S39" s="148"/>
      <c r="T39" s="159"/>
      <c r="U39" s="15"/>
      <c r="V39" s="15"/>
      <c r="W39" s="17"/>
      <c r="X39" s="15"/>
      <c r="AA39" s="164"/>
      <c r="AB39" s="159"/>
      <c r="AD39" s="3"/>
      <c r="AE39" s="414"/>
      <c r="AG39" s="3"/>
      <c r="AH39" s="414"/>
      <c r="AI39" s="414"/>
    </row>
    <row r="40" spans="1:35" ht="13.5" thickBot="1">
      <c r="A40" s="45"/>
      <c r="B40" s="414"/>
      <c r="E40" s="15">
        <f>+H39*ACCEPT!C11</f>
        <v>0</v>
      </c>
      <c r="F40" s="414"/>
      <c r="G40" s="140"/>
      <c r="H40" s="143"/>
      <c r="J40" s="414"/>
      <c r="L40" s="72">
        <f>+(G39-H39)*(1-ACCEPT!C9)</f>
        <v>0</v>
      </c>
      <c r="M40" s="414"/>
      <c r="N40" s="15"/>
      <c r="O40" s="17"/>
      <c r="P40" s="17"/>
      <c r="Q40" s="134"/>
      <c r="R40" s="15"/>
      <c r="S40" s="142">
        <f>+T40</f>
        <v>0</v>
      </c>
      <c r="T40" s="159">
        <f>+K9+N18+N44+N49+N76+W18+W25+W34</f>
        <v>0</v>
      </c>
      <c r="U40" s="15"/>
      <c r="V40" s="15"/>
      <c r="W40" s="17"/>
      <c r="X40" s="15"/>
      <c r="AA40" s="142">
        <f>+AB40</f>
        <v>0</v>
      </c>
      <c r="AB40" s="159">
        <f>+Q8+V38+AD33+AD25+AD17</f>
        <v>0</v>
      </c>
      <c r="AD40" s="3"/>
      <c r="AE40" s="39"/>
      <c r="AG40" s="3"/>
      <c r="AH40" s="414"/>
      <c r="AI40" s="414"/>
    </row>
    <row r="41" spans="1:35" ht="13.5" thickBot="1">
      <c r="A41" s="45"/>
      <c r="B41" s="414"/>
      <c r="D41" s="15"/>
      <c r="E41" s="22"/>
      <c r="F41" s="40" t="s">
        <v>247</v>
      </c>
      <c r="J41" s="414"/>
      <c r="M41" s="414"/>
      <c r="N41" s="15">
        <f>+J42*DENSITY!C8</f>
        <v>0</v>
      </c>
      <c r="O41" s="22" t="s">
        <v>225</v>
      </c>
      <c r="P41" s="17"/>
      <c r="Q41" s="37"/>
      <c r="S41" s="143"/>
      <c r="T41" s="157"/>
      <c r="U41" s="15"/>
      <c r="V41" s="15">
        <f>+T40*(ACCEPT!C18)</f>
        <v>0</v>
      </c>
      <c r="W41" s="22" t="s">
        <v>229</v>
      </c>
      <c r="X41" s="15"/>
      <c r="AA41" s="165"/>
      <c r="AB41" s="157"/>
      <c r="AC41" s="414"/>
      <c r="AD41" s="15">
        <f>+AB40</f>
        <v>0</v>
      </c>
      <c r="AE41" s="22" t="s">
        <v>227</v>
      </c>
      <c r="AG41" s="414"/>
      <c r="AH41" s="414"/>
      <c r="AI41" s="414"/>
    </row>
    <row r="42" spans="1:35" ht="12.95">
      <c r="A42" s="45"/>
      <c r="B42" s="414"/>
      <c r="E42" s="414"/>
      <c r="F42" s="414"/>
      <c r="H42" s="71">
        <f>+H39*ACCEPT!C9</f>
        <v>0</v>
      </c>
      <c r="J42" s="464">
        <f>+H42+H43</f>
        <v>0</v>
      </c>
      <c r="M42" s="414"/>
      <c r="N42" s="15">
        <f>+J42*DENSITY!D8</f>
        <v>0</v>
      </c>
      <c r="O42" s="22" t="s">
        <v>228</v>
      </c>
      <c r="P42" s="17"/>
      <c r="Q42" s="134"/>
      <c r="R42" s="33"/>
      <c r="S42" s="414"/>
      <c r="T42" s="414"/>
      <c r="U42" s="414"/>
      <c r="X42" s="414"/>
      <c r="AA42" s="414"/>
      <c r="AD42" s="414"/>
      <c r="AG42" s="3"/>
      <c r="AH42" s="414"/>
      <c r="AI42" s="414"/>
    </row>
    <row r="43" spans="1:35" ht="12.95">
      <c r="A43" s="45"/>
      <c r="B43" s="414"/>
      <c r="C43" s="73"/>
      <c r="E43" s="414"/>
      <c r="F43" s="414"/>
      <c r="G43" s="414"/>
      <c r="H43" s="71">
        <f>+(G39-H39)*ACCEPT!C9</f>
        <v>0</v>
      </c>
      <c r="J43" s="414"/>
      <c r="M43" s="414"/>
      <c r="N43" s="15">
        <f>+J42*DENSITY!E8</f>
        <v>0</v>
      </c>
      <c r="O43" s="22" t="s">
        <v>223</v>
      </c>
      <c r="P43" s="17"/>
      <c r="Q43" s="134"/>
      <c r="R43" s="33"/>
      <c r="S43" s="414"/>
      <c r="T43" s="414"/>
      <c r="U43" s="414"/>
      <c r="X43" s="414"/>
      <c r="AA43" s="414"/>
      <c r="AD43" s="414"/>
      <c r="AG43" s="3"/>
      <c r="AH43" s="414"/>
      <c r="AI43" s="414"/>
    </row>
    <row r="44" spans="1:35" ht="12.95">
      <c r="A44" s="45"/>
      <c r="B44" s="414"/>
      <c r="D44" s="33"/>
      <c r="E44" s="414"/>
      <c r="F44" s="414"/>
      <c r="G44" s="414"/>
      <c r="H44" s="9"/>
      <c r="I44" s="414"/>
      <c r="J44" s="9"/>
      <c r="M44" s="414"/>
      <c r="N44" s="15">
        <f>+J42*DENSITY!F8</f>
        <v>0</v>
      </c>
      <c r="O44" s="22" t="s">
        <v>226</v>
      </c>
      <c r="P44" s="17"/>
      <c r="Q44" s="134"/>
      <c r="R44" s="33"/>
      <c r="S44" s="414"/>
      <c r="T44" s="414"/>
      <c r="U44" s="414"/>
      <c r="X44" s="414"/>
      <c r="AA44" s="414"/>
      <c r="AD44" s="414"/>
      <c r="AG44" s="3"/>
      <c r="AH44" s="414"/>
      <c r="AI44" s="414"/>
    </row>
    <row r="45" spans="1:35" ht="12.95">
      <c r="A45" s="45"/>
      <c r="B45" s="414"/>
      <c r="C45" s="414"/>
      <c r="D45" s="414"/>
      <c r="E45" s="414"/>
      <c r="F45" s="414"/>
      <c r="G45" s="414"/>
      <c r="H45" s="9"/>
      <c r="I45" s="414"/>
      <c r="J45" s="9"/>
      <c r="M45" s="414"/>
      <c r="N45" s="15">
        <f>+J42*DENSITY!G8</f>
        <v>0</v>
      </c>
      <c r="O45" s="22" t="s">
        <v>229</v>
      </c>
      <c r="P45" s="17"/>
      <c r="Q45" s="134"/>
      <c r="R45" s="33"/>
      <c r="S45" s="414"/>
      <c r="T45" s="414"/>
      <c r="U45" s="414"/>
      <c r="X45" s="414"/>
      <c r="AA45" s="414"/>
      <c r="AD45" s="414"/>
      <c r="AG45" s="3"/>
      <c r="AH45" s="414"/>
      <c r="AI45" s="414"/>
    </row>
    <row r="46" spans="1:35" ht="12.95" thickBot="1">
      <c r="A46" s="45"/>
      <c r="B46" s="414"/>
      <c r="C46" s="414"/>
      <c r="D46" s="414"/>
      <c r="E46" s="414"/>
      <c r="F46" s="414"/>
      <c r="G46" s="414"/>
      <c r="J46" s="414"/>
      <c r="M46" s="414"/>
      <c r="N46" s="414"/>
      <c r="O46" s="414"/>
      <c r="Q46" s="134"/>
      <c r="R46" s="33"/>
      <c r="S46" s="414"/>
      <c r="T46" s="414"/>
      <c r="U46" s="414"/>
      <c r="X46" s="414"/>
      <c r="AA46" s="414"/>
      <c r="AD46" s="414"/>
      <c r="AG46" s="3"/>
      <c r="AH46" s="414"/>
      <c r="AI46" s="414"/>
    </row>
    <row r="47" spans="1:35" ht="13.5" thickBot="1">
      <c r="A47" s="136"/>
      <c r="B47" s="27" t="s">
        <v>248</v>
      </c>
      <c r="C47" s="28"/>
      <c r="D47" s="130"/>
      <c r="E47" s="131"/>
      <c r="F47" s="131"/>
      <c r="G47" s="130"/>
      <c r="H47" s="130"/>
      <c r="I47" s="130"/>
      <c r="J47" s="131"/>
      <c r="K47" s="130"/>
      <c r="L47" s="130"/>
      <c r="M47" s="131"/>
      <c r="N47" s="131"/>
      <c r="O47" s="131"/>
      <c r="P47" s="130"/>
      <c r="Q47" s="132"/>
      <c r="S47" s="3"/>
      <c r="T47" s="3"/>
      <c r="U47" s="3"/>
      <c r="W47" s="144" t="s">
        <v>249</v>
      </c>
      <c r="X47" s="145"/>
      <c r="Z47" s="15">
        <f>+X49*(1-ACCEPT!C19)</f>
        <v>0</v>
      </c>
      <c r="AA47" s="16" t="s">
        <v>250</v>
      </c>
      <c r="AB47" s="15"/>
      <c r="AD47" s="414"/>
      <c r="AG47" s="3"/>
      <c r="AH47" s="39"/>
      <c r="AI47" s="3"/>
    </row>
    <row r="48" spans="1:35" ht="13.5" thickBot="1">
      <c r="A48" s="45"/>
      <c r="B48" s="414"/>
      <c r="E48" s="414"/>
      <c r="F48" s="414"/>
      <c r="I48" s="71">
        <f>+H51*ACCEPT!C5</f>
        <v>0</v>
      </c>
      <c r="J48" s="414"/>
      <c r="K48" s="458">
        <f>+I48+I49</f>
        <v>0</v>
      </c>
      <c r="L48" s="458"/>
      <c r="M48" s="17"/>
      <c r="N48" s="15">
        <f>+K48*DENSITY!E11</f>
        <v>0</v>
      </c>
      <c r="O48" s="22" t="s">
        <v>223</v>
      </c>
      <c r="P48" s="414"/>
      <c r="Q48" s="45"/>
      <c r="R48" s="414"/>
      <c r="S48" s="3"/>
      <c r="T48" s="414"/>
      <c r="U48" s="414"/>
      <c r="V48" s="15">
        <f>+T56*(MISC!E16+MISC!E17)</f>
        <v>0</v>
      </c>
      <c r="W48" s="148"/>
      <c r="X48" s="159"/>
      <c r="Y48" s="15"/>
      <c r="Z48" s="15"/>
      <c r="AA48" s="17"/>
      <c r="AB48" s="15"/>
      <c r="AD48" s="414"/>
      <c r="AG48" s="414"/>
      <c r="AH48" s="414"/>
      <c r="AI48" s="3"/>
    </row>
    <row r="49" spans="1:35" ht="13.5" thickBot="1">
      <c r="A49" s="45"/>
      <c r="B49" s="414"/>
      <c r="E49" s="414"/>
      <c r="F49" s="414"/>
      <c r="G49" s="146" t="s">
        <v>220</v>
      </c>
      <c r="H49" s="147"/>
      <c r="I49" s="71">
        <f>(C53+E59)*ACCEPT!C5</f>
        <v>0</v>
      </c>
      <c r="J49" s="414"/>
      <c r="K49" s="15"/>
      <c r="L49" s="15"/>
      <c r="M49" s="17"/>
      <c r="N49" s="15">
        <f>+K48*DENSITY!F11</f>
        <v>0</v>
      </c>
      <c r="O49" s="22" t="s">
        <v>226</v>
      </c>
      <c r="P49" s="414"/>
      <c r="Q49" s="45"/>
      <c r="R49" s="414"/>
      <c r="S49" s="3"/>
      <c r="T49" s="414"/>
      <c r="U49" s="414"/>
      <c r="V49" s="15"/>
      <c r="W49" s="142">
        <f>+X49</f>
        <v>0</v>
      </c>
      <c r="X49" s="159">
        <f>+V48</f>
        <v>0</v>
      </c>
      <c r="Y49" s="15"/>
      <c r="Z49" s="15"/>
      <c r="AA49" s="78"/>
      <c r="AB49" s="15"/>
      <c r="AD49" s="414"/>
      <c r="AG49" s="414"/>
      <c r="AH49" s="414"/>
      <c r="AI49" s="3"/>
    </row>
    <row r="50" spans="1:35" ht="13.5" thickBot="1">
      <c r="A50" s="45"/>
      <c r="B50" s="414"/>
      <c r="E50" s="414"/>
      <c r="F50" s="414"/>
      <c r="G50" s="142"/>
      <c r="H50" s="142"/>
      <c r="J50" s="414"/>
      <c r="K50" s="15"/>
      <c r="L50" s="15"/>
      <c r="M50" s="17"/>
      <c r="N50" s="15">
        <f>+K48*DENSITY!G11</f>
        <v>0</v>
      </c>
      <c r="O50" s="22" t="s">
        <v>229</v>
      </c>
      <c r="P50" s="414"/>
      <c r="Q50" s="45"/>
      <c r="R50" s="414"/>
      <c r="S50" s="3"/>
      <c r="T50" s="414"/>
      <c r="U50" s="414"/>
      <c r="V50" s="15"/>
      <c r="W50" s="143"/>
      <c r="X50" s="157"/>
      <c r="Y50" s="15"/>
      <c r="AA50" s="414"/>
      <c r="AB50" s="15"/>
      <c r="AD50" s="414"/>
      <c r="AE50" s="38">
        <f>+T56*MISC!E16*ACCEPT!C19</f>
        <v>0</v>
      </c>
      <c r="AF50" s="465" t="s">
        <v>251</v>
      </c>
      <c r="AG50" s="414"/>
      <c r="AH50" s="414"/>
      <c r="AI50" s="3"/>
    </row>
    <row r="51" spans="1:35">
      <c r="A51" s="45"/>
      <c r="B51" s="414"/>
      <c r="E51" s="414"/>
      <c r="F51" s="414"/>
      <c r="G51" s="153">
        <f>+H51*(1+DENSITY!B11)+C53+E59</f>
        <v>0</v>
      </c>
      <c r="H51" s="142">
        <f>+K7</f>
        <v>0</v>
      </c>
      <c r="J51" s="414"/>
      <c r="K51" s="38"/>
      <c r="L51" s="38"/>
      <c r="M51" s="414"/>
      <c r="N51" s="414"/>
      <c r="O51" s="414"/>
      <c r="Q51" s="37"/>
      <c r="S51" s="3"/>
      <c r="T51" s="414"/>
      <c r="U51" s="414"/>
      <c r="V51" s="15"/>
      <c r="W51" s="414"/>
      <c r="X51" s="414"/>
      <c r="AA51" s="414"/>
      <c r="AB51" s="15"/>
      <c r="AD51" s="414"/>
      <c r="AG51" s="414"/>
      <c r="AH51" s="414"/>
      <c r="AI51" s="3"/>
    </row>
    <row r="52" spans="1:35" ht="12.95" thickBot="1">
      <c r="A52" s="45"/>
      <c r="B52" s="414"/>
      <c r="E52" s="414"/>
      <c r="F52" s="414"/>
      <c r="G52" s="143"/>
      <c r="H52" s="143"/>
      <c r="I52" s="38"/>
      <c r="J52" s="47"/>
      <c r="K52" s="38"/>
      <c r="L52" s="38"/>
      <c r="M52" s="414"/>
      <c r="N52" s="414"/>
      <c r="O52" s="414"/>
      <c r="Q52" s="37"/>
      <c r="S52" s="3"/>
      <c r="T52" s="414"/>
      <c r="U52" s="414"/>
      <c r="V52" s="15"/>
      <c r="W52" s="414"/>
      <c r="X52" s="15">
        <f>+X49-Z47-AE50</f>
        <v>0</v>
      </c>
      <c r="Y52" s="15"/>
      <c r="Z52" s="15"/>
      <c r="AA52" s="17"/>
      <c r="AB52" s="15"/>
      <c r="AD52" s="414"/>
      <c r="AE52" s="414"/>
      <c r="AG52" s="414"/>
      <c r="AH52" s="414"/>
      <c r="AI52" s="3"/>
    </row>
    <row r="53" spans="1:35" ht="13.5" thickBot="1">
      <c r="A53" s="45"/>
      <c r="B53" s="414"/>
      <c r="C53" s="48">
        <f>+C65</f>
        <v>0</v>
      </c>
      <c r="D53" s="15"/>
      <c r="E53" s="414"/>
      <c r="F53" s="414"/>
      <c r="J53" s="414"/>
      <c r="M53" s="414"/>
      <c r="N53" s="414"/>
      <c r="O53" s="414"/>
      <c r="Q53" s="37"/>
      <c r="S53" s="3"/>
      <c r="T53" s="414"/>
      <c r="U53" s="414"/>
      <c r="V53" s="15"/>
      <c r="W53" s="414"/>
      <c r="X53" s="414"/>
      <c r="Y53" s="15"/>
      <c r="Z53" s="15"/>
      <c r="AA53" s="17"/>
      <c r="AB53" s="15"/>
      <c r="AD53" s="414"/>
      <c r="AG53" s="414"/>
      <c r="AH53" s="39"/>
      <c r="AI53" s="3"/>
    </row>
    <row r="54" spans="1:35" ht="13.5" thickBot="1">
      <c r="A54" s="45"/>
      <c r="B54" s="414"/>
      <c r="E54" s="414"/>
      <c r="F54" s="414"/>
      <c r="G54" s="15">
        <f>+(C53+E59)*(1-ACCEPT!C5)</f>
        <v>0</v>
      </c>
      <c r="H54" s="15">
        <f>+H51*(1-ACCEPT!C5)</f>
        <v>0</v>
      </c>
      <c r="I54" s="48"/>
      <c r="J54" s="15"/>
      <c r="M54" s="414"/>
      <c r="N54" s="414"/>
      <c r="O54" s="414"/>
      <c r="Q54" s="37"/>
      <c r="S54" s="144" t="s">
        <v>229</v>
      </c>
      <c r="T54" s="145"/>
      <c r="U54" s="414"/>
      <c r="V54" s="15"/>
      <c r="W54" s="144" t="s">
        <v>252</v>
      </c>
      <c r="X54" s="145"/>
      <c r="Z54" s="15">
        <f>+(X56*(1-ACCEPT!C22))+(X56*ACCEPT!C22)*(1-ACCEPT!C23)+(X56*ACCEPT!C22*ACCEPT!C23*(1-ACCEPT!C23))</f>
        <v>0</v>
      </c>
      <c r="AA54" s="16" t="s">
        <v>250</v>
      </c>
      <c r="AB54" s="15"/>
      <c r="AD54" s="414"/>
      <c r="AG54" s="414"/>
      <c r="AH54" s="3"/>
      <c r="AI54" s="3"/>
    </row>
    <row r="55" spans="1:35" ht="12.95" thickBot="1">
      <c r="A55" s="45"/>
      <c r="B55" s="414"/>
      <c r="E55" s="414"/>
      <c r="F55" s="414"/>
      <c r="G55" s="36"/>
      <c r="H55" s="36"/>
      <c r="J55" s="414"/>
      <c r="M55" s="414"/>
      <c r="N55" s="414"/>
      <c r="O55" s="414"/>
      <c r="Q55" s="37"/>
      <c r="S55" s="148"/>
      <c r="T55" s="159"/>
      <c r="U55" s="414"/>
      <c r="V55" s="15"/>
      <c r="W55" s="148"/>
      <c r="X55" s="159"/>
      <c r="Y55" s="15"/>
      <c r="Z55" s="15"/>
      <c r="AA55" s="17"/>
      <c r="AB55" s="15"/>
      <c r="AD55" s="414"/>
      <c r="AG55" s="3"/>
      <c r="AH55" s="3"/>
      <c r="AI55" s="3"/>
    </row>
    <row r="56" spans="1:35" ht="13.5" thickBot="1">
      <c r="A56" s="45"/>
      <c r="B56" s="414"/>
      <c r="E56" s="414"/>
      <c r="F56" s="414"/>
      <c r="G56" s="144" t="s">
        <v>222</v>
      </c>
      <c r="H56" s="145"/>
      <c r="J56" s="414"/>
      <c r="M56" s="414"/>
      <c r="N56" s="414"/>
      <c r="O56" s="414"/>
      <c r="Q56" s="37"/>
      <c r="S56" s="142">
        <f>+T56</f>
        <v>0</v>
      </c>
      <c r="T56" s="159">
        <f>+K10+N19+N45+N50+N77+W19+W26+W33+V41</f>
        <v>0</v>
      </c>
      <c r="U56" s="414"/>
      <c r="V56" s="15"/>
      <c r="W56" s="142">
        <f>++X56+(X56*ACCEPT!C22)+(X56*ACCEPT!C22*ACCEPT!C23)</f>
        <v>0</v>
      </c>
      <c r="X56" s="159">
        <f>+X52</f>
        <v>0</v>
      </c>
      <c r="Y56" s="15"/>
      <c r="Z56" s="15"/>
      <c r="AA56" s="17"/>
      <c r="AB56" s="15"/>
      <c r="AD56" s="9"/>
      <c r="AG56" s="414"/>
      <c r="AH56" s="3"/>
      <c r="AI56" s="3"/>
    </row>
    <row r="57" spans="1:35" ht="13.5" thickBot="1">
      <c r="A57" s="45"/>
      <c r="B57" s="414"/>
      <c r="E57" s="414"/>
      <c r="F57" s="414"/>
      <c r="G57" s="154"/>
      <c r="H57" s="148"/>
      <c r="J57" s="414"/>
      <c r="M57" s="414"/>
      <c r="N57" s="414"/>
      <c r="O57" s="414"/>
      <c r="Q57" s="37"/>
      <c r="S57" s="143"/>
      <c r="T57" s="166"/>
      <c r="U57" s="414"/>
      <c r="V57" s="15"/>
      <c r="W57" s="143"/>
      <c r="X57" s="157"/>
      <c r="Y57" s="15"/>
      <c r="AA57" s="414"/>
      <c r="AB57" s="15"/>
      <c r="AD57" s="414"/>
      <c r="AE57" s="38">
        <f>+X56-Z54</f>
        <v>0</v>
      </c>
      <c r="AF57" s="465" t="s">
        <v>251</v>
      </c>
      <c r="AG57" s="414"/>
      <c r="AH57" s="3"/>
      <c r="AI57" s="3"/>
    </row>
    <row r="58" spans="1:35" ht="12.95">
      <c r="A58" s="45"/>
      <c r="B58" s="414"/>
      <c r="E58" s="414"/>
      <c r="F58" s="414"/>
      <c r="G58" s="139">
        <f>+H58+G54</f>
        <v>0</v>
      </c>
      <c r="H58" s="142">
        <f>+H54</f>
        <v>0</v>
      </c>
      <c r="I58" s="46" t="s">
        <v>253</v>
      </c>
      <c r="J58" s="47"/>
      <c r="M58" s="414"/>
      <c r="N58" s="414"/>
      <c r="O58" s="414"/>
      <c r="Q58" s="37"/>
      <c r="S58" s="3"/>
      <c r="T58" s="414"/>
      <c r="U58" s="414"/>
      <c r="V58" s="15"/>
      <c r="W58" s="414"/>
      <c r="X58" s="414"/>
      <c r="AA58" s="414"/>
      <c r="AB58" s="15"/>
      <c r="AD58" s="414"/>
      <c r="AG58" s="414"/>
      <c r="AH58" s="3"/>
      <c r="AI58" s="3"/>
    </row>
    <row r="59" spans="1:35" ht="12.95" thickBot="1">
      <c r="A59" s="45"/>
      <c r="B59" s="414"/>
      <c r="E59" s="17">
        <f>+H72*ACCEPT!C10</f>
        <v>0</v>
      </c>
      <c r="F59" s="414"/>
      <c r="G59" s="140"/>
      <c r="H59" s="143"/>
      <c r="J59" s="414"/>
      <c r="M59" s="414"/>
      <c r="N59" s="414"/>
      <c r="O59" s="414"/>
      <c r="Q59" s="37"/>
      <c r="S59" s="3"/>
      <c r="T59" s="414"/>
      <c r="U59" s="414"/>
      <c r="V59" s="15"/>
      <c r="W59" s="414"/>
      <c r="X59" s="414"/>
      <c r="Y59" s="15"/>
      <c r="Z59" s="15"/>
      <c r="AA59" s="17"/>
      <c r="AB59" s="15"/>
      <c r="AD59" s="414"/>
      <c r="AG59" s="414"/>
      <c r="AH59" s="3"/>
      <c r="AI59" s="3"/>
    </row>
    <row r="60" spans="1:35" ht="12.95" thickBot="1">
      <c r="A60" s="45"/>
      <c r="B60" s="414"/>
      <c r="E60" s="414"/>
      <c r="F60" s="414"/>
      <c r="G60" s="35" t="s">
        <v>237</v>
      </c>
      <c r="H60" s="35"/>
      <c r="J60" s="414"/>
      <c r="M60" s="414"/>
      <c r="N60" s="414"/>
      <c r="O60" s="414"/>
      <c r="Q60" s="37"/>
      <c r="S60" s="3"/>
      <c r="T60" s="414"/>
      <c r="U60" s="414"/>
      <c r="V60" s="15"/>
      <c r="W60" s="414"/>
      <c r="X60" s="414"/>
      <c r="Y60" s="15"/>
      <c r="Z60" s="15"/>
      <c r="AA60" s="17"/>
      <c r="AB60" s="15"/>
      <c r="AD60" s="414"/>
      <c r="AG60" s="414"/>
      <c r="AH60" s="3"/>
      <c r="AI60" s="3"/>
    </row>
    <row r="61" spans="1:35" ht="13.5" thickBot="1">
      <c r="A61" s="45"/>
      <c r="B61" s="414"/>
      <c r="E61" s="414"/>
      <c r="F61" s="414"/>
      <c r="G61" s="36">
        <f>+I62</f>
        <v>0</v>
      </c>
      <c r="H61" s="36">
        <f>+J62</f>
        <v>0</v>
      </c>
      <c r="I61" s="459" t="s">
        <v>238</v>
      </c>
      <c r="J61" s="49" t="s">
        <v>239</v>
      </c>
      <c r="M61" s="414"/>
      <c r="N61" s="414"/>
      <c r="O61" s="414"/>
      <c r="Q61" s="37"/>
      <c r="S61" s="3"/>
      <c r="T61" s="414"/>
      <c r="U61" s="414"/>
      <c r="V61" s="15"/>
      <c r="W61" s="144" t="s">
        <v>254</v>
      </c>
      <c r="X61" s="145"/>
      <c r="Z61" s="15">
        <f>+X63-AE64</f>
        <v>0</v>
      </c>
      <c r="AA61" s="16" t="s">
        <v>250</v>
      </c>
      <c r="AB61" s="15"/>
      <c r="AD61" s="414"/>
      <c r="AG61" s="414"/>
      <c r="AH61" s="3"/>
      <c r="AI61" s="3"/>
    </row>
    <row r="62" spans="1:35" ht="12.95" thickBot="1">
      <c r="A62" s="45"/>
      <c r="B62" s="414"/>
      <c r="E62" s="414"/>
      <c r="F62" s="414"/>
      <c r="I62" s="48">
        <f>+G54*(1-MISC!E6)</f>
        <v>0</v>
      </c>
      <c r="J62" s="76">
        <f>+H58*((1-MISC!E6))</f>
        <v>0</v>
      </c>
      <c r="K62" s="38">
        <f>+G54*MISC!E6</f>
        <v>0</v>
      </c>
      <c r="L62" s="415">
        <f>+H58*MISC!E6</f>
        <v>0</v>
      </c>
      <c r="M62" s="414"/>
      <c r="N62" s="414"/>
      <c r="O62" s="414"/>
      <c r="Q62" s="37"/>
      <c r="S62" s="3"/>
      <c r="T62" s="414"/>
      <c r="U62" s="414"/>
      <c r="V62" s="15"/>
      <c r="W62" s="148"/>
      <c r="X62" s="159"/>
      <c r="Y62" s="15"/>
      <c r="Z62" s="15"/>
      <c r="AA62" s="17"/>
      <c r="AB62" s="15"/>
      <c r="AD62" s="414"/>
      <c r="AG62" s="414"/>
      <c r="AH62" s="3"/>
      <c r="AI62" s="3"/>
    </row>
    <row r="63" spans="1:35" ht="13.5" thickBot="1">
      <c r="A63" s="45"/>
      <c r="B63" s="414"/>
      <c r="C63" s="149" t="s">
        <v>255</v>
      </c>
      <c r="D63" s="147"/>
      <c r="E63" s="414"/>
      <c r="F63" s="414"/>
      <c r="G63" s="144" t="s">
        <v>256</v>
      </c>
      <c r="H63" s="145"/>
      <c r="I63" s="48"/>
      <c r="J63" s="49"/>
      <c r="M63" s="414"/>
      <c r="N63" s="414"/>
      <c r="O63" s="414"/>
      <c r="Q63" s="37"/>
      <c r="S63" s="3"/>
      <c r="T63" s="414"/>
      <c r="U63" s="414"/>
      <c r="V63" s="15">
        <f>+T56*MISC!E18</f>
        <v>0</v>
      </c>
      <c r="W63" s="142">
        <f>+X63+X63*ACCEPT!C20</f>
        <v>0</v>
      </c>
      <c r="X63" s="159">
        <f>+V63</f>
        <v>0</v>
      </c>
      <c r="Y63" s="15"/>
      <c r="Z63" s="15"/>
      <c r="AA63" s="17"/>
      <c r="AB63" s="15"/>
      <c r="AD63" s="414"/>
      <c r="AG63" s="414"/>
      <c r="AH63" s="3"/>
      <c r="AI63" s="3"/>
    </row>
    <row r="64" spans="1:35" ht="13.5" thickBot="1">
      <c r="A64" s="45"/>
      <c r="B64" s="414"/>
      <c r="C64" s="158"/>
      <c r="D64" s="148"/>
      <c r="E64" s="414"/>
      <c r="F64" s="414"/>
      <c r="G64" s="148"/>
      <c r="H64" s="142"/>
      <c r="I64" s="48"/>
      <c r="J64" s="49"/>
      <c r="M64" s="77">
        <f>+J62*MISC!E5</f>
        <v>0</v>
      </c>
      <c r="N64" s="466">
        <f>+M64+M65</f>
        <v>0</v>
      </c>
      <c r="O64" s="16" t="s">
        <v>257</v>
      </c>
      <c r="Q64" s="37"/>
      <c r="S64" s="3"/>
      <c r="T64" s="414"/>
      <c r="U64" s="414"/>
      <c r="V64" s="15"/>
      <c r="W64" s="143"/>
      <c r="X64" s="157"/>
      <c r="Y64" s="15"/>
      <c r="AA64" s="414"/>
      <c r="AB64" s="15"/>
      <c r="AD64" s="414"/>
      <c r="AE64" s="38">
        <f>+X63*ACCEPT!C20*ACCEPT!C21</f>
        <v>0</v>
      </c>
      <c r="AF64" s="465" t="s">
        <v>251</v>
      </c>
      <c r="AG64" s="414"/>
      <c r="AH64" s="3"/>
      <c r="AI64" s="3"/>
    </row>
    <row r="65" spans="1:35">
      <c r="A65" s="45"/>
      <c r="B65" s="414"/>
      <c r="C65" s="155">
        <f>+D65</f>
        <v>0</v>
      </c>
      <c r="D65" s="152">
        <f>+D69</f>
        <v>0</v>
      </c>
      <c r="E65" s="414"/>
      <c r="F65" s="414"/>
      <c r="G65" s="142">
        <f>+G61+H65</f>
        <v>0</v>
      </c>
      <c r="H65" s="142">
        <f>+H61</f>
        <v>0</v>
      </c>
      <c r="I65" s="48"/>
      <c r="J65" s="49"/>
      <c r="M65" s="74">
        <f>+I62*MISC!E5</f>
        <v>0</v>
      </c>
      <c r="N65" s="414"/>
      <c r="O65" s="414"/>
      <c r="Q65" s="37"/>
      <c r="S65" s="3"/>
      <c r="T65" s="414"/>
      <c r="U65" s="414"/>
      <c r="V65" s="15"/>
      <c r="W65" s="414"/>
      <c r="X65" s="414"/>
      <c r="AA65" s="414"/>
      <c r="AB65" s="15"/>
      <c r="AD65" s="414"/>
      <c r="AG65" s="414"/>
      <c r="AH65" s="3"/>
      <c r="AI65" s="3"/>
    </row>
    <row r="66" spans="1:35" ht="12.95" thickBot="1">
      <c r="A66" s="45"/>
      <c r="B66" s="414"/>
      <c r="C66" s="156"/>
      <c r="D66" s="143"/>
      <c r="E66" s="414"/>
      <c r="F66" s="414"/>
      <c r="G66" s="143"/>
      <c r="H66" s="143"/>
      <c r="I66" s="48"/>
      <c r="J66" s="414"/>
      <c r="M66" s="414"/>
      <c r="N66" s="414"/>
      <c r="O66" s="414"/>
      <c r="Q66" s="37"/>
      <c r="S66" s="3"/>
      <c r="T66" s="414"/>
      <c r="U66" s="414"/>
      <c r="V66" s="15"/>
      <c r="W66" s="414"/>
      <c r="X66" s="414"/>
      <c r="Y66" s="15"/>
      <c r="Z66" s="15"/>
      <c r="AA66" s="414"/>
      <c r="AB66" s="15"/>
      <c r="AD66" s="414"/>
      <c r="AG66" s="414"/>
      <c r="AH66" s="3"/>
      <c r="AI66" s="3"/>
    </row>
    <row r="67" spans="1:35" ht="12.95">
      <c r="A67" s="45"/>
      <c r="B67" s="414"/>
      <c r="E67" s="414"/>
      <c r="F67" s="414"/>
      <c r="G67" s="35" t="s">
        <v>237</v>
      </c>
      <c r="H67" s="35"/>
      <c r="I67" s="459" t="s">
        <v>238</v>
      </c>
      <c r="J67" s="49" t="s">
        <v>239</v>
      </c>
      <c r="M67" s="414"/>
      <c r="N67" s="414"/>
      <c r="O67" s="414"/>
      <c r="Q67" s="37"/>
      <c r="S67" s="3"/>
      <c r="T67" s="414"/>
      <c r="U67" s="414"/>
      <c r="W67" s="414"/>
      <c r="X67" s="414"/>
      <c r="Z67" s="15">
        <f>+T56*MISC!E15</f>
        <v>0</v>
      </c>
      <c r="AA67" s="16" t="s">
        <v>250</v>
      </c>
      <c r="AD67" s="414"/>
      <c r="AG67" s="414"/>
      <c r="AH67" s="3"/>
      <c r="AI67" s="3"/>
    </row>
    <row r="68" spans="1:35">
      <c r="A68" s="45"/>
      <c r="B68" s="414"/>
      <c r="E68" s="414"/>
      <c r="F68" s="414"/>
      <c r="G68" s="36">
        <f>+I68</f>
        <v>0</v>
      </c>
      <c r="H68" s="36">
        <f>+J68</f>
        <v>0</v>
      </c>
      <c r="I68" s="48">
        <f>+I62-M65</f>
        <v>0</v>
      </c>
      <c r="J68" s="15">
        <f>+J62-M64</f>
        <v>0</v>
      </c>
      <c r="M68" s="414"/>
      <c r="N68" s="414"/>
      <c r="O68" s="414"/>
      <c r="Q68" s="37"/>
      <c r="S68" s="3"/>
      <c r="T68" s="414"/>
      <c r="U68" s="414"/>
      <c r="X68" s="414"/>
      <c r="AA68" s="414"/>
      <c r="AD68" s="414"/>
      <c r="AG68" s="414"/>
      <c r="AH68" s="3"/>
      <c r="AI68" s="3"/>
    </row>
    <row r="69" spans="1:35" ht="12.95" thickBot="1">
      <c r="A69" s="45"/>
      <c r="B69" s="414"/>
      <c r="D69" s="15">
        <f>+H72*ACCEPT!C12</f>
        <v>0</v>
      </c>
      <c r="E69" s="414"/>
      <c r="F69" s="414"/>
      <c r="G69" s="36"/>
      <c r="H69" s="36"/>
      <c r="J69" s="49"/>
      <c r="M69" s="414"/>
      <c r="N69" s="414"/>
      <c r="O69" s="414"/>
      <c r="Q69" s="37"/>
      <c r="S69" s="414"/>
      <c r="T69" s="414"/>
      <c r="U69" s="414"/>
      <c r="X69" s="414"/>
      <c r="AA69" s="414"/>
      <c r="AD69" s="414"/>
      <c r="AG69" s="414"/>
      <c r="AH69" s="3"/>
      <c r="AI69" s="3"/>
    </row>
    <row r="70" spans="1:35" ht="13.5" thickBot="1">
      <c r="A70" s="45"/>
      <c r="B70" s="414"/>
      <c r="E70" s="414"/>
      <c r="F70" s="414"/>
      <c r="G70" s="144" t="s">
        <v>258</v>
      </c>
      <c r="H70" s="145"/>
      <c r="J70" s="414"/>
      <c r="M70" s="414"/>
      <c r="N70" s="414"/>
      <c r="O70" s="414"/>
      <c r="Q70" s="37"/>
      <c r="S70" s="414"/>
      <c r="T70" s="414"/>
      <c r="U70" s="414"/>
      <c r="V70" s="15"/>
      <c r="X70" s="414"/>
      <c r="AA70" s="414"/>
      <c r="AD70" s="414"/>
      <c r="AG70" s="414"/>
      <c r="AH70" s="3"/>
      <c r="AI70" s="3"/>
    </row>
    <row r="71" spans="1:35" ht="13.5" thickBot="1">
      <c r="A71" s="45"/>
      <c r="B71" s="414"/>
      <c r="D71" s="16" t="s">
        <v>245</v>
      </c>
      <c r="E71" s="414"/>
      <c r="F71" s="414"/>
      <c r="G71" s="139"/>
      <c r="H71" s="148"/>
      <c r="J71" s="414"/>
      <c r="M71" s="414"/>
      <c r="N71" s="414"/>
      <c r="O71" s="414"/>
      <c r="Q71" s="37"/>
      <c r="S71" s="414"/>
      <c r="T71" s="414"/>
      <c r="U71" s="414"/>
      <c r="X71" s="414"/>
      <c r="AA71" s="414"/>
      <c r="AD71" s="414"/>
      <c r="AG71" s="414"/>
      <c r="AH71" s="3"/>
      <c r="AI71" s="3"/>
    </row>
    <row r="72" spans="1:35" ht="13.5" thickBot="1">
      <c r="A72" s="45"/>
      <c r="B72" s="414"/>
      <c r="E72" s="414"/>
      <c r="F72" s="414"/>
      <c r="G72" s="139">
        <f>+H72+E73+I68+K62</f>
        <v>0</v>
      </c>
      <c r="H72" s="142">
        <f>+J68+L62</f>
        <v>0</v>
      </c>
      <c r="I72" s="15"/>
      <c r="J72" s="414"/>
      <c r="K72" s="15">
        <f>+H72*ACCEPT!C13</f>
        <v>0</v>
      </c>
      <c r="L72" s="15"/>
      <c r="M72" s="414"/>
      <c r="N72" s="464">
        <f>+K72+K73</f>
        <v>0</v>
      </c>
      <c r="O72" s="16" t="s">
        <v>242</v>
      </c>
      <c r="Q72" s="37"/>
      <c r="S72" s="414"/>
      <c r="T72" s="414"/>
      <c r="U72" s="414"/>
      <c r="X72" s="414"/>
      <c r="AA72" s="163" t="s">
        <v>227</v>
      </c>
      <c r="AB72" s="145"/>
      <c r="AD72" s="18"/>
      <c r="AE72" s="414"/>
      <c r="AF72" s="414"/>
      <c r="AG72" s="414"/>
      <c r="AH72" s="414"/>
      <c r="AI72" s="414"/>
    </row>
    <row r="73" spans="1:35" ht="12.95" thickBot="1">
      <c r="A73" s="45"/>
      <c r="B73" s="414"/>
      <c r="E73" s="15">
        <f>+H72*ACCEPT!C11</f>
        <v>0</v>
      </c>
      <c r="F73" s="414"/>
      <c r="G73" s="140"/>
      <c r="H73" s="143"/>
      <c r="J73" s="414"/>
      <c r="K73" s="75">
        <f>+(G72-H72)*(1-ACCEPT!C9)</f>
        <v>0</v>
      </c>
      <c r="M73" s="414"/>
      <c r="N73" s="414"/>
      <c r="O73" s="414"/>
      <c r="Q73" s="37"/>
      <c r="R73" s="414"/>
      <c r="S73" s="414"/>
      <c r="T73" s="414"/>
      <c r="U73" s="414"/>
      <c r="X73" s="414"/>
      <c r="AA73" s="164"/>
      <c r="AB73" s="159"/>
      <c r="AD73" s="3"/>
      <c r="AE73" s="414"/>
      <c r="AF73" s="414"/>
      <c r="AG73" s="414"/>
      <c r="AH73" s="414"/>
      <c r="AI73" s="414"/>
    </row>
    <row r="74" spans="1:35" ht="13.15" customHeight="1">
      <c r="A74" s="45"/>
      <c r="B74" s="414"/>
      <c r="D74" s="15"/>
      <c r="E74" s="39"/>
      <c r="F74" s="40" t="s">
        <v>247</v>
      </c>
      <c r="J74" s="414"/>
      <c r="M74" s="414"/>
      <c r="N74" s="414"/>
      <c r="O74" s="414"/>
      <c r="Q74" s="37"/>
      <c r="R74" s="414"/>
      <c r="S74" s="414"/>
      <c r="T74" s="414"/>
      <c r="U74" s="414"/>
      <c r="X74" s="414"/>
      <c r="AA74" s="142">
        <f>+AB74</f>
        <v>10000</v>
      </c>
      <c r="AB74" s="159">
        <f>+Q9+AD41+AD34+AD26+AD18+Z47+Z54+Z61+Z67</f>
        <v>10000</v>
      </c>
      <c r="AD74" s="3"/>
      <c r="AE74" s="39"/>
      <c r="AF74" s="414"/>
      <c r="AG74" s="414"/>
      <c r="AH74" s="414"/>
      <c r="AI74" s="414"/>
    </row>
    <row r="75" spans="1:35" ht="13.5" thickBot="1">
      <c r="A75" s="45"/>
      <c r="B75" s="414"/>
      <c r="E75" s="414"/>
      <c r="F75" s="414"/>
      <c r="H75" s="71">
        <f>+H72*ACCEPT!C9</f>
        <v>0</v>
      </c>
      <c r="J75" s="414"/>
      <c r="K75" s="458">
        <f>+H75+H76</f>
        <v>0</v>
      </c>
      <c r="L75" s="458"/>
      <c r="M75" s="39"/>
      <c r="N75" s="15">
        <f>+K75*DENSITY!E12</f>
        <v>0</v>
      </c>
      <c r="O75" s="22" t="s">
        <v>223</v>
      </c>
      <c r="Q75" s="37"/>
      <c r="R75" s="414"/>
      <c r="S75" s="414"/>
      <c r="T75" s="414"/>
      <c r="U75" s="414"/>
      <c r="X75" s="414"/>
      <c r="AA75" s="165"/>
      <c r="AB75" s="157"/>
      <c r="AD75" s="414"/>
      <c r="AE75" s="38">
        <f>+AB74</f>
        <v>10000</v>
      </c>
      <c r="AF75" s="465" t="s">
        <v>251</v>
      </c>
      <c r="AG75" s="414"/>
      <c r="AH75" s="414"/>
      <c r="AI75" s="414"/>
    </row>
    <row r="76" spans="1:35" ht="12.95">
      <c r="A76" s="45"/>
      <c r="B76" s="414"/>
      <c r="D76" s="414"/>
      <c r="E76" s="414"/>
      <c r="F76" s="414"/>
      <c r="G76" s="414"/>
      <c r="H76" s="71">
        <f>+(G72-H72)*ACCEPT!C9</f>
        <v>0</v>
      </c>
      <c r="J76" s="414"/>
      <c r="M76" s="414"/>
      <c r="N76" s="15">
        <f>+K75*DENSITY!F12</f>
        <v>0</v>
      </c>
      <c r="O76" s="22" t="s">
        <v>226</v>
      </c>
      <c r="Q76" s="37"/>
      <c r="R76" s="414"/>
      <c r="S76" s="414"/>
      <c r="T76" s="414"/>
      <c r="U76" s="414"/>
      <c r="X76" s="414"/>
      <c r="AA76" s="414"/>
      <c r="AD76" s="414"/>
      <c r="AG76" s="414"/>
      <c r="AH76" s="414"/>
      <c r="AI76" s="414"/>
    </row>
    <row r="77" spans="1:35" ht="12.95">
      <c r="A77" s="45"/>
      <c r="B77" s="414"/>
      <c r="D77" s="414"/>
      <c r="E77" s="414"/>
      <c r="F77" s="414"/>
      <c r="G77" s="414"/>
      <c r="I77" s="50"/>
      <c r="J77" s="414"/>
      <c r="M77" s="414"/>
      <c r="N77" s="15">
        <f>+K75*DENSITY!G12</f>
        <v>0</v>
      </c>
      <c r="O77" s="22" t="s">
        <v>229</v>
      </c>
      <c r="Q77" s="37"/>
      <c r="S77" s="414"/>
      <c r="T77" s="414"/>
      <c r="U77" s="414"/>
      <c r="X77" s="414"/>
      <c r="AA77" s="414"/>
      <c r="AD77" s="414"/>
      <c r="AG77" s="414"/>
      <c r="AH77" s="414"/>
      <c r="AI77" s="414"/>
    </row>
    <row r="78" spans="1:35">
      <c r="A78" s="45"/>
      <c r="B78" s="43"/>
      <c r="C78" s="41"/>
      <c r="D78" s="43"/>
      <c r="E78" s="43"/>
      <c r="F78" s="43"/>
      <c r="G78" s="43"/>
      <c r="H78" s="42"/>
      <c r="I78" s="42"/>
      <c r="J78" s="43"/>
      <c r="K78" s="42"/>
      <c r="L78" s="42"/>
      <c r="M78" s="43"/>
      <c r="N78" s="43"/>
      <c r="O78" s="43"/>
      <c r="P78" s="42"/>
      <c r="Q78" s="44"/>
      <c r="S78" s="414"/>
      <c r="T78" s="414"/>
      <c r="U78" s="414"/>
      <c r="X78" s="414"/>
      <c r="AA78" s="414"/>
      <c r="AD78" s="9"/>
      <c r="AG78" s="414"/>
      <c r="AH78" s="414"/>
      <c r="AI78" s="414"/>
    </row>
    <row r="79" spans="1:35">
      <c r="A79" s="414"/>
      <c r="B79" s="414"/>
      <c r="D79" s="414"/>
      <c r="E79" s="414"/>
      <c r="F79" s="414"/>
      <c r="G79" s="414"/>
      <c r="J79" s="414"/>
      <c r="M79" s="414"/>
      <c r="N79" s="414"/>
      <c r="O79" s="414"/>
      <c r="Q79" s="130"/>
      <c r="S79" s="414"/>
      <c r="T79" s="414"/>
      <c r="U79" s="414"/>
      <c r="X79" s="414"/>
      <c r="AA79" s="414"/>
      <c r="AD79" s="414"/>
      <c r="AG79" s="414"/>
      <c r="AH79" s="414"/>
      <c r="AI79" s="414"/>
    </row>
    <row r="80" spans="1:35">
      <c r="A80" s="414"/>
      <c r="B80" s="414"/>
      <c r="D80" s="414"/>
      <c r="E80" s="414"/>
      <c r="F80" s="414"/>
      <c r="G80" s="202"/>
      <c r="H80" s="203"/>
      <c r="I80" s="204"/>
      <c r="J80" s="414"/>
      <c r="M80" s="414"/>
      <c r="N80" s="414"/>
      <c r="O80" s="414"/>
      <c r="S80" s="414"/>
      <c r="T80" s="414"/>
      <c r="U80" s="414"/>
      <c r="X80" s="414"/>
      <c r="AA80" s="414"/>
      <c r="AD80" s="414"/>
      <c r="AG80" s="414"/>
      <c r="AH80" s="414"/>
      <c r="AI80" s="414"/>
    </row>
    <row r="81" spans="7:34">
      <c r="G81" s="205"/>
      <c r="H81" s="203"/>
      <c r="I81" s="214"/>
      <c r="J81" s="414"/>
      <c r="M81" s="414"/>
      <c r="N81" s="414"/>
      <c r="O81" s="414"/>
      <c r="S81" s="414"/>
      <c r="T81" s="414"/>
      <c r="U81" s="414"/>
      <c r="X81" s="414"/>
      <c r="AA81" s="414"/>
      <c r="AD81" s="414"/>
      <c r="AG81" s="414"/>
      <c r="AH81" s="414"/>
    </row>
    <row r="82" spans="7:34">
      <c r="G82" s="202"/>
      <c r="H82" s="203"/>
      <c r="I82" s="204"/>
      <c r="J82" s="414"/>
      <c r="M82" s="414"/>
      <c r="N82" s="414"/>
      <c r="O82" s="414"/>
      <c r="S82" s="414"/>
      <c r="T82" s="414"/>
      <c r="U82" s="414"/>
      <c r="X82" s="414"/>
      <c r="AA82" s="414"/>
      <c r="AD82" s="414"/>
      <c r="AG82" s="414"/>
      <c r="AH82" s="414"/>
    </row>
    <row r="83" spans="7:34">
      <c r="G83" s="208"/>
      <c r="H83" s="203"/>
      <c r="I83" s="222"/>
      <c r="J83" s="414"/>
      <c r="M83" s="414"/>
      <c r="N83" s="414"/>
      <c r="O83" s="414"/>
      <c r="S83" s="414"/>
      <c r="T83" s="221"/>
      <c r="U83" s="221"/>
      <c r="V83" s="212"/>
      <c r="W83" s="212"/>
      <c r="X83" s="212"/>
      <c r="AA83" s="414"/>
      <c r="AD83" s="414"/>
      <c r="AG83" s="414"/>
      <c r="AH83" s="414"/>
    </row>
    <row r="84" spans="7:34">
      <c r="G84" s="208"/>
      <c r="H84" s="203"/>
      <c r="I84" s="209"/>
      <c r="J84" s="414"/>
      <c r="M84" s="414"/>
      <c r="N84" s="414"/>
      <c r="O84" s="414"/>
      <c r="S84" s="414"/>
      <c r="T84" s="414"/>
      <c r="U84" s="414"/>
      <c r="V84" s="212"/>
      <c r="W84" s="212"/>
      <c r="X84" s="205"/>
      <c r="AA84" s="414"/>
      <c r="AD84" s="414"/>
      <c r="AG84" s="414"/>
      <c r="AH84" s="414"/>
    </row>
    <row r="85" spans="7:34">
      <c r="G85" s="210"/>
      <c r="H85" s="203"/>
      <c r="I85" s="211"/>
      <c r="J85" s="414"/>
      <c r="M85" s="414"/>
      <c r="N85" s="414"/>
      <c r="O85" s="414"/>
      <c r="S85" s="414"/>
      <c r="T85" s="414"/>
      <c r="U85" s="414"/>
      <c r="V85" s="212"/>
      <c r="W85" s="212"/>
      <c r="X85" s="205"/>
      <c r="AA85" s="414"/>
      <c r="AD85" s="414"/>
      <c r="AG85" s="414"/>
      <c r="AH85" s="414"/>
    </row>
    <row r="86" spans="7:34">
      <c r="J86" s="414"/>
      <c r="M86" s="414"/>
      <c r="N86" s="414"/>
      <c r="O86" s="414"/>
      <c r="S86" s="3"/>
      <c r="T86" s="414"/>
      <c r="U86" s="414"/>
      <c r="V86" s="212"/>
      <c r="W86" s="212"/>
      <c r="X86" s="205"/>
      <c r="Z86" s="414"/>
      <c r="AA86" s="3"/>
      <c r="AC86" s="414"/>
      <c r="AD86" s="3"/>
      <c r="AF86" s="414"/>
      <c r="AG86" s="3"/>
      <c r="AH86" s="3"/>
    </row>
    <row r="87" spans="7:34">
      <c r="G87" s="36"/>
      <c r="H87" s="467"/>
      <c r="I87" s="36"/>
      <c r="J87" s="414"/>
      <c r="M87" s="414"/>
      <c r="N87" s="414"/>
      <c r="O87" s="414"/>
      <c r="S87" s="414"/>
      <c r="T87" s="414"/>
      <c r="U87" s="414"/>
      <c r="X87" s="414"/>
      <c r="AA87" s="414"/>
      <c r="AD87" s="414"/>
      <c r="AG87" s="414"/>
      <c r="AH87" s="414"/>
    </row>
    <row r="88" spans="7:34">
      <c r="G88" s="36"/>
      <c r="H88" s="467"/>
      <c r="I88" s="36"/>
      <c r="J88" s="414"/>
      <c r="M88" s="414"/>
      <c r="N88" s="414"/>
      <c r="O88" s="414"/>
      <c r="S88" s="414"/>
      <c r="T88" s="414"/>
      <c r="U88" s="414"/>
      <c r="X88" s="414"/>
      <c r="AA88" s="414"/>
      <c r="AD88" s="414"/>
      <c r="AG88" s="414"/>
      <c r="AH88" s="414"/>
    </row>
    <row r="89" spans="7:34">
      <c r="G89" s="36"/>
      <c r="H89" s="467"/>
      <c r="I89" s="36"/>
      <c r="J89" s="414"/>
      <c r="M89" s="414"/>
      <c r="N89" s="414"/>
      <c r="O89" s="414"/>
      <c r="S89" s="414"/>
      <c r="T89" s="414"/>
      <c r="U89" s="414"/>
      <c r="X89" s="414"/>
      <c r="AA89" s="414"/>
      <c r="AD89" s="414"/>
      <c r="AG89" s="414"/>
      <c r="AH89" s="414"/>
    </row>
    <row r="92" spans="7:34">
      <c r="G92" s="205"/>
      <c r="H92" s="212"/>
      <c r="I92" s="212"/>
      <c r="J92" s="414"/>
      <c r="M92" s="414"/>
      <c r="N92" s="414"/>
      <c r="O92" s="414"/>
      <c r="S92" s="414"/>
      <c r="T92" s="414"/>
      <c r="U92" s="414"/>
      <c r="X92" s="414"/>
      <c r="AA92" s="414"/>
      <c r="AD92" s="414"/>
      <c r="AG92" s="414"/>
      <c r="AH92" s="414"/>
    </row>
    <row r="93" spans="7:34">
      <c r="G93" s="216"/>
      <c r="H93" s="212"/>
      <c r="I93" s="217"/>
      <c r="J93" s="414"/>
      <c r="M93" s="414"/>
      <c r="N93" s="414"/>
      <c r="O93" s="414"/>
      <c r="S93" s="414"/>
      <c r="T93" s="414"/>
      <c r="U93" s="414"/>
      <c r="X93" s="414"/>
      <c r="AA93" s="414"/>
      <c r="AD93" s="414"/>
      <c r="AG93" s="414"/>
      <c r="AH93" s="414"/>
    </row>
    <row r="94" spans="7:34">
      <c r="G94" s="218"/>
      <c r="H94" s="212"/>
      <c r="I94" s="217"/>
      <c r="J94" s="414"/>
      <c r="M94" s="414"/>
      <c r="N94" s="414"/>
      <c r="O94" s="414"/>
      <c r="S94" s="414"/>
      <c r="T94" s="414"/>
      <c r="U94" s="414"/>
      <c r="X94" s="414"/>
      <c r="AA94" s="414"/>
      <c r="AD94" s="414"/>
      <c r="AG94" s="414"/>
      <c r="AH94" s="414"/>
    </row>
    <row r="95" spans="7:34">
      <c r="G95" s="205"/>
      <c r="H95" s="212"/>
      <c r="I95" s="217"/>
      <c r="J95" s="414"/>
      <c r="M95" s="414"/>
      <c r="N95" s="414"/>
      <c r="O95" s="414"/>
      <c r="S95" s="414"/>
      <c r="T95" s="414"/>
      <c r="U95" s="414"/>
      <c r="X95" s="414"/>
      <c r="AA95" s="414"/>
      <c r="AD95" s="414"/>
      <c r="AG95" s="414"/>
      <c r="AH95" s="414"/>
    </row>
    <row r="97" spans="7:9" ht="12.95">
      <c r="G97" s="223"/>
      <c r="H97" s="212"/>
      <c r="I97" s="219"/>
    </row>
    <row r="98" spans="7:9" ht="12.95">
      <c r="G98" s="223"/>
      <c r="H98" s="212"/>
      <c r="I98" s="219"/>
    </row>
    <row r="99" spans="7:9">
      <c r="G99" s="213"/>
      <c r="H99" s="212"/>
      <c r="I99" s="220"/>
    </row>
    <row r="100" spans="7:9">
      <c r="G100" s="205"/>
      <c r="H100" s="212"/>
      <c r="I100" s="21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0" type="noConversion"/>
  <printOptions horizontalCentered="1"/>
  <pageMargins left="0.75" right="0.75" top="1" bottom="1" header="0.5" footer="0.5"/>
  <pageSetup scale="37" orientation="portrait" r:id="rId1"/>
  <headerFooter alignWithMargins="0">
    <oddHeader>&amp;RPage 23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>
    <pageSetUpPr fitToPage="1"/>
  </sheetPr>
  <dimension ref="A1:F28"/>
  <sheetViews>
    <sheetView zoomScale="115" zoomScaleNormal="115" workbookViewId="0"/>
  </sheetViews>
  <sheetFormatPr defaultRowHeight="12.6"/>
  <cols>
    <col min="1" max="1" width="18.7109375" customWidth="1"/>
    <col min="2" max="2" width="17.7109375" style="97" customWidth="1"/>
    <col min="3" max="3" width="20.7109375" style="94" customWidth="1"/>
    <col min="4" max="4" width="12.140625" style="51" customWidth="1"/>
    <col min="5" max="5" width="17.7109375" style="97" customWidth="1"/>
  </cols>
  <sheetData>
    <row r="1" spans="1:6" ht="15.6">
      <c r="A1" s="66" t="s">
        <v>300</v>
      </c>
      <c r="F1" s="414"/>
    </row>
    <row r="2" spans="1:6" ht="15.6">
      <c r="A2" s="66" t="s">
        <v>301</v>
      </c>
      <c r="F2" s="414"/>
    </row>
    <row r="5" spans="1:6" ht="12.95">
      <c r="A5" s="414"/>
      <c r="B5" s="93" t="s">
        <v>2</v>
      </c>
      <c r="C5" s="90" t="s">
        <v>163</v>
      </c>
      <c r="D5" s="52" t="s">
        <v>33</v>
      </c>
      <c r="E5" s="93" t="s">
        <v>60</v>
      </c>
      <c r="F5" s="414"/>
    </row>
    <row r="6" spans="1:6" ht="12.95">
      <c r="A6" s="414"/>
      <c r="B6" s="93" t="s">
        <v>189</v>
      </c>
      <c r="C6" s="90" t="s">
        <v>189</v>
      </c>
      <c r="E6" s="93" t="s">
        <v>302</v>
      </c>
      <c r="F6" s="414"/>
    </row>
    <row r="7" spans="1:6" ht="12.95">
      <c r="A7" s="414"/>
      <c r="B7" s="93"/>
      <c r="E7" s="93" t="s">
        <v>303</v>
      </c>
      <c r="F7" s="414"/>
    </row>
    <row r="8" spans="1:6" ht="12.95">
      <c r="A8" s="39" t="s">
        <v>304</v>
      </c>
      <c r="B8" s="93" t="s">
        <v>305</v>
      </c>
      <c r="C8" s="90"/>
      <c r="D8" s="52" t="s">
        <v>30</v>
      </c>
      <c r="E8" s="93" t="s">
        <v>305</v>
      </c>
      <c r="F8" s="414"/>
    </row>
    <row r="9" spans="1:6" ht="12.95">
      <c r="A9" s="67" t="s">
        <v>306</v>
      </c>
      <c r="B9" s="111" t="s">
        <v>307</v>
      </c>
      <c r="C9" s="224" t="s">
        <v>30</v>
      </c>
      <c r="D9" s="64" t="s">
        <v>264</v>
      </c>
      <c r="E9" s="111" t="s">
        <v>307</v>
      </c>
      <c r="F9" s="414"/>
    </row>
    <row r="10" spans="1:6">
      <c r="A10" s="414" t="s">
        <v>308</v>
      </c>
      <c r="B10" s="97">
        <f>'PRESORT LETTERS SUM'!G41</f>
        <v>10.466288546528453</v>
      </c>
      <c r="C10" s="94">
        <f>'MCS LETTERS'!E50</f>
        <v>972806127.87041736</v>
      </c>
      <c r="D10" s="51">
        <f>C10/$C$12</f>
        <v>0.14932743698449744</v>
      </c>
      <c r="E10" s="97">
        <f>'PRESORT LETTERS SUM'!G39</f>
        <v>11.184447008822469</v>
      </c>
      <c r="F10" s="414"/>
    </row>
    <row r="11" spans="1:6">
      <c r="A11" s="414" t="s">
        <v>309</v>
      </c>
      <c r="B11" s="97">
        <f>'PRESORT LETTERS SUM'!G43</f>
        <v>8.3652523168968909</v>
      </c>
      <c r="C11" s="358">
        <f>'MCS LETTERS'!E51</f>
        <v>5541777846.2147341</v>
      </c>
      <c r="D11" s="469">
        <f>C11/$C$12</f>
        <v>0.85067256301550254</v>
      </c>
      <c r="E11" s="97">
        <f>'PRESORT LETTERS SUM'!G40</f>
        <v>8.3010104307692458</v>
      </c>
      <c r="F11" s="414"/>
    </row>
    <row r="12" spans="1:6" s="39" customFormat="1" ht="12.95">
      <c r="A12" s="39" t="s">
        <v>310</v>
      </c>
      <c r="B12" s="93">
        <f>SUMPRODUCT(B10:B11,D10:D11)</f>
        <v>8.6789946720793445</v>
      </c>
      <c r="C12" s="194">
        <f>SUM(C10:C11)</f>
        <v>6514583974.0851517</v>
      </c>
      <c r="D12" s="52">
        <f>SUM(D10:D11)</f>
        <v>1</v>
      </c>
      <c r="E12" s="93">
        <f>SUMPRODUCT(E10:E11,D10:D11)</f>
        <v>8.7315866246772824</v>
      </c>
      <c r="F12" s="39" t="s">
        <v>23</v>
      </c>
    </row>
    <row r="15" spans="1:6" ht="12.95">
      <c r="A15" s="39" t="s">
        <v>304</v>
      </c>
      <c r="F15" s="414"/>
    </row>
    <row r="16" spans="1:6" ht="12.95">
      <c r="A16" s="39" t="s">
        <v>311</v>
      </c>
      <c r="B16" s="396">
        <f>E12-B12</f>
        <v>5.2591952597937919E-2</v>
      </c>
      <c r="C16" s="194" t="s">
        <v>25</v>
      </c>
      <c r="F16" s="414"/>
    </row>
    <row r="19" spans="1:1" ht="12.95">
      <c r="A19" s="67" t="s">
        <v>18</v>
      </c>
    </row>
    <row r="20" spans="1:1" ht="12.95">
      <c r="A20" s="39" t="s">
        <v>312</v>
      </c>
    </row>
    <row r="21" spans="1:1" ht="12.95">
      <c r="A21" s="39" t="s">
        <v>313</v>
      </c>
    </row>
    <row r="22" spans="1:1" ht="12.95">
      <c r="A22" s="39" t="s">
        <v>314</v>
      </c>
    </row>
    <row r="23" spans="1:1" ht="12.95">
      <c r="A23" s="39" t="s">
        <v>315</v>
      </c>
    </row>
    <row r="24" spans="1:1" ht="12.95">
      <c r="A24" s="39"/>
    </row>
    <row r="25" spans="1:1" ht="12.95">
      <c r="A25" s="39" t="s">
        <v>316</v>
      </c>
    </row>
    <row r="26" spans="1:1" ht="12.95">
      <c r="A26" s="39" t="s">
        <v>317</v>
      </c>
    </row>
    <row r="27" spans="1:1" ht="12.95">
      <c r="A27" s="39"/>
    </row>
    <row r="28" spans="1:1" ht="12.95">
      <c r="A28" s="39"/>
    </row>
  </sheetData>
  <phoneticPr fontId="0" type="noConversion"/>
  <printOptions horizontalCentered="1"/>
  <pageMargins left="0.75" right="0.75" top="1" bottom="1" header="0.5" footer="0.5"/>
  <pageSetup scale="94" orientation="portrait" r:id="rId1"/>
  <headerFooter alignWithMargins="0">
    <oddHeader>&amp;RPage 24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5">
    <pageSetUpPr fitToPage="1"/>
  </sheetPr>
  <dimension ref="A1:E27"/>
  <sheetViews>
    <sheetView zoomScaleNormal="100" workbookViewId="0"/>
  </sheetViews>
  <sheetFormatPr defaultRowHeight="12.6"/>
  <cols>
    <col min="1" max="1" width="52.7109375" customWidth="1"/>
    <col min="2" max="2" width="20.7109375" style="97" customWidth="1"/>
    <col min="3" max="3" width="4.42578125" customWidth="1"/>
    <col min="4" max="4" width="20.42578125" bestFit="1" customWidth="1"/>
  </cols>
  <sheetData>
    <row r="1" spans="1:3" ht="15.6">
      <c r="A1" s="79" t="s">
        <v>300</v>
      </c>
      <c r="B1" s="89"/>
      <c r="C1" s="85"/>
    </row>
    <row r="2" spans="1:3" ht="15.6">
      <c r="A2" s="79" t="s">
        <v>318</v>
      </c>
      <c r="B2" s="89"/>
      <c r="C2" s="85"/>
    </row>
    <row r="3" spans="1:3" ht="15.6">
      <c r="A3" s="79"/>
      <c r="B3" s="89"/>
      <c r="C3" s="85"/>
    </row>
    <row r="4" spans="1:3" ht="15.6">
      <c r="A4" s="79"/>
      <c r="B4" s="93" t="s">
        <v>319</v>
      </c>
      <c r="C4" s="85"/>
    </row>
    <row r="5" spans="1:3" ht="12.95">
      <c r="A5" s="414"/>
      <c r="B5" s="93" t="s">
        <v>320</v>
      </c>
      <c r="C5" s="414"/>
    </row>
    <row r="6" spans="1:3" ht="12.95">
      <c r="A6" s="414"/>
      <c r="B6" s="93" t="s">
        <v>6</v>
      </c>
      <c r="C6" s="414"/>
    </row>
    <row r="7" spans="1:3" ht="13.5" thickBot="1">
      <c r="A7" s="113" t="s">
        <v>321</v>
      </c>
      <c r="B7" s="124" t="s">
        <v>7</v>
      </c>
      <c r="C7" s="123"/>
    </row>
    <row r="8" spans="1:3" s="29" customFormat="1" ht="15" customHeight="1" thickTop="1">
      <c r="A8" s="32" t="s">
        <v>322</v>
      </c>
      <c r="B8" s="258">
        <f>('PRESORT LETTERS SUM'!E14*'PRESORT LETTERS SUM'!G35+'PRESORT LETTERS SUM'!E15*'PRESORT LETTERS SUM'!G36)/('PRESORT LETTERS SUM'!E14+'PRESORT LETTERS SUM'!E15)</f>
        <v>29.85813788089304</v>
      </c>
      <c r="C8" s="39" t="s">
        <v>23</v>
      </c>
    </row>
    <row r="9" spans="1:3" s="29" customFormat="1" ht="15" customHeight="1">
      <c r="A9" s="32" t="s">
        <v>323</v>
      </c>
      <c r="B9" s="258">
        <f>('PRESORT LETTERS SUM'!E14*'PRESORT LETTERS SUM'!G39+'PRESORT LETTERS SUM'!E15*'PRESORT LETTERS SUM'!G40)/('PRESORT LETTERS SUM'!E14+'PRESORT LETTERS SUM'!E15)</f>
        <v>9.9453356304725347</v>
      </c>
      <c r="C9" s="39" t="s">
        <v>25</v>
      </c>
    </row>
    <row r="10" spans="1:3" s="29" customFormat="1" ht="15" customHeight="1">
      <c r="A10" s="54" t="s">
        <v>324</v>
      </c>
      <c r="B10" s="116">
        <f>B8-B9</f>
        <v>19.912802250420505</v>
      </c>
      <c r="C10" s="54" t="s">
        <v>27</v>
      </c>
    </row>
    <row r="11" spans="1:3" s="29" customFormat="1" ht="15" customHeight="1">
      <c r="A11" s="32" t="s">
        <v>34</v>
      </c>
      <c r="B11" s="258">
        <f>'PRESORT LETTERS SUM'!G35</f>
        <v>33.911953209306589</v>
      </c>
      <c r="C11" s="39" t="s">
        <v>47</v>
      </c>
    </row>
    <row r="12" spans="1:3" s="29" customFormat="1" ht="15" customHeight="1">
      <c r="A12" s="32" t="s">
        <v>38</v>
      </c>
      <c r="B12" s="258">
        <f>'PRESORT LETTERS SUM'!G39</f>
        <v>11.184447008822469</v>
      </c>
      <c r="C12" s="39" t="s">
        <v>49</v>
      </c>
    </row>
    <row r="13" spans="1:3" s="29" customFormat="1" ht="15" customHeight="1">
      <c r="A13" s="54" t="s">
        <v>324</v>
      </c>
      <c r="B13" s="116">
        <f>+B11-B12</f>
        <v>22.727506200484122</v>
      </c>
      <c r="C13" s="54" t="s">
        <v>325</v>
      </c>
    </row>
    <row r="14" spans="1:3" ht="15" customHeight="1">
      <c r="A14" s="414" t="s">
        <v>35</v>
      </c>
      <c r="B14" s="258">
        <f>'PRESORT LETTERS SUM'!G36</f>
        <v>24.478645112187788</v>
      </c>
      <c r="C14" s="39" t="s">
        <v>326</v>
      </c>
    </row>
    <row r="15" spans="1:3" ht="15" customHeight="1">
      <c r="A15" s="414" t="s">
        <v>39</v>
      </c>
      <c r="B15" s="258">
        <f>'PRESORT LETTERS SUM'!G40</f>
        <v>8.3010104307692458</v>
      </c>
      <c r="C15" s="39" t="s">
        <v>327</v>
      </c>
    </row>
    <row r="16" spans="1:3" ht="15" customHeight="1" thickBot="1">
      <c r="A16" s="113" t="s">
        <v>324</v>
      </c>
      <c r="B16" s="124">
        <f>B14-B15</f>
        <v>16.177634681418542</v>
      </c>
      <c r="C16" s="113" t="s">
        <v>328</v>
      </c>
    </row>
    <row r="17" spans="1:5" ht="12.95" thickTop="1">
      <c r="A17" s="414"/>
      <c r="C17" s="414"/>
      <c r="D17" s="414"/>
      <c r="E17" s="414" t="s">
        <v>329</v>
      </c>
    </row>
    <row r="18" spans="1:5" ht="12.95">
      <c r="A18" s="67" t="s">
        <v>18</v>
      </c>
      <c r="C18" s="414"/>
      <c r="D18" s="414"/>
      <c r="E18" s="414" t="s">
        <v>330</v>
      </c>
    </row>
    <row r="19" spans="1:5" s="39" customFormat="1" ht="12.95">
      <c r="A19" s="39" t="s">
        <v>331</v>
      </c>
      <c r="E19" s="39" t="s">
        <v>332</v>
      </c>
    </row>
    <row r="20" spans="1:5" s="39" customFormat="1" ht="12.95">
      <c r="A20" s="39" t="s">
        <v>333</v>
      </c>
      <c r="E20" s="39" t="s">
        <v>330</v>
      </c>
    </row>
    <row r="21" spans="1:5" s="39" customFormat="1" ht="12.95">
      <c r="A21" s="39" t="s">
        <v>334</v>
      </c>
      <c r="E21" s="39" t="s">
        <v>335</v>
      </c>
    </row>
    <row r="22" spans="1:5" s="225" customFormat="1" ht="12.95">
      <c r="A22" s="225" t="s">
        <v>336</v>
      </c>
      <c r="E22" s="225" t="s">
        <v>337</v>
      </c>
    </row>
    <row r="23" spans="1:5" s="39" customFormat="1" ht="12.95">
      <c r="A23" s="225" t="s">
        <v>338</v>
      </c>
    </row>
    <row r="24" spans="1:5" s="39" customFormat="1" ht="12.95">
      <c r="A24" s="39" t="s">
        <v>339</v>
      </c>
    </row>
    <row r="25" spans="1:5" ht="12.95">
      <c r="A25" s="225" t="s">
        <v>340</v>
      </c>
      <c r="C25" s="414"/>
      <c r="D25" s="414"/>
      <c r="E25" s="414"/>
    </row>
    <row r="26" spans="1:5" ht="12.95">
      <c r="A26" s="225" t="s">
        <v>341</v>
      </c>
      <c r="C26" s="414"/>
      <c r="D26" s="414"/>
      <c r="E26" s="414"/>
    </row>
    <row r="27" spans="1:5" ht="12.95">
      <c r="A27" s="39" t="s">
        <v>342</v>
      </c>
      <c r="C27" s="414"/>
      <c r="D27" s="414"/>
      <c r="E27" s="414"/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&amp;RPage 25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7">
    <tabColor rgb="FFFFFF00"/>
    <pageSetUpPr fitToPage="1"/>
  </sheetPr>
  <dimension ref="A1:L42"/>
  <sheetViews>
    <sheetView zoomScale="160" zoomScaleNormal="160" workbookViewId="0">
      <selection activeCell="J21" sqref="J21"/>
    </sheetView>
  </sheetViews>
  <sheetFormatPr defaultColWidth="9.140625" defaultRowHeight="12.6"/>
  <cols>
    <col min="1" max="1" width="4.7109375" style="32" customWidth="1"/>
    <col min="2" max="2" width="15.7109375" style="32" customWidth="1"/>
    <col min="3" max="3" width="22.7109375" style="32" customWidth="1"/>
    <col min="4" max="4" width="8" style="248" bestFit="1" customWidth="1"/>
    <col min="5" max="5" width="7.7109375" style="114" customWidth="1"/>
    <col min="6" max="6" width="2.7109375" style="114" customWidth="1"/>
    <col min="7" max="7" width="12.7109375" style="252" customWidth="1"/>
    <col min="8" max="8" width="2.7109375" style="252" customWidth="1"/>
    <col min="9" max="9" width="12.7109375" style="115" customWidth="1"/>
    <col min="10" max="10" width="11" style="32" customWidth="1"/>
    <col min="11" max="11" width="26.85546875" style="32" bestFit="1" customWidth="1"/>
    <col min="12" max="12" width="16.28515625" style="32" bestFit="1" customWidth="1"/>
    <col min="13" max="16384" width="9.140625" style="32"/>
  </cols>
  <sheetData>
    <row r="1" spans="1:11" ht="18">
      <c r="A1" s="325" t="s">
        <v>343</v>
      </c>
      <c r="B1" s="250"/>
      <c r="C1" s="250"/>
      <c r="D1" s="249"/>
      <c r="E1" s="250"/>
      <c r="F1" s="250"/>
      <c r="G1" s="301"/>
      <c r="H1" s="301"/>
      <c r="I1" s="249"/>
    </row>
    <row r="2" spans="1:11">
      <c r="G2" s="251"/>
      <c r="H2" s="251"/>
      <c r="I2" s="248"/>
    </row>
    <row r="3" spans="1:11" ht="12.95">
      <c r="D3" s="302" t="s">
        <v>2</v>
      </c>
      <c r="E3" s="250"/>
      <c r="G3" s="117" t="s">
        <v>163</v>
      </c>
      <c r="H3" s="117"/>
      <c r="I3" s="302" t="s">
        <v>33</v>
      </c>
    </row>
    <row r="4" spans="1:11" ht="12.95">
      <c r="D4" s="302" t="s">
        <v>344</v>
      </c>
      <c r="E4" s="118"/>
      <c r="F4" s="92"/>
      <c r="G4" s="117" t="s">
        <v>345</v>
      </c>
      <c r="H4" s="117"/>
      <c r="I4" s="302" t="s">
        <v>346</v>
      </c>
    </row>
    <row r="5" spans="1:11" ht="12.95">
      <c r="A5" s="67" t="s">
        <v>347</v>
      </c>
      <c r="D5" s="303" t="s">
        <v>348</v>
      </c>
      <c r="E5" s="393"/>
      <c r="F5" s="110"/>
      <c r="G5" s="394" t="s">
        <v>178</v>
      </c>
      <c r="H5" s="117"/>
      <c r="I5" s="303" t="s">
        <v>348</v>
      </c>
    </row>
    <row r="6" spans="1:11">
      <c r="G6" s="251"/>
      <c r="H6" s="251"/>
      <c r="I6" s="248"/>
    </row>
    <row r="7" spans="1:11">
      <c r="A7" s="32" t="s">
        <v>349</v>
      </c>
      <c r="D7" s="412">
        <f>D13</f>
        <v>6758.7504883831289</v>
      </c>
      <c r="E7" s="114" t="s">
        <v>350</v>
      </c>
      <c r="G7" s="405">
        <f>'[3]volume-variability factors'!$G$11</f>
        <v>0.98909999999999998</v>
      </c>
      <c r="H7" s="251"/>
      <c r="I7" s="341">
        <f>D7/G7</f>
        <v>6833.2327250865728</v>
      </c>
    </row>
    <row r="8" spans="1:11">
      <c r="A8" s="32" t="s">
        <v>351</v>
      </c>
      <c r="C8" s="199"/>
      <c r="D8" s="412">
        <f>[4]Sheet1!$E$9</f>
        <v>5752.4748872811142</v>
      </c>
      <c r="E8" s="114" t="s">
        <v>352</v>
      </c>
      <c r="G8" s="406">
        <f>G7</f>
        <v>0.98909999999999998</v>
      </c>
      <c r="H8" s="251"/>
      <c r="I8" s="341">
        <f t="shared" ref="I8:I27" si="0">D8/G8</f>
        <v>5815.8678468113585</v>
      </c>
      <c r="K8" s="115"/>
    </row>
    <row r="9" spans="1:11">
      <c r="A9" s="32" t="s">
        <v>185</v>
      </c>
      <c r="D9" s="411">
        <f>'[5]Prod Calc'!$E$13</f>
        <v>739.31456751386031</v>
      </c>
      <c r="E9" s="114" t="s">
        <v>353</v>
      </c>
      <c r="G9" s="405">
        <f>'[3]volume-variability factors'!$G$27</f>
        <v>0.873</v>
      </c>
      <c r="H9" s="251"/>
      <c r="I9" s="341">
        <f t="shared" si="0"/>
        <v>846.86662945459375</v>
      </c>
    </row>
    <row r="10" spans="1:11" ht="12" customHeight="1">
      <c r="A10" s="32" t="s">
        <v>187</v>
      </c>
      <c r="D10" s="413">
        <f>'[6]FY25 Table'!$I$10</f>
        <v>1731.3470699022496</v>
      </c>
      <c r="E10" s="114" t="s">
        <v>353</v>
      </c>
      <c r="G10" s="405">
        <f>G9</f>
        <v>0.873</v>
      </c>
      <c r="H10" s="251"/>
      <c r="I10" s="341">
        <f t="shared" si="0"/>
        <v>1983.215429441294</v>
      </c>
      <c r="J10" s="298"/>
    </row>
    <row r="11" spans="1:11">
      <c r="A11" s="32" t="s">
        <v>354</v>
      </c>
      <c r="D11" s="412">
        <f>D13</f>
        <v>6758.7504883831289</v>
      </c>
      <c r="E11" s="114" t="s">
        <v>350</v>
      </c>
      <c r="G11" s="406">
        <f>G7</f>
        <v>0.98909999999999998</v>
      </c>
      <c r="H11" s="251"/>
      <c r="I11" s="341">
        <f t="shared" si="0"/>
        <v>6833.2327250865728</v>
      </c>
      <c r="J11" s="199"/>
    </row>
    <row r="12" spans="1:11">
      <c r="A12" s="32" t="s">
        <v>355</v>
      </c>
      <c r="D12" s="412">
        <f>D8</f>
        <v>5752.4748872811142</v>
      </c>
      <c r="E12" s="114" t="s">
        <v>352</v>
      </c>
      <c r="G12" s="406">
        <f>G7</f>
        <v>0.98909999999999998</v>
      </c>
      <c r="H12" s="251"/>
      <c r="I12" s="341">
        <f t="shared" si="0"/>
        <v>5815.8678468113585</v>
      </c>
      <c r="J12" s="199"/>
    </row>
    <row r="13" spans="1:11">
      <c r="A13" s="32" t="s">
        <v>356</v>
      </c>
      <c r="D13" s="411">
        <f>'[6]FY25 Table'!$I$13</f>
        <v>6758.7504883831289</v>
      </c>
      <c r="E13" s="114" t="s">
        <v>353</v>
      </c>
      <c r="G13" s="406">
        <f>G7</f>
        <v>0.98909999999999998</v>
      </c>
      <c r="H13" s="251"/>
      <c r="I13" s="341">
        <f t="shared" si="0"/>
        <v>6833.2327250865728</v>
      </c>
      <c r="J13" s="339"/>
    </row>
    <row r="14" spans="1:11">
      <c r="A14" s="32" t="s">
        <v>357</v>
      </c>
      <c r="D14" s="411">
        <f>'[6]FY25 Table'!$I$14</f>
        <v>5382.1298908617546</v>
      </c>
      <c r="E14" s="114" t="s">
        <v>353</v>
      </c>
      <c r="G14" s="406">
        <f>G7</f>
        <v>0.98909999999999998</v>
      </c>
      <c r="H14" s="251"/>
      <c r="I14" s="341">
        <f t="shared" si="0"/>
        <v>5441.4416043491601</v>
      </c>
      <c r="J14" s="339"/>
    </row>
    <row r="15" spans="1:11">
      <c r="A15" s="32" t="s">
        <v>358</v>
      </c>
      <c r="D15" s="411">
        <f>'[6]FY25 Table'!$I$15</f>
        <v>5213.6847407717551</v>
      </c>
      <c r="E15" s="114" t="s">
        <v>353</v>
      </c>
      <c r="G15" s="406">
        <f>G7</f>
        <v>0.98909999999999998</v>
      </c>
      <c r="H15" s="251"/>
      <c r="I15" s="341">
        <f t="shared" si="0"/>
        <v>5271.1401686095996</v>
      </c>
      <c r="J15" s="339"/>
    </row>
    <row r="16" spans="1:11">
      <c r="A16" s="32" t="s">
        <v>359</v>
      </c>
      <c r="D16" s="411">
        <f>'[6]FY25 Table'!$I$16</f>
        <v>10064.860722147192</v>
      </c>
      <c r="E16" s="114" t="s">
        <v>353</v>
      </c>
      <c r="G16" s="406">
        <f>G7</f>
        <v>0.98909999999999998</v>
      </c>
      <c r="H16" s="251"/>
      <c r="I16" s="341">
        <f t="shared" si="0"/>
        <v>10175.776688046904</v>
      </c>
      <c r="J16" s="339"/>
    </row>
    <row r="17" spans="1:12">
      <c r="A17" s="32" t="s">
        <v>360</v>
      </c>
      <c r="D17" s="411">
        <f>'[6]FY25 Table'!$I$17</f>
        <v>12951.571425542645</v>
      </c>
      <c r="E17" s="114" t="s">
        <v>353</v>
      </c>
      <c r="G17" s="406">
        <f>G7</f>
        <v>0.98909999999999998</v>
      </c>
      <c r="H17" s="251"/>
      <c r="I17" s="341">
        <f t="shared" si="0"/>
        <v>13094.29928777944</v>
      </c>
      <c r="J17" s="339"/>
    </row>
    <row r="18" spans="1:12">
      <c r="A18" s="32" t="s">
        <v>361</v>
      </c>
      <c r="D18" s="411">
        <f>'[6]FY25 Table'!$I$18</f>
        <v>6834.7504399952659</v>
      </c>
      <c r="E18" s="114" t="s">
        <v>353</v>
      </c>
      <c r="G18" s="406">
        <f>G7</f>
        <v>0.98909999999999998</v>
      </c>
      <c r="H18" s="251"/>
      <c r="I18" s="341">
        <f t="shared" si="0"/>
        <v>6910.0702052322977</v>
      </c>
      <c r="J18" s="339"/>
    </row>
    <row r="19" spans="1:12" ht="12.95">
      <c r="D19" s="345"/>
      <c r="G19" s="406"/>
      <c r="H19" s="251"/>
      <c r="I19" s="341"/>
      <c r="J19" s="339"/>
    </row>
    <row r="20" spans="1:12" ht="12.95">
      <c r="A20" s="342" t="s">
        <v>362</v>
      </c>
      <c r="D20" s="407">
        <f>[7]Table!$I$19</f>
        <v>613.89764404296875</v>
      </c>
      <c r="E20" s="114" t="s">
        <v>363</v>
      </c>
      <c r="G20" s="405">
        <f>'[3]volume-variability factors'!$G$23</f>
        <v>0.97240000000000004</v>
      </c>
      <c r="H20" s="251"/>
      <c r="I20" s="341">
        <f t="shared" si="0"/>
        <v>631.32213496808799</v>
      </c>
      <c r="J20" s="339"/>
      <c r="L20" s="339"/>
    </row>
    <row r="21" spans="1:12" ht="12.95">
      <c r="A21" s="342" t="s">
        <v>364</v>
      </c>
      <c r="D21" s="407">
        <f>[7]Table!$I$20</f>
        <v>1057.969970703125</v>
      </c>
      <c r="E21" s="114" t="s">
        <v>363</v>
      </c>
      <c r="G21" s="406">
        <f>G20</f>
        <v>0.97240000000000004</v>
      </c>
      <c r="H21" s="251"/>
      <c r="I21" s="341">
        <f t="shared" si="0"/>
        <v>1087.9987358115229</v>
      </c>
      <c r="J21" s="339"/>
      <c r="L21" s="339"/>
    </row>
    <row r="22" spans="1:12" ht="12.95">
      <c r="A22" s="342" t="s">
        <v>365</v>
      </c>
      <c r="D22" s="407">
        <f>[7]Table!$I$21</f>
        <v>1180.437255859375</v>
      </c>
      <c r="E22" s="114" t="s">
        <v>363</v>
      </c>
      <c r="G22" s="406">
        <f>G20</f>
        <v>0.97240000000000004</v>
      </c>
      <c r="H22" s="251"/>
      <c r="I22" s="341">
        <f t="shared" si="0"/>
        <v>1213.9420566221461</v>
      </c>
      <c r="J22" s="339"/>
      <c r="L22" s="339"/>
    </row>
    <row r="23" spans="1:12" ht="12.95">
      <c r="A23" s="342" t="s">
        <v>366</v>
      </c>
      <c r="D23" s="407">
        <f>[7]Table!$I$22</f>
        <v>1076.494873046875</v>
      </c>
      <c r="E23" s="114" t="s">
        <v>363</v>
      </c>
      <c r="G23" s="406">
        <f>G20</f>
        <v>0.97240000000000004</v>
      </c>
      <c r="H23" s="251"/>
      <c r="I23" s="341">
        <f t="shared" si="0"/>
        <v>1107.0494375224957</v>
      </c>
      <c r="J23" s="339"/>
      <c r="L23" s="339"/>
    </row>
    <row r="24" spans="1:12">
      <c r="A24" s="32" t="s">
        <v>367</v>
      </c>
      <c r="D24" s="408">
        <f>'[8]FY25 F4 Manual Productivity'!$D$5</f>
        <v>787.9458663233512</v>
      </c>
      <c r="E24" s="114" t="s">
        <v>368</v>
      </c>
      <c r="G24" s="406">
        <f>G20</f>
        <v>0.97240000000000004</v>
      </c>
      <c r="H24" s="251"/>
      <c r="I24" s="341">
        <f t="shared" si="0"/>
        <v>810.31043431031583</v>
      </c>
      <c r="J24" s="339"/>
      <c r="L24" s="115"/>
    </row>
    <row r="25" spans="1:12">
      <c r="A25" s="32" t="s">
        <v>369</v>
      </c>
      <c r="D25" s="408">
        <v>1920</v>
      </c>
      <c r="E25" s="114" t="s">
        <v>370</v>
      </c>
      <c r="G25" s="405">
        <f>'[3]volume-variability factors'!$G$86</f>
        <v>0.98199999999999998</v>
      </c>
      <c r="H25" s="251"/>
      <c r="I25" s="341">
        <f t="shared" si="0"/>
        <v>1955.193482688391</v>
      </c>
      <c r="J25" s="339"/>
      <c r="L25" s="341"/>
    </row>
    <row r="26" spans="1:12">
      <c r="A26" s="32" t="s">
        <v>371</v>
      </c>
      <c r="D26" s="408">
        <v>960</v>
      </c>
      <c r="E26" s="114" t="s">
        <v>370</v>
      </c>
      <c r="G26" s="406">
        <f>G25</f>
        <v>0.98199999999999998</v>
      </c>
      <c r="H26" s="251"/>
      <c r="I26" s="341">
        <f t="shared" si="0"/>
        <v>977.59674134419549</v>
      </c>
      <c r="J26" s="339"/>
      <c r="L26" s="341"/>
    </row>
    <row r="27" spans="1:12">
      <c r="A27" s="32" t="s">
        <v>372</v>
      </c>
      <c r="D27" s="408">
        <v>119</v>
      </c>
      <c r="E27" s="114" t="s">
        <v>373</v>
      </c>
      <c r="G27" s="405">
        <f>'[3]volume-variability factors'!$G$18</f>
        <v>0.96399999999999997</v>
      </c>
      <c r="H27" s="251"/>
      <c r="I27" s="341">
        <f t="shared" si="0"/>
        <v>123.44398340248964</v>
      </c>
      <c r="J27" s="339"/>
      <c r="L27" s="341"/>
    </row>
    <row r="28" spans="1:12">
      <c r="E28" s="409"/>
      <c r="F28" s="409"/>
      <c r="G28" s="251"/>
      <c r="H28" s="251"/>
      <c r="I28" s="248"/>
    </row>
    <row r="29" spans="1:12">
      <c r="G29" s="32"/>
      <c r="H29" s="32"/>
      <c r="I29" s="32"/>
    </row>
    <row r="30" spans="1:12">
      <c r="G30" s="32"/>
      <c r="H30" s="32"/>
      <c r="I30" s="32"/>
    </row>
    <row r="31" spans="1:12" ht="12.95">
      <c r="A31" s="67" t="s">
        <v>18</v>
      </c>
      <c r="G31" s="32"/>
      <c r="H31" s="32"/>
      <c r="I31" s="32"/>
    </row>
    <row r="32" spans="1:12" ht="12.95">
      <c r="A32" s="106" t="s">
        <v>374</v>
      </c>
      <c r="B32" s="39"/>
      <c r="G32" s="32"/>
      <c r="H32" s="32"/>
      <c r="I32" s="32"/>
    </row>
    <row r="33" spans="1:11" ht="12.95">
      <c r="A33" s="106"/>
      <c r="B33" s="106" t="s">
        <v>375</v>
      </c>
      <c r="G33" s="32"/>
      <c r="H33" s="32"/>
      <c r="I33" s="32"/>
      <c r="K33" s="339"/>
    </row>
    <row r="34" spans="1:11" ht="12.95">
      <c r="A34" s="106"/>
      <c r="B34" s="106" t="s">
        <v>376</v>
      </c>
      <c r="G34" s="32"/>
      <c r="H34" s="32"/>
      <c r="I34" s="32"/>
      <c r="K34" s="339"/>
    </row>
    <row r="35" spans="1:11" ht="12.95">
      <c r="A35" s="106"/>
      <c r="B35" s="106" t="s">
        <v>377</v>
      </c>
      <c r="G35" s="32"/>
      <c r="H35" s="32"/>
      <c r="I35" s="32"/>
      <c r="K35" s="339"/>
    </row>
    <row r="36" spans="1:11" ht="12.95">
      <c r="A36" s="106"/>
      <c r="B36" s="106" t="s">
        <v>378</v>
      </c>
      <c r="G36" s="32"/>
      <c r="H36" s="32"/>
      <c r="I36" s="32"/>
      <c r="K36" s="339"/>
    </row>
    <row r="37" spans="1:11" ht="12.95">
      <c r="B37" s="39"/>
      <c r="G37" s="32"/>
      <c r="H37" s="32"/>
      <c r="I37" s="32"/>
    </row>
    <row r="38" spans="1:11" ht="12.95">
      <c r="B38" s="106" t="s">
        <v>379</v>
      </c>
    </row>
    <row r="39" spans="1:11" ht="12.95">
      <c r="A39" s="39"/>
      <c r="B39" s="106" t="s">
        <v>380</v>
      </c>
    </row>
    <row r="40" spans="1:11" ht="12.95">
      <c r="B40" s="39" t="s">
        <v>381</v>
      </c>
    </row>
    <row r="41" spans="1:11" ht="12.95">
      <c r="A41" s="39" t="s">
        <v>382</v>
      </c>
      <c r="B41" s="39"/>
    </row>
    <row r="42" spans="1:11" ht="12.95">
      <c r="A42" s="39" t="s">
        <v>383</v>
      </c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&amp;RPage 27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8">
    <pageSetUpPr fitToPage="1"/>
  </sheetPr>
  <dimension ref="A1:N47"/>
  <sheetViews>
    <sheetView zoomScale="115" zoomScaleNormal="115" workbookViewId="0"/>
  </sheetViews>
  <sheetFormatPr defaultColWidth="8.85546875" defaultRowHeight="12.6"/>
  <cols>
    <col min="1" max="1" width="5.7109375" customWidth="1"/>
    <col min="2" max="3" width="12.7109375" customWidth="1"/>
    <col min="4" max="4" width="20.7109375" customWidth="1"/>
    <col min="5" max="5" width="17.42578125" style="65" bestFit="1" customWidth="1"/>
    <col min="6" max="6" width="6.7109375" style="32" customWidth="1"/>
    <col min="7" max="7" width="8.85546875" customWidth="1"/>
    <col min="8" max="8" width="16.28515625" bestFit="1" customWidth="1"/>
    <col min="9" max="9" width="19" customWidth="1"/>
    <col min="10" max="10" width="16" customWidth="1"/>
    <col min="11" max="11" width="13" customWidth="1"/>
  </cols>
  <sheetData>
    <row r="1" spans="1:14" ht="18">
      <c r="A1" s="295" t="s">
        <v>384</v>
      </c>
      <c r="B1" s="85"/>
      <c r="C1" s="85"/>
      <c r="D1" s="470"/>
      <c r="E1" s="471"/>
      <c r="G1" s="414"/>
      <c r="H1" s="414"/>
      <c r="I1" s="414"/>
      <c r="J1" s="414"/>
      <c r="K1" s="414"/>
      <c r="L1" s="414"/>
      <c r="M1" s="414"/>
      <c r="N1" s="414"/>
    </row>
    <row r="2" spans="1:14" s="8" customFormat="1" ht="15.6">
      <c r="A2" s="66"/>
      <c r="D2" s="304" t="s">
        <v>385</v>
      </c>
      <c r="E2" s="389"/>
      <c r="H2" s="304"/>
    </row>
    <row r="3" spans="1:14" ht="12.95">
      <c r="A3" s="67" t="s">
        <v>347</v>
      </c>
      <c r="B3" s="414"/>
      <c r="C3" s="414"/>
      <c r="D3" s="67"/>
      <c r="E3" s="64" t="s">
        <v>386</v>
      </c>
      <c r="G3" s="414"/>
      <c r="H3" s="414"/>
      <c r="I3" s="414"/>
      <c r="J3" s="414"/>
      <c r="K3" s="414"/>
      <c r="L3" s="414"/>
      <c r="M3" s="414"/>
      <c r="N3" s="414"/>
    </row>
    <row r="4" spans="1:14">
      <c r="A4" s="32"/>
      <c r="B4" s="32"/>
      <c r="C4" s="32"/>
      <c r="D4" s="32"/>
      <c r="E4" s="390"/>
      <c r="G4" s="285"/>
      <c r="H4" s="285"/>
      <c r="I4" s="414"/>
      <c r="J4" s="414"/>
      <c r="K4" s="414"/>
      <c r="L4" s="414"/>
      <c r="M4" s="414"/>
      <c r="N4" s="414"/>
    </row>
    <row r="5" spans="1:14" ht="12.95">
      <c r="A5" s="39" t="s">
        <v>387</v>
      </c>
      <c r="B5" s="32"/>
      <c r="C5" s="32"/>
      <c r="D5" s="32"/>
      <c r="E5" s="390">
        <v>8.2555217316394605E-2</v>
      </c>
      <c r="F5" s="39" t="s">
        <v>388</v>
      </c>
      <c r="G5" s="199"/>
      <c r="H5" s="287"/>
      <c r="I5" s="414"/>
      <c r="J5" s="288"/>
      <c r="K5" s="414"/>
      <c r="L5" s="414"/>
      <c r="M5" s="414"/>
      <c r="N5" s="414"/>
    </row>
    <row r="6" spans="1:14" ht="12.95">
      <c r="A6" s="39" t="s">
        <v>389</v>
      </c>
      <c r="B6" s="32"/>
      <c r="C6" s="32"/>
      <c r="D6" s="32"/>
      <c r="E6" s="390">
        <v>0.9798</v>
      </c>
      <c r="F6" s="39" t="s">
        <v>390</v>
      </c>
      <c r="G6" s="199"/>
      <c r="H6" s="199"/>
      <c r="I6" s="414"/>
      <c r="J6" s="305"/>
      <c r="K6" s="414"/>
      <c r="L6" s="414"/>
      <c r="M6" s="414"/>
      <c r="N6" s="414"/>
    </row>
    <row r="7" spans="1:14" ht="12.95">
      <c r="A7" s="39" t="s">
        <v>391</v>
      </c>
      <c r="B7" s="32"/>
      <c r="C7" s="32"/>
      <c r="D7" s="32"/>
      <c r="E7" s="403">
        <f>1000*100*'[9]MP Piggybacks'!$B$75
/SUM([10]RBCS!$S$5,[10]RBCS!$S$8)</f>
        <v>0.27889541043904115</v>
      </c>
      <c r="F7" s="39" t="s">
        <v>25</v>
      </c>
      <c r="G7" s="382"/>
      <c r="H7" s="32"/>
      <c r="I7" s="414"/>
      <c r="J7" s="414"/>
      <c r="K7" s="199"/>
      <c r="L7" s="199"/>
      <c r="M7" s="199"/>
      <c r="N7" s="199"/>
    </row>
    <row r="8" spans="1:14" ht="12.95">
      <c r="A8" s="39" t="s">
        <v>392</v>
      </c>
      <c r="B8" s="32"/>
      <c r="C8" s="32"/>
      <c r="D8" s="32"/>
      <c r="E8" s="390">
        <f>E17/(E15+E16+E17)</f>
        <v>0</v>
      </c>
      <c r="F8" s="39" t="s">
        <v>27</v>
      </c>
      <c r="G8" s="199"/>
      <c r="H8" s="414"/>
      <c r="I8" s="414"/>
      <c r="J8" s="414"/>
      <c r="K8" s="290"/>
      <c r="L8" s="414"/>
      <c r="M8" s="414"/>
      <c r="N8" s="414"/>
    </row>
    <row r="9" spans="1:14" ht="12.95">
      <c r="A9" s="39" t="s">
        <v>393</v>
      </c>
      <c r="B9" s="32"/>
      <c r="C9" s="32"/>
      <c r="D9" s="32"/>
      <c r="E9" s="390">
        <v>0</v>
      </c>
      <c r="F9" s="39" t="s">
        <v>47</v>
      </c>
      <c r="G9" s="199"/>
      <c r="H9" s="32"/>
      <c r="I9" s="414"/>
      <c r="J9" s="414"/>
      <c r="K9" s="414"/>
      <c r="L9" s="414"/>
      <c r="M9" s="414"/>
      <c r="N9" s="414"/>
    </row>
    <row r="10" spans="1:14" ht="12.95">
      <c r="A10" s="39" t="s">
        <v>394</v>
      </c>
      <c r="B10" s="32"/>
      <c r="C10" s="32"/>
      <c r="D10" s="32"/>
      <c r="E10" s="390">
        <f>[11]Table!$F$25</f>
        <v>4.5834500459791531E-2</v>
      </c>
      <c r="F10" s="39" t="s">
        <v>49</v>
      </c>
      <c r="G10" s="199"/>
      <c r="H10" s="472"/>
      <c r="I10" s="414"/>
      <c r="J10" s="257"/>
      <c r="K10" s="414"/>
      <c r="L10" s="414"/>
      <c r="M10" s="414"/>
      <c r="N10" s="414"/>
    </row>
    <row r="11" spans="1:14" ht="12.95">
      <c r="A11" s="39" t="s">
        <v>395</v>
      </c>
      <c r="B11" s="32"/>
      <c r="C11" s="32"/>
      <c r="D11" s="32"/>
      <c r="E11" s="390">
        <v>0.75</v>
      </c>
      <c r="F11" s="39" t="s">
        <v>325</v>
      </c>
      <c r="G11" s="199"/>
      <c r="H11" s="285"/>
      <c r="I11" s="414"/>
      <c r="J11" s="414"/>
      <c r="K11" s="414"/>
      <c r="L11" s="414"/>
      <c r="M11" s="414"/>
      <c r="N11" s="414"/>
    </row>
    <row r="12" spans="1:14">
      <c r="A12" s="32"/>
      <c r="B12" s="32"/>
      <c r="C12" s="32"/>
      <c r="D12" s="32"/>
      <c r="G12" s="285"/>
      <c r="H12" s="289"/>
      <c r="I12" s="248"/>
      <c r="J12" s="414"/>
      <c r="K12" s="414"/>
      <c r="L12" s="414"/>
      <c r="M12" s="414"/>
      <c r="N12" s="414"/>
    </row>
    <row r="13" spans="1:14" ht="12.95">
      <c r="A13" s="39"/>
      <c r="B13" s="32"/>
      <c r="C13" s="32"/>
      <c r="D13" s="32"/>
      <c r="G13" s="414"/>
      <c r="H13" s="414"/>
      <c r="I13" s="285"/>
      <c r="J13" s="2"/>
      <c r="K13" s="414"/>
      <c r="L13" s="414"/>
      <c r="M13" s="414"/>
      <c r="N13" s="414"/>
    </row>
    <row r="14" spans="1:14" ht="12.95">
      <c r="A14" s="473" t="s">
        <v>396</v>
      </c>
      <c r="B14" s="306"/>
      <c r="C14" s="306"/>
      <c r="D14" s="306"/>
      <c r="E14" s="404" t="s">
        <v>264</v>
      </c>
      <c r="F14" s="39" t="s">
        <v>326</v>
      </c>
      <c r="G14" s="414"/>
      <c r="H14" s="65"/>
      <c r="I14" s="285"/>
      <c r="J14" s="307"/>
      <c r="K14" s="414"/>
      <c r="L14" s="414"/>
      <c r="M14" s="414"/>
      <c r="N14" s="414"/>
    </row>
    <row r="15" spans="1:14" ht="12.95">
      <c r="A15" s="308"/>
      <c r="B15" s="106" t="s">
        <v>397</v>
      </c>
      <c r="C15" s="32"/>
      <c r="D15" s="32"/>
      <c r="E15" s="390">
        <v>0</v>
      </c>
      <c r="G15" s="414"/>
      <c r="H15" s="9"/>
      <c r="I15" s="414"/>
      <c r="J15" s="309"/>
      <c r="K15" s="414"/>
      <c r="L15" s="414"/>
      <c r="M15" s="414"/>
      <c r="N15" s="414"/>
    </row>
    <row r="16" spans="1:14" ht="12.95">
      <c r="A16" s="308"/>
      <c r="B16" s="39" t="s">
        <v>398</v>
      </c>
      <c r="C16" s="32"/>
      <c r="D16" s="32"/>
      <c r="E16" s="391">
        <f>[12]Table!$C$5</f>
        <v>3.516613492307899E-2</v>
      </c>
      <c r="G16" s="414"/>
      <c r="H16" s="9"/>
      <c r="I16" s="65"/>
      <c r="J16" s="414"/>
      <c r="K16" s="414"/>
      <c r="L16" s="414"/>
      <c r="M16" s="414"/>
      <c r="N16" s="414"/>
    </row>
    <row r="17" spans="1:10" ht="12.95">
      <c r="A17" s="308"/>
      <c r="B17" s="39"/>
      <c r="C17" s="32"/>
      <c r="D17" s="32"/>
      <c r="E17" s="391"/>
      <c r="F17" s="343"/>
      <c r="G17" s="199"/>
      <c r="H17" s="9"/>
      <c r="I17" s="257"/>
      <c r="J17" s="414"/>
    </row>
    <row r="18" spans="1:10" ht="12.95">
      <c r="A18" s="308"/>
      <c r="B18" s="39" t="s">
        <v>399</v>
      </c>
      <c r="C18" s="32"/>
      <c r="D18" s="32"/>
      <c r="E18" s="391">
        <f>[12]Table!$C$7</f>
        <v>0.96483386507692093</v>
      </c>
      <c r="G18" s="414"/>
      <c r="H18" s="334"/>
      <c r="I18" s="257"/>
      <c r="J18" s="414"/>
    </row>
    <row r="19" spans="1:10" ht="12.95">
      <c r="A19" s="310"/>
      <c r="B19" s="54" t="s">
        <v>26</v>
      </c>
      <c r="C19" s="98"/>
      <c r="D19" s="98"/>
      <c r="E19" s="392">
        <f>SUM(E15:E18)</f>
        <v>0.99999999999999989</v>
      </c>
      <c r="G19" s="414"/>
      <c r="H19" s="414"/>
      <c r="I19" s="414"/>
      <c r="J19" s="287"/>
    </row>
    <row r="20" spans="1:10">
      <c r="A20" s="32"/>
      <c r="B20" s="32"/>
      <c r="C20" s="32"/>
      <c r="D20" s="32"/>
      <c r="E20" s="390"/>
      <c r="G20" s="414"/>
      <c r="H20" s="414"/>
      <c r="I20" s="414"/>
      <c r="J20" s="287"/>
    </row>
    <row r="21" spans="1:10">
      <c r="A21" s="32"/>
      <c r="B21" s="32"/>
      <c r="C21" s="32"/>
      <c r="D21" s="32"/>
      <c r="E21" s="390"/>
      <c r="G21" s="414"/>
      <c r="H21" s="414"/>
      <c r="I21" s="414"/>
      <c r="J21" s="287"/>
    </row>
    <row r="22" spans="1:10" ht="12.95">
      <c r="A22" s="67" t="s">
        <v>18</v>
      </c>
      <c r="B22" s="32"/>
      <c r="C22" s="32"/>
      <c r="D22" s="32"/>
      <c r="E22" s="390"/>
      <c r="G22" s="414"/>
      <c r="H22" s="414"/>
      <c r="I22" s="414"/>
      <c r="J22" s="287"/>
    </row>
    <row r="23" spans="1:10" s="201" customFormat="1" ht="12.95">
      <c r="A23" s="39" t="s">
        <v>400</v>
      </c>
      <c r="B23" s="39"/>
      <c r="C23" s="32"/>
      <c r="D23" s="32"/>
      <c r="E23" s="390"/>
      <c r="F23" s="32"/>
    </row>
    <row r="24" spans="1:10" s="201" customFormat="1" ht="12.95">
      <c r="A24" s="39" t="s">
        <v>401</v>
      </c>
      <c r="B24" s="39"/>
      <c r="C24" s="32"/>
      <c r="D24" s="32"/>
      <c r="E24" s="390"/>
      <c r="F24" s="32"/>
    </row>
    <row r="25" spans="1:10" s="315" customFormat="1" ht="12.95">
      <c r="A25" s="39" t="s">
        <v>402</v>
      </c>
      <c r="B25" s="39"/>
      <c r="C25" s="32"/>
      <c r="D25" s="32"/>
      <c r="E25" s="390"/>
      <c r="F25" s="32"/>
      <c r="G25" s="32"/>
      <c r="H25" s="32"/>
      <c r="I25" s="32"/>
      <c r="J25" s="115"/>
    </row>
    <row r="26" spans="1:10" ht="12.95">
      <c r="A26" s="39" t="s">
        <v>403</v>
      </c>
      <c r="B26" s="39"/>
      <c r="C26" s="32"/>
      <c r="D26" s="32"/>
      <c r="E26" s="390"/>
      <c r="G26" s="414"/>
      <c r="H26" s="414"/>
      <c r="I26" s="414"/>
      <c r="J26" s="414"/>
    </row>
    <row r="27" spans="1:10" ht="12.95">
      <c r="A27" s="39" t="s">
        <v>404</v>
      </c>
      <c r="B27" s="39"/>
      <c r="C27" s="32"/>
      <c r="D27" s="32"/>
      <c r="E27" s="390"/>
      <c r="G27" s="414"/>
      <c r="H27" s="414"/>
      <c r="I27" s="414"/>
      <c r="J27" s="414"/>
    </row>
    <row r="28" spans="1:10" ht="12.95">
      <c r="A28" s="39" t="s">
        <v>405</v>
      </c>
      <c r="B28" s="39"/>
      <c r="C28" s="32"/>
      <c r="D28" s="32"/>
      <c r="E28" s="390"/>
      <c r="G28" s="414"/>
      <c r="H28" s="414"/>
      <c r="I28" s="414"/>
      <c r="J28" s="414"/>
    </row>
    <row r="29" spans="1:10" ht="12.95">
      <c r="A29" s="39" t="s">
        <v>406</v>
      </c>
      <c r="B29" s="39"/>
      <c r="C29" s="32"/>
      <c r="D29" s="32"/>
      <c r="E29" s="390"/>
      <c r="F29" s="253"/>
      <c r="G29" s="414"/>
      <c r="H29" s="414"/>
      <c r="I29" s="414"/>
      <c r="J29" s="414"/>
    </row>
    <row r="30" spans="1:10" ht="12.95">
      <c r="A30" s="39" t="s">
        <v>407</v>
      </c>
      <c r="B30" s="32"/>
      <c r="C30" s="32"/>
      <c r="D30" s="32"/>
      <c r="E30" s="390"/>
      <c r="F30" s="253"/>
      <c r="G30" s="414"/>
      <c r="H30" s="414"/>
      <c r="I30" s="414"/>
      <c r="J30" s="414"/>
    </row>
    <row r="31" spans="1:10" ht="12.95">
      <c r="A31" s="344"/>
      <c r="B31" s="32"/>
      <c r="C31" s="32"/>
      <c r="D31" s="32"/>
      <c r="E31" s="390"/>
      <c r="F31" s="253"/>
      <c r="G31" s="414"/>
      <c r="H31" s="414"/>
      <c r="I31" s="414"/>
      <c r="J31" s="414"/>
    </row>
    <row r="32" spans="1:10">
      <c r="A32" s="414"/>
      <c r="B32" s="414"/>
      <c r="C32" s="414"/>
      <c r="D32" s="414"/>
      <c r="F32" s="253"/>
      <c r="G32" s="414"/>
      <c r="H32" s="414"/>
      <c r="I32" s="414"/>
      <c r="J32" s="414"/>
    </row>
    <row r="33" spans="2:6">
      <c r="B33" s="414"/>
      <c r="C33" s="414"/>
      <c r="D33" s="414"/>
      <c r="F33" s="253"/>
    </row>
    <row r="34" spans="2:6">
      <c r="B34" s="414"/>
      <c r="C34" s="414"/>
      <c r="D34" s="414"/>
      <c r="F34" s="253"/>
    </row>
    <row r="35" spans="2:6">
      <c r="B35" s="414"/>
      <c r="C35" s="414"/>
      <c r="D35" s="414"/>
      <c r="F35" s="253"/>
    </row>
    <row r="36" spans="2:6">
      <c r="B36" s="414"/>
      <c r="C36" s="414"/>
      <c r="D36" s="414"/>
      <c r="F36" s="253"/>
    </row>
    <row r="41" spans="2:6">
      <c r="B41" s="32"/>
      <c r="C41" s="414"/>
      <c r="D41" s="414"/>
      <c r="E41" s="94"/>
    </row>
    <row r="42" spans="2:6">
      <c r="B42" s="32"/>
      <c r="C42" s="414"/>
      <c r="D42" s="414"/>
      <c r="E42" s="94"/>
    </row>
    <row r="43" spans="2:6">
      <c r="B43" s="414"/>
      <c r="C43" s="414"/>
      <c r="D43" s="414"/>
      <c r="E43" s="94"/>
    </row>
    <row r="44" spans="2:6">
      <c r="B44" s="32"/>
      <c r="C44" s="414"/>
      <c r="D44" s="414"/>
      <c r="E44" s="94"/>
    </row>
    <row r="45" spans="2:6">
      <c r="B45" s="32"/>
      <c r="C45" s="414"/>
      <c r="D45" s="414"/>
      <c r="E45" s="94"/>
    </row>
    <row r="46" spans="2:6">
      <c r="B46" s="32"/>
      <c r="C46" s="414"/>
      <c r="D46" s="414"/>
      <c r="E46" s="94"/>
    </row>
    <row r="47" spans="2:6">
      <c r="B47" s="32"/>
      <c r="C47" s="414"/>
      <c r="D47" s="414"/>
      <c r="E47" s="94"/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&amp;RPage 28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9">
    <pageSetUpPr fitToPage="1"/>
  </sheetPr>
  <dimension ref="A1:J31"/>
  <sheetViews>
    <sheetView zoomScale="75" workbookViewId="0"/>
  </sheetViews>
  <sheetFormatPr defaultColWidth="8.85546875" defaultRowHeight="12.6"/>
  <cols>
    <col min="1" max="1" width="20.7109375" customWidth="1"/>
    <col min="2" max="8" width="12.7109375" style="51" customWidth="1"/>
  </cols>
  <sheetData>
    <row r="1" spans="1:10" ht="18">
      <c r="A1" s="295" t="s">
        <v>408</v>
      </c>
      <c r="B1" s="311"/>
      <c r="C1" s="311"/>
      <c r="D1" s="311"/>
      <c r="E1" s="311"/>
      <c r="F1" s="311"/>
      <c r="G1" s="311"/>
      <c r="H1" s="311"/>
      <c r="I1" s="414"/>
      <c r="J1" s="414"/>
    </row>
    <row r="2" spans="1:10" ht="12.95">
      <c r="A2" s="414"/>
      <c r="B2" s="312"/>
      <c r="C2" s="474"/>
      <c r="D2" s="313"/>
      <c r="E2" s="296"/>
      <c r="F2" s="296"/>
      <c r="I2" s="414"/>
      <c r="J2" s="414"/>
    </row>
    <row r="3" spans="1:10" ht="12.95">
      <c r="A3" s="414"/>
      <c r="B3" s="245"/>
      <c r="C3" s="245"/>
      <c r="E3" s="296"/>
      <c r="I3" s="414"/>
      <c r="J3" s="414"/>
    </row>
    <row r="4" spans="1:10" ht="12.95">
      <c r="A4" s="32"/>
      <c r="B4" s="245"/>
      <c r="C4" s="475" t="s">
        <v>409</v>
      </c>
      <c r="D4" s="314"/>
      <c r="E4" s="475" t="s">
        <v>410</v>
      </c>
      <c r="F4" s="314"/>
      <c r="G4" s="314"/>
      <c r="H4" s="298"/>
      <c r="I4" s="32"/>
      <c r="J4" s="414"/>
    </row>
    <row r="5" spans="1:10" ht="12.95">
      <c r="A5" s="32"/>
      <c r="B5" s="298"/>
      <c r="C5" s="298"/>
      <c r="D5" s="298"/>
      <c r="E5" s="52" t="s">
        <v>411</v>
      </c>
      <c r="F5" s="52" t="s">
        <v>412</v>
      </c>
      <c r="G5" s="298"/>
      <c r="H5" s="298"/>
      <c r="I5" s="32"/>
      <c r="J5" s="414"/>
    </row>
    <row r="6" spans="1:10" ht="12.95">
      <c r="A6" s="54" t="s">
        <v>413</v>
      </c>
      <c r="B6" s="56" t="s">
        <v>414</v>
      </c>
      <c r="C6" s="56" t="s">
        <v>415</v>
      </c>
      <c r="D6" s="56" t="s">
        <v>416</v>
      </c>
      <c r="E6" s="56" t="s">
        <v>417</v>
      </c>
      <c r="F6" s="56" t="s">
        <v>415</v>
      </c>
      <c r="G6" s="56" t="s">
        <v>418</v>
      </c>
      <c r="H6" s="56" t="s">
        <v>26</v>
      </c>
      <c r="I6" s="32"/>
      <c r="J6" s="32"/>
    </row>
    <row r="7" spans="1:10" ht="15" customHeight="1">
      <c r="A7" s="39" t="s">
        <v>419</v>
      </c>
      <c r="B7" s="298">
        <v>9.5005912076253553E-3</v>
      </c>
      <c r="C7" s="298">
        <v>1.4881469151381263E-2</v>
      </c>
      <c r="D7" s="298">
        <v>0.19773260281674199</v>
      </c>
      <c r="E7" s="298">
        <v>0.28944297136874336</v>
      </c>
      <c r="F7" s="298">
        <v>0.49794295666313332</v>
      </c>
      <c r="G7" s="298">
        <v>0</v>
      </c>
      <c r="H7" s="298">
        <f t="shared" ref="H7:H16" si="0">SUM(C7:G7)</f>
        <v>1</v>
      </c>
      <c r="I7" s="32"/>
      <c r="J7" s="32"/>
    </row>
    <row r="8" spans="1:10" ht="15" customHeight="1">
      <c r="A8" s="39" t="s">
        <v>420</v>
      </c>
      <c r="B8" s="298"/>
      <c r="C8" s="298">
        <v>2.3472419693728375E-2</v>
      </c>
      <c r="D8" s="298">
        <v>8.3916422946837876E-2</v>
      </c>
      <c r="E8" s="298">
        <v>0.35564386491910377</v>
      </c>
      <c r="F8" s="298">
        <v>0.53696729244033004</v>
      </c>
      <c r="G8" s="298">
        <v>0</v>
      </c>
      <c r="H8" s="298">
        <f t="shared" si="0"/>
        <v>1</v>
      </c>
      <c r="I8" s="32"/>
      <c r="J8" s="32"/>
    </row>
    <row r="9" spans="1:10" ht="15" customHeight="1">
      <c r="A9" s="39" t="s">
        <v>225</v>
      </c>
      <c r="B9" s="298">
        <v>6.3651192131819988E-4</v>
      </c>
      <c r="C9" s="298"/>
      <c r="D9" s="298">
        <v>9.6172948771759414E-3</v>
      </c>
      <c r="E9" s="298">
        <v>0.56355724035670118</v>
      </c>
      <c r="F9" s="298">
        <v>0.42682546476612293</v>
      </c>
      <c r="G9" s="298">
        <v>0</v>
      </c>
      <c r="H9" s="298">
        <f t="shared" si="0"/>
        <v>1</v>
      </c>
      <c r="I9" s="199"/>
      <c r="J9" s="32"/>
    </row>
    <row r="10" spans="1:10" ht="15" customHeight="1">
      <c r="A10" s="39" t="s">
        <v>228</v>
      </c>
      <c r="B10" s="298">
        <v>2.773907754675353E-3</v>
      </c>
      <c r="C10" s="298"/>
      <c r="D10" s="298"/>
      <c r="E10" s="298">
        <v>0.57475511356312914</v>
      </c>
      <c r="F10" s="298">
        <v>0.42524488643687081</v>
      </c>
      <c r="G10" s="298">
        <v>0</v>
      </c>
      <c r="H10" s="298">
        <f t="shared" si="0"/>
        <v>1</v>
      </c>
      <c r="I10" s="32"/>
      <c r="J10" s="32"/>
    </row>
    <row r="11" spans="1:10" ht="15" customHeight="1">
      <c r="A11" s="39" t="s">
        <v>421</v>
      </c>
      <c r="B11" s="298">
        <v>2.5812123747817974E-2</v>
      </c>
      <c r="C11" s="298"/>
      <c r="D11" s="298"/>
      <c r="E11" s="298">
        <v>1.6108859716462413E-2</v>
      </c>
      <c r="F11" s="298">
        <v>0.1184757626732728</v>
      </c>
      <c r="G11" s="298">
        <v>0.86541537761026499</v>
      </c>
      <c r="H11" s="298">
        <f t="shared" si="0"/>
        <v>1.0000000000000002</v>
      </c>
      <c r="I11" s="32"/>
      <c r="J11" s="32"/>
    </row>
    <row r="12" spans="1:10" ht="15" customHeight="1">
      <c r="A12" s="39" t="s">
        <v>422</v>
      </c>
      <c r="B12" s="298"/>
      <c r="C12" s="298"/>
      <c r="D12" s="298"/>
      <c r="E12" s="298">
        <v>6.6254984715939675E-3</v>
      </c>
      <c r="F12" s="298">
        <v>0.1931632175714004</v>
      </c>
      <c r="G12" s="298">
        <v>0.80021128395700558</v>
      </c>
      <c r="H12" s="298">
        <f t="shared" si="0"/>
        <v>1</v>
      </c>
      <c r="I12" s="32"/>
      <c r="J12" s="32"/>
    </row>
    <row r="13" spans="1:10" ht="15" customHeight="1">
      <c r="A13" s="39" t="s">
        <v>223</v>
      </c>
      <c r="B13" s="298">
        <v>6.2693363039124095E-3</v>
      </c>
      <c r="C13" s="298"/>
      <c r="D13" s="298"/>
      <c r="E13" s="298"/>
      <c r="F13" s="298">
        <v>8.9223157899242816E-2</v>
      </c>
      <c r="G13" s="298">
        <v>0.91077684210075749</v>
      </c>
      <c r="H13" s="298">
        <f t="shared" si="0"/>
        <v>1.0000000000000002</v>
      </c>
      <c r="I13" s="32"/>
      <c r="J13" s="32"/>
    </row>
    <row r="14" spans="1:10" ht="15" customHeight="1">
      <c r="A14" s="39" t="s">
        <v>230</v>
      </c>
      <c r="B14" s="298"/>
      <c r="C14" s="298"/>
      <c r="D14" s="298">
        <v>0.1740912779635381</v>
      </c>
      <c r="E14" s="298">
        <v>0.17817008883603291</v>
      </c>
      <c r="F14" s="298">
        <v>0.64773863320042901</v>
      </c>
      <c r="G14" s="298">
        <v>0</v>
      </c>
      <c r="H14" s="298">
        <f t="shared" si="0"/>
        <v>1</v>
      </c>
      <c r="I14" s="32"/>
      <c r="J14" s="32"/>
    </row>
    <row r="15" spans="1:10" ht="15" customHeight="1">
      <c r="A15" s="39" t="s">
        <v>231</v>
      </c>
      <c r="B15" s="298"/>
      <c r="C15" s="298"/>
      <c r="D15" s="298"/>
      <c r="E15" s="298">
        <v>0.80949954740966956</v>
      </c>
      <c r="F15" s="298">
        <v>0.19050045259033047</v>
      </c>
      <c r="G15" s="298">
        <v>0</v>
      </c>
      <c r="H15" s="298">
        <f t="shared" si="0"/>
        <v>1</v>
      </c>
      <c r="I15" s="32"/>
      <c r="J15" s="32"/>
    </row>
    <row r="16" spans="1:10" ht="15" customHeight="1">
      <c r="A16" s="54" t="s">
        <v>221</v>
      </c>
      <c r="B16" s="324"/>
      <c r="C16" s="324"/>
      <c r="D16" s="324"/>
      <c r="E16" s="324"/>
      <c r="F16" s="324">
        <v>0.43794479093411165</v>
      </c>
      <c r="G16" s="324">
        <v>0.56205520906588835</v>
      </c>
      <c r="H16" s="324">
        <f t="shared" si="0"/>
        <v>1</v>
      </c>
      <c r="I16" s="32"/>
      <c r="J16" s="32"/>
    </row>
    <row r="17" spans="1:10">
      <c r="A17" s="32"/>
      <c r="B17" s="298"/>
      <c r="C17" s="298"/>
      <c r="D17" s="298"/>
      <c r="E17" s="298"/>
      <c r="F17" s="298"/>
      <c r="G17" s="298"/>
      <c r="H17" s="298"/>
      <c r="I17" s="32"/>
      <c r="J17" s="32"/>
    </row>
    <row r="18" spans="1:10">
      <c r="A18" s="32"/>
      <c r="B18" s="298"/>
      <c r="C18" s="298"/>
      <c r="D18" s="298"/>
      <c r="E18" s="298"/>
      <c r="F18" s="298"/>
      <c r="G18" s="298"/>
      <c r="H18" s="298"/>
      <c r="I18" s="32"/>
      <c r="J18" s="414"/>
    </row>
    <row r="19" spans="1:10" ht="12.95">
      <c r="A19" s="67" t="s">
        <v>423</v>
      </c>
      <c r="B19" s="298"/>
      <c r="C19" s="298"/>
      <c r="D19" s="298"/>
      <c r="E19" s="298"/>
      <c r="F19" s="298"/>
      <c r="G19" s="298"/>
      <c r="H19" s="298"/>
      <c r="I19" s="32"/>
      <c r="J19" s="414"/>
    </row>
    <row r="20" spans="1:10" ht="12.95">
      <c r="A20" s="39" t="s">
        <v>424</v>
      </c>
      <c r="B20" s="298"/>
      <c r="C20" s="298"/>
      <c r="D20" s="298"/>
      <c r="E20" s="298"/>
      <c r="F20" s="298"/>
      <c r="G20" s="298"/>
      <c r="H20" s="298"/>
      <c r="I20" s="32"/>
      <c r="J20" s="414"/>
    </row>
    <row r="21" spans="1:10" ht="12.95">
      <c r="A21" s="39"/>
      <c r="B21" s="298"/>
      <c r="C21" s="298"/>
      <c r="D21" s="298"/>
      <c r="E21" s="298"/>
      <c r="F21" s="298"/>
      <c r="G21" s="298"/>
      <c r="H21" s="298"/>
      <c r="I21" s="32"/>
      <c r="J21" s="414"/>
    </row>
    <row r="22" spans="1:10">
      <c r="A22" s="32"/>
      <c r="B22" s="298"/>
      <c r="C22" s="298"/>
      <c r="D22" s="298"/>
      <c r="E22" s="298"/>
      <c r="F22" s="298"/>
      <c r="G22" s="298"/>
      <c r="H22" s="298"/>
      <c r="I22" s="32"/>
      <c r="J22" s="414"/>
    </row>
    <row r="23" spans="1:10">
      <c r="A23" s="32"/>
      <c r="B23" s="298"/>
      <c r="C23" s="298"/>
      <c r="D23" s="298"/>
      <c r="E23" s="298"/>
      <c r="F23" s="298"/>
      <c r="G23" s="298"/>
      <c r="H23" s="298"/>
      <c r="I23" s="32"/>
      <c r="J23" s="414"/>
    </row>
    <row r="24" spans="1:10">
      <c r="A24" s="32"/>
      <c r="B24" s="298"/>
      <c r="C24" s="298"/>
      <c r="D24" s="298"/>
      <c r="E24" s="298"/>
      <c r="F24" s="298"/>
      <c r="G24" s="298"/>
      <c r="H24" s="298"/>
      <c r="I24" s="32"/>
      <c r="J24" s="414"/>
    </row>
    <row r="25" spans="1:10">
      <c r="A25" s="32"/>
      <c r="B25" s="298"/>
      <c r="C25" s="298"/>
      <c r="D25" s="298"/>
      <c r="E25" s="298"/>
      <c r="F25" s="298"/>
      <c r="G25" s="298"/>
      <c r="H25" s="298"/>
      <c r="I25" s="32"/>
      <c r="J25" s="414"/>
    </row>
    <row r="26" spans="1:10">
      <c r="A26" s="32"/>
      <c r="B26" s="298"/>
      <c r="C26" s="298"/>
      <c r="D26" s="298"/>
      <c r="E26" s="298"/>
      <c r="F26" s="298"/>
      <c r="G26" s="298"/>
      <c r="H26" s="298"/>
      <c r="I26" s="32"/>
      <c r="J26" s="414"/>
    </row>
    <row r="27" spans="1:10">
      <c r="A27" s="32"/>
      <c r="B27" s="298"/>
      <c r="C27" s="298"/>
      <c r="D27" s="298"/>
      <c r="E27" s="298"/>
      <c r="F27" s="298"/>
      <c r="G27" s="298"/>
      <c r="H27" s="298"/>
      <c r="I27" s="32"/>
      <c r="J27" s="414"/>
    </row>
    <row r="28" spans="1:10">
      <c r="A28" s="32"/>
      <c r="B28" s="298"/>
      <c r="C28" s="298"/>
      <c r="D28" s="298"/>
      <c r="E28" s="298"/>
      <c r="F28" s="298"/>
      <c r="G28" s="298"/>
      <c r="H28" s="298"/>
      <c r="I28" s="32"/>
      <c r="J28" s="414"/>
    </row>
    <row r="29" spans="1:10">
      <c r="A29" s="414"/>
      <c r="B29" s="298"/>
      <c r="C29" s="298"/>
      <c r="D29" s="298"/>
      <c r="E29" s="298"/>
      <c r="F29" s="298"/>
      <c r="G29" s="298"/>
      <c r="H29" s="298"/>
      <c r="I29" s="414"/>
      <c r="J29" s="414"/>
    </row>
    <row r="30" spans="1:10">
      <c r="A30" s="414"/>
      <c r="B30" s="298"/>
      <c r="C30" s="298"/>
      <c r="D30" s="298"/>
      <c r="E30" s="298"/>
      <c r="F30" s="298"/>
      <c r="G30" s="298"/>
      <c r="H30" s="298"/>
      <c r="I30" s="414"/>
      <c r="J30" s="414"/>
    </row>
    <row r="31" spans="1:10">
      <c r="A31" s="414"/>
      <c r="B31" s="324"/>
      <c r="C31" s="324"/>
      <c r="D31" s="324"/>
      <c r="E31" s="324"/>
      <c r="F31" s="324"/>
      <c r="G31" s="324"/>
      <c r="H31" s="324"/>
      <c r="I31" s="414"/>
      <c r="J31" s="414"/>
    </row>
  </sheetData>
  <phoneticPr fontId="0" type="noConversion"/>
  <printOptions horizontalCentered="1"/>
  <pageMargins left="0.75" right="0.75" top="1" bottom="1" header="0.5" footer="0.5"/>
  <pageSetup scale="82" orientation="portrait" r:id="rId1"/>
  <headerFooter alignWithMargins="0">
    <oddHeader>&amp;RPage 29</oddHeader>
  </headerFooter>
  <ignoredErrors>
    <ignoredError sqref="H7:H1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0">
    <pageSetUpPr fitToPage="1"/>
  </sheetPr>
  <dimension ref="A1:P58"/>
  <sheetViews>
    <sheetView zoomScale="115" zoomScaleNormal="115" workbookViewId="0">
      <selection activeCell="D9" sqref="D9"/>
    </sheetView>
  </sheetViews>
  <sheetFormatPr defaultRowHeight="12.95"/>
  <cols>
    <col min="1" max="1" width="5.7109375" customWidth="1"/>
    <col min="2" max="2" width="22.7109375" customWidth="1"/>
    <col min="3" max="3" width="15.7109375" customWidth="1"/>
    <col min="4" max="4" width="12.7109375" style="337" customWidth="1"/>
    <col min="5" max="5" width="4.7109375" style="92" customWidth="1"/>
    <col min="7" max="7" width="9.140625" customWidth="1"/>
  </cols>
  <sheetData>
    <row r="1" spans="1:16" ht="18">
      <c r="A1" s="295" t="s">
        <v>425</v>
      </c>
      <c r="B1" s="85"/>
      <c r="C1" s="85"/>
      <c r="D1" s="335"/>
      <c r="E1" s="118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</row>
    <row r="2" spans="1:16">
      <c r="A2" s="414"/>
      <c r="B2" s="414"/>
      <c r="C2" s="2"/>
      <c r="D2" s="258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</row>
    <row r="3" spans="1:16">
      <c r="A3" s="67" t="s">
        <v>426</v>
      </c>
      <c r="B3" s="414"/>
      <c r="C3" s="414"/>
      <c r="D3" s="111" t="s">
        <v>427</v>
      </c>
      <c r="E3" s="93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</row>
    <row r="4" spans="1:16">
      <c r="A4" s="414" t="s">
        <v>428</v>
      </c>
      <c r="B4" s="414"/>
      <c r="C4" s="414"/>
      <c r="D4" s="410">
        <f>'[3]Disaggregated wage rates'!$C$6</f>
        <v>54.142360316355024</v>
      </c>
      <c r="E4" s="92" t="s">
        <v>23</v>
      </c>
      <c r="F4" s="199"/>
      <c r="G4" s="340"/>
      <c r="H4" s="414"/>
      <c r="I4" s="414"/>
      <c r="J4" s="414"/>
      <c r="K4" s="414"/>
      <c r="L4" s="414"/>
      <c r="M4" s="414"/>
      <c r="N4" s="414"/>
      <c r="O4" s="414"/>
      <c r="P4" s="414"/>
    </row>
    <row r="5" spans="1:16">
      <c r="A5" s="414" t="s">
        <v>429</v>
      </c>
      <c r="B5" s="414"/>
      <c r="C5" s="414"/>
      <c r="D5" s="410">
        <f>'[3]Disaggregated wage rates'!$C$8</f>
        <v>50.10717457546064</v>
      </c>
      <c r="E5" s="92" t="s">
        <v>23</v>
      </c>
      <c r="F5" s="199"/>
      <c r="G5" s="340"/>
      <c r="H5" s="414"/>
      <c r="I5" s="414"/>
      <c r="J5" s="414"/>
      <c r="K5" s="414"/>
      <c r="L5" s="414"/>
      <c r="M5" s="414"/>
      <c r="N5" s="414"/>
      <c r="O5" s="414"/>
      <c r="P5" s="414"/>
    </row>
    <row r="6" spans="1:16">
      <c r="A6" s="32" t="s">
        <v>430</v>
      </c>
      <c r="B6" s="414"/>
      <c r="C6" s="414"/>
      <c r="D6" s="258">
        <f>'[3]Premium Pay Fctrs'!$D$20</f>
        <v>0.97408886611748369</v>
      </c>
      <c r="E6" s="92" t="s">
        <v>25</v>
      </c>
      <c r="F6" s="199"/>
      <c r="G6" s="97"/>
      <c r="H6" s="414"/>
      <c r="I6" s="414"/>
      <c r="J6" s="414"/>
      <c r="K6" s="414"/>
      <c r="L6" s="414"/>
      <c r="M6" s="414"/>
      <c r="N6" s="414"/>
      <c r="O6" s="414"/>
      <c r="P6" s="414"/>
    </row>
    <row r="7" spans="1:16">
      <c r="A7" s="32"/>
      <c r="B7" s="414"/>
      <c r="C7" s="39" t="s">
        <v>431</v>
      </c>
      <c r="D7" s="114"/>
      <c r="E7" s="93"/>
      <c r="F7" s="199"/>
      <c r="G7" s="414"/>
      <c r="H7" s="414"/>
      <c r="I7" s="414"/>
      <c r="J7" s="414"/>
      <c r="K7" s="414"/>
      <c r="L7" s="414"/>
      <c r="M7" s="414"/>
      <c r="N7" s="414"/>
      <c r="O7" s="414"/>
      <c r="P7" s="414"/>
    </row>
    <row r="8" spans="1:16">
      <c r="A8" s="67" t="s">
        <v>432</v>
      </c>
      <c r="B8" s="414"/>
      <c r="C8" s="110"/>
      <c r="D8" s="111" t="s">
        <v>427</v>
      </c>
      <c r="F8" s="414"/>
      <c r="G8" s="414"/>
      <c r="H8" s="414"/>
      <c r="I8" s="414"/>
      <c r="J8" s="414"/>
      <c r="K8" s="414"/>
      <c r="L8" s="414"/>
      <c r="M8" s="414"/>
      <c r="N8" s="414"/>
      <c r="O8" s="414"/>
      <c r="P8" s="414"/>
    </row>
    <row r="9" spans="1:16">
      <c r="A9" s="414" t="s">
        <v>182</v>
      </c>
      <c r="B9" s="414"/>
      <c r="C9" s="112"/>
      <c r="D9" s="258">
        <f>'[13]MP Piggybacks'!$J$68</f>
        <v>1.6888485071959758</v>
      </c>
      <c r="E9" s="92" t="s">
        <v>27</v>
      </c>
      <c r="F9" s="258"/>
      <c r="G9" s="414"/>
      <c r="H9" s="112"/>
      <c r="I9" s="414"/>
      <c r="J9" s="258"/>
      <c r="K9" s="257"/>
      <c r="L9" s="257"/>
      <c r="M9" s="257"/>
      <c r="N9" s="257"/>
      <c r="O9" s="257"/>
      <c r="P9" s="257"/>
    </row>
    <row r="10" spans="1:16">
      <c r="A10" s="414" t="s">
        <v>185</v>
      </c>
      <c r="B10" s="414"/>
      <c r="C10" s="414"/>
      <c r="D10" s="258">
        <f>'[13]MP Piggybacks'!$J$77</f>
        <v>1.2615773174013249</v>
      </c>
      <c r="E10" s="92" t="s">
        <v>27</v>
      </c>
      <c r="F10" s="258"/>
      <c r="G10" s="414"/>
      <c r="H10" s="414"/>
      <c r="I10" s="414"/>
      <c r="J10" s="258"/>
      <c r="K10" s="347"/>
      <c r="L10" s="347"/>
      <c r="M10" s="414"/>
      <c r="N10" s="414"/>
      <c r="O10" s="414"/>
      <c r="P10" s="414"/>
    </row>
    <row r="11" spans="1:16">
      <c r="A11" s="414" t="s">
        <v>433</v>
      </c>
      <c r="B11" s="414"/>
      <c r="C11" s="112"/>
      <c r="D11" s="258">
        <f>'[13]MP Piggybacks'!$J$71</f>
        <v>3.4396834863913082</v>
      </c>
      <c r="E11" s="92" t="s">
        <v>27</v>
      </c>
      <c r="F11" s="258"/>
      <c r="G11" s="414"/>
      <c r="H11" s="112"/>
      <c r="I11" s="414"/>
      <c r="J11" s="258"/>
      <c r="K11" s="347"/>
      <c r="L11" s="347"/>
      <c r="M11" s="414"/>
      <c r="N11" s="414"/>
      <c r="O11" s="414"/>
      <c r="P11" s="414"/>
    </row>
    <row r="12" spans="1:16">
      <c r="A12" s="414" t="s">
        <v>434</v>
      </c>
      <c r="B12" s="414"/>
      <c r="C12" s="112"/>
      <c r="D12" s="258">
        <f>D9</f>
        <v>1.6888485071959758</v>
      </c>
      <c r="E12" s="92" t="s">
        <v>27</v>
      </c>
      <c r="F12" s="258"/>
      <c r="G12" s="414"/>
      <c r="H12" s="112"/>
      <c r="I12" s="414"/>
      <c r="J12" s="258"/>
      <c r="K12" s="347"/>
      <c r="L12" s="347"/>
      <c r="M12" s="414"/>
      <c r="N12" s="414"/>
      <c r="O12" s="414"/>
      <c r="P12" s="414"/>
    </row>
    <row r="13" spans="1:16">
      <c r="A13" s="414" t="s">
        <v>435</v>
      </c>
      <c r="B13" s="414"/>
      <c r="C13" s="112"/>
      <c r="D13" s="258"/>
      <c r="E13" s="92" t="s">
        <v>49</v>
      </c>
      <c r="F13" s="258"/>
      <c r="G13" s="414"/>
      <c r="H13" s="112"/>
      <c r="I13" s="414"/>
      <c r="J13" s="258"/>
      <c r="K13" s="347"/>
      <c r="L13" s="347"/>
      <c r="M13" s="414"/>
      <c r="N13" s="414"/>
      <c r="O13" s="414"/>
      <c r="P13" s="414"/>
    </row>
    <row r="14" spans="1:16">
      <c r="A14" s="414" t="s">
        <v>190</v>
      </c>
      <c r="B14" s="414"/>
      <c r="C14" s="112"/>
      <c r="D14" s="258">
        <f>'[13]MP Piggybacks'!$J$15</f>
        <v>1.2988119246888874</v>
      </c>
      <c r="E14" s="92" t="s">
        <v>27</v>
      </c>
      <c r="F14" s="258"/>
      <c r="G14" s="414"/>
      <c r="H14" s="112"/>
      <c r="I14" s="414"/>
      <c r="J14" s="258"/>
      <c r="K14" s="414"/>
      <c r="L14" s="414"/>
      <c r="M14" s="414"/>
      <c r="N14" s="414"/>
      <c r="O14" s="414"/>
      <c r="P14" s="414"/>
    </row>
    <row r="15" spans="1:16">
      <c r="A15" s="414" t="s">
        <v>436</v>
      </c>
      <c r="B15" s="414"/>
      <c r="C15" s="112"/>
      <c r="D15" s="258">
        <f>D14</f>
        <v>1.2988119246888874</v>
      </c>
      <c r="E15" s="92" t="s">
        <v>27</v>
      </c>
      <c r="F15" s="258"/>
      <c r="G15" s="414"/>
      <c r="H15" s="112"/>
      <c r="I15" s="414"/>
      <c r="J15" s="258"/>
      <c r="K15" s="414"/>
      <c r="L15" s="414"/>
      <c r="M15" s="414"/>
      <c r="N15" s="414"/>
      <c r="O15" s="414"/>
      <c r="P15" s="414"/>
    </row>
    <row r="16" spans="1:16">
      <c r="A16" s="32" t="s">
        <v>437</v>
      </c>
      <c r="B16" s="414"/>
      <c r="C16" s="112"/>
      <c r="D16" s="258">
        <f>'[13]MP Piggybacks'!$J$22</f>
        <v>1.5480484240671368</v>
      </c>
      <c r="E16" s="92" t="s">
        <v>27</v>
      </c>
      <c r="F16" s="258"/>
      <c r="G16" s="414"/>
      <c r="H16" s="112"/>
      <c r="I16" s="414"/>
      <c r="J16" s="258"/>
      <c r="K16" s="414"/>
      <c r="L16" s="414"/>
      <c r="M16" s="414"/>
      <c r="N16" s="414"/>
      <c r="O16" s="414"/>
      <c r="P16" s="414"/>
    </row>
    <row r="17" spans="1:12">
      <c r="A17" s="414"/>
      <c r="B17" s="414"/>
      <c r="C17" s="414"/>
      <c r="D17" s="258"/>
      <c r="F17" s="414"/>
      <c r="G17" s="414"/>
      <c r="H17" s="414"/>
      <c r="I17" s="414"/>
      <c r="J17" s="348"/>
      <c r="K17" s="347"/>
      <c r="L17" s="347"/>
    </row>
    <row r="18" spans="1:12">
      <c r="A18" s="67" t="s">
        <v>438</v>
      </c>
      <c r="B18" s="414"/>
      <c r="C18" s="414"/>
      <c r="D18" s="111" t="s">
        <v>427</v>
      </c>
      <c r="F18" s="414"/>
      <c r="G18" s="414"/>
      <c r="H18" s="414"/>
      <c r="I18" s="414"/>
      <c r="J18" s="349"/>
      <c r="K18" s="347"/>
      <c r="L18" s="347"/>
    </row>
    <row r="19" spans="1:12">
      <c r="A19" s="414" t="s">
        <v>349</v>
      </c>
      <c r="B19" s="414"/>
      <c r="C19" s="414"/>
      <c r="D19" s="258">
        <f>D9</f>
        <v>1.6888485071959758</v>
      </c>
      <c r="E19" s="92" t="s">
        <v>47</v>
      </c>
      <c r="F19" s="414"/>
      <c r="G19" s="414"/>
      <c r="H19" s="414"/>
      <c r="I19" s="414"/>
      <c r="J19" s="349"/>
      <c r="K19" s="347"/>
      <c r="L19" s="347"/>
    </row>
    <row r="20" spans="1:12">
      <c r="A20" s="414" t="s">
        <v>439</v>
      </c>
      <c r="B20" s="414"/>
      <c r="C20" s="414"/>
      <c r="D20" s="258">
        <f>D10</f>
        <v>1.2615773174013249</v>
      </c>
      <c r="E20" s="92" t="s">
        <v>47</v>
      </c>
      <c r="F20" s="414"/>
      <c r="G20" s="414"/>
      <c r="H20" s="414"/>
      <c r="I20" s="414"/>
      <c r="J20" s="348"/>
      <c r="K20" s="347"/>
      <c r="L20" s="347"/>
    </row>
    <row r="21" spans="1:12">
      <c r="A21" s="414" t="s">
        <v>354</v>
      </c>
      <c r="B21" s="414"/>
      <c r="C21" s="414"/>
      <c r="D21" s="258">
        <f>D12</f>
        <v>1.6888485071959758</v>
      </c>
      <c r="E21" s="92" t="s">
        <v>47</v>
      </c>
      <c r="F21" s="414"/>
      <c r="G21" s="414"/>
      <c r="H21" s="414"/>
      <c r="I21" s="414"/>
      <c r="J21" s="414"/>
      <c r="K21" s="414"/>
      <c r="L21" s="414"/>
    </row>
    <row r="22" spans="1:12">
      <c r="A22" s="414" t="s">
        <v>440</v>
      </c>
      <c r="B22" s="414"/>
      <c r="C22" s="414"/>
      <c r="D22" s="258">
        <f>D11</f>
        <v>3.4396834863913082</v>
      </c>
      <c r="E22" s="92" t="s">
        <v>47</v>
      </c>
      <c r="F22" s="414"/>
      <c r="G22" s="414"/>
      <c r="H22" s="414"/>
      <c r="I22" s="414"/>
      <c r="J22" s="414"/>
      <c r="K22" s="414"/>
      <c r="L22" s="414"/>
    </row>
    <row r="23" spans="1:12">
      <c r="A23" s="414" t="s">
        <v>441</v>
      </c>
      <c r="B23" s="414"/>
      <c r="C23" s="414"/>
      <c r="D23" s="258">
        <f>D12</f>
        <v>1.6888485071959758</v>
      </c>
      <c r="E23" s="92" t="s">
        <v>47</v>
      </c>
      <c r="F23" s="414"/>
      <c r="G23" s="414"/>
      <c r="H23" s="414"/>
      <c r="I23" s="414"/>
      <c r="J23" s="414"/>
      <c r="K23" s="414"/>
      <c r="L23" s="414"/>
    </row>
    <row r="24" spans="1:12">
      <c r="A24" s="414" t="s">
        <v>442</v>
      </c>
      <c r="B24" s="414"/>
      <c r="C24" s="414"/>
      <c r="D24" s="258">
        <f>D14</f>
        <v>1.2988119246888874</v>
      </c>
      <c r="E24" s="92" t="s">
        <v>47</v>
      </c>
      <c r="F24" s="414"/>
      <c r="G24" s="414"/>
      <c r="H24" s="414"/>
      <c r="I24" s="414"/>
      <c r="J24" s="414"/>
      <c r="K24" s="414"/>
      <c r="L24" s="414"/>
    </row>
    <row r="25" spans="1:12">
      <c r="A25" s="414" t="s">
        <v>443</v>
      </c>
      <c r="B25" s="414"/>
      <c r="C25" s="414"/>
      <c r="D25" s="258">
        <f>D12</f>
        <v>1.6888485071959758</v>
      </c>
      <c r="E25" s="92" t="s">
        <v>47</v>
      </c>
      <c r="F25" s="414"/>
      <c r="G25" s="414"/>
      <c r="H25" s="414"/>
      <c r="I25" s="414"/>
      <c r="J25" s="414"/>
      <c r="K25" s="414"/>
      <c r="L25" s="414"/>
    </row>
    <row r="26" spans="1:12">
      <c r="A26" s="414" t="s">
        <v>444</v>
      </c>
      <c r="B26" s="414"/>
      <c r="C26" s="414"/>
      <c r="D26" s="258">
        <f>D14</f>
        <v>1.2988119246888874</v>
      </c>
      <c r="E26" s="92" t="s">
        <v>47</v>
      </c>
      <c r="F26" s="414"/>
      <c r="G26" s="414"/>
      <c r="H26" s="414"/>
      <c r="I26" s="414"/>
      <c r="J26" s="414"/>
      <c r="K26" s="414"/>
      <c r="L26" s="414"/>
    </row>
    <row r="27" spans="1:12">
      <c r="A27" s="414" t="s">
        <v>351</v>
      </c>
      <c r="B27" s="414"/>
      <c r="C27" s="414"/>
      <c r="D27" s="258">
        <f>D9</f>
        <v>1.6888485071959758</v>
      </c>
      <c r="E27" s="92" t="s">
        <v>47</v>
      </c>
      <c r="F27" s="414"/>
      <c r="G27" s="414"/>
      <c r="H27" s="414"/>
      <c r="I27" s="414"/>
      <c r="J27" s="414"/>
      <c r="K27" s="414"/>
      <c r="L27" s="414"/>
    </row>
    <row r="28" spans="1:12">
      <c r="A28" s="414" t="s">
        <v>445</v>
      </c>
      <c r="B28" s="414"/>
      <c r="C28" s="414"/>
      <c r="D28" s="258">
        <f>D10</f>
        <v>1.2615773174013249</v>
      </c>
      <c r="E28" s="92" t="s">
        <v>47</v>
      </c>
      <c r="F28" s="414"/>
      <c r="G28" s="414"/>
      <c r="H28" s="414"/>
      <c r="I28" s="414"/>
      <c r="J28" s="414"/>
      <c r="K28" s="414"/>
      <c r="L28" s="414"/>
    </row>
    <row r="29" spans="1:12">
      <c r="A29" s="414" t="s">
        <v>355</v>
      </c>
      <c r="B29" s="414"/>
      <c r="C29" s="414"/>
      <c r="D29" s="258">
        <f>D12</f>
        <v>1.6888485071959758</v>
      </c>
      <c r="E29" s="92" t="s">
        <v>47</v>
      </c>
      <c r="F29" s="414"/>
      <c r="G29" s="414"/>
      <c r="H29" s="414"/>
      <c r="I29" s="414"/>
      <c r="J29" s="414"/>
      <c r="K29" s="414"/>
      <c r="L29" s="414"/>
    </row>
    <row r="30" spans="1:12">
      <c r="A30" s="414" t="s">
        <v>446</v>
      </c>
      <c r="B30" s="414"/>
      <c r="C30" s="414"/>
      <c r="D30" s="258">
        <f>D11</f>
        <v>3.4396834863913082</v>
      </c>
      <c r="E30" s="92" t="s">
        <v>47</v>
      </c>
      <c r="F30" s="414"/>
      <c r="G30" s="414"/>
      <c r="H30" s="414"/>
      <c r="I30" s="414"/>
      <c r="J30" s="414"/>
      <c r="K30" s="414"/>
      <c r="L30" s="414"/>
    </row>
    <row r="31" spans="1:12">
      <c r="A31" s="414" t="s">
        <v>447</v>
      </c>
      <c r="B31" s="414"/>
      <c r="C31" s="414"/>
      <c r="D31" s="258">
        <f>D12</f>
        <v>1.6888485071959758</v>
      </c>
      <c r="E31" s="92" t="s">
        <v>47</v>
      </c>
      <c r="F31" s="414"/>
      <c r="G31" s="414"/>
      <c r="H31" s="414"/>
      <c r="I31" s="414"/>
      <c r="J31" s="414"/>
      <c r="K31" s="414"/>
      <c r="L31" s="414"/>
    </row>
    <row r="32" spans="1:12">
      <c r="A32" s="414" t="s">
        <v>448</v>
      </c>
      <c r="B32" s="414"/>
      <c r="C32" s="414"/>
      <c r="D32" s="258">
        <f>D15</f>
        <v>1.2988119246888874</v>
      </c>
      <c r="E32" s="92" t="s">
        <v>47</v>
      </c>
      <c r="F32" s="414"/>
      <c r="G32" s="414"/>
      <c r="H32" s="414"/>
      <c r="I32" s="414"/>
      <c r="J32" s="414"/>
      <c r="K32" s="414"/>
      <c r="L32" s="414"/>
    </row>
    <row r="33" spans="1:9">
      <c r="A33" s="414" t="s">
        <v>449</v>
      </c>
      <c r="B33" s="414"/>
      <c r="C33" s="414"/>
      <c r="D33" s="258">
        <f>D12</f>
        <v>1.6888485071959758</v>
      </c>
      <c r="E33" s="92" t="s">
        <v>47</v>
      </c>
      <c r="F33" s="414"/>
      <c r="G33" s="414"/>
      <c r="H33" s="414"/>
      <c r="I33" s="414"/>
    </row>
    <row r="34" spans="1:9">
      <c r="A34" s="414" t="s">
        <v>450</v>
      </c>
      <c r="B34" s="414"/>
      <c r="C34" s="414"/>
      <c r="D34" s="258">
        <f>D14</f>
        <v>1.2988119246888874</v>
      </c>
      <c r="E34" s="92" t="s">
        <v>47</v>
      </c>
      <c r="F34" s="414"/>
      <c r="G34" s="414"/>
      <c r="H34" s="414"/>
      <c r="I34" s="414"/>
    </row>
    <row r="35" spans="1:9">
      <c r="A35" s="414" t="s">
        <v>451</v>
      </c>
      <c r="B35" s="414"/>
      <c r="C35" s="414"/>
      <c r="D35" s="258">
        <f>D12</f>
        <v>1.6888485071959758</v>
      </c>
      <c r="E35" s="92" t="s">
        <v>47</v>
      </c>
      <c r="F35" s="414"/>
      <c r="G35" s="414"/>
      <c r="H35" s="414"/>
      <c r="I35" s="414"/>
    </row>
    <row r="36" spans="1:9">
      <c r="A36" s="414" t="s">
        <v>452</v>
      </c>
      <c r="B36" s="414"/>
      <c r="C36" s="414"/>
      <c r="D36" s="258"/>
      <c r="E36" s="92" t="s">
        <v>49</v>
      </c>
      <c r="F36" s="414"/>
      <c r="G36" s="414"/>
      <c r="H36" s="414"/>
      <c r="I36" s="39"/>
    </row>
    <row r="37" spans="1:9">
      <c r="A37" s="414" t="s">
        <v>453</v>
      </c>
      <c r="B37" s="414"/>
      <c r="C37" s="414"/>
      <c r="D37" s="258">
        <f>D12</f>
        <v>1.6888485071959758</v>
      </c>
      <c r="E37" s="92" t="s">
        <v>47</v>
      </c>
      <c r="F37" s="414"/>
      <c r="G37" s="414"/>
      <c r="H37" s="414"/>
      <c r="I37" s="39"/>
    </row>
    <row r="38" spans="1:9">
      <c r="A38" s="414" t="s">
        <v>454</v>
      </c>
      <c r="B38" s="414"/>
      <c r="C38" s="414"/>
      <c r="D38" s="258">
        <f>D14</f>
        <v>1.2988119246888874</v>
      </c>
      <c r="E38" s="92" t="s">
        <v>47</v>
      </c>
      <c r="F38" s="414"/>
      <c r="G38" s="414"/>
      <c r="H38" s="414"/>
      <c r="I38" s="39"/>
    </row>
    <row r="39" spans="1:9">
      <c r="A39" s="414" t="s">
        <v>200</v>
      </c>
      <c r="B39" s="414"/>
      <c r="C39" s="414"/>
      <c r="D39" s="258">
        <f>D14</f>
        <v>1.2988119246888874</v>
      </c>
      <c r="E39" s="92" t="s">
        <v>47</v>
      </c>
      <c r="F39" s="414"/>
      <c r="G39" s="414"/>
      <c r="H39" s="414"/>
      <c r="I39" s="39"/>
    </row>
    <row r="40" spans="1:9">
      <c r="A40" s="414" t="s">
        <v>201</v>
      </c>
      <c r="B40" s="414"/>
      <c r="C40" s="414"/>
      <c r="D40" s="258">
        <f>D15</f>
        <v>1.2988119246888874</v>
      </c>
      <c r="E40" s="92" t="s">
        <v>47</v>
      </c>
      <c r="F40" s="414"/>
      <c r="G40" s="414"/>
      <c r="H40" s="414"/>
      <c r="I40" s="414"/>
    </row>
    <row r="41" spans="1:9">
      <c r="A41" s="414" t="s">
        <v>202</v>
      </c>
      <c r="B41" s="414"/>
      <c r="C41" s="414"/>
      <c r="D41" s="258">
        <f>D15</f>
        <v>1.2988119246888874</v>
      </c>
      <c r="E41" s="92" t="s">
        <v>47</v>
      </c>
      <c r="F41" s="414"/>
      <c r="G41" s="414"/>
      <c r="H41" s="414"/>
      <c r="I41" s="414"/>
    </row>
    <row r="42" spans="1:9">
      <c r="A42" s="414" t="s">
        <v>455</v>
      </c>
      <c r="B42" s="414"/>
      <c r="C42" s="2"/>
      <c r="D42" s="258">
        <f>D16</f>
        <v>1.5480484240671368</v>
      </c>
      <c r="E42" s="92" t="s">
        <v>47</v>
      </c>
      <c r="F42" s="414"/>
      <c r="G42" s="414"/>
      <c r="H42" s="414"/>
      <c r="I42" s="414"/>
    </row>
    <row r="44" spans="1:9">
      <c r="A44" s="67" t="s">
        <v>18</v>
      </c>
      <c r="B44" s="32"/>
      <c r="C44" s="32"/>
      <c r="D44" s="258"/>
      <c r="F44" s="32"/>
      <c r="G44" s="32"/>
      <c r="H44" s="414"/>
      <c r="I44" s="414"/>
    </row>
    <row r="45" spans="1:9" s="39" customFormat="1">
      <c r="A45" s="106" t="s">
        <v>456</v>
      </c>
      <c r="D45" s="93"/>
      <c r="E45" s="92"/>
      <c r="I45" s="414"/>
    </row>
    <row r="46" spans="1:9" s="39" customFormat="1">
      <c r="A46" s="106" t="s">
        <v>457</v>
      </c>
      <c r="D46" s="93"/>
      <c r="E46" s="92"/>
      <c r="I46" s="414"/>
    </row>
    <row r="47" spans="1:9" s="39" customFormat="1">
      <c r="A47" s="106" t="s">
        <v>458</v>
      </c>
      <c r="D47" s="93"/>
      <c r="E47" s="92"/>
      <c r="I47" s="414"/>
    </row>
    <row r="48" spans="1:9" s="39" customFormat="1">
      <c r="A48" s="39" t="s">
        <v>459</v>
      </c>
      <c r="D48" s="93"/>
      <c r="E48" s="92"/>
      <c r="I48" s="414"/>
    </row>
    <row r="49" spans="1:7">
      <c r="A49" s="186" t="s">
        <v>460</v>
      </c>
      <c r="B49" s="32"/>
      <c r="C49" s="32"/>
      <c r="D49" s="258"/>
      <c r="F49" s="32"/>
      <c r="G49" s="32"/>
    </row>
    <row r="50" spans="1:7">
      <c r="A50" s="32"/>
      <c r="B50" s="32"/>
      <c r="C50" s="32"/>
      <c r="D50" s="258"/>
      <c r="F50" s="32"/>
      <c r="G50" s="32"/>
    </row>
    <row r="51" spans="1:7">
      <c r="A51" s="32"/>
      <c r="B51" s="32"/>
      <c r="C51" s="32"/>
      <c r="D51" s="258"/>
      <c r="F51" s="32"/>
      <c r="G51" s="32"/>
    </row>
    <row r="58" spans="1:7">
      <c r="A58" s="414"/>
      <c r="B58" s="414"/>
      <c r="C58" s="414"/>
      <c r="D58" s="97"/>
      <c r="F58" s="414"/>
      <c r="G58" s="414"/>
    </row>
  </sheetData>
  <phoneticPr fontId="0" type="noConversion"/>
  <printOptions horizontalCentered="1"/>
  <pageMargins left="0.75" right="0.75" top="1" bottom="1" header="0.5" footer="0.5"/>
  <pageSetup orientation="portrait" r:id="rId1"/>
  <headerFooter alignWithMargins="0">
    <oddHeader>&amp;RPage 30</oddHeader>
  </headerFooter>
  <ignoredErrors>
    <ignoredError sqref="D38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1">
    <pageSetUpPr fitToPage="1"/>
  </sheetPr>
  <dimension ref="A1:M60"/>
  <sheetViews>
    <sheetView zoomScaleNormal="100" workbookViewId="0"/>
  </sheetViews>
  <sheetFormatPr defaultColWidth="9.140625" defaultRowHeight="12.6"/>
  <cols>
    <col min="1" max="1" width="30.7109375" style="94" customWidth="1"/>
    <col min="2" max="2" width="25.7109375" style="100" customWidth="1"/>
    <col min="3" max="3" width="20.7109375" style="94" customWidth="1"/>
    <col min="4" max="4" width="22.42578125" style="94" customWidth="1"/>
    <col min="5" max="5" width="19.85546875" style="94" customWidth="1"/>
    <col min="6" max="6" width="12.7109375" style="100" customWidth="1"/>
    <col min="7" max="7" width="4.42578125" style="94" customWidth="1"/>
    <col min="8" max="8" width="22.5703125" bestFit="1" customWidth="1"/>
    <col min="9" max="9" width="14.5703125" bestFit="1" customWidth="1"/>
    <col min="10" max="10" width="13.5703125" bestFit="1" customWidth="1"/>
    <col min="11" max="11" width="9.5703125" bestFit="1" customWidth="1"/>
    <col min="12" max="13" width="8.7109375" customWidth="1"/>
    <col min="14" max="16384" width="9.140625" style="94"/>
  </cols>
  <sheetData>
    <row r="1" spans="1:13" ht="18">
      <c r="A1" s="319" t="str">
        <f>'[14]USPS MM LETTERS'!$C$3</f>
        <v>USPS MARKETING MAIL PRESORT LETTERS MAIL CHARACTERISTICS DATA</v>
      </c>
      <c r="H1" s="414"/>
      <c r="I1" s="414"/>
      <c r="J1" s="414"/>
      <c r="K1" s="414"/>
      <c r="L1" s="414"/>
      <c r="M1" s="414"/>
    </row>
    <row r="2" spans="1:13" ht="18">
      <c r="A2" s="320" t="str">
        <f>'[14]USPS MM LETTERS'!$C$1</f>
        <v>USPS-FY25-14</v>
      </c>
      <c r="D2" s="321"/>
      <c r="H2" s="414"/>
      <c r="I2" s="414"/>
      <c r="J2" s="414"/>
      <c r="K2" s="414"/>
      <c r="L2" s="414"/>
      <c r="M2" s="414"/>
    </row>
    <row r="3" spans="1:13" ht="12.95">
      <c r="A3" s="94" t="str">
        <f>'[14]USPS MM LETTERS'!$C$2</f>
        <v>Table MCS - 5</v>
      </c>
      <c r="F3" s="90" t="s">
        <v>461</v>
      </c>
      <c r="H3" s="414"/>
      <c r="I3" s="414"/>
      <c r="J3" s="414"/>
      <c r="K3" s="414"/>
      <c r="L3" s="414"/>
      <c r="M3" s="414"/>
    </row>
    <row r="4" spans="1:13" ht="12.95">
      <c r="F4" s="90" t="s">
        <v>462</v>
      </c>
      <c r="H4" s="414"/>
      <c r="I4" s="414"/>
      <c r="J4" s="414"/>
      <c r="K4" s="414"/>
      <c r="L4" s="414"/>
      <c r="M4" s="414"/>
    </row>
    <row r="5" spans="1:13" ht="12.95">
      <c r="A5" s="195" t="s">
        <v>5</v>
      </c>
      <c r="B5" s="322" t="s">
        <v>463</v>
      </c>
      <c r="C5" s="322" t="s">
        <v>464</v>
      </c>
      <c r="D5" s="322" t="s">
        <v>465</v>
      </c>
      <c r="E5" s="356" t="str">
        <f>'[15]USPS MM LETTERS'!$G7</f>
        <v>VOLUME</v>
      </c>
      <c r="F5" s="356" t="s">
        <v>466</v>
      </c>
      <c r="H5" s="414"/>
      <c r="I5" s="414"/>
      <c r="J5" s="414"/>
      <c r="K5" s="414"/>
      <c r="L5" s="414"/>
      <c r="M5" s="414"/>
    </row>
    <row r="6" spans="1:13">
      <c r="A6" s="94" t="s">
        <v>467</v>
      </c>
      <c r="B6" s="120" t="s">
        <v>468</v>
      </c>
      <c r="C6" s="120" t="s">
        <v>469</v>
      </c>
      <c r="D6" s="120" t="s">
        <v>470</v>
      </c>
      <c r="E6" s="400">
        <f>'[14]USPS MM LETTERS'!$G$8</f>
        <v>160965393</v>
      </c>
      <c r="F6" s="357" t="s">
        <v>471</v>
      </c>
      <c r="G6" s="120"/>
      <c r="H6" s="120"/>
      <c r="I6" s="120"/>
      <c r="J6" s="358"/>
      <c r="K6" s="100"/>
      <c r="L6" s="414"/>
      <c r="M6" s="414"/>
    </row>
    <row r="7" spans="1:13" ht="12.95">
      <c r="A7" s="194" t="s">
        <v>472</v>
      </c>
      <c r="B7" s="120"/>
      <c r="C7" s="120"/>
      <c r="D7" s="120"/>
      <c r="E7" s="401">
        <f>SUM(E6)</f>
        <v>160965393</v>
      </c>
      <c r="F7" s="354"/>
      <c r="G7" s="120"/>
      <c r="H7" s="120"/>
      <c r="I7" s="120"/>
      <c r="J7" s="194"/>
      <c r="K7" s="100"/>
      <c r="L7" s="414"/>
      <c r="M7" s="414"/>
    </row>
    <row r="8" spans="1:13" ht="12.95">
      <c r="B8" s="120"/>
      <c r="C8" s="120"/>
      <c r="D8" s="120"/>
      <c r="E8" s="356"/>
      <c r="F8" s="354"/>
      <c r="G8" s="120"/>
      <c r="H8" s="120"/>
      <c r="I8" s="120"/>
      <c r="J8" s="94"/>
      <c r="K8" s="100"/>
      <c r="L8" s="414"/>
      <c r="M8" s="414"/>
    </row>
    <row r="9" spans="1:13" ht="12.95">
      <c r="E9" s="356"/>
      <c r="F9" s="355" t="s">
        <v>461</v>
      </c>
      <c r="H9" s="94"/>
      <c r="I9" s="94"/>
      <c r="J9" s="94"/>
      <c r="K9" s="90"/>
      <c r="L9" s="414"/>
      <c r="M9" s="414"/>
    </row>
    <row r="10" spans="1:13" ht="12.95">
      <c r="E10" s="356"/>
      <c r="F10" s="355" t="s">
        <v>462</v>
      </c>
      <c r="H10" s="94"/>
      <c r="I10" s="94"/>
      <c r="J10" s="94"/>
      <c r="K10" s="90"/>
      <c r="L10" s="414"/>
      <c r="M10" s="414"/>
    </row>
    <row r="11" spans="1:13" ht="12.95">
      <c r="A11" s="195" t="s">
        <v>5</v>
      </c>
      <c r="B11" s="322" t="s">
        <v>463</v>
      </c>
      <c r="C11" s="322" t="s">
        <v>464</v>
      </c>
      <c r="D11" s="322" t="s">
        <v>465</v>
      </c>
      <c r="E11" s="356" t="str">
        <f>'[15]USPS MM LETTERS'!$G13</f>
        <v>VOLUME</v>
      </c>
      <c r="F11" s="356" t="s">
        <v>466</v>
      </c>
      <c r="G11" s="322"/>
      <c r="H11" s="322"/>
      <c r="I11" s="322"/>
      <c r="J11" s="224"/>
      <c r="K11" s="224"/>
      <c r="L11" s="414"/>
      <c r="M11" s="414"/>
    </row>
    <row r="12" spans="1:13">
      <c r="A12" s="94" t="s">
        <v>473</v>
      </c>
      <c r="B12" s="120" t="s">
        <v>468</v>
      </c>
      <c r="C12" s="120" t="s">
        <v>309</v>
      </c>
      <c r="D12" s="120" t="s">
        <v>470</v>
      </c>
      <c r="E12" s="400">
        <f>'[14]USPS MM LETTERS'!$G$14</f>
        <v>322485438.79381186</v>
      </c>
      <c r="F12" s="357" t="s">
        <v>471</v>
      </c>
      <c r="G12" s="120"/>
      <c r="H12" s="120"/>
      <c r="I12" s="120"/>
      <c r="J12" s="94"/>
      <c r="K12" s="100"/>
      <c r="L12" s="414"/>
      <c r="M12" s="414"/>
    </row>
    <row r="13" spans="1:13">
      <c r="A13" s="94" t="s">
        <v>473</v>
      </c>
      <c r="B13" s="120" t="s">
        <v>468</v>
      </c>
      <c r="C13" s="120" t="s">
        <v>474</v>
      </c>
      <c r="D13" s="120" t="s">
        <v>470</v>
      </c>
      <c r="E13" s="400">
        <f>'[14]USPS MM LETTERS'!$G$15</f>
        <v>1376612.2061881423</v>
      </c>
      <c r="F13" s="357" t="s">
        <v>471</v>
      </c>
      <c r="G13" s="120"/>
      <c r="H13" s="120"/>
      <c r="I13" s="120"/>
      <c r="J13" s="358"/>
      <c r="K13" s="100"/>
      <c r="L13" s="414"/>
      <c r="M13" s="414"/>
    </row>
    <row r="14" spans="1:13" s="194" customFormat="1" ht="12.95">
      <c r="A14" s="194" t="s">
        <v>472</v>
      </c>
      <c r="B14" s="323"/>
      <c r="C14" s="323"/>
      <c r="D14" s="323"/>
      <c r="E14" s="401">
        <f>SUM(E12:E13)</f>
        <v>323862051</v>
      </c>
      <c r="F14" s="355"/>
      <c r="G14" s="323"/>
      <c r="H14" s="323"/>
      <c r="I14" s="323"/>
      <c r="K14" s="90"/>
      <c r="L14" s="414"/>
      <c r="M14" s="414"/>
    </row>
    <row r="15" spans="1:13" ht="12.95">
      <c r="B15" s="120"/>
      <c r="C15" s="120"/>
      <c r="D15" s="120"/>
      <c r="E15" s="356"/>
      <c r="F15" s="354"/>
      <c r="G15" s="120"/>
      <c r="H15" s="120"/>
      <c r="I15" s="120"/>
      <c r="J15" s="94"/>
      <c r="K15" s="100"/>
      <c r="L15" s="414"/>
      <c r="M15" s="414"/>
    </row>
    <row r="16" spans="1:13" ht="12.95">
      <c r="B16" s="120"/>
      <c r="C16" s="120"/>
      <c r="D16" s="120"/>
      <c r="E16" s="356"/>
      <c r="F16" s="355" t="s">
        <v>461</v>
      </c>
      <c r="G16" s="120"/>
      <c r="H16" s="120"/>
      <c r="I16" s="120"/>
      <c r="J16" s="94"/>
      <c r="K16" s="90"/>
      <c r="L16" s="414"/>
      <c r="M16" s="414"/>
    </row>
    <row r="17" spans="1:11" ht="12.95">
      <c r="B17" s="120"/>
      <c r="C17" s="120"/>
      <c r="D17" s="120"/>
      <c r="E17" s="356"/>
      <c r="F17" s="355" t="s">
        <v>462</v>
      </c>
      <c r="G17" s="120"/>
      <c r="H17" s="120"/>
      <c r="I17" s="120"/>
      <c r="J17" s="94"/>
      <c r="K17" s="90"/>
    </row>
    <row r="18" spans="1:11" ht="12.95">
      <c r="A18" s="195" t="s">
        <v>5</v>
      </c>
      <c r="B18" s="322" t="s">
        <v>463</v>
      </c>
      <c r="C18" s="322" t="s">
        <v>464</v>
      </c>
      <c r="D18" s="322" t="s">
        <v>465</v>
      </c>
      <c r="E18" s="356" t="str">
        <f>'[15]USPS MM LETTERS'!$G20</f>
        <v>VOLUME</v>
      </c>
      <c r="F18" s="356" t="s">
        <v>466</v>
      </c>
      <c r="G18" s="322"/>
      <c r="H18" s="322"/>
      <c r="I18" s="322"/>
      <c r="J18" s="224"/>
      <c r="K18" s="224"/>
    </row>
    <row r="19" spans="1:11">
      <c r="A19" s="94" t="s">
        <v>467</v>
      </c>
      <c r="B19" s="120" t="s">
        <v>475</v>
      </c>
      <c r="C19" s="120" t="s">
        <v>476</v>
      </c>
      <c r="D19" s="120" t="s">
        <v>476</v>
      </c>
      <c r="E19" s="400">
        <f>'[14]USPS MM LETTERS'!G21</f>
        <v>457018.0054424433</v>
      </c>
      <c r="F19" s="357">
        <f>'[14]USPS MM LETTERS'!H21</f>
        <v>27.070259780342198</v>
      </c>
      <c r="G19" s="120"/>
      <c r="H19" s="120"/>
      <c r="I19" s="120"/>
      <c r="J19" s="94"/>
      <c r="K19" s="100"/>
    </row>
    <row r="20" spans="1:11">
      <c r="A20" s="94" t="s">
        <v>467</v>
      </c>
      <c r="B20" s="120" t="s">
        <v>475</v>
      </c>
      <c r="C20" s="120" t="s">
        <v>476</v>
      </c>
      <c r="D20" s="120" t="s">
        <v>477</v>
      </c>
      <c r="E20" s="400">
        <f>'[14]USPS MM LETTERS'!G22</f>
        <v>245244.85505278734</v>
      </c>
      <c r="F20" s="357">
        <f>'[14]USPS MM LETTERS'!H22</f>
        <v>17.046354699928315</v>
      </c>
      <c r="G20" s="120"/>
      <c r="H20" s="120"/>
      <c r="I20" s="120"/>
      <c r="J20" s="94"/>
      <c r="K20" s="100"/>
    </row>
    <row r="21" spans="1:11">
      <c r="A21" s="94" t="s">
        <v>467</v>
      </c>
      <c r="B21" s="120" t="s">
        <v>475</v>
      </c>
      <c r="C21" s="120" t="s">
        <v>476</v>
      </c>
      <c r="D21" s="120" t="s">
        <v>474</v>
      </c>
      <c r="E21" s="400">
        <f>'[14]USPS MM LETTERS'!G23</f>
        <v>30633.87738288394</v>
      </c>
      <c r="F21" s="357">
        <f>'[14]USPS MM LETTERS'!H23</f>
        <v>16.821802874283485</v>
      </c>
      <c r="G21" s="120"/>
      <c r="H21" s="120"/>
      <c r="I21" s="120"/>
      <c r="J21" s="94"/>
      <c r="K21" s="100"/>
    </row>
    <row r="22" spans="1:11">
      <c r="A22" s="94" t="s">
        <v>467</v>
      </c>
      <c r="B22" s="120" t="s">
        <v>475</v>
      </c>
      <c r="C22" s="120" t="s">
        <v>476</v>
      </c>
      <c r="D22" s="120" t="s">
        <v>478</v>
      </c>
      <c r="E22" s="400">
        <f>'[14]USPS MM LETTERS'!G24</f>
        <v>16195.262121885444</v>
      </c>
      <c r="F22" s="357">
        <f>'[14]USPS MM LETTERS'!H24</f>
        <v>16.373772352082291</v>
      </c>
      <c r="G22" s="120"/>
      <c r="H22" s="120"/>
      <c r="I22" s="120"/>
      <c r="J22" s="358"/>
      <c r="K22" s="100"/>
    </row>
    <row r="23" spans="1:11" ht="12.95">
      <c r="A23" s="194" t="s">
        <v>472</v>
      </c>
      <c r="B23" s="120"/>
      <c r="C23" s="120"/>
      <c r="D23" s="120"/>
      <c r="E23" s="401">
        <f>SUM(E19:E22)</f>
        <v>749092</v>
      </c>
      <c r="F23" s="354"/>
      <c r="G23" s="120"/>
      <c r="H23" s="120"/>
      <c r="I23" s="120"/>
      <c r="J23" s="194"/>
      <c r="K23" s="100"/>
    </row>
    <row r="24" spans="1:11" ht="12.95">
      <c r="B24" s="120"/>
      <c r="C24" s="120"/>
      <c r="D24" s="120"/>
      <c r="E24" s="356"/>
      <c r="F24" s="354"/>
      <c r="G24" s="120"/>
      <c r="H24" s="120"/>
      <c r="I24" s="120"/>
      <c r="J24" s="94"/>
      <c r="K24" s="100"/>
    </row>
    <row r="25" spans="1:11" ht="12.95">
      <c r="B25" s="120"/>
      <c r="C25" s="120"/>
      <c r="D25" s="120"/>
      <c r="E25" s="356"/>
      <c r="F25" s="355" t="s">
        <v>461</v>
      </c>
      <c r="G25" s="120"/>
      <c r="H25" s="120"/>
      <c r="I25" s="120"/>
      <c r="J25" s="94"/>
      <c r="K25" s="90"/>
    </row>
    <row r="26" spans="1:11" ht="12.95">
      <c r="B26" s="120"/>
      <c r="C26" s="120"/>
      <c r="D26" s="120"/>
      <c r="E26" s="356"/>
      <c r="F26" s="355" t="s">
        <v>462</v>
      </c>
      <c r="G26" s="120"/>
      <c r="H26" s="120"/>
      <c r="I26" s="120"/>
      <c r="J26" s="94"/>
      <c r="K26" s="90"/>
    </row>
    <row r="27" spans="1:11" ht="12.95">
      <c r="A27" s="195" t="s">
        <v>5</v>
      </c>
      <c r="B27" s="322" t="s">
        <v>463</v>
      </c>
      <c r="C27" s="322" t="s">
        <v>464</v>
      </c>
      <c r="D27" s="322" t="s">
        <v>465</v>
      </c>
      <c r="E27" s="356" t="str">
        <f>'[15]USPS MM LETTERS'!$G29</f>
        <v>VOLUME</v>
      </c>
      <c r="F27" s="356" t="s">
        <v>466</v>
      </c>
      <c r="G27" s="322"/>
      <c r="H27" s="120"/>
      <c r="I27" s="322"/>
      <c r="J27" s="224"/>
      <c r="K27" s="224"/>
    </row>
    <row r="28" spans="1:11">
      <c r="A28" s="94" t="s">
        <v>473</v>
      </c>
      <c r="B28" s="120" t="s">
        <v>475</v>
      </c>
      <c r="C28" s="120" t="s">
        <v>477</v>
      </c>
      <c r="D28" s="120" t="s">
        <v>477</v>
      </c>
      <c r="E28" s="400">
        <f>'[14]USPS MM LETTERS'!G30</f>
        <v>351686.51312390034</v>
      </c>
      <c r="F28" s="357">
        <f>'[14]USPS MM LETTERS'!H30</f>
        <v>19.779418581122741</v>
      </c>
      <c r="G28" s="120"/>
      <c r="H28" s="120"/>
      <c r="I28" s="120"/>
      <c r="J28" s="94"/>
      <c r="K28" s="100"/>
    </row>
    <row r="29" spans="1:11">
      <c r="A29" s="94" t="s">
        <v>473</v>
      </c>
      <c r="B29" s="120" t="s">
        <v>475</v>
      </c>
      <c r="C29" s="120" t="s">
        <v>477</v>
      </c>
      <c r="D29" s="120" t="s">
        <v>474</v>
      </c>
      <c r="E29" s="400">
        <f>'[14]USPS MM LETTERS'!G31</f>
        <v>80113.557164218058</v>
      </c>
      <c r="F29" s="357">
        <f>'[14]USPS MM LETTERS'!H31</f>
        <v>22.284445039896788</v>
      </c>
      <c r="G29" s="120"/>
      <c r="H29" s="120"/>
      <c r="I29" s="120"/>
      <c r="J29" s="94"/>
      <c r="K29" s="100"/>
    </row>
    <row r="30" spans="1:11">
      <c r="A30" s="94" t="s">
        <v>473</v>
      </c>
      <c r="B30" s="120" t="s">
        <v>475</v>
      </c>
      <c r="C30" s="120" t="s">
        <v>477</v>
      </c>
      <c r="D30" s="120" t="s">
        <v>478</v>
      </c>
      <c r="E30" s="400">
        <f>'[14]USPS MM LETTERS'!G32</f>
        <v>2225.2405328785976</v>
      </c>
      <c r="F30" s="357">
        <f>'[14]USPS MM LETTERS'!H32</f>
        <v>19.149259256181772</v>
      </c>
      <c r="G30" s="120"/>
      <c r="H30" s="120"/>
      <c r="I30" s="120"/>
      <c r="J30" s="94"/>
      <c r="K30" s="100"/>
    </row>
    <row r="31" spans="1:11">
      <c r="A31" s="94" t="s">
        <v>473</v>
      </c>
      <c r="B31" s="120" t="s">
        <v>475</v>
      </c>
      <c r="C31" s="120" t="s">
        <v>474</v>
      </c>
      <c r="D31" s="120" t="s">
        <v>474</v>
      </c>
      <c r="E31" s="400">
        <f>'[14]USPS MM LETTERS'!G33</f>
        <v>123351.40374857426</v>
      </c>
      <c r="F31" s="357">
        <f>'[14]USPS MM LETTERS'!H33</f>
        <v>34.008890195403474</v>
      </c>
      <c r="G31" s="120"/>
      <c r="H31" s="120"/>
      <c r="I31" s="120"/>
      <c r="J31" s="94"/>
      <c r="K31" s="100"/>
    </row>
    <row r="32" spans="1:11">
      <c r="A32" s="94" t="s">
        <v>473</v>
      </c>
      <c r="B32" s="120" t="s">
        <v>475</v>
      </c>
      <c r="C32" s="120" t="s">
        <v>474</v>
      </c>
      <c r="D32" s="120" t="s">
        <v>478</v>
      </c>
      <c r="E32" s="400">
        <f>'[14]USPS MM LETTERS'!G34</f>
        <v>7115.2854304287866</v>
      </c>
      <c r="F32" s="357">
        <f>'[14]USPS MM LETTERS'!H34</f>
        <v>29.91086644067115</v>
      </c>
      <c r="G32" s="120"/>
      <c r="H32" s="120"/>
      <c r="I32" s="120"/>
      <c r="J32" s="358"/>
      <c r="K32" s="100"/>
    </row>
    <row r="33" spans="1:13" s="194" customFormat="1" ht="12.95">
      <c r="A33" s="194" t="s">
        <v>472</v>
      </c>
      <c r="B33" s="323"/>
      <c r="C33" s="323"/>
      <c r="D33" s="323"/>
      <c r="E33" s="401">
        <f>SUM(E28:E32)</f>
        <v>564492</v>
      </c>
      <c r="F33" s="355"/>
      <c r="G33" s="323"/>
      <c r="H33" s="120"/>
      <c r="I33" s="323"/>
      <c r="K33" s="90"/>
      <c r="L33" s="414"/>
      <c r="M33" s="414"/>
    </row>
    <row r="34" spans="1:13" ht="12.95">
      <c r="B34" s="120"/>
      <c r="C34" s="120"/>
      <c r="D34" s="120"/>
      <c r="E34" s="356"/>
      <c r="F34" s="354"/>
      <c r="G34" s="120"/>
      <c r="H34" s="120"/>
      <c r="I34" s="120"/>
      <c r="J34" s="94"/>
      <c r="K34" s="100"/>
      <c r="L34" s="414"/>
      <c r="M34" s="414"/>
    </row>
    <row r="35" spans="1:13" ht="12.95">
      <c r="E35" s="356"/>
      <c r="F35" s="355" t="s">
        <v>461</v>
      </c>
      <c r="H35" s="120"/>
      <c r="I35" s="94"/>
      <c r="J35" s="194"/>
      <c r="K35" s="100"/>
      <c r="L35" s="414"/>
      <c r="M35" s="414"/>
    </row>
    <row r="36" spans="1:13" ht="12.95">
      <c r="E36" s="356"/>
      <c r="F36" s="355" t="s">
        <v>462</v>
      </c>
      <c r="H36" s="120"/>
      <c r="I36" s="94"/>
      <c r="J36" s="194"/>
      <c r="K36" s="90"/>
      <c r="L36" s="414"/>
      <c r="M36" s="414"/>
    </row>
    <row r="37" spans="1:13" ht="12.95">
      <c r="A37" s="195" t="s">
        <v>5</v>
      </c>
      <c r="B37" s="322" t="s">
        <v>463</v>
      </c>
      <c r="C37" s="322" t="s">
        <v>464</v>
      </c>
      <c r="D37" s="322" t="s">
        <v>465</v>
      </c>
      <c r="E37" s="356" t="str">
        <f>'[15]USPS MM LETTERS'!$G40</f>
        <v>VOLUME</v>
      </c>
      <c r="F37" s="356" t="s">
        <v>466</v>
      </c>
      <c r="H37" s="120"/>
      <c r="I37" s="94"/>
      <c r="J37" s="94"/>
      <c r="K37" s="90"/>
      <c r="L37" s="414"/>
      <c r="M37" s="414"/>
    </row>
    <row r="38" spans="1:13" ht="12.95">
      <c r="A38" s="115" t="s">
        <v>479</v>
      </c>
      <c r="B38" s="120" t="s">
        <v>475</v>
      </c>
      <c r="C38" s="120" t="s">
        <v>474</v>
      </c>
      <c r="D38" s="120" t="s">
        <v>474</v>
      </c>
      <c r="E38" s="400">
        <f>'[14]USPS MM LETTERS'!G41</f>
        <v>1331775.3619584476</v>
      </c>
      <c r="F38" s="357">
        <f>'[14]USPS MM LETTERS'!H41</f>
        <v>29.22509678566502</v>
      </c>
      <c r="G38" s="322"/>
      <c r="H38" s="120"/>
      <c r="I38" s="322"/>
      <c r="J38" s="224"/>
      <c r="K38" s="224"/>
      <c r="L38" s="414"/>
      <c r="M38" s="414"/>
    </row>
    <row r="39" spans="1:13">
      <c r="A39" s="115" t="s">
        <v>479</v>
      </c>
      <c r="B39" s="120" t="s">
        <v>475</v>
      </c>
      <c r="C39" s="120" t="s">
        <v>474</v>
      </c>
      <c r="D39" s="120" t="s">
        <v>478</v>
      </c>
      <c r="E39" s="400">
        <f>'[14]USPS MM LETTERS'!G42</f>
        <v>362244.63804155216</v>
      </c>
      <c r="F39" s="357">
        <f>'[14]USPS MM LETTERS'!H42</f>
        <v>26.906865653000025</v>
      </c>
      <c r="G39" s="120"/>
      <c r="H39" s="120"/>
      <c r="I39" s="120"/>
      <c r="J39" s="94"/>
      <c r="K39" s="100"/>
      <c r="L39" s="414"/>
      <c r="M39" s="414"/>
    </row>
    <row r="40" spans="1:13" ht="12.95">
      <c r="A40" s="194" t="s">
        <v>472</v>
      </c>
      <c r="B40" s="120"/>
      <c r="C40" s="120"/>
      <c r="D40" s="120"/>
      <c r="E40" s="401">
        <f>SUM(E38:E39)</f>
        <v>1694019.9999999998</v>
      </c>
      <c r="F40" s="354"/>
      <c r="G40" s="120"/>
      <c r="H40" s="120"/>
      <c r="I40" s="120"/>
      <c r="J40" s="358"/>
      <c r="K40" s="100"/>
      <c r="L40" s="414"/>
      <c r="M40" s="414"/>
    </row>
    <row r="41" spans="1:13" ht="12.95">
      <c r="A41" s="115"/>
      <c r="B41" s="120"/>
      <c r="C41" s="120"/>
      <c r="D41" s="120"/>
      <c r="E41" s="356"/>
      <c r="F41" s="354"/>
      <c r="G41" s="120"/>
      <c r="H41" s="120"/>
      <c r="I41" s="120"/>
      <c r="J41" s="194"/>
      <c r="K41" s="100"/>
      <c r="L41" s="414"/>
      <c r="M41" s="414"/>
    </row>
    <row r="42" spans="1:13" ht="12.95">
      <c r="E42" s="356"/>
      <c r="F42" s="355" t="s">
        <v>461</v>
      </c>
      <c r="G42" s="120"/>
      <c r="H42" s="120"/>
      <c r="I42" s="120"/>
      <c r="J42" s="94"/>
      <c r="K42" s="100"/>
      <c r="L42" s="414"/>
      <c r="M42" s="414"/>
    </row>
    <row r="43" spans="1:13" ht="12.95">
      <c r="E43" s="356"/>
      <c r="F43" s="355" t="s">
        <v>462</v>
      </c>
      <c r="H43" s="120"/>
      <c r="I43" s="94"/>
      <c r="J43" s="194"/>
      <c r="K43" s="90"/>
      <c r="L43" s="414"/>
      <c r="M43" s="414"/>
    </row>
    <row r="44" spans="1:13" ht="12.95">
      <c r="A44" s="195" t="s">
        <v>5</v>
      </c>
      <c r="B44" s="322" t="s">
        <v>463</v>
      </c>
      <c r="C44" s="322" t="s">
        <v>464</v>
      </c>
      <c r="D44" s="322" t="s">
        <v>465</v>
      </c>
      <c r="E44" s="356" t="str">
        <f>'[15]USPS MM LETTERS'!$G47</f>
        <v>VOLUME</v>
      </c>
      <c r="F44" s="356" t="s">
        <v>466</v>
      </c>
      <c r="H44" s="120"/>
      <c r="I44" s="94"/>
      <c r="J44" s="94"/>
      <c r="K44" s="90"/>
      <c r="L44" s="414"/>
      <c r="M44" s="414"/>
    </row>
    <row r="45" spans="1:13" ht="12.95">
      <c r="A45" s="115" t="s">
        <v>480</v>
      </c>
      <c r="B45" s="120" t="s">
        <v>475</v>
      </c>
      <c r="C45" s="120" t="s">
        <v>478</v>
      </c>
      <c r="D45" s="120" t="s">
        <v>470</v>
      </c>
      <c r="E45" s="400">
        <f>'[14]USPS MM LETTERS'!$G$48</f>
        <v>1302844</v>
      </c>
      <c r="F45" s="357" t="s">
        <v>471</v>
      </c>
      <c r="G45" s="322"/>
      <c r="H45" s="120"/>
      <c r="I45" s="322"/>
      <c r="J45" s="224"/>
      <c r="K45" s="224"/>
      <c r="L45" s="414"/>
      <c r="M45" s="414"/>
    </row>
    <row r="46" spans="1:13" ht="12.95">
      <c r="A46" s="194" t="s">
        <v>472</v>
      </c>
      <c r="E46" s="401">
        <f>SUM(E45)</f>
        <v>1302844</v>
      </c>
      <c r="F46" s="354"/>
      <c r="G46" s="120"/>
      <c r="H46" s="120"/>
      <c r="I46" s="120"/>
      <c r="J46" s="358"/>
      <c r="K46" s="100"/>
      <c r="L46" s="414"/>
      <c r="M46" s="414"/>
    </row>
    <row r="47" spans="1:13" ht="12.95">
      <c r="E47" s="357"/>
      <c r="H47" s="402"/>
      <c r="I47" s="94"/>
      <c r="J47" s="194"/>
      <c r="K47" s="100"/>
      <c r="L47" s="414"/>
      <c r="M47" s="414"/>
    </row>
    <row r="48" spans="1:13" ht="12.95">
      <c r="A48" s="67" t="s">
        <v>5</v>
      </c>
      <c r="B48" s="2"/>
      <c r="C48" s="414"/>
      <c r="D48" s="414"/>
      <c r="E48" s="356" t="str">
        <f>'[16]USPS MM LETTERS'!$G51</f>
        <v>VOLUME</v>
      </c>
      <c r="F48" s="354"/>
      <c r="H48" s="120"/>
      <c r="I48" s="94"/>
      <c r="J48" s="94"/>
      <c r="K48" s="100"/>
      <c r="L48" s="414"/>
      <c r="M48" s="414"/>
    </row>
    <row r="49" spans="1:11" ht="12.95">
      <c r="A49" s="32" t="s">
        <v>481</v>
      </c>
      <c r="B49" s="2"/>
      <c r="C49" s="414"/>
      <c r="D49" s="414"/>
      <c r="E49" s="400">
        <f>'[14]USPS MM LETTERS'!G52</f>
        <v>489137892</v>
      </c>
      <c r="F49" s="354"/>
      <c r="H49" s="120"/>
      <c r="I49" s="414"/>
      <c r="J49" s="110"/>
      <c r="K49" s="100"/>
    </row>
    <row r="50" spans="1:11" ht="12.95">
      <c r="A50" s="414" t="s">
        <v>482</v>
      </c>
      <c r="B50" s="2"/>
      <c r="C50" s="414"/>
      <c r="D50" s="414"/>
      <c r="E50" s="400">
        <f>'[14]USPS MM LETTERS'!G53</f>
        <v>972806127.87041736</v>
      </c>
      <c r="F50" s="354"/>
      <c r="H50" s="120"/>
      <c r="I50" s="414"/>
      <c r="J50" s="194"/>
      <c r="K50" s="100"/>
    </row>
    <row r="51" spans="1:11" ht="12.95">
      <c r="A51" s="32" t="s">
        <v>483</v>
      </c>
      <c r="B51" s="381"/>
      <c r="C51" s="381"/>
      <c r="D51" s="381"/>
      <c r="E51" s="400">
        <f>'[14]USPS MM LETTERS'!G54</f>
        <v>5541777846.2147341</v>
      </c>
      <c r="F51" s="354"/>
      <c r="H51" s="120"/>
      <c r="I51" s="414"/>
      <c r="J51" s="194"/>
      <c r="K51" s="100"/>
    </row>
    <row r="52" spans="1:11" ht="12.95">
      <c r="A52" s="414" t="s">
        <v>484</v>
      </c>
      <c r="B52" s="416"/>
      <c r="C52" s="414"/>
      <c r="D52" s="414"/>
      <c r="E52" s="400">
        <f>'[14]USPS MM LETTERS'!G55</f>
        <v>57876.221147411248</v>
      </c>
      <c r="F52" s="354"/>
      <c r="H52" s="120"/>
      <c r="I52" s="381"/>
      <c r="J52" s="194"/>
      <c r="K52" s="100"/>
    </row>
    <row r="53" spans="1:11" ht="12.95">
      <c r="A53" s="414" t="s">
        <v>485</v>
      </c>
      <c r="B53" s="416"/>
      <c r="C53" s="414"/>
      <c r="D53" s="414"/>
      <c r="E53" s="400">
        <f>'[14]USPS MM LETTERS'!G56</f>
        <v>30913446244.139538</v>
      </c>
      <c r="F53" s="354"/>
      <c r="H53" s="120"/>
      <c r="I53" s="414"/>
      <c r="J53" s="194"/>
      <c r="K53" s="100"/>
    </row>
    <row r="54" spans="1:11" ht="12.95">
      <c r="A54" s="194" t="s">
        <v>486</v>
      </c>
      <c r="B54" s="90"/>
      <c r="C54" s="194"/>
      <c r="D54" s="194"/>
      <c r="E54" s="401">
        <f>SUM(E49:E53)</f>
        <v>37917225986.445839</v>
      </c>
      <c r="F54" s="354"/>
      <c r="H54" s="120"/>
      <c r="I54" s="414"/>
      <c r="J54" s="195"/>
      <c r="K54" s="100"/>
    </row>
    <row r="58" spans="1:11">
      <c r="E58" s="317"/>
      <c r="H58" s="414"/>
      <c r="I58" s="414"/>
      <c r="J58" s="414"/>
      <c r="K58" s="414"/>
    </row>
    <row r="59" spans="1:11">
      <c r="E59" s="305"/>
      <c r="H59" s="414"/>
      <c r="I59" s="414"/>
      <c r="J59" s="414"/>
      <c r="K59" s="414"/>
    </row>
    <row r="60" spans="1:11">
      <c r="E60" s="318"/>
      <c r="H60" s="414"/>
      <c r="I60" s="414"/>
      <c r="J60" s="414"/>
      <c r="K60" s="414"/>
    </row>
  </sheetData>
  <phoneticPr fontId="0" type="noConversion"/>
  <printOptions horizontalCentered="1"/>
  <pageMargins left="0.75" right="0.75" top="1" bottom="1" header="0.5" footer="0.5"/>
  <pageSetup scale="68" orientation="portrait" r:id="rId1"/>
  <headerFooter alignWithMargins="0">
    <oddHeader>&amp;RPage 31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>
    <pageSetUpPr fitToPage="1"/>
  </sheetPr>
  <dimension ref="A1:T58"/>
  <sheetViews>
    <sheetView zoomScale="75" workbookViewId="0"/>
  </sheetViews>
  <sheetFormatPr defaultRowHeight="12.6"/>
  <cols>
    <col min="1" max="1" width="20.7109375" customWidth="1"/>
    <col min="2" max="10" width="10.7109375" style="97" customWidth="1"/>
    <col min="11" max="11" width="11.85546875" style="97" customWidth="1"/>
    <col min="12" max="12" width="10.7109375" style="2" customWidth="1"/>
    <col min="13" max="13" width="10.7109375" style="97" customWidth="1"/>
    <col min="14" max="14" width="10.7109375" style="95" customWidth="1"/>
    <col min="15" max="15" width="12.7109375" style="326" customWidth="1"/>
    <col min="16" max="18" width="12.7109375" style="97" customWidth="1"/>
    <col min="19" max="20" width="12.7109375" style="257" customWidth="1"/>
  </cols>
  <sheetData>
    <row r="1" spans="1:20" ht="18">
      <c r="A1" s="325" t="s">
        <v>487</v>
      </c>
    </row>
    <row r="3" spans="1:20" ht="12.95">
      <c r="A3" s="414"/>
      <c r="B3" s="93" t="s">
        <v>2</v>
      </c>
      <c r="C3" s="93" t="s">
        <v>163</v>
      </c>
      <c r="D3" s="93" t="s">
        <v>33</v>
      </c>
      <c r="E3" s="93" t="s">
        <v>60</v>
      </c>
      <c r="F3" s="93" t="s">
        <v>61</v>
      </c>
      <c r="G3" s="93" t="s">
        <v>62</v>
      </c>
      <c r="H3" s="93" t="s">
        <v>63</v>
      </c>
      <c r="I3" s="93" t="s">
        <v>164</v>
      </c>
      <c r="J3" s="93" t="s">
        <v>488</v>
      </c>
      <c r="K3" s="93" t="s">
        <v>489</v>
      </c>
      <c r="L3" s="92" t="s">
        <v>490</v>
      </c>
    </row>
    <row r="4" spans="1:20" ht="12.95">
      <c r="A4" s="414"/>
      <c r="B4" s="93"/>
      <c r="C4" s="93"/>
      <c r="D4" s="93"/>
      <c r="E4" s="93"/>
      <c r="F4" s="93"/>
      <c r="G4" s="93"/>
      <c r="H4" s="93"/>
      <c r="I4" s="93"/>
      <c r="J4" s="93"/>
      <c r="K4" s="93"/>
      <c r="L4" s="92"/>
    </row>
    <row r="5" spans="1:20" s="39" customFormat="1" ht="12.95">
      <c r="A5" s="39" t="s">
        <v>491</v>
      </c>
      <c r="B5" s="93" t="s">
        <v>492</v>
      </c>
      <c r="C5" s="93" t="s">
        <v>492</v>
      </c>
      <c r="D5" s="93" t="s">
        <v>492</v>
      </c>
      <c r="E5" s="93" t="s">
        <v>492</v>
      </c>
      <c r="F5" s="93" t="s">
        <v>493</v>
      </c>
      <c r="G5" s="93" t="s">
        <v>493</v>
      </c>
      <c r="H5" s="93" t="s">
        <v>493</v>
      </c>
      <c r="I5" s="93" t="s">
        <v>494</v>
      </c>
      <c r="J5" s="93" t="s">
        <v>494</v>
      </c>
      <c r="K5" s="93" t="s">
        <v>495</v>
      </c>
      <c r="L5" s="92" t="s">
        <v>496</v>
      </c>
      <c r="M5" s="189"/>
      <c r="S5" s="189"/>
      <c r="T5" s="189"/>
    </row>
    <row r="6" spans="1:20" s="67" customFormat="1" ht="12.95">
      <c r="A6" s="67" t="s">
        <v>497</v>
      </c>
      <c r="B6" s="111" t="s">
        <v>498</v>
      </c>
      <c r="C6" s="111" t="s">
        <v>499</v>
      </c>
      <c r="D6" s="111" t="s">
        <v>500</v>
      </c>
      <c r="E6" s="111" t="s">
        <v>501</v>
      </c>
      <c r="F6" s="111" t="s">
        <v>499</v>
      </c>
      <c r="G6" s="111" t="s">
        <v>500</v>
      </c>
      <c r="H6" s="111" t="s">
        <v>501</v>
      </c>
      <c r="I6" s="111" t="s">
        <v>500</v>
      </c>
      <c r="J6" s="111" t="s">
        <v>501</v>
      </c>
      <c r="K6" s="111" t="s">
        <v>501</v>
      </c>
      <c r="L6" s="110" t="s">
        <v>502</v>
      </c>
      <c r="M6" s="111" t="s">
        <v>251</v>
      </c>
      <c r="S6" s="327"/>
      <c r="T6" s="327"/>
    </row>
    <row r="7" spans="1:20">
      <c r="A7" s="414" t="s">
        <v>503</v>
      </c>
      <c r="L7" s="97">
        <f>SUM(B7:K7)</f>
        <v>0</v>
      </c>
    </row>
    <row r="8" spans="1:20">
      <c r="A8" s="414" t="s">
        <v>504</v>
      </c>
      <c r="B8" s="97">
        <f>DENSITY!$D$14</f>
        <v>0.1740912779635381</v>
      </c>
      <c r="C8" s="97">
        <f>DENSITY!$E$14</f>
        <v>0.17817008883603291</v>
      </c>
      <c r="D8" s="97">
        <f>DENSITY!$F$14</f>
        <v>0.64773863320042901</v>
      </c>
      <c r="F8" s="97">
        <f>B8*DENSITY!$E$15</f>
        <v>0.14092681071945506</v>
      </c>
      <c r="G8" s="97">
        <f>B8*DENSITY!$F$15</f>
        <v>3.3164467244083035E-2</v>
      </c>
      <c r="L8" s="97">
        <f>SUM(B8:K8)</f>
        <v>1.174091277963538</v>
      </c>
      <c r="M8" s="97">
        <f>C8+D8+F8+G8</f>
        <v>1</v>
      </c>
    </row>
    <row r="9" spans="1:20">
      <c r="A9" s="414" t="s">
        <v>505</v>
      </c>
      <c r="B9" s="97">
        <f>DENSITY!$D$14</f>
        <v>0.1740912779635381</v>
      </c>
      <c r="C9" s="97">
        <f>DENSITY!$E$14</f>
        <v>0.17817008883603291</v>
      </c>
      <c r="D9" s="97">
        <f>DENSITY!$F$14</f>
        <v>0.64773863320042901</v>
      </c>
      <c r="F9" s="97">
        <f>B9*DENSITY!$E$15</f>
        <v>0.14092681071945506</v>
      </c>
      <c r="G9" s="97">
        <f>B9*DENSITY!$F$15</f>
        <v>3.3164467244083035E-2</v>
      </c>
      <c r="I9" s="97">
        <f>C9+F9</f>
        <v>0.31909689955548798</v>
      </c>
      <c r="L9" s="97">
        <f t="shared" ref="L9:L21" si="0">SUM(B9:K9)</f>
        <v>1.4931881775190259</v>
      </c>
      <c r="M9" s="97">
        <f>D9+G9+I9</f>
        <v>1</v>
      </c>
    </row>
    <row r="10" spans="1:20">
      <c r="A10" s="414" t="s">
        <v>506</v>
      </c>
      <c r="B10" s="97">
        <f>DENSITY!$D$14</f>
        <v>0.1740912779635381</v>
      </c>
      <c r="C10" s="97">
        <f>DENSITY!$E$14</f>
        <v>0.17817008883603291</v>
      </c>
      <c r="D10" s="97">
        <f>DENSITY!$F$14</f>
        <v>0.64773863320042901</v>
      </c>
      <c r="E10" s="97">
        <f>DENSITY!$G$14</f>
        <v>0</v>
      </c>
      <c r="F10" s="97">
        <f>B10*DENSITY!$E$15</f>
        <v>0.14092681071945506</v>
      </c>
      <c r="G10" s="97">
        <f>B10*DENSITY!$F$15</f>
        <v>3.3164467244083035E-2</v>
      </c>
      <c r="H10" s="97">
        <f>B10*DENSITY!$G$15</f>
        <v>0</v>
      </c>
      <c r="I10" s="97">
        <f>(C10+F10)*DENSITY!$F$16</f>
        <v>0.1397468249635514</v>
      </c>
      <c r="J10" s="97">
        <f>(C10+F10)*DENSITY!$G$16</f>
        <v>0.17935007459193658</v>
      </c>
      <c r="K10" s="97">
        <f>D10+G10+I10</f>
        <v>0.82064992540806347</v>
      </c>
      <c r="L10" s="97">
        <f t="shared" si="0"/>
        <v>2.3138381029270896</v>
      </c>
      <c r="M10" s="97">
        <f>J10+K10</f>
        <v>1</v>
      </c>
    </row>
    <row r="11" spans="1:20">
      <c r="A11" s="414"/>
      <c r="L11" s="97"/>
    </row>
    <row r="12" spans="1:20">
      <c r="A12" s="414" t="s">
        <v>507</v>
      </c>
      <c r="L12" s="97">
        <f t="shared" si="0"/>
        <v>0</v>
      </c>
    </row>
    <row r="13" spans="1:20">
      <c r="A13" s="414" t="s">
        <v>508</v>
      </c>
      <c r="I13" s="97">
        <f>DENSITY!$F$15</f>
        <v>0.19050045259033047</v>
      </c>
      <c r="J13" s="97">
        <f>DENSITY!$E$15</f>
        <v>0.80949954740966956</v>
      </c>
      <c r="L13" s="97">
        <f t="shared" si="0"/>
        <v>1</v>
      </c>
      <c r="M13" s="97">
        <f>I13+J13</f>
        <v>1</v>
      </c>
    </row>
    <row r="14" spans="1:20">
      <c r="A14" s="414" t="s">
        <v>509</v>
      </c>
      <c r="I14" s="97">
        <f>DENSITY!$F$15</f>
        <v>0.19050045259033047</v>
      </c>
      <c r="J14" s="97">
        <f>DENSITY!$E$15</f>
        <v>0.80949954740966956</v>
      </c>
      <c r="K14" s="97">
        <f>I14</f>
        <v>0.19050045259033047</v>
      </c>
      <c r="L14" s="97">
        <f t="shared" si="0"/>
        <v>1.1905004525903304</v>
      </c>
      <c r="M14" s="97">
        <f>J14+K14</f>
        <v>1</v>
      </c>
    </row>
    <row r="15" spans="1:20">
      <c r="A15" s="414" t="s">
        <v>510</v>
      </c>
      <c r="L15" s="97">
        <f>SUM(B15:K15)</f>
        <v>0</v>
      </c>
    </row>
    <row r="16" spans="1:20">
      <c r="A16" s="414" t="s">
        <v>511</v>
      </c>
      <c r="K16" s="97">
        <v>1</v>
      </c>
      <c r="L16" s="97">
        <f>SUM(B16:K16)</f>
        <v>1</v>
      </c>
      <c r="M16" s="97">
        <f>K16</f>
        <v>1</v>
      </c>
    </row>
    <row r="18" spans="1:14">
      <c r="A18" s="414" t="s">
        <v>510</v>
      </c>
      <c r="L18" s="97">
        <f t="shared" si="0"/>
        <v>0</v>
      </c>
    </row>
    <row r="19" spans="1:14">
      <c r="A19" s="414" t="s">
        <v>511</v>
      </c>
      <c r="K19" s="97">
        <v>1</v>
      </c>
      <c r="L19" s="97">
        <f t="shared" si="0"/>
        <v>1</v>
      </c>
      <c r="M19" s="97">
        <f>K19</f>
        <v>1</v>
      </c>
    </row>
    <row r="21" spans="1:14">
      <c r="A21" s="414" t="s">
        <v>512</v>
      </c>
      <c r="L21" s="97">
        <f t="shared" si="0"/>
        <v>0</v>
      </c>
    </row>
    <row r="24" spans="1:14" ht="12.95">
      <c r="A24" s="414"/>
      <c r="B24" s="93" t="s">
        <v>513</v>
      </c>
      <c r="C24" s="93" t="s">
        <v>514</v>
      </c>
      <c r="D24" s="93" t="s">
        <v>515</v>
      </c>
      <c r="E24" s="93" t="s">
        <v>516</v>
      </c>
      <c r="F24" s="93" t="s">
        <v>517</v>
      </c>
      <c r="G24" s="93" t="s">
        <v>518</v>
      </c>
      <c r="H24" s="93" t="s">
        <v>519</v>
      </c>
      <c r="I24" s="93" t="s">
        <v>520</v>
      </c>
      <c r="J24" s="93" t="s">
        <v>521</v>
      </c>
      <c r="K24" s="93" t="s">
        <v>522</v>
      </c>
      <c r="L24" s="92"/>
      <c r="M24" s="93" t="s">
        <v>523</v>
      </c>
    </row>
    <row r="25" spans="1:14" ht="12.95">
      <c r="A25" s="414"/>
      <c r="B25" s="2"/>
      <c r="C25" s="95"/>
      <c r="D25" s="117" t="s">
        <v>165</v>
      </c>
      <c r="E25" s="93" t="s">
        <v>166</v>
      </c>
      <c r="G25" s="93"/>
      <c r="H25" s="93" t="s">
        <v>26</v>
      </c>
      <c r="I25" s="93" t="s">
        <v>168</v>
      </c>
      <c r="J25" s="93" t="s">
        <v>26</v>
      </c>
    </row>
    <row r="26" spans="1:14" ht="12.95">
      <c r="A26" s="39" t="s">
        <v>491</v>
      </c>
      <c r="B26" s="92" t="s">
        <v>524</v>
      </c>
      <c r="C26" s="91" t="s">
        <v>169</v>
      </c>
      <c r="D26" s="117" t="s">
        <v>170</v>
      </c>
      <c r="E26" s="93" t="s">
        <v>525</v>
      </c>
      <c r="F26" s="93" t="s">
        <v>172</v>
      </c>
      <c r="G26" s="93" t="s">
        <v>170</v>
      </c>
      <c r="H26" s="93" t="s">
        <v>170</v>
      </c>
      <c r="I26" s="93" t="s">
        <v>526</v>
      </c>
      <c r="J26" s="93" t="s">
        <v>170</v>
      </c>
    </row>
    <row r="27" spans="1:14" ht="12.95">
      <c r="A27" s="67" t="s">
        <v>497</v>
      </c>
      <c r="B27" s="110" t="s">
        <v>174</v>
      </c>
      <c r="C27" s="328" t="s">
        <v>175</v>
      </c>
      <c r="D27" s="329" t="s">
        <v>527</v>
      </c>
      <c r="E27" s="111" t="s">
        <v>177</v>
      </c>
      <c r="F27" s="111" t="s">
        <v>178</v>
      </c>
      <c r="G27" s="111" t="s">
        <v>527</v>
      </c>
      <c r="H27" s="111" t="s">
        <v>527</v>
      </c>
      <c r="I27" s="111" t="s">
        <v>528</v>
      </c>
      <c r="J27" s="111" t="s">
        <v>176</v>
      </c>
      <c r="K27" s="111" t="s">
        <v>30</v>
      </c>
    </row>
    <row r="28" spans="1:14">
      <c r="A28" s="414" t="s">
        <v>503</v>
      </c>
      <c r="B28" s="2"/>
      <c r="C28" s="95"/>
      <c r="D28" s="326"/>
      <c r="H28" s="97">
        <f>G28*L7</f>
        <v>0</v>
      </c>
      <c r="I28" s="97">
        <f>'MCS LETTERS'!$F$19</f>
        <v>27.070259780342198</v>
      </c>
      <c r="J28" s="97">
        <f>H28/I28</f>
        <v>0</v>
      </c>
      <c r="K28" s="99">
        <f>'MCS LETTERS'!$E$19</f>
        <v>457018.0054424433</v>
      </c>
      <c r="L28" s="330"/>
    </row>
    <row r="29" spans="1:14">
      <c r="A29" s="414" t="s">
        <v>504</v>
      </c>
      <c r="B29" s="100">
        <f>PRODUCTIVITY!$I$27</f>
        <v>123.44398340248964</v>
      </c>
      <c r="C29" s="95">
        <f>'WAGE RATE - PIGGYBACK FACTORS'!$D$5</f>
        <v>50.10717457546064</v>
      </c>
      <c r="D29" s="326">
        <f>(C29/B29)*100</f>
        <v>40.591022093062229</v>
      </c>
      <c r="E29" s="97">
        <f>D29*('WAGE RATE - PIGGYBACK FACTORS'!$D$6-1)</f>
        <v>-1.0517594078815129</v>
      </c>
      <c r="F29" s="97">
        <f>'WAGE RATE - PIGGYBACK FACTORS'!$D$14</f>
        <v>1.2988119246888874</v>
      </c>
      <c r="G29" s="97">
        <f>D29*F29+E29</f>
        <v>51.668344121897789</v>
      </c>
      <c r="H29" s="97">
        <f>G29*L8</f>
        <v>60.663352180338826</v>
      </c>
      <c r="I29" s="97">
        <f>'MCS LETTERS'!$F$20</f>
        <v>17.046354699928315</v>
      </c>
      <c r="J29" s="97">
        <f>H29/I29</f>
        <v>3.5587287281188589</v>
      </c>
      <c r="K29" s="99">
        <f>'MCS LETTERS'!$E$20</f>
        <v>245244.85505278734</v>
      </c>
      <c r="L29" s="331"/>
    </row>
    <row r="30" spans="1:14" ht="12.95">
      <c r="A30" s="414" t="s">
        <v>505</v>
      </c>
      <c r="B30" s="100">
        <f>PRODUCTIVITY!$I$27</f>
        <v>123.44398340248964</v>
      </c>
      <c r="C30" s="95">
        <f>'WAGE RATE - PIGGYBACK FACTORS'!$D$5</f>
        <v>50.10717457546064</v>
      </c>
      <c r="D30" s="326">
        <f>(C30/B30)*100</f>
        <v>40.591022093062229</v>
      </c>
      <c r="E30" s="97">
        <f>D30*('WAGE RATE - PIGGYBACK FACTORS'!$D$6-1)</f>
        <v>-1.0517594078815129</v>
      </c>
      <c r="F30" s="97">
        <f>'WAGE RATE - PIGGYBACK FACTORS'!$D$14</f>
        <v>1.2988119246888874</v>
      </c>
      <c r="G30" s="97">
        <f>D30*F30+E30</f>
        <v>51.668344121897789</v>
      </c>
      <c r="H30" s="97">
        <f>G30*L9</f>
        <v>77.150560594802428</v>
      </c>
      <c r="I30" s="97">
        <f>'MCS LETTERS'!$F$21</f>
        <v>16.821802874283485</v>
      </c>
      <c r="J30" s="97">
        <f>H30/I30</f>
        <v>4.5863431625837912</v>
      </c>
      <c r="K30" s="99">
        <f>'MCS LETTERS'!$E$21</f>
        <v>30633.87738288394</v>
      </c>
      <c r="L30" s="331"/>
      <c r="M30" s="93">
        <f>SUMPRODUCT(J28:J31,K28:K31)/SUM(K28:K31)</f>
        <v>1.5105036311394753</v>
      </c>
      <c r="N30" s="91" t="s">
        <v>308</v>
      </c>
    </row>
    <row r="31" spans="1:14" ht="12.95">
      <c r="A31" s="414" t="s">
        <v>506</v>
      </c>
      <c r="B31" s="100">
        <f>PRODUCTIVITY!$I$27</f>
        <v>123.44398340248964</v>
      </c>
      <c r="C31" s="95">
        <f>'WAGE RATE - PIGGYBACK FACTORS'!$D$5</f>
        <v>50.10717457546064</v>
      </c>
      <c r="D31" s="326">
        <f>(C31/B31)*100</f>
        <v>40.591022093062229</v>
      </c>
      <c r="E31" s="97">
        <f>D31*('WAGE RATE - PIGGYBACK FACTORS'!$D$6-1)</f>
        <v>-1.0517594078815129</v>
      </c>
      <c r="F31" s="97">
        <f>'WAGE RATE - PIGGYBACK FACTORS'!$D$14</f>
        <v>1.2988119246888874</v>
      </c>
      <c r="G31" s="97">
        <f>D31*F31+E31</f>
        <v>51.668344121897789</v>
      </c>
      <c r="H31" s="97">
        <f>G31*L10</f>
        <v>119.55218334439601</v>
      </c>
      <c r="I31" s="97">
        <f>'MCS LETTERS'!$F$22</f>
        <v>16.373772352082291</v>
      </c>
      <c r="J31" s="97">
        <f>H31/I31</f>
        <v>7.3014440883680836</v>
      </c>
      <c r="K31" s="99">
        <f>'MCS LETTERS'!$E$22</f>
        <v>16195.262121885444</v>
      </c>
      <c r="L31" s="332"/>
      <c r="M31" s="93"/>
      <c r="N31" s="91"/>
    </row>
    <row r="32" spans="1:14" ht="12.95">
      <c r="A32" s="414"/>
      <c r="B32" s="2"/>
      <c r="C32" s="95"/>
      <c r="D32" s="326"/>
      <c r="K32" s="99"/>
      <c r="M32" s="93"/>
      <c r="N32" s="91"/>
    </row>
    <row r="33" spans="1:14" ht="12.95">
      <c r="A33" s="414" t="s">
        <v>507</v>
      </c>
      <c r="B33" s="2"/>
      <c r="C33" s="95"/>
      <c r="D33" s="326"/>
      <c r="H33" s="97">
        <f>G33*L12</f>
        <v>0</v>
      </c>
      <c r="I33" s="97">
        <f>'MCS LETTERS'!$F$28</f>
        <v>19.779418581122741</v>
      </c>
      <c r="J33" s="97">
        <f>H33/I33</f>
        <v>0</v>
      </c>
      <c r="K33" s="99">
        <f>'MCS LETTERS'!$E$28</f>
        <v>351686.51312390034</v>
      </c>
      <c r="L33" s="330"/>
      <c r="M33" s="93"/>
      <c r="N33" s="91"/>
    </row>
    <row r="34" spans="1:14">
      <c r="A34" s="414" t="s">
        <v>508</v>
      </c>
      <c r="B34" s="100">
        <f>PRODUCTIVITY!$I$27</f>
        <v>123.44398340248964</v>
      </c>
      <c r="C34" s="95">
        <f>'WAGE RATE - PIGGYBACK FACTORS'!$D$5</f>
        <v>50.10717457546064</v>
      </c>
      <c r="D34" s="326">
        <f>(C34/B34)*100</f>
        <v>40.591022093062229</v>
      </c>
      <c r="E34" s="97">
        <f>D34*('WAGE RATE - PIGGYBACK FACTORS'!$D$6-1)</f>
        <v>-1.0517594078815129</v>
      </c>
      <c r="F34" s="97">
        <f>'WAGE RATE - PIGGYBACK FACTORS'!$D$14</f>
        <v>1.2988119246888874</v>
      </c>
      <c r="G34" s="97">
        <f>D34*F34+E34</f>
        <v>51.668344121897789</v>
      </c>
      <c r="H34" s="97">
        <f>G34*L13</f>
        <v>51.668344121897789</v>
      </c>
      <c r="I34" s="97">
        <f>'MCS LETTERS'!$F$29</f>
        <v>22.284445039896788</v>
      </c>
      <c r="J34" s="97">
        <f>H34/I34</f>
        <v>2.3185833898665082</v>
      </c>
      <c r="K34" s="99">
        <f>'MCS LETTERS'!$E$29</f>
        <v>80113.557164218058</v>
      </c>
      <c r="L34" s="331"/>
    </row>
    <row r="35" spans="1:14" ht="12.95">
      <c r="A35" s="414" t="s">
        <v>509</v>
      </c>
      <c r="B35" s="100">
        <f>PRODUCTIVITY!$I$27</f>
        <v>123.44398340248964</v>
      </c>
      <c r="C35" s="95">
        <f>'WAGE RATE - PIGGYBACK FACTORS'!$D$5</f>
        <v>50.10717457546064</v>
      </c>
      <c r="D35" s="326">
        <f>(C35/B35)*100</f>
        <v>40.591022093062229</v>
      </c>
      <c r="E35" s="97">
        <f>D35*('WAGE RATE - PIGGYBACK FACTORS'!$D$6-1)</f>
        <v>-1.0517594078815129</v>
      </c>
      <c r="F35" s="97">
        <f>'WAGE RATE - PIGGYBACK FACTORS'!$D$14</f>
        <v>1.2988119246888874</v>
      </c>
      <c r="G35" s="97">
        <f>D35*F35+E35</f>
        <v>51.668344121897789</v>
      </c>
      <c r="H35" s="97">
        <f>G35*L14</f>
        <v>61.511187061712256</v>
      </c>
      <c r="I35" s="97">
        <f>'MCS LETTERS'!$F$30</f>
        <v>19.149259256181772</v>
      </c>
      <c r="J35" s="97">
        <f>H35/I35</f>
        <v>3.21219668284846</v>
      </c>
      <c r="K35" s="99">
        <f>'MCS LETTERS'!$E$30</f>
        <v>2225.2405328785976</v>
      </c>
      <c r="L35" s="331"/>
      <c r="M35" s="93">
        <f>SUMPRODUCT(J33:J37,K33:K37)/SUM(K33:K37)</f>
        <v>0.36349300223041464</v>
      </c>
      <c r="N35" s="91" t="s">
        <v>477</v>
      </c>
    </row>
    <row r="36" spans="1:14" ht="12.95">
      <c r="A36" s="414" t="s">
        <v>510</v>
      </c>
      <c r="B36" s="100">
        <f>PRODUCTIVITY!$I$27</f>
        <v>123.44398340248964</v>
      </c>
      <c r="C36" s="95">
        <f>'WAGE RATE - PIGGYBACK FACTORS'!$D$5</f>
        <v>50.10717457546064</v>
      </c>
      <c r="D36" s="326">
        <f>(C36/B36)*100</f>
        <v>40.591022093062229</v>
      </c>
      <c r="E36" s="97">
        <f>D36*('WAGE RATE - PIGGYBACK FACTORS'!$D$6-1)</f>
        <v>-1.0517594078815129</v>
      </c>
      <c r="F36" s="97">
        <f>'WAGE RATE - PIGGYBACK FACTORS'!$D$14</f>
        <v>1.2988119246888874</v>
      </c>
      <c r="G36" s="97">
        <f>D36*F36+E36</f>
        <v>51.668344121897789</v>
      </c>
      <c r="H36" s="97">
        <f>G36*L15</f>
        <v>0</v>
      </c>
      <c r="I36" s="97">
        <f>'MCS LETTERS'!F31</f>
        <v>34.008890195403474</v>
      </c>
      <c r="J36" s="97">
        <f>H36/I36</f>
        <v>0</v>
      </c>
      <c r="K36" s="99">
        <f>'MCS LETTERS'!$E$31</f>
        <v>123351.40374857426</v>
      </c>
      <c r="L36" s="331"/>
      <c r="M36" s="93"/>
      <c r="N36" s="91"/>
    </row>
    <row r="37" spans="1:14" ht="12.95">
      <c r="A37" s="414" t="s">
        <v>511</v>
      </c>
      <c r="B37" s="100">
        <f>PRODUCTIVITY!$I$27</f>
        <v>123.44398340248964</v>
      </c>
      <c r="C37" s="95">
        <f>'WAGE RATE - PIGGYBACK FACTORS'!$D$5</f>
        <v>50.10717457546064</v>
      </c>
      <c r="D37" s="326">
        <f>(C37/B37)*100</f>
        <v>40.591022093062229</v>
      </c>
      <c r="E37" s="97">
        <f>D37*('WAGE RATE - PIGGYBACK FACTORS'!$D$6-1)</f>
        <v>-1.0517594078815129</v>
      </c>
      <c r="F37" s="97">
        <f>'WAGE RATE - PIGGYBACK FACTORS'!$D$14</f>
        <v>1.2988119246888874</v>
      </c>
      <c r="G37" s="97">
        <f>D37*F37+E37</f>
        <v>51.668344121897789</v>
      </c>
      <c r="H37" s="97">
        <f>G37*L16</f>
        <v>51.668344121897789</v>
      </c>
      <c r="I37" s="97">
        <f>'MCS LETTERS'!F32</f>
        <v>29.91086644067115</v>
      </c>
      <c r="J37" s="97">
        <f>H37/I37</f>
        <v>1.7274104788767342</v>
      </c>
      <c r="K37" s="99">
        <f>'MCS LETTERS'!$E$32</f>
        <v>7115.2854304287866</v>
      </c>
      <c r="L37" s="332"/>
      <c r="M37" s="93"/>
      <c r="N37" s="91"/>
    </row>
    <row r="38" spans="1:14" ht="12.95">
      <c r="A38" s="414"/>
      <c r="B38" s="2"/>
      <c r="C38" s="95"/>
      <c r="D38" s="326"/>
      <c r="K38" s="99"/>
      <c r="M38" s="93"/>
      <c r="N38" s="91"/>
    </row>
    <row r="39" spans="1:14" ht="12.95">
      <c r="A39" s="414" t="s">
        <v>510</v>
      </c>
      <c r="B39" s="2"/>
      <c r="C39" s="95"/>
      <c r="D39" s="326"/>
      <c r="H39" s="97">
        <f>G39*L18</f>
        <v>0</v>
      </c>
      <c r="I39" s="97">
        <f>'MCS LETTERS'!$F$38</f>
        <v>29.22509678566502</v>
      </c>
      <c r="J39" s="97">
        <f>H39/I39</f>
        <v>0</v>
      </c>
      <c r="K39" s="99">
        <f>'MCS LETTERS'!$E$38</f>
        <v>1331775.3619584476</v>
      </c>
      <c r="L39" s="330"/>
      <c r="M39" s="93"/>
      <c r="N39" s="91"/>
    </row>
    <row r="40" spans="1:14" ht="12.95">
      <c r="A40" s="414" t="s">
        <v>511</v>
      </c>
      <c r="B40" s="100">
        <f>PRODUCTIVITY!$I$27</f>
        <v>123.44398340248964</v>
      </c>
      <c r="C40" s="95">
        <f>'WAGE RATE - PIGGYBACK FACTORS'!$D$5</f>
        <v>50.10717457546064</v>
      </c>
      <c r="D40" s="326">
        <f>(C40/B40)*100</f>
        <v>40.591022093062229</v>
      </c>
      <c r="E40" s="97">
        <f>D40*('WAGE RATE - PIGGYBACK FACTORS'!$D$6-1)</f>
        <v>-1.0517594078815129</v>
      </c>
      <c r="F40" s="97">
        <f>'WAGE RATE - PIGGYBACK FACTORS'!$D$14</f>
        <v>1.2988119246888874</v>
      </c>
      <c r="G40" s="97">
        <f>D40*F40+E40</f>
        <v>51.668344121897789</v>
      </c>
      <c r="H40" s="97">
        <f>G40*L19</f>
        <v>51.668344121897789</v>
      </c>
      <c r="I40" s="97">
        <f>'MCS LETTERS'!$F$39</f>
        <v>26.906865653000025</v>
      </c>
      <c r="J40" s="97">
        <f>H40/I40</f>
        <v>1.9202661799493892</v>
      </c>
      <c r="K40" s="99">
        <f>'MCS LETTERS'!$E$39</f>
        <v>362244.63804155216</v>
      </c>
      <c r="L40" s="332"/>
      <c r="M40" s="93">
        <f>SUMPRODUCT(J39:J40,K39:K40)/SUM(K39:K40)</f>
        <v>0.41062450697111053</v>
      </c>
      <c r="N40" s="91" t="s">
        <v>474</v>
      </c>
    </row>
    <row r="41" spans="1:14" ht="12.95">
      <c r="A41" s="414"/>
      <c r="K41" s="99"/>
      <c r="M41" s="93"/>
      <c r="N41" s="91"/>
    </row>
    <row r="42" spans="1:14" ht="12.95">
      <c r="A42" s="414" t="s">
        <v>512</v>
      </c>
      <c r="B42" s="100">
        <f>PRODUCTIVITY!$I$27</f>
        <v>123.44398340248964</v>
      </c>
      <c r="C42" s="95">
        <f>'WAGE RATE - PIGGYBACK FACTORS'!$D$5</f>
        <v>50.10717457546064</v>
      </c>
      <c r="D42" s="326">
        <f>(C42/B42)*100</f>
        <v>40.591022093062229</v>
      </c>
      <c r="E42" s="97">
        <f>D42*('WAGE RATE - PIGGYBACK FACTORS'!$D$6-1)</f>
        <v>-1.0517594078815129</v>
      </c>
      <c r="F42" s="97">
        <f>'WAGE RATE - PIGGYBACK FACTORS'!$D$14</f>
        <v>1.2988119246888874</v>
      </c>
      <c r="G42" s="97">
        <f>D42*F42+E42</f>
        <v>51.668344121897789</v>
      </c>
      <c r="H42" s="97">
        <f>G42*L21</f>
        <v>0</v>
      </c>
      <c r="I42" s="97" t="s">
        <v>42</v>
      </c>
      <c r="J42" s="97">
        <f>H42</f>
        <v>0</v>
      </c>
      <c r="K42" s="99">
        <f>'MCS LETTERS'!E45</f>
        <v>1302844</v>
      </c>
      <c r="L42" s="333"/>
      <c r="M42" s="93">
        <f>(J42*K42)/K42</f>
        <v>0</v>
      </c>
      <c r="N42" s="91" t="s">
        <v>478</v>
      </c>
    </row>
    <row r="43" spans="1:14">
      <c r="A43" s="414"/>
      <c r="K43" s="99"/>
    </row>
    <row r="44" spans="1:14">
      <c r="A44" s="414"/>
      <c r="K44" s="99">
        <f>SUM(K28:K42)</f>
        <v>4310448</v>
      </c>
    </row>
    <row r="45" spans="1:14" ht="12.95">
      <c r="A45" s="67" t="s">
        <v>18</v>
      </c>
      <c r="K45" s="99"/>
    </row>
    <row r="46" spans="1:14" ht="12.95">
      <c r="A46" s="39" t="s">
        <v>529</v>
      </c>
    </row>
    <row r="47" spans="1:14" ht="12.95">
      <c r="A47" s="39" t="s">
        <v>530</v>
      </c>
    </row>
    <row r="48" spans="1:14" ht="12.95">
      <c r="A48" s="39" t="s">
        <v>531</v>
      </c>
    </row>
    <row r="49" spans="1:1" ht="12.95">
      <c r="A49" s="39" t="s">
        <v>532</v>
      </c>
    </row>
    <row r="50" spans="1:1" ht="12.95">
      <c r="A50" s="39" t="s">
        <v>533</v>
      </c>
    </row>
    <row r="51" spans="1:1" ht="12.95">
      <c r="A51" s="39" t="s">
        <v>534</v>
      </c>
    </row>
    <row r="52" spans="1:1" ht="12.95">
      <c r="A52" s="39" t="s">
        <v>535</v>
      </c>
    </row>
    <row r="53" spans="1:1" ht="12.95">
      <c r="A53" s="39" t="s">
        <v>536</v>
      </c>
    </row>
    <row r="54" spans="1:1" ht="12.95">
      <c r="A54" s="39" t="s">
        <v>537</v>
      </c>
    </row>
    <row r="55" spans="1:1" ht="12.95">
      <c r="A55" s="39" t="s">
        <v>538</v>
      </c>
    </row>
    <row r="56" spans="1:1" ht="12.95">
      <c r="A56" s="39" t="s">
        <v>539</v>
      </c>
    </row>
    <row r="57" spans="1:1" ht="12.95">
      <c r="A57" s="39" t="s">
        <v>540</v>
      </c>
    </row>
    <row r="58" spans="1:1" ht="12.95">
      <c r="A58" s="39" t="s">
        <v>541</v>
      </c>
    </row>
  </sheetData>
  <phoneticPr fontId="43" type="noConversion"/>
  <printOptions horizontalCentered="1"/>
  <pageMargins left="0.75" right="0.75" top="1" bottom="1" header="0.5" footer="0.5"/>
  <pageSetup scale="56" orientation="portrait" r:id="rId1"/>
  <headerFooter alignWithMargins="0">
    <oddHeader>&amp;RPage 32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>
    <pageSetUpPr fitToPage="1"/>
  </sheetPr>
  <dimension ref="A1:P28"/>
  <sheetViews>
    <sheetView zoomScale="75" workbookViewId="0">
      <selection activeCell="H26" sqref="H26"/>
    </sheetView>
  </sheetViews>
  <sheetFormatPr defaultRowHeight="12.6"/>
  <cols>
    <col min="1" max="1" width="4.7109375" customWidth="1"/>
    <col min="2" max="2" width="13.7109375" customWidth="1"/>
    <col min="3" max="3" width="15.7109375" customWidth="1"/>
    <col min="4" max="4" width="3.85546875" customWidth="1"/>
    <col min="5" max="5" width="10.7109375" customWidth="1"/>
    <col min="6" max="7" width="10.7109375" style="51" customWidth="1"/>
    <col min="8" max="8" width="10.7109375" customWidth="1"/>
    <col min="9" max="13" width="10.7109375" style="51" customWidth="1"/>
    <col min="14" max="14" width="8.7109375" style="51" customWidth="1"/>
  </cols>
  <sheetData>
    <row r="1" spans="1:16" ht="18">
      <c r="A1" s="325" t="s">
        <v>542</v>
      </c>
      <c r="B1" s="414"/>
      <c r="C1" s="414"/>
      <c r="D1" s="51"/>
      <c r="E1" s="2"/>
      <c r="H1" s="2"/>
      <c r="O1" s="414"/>
      <c r="P1" s="414"/>
    </row>
    <row r="2" spans="1:16" ht="18">
      <c r="A2" s="325"/>
      <c r="B2" s="414"/>
      <c r="C2" s="414"/>
      <c r="D2" s="51"/>
      <c r="E2" s="2"/>
      <c r="H2" s="2"/>
      <c r="K2" s="414"/>
      <c r="L2" s="414"/>
      <c r="M2" s="414"/>
      <c r="N2" s="414"/>
      <c r="O2" s="414"/>
      <c r="P2" s="414"/>
    </row>
    <row r="3" spans="1:16" ht="12.95">
      <c r="A3" s="414"/>
      <c r="B3" s="414"/>
      <c r="C3" s="414"/>
      <c r="D3" s="51"/>
      <c r="E3" s="2"/>
      <c r="F3" s="52" t="s">
        <v>543</v>
      </c>
      <c r="G3" s="52" t="s">
        <v>543</v>
      </c>
      <c r="H3" s="52" t="s">
        <v>543</v>
      </c>
      <c r="I3" s="52" t="s">
        <v>543</v>
      </c>
      <c r="J3" s="414"/>
      <c r="K3" s="414"/>
      <c r="L3" s="414"/>
      <c r="M3" s="414"/>
      <c r="N3" s="414"/>
      <c r="O3" s="414"/>
      <c r="P3" s="414"/>
    </row>
    <row r="4" spans="1:16" ht="12.95">
      <c r="A4" s="414"/>
      <c r="B4" s="416"/>
      <c r="C4" s="414"/>
      <c r="D4" s="53"/>
      <c r="E4" s="52" t="s">
        <v>344</v>
      </c>
      <c r="F4" s="52" t="s">
        <v>544</v>
      </c>
      <c r="G4" s="52" t="s">
        <v>544</v>
      </c>
      <c r="H4" s="52" t="s">
        <v>544</v>
      </c>
      <c r="I4" s="52" t="s">
        <v>544</v>
      </c>
      <c r="J4" s="414"/>
      <c r="K4" s="414"/>
      <c r="L4" s="414"/>
      <c r="M4" s="414"/>
      <c r="N4" s="414"/>
      <c r="O4" s="414"/>
      <c r="P4" s="414"/>
    </row>
    <row r="5" spans="1:16" s="57" customFormat="1" ht="12.95">
      <c r="A5" s="54" t="s">
        <v>347</v>
      </c>
      <c r="B5" s="476"/>
      <c r="C5" s="98"/>
      <c r="D5" s="55"/>
      <c r="E5" s="56" t="s">
        <v>175</v>
      </c>
      <c r="F5" s="56" t="s">
        <v>545</v>
      </c>
      <c r="G5" s="56" t="s">
        <v>546</v>
      </c>
      <c r="H5" s="56" t="s">
        <v>547</v>
      </c>
      <c r="I5" s="56" t="s">
        <v>548</v>
      </c>
      <c r="J5" s="414"/>
      <c r="K5" s="414"/>
      <c r="L5" s="414"/>
      <c r="M5" s="414"/>
      <c r="N5" s="414"/>
      <c r="O5" s="414"/>
      <c r="P5" s="414"/>
    </row>
    <row r="6" spans="1:16" s="29" customFormat="1">
      <c r="A6" s="32" t="s">
        <v>549</v>
      </c>
      <c r="B6" s="381"/>
      <c r="C6" s="32"/>
      <c r="D6" s="114" t="s">
        <v>23</v>
      </c>
      <c r="E6" s="298">
        <v>0.8679</v>
      </c>
      <c r="F6" s="114"/>
      <c r="G6" s="298"/>
      <c r="H6" s="298"/>
      <c r="I6" s="114"/>
      <c r="J6" s="414"/>
      <c r="K6" s="414"/>
      <c r="L6" s="414"/>
      <c r="M6" s="414"/>
      <c r="N6" s="414"/>
      <c r="O6" s="414"/>
      <c r="P6" s="414"/>
    </row>
    <row r="7" spans="1:16" s="29" customFormat="1">
      <c r="A7" s="32" t="s">
        <v>550</v>
      </c>
      <c r="B7" s="381"/>
      <c r="C7" s="32"/>
      <c r="D7" s="114" t="s">
        <v>23</v>
      </c>
      <c r="E7" s="298">
        <f>88.4%+0.08</f>
        <v>0.96399999999999997</v>
      </c>
      <c r="F7" s="298"/>
      <c r="G7" s="298"/>
      <c r="H7" s="298"/>
      <c r="I7" s="298"/>
      <c r="J7" s="414"/>
      <c r="K7" s="414"/>
      <c r="L7" s="414"/>
      <c r="M7" s="414"/>
      <c r="N7" s="414"/>
      <c r="O7" s="414"/>
      <c r="P7" s="414"/>
    </row>
    <row r="8" spans="1:16" s="29" customFormat="1">
      <c r="A8" s="32" t="s">
        <v>551</v>
      </c>
      <c r="B8" s="381"/>
      <c r="C8" s="32"/>
      <c r="D8" s="114" t="s">
        <v>23</v>
      </c>
      <c r="E8" s="298">
        <f>74.77%+0.08</f>
        <v>0.82769999999999988</v>
      </c>
      <c r="F8" s="298"/>
      <c r="G8" s="298"/>
      <c r="H8" s="298"/>
      <c r="I8" s="298"/>
      <c r="J8" s="414"/>
      <c r="K8" s="414"/>
      <c r="L8" s="414"/>
      <c r="M8" s="414"/>
      <c r="N8" s="414"/>
      <c r="O8" s="414"/>
      <c r="P8" s="414"/>
    </row>
    <row r="9" spans="1:16" s="29" customFormat="1">
      <c r="A9" s="414" t="s">
        <v>552</v>
      </c>
      <c r="B9" s="414"/>
      <c r="C9" s="414"/>
      <c r="D9" s="2" t="s">
        <v>25</v>
      </c>
      <c r="E9" s="298"/>
      <c r="F9" s="51">
        <f>1-F12-F13-F14</f>
        <v>0.92030000000000001</v>
      </c>
      <c r="G9" s="51">
        <f>1-G12-G13-G14</f>
        <v>0.88090000000000002</v>
      </c>
      <c r="H9" s="51">
        <f>1-H12-H13-H14</f>
        <v>0.9133</v>
      </c>
      <c r="I9" s="51">
        <f>1-I12-I13-I14</f>
        <v>0.873</v>
      </c>
      <c r="J9" s="414"/>
      <c r="K9" s="414"/>
      <c r="L9" s="414"/>
      <c r="M9" s="414"/>
      <c r="N9" s="414"/>
      <c r="O9" s="414"/>
      <c r="P9" s="414"/>
    </row>
    <row r="10" spans="1:16" s="29" customFormat="1">
      <c r="A10" s="414" t="s">
        <v>553</v>
      </c>
      <c r="B10" s="414"/>
      <c r="C10" s="414"/>
      <c r="D10" s="2" t="s">
        <v>25</v>
      </c>
      <c r="E10" s="298"/>
      <c r="F10" s="51">
        <v>0.89649999999999996</v>
      </c>
      <c r="G10" s="51">
        <v>0.91190000000000004</v>
      </c>
      <c r="H10" s="51">
        <v>0.85640000000000005</v>
      </c>
      <c r="I10" s="51">
        <v>0.87649999999999995</v>
      </c>
      <c r="J10" s="68" t="s">
        <v>554</v>
      </c>
      <c r="K10" s="68"/>
      <c r="L10" s="68"/>
      <c r="M10" s="414"/>
      <c r="N10" s="414"/>
      <c r="O10" s="414"/>
      <c r="P10" s="414"/>
    </row>
    <row r="11" spans="1:16" s="29" customFormat="1">
      <c r="A11" s="414" t="s">
        <v>555</v>
      </c>
      <c r="B11" s="414"/>
      <c r="C11" s="414"/>
      <c r="D11" s="414"/>
      <c r="E11" s="298"/>
      <c r="F11" s="32"/>
      <c r="G11" s="32"/>
      <c r="H11" s="32"/>
      <c r="I11" s="32"/>
      <c r="J11" s="68" t="s">
        <v>556</v>
      </c>
      <c r="K11" s="68"/>
      <c r="L11" s="68"/>
      <c r="M11" s="414"/>
      <c r="N11" s="414"/>
      <c r="O11" s="414"/>
      <c r="P11" s="414"/>
    </row>
    <row r="12" spans="1:16" s="29" customFormat="1">
      <c r="A12" s="414"/>
      <c r="B12" s="416" t="s">
        <v>247</v>
      </c>
      <c r="C12" s="414"/>
      <c r="D12" s="2" t="s">
        <v>25</v>
      </c>
      <c r="E12" s="298"/>
      <c r="F12" s="51">
        <v>1.72E-2</v>
      </c>
      <c r="G12" s="51">
        <v>1.3299999999999999E-2</v>
      </c>
      <c r="H12" s="51">
        <v>2.6700000000000002E-2</v>
      </c>
      <c r="I12" s="51">
        <v>2.5399999999999999E-2</v>
      </c>
      <c r="J12" s="414"/>
      <c r="K12" s="414"/>
      <c r="L12" s="414"/>
      <c r="M12" s="414"/>
      <c r="N12" s="414"/>
      <c r="O12" s="414"/>
      <c r="P12" s="414"/>
    </row>
    <row r="13" spans="1:16" s="29" customFormat="1">
      <c r="A13" s="414"/>
      <c r="B13" s="416" t="s">
        <v>557</v>
      </c>
      <c r="C13" s="414"/>
      <c r="D13" s="2" t="s">
        <v>25</v>
      </c>
      <c r="E13" s="298"/>
      <c r="F13" s="51">
        <v>5.0700000000000002E-2</v>
      </c>
      <c r="G13" s="51">
        <v>8.0600000000000005E-2</v>
      </c>
      <c r="H13" s="51">
        <v>4.7899999999999998E-2</v>
      </c>
      <c r="I13" s="51">
        <v>7.2800000000000004E-2</v>
      </c>
      <c r="J13" s="414"/>
      <c r="K13" s="414"/>
      <c r="L13" s="414"/>
      <c r="M13" s="414"/>
      <c r="N13" s="414"/>
      <c r="O13" s="414"/>
      <c r="P13" s="414"/>
    </row>
    <row r="14" spans="1:16" s="29" customFormat="1">
      <c r="A14" s="414"/>
      <c r="B14" s="416" t="s">
        <v>190</v>
      </c>
      <c r="C14" s="414"/>
      <c r="D14" s="2" t="s">
        <v>25</v>
      </c>
      <c r="E14" s="298"/>
      <c r="F14" s="51">
        <v>1.18E-2</v>
      </c>
      <c r="G14" s="51">
        <v>2.52E-2</v>
      </c>
      <c r="H14" s="51">
        <v>1.21E-2</v>
      </c>
      <c r="I14" s="51">
        <v>2.8799999999999999E-2</v>
      </c>
      <c r="J14" s="414"/>
      <c r="K14" s="414"/>
      <c r="L14" s="414"/>
      <c r="M14" s="414"/>
      <c r="N14" s="414"/>
      <c r="O14" s="414"/>
      <c r="P14" s="414"/>
    </row>
    <row r="15" spans="1:16">
      <c r="A15" s="416" t="s">
        <v>356</v>
      </c>
      <c r="B15" s="416"/>
      <c r="C15" s="414"/>
      <c r="D15" s="2" t="s">
        <v>27</v>
      </c>
      <c r="E15" s="51">
        <v>0.95099999999999996</v>
      </c>
      <c r="H15" s="414"/>
      <c r="J15" s="414"/>
      <c r="K15" s="414"/>
      <c r="L15" s="414"/>
      <c r="M15" s="414"/>
      <c r="N15" s="414"/>
      <c r="O15" s="414"/>
      <c r="P15" s="414"/>
    </row>
    <row r="16" spans="1:16">
      <c r="A16" s="416" t="s">
        <v>357</v>
      </c>
      <c r="B16" s="416"/>
      <c r="C16" s="414"/>
      <c r="D16" s="2" t="s">
        <v>27</v>
      </c>
      <c r="E16" s="51">
        <v>0.96</v>
      </c>
      <c r="H16" s="51"/>
      <c r="J16" s="414"/>
      <c r="K16" s="65">
        <f>+H14+H13+H12</f>
        <v>8.6699999999999999E-2</v>
      </c>
      <c r="O16" s="414"/>
      <c r="P16" s="414"/>
    </row>
    <row r="17" spans="1:14">
      <c r="A17" s="416" t="s">
        <v>358</v>
      </c>
      <c r="B17" s="416"/>
      <c r="C17" s="414"/>
      <c r="D17" s="2" t="s">
        <v>27</v>
      </c>
      <c r="E17" s="51">
        <v>0.96</v>
      </c>
      <c r="H17" s="414"/>
      <c r="J17" s="414"/>
      <c r="K17" s="65">
        <f>1-K16</f>
        <v>0.9133</v>
      </c>
    </row>
    <row r="18" spans="1:14">
      <c r="A18" s="416" t="s">
        <v>359</v>
      </c>
      <c r="B18" s="416"/>
      <c r="C18" s="414"/>
      <c r="D18" s="2" t="s">
        <v>27</v>
      </c>
      <c r="E18" s="51">
        <v>0.96</v>
      </c>
      <c r="H18" s="414"/>
      <c r="J18" s="414"/>
      <c r="K18" s="414"/>
    </row>
    <row r="19" spans="1:14">
      <c r="A19" s="416" t="s">
        <v>558</v>
      </c>
      <c r="B19" s="416"/>
      <c r="C19" s="414"/>
      <c r="D19" s="2" t="s">
        <v>27</v>
      </c>
      <c r="E19" s="129">
        <v>0.95699999999999996</v>
      </c>
      <c r="H19" s="414"/>
      <c r="J19" s="414"/>
      <c r="K19" s="414"/>
    </row>
    <row r="20" spans="1:14">
      <c r="A20" s="416" t="s">
        <v>559</v>
      </c>
      <c r="B20" s="416"/>
      <c r="C20" s="414"/>
      <c r="D20" s="2" t="s">
        <v>27</v>
      </c>
      <c r="E20" s="51">
        <v>0.97899999999999998</v>
      </c>
      <c r="H20" s="414"/>
      <c r="J20" s="414"/>
      <c r="K20" s="414"/>
    </row>
    <row r="21" spans="1:14">
      <c r="A21" s="416" t="s">
        <v>560</v>
      </c>
      <c r="B21" s="416"/>
      <c r="C21" s="414"/>
      <c r="D21" s="2" t="s">
        <v>27</v>
      </c>
      <c r="E21" s="51">
        <v>0.97899999999999998</v>
      </c>
      <c r="H21" s="414"/>
      <c r="J21" s="414"/>
      <c r="K21" s="414"/>
    </row>
    <row r="22" spans="1:14">
      <c r="A22" s="416" t="s">
        <v>561</v>
      </c>
      <c r="B22" s="416"/>
      <c r="C22" s="414"/>
      <c r="D22" s="2" t="s">
        <v>27</v>
      </c>
      <c r="E22" s="51">
        <v>0.97599999999999998</v>
      </c>
      <c r="H22" s="414"/>
      <c r="J22" s="414"/>
      <c r="K22" s="414"/>
    </row>
    <row r="23" spans="1:14">
      <c r="A23" s="58" t="s">
        <v>562</v>
      </c>
      <c r="B23" s="58"/>
      <c r="C23" s="417"/>
      <c r="D23" s="59">
        <v>3</v>
      </c>
      <c r="E23" s="60">
        <v>0.97599999999999998</v>
      </c>
      <c r="F23" s="60"/>
      <c r="G23" s="60"/>
      <c r="H23" s="417"/>
      <c r="I23" s="60"/>
      <c r="J23" s="414"/>
      <c r="K23" s="414"/>
      <c r="L23" s="414"/>
      <c r="M23" s="414"/>
      <c r="N23" s="414"/>
    </row>
    <row r="24" spans="1:14">
      <c r="A24" s="414"/>
      <c r="B24" s="414"/>
      <c r="C24" s="414"/>
      <c r="D24" s="414"/>
      <c r="E24" s="414"/>
      <c r="H24" s="414"/>
      <c r="J24" s="414"/>
      <c r="K24" s="414"/>
      <c r="L24" s="414"/>
      <c r="M24" s="414"/>
      <c r="N24" s="414"/>
    </row>
    <row r="25" spans="1:14" ht="12.95">
      <c r="A25" s="61" t="s">
        <v>563</v>
      </c>
      <c r="B25" s="414"/>
      <c r="C25" s="414"/>
      <c r="D25" s="414"/>
      <c r="E25" s="414"/>
      <c r="H25" s="414"/>
      <c r="J25" s="414"/>
      <c r="K25" s="414"/>
    </row>
    <row r="26" spans="1:14">
      <c r="A26" s="416" t="s">
        <v>564</v>
      </c>
      <c r="B26" s="414"/>
      <c r="C26" s="414"/>
      <c r="D26" s="414"/>
      <c r="E26" s="414"/>
      <c r="H26" s="414"/>
    </row>
    <row r="27" spans="1:14">
      <c r="A27" s="416" t="s">
        <v>565</v>
      </c>
      <c r="B27" s="414"/>
      <c r="C27" s="414"/>
      <c r="D27" s="414"/>
      <c r="E27" s="414"/>
      <c r="H27" s="414"/>
    </row>
    <row r="28" spans="1:14">
      <c r="A28" s="62" t="s">
        <v>566</v>
      </c>
      <c r="B28" s="63"/>
      <c r="C28" s="414"/>
      <c r="D28" s="414"/>
      <c r="E28" s="414"/>
      <c r="H28" s="414"/>
    </row>
  </sheetData>
  <phoneticPr fontId="0" type="noConversion"/>
  <pageMargins left="0.75" right="0.75" top="1" bottom="1" header="0.5" footer="0.5"/>
  <pageSetup scale="98" orientation="landscape" horizontalDpi="4294967292" r:id="rId1"/>
  <headerFooter alignWithMargins="0">
    <oddHeader>&amp;R&amp;"Arial,Bold"REVISED 11/15/01&amp;"Arial,Regular"
USPS LR-J-60
Page 51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EB0E29CC5B443B20AD0ADCD173D34" ma:contentTypeVersion="4" ma:contentTypeDescription="Create a new document." ma:contentTypeScope="" ma:versionID="fefafd6d308eb8b5a8cc413f7e344640">
  <xsd:schema xmlns:xsd="http://www.w3.org/2001/XMLSchema" xmlns:xs="http://www.w3.org/2001/XMLSchema" xmlns:p="http://schemas.microsoft.com/office/2006/metadata/properties" xmlns:ns2="fd280014-f047-445d-a75d-a0f18d80e10d" targetNamespace="http://schemas.microsoft.com/office/2006/metadata/properties" ma:root="true" ma:fieldsID="d0167217136ba33b7f2a5da369f8bb0e" ns2:_="">
    <xsd:import namespace="fd280014-f047-445d-a75d-a0f18d80e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80014-f047-445d-a75d-a0f18d80e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087261-4F6C-4A23-9A4A-D8919E2042CA}"/>
</file>

<file path=customXml/itemProps2.xml><?xml version="1.0" encoding="utf-8"?>
<ds:datastoreItem xmlns:ds="http://schemas.openxmlformats.org/officeDocument/2006/customXml" ds:itemID="{8CD457F7-69A0-4011-AC9E-E150C76750CF}"/>
</file>

<file path=customXml/itemProps3.xml><?xml version="1.0" encoding="utf-8"?>
<ds:datastoreItem xmlns:ds="http://schemas.openxmlformats.org/officeDocument/2006/customXml" ds:itemID="{F2ABD346-D49E-4B92-965A-E54D4F791BBA}"/>
</file>

<file path=docMetadata/LabelInfo.xml><?xml version="1.0" encoding="utf-8"?>
<clbl:labelList xmlns:clbl="http://schemas.microsoft.com/office/2020/mipLabelMetadata">
  <clbl:label id="{9cd35bff-114b-4201-ba3a-fdb2e03735c9}" enabled="0" method="" siteId="{9cd35bff-114b-4201-ba3a-fdb2e03735c9}" removed="1"/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USPS - ACE Technologies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kwalia@usps.gov</dc:creator>
  <cp:keywords/>
  <dc:description/>
  <cp:lastModifiedBy>Depew, Bonnie Y - Washington, DC</cp:lastModifiedBy>
  <cp:revision/>
  <dcterms:created xsi:type="dcterms:W3CDTF">2002-12-18T19:48:43Z</dcterms:created>
  <dcterms:modified xsi:type="dcterms:W3CDTF">2026-02-04T17:56:38Z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0x0101000B6EB0E29CC5B443B20AD0ADCD173D34</vt:lpwstr>
  </property>
  <property fmtid="{D5CDD505-2E9C-101B-9397-08002B2CF9AE}" pid="3" name="Order">
    <vt:r8>7200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