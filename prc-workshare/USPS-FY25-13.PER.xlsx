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ps365-my.sharepoint.com/personal/aminur_rahman_usps_gov/Documents/ACR 2025/FY25-13/Output/1224/"/>
    </mc:Choice>
  </mc:AlternateContent>
  <xr:revisionPtr revIDLastSave="0" documentId="8_{80747FF4-148A-44F4-92BD-A29783CC220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mmary" sheetId="7" r:id="rId1"/>
    <sheet name="Cost Per Pound" sheetId="5" r:id="rId2"/>
    <sheet name="NDC" sheetId="4" r:id="rId3"/>
    <sheet name="SCF" sheetId="3" r:id="rId4"/>
    <sheet name="DU" sheetId="6" r:id="rId5"/>
    <sheet name="Inputs 1" sheetId="1" r:id="rId6"/>
    <sheet name="Inputs 2" sheetId="2" r:id="rId7"/>
  </sheets>
  <definedNames>
    <definedName name="ACwvu.input_1." localSheetId="5" hidden="1">'Inputs 1'!$A$1:$G$35</definedName>
    <definedName name="ACwvu.input2." localSheetId="6" hidden="1">'Inputs 2'!$A$1:$G$37</definedName>
    <definedName name="PAGE1_2">#REF!</definedName>
    <definedName name="PAGE3">#REF!</definedName>
    <definedName name="_xlnm.Print_Area" localSheetId="1">'Cost Per Pound'!$A$1:$I$29</definedName>
    <definedName name="_xlnm.Print_Area" localSheetId="4">DU!$A$1:$L$35</definedName>
    <definedName name="_xlnm.Print_Area" localSheetId="5">'Inputs 1'!$A$1:$H$49</definedName>
    <definedName name="_xlnm.Print_Area" localSheetId="6">'Inputs 2'!$A$1:$E$32</definedName>
    <definedName name="_xlnm.Print_Area" localSheetId="2">NDC!$A$1:$N$55</definedName>
    <definedName name="_xlnm.Print_Area" localSheetId="3">SCF!$A$1:$M$48</definedName>
    <definedName name="Swvu.input_1." localSheetId="5" hidden="1">'Inputs 1'!$A$1:$G$35</definedName>
    <definedName name="Swvu.input2." localSheetId="6" hidden="1">'Inputs 2'!$A$1:$G$37</definedName>
    <definedName name="wrn.dest_ent." localSheetId="4" hidden="1">{"input_1",#N/A,FALSE,"INPUTS, PG1";"input2",#N/A,FALSE,"inputs, pg2";"model1",#N/A,FALSE,"model";"model2",#N/A,FALSE,"model"}</definedName>
    <definedName name="wrn.dest_ent." localSheetId="2" hidden="1">{"input_1",#N/A,FALSE,"INPUTS, PG1";"input2",#N/A,FALSE,"inputs, pg2";"model1",#N/A,FALSE,"model";"model2",#N/A,FALSE,"model"}</definedName>
    <definedName name="wrn.dest_ent." hidden="1">{"input_1",#N/A,FALSE,"INPUTS, PG1";"input2",#N/A,FALSE,"inputs, pg2";"model1",#N/A,FALSE,"model";"model2",#N/A,FALSE,"model"}</definedName>
    <definedName name="wvu.input_1." localSheetId="5" hidden="1">{TRUE,TRUE,-1.25,-15.5,484.5,277.5,FALSE,TRUE,TRUE,TRUE,0,1,#N/A,1,#N/A,6,21.4615384615385,1,FALSE,FALSE,3,TRUE,1,FALSE,75,"Swvu.input_1.","ACwvu.input_1.",#N/A,FALSE,FALSE,0.75,0.75,1.5,1,1,"&amp;RUSPS-T-4M
Page 1 of 4","&amp;R&amp;D, &amp;T",FALSE,FALSE,FALSE,FALSE,1,#N/A,1,1,FALSE,FALSE,#N/A,#N/A,FALSE,FALSE,FALSE,1,65532,65532,FALSE,FALSE,TRUE,TRUE,TRUE}</definedName>
    <definedName name="wvu.input2." localSheetId="6" hidden="1">{TRUE,TRUE,-1.25,-15.5,484.5,277.5,FALSE,TRUE,TRUE,TRUE,0,1,#N/A,1,#N/A,6.41129032258065,22.8461538461538,1,FALSE,FALSE,3,TRUE,1,FALSE,75,"Swvu.input2.","ACwvu.input2.",#N/A,FALSE,FALSE,0.75,0.75,1.5,1,1,"&amp;RUSPS-T-M
Page 2 of 4","&amp;R&amp;D, &amp;T",FALSE,FALSE,FALSE,FALSE,1,#N/A,1,1,FALSE,FALSE,#N/A,#N/A,FALSE,FALSE,FALSE,1,65532,65532,FALSE,FALSE,TRUE,TRUE,TRUE}</definedName>
  </definedNames>
  <calcPr calcId="191029"/>
  <customWorkbookViews>
    <customWorkbookView name="input_1 (INPUTS, PG1)" guid="{C23F2D26-338A-11D3-B661-0080C7812BA3}" maximized="1" xWindow="2" yWindow="2" windowWidth="636" windowHeight="341" activeSheetId="1"/>
    <customWorkbookView name="input2 (inputs, pg2)" guid="{C23F2D27-338A-11D3-B661-0080C7812BA3}" maximized="1" xWindow="2" yWindow="2" windowWidth="636" windowHeight="341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6" i="1" l="1"/>
  <c r="B23" i="1"/>
  <c r="B21" i="1"/>
  <c r="B20" i="1"/>
  <c r="B19" i="1"/>
  <c r="B18" i="1"/>
  <c r="B17" i="1"/>
  <c r="B16" i="1"/>
  <c r="B15" i="1"/>
  <c r="B13" i="1"/>
  <c r="B12" i="1"/>
  <c r="B10" i="1"/>
  <c r="C25" i="1" l="1"/>
  <c r="C24" i="1"/>
  <c r="C14" i="1"/>
  <c r="E13" i="3" s="1"/>
  <c r="J8" i="3"/>
  <c r="J16" i="4"/>
  <c r="C29" i="4"/>
  <c r="D23" i="3"/>
  <c r="G14" i="3"/>
  <c r="G12" i="3"/>
  <c r="H15" i="3"/>
  <c r="C9" i="1"/>
  <c r="E8" i="6" s="1"/>
  <c r="I8" i="3"/>
  <c r="I9" i="3"/>
  <c r="C10" i="1"/>
  <c r="E9" i="3" s="1"/>
  <c r="I10" i="3"/>
  <c r="C11" i="1"/>
  <c r="E13" i="4" s="1"/>
  <c r="G9" i="3"/>
  <c r="C12" i="1"/>
  <c r="E11" i="3" s="1"/>
  <c r="I11" i="3"/>
  <c r="C13" i="1"/>
  <c r="E12" i="3" s="1"/>
  <c r="I12" i="3"/>
  <c r="I13" i="3"/>
  <c r="C15" i="1"/>
  <c r="E14" i="3" s="1"/>
  <c r="I14" i="3"/>
  <c r="C17" i="1"/>
  <c r="E17" i="4" s="1"/>
  <c r="G16" i="3"/>
  <c r="J16" i="3"/>
  <c r="I16" i="3"/>
  <c r="C16" i="1"/>
  <c r="E15" i="3" s="1"/>
  <c r="I15" i="3"/>
  <c r="I13" i="4"/>
  <c r="G13" i="4"/>
  <c r="C21" i="1"/>
  <c r="E12" i="4" s="1"/>
  <c r="I10" i="4"/>
  <c r="I11" i="4"/>
  <c r="C20" i="1"/>
  <c r="E11" i="4" s="1"/>
  <c r="G12" i="4"/>
  <c r="I12" i="4"/>
  <c r="I15" i="4"/>
  <c r="G17" i="4"/>
  <c r="I17" i="4"/>
  <c r="I16" i="4"/>
  <c r="C23" i="1"/>
  <c r="E16" i="4" s="1"/>
  <c r="C18" i="1"/>
  <c r="E8" i="4" s="1"/>
  <c r="I8" i="4"/>
  <c r="C19" i="1"/>
  <c r="E9" i="4" s="1"/>
  <c r="I9" i="4"/>
  <c r="C22" i="1"/>
  <c r="E14" i="4" s="1"/>
  <c r="G14" i="4"/>
  <c r="I14" i="4"/>
  <c r="H8" i="6"/>
  <c r="H9" i="6"/>
  <c r="F9" i="6"/>
  <c r="A13" i="2"/>
  <c r="B33" i="6"/>
  <c r="B47" i="3"/>
  <c r="B52" i="4"/>
  <c r="B50" i="4"/>
  <c r="K8" i="4"/>
  <c r="K9" i="4"/>
  <c r="D9" i="4"/>
  <c r="E25" i="4"/>
  <c r="K10" i="4"/>
  <c r="K11" i="4"/>
  <c r="D10" i="4"/>
  <c r="E26" i="4"/>
  <c r="K12" i="4"/>
  <c r="K13" i="4"/>
  <c r="D12" i="4"/>
  <c r="E27" i="4"/>
  <c r="K14" i="4"/>
  <c r="K15" i="4"/>
  <c r="K16" i="4"/>
  <c r="K17" i="4"/>
  <c r="G23" i="3"/>
  <c r="A12" i="2"/>
  <c r="G24" i="3"/>
  <c r="C26" i="1"/>
  <c r="D13" i="4"/>
  <c r="D11" i="4"/>
  <c r="E16" i="3" l="1"/>
  <c r="L16" i="3" s="1"/>
  <c r="M14" i="4"/>
  <c r="G8" i="4"/>
  <c r="M8" i="4" s="1"/>
  <c r="G11" i="4"/>
  <c r="M11" i="4" s="1"/>
  <c r="L9" i="3"/>
  <c r="G8" i="6"/>
  <c r="G16" i="4"/>
  <c r="M16" i="4" s="1"/>
  <c r="H15" i="4"/>
  <c r="H11" i="4"/>
  <c r="G15" i="3"/>
  <c r="L15" i="3" s="1"/>
  <c r="H14" i="3"/>
  <c r="G11" i="3"/>
  <c r="L11" i="3" s="1"/>
  <c r="F8" i="6"/>
  <c r="K8" i="6" s="1"/>
  <c r="H9" i="4"/>
  <c r="G15" i="4"/>
  <c r="H8" i="4"/>
  <c r="H17" i="4"/>
  <c r="G9" i="6"/>
  <c r="G10" i="4"/>
  <c r="H13" i="4"/>
  <c r="G9" i="4"/>
  <c r="M9" i="4" s="1"/>
  <c r="H10" i="4"/>
  <c r="G8" i="3"/>
  <c r="H14" i="4"/>
  <c r="H16" i="4"/>
  <c r="H12" i="4"/>
  <c r="G13" i="3"/>
  <c r="L13" i="3" s="1"/>
  <c r="G10" i="3"/>
  <c r="G29" i="4"/>
  <c r="H24" i="3"/>
  <c r="H23" i="3"/>
  <c r="M12" i="4"/>
  <c r="M17" i="4"/>
  <c r="E15" i="4"/>
  <c r="J11" i="4"/>
  <c r="D25" i="3"/>
  <c r="D17" i="6"/>
  <c r="G17" i="6" s="1"/>
  <c r="E9" i="6"/>
  <c r="K9" i="6" s="1"/>
  <c r="C24" i="4"/>
  <c r="C30" i="4" s="1"/>
  <c r="M13" i="4"/>
  <c r="D16" i="6"/>
  <c r="G16" i="6" s="1"/>
  <c r="E10" i="4"/>
  <c r="L14" i="3"/>
  <c r="L12" i="3"/>
  <c r="E10" i="3"/>
  <c r="E8" i="3"/>
  <c r="I8" i="6"/>
  <c r="J12" i="3"/>
  <c r="J9" i="3"/>
  <c r="J17" i="4"/>
  <c r="H9" i="3"/>
  <c r="J15" i="3"/>
  <c r="K15" i="3" s="1"/>
  <c r="J11" i="3"/>
  <c r="I9" i="6"/>
  <c r="J13" i="3"/>
  <c r="H11" i="3"/>
  <c r="J14" i="3"/>
  <c r="H13" i="3"/>
  <c r="L16" i="4"/>
  <c r="J13" i="4"/>
  <c r="J8" i="4"/>
  <c r="J12" i="4"/>
  <c r="J10" i="4"/>
  <c r="J9" i="4"/>
  <c r="J15" i="4"/>
  <c r="J14" i="4"/>
  <c r="H16" i="3"/>
  <c r="K16" i="3" s="1"/>
  <c r="H12" i="3"/>
  <c r="J10" i="3"/>
  <c r="H10" i="3"/>
  <c r="H8" i="3"/>
  <c r="K8" i="3" s="1"/>
  <c r="J9" i="6" l="1"/>
  <c r="L9" i="6" s="1"/>
  <c r="H17" i="6" s="1"/>
  <c r="I17" i="6" s="1"/>
  <c r="L9" i="4"/>
  <c r="L12" i="4"/>
  <c r="N12" i="4" s="1"/>
  <c r="K11" i="3"/>
  <c r="M11" i="3" s="1"/>
  <c r="L11" i="4"/>
  <c r="N11" i="4" s="1"/>
  <c r="K14" i="3"/>
  <c r="M14" i="3" s="1"/>
  <c r="L17" i="4"/>
  <c r="N17" i="4" s="1"/>
  <c r="J8" i="6"/>
  <c r="L8" i="6" s="1"/>
  <c r="H16" i="6" s="1"/>
  <c r="I16" i="6" s="1"/>
  <c r="L14" i="4"/>
  <c r="N14" i="4" s="1"/>
  <c r="H28" i="4" s="1"/>
  <c r="M15" i="4"/>
  <c r="G18" i="6"/>
  <c r="L8" i="3"/>
  <c r="M8" i="3" s="1"/>
  <c r="L15" i="4"/>
  <c r="L8" i="4"/>
  <c r="N8" i="4" s="1"/>
  <c r="H24" i="4" s="1"/>
  <c r="N9" i="4"/>
  <c r="H25" i="4" s="1"/>
  <c r="K10" i="3"/>
  <c r="L13" i="4"/>
  <c r="N13" i="4" s="1"/>
  <c r="N16" i="4"/>
  <c r="L10" i="4"/>
  <c r="K12" i="3"/>
  <c r="M12" i="3" s="1"/>
  <c r="M15" i="3"/>
  <c r="L10" i="3"/>
  <c r="M10" i="4"/>
  <c r="D18" i="6"/>
  <c r="K13" i="3"/>
  <c r="M13" i="3" s="1"/>
  <c r="G27" i="4"/>
  <c r="G26" i="4"/>
  <c r="G25" i="4"/>
  <c r="G28" i="4"/>
  <c r="G24" i="4"/>
  <c r="M16" i="3"/>
  <c r="H25" i="3"/>
  <c r="H26" i="3" s="1"/>
  <c r="D26" i="3"/>
  <c r="K9" i="3"/>
  <c r="M9" i="3" s="1"/>
  <c r="N15" i="4" l="1"/>
  <c r="M10" i="3"/>
  <c r="I23" i="3" s="1"/>
  <c r="J23" i="3" s="1"/>
  <c r="I28" i="4"/>
  <c r="H27" i="4"/>
  <c r="I27" i="4" s="1"/>
  <c r="I18" i="6"/>
  <c r="I25" i="3"/>
  <c r="J25" i="3" s="1"/>
  <c r="N10" i="4"/>
  <c r="H26" i="4" s="1"/>
  <c r="I26" i="4" s="1"/>
  <c r="I24" i="3"/>
  <c r="J24" i="3" s="1"/>
  <c r="I24" i="4"/>
  <c r="I25" i="4"/>
  <c r="H29" i="4"/>
  <c r="I29" i="4" s="1"/>
  <c r="J26" i="3" l="1"/>
  <c r="A30" i="3" s="1"/>
  <c r="I30" i="4"/>
  <c r="A33" i="4" s="1"/>
  <c r="C9" i="5" l="1"/>
  <c r="F9" i="5" s="1"/>
  <c r="C7" i="5"/>
  <c r="F7" i="5" s="1"/>
  <c r="C13" i="5" l="1"/>
  <c r="C15" i="5" s="1"/>
  <c r="F15" i="5" s="1"/>
  <c r="D11" i="7" s="1"/>
  <c r="D21" i="7" s="1"/>
  <c r="C11" i="5"/>
  <c r="F11" i="5" s="1"/>
  <c r="D9" i="7" s="1"/>
  <c r="D19" i="7" s="1"/>
  <c r="F13" i="5" l="1"/>
  <c r="D10" i="7" s="1"/>
  <c r="D20" i="7" s="1"/>
</calcChain>
</file>

<file path=xl/sharedStrings.xml><?xml version="1.0" encoding="utf-8"?>
<sst xmlns="http://schemas.openxmlformats.org/spreadsheetml/2006/main" count="445" uniqueCount="218">
  <si>
    <t>Productivity</t>
  </si>
  <si>
    <t xml:space="preserve"> </t>
  </si>
  <si>
    <t>Operation</t>
  </si>
  <si>
    <t>Description</t>
  </si>
  <si>
    <t>sacks per IHC</t>
  </si>
  <si>
    <t>Percentage</t>
  </si>
  <si>
    <t>Flow Description</t>
  </si>
  <si>
    <t>sack sorter machine (SSM) to load to van from extendible conveyor</t>
  </si>
  <si>
    <t>Value</t>
  </si>
  <si>
    <t>Sacks</t>
  </si>
  <si>
    <t>Manual</t>
  </si>
  <si>
    <t>Mechanized</t>
  </si>
  <si>
    <t>SSM</t>
  </si>
  <si>
    <t>Pallets</t>
  </si>
  <si>
    <t>N/A</t>
  </si>
  <si>
    <t>Handling Costs Avoided</t>
  </si>
  <si>
    <t>Facility Type</t>
  </si>
  <si>
    <t>Cost/Piece</t>
  </si>
  <si>
    <t>Cost/Pound</t>
  </si>
  <si>
    <t>SCF</t>
  </si>
  <si>
    <t>Total Nontransportation Cost Savings-DSCF Mail</t>
  </si>
  <si>
    <t>Total Nontransportation Cost Savings-DDU Mail</t>
  </si>
  <si>
    <t>Total</t>
  </si>
  <si>
    <t xml:space="preserve">Manual </t>
  </si>
  <si>
    <t>unload</t>
  </si>
  <si>
    <t>ext</t>
  </si>
  <si>
    <t>roller</t>
  </si>
  <si>
    <t>roller IHC</t>
  </si>
  <si>
    <t>Unload sacks from van to in-house container</t>
  </si>
  <si>
    <t>Move APC to outbound dock</t>
  </si>
  <si>
    <t>Load sacks to van</t>
  </si>
  <si>
    <t>Unload sacks to conveyor</t>
  </si>
  <si>
    <t>Load sacks to van from extendible conveyor</t>
  </si>
  <si>
    <t>Sack sorter</t>
  </si>
  <si>
    <t>Unload pallets</t>
  </si>
  <si>
    <t>Move pallets to outbound dock</t>
  </si>
  <si>
    <t>Load pallets to van</t>
  </si>
  <si>
    <t>Unload sacks to extendible conveyor</t>
  </si>
  <si>
    <t>Load sacks from roller table to IHC</t>
  </si>
  <si>
    <t>Load containers to van</t>
  </si>
  <si>
    <t>Load sacks to van from IHC</t>
  </si>
  <si>
    <t>Crossdock pallets</t>
  </si>
  <si>
    <t>Factor</t>
  </si>
  <si>
    <t>Premium</t>
  </si>
  <si>
    <t>Pay Factor</t>
  </si>
  <si>
    <t>Piggyback</t>
  </si>
  <si>
    <t>Docket No. R97-1, LR-H-111, Appendix F</t>
  </si>
  <si>
    <t>SSM to roller table to in-house containers and load sacks to van from IHCs</t>
  </si>
  <si>
    <t>Container</t>
  </si>
  <si>
    <t>Docket No. R97-1, LR-H-132, page 329.</t>
  </si>
  <si>
    <t>Total Nontransportation Cost Savings-DADC Mail</t>
  </si>
  <si>
    <t>Calculation of Unloading Costs at DDUs</t>
  </si>
  <si>
    <r>
      <t xml:space="preserve">2 </t>
    </r>
    <r>
      <rPr>
        <sz val="10"/>
        <rFont val="Arial"/>
        <family val="2"/>
      </rPr>
      <t xml:space="preserve"> Productivity divided by volume variability.</t>
    </r>
  </si>
  <si>
    <t>Piggyback Factors, Wages and Volumes</t>
  </si>
  <si>
    <t>Periodical Pieces per Sack</t>
  </si>
  <si>
    <t>Periodical Pieces per Pallet</t>
  </si>
  <si>
    <t>Proportion of SCFs That Are Mechanized</t>
  </si>
  <si>
    <t>Proportion of SCFs That Are Not Mechanized</t>
  </si>
  <si>
    <t>Proportion of Periodicals Mail in Sacks</t>
  </si>
  <si>
    <t>Proportion of Periodicals Mail on Pallets</t>
  </si>
  <si>
    <t>Docket No. MC95-1, Exhibit USPS-T-11U</t>
  </si>
  <si>
    <t>Docket No. R94-1, Tr. 8/4006</t>
  </si>
  <si>
    <t>Piggyback Factor for Opening Units</t>
  </si>
  <si>
    <t>Periodicals</t>
  </si>
  <si>
    <t>Containers/Hr</t>
  </si>
  <si>
    <t>Pieces per Container</t>
  </si>
  <si>
    <t>Wage Rate</t>
  </si>
  <si>
    <t xml:space="preserve">Premium </t>
  </si>
  <si>
    <t>% Overall</t>
  </si>
  <si>
    <t>Per Piece</t>
  </si>
  <si>
    <t>Cost</t>
  </si>
  <si>
    <t>Weighted Cost per Pound</t>
  </si>
  <si>
    <t>Col 9*Col 10</t>
  </si>
  <si>
    <t>Weighted Cost per Piece</t>
  </si>
  <si>
    <t>Percent of Volume in Container Type</t>
  </si>
  <si>
    <t>By Method</t>
  </si>
  <si>
    <t>Percent Vol.</t>
  </si>
  <si>
    <t>In Operation</t>
  </si>
  <si>
    <t xml:space="preserve">% Sack Flow from </t>
  </si>
  <si>
    <t>Calculation of Crossdocking Costs at SCFs</t>
  </si>
  <si>
    <t>Productivities and Conversion Factors</t>
  </si>
  <si>
    <t xml:space="preserve">Piggyback </t>
  </si>
  <si>
    <t>Inputs to Periodicals Destination Entry Cost Avoidance Models</t>
  </si>
  <si>
    <t xml:space="preserve">  </t>
  </si>
  <si>
    <t>COST AVOIDANCE SUMMARY</t>
  </si>
  <si>
    <t>Cost Element</t>
  </si>
  <si>
    <t>Cost Per Pound</t>
  </si>
  <si>
    <t>DDU</t>
  </si>
  <si>
    <t>DSCF</t>
  </si>
  <si>
    <t xml:space="preserve">  Non-Transportation</t>
  </si>
  <si>
    <t>PERIODICALS DESTINATION ENTRY</t>
  </si>
  <si>
    <t>DADC</t>
  </si>
  <si>
    <t>Proportion of Volume Bypassing DADC</t>
  </si>
  <si>
    <t>Docket No. R2006-1, USPS-T-25, page 7.</t>
  </si>
  <si>
    <t>Proportion of Volume Not Bypassing DADC</t>
  </si>
  <si>
    <t>Pieces per</t>
  </si>
  <si>
    <t>Hour</t>
  </si>
  <si>
    <t>Piece</t>
  </si>
  <si>
    <t>Weighted Cost</t>
  </si>
  <si>
    <t>Cost Per</t>
  </si>
  <si>
    <t>Pieces Per</t>
  </si>
  <si>
    <t>Percent</t>
  </si>
  <si>
    <t>Overall</t>
  </si>
  <si>
    <t>(4) * (5) * (6) * (7)</t>
  </si>
  <si>
    <t>(2) * (3)</t>
  </si>
  <si>
    <t>(8) / (9)</t>
  </si>
  <si>
    <t>(11) * (12)</t>
  </si>
  <si>
    <t>(13) * (14)</t>
  </si>
  <si>
    <r>
      <t>2</t>
    </r>
    <r>
      <rPr>
        <sz val="10"/>
        <rFont val="Arial"/>
        <family val="2"/>
      </rPr>
      <t xml:space="preserve">  Weighted average cost per piece multiplied by test year pieces per pound (page 48).</t>
    </r>
  </si>
  <si>
    <t>Percent Volume</t>
  </si>
  <si>
    <t>(3) * (4) * (5)</t>
  </si>
  <si>
    <t>(1) * ( 2)</t>
  </si>
  <si>
    <t>(6) / (7)</t>
  </si>
  <si>
    <t>(9) * (10)</t>
  </si>
  <si>
    <r>
      <t>1</t>
    </r>
    <r>
      <rPr>
        <sz val="10"/>
        <rFont val="Arial"/>
        <family val="2"/>
      </rPr>
      <t xml:space="preserve">  Includes a container conversion factor of 26.5 sacks per IHC from page 47.</t>
    </r>
  </si>
  <si>
    <t>Piece Per</t>
  </si>
  <si>
    <t>(1) * (2)</t>
  </si>
  <si>
    <t>Docket No. R90-1, Exhibit USPS-T-12B, p. 5</t>
  </si>
  <si>
    <t>NDC Realization Factor</t>
  </si>
  <si>
    <t>NDC</t>
  </si>
  <si>
    <t>Calculation of Crossdocking Costs at NDCs</t>
  </si>
  <si>
    <t>NDC Realization</t>
  </si>
  <si>
    <t xml:space="preserve"> NDC Sack Sorters</t>
  </si>
  <si>
    <t>load sacks to van from IHC - (NDC)</t>
  </si>
  <si>
    <t>unload pallets - (NDC)</t>
  </si>
  <si>
    <t>load pallets to van - (NDC)</t>
  </si>
  <si>
    <t>unload sacks to extendible conveyor - (NDC)</t>
  </si>
  <si>
    <t>load sacks to van from extendible conveyor - (NDC)</t>
  </si>
  <si>
    <t>load wheeled containers to van - (NDC)</t>
  </si>
  <si>
    <t>load sacks from roller table to IHC - (NDC)</t>
  </si>
  <si>
    <t>sack sorter - (NDC)</t>
  </si>
  <si>
    <t>crossdock pallets - (NDC)</t>
  </si>
  <si>
    <t>primary NMO sort - (NDC)</t>
  </si>
  <si>
    <t>load NMOs to van from IHC - (NDC)</t>
  </si>
  <si>
    <t>sacks per NDC container</t>
  </si>
  <si>
    <t>SSM to roller table to NDC containers and load NDC containers to van</t>
  </si>
  <si>
    <t xml:space="preserve">   NDC volume variabilites are applied when marginal productivities at NDCs are used as proxies for marginal productivites at SCFs.</t>
  </si>
  <si>
    <t>Proportion of Volume from DNDCs to DDUs via DSCFs</t>
  </si>
  <si>
    <t>Proportion of Volume from DNDCs Directly to DDUs</t>
  </si>
  <si>
    <t>Piggyback Factor for Sack Sorters at NDCs</t>
  </si>
  <si>
    <t>Piggyback Factor for Sack Sorters at Non-NDCs</t>
  </si>
  <si>
    <t>Piggyback Factor for Platform at NDCs</t>
  </si>
  <si>
    <t>Piggyback Factor for Platform at Non-NDCs MODS Facilities</t>
  </si>
  <si>
    <t>Piggyback Factor for Platform at Non-NDCs Non-MODS Facilities</t>
  </si>
  <si>
    <t>Piggyback Factor for Other Mail Processing - NDCs</t>
  </si>
  <si>
    <t>Premium Pay Factor for All Facilities</t>
  </si>
  <si>
    <t>Pieces per Pound for Outside County Publications</t>
  </si>
  <si>
    <t>Premium Pay Factor for Non-NDC Facilities</t>
  </si>
  <si>
    <t>Pieces per Pound for Total Periodicals</t>
  </si>
  <si>
    <t>Cost Per Piece</t>
  </si>
  <si>
    <t>Other Mail Processing Productive Hourly Wage Rate</t>
  </si>
  <si>
    <t>Page 6</t>
  </si>
  <si>
    <t>Page 7</t>
  </si>
  <si>
    <t>100 % volume processed</t>
  </si>
  <si>
    <t>[1]</t>
  </si>
  <si>
    <t>[2]</t>
  </si>
  <si>
    <t>[1]:  Page 2</t>
  </si>
  <si>
    <t>[2]:  [1] / Pieces Per Pound (Page 7)</t>
  </si>
  <si>
    <t>[3]</t>
  </si>
  <si>
    <t>[5]</t>
  </si>
  <si>
    <t>[7]</t>
  </si>
  <si>
    <t>[9]</t>
  </si>
  <si>
    <t>[4]</t>
  </si>
  <si>
    <t>[6]</t>
  </si>
  <si>
    <t>[8]</t>
  </si>
  <si>
    <t>[10]</t>
  </si>
  <si>
    <t>Sources:</t>
  </si>
  <si>
    <t>[1]:  Page 4</t>
  </si>
  <si>
    <t>[3]:  Page 3</t>
  </si>
  <si>
    <t>[5]:  Proportion of volume from DNDC to DDU via DSCF (Page 7) * ( [3] - Proportion of volume bypassing DADC (Page 7) * [1] )</t>
  </si>
  <si>
    <t>[2]:  [1] * pieces / pound (page 7)</t>
  </si>
  <si>
    <t>[4]:  [3] * pieces / pound (page 7)</t>
  </si>
  <si>
    <t>[6]:  [5] * pieces / pound (page 7)</t>
  </si>
  <si>
    <t>[7]:  [3] + Proportion of volume from DNDC to DDU via DSCF (Page 7) * Proportion of volume not bypassing DADC (page 7) * [1]</t>
  </si>
  <si>
    <t>[9]:  [7] + DDU Savings (page 5) + Proportion of volume from DNDC to DDU via DSCF (Page 7) * [1]</t>
  </si>
  <si>
    <t xml:space="preserve">[10]:  [9] * pieces / pound (page 7). </t>
  </si>
  <si>
    <t>[8]:  [7] * pieces / pound (page 7)</t>
  </si>
  <si>
    <t>[11]</t>
  </si>
  <si>
    <t>[12]</t>
  </si>
  <si>
    <t>[13]</t>
  </si>
  <si>
    <t>[14]</t>
  </si>
  <si>
    <t>[15]</t>
  </si>
  <si>
    <t>Column [1]:</t>
  </si>
  <si>
    <t>Column [2]:</t>
  </si>
  <si>
    <t>Column [3]:</t>
  </si>
  <si>
    <t>Column [4]:</t>
  </si>
  <si>
    <t>Column [5]:</t>
  </si>
  <si>
    <t>Column [6]:</t>
  </si>
  <si>
    <t>Column [7]:</t>
  </si>
  <si>
    <t>Column [8]:</t>
  </si>
  <si>
    <t>Column [9]:</t>
  </si>
  <si>
    <t>Column [10]:</t>
  </si>
  <si>
    <t>Column [11]:</t>
  </si>
  <si>
    <t>Column [12]:</t>
  </si>
  <si>
    <t>Column [13]:</t>
  </si>
  <si>
    <t>Column [14]:</t>
  </si>
  <si>
    <t>Column [15]:</t>
  </si>
  <si>
    <t>Sources</t>
  </si>
  <si>
    <r>
      <t xml:space="preserve">Variability </t>
    </r>
    <r>
      <rPr>
        <b/>
        <u/>
        <vertAlign val="superscript"/>
        <sz val="10"/>
        <rFont val="Arial"/>
        <family val="2"/>
      </rPr>
      <t>1</t>
    </r>
  </si>
  <si>
    <t>(Units per Hour)</t>
  </si>
  <si>
    <t>Adjusted</t>
  </si>
  <si>
    <r>
      <t>2</t>
    </r>
    <r>
      <rPr>
        <sz val="10"/>
        <rFont val="Arial"/>
        <family val="2"/>
      </rPr>
      <t xml:space="preserve">  Weighted average cost per piece multiplied by test year pieces per pound  from page 119.</t>
    </r>
  </si>
  <si>
    <r>
      <t>1</t>
    </r>
    <r>
      <rPr>
        <sz val="10"/>
        <rFont val="Arial"/>
        <family val="2"/>
      </rPr>
      <t xml:space="preserve">  Includes a container conversion factor of 40 sacks per NDC container from page 118.</t>
    </r>
  </si>
  <si>
    <t>unload sacks from van to in-house countainer (IHC) - (PDC)</t>
  </si>
  <si>
    <t>move all-purpose container (APC), IHC to outbound dock - (PDC)</t>
  </si>
  <si>
    <t>unload sacks to conveyor - (PDC)</t>
  </si>
  <si>
    <t>load sacks to van from extendible conveyor - (PDC)</t>
  </si>
  <si>
    <t>move pallets to outbound dock - (PDC)</t>
  </si>
  <si>
    <t>secondary NMO sort - (PDC)</t>
  </si>
  <si>
    <t>Conversion</t>
  </si>
  <si>
    <t>RPW</t>
  </si>
  <si>
    <t>sack sorter - (PDC - NDC value used as a proxy productivity value)</t>
  </si>
  <si>
    <r>
      <t xml:space="preserve">1 </t>
    </r>
    <r>
      <rPr>
        <sz val="10"/>
        <rFont val="Arial"/>
        <family val="2"/>
      </rPr>
      <t xml:space="preserve"> USPS-FY25-7, Part 6</t>
    </r>
  </si>
  <si>
    <t>USPS-FY25-7, Part 8</t>
  </si>
  <si>
    <t>USPS-FY25-14</t>
  </si>
  <si>
    <t>USPS-FY25-25</t>
  </si>
  <si>
    <t>USPS-FY25-23</t>
  </si>
  <si>
    <t>USPS-FY25-7, Part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</si>
</sst>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00_)"/>
    <numFmt numFmtId="166" formatCode="&quot;$&quot;#,##0.0000_);\(&quot;$&quot;#,##0.0000\)"/>
    <numFmt numFmtId="167" formatCode="_(&quot;$&quot;* #,##0.0000_);_(&quot;$&quot;* \(#,##0.0000\);_(&quot;$&quot;* &quot;-&quot;??_);_(@_)"/>
    <numFmt numFmtId="168" formatCode="_(&quot;$&quot;* #,##0.00000_);_(&quot;$&quot;* \(#,##0.00000\);_(&quot;$&quot;* &quot;-&quot;??_);_(@_)"/>
    <numFmt numFmtId="169" formatCode="&quot;$&quot;#,##0.00"/>
    <numFmt numFmtId="170" formatCode="&quot;$&quot;#,##0.000000"/>
    <numFmt numFmtId="171" formatCode="0.000"/>
    <numFmt numFmtId="172" formatCode="&quot;$&quot;#,##0.000"/>
    <numFmt numFmtId="173" formatCode="&quot;$&quot;#,##0.0000"/>
    <numFmt numFmtId="174" formatCode="#,##0.000"/>
    <numFmt numFmtId="175" formatCode="&quot;$&quot;#,##0.000_);\(&quot;$&quot;#,##0.000\)"/>
    <numFmt numFmtId="176" formatCode="0.0000000%"/>
  </numFmts>
  <fonts count="17" x14ac:knownFonts="1">
    <font>
      <sz val="10"/>
      <name val="Courie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vertAlign val="superscript"/>
      <sz val="10"/>
      <name val="Arial"/>
      <family val="2"/>
    </font>
    <font>
      <u/>
      <sz val="10"/>
      <name val="Courier"/>
      <family val="3"/>
    </font>
    <font>
      <b/>
      <sz val="10"/>
      <name val="Arial"/>
      <family val="2"/>
    </font>
    <font>
      <b/>
      <sz val="10"/>
      <name val="Courier"/>
      <family val="3"/>
    </font>
    <font>
      <sz val="10"/>
      <color indexed="10"/>
      <name val="Arial"/>
      <family val="2"/>
    </font>
    <font>
      <sz val="10"/>
      <color indexed="10"/>
      <name val="Courier"/>
      <family val="3"/>
    </font>
    <font>
      <sz val="8"/>
      <name val="Courier"/>
      <family val="3"/>
    </font>
    <font>
      <b/>
      <u/>
      <sz val="10"/>
      <name val="Arial"/>
      <family val="2"/>
    </font>
    <font>
      <b/>
      <u/>
      <vertAlign val="superscript"/>
      <sz val="10"/>
      <name val="Arial"/>
      <family val="2"/>
    </font>
    <font>
      <sz val="10"/>
      <name val="Univers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4">
    <xf numFmtId="164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65">
    <xf numFmtId="164" fontId="0" fillId="0" borderId="0" xfId="0"/>
    <xf numFmtId="164" fontId="3" fillId="0" borderId="0" xfId="0" applyFont="1"/>
    <xf numFmtId="164" fontId="6" fillId="0" borderId="0" xfId="0" applyFont="1" applyAlignment="1">
      <alignment horizontal="center"/>
    </xf>
    <xf numFmtId="164" fontId="3" fillId="0" borderId="0" xfId="0" applyFont="1" applyAlignment="1">
      <alignment horizontal="center"/>
    </xf>
    <xf numFmtId="164" fontId="1" fillId="0" borderId="0" xfId="0" applyFont="1"/>
    <xf numFmtId="164" fontId="6" fillId="0" borderId="0" xfId="0" applyFont="1"/>
    <xf numFmtId="164" fontId="3" fillId="0" borderId="0" xfId="0" quotePrefix="1" applyFont="1" applyAlignment="1">
      <alignment horizontal="center"/>
    </xf>
    <xf numFmtId="164" fontId="7" fillId="0" borderId="0" xfId="0" applyFont="1" applyAlignment="1">
      <alignment horizontal="left"/>
    </xf>
    <xf numFmtId="169" fontId="3" fillId="0" borderId="0" xfId="0" applyNumberFormat="1" applyFont="1"/>
    <xf numFmtId="170" fontId="3" fillId="0" borderId="0" xfId="0" applyNumberFormat="1" applyFont="1"/>
    <xf numFmtId="170" fontId="3" fillId="0" borderId="0" xfId="0" applyNumberFormat="1" applyFont="1" applyAlignment="1">
      <alignment horizontal="center"/>
    </xf>
    <xf numFmtId="164" fontId="7" fillId="0" borderId="0" xfId="0" applyFont="1"/>
    <xf numFmtId="1" fontId="3" fillId="0" borderId="0" xfId="0" applyNumberFormat="1" applyFont="1"/>
    <xf numFmtId="1" fontId="6" fillId="0" borderId="0" xfId="0" applyNumberFormat="1" applyFont="1"/>
    <xf numFmtId="1" fontId="7" fillId="0" borderId="0" xfId="0" applyNumberFormat="1" applyFont="1" applyAlignment="1">
      <alignment horizontal="center"/>
    </xf>
    <xf numFmtId="164" fontId="1" fillId="0" borderId="0" xfId="0" applyFont="1" applyAlignment="1">
      <alignment horizontal="centerContinuous"/>
    </xf>
    <xf numFmtId="164" fontId="9" fillId="0" borderId="0" xfId="0" applyFont="1" applyAlignment="1">
      <alignment horizontal="centerContinuous"/>
    </xf>
    <xf numFmtId="1" fontId="1" fillId="0" borderId="0" xfId="0" applyNumberFormat="1" applyFont="1" applyAlignment="1">
      <alignment horizontal="centerContinuous"/>
    </xf>
    <xf numFmtId="164" fontId="3" fillId="0" borderId="1" xfId="0" applyFont="1" applyBorder="1" applyAlignment="1">
      <alignment horizontal="center"/>
    </xf>
    <xf numFmtId="164" fontId="3" fillId="0" borderId="2" xfId="0" applyFont="1" applyBorder="1" applyAlignment="1">
      <alignment horizontal="center"/>
    </xf>
    <xf numFmtId="164" fontId="3" fillId="0" borderId="3" xfId="0" applyFont="1" applyBorder="1" applyAlignment="1">
      <alignment horizontal="center"/>
    </xf>
    <xf numFmtId="164" fontId="3" fillId="0" borderId="4" xfId="0" applyFont="1" applyBorder="1" applyAlignment="1">
      <alignment horizontal="center"/>
    </xf>
    <xf numFmtId="164" fontId="3" fillId="0" borderId="5" xfId="0" applyFont="1" applyBorder="1" applyAlignment="1">
      <alignment horizontal="center"/>
    </xf>
    <xf numFmtId="164" fontId="6" fillId="0" borderId="6" xfId="0" applyFont="1" applyBorder="1" applyAlignment="1">
      <alignment horizontal="center"/>
    </xf>
    <xf numFmtId="164" fontId="8" fillId="0" borderId="7" xfId="0" applyFont="1" applyBorder="1" applyAlignment="1">
      <alignment horizontal="center"/>
    </xf>
    <xf numFmtId="164" fontId="9" fillId="0" borderId="8" xfId="0" applyFont="1" applyBorder="1" applyAlignment="1">
      <alignment horizontal="center"/>
    </xf>
    <xf numFmtId="164" fontId="3" fillId="0" borderId="8" xfId="0" applyFont="1" applyBorder="1" applyAlignment="1">
      <alignment horizontal="center"/>
    </xf>
    <xf numFmtId="164" fontId="0" fillId="0" borderId="8" xfId="0" applyBorder="1" applyAlignment="1">
      <alignment horizontal="center"/>
    </xf>
    <xf numFmtId="164" fontId="0" fillId="0" borderId="9" xfId="0" applyBorder="1" applyAlignment="1">
      <alignment horizontal="center"/>
    </xf>
    <xf numFmtId="164" fontId="3" fillId="0" borderId="9" xfId="0" applyFont="1" applyBorder="1" applyAlignment="1">
      <alignment horizontal="center"/>
    </xf>
    <xf numFmtId="164" fontId="3" fillId="0" borderId="10" xfId="0" applyFont="1" applyBorder="1" applyAlignment="1">
      <alignment horizontal="center"/>
    </xf>
    <xf numFmtId="7" fontId="3" fillId="0" borderId="0" xfId="0" applyNumberFormat="1" applyFont="1" applyAlignment="1">
      <alignment horizontal="center"/>
    </xf>
    <xf numFmtId="164" fontId="3" fillId="0" borderId="11" xfId="0" applyFont="1" applyBorder="1" applyAlignment="1">
      <alignment horizontal="center"/>
    </xf>
    <xf numFmtId="170" fontId="3" fillId="0" borderId="1" xfId="0" applyNumberFormat="1" applyFont="1" applyBorder="1" applyAlignment="1">
      <alignment horizontal="center"/>
    </xf>
    <xf numFmtId="164" fontId="3" fillId="0" borderId="6" xfId="0" applyFont="1" applyBorder="1" applyAlignment="1">
      <alignment horizontal="center"/>
    </xf>
    <xf numFmtId="164" fontId="3" fillId="0" borderId="12" xfId="0" applyFont="1" applyBorder="1" applyAlignment="1">
      <alignment horizontal="center"/>
    </xf>
    <xf numFmtId="164" fontId="9" fillId="0" borderId="13" xfId="0" applyFont="1" applyBorder="1" applyAlignment="1">
      <alignment horizontal="center"/>
    </xf>
    <xf numFmtId="164" fontId="3" fillId="0" borderId="14" xfId="0" applyFont="1" applyBorder="1" applyAlignment="1">
      <alignment horizontal="center"/>
    </xf>
    <xf numFmtId="10" fontId="3" fillId="0" borderId="8" xfId="3" applyNumberFormat="1" applyFont="1" applyBorder="1" applyAlignment="1">
      <alignment horizontal="center"/>
    </xf>
    <xf numFmtId="164" fontId="3" fillId="0" borderId="15" xfId="0" applyFont="1" applyBorder="1" applyAlignment="1">
      <alignment horizontal="center"/>
    </xf>
    <xf numFmtId="10" fontId="3" fillId="0" borderId="9" xfId="3" applyNumberFormat="1" applyFont="1" applyBorder="1" applyAlignment="1">
      <alignment horizontal="center"/>
    </xf>
    <xf numFmtId="164" fontId="9" fillId="0" borderId="6" xfId="0" applyFont="1" applyBorder="1" applyAlignment="1">
      <alignment horizontal="center"/>
    </xf>
    <xf numFmtId="10" fontId="3" fillId="0" borderId="10" xfId="3" applyNumberFormat="1" applyFont="1" applyBorder="1" applyAlignment="1">
      <alignment horizontal="center"/>
    </xf>
    <xf numFmtId="9" fontId="3" fillId="0" borderId="10" xfId="3" applyFont="1" applyBorder="1" applyAlignment="1">
      <alignment horizontal="center"/>
    </xf>
    <xf numFmtId="164" fontId="3" fillId="0" borderId="4" xfId="0" applyFont="1" applyBorder="1"/>
    <xf numFmtId="10" fontId="3" fillId="0" borderId="8" xfId="0" applyNumberFormat="1" applyFont="1" applyBorder="1" applyAlignment="1">
      <alignment horizontal="center"/>
    </xf>
    <xf numFmtId="164" fontId="3" fillId="0" borderId="8" xfId="0" applyFont="1" applyBorder="1"/>
    <xf numFmtId="164" fontId="3" fillId="0" borderId="16" xfId="0" applyFont="1" applyBorder="1" applyAlignment="1">
      <alignment horizontal="center"/>
    </xf>
    <xf numFmtId="164" fontId="3" fillId="0" borderId="10" xfId="0" applyFont="1" applyBorder="1"/>
    <xf numFmtId="168" fontId="3" fillId="0" borderId="0" xfId="0" applyNumberFormat="1" applyFont="1" applyAlignment="1">
      <alignment horizontal="center"/>
    </xf>
    <xf numFmtId="9" fontId="3" fillId="0" borderId="1" xfId="3" applyFont="1" applyBorder="1" applyAlignment="1">
      <alignment horizontal="center"/>
    </xf>
    <xf numFmtId="164" fontId="3" fillId="0" borderId="2" xfId="0" applyFont="1" applyBorder="1"/>
    <xf numFmtId="164" fontId="3" fillId="0" borderId="3" xfId="0" applyFont="1" applyBorder="1"/>
    <xf numFmtId="164" fontId="3" fillId="0" borderId="13" xfId="0" applyFont="1" applyBorder="1"/>
    <xf numFmtId="164" fontId="3" fillId="0" borderId="14" xfId="0" applyFont="1" applyBorder="1"/>
    <xf numFmtId="164" fontId="6" fillId="0" borderId="6" xfId="0" applyFont="1" applyBorder="1"/>
    <xf numFmtId="164" fontId="8" fillId="0" borderId="7" xfId="0" applyFont="1" applyBorder="1"/>
    <xf numFmtId="164" fontId="9" fillId="0" borderId="17" xfId="0" applyFont="1" applyBorder="1"/>
    <xf numFmtId="164" fontId="9" fillId="0" borderId="8" xfId="0" applyFont="1" applyBorder="1"/>
    <xf numFmtId="164" fontId="10" fillId="0" borderId="8" xfId="0" applyFont="1" applyBorder="1"/>
    <xf numFmtId="10" fontId="3" fillId="0" borderId="16" xfId="0" applyNumberFormat="1" applyFont="1" applyBorder="1" applyAlignment="1">
      <alignment horizontal="center"/>
    </xf>
    <xf numFmtId="164" fontId="10" fillId="0" borderId="17" xfId="0" applyFont="1" applyBorder="1"/>
    <xf numFmtId="10" fontId="3" fillId="0" borderId="9" xfId="0" applyNumberFormat="1" applyFont="1" applyBorder="1" applyAlignment="1">
      <alignment horizontal="center"/>
    </xf>
    <xf numFmtId="164" fontId="9" fillId="0" borderId="18" xfId="0" applyFont="1" applyBorder="1"/>
    <xf numFmtId="164" fontId="9" fillId="0" borderId="9" xfId="0" applyFont="1" applyBorder="1"/>
    <xf numFmtId="164" fontId="3" fillId="0" borderId="17" xfId="0" applyFont="1" applyBorder="1"/>
    <xf numFmtId="164" fontId="3" fillId="0" borderId="19" xfId="0" applyFont="1" applyBorder="1"/>
    <xf numFmtId="173" fontId="3" fillId="0" borderId="0" xfId="0" applyNumberFormat="1" applyFont="1"/>
    <xf numFmtId="164" fontId="3" fillId="0" borderId="13" xfId="0" applyFont="1" applyBorder="1" applyAlignment="1">
      <alignment horizontal="center"/>
    </xf>
    <xf numFmtId="164" fontId="3" fillId="0" borderId="5" xfId="0" applyFont="1" applyBorder="1"/>
    <xf numFmtId="164" fontId="3" fillId="0" borderId="9" xfId="0" applyFont="1" applyBorder="1"/>
    <xf numFmtId="164" fontId="3" fillId="0" borderId="20" xfId="0" applyFont="1" applyBorder="1"/>
    <xf numFmtId="164" fontId="3" fillId="0" borderId="21" xfId="0" applyFont="1" applyBorder="1"/>
    <xf numFmtId="164" fontId="3" fillId="0" borderId="12" xfId="0" applyFont="1" applyBorder="1"/>
    <xf numFmtId="164" fontId="9" fillId="0" borderId="14" xfId="0" applyFont="1" applyBorder="1" applyAlignment="1">
      <alignment horizontal="center"/>
    </xf>
    <xf numFmtId="164" fontId="9" fillId="0" borderId="15" xfId="0" applyFont="1" applyBorder="1" applyAlignment="1">
      <alignment horizontal="center"/>
    </xf>
    <xf numFmtId="10" fontId="9" fillId="0" borderId="12" xfId="0" applyNumberFormat="1" applyFont="1" applyBorder="1" applyAlignment="1">
      <alignment horizontal="center"/>
    </xf>
    <xf numFmtId="170" fontId="3" fillId="0" borderId="12" xfId="0" applyNumberFormat="1" applyFont="1" applyBorder="1" applyAlignment="1">
      <alignment horizontal="center"/>
    </xf>
    <xf numFmtId="164" fontId="3" fillId="0" borderId="22" xfId="0" applyFont="1" applyBorder="1" applyAlignment="1">
      <alignment horizontal="center"/>
    </xf>
    <xf numFmtId="164" fontId="3" fillId="0" borderId="23" xfId="0" applyFont="1" applyBorder="1" applyAlignment="1">
      <alignment horizontal="center"/>
    </xf>
    <xf numFmtId="164" fontId="9" fillId="0" borderId="24" xfId="0" applyFont="1" applyBorder="1" applyAlignment="1">
      <alignment horizontal="center"/>
    </xf>
    <xf numFmtId="164" fontId="9" fillId="0" borderId="25" xfId="0" applyFont="1" applyBorder="1" applyAlignment="1">
      <alignment horizontal="center"/>
    </xf>
    <xf numFmtId="10" fontId="9" fillId="0" borderId="23" xfId="0" applyNumberFormat="1" applyFont="1" applyBorder="1" applyAlignment="1">
      <alignment horizontal="center"/>
    </xf>
    <xf numFmtId="170" fontId="3" fillId="0" borderId="23" xfId="0" applyNumberFormat="1" applyFont="1" applyBorder="1" applyAlignment="1">
      <alignment horizontal="center"/>
    </xf>
    <xf numFmtId="164" fontId="7" fillId="0" borderId="14" xfId="0" applyFont="1" applyBorder="1" applyAlignment="1">
      <alignment horizontal="left"/>
    </xf>
    <xf numFmtId="164" fontId="6" fillId="0" borderId="7" xfId="0" applyFont="1" applyBorder="1" applyAlignment="1">
      <alignment horizontal="center"/>
    </xf>
    <xf numFmtId="164" fontId="0" fillId="0" borderId="14" xfId="0" applyBorder="1" applyAlignment="1">
      <alignment horizontal="center"/>
    </xf>
    <xf numFmtId="164" fontId="3" fillId="0" borderId="26" xfId="0" applyFont="1" applyBorder="1" applyAlignment="1">
      <alignment horizontal="center"/>
    </xf>
    <xf numFmtId="164" fontId="3" fillId="0" borderId="7" xfId="0" applyFont="1" applyBorder="1" applyAlignment="1">
      <alignment horizontal="center"/>
    </xf>
    <xf numFmtId="164" fontId="9" fillId="0" borderId="0" xfId="0" applyFont="1" applyAlignment="1">
      <alignment horizontal="center"/>
    </xf>
    <xf numFmtId="164" fontId="3" fillId="0" borderId="27" xfId="0" applyFont="1" applyBorder="1" applyAlignment="1">
      <alignment horizontal="center"/>
    </xf>
    <xf numFmtId="164" fontId="9" fillId="0" borderId="7" xfId="0" applyFont="1" applyBorder="1" applyAlignment="1">
      <alignment horizontal="center"/>
    </xf>
    <xf numFmtId="164" fontId="3" fillId="0" borderId="24" xfId="0" applyFont="1" applyBorder="1" applyAlignment="1">
      <alignment horizontal="center"/>
    </xf>
    <xf numFmtId="10" fontId="3" fillId="0" borderId="24" xfId="3" applyNumberFormat="1" applyFont="1" applyBorder="1" applyAlignment="1">
      <alignment horizontal="center"/>
    </xf>
    <xf numFmtId="10" fontId="3" fillId="0" borderId="28" xfId="3" applyNumberFormat="1" applyFont="1" applyBorder="1" applyAlignment="1">
      <alignment horizontal="center"/>
    </xf>
    <xf numFmtId="10" fontId="3" fillId="0" borderId="25" xfId="3" applyNumberFormat="1" applyFont="1" applyBorder="1" applyAlignment="1">
      <alignment horizontal="center"/>
    </xf>
    <xf numFmtId="10" fontId="3" fillId="0" borderId="29" xfId="0" applyNumberFormat="1" applyFont="1" applyBorder="1" applyAlignment="1">
      <alignment horizontal="center"/>
    </xf>
    <xf numFmtId="164" fontId="3" fillId="0" borderId="15" xfId="0" applyFont="1" applyBorder="1"/>
    <xf numFmtId="10" fontId="3" fillId="0" borderId="14" xfId="3" applyNumberFormat="1" applyFont="1" applyBorder="1" applyAlignment="1">
      <alignment horizontal="center"/>
    </xf>
    <xf numFmtId="10" fontId="3" fillId="0" borderId="21" xfId="3" applyNumberFormat="1" applyFont="1" applyBorder="1" applyAlignment="1">
      <alignment horizontal="center"/>
    </xf>
    <xf numFmtId="10" fontId="3" fillId="0" borderId="15" xfId="3" applyNumberFormat="1" applyFont="1" applyBorder="1" applyAlignment="1">
      <alignment horizontal="center"/>
    </xf>
    <xf numFmtId="10" fontId="3" fillId="0" borderId="30" xfId="0" applyNumberFormat="1" applyFont="1" applyBorder="1" applyAlignment="1">
      <alignment horizontal="center"/>
    </xf>
    <xf numFmtId="164" fontId="7" fillId="0" borderId="14" xfId="0" applyFont="1" applyBorder="1"/>
    <xf numFmtId="164" fontId="3" fillId="0" borderId="30" xfId="0" applyFont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4" xfId="0" applyFont="1" applyBorder="1" applyAlignment="1">
      <alignment horizontal="center"/>
    </xf>
    <xf numFmtId="164" fontId="4" fillId="0" borderId="0" xfId="0" applyFont="1" applyAlignment="1">
      <alignment horizontal="centerContinuous"/>
    </xf>
    <xf numFmtId="10" fontId="3" fillId="0" borderId="8" xfId="3" applyNumberFormat="1" applyFont="1" applyFill="1" applyBorder="1" applyAlignment="1">
      <alignment horizontal="center"/>
    </xf>
    <xf numFmtId="10" fontId="3" fillId="0" borderId="9" xfId="3" applyNumberFormat="1" applyFont="1" applyFill="1" applyBorder="1" applyAlignment="1">
      <alignment horizontal="center"/>
    </xf>
    <xf numFmtId="10" fontId="3" fillId="0" borderId="10" xfId="3" applyNumberFormat="1" applyFont="1" applyFill="1" applyBorder="1" applyAlignment="1">
      <alignment horizontal="center"/>
    </xf>
    <xf numFmtId="9" fontId="3" fillId="0" borderId="10" xfId="3" applyFont="1" applyFill="1" applyBorder="1" applyAlignment="1">
      <alignment horizontal="center"/>
    </xf>
    <xf numFmtId="166" fontId="3" fillId="0" borderId="8" xfId="2" applyNumberFormat="1" applyFont="1" applyFill="1" applyBorder="1" applyAlignment="1">
      <alignment horizontal="center"/>
    </xf>
    <xf numFmtId="166" fontId="3" fillId="0" borderId="16" xfId="2" applyNumberFormat="1" applyFont="1" applyFill="1" applyBorder="1" applyAlignment="1">
      <alignment horizontal="center"/>
    </xf>
    <xf numFmtId="166" fontId="3" fillId="0" borderId="9" xfId="2" applyNumberFormat="1" applyFont="1" applyFill="1" applyBorder="1" applyAlignment="1">
      <alignment horizontal="center"/>
    </xf>
    <xf numFmtId="166" fontId="3" fillId="0" borderId="10" xfId="2" applyNumberFormat="1" applyFont="1" applyFill="1" applyBorder="1" applyAlignment="1">
      <alignment horizontal="center"/>
    </xf>
    <xf numFmtId="10" fontId="3" fillId="0" borderId="16" xfId="3" applyNumberFormat="1" applyFont="1" applyFill="1" applyBorder="1" applyAlignment="1">
      <alignment horizontal="center"/>
    </xf>
    <xf numFmtId="10" fontId="3" fillId="0" borderId="1" xfId="3" applyNumberFormat="1" applyFont="1" applyFill="1" applyBorder="1" applyAlignment="1">
      <alignment horizontal="center"/>
    </xf>
    <xf numFmtId="164" fontId="3" fillId="0" borderId="0" xfId="0" applyFont="1" applyAlignment="1">
      <alignment horizontal="left"/>
    </xf>
    <xf numFmtId="164" fontId="9" fillId="0" borderId="0" xfId="0" applyFont="1"/>
    <xf numFmtId="167" fontId="9" fillId="0" borderId="0" xfId="2" applyNumberFormat="1" applyFont="1" applyBorder="1"/>
    <xf numFmtId="1" fontId="9" fillId="0" borderId="0" xfId="0" applyNumberFormat="1" applyFont="1"/>
    <xf numFmtId="173" fontId="9" fillId="0" borderId="0" xfId="0" applyNumberFormat="1" applyFont="1"/>
    <xf numFmtId="43" fontId="3" fillId="0" borderId="24" xfId="1" applyFont="1" applyFill="1" applyBorder="1"/>
    <xf numFmtId="43" fontId="3" fillId="0" borderId="8" xfId="1" applyFont="1" applyBorder="1"/>
    <xf numFmtId="43" fontId="3" fillId="0" borderId="28" xfId="1" applyFont="1" applyFill="1" applyBorder="1"/>
    <xf numFmtId="43" fontId="3" fillId="0" borderId="23" xfId="1" applyFont="1" applyFill="1" applyBorder="1"/>
    <xf numFmtId="43" fontId="3" fillId="0" borderId="8" xfId="1" applyFont="1" applyBorder="1" applyAlignment="1">
      <alignment horizontal="center"/>
    </xf>
    <xf numFmtId="43" fontId="3" fillId="0" borderId="16" xfId="1" applyFont="1" applyBorder="1" applyAlignment="1">
      <alignment horizontal="center"/>
    </xf>
    <xf numFmtId="43" fontId="3" fillId="0" borderId="10" xfId="1" applyFont="1" applyBorder="1" applyAlignment="1">
      <alignment horizontal="center"/>
    </xf>
    <xf numFmtId="43" fontId="3" fillId="0" borderId="8" xfId="1" applyFont="1" applyFill="1" applyBorder="1" applyAlignment="1">
      <alignment horizontal="center"/>
    </xf>
    <xf numFmtId="43" fontId="3" fillId="0" borderId="9" xfId="1" applyFont="1" applyFill="1" applyBorder="1" applyAlignment="1">
      <alignment horizontal="center"/>
    </xf>
    <xf numFmtId="43" fontId="3" fillId="0" borderId="10" xfId="1" applyFont="1" applyFill="1" applyBorder="1" applyAlignment="1">
      <alignment horizontal="center"/>
    </xf>
    <xf numFmtId="43" fontId="3" fillId="0" borderId="25" xfId="1" applyFont="1" applyFill="1" applyBorder="1"/>
    <xf numFmtId="43" fontId="3" fillId="0" borderId="16" xfId="1" applyFont="1" applyFill="1" applyBorder="1" applyAlignment="1">
      <alignment horizontal="center"/>
    </xf>
    <xf numFmtId="164" fontId="3" fillId="0" borderId="32" xfId="0" applyFont="1" applyBorder="1" applyAlignment="1">
      <alignment horizontal="center"/>
    </xf>
    <xf numFmtId="164" fontId="3" fillId="0" borderId="33" xfId="0" applyFont="1" applyBorder="1" applyAlignment="1">
      <alignment horizontal="center"/>
    </xf>
    <xf numFmtId="168" fontId="3" fillId="0" borderId="8" xfId="2" applyNumberFormat="1" applyFont="1" applyFill="1" applyBorder="1" applyAlignment="1">
      <alignment horizontal="center"/>
    </xf>
    <xf numFmtId="164" fontId="9" fillId="0" borderId="12" xfId="0" applyFont="1" applyBorder="1" applyAlignment="1">
      <alignment horizontal="center"/>
    </xf>
    <xf numFmtId="164" fontId="9" fillId="0" borderId="10" xfId="0" applyFont="1" applyBorder="1" applyAlignment="1">
      <alignment horizontal="center"/>
    </xf>
    <xf numFmtId="9" fontId="3" fillId="0" borderId="23" xfId="3" applyFont="1" applyFill="1" applyBorder="1" applyAlignment="1">
      <alignment horizontal="center"/>
    </xf>
    <xf numFmtId="10" fontId="3" fillId="0" borderId="7" xfId="3" applyNumberFormat="1" applyFont="1" applyBorder="1" applyAlignment="1">
      <alignment horizontal="center"/>
    </xf>
    <xf numFmtId="164" fontId="3" fillId="0" borderId="34" xfId="0" applyFont="1" applyBorder="1" applyAlignment="1">
      <alignment horizontal="center"/>
    </xf>
    <xf numFmtId="171" fontId="3" fillId="0" borderId="0" xfId="0" applyNumberFormat="1" applyFont="1" applyAlignment="1">
      <alignment horizontal="center"/>
    </xf>
    <xf numFmtId="171" fontId="3" fillId="0" borderId="0" xfId="0" applyNumberFormat="1" applyFont="1"/>
    <xf numFmtId="173" fontId="9" fillId="0" borderId="0" xfId="0" applyNumberFormat="1" applyFont="1" applyAlignment="1">
      <alignment horizontal="center"/>
    </xf>
    <xf numFmtId="164" fontId="0" fillId="2" borderId="2" xfId="0" applyFill="1" applyBorder="1"/>
    <xf numFmtId="164" fontId="0" fillId="2" borderId="3" xfId="0" applyFill="1" applyBorder="1"/>
    <xf numFmtId="164" fontId="0" fillId="2" borderId="36" xfId="0" applyFill="1" applyBorder="1"/>
    <xf numFmtId="173" fontId="9" fillId="2" borderId="37" xfId="0" applyNumberFormat="1" applyFont="1" applyFill="1" applyBorder="1" applyAlignment="1">
      <alignment horizontal="center"/>
    </xf>
    <xf numFmtId="164" fontId="9" fillId="2" borderId="13" xfId="0" applyFont="1" applyFill="1" applyBorder="1"/>
    <xf numFmtId="164" fontId="0" fillId="2" borderId="0" xfId="0" applyFill="1"/>
    <xf numFmtId="164" fontId="0" fillId="2" borderId="38" xfId="0" applyFill="1" applyBorder="1"/>
    <xf numFmtId="173" fontId="9" fillId="2" borderId="39" xfId="0" applyNumberFormat="1" applyFont="1" applyFill="1" applyBorder="1" applyAlignment="1">
      <alignment horizontal="center"/>
    </xf>
    <xf numFmtId="164" fontId="0" fillId="2" borderId="6" xfId="0" applyFill="1" applyBorder="1"/>
    <xf numFmtId="164" fontId="0" fillId="2" borderId="7" xfId="0" applyFill="1" applyBorder="1"/>
    <xf numFmtId="164" fontId="0" fillId="2" borderId="33" xfId="0" applyFill="1" applyBorder="1"/>
    <xf numFmtId="173" fontId="9" fillId="2" borderId="40" xfId="0" applyNumberFormat="1" applyFont="1" applyFill="1" applyBorder="1" applyAlignment="1">
      <alignment horizontal="center"/>
    </xf>
    <xf numFmtId="164" fontId="9" fillId="0" borderId="13" xfId="0" applyFont="1" applyBorder="1"/>
    <xf numFmtId="164" fontId="0" fillId="0" borderId="38" xfId="0" applyBorder="1"/>
    <xf numFmtId="173" fontId="9" fillId="0" borderId="39" xfId="0" applyNumberFormat="1" applyFont="1" applyBorder="1" applyAlignment="1">
      <alignment horizontal="center"/>
    </xf>
    <xf numFmtId="164" fontId="0" fillId="0" borderId="13" xfId="0" applyBorder="1"/>
    <xf numFmtId="164" fontId="0" fillId="0" borderId="6" xfId="0" applyBorder="1"/>
    <xf numFmtId="164" fontId="0" fillId="0" borderId="33" xfId="0" applyBorder="1"/>
    <xf numFmtId="173" fontId="9" fillId="0" borderId="40" xfId="0" applyNumberFormat="1" applyFont="1" applyBorder="1" applyAlignment="1">
      <alignment horizontal="center"/>
    </xf>
    <xf numFmtId="164" fontId="0" fillId="0" borderId="2" xfId="0" applyBorder="1"/>
    <xf numFmtId="164" fontId="9" fillId="0" borderId="3" xfId="0" applyFont="1" applyBorder="1"/>
    <xf numFmtId="164" fontId="0" fillId="0" borderId="36" xfId="0" applyBorder="1"/>
    <xf numFmtId="173" fontId="9" fillId="0" borderId="37" xfId="0" applyNumberFormat="1" applyFont="1" applyBorder="1" applyAlignment="1">
      <alignment horizontal="center"/>
    </xf>
    <xf numFmtId="164" fontId="0" fillId="0" borderId="7" xfId="0" applyBorder="1"/>
    <xf numFmtId="171" fontId="9" fillId="0" borderId="0" xfId="0" applyNumberFormat="1" applyFont="1" applyAlignment="1">
      <alignment horizontal="centerContinuous"/>
    </xf>
    <xf numFmtId="171" fontId="3" fillId="0" borderId="8" xfId="0" applyNumberFormat="1" applyFont="1" applyBorder="1" applyAlignment="1">
      <alignment horizontal="center"/>
    </xf>
    <xf numFmtId="171" fontId="3" fillId="0" borderId="12" xfId="0" applyNumberFormat="1" applyFont="1" applyBorder="1" applyAlignment="1">
      <alignment horizontal="center"/>
    </xf>
    <xf numFmtId="171" fontId="3" fillId="0" borderId="10" xfId="0" applyNumberFormat="1" applyFont="1" applyBorder="1" applyAlignment="1">
      <alignment horizontal="center"/>
    </xf>
    <xf numFmtId="171" fontId="3" fillId="0" borderId="32" xfId="0" applyNumberFormat="1" applyFont="1" applyBorder="1" applyAlignment="1">
      <alignment horizontal="center"/>
    </xf>
    <xf numFmtId="171" fontId="3" fillId="0" borderId="34" xfId="0" applyNumberFormat="1" applyFont="1" applyBorder="1" applyAlignment="1">
      <alignment horizontal="center"/>
    </xf>
    <xf numFmtId="164" fontId="9" fillId="0" borderId="13" xfId="0" applyFont="1" applyBorder="1" applyAlignment="1">
      <alignment horizontal="left"/>
    </xf>
    <xf numFmtId="164" fontId="9" fillId="0" borderId="41" xfId="0" applyFont="1" applyBorder="1" applyAlignment="1">
      <alignment horizontal="left"/>
    </xf>
    <xf numFmtId="164" fontId="9" fillId="0" borderId="11" xfId="0" applyFont="1" applyBorder="1" applyAlignment="1">
      <alignment horizontal="left"/>
    </xf>
    <xf numFmtId="172" fontId="9" fillId="0" borderId="0" xfId="2" applyNumberFormat="1" applyFont="1" applyBorder="1" applyAlignment="1">
      <alignment horizontal="center"/>
    </xf>
    <xf numFmtId="172" fontId="3" fillId="0" borderId="5" xfId="2" applyNumberFormat="1" applyFont="1" applyFill="1" applyBorder="1" applyAlignment="1">
      <alignment horizontal="center"/>
    </xf>
    <xf numFmtId="172" fontId="3" fillId="0" borderId="8" xfId="2" applyNumberFormat="1" applyFont="1" applyFill="1" applyBorder="1" applyAlignment="1">
      <alignment horizontal="center"/>
    </xf>
    <xf numFmtId="172" fontId="3" fillId="0" borderId="10" xfId="2" applyNumberFormat="1" applyFont="1" applyFill="1" applyBorder="1" applyAlignment="1">
      <alignment horizontal="center"/>
    </xf>
    <xf numFmtId="172" fontId="3" fillId="0" borderId="8" xfId="0" applyNumberFormat="1" applyFont="1" applyBorder="1" applyAlignment="1">
      <alignment horizontal="center"/>
    </xf>
    <xf numFmtId="172" fontId="3" fillId="0" borderId="16" xfId="0" applyNumberFormat="1" applyFont="1" applyBorder="1" applyAlignment="1">
      <alignment horizontal="center"/>
    </xf>
    <xf numFmtId="172" fontId="3" fillId="0" borderId="9" xfId="0" applyNumberFormat="1" applyFont="1" applyBorder="1" applyAlignment="1">
      <alignment horizontal="center"/>
    </xf>
    <xf numFmtId="172" fontId="3" fillId="0" borderId="10" xfId="0" applyNumberFormat="1" applyFont="1" applyBorder="1" applyAlignment="1">
      <alignment horizontal="center"/>
    </xf>
    <xf numFmtId="171" fontId="1" fillId="0" borderId="0" xfId="0" applyNumberFormat="1" applyFont="1" applyAlignment="1">
      <alignment horizontal="centerContinuous"/>
    </xf>
    <xf numFmtId="171" fontId="3" fillId="0" borderId="0" xfId="0" quotePrefix="1" applyNumberFormat="1" applyFont="1" applyAlignment="1">
      <alignment horizontal="center"/>
    </xf>
    <xf numFmtId="171" fontId="1" fillId="0" borderId="0" xfId="0" applyNumberFormat="1" applyFont="1" applyAlignment="1">
      <alignment horizontal="center"/>
    </xf>
    <xf numFmtId="171" fontId="3" fillId="0" borderId="16" xfId="0" applyNumberFormat="1" applyFont="1" applyBorder="1" applyAlignment="1">
      <alignment horizontal="center"/>
    </xf>
    <xf numFmtId="171" fontId="3" fillId="0" borderId="9" xfId="0" applyNumberFormat="1" applyFont="1" applyBorder="1" applyAlignment="1">
      <alignment horizontal="center"/>
    </xf>
    <xf numFmtId="172" fontId="3" fillId="0" borderId="38" xfId="0" applyNumberFormat="1" applyFont="1" applyBorder="1" applyAlignment="1">
      <alignment horizontal="center"/>
    </xf>
    <xf numFmtId="172" fontId="3" fillId="0" borderId="42" xfId="0" applyNumberFormat="1" applyFont="1" applyBorder="1" applyAlignment="1">
      <alignment horizontal="center"/>
    </xf>
    <xf numFmtId="172" fontId="3" fillId="0" borderId="43" xfId="0" applyNumberFormat="1" applyFont="1" applyBorder="1" applyAlignment="1">
      <alignment horizontal="center"/>
    </xf>
    <xf numFmtId="172" fontId="9" fillId="0" borderId="44" xfId="0" applyNumberFormat="1" applyFont="1" applyBorder="1" applyAlignment="1">
      <alignment horizontal="center"/>
    </xf>
    <xf numFmtId="172" fontId="1" fillId="0" borderId="0" xfId="0" applyNumberFormat="1" applyFont="1" applyAlignment="1">
      <alignment horizontal="centerContinuous"/>
    </xf>
    <xf numFmtId="172" fontId="3" fillId="0" borderId="0" xfId="0" quotePrefix="1" applyNumberFormat="1" applyFont="1" applyAlignment="1">
      <alignment horizontal="center"/>
    </xf>
    <xf numFmtId="172" fontId="3" fillId="0" borderId="32" xfId="2" applyNumberFormat="1" applyFont="1" applyFill="1" applyBorder="1" applyAlignment="1">
      <alignment horizontal="center"/>
    </xf>
    <xf numFmtId="172" fontId="3" fillId="0" borderId="45" xfId="2" applyNumberFormat="1" applyFont="1" applyFill="1" applyBorder="1" applyAlignment="1">
      <alignment horizontal="center"/>
    </xf>
    <xf numFmtId="172" fontId="3" fillId="0" borderId="46" xfId="2" applyNumberFormat="1" applyFont="1" applyFill="1" applyBorder="1" applyAlignment="1">
      <alignment horizontal="center"/>
    </xf>
    <xf numFmtId="172" fontId="3" fillId="0" borderId="34" xfId="2" applyNumberFormat="1" applyFont="1" applyFill="1" applyBorder="1" applyAlignment="1">
      <alignment horizontal="center"/>
    </xf>
    <xf numFmtId="172" fontId="3" fillId="0" borderId="0" xfId="0" applyNumberFormat="1" applyFont="1" applyAlignment="1">
      <alignment horizontal="center"/>
    </xf>
    <xf numFmtId="168" fontId="3" fillId="0" borderId="10" xfId="2" applyNumberFormat="1" applyFont="1" applyFill="1" applyBorder="1" applyAlignment="1">
      <alignment horizontal="center"/>
    </xf>
    <xf numFmtId="164" fontId="3" fillId="0" borderId="13" xfId="0" applyFont="1" applyBorder="1" applyAlignment="1">
      <alignment horizontal="left"/>
    </xf>
    <xf numFmtId="164" fontId="0" fillId="0" borderId="13" xfId="0" applyBorder="1" applyAlignment="1">
      <alignment horizontal="left"/>
    </xf>
    <xf numFmtId="164" fontId="3" fillId="0" borderId="6" xfId="0" applyFont="1" applyBorder="1" applyAlignment="1">
      <alignment horizontal="left"/>
    </xf>
    <xf numFmtId="164" fontId="9" fillId="0" borderId="0" xfId="0" applyFont="1" applyAlignment="1">
      <alignment horizontal="left"/>
    </xf>
    <xf numFmtId="164" fontId="3" fillId="0" borderId="2" xfId="0" applyFont="1" applyBorder="1" applyAlignment="1">
      <alignment horizontal="left"/>
    </xf>
    <xf numFmtId="164" fontId="3" fillId="0" borderId="41" xfId="0" applyFont="1" applyBorder="1" applyAlignment="1">
      <alignment horizontal="left"/>
    </xf>
    <xf numFmtId="164" fontId="9" fillId="0" borderId="6" xfId="0" applyFont="1" applyBorder="1" applyAlignment="1">
      <alignment horizontal="left"/>
    </xf>
    <xf numFmtId="174" fontId="3" fillId="0" borderId="8" xfId="0" applyNumberFormat="1" applyFont="1" applyBorder="1" applyAlignment="1">
      <alignment horizontal="center"/>
    </xf>
    <xf numFmtId="174" fontId="3" fillId="0" borderId="16" xfId="0" applyNumberFormat="1" applyFont="1" applyBorder="1" applyAlignment="1">
      <alignment horizontal="center"/>
    </xf>
    <xf numFmtId="174" fontId="3" fillId="0" borderId="10" xfId="0" applyNumberFormat="1" applyFont="1" applyBorder="1" applyAlignment="1">
      <alignment horizontal="center"/>
    </xf>
    <xf numFmtId="172" fontId="3" fillId="0" borderId="32" xfId="0" applyNumberFormat="1" applyFont="1" applyBorder="1" applyAlignment="1">
      <alignment horizontal="center"/>
    </xf>
    <xf numFmtId="172" fontId="3" fillId="0" borderId="46" xfId="0" applyNumberFormat="1" applyFont="1" applyBorder="1" applyAlignment="1">
      <alignment horizontal="center"/>
    </xf>
    <xf numFmtId="172" fontId="3" fillId="0" borderId="34" xfId="0" applyNumberFormat="1" applyFont="1" applyBorder="1" applyAlignment="1">
      <alignment horizontal="center"/>
    </xf>
    <xf numFmtId="172" fontId="9" fillId="0" borderId="34" xfId="0" applyNumberFormat="1" applyFont="1" applyBorder="1" applyAlignment="1">
      <alignment horizontal="center"/>
    </xf>
    <xf numFmtId="172" fontId="3" fillId="0" borderId="7" xfId="0" applyNumberFormat="1" applyFont="1" applyBorder="1" applyAlignment="1">
      <alignment horizontal="center"/>
    </xf>
    <xf numFmtId="164" fontId="14" fillId="0" borderId="0" xfId="0" applyFont="1"/>
    <xf numFmtId="1" fontId="9" fillId="0" borderId="0" xfId="0" applyNumberFormat="1" applyFont="1" applyAlignment="1">
      <alignment horizontal="center"/>
    </xf>
    <xf numFmtId="49" fontId="9" fillId="0" borderId="5" xfId="0" applyNumberFormat="1" applyFont="1" applyBorder="1" applyAlignment="1">
      <alignment horizontal="center"/>
    </xf>
    <xf numFmtId="170" fontId="9" fillId="0" borderId="5" xfId="0" applyNumberFormat="1" applyFont="1" applyBorder="1" applyAlignment="1">
      <alignment horizontal="center"/>
    </xf>
    <xf numFmtId="49" fontId="9" fillId="0" borderId="22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center"/>
    </xf>
    <xf numFmtId="171" fontId="9" fillId="0" borderId="31" xfId="0" applyNumberFormat="1" applyFont="1" applyBorder="1" applyAlignment="1">
      <alignment horizontal="center"/>
    </xf>
    <xf numFmtId="164" fontId="9" fillId="0" borderId="5" xfId="0" quotePrefix="1" applyFont="1" applyBorder="1" applyAlignment="1">
      <alignment horizontal="center"/>
    </xf>
    <xf numFmtId="171" fontId="9" fillId="0" borderId="5" xfId="0" applyNumberFormat="1" applyFont="1" applyBorder="1" applyAlignment="1">
      <alignment horizontal="center"/>
    </xf>
    <xf numFmtId="172" fontId="9" fillId="0" borderId="31" xfId="0" applyNumberFormat="1" applyFont="1" applyBorder="1" applyAlignment="1">
      <alignment horizontal="center"/>
    </xf>
    <xf numFmtId="164" fontId="9" fillId="0" borderId="31" xfId="0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170" fontId="9" fillId="0" borderId="3" xfId="0" applyNumberFormat="1" applyFont="1" applyBorder="1" applyAlignment="1">
      <alignment horizontal="center"/>
    </xf>
    <xf numFmtId="171" fontId="9" fillId="0" borderId="3" xfId="0" applyNumberFormat="1" applyFont="1" applyBorder="1" applyAlignment="1">
      <alignment horizontal="center"/>
    </xf>
    <xf numFmtId="171" fontId="9" fillId="0" borderId="36" xfId="0" applyNumberFormat="1" applyFont="1" applyBorder="1" applyAlignment="1">
      <alignment horizontal="center"/>
    </xf>
    <xf numFmtId="49" fontId="9" fillId="0" borderId="31" xfId="0" applyNumberFormat="1" applyFont="1" applyBorder="1" applyAlignment="1">
      <alignment horizontal="center"/>
    </xf>
    <xf numFmtId="164" fontId="9" fillId="0" borderId="4" xfId="0" quotePrefix="1" applyFont="1" applyBorder="1" applyAlignment="1">
      <alignment horizontal="center"/>
    </xf>
    <xf numFmtId="49" fontId="9" fillId="0" borderId="5" xfId="0" quotePrefix="1" applyNumberFormat="1" applyFont="1" applyBorder="1" applyAlignment="1">
      <alignment horizontal="center"/>
    </xf>
    <xf numFmtId="49" fontId="9" fillId="0" borderId="22" xfId="0" quotePrefix="1" applyNumberFormat="1" applyFont="1" applyBorder="1" applyAlignment="1">
      <alignment horizontal="center"/>
    </xf>
    <xf numFmtId="49" fontId="9" fillId="0" borderId="35" xfId="0" quotePrefix="1" applyNumberFormat="1" applyFont="1" applyBorder="1" applyAlignment="1">
      <alignment horizontal="center"/>
    </xf>
    <xf numFmtId="176" fontId="5" fillId="0" borderId="0" xfId="0" applyNumberFormat="1" applyFont="1"/>
    <xf numFmtId="164" fontId="14" fillId="0" borderId="0" xfId="0" applyFont="1" applyAlignment="1">
      <alignment horizontal="center"/>
    </xf>
    <xf numFmtId="164" fontId="14" fillId="0" borderId="0" xfId="0" applyFont="1" applyAlignment="1">
      <alignment horizontal="left"/>
    </xf>
    <xf numFmtId="175" fontId="3" fillId="0" borderId="0" xfId="0" applyNumberFormat="1" applyFont="1" applyAlignment="1">
      <alignment horizontal="center"/>
    </xf>
    <xf numFmtId="164" fontId="2" fillId="0" borderId="0" xfId="0" applyFont="1"/>
    <xf numFmtId="4" fontId="3" fillId="0" borderId="0" xfId="0" applyNumberFormat="1" applyFont="1" applyAlignment="1">
      <alignment horizontal="center"/>
    </xf>
    <xf numFmtId="164" fontId="11" fillId="0" borderId="0" xfId="0" applyFont="1"/>
    <xf numFmtId="164" fontId="2" fillId="0" borderId="0" xfId="0" applyFont="1" applyAlignment="1">
      <alignment horizontal="left"/>
    </xf>
    <xf numFmtId="164" fontId="12" fillId="0" borderId="0" xfId="0" applyFont="1"/>
    <xf numFmtId="10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71" fontId="2" fillId="0" borderId="0" xfId="0" applyNumberFormat="1" applyFont="1" applyAlignment="1">
      <alignment horizontal="center"/>
    </xf>
    <xf numFmtId="171" fontId="5" fillId="0" borderId="0" xfId="0" applyNumberFormat="1" applyFont="1"/>
    <xf numFmtId="171" fontId="9" fillId="0" borderId="0" xfId="0" applyNumberFormat="1" applyFont="1" applyAlignment="1">
      <alignment horizontal="center"/>
    </xf>
    <xf numFmtId="171" fontId="14" fillId="0" borderId="0" xfId="0" applyNumberFormat="1" applyFont="1" applyAlignment="1">
      <alignment horizontal="center"/>
    </xf>
    <xf numFmtId="171" fontId="14" fillId="0" borderId="0" xfId="0" quotePrefix="1" applyNumberFormat="1" applyFont="1" applyAlignment="1">
      <alignment horizontal="center"/>
    </xf>
    <xf numFmtId="171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164" fontId="3" fillId="0" borderId="0" xfId="0" quotePrefix="1" applyFont="1" applyAlignment="1">
      <alignment horizontal="left"/>
    </xf>
    <xf numFmtId="174" fontId="16" fillId="0" borderId="0" xfId="0" applyNumberFormat="1" applyFont="1" applyAlignment="1">
      <alignment horizontal="right"/>
    </xf>
    <xf numFmtId="171" fontId="9" fillId="0" borderId="0" xfId="0" applyNumberFormat="1" applyFont="1"/>
    <xf numFmtId="171" fontId="14" fillId="0" borderId="0" xfId="0" applyNumberFormat="1" applyFont="1" applyAlignment="1">
      <alignment horizontal="center" wrapText="1"/>
    </xf>
    <xf numFmtId="171" fontId="14" fillId="0" borderId="0" xfId="0" applyNumberFormat="1" applyFont="1" applyAlignment="1">
      <alignment horizontal="left"/>
    </xf>
    <xf numFmtId="171" fontId="7" fillId="0" borderId="0" xfId="0" applyNumberFormat="1" applyFont="1" applyAlignment="1">
      <alignment vertical="center"/>
    </xf>
    <xf numFmtId="171" fontId="3" fillId="0" borderId="0" xfId="0" applyNumberFormat="1" applyFont="1" applyAlignment="1">
      <alignment vertical="center"/>
    </xf>
    <xf numFmtId="164" fontId="3" fillId="0" borderId="0" xfId="0" applyFont="1" applyAlignment="1">
      <alignment vertical="center"/>
    </xf>
    <xf numFmtId="164" fontId="4" fillId="0" borderId="0" xfId="0" applyFon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tabSelected="1" workbookViewId="0">
      <selection activeCell="N18" sqref="N18"/>
    </sheetView>
  </sheetViews>
  <sheetFormatPr defaultRowHeight="13.2" x14ac:dyDescent="0.25"/>
  <cols>
    <col min="1" max="1" width="5" customWidth="1"/>
    <col min="2" max="2" width="9.33203125" customWidth="1"/>
    <col min="3" max="3" width="5" customWidth="1"/>
    <col min="4" max="4" width="15.44140625" style="144" bestFit="1" customWidth="1"/>
    <col min="6" max="6" width="13.44140625" style="144" customWidth="1"/>
  </cols>
  <sheetData>
    <row r="1" spans="1:5" x14ac:dyDescent="0.25">
      <c r="A1" s="118" t="s">
        <v>90</v>
      </c>
    </row>
    <row r="2" spans="1:5" x14ac:dyDescent="0.25">
      <c r="A2" s="118" t="s">
        <v>84</v>
      </c>
    </row>
    <row r="4" spans="1:5" x14ac:dyDescent="0.25">
      <c r="A4" s="145"/>
      <c r="B4" s="146"/>
      <c r="C4" s="147"/>
      <c r="D4" s="148" t="s">
        <v>154</v>
      </c>
    </row>
    <row r="5" spans="1:5" x14ac:dyDescent="0.25">
      <c r="A5" s="149" t="s">
        <v>85</v>
      </c>
      <c r="B5" s="150"/>
      <c r="C5" s="151"/>
      <c r="D5" s="152" t="s">
        <v>86</v>
      </c>
    </row>
    <row r="6" spans="1:5" x14ac:dyDescent="0.25">
      <c r="A6" s="153"/>
      <c r="B6" s="154"/>
      <c r="C6" s="155"/>
      <c r="D6" s="156"/>
    </row>
    <row r="7" spans="1:5" x14ac:dyDescent="0.25">
      <c r="A7" s="164"/>
      <c r="B7" s="165"/>
      <c r="C7" s="166"/>
      <c r="D7" s="167"/>
      <c r="E7" s="89"/>
    </row>
    <row r="8" spans="1:5" x14ac:dyDescent="0.25">
      <c r="A8" s="157" t="s">
        <v>89</v>
      </c>
      <c r="B8" s="118"/>
      <c r="C8" s="158"/>
      <c r="D8" s="159"/>
      <c r="E8" s="89"/>
    </row>
    <row r="9" spans="1:5" x14ac:dyDescent="0.25">
      <c r="A9" s="160"/>
      <c r="B9" s="118" t="s">
        <v>91</v>
      </c>
      <c r="C9" s="158"/>
      <c r="D9" s="159">
        <f>'Cost Per Pound'!F11</f>
        <v>4.759130537967924E-3</v>
      </c>
      <c r="E9" s="89"/>
    </row>
    <row r="10" spans="1:5" x14ac:dyDescent="0.25">
      <c r="A10" s="160"/>
      <c r="B10" s="118" t="s">
        <v>88</v>
      </c>
      <c r="C10" s="158"/>
      <c r="D10" s="159">
        <f>'Cost Per Pound'!F13</f>
        <v>3.1188290412420532E-2</v>
      </c>
      <c r="E10" s="89"/>
    </row>
    <row r="11" spans="1:5" ht="13.5" customHeight="1" x14ac:dyDescent="0.25">
      <c r="A11" s="160"/>
      <c r="B11" s="118" t="s">
        <v>87</v>
      </c>
      <c r="C11" s="158"/>
      <c r="D11" s="159">
        <f>'Cost Per Pound'!F15</f>
        <v>7.0905505908167216E-2</v>
      </c>
      <c r="E11" s="89"/>
    </row>
    <row r="12" spans="1:5" x14ac:dyDescent="0.25">
      <c r="A12" s="161"/>
      <c r="B12" s="168"/>
      <c r="C12" s="162"/>
      <c r="D12" s="163"/>
    </row>
    <row r="14" spans="1:5" x14ac:dyDescent="0.25">
      <c r="A14" s="145"/>
      <c r="B14" s="146"/>
      <c r="C14" s="147"/>
      <c r="D14" s="148" t="s">
        <v>155</v>
      </c>
    </row>
    <row r="15" spans="1:5" x14ac:dyDescent="0.25">
      <c r="A15" s="149" t="s">
        <v>85</v>
      </c>
      <c r="B15" s="150"/>
      <c r="C15" s="151"/>
      <c r="D15" s="152" t="s">
        <v>149</v>
      </c>
    </row>
    <row r="16" spans="1:5" x14ac:dyDescent="0.25">
      <c r="A16" s="153"/>
      <c r="B16" s="154"/>
      <c r="C16" s="155"/>
      <c r="D16" s="156"/>
    </row>
    <row r="17" spans="1:4" x14ac:dyDescent="0.25">
      <c r="A17" s="164"/>
      <c r="B17" s="165"/>
      <c r="C17" s="166"/>
      <c r="D17" s="167"/>
    </row>
    <row r="18" spans="1:4" x14ac:dyDescent="0.25">
      <c r="A18" s="157" t="s">
        <v>89</v>
      </c>
      <c r="B18" s="118"/>
      <c r="C18" s="158"/>
      <c r="D18" s="159"/>
    </row>
    <row r="19" spans="1:4" x14ac:dyDescent="0.25">
      <c r="A19" s="160"/>
      <c r="B19" s="118" t="s">
        <v>91</v>
      </c>
      <c r="C19" s="158"/>
      <c r="D19" s="159">
        <f>D9*(1/'Inputs 2'!$A$31)</f>
        <v>1.3595298005004849E-3</v>
      </c>
    </row>
    <row r="20" spans="1:4" x14ac:dyDescent="0.25">
      <c r="A20" s="160"/>
      <c r="B20" s="118" t="s">
        <v>88</v>
      </c>
      <c r="C20" s="158"/>
      <c r="D20" s="159">
        <f>D10*(1/'Inputs 2'!$A$31)</f>
        <v>8.9094867022609606E-3</v>
      </c>
    </row>
    <row r="21" spans="1:4" x14ac:dyDescent="0.25">
      <c r="A21" s="160"/>
      <c r="B21" s="118" t="s">
        <v>87</v>
      </c>
      <c r="C21" s="158"/>
      <c r="D21" s="159">
        <f>D11*(1/'Inputs 2'!$A$31)</f>
        <v>2.0255411683428433E-2</v>
      </c>
    </row>
    <row r="22" spans="1:4" x14ac:dyDescent="0.25">
      <c r="A22" s="161"/>
      <c r="B22" s="168"/>
      <c r="C22" s="162"/>
      <c r="D22" s="163"/>
    </row>
    <row r="24" spans="1:4" x14ac:dyDescent="0.25">
      <c r="A24" s="218" t="s">
        <v>166</v>
      </c>
    </row>
    <row r="25" spans="1:4" x14ac:dyDescent="0.25">
      <c r="A25" s="118" t="s">
        <v>156</v>
      </c>
    </row>
    <row r="26" spans="1:4" x14ac:dyDescent="0.25">
      <c r="A26" s="118" t="s">
        <v>157</v>
      </c>
    </row>
    <row r="27" spans="1:4" x14ac:dyDescent="0.25">
      <c r="A27" s="118"/>
    </row>
  </sheetData>
  <phoneticPr fontId="13" type="noConversion"/>
  <printOptions horizontalCentered="1"/>
  <pageMargins left="0.75" right="0.75" top="1" bottom="1" header="0.5" footer="0.5"/>
  <pageSetup orientation="portrait" horizontalDpi="4294967294" r:id="rId1"/>
  <headerFooter alignWithMargins="0">
    <oddHeader>&amp;R&amp;"Arial,Regular"Page 1 of 7</oddHeader>
    <oddFooter>&amp;R&amp;"Arial,Regular"&amp;F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3"/>
  <sheetViews>
    <sheetView zoomScale="80" workbookViewId="0">
      <selection activeCell="C7" sqref="C7"/>
    </sheetView>
  </sheetViews>
  <sheetFormatPr defaultColWidth="9" defaultRowHeight="13.2" x14ac:dyDescent="0.25"/>
  <cols>
    <col min="1" max="1" width="20" style="1" customWidth="1"/>
    <col min="2" max="2" width="17.44140625" style="1" customWidth="1"/>
    <col min="3" max="3" width="10.77734375" style="1" customWidth="1"/>
    <col min="4" max="4" width="3.44140625" style="12" customWidth="1"/>
    <col min="5" max="5" width="9" style="1"/>
    <col min="6" max="6" width="10.77734375" style="1" customWidth="1"/>
    <col min="7" max="7" width="3.44140625" style="1" customWidth="1"/>
    <col min="8" max="10" width="9" style="1"/>
    <col min="11" max="11" width="12.44140625" style="1" customWidth="1"/>
    <col min="12" max="16384" width="9" style="1"/>
  </cols>
  <sheetData>
    <row r="1" spans="1:11" s="4" customFormat="1" ht="15.6" x14ac:dyDescent="0.3">
      <c r="A1" s="106" t="s">
        <v>63</v>
      </c>
      <c r="B1" s="15"/>
      <c r="C1" s="15"/>
      <c r="D1" s="17"/>
      <c r="E1" s="15"/>
      <c r="F1" s="15"/>
      <c r="G1" s="15"/>
      <c r="H1" s="15"/>
      <c r="I1" s="15"/>
    </row>
    <row r="2" spans="1:11" s="4" customFormat="1" ht="15.6" x14ac:dyDescent="0.3">
      <c r="A2" s="106" t="s">
        <v>15</v>
      </c>
      <c r="B2" s="15"/>
      <c r="C2" s="15"/>
      <c r="D2" s="17"/>
      <c r="E2" s="15"/>
      <c r="F2" s="15"/>
      <c r="G2" s="15"/>
      <c r="H2" s="15"/>
      <c r="I2" s="15"/>
    </row>
    <row r="3" spans="1:11" s="4" customFormat="1" ht="15.6" x14ac:dyDescent="0.3">
      <c r="A3" s="106"/>
      <c r="B3" s="15"/>
      <c r="C3" s="15"/>
      <c r="D3" s="17"/>
      <c r="E3" s="15"/>
      <c r="F3" s="15"/>
      <c r="G3" s="15"/>
      <c r="H3" s="15"/>
      <c r="I3" s="15"/>
    </row>
    <row r="5" spans="1:11" s="5" customFormat="1" x14ac:dyDescent="0.25">
      <c r="A5" s="5" t="s">
        <v>16</v>
      </c>
      <c r="C5" s="2" t="s">
        <v>17</v>
      </c>
      <c r="D5" s="13"/>
      <c r="F5" s="2" t="s">
        <v>18</v>
      </c>
    </row>
    <row r="7" spans="1:11" x14ac:dyDescent="0.25">
      <c r="A7" s="1" t="s">
        <v>19</v>
      </c>
      <c r="C7" s="67">
        <f>SCF!$J$26</f>
        <v>7.9989563573027323E-3</v>
      </c>
      <c r="D7" s="89" t="s">
        <v>154</v>
      </c>
      <c r="E7" s="67"/>
      <c r="F7" s="67">
        <f>C7*'Inputs 2'!$A$17</f>
        <v>2.6440927774620572E-2</v>
      </c>
      <c r="G7" s="219" t="s">
        <v>155</v>
      </c>
      <c r="H7" s="67"/>
      <c r="I7" s="67"/>
      <c r="J7" s="67"/>
      <c r="K7" s="67"/>
    </row>
    <row r="8" spans="1:11" x14ac:dyDescent="0.25">
      <c r="C8" s="67"/>
      <c r="D8" s="121"/>
      <c r="E8" s="67"/>
      <c r="F8" s="67"/>
      <c r="G8" s="118"/>
      <c r="H8" s="67"/>
      <c r="I8" s="67"/>
      <c r="J8" s="67"/>
      <c r="K8" s="67"/>
    </row>
    <row r="9" spans="1:11" x14ac:dyDescent="0.25">
      <c r="A9" s="1" t="s">
        <v>119</v>
      </c>
      <c r="C9" s="67">
        <f>NDC!$I$30</f>
        <v>7.8855790953127197E-3</v>
      </c>
      <c r="D9" s="219" t="s">
        <v>158</v>
      </c>
      <c r="E9" s="67"/>
      <c r="F9" s="67">
        <f>C9*'Inputs 2'!$A$17</f>
        <v>2.6066153883921032E-2</v>
      </c>
      <c r="G9" s="89" t="s">
        <v>162</v>
      </c>
      <c r="H9" s="67"/>
      <c r="I9" s="67"/>
      <c r="J9" s="67"/>
      <c r="K9" s="67"/>
    </row>
    <row r="10" spans="1:11" x14ac:dyDescent="0.25">
      <c r="C10" s="67"/>
      <c r="D10" s="121"/>
      <c r="E10" s="67"/>
      <c r="F10" s="67"/>
      <c r="G10" s="118"/>
      <c r="H10" s="67"/>
      <c r="I10" s="67"/>
      <c r="J10" s="67"/>
      <c r="K10" s="67"/>
    </row>
    <row r="11" spans="1:11" x14ac:dyDescent="0.25">
      <c r="A11" s="1" t="s">
        <v>50</v>
      </c>
      <c r="C11" s="67">
        <f>+'Inputs 2'!$A$19*(C9-'Inputs 2'!$A$21*C7)</f>
        <v>1.4397406095731592E-3</v>
      </c>
      <c r="D11" s="89" t="s">
        <v>159</v>
      </c>
      <c r="E11" s="67"/>
      <c r="F11" s="67">
        <f>C11*'Inputs 2'!$A$17</f>
        <v>4.759130537967924E-3</v>
      </c>
      <c r="G11" s="89" t="s">
        <v>163</v>
      </c>
      <c r="H11" s="67"/>
      <c r="I11" s="67"/>
      <c r="J11" s="67"/>
      <c r="K11" s="67"/>
    </row>
    <row r="12" spans="1:11" x14ac:dyDescent="0.25">
      <c r="D12" s="89"/>
      <c r="G12" s="89"/>
      <c r="H12" s="67"/>
      <c r="I12" s="67"/>
      <c r="J12" s="67"/>
      <c r="K12" s="67"/>
    </row>
    <row r="13" spans="1:11" x14ac:dyDescent="0.25">
      <c r="A13" s="1" t="s">
        <v>20</v>
      </c>
      <c r="C13" s="67">
        <f>C9+('Inputs 2'!$A$19*'Inputs 2'!$A$22*C7)</f>
        <v>9.4351369208494056E-3</v>
      </c>
      <c r="D13" s="89" t="s">
        <v>160</v>
      </c>
      <c r="E13" s="67"/>
      <c r="F13" s="67">
        <f>C13*'Inputs 2'!$A$17</f>
        <v>3.1188290412420532E-2</v>
      </c>
      <c r="G13" s="89" t="s">
        <v>164</v>
      </c>
      <c r="H13" s="67"/>
      <c r="I13" s="67"/>
      <c r="J13" s="67"/>
      <c r="K13" s="67"/>
    </row>
    <row r="14" spans="1:11" x14ac:dyDescent="0.25">
      <c r="C14" s="67"/>
      <c r="D14" s="89"/>
      <c r="E14" s="67"/>
      <c r="F14" s="67"/>
      <c r="G14" s="89"/>
      <c r="H14" s="67"/>
      <c r="I14" s="67"/>
      <c r="J14" s="67"/>
      <c r="K14" s="67"/>
    </row>
    <row r="15" spans="1:11" x14ac:dyDescent="0.25">
      <c r="A15" s="1" t="s">
        <v>21</v>
      </c>
      <c r="C15" s="67">
        <f>C13+DU!$I$18+'Inputs 2'!$A$19*C7</f>
        <v>2.0255411683428429E-2</v>
      </c>
      <c r="D15" s="89" t="s">
        <v>161</v>
      </c>
      <c r="E15" s="67"/>
      <c r="F15" s="67">
        <f>C15*'Inputs 2'!$A$31</f>
        <v>7.0905505908167216E-2</v>
      </c>
      <c r="G15" s="89" t="s">
        <v>165</v>
      </c>
      <c r="H15" s="67"/>
      <c r="I15" s="67"/>
      <c r="J15" s="67"/>
      <c r="K15" s="67"/>
    </row>
    <row r="16" spans="1:11" ht="15.6" x14ac:dyDescent="0.25">
      <c r="C16" s="67"/>
      <c r="D16" s="14"/>
      <c r="E16" s="67"/>
      <c r="F16" s="67"/>
      <c r="G16" s="14"/>
      <c r="I16" s="67"/>
      <c r="J16" s="67"/>
      <c r="K16" s="67"/>
    </row>
    <row r="18" spans="1:6" x14ac:dyDescent="0.25">
      <c r="A18" s="218" t="s">
        <v>166</v>
      </c>
    </row>
    <row r="19" spans="1:6" x14ac:dyDescent="0.25">
      <c r="A19" s="118" t="s">
        <v>167</v>
      </c>
    </row>
    <row r="20" spans="1:6" x14ac:dyDescent="0.25">
      <c r="A20" s="118" t="s">
        <v>170</v>
      </c>
    </row>
    <row r="21" spans="1:6" x14ac:dyDescent="0.25">
      <c r="A21" s="118" t="s">
        <v>168</v>
      </c>
    </row>
    <row r="22" spans="1:6" x14ac:dyDescent="0.25">
      <c r="A22" s="118" t="s">
        <v>171</v>
      </c>
    </row>
    <row r="23" spans="1:6" x14ac:dyDescent="0.25">
      <c r="A23" s="118" t="s">
        <v>169</v>
      </c>
    </row>
    <row r="24" spans="1:6" x14ac:dyDescent="0.25">
      <c r="A24" s="118" t="s">
        <v>172</v>
      </c>
    </row>
    <row r="25" spans="1:6" x14ac:dyDescent="0.25">
      <c r="A25" s="118" t="s">
        <v>173</v>
      </c>
    </row>
    <row r="26" spans="1:6" x14ac:dyDescent="0.25">
      <c r="A26" s="118" t="s">
        <v>176</v>
      </c>
    </row>
    <row r="27" spans="1:6" x14ac:dyDescent="0.25">
      <c r="A27" s="118" t="s">
        <v>174</v>
      </c>
      <c r="C27" s="119"/>
      <c r="D27" s="120"/>
      <c r="E27" s="118"/>
      <c r="F27" s="121"/>
    </row>
    <row r="28" spans="1:6" x14ac:dyDescent="0.25">
      <c r="A28" s="118" t="s">
        <v>175</v>
      </c>
    </row>
    <row r="33" spans="5:5" x14ac:dyDescent="0.25">
      <c r="E33" s="117"/>
    </row>
  </sheetData>
  <phoneticPr fontId="13" type="noConversion"/>
  <printOptions horizontalCentered="1"/>
  <pageMargins left="1" right="0.75" top="1" bottom="1" header="0.5" footer="0.5"/>
  <pageSetup scale="94" orientation="portrait" r:id="rId1"/>
  <headerFooter alignWithMargins="0">
    <oddHeader>&amp;R&amp;"Arial,Regular"Page 2 of 7</oddHeader>
    <oddFooter>&amp;R&amp;"Arial,Regular"&amp;F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53"/>
  <sheetViews>
    <sheetView zoomScale="75" workbookViewId="0">
      <selection activeCell="A33" sqref="A33"/>
    </sheetView>
  </sheetViews>
  <sheetFormatPr defaultColWidth="9" defaultRowHeight="13.2" x14ac:dyDescent="0.25"/>
  <cols>
    <col min="1" max="1" width="12.44140625" style="1" customWidth="1"/>
    <col min="2" max="2" width="7.109375" style="1" customWidth="1"/>
    <col min="3" max="3" width="33.44140625" style="1" bestFit="1" customWidth="1"/>
    <col min="4" max="4" width="15.33203125" style="1" bestFit="1" customWidth="1"/>
    <col min="5" max="5" width="11" style="1" customWidth="1"/>
    <col min="6" max="6" width="2" style="1" customWidth="1"/>
    <col min="7" max="8" width="10.44140625" style="1" customWidth="1"/>
    <col min="9" max="9" width="12.44140625" style="142" customWidth="1"/>
    <col min="10" max="10" width="10.109375" style="143" customWidth="1"/>
    <col min="11" max="11" width="12.44140625" style="143" customWidth="1"/>
    <col min="12" max="12" width="10.44140625" style="1" customWidth="1"/>
    <col min="13" max="13" width="13.109375" style="1" customWidth="1"/>
    <col min="14" max="14" width="10.44140625" style="201" customWidth="1"/>
    <col min="15" max="16" width="9" style="3"/>
    <col min="17" max="16384" width="9" style="1"/>
  </cols>
  <sheetData>
    <row r="1" spans="1:16" ht="15.6" x14ac:dyDescent="0.3">
      <c r="A1" s="106" t="s">
        <v>63</v>
      </c>
      <c r="B1" s="15"/>
      <c r="C1" s="15"/>
      <c r="D1" s="15"/>
      <c r="E1" s="15"/>
      <c r="F1" s="15"/>
      <c r="G1" s="15"/>
      <c r="H1" s="15"/>
      <c r="I1" s="188"/>
      <c r="J1" s="186"/>
      <c r="K1" s="186"/>
      <c r="L1" s="15"/>
      <c r="M1" s="15"/>
      <c r="N1" s="195"/>
      <c r="O1" s="15"/>
      <c r="P1" s="15"/>
    </row>
    <row r="2" spans="1:16" ht="15.6" x14ac:dyDescent="0.3">
      <c r="A2" s="106" t="s">
        <v>120</v>
      </c>
      <c r="B2" s="15"/>
      <c r="C2" s="15"/>
      <c r="D2" s="15"/>
      <c r="E2" s="15"/>
      <c r="F2" s="15"/>
      <c r="G2" s="15"/>
      <c r="H2" s="15"/>
      <c r="I2" s="188"/>
      <c r="J2" s="186"/>
      <c r="K2" s="186"/>
      <c r="L2" s="15"/>
      <c r="M2" s="15"/>
      <c r="N2" s="195"/>
      <c r="O2" s="15"/>
      <c r="P2" s="15"/>
    </row>
    <row r="4" spans="1:16" x14ac:dyDescent="0.25">
      <c r="D4" s="6"/>
      <c r="E4" s="6"/>
      <c r="F4" s="6"/>
      <c r="G4" s="6"/>
      <c r="H4" s="6"/>
      <c r="I4" s="187"/>
      <c r="J4" s="187"/>
      <c r="K4" s="187"/>
      <c r="L4" s="6"/>
      <c r="M4" s="6"/>
      <c r="N4" s="196"/>
      <c r="O4" s="1"/>
    </row>
    <row r="5" spans="1:16" x14ac:dyDescent="0.25">
      <c r="A5" s="51"/>
      <c r="B5" s="52"/>
      <c r="C5" s="44"/>
      <c r="D5" s="225" t="s">
        <v>154</v>
      </c>
      <c r="E5" s="222" t="s">
        <v>155</v>
      </c>
      <c r="F5" s="223"/>
      <c r="G5" s="220" t="s">
        <v>158</v>
      </c>
      <c r="H5" s="220" t="s">
        <v>162</v>
      </c>
      <c r="I5" s="226" t="s">
        <v>159</v>
      </c>
      <c r="J5" s="226" t="s">
        <v>163</v>
      </c>
      <c r="K5" s="226" t="s">
        <v>160</v>
      </c>
      <c r="L5" s="220" t="s">
        <v>164</v>
      </c>
      <c r="M5" s="220" t="s">
        <v>161</v>
      </c>
      <c r="N5" s="227" t="s">
        <v>165</v>
      </c>
      <c r="O5" s="1"/>
    </row>
    <row r="6" spans="1:16" x14ac:dyDescent="0.25">
      <c r="A6" s="53"/>
      <c r="C6" s="54"/>
      <c r="D6" s="26" t="s">
        <v>78</v>
      </c>
      <c r="E6" s="92" t="s">
        <v>0</v>
      </c>
      <c r="F6" s="105"/>
      <c r="G6" s="3" t="s">
        <v>95</v>
      </c>
      <c r="I6" s="170" t="s">
        <v>45</v>
      </c>
      <c r="J6" s="170" t="s">
        <v>67</v>
      </c>
      <c r="K6" s="170" t="s">
        <v>121</v>
      </c>
      <c r="L6" s="136" t="s">
        <v>99</v>
      </c>
      <c r="M6" s="26" t="s">
        <v>100</v>
      </c>
      <c r="N6" s="197" t="s">
        <v>99</v>
      </c>
    </row>
    <row r="7" spans="1:16" x14ac:dyDescent="0.25">
      <c r="A7" s="55"/>
      <c r="B7" s="56"/>
      <c r="C7" s="35" t="s">
        <v>2</v>
      </c>
      <c r="D7" s="30" t="s">
        <v>122</v>
      </c>
      <c r="E7" s="35" t="s">
        <v>64</v>
      </c>
      <c r="F7" s="104"/>
      <c r="G7" s="35" t="s">
        <v>48</v>
      </c>
      <c r="H7" s="35" t="s">
        <v>66</v>
      </c>
      <c r="I7" s="171" t="s">
        <v>42</v>
      </c>
      <c r="J7" s="171" t="s">
        <v>44</v>
      </c>
      <c r="K7" s="172" t="s">
        <v>42</v>
      </c>
      <c r="L7" s="202" t="s">
        <v>96</v>
      </c>
      <c r="M7" s="30" t="s">
        <v>96</v>
      </c>
      <c r="N7" s="200" t="s">
        <v>97</v>
      </c>
      <c r="O7" s="2"/>
    </row>
    <row r="8" spans="1:16" x14ac:dyDescent="0.25">
      <c r="A8" s="57" t="s">
        <v>9</v>
      </c>
      <c r="B8" s="58" t="s">
        <v>10</v>
      </c>
      <c r="C8" s="71" t="s">
        <v>37</v>
      </c>
      <c r="D8" s="45" t="s">
        <v>14</v>
      </c>
      <c r="E8" s="122">
        <f>'Inputs 1'!$C$18</f>
        <v>199.01968431649021</v>
      </c>
      <c r="F8" s="54"/>
      <c r="G8" s="129">
        <f>'Inputs 2'!$A$10</f>
        <v>44.63262944585415</v>
      </c>
      <c r="H8" s="182">
        <f>'Inputs 2'!$A$9</f>
        <v>50.10717457546064</v>
      </c>
      <c r="I8" s="170">
        <f>'Inputs 2'!$A$25</f>
        <v>1.386023903258889</v>
      </c>
      <c r="J8" s="170">
        <f>'Inputs 2'!$A$16</f>
        <v>1.0038569312026728</v>
      </c>
      <c r="K8" s="170">
        <f>'Inputs 2'!$A$18</f>
        <v>0.97130000000000005</v>
      </c>
      <c r="L8" s="111">
        <f>K8*J8*I8*H8</f>
        <v>67.716709311150439</v>
      </c>
      <c r="M8" s="129">
        <f>E8*G8</f>
        <v>8882.771822528779</v>
      </c>
      <c r="N8" s="197">
        <f>L8/M8</f>
        <v>7.6233759758868383E-3</v>
      </c>
      <c r="O8" s="10"/>
    </row>
    <row r="9" spans="1:16" x14ac:dyDescent="0.25">
      <c r="A9" s="57"/>
      <c r="B9" s="59"/>
      <c r="C9" s="1" t="s">
        <v>32</v>
      </c>
      <c r="D9" s="60">
        <f>'Inputs 1'!$A$41</f>
        <v>0.7379</v>
      </c>
      <c r="E9" s="124">
        <f>'Inputs 1'!$C$19</f>
        <v>194.25559514992997</v>
      </c>
      <c r="F9" s="72"/>
      <c r="G9" s="133">
        <f>'Inputs 2'!$A$10</f>
        <v>44.63262944585415</v>
      </c>
      <c r="H9" s="183">
        <f>'Inputs 2'!$A$9</f>
        <v>50.10717457546064</v>
      </c>
      <c r="I9" s="189">
        <f>'Inputs 2'!$A$25</f>
        <v>1.386023903258889</v>
      </c>
      <c r="J9" s="189">
        <f>'Inputs 2'!$A$16</f>
        <v>1.0038569312026728</v>
      </c>
      <c r="K9" s="189">
        <f>'Inputs 2'!$A$18</f>
        <v>0.97130000000000005</v>
      </c>
      <c r="L9" s="112">
        <f t="shared" ref="L9:L17" si="0">K9*J9*I9*H9</f>
        <v>67.716709311150439</v>
      </c>
      <c r="M9" s="133">
        <f t="shared" ref="M9:M17" si="1">E9*G9</f>
        <v>8670.1379961106868</v>
      </c>
      <c r="N9" s="198">
        <f t="shared" ref="N9:N17" si="2">L9/M9</f>
        <v>7.8103381216685693E-3</v>
      </c>
      <c r="O9" s="10"/>
    </row>
    <row r="10" spans="1:16" x14ac:dyDescent="0.25">
      <c r="A10" s="57"/>
      <c r="B10" s="59"/>
      <c r="C10" s="1" t="s">
        <v>38</v>
      </c>
      <c r="D10" s="45">
        <f>'Inputs 1'!$A$42</f>
        <v>0.16009999999999999</v>
      </c>
      <c r="E10" s="122">
        <f>'Inputs 1'!$C$21</f>
        <v>194.25559514992997</v>
      </c>
      <c r="F10" s="54"/>
      <c r="G10" s="129">
        <f>'Inputs 2'!$A$10</f>
        <v>44.63262944585415</v>
      </c>
      <c r="H10" s="182">
        <f>'Inputs 2'!$A$9</f>
        <v>50.10717457546064</v>
      </c>
      <c r="I10" s="170">
        <f>'Inputs 2'!$A$28</f>
        <v>1.329782450145587</v>
      </c>
      <c r="J10" s="170">
        <f>'Inputs 2'!$A$16</f>
        <v>1.0038569312026728</v>
      </c>
      <c r="K10" s="170">
        <f>'Inputs 2'!$A$18</f>
        <v>0.97130000000000005</v>
      </c>
      <c r="L10" s="111">
        <f t="shared" si="0"/>
        <v>64.968931208077706</v>
      </c>
      <c r="M10" s="129">
        <f t="shared" si="1"/>
        <v>8670.1379961106868</v>
      </c>
      <c r="N10" s="197">
        <f t="shared" si="2"/>
        <v>7.4934137423443474E-3</v>
      </c>
      <c r="O10" s="10"/>
    </row>
    <row r="11" spans="1:16" ht="15.6" x14ac:dyDescent="0.25">
      <c r="A11" s="61"/>
      <c r="B11" s="58"/>
      <c r="C11" s="1" t="s">
        <v>39</v>
      </c>
      <c r="D11" s="45">
        <f>'Inputs 1'!$A$42</f>
        <v>0.16009999999999999</v>
      </c>
      <c r="E11" s="122">
        <f>'Inputs 1'!$C$20*'Inputs 1'!$A$34</f>
        <v>440.97354268987249</v>
      </c>
      <c r="F11" s="102">
        <v>1</v>
      </c>
      <c r="G11" s="129">
        <f>'Inputs 2'!$A$10</f>
        <v>44.63262944585415</v>
      </c>
      <c r="H11" s="182">
        <f>'Inputs 2'!$A$9</f>
        <v>50.10717457546064</v>
      </c>
      <c r="I11" s="170">
        <f>'Inputs 2'!$A$25</f>
        <v>1.386023903258889</v>
      </c>
      <c r="J11" s="170">
        <f>'Inputs 2'!$A$16</f>
        <v>1.0038569312026728</v>
      </c>
      <c r="K11" s="170">
        <f>'Inputs 2'!$A$18</f>
        <v>0.97130000000000005</v>
      </c>
      <c r="L11" s="111">
        <f t="shared" si="0"/>
        <v>67.716709311150439</v>
      </c>
      <c r="M11" s="129">
        <f t="shared" si="1"/>
        <v>19681.808726302625</v>
      </c>
      <c r="N11" s="197">
        <f t="shared" si="2"/>
        <v>3.4405734885866626E-3</v>
      </c>
      <c r="O11" s="10"/>
    </row>
    <row r="12" spans="1:16" x14ac:dyDescent="0.25">
      <c r="A12" s="57"/>
      <c r="B12" s="58"/>
      <c r="C12" s="1" t="s">
        <v>38</v>
      </c>
      <c r="D12" s="45">
        <f>'Inputs 1'!$A$43</f>
        <v>0.10199999999999999</v>
      </c>
      <c r="E12" s="122">
        <f>'Inputs 1'!$C$21</f>
        <v>194.25559514992997</v>
      </c>
      <c r="F12" s="54"/>
      <c r="G12" s="129">
        <f>'Inputs 2'!$A$10</f>
        <v>44.63262944585415</v>
      </c>
      <c r="H12" s="182">
        <f>'Inputs 2'!$A$9</f>
        <v>50.10717457546064</v>
      </c>
      <c r="I12" s="170">
        <f>'Inputs 2'!$A$28</f>
        <v>1.329782450145587</v>
      </c>
      <c r="J12" s="170">
        <f>'Inputs 2'!$A$16</f>
        <v>1.0038569312026728</v>
      </c>
      <c r="K12" s="170">
        <f>'Inputs 2'!$A$18</f>
        <v>0.97130000000000005</v>
      </c>
      <c r="L12" s="111">
        <f t="shared" si="0"/>
        <v>64.968931208077706</v>
      </c>
      <c r="M12" s="129">
        <f t="shared" si="1"/>
        <v>8670.1379961106868</v>
      </c>
      <c r="N12" s="197">
        <f t="shared" si="2"/>
        <v>7.4934137423443474E-3</v>
      </c>
      <c r="O12" s="10"/>
    </row>
    <row r="13" spans="1:16" x14ac:dyDescent="0.25">
      <c r="A13" s="57"/>
      <c r="B13" s="58"/>
      <c r="C13" s="1" t="s">
        <v>40</v>
      </c>
      <c r="D13" s="45">
        <f>'Inputs 1'!$A$43</f>
        <v>0.10199999999999999</v>
      </c>
      <c r="E13" s="122">
        <f>'Inputs 1'!$C$11</f>
        <v>194.25559514992997</v>
      </c>
      <c r="F13" s="54"/>
      <c r="G13" s="129">
        <f>'Inputs 2'!$A$10</f>
        <v>44.63262944585415</v>
      </c>
      <c r="H13" s="182">
        <f>'Inputs 2'!$A$9</f>
        <v>50.10717457546064</v>
      </c>
      <c r="I13" s="170">
        <f>'Inputs 2'!$A$25</f>
        <v>1.386023903258889</v>
      </c>
      <c r="J13" s="170">
        <f>'Inputs 2'!$A$16</f>
        <v>1.0038569312026728</v>
      </c>
      <c r="K13" s="170">
        <f>'Inputs 2'!$A$18</f>
        <v>0.97130000000000005</v>
      </c>
      <c r="L13" s="111">
        <f t="shared" si="0"/>
        <v>67.716709311150439</v>
      </c>
      <c r="M13" s="129">
        <f t="shared" si="1"/>
        <v>8670.1379961106868</v>
      </c>
      <c r="N13" s="197">
        <f t="shared" si="2"/>
        <v>7.8103381216685693E-3</v>
      </c>
      <c r="O13" s="10"/>
    </row>
    <row r="14" spans="1:16" x14ac:dyDescent="0.25">
      <c r="A14" s="63"/>
      <c r="B14" s="64"/>
      <c r="C14" s="70" t="s">
        <v>33</v>
      </c>
      <c r="D14" s="62" t="s">
        <v>14</v>
      </c>
      <c r="E14" s="132">
        <f>'Inputs 1'!$C$22</f>
        <v>3068.1109131264348</v>
      </c>
      <c r="F14" s="97"/>
      <c r="G14" s="130">
        <f>'Inputs 2'!$A$10</f>
        <v>44.63262944585415</v>
      </c>
      <c r="H14" s="184">
        <f>'Inputs 2'!$A$9</f>
        <v>50.10717457546064</v>
      </c>
      <c r="I14" s="190">
        <f>'Inputs 2'!A23</f>
        <v>1.6196174573049362</v>
      </c>
      <c r="J14" s="190">
        <f>'Inputs 2'!$A$16</f>
        <v>1.0038569312026728</v>
      </c>
      <c r="K14" s="190">
        <f>'Inputs 2'!$A$18</f>
        <v>0.97130000000000005</v>
      </c>
      <c r="L14" s="113">
        <f t="shared" si="0"/>
        <v>79.129345672689496</v>
      </c>
      <c r="M14" s="130">
        <f t="shared" si="1"/>
        <v>136937.85748435339</v>
      </c>
      <c r="N14" s="199">
        <f t="shared" si="2"/>
        <v>5.7784857399080362E-4</v>
      </c>
      <c r="O14" s="10"/>
    </row>
    <row r="15" spans="1:16" x14ac:dyDescent="0.25">
      <c r="A15" s="57" t="s">
        <v>13</v>
      </c>
      <c r="B15" s="58" t="s">
        <v>10</v>
      </c>
      <c r="C15" s="1" t="s">
        <v>34</v>
      </c>
      <c r="D15" s="26" t="s">
        <v>14</v>
      </c>
      <c r="E15" s="122">
        <f>'Inputs 1'!$C$15</f>
        <v>13.055966674639437</v>
      </c>
      <c r="F15" s="54"/>
      <c r="G15" s="129">
        <f>'Inputs 2'!$A$11</f>
        <v>2918.1813817715092</v>
      </c>
      <c r="H15" s="182">
        <f>'Inputs 2'!$A$9</f>
        <v>50.10717457546064</v>
      </c>
      <c r="I15" s="170">
        <f>'Inputs 2'!$A$25</f>
        <v>1.386023903258889</v>
      </c>
      <c r="J15" s="170">
        <f>'Inputs 2'!$A$16</f>
        <v>1.0038569312026728</v>
      </c>
      <c r="K15" s="170">
        <f>'Inputs 2'!$A$18</f>
        <v>0.97130000000000005</v>
      </c>
      <c r="L15" s="111">
        <f t="shared" si="0"/>
        <v>67.716709311150439</v>
      </c>
      <c r="M15" s="129">
        <f t="shared" si="1"/>
        <v>38099.678870962089</v>
      </c>
      <c r="N15" s="197">
        <f t="shared" si="2"/>
        <v>1.7773564323336373E-3</v>
      </c>
      <c r="O15" s="10"/>
    </row>
    <row r="16" spans="1:16" x14ac:dyDescent="0.25">
      <c r="A16" s="65"/>
      <c r="B16" s="46"/>
      <c r="C16" s="1" t="s">
        <v>41</v>
      </c>
      <c r="D16" s="26" t="s">
        <v>14</v>
      </c>
      <c r="E16" s="122">
        <f>'Inputs 1'!$C$23</f>
        <v>7.4909255631935219</v>
      </c>
      <c r="F16" s="54"/>
      <c r="G16" s="129">
        <f>'Inputs 2'!$A$11</f>
        <v>2918.1813817715092</v>
      </c>
      <c r="H16" s="182">
        <f>'Inputs 2'!$A$9</f>
        <v>50.10717457546064</v>
      </c>
      <c r="I16" s="170">
        <f>'Inputs 2'!A29</f>
        <v>1.51761435929636</v>
      </c>
      <c r="J16" s="170">
        <f>'Inputs 2'!$A$16</f>
        <v>1.0038569312026728</v>
      </c>
      <c r="K16" s="170">
        <f>'Inputs 2'!$A$18</f>
        <v>0.97130000000000005</v>
      </c>
      <c r="L16" s="111">
        <f t="shared" si="0"/>
        <v>74.145799486766791</v>
      </c>
      <c r="M16" s="129">
        <f t="shared" si="1"/>
        <v>21859.879510747593</v>
      </c>
      <c r="N16" s="197">
        <f t="shared" si="2"/>
        <v>3.3918667964437949E-3</v>
      </c>
      <c r="O16" s="10"/>
    </row>
    <row r="17" spans="1:15" x14ac:dyDescent="0.25">
      <c r="A17" s="66"/>
      <c r="B17" s="48"/>
      <c r="C17" s="48" t="s">
        <v>36</v>
      </c>
      <c r="D17" s="30" t="s">
        <v>14</v>
      </c>
      <c r="E17" s="125">
        <f>'Inputs 1'!$C$17</f>
        <v>14.254019794447382</v>
      </c>
      <c r="F17" s="73"/>
      <c r="G17" s="131">
        <f>'Inputs 2'!$A$11</f>
        <v>2918.1813817715092</v>
      </c>
      <c r="H17" s="185">
        <f>'Inputs 2'!$A$9</f>
        <v>50.10717457546064</v>
      </c>
      <c r="I17" s="172">
        <f>'Inputs 2'!$A$25</f>
        <v>1.386023903258889</v>
      </c>
      <c r="J17" s="172">
        <f>'Inputs 2'!$A$16</f>
        <v>1.0038569312026728</v>
      </c>
      <c r="K17" s="172">
        <f>'Inputs 2'!$A$18</f>
        <v>0.97130000000000005</v>
      </c>
      <c r="L17" s="114">
        <f t="shared" si="0"/>
        <v>67.716709311150439</v>
      </c>
      <c r="M17" s="131">
        <f t="shared" si="1"/>
        <v>41595.815179558907</v>
      </c>
      <c r="N17" s="200">
        <f t="shared" si="2"/>
        <v>1.6279692805354108E-3</v>
      </c>
      <c r="O17" s="10"/>
    </row>
    <row r="18" spans="1:15" x14ac:dyDescent="0.25">
      <c r="G18" s="3"/>
      <c r="H18" s="3"/>
      <c r="L18" s="49"/>
      <c r="M18" s="3"/>
      <c r="O18" s="10"/>
    </row>
    <row r="19" spans="1:15" x14ac:dyDescent="0.25">
      <c r="K19" s="142"/>
      <c r="L19" s="3"/>
      <c r="M19" s="3"/>
      <c r="O19" s="1"/>
    </row>
    <row r="20" spans="1:15" x14ac:dyDescent="0.25">
      <c r="A20" s="118" t="s">
        <v>73</v>
      </c>
      <c r="D20" s="9"/>
      <c r="E20" s="3"/>
      <c r="F20" s="3"/>
      <c r="G20" s="3"/>
      <c r="K20" s="142"/>
      <c r="L20" s="3"/>
      <c r="M20" s="3"/>
      <c r="O20" s="1"/>
    </row>
    <row r="21" spans="1:15" x14ac:dyDescent="0.25">
      <c r="A21" s="19"/>
      <c r="B21" s="21"/>
      <c r="C21" s="220" t="s">
        <v>177</v>
      </c>
      <c r="D21" s="221"/>
      <c r="E21" s="222" t="s">
        <v>178</v>
      </c>
      <c r="F21" s="223"/>
      <c r="G21" s="220" t="s">
        <v>179</v>
      </c>
      <c r="H21" s="220" t="s">
        <v>180</v>
      </c>
      <c r="I21" s="224" t="s">
        <v>181</v>
      </c>
      <c r="K21" s="142"/>
      <c r="L21" s="3"/>
      <c r="M21" s="3"/>
      <c r="O21" s="1"/>
    </row>
    <row r="22" spans="1:15" x14ac:dyDescent="0.25">
      <c r="A22" s="68"/>
      <c r="B22" s="37"/>
      <c r="C22" s="26"/>
      <c r="D22" s="26"/>
      <c r="E22" s="92" t="s">
        <v>76</v>
      </c>
      <c r="F22" s="37"/>
      <c r="G22" s="26" t="s">
        <v>101</v>
      </c>
      <c r="H22" s="26" t="s">
        <v>70</v>
      </c>
      <c r="I22" s="173" t="s">
        <v>98</v>
      </c>
      <c r="K22" s="142"/>
      <c r="L22" s="3"/>
      <c r="M22" s="3"/>
      <c r="O22" s="1"/>
    </row>
    <row r="23" spans="1:15" x14ac:dyDescent="0.25">
      <c r="A23" s="34"/>
      <c r="B23" s="35"/>
      <c r="C23" s="30" t="s">
        <v>74</v>
      </c>
      <c r="D23" s="30"/>
      <c r="E23" s="79" t="s">
        <v>77</v>
      </c>
      <c r="F23" s="35"/>
      <c r="G23" s="30" t="s">
        <v>102</v>
      </c>
      <c r="H23" s="30" t="s">
        <v>69</v>
      </c>
      <c r="I23" s="174" t="s">
        <v>69</v>
      </c>
      <c r="K23" s="142"/>
      <c r="L23" s="3"/>
      <c r="M23" s="3"/>
      <c r="O23" s="1"/>
    </row>
    <row r="24" spans="1:15" x14ac:dyDescent="0.25">
      <c r="A24" s="175" t="s">
        <v>9</v>
      </c>
      <c r="B24" s="37"/>
      <c r="C24" s="38">
        <f>'Inputs 2'!$A$14</f>
        <v>9.7226398404631473E-2</v>
      </c>
      <c r="D24" s="26" t="s">
        <v>24</v>
      </c>
      <c r="E24" s="93">
        <v>1</v>
      </c>
      <c r="F24" s="98"/>
      <c r="G24" s="107">
        <f>E24*C24</f>
        <v>9.7226398404631473E-2</v>
      </c>
      <c r="H24" s="179">
        <f>N8</f>
        <v>7.6233759758868383E-3</v>
      </c>
      <c r="I24" s="191">
        <f t="shared" ref="I24:I29" si="3">H24*G24</f>
        <v>7.4119338981986998E-4</v>
      </c>
      <c r="K24" s="142"/>
      <c r="L24" s="3"/>
      <c r="M24" s="3"/>
      <c r="O24" s="1"/>
    </row>
    <row r="25" spans="1:15" x14ac:dyDescent="0.25">
      <c r="A25" s="175"/>
      <c r="B25" s="37"/>
      <c r="C25" s="38"/>
      <c r="D25" s="47" t="s">
        <v>25</v>
      </c>
      <c r="E25" s="94">
        <f>D9</f>
        <v>0.7379</v>
      </c>
      <c r="F25" s="99"/>
      <c r="G25" s="115">
        <f>E25*C24</f>
        <v>7.1743359382777566E-2</v>
      </c>
      <c r="H25" s="180">
        <f>N9</f>
        <v>7.8103381216685693E-3</v>
      </c>
      <c r="I25" s="192">
        <f t="shared" si="3"/>
        <v>5.6033989476387603E-4</v>
      </c>
      <c r="K25" s="142"/>
      <c r="L25" s="3"/>
      <c r="M25" s="3"/>
      <c r="O25" s="1"/>
    </row>
    <row r="26" spans="1:15" x14ac:dyDescent="0.25">
      <c r="A26" s="175"/>
      <c r="B26" s="37"/>
      <c r="C26" s="38"/>
      <c r="D26" s="26" t="s">
        <v>26</v>
      </c>
      <c r="E26" s="93">
        <f>D10</f>
        <v>0.16009999999999999</v>
      </c>
      <c r="F26" s="98"/>
      <c r="G26" s="107">
        <f>E26*C24</f>
        <v>1.5565946384581497E-2</v>
      </c>
      <c r="H26" s="180">
        <f>N11+N10</f>
        <v>1.093398723093101E-2</v>
      </c>
      <c r="I26" s="191">
        <f t="shared" si="3"/>
        <v>1.7019785900637081E-4</v>
      </c>
      <c r="K26" s="142"/>
      <c r="L26" s="3"/>
      <c r="M26" s="3"/>
      <c r="O26" s="1"/>
    </row>
    <row r="27" spans="1:15" x14ac:dyDescent="0.25">
      <c r="A27" s="175"/>
      <c r="B27" s="37"/>
      <c r="C27" s="38"/>
      <c r="D27" s="29" t="s">
        <v>27</v>
      </c>
      <c r="E27" s="95">
        <f>D12</f>
        <v>0.10199999999999999</v>
      </c>
      <c r="F27" s="100"/>
      <c r="G27" s="108">
        <f>E27*C24</f>
        <v>9.9170926372724091E-3</v>
      </c>
      <c r="H27" s="180">
        <f>N12+N13</f>
        <v>1.5303751864012918E-2</v>
      </c>
      <c r="I27" s="193">
        <f t="shared" si="3"/>
        <v>1.5176872493324642E-4</v>
      </c>
      <c r="K27" s="142"/>
      <c r="L27" s="3"/>
      <c r="M27" s="3"/>
      <c r="O27" s="1"/>
    </row>
    <row r="28" spans="1:15" x14ac:dyDescent="0.25">
      <c r="A28" s="176"/>
      <c r="B28" s="39"/>
      <c r="C28" s="40"/>
      <c r="D28" s="29" t="s">
        <v>12</v>
      </c>
      <c r="E28" s="95">
        <v>1</v>
      </c>
      <c r="F28" s="100"/>
      <c r="G28" s="108">
        <f>E28*C24</f>
        <v>9.7226398404631473E-2</v>
      </c>
      <c r="H28" s="180">
        <f>N14</f>
        <v>5.7784857399080362E-4</v>
      </c>
      <c r="I28" s="193">
        <f t="shared" si="3"/>
        <v>5.6182135672378041E-5</v>
      </c>
      <c r="K28" s="142"/>
      <c r="L28" s="3"/>
      <c r="M28" s="3"/>
      <c r="O28" s="1"/>
    </row>
    <row r="29" spans="1:15" x14ac:dyDescent="0.25">
      <c r="A29" s="175" t="s">
        <v>13</v>
      </c>
      <c r="B29" s="37"/>
      <c r="C29" s="38">
        <f>'Inputs 2'!$A$15</f>
        <v>0.9130088757401339</v>
      </c>
      <c r="D29" s="45" t="s">
        <v>23</v>
      </c>
      <c r="E29" s="93">
        <v>1</v>
      </c>
      <c r="F29" s="98"/>
      <c r="G29" s="107">
        <f>E29*C29</f>
        <v>0.9130088757401339</v>
      </c>
      <c r="H29" s="181">
        <f>N17+N16+N15</f>
        <v>6.7971925093128433E-3</v>
      </c>
      <c r="I29" s="191">
        <f t="shared" si="3"/>
        <v>6.2058970911169787E-3</v>
      </c>
      <c r="K29" s="142"/>
      <c r="L29" s="3"/>
      <c r="M29" s="3"/>
      <c r="O29" s="1"/>
    </row>
    <row r="30" spans="1:15" x14ac:dyDescent="0.25">
      <c r="A30" s="177" t="s">
        <v>22</v>
      </c>
      <c r="B30" s="103"/>
      <c r="C30" s="50">
        <f>C29+C24</f>
        <v>1.0102352741447653</v>
      </c>
      <c r="D30" s="33"/>
      <c r="E30" s="96"/>
      <c r="F30" s="101"/>
      <c r="G30" s="116"/>
      <c r="H30" s="18"/>
      <c r="I30" s="194">
        <f>SUM(I24:I29)</f>
        <v>7.8855790953127197E-3</v>
      </c>
      <c r="K30" s="142"/>
      <c r="L30" s="3"/>
      <c r="M30" s="3"/>
      <c r="O30" s="1"/>
    </row>
    <row r="31" spans="1:15" x14ac:dyDescent="0.25">
      <c r="D31" s="9"/>
      <c r="K31" s="142"/>
      <c r="L31" s="3"/>
      <c r="M31" s="3"/>
      <c r="O31" s="1"/>
    </row>
    <row r="32" spans="1:15" x14ac:dyDescent="0.25">
      <c r="A32" s="118" t="s">
        <v>71</v>
      </c>
      <c r="K32" s="142"/>
      <c r="L32" s="3"/>
      <c r="M32" s="3"/>
      <c r="O32" s="1"/>
    </row>
    <row r="33" spans="1:15" ht="15.6" x14ac:dyDescent="0.25">
      <c r="A33" s="178">
        <f>I30*'Inputs 2'!A17</f>
        <v>2.6066153883921032E-2</v>
      </c>
      <c r="B33" s="7">
        <v>2</v>
      </c>
      <c r="K33" s="142"/>
      <c r="L33" s="3"/>
      <c r="M33" s="3"/>
      <c r="O33" s="1"/>
    </row>
    <row r="34" spans="1:15" x14ac:dyDescent="0.25">
      <c r="K34" s="142"/>
      <c r="L34" s="3"/>
      <c r="M34" s="3"/>
      <c r="O34" s="1"/>
    </row>
    <row r="35" spans="1:15" ht="15.6" x14ac:dyDescent="0.25">
      <c r="A35" s="11" t="s">
        <v>202</v>
      </c>
    </row>
    <row r="36" spans="1:15" ht="15.6" x14ac:dyDescent="0.25">
      <c r="A36" s="11" t="s">
        <v>201</v>
      </c>
    </row>
    <row r="38" spans="1:15" x14ac:dyDescent="0.25">
      <c r="A38" s="218" t="s">
        <v>166</v>
      </c>
    </row>
    <row r="39" spans="1:15" x14ac:dyDescent="0.25">
      <c r="A39" s="118" t="s">
        <v>182</v>
      </c>
      <c r="B39" s="118" t="s">
        <v>151</v>
      </c>
    </row>
    <row r="40" spans="1:15" x14ac:dyDescent="0.25">
      <c r="A40" s="118" t="s">
        <v>183</v>
      </c>
      <c r="B40" s="118" t="s">
        <v>151</v>
      </c>
    </row>
    <row r="41" spans="1:15" x14ac:dyDescent="0.25">
      <c r="A41" s="118" t="s">
        <v>184</v>
      </c>
      <c r="B41" s="118" t="s">
        <v>152</v>
      </c>
    </row>
    <row r="42" spans="1:15" x14ac:dyDescent="0.25">
      <c r="A42" s="118" t="s">
        <v>185</v>
      </c>
      <c r="B42" s="118" t="s">
        <v>152</v>
      </c>
    </row>
    <row r="43" spans="1:15" x14ac:dyDescent="0.25">
      <c r="A43" s="118" t="s">
        <v>186</v>
      </c>
      <c r="B43" s="118" t="s">
        <v>152</v>
      </c>
    </row>
    <row r="44" spans="1:15" x14ac:dyDescent="0.25">
      <c r="A44" s="118" t="s">
        <v>187</v>
      </c>
      <c r="B44" s="118" t="s">
        <v>152</v>
      </c>
    </row>
    <row r="45" spans="1:15" x14ac:dyDescent="0.25">
      <c r="A45" s="118" t="s">
        <v>188</v>
      </c>
      <c r="B45" s="118" t="s">
        <v>152</v>
      </c>
    </row>
    <row r="46" spans="1:15" x14ac:dyDescent="0.25">
      <c r="A46" s="118" t="s">
        <v>189</v>
      </c>
      <c r="B46" s="118" t="s">
        <v>103</v>
      </c>
    </row>
    <row r="47" spans="1:15" x14ac:dyDescent="0.25">
      <c r="A47" s="118" t="s">
        <v>190</v>
      </c>
      <c r="B47" s="118" t="s">
        <v>104</v>
      </c>
    </row>
    <row r="48" spans="1:15" x14ac:dyDescent="0.25">
      <c r="A48" s="118" t="s">
        <v>191</v>
      </c>
      <c r="B48" s="118" t="s">
        <v>105</v>
      </c>
    </row>
    <row r="49" spans="1:2" x14ac:dyDescent="0.25">
      <c r="A49" s="118" t="s">
        <v>192</v>
      </c>
      <c r="B49" s="118" t="s">
        <v>152</v>
      </c>
    </row>
    <row r="50" spans="1:2" x14ac:dyDescent="0.25">
      <c r="A50" s="118" t="s">
        <v>193</v>
      </c>
      <c r="B50" s="118" t="str">
        <f>"(1)"</f>
        <v>(1)</v>
      </c>
    </row>
    <row r="51" spans="1:2" x14ac:dyDescent="0.25">
      <c r="A51" s="118" t="s">
        <v>194</v>
      </c>
      <c r="B51" s="118" t="s">
        <v>106</v>
      </c>
    </row>
    <row r="52" spans="1:2" x14ac:dyDescent="0.25">
      <c r="A52" s="118" t="s">
        <v>195</v>
      </c>
      <c r="B52" s="118" t="str">
        <f>"(10)"</f>
        <v>(10)</v>
      </c>
    </row>
    <row r="53" spans="1:2" x14ac:dyDescent="0.25">
      <c r="A53" s="118" t="s">
        <v>196</v>
      </c>
      <c r="B53" s="118" t="s">
        <v>107</v>
      </c>
    </row>
  </sheetData>
  <phoneticPr fontId="13" type="noConversion"/>
  <printOptions horizontalCentered="1"/>
  <pageMargins left="1" right="0.75" top="1" bottom="1" header="0.5" footer="0.5"/>
  <pageSetup scale="51" orientation="portrait" r:id="rId1"/>
  <headerFooter alignWithMargins="0">
    <oddHeader>&amp;R&amp;"Arial,Regular"Page 3 of 7</oddHeader>
    <oddFooter>&amp;R&amp;"Arial,Regular"&amp;F</oddFooter>
  </headerFooter>
  <ignoredErrors>
    <ignoredError sqref="I10:I16 E1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P48"/>
  <sheetViews>
    <sheetView zoomScale="75" workbookViewId="0">
      <selection activeCell="R15" sqref="R15"/>
    </sheetView>
  </sheetViews>
  <sheetFormatPr defaultColWidth="9" defaultRowHeight="13.2" x14ac:dyDescent="0.25"/>
  <cols>
    <col min="1" max="1" width="12.44140625" style="1" customWidth="1"/>
    <col min="2" max="2" width="2" style="1" customWidth="1"/>
    <col min="3" max="3" width="11.21875" style="1" customWidth="1"/>
    <col min="4" max="4" width="34.21875" style="1" customWidth="1"/>
    <col min="5" max="5" width="12.21875" style="1" customWidth="1"/>
    <col min="6" max="6" width="1.77734375" style="1" customWidth="1"/>
    <col min="7" max="7" width="12.44140625" style="1" customWidth="1"/>
    <col min="8" max="8" width="11.44140625" style="1" customWidth="1"/>
    <col min="9" max="9" width="10.77734375" style="1" customWidth="1"/>
    <col min="10" max="10" width="12.44140625" style="143" customWidth="1"/>
    <col min="11" max="11" width="13.44140625" style="1" customWidth="1"/>
    <col min="12" max="12" width="11.44140625" style="1" customWidth="1"/>
    <col min="13" max="13" width="8.44140625" style="1" customWidth="1"/>
    <col min="14" max="14" width="1.77734375" style="1" customWidth="1"/>
    <col min="15" max="16" width="9" style="3"/>
    <col min="17" max="16384" width="9" style="1"/>
  </cols>
  <sheetData>
    <row r="1" spans="1:16" ht="15.6" x14ac:dyDescent="0.3">
      <c r="A1" s="106" t="s">
        <v>63</v>
      </c>
      <c r="B1" s="16"/>
      <c r="C1" s="16"/>
      <c r="D1" s="16"/>
      <c r="E1" s="16"/>
      <c r="F1" s="16"/>
      <c r="G1" s="16"/>
      <c r="H1" s="16"/>
      <c r="I1" s="16"/>
      <c r="J1" s="169"/>
      <c r="K1" s="16"/>
      <c r="L1" s="16"/>
      <c r="M1" s="16"/>
      <c r="N1" s="16"/>
      <c r="O1" s="16"/>
      <c r="P1" s="16"/>
    </row>
    <row r="2" spans="1:16" ht="15.6" x14ac:dyDescent="0.3">
      <c r="A2" s="106" t="s">
        <v>79</v>
      </c>
      <c r="B2" s="16"/>
      <c r="C2" s="16"/>
      <c r="D2" s="16"/>
      <c r="E2" s="16"/>
      <c r="F2" s="16"/>
      <c r="G2" s="16"/>
      <c r="H2" s="16"/>
      <c r="I2" s="16"/>
      <c r="J2" s="169"/>
      <c r="K2" s="16"/>
      <c r="L2" s="16"/>
      <c r="M2" s="16"/>
      <c r="N2" s="16"/>
      <c r="O2" s="16"/>
      <c r="P2" s="16"/>
    </row>
    <row r="5" spans="1:16" x14ac:dyDescent="0.25">
      <c r="A5" s="19"/>
      <c r="B5" s="20"/>
      <c r="C5" s="20"/>
      <c r="D5" s="21"/>
      <c r="E5" s="222" t="s">
        <v>154</v>
      </c>
      <c r="F5" s="223"/>
      <c r="G5" s="220" t="s">
        <v>155</v>
      </c>
      <c r="H5" s="220" t="s">
        <v>158</v>
      </c>
      <c r="I5" s="220" t="s">
        <v>162</v>
      </c>
      <c r="J5" s="226" t="s">
        <v>159</v>
      </c>
      <c r="K5" s="220" t="s">
        <v>163</v>
      </c>
      <c r="L5" s="220" t="s">
        <v>160</v>
      </c>
      <c r="M5" s="228" t="s">
        <v>164</v>
      </c>
      <c r="N5"/>
    </row>
    <row r="6" spans="1:16" x14ac:dyDescent="0.25">
      <c r="A6" s="68"/>
      <c r="B6" s="3"/>
      <c r="C6" s="3"/>
      <c r="D6" s="37"/>
      <c r="E6" s="92" t="s">
        <v>0</v>
      </c>
      <c r="F6" s="37"/>
      <c r="G6" s="3" t="s">
        <v>100</v>
      </c>
      <c r="I6" s="26" t="s">
        <v>45</v>
      </c>
      <c r="J6" s="170" t="s">
        <v>67</v>
      </c>
      <c r="K6" s="26" t="s">
        <v>99</v>
      </c>
      <c r="L6" s="26" t="s">
        <v>100</v>
      </c>
      <c r="M6" s="134" t="s">
        <v>99</v>
      </c>
      <c r="N6"/>
    </row>
    <row r="7" spans="1:16" x14ac:dyDescent="0.25">
      <c r="A7" s="34"/>
      <c r="B7" s="85"/>
      <c r="C7" s="24"/>
      <c r="D7" s="88" t="s">
        <v>2</v>
      </c>
      <c r="E7" s="35" t="s">
        <v>64</v>
      </c>
      <c r="F7" s="104"/>
      <c r="G7" s="35" t="s">
        <v>48</v>
      </c>
      <c r="H7" s="35" t="s">
        <v>66</v>
      </c>
      <c r="I7" s="35" t="s">
        <v>42</v>
      </c>
      <c r="J7" s="171" t="s">
        <v>44</v>
      </c>
      <c r="K7" s="35" t="s">
        <v>96</v>
      </c>
      <c r="L7" s="35" t="s">
        <v>96</v>
      </c>
      <c r="M7" s="135" t="s">
        <v>97</v>
      </c>
      <c r="N7"/>
    </row>
    <row r="8" spans="1:16" ht="15.6" x14ac:dyDescent="0.25">
      <c r="A8" s="175" t="s">
        <v>9</v>
      </c>
      <c r="B8" s="74"/>
      <c r="C8" s="25" t="s">
        <v>10</v>
      </c>
      <c r="D8" s="69" t="s">
        <v>28</v>
      </c>
      <c r="E8" s="123">
        <f>'Inputs 1'!C9</f>
        <v>158.99528426000782</v>
      </c>
      <c r="F8" s="54"/>
      <c r="G8" s="126">
        <f>'Inputs 2'!$A$10</f>
        <v>44.63262944585415</v>
      </c>
      <c r="H8" s="210">
        <f>'Inputs 2'!$A$9</f>
        <v>50.10717457546064</v>
      </c>
      <c r="I8" s="170">
        <f>'Inputs 2'!$A$26</f>
        <v>1.3606061934437479</v>
      </c>
      <c r="J8" s="170">
        <f>'Inputs 2'!$A$30</f>
        <v>1.0040239548458021</v>
      </c>
      <c r="K8" s="182">
        <f>J8*I8*H8</f>
        <v>68.450469740323157</v>
      </c>
      <c r="L8" s="129">
        <f>E8*G8</f>
        <v>7096.3776060151758</v>
      </c>
      <c r="M8" s="213">
        <f>K8/L8</f>
        <v>9.6458324994292549E-3</v>
      </c>
      <c r="N8" s="7"/>
    </row>
    <row r="9" spans="1:16" ht="15.6" x14ac:dyDescent="0.25">
      <c r="A9" s="203"/>
      <c r="B9" s="37"/>
      <c r="C9" s="27"/>
      <c r="D9" s="46" t="s">
        <v>29</v>
      </c>
      <c r="E9" s="122">
        <f>'Inputs 1'!C10*'Inputs 1'!A33</f>
        <v>578.04965501069535</v>
      </c>
      <c r="F9" s="84">
        <v>1</v>
      </c>
      <c r="G9" s="126">
        <f>'Inputs 2'!$A$10</f>
        <v>44.63262944585415</v>
      </c>
      <c r="H9" s="210">
        <f>'Inputs 2'!$A$9</f>
        <v>50.10717457546064</v>
      </c>
      <c r="I9" s="170">
        <f>'Inputs 2'!A26</f>
        <v>1.3606061934437479</v>
      </c>
      <c r="J9" s="170">
        <f>'Inputs 2'!$A$30</f>
        <v>1.0040239548458021</v>
      </c>
      <c r="K9" s="182">
        <f t="shared" ref="K9:K16" si="0">J9*I9*H9</f>
        <v>68.450469740323157</v>
      </c>
      <c r="L9" s="129">
        <f t="shared" ref="L9:L16" si="1">E9*G9</f>
        <v>25799.876053396194</v>
      </c>
      <c r="M9" s="213">
        <f t="shared" ref="M9:M16" si="2">K9/L9</f>
        <v>2.653131728177919E-3</v>
      </c>
      <c r="N9" s="7"/>
    </row>
    <row r="10" spans="1:16" ht="15.6" x14ac:dyDescent="0.25">
      <c r="A10" s="203"/>
      <c r="B10" s="37"/>
      <c r="C10" s="28"/>
      <c r="D10" s="70" t="s">
        <v>30</v>
      </c>
      <c r="E10" s="122">
        <f>'Inputs 1'!C11</f>
        <v>194.25559514992997</v>
      </c>
      <c r="F10" s="54"/>
      <c r="G10" s="126">
        <f>'Inputs 2'!$A$10</f>
        <v>44.63262944585415</v>
      </c>
      <c r="H10" s="210">
        <f>'Inputs 2'!$A$9</f>
        <v>50.10717457546064</v>
      </c>
      <c r="I10" s="170">
        <f>'Inputs 2'!A26</f>
        <v>1.3606061934437479</v>
      </c>
      <c r="J10" s="170">
        <f>'Inputs 2'!$A$30</f>
        <v>1.0040239548458021</v>
      </c>
      <c r="K10" s="184">
        <f t="shared" si="0"/>
        <v>68.450469740323157</v>
      </c>
      <c r="L10" s="130">
        <f t="shared" si="1"/>
        <v>8670.1379961106868</v>
      </c>
      <c r="M10" s="214">
        <f t="shared" si="2"/>
        <v>7.8949688887338543E-3</v>
      </c>
      <c r="N10" s="7"/>
    </row>
    <row r="11" spans="1:16" x14ac:dyDescent="0.25">
      <c r="A11" s="204"/>
      <c r="B11" s="86"/>
      <c r="C11" s="25" t="s">
        <v>11</v>
      </c>
      <c r="D11" s="46" t="s">
        <v>31</v>
      </c>
      <c r="E11" s="124">
        <f>'Inputs 1'!C12</f>
        <v>192.9562468217494</v>
      </c>
      <c r="F11" s="72"/>
      <c r="G11" s="127">
        <f>'Inputs 2'!$A$10</f>
        <v>44.63262944585415</v>
      </c>
      <c r="H11" s="211">
        <f>'Inputs 2'!$A$9</f>
        <v>50.10717457546064</v>
      </c>
      <c r="I11" s="189">
        <f>'Inputs 2'!$A$26</f>
        <v>1.3606061934437479</v>
      </c>
      <c r="J11" s="170">
        <f>'Inputs 2'!$A$30</f>
        <v>1.0040239548458021</v>
      </c>
      <c r="K11" s="182">
        <f t="shared" si="0"/>
        <v>68.450469740323157</v>
      </c>
      <c r="L11" s="129">
        <f t="shared" si="1"/>
        <v>8612.144663657913</v>
      </c>
      <c r="M11" s="213">
        <f t="shared" si="2"/>
        <v>7.9481328302780253E-3</v>
      </c>
    </row>
    <row r="12" spans="1:16" x14ac:dyDescent="0.25">
      <c r="A12" s="203"/>
      <c r="B12" s="37"/>
      <c r="C12" s="26"/>
      <c r="D12" s="46" t="s">
        <v>32</v>
      </c>
      <c r="E12" s="122">
        <f>'Inputs 1'!C13</f>
        <v>188.33730288029599</v>
      </c>
      <c r="F12" s="54"/>
      <c r="G12" s="126">
        <f>'Inputs 2'!$A$10</f>
        <v>44.63262944585415</v>
      </c>
      <c r="H12" s="210">
        <f>'Inputs 2'!$A$9</f>
        <v>50.10717457546064</v>
      </c>
      <c r="I12" s="170">
        <f>'Inputs 2'!$A$26</f>
        <v>1.3606061934437479</v>
      </c>
      <c r="J12" s="170">
        <f>'Inputs 2'!$A$30</f>
        <v>1.0040239548458021</v>
      </c>
      <c r="K12" s="182">
        <f t="shared" si="0"/>
        <v>68.450469740323157</v>
      </c>
      <c r="L12" s="129">
        <f t="shared" si="1"/>
        <v>8405.9890502878498</v>
      </c>
      <c r="M12" s="213">
        <f t="shared" si="2"/>
        <v>8.1430595889223981E-3</v>
      </c>
    </row>
    <row r="13" spans="1:16" x14ac:dyDescent="0.25">
      <c r="A13" s="205"/>
      <c r="B13" s="35"/>
      <c r="C13" s="30"/>
      <c r="D13" s="48" t="s">
        <v>33</v>
      </c>
      <c r="E13" s="125">
        <f>'Inputs 1'!C14</f>
        <v>2969.1221780538531</v>
      </c>
      <c r="F13" s="73"/>
      <c r="G13" s="128">
        <f>'Inputs 2'!$A$10</f>
        <v>44.63262944585415</v>
      </c>
      <c r="H13" s="212">
        <f>'Inputs 2'!$A$9</f>
        <v>50.10717457546064</v>
      </c>
      <c r="I13" s="172">
        <f>'Inputs 2'!A24</f>
        <v>1.5773008471152119</v>
      </c>
      <c r="J13" s="172">
        <f>'Inputs 2'!$A$30</f>
        <v>1.0040239548458021</v>
      </c>
      <c r="K13" s="185">
        <f t="shared" si="0"/>
        <v>79.352118509454385</v>
      </c>
      <c r="L13" s="131">
        <f t="shared" si="1"/>
        <v>132519.72995254502</v>
      </c>
      <c r="M13" s="215">
        <f t="shared" si="2"/>
        <v>5.9879474956574523E-4</v>
      </c>
    </row>
    <row r="14" spans="1:16" x14ac:dyDescent="0.25">
      <c r="A14" s="175" t="s">
        <v>13</v>
      </c>
      <c r="B14" s="74"/>
      <c r="C14" s="25" t="s">
        <v>10</v>
      </c>
      <c r="D14" s="46" t="s">
        <v>34</v>
      </c>
      <c r="E14" s="122">
        <f>'Inputs 1'!C15</f>
        <v>13.055966674639437</v>
      </c>
      <c r="F14" s="54"/>
      <c r="G14" s="126">
        <f>'Inputs 2'!$A$11</f>
        <v>2918.1813817715092</v>
      </c>
      <c r="H14" s="210">
        <f>'Inputs 2'!$A$9</f>
        <v>50.10717457546064</v>
      </c>
      <c r="I14" s="170">
        <f>'Inputs 2'!$A$26</f>
        <v>1.3606061934437479</v>
      </c>
      <c r="J14" s="170">
        <f>'Inputs 2'!$A$30</f>
        <v>1.0040239548458021</v>
      </c>
      <c r="K14" s="182">
        <f t="shared" si="0"/>
        <v>68.450469740323157</v>
      </c>
      <c r="L14" s="129">
        <f t="shared" si="1"/>
        <v>38099.678870962089</v>
      </c>
      <c r="M14" s="213">
        <f t="shared" si="2"/>
        <v>1.7966153985747402E-3</v>
      </c>
    </row>
    <row r="15" spans="1:16" x14ac:dyDescent="0.25">
      <c r="A15" s="203"/>
      <c r="B15" s="37"/>
      <c r="C15" s="26"/>
      <c r="D15" s="46" t="s">
        <v>35</v>
      </c>
      <c r="E15" s="122">
        <f>'Inputs 1'!C16</f>
        <v>7.3074201671163372</v>
      </c>
      <c r="F15" s="54"/>
      <c r="G15" s="126">
        <f>'Inputs 2'!$A$11</f>
        <v>2918.1813817715092</v>
      </c>
      <c r="H15" s="210">
        <f>'Inputs 2'!$A$9</f>
        <v>50.10717457546064</v>
      </c>
      <c r="I15" s="170">
        <f>'Inputs 2'!A26</f>
        <v>1.3606061934437479</v>
      </c>
      <c r="J15" s="170">
        <f>'Inputs 2'!$A$30</f>
        <v>1.0040239548458021</v>
      </c>
      <c r="K15" s="182">
        <f t="shared" si="0"/>
        <v>68.450469740323157</v>
      </c>
      <c r="L15" s="129">
        <f t="shared" si="1"/>
        <v>21324.377480460545</v>
      </c>
      <c r="M15" s="213">
        <f t="shared" si="2"/>
        <v>3.2099633296701902E-3</v>
      </c>
    </row>
    <row r="16" spans="1:16" x14ac:dyDescent="0.25">
      <c r="A16" s="205"/>
      <c r="B16" s="35"/>
      <c r="C16" s="30"/>
      <c r="D16" s="48" t="s">
        <v>36</v>
      </c>
      <c r="E16" s="125">
        <f>'Inputs 1'!C17</f>
        <v>14.254019794447382</v>
      </c>
      <c r="F16" s="73"/>
      <c r="G16" s="128">
        <f>'Inputs 2'!$A$11</f>
        <v>2918.1813817715092</v>
      </c>
      <c r="H16" s="212">
        <f>'Inputs 2'!$A$9</f>
        <v>50.10717457546064</v>
      </c>
      <c r="I16" s="172">
        <f>'Inputs 2'!$A$26</f>
        <v>1.3606061934437479</v>
      </c>
      <c r="J16" s="172">
        <f>'Inputs 2'!$A$30</f>
        <v>1.0040239548458021</v>
      </c>
      <c r="K16" s="185">
        <f t="shared" si="0"/>
        <v>68.450469740323157</v>
      </c>
      <c r="L16" s="131">
        <f t="shared" si="1"/>
        <v>41595.815179558907</v>
      </c>
      <c r="M16" s="215">
        <f t="shared" si="2"/>
        <v>1.6456095269401336E-3</v>
      </c>
    </row>
    <row r="17" spans="1:14" x14ac:dyDescent="0.25">
      <c r="A17" s="117"/>
      <c r="G17" s="3"/>
      <c r="H17" s="31"/>
      <c r="I17" s="142"/>
      <c r="K17" s="8"/>
      <c r="L17" s="8"/>
      <c r="M17" s="9"/>
    </row>
    <row r="18" spans="1:14" x14ac:dyDescent="0.25">
      <c r="A18" s="117"/>
      <c r="E18" s="9"/>
      <c r="F18" s="9"/>
      <c r="G18" s="3"/>
      <c r="H18" s="3"/>
      <c r="I18" s="142"/>
      <c r="K18" s="8"/>
      <c r="L18" s="8"/>
      <c r="M18" s="9"/>
    </row>
    <row r="19" spans="1:14" x14ac:dyDescent="0.25">
      <c r="A19" s="206" t="s">
        <v>73</v>
      </c>
      <c r="E19" s="9"/>
      <c r="F19" s="9"/>
      <c r="G19" s="3"/>
      <c r="H19" s="3"/>
      <c r="I19" s="142"/>
      <c r="K19" s="8"/>
      <c r="L19" s="8"/>
      <c r="M19" s="9"/>
    </row>
    <row r="20" spans="1:14" x14ac:dyDescent="0.25">
      <c r="A20" s="207"/>
      <c r="B20" s="20"/>
      <c r="C20" s="20"/>
      <c r="D20" s="229" t="s">
        <v>161</v>
      </c>
      <c r="E20" s="230"/>
      <c r="F20" s="230"/>
      <c r="G20" s="229" t="s">
        <v>165</v>
      </c>
      <c r="H20" s="229" t="s">
        <v>177</v>
      </c>
      <c r="I20" s="231" t="s">
        <v>178</v>
      </c>
      <c r="J20" s="232" t="s">
        <v>179</v>
      </c>
      <c r="K20" s="8"/>
      <c r="L20" s="8"/>
      <c r="M20" s="9"/>
    </row>
    <row r="21" spans="1:14" x14ac:dyDescent="0.25">
      <c r="A21" s="203"/>
      <c r="B21" s="3"/>
      <c r="C21" s="37"/>
      <c r="D21" s="26"/>
      <c r="E21" s="92"/>
      <c r="F21" s="37"/>
      <c r="G21" s="26" t="s">
        <v>109</v>
      </c>
      <c r="H21" s="26" t="s">
        <v>68</v>
      </c>
      <c r="I21" s="170" t="s">
        <v>70</v>
      </c>
      <c r="J21" s="173" t="s">
        <v>98</v>
      </c>
      <c r="K21" s="9"/>
      <c r="L21" s="9"/>
      <c r="N21" s="3"/>
    </row>
    <row r="22" spans="1:14" x14ac:dyDescent="0.25">
      <c r="A22" s="205"/>
      <c r="B22" s="88"/>
      <c r="C22" s="35"/>
      <c r="D22" s="30" t="s">
        <v>74</v>
      </c>
      <c r="E22" s="79"/>
      <c r="F22" s="35"/>
      <c r="G22" s="30" t="s">
        <v>75</v>
      </c>
      <c r="H22" s="30" t="s">
        <v>72</v>
      </c>
      <c r="I22" s="172" t="s">
        <v>69</v>
      </c>
      <c r="J22" s="174" t="s">
        <v>69</v>
      </c>
      <c r="K22" s="9"/>
    </row>
    <row r="23" spans="1:14" x14ac:dyDescent="0.25">
      <c r="A23" s="175" t="s">
        <v>9</v>
      </c>
      <c r="B23" s="89"/>
      <c r="C23" s="37"/>
      <c r="D23" s="38">
        <f>'Inputs 2'!$A$14</f>
        <v>9.7226398404631473E-2</v>
      </c>
      <c r="E23" s="80" t="s">
        <v>23</v>
      </c>
      <c r="F23" s="74"/>
      <c r="G23" s="38">
        <f>'Inputs 2'!A13</f>
        <v>0.88865096359743045</v>
      </c>
      <c r="H23" s="107">
        <f>G23*D23</f>
        <v>8.6400332629383431E-2</v>
      </c>
      <c r="I23" s="182">
        <f>SUM(M8:M10)</f>
        <v>2.0193933116341028E-2</v>
      </c>
      <c r="J23" s="213">
        <f>I23*H23</f>
        <v>1.7447625383473864E-3</v>
      </c>
      <c r="K23" s="9"/>
      <c r="L23" s="9"/>
      <c r="N23" s="3"/>
    </row>
    <row r="24" spans="1:14" x14ac:dyDescent="0.25">
      <c r="A24" s="208"/>
      <c r="B24" s="90"/>
      <c r="C24" s="39"/>
      <c r="D24" s="40"/>
      <c r="E24" s="81" t="s">
        <v>11</v>
      </c>
      <c r="F24" s="75"/>
      <c r="G24" s="40">
        <f>'Inputs 2'!A12</f>
        <v>0.11134903640256959</v>
      </c>
      <c r="H24" s="108">
        <f>G24*D23</f>
        <v>1.0826065775248044E-2</v>
      </c>
      <c r="I24" s="184">
        <f>SUM(M11:M13)</f>
        <v>1.6689987168766168E-2</v>
      </c>
      <c r="J24" s="214">
        <f>I24*H24</f>
        <v>1.806868988771084E-4</v>
      </c>
      <c r="N24" s="3"/>
    </row>
    <row r="25" spans="1:14" x14ac:dyDescent="0.25">
      <c r="A25" s="209" t="s">
        <v>13</v>
      </c>
      <c r="B25" s="91"/>
      <c r="C25" s="35"/>
      <c r="D25" s="42">
        <f>'Inputs 2'!$A$15</f>
        <v>0.9130088757401339</v>
      </c>
      <c r="E25" s="82" t="s">
        <v>23</v>
      </c>
      <c r="F25" s="76"/>
      <c r="G25" s="43">
        <v>1</v>
      </c>
      <c r="H25" s="109">
        <f>G25*D25</f>
        <v>0.9130088757401339</v>
      </c>
      <c r="I25" s="185">
        <f>SUM(M14:M16)</f>
        <v>6.6521882551850639E-3</v>
      </c>
      <c r="J25" s="215">
        <f>I25*H25</f>
        <v>6.0735069200782378E-3</v>
      </c>
      <c r="N25" s="3"/>
    </row>
    <row r="26" spans="1:14" x14ac:dyDescent="0.25">
      <c r="A26" s="209" t="s">
        <v>22</v>
      </c>
      <c r="B26" s="91"/>
      <c r="C26" s="35"/>
      <c r="D26" s="43">
        <f>D25+D23</f>
        <v>1.0102352741447653</v>
      </c>
      <c r="E26" s="83"/>
      <c r="F26" s="77"/>
      <c r="G26" s="30"/>
      <c r="H26" s="110">
        <f>H25+H24+H23</f>
        <v>1.0102352741447653</v>
      </c>
      <c r="I26" s="172"/>
      <c r="J26" s="216">
        <f>SUM(J23:J25)</f>
        <v>7.9989563573027323E-3</v>
      </c>
      <c r="N26" s="3"/>
    </row>
    <row r="27" spans="1:14" x14ac:dyDescent="0.25">
      <c r="D27" s="3"/>
      <c r="E27" s="9"/>
      <c r="F27" s="9"/>
    </row>
    <row r="29" spans="1:14" x14ac:dyDescent="0.25">
      <c r="A29" s="118" t="s">
        <v>71</v>
      </c>
      <c r="C29"/>
    </row>
    <row r="30" spans="1:14" ht="15.6" x14ac:dyDescent="0.25">
      <c r="A30" s="178">
        <f>J26*'Inputs 2'!A17</f>
        <v>2.6440927774620572E-2</v>
      </c>
      <c r="B30" s="7">
        <v>2</v>
      </c>
    </row>
    <row r="32" spans="1:14" ht="15.6" x14ac:dyDescent="0.25">
      <c r="A32" s="11" t="s">
        <v>114</v>
      </c>
    </row>
    <row r="33" spans="1:3" ht="15.6" x14ac:dyDescent="0.25">
      <c r="A33" s="11" t="s">
        <v>108</v>
      </c>
    </row>
    <row r="35" spans="1:3" x14ac:dyDescent="0.25">
      <c r="A35" s="218" t="s">
        <v>166</v>
      </c>
    </row>
    <row r="36" spans="1:3" x14ac:dyDescent="0.25">
      <c r="A36" s="118" t="s">
        <v>182</v>
      </c>
      <c r="B36" s="118" t="s">
        <v>151</v>
      </c>
      <c r="C36" s="118"/>
    </row>
    <row r="37" spans="1:3" x14ac:dyDescent="0.25">
      <c r="A37" s="118" t="s">
        <v>183</v>
      </c>
      <c r="B37" s="118" t="s">
        <v>152</v>
      </c>
      <c r="C37" s="118"/>
    </row>
    <row r="38" spans="1:3" x14ac:dyDescent="0.25">
      <c r="A38" s="118" t="s">
        <v>184</v>
      </c>
      <c r="B38" s="118" t="s">
        <v>152</v>
      </c>
      <c r="C38" s="118"/>
    </row>
    <row r="39" spans="1:3" x14ac:dyDescent="0.25">
      <c r="A39" s="118" t="s">
        <v>185</v>
      </c>
      <c r="B39" s="118" t="s">
        <v>152</v>
      </c>
      <c r="C39" s="118"/>
    </row>
    <row r="40" spans="1:3" x14ac:dyDescent="0.25">
      <c r="A40" s="118" t="s">
        <v>186</v>
      </c>
      <c r="B40" s="118" t="s">
        <v>152</v>
      </c>
      <c r="C40" s="118"/>
    </row>
    <row r="41" spans="1:3" x14ac:dyDescent="0.25">
      <c r="A41" s="118" t="s">
        <v>187</v>
      </c>
      <c r="B41" s="118" t="s">
        <v>110</v>
      </c>
      <c r="C41" s="118"/>
    </row>
    <row r="42" spans="1:3" x14ac:dyDescent="0.25">
      <c r="A42" s="118" t="s">
        <v>188</v>
      </c>
      <c r="B42" s="118" t="s">
        <v>111</v>
      </c>
      <c r="C42" s="118"/>
    </row>
    <row r="43" spans="1:3" x14ac:dyDescent="0.25">
      <c r="A43" s="118" t="s">
        <v>189</v>
      </c>
      <c r="B43" s="118" t="s">
        <v>112</v>
      </c>
      <c r="C43" s="118"/>
    </row>
    <row r="44" spans="1:3" x14ac:dyDescent="0.25">
      <c r="A44" s="118" t="s">
        <v>190</v>
      </c>
      <c r="B44" s="118" t="s">
        <v>152</v>
      </c>
      <c r="C44" s="118"/>
    </row>
    <row r="45" spans="1:3" x14ac:dyDescent="0.25">
      <c r="A45" s="118" t="s">
        <v>191</v>
      </c>
      <c r="B45" s="118" t="s">
        <v>152</v>
      </c>
      <c r="C45" s="118"/>
    </row>
    <row r="46" spans="1:3" x14ac:dyDescent="0.25">
      <c r="A46" s="118" t="s">
        <v>192</v>
      </c>
      <c r="B46" s="118" t="s">
        <v>113</v>
      </c>
      <c r="C46" s="118"/>
    </row>
    <row r="47" spans="1:3" x14ac:dyDescent="0.25">
      <c r="A47" s="118" t="s">
        <v>193</v>
      </c>
      <c r="B47" s="118" t="str">
        <f>"(8)"</f>
        <v>(8)</v>
      </c>
      <c r="C47" s="118"/>
    </row>
    <row r="48" spans="1:3" x14ac:dyDescent="0.25">
      <c r="A48" s="118" t="s">
        <v>194</v>
      </c>
      <c r="B48" s="118" t="s">
        <v>106</v>
      </c>
      <c r="C48" s="118"/>
    </row>
  </sheetData>
  <phoneticPr fontId="13" type="noConversion"/>
  <printOptions horizontalCentered="1"/>
  <pageMargins left="1" right="0.75" top="1" bottom="1" header="0.5" footer="0.5"/>
  <pageSetup scale="56" orientation="portrait" r:id="rId1"/>
  <headerFooter alignWithMargins="0">
    <oddHeader>&amp;R&amp;"Arial,Regular"Page 4 of 7</oddHeader>
    <oddFooter>&amp;R&amp;"Arial,Regular"&amp;F</oddFooter>
  </headerFooter>
  <ignoredErrors>
    <ignoredError sqref="I13 I15 H24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34"/>
  <sheetViews>
    <sheetView zoomScale="75" workbookViewId="0">
      <selection sqref="A1:L1"/>
    </sheetView>
  </sheetViews>
  <sheetFormatPr defaultColWidth="9" defaultRowHeight="13.2" x14ac:dyDescent="0.25"/>
  <cols>
    <col min="1" max="1" width="12.44140625" style="1" customWidth="1"/>
    <col min="2" max="2" width="2" style="1" customWidth="1"/>
    <col min="3" max="3" width="10.77734375" style="1" customWidth="1"/>
    <col min="4" max="4" width="37.33203125" style="1" customWidth="1"/>
    <col min="5" max="5" width="12.33203125" style="1" customWidth="1"/>
    <col min="6" max="6" width="18.44140625" style="1" customWidth="1"/>
    <col min="7" max="7" width="12.44140625" style="3" customWidth="1"/>
    <col min="8" max="8" width="10.77734375" style="1" customWidth="1"/>
    <col min="9" max="9" width="12.44140625" style="1" customWidth="1"/>
    <col min="10" max="10" width="15" style="1" customWidth="1"/>
    <col min="11" max="11" width="14.77734375" style="1" customWidth="1"/>
    <col min="12" max="12" width="15.77734375" style="1" customWidth="1"/>
    <col min="13" max="13" width="1.77734375" style="1" customWidth="1"/>
    <col min="14" max="15" width="9" style="3"/>
    <col min="16" max="16384" width="9" style="1"/>
  </cols>
  <sheetData>
    <row r="1" spans="1:15" ht="15.6" x14ac:dyDescent="0.3">
      <c r="A1" s="264" t="s">
        <v>63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16"/>
      <c r="N1" s="16"/>
      <c r="O1" s="16"/>
    </row>
    <row r="2" spans="1:15" ht="15.6" x14ac:dyDescent="0.3">
      <c r="A2" s="264" t="s">
        <v>51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16"/>
      <c r="N2" s="16"/>
      <c r="O2" s="16"/>
    </row>
    <row r="5" spans="1:15" x14ac:dyDescent="0.25">
      <c r="A5" s="19"/>
      <c r="B5" s="20"/>
      <c r="C5" s="20"/>
      <c r="D5" s="21"/>
      <c r="E5" s="222" t="s">
        <v>154</v>
      </c>
      <c r="F5" s="220" t="s">
        <v>155</v>
      </c>
      <c r="G5" s="220" t="s">
        <v>158</v>
      </c>
      <c r="H5" s="220" t="s">
        <v>162</v>
      </c>
      <c r="I5" s="220" t="s">
        <v>159</v>
      </c>
      <c r="J5" s="220" t="s">
        <v>163</v>
      </c>
      <c r="K5" s="220" t="s">
        <v>160</v>
      </c>
      <c r="L5" s="233" t="s">
        <v>164</v>
      </c>
      <c r="M5"/>
    </row>
    <row r="6" spans="1:15" x14ac:dyDescent="0.25">
      <c r="A6" s="68"/>
      <c r="B6" s="3"/>
      <c r="C6" s="3"/>
      <c r="D6" s="37"/>
      <c r="E6" s="92" t="s">
        <v>0</v>
      </c>
      <c r="F6" s="26"/>
      <c r="G6" s="26"/>
      <c r="H6" s="26" t="s">
        <v>81</v>
      </c>
      <c r="I6" s="26" t="s">
        <v>43</v>
      </c>
      <c r="J6" s="26" t="s">
        <v>99</v>
      </c>
      <c r="K6" s="26" t="s">
        <v>115</v>
      </c>
      <c r="L6" s="134" t="s">
        <v>99</v>
      </c>
      <c r="M6"/>
    </row>
    <row r="7" spans="1:15" x14ac:dyDescent="0.25">
      <c r="A7" s="23"/>
      <c r="B7" s="85"/>
      <c r="C7" s="24"/>
      <c r="D7" s="35" t="s">
        <v>2</v>
      </c>
      <c r="E7" s="79" t="s">
        <v>64</v>
      </c>
      <c r="F7" s="30" t="s">
        <v>65</v>
      </c>
      <c r="G7" s="30" t="s">
        <v>66</v>
      </c>
      <c r="H7" s="30" t="s">
        <v>42</v>
      </c>
      <c r="I7" s="30" t="s">
        <v>44</v>
      </c>
      <c r="J7" s="30" t="s">
        <v>96</v>
      </c>
      <c r="K7" s="30" t="s">
        <v>96</v>
      </c>
      <c r="L7" s="141" t="s">
        <v>97</v>
      </c>
      <c r="M7"/>
    </row>
    <row r="8" spans="1:15" ht="15.6" x14ac:dyDescent="0.25">
      <c r="A8" s="36" t="s">
        <v>9</v>
      </c>
      <c r="B8" s="74"/>
      <c r="C8" s="25" t="s">
        <v>10</v>
      </c>
      <c r="D8" s="69" t="s">
        <v>28</v>
      </c>
      <c r="E8" s="123">
        <f>'Inputs 1'!C9</f>
        <v>158.99528426000782</v>
      </c>
      <c r="F8" s="126">
        <f>'Inputs 2'!$A$10</f>
        <v>44.63262944585415</v>
      </c>
      <c r="G8" s="182">
        <f>'Inputs 2'!$A$9</f>
        <v>50.10717457546064</v>
      </c>
      <c r="H8" s="170">
        <f>'Inputs 2'!$A$27</f>
        <v>1.6214860636540271</v>
      </c>
      <c r="I8" s="170">
        <f>'Inputs 2'!$A$30</f>
        <v>1.0040239548458021</v>
      </c>
      <c r="J8" s="182">
        <f>I8*H8*G8</f>
        <v>81.575023889595769</v>
      </c>
      <c r="K8" s="129">
        <f>E8*F8</f>
        <v>7096.3776060151758</v>
      </c>
      <c r="L8" s="213">
        <f>J8/K8</f>
        <v>1.1495304846862925E-2</v>
      </c>
      <c r="M8" s="7"/>
    </row>
    <row r="9" spans="1:15" x14ac:dyDescent="0.25">
      <c r="A9" s="41" t="s">
        <v>13</v>
      </c>
      <c r="B9" s="137"/>
      <c r="C9" s="138" t="s">
        <v>10</v>
      </c>
      <c r="D9" s="48" t="s">
        <v>34</v>
      </c>
      <c r="E9" s="125">
        <f>'Inputs 1'!C15</f>
        <v>13.055966674639437</v>
      </c>
      <c r="F9" s="128">
        <f>'Inputs 2'!$A$11</f>
        <v>2918.1813817715092</v>
      </c>
      <c r="G9" s="185">
        <f>'Inputs 2'!$A$9</f>
        <v>50.10717457546064</v>
      </c>
      <c r="H9" s="172">
        <f>'Inputs 2'!$A$27</f>
        <v>1.6214860636540271</v>
      </c>
      <c r="I9" s="172">
        <f>'Inputs 2'!$A$30</f>
        <v>1.0040239548458021</v>
      </c>
      <c r="J9" s="185">
        <f>I9*H9*G9</f>
        <v>81.575023889595769</v>
      </c>
      <c r="K9" s="131">
        <f>E9*F9</f>
        <v>38099.678870962089</v>
      </c>
      <c r="L9" s="215">
        <f>J9/K9</f>
        <v>2.1410947889056535E-3</v>
      </c>
    </row>
    <row r="10" spans="1:15" x14ac:dyDescent="0.25">
      <c r="F10" s="3"/>
      <c r="G10" s="31"/>
      <c r="J10" s="8"/>
      <c r="K10" s="8"/>
      <c r="L10" s="9"/>
    </row>
    <row r="11" spans="1:15" x14ac:dyDescent="0.25">
      <c r="E11" s="9"/>
      <c r="F11" s="3"/>
      <c r="J11" s="8"/>
      <c r="K11" s="8"/>
      <c r="L11" s="9"/>
    </row>
    <row r="12" spans="1:15" x14ac:dyDescent="0.25">
      <c r="A12" s="118" t="s">
        <v>73</v>
      </c>
      <c r="E12" s="9"/>
      <c r="F12" s="3"/>
      <c r="J12" s="8"/>
      <c r="K12" s="8"/>
      <c r="L12" s="9"/>
    </row>
    <row r="13" spans="1:15" x14ac:dyDescent="0.25">
      <c r="A13" s="32"/>
      <c r="B13" s="87"/>
      <c r="C13" s="87"/>
      <c r="D13" s="234" t="s">
        <v>161</v>
      </c>
      <c r="E13" s="220"/>
      <c r="F13" s="234" t="s">
        <v>165</v>
      </c>
      <c r="G13" s="235" t="s">
        <v>177</v>
      </c>
      <c r="H13" s="236" t="s">
        <v>178</v>
      </c>
      <c r="I13" s="237" t="s">
        <v>179</v>
      </c>
      <c r="J13" s="8"/>
      <c r="K13" s="8"/>
      <c r="L13" s="9"/>
    </row>
    <row r="14" spans="1:15" x14ac:dyDescent="0.25">
      <c r="A14" s="19"/>
      <c r="B14" s="20"/>
      <c r="C14" s="20"/>
      <c r="D14" s="22"/>
      <c r="E14" s="78"/>
      <c r="F14" s="22" t="s">
        <v>76</v>
      </c>
      <c r="G14" s="22" t="s">
        <v>101</v>
      </c>
      <c r="H14" s="22"/>
      <c r="I14" s="134" t="s">
        <v>98</v>
      </c>
      <c r="J14" s="9"/>
      <c r="K14" s="9"/>
      <c r="M14" s="3"/>
    </row>
    <row r="15" spans="1:15" x14ac:dyDescent="0.25">
      <c r="A15" s="34"/>
      <c r="B15" s="88"/>
      <c r="C15" s="88"/>
      <c r="D15" s="30" t="s">
        <v>74</v>
      </c>
      <c r="E15" s="79"/>
      <c r="F15" s="79" t="s">
        <v>77</v>
      </c>
      <c r="G15" s="30" t="s">
        <v>102</v>
      </c>
      <c r="H15" s="30" t="s">
        <v>17</v>
      </c>
      <c r="I15" s="141" t="s">
        <v>69</v>
      </c>
      <c r="J15" s="9"/>
    </row>
    <row r="16" spans="1:15" x14ac:dyDescent="0.25">
      <c r="A16" s="36" t="s">
        <v>9</v>
      </c>
      <c r="B16" s="89"/>
      <c r="C16" s="3"/>
      <c r="D16" s="38">
        <f>'Inputs 2'!$A$14</f>
        <v>9.7226398404631473E-2</v>
      </c>
      <c r="E16" s="80" t="s">
        <v>23</v>
      </c>
      <c r="F16" s="38">
        <v>1</v>
      </c>
      <c r="G16" s="107">
        <f>F16*D16</f>
        <v>9.7226398404631473E-2</v>
      </c>
      <c r="H16" s="182">
        <f>L8</f>
        <v>1.1495304846862925E-2</v>
      </c>
      <c r="I16" s="213">
        <f>H16*G16</f>
        <v>1.1176470888237858E-3</v>
      </c>
      <c r="J16" s="9"/>
      <c r="K16" s="9"/>
      <c r="M16" s="3"/>
    </row>
    <row r="17" spans="1:13" x14ac:dyDescent="0.25">
      <c r="A17" s="41" t="s">
        <v>13</v>
      </c>
      <c r="B17" s="91"/>
      <c r="C17" s="88"/>
      <c r="D17" s="140">
        <f>'Inputs 2'!$A$15</f>
        <v>0.9130088757401339</v>
      </c>
      <c r="E17" s="91" t="s">
        <v>23</v>
      </c>
      <c r="F17" s="140">
        <v>1</v>
      </c>
      <c r="G17" s="140">
        <f>F17*D17</f>
        <v>0.9130088757401339</v>
      </c>
      <c r="H17" s="217">
        <f>L9</f>
        <v>2.1410947889056535E-3</v>
      </c>
      <c r="I17" s="215">
        <f>H17*G17</f>
        <v>1.9548385460718101E-3</v>
      </c>
      <c r="M17" s="3"/>
    </row>
    <row r="18" spans="1:13" x14ac:dyDescent="0.25">
      <c r="A18" s="41" t="s">
        <v>22</v>
      </c>
      <c r="B18" s="91"/>
      <c r="C18" s="88"/>
      <c r="D18" s="43">
        <f>D17+D16</f>
        <v>1.0102352741447653</v>
      </c>
      <c r="E18" s="125"/>
      <c r="F18" s="125"/>
      <c r="G18" s="139">
        <f>G17+G16</f>
        <v>1.0102352741447653</v>
      </c>
      <c r="H18" s="125"/>
      <c r="I18" s="216">
        <f>SUM(I16:I17)</f>
        <v>3.072485634895596E-3</v>
      </c>
      <c r="M18" s="3"/>
    </row>
    <row r="19" spans="1:13" x14ac:dyDescent="0.25">
      <c r="D19" s="3"/>
      <c r="E19" s="9"/>
    </row>
    <row r="21" spans="1:13" x14ac:dyDescent="0.25">
      <c r="A21" s="218" t="s">
        <v>166</v>
      </c>
    </row>
    <row r="22" spans="1:13" x14ac:dyDescent="0.25">
      <c r="A22" s="118" t="s">
        <v>182</v>
      </c>
      <c r="B22" s="118" t="s">
        <v>151</v>
      </c>
      <c r="C22" s="118"/>
    </row>
    <row r="23" spans="1:13" x14ac:dyDescent="0.25">
      <c r="A23" s="118" t="s">
        <v>183</v>
      </c>
      <c r="B23" s="118" t="s">
        <v>152</v>
      </c>
      <c r="C23" s="118"/>
    </row>
    <row r="24" spans="1:13" x14ac:dyDescent="0.25">
      <c r="A24" s="118" t="s">
        <v>184</v>
      </c>
      <c r="B24" s="118" t="s">
        <v>152</v>
      </c>
      <c r="C24" s="118"/>
    </row>
    <row r="25" spans="1:13" x14ac:dyDescent="0.25">
      <c r="A25" s="118" t="s">
        <v>185</v>
      </c>
      <c r="B25" s="118" t="s">
        <v>152</v>
      </c>
      <c r="C25" s="118"/>
    </row>
    <row r="26" spans="1:13" x14ac:dyDescent="0.25">
      <c r="A26" s="118" t="s">
        <v>186</v>
      </c>
      <c r="B26" s="118" t="s">
        <v>152</v>
      </c>
      <c r="C26" s="118"/>
    </row>
    <row r="27" spans="1:13" x14ac:dyDescent="0.25">
      <c r="A27" s="118" t="s">
        <v>187</v>
      </c>
      <c r="B27" s="118" t="s">
        <v>110</v>
      </c>
      <c r="C27" s="118"/>
    </row>
    <row r="28" spans="1:13" x14ac:dyDescent="0.25">
      <c r="A28" s="118" t="s">
        <v>188</v>
      </c>
      <c r="B28" s="118" t="s">
        <v>116</v>
      </c>
      <c r="C28" s="118"/>
    </row>
    <row r="29" spans="1:13" x14ac:dyDescent="0.25">
      <c r="A29" s="118" t="s">
        <v>189</v>
      </c>
      <c r="B29" s="118" t="s">
        <v>112</v>
      </c>
      <c r="C29" s="118"/>
    </row>
    <row r="30" spans="1:13" x14ac:dyDescent="0.25">
      <c r="A30" s="118" t="s">
        <v>190</v>
      </c>
      <c r="B30" s="118" t="s">
        <v>152</v>
      </c>
      <c r="C30" s="118"/>
    </row>
    <row r="31" spans="1:13" x14ac:dyDescent="0.25">
      <c r="A31" s="118" t="s">
        <v>191</v>
      </c>
      <c r="B31" s="118" t="s">
        <v>153</v>
      </c>
      <c r="C31" s="118"/>
    </row>
    <row r="32" spans="1:13" x14ac:dyDescent="0.25">
      <c r="A32" s="118" t="s">
        <v>192</v>
      </c>
      <c r="B32" s="118" t="s">
        <v>113</v>
      </c>
      <c r="C32" s="118"/>
    </row>
    <row r="33" spans="1:3" x14ac:dyDescent="0.25">
      <c r="A33" s="118" t="s">
        <v>193</v>
      </c>
      <c r="B33" s="118" t="str">
        <f>"(8)"</f>
        <v>(8)</v>
      </c>
      <c r="C33" s="118"/>
    </row>
    <row r="34" spans="1:3" x14ac:dyDescent="0.25">
      <c r="A34" s="118" t="s">
        <v>194</v>
      </c>
      <c r="B34" s="118" t="s">
        <v>106</v>
      </c>
      <c r="C34" s="118"/>
    </row>
  </sheetData>
  <mergeCells count="2">
    <mergeCell ref="A2:L2"/>
    <mergeCell ref="A1:L1"/>
  </mergeCells>
  <phoneticPr fontId="13" type="noConversion"/>
  <printOptions horizontalCentered="1"/>
  <pageMargins left="1" right="0.75" top="1" bottom="1" header="0.5" footer="0.5"/>
  <pageSetup scale="50" orientation="portrait" r:id="rId1"/>
  <headerFooter alignWithMargins="0">
    <oddHeader>&amp;R&amp;"Arial,Regular"\Page 5 of 7</oddHeader>
    <oddFooter>&amp;R&amp;"Arial,Regular"&amp;F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48"/>
  <sheetViews>
    <sheetView zoomScale="75" workbookViewId="0">
      <selection activeCell="B25" sqref="B25"/>
    </sheetView>
  </sheetViews>
  <sheetFormatPr defaultColWidth="9" defaultRowHeight="13.2" x14ac:dyDescent="0.25"/>
  <cols>
    <col min="1" max="1" width="15.77734375" style="143" customWidth="1"/>
    <col min="2" max="2" width="13.44140625" style="143" customWidth="1"/>
    <col min="3" max="3" width="13.33203125" style="143" customWidth="1"/>
    <col min="4" max="4" width="3.44140625" style="1" customWidth="1"/>
    <col min="5" max="5" width="54.33203125" style="1" customWidth="1"/>
    <col min="6" max="6" width="5.44140625" style="1" hidden="1" customWidth="1"/>
    <col min="7" max="7" width="31.77734375" style="1" bestFit="1" customWidth="1"/>
    <col min="8" max="16384" width="9" style="1"/>
  </cols>
  <sheetData>
    <row r="1" spans="1:8" ht="15.6" x14ac:dyDescent="0.3">
      <c r="A1" s="264" t="s">
        <v>82</v>
      </c>
      <c r="B1" s="264"/>
      <c r="C1" s="264"/>
      <c r="D1" s="264"/>
      <c r="E1" s="264"/>
      <c r="F1" s="264"/>
      <c r="G1" s="264"/>
      <c r="H1" s="264"/>
    </row>
    <row r="2" spans="1:8" ht="15.6" x14ac:dyDescent="0.3">
      <c r="A2" s="264" t="s">
        <v>80</v>
      </c>
      <c r="B2" s="264"/>
      <c r="C2" s="264"/>
      <c r="D2" s="264"/>
      <c r="E2" s="264"/>
      <c r="F2" s="264"/>
      <c r="G2" s="264"/>
      <c r="H2" s="264"/>
    </row>
    <row r="4" spans="1:8" ht="13.8" x14ac:dyDescent="0.25">
      <c r="A4" s="250"/>
      <c r="B4" s="250"/>
    </row>
    <row r="6" spans="1:8" x14ac:dyDescent="0.25">
      <c r="A6" s="251" t="s">
        <v>0</v>
      </c>
      <c r="B6" s="251"/>
      <c r="C6" s="251" t="s">
        <v>200</v>
      </c>
      <c r="D6" s="89"/>
      <c r="E6" s="118" t="s">
        <v>1</v>
      </c>
      <c r="F6" s="118"/>
      <c r="G6" s="118"/>
    </row>
    <row r="7" spans="1:8" ht="15.6" x14ac:dyDescent="0.25">
      <c r="A7" s="252" t="s">
        <v>199</v>
      </c>
      <c r="B7" s="253" t="s">
        <v>198</v>
      </c>
      <c r="C7" s="252" t="s">
        <v>0</v>
      </c>
      <c r="D7" s="239"/>
      <c r="E7" s="240" t="s">
        <v>2</v>
      </c>
      <c r="F7" s="89"/>
      <c r="G7" s="240" t="s">
        <v>197</v>
      </c>
    </row>
    <row r="8" spans="1:8" x14ac:dyDescent="0.25">
      <c r="A8" s="142"/>
      <c r="B8" s="142"/>
      <c r="C8" s="142"/>
      <c r="D8" s="3"/>
    </row>
    <row r="9" spans="1:8" x14ac:dyDescent="0.25">
      <c r="A9" s="254">
        <v>145.779</v>
      </c>
      <c r="B9" s="142">
        <v>0.91687624999999995</v>
      </c>
      <c r="C9" s="254">
        <f>+A9/B9</f>
        <v>158.99528426000782</v>
      </c>
      <c r="D9" s="255"/>
      <c r="E9" s="242" t="s">
        <v>203</v>
      </c>
      <c r="G9" s="256" t="s">
        <v>49</v>
      </c>
    </row>
    <row r="10" spans="1:8" x14ac:dyDescent="0.25">
      <c r="A10" s="254">
        <v>20</v>
      </c>
      <c r="B10" s="142">
        <f>B9</f>
        <v>0.91687624999999995</v>
      </c>
      <c r="C10" s="254">
        <f t="shared" ref="C10:C26" si="0">+A10/B10</f>
        <v>21.813194528705484</v>
      </c>
      <c r="D10" s="255"/>
      <c r="E10" s="242" t="s">
        <v>204</v>
      </c>
      <c r="G10" s="117" t="s">
        <v>46</v>
      </c>
    </row>
    <row r="11" spans="1:8" x14ac:dyDescent="0.25">
      <c r="A11" s="254">
        <v>172.68199999999999</v>
      </c>
      <c r="B11" s="142">
        <v>0.88894222000000001</v>
      </c>
      <c r="C11" s="254">
        <f t="shared" si="0"/>
        <v>194.25559514992997</v>
      </c>
      <c r="D11" s="255"/>
      <c r="E11" s="1" t="s">
        <v>123</v>
      </c>
      <c r="G11" s="256" t="s">
        <v>49</v>
      </c>
    </row>
    <row r="12" spans="1:8" x14ac:dyDescent="0.25">
      <c r="A12" s="254">
        <v>176.917</v>
      </c>
      <c r="B12" s="142">
        <f>B9</f>
        <v>0.91687624999999995</v>
      </c>
      <c r="C12" s="254">
        <f t="shared" si="0"/>
        <v>192.9562468217494</v>
      </c>
      <c r="D12" s="255"/>
      <c r="E12" s="242" t="s">
        <v>205</v>
      </c>
      <c r="G12" s="256" t="s">
        <v>49</v>
      </c>
    </row>
    <row r="13" spans="1:8" x14ac:dyDescent="0.25">
      <c r="A13" s="254">
        <v>172.68199999999999</v>
      </c>
      <c r="B13" s="142">
        <f>B9</f>
        <v>0.91687624999999995</v>
      </c>
      <c r="C13" s="254">
        <f t="shared" si="0"/>
        <v>188.33730288029599</v>
      </c>
      <c r="D13" s="255"/>
      <c r="E13" s="242" t="s">
        <v>206</v>
      </c>
      <c r="G13" s="256" t="s">
        <v>49</v>
      </c>
    </row>
    <row r="14" spans="1:8" x14ac:dyDescent="0.25">
      <c r="A14" s="257">
        <v>2848.2562213136207</v>
      </c>
      <c r="B14" s="142">
        <v>0.95929235999999996</v>
      </c>
      <c r="C14" s="254">
        <f t="shared" si="0"/>
        <v>2969.1221780538531</v>
      </c>
      <c r="D14" s="255"/>
      <c r="E14" s="242" t="s">
        <v>211</v>
      </c>
      <c r="G14" s="245" t="s">
        <v>216</v>
      </c>
    </row>
    <row r="15" spans="1:8" x14ac:dyDescent="0.25">
      <c r="A15" s="254">
        <v>11.606</v>
      </c>
      <c r="B15" s="142">
        <f>B11</f>
        <v>0.88894222000000001</v>
      </c>
      <c r="C15" s="254">
        <f t="shared" si="0"/>
        <v>13.055966674639437</v>
      </c>
      <c r="D15" s="255"/>
      <c r="E15" s="1" t="s">
        <v>124</v>
      </c>
      <c r="G15" s="256" t="s">
        <v>49</v>
      </c>
    </row>
    <row r="16" spans="1:8" x14ac:dyDescent="0.25">
      <c r="A16" s="254">
        <v>6.7</v>
      </c>
      <c r="B16" s="142">
        <f>B9</f>
        <v>0.91687624999999995</v>
      </c>
      <c r="C16" s="254">
        <f t="shared" si="0"/>
        <v>7.3074201671163372</v>
      </c>
      <c r="D16" s="255"/>
      <c r="E16" s="242" t="s">
        <v>207</v>
      </c>
      <c r="G16" s="117" t="s">
        <v>46</v>
      </c>
    </row>
    <row r="17" spans="1:7" x14ac:dyDescent="0.25">
      <c r="A17" s="254">
        <v>12.670999999999999</v>
      </c>
      <c r="B17" s="142">
        <f>B11</f>
        <v>0.88894222000000001</v>
      </c>
      <c r="C17" s="254">
        <f t="shared" si="0"/>
        <v>14.254019794447382</v>
      </c>
      <c r="D17" s="255"/>
      <c r="E17" s="1" t="s">
        <v>125</v>
      </c>
      <c r="G17" s="256" t="s">
        <v>49</v>
      </c>
    </row>
    <row r="18" spans="1:7" x14ac:dyDescent="0.25">
      <c r="A18" s="254">
        <v>176.917</v>
      </c>
      <c r="B18" s="142">
        <f>B11</f>
        <v>0.88894222000000001</v>
      </c>
      <c r="C18" s="254">
        <f t="shared" si="0"/>
        <v>199.01968431649021</v>
      </c>
      <c r="D18" s="255"/>
      <c r="E18" s="1" t="s">
        <v>126</v>
      </c>
      <c r="G18" s="256" t="s">
        <v>49</v>
      </c>
    </row>
    <row r="19" spans="1:7" x14ac:dyDescent="0.25">
      <c r="A19" s="254">
        <v>172.68199999999999</v>
      </c>
      <c r="B19" s="142">
        <f>B11</f>
        <v>0.88894222000000001</v>
      </c>
      <c r="C19" s="254">
        <f t="shared" si="0"/>
        <v>194.25559514992997</v>
      </c>
      <c r="D19" s="255"/>
      <c r="E19" s="1" t="s">
        <v>127</v>
      </c>
      <c r="G19" s="256" t="s">
        <v>49</v>
      </c>
    </row>
    <row r="20" spans="1:7" x14ac:dyDescent="0.25">
      <c r="A20" s="254">
        <v>9.8000000000000007</v>
      </c>
      <c r="B20" s="142">
        <f>B11</f>
        <v>0.88894222000000001</v>
      </c>
      <c r="C20" s="254">
        <f t="shared" si="0"/>
        <v>11.024338567246811</v>
      </c>
      <c r="D20" s="255"/>
      <c r="E20" s="1" t="s">
        <v>128</v>
      </c>
      <c r="G20" s="256" t="s">
        <v>49</v>
      </c>
    </row>
    <row r="21" spans="1:7" x14ac:dyDescent="0.25">
      <c r="A21" s="254">
        <v>172.68199999999999</v>
      </c>
      <c r="B21" s="142">
        <f>B11</f>
        <v>0.88894222000000001</v>
      </c>
      <c r="C21" s="254">
        <f t="shared" si="0"/>
        <v>194.25559514992997</v>
      </c>
      <c r="D21" s="255"/>
      <c r="E21" s="1" t="s">
        <v>129</v>
      </c>
      <c r="G21" s="256" t="s">
        <v>49</v>
      </c>
    </row>
    <row r="22" spans="1:7" x14ac:dyDescent="0.25">
      <c r="A22" s="257">
        <v>2848.2562213136207</v>
      </c>
      <c r="B22" s="142">
        <v>0.928342</v>
      </c>
      <c r="C22" s="254">
        <f t="shared" si="0"/>
        <v>3068.1109131264348</v>
      </c>
      <c r="D22" s="255"/>
      <c r="E22" s="1" t="s">
        <v>130</v>
      </c>
      <c r="G22" s="245" t="s">
        <v>216</v>
      </c>
    </row>
    <row r="23" spans="1:7" x14ac:dyDescent="0.25">
      <c r="A23" s="254">
        <v>6.6589999999999998</v>
      </c>
      <c r="B23" s="142">
        <f>B11</f>
        <v>0.88894222000000001</v>
      </c>
      <c r="C23" s="254">
        <f t="shared" si="0"/>
        <v>7.4909255631935219</v>
      </c>
      <c r="D23" s="255"/>
      <c r="E23" s="1" t="s">
        <v>131</v>
      </c>
      <c r="G23" s="256" t="s">
        <v>49</v>
      </c>
    </row>
    <row r="24" spans="1:7" x14ac:dyDescent="0.25">
      <c r="A24" s="257">
        <v>49.684425346895154</v>
      </c>
      <c r="B24" s="142">
        <v>0.91586805999999998</v>
      </c>
      <c r="C24" s="254">
        <f t="shared" si="0"/>
        <v>54.248452934252512</v>
      </c>
      <c r="D24" s="255"/>
      <c r="E24" s="1" t="s">
        <v>132</v>
      </c>
      <c r="G24" s="245" t="s">
        <v>216</v>
      </c>
    </row>
    <row r="25" spans="1:7" x14ac:dyDescent="0.25">
      <c r="A25" s="257">
        <v>47.967809238660706</v>
      </c>
      <c r="B25" s="142">
        <v>0.97225877999999999</v>
      </c>
      <c r="C25" s="254">
        <f t="shared" si="0"/>
        <v>49.336462910276531</v>
      </c>
      <c r="D25" s="255"/>
      <c r="E25" s="242" t="s">
        <v>208</v>
      </c>
      <c r="G25" s="245" t="s">
        <v>216</v>
      </c>
    </row>
    <row r="26" spans="1:7" x14ac:dyDescent="0.25">
      <c r="A26" s="254">
        <v>167.09700000000001</v>
      </c>
      <c r="B26" s="142">
        <f>B11</f>
        <v>0.88894222000000001</v>
      </c>
      <c r="C26" s="254">
        <f t="shared" si="0"/>
        <v>187.97284709910619</v>
      </c>
      <c r="D26" s="255"/>
      <c r="E26" s="1" t="s">
        <v>133</v>
      </c>
      <c r="G26" s="256" t="s">
        <v>49</v>
      </c>
    </row>
    <row r="27" spans="1:7" x14ac:dyDescent="0.25">
      <c r="A27" s="142"/>
      <c r="B27" s="142"/>
      <c r="C27" s="143" t="s">
        <v>1</v>
      </c>
    </row>
    <row r="29" spans="1:7" ht="12.75" customHeight="1" x14ac:dyDescent="0.25">
      <c r="A29" s="251" t="s">
        <v>48</v>
      </c>
      <c r="B29" s="251"/>
      <c r="C29" s="258"/>
      <c r="D29" s="118"/>
      <c r="E29" s="118"/>
      <c r="F29" s="118"/>
      <c r="G29" s="118"/>
    </row>
    <row r="30" spans="1:7" ht="12.75" customHeight="1" x14ac:dyDescent="0.25">
      <c r="A30" s="188" t="s">
        <v>209</v>
      </c>
      <c r="B30" s="251"/>
      <c r="C30" s="258"/>
      <c r="D30" s="118"/>
      <c r="E30" s="118"/>
      <c r="F30" s="118"/>
      <c r="G30" s="118"/>
    </row>
    <row r="31" spans="1:7" ht="12.75" customHeight="1" x14ac:dyDescent="0.25">
      <c r="A31" s="259" t="s">
        <v>42</v>
      </c>
      <c r="B31" s="259"/>
      <c r="C31" s="260" t="s">
        <v>3</v>
      </c>
      <c r="D31" s="240"/>
      <c r="E31" s="118"/>
      <c r="F31" s="89"/>
      <c r="G31" s="240" t="s">
        <v>197</v>
      </c>
    </row>
    <row r="32" spans="1:7" ht="12.75" customHeight="1" x14ac:dyDescent="0.25"/>
    <row r="33" spans="1:7" x14ac:dyDescent="0.25">
      <c r="A33" s="142">
        <v>26.5</v>
      </c>
      <c r="B33" s="142"/>
      <c r="C33" s="143" t="s">
        <v>4</v>
      </c>
      <c r="G33" s="117" t="s">
        <v>46</v>
      </c>
    </row>
    <row r="34" spans="1:7" x14ac:dyDescent="0.25">
      <c r="A34" s="142">
        <v>40</v>
      </c>
      <c r="B34" s="142"/>
      <c r="C34" s="143" t="s">
        <v>134</v>
      </c>
      <c r="G34" s="117" t="s">
        <v>46</v>
      </c>
    </row>
    <row r="39" spans="1:7" ht="17.100000000000001" customHeight="1" x14ac:dyDescent="0.25">
      <c r="A39" s="259" t="s">
        <v>5</v>
      </c>
      <c r="B39" s="259"/>
      <c r="C39" s="260" t="s">
        <v>6</v>
      </c>
      <c r="D39" s="240"/>
      <c r="E39" s="118"/>
      <c r="F39" s="89"/>
      <c r="G39" s="240" t="s">
        <v>197</v>
      </c>
    </row>
    <row r="41" spans="1:7" x14ac:dyDescent="0.25">
      <c r="A41" s="142">
        <v>0.7379</v>
      </c>
      <c r="B41" s="142"/>
      <c r="C41" s="143" t="s">
        <v>7</v>
      </c>
      <c r="G41" s="117" t="s">
        <v>46</v>
      </c>
    </row>
    <row r="42" spans="1:7" x14ac:dyDescent="0.25">
      <c r="A42" s="142">
        <v>0.16009999999999999</v>
      </c>
      <c r="B42" s="142"/>
      <c r="C42" s="143" t="s">
        <v>135</v>
      </c>
      <c r="G42" s="117" t="s">
        <v>46</v>
      </c>
    </row>
    <row r="43" spans="1:7" x14ac:dyDescent="0.25">
      <c r="A43" s="142">
        <v>0.10199999999999999</v>
      </c>
      <c r="B43" s="142"/>
      <c r="C43" s="143" t="s">
        <v>47</v>
      </c>
      <c r="G43" s="117" t="s">
        <v>46</v>
      </c>
    </row>
    <row r="46" spans="1:7" s="263" customFormat="1" ht="17.100000000000001" customHeight="1" x14ac:dyDescent="0.2">
      <c r="A46" s="261" t="s">
        <v>212</v>
      </c>
      <c r="B46" s="262"/>
      <c r="C46" s="262"/>
    </row>
    <row r="47" spans="1:7" s="263" customFormat="1" ht="17.100000000000001" customHeight="1" x14ac:dyDescent="0.2">
      <c r="A47" s="262" t="s">
        <v>136</v>
      </c>
      <c r="B47" s="262"/>
      <c r="C47" s="262"/>
    </row>
    <row r="48" spans="1:7" s="263" customFormat="1" ht="17.100000000000001" customHeight="1" x14ac:dyDescent="0.2">
      <c r="A48" s="261" t="s">
        <v>52</v>
      </c>
      <c r="B48" s="262"/>
      <c r="C48" s="262"/>
    </row>
  </sheetData>
  <customSheetViews>
    <customSheetView guid="{C23F2D26-338A-11D3-B661-0080C7812BA3}" scale="75" fitToPage="1" showRuler="0">
      <selection activeCell="A2" sqref="A2:E38"/>
      <pageMargins left="0.75" right="0.75" top="1.5" bottom="1" header="0.5" footer="0.5"/>
      <pageSetup scale="74" orientation="portrait" horizontalDpi="4294967292" verticalDpi="4294967292" r:id="rId1"/>
      <headerFooter alignWithMargins="0">
        <oddHeader>&amp;RUSPS-T-4M
Page 1 of 4</oddHeader>
        <oddFooter>&amp;R&amp;D, &amp;T</oddFooter>
      </headerFooter>
    </customSheetView>
  </customSheetViews>
  <mergeCells count="2">
    <mergeCell ref="A1:H1"/>
    <mergeCell ref="A2:H2"/>
  </mergeCells>
  <phoneticPr fontId="13" type="noConversion"/>
  <printOptions horizontalCentered="1"/>
  <pageMargins left="1" right="0.75" top="1" bottom="1" header="0.5" footer="0.5"/>
  <pageSetup scale="62" orientation="portrait" r:id="rId2"/>
  <headerFooter alignWithMargins="0">
    <oddHeader xml:space="preserve">&amp;R&amp;"Arial,Regular"Page 6 of 7 </oddHeader>
    <oddFooter>&amp;R&amp;"Arial,Regular"&amp;F</oddFooter>
  </headerFooter>
  <ignoredErrors>
    <ignoredError sqref="B1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EU233"/>
  <sheetViews>
    <sheetView zoomScale="75" workbookViewId="0">
      <selection activeCell="J28" sqref="J28"/>
    </sheetView>
  </sheetViews>
  <sheetFormatPr defaultColWidth="9" defaultRowHeight="12" x14ac:dyDescent="0.2"/>
  <cols>
    <col min="1" max="1" width="13.33203125" customWidth="1"/>
    <col min="2" max="2" width="1.77734375" customWidth="1"/>
    <col min="3" max="3" width="47.44140625" customWidth="1"/>
    <col min="4" max="4" width="5.44140625" customWidth="1"/>
    <col min="5" max="5" width="45.77734375" bestFit="1" customWidth="1"/>
    <col min="6" max="6" width="10.44140625" customWidth="1"/>
    <col min="7" max="7" width="20.44140625" customWidth="1"/>
  </cols>
  <sheetData>
    <row r="1" spans="1:151" ht="15.6" x14ac:dyDescent="0.3">
      <c r="A1" s="264" t="s">
        <v>82</v>
      </c>
      <c r="B1" s="264"/>
      <c r="C1" s="264"/>
      <c r="D1" s="264"/>
      <c r="E1" s="26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</row>
    <row r="2" spans="1:151" ht="15.6" x14ac:dyDescent="0.3">
      <c r="A2" s="264" t="s">
        <v>53</v>
      </c>
      <c r="B2" s="264"/>
      <c r="C2" s="264"/>
      <c r="D2" s="264"/>
      <c r="E2" s="26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</row>
    <row r="3" spans="1:151" ht="13.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</row>
    <row r="4" spans="1:151" ht="13.8" x14ac:dyDescent="0.25">
      <c r="A4" s="238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</row>
    <row r="5" spans="1:151" ht="13.2" x14ac:dyDescent="0.25">
      <c r="A5" s="1"/>
      <c r="B5" s="1"/>
      <c r="C5" s="1" t="s">
        <v>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</row>
    <row r="6" spans="1:151" ht="13.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</row>
    <row r="7" spans="1:151" ht="13.2" x14ac:dyDescent="0.25">
      <c r="A7" s="239" t="s">
        <v>8</v>
      </c>
      <c r="B7" s="89"/>
      <c r="C7" s="239" t="s">
        <v>3</v>
      </c>
      <c r="D7" s="118"/>
      <c r="E7" s="240" t="s">
        <v>197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</row>
    <row r="8" spans="1:151" ht="13.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</row>
    <row r="9" spans="1:151" ht="13.2" x14ac:dyDescent="0.25">
      <c r="A9" s="241">
        <v>50.10717457546064</v>
      </c>
      <c r="B9" s="1"/>
      <c r="C9" s="117" t="s">
        <v>150</v>
      </c>
      <c r="D9" s="1"/>
      <c r="E9" s="242" t="s">
        <v>213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</row>
    <row r="10" spans="1:151" s="246" customFormat="1" ht="13.2" x14ac:dyDescent="0.25">
      <c r="A10" s="243">
        <v>44.63262944585415</v>
      </c>
      <c r="B10" s="244"/>
      <c r="C10" s="117" t="s">
        <v>54</v>
      </c>
      <c r="D10" s="1"/>
      <c r="E10" s="245" t="s">
        <v>214</v>
      </c>
      <c r="F10" s="244"/>
      <c r="G10" s="244"/>
      <c r="H10" s="244"/>
      <c r="I10" s="244"/>
      <c r="J10" s="244"/>
      <c r="K10" s="244"/>
      <c r="L10" s="244"/>
      <c r="M10" s="244"/>
      <c r="N10" s="244"/>
      <c r="O10" s="244"/>
      <c r="P10" s="244"/>
      <c r="Q10" s="244"/>
      <c r="R10" s="244"/>
      <c r="S10" s="244"/>
      <c r="T10" s="244"/>
      <c r="U10" s="244"/>
      <c r="V10" s="244"/>
      <c r="W10" s="244"/>
      <c r="X10" s="244"/>
      <c r="Y10" s="244"/>
      <c r="Z10" s="244"/>
      <c r="AA10" s="244"/>
      <c r="AB10" s="244"/>
      <c r="AC10" s="244"/>
      <c r="AD10" s="244"/>
      <c r="AE10" s="244"/>
      <c r="AF10" s="244"/>
      <c r="AG10" s="244"/>
      <c r="AH10" s="244"/>
      <c r="AI10" s="244"/>
      <c r="AJ10" s="244"/>
      <c r="AK10" s="244"/>
      <c r="AL10" s="244"/>
      <c r="AM10" s="244"/>
      <c r="AN10" s="244"/>
      <c r="AO10" s="244"/>
      <c r="AP10" s="244"/>
      <c r="AQ10" s="244"/>
      <c r="AR10" s="244"/>
      <c r="AS10" s="244"/>
      <c r="AT10" s="244"/>
      <c r="AU10" s="244"/>
      <c r="AV10" s="244"/>
      <c r="AW10" s="244"/>
      <c r="AX10" s="244"/>
      <c r="AY10" s="244"/>
      <c r="AZ10" s="244"/>
      <c r="BA10" s="244"/>
      <c r="BB10" s="244"/>
      <c r="BC10" s="244"/>
      <c r="BD10" s="244"/>
      <c r="BE10" s="244"/>
      <c r="BF10" s="244"/>
      <c r="BG10" s="244"/>
      <c r="BH10" s="244"/>
      <c r="BI10" s="244"/>
      <c r="BJ10" s="244"/>
      <c r="BK10" s="244"/>
      <c r="BL10" s="244"/>
      <c r="BM10" s="244"/>
      <c r="BN10" s="244"/>
      <c r="BO10" s="244"/>
      <c r="BP10" s="244"/>
      <c r="BQ10" s="244"/>
      <c r="BR10" s="244"/>
      <c r="BS10" s="244"/>
      <c r="BT10" s="244"/>
      <c r="BU10" s="244"/>
      <c r="BV10" s="244"/>
      <c r="BW10" s="244"/>
      <c r="BX10" s="244"/>
      <c r="BY10" s="244"/>
      <c r="BZ10" s="244"/>
      <c r="CA10" s="244"/>
      <c r="CB10" s="244"/>
      <c r="CC10" s="244"/>
      <c r="CD10" s="244"/>
      <c r="CE10" s="244"/>
      <c r="CF10" s="244"/>
      <c r="CG10" s="244"/>
      <c r="CH10" s="244"/>
      <c r="CI10" s="244"/>
      <c r="CJ10" s="244"/>
      <c r="CK10" s="244"/>
      <c r="CL10" s="244"/>
      <c r="CM10" s="244"/>
      <c r="CN10" s="244"/>
      <c r="CO10" s="244"/>
      <c r="CP10" s="244"/>
      <c r="CQ10" s="244"/>
      <c r="CR10" s="244"/>
      <c r="CS10" s="244"/>
      <c r="CT10" s="244"/>
      <c r="CU10" s="244"/>
      <c r="CV10" s="244"/>
      <c r="CW10" s="244"/>
      <c r="CX10" s="244"/>
      <c r="CY10" s="244"/>
      <c r="CZ10" s="244"/>
      <c r="DA10" s="244"/>
      <c r="DB10" s="244"/>
      <c r="DC10" s="244"/>
      <c r="DD10" s="244"/>
      <c r="DE10" s="244"/>
      <c r="DF10" s="244"/>
      <c r="DG10" s="244"/>
      <c r="DH10" s="244"/>
      <c r="DI10" s="244"/>
      <c r="DJ10" s="244"/>
      <c r="DK10" s="244"/>
      <c r="DL10" s="244"/>
      <c r="DM10" s="244"/>
      <c r="DN10" s="244"/>
      <c r="DO10" s="244"/>
      <c r="DP10" s="244"/>
      <c r="DQ10" s="244"/>
      <c r="DR10" s="244"/>
      <c r="DS10" s="244"/>
      <c r="DT10" s="244"/>
      <c r="DU10" s="244"/>
      <c r="DV10" s="244"/>
      <c r="DW10" s="244"/>
      <c r="DX10" s="244"/>
      <c r="DY10" s="244"/>
      <c r="DZ10" s="244"/>
      <c r="EA10" s="244"/>
      <c r="EB10" s="244"/>
      <c r="EC10" s="244"/>
      <c r="ED10" s="244"/>
      <c r="EE10" s="244"/>
      <c r="EF10" s="244"/>
      <c r="EG10" s="244"/>
      <c r="EH10" s="244"/>
      <c r="EI10" s="244"/>
      <c r="EJ10" s="244"/>
      <c r="EK10" s="244"/>
      <c r="EL10" s="244"/>
      <c r="EM10" s="244"/>
      <c r="EN10" s="244"/>
      <c r="EO10" s="244"/>
      <c r="EP10" s="244"/>
      <c r="EQ10" s="244"/>
      <c r="ER10" s="244"/>
      <c r="ES10" s="244"/>
    </row>
    <row r="11" spans="1:151" s="246" customFormat="1" ht="13.2" x14ac:dyDescent="0.25">
      <c r="A11" s="243">
        <v>2918.1813817715092</v>
      </c>
      <c r="B11" s="244"/>
      <c r="C11" s="117" t="s">
        <v>55</v>
      </c>
      <c r="D11" s="1"/>
      <c r="E11" s="245" t="s">
        <v>214</v>
      </c>
      <c r="F11" s="244"/>
      <c r="G11" s="244"/>
      <c r="H11" s="244"/>
      <c r="I11" s="244"/>
      <c r="J11" s="244"/>
      <c r="K11" s="244"/>
      <c r="L11" s="244"/>
      <c r="M11" s="244"/>
      <c r="N11" s="244"/>
      <c r="O11" s="244"/>
      <c r="P11" s="244"/>
      <c r="Q11" s="244"/>
      <c r="R11" s="244"/>
      <c r="S11" s="244"/>
      <c r="T11" s="244"/>
      <c r="U11" s="244"/>
      <c r="V11" s="244"/>
      <c r="W11" s="244"/>
      <c r="X11" s="244"/>
      <c r="Y11" s="244"/>
      <c r="Z11" s="244"/>
      <c r="AA11" s="244"/>
      <c r="AB11" s="244"/>
      <c r="AC11" s="244"/>
      <c r="AD11" s="244"/>
      <c r="AE11" s="244"/>
      <c r="AF11" s="244"/>
      <c r="AG11" s="244"/>
      <c r="AH11" s="244"/>
      <c r="AI11" s="244"/>
      <c r="AJ11" s="244"/>
      <c r="AK11" s="244"/>
      <c r="AL11" s="244"/>
      <c r="AM11" s="244"/>
      <c r="AN11" s="244"/>
      <c r="AO11" s="244"/>
      <c r="AP11" s="244"/>
      <c r="AQ11" s="244"/>
      <c r="AR11" s="244"/>
      <c r="AS11" s="244"/>
      <c r="AT11" s="244"/>
      <c r="AU11" s="244"/>
      <c r="AV11" s="244"/>
      <c r="AW11" s="244"/>
      <c r="AX11" s="244"/>
      <c r="AY11" s="244"/>
      <c r="AZ11" s="244"/>
      <c r="BA11" s="244"/>
      <c r="BB11" s="244"/>
      <c r="BC11" s="244"/>
      <c r="BD11" s="244"/>
      <c r="BE11" s="244"/>
      <c r="BF11" s="244"/>
      <c r="BG11" s="244"/>
      <c r="BH11" s="244"/>
      <c r="BI11" s="244"/>
      <c r="BJ11" s="244"/>
      <c r="BK11" s="244"/>
      <c r="BL11" s="244"/>
      <c r="BM11" s="244"/>
      <c r="BN11" s="244"/>
      <c r="BO11" s="244"/>
      <c r="BP11" s="244"/>
      <c r="BQ11" s="244"/>
      <c r="BR11" s="244"/>
      <c r="BS11" s="244"/>
      <c r="BT11" s="244"/>
      <c r="BU11" s="244"/>
      <c r="BV11" s="244"/>
      <c r="BW11" s="244"/>
      <c r="BX11" s="244"/>
      <c r="BY11" s="244"/>
      <c r="BZ11" s="244"/>
      <c r="CA11" s="244"/>
      <c r="CB11" s="244"/>
      <c r="CC11" s="244"/>
      <c r="CD11" s="244"/>
      <c r="CE11" s="244"/>
      <c r="CF11" s="244"/>
      <c r="CG11" s="244"/>
      <c r="CH11" s="244"/>
      <c r="CI11" s="244"/>
      <c r="CJ11" s="244"/>
      <c r="CK11" s="244"/>
      <c r="CL11" s="244"/>
      <c r="CM11" s="244"/>
      <c r="CN11" s="244"/>
      <c r="CO11" s="244"/>
      <c r="CP11" s="244"/>
      <c r="CQ11" s="244"/>
      <c r="CR11" s="244"/>
      <c r="CS11" s="244"/>
      <c r="CT11" s="244"/>
      <c r="CU11" s="244"/>
      <c r="CV11" s="244"/>
      <c r="CW11" s="244"/>
      <c r="CX11" s="244"/>
      <c r="CY11" s="244"/>
      <c r="CZ11" s="244"/>
      <c r="DA11" s="244"/>
      <c r="DB11" s="244"/>
      <c r="DC11" s="244"/>
      <c r="DD11" s="244"/>
      <c r="DE11" s="244"/>
      <c r="DF11" s="244"/>
      <c r="DG11" s="244"/>
      <c r="DH11" s="244"/>
      <c r="DI11" s="244"/>
      <c r="DJ11" s="244"/>
      <c r="DK11" s="244"/>
      <c r="DL11" s="244"/>
      <c r="DM11" s="244"/>
      <c r="DN11" s="244"/>
      <c r="DO11" s="244"/>
      <c r="DP11" s="244"/>
      <c r="DQ11" s="244"/>
      <c r="DR11" s="244"/>
      <c r="DS11" s="244"/>
      <c r="DT11" s="244"/>
      <c r="DU11" s="244"/>
      <c r="DV11" s="244"/>
      <c r="DW11" s="244"/>
      <c r="DX11" s="244"/>
      <c r="DY11" s="244"/>
      <c r="DZ11" s="244"/>
      <c r="EA11" s="244"/>
      <c r="EB11" s="244"/>
      <c r="EC11" s="244"/>
      <c r="ED11" s="244"/>
      <c r="EE11" s="244"/>
      <c r="EF11" s="244"/>
      <c r="EG11" s="244"/>
      <c r="EH11" s="244"/>
      <c r="EI11" s="244"/>
      <c r="EJ11" s="244"/>
      <c r="EK11" s="244"/>
      <c r="EL11" s="244"/>
      <c r="EM11" s="244"/>
      <c r="EN11" s="244"/>
      <c r="EO11" s="244"/>
      <c r="EP11" s="244"/>
      <c r="EQ11" s="244"/>
      <c r="ER11" s="244"/>
      <c r="ES11" s="244"/>
    </row>
    <row r="12" spans="1:151" ht="13.2" x14ac:dyDescent="0.25">
      <c r="A12" s="247">
        <f>52/467</f>
        <v>0.11134903640256959</v>
      </c>
      <c r="B12" s="1"/>
      <c r="C12" s="117" t="s">
        <v>56</v>
      </c>
      <c r="D12" s="1"/>
      <c r="E12" s="1" t="s">
        <v>60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</row>
    <row r="13" spans="1:151" ht="13.2" x14ac:dyDescent="0.25">
      <c r="A13" s="247">
        <f>415/467</f>
        <v>0.88865096359743045</v>
      </c>
      <c r="B13" s="1"/>
      <c r="C13" s="117" t="s">
        <v>57</v>
      </c>
      <c r="D13" s="1"/>
      <c r="E13" s="1" t="s">
        <v>60</v>
      </c>
      <c r="F13" s="1"/>
      <c r="G13" s="1"/>
      <c r="H13" s="1" t="s">
        <v>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</row>
    <row r="14" spans="1:151" s="246" customFormat="1" ht="13.2" x14ac:dyDescent="0.25">
      <c r="A14" s="247">
        <v>9.7226398404631473E-2</v>
      </c>
      <c r="B14" s="244"/>
      <c r="C14" s="117" t="s">
        <v>58</v>
      </c>
      <c r="D14" s="1"/>
      <c r="E14" s="245" t="s">
        <v>214</v>
      </c>
      <c r="F14" s="244"/>
      <c r="G14" s="244"/>
      <c r="H14" s="244"/>
      <c r="I14" s="244"/>
      <c r="J14" s="244"/>
      <c r="K14" s="244"/>
      <c r="L14" s="244"/>
      <c r="M14" s="244"/>
      <c r="N14" s="244"/>
      <c r="O14" s="244"/>
      <c r="P14" s="244"/>
      <c r="Q14" s="244"/>
      <c r="R14" s="244"/>
      <c r="S14" s="244"/>
      <c r="T14" s="244"/>
      <c r="U14" s="244"/>
      <c r="V14" s="244"/>
      <c r="W14" s="244"/>
      <c r="X14" s="244"/>
      <c r="Y14" s="244"/>
      <c r="Z14" s="244"/>
      <c r="AA14" s="244"/>
      <c r="AB14" s="244"/>
      <c r="AC14" s="244"/>
      <c r="AD14" s="244"/>
      <c r="AE14" s="244"/>
      <c r="AF14" s="244"/>
      <c r="AG14" s="244"/>
      <c r="AH14" s="244"/>
      <c r="AI14" s="244"/>
      <c r="AJ14" s="244"/>
      <c r="AK14" s="244"/>
      <c r="AL14" s="244"/>
      <c r="AM14" s="244"/>
      <c r="AN14" s="244"/>
      <c r="AO14" s="244"/>
      <c r="AP14" s="244"/>
      <c r="AQ14" s="244"/>
      <c r="AR14" s="244"/>
      <c r="AS14" s="244"/>
      <c r="AT14" s="244"/>
      <c r="AU14" s="244"/>
      <c r="AV14" s="244"/>
      <c r="AW14" s="244"/>
      <c r="AX14" s="244"/>
      <c r="AY14" s="244"/>
      <c r="AZ14" s="244"/>
      <c r="BA14" s="244"/>
      <c r="BB14" s="244"/>
      <c r="BC14" s="244"/>
      <c r="BD14" s="244"/>
      <c r="BE14" s="244"/>
      <c r="BF14" s="244"/>
      <c r="BG14" s="244"/>
      <c r="BH14" s="244"/>
      <c r="BI14" s="244"/>
      <c r="BJ14" s="244"/>
      <c r="BK14" s="244"/>
      <c r="BL14" s="244"/>
      <c r="BM14" s="244"/>
      <c r="BN14" s="244"/>
      <c r="BO14" s="244"/>
      <c r="BP14" s="244"/>
      <c r="BQ14" s="244"/>
      <c r="BR14" s="244"/>
      <c r="BS14" s="244"/>
      <c r="BT14" s="244"/>
      <c r="BU14" s="244"/>
      <c r="BV14" s="244"/>
      <c r="BW14" s="244"/>
      <c r="BX14" s="244"/>
      <c r="BY14" s="244"/>
      <c r="BZ14" s="244"/>
      <c r="CA14" s="244"/>
      <c r="CB14" s="244"/>
      <c r="CC14" s="244"/>
      <c r="CD14" s="244"/>
      <c r="CE14" s="244"/>
      <c r="CF14" s="244"/>
      <c r="CG14" s="244"/>
      <c r="CH14" s="244"/>
      <c r="CI14" s="244"/>
      <c r="CJ14" s="244"/>
      <c r="CK14" s="244"/>
      <c r="CL14" s="244"/>
      <c r="CM14" s="244"/>
      <c r="CN14" s="244"/>
      <c r="CO14" s="244"/>
      <c r="CP14" s="244"/>
      <c r="CQ14" s="244"/>
      <c r="CR14" s="244"/>
      <c r="CS14" s="244"/>
      <c r="CT14" s="244"/>
      <c r="CU14" s="244"/>
      <c r="CV14" s="244"/>
      <c r="CW14" s="244"/>
      <c r="CX14" s="244"/>
      <c r="CY14" s="244"/>
      <c r="CZ14" s="244"/>
      <c r="DA14" s="244"/>
      <c r="DB14" s="244"/>
      <c r="DC14" s="244"/>
      <c r="DD14" s="244"/>
      <c r="DE14" s="244"/>
      <c r="DF14" s="244"/>
      <c r="DG14" s="244"/>
      <c r="DH14" s="244"/>
      <c r="DI14" s="244"/>
      <c r="DJ14" s="244"/>
      <c r="DK14" s="244"/>
      <c r="DL14" s="244"/>
      <c r="DM14" s="244"/>
      <c r="DN14" s="244"/>
      <c r="DO14" s="244"/>
      <c r="DP14" s="244"/>
      <c r="DQ14" s="244"/>
      <c r="DR14" s="244"/>
      <c r="DS14" s="244"/>
      <c r="DT14" s="244"/>
      <c r="DU14" s="244"/>
      <c r="DV14" s="244"/>
      <c r="DW14" s="244"/>
      <c r="DX14" s="244"/>
      <c r="DY14" s="244"/>
      <c r="DZ14" s="244"/>
      <c r="EA14" s="244"/>
      <c r="EB14" s="244"/>
      <c r="EC14" s="244"/>
      <c r="ED14" s="244"/>
      <c r="EE14" s="244"/>
      <c r="EF14" s="244"/>
      <c r="EG14" s="244"/>
      <c r="EH14" s="244"/>
      <c r="EI14" s="244"/>
      <c r="EJ14" s="244"/>
      <c r="EK14" s="244"/>
      <c r="EL14" s="244"/>
      <c r="EM14" s="244"/>
      <c r="EN14" s="244"/>
      <c r="EO14" s="244"/>
      <c r="EP14" s="244"/>
      <c r="EQ14" s="244"/>
      <c r="ER14" s="244"/>
      <c r="ES14" s="244"/>
    </row>
    <row r="15" spans="1:151" s="246" customFormat="1" ht="13.2" x14ac:dyDescent="0.25">
      <c r="A15" s="247">
        <v>0.9130088757401339</v>
      </c>
      <c r="B15" s="244"/>
      <c r="C15" s="117" t="s">
        <v>59</v>
      </c>
      <c r="D15" s="1"/>
      <c r="E15" s="245" t="s">
        <v>214</v>
      </c>
      <c r="F15" s="244"/>
      <c r="G15" s="244"/>
      <c r="H15" s="244"/>
      <c r="I15" s="244"/>
      <c r="J15" s="244"/>
      <c r="K15" s="244"/>
      <c r="L15" s="244"/>
      <c r="M15" s="244"/>
      <c r="N15" s="244"/>
      <c r="O15" s="244"/>
      <c r="P15" s="244"/>
      <c r="Q15" s="244"/>
      <c r="R15" s="244"/>
      <c r="S15" s="244"/>
      <c r="T15" s="244"/>
      <c r="U15" s="244"/>
      <c r="V15" s="244"/>
      <c r="W15" s="244"/>
      <c r="X15" s="244"/>
      <c r="Y15" s="244"/>
      <c r="Z15" s="244"/>
      <c r="AA15" s="244"/>
      <c r="AB15" s="244"/>
      <c r="AC15" s="244"/>
      <c r="AD15" s="244"/>
      <c r="AE15" s="244"/>
      <c r="AF15" s="244"/>
      <c r="AG15" s="244"/>
      <c r="AH15" s="244"/>
      <c r="AI15" s="244"/>
      <c r="AJ15" s="244"/>
      <c r="AK15" s="244"/>
      <c r="AL15" s="244"/>
      <c r="AM15" s="244"/>
      <c r="AN15" s="244"/>
      <c r="AO15" s="244"/>
      <c r="AP15" s="244"/>
      <c r="AQ15" s="244"/>
      <c r="AR15" s="244"/>
      <c r="AS15" s="244"/>
      <c r="AT15" s="244"/>
      <c r="AU15" s="244"/>
      <c r="AV15" s="244"/>
      <c r="AW15" s="244"/>
      <c r="AX15" s="244"/>
      <c r="AY15" s="244"/>
      <c r="AZ15" s="244"/>
      <c r="BA15" s="244"/>
      <c r="BB15" s="244"/>
      <c r="BC15" s="244"/>
      <c r="BD15" s="244"/>
      <c r="BE15" s="244"/>
      <c r="BF15" s="244"/>
      <c r="BG15" s="244"/>
      <c r="BH15" s="244"/>
      <c r="BI15" s="244"/>
      <c r="BJ15" s="244"/>
      <c r="BK15" s="244"/>
      <c r="BL15" s="244"/>
      <c r="BM15" s="244"/>
      <c r="BN15" s="244"/>
      <c r="BO15" s="244"/>
      <c r="BP15" s="244"/>
      <c r="BQ15" s="244"/>
      <c r="BR15" s="244"/>
      <c r="BS15" s="244"/>
      <c r="BT15" s="244"/>
      <c r="BU15" s="244"/>
      <c r="BV15" s="244"/>
      <c r="BW15" s="244"/>
      <c r="BX15" s="244"/>
      <c r="BY15" s="244"/>
      <c r="BZ15" s="244"/>
      <c r="CA15" s="244"/>
      <c r="CB15" s="244"/>
      <c r="CC15" s="244"/>
      <c r="CD15" s="244"/>
      <c r="CE15" s="244"/>
      <c r="CF15" s="244"/>
      <c r="CG15" s="244"/>
      <c r="CH15" s="244"/>
      <c r="CI15" s="244"/>
      <c r="CJ15" s="244"/>
      <c r="CK15" s="244"/>
      <c r="CL15" s="244"/>
      <c r="CM15" s="244"/>
      <c r="CN15" s="244"/>
      <c r="CO15" s="244"/>
      <c r="CP15" s="244"/>
      <c r="CQ15" s="244"/>
      <c r="CR15" s="244"/>
      <c r="CS15" s="244"/>
      <c r="CT15" s="244"/>
      <c r="CU15" s="244"/>
      <c r="CV15" s="244"/>
      <c r="CW15" s="244"/>
      <c r="CX15" s="244"/>
      <c r="CY15" s="244"/>
      <c r="CZ15" s="244"/>
      <c r="DA15" s="244"/>
      <c r="DB15" s="244"/>
      <c r="DC15" s="244"/>
      <c r="DD15" s="244"/>
      <c r="DE15" s="244"/>
      <c r="DF15" s="244"/>
      <c r="DG15" s="244"/>
      <c r="DH15" s="244"/>
      <c r="DI15" s="244"/>
      <c r="DJ15" s="244"/>
      <c r="DK15" s="244"/>
      <c r="DL15" s="244"/>
      <c r="DM15" s="244"/>
      <c r="DN15" s="244"/>
      <c r="DO15" s="244"/>
      <c r="DP15" s="244"/>
      <c r="DQ15" s="244"/>
      <c r="DR15" s="244"/>
      <c r="DS15" s="244"/>
      <c r="DT15" s="244"/>
      <c r="DU15" s="244"/>
      <c r="DV15" s="244"/>
      <c r="DW15" s="244"/>
      <c r="DX15" s="244"/>
      <c r="DY15" s="244"/>
      <c r="DZ15" s="244"/>
      <c r="EA15" s="244"/>
      <c r="EB15" s="244"/>
      <c r="EC15" s="244"/>
      <c r="ED15" s="244"/>
      <c r="EE15" s="244"/>
      <c r="EF15" s="244"/>
      <c r="EG15" s="244"/>
      <c r="EH15" s="244"/>
      <c r="EI15" s="244"/>
      <c r="EJ15" s="244"/>
      <c r="EK15" s="244"/>
      <c r="EL15" s="244"/>
      <c r="EM15" s="244"/>
      <c r="EN15" s="244"/>
      <c r="EO15" s="244"/>
      <c r="EP15" s="244"/>
      <c r="EQ15" s="244"/>
      <c r="ER15" s="244"/>
      <c r="ES15" s="244"/>
    </row>
    <row r="16" spans="1:151" ht="13.2" x14ac:dyDescent="0.25">
      <c r="A16" s="248">
        <v>1.0038569312026728</v>
      </c>
      <c r="B16" s="1"/>
      <c r="C16" s="117" t="s">
        <v>145</v>
      </c>
      <c r="D16" s="1"/>
      <c r="E16" s="242" t="s">
        <v>217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</row>
    <row r="17" spans="1:151" ht="13.2" x14ac:dyDescent="0.25">
      <c r="A17" s="142">
        <v>3.305547198101793</v>
      </c>
      <c r="B17" s="1"/>
      <c r="C17" s="117" t="s">
        <v>146</v>
      </c>
      <c r="D17" s="1"/>
      <c r="E17" s="242" t="s">
        <v>210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</row>
    <row r="18" spans="1:151" ht="13.2" x14ac:dyDescent="0.25">
      <c r="A18" s="142">
        <v>0.97130000000000005</v>
      </c>
      <c r="B18" s="1"/>
      <c r="C18" s="117" t="s">
        <v>118</v>
      </c>
      <c r="D18" s="1"/>
      <c r="E18" s="1" t="s">
        <v>61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</row>
    <row r="19" spans="1:151" ht="13.2" x14ac:dyDescent="0.25">
      <c r="A19" s="247">
        <v>0.96860000000000002</v>
      </c>
      <c r="B19" s="1"/>
      <c r="C19" s="117" t="s">
        <v>137</v>
      </c>
      <c r="D19" s="1"/>
      <c r="E19" s="1" t="s">
        <v>117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</row>
    <row r="20" spans="1:151" ht="13.2" x14ac:dyDescent="0.25">
      <c r="A20" s="247">
        <v>3.1399999999999997E-2</v>
      </c>
      <c r="B20" s="1"/>
      <c r="C20" s="117" t="s">
        <v>138</v>
      </c>
      <c r="D20" s="1"/>
      <c r="E20" s="1" t="s">
        <v>117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</row>
    <row r="21" spans="1:151" ht="13.2" x14ac:dyDescent="0.25">
      <c r="A21" s="247">
        <v>0.8</v>
      </c>
      <c r="B21" s="1"/>
      <c r="C21" s="117" t="s">
        <v>92</v>
      </c>
      <c r="D21" s="1"/>
      <c r="E21" s="1" t="s">
        <v>93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</row>
    <row r="22" spans="1:151" ht="13.2" x14ac:dyDescent="0.25">
      <c r="A22" s="247">
        <v>0.2</v>
      </c>
      <c r="B22" s="1"/>
      <c r="C22" s="117" t="s">
        <v>94</v>
      </c>
      <c r="D22" s="1"/>
      <c r="E22" s="1" t="s">
        <v>93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</row>
    <row r="23" spans="1:151" ht="13.2" x14ac:dyDescent="0.25">
      <c r="A23" s="249">
        <v>1.6196174573049362</v>
      </c>
      <c r="B23" s="1"/>
      <c r="C23" s="117" t="s">
        <v>139</v>
      </c>
      <c r="D23" s="1"/>
      <c r="E23" s="245" t="s">
        <v>215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</row>
    <row r="24" spans="1:151" ht="13.2" x14ac:dyDescent="0.25">
      <c r="A24" s="249">
        <v>1.5773008471152119</v>
      </c>
      <c r="B24" s="1"/>
      <c r="C24" s="117" t="s">
        <v>140</v>
      </c>
      <c r="D24" s="1"/>
      <c r="E24" s="245" t="s">
        <v>215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</row>
    <row r="25" spans="1:151" ht="13.2" x14ac:dyDescent="0.25">
      <c r="A25" s="249">
        <v>1.386023903258889</v>
      </c>
      <c r="B25" s="1"/>
      <c r="C25" s="117" t="s">
        <v>141</v>
      </c>
      <c r="D25" s="1"/>
      <c r="E25" s="245" t="s">
        <v>215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</row>
    <row r="26" spans="1:151" ht="13.2" x14ac:dyDescent="0.25">
      <c r="A26" s="249">
        <v>1.3606061934437479</v>
      </c>
      <c r="B26" s="1"/>
      <c r="C26" s="117" t="s">
        <v>142</v>
      </c>
      <c r="D26" s="1"/>
      <c r="E26" s="245" t="s">
        <v>215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</row>
    <row r="27" spans="1:151" ht="13.2" x14ac:dyDescent="0.25">
      <c r="A27" s="249">
        <v>1.6214860636540271</v>
      </c>
      <c r="B27" s="1"/>
      <c r="C27" s="117" t="s">
        <v>143</v>
      </c>
      <c r="D27" s="1"/>
      <c r="E27" s="245" t="s">
        <v>215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</row>
    <row r="28" spans="1:151" ht="13.2" x14ac:dyDescent="0.25">
      <c r="A28" s="249">
        <v>1.329782450145587</v>
      </c>
      <c r="B28" s="1"/>
      <c r="C28" s="117" t="s">
        <v>62</v>
      </c>
      <c r="D28" s="1"/>
      <c r="E28" s="245" t="s">
        <v>215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</row>
    <row r="29" spans="1:151" ht="13.2" x14ac:dyDescent="0.25">
      <c r="A29" s="249">
        <v>1.51761435929636</v>
      </c>
      <c r="B29" s="1"/>
      <c r="C29" s="117" t="s">
        <v>144</v>
      </c>
      <c r="D29" s="1"/>
      <c r="E29" s="245" t="s">
        <v>215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</row>
    <row r="30" spans="1:151" ht="13.2" x14ac:dyDescent="0.25">
      <c r="A30" s="249">
        <v>1.0040239548458021</v>
      </c>
      <c r="B30" s="1"/>
      <c r="C30" s="117" t="s">
        <v>147</v>
      </c>
      <c r="D30" s="1"/>
      <c r="E30" s="245" t="s">
        <v>217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</row>
    <row r="31" spans="1:151" ht="13.2" x14ac:dyDescent="0.25">
      <c r="A31" s="142">
        <v>3.5005709593242762</v>
      </c>
      <c r="B31" s="1"/>
      <c r="C31" s="1" t="s">
        <v>148</v>
      </c>
      <c r="D31" s="1"/>
      <c r="E31" s="242" t="s">
        <v>210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</row>
    <row r="32" spans="1:151" ht="13.2" x14ac:dyDescent="0.25">
      <c r="A32" s="1"/>
      <c r="B32" s="1"/>
      <c r="C32" s="1"/>
      <c r="D32" s="1"/>
      <c r="E32" s="11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</row>
    <row r="33" spans="1:151" ht="13.2" x14ac:dyDescent="0.25">
      <c r="A33" s="1"/>
      <c r="B33" s="1"/>
      <c r="C33" s="1"/>
      <c r="D33" s="1"/>
      <c r="E33" s="11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</row>
    <row r="34" spans="1:151" ht="13.2" x14ac:dyDescent="0.25">
      <c r="A34" s="1"/>
      <c r="B34" s="1"/>
      <c r="C34" s="1"/>
      <c r="D34" s="1"/>
      <c r="E34" s="11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</row>
    <row r="35" spans="1:151" ht="13.2" x14ac:dyDescent="0.25">
      <c r="A35" s="1" t="s">
        <v>83</v>
      </c>
      <c r="B35" s="1"/>
      <c r="C35" s="1"/>
      <c r="D35" s="1"/>
      <c r="E35" s="117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</row>
    <row r="36" spans="1:151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</row>
    <row r="37" spans="1:151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</row>
    <row r="38" spans="1:151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</row>
    <row r="39" spans="1:151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</row>
    <row r="40" spans="1:151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</row>
    <row r="41" spans="1:151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</row>
    <row r="42" spans="1:151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</row>
    <row r="43" spans="1:151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</row>
    <row r="44" spans="1:151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</row>
    <row r="45" spans="1:151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</row>
    <row r="46" spans="1:151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</row>
    <row r="47" spans="1:151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</row>
    <row r="48" spans="1:151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</row>
    <row r="49" spans="1:151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</row>
    <row r="50" spans="1:151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</row>
    <row r="51" spans="1:151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</row>
    <row r="52" spans="1:151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</row>
    <row r="53" spans="1:151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</row>
    <row r="54" spans="1:151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</row>
    <row r="55" spans="1:151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</row>
    <row r="56" spans="1:151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</row>
    <row r="57" spans="1:151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</row>
    <row r="58" spans="1:151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</row>
    <row r="59" spans="1:151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</row>
    <row r="60" spans="1:151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</row>
    <row r="61" spans="1:151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</row>
    <row r="62" spans="1:151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</row>
    <row r="63" spans="1:151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</row>
    <row r="64" spans="1:151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</row>
    <row r="65" spans="1:151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</row>
    <row r="66" spans="1:151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</row>
    <row r="67" spans="1:151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</row>
    <row r="68" spans="1:151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</row>
    <row r="69" spans="1:151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</row>
    <row r="70" spans="1:151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</row>
    <row r="71" spans="1:151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</row>
    <row r="72" spans="1:151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</row>
    <row r="73" spans="1:151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</row>
    <row r="74" spans="1:151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</row>
    <row r="75" spans="1:151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</row>
    <row r="76" spans="1:151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</row>
    <row r="77" spans="1:151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</row>
    <row r="78" spans="1:151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</row>
    <row r="79" spans="1:151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</row>
    <row r="80" spans="1:151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</row>
    <row r="81" spans="1:151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</row>
    <row r="82" spans="1:151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</row>
    <row r="83" spans="1:151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</row>
    <row r="84" spans="1:151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</row>
    <row r="85" spans="1:151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</row>
    <row r="86" spans="1:151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</row>
    <row r="87" spans="1:151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</row>
    <row r="88" spans="1:151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</row>
    <row r="89" spans="1:151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</row>
    <row r="90" spans="1:151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</row>
    <row r="91" spans="1:151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</row>
    <row r="92" spans="1:151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</row>
    <row r="93" spans="1:151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</row>
    <row r="94" spans="1:151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</row>
    <row r="95" spans="1:151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</row>
    <row r="96" spans="1:151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</row>
    <row r="97" spans="1:151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</row>
    <row r="98" spans="1:151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</row>
    <row r="99" spans="1:151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</row>
    <row r="100" spans="1:151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</row>
    <row r="101" spans="1:151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</row>
    <row r="102" spans="1:151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</row>
    <row r="103" spans="1:151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</row>
    <row r="104" spans="1:151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</row>
    <row r="105" spans="1:151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</row>
    <row r="106" spans="1:151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</row>
    <row r="107" spans="1:151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</row>
    <row r="108" spans="1:151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</row>
    <row r="109" spans="1:151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</row>
    <row r="110" spans="1:151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</row>
    <row r="111" spans="1:151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</row>
    <row r="112" spans="1:151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</row>
    <row r="113" spans="1:151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</row>
    <row r="114" spans="1:151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</row>
    <row r="115" spans="1:151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</row>
    <row r="116" spans="1:151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</row>
    <row r="117" spans="1:151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</row>
    <row r="118" spans="1:151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</row>
    <row r="119" spans="1:151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</row>
    <row r="120" spans="1:151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</row>
    <row r="121" spans="1:151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</row>
    <row r="122" spans="1:151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</row>
    <row r="123" spans="1:151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</row>
    <row r="124" spans="1:151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</row>
    <row r="125" spans="1:151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</row>
    <row r="126" spans="1:151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</row>
    <row r="127" spans="1:151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</row>
    <row r="128" spans="1:151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</row>
    <row r="129" spans="1:151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</row>
    <row r="130" spans="1:151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</row>
    <row r="131" spans="1:151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</row>
    <row r="132" spans="1:151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</row>
    <row r="133" spans="1:151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</row>
    <row r="134" spans="1:151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</row>
    <row r="135" spans="1:151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</row>
    <row r="136" spans="1:151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</row>
    <row r="137" spans="1:151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</row>
    <row r="138" spans="1:151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</row>
    <row r="139" spans="1:151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</row>
    <row r="140" spans="1:151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</row>
    <row r="141" spans="1:151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</row>
    <row r="142" spans="1:151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</row>
    <row r="143" spans="1:151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</row>
    <row r="144" spans="1:151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</row>
    <row r="145" spans="1:151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</row>
    <row r="146" spans="1:151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</row>
    <row r="147" spans="1:151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</row>
    <row r="148" spans="1:151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</row>
    <row r="149" spans="1:151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</row>
    <row r="150" spans="1:151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</row>
    <row r="151" spans="1:151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</row>
    <row r="152" spans="1:151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</row>
    <row r="153" spans="1:151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</row>
    <row r="154" spans="1:151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</row>
    <row r="155" spans="1:151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</row>
    <row r="156" spans="1:151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</row>
    <row r="157" spans="1:151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</row>
    <row r="158" spans="1:151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</row>
    <row r="159" spans="1:151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</row>
    <row r="160" spans="1:151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</row>
    <row r="161" spans="1:151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</row>
    <row r="162" spans="1:151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</row>
    <row r="163" spans="1:151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</row>
    <row r="164" spans="1:151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</row>
    <row r="165" spans="1:151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</row>
    <row r="166" spans="1:151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</row>
    <row r="167" spans="1:151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</row>
    <row r="168" spans="1:151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</row>
    <row r="169" spans="1:151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</row>
    <row r="170" spans="1:151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</row>
    <row r="171" spans="1:151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</row>
    <row r="172" spans="1:151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</row>
    <row r="173" spans="1:151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</row>
    <row r="174" spans="1:151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</row>
    <row r="175" spans="1:151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</row>
    <row r="176" spans="1:151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</row>
    <row r="177" spans="1:151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</row>
    <row r="178" spans="1:151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</row>
    <row r="179" spans="1:151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</row>
    <row r="180" spans="1:151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</row>
    <row r="181" spans="1:151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</row>
    <row r="182" spans="1:151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</row>
    <row r="183" spans="1:151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</row>
    <row r="184" spans="1:151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</row>
    <row r="185" spans="1:151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</row>
    <row r="186" spans="1:151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</row>
    <row r="187" spans="1:151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</row>
    <row r="188" spans="1:151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</row>
    <row r="189" spans="1:151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</row>
    <row r="190" spans="1:151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</row>
    <row r="191" spans="1:151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</row>
    <row r="192" spans="1:151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</row>
    <row r="193" spans="1:151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</row>
    <row r="194" spans="1:151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</row>
    <row r="195" spans="1:151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</row>
    <row r="196" spans="1:151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</row>
    <row r="197" spans="1:151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</row>
    <row r="198" spans="1:151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</row>
    <row r="199" spans="1:151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</row>
    <row r="200" spans="1:151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</row>
    <row r="201" spans="1:151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</row>
    <row r="202" spans="1:151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</row>
    <row r="203" spans="1:151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</row>
    <row r="204" spans="1:151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</row>
    <row r="205" spans="1:151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</row>
    <row r="206" spans="1:151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</row>
    <row r="207" spans="1:151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</row>
    <row r="208" spans="1:151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</row>
    <row r="209" spans="1:151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</row>
    <row r="210" spans="1:151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</row>
    <row r="211" spans="1:151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</row>
    <row r="212" spans="1:151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</row>
    <row r="213" spans="1:151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</row>
    <row r="214" spans="1:151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</row>
    <row r="215" spans="1:151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</row>
    <row r="216" spans="1:151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</row>
    <row r="217" spans="1:151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</row>
    <row r="218" spans="1:151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</row>
    <row r="219" spans="1:151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</row>
    <row r="220" spans="1:151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</row>
    <row r="221" spans="1:151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</row>
    <row r="222" spans="1:151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</row>
    <row r="223" spans="1:151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</row>
    <row r="224" spans="1:151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</row>
    <row r="225" spans="1:151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</row>
    <row r="226" spans="1:151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</row>
    <row r="227" spans="1:151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</row>
    <row r="228" spans="1:151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</row>
    <row r="229" spans="1:151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</row>
    <row r="230" spans="1:151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</row>
    <row r="231" spans="1:151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</row>
    <row r="232" spans="1:151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</row>
    <row r="233" spans="1:151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</row>
  </sheetData>
  <customSheetViews>
    <customSheetView guid="{C23F2D27-338A-11D3-B661-0080C7812BA3}" scale="75" fitToPage="1" showRuler="0">
      <selection sqref="A1:G35"/>
      <pageMargins left="0.75" right="0.75" top="1.5" bottom="1" header="0.5" footer="0.5"/>
      <pageSetup scale="58" orientation="portrait" horizontalDpi="4294967292" verticalDpi="4294967292" r:id="rId1"/>
      <headerFooter alignWithMargins="0">
        <oddHeader>&amp;RUSPS-T-M
Page 2 of 4</oddHeader>
        <oddFooter>&amp;R&amp;D, &amp;T</oddFooter>
      </headerFooter>
    </customSheetView>
  </customSheetViews>
  <mergeCells count="2">
    <mergeCell ref="A1:E1"/>
    <mergeCell ref="A2:E2"/>
  </mergeCells>
  <phoneticPr fontId="13" type="noConversion"/>
  <printOptions horizontalCentered="1"/>
  <pageMargins left="1" right="0.44" top="1" bottom="1" header="0.5" footer="0.5"/>
  <pageSetup scale="80" orientation="portrait" r:id="rId2"/>
  <headerFooter alignWithMargins="0">
    <oddHeader>&amp;R&amp;"Arial,Regular"Page 7 of 7</oddHeader>
    <oddFooter>&amp;R&amp;"Arial,Regular"&amp;F</oddFooter>
  </headerFooter>
</worksheet>
</file>

<file path=docMetadata/LabelInfo.xml><?xml version="1.0" encoding="utf-8"?>
<clbl:labelList xmlns:clbl="http://schemas.microsoft.com/office/2020/mipLabelMetadata">
  <clbl:label id="{f9aa5788-eb33-4a49-8ad0-76101910cac3}" enabled="0" method="" siteId="{f9aa5788-eb33-4a49-8ad0-76101910cac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Summary</vt:lpstr>
      <vt:lpstr>Cost Per Pound</vt:lpstr>
      <vt:lpstr>NDC</vt:lpstr>
      <vt:lpstr>SCF</vt:lpstr>
      <vt:lpstr>DU</vt:lpstr>
      <vt:lpstr>Inputs 1</vt:lpstr>
      <vt:lpstr>Inputs 2</vt:lpstr>
      <vt:lpstr>'Cost Per Pound'!Print_Area</vt:lpstr>
      <vt:lpstr>DU!Print_Area</vt:lpstr>
      <vt:lpstr>'Inputs 1'!Print_Area</vt:lpstr>
      <vt:lpstr>'Inputs 2'!Print_Area</vt:lpstr>
      <vt:lpstr>NDC!Print_Area</vt:lpstr>
      <vt:lpstr>SCF!Print_Area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USPS</dc:creator>
  <cp:lastModifiedBy>Rahman, Aminur - Washington, DC</cp:lastModifiedBy>
  <cp:lastPrinted>2011-12-12T20:17:20Z</cp:lastPrinted>
  <dcterms:created xsi:type="dcterms:W3CDTF">1997-04-15T20:34:25Z</dcterms:created>
  <dcterms:modified xsi:type="dcterms:W3CDTF">2025-12-24T15:41:13Z</dcterms:modified>
</cp:coreProperties>
</file>