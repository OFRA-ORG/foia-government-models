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ps365-my.sharepoint.com/personal/aminur_rahman_usps_gov/Documents/ACR 2025/FY25-13/Output/1224/"/>
    </mc:Choice>
  </mc:AlternateContent>
  <xr:revisionPtr revIDLastSave="0" documentId="8_{86AF81B7-95D2-4754-96ED-70F481F37564}" xr6:coauthVersionLast="47" xr6:coauthVersionMax="47" xr10:uidLastSave="{00000000-0000-0000-0000-000000000000}"/>
  <bookViews>
    <workbookView xWindow="28680" yWindow="-120" windowWidth="29040" windowHeight="15720" tabRatio="594" xr2:uid="{00000000-000D-0000-FFFF-FFFF00000000}"/>
  </bookViews>
  <sheets>
    <sheet name="Summary" sheetId="50" r:id="rId1"/>
    <sheet name="Results Trans" sheetId="31" r:id="rId2"/>
    <sheet name="Trans CPP" sheetId="29" r:id="rId3"/>
    <sheet name="Flow Trans CPP" sheetId="32" r:id="rId4"/>
    <sheet name="Flow Pounds" sheetId="33" r:id="rId5"/>
    <sheet name="Trans Costs" sheetId="37" r:id="rId6"/>
    <sheet name="Trans Cost Adj" sheetId="35" r:id="rId7"/>
    <sheet name="NonTrans CPP" sheetId="43" r:id="rId8"/>
    <sheet name="Results NonTrans" sheetId="40" r:id="rId9"/>
    <sheet name="Handling Costs" sheetId="44" r:id="rId10"/>
    <sheet name="Facility NonTrans CPP" sheetId="42" r:id="rId11"/>
    <sheet name="ODU-S" sheetId="52" r:id="rId12"/>
    <sheet name="ODU-T" sheetId="53" r:id="rId13"/>
    <sheet name="ODU-P" sheetId="54" r:id="rId14"/>
    <sheet name="OSCF-S" sheetId="55" r:id="rId15"/>
    <sheet name="OSCF-T" sheetId="56" r:id="rId16"/>
    <sheet name="OSCF-P" sheetId="57" r:id="rId17"/>
    <sheet name="ONDC-S" sheetId="58" r:id="rId18"/>
    <sheet name="ONDC-T" sheetId="60" r:id="rId19"/>
    <sheet name="ONDC-P" sheetId="65" r:id="rId20"/>
    <sheet name="DNDC-S" sheetId="66" r:id="rId21"/>
    <sheet name="DNDC-T" sheetId="67" r:id="rId22"/>
    <sheet name="DNDC-P" sheetId="68" r:id="rId23"/>
    <sheet name="DSCF-S" sheetId="69" r:id="rId24"/>
    <sheet name="DSCF-T" sheetId="70" r:id="rId25"/>
    <sheet name="DSCF-P" sheetId="71" r:id="rId26"/>
    <sheet name="Sack Inputs F" sheetId="21" r:id="rId27"/>
    <sheet name="Sack Inputs P" sheetId="61" r:id="rId28"/>
    <sheet name="Tray Inputs L" sheetId="20" r:id="rId29"/>
    <sheet name="Pallet Inputs L" sheetId="19" r:id="rId30"/>
    <sheet name="Pallet Inputs F" sheetId="63" r:id="rId31"/>
    <sheet name="Pallet Inputs P" sheetId="64" r:id="rId32"/>
    <sheet name="Flow Proportions" sheetId="26" r:id="rId33"/>
    <sheet name="Flow Paths" sheetId="27" r:id="rId34"/>
    <sheet name="Entry Profile L&amp;F" sheetId="24" r:id="rId35"/>
    <sheet name="Entry Profile P" sheetId="45" r:id="rId36"/>
    <sheet name="CS Data By Shape" sheetId="48" r:id="rId37"/>
    <sheet name="CR Dist Key" sheetId="49" r:id="rId38"/>
    <sheet name="CS Data" sheetId="47" r:id="rId39"/>
    <sheet name="Piggyback Factors" sheetId="62" r:id="rId40"/>
    <sheet name="Productivity" sheetId="51" r:id="rId41"/>
    <sheet name="Other Inputs" sheetId="16" r:id="rId42"/>
  </sheets>
  <definedNames>
    <definedName name="_Order1" hidden="1">0</definedName>
    <definedName name="_Order2" hidden="1">0</definedName>
    <definedName name="factor">#REF!</definedName>
    <definedName name="_xlnm.Print_Area" localSheetId="33">'Flow Paths'!$A$1:$M$43</definedName>
    <definedName name="_xlnm.Print_Area" localSheetId="32">'Flow Proportions'!$A$1:$J$74</definedName>
    <definedName name="_xlnm.Print_Area" localSheetId="9">'Handling Costs'!$A$1:$M$75</definedName>
    <definedName name="_xlnm.Print_Area" localSheetId="8">'Results NonTrans'!$A$1:$L$57</definedName>
    <definedName name="_xlnm.Print_Area" localSheetId="1">'Results Trans'!$A$1:$K$57</definedName>
    <definedName name="wfac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8" i="47" l="1"/>
  <c r="I11" i="70" l="1"/>
  <c r="I11" i="67"/>
  <c r="I11" i="60"/>
  <c r="C11" i="60"/>
  <c r="I11" i="56"/>
  <c r="B10" i="49" l="1"/>
  <c r="B8" i="49"/>
  <c r="B9" i="49"/>
  <c r="J11" i="67" l="1"/>
  <c r="J11" i="56"/>
  <c r="F11" i="60"/>
  <c r="F11" i="56"/>
  <c r="F11" i="70"/>
  <c r="F11" i="67"/>
  <c r="C21" i="48"/>
  <c r="D13" i="48"/>
  <c r="E10" i="49"/>
  <c r="D22" i="48"/>
  <c r="D14" i="48"/>
  <c r="F25" i="47"/>
  <c r="H10" i="47"/>
  <c r="H11" i="47" l="1"/>
  <c r="C14" i="48"/>
  <c r="H15" i="47"/>
  <c r="C13" i="48"/>
  <c r="H14" i="47"/>
  <c r="C17" i="48"/>
  <c r="H19" i="47"/>
  <c r="C18" i="48"/>
  <c r="H20" i="47"/>
  <c r="D16" i="47"/>
  <c r="H9" i="47"/>
  <c r="C22" i="48"/>
  <c r="H24" i="47"/>
  <c r="E8" i="49"/>
  <c r="H18" i="47"/>
  <c r="F16" i="47"/>
  <c r="E9" i="49"/>
  <c r="C16" i="47"/>
  <c r="C10" i="48"/>
  <c r="C25" i="47"/>
  <c r="D25" i="47"/>
  <c r="C9" i="48"/>
  <c r="C15" i="48" l="1"/>
  <c r="C23" i="48"/>
  <c r="G29" i="16" l="1"/>
  <c r="D48" i="47"/>
  <c r="B48" i="47"/>
  <c r="C48" i="47"/>
  <c r="F48" i="47"/>
  <c r="G48" i="47"/>
  <c r="H43" i="47"/>
  <c r="H38" i="47"/>
  <c r="I21" i="66" l="1"/>
  <c r="B10" i="20"/>
  <c r="H10" i="42"/>
  <c r="D9" i="42"/>
  <c r="H62" i="47"/>
  <c r="I18" i="58"/>
  <c r="I12" i="60"/>
  <c r="I11" i="69"/>
  <c r="I12" i="56"/>
  <c r="E11" i="49"/>
  <c r="F8" i="49" s="1"/>
  <c r="E57" i="47"/>
  <c r="C57" i="47"/>
  <c r="G53" i="47"/>
  <c r="H47" i="47"/>
  <c r="H46" i="47"/>
  <c r="H34" i="47"/>
  <c r="H32" i="47"/>
  <c r="H31" i="47"/>
  <c r="H30" i="47"/>
  <c r="F36" i="47"/>
  <c r="G8" i="16"/>
  <c r="G18" i="65" s="1"/>
  <c r="I33" i="24"/>
  <c r="J10" i="52" s="1"/>
  <c r="G33" i="24"/>
  <c r="I12" i="54" s="1"/>
  <c r="E33" i="24"/>
  <c r="J10" i="53" s="1"/>
  <c r="C34" i="24"/>
  <c r="C35" i="24"/>
  <c r="C39" i="24"/>
  <c r="I10" i="71" s="1"/>
  <c r="C33" i="24"/>
  <c r="I10" i="54" s="1"/>
  <c r="G39" i="24"/>
  <c r="I17" i="71" s="1"/>
  <c r="I35" i="24"/>
  <c r="C38" i="24"/>
  <c r="E38" i="24"/>
  <c r="E34" i="24"/>
  <c r="G38" i="24"/>
  <c r="G34" i="24"/>
  <c r="I38" i="24"/>
  <c r="I34" i="24"/>
  <c r="E39" i="24"/>
  <c r="G35" i="24"/>
  <c r="C37" i="24"/>
  <c r="E37" i="24"/>
  <c r="G37" i="24"/>
  <c r="I37" i="24"/>
  <c r="E35" i="24"/>
  <c r="I39" i="24"/>
  <c r="J11" i="69" s="1"/>
  <c r="C40" i="24"/>
  <c r="C36" i="24"/>
  <c r="I10" i="65" s="1"/>
  <c r="E36" i="24"/>
  <c r="G40" i="24"/>
  <c r="G36" i="24"/>
  <c r="I15" i="65" s="1"/>
  <c r="I40" i="24"/>
  <c r="I36" i="24"/>
  <c r="J12" i="58" s="1"/>
  <c r="B5" i="45"/>
  <c r="B4" i="45"/>
  <c r="H12" i="24"/>
  <c r="H11" i="24"/>
  <c r="F12" i="24"/>
  <c r="F11" i="24"/>
  <c r="E12" i="71"/>
  <c r="E11" i="71"/>
  <c r="E10" i="71"/>
  <c r="E11" i="68"/>
  <c r="E10" i="68"/>
  <c r="E11" i="65"/>
  <c r="E10" i="65"/>
  <c r="E12" i="57"/>
  <c r="E11" i="57"/>
  <c r="E10" i="57"/>
  <c r="E10" i="54"/>
  <c r="D14" i="35"/>
  <c r="D13" i="35"/>
  <c r="D11" i="35"/>
  <c r="D10" i="35"/>
  <c r="D8" i="35"/>
  <c r="D7" i="35"/>
  <c r="E10" i="53"/>
  <c r="I10" i="60"/>
  <c r="H17" i="71"/>
  <c r="E17" i="71"/>
  <c r="E16" i="71"/>
  <c r="E15" i="71"/>
  <c r="H11" i="71"/>
  <c r="F12" i="70"/>
  <c r="E12" i="70"/>
  <c r="F10" i="70"/>
  <c r="E10" i="70"/>
  <c r="I15" i="68"/>
  <c r="I14" i="68"/>
  <c r="I11" i="68"/>
  <c r="I10" i="68"/>
  <c r="F12" i="69"/>
  <c r="F11" i="69"/>
  <c r="I10" i="69"/>
  <c r="F10" i="69"/>
  <c r="H18" i="68"/>
  <c r="E15" i="68"/>
  <c r="H14" i="68"/>
  <c r="E14" i="68"/>
  <c r="J12" i="67"/>
  <c r="J10" i="67"/>
  <c r="F12" i="67"/>
  <c r="E12" i="67"/>
  <c r="F10" i="67"/>
  <c r="E10" i="67"/>
  <c r="I19" i="66"/>
  <c r="F13" i="66"/>
  <c r="J11" i="66"/>
  <c r="J12" i="66"/>
  <c r="J13" i="66"/>
  <c r="J14" i="66"/>
  <c r="J15" i="66"/>
  <c r="J10" i="66"/>
  <c r="F11" i="66"/>
  <c r="I11" i="66"/>
  <c r="I15" i="66"/>
  <c r="F15" i="66"/>
  <c r="F14" i="66"/>
  <c r="I12" i="66"/>
  <c r="F12" i="66"/>
  <c r="I10" i="66"/>
  <c r="F10" i="66"/>
  <c r="H15" i="65"/>
  <c r="H10" i="65"/>
  <c r="J12" i="56"/>
  <c r="J10" i="56"/>
  <c r="J11" i="55"/>
  <c r="J12" i="55"/>
  <c r="J10" i="55"/>
  <c r="E15" i="65"/>
  <c r="E14" i="65"/>
  <c r="I16" i="58"/>
  <c r="F32" i="64"/>
  <c r="B10" i="63"/>
  <c r="B9" i="63"/>
  <c r="D53" i="63" s="1"/>
  <c r="B8" i="63"/>
  <c r="D48" i="63" s="1"/>
  <c r="B7" i="63"/>
  <c r="D44" i="63" s="1"/>
  <c r="B6" i="63"/>
  <c r="D40" i="63" s="1"/>
  <c r="B5" i="63"/>
  <c r="B16" i="63" s="1"/>
  <c r="G20" i="63" s="1"/>
  <c r="F32" i="63"/>
  <c r="B10" i="19"/>
  <c r="B9" i="19"/>
  <c r="D53" i="19" s="1"/>
  <c r="B8" i="19"/>
  <c r="D48" i="19" s="1"/>
  <c r="B7" i="19"/>
  <c r="D44" i="19" s="1"/>
  <c r="B6" i="19"/>
  <c r="D40" i="19" s="1"/>
  <c r="B5" i="19"/>
  <c r="B16" i="19" s="1"/>
  <c r="H22" i="57"/>
  <c r="H16" i="57"/>
  <c r="H10" i="57"/>
  <c r="I15" i="55"/>
  <c r="H14" i="54"/>
  <c r="A10" i="62"/>
  <c r="A11" i="62" s="1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A58" i="62" s="1"/>
  <c r="A59" i="62" s="1"/>
  <c r="A60" i="62" s="1"/>
  <c r="F12" i="56"/>
  <c r="E12" i="56"/>
  <c r="F33" i="61"/>
  <c r="F12" i="60"/>
  <c r="E12" i="60"/>
  <c r="F10" i="60"/>
  <c r="E10" i="60"/>
  <c r="F13" i="58"/>
  <c r="F12" i="58"/>
  <c r="F11" i="58"/>
  <c r="F10" i="58"/>
  <c r="I16" i="57"/>
  <c r="E16" i="57"/>
  <c r="I11" i="57"/>
  <c r="E17" i="57"/>
  <c r="I17" i="57"/>
  <c r="I15" i="57"/>
  <c r="I12" i="57"/>
  <c r="I10" i="57"/>
  <c r="E15" i="57"/>
  <c r="F10" i="56"/>
  <c r="E10" i="56"/>
  <c r="F11" i="55"/>
  <c r="F12" i="55"/>
  <c r="F10" i="55"/>
  <c r="E12" i="54"/>
  <c r="F10" i="53"/>
  <c r="F10" i="52"/>
  <c r="I59" i="44"/>
  <c r="I41" i="44"/>
  <c r="G45" i="42"/>
  <c r="G47" i="42"/>
  <c r="G36" i="42"/>
  <c r="G38" i="42"/>
  <c r="G29" i="42"/>
  <c r="G27" i="42"/>
  <c r="G20" i="42"/>
  <c r="G18" i="42"/>
  <c r="G11" i="42"/>
  <c r="G9" i="42"/>
  <c r="C47" i="42"/>
  <c r="C46" i="42"/>
  <c r="C38" i="42"/>
  <c r="C37" i="42"/>
  <c r="C29" i="42"/>
  <c r="C28" i="42"/>
  <c r="C20" i="42"/>
  <c r="C19" i="42"/>
  <c r="C11" i="42"/>
  <c r="D11" i="42" s="1"/>
  <c r="C10" i="42"/>
  <c r="H13" i="24"/>
  <c r="H10" i="24"/>
  <c r="H9" i="24"/>
  <c r="H8" i="24"/>
  <c r="F10" i="24"/>
  <c r="F9" i="24"/>
  <c r="F8" i="24"/>
  <c r="I24" i="44"/>
  <c r="O43" i="37"/>
  <c r="N43" i="37"/>
  <c r="N38" i="37"/>
  <c r="M38" i="37"/>
  <c r="N18" i="37"/>
  <c r="M18" i="37"/>
  <c r="L43" i="37"/>
  <c r="K43" i="37"/>
  <c r="K38" i="37"/>
  <c r="J38" i="37"/>
  <c r="K18" i="37"/>
  <c r="J18" i="37"/>
  <c r="I43" i="37"/>
  <c r="H43" i="37"/>
  <c r="H38" i="37"/>
  <c r="G38" i="37"/>
  <c r="H18" i="37"/>
  <c r="G18" i="37"/>
  <c r="H7" i="47"/>
  <c r="H6" i="47"/>
  <c r="J33" i="24"/>
  <c r="D8" i="24" s="1"/>
  <c r="J34" i="24"/>
  <c r="J35" i="24"/>
  <c r="J36" i="24"/>
  <c r="D10" i="24" s="1"/>
  <c r="J37" i="24"/>
  <c r="D11" i="24" s="1"/>
  <c r="J38" i="24"/>
  <c r="J39" i="24"/>
  <c r="B36" i="47"/>
  <c r="B57" i="47"/>
  <c r="D57" i="47"/>
  <c r="F57" i="47"/>
  <c r="G57" i="47"/>
  <c r="B8" i="20"/>
  <c r="D48" i="20" s="1"/>
  <c r="B5" i="20"/>
  <c r="B16" i="20" s="1"/>
  <c r="G20" i="20" s="1"/>
  <c r="E34" i="26"/>
  <c r="F20" i="63"/>
  <c r="B6" i="20"/>
  <c r="D40" i="20" s="1"/>
  <c r="E32" i="26"/>
  <c r="F18" i="64"/>
  <c r="E38" i="26"/>
  <c r="I52" i="44"/>
  <c r="F22" i="20"/>
  <c r="B7" i="20"/>
  <c r="D44" i="20" s="1"/>
  <c r="E33" i="26"/>
  <c r="F19" i="64"/>
  <c r="E39" i="26"/>
  <c r="I18" i="44"/>
  <c r="E45" i="26"/>
  <c r="I56" i="44"/>
  <c r="B9" i="21"/>
  <c r="D49" i="21" s="1"/>
  <c r="B8" i="21"/>
  <c r="D45" i="21" s="1"/>
  <c r="B6" i="21"/>
  <c r="B17" i="21" s="1"/>
  <c r="B7" i="21"/>
  <c r="D41" i="21" s="1"/>
  <c r="F23" i="21"/>
  <c r="F28" i="21"/>
  <c r="C12" i="58"/>
  <c r="E48" i="26"/>
  <c r="I22" i="44"/>
  <c r="E49" i="26"/>
  <c r="F30" i="64"/>
  <c r="E30" i="26"/>
  <c r="F16" i="63"/>
  <c r="E31" i="26"/>
  <c r="F17" i="20"/>
  <c r="E40" i="26"/>
  <c r="F24" i="64"/>
  <c r="C53" i="47"/>
  <c r="D53" i="47"/>
  <c r="E53" i="47"/>
  <c r="F53" i="47"/>
  <c r="H51" i="47"/>
  <c r="H52" i="47"/>
  <c r="H40" i="47"/>
  <c r="H45" i="47"/>
  <c r="D36" i="47"/>
  <c r="G36" i="47"/>
  <c r="H29" i="47"/>
  <c r="H33" i="47"/>
  <c r="B53" i="47"/>
  <c r="E41" i="26"/>
  <c r="F25" i="63"/>
  <c r="B9" i="20"/>
  <c r="D53" i="20" s="1"/>
  <c r="B10" i="21"/>
  <c r="D54" i="21" s="1"/>
  <c r="F18" i="21"/>
  <c r="B11" i="21"/>
  <c r="C13" i="24"/>
  <c r="C12" i="24"/>
  <c r="C11" i="24"/>
  <c r="C10" i="24"/>
  <c r="C9" i="24"/>
  <c r="C8" i="24"/>
  <c r="F32" i="19"/>
  <c r="F30" i="19"/>
  <c r="F27" i="19"/>
  <c r="C11" i="65"/>
  <c r="F25" i="19"/>
  <c r="F23" i="19"/>
  <c r="F22" i="19"/>
  <c r="F19" i="19"/>
  <c r="F18" i="19"/>
  <c r="F16" i="19"/>
  <c r="F32" i="20"/>
  <c r="F30" i="20"/>
  <c r="F25" i="20"/>
  <c r="F16" i="20"/>
  <c r="F33" i="21"/>
  <c r="F31" i="21"/>
  <c r="F26" i="21"/>
  <c r="F17" i="21"/>
  <c r="E42" i="26"/>
  <c r="H41" i="24"/>
  <c r="F41" i="24"/>
  <c r="B41" i="24"/>
  <c r="J19" i="24"/>
  <c r="J20" i="24"/>
  <c r="J21" i="24"/>
  <c r="J22" i="24"/>
  <c r="J23" i="24"/>
  <c r="J24" i="24"/>
  <c r="J25" i="24"/>
  <c r="J26" i="24"/>
  <c r="H27" i="24"/>
  <c r="F27" i="24"/>
  <c r="D27" i="24"/>
  <c r="B27" i="24"/>
  <c r="F17" i="19"/>
  <c r="I48" i="44"/>
  <c r="I30" i="44"/>
  <c r="I13" i="44"/>
  <c r="I49" i="44"/>
  <c r="I31" i="44"/>
  <c r="I14" i="44"/>
  <c r="I47" i="44"/>
  <c r="I29" i="44"/>
  <c r="I12" i="44"/>
  <c r="F19" i="21"/>
  <c r="I50" i="44"/>
  <c r="I32" i="44"/>
  <c r="I15" i="44"/>
  <c r="I33" i="44"/>
  <c r="F20" i="21"/>
  <c r="F19" i="20"/>
  <c r="F23" i="20"/>
  <c r="F27" i="20"/>
  <c r="C10" i="60"/>
  <c r="I23" i="44"/>
  <c r="I37" i="44"/>
  <c r="I53" i="44"/>
  <c r="F17" i="61"/>
  <c r="F26" i="61"/>
  <c r="F17" i="63"/>
  <c r="F22" i="63"/>
  <c r="F27" i="63"/>
  <c r="F16" i="64"/>
  <c r="F25" i="64"/>
  <c r="C11" i="58"/>
  <c r="F24" i="21"/>
  <c r="I20" i="44"/>
  <c r="I34" i="44"/>
  <c r="I38" i="44"/>
  <c r="I54" i="44"/>
  <c r="I58" i="44"/>
  <c r="F18" i="61"/>
  <c r="F23" i="61"/>
  <c r="F28" i="61"/>
  <c r="F18" i="63"/>
  <c r="F23" i="63"/>
  <c r="F17" i="64"/>
  <c r="F22" i="64"/>
  <c r="F27" i="64"/>
  <c r="C10" i="58"/>
  <c r="C10" i="65"/>
  <c r="F18" i="20"/>
  <c r="I17" i="44"/>
  <c r="I21" i="44"/>
  <c r="I35" i="44"/>
  <c r="I55" i="44"/>
  <c r="F19" i="61"/>
  <c r="F24" i="61"/>
  <c r="F19" i="63"/>
  <c r="F30" i="63"/>
  <c r="F23" i="64"/>
  <c r="C13" i="58"/>
  <c r="I40" i="44"/>
  <c r="F20" i="61"/>
  <c r="F31" i="61"/>
  <c r="C18" i="58"/>
  <c r="C17" i="58"/>
  <c r="C16" i="58"/>
  <c r="C19" i="58"/>
  <c r="C14" i="65"/>
  <c r="C15" i="65"/>
  <c r="C19" i="65"/>
  <c r="C18" i="65"/>
  <c r="I16" i="69"/>
  <c r="C12" i="54"/>
  <c r="C12" i="52"/>
  <c r="C10" i="53"/>
  <c r="C21" i="57"/>
  <c r="C20" i="57"/>
  <c r="C22" i="57"/>
  <c r="C15" i="57"/>
  <c r="F29" i="64"/>
  <c r="F29" i="63"/>
  <c r="F21" i="61"/>
  <c r="F20" i="20"/>
  <c r="I51" i="44"/>
  <c r="E50" i="26"/>
  <c r="F30" i="21"/>
  <c r="H28" i="47"/>
  <c r="H44" i="47"/>
  <c r="I39" i="44"/>
  <c r="F20" i="64"/>
  <c r="C14" i="54"/>
  <c r="F24" i="19"/>
  <c r="C10" i="57"/>
  <c r="H35" i="47"/>
  <c r="E36" i="47"/>
  <c r="H42" i="47"/>
  <c r="F25" i="61"/>
  <c r="I57" i="44"/>
  <c r="F20" i="19"/>
  <c r="C10" i="54"/>
  <c r="F24" i="20"/>
  <c r="H39" i="47"/>
  <c r="F24" i="63"/>
  <c r="C17" i="57"/>
  <c r="C12" i="60"/>
  <c r="C36" i="47"/>
  <c r="H55" i="47"/>
  <c r="H41" i="47"/>
  <c r="H56" i="47"/>
  <c r="C12" i="57"/>
  <c r="I36" i="44"/>
  <c r="F30" i="61"/>
  <c r="E35" i="26"/>
  <c r="F29" i="19"/>
  <c r="H50" i="47"/>
  <c r="F25" i="21"/>
  <c r="F21" i="21"/>
  <c r="C10" i="52"/>
  <c r="I19" i="44"/>
  <c r="F29" i="20"/>
  <c r="I16" i="44"/>
  <c r="B11" i="49"/>
  <c r="C9" i="49" s="1"/>
  <c r="C6" i="48" s="1"/>
  <c r="I11" i="55"/>
  <c r="I16" i="55"/>
  <c r="I17" i="58"/>
  <c r="I14" i="66"/>
  <c r="I12" i="58"/>
  <c r="I22" i="66"/>
  <c r="H21" i="57"/>
  <c r="I10" i="58"/>
  <c r="H18" i="65"/>
  <c r="H19" i="68"/>
  <c r="I12" i="69"/>
  <c r="I17" i="69"/>
  <c r="H15" i="71"/>
  <c r="H20" i="71"/>
  <c r="H10" i="54"/>
  <c r="I10" i="53"/>
  <c r="H12" i="54"/>
  <c r="I12" i="52"/>
  <c r="I10" i="52"/>
  <c r="I17" i="55"/>
  <c r="H15" i="57"/>
  <c r="I15" i="69"/>
  <c r="I10" i="70"/>
  <c r="H10" i="71"/>
  <c r="G6" i="16"/>
  <c r="G7" i="16"/>
  <c r="H11" i="69" s="1"/>
  <c r="I12" i="70"/>
  <c r="H22" i="71"/>
  <c r="H20" i="57"/>
  <c r="H11" i="57"/>
  <c r="I12" i="55"/>
  <c r="H21" i="71"/>
  <c r="H16" i="71"/>
  <c r="H12" i="71"/>
  <c r="H17" i="57"/>
  <c r="H12" i="57"/>
  <c r="I10" i="56"/>
  <c r="I10" i="55"/>
  <c r="H15" i="68"/>
  <c r="H11" i="68"/>
  <c r="H14" i="65"/>
  <c r="I19" i="58"/>
  <c r="I13" i="58"/>
  <c r="I10" i="67"/>
  <c r="H10" i="68"/>
  <c r="I12" i="67"/>
  <c r="I23" i="66"/>
  <c r="I18" i="66"/>
  <c r="H19" i="65"/>
  <c r="H11" i="65"/>
  <c r="C16" i="57"/>
  <c r="C11" i="57"/>
  <c r="I12" i="71" l="1"/>
  <c r="F9" i="49"/>
  <c r="C27" i="48" s="1"/>
  <c r="D11" i="37" s="1"/>
  <c r="L11" i="37" s="1"/>
  <c r="F10" i="49"/>
  <c r="D36" i="48" s="1"/>
  <c r="B36" i="48"/>
  <c r="C7" i="35" s="1"/>
  <c r="E7" i="35" s="1"/>
  <c r="C22" i="37" s="1"/>
  <c r="B38" i="48"/>
  <c r="C24" i="37" s="1"/>
  <c r="I24" i="37" s="1"/>
  <c r="B37" i="48"/>
  <c r="B39" i="48"/>
  <c r="C25" i="37" s="1"/>
  <c r="I25" i="37" s="1"/>
  <c r="H19" i="66"/>
  <c r="G19" i="65"/>
  <c r="H18" i="58"/>
  <c r="G20" i="57"/>
  <c r="G18" i="68"/>
  <c r="H23" i="66"/>
  <c r="G22" i="71"/>
  <c r="G19" i="68"/>
  <c r="G21" i="57"/>
  <c r="H17" i="55"/>
  <c r="H19" i="58"/>
  <c r="G20" i="71"/>
  <c r="H10" i="53"/>
  <c r="H11" i="67"/>
  <c r="H11" i="70"/>
  <c r="H11" i="60"/>
  <c r="H11" i="56"/>
  <c r="J10" i="70"/>
  <c r="J11" i="70"/>
  <c r="J10" i="60"/>
  <c r="J11" i="60"/>
  <c r="I11" i="71"/>
  <c r="C21" i="42"/>
  <c r="D19" i="42" s="1"/>
  <c r="E15" i="29"/>
  <c r="G21" i="42"/>
  <c r="H20" i="42" s="1"/>
  <c r="G12" i="54"/>
  <c r="G14" i="65"/>
  <c r="G16" i="57"/>
  <c r="H13" i="58"/>
  <c r="G14" i="68"/>
  <c r="G15" i="71"/>
  <c r="H10" i="52"/>
  <c r="H10" i="69"/>
  <c r="G17" i="71"/>
  <c r="H12" i="55"/>
  <c r="H11" i="58"/>
  <c r="F13" i="42"/>
  <c r="K33" i="44" s="1"/>
  <c r="G16" i="63"/>
  <c r="G19" i="63"/>
  <c r="G18" i="63"/>
  <c r="B22" i="63" s="1"/>
  <c r="G23" i="63" s="1"/>
  <c r="H12" i="66"/>
  <c r="H13" i="66"/>
  <c r="H10" i="66"/>
  <c r="H15" i="66"/>
  <c r="H10" i="58"/>
  <c r="H10" i="55"/>
  <c r="H11" i="55"/>
  <c r="H12" i="69"/>
  <c r="G15" i="57"/>
  <c r="G15" i="65"/>
  <c r="G12" i="42"/>
  <c r="H9" i="42" s="1"/>
  <c r="G17" i="63"/>
  <c r="C39" i="42"/>
  <c r="D36" i="42" s="1"/>
  <c r="G17" i="19"/>
  <c r="G20" i="19"/>
  <c r="I11" i="65"/>
  <c r="H48" i="47"/>
  <c r="H12" i="58"/>
  <c r="G59" i="47"/>
  <c r="D40" i="48"/>
  <c r="E27" i="37" s="1"/>
  <c r="O27" i="37" s="1"/>
  <c r="D42" i="48"/>
  <c r="E30" i="37" s="1"/>
  <c r="B6" i="45"/>
  <c r="C48" i="42"/>
  <c r="D46" i="42" s="1"/>
  <c r="G39" i="42"/>
  <c r="H38" i="42" s="1"/>
  <c r="J13" i="58"/>
  <c r="J11" i="58"/>
  <c r="J10" i="58"/>
  <c r="C30" i="42"/>
  <c r="D28" i="42" s="1"/>
  <c r="G19" i="21"/>
  <c r="B23" i="21" s="1"/>
  <c r="G24" i="21" s="1"/>
  <c r="G21" i="21"/>
  <c r="G18" i="21"/>
  <c r="G20" i="21"/>
  <c r="I15" i="71"/>
  <c r="G48" i="42"/>
  <c r="H47" i="42" s="1"/>
  <c r="G16" i="19"/>
  <c r="I16" i="71"/>
  <c r="H12" i="70"/>
  <c r="C42" i="48"/>
  <c r="D30" i="37" s="1"/>
  <c r="D33" i="48"/>
  <c r="E17" i="37" s="1"/>
  <c r="O17" i="37" s="1"/>
  <c r="D28" i="48"/>
  <c r="E12" i="37" s="1"/>
  <c r="O12" i="37" s="1"/>
  <c r="G17" i="21"/>
  <c r="B13" i="42"/>
  <c r="K15" i="44" s="1"/>
  <c r="J12" i="60"/>
  <c r="B12" i="21"/>
  <c r="D11" i="21" s="1"/>
  <c r="J40" i="24"/>
  <c r="D13" i="24" s="1"/>
  <c r="F13" i="24"/>
  <c r="F14" i="24" s="1"/>
  <c r="G8" i="24" s="1"/>
  <c r="I14" i="65"/>
  <c r="E40" i="24"/>
  <c r="B11" i="19"/>
  <c r="D10" i="19" s="1"/>
  <c r="D41" i="24"/>
  <c r="H20" i="66"/>
  <c r="H17" i="69"/>
  <c r="H16" i="69"/>
  <c r="H16" i="58"/>
  <c r="H18" i="66"/>
  <c r="H15" i="69"/>
  <c r="G22" i="57"/>
  <c r="H17" i="58"/>
  <c r="G21" i="71"/>
  <c r="G14" i="54"/>
  <c r="H21" i="66"/>
  <c r="H12" i="52"/>
  <c r="H10" i="56"/>
  <c r="H16" i="55"/>
  <c r="H22" i="66"/>
  <c r="H15" i="55"/>
  <c r="G15" i="68"/>
  <c r="H14" i="66"/>
  <c r="G17" i="57"/>
  <c r="B33" i="48"/>
  <c r="C17" i="37" s="1"/>
  <c r="I17" i="37" s="1"/>
  <c r="B30" i="48"/>
  <c r="C14" i="37" s="1"/>
  <c r="I14" i="37" s="1"/>
  <c r="B47" i="48"/>
  <c r="C36" i="37" s="1"/>
  <c r="I36" i="37" s="1"/>
  <c r="B41" i="48"/>
  <c r="C29" i="37" s="1"/>
  <c r="B48" i="48"/>
  <c r="C37" i="37" s="1"/>
  <c r="I37" i="37" s="1"/>
  <c r="B42" i="48"/>
  <c r="C30" i="37" s="1"/>
  <c r="B31" i="48"/>
  <c r="C15" i="37" s="1"/>
  <c r="I15" i="37" s="1"/>
  <c r="B29" i="48"/>
  <c r="B55" i="48"/>
  <c r="C8" i="35" s="1"/>
  <c r="E8" i="35" s="1"/>
  <c r="C26" i="37" s="1"/>
  <c r="H26" i="37" s="1"/>
  <c r="B32" i="48"/>
  <c r="C16" i="37" s="1"/>
  <c r="I16" i="37" s="1"/>
  <c r="B28" i="48"/>
  <c r="C12" i="37" s="1"/>
  <c r="I12" i="37" s="1"/>
  <c r="B46" i="48"/>
  <c r="C35" i="37" s="1"/>
  <c r="B7" i="48"/>
  <c r="B40" i="48"/>
  <c r="C27" i="37" s="1"/>
  <c r="I27" i="37" s="1"/>
  <c r="B43" i="48"/>
  <c r="C28" i="37" s="1"/>
  <c r="G28" i="37" s="1"/>
  <c r="B26" i="48"/>
  <c r="C10" i="37" s="1"/>
  <c r="B51" i="48"/>
  <c r="C41" i="37" s="1"/>
  <c r="G41" i="37" s="1"/>
  <c r="B52" i="48"/>
  <c r="C42" i="37" s="1"/>
  <c r="G42" i="37" s="1"/>
  <c r="B27" i="48"/>
  <c r="C11" i="37" s="1"/>
  <c r="I11" i="37" s="1"/>
  <c r="C31" i="48"/>
  <c r="C32" i="48"/>
  <c r="D16" i="37" s="1"/>
  <c r="L16" i="37" s="1"/>
  <c r="C10" i="49"/>
  <c r="D6" i="48" s="1"/>
  <c r="C8" i="49"/>
  <c r="J12" i="69"/>
  <c r="J10" i="69"/>
  <c r="H14" i="24"/>
  <c r="I13" i="24" s="1"/>
  <c r="G30" i="42"/>
  <c r="H29" i="42" s="1"/>
  <c r="D12" i="24"/>
  <c r="B11" i="63"/>
  <c r="D6" i="63" s="1"/>
  <c r="B11" i="20"/>
  <c r="D6" i="20" s="1"/>
  <c r="G16" i="20"/>
  <c r="G17" i="20"/>
  <c r="G19" i="20"/>
  <c r="G18" i="20"/>
  <c r="B22" i="20" s="1"/>
  <c r="D9" i="24"/>
  <c r="G19" i="19"/>
  <c r="C12" i="42"/>
  <c r="D10" i="42" s="1"/>
  <c r="D12" i="42" s="1"/>
  <c r="G18" i="19"/>
  <c r="B22" i="19" s="1"/>
  <c r="J27" i="24"/>
  <c r="J12" i="70"/>
  <c r="H57" i="47"/>
  <c r="H53" i="47"/>
  <c r="E59" i="47"/>
  <c r="C59" i="47"/>
  <c r="F59" i="47"/>
  <c r="D59" i="47"/>
  <c r="H36" i="47"/>
  <c r="I11" i="58"/>
  <c r="I13" i="66"/>
  <c r="I20" i="66"/>
  <c r="G16" i="71"/>
  <c r="H11" i="66"/>
  <c r="G10" i="71"/>
  <c r="G10" i="68"/>
  <c r="H12" i="56"/>
  <c r="H10" i="60"/>
  <c r="G12" i="71"/>
  <c r="G11" i="65"/>
  <c r="G11" i="71"/>
  <c r="H10" i="70"/>
  <c r="G10" i="65"/>
  <c r="H12" i="60"/>
  <c r="H12" i="67"/>
  <c r="G10" i="57"/>
  <c r="G11" i="68"/>
  <c r="G12" i="57"/>
  <c r="H10" i="67"/>
  <c r="G11" i="57"/>
  <c r="G10" i="54"/>
  <c r="C36" i="48" l="1"/>
  <c r="H11" i="42"/>
  <c r="H12" i="42" s="1"/>
  <c r="D52" i="48"/>
  <c r="E42" i="37" s="1"/>
  <c r="M42" i="37" s="1"/>
  <c r="D55" i="48"/>
  <c r="C14" i="35" s="1"/>
  <c r="E14" i="35" s="1"/>
  <c r="E26" i="37" s="1"/>
  <c r="N26" i="37" s="1"/>
  <c r="C28" i="48"/>
  <c r="D12" i="37" s="1"/>
  <c r="L12" i="37" s="1"/>
  <c r="C52" i="48"/>
  <c r="D42" i="37" s="1"/>
  <c r="J42" i="37" s="1"/>
  <c r="C41" i="48"/>
  <c r="D29" i="37" s="1"/>
  <c r="C51" i="48"/>
  <c r="D41" i="37" s="1"/>
  <c r="J41" i="37" s="1"/>
  <c r="C55" i="48"/>
  <c r="C11" i="35" s="1"/>
  <c r="E11" i="35" s="1"/>
  <c r="D26" i="37" s="1"/>
  <c r="K26" i="37" s="1"/>
  <c r="D47" i="48"/>
  <c r="E36" i="37" s="1"/>
  <c r="O36" i="37" s="1"/>
  <c r="C33" i="48"/>
  <c r="D17" i="37" s="1"/>
  <c r="L17" i="37" s="1"/>
  <c r="D41" i="48"/>
  <c r="E29" i="37" s="1"/>
  <c r="C46" i="48"/>
  <c r="D35" i="37" s="1"/>
  <c r="L35" i="37" s="1"/>
  <c r="D7" i="48"/>
  <c r="C7" i="44" s="1"/>
  <c r="C48" i="48"/>
  <c r="D37" i="37" s="1"/>
  <c r="L37" i="37" s="1"/>
  <c r="C29" i="48"/>
  <c r="D13" i="37" s="1"/>
  <c r="L13" i="37" s="1"/>
  <c r="D51" i="48"/>
  <c r="E41" i="37" s="1"/>
  <c r="E43" i="37" s="1"/>
  <c r="D43" i="48"/>
  <c r="E28" i="37" s="1"/>
  <c r="M28" i="37" s="1"/>
  <c r="D29" i="48"/>
  <c r="E13" i="37" s="1"/>
  <c r="O13" i="37" s="1"/>
  <c r="D48" i="48"/>
  <c r="E37" i="37" s="1"/>
  <c r="O37" i="37" s="1"/>
  <c r="F11" i="49"/>
  <c r="D46" i="48"/>
  <c r="E35" i="37" s="1"/>
  <c r="O35" i="37" s="1"/>
  <c r="D32" i="48"/>
  <c r="E16" i="37" s="1"/>
  <c r="O16" i="37" s="1"/>
  <c r="C38" i="48"/>
  <c r="D24" i="37" s="1"/>
  <c r="L24" i="37" s="1"/>
  <c r="C39" i="48"/>
  <c r="D25" i="37" s="1"/>
  <c r="L25" i="37" s="1"/>
  <c r="C47" i="48"/>
  <c r="D36" i="37" s="1"/>
  <c r="L36" i="37" s="1"/>
  <c r="C37" i="48"/>
  <c r="D23" i="37" s="1"/>
  <c r="J23" i="37" s="1"/>
  <c r="C7" i="48"/>
  <c r="C6" i="44" s="1"/>
  <c r="C26" i="48"/>
  <c r="D10" i="37" s="1"/>
  <c r="L10" i="37" s="1"/>
  <c r="C40" i="48"/>
  <c r="D27" i="37" s="1"/>
  <c r="L27" i="37" s="1"/>
  <c r="C30" i="48"/>
  <c r="D14" i="37" s="1"/>
  <c r="L14" i="37" s="1"/>
  <c r="C43" i="48"/>
  <c r="D28" i="37" s="1"/>
  <c r="J28" i="37" s="1"/>
  <c r="D31" i="48"/>
  <c r="E15" i="37" s="1"/>
  <c r="O15" i="37" s="1"/>
  <c r="D30" i="48"/>
  <c r="E14" i="37" s="1"/>
  <c r="O14" i="37" s="1"/>
  <c r="D26" i="48"/>
  <c r="E10" i="37" s="1"/>
  <c r="O10" i="37" s="1"/>
  <c r="D27" i="48"/>
  <c r="E11" i="37" s="1"/>
  <c r="O11" i="37" s="1"/>
  <c r="D38" i="48"/>
  <c r="E24" i="37" s="1"/>
  <c r="O24" i="37" s="1"/>
  <c r="D39" i="48"/>
  <c r="E25" i="37" s="1"/>
  <c r="O25" i="37" s="1"/>
  <c r="D37" i="48"/>
  <c r="E23" i="37" s="1"/>
  <c r="M23" i="37" s="1"/>
  <c r="D20" i="42"/>
  <c r="D18" i="42"/>
  <c r="H19" i="42"/>
  <c r="H18" i="42"/>
  <c r="D38" i="42"/>
  <c r="D37" i="42"/>
  <c r="B27" i="63"/>
  <c r="D45" i="63" s="1"/>
  <c r="G23" i="21"/>
  <c r="D27" i="42"/>
  <c r="H36" i="42"/>
  <c r="H37" i="42"/>
  <c r="K30" i="44"/>
  <c r="K31" i="44"/>
  <c r="K32" i="44"/>
  <c r="K29" i="44"/>
  <c r="C10" i="35"/>
  <c r="E10" i="35" s="1"/>
  <c r="D22" i="37" s="1"/>
  <c r="K22" i="37" s="1"/>
  <c r="C23" i="37"/>
  <c r="G23" i="37" s="1"/>
  <c r="G32" i="37" s="1"/>
  <c r="G29" i="37" s="1"/>
  <c r="B44" i="48"/>
  <c r="C13" i="35"/>
  <c r="E13" i="35" s="1"/>
  <c r="E22" i="37" s="1"/>
  <c r="H45" i="42"/>
  <c r="D29" i="42"/>
  <c r="D9" i="19"/>
  <c r="D45" i="42"/>
  <c r="D47" i="42"/>
  <c r="H27" i="42"/>
  <c r="E42" i="48"/>
  <c r="G43" i="37"/>
  <c r="B53" i="48"/>
  <c r="K13" i="44"/>
  <c r="K16" i="44"/>
  <c r="K12" i="44"/>
  <c r="G26" i="21"/>
  <c r="D8" i="21"/>
  <c r="D10" i="21"/>
  <c r="D6" i="21"/>
  <c r="J41" i="24"/>
  <c r="D9" i="21"/>
  <c r="D42" i="21"/>
  <c r="D43" i="21" s="1"/>
  <c r="F41" i="21" s="1"/>
  <c r="G25" i="21"/>
  <c r="B34" i="21" s="1"/>
  <c r="G34" i="21" s="1"/>
  <c r="G24" i="63"/>
  <c r="B33" i="63" s="1"/>
  <c r="G33" i="63" s="1"/>
  <c r="H46" i="42"/>
  <c r="D11" i="19"/>
  <c r="D5" i="19"/>
  <c r="D6" i="19"/>
  <c r="D8" i="19"/>
  <c r="D7" i="19"/>
  <c r="H28" i="42"/>
  <c r="B28" i="21"/>
  <c r="K14" i="44"/>
  <c r="E28" i="48"/>
  <c r="E52" i="48"/>
  <c r="D7" i="21"/>
  <c r="D41" i="63"/>
  <c r="D42" i="63" s="1"/>
  <c r="F40" i="63" s="1"/>
  <c r="E36" i="48"/>
  <c r="B34" i="48"/>
  <c r="B49" i="48"/>
  <c r="D15" i="37"/>
  <c r="L15" i="37" s="1"/>
  <c r="C13" i="37"/>
  <c r="I13" i="37" s="1"/>
  <c r="C43" i="37"/>
  <c r="C5" i="44"/>
  <c r="F6" i="43"/>
  <c r="C16" i="29"/>
  <c r="G15" i="29"/>
  <c r="I22" i="71"/>
  <c r="J16" i="69"/>
  <c r="B6" i="48"/>
  <c r="C11" i="49"/>
  <c r="I8" i="24"/>
  <c r="C32" i="44" s="1"/>
  <c r="D14" i="24"/>
  <c r="E11" i="24" s="1"/>
  <c r="I11" i="24"/>
  <c r="E26" i="31" s="1"/>
  <c r="I9" i="24"/>
  <c r="C35" i="44" s="1"/>
  <c r="I12" i="24"/>
  <c r="C41" i="44" s="1"/>
  <c r="I10" i="24"/>
  <c r="C38" i="44" s="1"/>
  <c r="D5" i="63"/>
  <c r="D10" i="63"/>
  <c r="D8" i="63"/>
  <c r="D11" i="63"/>
  <c r="D7" i="63"/>
  <c r="D9" i="63"/>
  <c r="G22" i="63"/>
  <c r="G25" i="63"/>
  <c r="G13" i="24"/>
  <c r="D9" i="20"/>
  <c r="D10" i="20"/>
  <c r="D8" i="20"/>
  <c r="D5" i="20"/>
  <c r="D7" i="20"/>
  <c r="G12" i="24"/>
  <c r="C24" i="44" s="1"/>
  <c r="G22" i="20"/>
  <c r="G25" i="20"/>
  <c r="G23" i="20"/>
  <c r="B27" i="20" s="1"/>
  <c r="G24" i="20"/>
  <c r="B33" i="20" s="1"/>
  <c r="G33" i="20" s="1"/>
  <c r="D41" i="20"/>
  <c r="G11" i="24"/>
  <c r="C22" i="44" s="1"/>
  <c r="G10" i="24"/>
  <c r="C21" i="44" s="1"/>
  <c r="G9" i="24"/>
  <c r="C13" i="44"/>
  <c r="C16" i="44"/>
  <c r="C14" i="44"/>
  <c r="C12" i="44"/>
  <c r="C15" i="44"/>
  <c r="G25" i="19"/>
  <c r="G22" i="19"/>
  <c r="D41" i="19"/>
  <c r="G24" i="19"/>
  <c r="B33" i="19" s="1"/>
  <c r="G33" i="19" s="1"/>
  <c r="G23" i="19"/>
  <c r="B27" i="19" s="1"/>
  <c r="I35" i="37"/>
  <c r="H22" i="37"/>
  <c r="C53" i="48" l="1"/>
  <c r="E41" i="48"/>
  <c r="E55" i="48"/>
  <c r="J43" i="37"/>
  <c r="I20" i="71"/>
  <c r="L38" i="37"/>
  <c r="F22" i="43"/>
  <c r="I22" i="57"/>
  <c r="J16" i="55"/>
  <c r="I21" i="57"/>
  <c r="J21" i="66"/>
  <c r="I21" i="71"/>
  <c r="J15" i="69"/>
  <c r="C17" i="35"/>
  <c r="J18" i="58"/>
  <c r="J23" i="66"/>
  <c r="D53" i="48"/>
  <c r="I19" i="65"/>
  <c r="J17" i="69"/>
  <c r="I18" i="68"/>
  <c r="I14" i="54"/>
  <c r="J22" i="66"/>
  <c r="I20" i="57"/>
  <c r="E47" i="48"/>
  <c r="J17" i="55"/>
  <c r="J19" i="58"/>
  <c r="I18" i="65"/>
  <c r="J16" i="58"/>
  <c r="E33" i="48"/>
  <c r="D35" i="44"/>
  <c r="G16" i="29"/>
  <c r="G17" i="29" s="1"/>
  <c r="F14" i="43"/>
  <c r="D38" i="44"/>
  <c r="J15" i="55"/>
  <c r="D41" i="44"/>
  <c r="J18" i="66"/>
  <c r="J20" i="66"/>
  <c r="O18" i="37"/>
  <c r="M41" i="37"/>
  <c r="M43" i="37" s="1"/>
  <c r="E51" i="48"/>
  <c r="E53" i="48" s="1"/>
  <c r="E18" i="37"/>
  <c r="E43" i="48"/>
  <c r="C49" i="48"/>
  <c r="E32" i="48"/>
  <c r="J12" i="52"/>
  <c r="J19" i="66"/>
  <c r="J17" i="58"/>
  <c r="I19" i="68"/>
  <c r="E38" i="37"/>
  <c r="D49" i="48"/>
  <c r="O38" i="37"/>
  <c r="E38" i="48"/>
  <c r="D38" i="37"/>
  <c r="E48" i="48"/>
  <c r="E26" i="48"/>
  <c r="E29" i="48"/>
  <c r="E7" i="48"/>
  <c r="C4" i="44" s="1"/>
  <c r="E40" i="48"/>
  <c r="L18" i="37"/>
  <c r="E46" i="48"/>
  <c r="E30" i="48"/>
  <c r="K32" i="37"/>
  <c r="K29" i="37" s="1"/>
  <c r="K33" i="37" s="1"/>
  <c r="K30" i="37" s="1"/>
  <c r="D32" i="44"/>
  <c r="G32" i="44" s="1"/>
  <c r="J32" i="44" s="1"/>
  <c r="L32" i="44" s="1"/>
  <c r="C44" i="48"/>
  <c r="C34" i="48"/>
  <c r="E16" i="29"/>
  <c r="E17" i="29" s="1"/>
  <c r="E27" i="48"/>
  <c r="E31" i="48"/>
  <c r="E39" i="48"/>
  <c r="D34" i="48"/>
  <c r="D44" i="48"/>
  <c r="E37" i="48"/>
  <c r="H21" i="42"/>
  <c r="D21" i="42"/>
  <c r="G27" i="63"/>
  <c r="D50" i="63" s="1"/>
  <c r="D39" i="42"/>
  <c r="H39" i="42"/>
  <c r="H30" i="42"/>
  <c r="E31" i="37"/>
  <c r="D48" i="42"/>
  <c r="D30" i="42"/>
  <c r="C31" i="37"/>
  <c r="H48" i="42"/>
  <c r="C16" i="35"/>
  <c r="E33" i="37"/>
  <c r="E32" i="37"/>
  <c r="O32" i="37"/>
  <c r="O29" i="37" s="1"/>
  <c r="O33" i="37" s="1"/>
  <c r="O30" i="37" s="1"/>
  <c r="O31" i="37" s="1"/>
  <c r="O45" i="37" s="1"/>
  <c r="C21" i="32" s="1"/>
  <c r="M32" i="37"/>
  <c r="M29" i="37" s="1"/>
  <c r="M33" i="37" s="1"/>
  <c r="M30" i="37" s="1"/>
  <c r="M31" i="37" s="1"/>
  <c r="I32" i="37"/>
  <c r="I29" i="37" s="1"/>
  <c r="I33" i="37" s="1"/>
  <c r="I30" i="37" s="1"/>
  <c r="I31" i="37" s="1"/>
  <c r="C33" i="37"/>
  <c r="C32" i="37"/>
  <c r="N22" i="37"/>
  <c r="N32" i="37" s="1"/>
  <c r="N29" i="37" s="1"/>
  <c r="N33" i="37" s="1"/>
  <c r="N30" i="37" s="1"/>
  <c r="L32" i="37"/>
  <c r="L29" i="37" s="1"/>
  <c r="L33" i="37" s="1"/>
  <c r="L30" i="37" s="1"/>
  <c r="L31" i="37" s="1"/>
  <c r="D31" i="37"/>
  <c r="J32" i="37"/>
  <c r="J29" i="37" s="1"/>
  <c r="J33" i="37" s="1"/>
  <c r="J30" i="37" s="1"/>
  <c r="J31" i="37" s="1"/>
  <c r="J45" i="37" s="1"/>
  <c r="E9" i="29" s="1"/>
  <c r="D32" i="37"/>
  <c r="D33" i="37"/>
  <c r="D43" i="37"/>
  <c r="D12" i="21"/>
  <c r="D14" i="44"/>
  <c r="G14" i="44" s="1"/>
  <c r="J14" i="44" s="1"/>
  <c r="E20" i="44" s="1"/>
  <c r="E8" i="24"/>
  <c r="C39" i="44"/>
  <c r="D39" i="44" s="1"/>
  <c r="E26" i="40"/>
  <c r="E12" i="24"/>
  <c r="D21" i="44"/>
  <c r="B57" i="48"/>
  <c r="B59" i="48" s="1"/>
  <c r="D18" i="37"/>
  <c r="C30" i="44"/>
  <c r="D30" i="44" s="1"/>
  <c r="G30" i="44" s="1"/>
  <c r="J30" i="44" s="1"/>
  <c r="L30" i="44" s="1"/>
  <c r="C29" i="44"/>
  <c r="D29" i="44" s="1"/>
  <c r="G29" i="44" s="1"/>
  <c r="J29" i="44" s="1"/>
  <c r="L29" i="44" s="1"/>
  <c r="C33" i="44"/>
  <c r="D33" i="44" s="1"/>
  <c r="G33" i="44" s="1"/>
  <c r="J33" i="44" s="1"/>
  <c r="L33" i="44" s="1"/>
  <c r="E9" i="24"/>
  <c r="E10" i="24"/>
  <c r="E13" i="24"/>
  <c r="C31" i="44"/>
  <c r="D31" i="44" s="1"/>
  <c r="G31" i="44" s="1"/>
  <c r="J31" i="44" s="1"/>
  <c r="L31" i="44" s="1"/>
  <c r="D50" i="21"/>
  <c r="G28" i="21"/>
  <c r="B30" i="21" s="1"/>
  <c r="G31" i="21" s="1"/>
  <c r="D46" i="21"/>
  <c r="D47" i="21" s="1"/>
  <c r="F45" i="21" s="1"/>
  <c r="D15" i="44"/>
  <c r="G15" i="44" s="1"/>
  <c r="J15" i="44" s="1"/>
  <c r="L15" i="44" s="1"/>
  <c r="D22" i="44"/>
  <c r="D12" i="44"/>
  <c r="G12" i="44" s="1"/>
  <c r="J12" i="44" s="1"/>
  <c r="L12" i="44" s="1"/>
  <c r="D16" i="44"/>
  <c r="G16" i="44" s="1"/>
  <c r="J16" i="44" s="1"/>
  <c r="L16" i="44" s="1"/>
  <c r="D13" i="44"/>
  <c r="G13" i="44" s="1"/>
  <c r="J13" i="44" s="1"/>
  <c r="L13" i="44" s="1"/>
  <c r="D24" i="44"/>
  <c r="C23" i="44"/>
  <c r="D23" i="44" s="1"/>
  <c r="C37" i="44"/>
  <c r="D37" i="44" s="1"/>
  <c r="C38" i="37"/>
  <c r="I38" i="37"/>
  <c r="C15" i="29"/>
  <c r="C17" i="29" s="1"/>
  <c r="E6" i="48"/>
  <c r="E29" i="40"/>
  <c r="E29" i="31"/>
  <c r="E23" i="40"/>
  <c r="E23" i="31"/>
  <c r="C40" i="44"/>
  <c r="D40" i="44" s="1"/>
  <c r="C34" i="44"/>
  <c r="D34" i="44" s="1"/>
  <c r="I14" i="24"/>
  <c r="C36" i="44"/>
  <c r="D36" i="44" s="1"/>
  <c r="C10" i="55"/>
  <c r="F42" i="21"/>
  <c r="F41" i="63"/>
  <c r="F42" i="63" s="1"/>
  <c r="D46" i="63"/>
  <c r="F44" i="63" s="1"/>
  <c r="D11" i="20"/>
  <c r="C29" i="31"/>
  <c r="D42" i="20"/>
  <c r="F40" i="20" s="1"/>
  <c r="G27" i="20"/>
  <c r="D50" i="20" s="1"/>
  <c r="D45" i="20"/>
  <c r="C26" i="31"/>
  <c r="C26" i="40"/>
  <c r="C29" i="40"/>
  <c r="C23" i="31"/>
  <c r="G14" i="24"/>
  <c r="C23" i="40"/>
  <c r="C18" i="44"/>
  <c r="D18" i="44" s="1"/>
  <c r="C17" i="44"/>
  <c r="D17" i="44" s="1"/>
  <c r="C19" i="44"/>
  <c r="D19" i="44" s="1"/>
  <c r="C20" i="44"/>
  <c r="D20" i="44" s="1"/>
  <c r="D42" i="19"/>
  <c r="F40" i="19" s="1"/>
  <c r="G27" i="19"/>
  <c r="D50" i="19" s="1"/>
  <c r="D45" i="19"/>
  <c r="G33" i="37"/>
  <c r="G30" i="37" s="1"/>
  <c r="G31" i="37" s="1"/>
  <c r="G45" i="37" s="1"/>
  <c r="H32" i="37"/>
  <c r="H29" i="37" s="1"/>
  <c r="H33" i="37" s="1"/>
  <c r="H30" i="37" s="1"/>
  <c r="E49" i="48" l="1"/>
  <c r="M45" i="37"/>
  <c r="C22" i="32" s="1"/>
  <c r="K31" i="37"/>
  <c r="K45" i="37" s="1"/>
  <c r="C17" i="32" s="1"/>
  <c r="L45" i="37"/>
  <c r="E8" i="29" s="1"/>
  <c r="E45" i="37"/>
  <c r="E44" i="48"/>
  <c r="E34" i="48"/>
  <c r="C57" i="48"/>
  <c r="C59" i="48" s="1"/>
  <c r="D57" i="48"/>
  <c r="D59" i="48" s="1"/>
  <c r="B29" i="63"/>
  <c r="G30" i="63" s="1"/>
  <c r="E18" i="44"/>
  <c r="G18" i="44" s="1"/>
  <c r="J18" i="44" s="1"/>
  <c r="E21" i="44" s="1"/>
  <c r="G21" i="44" s="1"/>
  <c r="J21" i="44" s="1"/>
  <c r="L14" i="44"/>
  <c r="E19" i="44"/>
  <c r="G19" i="44" s="1"/>
  <c r="J19" i="44" s="1"/>
  <c r="E17" i="44"/>
  <c r="G17" i="44" s="1"/>
  <c r="J17" i="44" s="1"/>
  <c r="G20" i="44"/>
  <c r="J20" i="44" s="1"/>
  <c r="N31" i="37"/>
  <c r="N45" i="37" s="1"/>
  <c r="C23" i="32" s="1"/>
  <c r="D45" i="37"/>
  <c r="E35" i="44"/>
  <c r="G35" i="44" s="1"/>
  <c r="J35" i="44" s="1"/>
  <c r="E38" i="44" s="1"/>
  <c r="G38" i="44" s="1"/>
  <c r="J38" i="44" s="1"/>
  <c r="G9" i="29"/>
  <c r="E34" i="44"/>
  <c r="G34" i="44" s="1"/>
  <c r="J34" i="44" s="1"/>
  <c r="E14" i="24"/>
  <c r="F46" i="21"/>
  <c r="F47" i="21" s="1"/>
  <c r="G30" i="21"/>
  <c r="D56" i="21" s="1"/>
  <c r="E36" i="44"/>
  <c r="G36" i="44" s="1"/>
  <c r="J36" i="44" s="1"/>
  <c r="E37" i="44"/>
  <c r="G37" i="44" s="1"/>
  <c r="J37" i="44" s="1"/>
  <c r="D51" i="21"/>
  <c r="D52" i="21" s="1"/>
  <c r="F51" i="21" s="1"/>
  <c r="G8" i="29"/>
  <c r="C12" i="55"/>
  <c r="C11" i="55"/>
  <c r="F43" i="21"/>
  <c r="F45" i="63"/>
  <c r="F46" i="63" s="1"/>
  <c r="C10" i="56"/>
  <c r="F41" i="20"/>
  <c r="C11" i="56" s="1"/>
  <c r="D46" i="20"/>
  <c r="F44" i="20" s="1"/>
  <c r="B29" i="20"/>
  <c r="B29" i="19"/>
  <c r="G30" i="19" s="1"/>
  <c r="F41" i="19"/>
  <c r="F42" i="19" s="1"/>
  <c r="D46" i="19"/>
  <c r="F44" i="19" s="1"/>
  <c r="C16" i="32"/>
  <c r="C10" i="32"/>
  <c r="C9" i="29"/>
  <c r="H31" i="37"/>
  <c r="H45" i="37" s="1"/>
  <c r="C15" i="32" l="1"/>
  <c r="E10" i="29"/>
  <c r="E11" i="29" s="1"/>
  <c r="E19" i="29" s="1"/>
  <c r="E32" i="31" s="1"/>
  <c r="E57" i="48"/>
  <c r="E59" i="48" s="1"/>
  <c r="G29" i="63"/>
  <c r="D55" i="63" s="1"/>
  <c r="D49" i="63"/>
  <c r="D51" i="63" s="1"/>
  <c r="G10" i="29"/>
  <c r="G11" i="29" s="1"/>
  <c r="G19" i="29" s="1"/>
  <c r="G32" i="31" s="1"/>
  <c r="F49" i="21"/>
  <c r="C10" i="66" s="1"/>
  <c r="C12" i="66" s="1"/>
  <c r="F50" i="21"/>
  <c r="C11" i="66" s="1"/>
  <c r="C13" i="66" s="1"/>
  <c r="E39" i="44"/>
  <c r="G39" i="44" s="1"/>
  <c r="J39" i="44" s="1"/>
  <c r="E41" i="44" s="1"/>
  <c r="G41" i="44" s="1"/>
  <c r="J41" i="44" s="1"/>
  <c r="C12" i="33" s="1"/>
  <c r="B17" i="32" s="1"/>
  <c r="D17" i="32" s="1"/>
  <c r="E30" i="31" s="1"/>
  <c r="B33" i="21"/>
  <c r="D55" i="21" s="1"/>
  <c r="D57" i="21" s="1"/>
  <c r="F55" i="21" s="1"/>
  <c r="E40" i="44"/>
  <c r="G40" i="44" s="1"/>
  <c r="J40" i="44" s="1"/>
  <c r="C14" i="33"/>
  <c r="B15" i="32" s="1"/>
  <c r="D15" i="32" s="1"/>
  <c r="G30" i="20"/>
  <c r="G29" i="20"/>
  <c r="D49" i="20"/>
  <c r="F45" i="20"/>
  <c r="F46" i="20" s="1"/>
  <c r="C12" i="56"/>
  <c r="F42" i="20"/>
  <c r="E23" i="44"/>
  <c r="G23" i="44" s="1"/>
  <c r="J23" i="44" s="1"/>
  <c r="C9" i="33"/>
  <c r="B9" i="32" s="1"/>
  <c r="E22" i="44"/>
  <c r="G22" i="44" s="1"/>
  <c r="J22" i="44" s="1"/>
  <c r="D49" i="19"/>
  <c r="D51" i="19" s="1"/>
  <c r="F49" i="19" s="1"/>
  <c r="G29" i="19"/>
  <c r="B32" i="19" s="1"/>
  <c r="F45" i="19"/>
  <c r="F46" i="19" s="1"/>
  <c r="C11" i="32"/>
  <c r="C10" i="29"/>
  <c r="C13" i="33" l="1"/>
  <c r="B16" i="32" s="1"/>
  <c r="D16" i="32" s="1"/>
  <c r="E27" i="31" s="1"/>
  <c r="E34" i="31" s="1"/>
  <c r="E39" i="31" s="1"/>
  <c r="B32" i="63"/>
  <c r="D54" i="63" s="1"/>
  <c r="F52" i="21"/>
  <c r="C14" i="66"/>
  <c r="C15" i="66" s="1"/>
  <c r="G33" i="21"/>
  <c r="B36" i="21" s="1"/>
  <c r="F54" i="21"/>
  <c r="F56" i="21"/>
  <c r="F48" i="63"/>
  <c r="F50" i="63"/>
  <c r="F49" i="63"/>
  <c r="B32" i="20"/>
  <c r="D55" i="20"/>
  <c r="D51" i="20"/>
  <c r="D55" i="19"/>
  <c r="D54" i="19" s="1"/>
  <c r="E24" i="44"/>
  <c r="G24" i="44" s="1"/>
  <c r="J24" i="44" s="1"/>
  <c r="C7" i="33" s="1"/>
  <c r="C8" i="33"/>
  <c r="B10" i="32" s="1"/>
  <c r="D10" i="32" s="1"/>
  <c r="G32" i="19"/>
  <c r="B35" i="19" s="1"/>
  <c r="F48" i="19"/>
  <c r="F50" i="19"/>
  <c r="C15" i="33" l="1"/>
  <c r="E11" i="50"/>
  <c r="G32" i="63"/>
  <c r="B35" i="63" s="1"/>
  <c r="J35" i="50"/>
  <c r="I35" i="50"/>
  <c r="E35" i="50"/>
  <c r="C10" i="69"/>
  <c r="F57" i="21"/>
  <c r="D56" i="63"/>
  <c r="F54" i="63" s="1"/>
  <c r="F51" i="63"/>
  <c r="C15" i="68"/>
  <c r="C14" i="68"/>
  <c r="F48" i="20"/>
  <c r="F50" i="20"/>
  <c r="F49" i="20"/>
  <c r="D54" i="20"/>
  <c r="G32" i="20"/>
  <c r="B35" i="20" s="1"/>
  <c r="B11" i="32"/>
  <c r="D11" i="32" s="1"/>
  <c r="C30" i="31" s="1"/>
  <c r="C10" i="33"/>
  <c r="F51" i="19"/>
  <c r="C10" i="68"/>
  <c r="C11" i="68"/>
  <c r="D56" i="19"/>
  <c r="E41" i="31"/>
  <c r="E40" i="31"/>
  <c r="E13" i="50" l="1"/>
  <c r="E12" i="50"/>
  <c r="E36" i="50" s="1"/>
  <c r="C11" i="67"/>
  <c r="I36" i="50"/>
  <c r="J36" i="50"/>
  <c r="I37" i="50"/>
  <c r="J37" i="50"/>
  <c r="E37" i="50"/>
  <c r="C11" i="69"/>
  <c r="F53" i="63"/>
  <c r="F55" i="63"/>
  <c r="D56" i="20"/>
  <c r="F54" i="20" s="1"/>
  <c r="C10" i="67"/>
  <c r="C12" i="67"/>
  <c r="F51" i="20"/>
  <c r="C27" i="31"/>
  <c r="F53" i="19"/>
  <c r="F55" i="19"/>
  <c r="F54" i="19"/>
  <c r="C12" i="69" l="1"/>
  <c r="C17" i="71"/>
  <c r="F56" i="63"/>
  <c r="C15" i="71"/>
  <c r="C16" i="71"/>
  <c r="F53" i="20"/>
  <c r="F55" i="20"/>
  <c r="C12" i="71"/>
  <c r="C11" i="71"/>
  <c r="F56" i="19"/>
  <c r="C10" i="71"/>
  <c r="C11" i="70" l="1"/>
  <c r="C12" i="70"/>
  <c r="F56" i="20"/>
  <c r="C10" i="70"/>
  <c r="B59" i="47" l="1"/>
  <c r="H59" i="47" l="1"/>
  <c r="I10" i="37" l="1"/>
  <c r="I18" i="37" s="1"/>
  <c r="I45" i="37" s="1"/>
  <c r="C18" i="37"/>
  <c r="C45" i="37" s="1"/>
  <c r="C8" i="29" l="1"/>
  <c r="C11" i="29" s="1"/>
  <c r="C19" i="29" s="1"/>
  <c r="C32" i="31" s="1"/>
  <c r="C34" i="31" s="1"/>
  <c r="C9" i="32"/>
  <c r="D9" i="32" s="1"/>
  <c r="C40" i="31" l="1"/>
  <c r="C39" i="31"/>
  <c r="C41" i="31"/>
  <c r="D13" i="50" l="1"/>
  <c r="D11" i="50"/>
  <c r="D35" i="50" s="1"/>
  <c r="D12" i="50"/>
  <c r="D37" i="50"/>
  <c r="D36" i="50"/>
  <c r="G12" i="58" l="1"/>
  <c r="K12" i="58" s="1"/>
  <c r="G22" i="66"/>
  <c r="G18" i="58"/>
  <c r="G14" i="66"/>
  <c r="K14" i="66" s="1"/>
  <c r="G11" i="67"/>
  <c r="K11" i="67" s="1"/>
  <c r="G11" i="70"/>
  <c r="K11" i="70" s="1"/>
  <c r="G16" i="55"/>
  <c r="G11" i="69"/>
  <c r="K11" i="69" s="1"/>
  <c r="G11" i="55"/>
  <c r="K11" i="55" s="1"/>
  <c r="G16" i="69"/>
  <c r="G11" i="60"/>
  <c r="K11" i="60" s="1"/>
  <c r="G11" i="56"/>
  <c r="K11" i="56" s="1"/>
  <c r="G23" i="66" l="1"/>
  <c r="G12" i="67"/>
  <c r="K12" i="67" s="1"/>
  <c r="G15" i="66"/>
  <c r="G12" i="60"/>
  <c r="K12" i="60" s="1"/>
  <c r="G20" i="66"/>
  <c r="G12" i="66"/>
  <c r="G11" i="58"/>
  <c r="G17" i="58"/>
  <c r="G10" i="60"/>
  <c r="K10" i="60" s="1"/>
  <c r="G18" i="66"/>
  <c r="G16" i="58"/>
  <c r="G10" i="67"/>
  <c r="K10" i="67" s="1"/>
  <c r="G10" i="66"/>
  <c r="G10" i="58"/>
  <c r="F10" i="68"/>
  <c r="J10" i="68" s="1"/>
  <c r="F18" i="65"/>
  <c r="F18" i="68"/>
  <c r="F14" i="65"/>
  <c r="J14" i="65" s="1"/>
  <c r="F14" i="68"/>
  <c r="J14" i="68" s="1"/>
  <c r="F10" i="65"/>
  <c r="J10" i="65" s="1"/>
  <c r="G19" i="58"/>
  <c r="G13" i="58"/>
  <c r="F15" i="68"/>
  <c r="J15" i="68" s="1"/>
  <c r="F15" i="65"/>
  <c r="J15" i="65" s="1"/>
  <c r="F19" i="65"/>
  <c r="F19" i="68"/>
  <c r="F11" i="65"/>
  <c r="J11" i="65" s="1"/>
  <c r="F11" i="68"/>
  <c r="J11" i="68" s="1"/>
  <c r="F17" i="71"/>
  <c r="J17" i="71" s="1"/>
  <c r="F12" i="71"/>
  <c r="J12" i="71" s="1"/>
  <c r="F17" i="57"/>
  <c r="J17" i="57" s="1"/>
  <c r="F12" i="57"/>
  <c r="J12" i="57" s="1"/>
  <c r="F22" i="71"/>
  <c r="F22" i="57"/>
  <c r="G10" i="70"/>
  <c r="K10" i="70" s="1"/>
  <c r="G10" i="56"/>
  <c r="K10" i="56" s="1"/>
  <c r="G15" i="69"/>
  <c r="G10" i="69"/>
  <c r="G11" i="66"/>
  <c r="G19" i="66"/>
  <c r="F16" i="71"/>
  <c r="J16" i="71" s="1"/>
  <c r="F11" i="71"/>
  <c r="J11" i="71" s="1"/>
  <c r="F21" i="57"/>
  <c r="F16" i="57"/>
  <c r="J16" i="57" s="1"/>
  <c r="F11" i="57"/>
  <c r="J11" i="57" s="1"/>
  <c r="F21" i="71"/>
  <c r="G10" i="52"/>
  <c r="G12" i="52"/>
  <c r="G10" i="53"/>
  <c r="K10" i="53" s="1"/>
  <c r="B10" i="42" s="1"/>
  <c r="F10" i="71"/>
  <c r="J10" i="71" s="1"/>
  <c r="F10" i="57"/>
  <c r="J10" i="57" s="1"/>
  <c r="F20" i="57"/>
  <c r="F15" i="71"/>
  <c r="J15" i="71" s="1"/>
  <c r="F15" i="57"/>
  <c r="J15" i="57" s="1"/>
  <c r="F20" i="71"/>
  <c r="G10" i="55"/>
  <c r="G12" i="69"/>
  <c r="G15" i="55"/>
  <c r="G17" i="69"/>
  <c r="G12" i="56"/>
  <c r="K12" i="56" s="1"/>
  <c r="G17" i="55"/>
  <c r="G12" i="55"/>
  <c r="G12" i="70"/>
  <c r="K12" i="70" s="1"/>
  <c r="F14" i="54"/>
  <c r="F12" i="54"/>
  <c r="J12" i="54" s="1"/>
  <c r="F11" i="42" s="1"/>
  <c r="F10" i="54"/>
  <c r="J10" i="54" s="1"/>
  <c r="B11" i="42" s="1"/>
  <c r="G13" i="66"/>
  <c r="G21" i="66"/>
  <c r="J12" i="65" l="1"/>
  <c r="B29" i="42" s="1"/>
  <c r="K13" i="60"/>
  <c r="B28" i="42" s="1"/>
  <c r="K13" i="70"/>
  <c r="B46" i="42" s="1"/>
  <c r="J18" i="71"/>
  <c r="F47" i="42" s="1"/>
  <c r="F17" i="45"/>
  <c r="C18" i="45"/>
  <c r="F15" i="45"/>
  <c r="K13" i="67"/>
  <c r="B37" i="42" s="1"/>
  <c r="F14" i="45"/>
  <c r="F13" i="45"/>
  <c r="F16" i="45"/>
  <c r="D18" i="45"/>
  <c r="F12" i="45"/>
  <c r="B18" i="45"/>
  <c r="E18" i="45"/>
  <c r="J13" i="71"/>
  <c r="B47" i="42" s="1"/>
  <c r="K13" i="56"/>
  <c r="B19" i="42" s="1"/>
  <c r="J16" i="68"/>
  <c r="F38" i="42" s="1"/>
  <c r="J18" i="57"/>
  <c r="F20" i="42" s="1"/>
  <c r="J16" i="65"/>
  <c r="F29" i="42" s="1"/>
  <c r="J13" i="57"/>
  <c r="B20" i="42" s="1"/>
  <c r="J12" i="68"/>
  <c r="B38" i="42" s="1"/>
  <c r="B31" i="42" l="1"/>
  <c r="K21" i="44" s="1"/>
  <c r="L21" i="44" s="1"/>
  <c r="B49" i="42"/>
  <c r="C30" i="40" s="1"/>
  <c r="B40" i="42"/>
  <c r="K22" i="44" s="1"/>
  <c r="L22" i="44" s="1"/>
  <c r="F18" i="45"/>
  <c r="G12" i="45" s="1"/>
  <c r="B22" i="42"/>
  <c r="K23" i="44" l="1"/>
  <c r="L23" i="44" s="1"/>
  <c r="C27" i="40"/>
  <c r="K24" i="44"/>
  <c r="L24" i="44" s="1"/>
  <c r="G14" i="45"/>
  <c r="G15" i="45"/>
  <c r="G16" i="45"/>
  <c r="G17" i="45"/>
  <c r="G13" i="45"/>
  <c r="K17" i="44"/>
  <c r="L17" i="44" s="1"/>
  <c r="K19" i="44"/>
  <c r="L19" i="44" s="1"/>
  <c r="K18" i="44"/>
  <c r="L18" i="44" s="1"/>
  <c r="K20" i="44"/>
  <c r="L20" i="44" s="1"/>
  <c r="G18" i="45" l="1"/>
  <c r="C34" i="45"/>
  <c r="F16" i="55"/>
  <c r="F15" i="69"/>
  <c r="F16" i="58"/>
  <c r="F21" i="66"/>
  <c r="F15" i="55"/>
  <c r="F19" i="66"/>
  <c r="F18" i="58"/>
  <c r="K18" i="58" s="1"/>
  <c r="F20" i="66"/>
  <c r="F18" i="66"/>
  <c r="F17" i="69"/>
  <c r="F16" i="69"/>
  <c r="F23" i="66"/>
  <c r="F17" i="55"/>
  <c r="F17" i="58"/>
  <c r="F19" i="58"/>
  <c r="F12" i="52"/>
  <c r="F22" i="66"/>
  <c r="L26" i="44"/>
  <c r="F8" i="43" s="1"/>
  <c r="F10" i="43" s="1"/>
  <c r="C32" i="40" s="1"/>
  <c r="C34" i="40" s="1"/>
  <c r="E19" i="66" l="1"/>
  <c r="E19" i="58"/>
  <c r="K19" i="58" s="1"/>
  <c r="E13" i="66"/>
  <c r="K13" i="66" s="1"/>
  <c r="E21" i="66"/>
  <c r="E11" i="66"/>
  <c r="K11" i="66" s="1"/>
  <c r="E13" i="58"/>
  <c r="K13" i="58" s="1"/>
  <c r="E12" i="52"/>
  <c r="K12" i="52" s="1"/>
  <c r="J9" i="42" s="1"/>
  <c r="E10" i="69"/>
  <c r="K10" i="69" s="1"/>
  <c r="E12" i="55"/>
  <c r="K12" i="55" s="1"/>
  <c r="E10" i="55"/>
  <c r="K10" i="55" s="1"/>
  <c r="E15" i="69"/>
  <c r="E10" i="66"/>
  <c r="K10" i="66" s="1"/>
  <c r="E17" i="58"/>
  <c r="K17" i="58" s="1"/>
  <c r="E17" i="55"/>
  <c r="E18" i="66"/>
  <c r="E23" i="66"/>
  <c r="E17" i="69"/>
  <c r="E10" i="58"/>
  <c r="K10" i="58" s="1"/>
  <c r="E15" i="66"/>
  <c r="K15" i="66" s="1"/>
  <c r="E15" i="55"/>
  <c r="E11" i="58"/>
  <c r="K11" i="58" s="1"/>
  <c r="E16" i="58"/>
  <c r="K16" i="58" s="1"/>
  <c r="E12" i="69"/>
  <c r="K12" i="69" s="1"/>
  <c r="E20" i="66"/>
  <c r="E10" i="52"/>
  <c r="K10" i="52" s="1"/>
  <c r="F9" i="42" s="1"/>
  <c r="E12" i="66"/>
  <c r="K12" i="66" s="1"/>
  <c r="E22" i="57"/>
  <c r="J22" i="57" s="1"/>
  <c r="E18" i="68"/>
  <c r="E19" i="68"/>
  <c r="E22" i="71"/>
  <c r="E18" i="65"/>
  <c r="J18" i="65" s="1"/>
  <c r="E21" i="57"/>
  <c r="J21" i="57" s="1"/>
  <c r="E21" i="71"/>
  <c r="E19" i="65"/>
  <c r="J19" i="65" s="1"/>
  <c r="E20" i="57"/>
  <c r="J20" i="57" s="1"/>
  <c r="E14" i="54"/>
  <c r="J14" i="54" s="1"/>
  <c r="J11" i="42" s="1"/>
  <c r="E20" i="71"/>
  <c r="C41" i="40"/>
  <c r="C40" i="40"/>
  <c r="C39" i="40"/>
  <c r="D17" i="50" l="1"/>
  <c r="D41" i="50" s="1"/>
  <c r="D47" i="50" s="1"/>
  <c r="D18" i="50"/>
  <c r="D42" i="50" s="1"/>
  <c r="D48" i="50" s="1"/>
  <c r="D19" i="50"/>
  <c r="D43" i="50" s="1"/>
  <c r="D49" i="50" s="1"/>
  <c r="K13" i="55"/>
  <c r="F18" i="42" s="1"/>
  <c r="F22" i="42" s="1"/>
  <c r="K34" i="44" s="1"/>
  <c r="L34" i="44" s="1"/>
  <c r="J20" i="65"/>
  <c r="J29" i="42" s="1"/>
  <c r="K14" i="58"/>
  <c r="F27" i="42" s="1"/>
  <c r="F31" i="42" s="1"/>
  <c r="K38" i="44" s="1"/>
  <c r="L38" i="44" s="1"/>
  <c r="K13" i="69"/>
  <c r="F45" i="42" s="1"/>
  <c r="F49" i="42" s="1"/>
  <c r="K41" i="44" s="1"/>
  <c r="L41" i="44" s="1"/>
  <c r="J23" i="57"/>
  <c r="J20" i="42" s="1"/>
  <c r="K16" i="66"/>
  <c r="F36" i="42" s="1"/>
  <c r="F40" i="42" s="1"/>
  <c r="K20" i="58"/>
  <c r="J27" i="42" s="1"/>
  <c r="D23" i="50" l="1"/>
  <c r="D24" i="50"/>
  <c r="D25" i="50"/>
  <c r="K36" i="44"/>
  <c r="L36" i="44" s="1"/>
  <c r="K35" i="44"/>
  <c r="L35" i="44" s="1"/>
  <c r="K37" i="44"/>
  <c r="L37" i="44" s="1"/>
  <c r="E30" i="40"/>
  <c r="E27" i="40"/>
  <c r="K40" i="44"/>
  <c r="L40" i="44" s="1"/>
  <c r="K39" i="44"/>
  <c r="L39" i="44" s="1"/>
  <c r="L43" i="44" l="1"/>
  <c r="F16" i="43" s="1"/>
  <c r="F18" i="43" s="1"/>
  <c r="E32" i="40" s="1"/>
  <c r="E34" i="40" s="1"/>
  <c r="E39" i="40" l="1"/>
  <c r="E41" i="40"/>
  <c r="E40" i="40"/>
  <c r="E18" i="50" l="1"/>
  <c r="E24" i="50" s="1"/>
  <c r="E19" i="50"/>
  <c r="J43" i="50" s="1"/>
  <c r="J49" i="50" s="1"/>
  <c r="E17" i="50"/>
  <c r="I41" i="50" s="1"/>
  <c r="I47" i="50" s="1"/>
  <c r="I42" i="50"/>
  <c r="I48" i="50" s="1"/>
  <c r="E42" i="50"/>
  <c r="E48" i="50" s="1"/>
  <c r="J42" i="50"/>
  <c r="J48" i="50" s="1"/>
  <c r="J41" i="50" l="1"/>
  <c r="J47" i="50" s="1"/>
  <c r="E23" i="50"/>
  <c r="E43" i="50"/>
  <c r="E49" i="50" s="1"/>
  <c r="I43" i="50"/>
  <c r="I49" i="50" s="1"/>
  <c r="E25" i="50"/>
  <c r="E41" i="50"/>
  <c r="E47" i="50" s="1"/>
  <c r="H23" i="47"/>
  <c r="D19" i="48" l="1"/>
  <c r="H21" i="47"/>
  <c r="G25" i="47"/>
  <c r="D20" i="48"/>
  <c r="H22" i="47"/>
  <c r="H12" i="47"/>
  <c r="D11" i="48"/>
  <c r="G16" i="47"/>
  <c r="D12" i="48"/>
  <c r="H13" i="47"/>
  <c r="D15" i="48" l="1"/>
  <c r="H16" i="47"/>
  <c r="H25" i="47"/>
  <c r="D23" i="48"/>
  <c r="B11" i="61" l="1"/>
  <c r="K20" i="42" l="1"/>
  <c r="F24" i="45"/>
  <c r="B6" i="64"/>
  <c r="B7" i="61"/>
  <c r="K18" i="42"/>
  <c r="K47" i="42"/>
  <c r="F27" i="45"/>
  <c r="B9" i="64"/>
  <c r="B6" i="61"/>
  <c r="K9" i="42"/>
  <c r="E29" i="45"/>
  <c r="B8" i="64"/>
  <c r="K38" i="42"/>
  <c r="F26" i="45"/>
  <c r="B10" i="61"/>
  <c r="K45" i="42"/>
  <c r="F23" i="45"/>
  <c r="B5" i="64"/>
  <c r="K11" i="42"/>
  <c r="B29" i="45"/>
  <c r="F25" i="45"/>
  <c r="B7" i="64"/>
  <c r="K29" i="42"/>
  <c r="F28" i="45"/>
  <c r="B10" i="64"/>
  <c r="K36" i="42"/>
  <c r="B9" i="61"/>
  <c r="D29" i="45"/>
  <c r="K27" i="42"/>
  <c r="B8" i="61"/>
  <c r="C29" i="45"/>
  <c r="D48" i="64" l="1"/>
  <c r="D44" i="64"/>
  <c r="J13" i="42"/>
  <c r="K12" i="42"/>
  <c r="L10" i="42" s="1"/>
  <c r="D53" i="64"/>
  <c r="D45" i="61"/>
  <c r="B16" i="64"/>
  <c r="B11" i="64"/>
  <c r="D11" i="64" s="1"/>
  <c r="K30" i="42"/>
  <c r="J31" i="42"/>
  <c r="K56" i="44" s="1"/>
  <c r="F29" i="45"/>
  <c r="G23" i="45" s="1"/>
  <c r="K21" i="42"/>
  <c r="L19" i="42" s="1"/>
  <c r="K48" i="42"/>
  <c r="L47" i="42" s="1"/>
  <c r="D41" i="61"/>
  <c r="D49" i="61"/>
  <c r="D54" i="61"/>
  <c r="D40" i="64"/>
  <c r="B12" i="61"/>
  <c r="D11" i="61" s="1"/>
  <c r="B17" i="61"/>
  <c r="K39" i="42"/>
  <c r="L37" i="42" s="1"/>
  <c r="L36" i="42"/>
  <c r="G24" i="45" l="1"/>
  <c r="L18" i="42"/>
  <c r="D5" i="64"/>
  <c r="D7" i="64"/>
  <c r="G25" i="45"/>
  <c r="C56" i="44" s="1"/>
  <c r="D56" i="44" s="1"/>
  <c r="G28" i="45"/>
  <c r="G27" i="45"/>
  <c r="C59" i="44" s="1"/>
  <c r="D59" i="44" s="1"/>
  <c r="L38" i="42"/>
  <c r="L39" i="42" s="1"/>
  <c r="D9" i="64"/>
  <c r="D6" i="64"/>
  <c r="D10" i="64"/>
  <c r="L20" i="42"/>
  <c r="L21" i="42" s="1"/>
  <c r="C47" i="44"/>
  <c r="D47" i="44" s="1"/>
  <c r="G47" i="44" s="1"/>
  <c r="J47" i="44" s="1"/>
  <c r="C50" i="44"/>
  <c r="D50" i="44" s="1"/>
  <c r="G50" i="44" s="1"/>
  <c r="J50" i="44" s="1"/>
  <c r="C48" i="44"/>
  <c r="D48" i="44" s="1"/>
  <c r="G48" i="44" s="1"/>
  <c r="J48" i="44" s="1"/>
  <c r="C51" i="44"/>
  <c r="D51" i="44" s="1"/>
  <c r="G51" i="44" s="1"/>
  <c r="J51" i="44" s="1"/>
  <c r="C49" i="44"/>
  <c r="D49" i="44" s="1"/>
  <c r="G49" i="44" s="1"/>
  <c r="J49" i="44" s="1"/>
  <c r="G23" i="40"/>
  <c r="G23" i="31"/>
  <c r="L9" i="42"/>
  <c r="L27" i="42"/>
  <c r="L28" i="42"/>
  <c r="C53" i="44"/>
  <c r="D53" i="44" s="1"/>
  <c r="C52" i="44"/>
  <c r="D52" i="44" s="1"/>
  <c r="C55" i="44"/>
  <c r="D55" i="44" s="1"/>
  <c r="C54" i="44"/>
  <c r="D54" i="44" s="1"/>
  <c r="D10" i="61"/>
  <c r="K50" i="44"/>
  <c r="K48" i="44"/>
  <c r="K47" i="44"/>
  <c r="K49" i="44"/>
  <c r="K51" i="44"/>
  <c r="G26" i="45"/>
  <c r="G29" i="45" s="1"/>
  <c r="D9" i="61"/>
  <c r="G18" i="64"/>
  <c r="B22" i="64" s="1"/>
  <c r="G19" i="64"/>
  <c r="G20" i="64"/>
  <c r="G16" i="64"/>
  <c r="G17" i="64"/>
  <c r="L29" i="42"/>
  <c r="L11" i="42"/>
  <c r="D7" i="61"/>
  <c r="D8" i="61"/>
  <c r="D6" i="61"/>
  <c r="D8" i="64"/>
  <c r="G18" i="61"/>
  <c r="G20" i="61"/>
  <c r="G17" i="61"/>
  <c r="G21" i="61"/>
  <c r="G19" i="61"/>
  <c r="B23" i="61" s="1"/>
  <c r="L45" i="42"/>
  <c r="L46" i="42"/>
  <c r="G29" i="31" l="1"/>
  <c r="G29" i="40"/>
  <c r="L49" i="44"/>
  <c r="E53" i="44"/>
  <c r="G53" i="44" s="1"/>
  <c r="J53" i="44" s="1"/>
  <c r="E56" i="44" s="1"/>
  <c r="G56" i="44" s="1"/>
  <c r="J56" i="44" s="1"/>
  <c r="L56" i="44" s="1"/>
  <c r="E54" i="44"/>
  <c r="G54" i="44" s="1"/>
  <c r="J54" i="44" s="1"/>
  <c r="E55" i="44"/>
  <c r="G55" i="44" s="1"/>
  <c r="J55" i="44" s="1"/>
  <c r="E52" i="44"/>
  <c r="G52" i="44" s="1"/>
  <c r="J52" i="44" s="1"/>
  <c r="G22" i="64"/>
  <c r="D41" i="64"/>
  <c r="G23" i="64"/>
  <c r="B27" i="64" s="1"/>
  <c r="G25" i="64"/>
  <c r="G24" i="64"/>
  <c r="B33" i="64" s="1"/>
  <c r="G33" i="64" s="1"/>
  <c r="D12" i="61"/>
  <c r="L51" i="44"/>
  <c r="L48" i="44"/>
  <c r="L50" i="44"/>
  <c r="L48" i="42"/>
  <c r="L47" i="44"/>
  <c r="D42" i="61"/>
  <c r="G26" i="61"/>
  <c r="G24" i="61"/>
  <c r="B28" i="61" s="1"/>
  <c r="G25" i="61"/>
  <c r="B34" i="61" s="1"/>
  <c r="G34" i="61" s="1"/>
  <c r="G23" i="61"/>
  <c r="C57" i="44"/>
  <c r="D57" i="44" s="1"/>
  <c r="C58" i="44"/>
  <c r="D58" i="44" s="1"/>
  <c r="G26" i="40"/>
  <c r="G26" i="31"/>
  <c r="L30" i="42"/>
  <c r="L12" i="42"/>
  <c r="E57" i="44" l="1"/>
  <c r="G57" i="44" s="1"/>
  <c r="J57" i="44" s="1"/>
  <c r="E59" i="44" s="1"/>
  <c r="G59" i="44" s="1"/>
  <c r="J59" i="44" s="1"/>
  <c r="C17" i="33" s="1"/>
  <c r="E58" i="44"/>
  <c r="G58" i="44" s="1"/>
  <c r="J58" i="44" s="1"/>
  <c r="C19" i="33"/>
  <c r="B21" i="32" s="1"/>
  <c r="D21" i="32" s="1"/>
  <c r="D45" i="64"/>
  <c r="G27" i="64"/>
  <c r="D50" i="64" s="1"/>
  <c r="D43" i="61"/>
  <c r="F41" i="61" s="1"/>
  <c r="D42" i="64"/>
  <c r="F40" i="64" s="1"/>
  <c r="G28" i="61"/>
  <c r="B30" i="61" s="1"/>
  <c r="D50" i="61"/>
  <c r="D46" i="61"/>
  <c r="C18" i="33" l="1"/>
  <c r="B22" i="32" s="1"/>
  <c r="D22" i="32" s="1"/>
  <c r="F41" i="64"/>
  <c r="F42" i="64" s="1"/>
  <c r="B23" i="32"/>
  <c r="D23" i="32" s="1"/>
  <c r="G30" i="31" s="1"/>
  <c r="F42" i="61"/>
  <c r="F43" i="61" s="1"/>
  <c r="D46" i="64"/>
  <c r="F44" i="64" s="1"/>
  <c r="D47" i="61"/>
  <c r="F45" i="61" s="1"/>
  <c r="C15" i="55"/>
  <c r="K15" i="55" s="1"/>
  <c r="D51" i="61"/>
  <c r="D52" i="61" s="1"/>
  <c r="F49" i="61" s="1"/>
  <c r="G30" i="61"/>
  <c r="G31" i="61"/>
  <c r="B29" i="64"/>
  <c r="C20" i="33" l="1"/>
  <c r="G27" i="31"/>
  <c r="G34" i="31" s="1"/>
  <c r="G39" i="31" s="1"/>
  <c r="G29" i="64"/>
  <c r="D49" i="64"/>
  <c r="D51" i="64" s="1"/>
  <c r="G30" i="64"/>
  <c r="D56" i="61"/>
  <c r="B33" i="61"/>
  <c r="F50" i="61"/>
  <c r="C19" i="66" s="1"/>
  <c r="F46" i="61"/>
  <c r="F47" i="61" s="1"/>
  <c r="F45" i="64"/>
  <c r="F46" i="64" s="1"/>
  <c r="C17" i="55"/>
  <c r="K17" i="55" s="1"/>
  <c r="C16" i="55"/>
  <c r="K16" i="55" s="1"/>
  <c r="F51" i="61"/>
  <c r="C18" i="66" s="1"/>
  <c r="F11" i="50" l="1"/>
  <c r="L35" i="50" s="1"/>
  <c r="G40" i="31"/>
  <c r="G41" i="31"/>
  <c r="K18" i="55"/>
  <c r="J18" i="42" s="1"/>
  <c r="J22" i="42" s="1"/>
  <c r="K55" i="44" s="1"/>
  <c r="L55" i="44" s="1"/>
  <c r="C20" i="66"/>
  <c r="K18" i="66"/>
  <c r="C21" i="66"/>
  <c r="K21" i="66" s="1"/>
  <c r="K19" i="66"/>
  <c r="F52" i="61"/>
  <c r="G33" i="61"/>
  <c r="B36" i="61" s="1"/>
  <c r="D55" i="61"/>
  <c r="F35" i="50"/>
  <c r="G11" i="50"/>
  <c r="K35" i="50"/>
  <c r="F49" i="64"/>
  <c r="F48" i="64"/>
  <c r="F50" i="64"/>
  <c r="D55" i="64"/>
  <c r="B32" i="64"/>
  <c r="F13" i="50" l="1"/>
  <c r="F12" i="50"/>
  <c r="F36" i="50" s="1"/>
  <c r="K52" i="44"/>
  <c r="L52" i="44" s="1"/>
  <c r="K54" i="44"/>
  <c r="L54" i="44" s="1"/>
  <c r="K53" i="44"/>
  <c r="L53" i="44" s="1"/>
  <c r="G32" i="64"/>
  <c r="B35" i="64" s="1"/>
  <c r="D54" i="64"/>
  <c r="G35" i="50"/>
  <c r="F51" i="64"/>
  <c r="C18" i="68"/>
  <c r="J18" i="68" s="1"/>
  <c r="C19" i="68"/>
  <c r="J19" i="68" s="1"/>
  <c r="C22" i="66"/>
  <c r="K20" i="66"/>
  <c r="D57" i="61"/>
  <c r="F55" i="61" s="1"/>
  <c r="K36" i="50" l="1"/>
  <c r="L36" i="50"/>
  <c r="G12" i="50"/>
  <c r="G36" i="50" s="1"/>
  <c r="F37" i="50"/>
  <c r="K37" i="50"/>
  <c r="L37" i="50"/>
  <c r="G13" i="50"/>
  <c r="G37" i="50" s="1"/>
  <c r="F54" i="61"/>
  <c r="F56" i="61"/>
  <c r="J20" i="68"/>
  <c r="J38" i="42" s="1"/>
  <c r="C23" i="66"/>
  <c r="K23" i="66" s="1"/>
  <c r="K22" i="66"/>
  <c r="D56" i="64"/>
  <c r="F54" i="64" s="1"/>
  <c r="K24" i="66" l="1"/>
  <c r="J36" i="42" s="1"/>
  <c r="J40" i="42" s="1"/>
  <c r="K57" i="44" s="1"/>
  <c r="L57" i="44" s="1"/>
  <c r="F53" i="64"/>
  <c r="F55" i="64"/>
  <c r="C15" i="69"/>
  <c r="F57" i="61"/>
  <c r="K58" i="44" l="1"/>
  <c r="L58" i="44" s="1"/>
  <c r="K15" i="69"/>
  <c r="C16" i="69"/>
  <c r="C20" i="71"/>
  <c r="J20" i="71" s="1"/>
  <c r="F56" i="64"/>
  <c r="C22" i="71"/>
  <c r="J22" i="71" s="1"/>
  <c r="C21" i="71"/>
  <c r="J21" i="71" s="1"/>
  <c r="J23" i="71" l="1"/>
  <c r="J47" i="42" s="1"/>
  <c r="C17" i="69"/>
  <c r="K17" i="69" s="1"/>
  <c r="K16" i="69"/>
  <c r="K18" i="69" l="1"/>
  <c r="J45" i="42" s="1"/>
  <c r="J49" i="42" s="1"/>
  <c r="K59" i="44" s="1"/>
  <c r="L59" i="44" s="1"/>
  <c r="L61" i="44" s="1"/>
  <c r="F24" i="43" s="1"/>
  <c r="F26" i="43" s="1"/>
  <c r="G32" i="40" s="1"/>
  <c r="G30" i="40" l="1"/>
  <c r="G27" i="40"/>
  <c r="G34" i="40" l="1"/>
  <c r="G39" i="40" s="1"/>
  <c r="G40" i="40" l="1"/>
  <c r="G41" i="40"/>
  <c r="F19" i="50" s="1"/>
  <c r="F18" i="50"/>
  <c r="L42" i="50" s="1"/>
  <c r="L48" i="50" s="1"/>
  <c r="F17" i="50"/>
  <c r="F41" i="50" s="1"/>
  <c r="F47" i="50" s="1"/>
  <c r="K42" i="50"/>
  <c r="K48" i="50" s="1"/>
  <c r="G18" i="50"/>
  <c r="G42" i="50" s="1"/>
  <c r="G48" i="50" s="1"/>
  <c r="F42" i="50"/>
  <c r="F48" i="50" s="1"/>
  <c r="F24" i="50" l="1"/>
  <c r="L43" i="50"/>
  <c r="L49" i="50" s="1"/>
  <c r="G19" i="50"/>
  <c r="G43" i="50" s="1"/>
  <c r="G49" i="50" s="1"/>
  <c r="F43" i="50"/>
  <c r="F49" i="50" s="1"/>
  <c r="K43" i="50"/>
  <c r="K49" i="50" s="1"/>
  <c r="G17" i="50"/>
  <c r="G41" i="50" s="1"/>
  <c r="G47" i="50" s="1"/>
  <c r="F25" i="50"/>
  <c r="L41" i="50"/>
  <c r="L47" i="50" s="1"/>
  <c r="F23" i="50"/>
  <c r="K41" i="50"/>
  <c r="K47" i="50" s="1"/>
  <c r="G24" i="50"/>
  <c r="G25" i="50"/>
  <c r="G23" i="50" l="1"/>
</calcChain>
</file>

<file path=xl/sharedStrings.xml><?xml version="1.0" encoding="utf-8"?>
<sst xmlns="http://schemas.openxmlformats.org/spreadsheetml/2006/main" count="2799" uniqueCount="691">
  <si>
    <t>Source</t>
  </si>
  <si>
    <t>Operation</t>
  </si>
  <si>
    <t>Probability</t>
  </si>
  <si>
    <t>Per Sack</t>
  </si>
  <si>
    <t>Piggyback</t>
  </si>
  <si>
    <t>Mailer</t>
  </si>
  <si>
    <t>Per Tray</t>
  </si>
  <si>
    <t xml:space="preserve"> </t>
  </si>
  <si>
    <t>Per Pallet</t>
  </si>
  <si>
    <t>Pieces per Sack</t>
  </si>
  <si>
    <t>Pieces per Tray</t>
  </si>
  <si>
    <t>Deposit</t>
  </si>
  <si>
    <t>Points</t>
  </si>
  <si>
    <t>Percent</t>
  </si>
  <si>
    <t>OSCF</t>
  </si>
  <si>
    <t>DSCF</t>
  </si>
  <si>
    <t>Totals</t>
  </si>
  <si>
    <t>% of Origin Lbs</t>
  </si>
  <si>
    <t>Origin</t>
  </si>
  <si>
    <t>Dest</t>
  </si>
  <si>
    <t>Flow</t>
  </si>
  <si>
    <t>Type of Transp</t>
  </si>
  <si>
    <t>Intra-SCF</t>
  </si>
  <si>
    <t>Inter-SCF</t>
  </si>
  <si>
    <t>Pounds</t>
  </si>
  <si>
    <t>Service Area/PL</t>
  </si>
  <si>
    <t>Total</t>
  </si>
  <si>
    <t>Service Area</t>
  </si>
  <si>
    <t>% of Origin Lbs.</t>
  </si>
  <si>
    <t>Mailer/PL</t>
  </si>
  <si>
    <t>Facility</t>
  </si>
  <si>
    <t>Container</t>
  </si>
  <si>
    <t>Pallet</t>
  </si>
  <si>
    <t>Tray</t>
  </si>
  <si>
    <t>Sack</t>
  </si>
  <si>
    <t>Factor</t>
  </si>
  <si>
    <t>1/</t>
  </si>
  <si>
    <t>2/</t>
  </si>
  <si>
    <t>3/</t>
  </si>
  <si>
    <t>4/</t>
  </si>
  <si>
    <t>5/</t>
  </si>
  <si>
    <t>6/</t>
  </si>
  <si>
    <t>7/</t>
  </si>
  <si>
    <t>Pieces (Thousands)</t>
  </si>
  <si>
    <t>Entry Type</t>
  </si>
  <si>
    <t>Trays on Pallets</t>
  </si>
  <si>
    <t>Loose Trays</t>
  </si>
  <si>
    <t>Loose Sacks</t>
  </si>
  <si>
    <t>Origin SCF</t>
  </si>
  <si>
    <t>Origin ADC</t>
  </si>
  <si>
    <t>Destination ADC</t>
  </si>
  <si>
    <t>Destination SCF</t>
  </si>
  <si>
    <t>Pounds (Thousands)</t>
  </si>
  <si>
    <t>By Container Type and By Facility</t>
  </si>
  <si>
    <t>Point of Deposit</t>
  </si>
  <si>
    <t># 1</t>
  </si>
  <si>
    <t># 2</t>
  </si>
  <si>
    <t xml:space="preserve">      # 3</t>
  </si>
  <si>
    <t># 4</t>
  </si>
  <si>
    <t># 5</t>
  </si>
  <si>
    <t># 6</t>
  </si>
  <si>
    <t xml:space="preserve">      # 7</t>
  </si>
  <si>
    <t># 8</t>
  </si>
  <si>
    <t># 9</t>
  </si>
  <si>
    <t xml:space="preserve">       # 10</t>
  </si>
  <si>
    <t xml:space="preserve">       # 11</t>
  </si>
  <si>
    <t># 12</t>
  </si>
  <si>
    <t xml:space="preserve">       # 13</t>
  </si>
  <si>
    <t>DELIVERY</t>
  </si>
  <si>
    <t>UNIT</t>
  </si>
  <si>
    <t>Source:  Docket No. MC95-1, Exhibit USPS-T-9B</t>
  </si>
  <si>
    <t>Flowpath Proportions</t>
  </si>
  <si>
    <t>Percent Transported to SCF</t>
  </si>
  <si>
    <t>% Transported to OSCF</t>
  </si>
  <si>
    <t>% Transported to DSCF</t>
  </si>
  <si>
    <t>% Delivered Directly From DSCF</t>
  </si>
  <si>
    <t>% that Continues to Another Facility</t>
  </si>
  <si>
    <t>% Transported to DDU</t>
  </si>
  <si>
    <t>Flow Number</t>
  </si>
  <si>
    <t>Origin of the Flow</t>
  </si>
  <si>
    <t>Description of the Flow</t>
  </si>
  <si>
    <t>% From Origin</t>
  </si>
  <si>
    <r>
      <t>15</t>
    </r>
    <r>
      <rPr>
        <sz val="10"/>
        <rFont val="Arial"/>
        <family val="2"/>
      </rPr>
      <t>/</t>
    </r>
  </si>
  <si>
    <r>
      <t>16</t>
    </r>
    <r>
      <rPr>
        <sz val="10"/>
        <rFont val="Arial"/>
        <family val="2"/>
      </rPr>
      <t>/</t>
    </r>
  </si>
  <si>
    <r>
      <t>17</t>
    </r>
    <r>
      <rPr>
        <sz val="10"/>
        <rFont val="Arial"/>
        <family val="2"/>
      </rPr>
      <t>/</t>
    </r>
  </si>
  <si>
    <r>
      <t>18</t>
    </r>
    <r>
      <rPr>
        <sz val="10"/>
        <rFont val="Arial"/>
        <family val="2"/>
      </rPr>
      <t>/</t>
    </r>
  </si>
  <si>
    <r>
      <t>19</t>
    </r>
    <r>
      <rPr>
        <sz val="10"/>
        <rFont val="Arial"/>
        <family val="2"/>
      </rPr>
      <t>/</t>
    </r>
  </si>
  <si>
    <r>
      <t>20</t>
    </r>
    <r>
      <rPr>
        <sz val="10"/>
        <rFont val="Arial"/>
        <family val="2"/>
      </rPr>
      <t>/</t>
    </r>
  </si>
  <si>
    <r>
      <t>21</t>
    </r>
    <r>
      <rPr>
        <sz val="10"/>
        <rFont val="Arial"/>
        <family val="2"/>
      </rPr>
      <t>/</t>
    </r>
  </si>
  <si>
    <r>
      <t>22</t>
    </r>
    <r>
      <rPr>
        <sz val="10"/>
        <rFont val="Arial"/>
        <family val="2"/>
      </rPr>
      <t>/</t>
    </r>
  </si>
  <si>
    <r>
      <t>23</t>
    </r>
    <r>
      <rPr>
        <sz val="10"/>
        <rFont val="Arial"/>
        <family val="2"/>
      </rPr>
      <t>/</t>
    </r>
  </si>
  <si>
    <t>OSCF - DSCF</t>
  </si>
  <si>
    <r>
      <t>24</t>
    </r>
    <r>
      <rPr>
        <sz val="10"/>
        <rFont val="Arial"/>
        <family val="2"/>
      </rPr>
      <t>/</t>
    </r>
  </si>
  <si>
    <t>OSCF - DDU</t>
  </si>
  <si>
    <r>
      <t>25</t>
    </r>
    <r>
      <rPr>
        <sz val="10"/>
        <rFont val="Arial"/>
        <family val="2"/>
      </rPr>
      <t>/</t>
    </r>
  </si>
  <si>
    <r>
      <t>26</t>
    </r>
    <r>
      <rPr>
        <sz val="10"/>
        <rFont val="Arial"/>
        <family val="2"/>
      </rPr>
      <t>/</t>
    </r>
  </si>
  <si>
    <r>
      <t>27</t>
    </r>
    <r>
      <rPr>
        <sz val="10"/>
        <rFont val="Arial"/>
        <family val="2"/>
      </rPr>
      <t>/</t>
    </r>
  </si>
  <si>
    <r>
      <t>28</t>
    </r>
    <r>
      <rPr>
        <sz val="10"/>
        <rFont val="Arial"/>
        <family val="2"/>
      </rPr>
      <t>/</t>
    </r>
  </si>
  <si>
    <r>
      <t>29</t>
    </r>
    <r>
      <rPr>
        <sz val="10"/>
        <rFont val="Arial"/>
        <family val="2"/>
      </rPr>
      <t>/</t>
    </r>
  </si>
  <si>
    <r>
      <t>30</t>
    </r>
    <r>
      <rPr>
        <sz val="10"/>
        <rFont val="Arial"/>
        <family val="2"/>
      </rPr>
      <t>/</t>
    </r>
  </si>
  <si>
    <t>DSCF - DDU</t>
  </si>
  <si>
    <r>
      <t>31</t>
    </r>
    <r>
      <rPr>
        <sz val="10"/>
        <rFont val="Arial"/>
        <family val="2"/>
      </rPr>
      <t>/</t>
    </r>
  </si>
  <si>
    <t xml:space="preserve">See Docket No. R97-1, LR-H-111. </t>
  </si>
  <si>
    <t>100% of all mail that originates at a DSCF destinates at a DDU.</t>
  </si>
  <si>
    <t>Sacks Per Pallet</t>
  </si>
  <si>
    <t>Trays Per Pallet</t>
  </si>
  <si>
    <t>Transportation Equation:</t>
  </si>
  <si>
    <r>
      <t>Y</t>
    </r>
    <r>
      <rPr>
        <vertAlign val="superscript"/>
        <sz val="10"/>
        <rFont val="Arial"/>
        <family val="2"/>
      </rPr>
      <t>origin</t>
    </r>
    <r>
      <rPr>
        <sz val="10"/>
        <rFont val="Arial"/>
        <family val="2"/>
      </rPr>
      <t>:</t>
    </r>
  </si>
  <si>
    <r>
      <t>X</t>
    </r>
    <r>
      <rPr>
        <vertAlign val="superscript"/>
        <sz val="10"/>
        <rFont val="Arial"/>
        <family val="2"/>
      </rPr>
      <t>origin</t>
    </r>
    <r>
      <rPr>
        <sz val="10"/>
        <rFont val="Arial"/>
        <family val="2"/>
      </rPr>
      <t>:</t>
    </r>
  </si>
  <si>
    <r>
      <t>Y</t>
    </r>
    <r>
      <rPr>
        <vertAlign val="superscript"/>
        <sz val="10"/>
        <rFont val="Arial"/>
        <family val="2"/>
      </rPr>
      <t>DSCF</t>
    </r>
    <r>
      <rPr>
        <sz val="10"/>
        <rFont val="Arial"/>
        <family val="2"/>
      </rPr>
      <t>:</t>
    </r>
  </si>
  <si>
    <r>
      <t>X</t>
    </r>
    <r>
      <rPr>
        <vertAlign val="superscript"/>
        <sz val="10"/>
        <rFont val="Arial"/>
        <family val="2"/>
      </rPr>
      <t>DSCF</t>
    </r>
    <r>
      <rPr>
        <sz val="10"/>
        <rFont val="Arial"/>
        <family val="2"/>
      </rPr>
      <t>:</t>
    </r>
  </si>
  <si>
    <r>
      <t>Z</t>
    </r>
    <r>
      <rPr>
        <vertAlign val="superscript"/>
        <sz val="10"/>
        <rFont val="Arial"/>
        <family val="2"/>
      </rPr>
      <t>T</t>
    </r>
    <r>
      <rPr>
        <sz val="10"/>
        <rFont val="Arial"/>
        <family val="2"/>
      </rPr>
      <t>:</t>
    </r>
  </si>
  <si>
    <t>Solving the Equation:</t>
  </si>
  <si>
    <r>
      <t>X</t>
    </r>
    <r>
      <rPr>
        <vertAlign val="superscript"/>
        <sz val="10"/>
        <color indexed="8"/>
        <rFont val="Arial"/>
        <family val="2"/>
      </rPr>
      <t>origin</t>
    </r>
    <r>
      <rPr>
        <sz val="10"/>
        <color indexed="8"/>
        <rFont val="Arial"/>
        <family val="2"/>
      </rPr>
      <t>:</t>
    </r>
  </si>
  <si>
    <r>
      <t>X</t>
    </r>
    <r>
      <rPr>
        <vertAlign val="superscript"/>
        <sz val="11"/>
        <color indexed="8"/>
        <rFont val="Arial"/>
        <family val="2"/>
      </rPr>
      <t>origin</t>
    </r>
    <r>
      <rPr>
        <sz val="11"/>
        <color indexed="8"/>
        <rFont val="Arial"/>
        <family val="2"/>
      </rPr>
      <t>:</t>
    </r>
  </si>
  <si>
    <t>Cost Avoidances:</t>
  </si>
  <si>
    <t>DDU</t>
  </si>
  <si>
    <t>[2]</t>
  </si>
  <si>
    <t>[3]</t>
  </si>
  <si>
    <t>[4]</t>
  </si>
  <si>
    <t>[5]</t>
  </si>
  <si>
    <t>[6]</t>
  </si>
  <si>
    <t>Percent of Volume Entered at Origin</t>
  </si>
  <si>
    <t>Pounds Entered at Origin</t>
  </si>
  <si>
    <t>Additional Pounds from Combining Flows</t>
  </si>
  <si>
    <t>Pounds Processed</t>
  </si>
  <si>
    <t>Type of Transportation</t>
  </si>
  <si>
    <t>Proportion of Volume from the Origin</t>
  </si>
  <si>
    <t>Total Pounds Transported on Each Flow</t>
  </si>
  <si>
    <t>Transportation Costs</t>
  </si>
  <si>
    <t>Other</t>
  </si>
  <si>
    <t>Inter-Facility Transportation Category</t>
  </si>
  <si>
    <t>Total Pounds in Each Category</t>
  </si>
  <si>
    <t>[1]</t>
  </si>
  <si>
    <t>Total Pounds     (000)</t>
  </si>
  <si>
    <t>Total Costs     (000)</t>
  </si>
  <si>
    <t>Cost/Pound</t>
  </si>
  <si>
    <t>Domestic Airmail</t>
  </si>
  <si>
    <t>Highway Service</t>
  </si>
  <si>
    <t>Railroad Service</t>
  </si>
  <si>
    <t>Domestic Water</t>
  </si>
  <si>
    <t>Passenger Air</t>
  </si>
  <si>
    <t>Intra-Alaska preferential</t>
  </si>
  <si>
    <t>Intra-Alaska non-preferential</t>
  </si>
  <si>
    <t>Intra-Hawaii</t>
  </si>
  <si>
    <t>FedEx</t>
  </si>
  <si>
    <t>UPS</t>
  </si>
  <si>
    <t>Air taxi</t>
  </si>
  <si>
    <t>Plant loaded</t>
  </si>
  <si>
    <t>Contract term van damage</t>
  </si>
  <si>
    <t>Empty equipment</t>
  </si>
  <si>
    <t>Alaskan highway service</t>
  </si>
  <si>
    <t>Freight rail</t>
  </si>
  <si>
    <t>Damage and Empty equipment</t>
  </si>
  <si>
    <t>Inland</t>
  </si>
  <si>
    <t>Offshore</t>
  </si>
  <si>
    <t xml:space="preserve">Postal-Owned Vehicle Costs </t>
  </si>
  <si>
    <t>Adjustment Factor</t>
  </si>
  <si>
    <t>POV</t>
  </si>
  <si>
    <t>Intra-Alaska Preferential</t>
  </si>
  <si>
    <t>Intra-Alaska Non-preferential</t>
  </si>
  <si>
    <t>Air Taxi</t>
  </si>
  <si>
    <t>Total Domestic Airmail</t>
  </si>
  <si>
    <t>Postal-Owned Vehicle Costs</t>
  </si>
  <si>
    <t>Plant-loaded</t>
  </si>
  <si>
    <t>Alaskan Highway Service</t>
  </si>
  <si>
    <t>Contract Terminal and Van Damage</t>
  </si>
  <si>
    <t>Empty Equipment</t>
  </si>
  <si>
    <t>Total Highway Service</t>
  </si>
  <si>
    <t>Freight Rail</t>
  </si>
  <si>
    <t>Damage and Empty Equipment</t>
  </si>
  <si>
    <t>Total Railroad Service</t>
  </si>
  <si>
    <t>Total Domestic Water</t>
  </si>
  <si>
    <t>Total - All Modes</t>
  </si>
  <si>
    <t>Origin SCF  (OSCF)</t>
  </si>
  <si>
    <t>Destination SCF (DSCF)</t>
  </si>
  <si>
    <t>Destination DU (DDU)</t>
  </si>
  <si>
    <t>(1) Origin AO Total Pounds</t>
  </si>
  <si>
    <t>(2) Origin SCF Total Pounds + Origin ADC Total Pounds</t>
  </si>
  <si>
    <t>(5) Destination SCF Total Pounds</t>
  </si>
  <si>
    <t>(6) Destination DU Total Pounds</t>
  </si>
  <si>
    <t>Destination DU</t>
  </si>
  <si>
    <t>(000s)</t>
  </si>
  <si>
    <t>Cost Per</t>
  </si>
  <si>
    <t>Pound</t>
  </si>
  <si>
    <t>OSCF Container Type</t>
  </si>
  <si>
    <t>DSCF Container Type</t>
  </si>
  <si>
    <t>Weighted Average</t>
  </si>
  <si>
    <t>Weighted Avg Cost of Crossdocking</t>
  </si>
  <si>
    <t>Total Handling Costs (000s)</t>
  </si>
  <si>
    <t>Cost Per Pound</t>
  </si>
  <si>
    <t>Cost Element</t>
  </si>
  <si>
    <t xml:space="preserve">  Transportation</t>
  </si>
  <si>
    <t xml:space="preserve">  Non-Transportation</t>
  </si>
  <si>
    <t xml:space="preserve">  Total</t>
  </si>
  <si>
    <t>COST AVOIDANCE SUMMARY</t>
  </si>
  <si>
    <t>Description</t>
  </si>
  <si>
    <t>( Row 8 - ( Row 4 * Row 5) - (Row 6 * Row 7) ) / Row 2</t>
  </si>
  <si>
    <t>Row 9</t>
  </si>
  <si>
    <t>Row 9 - Row 7</t>
  </si>
  <si>
    <t>Row 9 - Row 5</t>
  </si>
  <si>
    <t>Row 1 + Row 2 + Row 3</t>
  </si>
  <si>
    <t>Row 5 / Row 6</t>
  </si>
  <si>
    <t>( Row 8 - ( Row 4 * Row 5 ) - ( Row 6 * Row 7 ) ) / Row 2</t>
  </si>
  <si>
    <t>[7]</t>
  </si>
  <si>
    <t>[5] * [6]</t>
  </si>
  <si>
    <t>[8]</t>
  </si>
  <si>
    <t>[9]</t>
  </si>
  <si>
    <t>[7] * [8]</t>
  </si>
  <si>
    <t>By Mail Flow</t>
  </si>
  <si>
    <t>CS 14 Domestic Water</t>
  </si>
  <si>
    <t>CS 14 Railroad Service</t>
  </si>
  <si>
    <t>CS 14 Highway Service</t>
  </si>
  <si>
    <t>CS 14 Domestic Airmail</t>
  </si>
  <si>
    <t>CS 8 POV (Highway)</t>
  </si>
  <si>
    <t>[1]  Pages 12-26</t>
  </si>
  <si>
    <t>8/</t>
  </si>
  <si>
    <t>Row 4 / Row 6</t>
  </si>
  <si>
    <t>High Density /</t>
  </si>
  <si>
    <t>Sat Letters</t>
  </si>
  <si>
    <t xml:space="preserve">High Density / </t>
  </si>
  <si>
    <t>Sat Flats / Parc</t>
  </si>
  <si>
    <t>Carrier Route</t>
  </si>
  <si>
    <t>Letters</t>
  </si>
  <si>
    <t>Flats</t>
  </si>
  <si>
    <t>Parcels</t>
  </si>
  <si>
    <t>Shape</t>
  </si>
  <si>
    <t>Pieces</t>
  </si>
  <si>
    <t>[4]:  [1] + [2] + [3]</t>
  </si>
  <si>
    <t>DNDC</t>
  </si>
  <si>
    <t>(Yorigin * Xorigin) + (YDNDC * XDNDC) + (YDSCF * XDSCF) = ZT</t>
  </si>
  <si>
    <t>Intra-NDC</t>
  </si>
  <si>
    <t>Inter-NDC</t>
  </si>
  <si>
    <t>ONDC</t>
  </si>
  <si>
    <t>ONDC Container Type</t>
  </si>
  <si>
    <t>DNDC Container Type</t>
  </si>
  <si>
    <t>ONDC/PL</t>
  </si>
  <si>
    <t>DNDC/PL</t>
  </si>
  <si>
    <t>Origin NDC (ONDC)</t>
  </si>
  <si>
    <t>Destination NDC (DNDC)</t>
  </si>
  <si>
    <t>Origin NDC</t>
  </si>
  <si>
    <t>Destination NDC</t>
  </si>
  <si>
    <t>(3) Origin NDC Total Pounds</t>
  </si>
  <si>
    <t>(4) Destination NDC  Total Pounds + Destination ADC Total Pounds</t>
  </si>
  <si>
    <t>NDC</t>
  </si>
  <si>
    <t>Percent Transported to NDC</t>
  </si>
  <si>
    <t>% to both ONDC and DNDC (keyed twice)</t>
  </si>
  <si>
    <t>% to DNDC only (keyed once)</t>
  </si>
  <si>
    <t>SCF and NDC Originating Mail</t>
  </si>
  <si>
    <t>% Transported to ONDC</t>
  </si>
  <si>
    <t>% Transported to DNDC</t>
  </si>
  <si>
    <t>OSCF - DNDC</t>
  </si>
  <si>
    <t xml:space="preserve">OSCF - ONDC </t>
  </si>
  <si>
    <t>ONDC - DNDC</t>
  </si>
  <si>
    <t>DNDC - DSCF</t>
  </si>
  <si>
    <t>DNDC - DDU</t>
  </si>
  <si>
    <t>100% of all mail that originates at an ONDC destinates at a DNDC.</t>
  </si>
  <si>
    <t>Equals the sum of Rows 28/ through 29/. This figure equals 100%, accounting for all mail that originates at the DNDC.</t>
  </si>
  <si>
    <r>
      <t>X</t>
    </r>
    <r>
      <rPr>
        <vertAlign val="superscript"/>
        <sz val="10"/>
        <rFont val="Arial"/>
        <family val="2"/>
      </rPr>
      <t>DNDC</t>
    </r>
    <r>
      <rPr>
        <b/>
        <sz val="10"/>
        <rFont val="Arial"/>
        <family val="2"/>
      </rPr>
      <t>:</t>
    </r>
  </si>
  <si>
    <r>
      <t>Y</t>
    </r>
    <r>
      <rPr>
        <vertAlign val="superscript"/>
        <sz val="10"/>
        <rFont val="Arial"/>
        <family val="2"/>
      </rPr>
      <t>DNDC</t>
    </r>
    <r>
      <rPr>
        <sz val="10"/>
        <rFont val="Arial"/>
        <family val="2"/>
      </rPr>
      <t>:</t>
    </r>
  </si>
  <si>
    <r>
      <t>Y</t>
    </r>
    <r>
      <rPr>
        <vertAlign val="superscript"/>
        <sz val="10"/>
        <rFont val="Arial"/>
        <family val="2"/>
      </rPr>
      <t>DNDC</t>
    </r>
    <r>
      <rPr>
        <b/>
        <sz val="10"/>
        <rFont val="Arial"/>
        <family val="2"/>
      </rPr>
      <t>:</t>
    </r>
  </si>
  <si>
    <r>
      <t>X</t>
    </r>
    <r>
      <rPr>
        <vertAlign val="superscript"/>
        <sz val="10"/>
        <rFont val="Arial"/>
        <family val="2"/>
      </rPr>
      <t>DNDC</t>
    </r>
    <r>
      <rPr>
        <sz val="10"/>
        <rFont val="Arial"/>
        <family val="2"/>
      </rPr>
      <t>:</t>
    </r>
  </si>
  <si>
    <t>Pieces per Pound</t>
  </si>
  <si>
    <t>Costs      (000)</t>
  </si>
  <si>
    <t>Adjusted Costs (000s)</t>
  </si>
  <si>
    <t>Total Pounds</t>
  </si>
  <si>
    <t>RPW DISTRIBUTION KEY DATA</t>
  </si>
  <si>
    <t>Premium Pay Factor (Letters)</t>
  </si>
  <si>
    <t>Premium Pay Factor (Flats)</t>
  </si>
  <si>
    <t>Premium Pay Factor (Parcels)</t>
  </si>
  <si>
    <t>Letter Costs</t>
  </si>
  <si>
    <t>Flat Costs</t>
  </si>
  <si>
    <t>Parcel Costs</t>
  </si>
  <si>
    <t>Letter Pounds</t>
  </si>
  <si>
    <t>Flat Pounds</t>
  </si>
  <si>
    <t>Parcel Pounds</t>
  </si>
  <si>
    <t>Flats Bundles</t>
  </si>
  <si>
    <t>Or Sacks</t>
  </si>
  <si>
    <t>On Pallets</t>
  </si>
  <si>
    <t>Letter</t>
  </si>
  <si>
    <t>Flat</t>
  </si>
  <si>
    <t>Per</t>
  </si>
  <si>
    <t>Other Mail Processing Wage Rate</t>
  </si>
  <si>
    <t>Adjusted Wage Rate (Letters)</t>
  </si>
  <si>
    <t>Adjusted Wage Rate (Flats)</t>
  </si>
  <si>
    <t>Adjusted Wage Rate (Parcels)</t>
  </si>
  <si>
    <t>Solve For X</t>
  </si>
  <si>
    <t>Pieces Per Pound</t>
  </si>
  <si>
    <t>Cost per Pound</t>
  </si>
  <si>
    <t>9/</t>
  </si>
  <si>
    <t>10/</t>
  </si>
  <si>
    <t>11/</t>
  </si>
  <si>
    <t>12/</t>
  </si>
  <si>
    <t>Pieces (000s)</t>
  </si>
  <si>
    <t>Pallet Box</t>
  </si>
  <si>
    <t>Pallet (Pieces)</t>
  </si>
  <si>
    <t>Pallet (Sacks)</t>
  </si>
  <si>
    <t>Origin DU</t>
  </si>
  <si>
    <t>Origin P&amp;DC</t>
  </si>
  <si>
    <t>Destination P&amp;DC</t>
  </si>
  <si>
    <t>Pounds (000s)</t>
  </si>
  <si>
    <t>Pounds/Piece</t>
  </si>
  <si>
    <t>Avg Pieces</t>
  </si>
  <si>
    <t>Weighted</t>
  </si>
  <si>
    <t>Average</t>
  </si>
  <si>
    <t>[3]  Pounds by Container Type [2]  / Total Pounds [2]</t>
  </si>
  <si>
    <t>[1] * [2]</t>
  </si>
  <si>
    <t>[3] + [4]</t>
  </si>
  <si>
    <t>Productivity</t>
  </si>
  <si>
    <t>Adjusted</t>
  </si>
  <si>
    <t>Marginal</t>
  </si>
  <si>
    <t>Type</t>
  </si>
  <si>
    <t>P&amp;DC/F</t>
  </si>
  <si>
    <t>Sack Manual Sort</t>
  </si>
  <si>
    <t>Sack Sorting Machine (SSM)</t>
  </si>
  <si>
    <t>Load Rolling Stock</t>
  </si>
  <si>
    <t>DU</t>
  </si>
  <si>
    <t>Load Pallet / Pallet Box</t>
  </si>
  <si>
    <t>Unload Rolling Stock</t>
  </si>
  <si>
    <t>Unload Pallet / Pallet Box</t>
  </si>
  <si>
    <t>Crossdock Pallet / Pallet box</t>
  </si>
  <si>
    <t>Unload Postal Pak</t>
  </si>
  <si>
    <t>Induct Rolling Stock</t>
  </si>
  <si>
    <t>Induct Postal Pak</t>
  </si>
  <si>
    <t>Load Postal Pak</t>
  </si>
  <si>
    <t>Sources:</t>
  </si>
  <si>
    <t>(Units Per Hr)</t>
  </si>
  <si>
    <t>Cost</t>
  </si>
  <si>
    <t>Units</t>
  </si>
  <si>
    <t>Wage</t>
  </si>
  <si>
    <t>Per Hour</t>
  </si>
  <si>
    <t>Rate</t>
  </si>
  <si>
    <t>Sack Sorting Machine</t>
  </si>
  <si>
    <t>Load APC</t>
  </si>
  <si>
    <t>Avg Sacks</t>
  </si>
  <si>
    <t>Sack (APC)</t>
  </si>
  <si>
    <t>Sacks Per</t>
  </si>
  <si>
    <t>Trays Per</t>
  </si>
  <si>
    <t>Trays Per APC</t>
  </si>
  <si>
    <t>Load Pallet</t>
  </si>
  <si>
    <t>Unload APC</t>
  </si>
  <si>
    <t>Sort Sacks</t>
  </si>
  <si>
    <t>Unload Pallet</t>
  </si>
  <si>
    <t>Crossdock Pallet</t>
  </si>
  <si>
    <t>Induct APC</t>
  </si>
  <si>
    <t>Avcg Sacks</t>
  </si>
  <si>
    <t>Per APC</t>
  </si>
  <si>
    <t>Per Postal Pak</t>
  </si>
  <si>
    <t>ODU</t>
  </si>
  <si>
    <t>ODU Originating Mail</t>
  </si>
  <si>
    <t>ODU - DDU</t>
  </si>
  <si>
    <t xml:space="preserve">ODU - DSCF </t>
  </si>
  <si>
    <t>ODU - OSCF</t>
  </si>
  <si>
    <t xml:space="preserve">ODU - ONDC </t>
  </si>
  <si>
    <t>ODU - DNDC</t>
  </si>
  <si>
    <t>Origin DU  (ODU)</t>
  </si>
  <si>
    <t>[2]:  Mail Piece Shape</t>
  </si>
  <si>
    <t>[9]:  ( [1] * [6] * [7] * [8] ) / ( [3] * [4] * [5] )</t>
  </si>
  <si>
    <t>Outgoing Tray Sort</t>
  </si>
  <si>
    <t>Incoming Tray Sort</t>
  </si>
  <si>
    <t xml:space="preserve">Pool </t>
  </si>
  <si>
    <t>Cost Pool</t>
  </si>
  <si>
    <t>No.</t>
  </si>
  <si>
    <t>Abbreviation</t>
  </si>
  <si>
    <t>MODS 11</t>
  </si>
  <si>
    <t>D/BCS</t>
  </si>
  <si>
    <t>AFSM100</t>
  </si>
  <si>
    <t>FSS</t>
  </si>
  <si>
    <t>MODS 13</t>
  </si>
  <si>
    <t>1TRAYSRT</t>
  </si>
  <si>
    <t>MODS 14</t>
  </si>
  <si>
    <t>MANF</t>
  </si>
  <si>
    <t>MANL</t>
  </si>
  <si>
    <t>MANP</t>
  </si>
  <si>
    <t>PRIORITY</t>
  </si>
  <si>
    <t>MODS 15</t>
  </si>
  <si>
    <t>LD15</t>
  </si>
  <si>
    <t>MODS 17</t>
  </si>
  <si>
    <t>1CANCEL</t>
  </si>
  <si>
    <t>1DSPATCH</t>
  </si>
  <si>
    <t>1MTRPREP</t>
  </si>
  <si>
    <t>1OPBULK</t>
  </si>
  <si>
    <t>1OPPREF</t>
  </si>
  <si>
    <t>1OPTRANS</t>
  </si>
  <si>
    <t>1PLATFRM</t>
  </si>
  <si>
    <t>1POUCHNG</t>
  </si>
  <si>
    <t>1PRESORT</t>
  </si>
  <si>
    <t>1SACKS_H</t>
  </si>
  <si>
    <t>1SCAN</t>
  </si>
  <si>
    <t>MODS 18</t>
  </si>
  <si>
    <t>BUSREPLY</t>
  </si>
  <si>
    <t>EXPRESS</t>
  </si>
  <si>
    <t>REGISTRY</t>
  </si>
  <si>
    <t>REWRAP</t>
  </si>
  <si>
    <t>1EEQMT</t>
  </si>
  <si>
    <t>1MISC</t>
  </si>
  <si>
    <t>1SUPPORT</t>
  </si>
  <si>
    <t>INTL ISC</t>
  </si>
  <si>
    <t>OTHR</t>
  </si>
  <si>
    <t>PLA</t>
  </si>
  <si>
    <t>PSM</t>
  </si>
  <si>
    <t>TRAYSORT</t>
  </si>
  <si>
    <t>ALLIED</t>
  </si>
  <si>
    <t>CFS</t>
  </si>
  <si>
    <t>D.PO BOX</t>
  </si>
  <si>
    <t>MISC</t>
  </si>
  <si>
    <t>OTH ACCT</t>
  </si>
  <si>
    <t>Factors</t>
  </si>
  <si>
    <t>PPSM</t>
  </si>
  <si>
    <t>SPSM</t>
  </si>
  <si>
    <t>[8]:  ( [1] * [5] * [6] * [7] ) / ( [3] * [4] )</t>
  </si>
  <si>
    <t>Unload ONDC Postal Pak</t>
  </si>
  <si>
    <t>Induct ONDC Postal Pak</t>
  </si>
  <si>
    <t>CS 8 Piggyback Factor</t>
  </si>
  <si>
    <t>OTHER INPUTS</t>
  </si>
  <si>
    <t>PIGGYBACK FACTORS</t>
  </si>
  <si>
    <t>COST SEGMENT DATA BY SHAPE</t>
  </si>
  <si>
    <t>COST SEGMENT DATA</t>
  </si>
  <si>
    <t>DEVELOPMENT OF MAIL FLOW PROPORTIONS</t>
  </si>
  <si>
    <t>COMPUTATION OF INPUT PERCENTAGES FOR PALLET (LETTER) MODELS</t>
  </si>
  <si>
    <t>COMPUTATION OF INPUT PERCENTAGES FOR PALLET (FLAT) MODELS</t>
  </si>
  <si>
    <t>COMPUTATION OF INPUT PERCENTAGES FOR PALLET (PARCEL) MODELS</t>
  </si>
  <si>
    <t>COMPUTATION OF INPUT PERCENTAGES FOR TRAY (LETTER) MODELS</t>
  </si>
  <si>
    <t>COMPUTATION OF INPUT PERCENTAGES FOR SACK (PARCEL) MODELS</t>
  </si>
  <si>
    <t>COMPUTATION OF INPUT PERCENTAGES FOR SACK (FLAT) MODELS</t>
  </si>
  <si>
    <t>DESTINATING SCF PALLETS</t>
  </si>
  <si>
    <t>DESTINATING SCF TRAYS</t>
  </si>
  <si>
    <t>DESTINATING SCF SACKS</t>
  </si>
  <si>
    <t>DESTINATING NDC SACKS</t>
  </si>
  <si>
    <t>DESTINATING NDC TRAYS</t>
  </si>
  <si>
    <t>DESTINATING NDC PALLETS</t>
  </si>
  <si>
    <t>ORIGINATING NDC PALLETS</t>
  </si>
  <si>
    <t>ORIGINATING NDC TRAYS</t>
  </si>
  <si>
    <t>ORIGINATING NDC SACKS</t>
  </si>
  <si>
    <t>ORIGINATING SCF PALLETS</t>
  </si>
  <si>
    <t>ORIGINATING SCF TRAYS</t>
  </si>
  <si>
    <t>ORIGINATING SCF SACKS</t>
  </si>
  <si>
    <t>ORIGINATING DELIVERY UNIT PALLETS</t>
  </si>
  <si>
    <t>ORIGINATING DELIVERY UNIT TRAYS</t>
  </si>
  <si>
    <t>ORIGINATING DELIVERY UNIT SACKS</t>
  </si>
  <si>
    <t>HANDLING COSTS BY MAIL FLOW</t>
  </si>
  <si>
    <t>Pages 35 and 36</t>
  </si>
  <si>
    <t>Intra-NDC cost per pound (page 4) + Flow Proportion (page 33) * Intra-SCF cost per pound (page 4)</t>
  </si>
  <si>
    <t>Page 37</t>
  </si>
  <si>
    <t>Page 6</t>
  </si>
  <si>
    <r>
      <t xml:space="preserve">Docket No. </t>
    </r>
    <r>
      <rPr>
        <b/>
        <sz val="10"/>
        <color indexed="8"/>
        <rFont val="Arial"/>
        <family val="2"/>
      </rPr>
      <t>MC95-1, USPS-T-9, page 3</t>
    </r>
  </si>
  <si>
    <t>Intra-SCF cost per pound (page 4)</t>
  </si>
  <si>
    <t>Cost per pound for transporting mail to DDU (page 3)</t>
  </si>
  <si>
    <t>Page 7</t>
  </si>
  <si>
    <t>Costs from Column [1] that qualify as Intra-NDC transportation</t>
  </si>
  <si>
    <t>Costs from Column [1] that qualify as Intra-SCF transportation</t>
  </si>
  <si>
    <t>Costs from Column [1] that qualify as Inter-NDC or Inter-SCF transportation</t>
  </si>
  <si>
    <t>[10]</t>
  </si>
  <si>
    <t>[11]</t>
  </si>
  <si>
    <t>[12]</t>
  </si>
  <si>
    <t>Costs from Column [2] that qualify as Intra-NDC transportation</t>
  </si>
  <si>
    <t>Costs from Column [2] that qualify as Intra-SCF transportation</t>
  </si>
  <si>
    <t>Costs from Column [2] that qualify as Inter-NDC or Inter-SCF transportation</t>
  </si>
  <si>
    <t>Costs from Column [3] that qualify as Intra-NDC transportation</t>
  </si>
  <si>
    <t>Costs from Column [3] that qualify as Intra-SCF transportation</t>
  </si>
  <si>
    <t>Costs from Column [3] that qualify as Inter-NDC or Inter-SCF transportation</t>
  </si>
  <si>
    <t>[2]:  Page 42</t>
  </si>
  <si>
    <t>[3]:  [1] * [2]</t>
  </si>
  <si>
    <t>1/:  Sum of Flows 1-3 and Flow 13 on page 10</t>
  </si>
  <si>
    <t>2/:  Sum of Flows 4-7 and Flows 11-12 on page 10</t>
  </si>
  <si>
    <t>3/:  Sum of Flows 8-10 on page 10</t>
  </si>
  <si>
    <t>4/:  1/ + 2/ + 3/</t>
  </si>
  <si>
    <t>[1]:  Page 5</t>
  </si>
  <si>
    <t>[2]:  Page 6</t>
  </si>
  <si>
    <t>[3]:  Column 2 / Column 1</t>
  </si>
  <si>
    <t>Docket No. MC95-1, USPS-T-9</t>
  </si>
  <si>
    <r>
      <t>This variable is unknown and the equation will be solved to find X</t>
    </r>
    <r>
      <rPr>
        <b/>
        <vertAlign val="superscript"/>
        <sz val="10"/>
        <rFont val="Arial"/>
        <family val="2"/>
      </rPr>
      <t>origin</t>
    </r>
  </si>
  <si>
    <t>Page 35 and 36</t>
  </si>
  <si>
    <t>DNDC cost per pound (page 11) + Flow Proportion (page 33) * DSCF cost per pound (page 11)</t>
  </si>
  <si>
    <t>DSCF cost per pound (page 11)</t>
  </si>
  <si>
    <t>Cost per pound for handling mail to DDU (page 9)</t>
  </si>
  <si>
    <t>[1]:</t>
  </si>
  <si>
    <t>[2]:</t>
  </si>
  <si>
    <t>[3]:</t>
  </si>
  <si>
    <t>[4]:</t>
  </si>
  <si>
    <t>[5]:</t>
  </si>
  <si>
    <t>[6]:</t>
  </si>
  <si>
    <t>[7]:</t>
  </si>
  <si>
    <t>[8]:</t>
  </si>
  <si>
    <t>[9]:</t>
  </si>
  <si>
    <t>Pages 35 (letters and flats) and 36 (parcels)</t>
  </si>
  <si>
    <t>[7], if applicable</t>
  </si>
  <si>
    <t>Page 33</t>
  </si>
  <si>
    <t>Page 11</t>
  </si>
  <si>
    <t>[2]  Pages 35 and 36</t>
  </si>
  <si>
    <t>[3]:  Page 36</t>
  </si>
  <si>
    <t>[4]:  Pages 36 and 42</t>
  </si>
  <si>
    <t>[5]:  Page 41</t>
  </si>
  <si>
    <t>[6]:  Page 42</t>
  </si>
  <si>
    <t>[7]:  Page 40</t>
  </si>
  <si>
    <t>[8]:  Pages 35 and 37</t>
  </si>
  <si>
    <t>[1]:  Pages 27 and 28</t>
  </si>
  <si>
    <t>[1]:  Page 29</t>
  </si>
  <si>
    <t>[3]:  Page 42</t>
  </si>
  <si>
    <t>[4]:  Page 42</t>
  </si>
  <si>
    <t>[8]:  Page 35</t>
  </si>
  <si>
    <t>[1]:  Pages 30, 31, and 32</t>
  </si>
  <si>
    <t>[4]:  Page 41</t>
  </si>
  <si>
    <t>[5]:  Page 42</t>
  </si>
  <si>
    <t>[6]:  Page 40</t>
  </si>
  <si>
    <t>[7]:  Page 35 and 37</t>
  </si>
  <si>
    <t>[1]:  Page 35</t>
  </si>
  <si>
    <t>[2]:  Deposit point pounds / total pounds</t>
  </si>
  <si>
    <t>[3]:  Portions of [1] and [5]</t>
  </si>
  <si>
    <t>[4]:  Page 33</t>
  </si>
  <si>
    <t>[5]:  [3] * [4]</t>
  </si>
  <si>
    <t>[6]:  Portions of [1] and [3]</t>
  </si>
  <si>
    <t>[7]:  [6] Deposit point pounds / [6] Total pounds</t>
  </si>
  <si>
    <t>[1]:  Page 36</t>
  </si>
  <si>
    <t>13/</t>
  </si>
  <si>
    <t>14/</t>
  </si>
  <si>
    <t>1/ - 15/</t>
  </si>
  <si>
    <t>16/</t>
  </si>
  <si>
    <t>17/</t>
  </si>
  <si>
    <t>18/</t>
  </si>
  <si>
    <t>19/</t>
  </si>
  <si>
    <t>20/</t>
  </si>
  <si>
    <t>21/</t>
  </si>
  <si>
    <t>22/</t>
  </si>
  <si>
    <t>23/</t>
  </si>
  <si>
    <t>24/</t>
  </si>
  <si>
    <t>25/</t>
  </si>
  <si>
    <t>26/</t>
  </si>
  <si>
    <t>27/</t>
  </si>
  <si>
    <t>28/</t>
  </si>
  <si>
    <t>29/</t>
  </si>
  <si>
    <t>30/</t>
  </si>
  <si>
    <t>31/</t>
  </si>
  <si>
    <r>
      <t xml:space="preserve">Equals Row </t>
    </r>
    <r>
      <rPr>
        <b/>
        <u/>
        <sz val="10"/>
        <rFont val="Arial"/>
        <family val="2"/>
      </rPr>
      <t>4</t>
    </r>
    <r>
      <rPr>
        <b/>
        <sz val="10"/>
        <rFont val="Arial"/>
        <family val="2"/>
      </rPr>
      <t xml:space="preserve">/ * Row </t>
    </r>
    <r>
      <rPr>
        <b/>
        <u/>
        <sz val="10"/>
        <rFont val="Arial"/>
        <family val="2"/>
      </rPr>
      <t>6</t>
    </r>
    <r>
      <rPr>
        <b/>
        <sz val="10"/>
        <rFont val="Arial"/>
        <family val="2"/>
      </rPr>
      <t xml:space="preserve">/ * Row </t>
    </r>
    <r>
      <rPr>
        <b/>
        <u/>
        <sz val="10"/>
        <rFont val="Arial"/>
        <family val="2"/>
      </rPr>
      <t>7</t>
    </r>
    <r>
      <rPr>
        <b/>
        <sz val="10"/>
        <rFont val="Arial"/>
        <family val="2"/>
      </rPr>
      <t>/</t>
    </r>
  </si>
  <si>
    <r>
      <t xml:space="preserve">Equals Row </t>
    </r>
    <r>
      <rPr>
        <b/>
        <u/>
        <sz val="10"/>
        <rFont val="Arial"/>
        <family val="2"/>
      </rPr>
      <t>4</t>
    </r>
    <r>
      <rPr>
        <b/>
        <sz val="10"/>
        <rFont val="Arial"/>
        <family val="2"/>
      </rPr>
      <t xml:space="preserve">/ * Row </t>
    </r>
    <r>
      <rPr>
        <b/>
        <u/>
        <sz val="10"/>
        <rFont val="Arial"/>
        <family val="2"/>
      </rPr>
      <t>6</t>
    </r>
    <r>
      <rPr>
        <b/>
        <sz val="10"/>
        <rFont val="Arial"/>
        <family val="2"/>
      </rPr>
      <t xml:space="preserve">/ * Row </t>
    </r>
    <r>
      <rPr>
        <b/>
        <u/>
        <sz val="10"/>
        <rFont val="Arial"/>
        <family val="2"/>
      </rPr>
      <t>8</t>
    </r>
    <r>
      <rPr>
        <b/>
        <sz val="10"/>
        <rFont val="Arial"/>
        <family val="2"/>
      </rPr>
      <t>/</t>
    </r>
  </si>
  <si>
    <r>
      <t xml:space="preserve">Equals Row </t>
    </r>
    <r>
      <rPr>
        <b/>
        <u/>
        <sz val="10"/>
        <rFont val="Arial"/>
        <family val="2"/>
      </rPr>
      <t>4</t>
    </r>
    <r>
      <rPr>
        <b/>
        <sz val="10"/>
        <rFont val="Arial"/>
        <family val="2"/>
      </rPr>
      <t xml:space="preserve">/ * Row </t>
    </r>
    <r>
      <rPr>
        <b/>
        <u/>
        <sz val="10"/>
        <rFont val="Arial"/>
        <family val="2"/>
      </rPr>
      <t>5</t>
    </r>
    <r>
      <rPr>
        <b/>
        <sz val="10"/>
        <rFont val="Arial"/>
        <family val="2"/>
      </rPr>
      <t>/</t>
    </r>
  </si>
  <si>
    <r>
      <t xml:space="preserve">Equals Row </t>
    </r>
    <r>
      <rPr>
        <b/>
        <u/>
        <sz val="10"/>
        <rFont val="Arial"/>
        <family val="2"/>
      </rPr>
      <t>1</t>
    </r>
    <r>
      <rPr>
        <b/>
        <sz val="10"/>
        <rFont val="Arial"/>
        <family val="2"/>
      </rPr>
      <t xml:space="preserve">/ * Row </t>
    </r>
    <r>
      <rPr>
        <b/>
        <u/>
        <sz val="10"/>
        <rFont val="Arial"/>
        <family val="2"/>
      </rPr>
      <t>2</t>
    </r>
    <r>
      <rPr>
        <b/>
        <sz val="10"/>
        <rFont val="Arial"/>
        <family val="2"/>
      </rPr>
      <t>/</t>
    </r>
  </si>
  <si>
    <r>
      <t xml:space="preserve">Equals Row </t>
    </r>
    <r>
      <rPr>
        <b/>
        <u/>
        <sz val="10"/>
        <rFont val="Arial"/>
        <family val="2"/>
      </rPr>
      <t>1</t>
    </r>
    <r>
      <rPr>
        <b/>
        <sz val="10"/>
        <rFont val="Arial"/>
        <family val="2"/>
      </rPr>
      <t xml:space="preserve">/ * Row </t>
    </r>
    <r>
      <rPr>
        <b/>
        <u/>
        <sz val="10"/>
        <rFont val="Arial"/>
        <family val="2"/>
      </rPr>
      <t>3</t>
    </r>
    <r>
      <rPr>
        <b/>
        <sz val="10"/>
        <rFont val="Arial"/>
        <family val="2"/>
      </rPr>
      <t>/</t>
    </r>
  </si>
  <si>
    <r>
      <t xml:space="preserve">Equals the sum of Rows </t>
    </r>
    <r>
      <rPr>
        <b/>
        <u/>
        <sz val="10"/>
        <rFont val="Arial"/>
        <family val="2"/>
      </rPr>
      <t>16</t>
    </r>
    <r>
      <rPr>
        <b/>
        <sz val="10"/>
        <rFont val="Arial"/>
        <family val="2"/>
      </rPr>
      <t xml:space="preserve">/ through </t>
    </r>
    <r>
      <rPr>
        <b/>
        <u/>
        <sz val="10"/>
        <rFont val="Arial"/>
        <family val="2"/>
      </rPr>
      <t>20</t>
    </r>
    <r>
      <rPr>
        <b/>
        <sz val="10"/>
        <rFont val="Arial"/>
        <family val="2"/>
      </rPr>
      <t>/. This figure equals 100%, accounting for all mail that originates at the OAO.</t>
    </r>
  </si>
  <si>
    <r>
      <t xml:space="preserve">Equals Row </t>
    </r>
    <r>
      <rPr>
        <b/>
        <u/>
        <sz val="10"/>
        <rFont val="Arial"/>
        <family val="2"/>
      </rPr>
      <t>9</t>
    </r>
    <r>
      <rPr>
        <b/>
        <sz val="10"/>
        <rFont val="Arial"/>
        <family val="2"/>
      </rPr>
      <t xml:space="preserve">/ * Row </t>
    </r>
    <r>
      <rPr>
        <b/>
        <u/>
        <sz val="10"/>
        <rFont val="Arial"/>
        <family val="2"/>
      </rPr>
      <t>10</t>
    </r>
    <r>
      <rPr>
        <b/>
        <sz val="10"/>
        <rFont val="Arial"/>
        <family val="2"/>
      </rPr>
      <t>/</t>
    </r>
  </si>
  <si>
    <r>
      <t xml:space="preserve">Equals Row </t>
    </r>
    <r>
      <rPr>
        <b/>
        <u/>
        <sz val="10"/>
        <rFont val="Arial"/>
        <family val="2"/>
      </rPr>
      <t>9</t>
    </r>
    <r>
      <rPr>
        <b/>
        <sz val="10"/>
        <rFont val="Arial"/>
        <family val="2"/>
      </rPr>
      <t xml:space="preserve">/ * Row </t>
    </r>
    <r>
      <rPr>
        <b/>
        <u/>
        <sz val="10"/>
        <rFont val="Arial"/>
        <family val="2"/>
      </rPr>
      <t>11</t>
    </r>
    <r>
      <rPr>
        <b/>
        <sz val="10"/>
        <rFont val="Arial"/>
        <family val="2"/>
      </rPr>
      <t>/</t>
    </r>
  </si>
  <si>
    <r>
      <t xml:space="preserve">Equals Row </t>
    </r>
    <r>
      <rPr>
        <b/>
        <u/>
        <sz val="10"/>
        <rFont val="Arial"/>
        <family val="2"/>
      </rPr>
      <t>12</t>
    </r>
    <r>
      <rPr>
        <b/>
        <sz val="10"/>
        <rFont val="Arial"/>
        <family val="2"/>
      </rPr>
      <t xml:space="preserve">/ * Row </t>
    </r>
    <r>
      <rPr>
        <b/>
        <u/>
        <sz val="10"/>
        <rFont val="Arial"/>
        <family val="2"/>
      </rPr>
      <t>13</t>
    </r>
    <r>
      <rPr>
        <b/>
        <sz val="10"/>
        <rFont val="Arial"/>
        <family val="2"/>
      </rPr>
      <t>/</t>
    </r>
  </si>
  <si>
    <r>
      <t xml:space="preserve">Equals Row </t>
    </r>
    <r>
      <rPr>
        <b/>
        <u/>
        <sz val="10"/>
        <rFont val="Arial"/>
        <family val="2"/>
      </rPr>
      <t>12</t>
    </r>
    <r>
      <rPr>
        <b/>
        <sz val="10"/>
        <rFont val="Arial"/>
        <family val="2"/>
      </rPr>
      <t xml:space="preserve">/ * Row </t>
    </r>
    <r>
      <rPr>
        <b/>
        <u/>
        <sz val="10"/>
        <rFont val="Arial"/>
        <family val="2"/>
      </rPr>
      <t>14</t>
    </r>
    <r>
      <rPr>
        <b/>
        <sz val="10"/>
        <rFont val="Arial"/>
        <family val="2"/>
      </rPr>
      <t>/</t>
    </r>
  </si>
  <si>
    <r>
      <t xml:space="preserve">Equals the sum of Rows </t>
    </r>
    <r>
      <rPr>
        <b/>
        <u/>
        <sz val="10"/>
        <rFont val="Arial"/>
        <family val="2"/>
      </rPr>
      <t>22</t>
    </r>
    <r>
      <rPr>
        <b/>
        <sz val="10"/>
        <rFont val="Arial"/>
        <family val="2"/>
      </rPr>
      <t xml:space="preserve">/ through </t>
    </r>
    <r>
      <rPr>
        <b/>
        <u/>
        <sz val="10"/>
        <rFont val="Arial"/>
        <family val="2"/>
      </rPr>
      <t>25</t>
    </r>
    <r>
      <rPr>
        <b/>
        <sz val="10"/>
        <rFont val="Arial"/>
        <family val="2"/>
      </rPr>
      <t>/. This figure equals 100%, accounting for all mail that originates at the OSCF.</t>
    </r>
  </si>
  <si>
    <r>
      <t xml:space="preserve">Equals Row </t>
    </r>
    <r>
      <rPr>
        <b/>
        <u/>
        <sz val="10"/>
        <rFont val="Arial"/>
        <family val="2"/>
      </rPr>
      <t>13</t>
    </r>
    <r>
      <rPr>
        <b/>
        <sz val="10"/>
        <rFont val="Arial"/>
        <family val="2"/>
      </rPr>
      <t>/</t>
    </r>
  </si>
  <si>
    <r>
      <t xml:space="preserve">Equals Row </t>
    </r>
    <r>
      <rPr>
        <b/>
        <u/>
        <sz val="10"/>
        <rFont val="Arial"/>
        <family val="2"/>
      </rPr>
      <t>14</t>
    </r>
    <r>
      <rPr>
        <b/>
        <sz val="10"/>
        <rFont val="Arial"/>
        <family val="2"/>
      </rPr>
      <t>/</t>
    </r>
  </si>
  <si>
    <t>Source:</t>
  </si>
  <si>
    <t>[2]:  [1] * [3]</t>
  </si>
  <si>
    <t>[5]:  Docket No. R97-1, USPS-LR-H-105 and USPS-LR-H-195</t>
  </si>
  <si>
    <t>[6]:  The number of sleeved trays that fit into an APC (12 on top and 12 on the bottom)</t>
  </si>
  <si>
    <t>[7]:  Docket No. R2000-1, USPS-T-27, Attachment K, Table 4, Footnote 6.</t>
  </si>
  <si>
    <t>PRODUCTIVITY ESTIMATES</t>
  </si>
  <si>
    <t>Parcel</t>
  </si>
  <si>
    <t>[1]:  Pages 2 (transportation) and 8 (non-transportation)</t>
  </si>
  <si>
    <t>[2]:  Pages 2 (transportation) and 8 (non-transportation)</t>
  </si>
  <si>
    <t>[3]:  Pages 2 (transportation) and 8 (non-transportation)</t>
  </si>
  <si>
    <t>[4]:  Weighted Average of [1], [2], and [3] using weight and volume data from Page 37</t>
  </si>
  <si>
    <t>Percentage of mail that is dropshipped to non-destination facilities or plantloaded to all facilities</t>
  </si>
  <si>
    <t>Percentage of mail that is dropshipped to a destination NDC</t>
  </si>
  <si>
    <t>Percentage of mail that is dropshipped to a destination SCF</t>
  </si>
  <si>
    <t>Percentage of mail that is dropshipped or plantloaded to non-destination facilities</t>
  </si>
  <si>
    <t>Percentage of mail that is dropshipped or plantloaded to a destination NDC</t>
  </si>
  <si>
    <t>Percentage of mail that is dropshipped or plantloaded to a destination SCF</t>
  </si>
  <si>
    <t>Non-transportation Equation:</t>
  </si>
  <si>
    <t>1/:</t>
  </si>
  <si>
    <t>2/:</t>
  </si>
  <si>
    <t>3/:</t>
  </si>
  <si>
    <t>4/:</t>
  </si>
  <si>
    <t>5/:</t>
  </si>
  <si>
    <t>6/:</t>
  </si>
  <si>
    <t>7/:</t>
  </si>
  <si>
    <t>8/:</t>
  </si>
  <si>
    <t>9/:</t>
  </si>
  <si>
    <t>10/:</t>
  </si>
  <si>
    <t>11/:</t>
  </si>
  <si>
    <t>12/:</t>
  </si>
  <si>
    <t>[10]:</t>
  </si>
  <si>
    <t>[11]:</t>
  </si>
  <si>
    <t>[12]:</t>
  </si>
  <si>
    <t xml:space="preserve">        POV costs (page 37) * piggyback factor (page 40)</t>
  </si>
  <si>
    <t>[1]:  Intra-SCF costs (page 37)</t>
  </si>
  <si>
    <t>1/:  Page 37</t>
  </si>
  <si>
    <t>2/:  Page 10</t>
  </si>
  <si>
    <t>3/:  Row 2 / Row 1</t>
  </si>
  <si>
    <t>ODU Container Type</t>
  </si>
  <si>
    <t>[3]:  Pages 36 and 42</t>
  </si>
  <si>
    <t>[1]:  High Density/Saturation Letters (page 39) + Letters (page 39) + Letters pound percent (page 38) * Carrier Route (page 39)</t>
  </si>
  <si>
    <t>[2]:  High Density/Saturation Flats/Parcels (page 39) + Flats (page 39) + Flats pound percent (page 38) * Carrier Route (page 39)</t>
  </si>
  <si>
    <t>Pieces per Pallet (Letters)</t>
  </si>
  <si>
    <t>[3]:  Parcels (page 39) + Parcels percent (page 38) * Carrier Route (page 39)</t>
  </si>
  <si>
    <t>Cost Per Piece</t>
  </si>
  <si>
    <t>[5]:  [1] * [ Letter Pounds (Page 37) / Letter Pieces (Page 37) ]</t>
  </si>
  <si>
    <t>[6]:  [2] * [ Flat Pounds (Page 37) / Flat Pieces (Page 37) ]</t>
  </si>
  <si>
    <t>[7]:  [3] * [ Parcel Pounds (Page 37) / Parcel Pieces (Page 37) ]</t>
  </si>
  <si>
    <t>Peak</t>
  </si>
  <si>
    <t>APBS</t>
  </si>
  <si>
    <t>Pieces per Pallet (Flats)</t>
  </si>
  <si>
    <t>Commercial Air</t>
  </si>
  <si>
    <t>Terminal / Van Damage</t>
  </si>
  <si>
    <t>Alaska  Highway</t>
  </si>
  <si>
    <t>APBS OTH</t>
  </si>
  <si>
    <t>APBSPRIO</t>
  </si>
  <si>
    <t xml:space="preserve">USPS MARKETING MAIL DESTINATION ENTRY        </t>
  </si>
  <si>
    <t>USPS MARKETING MAIL TRANSPORTATION EQUATION AND RESULTS</t>
  </si>
  <si>
    <t>AVERAGE USPS MARKETING MAIL TRANSPORTATION COST PER POUND</t>
  </si>
  <si>
    <t>USPS MARKETING MAIL COST PER POUND BY TRANSPORTATION CATEGORY</t>
  </si>
  <si>
    <t>SUMMARY OF TOTAL USPS MARKETING MAIL POUNDS BY TRANSPORTATION CATEGORIES</t>
  </si>
  <si>
    <t>DIVISION OF USPS MARKETING MAIL ADJUSTED TRANSPORTATION COSTS INTO INTER-FACILITY TRANSPORTATION CATEGORIES</t>
  </si>
  <si>
    <t>Total Pounds per Transportation Category</t>
  </si>
  <si>
    <t>USPS MARKETING MAIL INTRA-SCF and POV HIGHWAY TRANSPORTATION COST ADJUSTMENTS</t>
  </si>
  <si>
    <t>USPS MARKETING MAIL NON-TRANSPORTATION EQUATION AND RESULTS</t>
  </si>
  <si>
    <t>USPS MARKETING MAIL NON-TRANSPORTATION UNIT COSTS</t>
  </si>
  <si>
    <t>Handling Costs</t>
  </si>
  <si>
    <t>Average Non-Transportation Cost per Pound</t>
  </si>
  <si>
    <t>USPS MARKETING MAIL NON-TRANSPORTATION COSTS</t>
  </si>
  <si>
    <t xml:space="preserve">FLOWPATHS IN USPS MARKETING MAIL POSTAL TRANSPORTATION SYSTEM  </t>
  </si>
  <si>
    <t>USPS MARKETING MAIL LETTER AND FLAT MAIL ENTRY PROFILE</t>
  </si>
  <si>
    <t>USPS MARKETING MAIL PARCEL MAIL ENTRY PROFILE</t>
  </si>
  <si>
    <t>CARRIER ROUTE BASIC</t>
  </si>
  <si>
    <t xml:space="preserve">         (Percentage of Intra-SCF highway and POV  transportation costs avoided by DDU mail pieces.)</t>
  </si>
  <si>
    <t>LCUS-SSM</t>
  </si>
  <si>
    <t>AUTO/MEC</t>
  </si>
  <si>
    <t>BULKACCP</t>
  </si>
  <si>
    <t>MODS 12 &amp; 17</t>
  </si>
  <si>
    <t>MODS 16</t>
  </si>
  <si>
    <t>All LDCs</t>
  </si>
  <si>
    <t>NDCS 12 &amp; 17</t>
  </si>
  <si>
    <t>NDCS 14</t>
  </si>
  <si>
    <t>NDCS All LDCs</t>
  </si>
  <si>
    <t>NDCS 17</t>
  </si>
  <si>
    <t>NDCS 13</t>
  </si>
  <si>
    <t>NONMODS IOCS</t>
  </si>
  <si>
    <t>Cost per pound to the Postal Service of transporting all USPS Marketing Mail to the destination delivery unit</t>
  </si>
  <si>
    <r>
      <t xml:space="preserve">Cost per pound to the Postal Service of transporting </t>
    </r>
    <r>
      <rPr>
        <b/>
        <sz val="10"/>
        <rFont val="Arial"/>
        <family val="2"/>
      </rPr>
      <t>Y</t>
    </r>
    <r>
      <rPr>
        <vertAlign val="superscript"/>
        <sz val="10"/>
        <rFont val="Arial"/>
        <family val="2"/>
      </rPr>
      <t>DSCF</t>
    </r>
    <r>
      <rPr>
        <sz val="10"/>
        <rFont val="Arial"/>
        <family val="2"/>
      </rPr>
      <t xml:space="preserve"> to the destination delivery unit</t>
    </r>
  </si>
  <si>
    <r>
      <t xml:space="preserve">Cost per pound to the Postal Service of transporting </t>
    </r>
    <r>
      <rPr>
        <b/>
        <sz val="10"/>
        <rFont val="Arial"/>
        <family val="2"/>
      </rPr>
      <t>Y</t>
    </r>
    <r>
      <rPr>
        <vertAlign val="superscript"/>
        <sz val="10"/>
        <rFont val="Arial"/>
        <family val="2"/>
      </rPr>
      <t>DNDC</t>
    </r>
    <r>
      <rPr>
        <sz val="10"/>
        <rFont val="Arial"/>
        <family val="2"/>
      </rPr>
      <t xml:space="preserve"> to the destination delivery unit</t>
    </r>
  </si>
  <si>
    <r>
      <t xml:space="preserve">Cost per pound to the Postal Service of transporting </t>
    </r>
    <r>
      <rPr>
        <b/>
        <sz val="10"/>
        <rFont val="Arial"/>
        <family val="2"/>
      </rPr>
      <t>Y</t>
    </r>
    <r>
      <rPr>
        <vertAlign val="superscript"/>
        <sz val="10"/>
        <rFont val="Arial"/>
        <family val="2"/>
      </rPr>
      <t>origin</t>
    </r>
    <r>
      <rPr>
        <sz val="10"/>
        <rFont val="Arial"/>
        <family val="2"/>
      </rPr>
      <t xml:space="preserve"> to the destination delivery unit</t>
    </r>
  </si>
  <si>
    <r>
      <t xml:space="preserve">Cost per pound to the Postal Service of crossdocking </t>
    </r>
    <r>
      <rPr>
        <b/>
        <sz val="10"/>
        <rFont val="Arial"/>
        <family val="2"/>
      </rPr>
      <t>Y</t>
    </r>
    <r>
      <rPr>
        <vertAlign val="superscript"/>
        <sz val="10"/>
        <rFont val="Arial"/>
        <family val="2"/>
      </rPr>
      <t>origin</t>
    </r>
    <r>
      <rPr>
        <sz val="10"/>
        <rFont val="Arial"/>
        <family val="2"/>
      </rPr>
      <t xml:space="preserve"> before it reaches the destination delivery unit</t>
    </r>
  </si>
  <si>
    <r>
      <t xml:space="preserve">Cost per pound to the Postal Service of crossdocking </t>
    </r>
    <r>
      <rPr>
        <b/>
        <sz val="10"/>
        <rFont val="Arial"/>
        <family val="2"/>
      </rPr>
      <t>Y</t>
    </r>
    <r>
      <rPr>
        <vertAlign val="superscript"/>
        <sz val="10"/>
        <rFont val="Arial"/>
        <family val="2"/>
      </rPr>
      <t>DNDC</t>
    </r>
    <r>
      <rPr>
        <sz val="10"/>
        <rFont val="Arial"/>
        <family val="2"/>
      </rPr>
      <t xml:space="preserve"> before it reaches the destination delivery unit</t>
    </r>
  </si>
  <si>
    <r>
      <t xml:space="preserve">Cost per pound to the Postal Service of crossdocking </t>
    </r>
    <r>
      <rPr>
        <b/>
        <sz val="10"/>
        <rFont val="Arial"/>
        <family val="2"/>
      </rPr>
      <t>Y</t>
    </r>
    <r>
      <rPr>
        <vertAlign val="superscript"/>
        <sz val="10"/>
        <rFont val="Arial"/>
        <family val="2"/>
      </rPr>
      <t>DSCF</t>
    </r>
    <r>
      <rPr>
        <sz val="10"/>
        <rFont val="Arial"/>
        <family val="2"/>
      </rPr>
      <t xml:space="preserve"> before it reaches the destination delivery unit</t>
    </r>
  </si>
  <si>
    <t>Cost per pound to the Postal Service of crossdocking all USPS Marketing Mail before it reaches the destination delivery unit</t>
  </si>
  <si>
    <t>CDS Intra-SCF</t>
  </si>
  <si>
    <t>Peak Highway Cost Distribution</t>
  </si>
  <si>
    <t>IntraSCF</t>
  </si>
  <si>
    <t>InterSCF</t>
  </si>
  <si>
    <t>IntraNDC</t>
  </si>
  <si>
    <t>InterNDC</t>
  </si>
  <si>
    <t>These data are used to</t>
  </si>
  <si>
    <t>distribute the CS 14</t>
  </si>
  <si>
    <t>peak highway costs</t>
  </si>
  <si>
    <t>[5]:  The peak highway distribution percentages (page 42) are used to distribute the peak highway transportation costs (page 39)</t>
  </si>
  <si>
    <t>[8]:  [4] * [ Total Pounds (Page 37) / Total Pieces (Page 37) ]</t>
  </si>
  <si>
    <t>&lt;= 4 oz</t>
  </si>
  <si>
    <t>&lt;= 3.3 oz</t>
  </si>
  <si>
    <t>Flats Pieces &lt;= 4 oz</t>
  </si>
  <si>
    <t>Flats Pieces &gt; 4 oz</t>
  </si>
  <si>
    <t>Parcel Pieces &lt;=3.3 oz</t>
  </si>
  <si>
    <t>Parcel Pieces &gt; 3.3 oz</t>
  </si>
  <si>
    <t>Simple Samples Pieces</t>
  </si>
  <si>
    <t>Flats Pounds &lt;= 4 oz</t>
  </si>
  <si>
    <t>Flats Pounds &gt; 4 oz</t>
  </si>
  <si>
    <t>Parcel Pounds &lt;=3.3 oz</t>
  </si>
  <si>
    <t>Parcel Pounds &gt; 3.3 oz</t>
  </si>
  <si>
    <t>Simple Samples Pounds</t>
  </si>
  <si>
    <t>FCM / PM Pieces</t>
  </si>
  <si>
    <t>FCM / PM Pounds</t>
  </si>
  <si>
    <t>Parcel Pieces &lt;= 3.3 oz</t>
  </si>
  <si>
    <t>&gt; 4 oz</t>
  </si>
  <si>
    <t>&gt; 3.3 oz</t>
  </si>
  <si>
    <t>[9]:  [2] * [ Total Pounds &lt;= 4 oz (Page 37) / Total Pieces &lt;= 4 oz (Page 37) ]</t>
  </si>
  <si>
    <t>[10]:  [2] * [ Total Pounds &gt; 4 oz (Page 37) / Total Pieces &gt; 4 oz (Page 37) ]</t>
  </si>
  <si>
    <t>[11]:  [3] * [ Total Pounds &lt;= 3.3 oz (Page 37) / Total Pieces &lt;= 3.3 oz (Page 37) ]</t>
  </si>
  <si>
    <t>[12]:  [3] * [ Total Pounds &gt; 3.3 oz (Page 37) / Total Pieces &gt; 3.3 oz (Page 37) ]</t>
  </si>
  <si>
    <t>RPW</t>
  </si>
  <si>
    <t>[1]:  Page 39</t>
  </si>
  <si>
    <t>[2]:  [1] Percentage</t>
  </si>
  <si>
    <t>[3]:  Page 39</t>
  </si>
  <si>
    <t>[4]:  [3] Percentage</t>
  </si>
  <si>
    <t>Sort Trays</t>
  </si>
  <si>
    <t>Parcel Pounds &lt;= 3.3 oz</t>
  </si>
  <si>
    <t>CS 14 Domestic Air</t>
  </si>
  <si>
    <t>APPS (WITH REC COSTS AS INDIRECT)</t>
  </si>
  <si>
    <t>Source:  USPS-FY25-12</t>
  </si>
  <si>
    <t>USPS-FY25-32</t>
  </si>
  <si>
    <t>[1]:  USPS-FY25-25</t>
  </si>
  <si>
    <t>[2]:  USPS-FY25-24</t>
  </si>
  <si>
    <t>[1]:  USPS-FY25-12</t>
  </si>
  <si>
    <t>[1]:  USPS-FY25-7, Part 8</t>
  </si>
  <si>
    <t>[3]:  USPS-FY25-7, Part 5</t>
  </si>
  <si>
    <t>[4]:  USPS-FY25-14</t>
  </si>
  <si>
    <t>[8]:  USPS-FY25-32</t>
  </si>
  <si>
    <t>Source: USPS-FY25-14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</si>
</sst>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6" formatCode="&quot;$&quot;#,##0_);[Red]\(&quot;$&quot;#,##0\)"/>
    <numFmt numFmtId="43" formatCode="_(* #,##0.00_);_(* \(#,##0.00\);_(* &quot;-&quot;??_);_(@_)"/>
    <numFmt numFmtId="164" formatCode="0.0000"/>
    <numFmt numFmtId="165" formatCode="0.000"/>
    <numFmt numFmtId="166" formatCode="&quot;$&quot;#,##0\ ;\(&quot;$&quot;#,##0\)"/>
    <numFmt numFmtId="167" formatCode="&quot;$&quot;#,##0.000"/>
    <numFmt numFmtId="168" formatCode="0.000000"/>
    <numFmt numFmtId="169" formatCode="_(* #,##0_);_(* \(#,##0\);_(* &quot;-&quot;??_);_(@_)"/>
    <numFmt numFmtId="170" formatCode="0.0000000%"/>
    <numFmt numFmtId="171" formatCode="&quot;$&quot;#,##0.0000"/>
    <numFmt numFmtId="172" formatCode="_(* #,##0.0000_);_(* \(#,##0.0000\);_(* &quot;-&quot;??_);_(@_)"/>
    <numFmt numFmtId="173" formatCode="&quot;$&quot;#,##0"/>
    <numFmt numFmtId="174" formatCode="_(&quot;$&quot;* #,##0_);_(&quot;$&quot;* \(#,##0\);_(&quot;$&quot;* &quot;-&quot;??_);_(@_)"/>
    <numFmt numFmtId="175" formatCode="0.0%"/>
    <numFmt numFmtId="176" formatCode="&quot;$&quot;#,##0.000000"/>
    <numFmt numFmtId="177" formatCode="#,##0.000"/>
    <numFmt numFmtId="178" formatCode="#,##0.0000"/>
    <numFmt numFmtId="179" formatCode="0.000%"/>
  </numFmts>
  <fonts count="4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u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vertAlign val="superscript"/>
      <sz val="10"/>
      <color indexed="8"/>
      <name val="Arial"/>
      <family val="2"/>
    </font>
    <font>
      <b/>
      <sz val="11"/>
      <color indexed="8"/>
      <name val="Arial"/>
      <family val="2"/>
    </font>
    <font>
      <vertAlign val="superscript"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color indexed="12"/>
      <name val="Arial"/>
      <family val="2"/>
    </font>
    <font>
      <b/>
      <i/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u/>
      <sz val="10"/>
      <name val="Arial"/>
      <family val="2"/>
    </font>
    <font>
      <u val="singleAccounting"/>
      <sz val="10"/>
      <name val="Arial"/>
      <family val="2"/>
    </font>
    <font>
      <u val="singleAccounting"/>
      <sz val="10"/>
      <name val="Arial"/>
      <family val="2"/>
    </font>
    <font>
      <sz val="10"/>
      <name val="Times New Roman"/>
      <family val="1"/>
    </font>
    <font>
      <b/>
      <sz val="10"/>
      <name val="Univers"/>
      <family val="2"/>
    </font>
    <font>
      <sz val="10"/>
      <name val="Univers"/>
      <family val="2"/>
    </font>
    <font>
      <b/>
      <sz val="10"/>
      <name val="Univers"/>
      <family val="2"/>
    </font>
    <font>
      <b/>
      <u/>
      <sz val="10"/>
      <name val="Univers"/>
      <family val="2"/>
    </font>
    <font>
      <sz val="10"/>
      <name val="Univers"/>
      <family val="2"/>
    </font>
    <font>
      <b/>
      <u/>
      <sz val="10"/>
      <name val="Univers"/>
      <family val="2"/>
    </font>
    <font>
      <b/>
      <sz val="10"/>
      <name val="Times New Roman"/>
      <family val="1"/>
    </font>
    <font>
      <b/>
      <sz val="8"/>
      <name val="Arial"/>
      <family val="2"/>
    </font>
    <font>
      <b/>
      <u/>
      <sz val="10"/>
      <name val="Times New Roman"/>
      <family val="1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8" fillId="0" borderId="0"/>
    <xf numFmtId="9" fontId="2" fillId="0" borderId="0" applyFont="0" applyFill="0" applyBorder="0" applyAlignment="0" applyProtection="0"/>
    <xf numFmtId="0" fontId="4" fillId="0" borderId="1" applyNumberFormat="0" applyFont="0" applyFill="0" applyAlignment="0" applyProtection="0"/>
  </cellStyleXfs>
  <cellXfs count="452">
    <xf numFmtId="0" fontId="0" fillId="0" borderId="0" xfId="0"/>
    <xf numFmtId="10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12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9" fontId="2" fillId="0" borderId="0" xfId="1" applyNumberFormat="1"/>
    <xf numFmtId="3" fontId="0" fillId="0" borderId="0" xfId="0" quotePrefix="1" applyNumberFormat="1" applyAlignment="1">
      <alignment horizontal="center"/>
    </xf>
    <xf numFmtId="10" fontId="2" fillId="0" borderId="0" xfId="12" applyNumberFormat="1"/>
    <xf numFmtId="3" fontId="0" fillId="0" borderId="3" xfId="0" applyNumberFormat="1" applyBorder="1"/>
    <xf numFmtId="3" fontId="0" fillId="0" borderId="3" xfId="0" applyNumberFormat="1" applyBorder="1" applyAlignment="1">
      <alignment horizontal="center"/>
    </xf>
    <xf numFmtId="10" fontId="0" fillId="0" borderId="3" xfId="12" applyNumberFormat="1" applyFont="1" applyBorder="1"/>
    <xf numFmtId="3" fontId="0" fillId="0" borderId="0" xfId="0" applyNumberFormat="1"/>
    <xf numFmtId="0" fontId="0" fillId="0" borderId="0" xfId="0" applyAlignment="1">
      <alignment horizontal="centerContinuous"/>
    </xf>
    <xf numFmtId="10" fontId="0" fillId="0" borderId="0" xfId="12" applyNumberFormat="1" applyFont="1"/>
    <xf numFmtId="170" fontId="0" fillId="0" borderId="0" xfId="0" applyNumberForma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5" fillId="0" borderId="0" xfId="0" applyFont="1"/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169" fontId="2" fillId="0" borderId="0" xfId="1" applyNumberFormat="1" applyAlignment="1">
      <alignment horizontal="right"/>
    </xf>
    <xf numFmtId="3" fontId="0" fillId="0" borderId="3" xfId="0" applyNumberFormat="1" applyBorder="1" applyAlignment="1">
      <alignment horizontal="right"/>
    </xf>
    <xf numFmtId="0" fontId="18" fillId="0" borderId="0" xfId="0" quotePrefix="1" applyFont="1" applyAlignment="1">
      <alignment horizontal="center"/>
    </xf>
    <xf numFmtId="172" fontId="3" fillId="0" borderId="0" xfId="1" applyNumberFormat="1" applyFont="1" applyFill="1"/>
    <xf numFmtId="0" fontId="3" fillId="0" borderId="0" xfId="0" applyFont="1" applyAlignment="1">
      <alignment horizontal="centerContinuous"/>
    </xf>
    <xf numFmtId="10" fontId="3" fillId="0" borderId="0" xfId="0" applyNumberFormat="1" applyFont="1" applyAlignment="1">
      <alignment horizontal="center"/>
    </xf>
    <xf numFmtId="10" fontId="3" fillId="0" borderId="0" xfId="0" applyNumberFormat="1" applyFont="1"/>
    <xf numFmtId="171" fontId="3" fillId="0" borderId="0" xfId="0" applyNumberFormat="1" applyFont="1"/>
    <xf numFmtId="10" fontId="3" fillId="0" borderId="0" xfId="12" applyNumberFormat="1" applyFont="1" applyFill="1"/>
    <xf numFmtId="0" fontId="3" fillId="0" borderId="0" xfId="8" applyFont="1" applyAlignment="1">
      <alignment horizontal="centerContinuous"/>
    </xf>
    <xf numFmtId="0" fontId="3" fillId="0" borderId="0" xfId="8" applyFont="1"/>
    <xf numFmtId="0" fontId="12" fillId="0" borderId="0" xfId="0" applyFont="1"/>
    <xf numFmtId="0" fontId="17" fillId="0" borderId="0" xfId="0" applyFont="1"/>
    <xf numFmtId="0" fontId="29" fillId="0" borderId="0" xfId="0" quotePrefix="1" applyFont="1" applyAlignment="1">
      <alignment horizontal="center"/>
    </xf>
    <xf numFmtId="0" fontId="2" fillId="0" borderId="0" xfId="0" applyFont="1"/>
    <xf numFmtId="6" fontId="3" fillId="0" borderId="0" xfId="0" applyNumberFormat="1" applyFont="1"/>
    <xf numFmtId="6" fontId="3" fillId="0" borderId="0" xfId="0" applyNumberFormat="1" applyFont="1" applyAlignment="1">
      <alignment horizontal="right"/>
    </xf>
    <xf numFmtId="169" fontId="3" fillId="0" borderId="0" xfId="1" applyNumberFormat="1" applyFont="1" applyFill="1" applyBorder="1"/>
    <xf numFmtId="37" fontId="3" fillId="0" borderId="0" xfId="0" applyNumberFormat="1" applyFont="1"/>
    <xf numFmtId="3" fontId="3" fillId="0" borderId="0" xfId="0" applyNumberFormat="1" applyFont="1"/>
    <xf numFmtId="0" fontId="28" fillId="0" borderId="0" xfId="0" applyFont="1"/>
    <xf numFmtId="3" fontId="11" fillId="0" borderId="0" xfId="0" applyNumberFormat="1" applyFont="1" applyAlignment="1">
      <alignment horizontal="left"/>
    </xf>
    <xf numFmtId="171" fontId="11" fillId="0" borderId="0" xfId="0" applyNumberFormat="1" applyFont="1" applyAlignment="1">
      <alignment horizontal="left"/>
    </xf>
    <xf numFmtId="0" fontId="28" fillId="0" borderId="0" xfId="0" applyFont="1" applyAlignment="1">
      <alignment horizontal="left"/>
    </xf>
    <xf numFmtId="0" fontId="3" fillId="0" borderId="0" xfId="8" applyFont="1" applyAlignment="1">
      <alignment horizontal="center"/>
    </xf>
    <xf numFmtId="0" fontId="11" fillId="0" borderId="0" xfId="8" applyFont="1" applyAlignment="1">
      <alignment horizontal="center"/>
    </xf>
    <xf numFmtId="0" fontId="3" fillId="0" borderId="0" xfId="8" applyFont="1" applyAlignment="1">
      <alignment wrapText="1"/>
    </xf>
    <xf numFmtId="0" fontId="10" fillId="0" borderId="0" xfId="8" applyFont="1" applyAlignment="1">
      <alignment wrapText="1"/>
    </xf>
    <xf numFmtId="0" fontId="10" fillId="0" borderId="4" xfId="8" applyFont="1" applyBorder="1" applyAlignment="1">
      <alignment horizontal="center" wrapText="1"/>
    </xf>
    <xf numFmtId="0" fontId="10" fillId="0" borderId="0" xfId="8" applyFont="1"/>
    <xf numFmtId="173" fontId="3" fillId="0" borderId="5" xfId="8" applyNumberFormat="1" applyFont="1" applyBorder="1" applyAlignment="1">
      <alignment horizontal="right"/>
    </xf>
    <xf numFmtId="173" fontId="3" fillId="0" borderId="0" xfId="8" applyNumberFormat="1" applyFont="1" applyAlignment="1">
      <alignment horizontal="right"/>
    </xf>
    <xf numFmtId="0" fontId="3" fillId="0" borderId="0" xfId="8" applyFont="1" applyAlignment="1">
      <alignment horizontal="right"/>
    </xf>
    <xf numFmtId="173" fontId="3" fillId="0" borderId="0" xfId="8" applyNumberFormat="1" applyFont="1"/>
    <xf numFmtId="0" fontId="3" fillId="0" borderId="5" xfId="8" applyFont="1" applyBorder="1" applyAlignment="1">
      <alignment horizontal="right"/>
    </xf>
    <xf numFmtId="10" fontId="27" fillId="0" borderId="0" xfId="12" applyNumberFormat="1" applyFont="1" applyFill="1" applyBorder="1"/>
    <xf numFmtId="10" fontId="3" fillId="0" borderId="0" xfId="12" applyNumberFormat="1" applyFont="1" applyFill="1" applyBorder="1"/>
    <xf numFmtId="10" fontId="10" fillId="0" borderId="0" xfId="12" applyNumberFormat="1" applyFont="1" applyFill="1" applyBorder="1"/>
    <xf numFmtId="173" fontId="3" fillId="0" borderId="5" xfId="8" applyNumberFormat="1" applyFont="1" applyBorder="1" applyAlignment="1">
      <alignment horizontal="center"/>
    </xf>
    <xf numFmtId="173" fontId="3" fillId="0" borderId="0" xfId="8" applyNumberFormat="1" applyFont="1" applyAlignment="1">
      <alignment horizontal="center"/>
    </xf>
    <xf numFmtId="173" fontId="3" fillId="0" borderId="0" xfId="0" applyNumberFormat="1" applyFont="1"/>
    <xf numFmtId="6" fontId="3" fillId="0" borderId="0" xfId="0" applyNumberFormat="1" applyFont="1" applyAlignment="1">
      <alignment horizontal="center"/>
    </xf>
    <xf numFmtId="0" fontId="10" fillId="0" borderId="6" xfId="8" applyFont="1" applyBorder="1" applyAlignment="1">
      <alignment horizontal="centerContinuous" wrapText="1"/>
    </xf>
    <xf numFmtId="0" fontId="3" fillId="0" borderId="7" xfId="8" applyFont="1" applyBorder="1"/>
    <xf numFmtId="0" fontId="3" fillId="0" borderId="5" xfId="8" applyFont="1" applyBorder="1" applyAlignment="1">
      <alignment horizontal="center"/>
    </xf>
    <xf numFmtId="173" fontId="3" fillId="0" borderId="7" xfId="8" applyNumberFormat="1" applyFont="1" applyBorder="1"/>
    <xf numFmtId="0" fontId="3" fillId="0" borderId="8" xfId="8" applyFont="1" applyBorder="1"/>
    <xf numFmtId="173" fontId="3" fillId="0" borderId="8" xfId="8" applyNumberFormat="1" applyFont="1" applyBorder="1"/>
    <xf numFmtId="173" fontId="3" fillId="0" borderId="9" xfId="8" applyNumberFormat="1" applyFont="1" applyBorder="1"/>
    <xf numFmtId="173" fontId="3" fillId="0" borderId="10" xfId="8" applyNumberFormat="1" applyFont="1" applyBorder="1" applyAlignment="1">
      <alignment horizontal="center"/>
    </xf>
    <xf numFmtId="173" fontId="3" fillId="0" borderId="10" xfId="8" applyNumberFormat="1" applyFont="1" applyBorder="1" applyAlignment="1">
      <alignment horizontal="right"/>
    </xf>
    <xf numFmtId="10" fontId="27" fillId="0" borderId="7" xfId="12" applyNumberFormat="1" applyFont="1" applyFill="1" applyBorder="1"/>
    <xf numFmtId="10" fontId="3" fillId="0" borderId="5" xfId="12" applyNumberFormat="1" applyFont="1" applyFill="1" applyBorder="1" applyAlignment="1">
      <alignment horizontal="center"/>
    </xf>
    <xf numFmtId="10" fontId="27" fillId="0" borderId="5" xfId="12" applyNumberFormat="1" applyFont="1" applyFill="1" applyBorder="1" applyAlignment="1">
      <alignment horizontal="center"/>
    </xf>
    <xf numFmtId="173" fontId="11" fillId="0" borderId="7" xfId="8" applyNumberFormat="1" applyFont="1" applyBorder="1"/>
    <xf numFmtId="173" fontId="10" fillId="0" borderId="7" xfId="8" applyNumberFormat="1" applyFont="1" applyBorder="1" applyAlignment="1">
      <alignment horizontal="right"/>
    </xf>
    <xf numFmtId="173" fontId="3" fillId="0" borderId="0" xfId="12" applyNumberFormat="1" applyFont="1" applyFill="1" applyBorder="1"/>
    <xf numFmtId="10" fontId="3" fillId="0" borderId="5" xfId="12" applyNumberFormat="1" applyFont="1" applyFill="1" applyBorder="1" applyAlignment="1" applyProtection="1">
      <alignment horizontal="right"/>
      <protection locked="0"/>
    </xf>
    <xf numFmtId="10" fontId="3" fillId="0" borderId="5" xfId="12" applyNumberFormat="1" applyFont="1" applyFill="1" applyBorder="1" applyAlignment="1">
      <alignment horizontal="right"/>
    </xf>
    <xf numFmtId="173" fontId="10" fillId="0" borderId="5" xfId="8" applyNumberFormat="1" applyFont="1" applyBorder="1" applyAlignment="1">
      <alignment horizontal="center"/>
    </xf>
    <xf numFmtId="175" fontId="3" fillId="0" borderId="0" xfId="12" applyNumberFormat="1" applyFont="1" applyFill="1" applyBorder="1" applyAlignment="1">
      <alignment horizontal="right"/>
    </xf>
    <xf numFmtId="0" fontId="11" fillId="0" borderId="0" xfId="8" applyFont="1"/>
    <xf numFmtId="173" fontId="11" fillId="0" borderId="0" xfId="8" applyNumberFormat="1" applyFont="1" applyAlignment="1">
      <alignment horizontal="right"/>
    </xf>
    <xf numFmtId="0" fontId="3" fillId="0" borderId="0" xfId="11" applyFont="1" applyAlignment="1">
      <alignment horizontal="centerContinuous"/>
    </xf>
    <xf numFmtId="0" fontId="3" fillId="0" borderId="0" xfId="11" applyFont="1"/>
    <xf numFmtId="0" fontId="10" fillId="0" borderId="0" xfId="11" applyFont="1"/>
    <xf numFmtId="0" fontId="28" fillId="0" borderId="0" xfId="11"/>
    <xf numFmtId="10" fontId="3" fillId="0" borderId="0" xfId="11" applyNumberFormat="1" applyFont="1"/>
    <xf numFmtId="0" fontId="20" fillId="0" borderId="0" xfId="11" applyFont="1"/>
    <xf numFmtId="0" fontId="23" fillId="0" borderId="0" xfId="11" applyFont="1"/>
    <xf numFmtId="171" fontId="26" fillId="0" borderId="0" xfId="11" applyNumberFormat="1" applyFont="1"/>
    <xf numFmtId="0" fontId="1" fillId="0" borderId="0" xfId="11" applyFont="1"/>
    <xf numFmtId="168" fontId="3" fillId="0" borderId="0" xfId="0" applyNumberFormat="1" applyFont="1"/>
    <xf numFmtId="171" fontId="10" fillId="0" borderId="0" xfId="0" applyNumberFormat="1" applyFont="1"/>
    <xf numFmtId="0" fontId="11" fillId="0" borderId="0" xfId="0" applyFont="1"/>
    <xf numFmtId="0" fontId="3" fillId="0" borderId="0" xfId="0" quotePrefix="1" applyFont="1" applyAlignment="1">
      <alignment horizontal="center"/>
    </xf>
    <xf numFmtId="0" fontId="10" fillId="0" borderId="0" xfId="0" applyFont="1" applyAlignment="1">
      <alignment horizontal="centerContinuous"/>
    </xf>
    <xf numFmtId="0" fontId="3" fillId="0" borderId="0" xfId="0" applyFont="1" applyAlignment="1">
      <alignment horizontal="right"/>
    </xf>
    <xf numFmtId="10" fontId="10" fillId="0" borderId="0" xfId="0" applyNumberFormat="1" applyFont="1"/>
    <xf numFmtId="10" fontId="0" fillId="0" borderId="0" xfId="12" applyNumberFormat="1" applyFont="1" applyFill="1"/>
    <xf numFmtId="3" fontId="15" fillId="0" borderId="0" xfId="0" applyNumberFormat="1" applyFont="1" applyAlignment="1">
      <alignment horizontal="center"/>
    </xf>
    <xf numFmtId="3" fontId="10" fillId="0" borderId="0" xfId="0" applyNumberFormat="1" applyFont="1"/>
    <xf numFmtId="10" fontId="8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10" fontId="19" fillId="0" borderId="0" xfId="0" applyNumberFormat="1" applyFont="1" applyAlignment="1">
      <alignment horizontal="right"/>
    </xf>
    <xf numFmtId="10" fontId="10" fillId="0" borderId="0" xfId="0" applyNumberFormat="1" applyFont="1" applyAlignment="1">
      <alignment horizontal="right"/>
    </xf>
    <xf numFmtId="0" fontId="11" fillId="0" borderId="0" xfId="0" applyFont="1" applyAlignment="1">
      <alignment wrapText="1"/>
    </xf>
    <xf numFmtId="10" fontId="10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0" fontId="2" fillId="0" borderId="0" xfId="9"/>
    <xf numFmtId="0" fontId="2" fillId="0" borderId="0" xfId="9" applyAlignment="1">
      <alignment horizontal="centerContinuous"/>
    </xf>
    <xf numFmtId="0" fontId="11" fillId="0" borderId="0" xfId="9" applyFont="1" applyAlignment="1">
      <alignment horizontal="centerContinuous"/>
    </xf>
    <xf numFmtId="0" fontId="11" fillId="0" borderId="0" xfId="9" applyFont="1" applyAlignment="1">
      <alignment horizontal="center"/>
    </xf>
    <xf numFmtId="0" fontId="2" fillId="0" borderId="18" xfId="9" applyBorder="1"/>
    <xf numFmtId="0" fontId="2" fillId="0" borderId="19" xfId="9" applyBorder="1"/>
    <xf numFmtId="0" fontId="2" fillId="0" borderId="20" xfId="9" applyBorder="1"/>
    <xf numFmtId="0" fontId="2" fillId="0" borderId="11" xfId="9" applyBorder="1"/>
    <xf numFmtId="0" fontId="2" fillId="0" borderId="3" xfId="9" applyBorder="1"/>
    <xf numFmtId="0" fontId="2" fillId="0" borderId="21" xfId="9" applyBorder="1"/>
    <xf numFmtId="0" fontId="2" fillId="0" borderId="0" xfId="9" applyAlignment="1">
      <alignment horizontal="center"/>
    </xf>
    <xf numFmtId="0" fontId="2" fillId="0" borderId="22" xfId="9" applyBorder="1"/>
    <xf numFmtId="0" fontId="2" fillId="0" borderId="23" xfId="9" applyBorder="1"/>
    <xf numFmtId="0" fontId="2" fillId="0" borderId="12" xfId="9" applyBorder="1"/>
    <xf numFmtId="0" fontId="2" fillId="0" borderId="13" xfId="9" applyBorder="1"/>
    <xf numFmtId="0" fontId="2" fillId="0" borderId="24" xfId="9" applyBorder="1"/>
    <xf numFmtId="0" fontId="2" fillId="0" borderId="8" xfId="9" applyBorder="1"/>
    <xf numFmtId="0" fontId="2" fillId="0" borderId="25" xfId="9" applyBorder="1"/>
    <xf numFmtId="0" fontId="2" fillId="0" borderId="7" xfId="9" applyBorder="1"/>
    <xf numFmtId="0" fontId="2" fillId="0" borderId="13" xfId="9" applyBorder="1" applyAlignment="1">
      <alignment horizontal="center"/>
    </xf>
    <xf numFmtId="0" fontId="2" fillId="0" borderId="0" xfId="9" applyAlignment="1">
      <alignment horizontal="right"/>
    </xf>
    <xf numFmtId="0" fontId="2" fillId="0" borderId="26" xfId="9" applyBorder="1"/>
    <xf numFmtId="0" fontId="2" fillId="0" borderId="13" xfId="9" applyBorder="1" applyAlignment="1">
      <alignment horizontal="left"/>
    </xf>
    <xf numFmtId="0" fontId="2" fillId="0" borderId="14" xfId="9" applyBorder="1"/>
    <xf numFmtId="0" fontId="2" fillId="0" borderId="2" xfId="9" applyBorder="1"/>
    <xf numFmtId="3" fontId="10" fillId="0" borderId="0" xfId="0" applyNumberFormat="1" applyFont="1" applyAlignment="1">
      <alignment horizontal="center"/>
    </xf>
    <xf numFmtId="177" fontId="0" fillId="0" borderId="0" xfId="0" applyNumberFormat="1"/>
    <xf numFmtId="171" fontId="10" fillId="0" borderId="0" xfId="0" applyNumberFormat="1" applyFont="1" applyAlignment="1">
      <alignment horizontal="center"/>
    </xf>
    <xf numFmtId="0" fontId="10" fillId="0" borderId="2" xfId="8" applyFont="1" applyBorder="1" applyAlignment="1">
      <alignment horizontal="center" wrapText="1"/>
    </xf>
    <xf numFmtId="0" fontId="10" fillId="0" borderId="29" xfId="8" applyFont="1" applyBorder="1" applyAlignment="1">
      <alignment horizontal="center" wrapText="1"/>
    </xf>
    <xf numFmtId="0" fontId="3" fillId="0" borderId="28" xfId="8" applyFont="1" applyBorder="1"/>
    <xf numFmtId="173" fontId="3" fillId="0" borderId="28" xfId="8" applyNumberFormat="1" applyFont="1" applyBorder="1" applyAlignment="1">
      <alignment horizontal="right"/>
    </xf>
    <xf numFmtId="173" fontId="3" fillId="0" borderId="30" xfId="8" applyNumberFormat="1" applyFont="1" applyBorder="1" applyAlignment="1">
      <alignment horizontal="right"/>
    </xf>
    <xf numFmtId="10" fontId="3" fillId="0" borderId="28" xfId="12" applyNumberFormat="1" applyFont="1" applyFill="1" applyBorder="1" applyAlignment="1">
      <alignment horizontal="center"/>
    </xf>
    <xf numFmtId="0" fontId="3" fillId="0" borderId="28" xfId="8" applyFont="1" applyBorder="1" applyAlignment="1">
      <alignment horizontal="center"/>
    </xf>
    <xf numFmtId="0" fontId="3" fillId="0" borderId="28" xfId="8" applyFont="1" applyBorder="1" applyAlignment="1">
      <alignment horizontal="right"/>
    </xf>
    <xf numFmtId="10" fontId="3" fillId="0" borderId="28" xfId="12" applyNumberFormat="1" applyFont="1" applyFill="1" applyBorder="1" applyAlignment="1">
      <alignment horizontal="right"/>
    </xf>
    <xf numFmtId="173" fontId="3" fillId="0" borderId="30" xfId="12" applyNumberFormat="1" applyFont="1" applyFill="1" applyBorder="1" applyAlignment="1">
      <alignment horizontal="right"/>
    </xf>
    <xf numFmtId="0" fontId="3" fillId="0" borderId="30" xfId="8" applyFont="1" applyBorder="1" applyAlignment="1">
      <alignment horizontal="right"/>
    </xf>
    <xf numFmtId="0" fontId="10" fillId="0" borderId="0" xfId="8" applyFont="1" applyAlignment="1">
      <alignment horizontal="centerContinuous"/>
    </xf>
    <xf numFmtId="10" fontId="11" fillId="0" borderId="0" xfId="0" applyNumberFormat="1" applyFont="1"/>
    <xf numFmtId="0" fontId="33" fillId="0" borderId="0" xfId="11" applyFont="1"/>
    <xf numFmtId="0" fontId="26" fillId="0" borderId="0" xfId="11" applyFont="1" applyAlignment="1">
      <alignment horizontal="left"/>
    </xf>
    <xf numFmtId="178" fontId="3" fillId="0" borderId="0" xfId="0" applyNumberFormat="1" applyFont="1"/>
    <xf numFmtId="171" fontId="10" fillId="0" borderId="0" xfId="0" applyNumberFormat="1" applyFont="1" applyAlignment="1">
      <alignment horizontal="right"/>
    </xf>
    <xf numFmtId="6" fontId="11" fillId="0" borderId="0" xfId="0" applyNumberFormat="1" applyFont="1" applyAlignment="1">
      <alignment horizontal="right"/>
    </xf>
    <xf numFmtId="0" fontId="2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2" fillId="0" borderId="0" xfId="11" applyFont="1" applyAlignment="1">
      <alignment horizontal="left"/>
    </xf>
    <xf numFmtId="0" fontId="21" fillId="0" borderId="0" xfId="8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2" xfId="0" applyFont="1" applyBorder="1"/>
    <xf numFmtId="0" fontId="2" fillId="0" borderId="0" xfId="0" applyFont="1" applyAlignment="1">
      <alignment horizontal="left"/>
    </xf>
    <xf numFmtId="3" fontId="2" fillId="0" borderId="0" xfId="10" applyNumberForma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6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8" applyFont="1"/>
    <xf numFmtId="0" fontId="15" fillId="0" borderId="0" xfId="8" applyFont="1"/>
    <xf numFmtId="173" fontId="1" fillId="0" borderId="0" xfId="8" applyNumberFormat="1" applyFont="1" applyAlignment="1">
      <alignment horizontal="left"/>
    </xf>
    <xf numFmtId="0" fontId="1" fillId="0" borderId="0" xfId="8" applyFont="1" applyAlignment="1">
      <alignment horizontal="left"/>
    </xf>
    <xf numFmtId="0" fontId="1" fillId="0" borderId="0" xfId="8" applyFont="1" applyAlignment="1">
      <alignment horizontal="center"/>
    </xf>
    <xf numFmtId="0" fontId="1" fillId="0" borderId="0" xfId="8" applyFont="1" applyAlignment="1">
      <alignment horizontal="centerContinuous"/>
    </xf>
    <xf numFmtId="173" fontId="1" fillId="0" borderId="7" xfId="8" applyNumberFormat="1" applyFont="1" applyBorder="1" applyAlignment="1">
      <alignment horizontal="center"/>
    </xf>
    <xf numFmtId="173" fontId="15" fillId="0" borderId="7" xfId="8" applyNumberFormat="1" applyFont="1" applyBorder="1" applyAlignment="1">
      <alignment horizontal="center"/>
    </xf>
    <xf numFmtId="0" fontId="20" fillId="0" borderId="0" xfId="0" applyFont="1"/>
    <xf numFmtId="0" fontId="41" fillId="0" borderId="0" xfId="0" quotePrefix="1" applyFont="1" applyAlignment="1">
      <alignment horizontal="left"/>
    </xf>
    <xf numFmtId="178" fontId="1" fillId="0" borderId="0" xfId="0" applyNumberFormat="1" applyFont="1" applyAlignment="1">
      <alignment horizontal="left"/>
    </xf>
    <xf numFmtId="0" fontId="1" fillId="0" borderId="0" xfId="11" applyFont="1" applyAlignment="1">
      <alignment horizontal="left"/>
    </xf>
    <xf numFmtId="0" fontId="40" fillId="0" borderId="0" xfId="11" applyFont="1" applyAlignment="1">
      <alignment horizontal="left"/>
    </xf>
    <xf numFmtId="0" fontId="42" fillId="0" borderId="0" xfId="11" applyFont="1"/>
    <xf numFmtId="0" fontId="1" fillId="0" borderId="0" xfId="11" applyFont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right" wrapText="1"/>
    </xf>
    <xf numFmtId="0" fontId="1" fillId="0" borderId="0" xfId="9" applyFont="1"/>
    <xf numFmtId="0" fontId="2" fillId="0" borderId="0" xfId="11" applyFont="1"/>
    <xf numFmtId="0" fontId="1" fillId="0" borderId="0" xfId="0" quotePrefix="1" applyFont="1" applyAlignment="1">
      <alignment horizontal="center"/>
    </xf>
    <xf numFmtId="171" fontId="1" fillId="0" borderId="0" xfId="0" applyNumberFormat="1" applyFont="1" applyAlignment="1">
      <alignment horizontal="center"/>
    </xf>
    <xf numFmtId="0" fontId="23" fillId="0" borderId="0" xfId="0" applyFont="1"/>
    <xf numFmtId="171" fontId="20" fillId="0" borderId="0" xfId="0" applyNumberFormat="1" applyFont="1"/>
    <xf numFmtId="171" fontId="26" fillId="0" borderId="0" xfId="0" applyNumberFormat="1" applyFont="1"/>
    <xf numFmtId="0" fontId="26" fillId="0" borderId="0" xfId="0" applyFont="1" applyAlignment="1">
      <alignment horizontal="left"/>
    </xf>
    <xf numFmtId="171" fontId="3" fillId="0" borderId="0" xfId="0" applyNumberFormat="1" applyFont="1" applyAlignment="1">
      <alignment horizontal="right"/>
    </xf>
    <xf numFmtId="0" fontId="29" fillId="0" borderId="0" xfId="0" applyFont="1"/>
    <xf numFmtId="0" fontId="1" fillId="0" borderId="4" xfId="10" applyFont="1" applyBorder="1" applyAlignment="1">
      <alignment horizontal="center" wrapText="1"/>
    </xf>
    <xf numFmtId="3" fontId="1" fillId="0" borderId="2" xfId="10" applyNumberFormat="1" applyFont="1" applyBorder="1" applyAlignment="1">
      <alignment horizontal="center" wrapText="1"/>
    </xf>
    <xf numFmtId="0" fontId="1" fillId="0" borderId="2" xfId="10" applyFont="1" applyBorder="1" applyAlignment="1">
      <alignment horizontal="center" wrapText="1"/>
    </xf>
    <xf numFmtId="0" fontId="1" fillId="0" borderId="2" xfId="10" applyFont="1" applyBorder="1" applyAlignment="1">
      <alignment horizontal="center"/>
    </xf>
    <xf numFmtId="0" fontId="1" fillId="0" borderId="5" xfId="1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173" fontId="8" fillId="0" borderId="0" xfId="10" applyNumberFormat="1" applyFont="1" applyAlignment="1">
      <alignment horizontal="center"/>
    </xf>
    <xf numFmtId="171" fontId="8" fillId="0" borderId="0" xfId="10" applyNumberFormat="1" applyFont="1" applyAlignment="1">
      <alignment horizontal="center"/>
    </xf>
    <xf numFmtId="3" fontId="8" fillId="0" borderId="0" xfId="1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0" fontId="12" fillId="0" borderId="0" xfId="10" applyFont="1" applyAlignment="1">
      <alignment horizontal="left"/>
    </xf>
    <xf numFmtId="0" fontId="3" fillId="0" borderId="0" xfId="10" applyFont="1" applyAlignment="1">
      <alignment horizontal="right"/>
    </xf>
    <xf numFmtId="0" fontId="3" fillId="0" borderId="0" xfId="10" applyFont="1"/>
    <xf numFmtId="3" fontId="3" fillId="0" borderId="0" xfId="10" applyNumberFormat="1" applyFont="1"/>
    <xf numFmtId="0" fontId="3" fillId="0" borderId="5" xfId="10" applyFont="1" applyBorder="1" applyAlignment="1">
      <alignment horizontal="center"/>
    </xf>
    <xf numFmtId="0" fontId="3" fillId="0" borderId="4" xfId="10" applyFont="1" applyBorder="1" applyAlignment="1">
      <alignment horizontal="center"/>
    </xf>
    <xf numFmtId="3" fontId="8" fillId="0" borderId="2" xfId="10" applyNumberFormat="1" applyFont="1" applyBorder="1" applyAlignment="1">
      <alignment horizontal="center"/>
    </xf>
    <xf numFmtId="0" fontId="10" fillId="0" borderId="5" xfId="10" applyFont="1" applyBorder="1" applyAlignment="1">
      <alignment horizontal="center"/>
    </xf>
    <xf numFmtId="3" fontId="10" fillId="0" borderId="0" xfId="10" applyNumberFormat="1" applyFont="1" applyAlignment="1">
      <alignment horizontal="center"/>
    </xf>
    <xf numFmtId="0" fontId="10" fillId="0" borderId="0" xfId="10" applyFont="1" applyAlignment="1">
      <alignment horizontal="center"/>
    </xf>
    <xf numFmtId="0" fontId="21" fillId="0" borderId="0" xfId="0" applyFont="1"/>
    <xf numFmtId="0" fontId="3" fillId="0" borderId="5" xfId="8" applyFont="1" applyBorder="1"/>
    <xf numFmtId="173" fontId="3" fillId="0" borderId="27" xfId="8" applyNumberFormat="1" applyFont="1" applyBorder="1" applyAlignment="1">
      <alignment horizontal="right"/>
    </xf>
    <xf numFmtId="0" fontId="40" fillId="0" borderId="7" xfId="0" applyFont="1" applyBorder="1"/>
    <xf numFmtId="173" fontId="3" fillId="0" borderId="10" xfId="12" applyNumberFormat="1" applyFont="1" applyFill="1" applyBorder="1" applyAlignment="1">
      <alignment horizontal="right"/>
    </xf>
    <xf numFmtId="0" fontId="3" fillId="0" borderId="10" xfId="8" applyFont="1" applyBorder="1" applyAlignment="1">
      <alignment horizontal="right"/>
    </xf>
    <xf numFmtId="5" fontId="3" fillId="0" borderId="0" xfId="0" applyNumberFormat="1" applyFont="1"/>
    <xf numFmtId="173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174" fontId="0" fillId="0" borderId="0" xfId="0" applyNumberFormat="1"/>
    <xf numFmtId="0" fontId="11" fillId="0" borderId="0" xfId="0" applyFont="1" applyAlignment="1">
      <alignment horizontal="right"/>
    </xf>
    <xf numFmtId="0" fontId="1" fillId="0" borderId="0" xfId="11" applyFont="1" applyAlignment="1">
      <alignment horizontal="center"/>
    </xf>
    <xf numFmtId="0" fontId="3" fillId="0" borderId="0" xfId="11" applyFont="1" applyAlignment="1">
      <alignment horizontal="right"/>
    </xf>
    <xf numFmtId="0" fontId="3" fillId="0" borderId="0" xfId="11" applyFont="1" applyAlignment="1">
      <alignment horizontal="center"/>
    </xf>
    <xf numFmtId="3" fontId="3" fillId="0" borderId="0" xfId="10" applyNumberFormat="1" applyFont="1" applyAlignment="1">
      <alignment horizontal="centerContinuous"/>
    </xf>
    <xf numFmtId="0" fontId="3" fillId="0" borderId="0" xfId="10" applyFont="1" applyAlignment="1">
      <alignment horizontal="centerContinuous"/>
    </xf>
    <xf numFmtId="0" fontId="3" fillId="0" borderId="0" xfId="10" applyFont="1" applyAlignment="1">
      <alignment horizontal="center"/>
    </xf>
    <xf numFmtId="169" fontId="3" fillId="0" borderId="0" xfId="1" applyNumberFormat="1" applyFont="1" applyFill="1" applyAlignment="1">
      <alignment horizontal="centerContinuous"/>
    </xf>
    <xf numFmtId="173" fontId="3" fillId="0" borderId="0" xfId="10" applyNumberFormat="1" applyFont="1"/>
    <xf numFmtId="0" fontId="1" fillId="0" borderId="0" xfId="10" applyFont="1" applyAlignment="1">
      <alignment horizontal="center"/>
    </xf>
    <xf numFmtId="169" fontId="3" fillId="0" borderId="0" xfId="1" applyNumberFormat="1" applyFont="1" applyFill="1"/>
    <xf numFmtId="0" fontId="10" fillId="0" borderId="0" xfId="10" applyFont="1"/>
    <xf numFmtId="3" fontId="27" fillId="0" borderId="0" xfId="10" applyNumberFormat="1" applyFont="1"/>
    <xf numFmtId="3" fontId="3" fillId="0" borderId="0" xfId="10" applyNumberFormat="1" applyFont="1" applyAlignment="1">
      <alignment horizontal="center"/>
    </xf>
    <xf numFmtId="0" fontId="11" fillId="0" borderId="0" xfId="10" applyFont="1"/>
    <xf numFmtId="169" fontId="1" fillId="0" borderId="0" xfId="1" applyNumberFormat="1" applyFont="1" applyFill="1" applyAlignment="1">
      <alignment horizontal="center"/>
    </xf>
    <xf numFmtId="10" fontId="3" fillId="0" borderId="0" xfId="10" applyNumberFormat="1" applyFont="1"/>
    <xf numFmtId="0" fontId="43" fillId="0" borderId="2" xfId="10" applyFont="1" applyBorder="1" applyAlignment="1">
      <alignment horizontal="center" wrapText="1"/>
    </xf>
    <xf numFmtId="0" fontId="43" fillId="0" borderId="2" xfId="10" applyFont="1" applyBorder="1" applyAlignment="1">
      <alignment horizontal="left"/>
    </xf>
    <xf numFmtId="0" fontId="43" fillId="0" borderId="2" xfId="1" applyNumberFormat="1" applyFont="1" applyFill="1" applyBorder="1" applyAlignment="1">
      <alignment horizontal="center" wrapText="1"/>
    </xf>
    <xf numFmtId="0" fontId="3" fillId="0" borderId="0" xfId="10" applyFont="1" applyAlignment="1">
      <alignment horizontal="left"/>
    </xf>
    <xf numFmtId="10" fontId="3" fillId="0" borderId="0" xfId="10" applyNumberFormat="1" applyFont="1" applyAlignment="1">
      <alignment horizontal="center"/>
    </xf>
    <xf numFmtId="3" fontId="3" fillId="0" borderId="0" xfId="10" applyNumberFormat="1" applyFont="1" applyAlignment="1">
      <alignment horizontal="right"/>
    </xf>
    <xf numFmtId="3" fontId="11" fillId="0" borderId="0" xfId="10" applyNumberFormat="1" applyFont="1" applyAlignment="1">
      <alignment horizontal="center"/>
    </xf>
    <xf numFmtId="10" fontId="3" fillId="0" borderId="0" xfId="10" applyNumberFormat="1" applyFont="1" applyAlignment="1">
      <alignment horizontal="right"/>
    </xf>
    <xf numFmtId="171" fontId="3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10" applyFont="1" applyAlignment="1">
      <alignment horizontal="left"/>
    </xf>
    <xf numFmtId="0" fontId="15" fillId="0" borderId="0" xfId="10" applyFont="1" applyAlignment="1">
      <alignment horizontal="left"/>
    </xf>
    <xf numFmtId="0" fontId="2" fillId="0" borderId="0" xfId="10" applyAlignment="1">
      <alignment horizontal="right"/>
    </xf>
    <xf numFmtId="0" fontId="1" fillId="0" borderId="0" xfId="10" applyFont="1"/>
    <xf numFmtId="1" fontId="3" fillId="0" borderId="0" xfId="10" applyNumberFormat="1" applyFont="1"/>
    <xf numFmtId="171" fontId="3" fillId="0" borderId="0" xfId="10" applyNumberFormat="1" applyFont="1"/>
    <xf numFmtId="169" fontId="3" fillId="0" borderId="0" xfId="10" applyNumberFormat="1" applyFont="1"/>
    <xf numFmtId="0" fontId="3" fillId="0" borderId="0" xfId="10" quotePrefix="1" applyFont="1"/>
    <xf numFmtId="0" fontId="10" fillId="0" borderId="0" xfId="0" applyFont="1" applyAlignment="1">
      <alignment horizontal="left"/>
    </xf>
    <xf numFmtId="3" fontId="11" fillId="0" borderId="0" xfId="0" applyNumberFormat="1" applyFont="1"/>
    <xf numFmtId="3" fontId="1" fillId="0" borderId="0" xfId="0" applyNumberFormat="1" applyFont="1"/>
    <xf numFmtId="10" fontId="1" fillId="0" borderId="0" xfId="0" applyNumberFormat="1" applyFont="1"/>
    <xf numFmtId="176" fontId="3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2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71" fontId="11" fillId="0" borderId="2" xfId="0" applyNumberFormat="1" applyFont="1" applyBorder="1" applyAlignment="1">
      <alignment horizontal="center"/>
    </xf>
    <xf numFmtId="171" fontId="11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171" fontId="0" fillId="0" borderId="0" xfId="0" applyNumberFormat="1"/>
    <xf numFmtId="164" fontId="3" fillId="0" borderId="0" xfId="0" applyNumberFormat="1" applyFont="1" applyAlignment="1">
      <alignment horizontal="center"/>
    </xf>
    <xf numFmtId="169" fontId="2" fillId="0" borderId="0" xfId="1" applyNumberFormat="1" applyFill="1" applyAlignment="1">
      <alignment horizontal="right"/>
    </xf>
    <xf numFmtId="10" fontId="2" fillId="0" borderId="0" xfId="12" applyNumberFormat="1" applyFill="1"/>
    <xf numFmtId="10" fontId="0" fillId="0" borderId="3" xfId="12" applyNumberFormat="1" applyFont="1" applyFill="1" applyBorder="1"/>
    <xf numFmtId="3" fontId="1" fillId="0" borderId="0" xfId="0" applyNumberFormat="1" applyFont="1" applyAlignment="1">
      <alignment horizontal="center"/>
    </xf>
    <xf numFmtId="171" fontId="3" fillId="0" borderId="0" xfId="11" applyNumberFormat="1" applyFont="1"/>
    <xf numFmtId="171" fontId="20" fillId="0" borderId="0" xfId="11" applyNumberFormat="1" applyFont="1"/>
    <xf numFmtId="171" fontId="3" fillId="0" borderId="0" xfId="11" applyNumberFormat="1" applyFont="1" applyAlignment="1">
      <alignment horizontal="right"/>
    </xf>
    <xf numFmtId="173" fontId="11" fillId="0" borderId="0" xfId="0" applyNumberFormat="1" applyFont="1"/>
    <xf numFmtId="0" fontId="2" fillId="0" borderId="0" xfId="8"/>
    <xf numFmtId="10" fontId="2" fillId="0" borderId="0" xfId="12" applyNumberFormat="1" applyFont="1" applyFill="1" applyBorder="1"/>
    <xf numFmtId="0" fontId="2" fillId="0" borderId="0" xfId="10" applyAlignment="1">
      <alignment horizontal="left"/>
    </xf>
    <xf numFmtId="10" fontId="8" fillId="0" borderId="0" xfId="0" applyNumberFormat="1" applyFont="1" applyAlignment="1">
      <alignment horizontal="center"/>
    </xf>
    <xf numFmtId="179" fontId="8" fillId="0" borderId="0" xfId="1" applyNumberFormat="1" applyFont="1" applyFill="1" applyAlignment="1"/>
    <xf numFmtId="179" fontId="19" fillId="0" borderId="0" xfId="1" applyNumberFormat="1" applyFont="1" applyFill="1" applyAlignment="1"/>
    <xf numFmtId="169" fontId="2" fillId="0" borderId="0" xfId="1" applyNumberFormat="1" applyFill="1"/>
    <xf numFmtId="169" fontId="10" fillId="0" borderId="0" xfId="1" applyNumberFormat="1" applyFont="1" applyFill="1"/>
    <xf numFmtId="9" fontId="0" fillId="0" borderId="0" xfId="12" applyFont="1" applyFill="1"/>
    <xf numFmtId="165" fontId="2" fillId="0" borderId="0" xfId="1" applyNumberFormat="1" applyFill="1"/>
    <xf numFmtId="165" fontId="0" fillId="0" borderId="0" xfId="12" applyNumberFormat="1" applyFont="1" applyFill="1"/>
    <xf numFmtId="169" fontId="10" fillId="0" borderId="0" xfId="1" applyNumberFormat="1" applyFont="1" applyFill="1" applyBorder="1"/>
    <xf numFmtId="173" fontId="27" fillId="0" borderId="0" xfId="12" applyNumberFormat="1" applyFont="1" applyFill="1" applyBorder="1"/>
    <xf numFmtId="37" fontId="10" fillId="0" borderId="0" xfId="0" applyNumberFormat="1" applyFont="1"/>
    <xf numFmtId="173" fontId="0" fillId="0" borderId="0" xfId="0" applyNumberFormat="1"/>
    <xf numFmtId="173" fontId="30" fillId="0" borderId="0" xfId="0" applyNumberFormat="1" applyFont="1"/>
    <xf numFmtId="173" fontId="10" fillId="0" borderId="0" xfId="0" applyNumberFormat="1" applyFont="1"/>
    <xf numFmtId="10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0" fontId="30" fillId="0" borderId="0" xfId="0" applyNumberFormat="1" applyFont="1"/>
    <xf numFmtId="3" fontId="30" fillId="0" borderId="0" xfId="0" applyNumberFormat="1" applyFont="1"/>
    <xf numFmtId="3" fontId="15" fillId="0" borderId="0" xfId="0" applyNumberFormat="1" applyFont="1"/>
    <xf numFmtId="37" fontId="1" fillId="0" borderId="0" xfId="0" applyNumberFormat="1" applyFont="1"/>
    <xf numFmtId="3" fontId="10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37" fontId="15" fillId="0" borderId="0" xfId="0" applyNumberFormat="1" applyFont="1"/>
    <xf numFmtId="173" fontId="3" fillId="0" borderId="0" xfId="0" applyNumberFormat="1" applyFont="1" applyAlignment="1">
      <alignment horizontal="right"/>
    </xf>
    <xf numFmtId="167" fontId="1" fillId="0" borderId="0" xfId="0" applyNumberFormat="1" applyFont="1"/>
    <xf numFmtId="179" fontId="1" fillId="0" borderId="0" xfId="0" applyNumberFormat="1" applyFont="1"/>
    <xf numFmtId="0" fontId="0" fillId="0" borderId="11" xfId="0" applyBorder="1"/>
    <xf numFmtId="0" fontId="0" fillId="0" borderId="3" xfId="0" applyBorder="1"/>
    <xf numFmtId="0" fontId="0" fillId="0" borderId="12" xfId="0" applyBorder="1"/>
    <xf numFmtId="171" fontId="10" fillId="0" borderId="15" xfId="0" applyNumberFormat="1" applyFont="1" applyBorder="1" applyAlignment="1">
      <alignment horizontal="center"/>
    </xf>
    <xf numFmtId="0" fontId="10" fillId="0" borderId="13" xfId="0" applyFont="1" applyBorder="1"/>
    <xf numFmtId="0" fontId="0" fillId="0" borderId="7" xfId="0" applyBorder="1"/>
    <xf numFmtId="171" fontId="10" fillId="0" borderId="7" xfId="0" applyNumberFormat="1" applyFont="1" applyBorder="1" applyAlignment="1">
      <alignment horizontal="center"/>
    </xf>
    <xf numFmtId="171" fontId="10" fillId="0" borderId="16" xfId="0" applyNumberFormat="1" applyFont="1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0" fillId="0" borderId="6" xfId="0" applyBorder="1"/>
    <xf numFmtId="171" fontId="10" fillId="0" borderId="6" xfId="0" applyNumberFormat="1" applyFont="1" applyBorder="1" applyAlignment="1">
      <alignment horizontal="center"/>
    </xf>
    <xf numFmtId="171" fontId="10" fillId="0" borderId="17" xfId="0" applyNumberFormat="1" applyFont="1" applyBorder="1" applyAlignment="1">
      <alignment horizontal="center"/>
    </xf>
    <xf numFmtId="171" fontId="10" fillId="0" borderId="12" xfId="0" applyNumberFormat="1" applyFont="1" applyBorder="1" applyAlignment="1">
      <alignment horizontal="center"/>
    </xf>
    <xf numFmtId="0" fontId="0" fillId="0" borderId="13" xfId="0" applyBorder="1"/>
    <xf numFmtId="0" fontId="10" fillId="0" borderId="2" xfId="0" applyFont="1" applyBorder="1"/>
    <xf numFmtId="0" fontId="10" fillId="0" borderId="3" xfId="0" applyFont="1" applyBorder="1"/>
    <xf numFmtId="171" fontId="1" fillId="0" borderId="13" xfId="0" applyNumberFormat="1" applyFont="1" applyBorder="1" applyAlignment="1">
      <alignment horizontal="center"/>
    </xf>
    <xf numFmtId="167" fontId="3" fillId="0" borderId="0" xfId="0" applyNumberFormat="1" applyFont="1"/>
    <xf numFmtId="0" fontId="9" fillId="0" borderId="0" xfId="0" applyFont="1" applyAlignment="1">
      <alignment horizontal="left"/>
    </xf>
    <xf numFmtId="165" fontId="2" fillId="0" borderId="0" xfId="1" applyNumberFormat="1" applyFont="1" applyFill="1" applyBorder="1"/>
    <xf numFmtId="3" fontId="2" fillId="0" borderId="0" xfId="0" applyNumberFormat="1" applyFont="1"/>
    <xf numFmtId="0" fontId="3" fillId="0" borderId="2" xfId="0" applyFont="1" applyBorder="1"/>
    <xf numFmtId="179" fontId="3" fillId="0" borderId="0" xfId="0" applyNumberFormat="1" applyFont="1"/>
    <xf numFmtId="0" fontId="1" fillId="0" borderId="12" xfId="0" applyFont="1" applyBorder="1"/>
    <xf numFmtId="0" fontId="1" fillId="0" borderId="7" xfId="0" applyFont="1" applyBorder="1"/>
    <xf numFmtId="179" fontId="11" fillId="0" borderId="0" xfId="0" applyNumberFormat="1" applyFont="1"/>
    <xf numFmtId="0" fontId="3" fillId="0" borderId="6" xfId="0" applyFont="1" applyBorder="1"/>
    <xf numFmtId="0" fontId="34" fillId="0" borderId="0" xfId="0" applyFont="1" applyAlignment="1">
      <alignment horizontal="center"/>
    </xf>
    <xf numFmtId="17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0" xfId="0" applyFont="1"/>
    <xf numFmtId="0" fontId="34" fillId="0" borderId="0" xfId="0" applyFont="1" applyAlignment="1">
      <alignment horizontal="left"/>
    </xf>
    <xf numFmtId="177" fontId="36" fillId="0" borderId="0" xfId="0" applyNumberFormat="1" applyFont="1" applyAlignment="1">
      <alignment horizontal="center"/>
    </xf>
    <xf numFmtId="177" fontId="34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177" fontId="38" fillId="0" borderId="0" xfId="0" applyNumberFormat="1" applyFont="1" applyAlignment="1">
      <alignment horizontal="center"/>
    </xf>
    <xf numFmtId="0" fontId="35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39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165" fontId="17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165" fontId="0" fillId="0" borderId="12" xfId="0" applyNumberForma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" fontId="0" fillId="0" borderId="0" xfId="0" applyNumberFormat="1"/>
    <xf numFmtId="10" fontId="10" fillId="0" borderId="0" xfId="0" applyNumberFormat="1" applyFont="1" applyAlignment="1">
      <alignment horizontal="center"/>
    </xf>
    <xf numFmtId="10" fontId="11" fillId="0" borderId="0" xfId="0" applyNumberFormat="1" applyFont="1" applyAlignment="1">
      <alignment horizontal="center"/>
    </xf>
    <xf numFmtId="3" fontId="0" fillId="0" borderId="14" xfId="0" applyNumberFormat="1" applyBorder="1"/>
    <xf numFmtId="3" fontId="0" fillId="0" borderId="2" xfId="0" applyNumberFormat="1" applyBorder="1"/>
    <xf numFmtId="3" fontId="0" fillId="0" borderId="6" xfId="0" applyNumberFormat="1" applyBorder="1"/>
    <xf numFmtId="1" fontId="1" fillId="0" borderId="0" xfId="0" applyNumberFormat="1" applyFont="1"/>
    <xf numFmtId="165" fontId="0" fillId="0" borderId="0" xfId="0" applyNumberFormat="1" applyAlignment="1">
      <alignment horizontal="centerContinuous"/>
    </xf>
    <xf numFmtId="0" fontId="16" fillId="0" borderId="0" xfId="0" applyFont="1" applyAlignment="1">
      <alignment horizontal="centerContinuous"/>
    </xf>
    <xf numFmtId="165" fontId="0" fillId="0" borderId="0" xfId="0" applyNumberFormat="1"/>
    <xf numFmtId="165" fontId="10" fillId="0" borderId="0" xfId="0" applyNumberFormat="1" applyFont="1" applyAlignment="1">
      <alignment horizontal="center"/>
    </xf>
    <xf numFmtId="179" fontId="10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/>
    </xf>
    <xf numFmtId="169" fontId="0" fillId="0" borderId="0" xfId="0" applyNumberFormat="1"/>
    <xf numFmtId="179" fontId="0" fillId="0" borderId="0" xfId="0" applyNumberFormat="1"/>
    <xf numFmtId="3" fontId="3" fillId="0" borderId="0" xfId="0" applyNumberFormat="1" applyFont="1" applyAlignment="1">
      <alignment horizontal="right"/>
    </xf>
    <xf numFmtId="169" fontId="31" fillId="0" borderId="0" xfId="0" applyNumberFormat="1" applyFont="1"/>
    <xf numFmtId="169" fontId="11" fillId="0" borderId="0" xfId="0" applyNumberFormat="1" applyFont="1"/>
    <xf numFmtId="169" fontId="32" fillId="0" borderId="0" xfId="0" applyNumberFormat="1" applyFont="1"/>
    <xf numFmtId="169" fontId="10" fillId="0" borderId="0" xfId="0" applyNumberFormat="1" applyFont="1"/>
    <xf numFmtId="165" fontId="10" fillId="0" borderId="0" xfId="0" applyNumberFormat="1" applyFont="1"/>
    <xf numFmtId="179" fontId="10" fillId="0" borderId="0" xfId="0" applyNumberFormat="1" applyFont="1"/>
    <xf numFmtId="0" fontId="17" fillId="0" borderId="0" xfId="0" quotePrefix="1" applyFont="1" applyAlignment="1">
      <alignment horizontal="left"/>
    </xf>
    <xf numFmtId="0" fontId="10" fillId="0" borderId="2" xfId="0" applyFont="1" applyBorder="1" applyAlignment="1">
      <alignment horizontal="center"/>
    </xf>
    <xf numFmtId="165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169" fontId="2" fillId="0" borderId="0" xfId="1" applyNumberFormat="1" applyFill="1" applyBorder="1"/>
    <xf numFmtId="0" fontId="31" fillId="0" borderId="0" xfId="0" applyFont="1"/>
    <xf numFmtId="165" fontId="31" fillId="0" borderId="0" xfId="0" applyNumberFormat="1" applyFont="1"/>
    <xf numFmtId="169" fontId="10" fillId="0" borderId="0" xfId="0" applyNumberFormat="1" applyFont="1" applyAlignment="1">
      <alignment horizontal="center"/>
    </xf>
    <xf numFmtId="43" fontId="0" fillId="0" borderId="0" xfId="0" applyNumberFormat="1"/>
    <xf numFmtId="173" fontId="2" fillId="0" borderId="0" xfId="0" applyNumberFormat="1" applyFont="1"/>
    <xf numFmtId="173" fontId="1" fillId="0" borderId="0" xfId="0" applyNumberFormat="1" applyFont="1"/>
    <xf numFmtId="0" fontId="0" fillId="2" borderId="11" xfId="0" applyFill="1" applyBorder="1"/>
    <xf numFmtId="0" fontId="0" fillId="2" borderId="3" xfId="0" applyFill="1" applyBorder="1"/>
    <xf numFmtId="0" fontId="0" fillId="2" borderId="12" xfId="0" applyFill="1" applyBorder="1"/>
    <xf numFmtId="171" fontId="1" fillId="2" borderId="12" xfId="0" applyNumberFormat="1" applyFont="1" applyFill="1" applyBorder="1" applyAlignment="1">
      <alignment horizontal="center"/>
    </xf>
    <xf numFmtId="171" fontId="1" fillId="2" borderId="15" xfId="0" applyNumberFormat="1" applyFont="1" applyFill="1" applyBorder="1" applyAlignment="1">
      <alignment horizontal="center"/>
    </xf>
    <xf numFmtId="171" fontId="10" fillId="2" borderId="15" xfId="0" applyNumberFormat="1" applyFont="1" applyFill="1" applyBorder="1" applyAlignment="1">
      <alignment horizontal="center"/>
    </xf>
    <xf numFmtId="0" fontId="10" fillId="2" borderId="13" xfId="0" applyFont="1" applyFill="1" applyBorder="1"/>
    <xf numFmtId="0" fontId="0" fillId="2" borderId="0" xfId="0" applyFill="1"/>
    <xf numFmtId="0" fontId="0" fillId="2" borderId="7" xfId="0" applyFill="1" applyBorder="1"/>
    <xf numFmtId="171" fontId="10" fillId="2" borderId="7" xfId="0" applyNumberFormat="1" applyFont="1" applyFill="1" applyBorder="1" applyAlignment="1">
      <alignment horizontal="center"/>
    </xf>
    <xf numFmtId="171" fontId="10" fillId="2" borderId="16" xfId="0" applyNumberFormat="1" applyFont="1" applyFill="1" applyBorder="1" applyAlignment="1">
      <alignment horizontal="center"/>
    </xf>
    <xf numFmtId="0" fontId="0" fillId="2" borderId="14" xfId="0" applyFill="1" applyBorder="1"/>
    <xf numFmtId="0" fontId="0" fillId="2" borderId="2" xfId="0" applyFill="1" applyBorder="1"/>
    <xf numFmtId="0" fontId="0" fillId="2" borderId="6" xfId="0" applyFill="1" applyBorder="1"/>
    <xf numFmtId="171" fontId="10" fillId="2" borderId="6" xfId="0" applyNumberFormat="1" applyFont="1" applyFill="1" applyBorder="1" applyAlignment="1">
      <alignment horizontal="center"/>
    </xf>
    <xf numFmtId="171" fontId="10" fillId="2" borderId="17" xfId="0" applyNumberFormat="1" applyFont="1" applyFill="1" applyBorder="1" applyAlignment="1">
      <alignment horizontal="center"/>
    </xf>
    <xf numFmtId="171" fontId="1" fillId="2" borderId="7" xfId="0" applyNumberFormat="1" applyFont="1" applyFill="1" applyBorder="1" applyAlignment="1">
      <alignment horizontal="center"/>
    </xf>
    <xf numFmtId="171" fontId="1" fillId="2" borderId="16" xfId="0" applyNumberFormat="1" applyFont="1" applyFill="1" applyBorder="1" applyAlignment="1">
      <alignment horizontal="center"/>
    </xf>
    <xf numFmtId="171" fontId="1" fillId="2" borderId="17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2" fillId="0" borderId="0" xfId="0" applyFont="1" applyAlignment="1">
      <alignment horizontal="left"/>
    </xf>
  </cellXfs>
  <cellStyles count="14">
    <cellStyle name="Comma" xfId="1" builtinId="3"/>
    <cellStyle name="Comma0" xfId="2" xr:uid="{00000000-0005-0000-0000-000001000000}"/>
    <cellStyle name="Currency0" xfId="3" xr:uid="{00000000-0005-0000-0000-000002000000}"/>
    <cellStyle name="Date" xfId="4" xr:uid="{00000000-0005-0000-0000-000003000000}"/>
    <cellStyle name="Fixed" xfId="5" xr:uid="{00000000-0005-0000-0000-000004000000}"/>
    <cellStyle name="Heading 1" xfId="6" builtinId="16" customBuiltin="1"/>
    <cellStyle name="Heading 2" xfId="7" builtinId="17" customBuiltin="1"/>
    <cellStyle name="Normal" xfId="0" builtinId="0"/>
    <cellStyle name="Normal_Appendix I p11" xfId="8" xr:uid="{00000000-0005-0000-0000-000008000000}"/>
    <cellStyle name="Normal_Exhibit B, Page 2" xfId="9" xr:uid="{00000000-0005-0000-0000-000009000000}"/>
    <cellStyle name="Normal_New method" xfId="10" xr:uid="{00000000-0005-0000-0000-00000A000000}"/>
    <cellStyle name="Normal_Results" xfId="11" xr:uid="{00000000-0005-0000-0000-00000B000000}"/>
    <cellStyle name="Percent" xfId="12" builtinId="5"/>
    <cellStyle name="Total" xfId="13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7</xdr:row>
      <xdr:rowOff>76200</xdr:rowOff>
    </xdr:from>
    <xdr:ext cx="95250" cy="215900"/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 txBox="1">
          <a:spLocks noChangeArrowheads="1"/>
        </xdr:cNvSpPr>
      </xdr:nvSpPr>
      <xdr:spPr bwMode="auto">
        <a:xfrm>
          <a:off x="790575" y="1247775"/>
          <a:ext cx="952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0</xdr:rowOff>
    </xdr:from>
    <xdr:to>
      <xdr:col>4</xdr:col>
      <xdr:colOff>333375</xdr:colOff>
      <xdr:row>37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00000000-0008-0000-2100-000001040000}"/>
            </a:ext>
          </a:extLst>
        </xdr:cNvPr>
        <xdr:cNvSpPr>
          <a:spLocks noChangeShapeType="1"/>
        </xdr:cNvSpPr>
      </xdr:nvSpPr>
      <xdr:spPr bwMode="auto">
        <a:xfrm>
          <a:off x="1228725" y="6134100"/>
          <a:ext cx="108585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4</xdr:col>
      <xdr:colOff>323850</xdr:colOff>
      <xdr:row>31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00000000-0008-0000-2100-000002040000}"/>
            </a:ext>
          </a:extLst>
        </xdr:cNvPr>
        <xdr:cNvSpPr>
          <a:spLocks noChangeShapeType="1"/>
        </xdr:cNvSpPr>
      </xdr:nvSpPr>
      <xdr:spPr bwMode="auto">
        <a:xfrm>
          <a:off x="1590675" y="5143500"/>
          <a:ext cx="714375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25</xdr:row>
      <xdr:rowOff>0</xdr:rowOff>
    </xdr:from>
    <xdr:to>
      <xdr:col>5</xdr:col>
      <xdr:colOff>0</xdr:colOff>
      <xdr:row>25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00000000-0008-0000-2100-000003040000}"/>
            </a:ext>
          </a:extLst>
        </xdr:cNvPr>
        <xdr:cNvSpPr>
          <a:spLocks noChangeShapeType="1"/>
        </xdr:cNvSpPr>
      </xdr:nvSpPr>
      <xdr:spPr bwMode="auto">
        <a:xfrm>
          <a:off x="1981200" y="4152900"/>
          <a:ext cx="34290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8</xdr:row>
      <xdr:rowOff>0</xdr:rowOff>
    </xdr:from>
    <xdr:to>
      <xdr:col>6</xdr:col>
      <xdr:colOff>342900</xdr:colOff>
      <xdr:row>11</xdr:row>
      <xdr:rowOff>9525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0000000-0008-0000-2100-000004040000}"/>
            </a:ext>
          </a:extLst>
        </xdr:cNvPr>
        <xdr:cNvSpPr>
          <a:spLocks noChangeShapeType="1"/>
        </xdr:cNvSpPr>
      </xdr:nvSpPr>
      <xdr:spPr bwMode="auto">
        <a:xfrm>
          <a:off x="2819400" y="1352550"/>
          <a:ext cx="0" cy="50482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14</xdr:row>
      <xdr:rowOff>0</xdr:rowOff>
    </xdr:from>
    <xdr:to>
      <xdr:col>6</xdr:col>
      <xdr:colOff>342900</xdr:colOff>
      <xdr:row>17</xdr:row>
      <xdr:rowOff>9525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0000000-0008-0000-2100-000005040000}"/>
            </a:ext>
          </a:extLst>
        </xdr:cNvPr>
        <xdr:cNvSpPr>
          <a:spLocks noChangeShapeType="1"/>
        </xdr:cNvSpPr>
      </xdr:nvSpPr>
      <xdr:spPr bwMode="auto">
        <a:xfrm>
          <a:off x="2819400" y="2343150"/>
          <a:ext cx="0" cy="50482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20</xdr:row>
      <xdr:rowOff>0</xdr:rowOff>
    </xdr:from>
    <xdr:to>
      <xdr:col>6</xdr:col>
      <xdr:colOff>342900</xdr:colOff>
      <xdr:row>23</xdr:row>
      <xdr:rowOff>9525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00000000-0008-0000-2100-000006040000}"/>
            </a:ext>
          </a:extLst>
        </xdr:cNvPr>
        <xdr:cNvSpPr>
          <a:spLocks noChangeShapeType="1"/>
        </xdr:cNvSpPr>
      </xdr:nvSpPr>
      <xdr:spPr bwMode="auto">
        <a:xfrm>
          <a:off x="2819400" y="3333750"/>
          <a:ext cx="0" cy="50482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26</xdr:row>
      <xdr:rowOff>0</xdr:rowOff>
    </xdr:from>
    <xdr:to>
      <xdr:col>6</xdr:col>
      <xdr:colOff>342900</xdr:colOff>
      <xdr:row>29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2100-000007040000}"/>
            </a:ext>
          </a:extLst>
        </xdr:cNvPr>
        <xdr:cNvSpPr>
          <a:spLocks noChangeShapeType="1"/>
        </xdr:cNvSpPr>
      </xdr:nvSpPr>
      <xdr:spPr bwMode="auto">
        <a:xfrm>
          <a:off x="2819400" y="4324350"/>
          <a:ext cx="0" cy="49530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32</xdr:row>
      <xdr:rowOff>0</xdr:rowOff>
    </xdr:from>
    <xdr:to>
      <xdr:col>6</xdr:col>
      <xdr:colOff>342900</xdr:colOff>
      <xdr:row>35</xdr:row>
      <xdr:rowOff>9525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2100-000008040000}"/>
            </a:ext>
          </a:extLst>
        </xdr:cNvPr>
        <xdr:cNvSpPr>
          <a:spLocks noChangeShapeType="1"/>
        </xdr:cNvSpPr>
      </xdr:nvSpPr>
      <xdr:spPr bwMode="auto">
        <a:xfrm>
          <a:off x="2819400" y="5314950"/>
          <a:ext cx="0" cy="50482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104775</xdr:colOff>
      <xdr:row>19</xdr:row>
      <xdr:rowOff>0</xdr:rowOff>
    </xdr:from>
    <xdr:to>
      <xdr:col>9</xdr:col>
      <xdr:colOff>9525</xdr:colOff>
      <xdr:row>19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00000000-0008-0000-2100-000009040000}"/>
            </a:ext>
          </a:extLst>
        </xdr:cNvPr>
        <xdr:cNvSpPr>
          <a:spLocks noChangeShapeType="1"/>
        </xdr:cNvSpPr>
      </xdr:nvSpPr>
      <xdr:spPr bwMode="auto">
        <a:xfrm flipH="1" flipV="1">
          <a:off x="3257550" y="3162300"/>
          <a:ext cx="62865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23</xdr:row>
      <xdr:rowOff>152400</xdr:rowOff>
    </xdr:from>
    <xdr:to>
      <xdr:col>10</xdr:col>
      <xdr:colOff>0</xdr:colOff>
      <xdr:row>23</xdr:row>
      <xdr:rowOff>152400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00000000-0008-0000-2100-00000A040000}"/>
            </a:ext>
          </a:extLst>
        </xdr:cNvPr>
        <xdr:cNvSpPr>
          <a:spLocks noChangeShapeType="1"/>
        </xdr:cNvSpPr>
      </xdr:nvSpPr>
      <xdr:spPr bwMode="auto">
        <a:xfrm flipH="1" flipV="1">
          <a:off x="3276600" y="3981450"/>
          <a:ext cx="99060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152400</xdr:rowOff>
    </xdr:from>
    <xdr:to>
      <xdr:col>11</xdr:col>
      <xdr:colOff>0</xdr:colOff>
      <xdr:row>30</xdr:row>
      <xdr:rowOff>152400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00000000-0008-0000-2100-00000B040000}"/>
            </a:ext>
          </a:extLst>
        </xdr:cNvPr>
        <xdr:cNvSpPr>
          <a:spLocks noChangeShapeType="1"/>
        </xdr:cNvSpPr>
      </xdr:nvSpPr>
      <xdr:spPr bwMode="auto">
        <a:xfrm flipH="1" flipV="1">
          <a:off x="3267075" y="5133975"/>
          <a:ext cx="1285875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37</xdr:row>
      <xdr:rowOff>0</xdr:rowOff>
    </xdr:from>
    <xdr:to>
      <xdr:col>12</xdr:col>
      <xdr:colOff>0</xdr:colOff>
      <xdr:row>37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00000000-0008-0000-2100-00000C040000}"/>
            </a:ext>
          </a:extLst>
        </xdr:cNvPr>
        <xdr:cNvSpPr>
          <a:spLocks noChangeShapeType="1"/>
        </xdr:cNvSpPr>
      </xdr:nvSpPr>
      <xdr:spPr bwMode="auto">
        <a:xfrm flipH="1" flipV="1">
          <a:off x="3276600" y="6134100"/>
          <a:ext cx="1609725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35</xdr:row>
      <xdr:rowOff>152400</xdr:rowOff>
    </xdr:from>
    <xdr:to>
      <xdr:col>8</xdr:col>
      <xdr:colOff>523875</xdr:colOff>
      <xdr:row>35</xdr:row>
      <xdr:rowOff>152400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00000000-0008-0000-2100-00000D040000}"/>
            </a:ext>
          </a:extLst>
        </xdr:cNvPr>
        <xdr:cNvSpPr>
          <a:spLocks noChangeShapeType="1"/>
        </xdr:cNvSpPr>
      </xdr:nvSpPr>
      <xdr:spPr bwMode="auto">
        <a:xfrm flipH="1" flipV="1">
          <a:off x="3267075" y="5962650"/>
          <a:ext cx="523875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4"/>
  <sheetViews>
    <sheetView showGridLines="0" tabSelected="1" zoomScale="75" zoomScaleNormal="75" workbookViewId="0">
      <selection activeCell="P33" sqref="P33"/>
    </sheetView>
  </sheetViews>
  <sheetFormatPr defaultColWidth="9.33203125" defaultRowHeight="13.2" x14ac:dyDescent="0.25"/>
  <cols>
    <col min="1" max="1" width="5.6640625" customWidth="1"/>
    <col min="2" max="2" width="12.6640625" customWidth="1"/>
    <col min="3" max="3" width="5.6640625" customWidth="1"/>
    <col min="4" max="7" width="18.6640625" style="148" customWidth="1"/>
    <col min="8" max="8" width="2.6640625" style="208" customWidth="1"/>
    <col min="9" max="12" width="18.6640625" style="342" customWidth="1"/>
  </cols>
  <sheetData>
    <row r="1" spans="1:7" x14ac:dyDescent="0.25">
      <c r="A1" s="4" t="s">
        <v>602</v>
      </c>
    </row>
    <row r="2" spans="1:7" x14ac:dyDescent="0.25">
      <c r="A2" s="10" t="s">
        <v>195</v>
      </c>
    </row>
    <row r="3" spans="1:7" x14ac:dyDescent="0.25">
      <c r="A3" s="4"/>
    </row>
    <row r="5" spans="1:7" x14ac:dyDescent="0.25">
      <c r="D5" s="148" t="s">
        <v>133</v>
      </c>
      <c r="E5" s="148" t="s">
        <v>117</v>
      </c>
      <c r="F5" s="148" t="s">
        <v>118</v>
      </c>
      <c r="G5" s="208" t="s">
        <v>119</v>
      </c>
    </row>
    <row r="6" spans="1:7" x14ac:dyDescent="0.25">
      <c r="A6" s="430"/>
      <c r="B6" s="431"/>
      <c r="C6" s="432"/>
      <c r="D6" s="433" t="s">
        <v>279</v>
      </c>
      <c r="E6" s="434" t="s">
        <v>280</v>
      </c>
      <c r="F6" s="433" t="s">
        <v>552</v>
      </c>
      <c r="G6" s="435" t="s">
        <v>26</v>
      </c>
    </row>
    <row r="7" spans="1:7" x14ac:dyDescent="0.25">
      <c r="A7" s="436" t="s">
        <v>191</v>
      </c>
      <c r="B7" s="437"/>
      <c r="C7" s="438"/>
      <c r="D7" s="439" t="s">
        <v>190</v>
      </c>
      <c r="E7" s="440" t="s">
        <v>190</v>
      </c>
      <c r="F7" s="439" t="s">
        <v>190</v>
      </c>
      <c r="G7" s="440" t="s">
        <v>190</v>
      </c>
    </row>
    <row r="8" spans="1:7" x14ac:dyDescent="0.25">
      <c r="A8" s="441"/>
      <c r="B8" s="442"/>
      <c r="C8" s="443"/>
      <c r="D8" s="444"/>
      <c r="E8" s="445"/>
      <c r="F8" s="444"/>
      <c r="G8" s="445"/>
    </row>
    <row r="9" spans="1:7" x14ac:dyDescent="0.25">
      <c r="A9" s="343"/>
      <c r="B9" s="344"/>
      <c r="C9" s="345"/>
      <c r="D9" s="356"/>
      <c r="E9" s="346"/>
      <c r="F9" s="356"/>
      <c r="G9" s="346"/>
    </row>
    <row r="10" spans="1:7" x14ac:dyDescent="0.25">
      <c r="A10" s="347" t="s">
        <v>192</v>
      </c>
      <c r="C10" s="348"/>
      <c r="D10" s="349"/>
      <c r="E10" s="350"/>
      <c r="F10" s="349"/>
      <c r="G10" s="350"/>
    </row>
    <row r="11" spans="1:7" x14ac:dyDescent="0.25">
      <c r="A11" s="357"/>
      <c r="B11" s="10" t="s">
        <v>116</v>
      </c>
      <c r="C11" s="348"/>
      <c r="D11" s="350">
        <f>'Results Trans'!$C$39</f>
        <v>0.57444247825791606</v>
      </c>
      <c r="E11" s="350">
        <f>'Results Trans'!$E$39</f>
        <v>0.50166223082037031</v>
      </c>
      <c r="F11" s="350">
        <f>'Results Trans'!$G$39</f>
        <v>0.62960287709329743</v>
      </c>
      <c r="G11" s="350">
        <f>D11*('CS Data By Shape'!$B$7/'CS Data By Shape'!$E$7)+E11*('CS Data By Shape'!$C$7/'CS Data By Shape'!$E$7)+F11*('CS Data By Shape'!$D$7/'CS Data By Shape'!$E$7)</f>
        <v>0.53868426452380258</v>
      </c>
    </row>
    <row r="12" spans="1:7" x14ac:dyDescent="0.25">
      <c r="A12" s="357"/>
      <c r="B12" s="10" t="s">
        <v>15</v>
      </c>
      <c r="C12" s="348"/>
      <c r="D12" s="350">
        <f>'Results Trans'!$C$40</f>
        <v>0.50461147811189044</v>
      </c>
      <c r="E12" s="350">
        <f>'Results Trans'!$E$40</f>
        <v>0.42055949150032779</v>
      </c>
      <c r="F12" s="350">
        <f>'Results Trans'!$G$40</f>
        <v>0.51091494531392723</v>
      </c>
      <c r="G12" s="350">
        <f>D12*('CS Data By Shape'!$B$7/'CS Data By Shape'!$E$7)+E12*('CS Data By Shape'!$C$7/'CS Data By Shape'!$E$7)+F12*('CS Data By Shape'!$D$7/'CS Data By Shape'!$E$7)</f>
        <v>0.46324427814696101</v>
      </c>
    </row>
    <row r="13" spans="1:7" x14ac:dyDescent="0.25">
      <c r="A13" s="357"/>
      <c r="B13" s="10" t="s">
        <v>229</v>
      </c>
      <c r="C13" s="348"/>
      <c r="D13" s="350">
        <f>'Results Trans'!$C$41</f>
        <v>0.50359295710161189</v>
      </c>
      <c r="E13" s="350">
        <f>'Results Trans'!$E$41</f>
        <v>0.4201247651837951</v>
      </c>
      <c r="F13" s="350">
        <f>'Results Trans'!$G$41</f>
        <v>0.51164627443798005</v>
      </c>
      <c r="G13" s="350">
        <f>D13*('CS Data By Shape'!$B$7/'CS Data By Shape'!$E$7)+E13*('CS Data By Shape'!$C$7/'CS Data By Shape'!$E$7)+F13*('CS Data By Shape'!$D$7/'CS Data By Shape'!$E$7)</f>
        <v>0.46251529681710823</v>
      </c>
    </row>
    <row r="14" spans="1:7" x14ac:dyDescent="0.25">
      <c r="A14" s="351"/>
      <c r="B14" s="358"/>
      <c r="C14" s="353"/>
      <c r="D14" s="355"/>
      <c r="E14" s="355"/>
      <c r="F14" s="355"/>
      <c r="G14" s="355"/>
    </row>
    <row r="15" spans="1:7" x14ac:dyDescent="0.25">
      <c r="A15" s="343"/>
      <c r="B15" s="359"/>
      <c r="C15" s="345"/>
      <c r="D15" s="346"/>
      <c r="E15" s="346"/>
      <c r="F15" s="346"/>
      <c r="G15" s="346"/>
    </row>
    <row r="16" spans="1:7" x14ac:dyDescent="0.25">
      <c r="A16" s="347" t="s">
        <v>193</v>
      </c>
      <c r="B16" s="10"/>
      <c r="C16" s="348"/>
      <c r="D16" s="350"/>
      <c r="E16" s="350"/>
      <c r="F16" s="350"/>
      <c r="G16" s="350"/>
    </row>
    <row r="17" spans="1:12" x14ac:dyDescent="0.25">
      <c r="A17" s="357"/>
      <c r="B17" s="10" t="s">
        <v>116</v>
      </c>
      <c r="C17" s="348"/>
      <c r="D17" s="350">
        <f>'Results NonTrans'!$C$39</f>
        <v>3.0234895508202731E-2</v>
      </c>
      <c r="E17" s="350">
        <f>'Results NonTrans'!$E$39</f>
        <v>1.3404120919270035E-2</v>
      </c>
      <c r="F17" s="350">
        <f>'Results NonTrans'!$G$39</f>
        <v>7.2668500764343585E-2</v>
      </c>
      <c r="G17" s="350">
        <f>D17*('CS Data By Shape'!$B$7/'CS Data By Shape'!$E$7)+E17*('CS Data By Shape'!$C$7/'CS Data By Shape'!$E$7)+F17*('CS Data By Shape'!$D$7/'CS Data By Shape'!$E$7)</f>
        <v>2.2002340709169933E-2</v>
      </c>
    </row>
    <row r="18" spans="1:12" x14ac:dyDescent="0.25">
      <c r="A18" s="357"/>
      <c r="B18" s="10" t="s">
        <v>15</v>
      </c>
      <c r="C18" s="348"/>
      <c r="D18" s="350">
        <f>'Results NonTrans'!$C$40</f>
        <v>1.9033423741459235E-2</v>
      </c>
      <c r="E18" s="350">
        <f>'Results NonTrans'!$E$40</f>
        <v>7.4192569592147371E-3</v>
      </c>
      <c r="F18" s="350">
        <f>'Results NonTrans'!$G$40</f>
        <v>1.0652290027616078E-2</v>
      </c>
      <c r="G18" s="350">
        <f>D18*('CS Data By Shape'!$B$7/'CS Data By Shape'!$E$7)+E18*('CS Data By Shape'!$C$7/'CS Data By Shape'!$E$7)+F18*('CS Data By Shape'!$D$7/'CS Data By Shape'!$E$7)</f>
        <v>1.3305929795667333E-2</v>
      </c>
    </row>
    <row r="19" spans="1:12" x14ac:dyDescent="0.25">
      <c r="A19" s="357"/>
      <c r="B19" s="10" t="s">
        <v>229</v>
      </c>
      <c r="C19" s="348"/>
      <c r="D19" s="350">
        <f>'Results NonTrans'!$C$41</f>
        <v>1.1113122579746924E-2</v>
      </c>
      <c r="E19" s="350">
        <f>'Results NonTrans'!$E$41</f>
        <v>4.9799661786073882E-3</v>
      </c>
      <c r="F19" s="350">
        <f>'Results NonTrans'!$G$41</f>
        <v>6.6215640101473378E-3</v>
      </c>
      <c r="G19" s="350">
        <f>D19*('CS Data By Shape'!$B$7/'CS Data By Shape'!$E$7)+E19*('CS Data By Shape'!$C$7/'CS Data By Shape'!$E$7)+F19*('CS Data By Shape'!$D$7/'CS Data By Shape'!$E$7)</f>
        <v>8.0884923799120021E-3</v>
      </c>
    </row>
    <row r="20" spans="1:12" x14ac:dyDescent="0.25">
      <c r="A20" s="351"/>
      <c r="B20" s="358"/>
      <c r="C20" s="353"/>
      <c r="D20" s="355"/>
      <c r="E20" s="355"/>
      <c r="F20" s="355"/>
      <c r="G20" s="355"/>
    </row>
    <row r="21" spans="1:12" x14ac:dyDescent="0.25">
      <c r="A21" s="343"/>
      <c r="B21" s="359"/>
      <c r="C21" s="345"/>
      <c r="D21" s="346"/>
      <c r="E21" s="346"/>
      <c r="F21" s="346"/>
      <c r="G21" s="346"/>
    </row>
    <row r="22" spans="1:12" x14ac:dyDescent="0.25">
      <c r="A22" s="347" t="s">
        <v>194</v>
      </c>
      <c r="B22" s="10"/>
      <c r="C22" s="348"/>
      <c r="D22" s="350"/>
      <c r="E22" s="350"/>
      <c r="F22" s="350"/>
      <c r="G22" s="350"/>
    </row>
    <row r="23" spans="1:12" x14ac:dyDescent="0.25">
      <c r="A23" s="357"/>
      <c r="B23" s="10" t="s">
        <v>116</v>
      </c>
      <c r="C23" s="348"/>
      <c r="D23" s="349">
        <f t="shared" ref="D23:E23" si="0">D11+D17</f>
        <v>0.60467737376611874</v>
      </c>
      <c r="E23" s="349">
        <f t="shared" si="0"/>
        <v>0.51506635173964033</v>
      </c>
      <c r="F23" s="349">
        <f t="shared" ref="F23" si="1">F11+F17</f>
        <v>0.70227137785764104</v>
      </c>
      <c r="G23" s="349">
        <f t="shared" ref="G23:G25" si="2">G11+G17</f>
        <v>0.56068660523297253</v>
      </c>
    </row>
    <row r="24" spans="1:12" x14ac:dyDescent="0.25">
      <c r="A24" s="357"/>
      <c r="B24" s="10" t="s">
        <v>15</v>
      </c>
      <c r="C24" s="348"/>
      <c r="D24" s="349">
        <f t="shared" ref="D24:E24" si="3">D12+D18</f>
        <v>0.52364490185334966</v>
      </c>
      <c r="E24" s="349">
        <f t="shared" si="3"/>
        <v>0.42797874845954254</v>
      </c>
      <c r="F24" s="349">
        <f t="shared" ref="F24" si="4">F12+F18</f>
        <v>0.52156723534154326</v>
      </c>
      <c r="G24" s="349">
        <f t="shared" si="2"/>
        <v>0.47655020794262837</v>
      </c>
    </row>
    <row r="25" spans="1:12" x14ac:dyDescent="0.25">
      <c r="A25" s="357"/>
      <c r="B25" s="10" t="s">
        <v>229</v>
      </c>
      <c r="C25" s="348"/>
      <c r="D25" s="349">
        <f t="shared" ref="D25:E25" si="5">D13+D19</f>
        <v>0.51470607968135884</v>
      </c>
      <c r="E25" s="349">
        <f t="shared" si="5"/>
        <v>0.42510473136240251</v>
      </c>
      <c r="F25" s="349">
        <f t="shared" ref="F25" si="6">F13+F19</f>
        <v>0.5182678384481274</v>
      </c>
      <c r="G25" s="349">
        <f t="shared" si="2"/>
        <v>0.47060378919702023</v>
      </c>
    </row>
    <row r="26" spans="1:12" x14ac:dyDescent="0.25">
      <c r="A26" s="351"/>
      <c r="B26" s="352"/>
      <c r="C26" s="353"/>
      <c r="D26" s="354"/>
      <c r="E26" s="355"/>
      <c r="F26" s="354"/>
      <c r="G26" s="355"/>
    </row>
    <row r="29" spans="1:12" x14ac:dyDescent="0.25">
      <c r="D29" s="208" t="s">
        <v>120</v>
      </c>
      <c r="E29" s="208" t="s">
        <v>121</v>
      </c>
      <c r="F29" s="208" t="s">
        <v>204</v>
      </c>
      <c r="G29" s="208" t="s">
        <v>206</v>
      </c>
      <c r="I29" s="208" t="s">
        <v>207</v>
      </c>
      <c r="J29" s="208" t="s">
        <v>452</v>
      </c>
      <c r="K29" s="208" t="s">
        <v>453</v>
      </c>
      <c r="L29" s="208" t="s">
        <v>454</v>
      </c>
    </row>
    <row r="30" spans="1:12" x14ac:dyDescent="0.25">
      <c r="A30" s="430"/>
      <c r="B30" s="431"/>
      <c r="C30" s="432"/>
      <c r="D30" s="433" t="s">
        <v>279</v>
      </c>
      <c r="E30" s="434" t="s">
        <v>280</v>
      </c>
      <c r="F30" s="433" t="s">
        <v>552</v>
      </c>
      <c r="G30" s="435" t="s">
        <v>26</v>
      </c>
      <c r="I30" s="434" t="s">
        <v>280</v>
      </c>
      <c r="J30" s="434" t="s">
        <v>280</v>
      </c>
      <c r="K30" s="434" t="s">
        <v>552</v>
      </c>
      <c r="L30" s="434" t="s">
        <v>552</v>
      </c>
    </row>
    <row r="31" spans="1:12" x14ac:dyDescent="0.25">
      <c r="A31" s="436" t="s">
        <v>191</v>
      </c>
      <c r="B31" s="437"/>
      <c r="C31" s="438"/>
      <c r="D31" s="446" t="s">
        <v>590</v>
      </c>
      <c r="E31" s="447" t="s">
        <v>590</v>
      </c>
      <c r="F31" s="446" t="s">
        <v>590</v>
      </c>
      <c r="G31" s="447" t="s">
        <v>590</v>
      </c>
      <c r="I31" s="447" t="s">
        <v>590</v>
      </c>
      <c r="J31" s="447" t="s">
        <v>590</v>
      </c>
      <c r="K31" s="447" t="s">
        <v>590</v>
      </c>
      <c r="L31" s="447" t="s">
        <v>590</v>
      </c>
    </row>
    <row r="32" spans="1:12" x14ac:dyDescent="0.25">
      <c r="A32" s="441"/>
      <c r="B32" s="442"/>
      <c r="C32" s="443"/>
      <c r="D32" s="444"/>
      <c r="E32" s="445"/>
      <c r="F32" s="444"/>
      <c r="G32" s="445"/>
      <c r="I32" s="448" t="s">
        <v>651</v>
      </c>
      <c r="J32" s="448" t="s">
        <v>666</v>
      </c>
      <c r="K32" s="448" t="s">
        <v>652</v>
      </c>
      <c r="L32" s="448" t="s">
        <v>667</v>
      </c>
    </row>
    <row r="33" spans="1:12" x14ac:dyDescent="0.25">
      <c r="A33" s="343"/>
      <c r="B33" s="344"/>
      <c r="C33" s="345"/>
      <c r="D33" s="356"/>
      <c r="E33" s="346"/>
      <c r="F33" s="356"/>
      <c r="G33" s="346"/>
      <c r="I33" s="346"/>
      <c r="J33" s="346"/>
      <c r="K33" s="346"/>
      <c r="L33" s="346"/>
    </row>
    <row r="34" spans="1:12" x14ac:dyDescent="0.25">
      <c r="A34" s="347" t="s">
        <v>192</v>
      </c>
      <c r="C34" s="348"/>
      <c r="D34" s="349"/>
      <c r="E34" s="350"/>
      <c r="F34" s="349"/>
      <c r="G34" s="350"/>
      <c r="I34" s="350"/>
      <c r="J34" s="350"/>
      <c r="K34" s="350"/>
      <c r="L34" s="350"/>
    </row>
    <row r="35" spans="1:12" x14ac:dyDescent="0.25">
      <c r="A35" s="357"/>
      <c r="B35" s="10" t="s">
        <v>116</v>
      </c>
      <c r="C35" s="348"/>
      <c r="D35" s="350">
        <f>D11*('CS Data By Shape'!$B$7/'CS Data By Shape'!$B$6)</f>
        <v>2.6460204532275027E-2</v>
      </c>
      <c r="E35" s="350">
        <f>E11*('CS Data By Shape'!$C$7/'CS Data By Shape'!$C$6)</f>
        <v>8.0384047047809049E-2</v>
      </c>
      <c r="F35" s="350">
        <f>F11*('CS Data By Shape'!$D$7/'CS Data By Shape'!$D$6)</f>
        <v>0.26576009574467124</v>
      </c>
      <c r="G35" s="350">
        <f>G11*('CS Data By Shape'!$E$7/'CS Data By Shape'!$E$6)</f>
        <v>3.8282917781740325E-2</v>
      </c>
      <c r="I35" s="350">
        <f>E11*('CS Data By Shape'!$C$17/'CS Data By Shape'!$C$9)</f>
        <v>5.648137205630286E-2</v>
      </c>
      <c r="J35" s="350">
        <f>E11*('CS Data By Shape'!$C$18/'CS Data By Shape'!$C$10)</f>
        <v>0.20887159385414492</v>
      </c>
      <c r="K35" s="350">
        <f>F11*('CS Data By Shape'!$D$19/'CS Data By Shape'!$D$11)</f>
        <v>8.753696651882896E-2</v>
      </c>
      <c r="L35" s="350">
        <f>F11*('CS Data By Shape'!$D$20/'CS Data By Shape'!$D$12)</f>
        <v>0.31797124841738761</v>
      </c>
    </row>
    <row r="36" spans="1:12" x14ac:dyDescent="0.25">
      <c r="A36" s="357"/>
      <c r="B36" s="10" t="s">
        <v>15</v>
      </c>
      <c r="C36" s="348"/>
      <c r="D36" s="350">
        <f>D12*('CS Data By Shape'!$B$7/'CS Data By Shape'!$B$6)</f>
        <v>2.3243620424218247E-2</v>
      </c>
      <c r="E36" s="350">
        <f>E12*('CS Data By Shape'!$C$7/'CS Data By Shape'!$C$6)</f>
        <v>6.7388517361335859E-2</v>
      </c>
      <c r="F36" s="350">
        <f>F12*('CS Data By Shape'!$D$7/'CS Data By Shape'!$D$6)</f>
        <v>0.21566102971269005</v>
      </c>
      <c r="G36" s="350">
        <f>G12*('CS Data By Shape'!$E$7/'CS Data By Shape'!$E$6)</f>
        <v>3.2921590217302767E-2</v>
      </c>
      <c r="I36" s="350">
        <f>E12*('CS Data By Shape'!$C$17/'CS Data By Shape'!$C$9)</f>
        <v>4.7350140496714099E-2</v>
      </c>
      <c r="J36" s="350">
        <f>E12*('CS Data By Shape'!$C$18/'CS Data By Shape'!$C$10)</f>
        <v>0.17510373694370468</v>
      </c>
      <c r="K36" s="350">
        <f>F12*('CS Data By Shape'!$D$19/'CS Data By Shape'!$D$11)</f>
        <v>7.1035165322612046E-2</v>
      </c>
      <c r="L36" s="350">
        <f>F12*('CS Data By Shape'!$D$20/'CS Data By Shape'!$D$12)</f>
        <v>0.25802973415017805</v>
      </c>
    </row>
    <row r="37" spans="1:12" x14ac:dyDescent="0.25">
      <c r="A37" s="357"/>
      <c r="B37" s="10" t="s">
        <v>229</v>
      </c>
      <c r="C37" s="348"/>
      <c r="D37" s="350">
        <f>D13*('CS Data By Shape'!$B$7/'CS Data By Shape'!$B$6)</f>
        <v>2.3196704892598577E-2</v>
      </c>
      <c r="E37" s="350">
        <f>E13*('CS Data By Shape'!$C$7/'CS Data By Shape'!$C$6)</f>
        <v>6.7318858817131844E-2</v>
      </c>
      <c r="F37" s="350">
        <f>F13*('CS Data By Shape'!$D$7/'CS Data By Shape'!$D$6)</f>
        <v>0.2159697292201104</v>
      </c>
      <c r="G37" s="350">
        <f>G13*('CS Data By Shape'!$E$7/'CS Data By Shape'!$E$6)</f>
        <v>3.2869783372081761E-2</v>
      </c>
      <c r="I37" s="350">
        <f>E13*('CS Data By Shape'!$C$17/'CS Data By Shape'!$C$9)</f>
        <v>4.7301195335371984E-2</v>
      </c>
      <c r="J37" s="350">
        <f>E13*('CS Data By Shape'!$C$18/'CS Data By Shape'!$C$10)</f>
        <v>0.17492273472140057</v>
      </c>
      <c r="K37" s="350">
        <f>F13*('CS Data By Shape'!$D$19/'CS Data By Shape'!$D$11)</f>
        <v>7.1136845818962402E-2</v>
      </c>
      <c r="L37" s="350">
        <f>F13*('CS Data By Shape'!$D$20/'CS Data By Shape'!$D$12)</f>
        <v>0.2583990806748519</v>
      </c>
    </row>
    <row r="38" spans="1:12" x14ac:dyDescent="0.25">
      <c r="A38" s="351"/>
      <c r="B38" s="358"/>
      <c r="C38" s="353"/>
      <c r="D38" s="355"/>
      <c r="E38" s="355"/>
      <c r="F38" s="355"/>
      <c r="G38" s="355"/>
      <c r="I38" s="355"/>
      <c r="J38" s="355"/>
      <c r="K38" s="355"/>
      <c r="L38" s="355"/>
    </row>
    <row r="39" spans="1:12" x14ac:dyDescent="0.25">
      <c r="A39" s="343"/>
      <c r="B39" s="359"/>
      <c r="C39" s="345"/>
      <c r="D39" s="346"/>
      <c r="E39" s="346"/>
      <c r="F39" s="346"/>
      <c r="G39" s="346"/>
      <c r="I39" s="346"/>
      <c r="J39" s="346"/>
      <c r="K39" s="346"/>
      <c r="L39" s="346"/>
    </row>
    <row r="40" spans="1:12" x14ac:dyDescent="0.25">
      <c r="A40" s="347" t="s">
        <v>193</v>
      </c>
      <c r="B40" s="10"/>
      <c r="C40" s="348"/>
      <c r="D40" s="350"/>
      <c r="E40" s="350"/>
      <c r="F40" s="350"/>
      <c r="G40" s="350"/>
      <c r="I40" s="350"/>
      <c r="K40" s="350"/>
      <c r="L40" s="350"/>
    </row>
    <row r="41" spans="1:12" x14ac:dyDescent="0.25">
      <c r="A41" s="357"/>
      <c r="B41" s="10" t="s">
        <v>116</v>
      </c>
      <c r="C41" s="348"/>
      <c r="D41" s="350">
        <f>D17*('CS Data By Shape'!$B$7/'CS Data By Shape'!$B$6)</f>
        <v>1.392692130960082E-3</v>
      </c>
      <c r="E41" s="350">
        <f>E17*('CS Data By Shape'!$C$7/'CS Data By Shape'!$C$6)</f>
        <v>2.1478146458168094E-3</v>
      </c>
      <c r="F41" s="350">
        <f>F17*('CS Data By Shape'!$D$7/'CS Data By Shape'!$D$6)</f>
        <v>3.0673919105823698E-2</v>
      </c>
      <c r="G41" s="350">
        <f>G17*('CS Data By Shape'!$E$7/'CS Data By Shape'!$E$6)</f>
        <v>1.5636502787390624E-3</v>
      </c>
      <c r="I41" s="350">
        <f>E17*('CS Data By Shape'!$C$17/'CS Data By Shape'!$C$9)</f>
        <v>1.5091491729223904E-3</v>
      </c>
      <c r="J41" s="350">
        <f>E17*('CS Data By Shape'!$C$18/'CS Data By Shape'!$C$10)</f>
        <v>5.580926624759436E-3</v>
      </c>
      <c r="K41" s="350">
        <f>F17*('CS Data By Shape'!$D$19/'CS Data By Shape'!$D$11)</f>
        <v>1.0103480066275511E-2</v>
      </c>
      <c r="L41" s="350">
        <f>F17*('CS Data By Shape'!$D$20/'CS Data By Shape'!$D$12)</f>
        <v>3.6700108511788433E-2</v>
      </c>
    </row>
    <row r="42" spans="1:12" x14ac:dyDescent="0.25">
      <c r="A42" s="357"/>
      <c r="B42" s="10" t="s">
        <v>15</v>
      </c>
      <c r="C42" s="348"/>
      <c r="D42" s="350">
        <f>D18*('CS Data By Shape'!$B$7/'CS Data By Shape'!$B$6)</f>
        <v>8.7672535407861882E-4</v>
      </c>
      <c r="E42" s="350">
        <f>E18*('CS Data By Shape'!$C$7/'CS Data By Shape'!$C$6)</f>
        <v>1.1888275892207856E-3</v>
      </c>
      <c r="F42" s="350">
        <f>F18*('CS Data By Shape'!$D$7/'CS Data By Shape'!$D$6)</f>
        <v>4.4964115010226544E-3</v>
      </c>
      <c r="G42" s="350">
        <f>G18*('CS Data By Shape'!$E$7/'CS Data By Shape'!$E$6)</f>
        <v>9.4561851890632542E-4</v>
      </c>
      <c r="I42" s="350">
        <f>E18*('CS Data By Shape'!$C$17/'CS Data By Shape'!$C$9)</f>
        <v>8.3532262735715201E-4</v>
      </c>
      <c r="J42" s="350">
        <f>E18*('CS Data By Shape'!$C$18/'CS Data By Shape'!$C$10)</f>
        <v>3.0890745427465285E-3</v>
      </c>
      <c r="K42" s="350">
        <f>F18*('CS Data By Shape'!$D$19/'CS Data By Shape'!$D$11)</f>
        <v>1.4810433519637596E-3</v>
      </c>
      <c r="L42" s="350">
        <f>F18*('CS Data By Shape'!$D$20/'CS Data By Shape'!$D$12)</f>
        <v>5.37977522310981E-3</v>
      </c>
    </row>
    <row r="43" spans="1:12" x14ac:dyDescent="0.25">
      <c r="A43" s="357"/>
      <c r="B43" s="10" t="s">
        <v>229</v>
      </c>
      <c r="C43" s="348"/>
      <c r="D43" s="350">
        <f>D19*('CS Data By Shape'!$B$7/'CS Data By Shape'!$B$6)</f>
        <v>5.1189720047186511E-4</v>
      </c>
      <c r="E43" s="350">
        <f>E19*('CS Data By Shape'!$C$7/'CS Data By Shape'!$C$6)</f>
        <v>7.9796686097545325E-4</v>
      </c>
      <c r="F43" s="350">
        <f>F19*('CS Data By Shape'!$D$7/'CS Data By Shape'!$D$6)</f>
        <v>2.7950118230724956E-3</v>
      </c>
      <c r="G43" s="350">
        <f>G19*('CS Data By Shape'!$E$7/'CS Data By Shape'!$E$6)</f>
        <v>5.748285389998094E-4</v>
      </c>
      <c r="I43" s="350">
        <f>E19*('CS Data By Shape'!$C$17/'CS Data By Shape'!$C$9)</f>
        <v>5.6068666381712249E-4</v>
      </c>
      <c r="J43" s="350">
        <f>E19*('CS Data By Shape'!$C$18/'CS Data By Shape'!$C$10)</f>
        <v>2.07345382841451E-3</v>
      </c>
      <c r="K43" s="350">
        <f>F19*('CS Data By Shape'!$D$19/'CS Data By Shape'!$D$11)</f>
        <v>9.2063052464840922E-4</v>
      </c>
      <c r="L43" s="350">
        <f>F19*('CS Data By Shape'!$D$20/'CS Data By Shape'!$D$12)</f>
        <v>3.3441190493006508E-3</v>
      </c>
    </row>
    <row r="44" spans="1:12" x14ac:dyDescent="0.25">
      <c r="A44" s="351"/>
      <c r="B44" s="358"/>
      <c r="C44" s="353"/>
      <c r="D44" s="355"/>
      <c r="E44" s="355"/>
      <c r="F44" s="355"/>
      <c r="G44" s="355"/>
      <c r="I44" s="355"/>
      <c r="J44" s="355"/>
      <c r="K44" s="355"/>
      <c r="L44" s="355"/>
    </row>
    <row r="45" spans="1:12" x14ac:dyDescent="0.25">
      <c r="A45" s="343"/>
      <c r="B45" s="359"/>
      <c r="C45" s="345"/>
      <c r="D45" s="346"/>
      <c r="E45" s="346"/>
      <c r="F45" s="346"/>
      <c r="G45" s="346"/>
      <c r="I45" s="346"/>
      <c r="J45" s="346"/>
      <c r="K45" s="346"/>
      <c r="L45" s="346"/>
    </row>
    <row r="46" spans="1:12" x14ac:dyDescent="0.25">
      <c r="A46" s="347" t="s">
        <v>194</v>
      </c>
      <c r="B46" s="10"/>
      <c r="C46" s="348"/>
      <c r="D46" s="350"/>
      <c r="E46" s="350"/>
      <c r="F46" s="350"/>
      <c r="G46" s="350"/>
      <c r="I46" s="350"/>
      <c r="J46" s="350"/>
      <c r="K46" s="350"/>
      <c r="L46" s="350"/>
    </row>
    <row r="47" spans="1:12" x14ac:dyDescent="0.25">
      <c r="A47" s="357"/>
      <c r="B47" s="10" t="s">
        <v>116</v>
      </c>
      <c r="C47" s="348"/>
      <c r="D47" s="349">
        <f t="shared" ref="D47:G49" si="7">D35+D41</f>
        <v>2.7852896663235108E-2</v>
      </c>
      <c r="E47" s="349">
        <f t="shared" si="7"/>
        <v>8.2531861693625863E-2</v>
      </c>
      <c r="F47" s="349">
        <f t="shared" si="7"/>
        <v>0.29643401485049492</v>
      </c>
      <c r="G47" s="349">
        <f t="shared" si="7"/>
        <v>3.9846568060479384E-2</v>
      </c>
      <c r="H47" s="360"/>
      <c r="I47" s="350">
        <f t="shared" ref="I47:L47" si="8">I35+I41</f>
        <v>5.7990521229225253E-2</v>
      </c>
      <c r="J47" s="350">
        <f>J35+J41</f>
        <v>0.21445252047890434</v>
      </c>
      <c r="K47" s="350">
        <f>K35+K41</f>
        <v>9.7640446585104471E-2</v>
      </c>
      <c r="L47" s="350">
        <f t="shared" si="8"/>
        <v>0.35467135692917606</v>
      </c>
    </row>
    <row r="48" spans="1:12" x14ac:dyDescent="0.25">
      <c r="A48" s="357"/>
      <c r="B48" s="10" t="s">
        <v>15</v>
      </c>
      <c r="C48" s="348"/>
      <c r="D48" s="349">
        <f t="shared" ref="D48:E48" si="9">D36+D42</f>
        <v>2.4120345778296866E-2</v>
      </c>
      <c r="E48" s="349">
        <f t="shared" si="9"/>
        <v>6.8577344950556646E-2</v>
      </c>
      <c r="F48" s="349">
        <f t="shared" si="7"/>
        <v>0.2201574412137127</v>
      </c>
      <c r="G48" s="349">
        <f t="shared" si="7"/>
        <v>3.386720873620909E-2</v>
      </c>
      <c r="H48" s="360"/>
      <c r="I48" s="350">
        <f t="shared" ref="I48:L48" si="10">I36+I42</f>
        <v>4.8185463124071251E-2</v>
      </c>
      <c r="J48" s="350">
        <f t="shared" si="10"/>
        <v>0.17819281148645122</v>
      </c>
      <c r="K48" s="350">
        <f t="shared" si="10"/>
        <v>7.2516208674575811E-2</v>
      </c>
      <c r="L48" s="350">
        <f t="shared" si="10"/>
        <v>0.26340950937328783</v>
      </c>
    </row>
    <row r="49" spans="1:12" x14ac:dyDescent="0.25">
      <c r="A49" s="357"/>
      <c r="B49" s="10" t="s">
        <v>229</v>
      </c>
      <c r="C49" s="348"/>
      <c r="D49" s="349">
        <f t="shared" ref="D49:E49" si="11">D37+D43</f>
        <v>2.3708602093070442E-2</v>
      </c>
      <c r="E49" s="349">
        <f t="shared" si="11"/>
        <v>6.8116825678107298E-2</v>
      </c>
      <c r="F49" s="349">
        <f t="shared" si="7"/>
        <v>0.21876474104318289</v>
      </c>
      <c r="G49" s="349">
        <f t="shared" si="7"/>
        <v>3.344461191108157E-2</v>
      </c>
      <c r="H49" s="360"/>
      <c r="I49" s="350">
        <f t="shared" ref="I49:L49" si="12">I37+I43</f>
        <v>4.7861881999189108E-2</v>
      </c>
      <c r="J49" s="350">
        <f t="shared" si="12"/>
        <v>0.17699618854981508</v>
      </c>
      <c r="K49" s="350">
        <f t="shared" si="12"/>
        <v>7.2057476343610816E-2</v>
      </c>
      <c r="L49" s="350">
        <f t="shared" si="12"/>
        <v>0.26174319972415255</v>
      </c>
    </row>
    <row r="50" spans="1:12" x14ac:dyDescent="0.25">
      <c r="A50" s="351"/>
      <c r="B50" s="352"/>
      <c r="C50" s="353"/>
      <c r="D50" s="354"/>
      <c r="E50" s="355"/>
      <c r="F50" s="354"/>
      <c r="G50" s="355"/>
      <c r="I50" s="355"/>
      <c r="J50" s="355"/>
      <c r="K50" s="355"/>
      <c r="L50" s="355"/>
    </row>
    <row r="52" spans="1:12" x14ac:dyDescent="0.25">
      <c r="A52" s="25" t="s">
        <v>325</v>
      </c>
      <c r="F52"/>
      <c r="G52"/>
    </row>
    <row r="53" spans="1:12" x14ac:dyDescent="0.25">
      <c r="A53" s="4" t="s">
        <v>553</v>
      </c>
      <c r="F53"/>
      <c r="G53"/>
    </row>
    <row r="54" spans="1:12" x14ac:dyDescent="0.25">
      <c r="A54" s="4" t="s">
        <v>554</v>
      </c>
      <c r="F54"/>
      <c r="G54"/>
    </row>
    <row r="55" spans="1:12" x14ac:dyDescent="0.25">
      <c r="A55" s="4" t="s">
        <v>555</v>
      </c>
      <c r="F55"/>
      <c r="G55"/>
    </row>
    <row r="56" spans="1:12" x14ac:dyDescent="0.25">
      <c r="A56" s="4" t="s">
        <v>556</v>
      </c>
      <c r="F56"/>
      <c r="G56"/>
    </row>
    <row r="57" spans="1:12" x14ac:dyDescent="0.25">
      <c r="A57" s="4" t="s">
        <v>591</v>
      </c>
    </row>
    <row r="58" spans="1:12" x14ac:dyDescent="0.25">
      <c r="A58" s="4" t="s">
        <v>592</v>
      </c>
    </row>
    <row r="59" spans="1:12" x14ac:dyDescent="0.25">
      <c r="A59" s="4" t="s">
        <v>593</v>
      </c>
    </row>
    <row r="60" spans="1:12" x14ac:dyDescent="0.25">
      <c r="A60" s="4" t="s">
        <v>650</v>
      </c>
    </row>
    <row r="61" spans="1:12" x14ac:dyDescent="0.25">
      <c r="A61" s="4" t="s">
        <v>668</v>
      </c>
    </row>
    <row r="62" spans="1:12" x14ac:dyDescent="0.25">
      <c r="A62" s="4" t="s">
        <v>669</v>
      </c>
    </row>
    <row r="63" spans="1:12" x14ac:dyDescent="0.25">
      <c r="A63" s="4" t="s">
        <v>670</v>
      </c>
    </row>
    <row r="64" spans="1:12" x14ac:dyDescent="0.25">
      <c r="A64" s="4" t="s">
        <v>671</v>
      </c>
    </row>
  </sheetData>
  <phoneticPr fontId="13" type="noConversion"/>
  <printOptions horizontalCentered="1"/>
  <pageMargins left="0.75" right="0.75" top="1" bottom="1" header="0.5" footer="0.5"/>
  <pageSetup scale="87" orientation="portrait" r:id="rId1"/>
  <headerFooter alignWithMargins="0">
    <oddHeader>&amp;RPage 1 of 42</oddHead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O56"/>
  <sheetViews>
    <sheetView zoomScale="75" workbookViewId="0">
      <selection activeCell="U16" sqref="U16"/>
    </sheetView>
  </sheetViews>
  <sheetFormatPr defaultColWidth="9.33203125" defaultRowHeight="13.2" x14ac:dyDescent="0.25"/>
  <cols>
    <col min="1" max="1" width="4.6640625" style="5" customWidth="1"/>
    <col min="2" max="2" width="9.33203125" style="5"/>
    <col min="3" max="3" width="15.6640625" style="5" customWidth="1"/>
    <col min="4" max="4" width="3.6640625" style="5" customWidth="1"/>
    <col min="5" max="5" width="15.6640625" style="5" customWidth="1"/>
    <col min="6" max="6" width="3.6640625" style="5" customWidth="1"/>
    <col min="7" max="7" width="15.6640625" style="5" customWidth="1"/>
    <col min="8" max="8" width="2.6640625" style="5" customWidth="1"/>
    <col min="9" max="9" width="15.6640625" style="5" customWidth="1"/>
    <col min="10" max="10" width="3.6640625" style="4" customWidth="1"/>
    <col min="11" max="11" width="3.6640625" style="5" customWidth="1"/>
    <col min="12" max="12" width="8.44140625" style="5" bestFit="1" customWidth="1"/>
    <col min="13" max="16384" width="9.33203125" style="5"/>
  </cols>
  <sheetData>
    <row r="1" spans="1:15" ht="15.6" x14ac:dyDescent="0.3">
      <c r="A1" s="169" t="s">
        <v>603</v>
      </c>
      <c r="B1" s="32"/>
      <c r="C1" s="32"/>
      <c r="D1" s="32"/>
      <c r="E1" s="32"/>
      <c r="F1" s="32"/>
      <c r="G1" s="32"/>
      <c r="H1" s="32"/>
      <c r="I1" s="32"/>
      <c r="J1" s="203"/>
      <c r="K1" s="32"/>
      <c r="L1" s="6"/>
      <c r="O1" s="32"/>
    </row>
    <row r="6" spans="1:15" x14ac:dyDescent="0.25">
      <c r="A6" s="10" t="s">
        <v>106</v>
      </c>
      <c r="D6" s="5" t="s">
        <v>230</v>
      </c>
      <c r="J6" s="4" t="s">
        <v>36</v>
      </c>
    </row>
    <row r="8" spans="1:15" ht="15.6" x14ac:dyDescent="0.25">
      <c r="B8" s="10" t="s">
        <v>107</v>
      </c>
      <c r="C8" s="42" t="s">
        <v>557</v>
      </c>
    </row>
    <row r="9" spans="1:15" ht="15.6" x14ac:dyDescent="0.25">
      <c r="B9" s="10" t="s">
        <v>108</v>
      </c>
      <c r="C9" s="42" t="s">
        <v>635</v>
      </c>
    </row>
    <row r="11" spans="1:15" ht="15.6" x14ac:dyDescent="0.25">
      <c r="B11" s="10" t="s">
        <v>260</v>
      </c>
      <c r="C11" s="42" t="s">
        <v>558</v>
      </c>
    </row>
    <row r="12" spans="1:15" ht="15.6" x14ac:dyDescent="0.25">
      <c r="B12" s="10" t="s">
        <v>258</v>
      </c>
      <c r="C12" s="42" t="s">
        <v>634</v>
      </c>
    </row>
    <row r="14" spans="1:15" ht="15.6" x14ac:dyDescent="0.25">
      <c r="B14" s="10" t="s">
        <v>109</v>
      </c>
      <c r="C14" s="42" t="s">
        <v>559</v>
      </c>
    </row>
    <row r="15" spans="1:15" ht="15.6" x14ac:dyDescent="0.25">
      <c r="B15" s="10" t="s">
        <v>110</v>
      </c>
      <c r="C15" s="42" t="s">
        <v>633</v>
      </c>
    </row>
    <row r="17" spans="1:10" ht="15.6" x14ac:dyDescent="0.25">
      <c r="B17" s="10" t="s">
        <v>111</v>
      </c>
      <c r="C17" s="42" t="s">
        <v>632</v>
      </c>
    </row>
    <row r="19" spans="1:10" x14ac:dyDescent="0.25">
      <c r="A19" s="10" t="s">
        <v>112</v>
      </c>
    </row>
    <row r="20" spans="1:10" x14ac:dyDescent="0.25">
      <c r="A20" s="10"/>
    </row>
    <row r="21" spans="1:10" x14ac:dyDescent="0.25">
      <c r="A21" s="10"/>
      <c r="C21" s="24" t="s">
        <v>279</v>
      </c>
      <c r="E21" s="24" t="s">
        <v>280</v>
      </c>
      <c r="G21" s="24" t="s">
        <v>552</v>
      </c>
    </row>
    <row r="22" spans="1:10" x14ac:dyDescent="0.25">
      <c r="C22" s="34"/>
      <c r="E22" s="34"/>
      <c r="G22" s="34"/>
    </row>
    <row r="23" spans="1:10" ht="15.6" x14ac:dyDescent="0.25">
      <c r="B23" s="10" t="s">
        <v>107</v>
      </c>
      <c r="C23" s="34">
        <f>'Entry Profile L&amp;F'!$G$8+'Entry Profile L&amp;F'!$G$9+'Entry Profile L&amp;F'!$G$10</f>
        <v>0.16020908588273544</v>
      </c>
      <c r="E23" s="34">
        <f>'Entry Profile L&amp;F'!$I$8+'Entry Profile L&amp;F'!$I$9+'Entry Profile L&amp;F'!$I$10</f>
        <v>0.1267516625629046</v>
      </c>
      <c r="G23" s="34">
        <f>'Entry Profile P'!$G$23+'Entry Profile P'!$G$24+'Entry Profile P'!$G$25</f>
        <v>0.49507190178879501</v>
      </c>
      <c r="J23" s="176" t="s">
        <v>37</v>
      </c>
    </row>
    <row r="24" spans="1:10" ht="15.6" x14ac:dyDescent="0.25">
      <c r="B24" s="192" t="s">
        <v>113</v>
      </c>
      <c r="C24" s="105" t="s">
        <v>286</v>
      </c>
      <c r="E24" s="105" t="s">
        <v>286</v>
      </c>
      <c r="G24" s="105" t="s">
        <v>286</v>
      </c>
      <c r="J24" s="176" t="s">
        <v>38</v>
      </c>
    </row>
    <row r="25" spans="1:10" x14ac:dyDescent="0.25">
      <c r="J25" s="176"/>
    </row>
    <row r="26" spans="1:10" ht="15.6" x14ac:dyDescent="0.25">
      <c r="B26" s="10" t="s">
        <v>259</v>
      </c>
      <c r="C26" s="34">
        <f>'Entry Profile L&amp;F'!$G$11</f>
        <v>6.7539306754731271E-2</v>
      </c>
      <c r="E26" s="34">
        <f>'Entry Profile L&amp;F'!$I$11</f>
        <v>5.0900412337427467E-2</v>
      </c>
      <c r="G26" s="34">
        <f>'Entry Profile P'!$G$26</f>
        <v>0.24782195716620409</v>
      </c>
      <c r="J26" s="176" t="s">
        <v>39</v>
      </c>
    </row>
    <row r="27" spans="1:10" ht="15.6" x14ac:dyDescent="0.25">
      <c r="B27" s="10" t="s">
        <v>261</v>
      </c>
      <c r="C27" s="35">
        <f>'Flow Trans CPP'!$D$10+('Flow Proportions'!$E$48*'Flow Trans CPP'!$D$11)</f>
        <v>7.0849521156304135E-2</v>
      </c>
      <c r="E27" s="35">
        <f>'Flow Trans CPP'!$D$16+('Flow Proportions'!$E$48*'Flow Trans CPP'!$D$17)</f>
        <v>8.1537465636575213E-2</v>
      </c>
      <c r="G27" s="35">
        <f>'Flow Trans CPP'!$D$22+('Flow Proportions'!$E$48*'Flow Trans CPP'!$D$23)</f>
        <v>0.11795660265531734</v>
      </c>
      <c r="J27" s="176" t="s">
        <v>40</v>
      </c>
    </row>
    <row r="28" spans="1:10" x14ac:dyDescent="0.25">
      <c r="J28" s="176"/>
    </row>
    <row r="29" spans="1:10" ht="15.6" x14ac:dyDescent="0.25">
      <c r="B29" s="10" t="s">
        <v>109</v>
      </c>
      <c r="C29" s="34">
        <f>'Entry Profile L&amp;F'!$G$12</f>
        <v>0.75042883961525719</v>
      </c>
      <c r="E29" s="34">
        <f>'Entry Profile L&amp;F'!$I$12</f>
        <v>0.55529925580540229</v>
      </c>
      <c r="G29" s="34">
        <f>'Entry Profile P'!$G$27</f>
        <v>0.23124213600213292</v>
      </c>
      <c r="J29" s="176" t="s">
        <v>41</v>
      </c>
    </row>
    <row r="30" spans="1:10" ht="15.6" x14ac:dyDescent="0.25">
      <c r="B30" s="10" t="s">
        <v>110</v>
      </c>
      <c r="C30" s="35">
        <f>'Flow Trans CPP'!$D$11</f>
        <v>6.9831000146025571E-2</v>
      </c>
      <c r="E30" s="35">
        <f>'Flow Trans CPP'!$D$17</f>
        <v>8.11027393200425E-2</v>
      </c>
      <c r="G30" s="35">
        <f>'Flow Trans CPP'!$D$23</f>
        <v>0.11868793177937026</v>
      </c>
      <c r="J30" s="176" t="s">
        <v>42</v>
      </c>
    </row>
    <row r="31" spans="1:10" x14ac:dyDescent="0.25">
      <c r="J31" s="176"/>
    </row>
    <row r="32" spans="1:10" ht="15.6" x14ac:dyDescent="0.25">
      <c r="B32" s="10" t="s">
        <v>111</v>
      </c>
      <c r="C32" s="35">
        <f>'Trans CPP'!$C$19</f>
        <v>0.14921922828547013</v>
      </c>
      <c r="E32" s="35">
        <f>'Trans CPP'!$E$19</f>
        <v>0.11277310321154718</v>
      </c>
      <c r="G32" s="35">
        <f>'Trans CPP'!$G$19</f>
        <v>0.36837658072732976</v>
      </c>
      <c r="J32" s="176" t="s">
        <v>216</v>
      </c>
    </row>
    <row r="33" spans="1:12" x14ac:dyDescent="0.25">
      <c r="J33" s="176"/>
    </row>
    <row r="34" spans="1:12" ht="16.2" x14ac:dyDescent="0.25">
      <c r="B34" s="209" t="s">
        <v>114</v>
      </c>
      <c r="C34" s="210">
        <f>(C32-(C26*C27)-(C29*C30))/C23</f>
        <v>0.57444247825791606</v>
      </c>
      <c r="E34" s="210">
        <f>(E32-(E26*E27)-(E29*E30))/E23</f>
        <v>0.50166223082037031</v>
      </c>
      <c r="F34" s="34"/>
      <c r="G34" s="210">
        <f>(G32-(G26*G27)-(G29*G30))/G23</f>
        <v>0.62960287709329743</v>
      </c>
      <c r="J34" s="176" t="s">
        <v>289</v>
      </c>
    </row>
    <row r="35" spans="1:12" x14ac:dyDescent="0.25">
      <c r="D35" s="211"/>
      <c r="F35" s="34"/>
      <c r="J35" s="212"/>
    </row>
    <row r="36" spans="1:12" x14ac:dyDescent="0.25">
      <c r="D36" s="211"/>
      <c r="F36" s="34"/>
      <c r="J36" s="212"/>
    </row>
    <row r="37" spans="1:12" x14ac:dyDescent="0.25">
      <c r="A37" s="10" t="s">
        <v>115</v>
      </c>
      <c r="D37" s="211"/>
      <c r="F37" s="34"/>
      <c r="J37" s="212"/>
    </row>
    <row r="38" spans="1:12" x14ac:dyDescent="0.25">
      <c r="D38" s="211"/>
      <c r="F38" s="34"/>
      <c r="J38" s="212"/>
    </row>
    <row r="39" spans="1:12" x14ac:dyDescent="0.25">
      <c r="B39" s="5" t="s">
        <v>116</v>
      </c>
      <c r="C39" s="213">
        <f>C34</f>
        <v>0.57444247825791606</v>
      </c>
      <c r="E39" s="213">
        <f>E34</f>
        <v>0.50166223082037031</v>
      </c>
      <c r="F39" s="36"/>
      <c r="G39" s="213">
        <f>G34</f>
        <v>0.62960287709329743</v>
      </c>
      <c r="J39" s="176" t="s">
        <v>290</v>
      </c>
      <c r="L39" s="36"/>
    </row>
    <row r="40" spans="1:12" x14ac:dyDescent="0.25">
      <c r="B40" s="5" t="s">
        <v>15</v>
      </c>
      <c r="C40" s="213">
        <f>C34-C30</f>
        <v>0.50461147811189044</v>
      </c>
      <c r="E40" s="213">
        <f>E34-E30</f>
        <v>0.42055949150032779</v>
      </c>
      <c r="F40" s="36"/>
      <c r="G40" s="213">
        <f>G34-G30</f>
        <v>0.51091494531392723</v>
      </c>
      <c r="J40" s="176" t="s">
        <v>291</v>
      </c>
      <c r="L40" s="36"/>
    </row>
    <row r="41" spans="1:12" x14ac:dyDescent="0.25">
      <c r="B41" s="5" t="s">
        <v>229</v>
      </c>
      <c r="C41" s="213">
        <f>C34-C27</f>
        <v>0.50359295710161189</v>
      </c>
      <c r="E41" s="213">
        <f>E34-E27</f>
        <v>0.4201247651837951</v>
      </c>
      <c r="F41" s="36"/>
      <c r="G41" s="213">
        <f>G34-G27</f>
        <v>0.51164627443798005</v>
      </c>
      <c r="J41" s="176" t="s">
        <v>292</v>
      </c>
      <c r="L41" s="36"/>
    </row>
    <row r="42" spans="1:12" x14ac:dyDescent="0.25">
      <c r="H42" s="36"/>
    </row>
    <row r="44" spans="1:12" x14ac:dyDescent="0.25">
      <c r="A44" s="25" t="s">
        <v>325</v>
      </c>
    </row>
    <row r="45" spans="1:12" ht="12.75" customHeight="1" x14ac:dyDescent="0.25">
      <c r="A45" s="176" t="s">
        <v>564</v>
      </c>
      <c r="B45" s="4" t="s">
        <v>445</v>
      </c>
    </row>
    <row r="46" spans="1:12" ht="12.75" customHeight="1" x14ac:dyDescent="0.25">
      <c r="A46" s="176" t="s">
        <v>565</v>
      </c>
      <c r="B46" s="4" t="s">
        <v>441</v>
      </c>
    </row>
    <row r="47" spans="1:12" ht="12.75" customHeight="1" x14ac:dyDescent="0.25">
      <c r="A47" s="176" t="s">
        <v>566</v>
      </c>
      <c r="B47" s="4" t="s">
        <v>471</v>
      </c>
    </row>
    <row r="48" spans="1:12" ht="12.75" customHeight="1" x14ac:dyDescent="0.25">
      <c r="A48" s="176" t="s">
        <v>567</v>
      </c>
      <c r="B48" s="4" t="s">
        <v>441</v>
      </c>
    </row>
    <row r="49" spans="1:2" ht="12.75" customHeight="1" x14ac:dyDescent="0.25">
      <c r="A49" s="176" t="s">
        <v>568</v>
      </c>
      <c r="B49" s="4" t="s">
        <v>442</v>
      </c>
    </row>
    <row r="50" spans="1:2" ht="12.75" customHeight="1" x14ac:dyDescent="0.25">
      <c r="A50" s="176" t="s">
        <v>569</v>
      </c>
      <c r="B50" s="4" t="s">
        <v>441</v>
      </c>
    </row>
    <row r="51" spans="1:2" ht="12.75" customHeight="1" x14ac:dyDescent="0.25">
      <c r="A51" s="176" t="s">
        <v>570</v>
      </c>
      <c r="B51" s="4" t="s">
        <v>446</v>
      </c>
    </row>
    <row r="52" spans="1:2" ht="12.75" customHeight="1" x14ac:dyDescent="0.25">
      <c r="A52" s="176" t="s">
        <v>571</v>
      </c>
      <c r="B52" s="4" t="s">
        <v>447</v>
      </c>
    </row>
    <row r="53" spans="1:2" ht="12.75" customHeight="1" x14ac:dyDescent="0.25">
      <c r="A53" s="176" t="s">
        <v>572</v>
      </c>
      <c r="B53" s="4" t="s">
        <v>197</v>
      </c>
    </row>
    <row r="54" spans="1:2" ht="12.75" customHeight="1" x14ac:dyDescent="0.25">
      <c r="A54" s="176" t="s">
        <v>573</v>
      </c>
      <c r="B54" s="4" t="s">
        <v>198</v>
      </c>
    </row>
    <row r="55" spans="1:2" ht="12.75" customHeight="1" x14ac:dyDescent="0.25">
      <c r="A55" s="176" t="s">
        <v>574</v>
      </c>
      <c r="B55" s="4" t="s">
        <v>199</v>
      </c>
    </row>
    <row r="56" spans="1:2" x14ac:dyDescent="0.25">
      <c r="A56" s="176" t="s">
        <v>575</v>
      </c>
      <c r="B56" s="4" t="s">
        <v>200</v>
      </c>
    </row>
  </sheetData>
  <phoneticPr fontId="13" type="noConversion"/>
  <printOptions horizontalCentered="1"/>
  <pageMargins left="0.75" right="0.75" top="1" bottom="1" header="0.5" footer="0.5"/>
  <pageSetup scale="88" orientation="portrait" r:id="rId1"/>
  <headerFooter alignWithMargins="0">
    <oddHeader>&amp;RPage 2 of 42</oddHeader>
    <oddFooter>&amp;R&amp;F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I45"/>
  <sheetViews>
    <sheetView zoomScale="75" workbookViewId="0">
      <selection activeCell="O15" sqref="O15"/>
    </sheetView>
  </sheetViews>
  <sheetFormatPr defaultColWidth="9.33203125" defaultRowHeight="13.2" x14ac:dyDescent="0.25"/>
  <cols>
    <col min="1" max="1" width="4.6640625" style="5" customWidth="1"/>
    <col min="2" max="2" width="20.6640625" style="5" customWidth="1"/>
    <col min="3" max="3" width="15.6640625" style="5" customWidth="1"/>
    <col min="4" max="4" width="3.6640625" style="5" customWidth="1"/>
    <col min="5" max="5" width="15.6640625" style="5" customWidth="1"/>
    <col min="6" max="6" width="2.6640625" style="5" customWidth="1"/>
    <col min="7" max="7" width="15.6640625" style="5" customWidth="1"/>
    <col min="8" max="9" width="3.6640625" style="5" customWidth="1"/>
    <col min="10" max="16384" width="9.33203125" style="5"/>
  </cols>
  <sheetData>
    <row r="1" spans="1:9" ht="17.399999999999999" x14ac:dyDescent="0.3">
      <c r="A1" s="167" t="s">
        <v>604</v>
      </c>
      <c r="B1" s="32"/>
      <c r="C1" s="32"/>
      <c r="D1" s="32"/>
      <c r="E1" s="32"/>
      <c r="F1" s="32"/>
    </row>
    <row r="2" spans="1:9" ht="15.6" x14ac:dyDescent="0.3">
      <c r="B2" s="39"/>
    </row>
    <row r="3" spans="1:9" ht="15.6" x14ac:dyDescent="0.3">
      <c r="B3" s="39"/>
    </row>
    <row r="4" spans="1:9" ht="13.8" x14ac:dyDescent="0.25">
      <c r="A4" s="40" t="s">
        <v>129</v>
      </c>
    </row>
    <row r="5" spans="1:9" ht="15.6" x14ac:dyDescent="0.3">
      <c r="B5" s="39"/>
    </row>
    <row r="6" spans="1:9" x14ac:dyDescent="0.25">
      <c r="B6" s="10"/>
      <c r="C6" s="207" t="s">
        <v>279</v>
      </c>
      <c r="E6" s="207" t="s">
        <v>280</v>
      </c>
      <c r="G6" s="207" t="s">
        <v>552</v>
      </c>
    </row>
    <row r="7" spans="1:9" x14ac:dyDescent="0.25">
      <c r="B7" s="42"/>
      <c r="C7" s="43"/>
      <c r="E7" s="43"/>
      <c r="G7" s="43"/>
    </row>
    <row r="8" spans="1:9" x14ac:dyDescent="0.25">
      <c r="B8" s="168" t="s">
        <v>130</v>
      </c>
      <c r="C8" s="43">
        <f>'Trans Costs'!$I$45</f>
        <v>162765.90701688325</v>
      </c>
      <c r="D8" s="30"/>
      <c r="E8" s="43">
        <f>'Trans Costs'!$L$45</f>
        <v>104237.72547757758</v>
      </c>
      <c r="G8" s="43">
        <f>'Trans Costs'!$O$45</f>
        <v>1161.6935080825169</v>
      </c>
      <c r="I8" s="181" t="s">
        <v>36</v>
      </c>
    </row>
    <row r="9" spans="1:9" x14ac:dyDescent="0.25">
      <c r="B9" s="168" t="s">
        <v>231</v>
      </c>
      <c r="C9" s="44">
        <f>'Trans Costs'!$G$45</f>
        <v>1998.3001006850177</v>
      </c>
      <c r="D9" s="30"/>
      <c r="E9" s="44">
        <f>'Trans Costs'!$J$45</f>
        <v>1404.3952593825195</v>
      </c>
      <c r="G9" s="44">
        <f>'Trans Costs'!$M$45</f>
        <v>11.551304697000871</v>
      </c>
      <c r="I9" s="181" t="s">
        <v>37</v>
      </c>
    </row>
    <row r="10" spans="1:9" x14ac:dyDescent="0.25">
      <c r="B10" s="168" t="s">
        <v>22</v>
      </c>
      <c r="C10" s="166">
        <f>'Trans Costs'!$H$45</f>
        <v>137232.22989744539</v>
      </c>
      <c r="D10" s="30"/>
      <c r="E10" s="166">
        <f>'Trans Costs'!$K$45</f>
        <v>116170.24548837566</v>
      </c>
      <c r="G10" s="166">
        <f>'Trans Costs'!$N$45</f>
        <v>646.97975816984831</v>
      </c>
      <c r="I10" s="181" t="s">
        <v>38</v>
      </c>
    </row>
    <row r="11" spans="1:9" ht="13.5" customHeight="1" x14ac:dyDescent="0.25">
      <c r="B11" s="105" t="s">
        <v>26</v>
      </c>
      <c r="C11" s="44">
        <f>SUM(C8:C10)</f>
        <v>301996.43701501365</v>
      </c>
      <c r="D11" s="30"/>
      <c r="E11" s="44">
        <f>SUM(E8:E10)</f>
        <v>221812.36622533575</v>
      </c>
      <c r="G11" s="44">
        <f>SUM(G8:G10)</f>
        <v>1820.2245709493661</v>
      </c>
      <c r="I11" s="182" t="s">
        <v>39</v>
      </c>
    </row>
    <row r="12" spans="1:9" ht="13.5" customHeight="1" x14ac:dyDescent="0.25">
      <c r="C12" s="43"/>
      <c r="D12" s="30"/>
      <c r="E12" s="43"/>
      <c r="G12" s="43"/>
      <c r="I12" s="181"/>
    </row>
    <row r="13" spans="1:9" ht="13.5" customHeight="1" x14ac:dyDescent="0.25">
      <c r="A13" s="40" t="s">
        <v>262</v>
      </c>
      <c r="C13" s="103"/>
      <c r="D13" s="41"/>
      <c r="E13" s="103"/>
      <c r="G13" s="103"/>
      <c r="I13" s="193"/>
    </row>
    <row r="14" spans="1:9" ht="13.5" customHeight="1" x14ac:dyDescent="0.25">
      <c r="A14" s="40"/>
      <c r="C14" s="103"/>
      <c r="D14" s="41"/>
      <c r="E14" s="103"/>
      <c r="G14" s="103"/>
      <c r="I14" s="193"/>
    </row>
    <row r="15" spans="1:9" ht="13.5" customHeight="1" x14ac:dyDescent="0.25">
      <c r="B15" s="105" t="s">
        <v>227</v>
      </c>
      <c r="C15" s="45">
        <f>'CS Data By Shape'!$B$6</f>
        <v>43936997.941</v>
      </c>
      <c r="E15" s="45">
        <f>'CS Data By Shape'!$C$6</f>
        <v>12275007.356000001</v>
      </c>
      <c r="G15" s="45">
        <f>'CS Data By Shape'!$D$6</f>
        <v>11706.037</v>
      </c>
      <c r="I15" s="182" t="s">
        <v>40</v>
      </c>
    </row>
    <row r="16" spans="1:9" ht="13.5" customHeight="1" x14ac:dyDescent="0.25">
      <c r="B16" s="105" t="s">
        <v>24</v>
      </c>
      <c r="C16" s="45">
        <f>'CS Data By Shape'!$B$7</f>
        <v>2023843.9809999999</v>
      </c>
      <c r="D16" s="30"/>
      <c r="E16" s="45">
        <f>'CS Data By Shape'!$C$7</f>
        <v>1966890.6850000001</v>
      </c>
      <c r="G16" s="45">
        <f>'CS Data By Shape'!$D$7</f>
        <v>4941.2060000000001</v>
      </c>
      <c r="I16" s="176" t="s">
        <v>41</v>
      </c>
    </row>
    <row r="17" spans="1:9" ht="13.5" customHeight="1" x14ac:dyDescent="0.25">
      <c r="B17" s="105" t="s">
        <v>287</v>
      </c>
      <c r="C17" s="164">
        <f>C15/C16</f>
        <v>21.709676414527923</v>
      </c>
      <c r="D17" s="30"/>
      <c r="E17" s="164">
        <f>E15/E16</f>
        <v>6.2408182872654159</v>
      </c>
      <c r="G17" s="164">
        <f>G15/G16</f>
        <v>2.3690647586844182</v>
      </c>
      <c r="I17" s="194" t="s">
        <v>42</v>
      </c>
    </row>
    <row r="18" spans="1:9" x14ac:dyDescent="0.25">
      <c r="C18" s="103"/>
      <c r="D18" s="30"/>
      <c r="E18" s="103"/>
      <c r="G18" s="103"/>
      <c r="I18" s="193"/>
    </row>
    <row r="19" spans="1:9" ht="25.5" customHeight="1" x14ac:dyDescent="0.25">
      <c r="A19" s="40" t="s">
        <v>288</v>
      </c>
      <c r="C19" s="165">
        <f>C11/C16</f>
        <v>0.14921922828547013</v>
      </c>
      <c r="D19" s="30"/>
      <c r="E19" s="165">
        <f>E11/E16</f>
        <v>0.11277310321154718</v>
      </c>
      <c r="G19" s="165">
        <f>G11/G16</f>
        <v>0.36837658072732976</v>
      </c>
      <c r="I19" s="176" t="s">
        <v>216</v>
      </c>
    </row>
    <row r="20" spans="1:9" x14ac:dyDescent="0.25">
      <c r="C20" s="30"/>
      <c r="D20" s="30"/>
    </row>
    <row r="21" spans="1:9" ht="12.75" customHeight="1" x14ac:dyDescent="0.25">
      <c r="A21" s="25" t="s">
        <v>325</v>
      </c>
    </row>
    <row r="22" spans="1:9" x14ac:dyDescent="0.25">
      <c r="A22" s="181" t="s">
        <v>564</v>
      </c>
      <c r="B22" s="4" t="s">
        <v>444</v>
      </c>
      <c r="C22" s="30"/>
      <c r="D22" s="30"/>
      <c r="E22" s="214"/>
      <c r="F22" s="214"/>
      <c r="G22" s="214"/>
    </row>
    <row r="23" spans="1:9" x14ac:dyDescent="0.25">
      <c r="A23" s="181" t="s">
        <v>565</v>
      </c>
      <c r="B23" s="4" t="s">
        <v>444</v>
      </c>
      <c r="C23" s="30"/>
      <c r="D23" s="30"/>
      <c r="E23" s="214"/>
      <c r="F23" s="214"/>
      <c r="G23" s="214"/>
    </row>
    <row r="24" spans="1:9" x14ac:dyDescent="0.25">
      <c r="A24" s="181" t="s">
        <v>566</v>
      </c>
      <c r="B24" s="4" t="s">
        <v>444</v>
      </c>
      <c r="C24" s="30"/>
      <c r="D24" s="30"/>
      <c r="E24" s="214"/>
      <c r="F24" s="214"/>
      <c r="G24" s="214"/>
    </row>
    <row r="25" spans="1:9" x14ac:dyDescent="0.25">
      <c r="A25" s="182" t="s">
        <v>567</v>
      </c>
      <c r="B25" s="4" t="s">
        <v>201</v>
      </c>
      <c r="C25" s="30"/>
      <c r="D25" s="30"/>
    </row>
    <row r="26" spans="1:9" x14ac:dyDescent="0.25">
      <c r="A26" s="182" t="s">
        <v>568</v>
      </c>
      <c r="B26" s="4" t="s">
        <v>443</v>
      </c>
      <c r="C26" s="30"/>
      <c r="D26" s="30"/>
    </row>
    <row r="27" spans="1:9" x14ac:dyDescent="0.25">
      <c r="A27" s="176" t="s">
        <v>569</v>
      </c>
      <c r="B27" s="4" t="s">
        <v>443</v>
      </c>
      <c r="C27" s="30"/>
      <c r="D27" s="30"/>
    </row>
    <row r="28" spans="1:9" x14ac:dyDescent="0.25">
      <c r="A28" s="183" t="s">
        <v>570</v>
      </c>
      <c r="B28" s="4" t="s">
        <v>202</v>
      </c>
      <c r="C28" s="30"/>
      <c r="D28" s="30"/>
    </row>
    <row r="29" spans="1:9" x14ac:dyDescent="0.25">
      <c r="A29" s="183" t="s">
        <v>571</v>
      </c>
      <c r="B29" s="4" t="s">
        <v>217</v>
      </c>
      <c r="C29" s="30"/>
      <c r="D29" s="30"/>
    </row>
    <row r="30" spans="1:9" x14ac:dyDescent="0.25">
      <c r="A30" s="49"/>
      <c r="C30" s="30"/>
      <c r="D30" s="30"/>
    </row>
    <row r="31" spans="1:9" x14ac:dyDescent="0.25">
      <c r="A31" s="50"/>
      <c r="C31" s="30"/>
      <c r="D31" s="30"/>
    </row>
    <row r="32" spans="1:9" x14ac:dyDescent="0.25">
      <c r="A32" s="50"/>
      <c r="C32" s="30"/>
      <c r="D32" s="30"/>
    </row>
    <row r="33" spans="1:4" x14ac:dyDescent="0.25">
      <c r="A33" s="51"/>
      <c r="B33" s="48"/>
      <c r="C33" s="30"/>
      <c r="D33" s="30"/>
    </row>
    <row r="34" spans="1:4" x14ac:dyDescent="0.25">
      <c r="A34" s="51"/>
      <c r="B34" s="48"/>
      <c r="C34" s="30"/>
      <c r="D34" s="30"/>
    </row>
    <row r="35" spans="1:4" x14ac:dyDescent="0.25">
      <c r="A35" s="51"/>
      <c r="B35" s="48"/>
      <c r="C35" s="30"/>
      <c r="D35" s="30"/>
    </row>
    <row r="36" spans="1:4" x14ac:dyDescent="0.25">
      <c r="A36" s="51"/>
      <c r="B36" s="48"/>
      <c r="C36" s="30"/>
      <c r="D36" s="30"/>
    </row>
    <row r="37" spans="1:4" x14ac:dyDescent="0.25">
      <c r="A37" s="51"/>
      <c r="B37" s="48"/>
      <c r="C37" s="30"/>
      <c r="D37" s="30"/>
    </row>
    <row r="38" spans="1:4" x14ac:dyDescent="0.25">
      <c r="A38" s="51"/>
      <c r="B38" s="48"/>
      <c r="C38" s="30"/>
      <c r="D38" s="30"/>
    </row>
    <row r="39" spans="1:4" x14ac:dyDescent="0.25">
      <c r="A39" s="51"/>
      <c r="B39" s="48"/>
      <c r="C39" s="30"/>
      <c r="D39" s="30"/>
    </row>
    <row r="40" spans="1:4" x14ac:dyDescent="0.25">
      <c r="A40" s="48"/>
      <c r="B40" s="48"/>
      <c r="C40" s="30"/>
      <c r="D40" s="30"/>
    </row>
    <row r="41" spans="1:4" x14ac:dyDescent="0.25">
      <c r="A41" s="48"/>
      <c r="B41" s="48"/>
      <c r="C41" s="30"/>
      <c r="D41" s="30"/>
    </row>
    <row r="42" spans="1:4" x14ac:dyDescent="0.25">
      <c r="A42" s="48"/>
      <c r="B42" s="48"/>
      <c r="C42" s="30"/>
      <c r="D42" s="30"/>
    </row>
    <row r="43" spans="1:4" x14ac:dyDescent="0.25">
      <c r="A43" s="48"/>
      <c r="B43" s="48"/>
      <c r="C43" s="30"/>
      <c r="D43" s="30"/>
    </row>
    <row r="44" spans="1:4" x14ac:dyDescent="0.25">
      <c r="A44" s="48"/>
      <c r="B44" s="48"/>
      <c r="C44" s="30"/>
      <c r="D44" s="30"/>
    </row>
    <row r="45" spans="1:4" x14ac:dyDescent="0.25">
      <c r="A45" s="48"/>
      <c r="B45" s="48"/>
    </row>
  </sheetData>
  <phoneticPr fontId="13" type="noConversion"/>
  <printOptions horizontalCentered="1"/>
  <pageMargins left="0.75" right="0.75" top="1" bottom="1" header="0.5" footer="0.5"/>
  <pageSetup scale="95" orientation="portrait" r:id="rId1"/>
  <headerFooter alignWithMargins="0">
    <oddHeader>&amp;RPage 3 of 42</oddHeader>
    <oddFooter>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9"/>
  <sheetViews>
    <sheetView zoomScale="75" workbookViewId="0"/>
  </sheetViews>
  <sheetFormatPr defaultColWidth="9.33203125" defaultRowHeight="13.2" x14ac:dyDescent="0.25"/>
  <cols>
    <col min="1" max="1" width="20.6640625" style="4" customWidth="1"/>
    <col min="2" max="2" width="16.33203125" style="5" customWidth="1"/>
    <col min="3" max="3" width="14.44140625" style="5" customWidth="1"/>
    <col min="4" max="4" width="14.33203125" style="5" customWidth="1"/>
    <col min="5" max="16384" width="9.33203125" style="5"/>
  </cols>
  <sheetData>
    <row r="1" spans="1:9" ht="15.6" x14ac:dyDescent="0.3">
      <c r="A1" s="180" t="s">
        <v>605</v>
      </c>
    </row>
    <row r="2" spans="1:9" x14ac:dyDescent="0.25">
      <c r="A2" s="5"/>
      <c r="B2" s="32"/>
      <c r="C2" s="32"/>
      <c r="D2" s="32"/>
      <c r="E2" s="32"/>
      <c r="F2" s="449"/>
      <c r="G2" s="449"/>
      <c r="H2" s="449"/>
      <c r="I2" s="449"/>
    </row>
    <row r="3" spans="1:9" x14ac:dyDescent="0.25">
      <c r="A3" s="203"/>
      <c r="B3" s="32"/>
      <c r="C3" s="32"/>
      <c r="D3" s="32"/>
      <c r="E3" s="32"/>
      <c r="F3" s="6"/>
      <c r="G3" s="6"/>
      <c r="H3" s="6"/>
      <c r="I3" s="6"/>
    </row>
    <row r="5" spans="1:9" x14ac:dyDescent="0.25">
      <c r="B5" s="24" t="s">
        <v>133</v>
      </c>
      <c r="C5" s="24" t="s">
        <v>117</v>
      </c>
      <c r="D5" s="24" t="s">
        <v>118</v>
      </c>
    </row>
    <row r="6" spans="1:9" x14ac:dyDescent="0.25">
      <c r="B6" s="47"/>
      <c r="C6" s="68"/>
    </row>
    <row r="7" spans="1:9" x14ac:dyDescent="0.25">
      <c r="A7" s="24" t="s">
        <v>279</v>
      </c>
      <c r="B7" s="47"/>
      <c r="C7" s="68"/>
    </row>
    <row r="8" spans="1:9" ht="39.6" x14ac:dyDescent="0.25">
      <c r="A8" s="215" t="s">
        <v>131</v>
      </c>
      <c r="B8" s="216" t="s">
        <v>134</v>
      </c>
      <c r="C8" s="217" t="s">
        <v>135</v>
      </c>
      <c r="D8" s="218" t="s">
        <v>136</v>
      </c>
    </row>
    <row r="9" spans="1:9" x14ac:dyDescent="0.25">
      <c r="A9" s="219" t="s">
        <v>130</v>
      </c>
      <c r="B9" s="220">
        <f>'Flow Pounds'!$C$9</f>
        <v>223839.2995580759</v>
      </c>
      <c r="C9" s="221">
        <f>'Trans Costs'!$I$45</f>
        <v>162765.90701688325</v>
      </c>
      <c r="D9" s="222">
        <f>C9/B9</f>
        <v>0.72715518382263822</v>
      </c>
    </row>
    <row r="10" spans="1:9" x14ac:dyDescent="0.25">
      <c r="A10" s="219" t="s">
        <v>231</v>
      </c>
      <c r="B10" s="223">
        <f>'Flow Pounds'!$C$8</f>
        <v>622287.97038138262</v>
      </c>
      <c r="C10" s="221">
        <f>'Trans Costs'!$G$45</f>
        <v>1998.3001006850177</v>
      </c>
      <c r="D10" s="222">
        <f>C10/B10</f>
        <v>3.2112144148637748E-3</v>
      </c>
    </row>
    <row r="11" spans="1:9" x14ac:dyDescent="0.25">
      <c r="A11" s="224" t="s">
        <v>22</v>
      </c>
      <c r="B11" s="223">
        <f>'Flow Pounds'!$C$7</f>
        <v>1965204.9893381908</v>
      </c>
      <c r="C11" s="221">
        <f>'Trans Costs'!$H$45</f>
        <v>137232.22989744539</v>
      </c>
      <c r="D11" s="222">
        <f>C11/B11</f>
        <v>6.9831000146025571E-2</v>
      </c>
    </row>
    <row r="12" spans="1:9" x14ac:dyDescent="0.25">
      <c r="B12" s="47"/>
      <c r="C12" s="68"/>
    </row>
    <row r="13" spans="1:9" x14ac:dyDescent="0.25">
      <c r="A13" s="24" t="s">
        <v>280</v>
      </c>
      <c r="B13" s="47"/>
      <c r="C13" s="68"/>
    </row>
    <row r="14" spans="1:9" ht="39.6" x14ac:dyDescent="0.25">
      <c r="A14" s="215" t="s">
        <v>131</v>
      </c>
      <c r="B14" s="216" t="s">
        <v>134</v>
      </c>
      <c r="C14" s="217" t="s">
        <v>135</v>
      </c>
      <c r="D14" s="218" t="s">
        <v>136</v>
      </c>
    </row>
    <row r="15" spans="1:9" x14ac:dyDescent="0.25">
      <c r="A15" s="219" t="s">
        <v>130</v>
      </c>
      <c r="B15" s="220">
        <f>'Flow Pounds'!$C$14</f>
        <v>172216.94832165213</v>
      </c>
      <c r="C15" s="221">
        <f>'Trans Costs'!$L$45</f>
        <v>104237.72547757758</v>
      </c>
      <c r="D15" s="222">
        <f>C15/B15</f>
        <v>0.60526984419031304</v>
      </c>
    </row>
    <row r="16" spans="1:9" x14ac:dyDescent="0.25">
      <c r="A16" s="219" t="s">
        <v>231</v>
      </c>
      <c r="B16" s="223">
        <f>'Flow Pounds'!$C$13</f>
        <v>471059.80889742885</v>
      </c>
      <c r="C16" s="221">
        <f>'Trans Costs'!$J$45</f>
        <v>1404.3952593825195</v>
      </c>
      <c r="D16" s="222">
        <f>C16/B16</f>
        <v>2.981352331182048E-3</v>
      </c>
    </row>
    <row r="17" spans="1:4" x14ac:dyDescent="0.25">
      <c r="A17" s="224" t="s">
        <v>22</v>
      </c>
      <c r="B17" s="223">
        <f>'Flow Pounds'!$C$12</f>
        <v>1432383.7451402473</v>
      </c>
      <c r="C17" s="221">
        <f>'Trans Costs'!$K$45</f>
        <v>116170.24548837566</v>
      </c>
      <c r="D17" s="222">
        <f>C17/B17</f>
        <v>8.11027393200425E-2</v>
      </c>
    </row>
    <row r="18" spans="1:4" x14ac:dyDescent="0.25">
      <c r="B18" s="47"/>
      <c r="C18" s="68"/>
    </row>
    <row r="19" spans="1:4" x14ac:dyDescent="0.25">
      <c r="A19" s="24" t="s">
        <v>552</v>
      </c>
      <c r="B19" s="47"/>
      <c r="C19" s="68"/>
    </row>
    <row r="20" spans="1:4" ht="39.6" x14ac:dyDescent="0.25">
      <c r="A20" s="215" t="s">
        <v>131</v>
      </c>
      <c r="B20" s="216" t="s">
        <v>134</v>
      </c>
      <c r="C20" s="217" t="s">
        <v>135</v>
      </c>
      <c r="D20" s="218" t="s">
        <v>136</v>
      </c>
    </row>
    <row r="21" spans="1:4" x14ac:dyDescent="0.25">
      <c r="A21" s="219" t="s">
        <v>130</v>
      </c>
      <c r="B21" s="220">
        <f>'Flow Pounds'!$C$19</f>
        <v>1715.247486548056</v>
      </c>
      <c r="C21" s="221">
        <f>'Trans Costs'!$O$45</f>
        <v>1161.6935080825169</v>
      </c>
      <c r="D21" s="222">
        <f>C21/B21</f>
        <v>0.67727457244110634</v>
      </c>
    </row>
    <row r="22" spans="1:4" x14ac:dyDescent="0.25">
      <c r="A22" s="219" t="s">
        <v>231</v>
      </c>
      <c r="B22" s="223">
        <f>'Flow Pounds'!$C$18</f>
        <v>3856.2553588251058</v>
      </c>
      <c r="C22" s="221">
        <f>'Trans Costs'!$M$45</f>
        <v>11.551304697000871</v>
      </c>
      <c r="D22" s="222">
        <f>C22/B22</f>
        <v>2.9954719338192983E-3</v>
      </c>
    </row>
    <row r="23" spans="1:4" x14ac:dyDescent="0.25">
      <c r="A23" s="224" t="s">
        <v>22</v>
      </c>
      <c r="B23" s="223">
        <f>'Flow Pounds'!$C$17</f>
        <v>5451.099774596486</v>
      </c>
      <c r="C23" s="221">
        <f>'Trans Costs'!$N$45</f>
        <v>646.97975816984831</v>
      </c>
      <c r="D23" s="222">
        <f>C23/B23</f>
        <v>0.11868793177937026</v>
      </c>
    </row>
    <row r="24" spans="1:4" x14ac:dyDescent="0.25">
      <c r="B24" s="47"/>
      <c r="C24" s="68"/>
    </row>
    <row r="25" spans="1:4" x14ac:dyDescent="0.25">
      <c r="B25" s="47"/>
      <c r="C25" s="68"/>
    </row>
    <row r="26" spans="1:4" x14ac:dyDescent="0.25">
      <c r="A26" s="25" t="s">
        <v>325</v>
      </c>
      <c r="B26" s="47"/>
      <c r="C26" s="68"/>
    </row>
    <row r="27" spans="1:4" x14ac:dyDescent="0.25">
      <c r="A27" s="192" t="s">
        <v>467</v>
      </c>
    </row>
    <row r="28" spans="1:4" x14ac:dyDescent="0.25">
      <c r="A28" s="192" t="s">
        <v>468</v>
      </c>
    </row>
    <row r="29" spans="1:4" x14ac:dyDescent="0.25">
      <c r="A29" s="4" t="s">
        <v>469</v>
      </c>
    </row>
  </sheetData>
  <mergeCells count="1">
    <mergeCell ref="F2:I2"/>
  </mergeCells>
  <phoneticPr fontId="13" type="noConversion"/>
  <printOptions horizontalCentered="1"/>
  <pageMargins left="0.75" right="0.75" top="1" bottom="1" header="0.5" footer="0.5"/>
  <pageSetup scale="81" orientation="portrait" r:id="rId1"/>
  <headerFooter alignWithMargins="0">
    <oddHeader>&amp;RPage 4 of 42</oddHeader>
    <oddFooter>&amp;R&amp;F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D42"/>
  <sheetViews>
    <sheetView zoomScale="75" workbookViewId="0"/>
  </sheetViews>
  <sheetFormatPr defaultColWidth="9.33203125" defaultRowHeight="13.2" x14ac:dyDescent="0.25"/>
  <cols>
    <col min="1" max="1" width="9.33203125" style="5"/>
    <col min="2" max="2" width="18" style="5" customWidth="1"/>
    <col min="3" max="3" width="26.6640625" style="5" customWidth="1"/>
    <col min="4" max="4" width="3.6640625" style="5" customWidth="1"/>
    <col min="5" max="16384" width="9.33203125" style="5"/>
  </cols>
  <sheetData>
    <row r="1" spans="1:4" ht="15.6" x14ac:dyDescent="0.3">
      <c r="A1" s="225" t="s">
        <v>606</v>
      </c>
      <c r="B1" s="32"/>
      <c r="C1" s="32"/>
      <c r="D1" s="32"/>
    </row>
    <row r="3" spans="1:4" x14ac:dyDescent="0.25">
      <c r="C3" s="226"/>
      <c r="D3" s="226"/>
    </row>
    <row r="4" spans="1:4" ht="13.8" x14ac:dyDescent="0.25">
      <c r="A4" s="40" t="s">
        <v>608</v>
      </c>
      <c r="B4" s="40"/>
      <c r="C4" s="226"/>
      <c r="D4" s="226"/>
    </row>
    <row r="5" spans="1:4" x14ac:dyDescent="0.25">
      <c r="A5" s="38"/>
      <c r="B5" s="227"/>
      <c r="C5" s="227"/>
      <c r="D5" s="228"/>
    </row>
    <row r="6" spans="1:4" ht="37.5" customHeight="1" x14ac:dyDescent="0.25">
      <c r="B6" s="215" t="s">
        <v>131</v>
      </c>
      <c r="C6" s="217" t="s">
        <v>132</v>
      </c>
    </row>
    <row r="7" spans="1:4" x14ac:dyDescent="0.25">
      <c r="A7" s="171" t="s">
        <v>279</v>
      </c>
      <c r="B7" s="229" t="s">
        <v>22</v>
      </c>
      <c r="C7" s="223">
        <f>SUM('Handling Costs'!$J$12:$J$14,'Handling Costs'!$J$24)</f>
        <v>1965204.9893381908</v>
      </c>
      <c r="D7" s="24" t="s">
        <v>36</v>
      </c>
    </row>
    <row r="8" spans="1:4" x14ac:dyDescent="0.25">
      <c r="A8" s="42"/>
      <c r="B8" s="229" t="s">
        <v>231</v>
      </c>
      <c r="C8" s="223">
        <f>SUM('Handling Costs'!$J$15:$J$18,'Handling Costs'!$J$22:$J$23)</f>
        <v>622287.97038138262</v>
      </c>
      <c r="D8" s="24" t="s">
        <v>37</v>
      </c>
    </row>
    <row r="9" spans="1:4" x14ac:dyDescent="0.25">
      <c r="B9" s="230" t="s">
        <v>130</v>
      </c>
      <c r="C9" s="231">
        <f>SUM('Handling Costs'!$J$19:$J$21)</f>
        <v>223839.2995580759</v>
      </c>
      <c r="D9" s="24" t="s">
        <v>38</v>
      </c>
    </row>
    <row r="10" spans="1:4" x14ac:dyDescent="0.25">
      <c r="B10" s="232" t="s">
        <v>26</v>
      </c>
      <c r="C10" s="233">
        <f>SUM(C7:C9)</f>
        <v>2811332.2592776492</v>
      </c>
      <c r="D10" s="24" t="s">
        <v>39</v>
      </c>
    </row>
    <row r="11" spans="1:4" x14ac:dyDescent="0.25">
      <c r="B11" s="234"/>
      <c r="C11" s="233"/>
      <c r="D11" s="24"/>
    </row>
    <row r="12" spans="1:4" x14ac:dyDescent="0.25">
      <c r="A12" s="171" t="s">
        <v>280</v>
      </c>
      <c r="B12" s="229" t="s">
        <v>22</v>
      </c>
      <c r="C12" s="223">
        <f>SUM('Handling Costs'!$J$29:$J$31,'Handling Costs'!$J$41)</f>
        <v>1432383.7451402473</v>
      </c>
      <c r="D12" s="24" t="s">
        <v>36</v>
      </c>
    </row>
    <row r="13" spans="1:4" x14ac:dyDescent="0.25">
      <c r="B13" s="229" t="s">
        <v>231</v>
      </c>
      <c r="C13" s="223">
        <f>SUM('Handling Costs'!$J$32:$J$35,'Handling Costs'!$J$39:$J$40)</f>
        <v>471059.80889742885</v>
      </c>
      <c r="D13" s="24" t="s">
        <v>37</v>
      </c>
    </row>
    <row r="14" spans="1:4" x14ac:dyDescent="0.25">
      <c r="B14" s="230" t="s">
        <v>130</v>
      </c>
      <c r="C14" s="231">
        <f>SUM('Handling Costs'!$J$36:$J$38)</f>
        <v>172216.94832165213</v>
      </c>
      <c r="D14" s="24" t="s">
        <v>38</v>
      </c>
    </row>
    <row r="15" spans="1:4" x14ac:dyDescent="0.25">
      <c r="B15" s="232" t="s">
        <v>26</v>
      </c>
      <c r="C15" s="233">
        <f>SUM(C12:C14)</f>
        <v>2075660.5023593283</v>
      </c>
      <c r="D15" s="24" t="s">
        <v>39</v>
      </c>
    </row>
    <row r="16" spans="1:4" x14ac:dyDescent="0.25">
      <c r="B16" s="234"/>
      <c r="C16" s="233"/>
      <c r="D16" s="24"/>
    </row>
    <row r="17" spans="1:4" x14ac:dyDescent="0.25">
      <c r="A17" s="171" t="s">
        <v>552</v>
      </c>
      <c r="B17" s="229" t="s">
        <v>22</v>
      </c>
      <c r="C17" s="223">
        <f>SUM('Handling Costs'!$J$47:$J$49,'Handling Costs'!$J$59)</f>
        <v>5451.099774596486</v>
      </c>
      <c r="D17" s="24" t="s">
        <v>36</v>
      </c>
    </row>
    <row r="18" spans="1:4" x14ac:dyDescent="0.25">
      <c r="B18" s="229" t="s">
        <v>231</v>
      </c>
      <c r="C18" s="223">
        <f>SUM('Handling Costs'!$J$50:$J$53,'Handling Costs'!$J$57:$J$58)</f>
        <v>3856.2553588251058</v>
      </c>
      <c r="D18" s="24" t="s">
        <v>37</v>
      </c>
    </row>
    <row r="19" spans="1:4" x14ac:dyDescent="0.25">
      <c r="B19" s="230" t="s">
        <v>130</v>
      </c>
      <c r="C19" s="231">
        <f>SUM('Handling Costs'!$J$54:$J$56)</f>
        <v>1715.247486548056</v>
      </c>
      <c r="D19" s="24" t="s">
        <v>38</v>
      </c>
    </row>
    <row r="20" spans="1:4" x14ac:dyDescent="0.25">
      <c r="B20" s="232" t="s">
        <v>26</v>
      </c>
      <c r="C20" s="233">
        <f>SUM(C17:C19)</f>
        <v>11022.602619969648</v>
      </c>
      <c r="D20" s="24" t="s">
        <v>39</v>
      </c>
    </row>
    <row r="23" spans="1:4" x14ac:dyDescent="0.25">
      <c r="A23" s="25" t="s">
        <v>325</v>
      </c>
    </row>
    <row r="24" spans="1:4" x14ac:dyDescent="0.25">
      <c r="A24" s="4" t="s">
        <v>463</v>
      </c>
    </row>
    <row r="25" spans="1:4" x14ac:dyDescent="0.25">
      <c r="A25" s="4" t="s">
        <v>464</v>
      </c>
    </row>
    <row r="26" spans="1:4" x14ac:dyDescent="0.25">
      <c r="A26" s="4" t="s">
        <v>465</v>
      </c>
    </row>
    <row r="27" spans="1:4" x14ac:dyDescent="0.25">
      <c r="A27" s="4" t="s">
        <v>466</v>
      </c>
    </row>
    <row r="29" spans="1:4" x14ac:dyDescent="0.25">
      <c r="A29"/>
    </row>
    <row r="30" spans="1:4" x14ac:dyDescent="0.25">
      <c r="A30"/>
    </row>
    <row r="31" spans="1:4" x14ac:dyDescent="0.25">
      <c r="A31"/>
    </row>
    <row r="32" spans="1:4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</sheetData>
  <phoneticPr fontId="13" type="noConversion"/>
  <printOptions horizontalCentered="1"/>
  <pageMargins left="0.75" right="0.75" top="1" bottom="1" header="0.5" footer="0.5"/>
  <pageSetup scale="88" orientation="portrait" r:id="rId1"/>
  <headerFooter alignWithMargins="0">
    <oddHeader>&amp;RPage 5 of 42</oddHeader>
    <oddFooter>&amp;R&amp;F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O76"/>
  <sheetViews>
    <sheetView zoomScale="75" workbookViewId="0">
      <selection activeCell="E24" sqref="E24"/>
    </sheetView>
  </sheetViews>
  <sheetFormatPr defaultColWidth="9.33203125" defaultRowHeight="13.2" x14ac:dyDescent="0.25"/>
  <cols>
    <col min="1" max="1" width="5.6640625" style="38" customWidth="1"/>
    <col min="2" max="2" width="32" style="38" customWidth="1"/>
    <col min="3" max="5" width="10.6640625" style="38" customWidth="1"/>
    <col min="6" max="6" width="4.5546875" style="38" customWidth="1"/>
    <col min="7" max="15" width="10.6640625" style="38" customWidth="1"/>
    <col min="16" max="16384" width="9.33203125" style="38"/>
  </cols>
  <sheetData>
    <row r="1" spans="1:15" ht="17.399999999999999" x14ac:dyDescent="0.3">
      <c r="A1" s="170" t="s">
        <v>607</v>
      </c>
      <c r="B1" s="32"/>
      <c r="C1" s="32"/>
      <c r="D1" s="32"/>
      <c r="E1" s="32"/>
      <c r="F1" s="32"/>
      <c r="G1" s="37"/>
      <c r="H1" s="37"/>
      <c r="I1" s="37"/>
      <c r="J1" s="37"/>
      <c r="K1" s="37"/>
      <c r="L1" s="37"/>
      <c r="M1" s="37"/>
      <c r="N1" s="37"/>
      <c r="O1" s="37"/>
    </row>
    <row r="2" spans="1:15" ht="17.399999999999999" x14ac:dyDescent="0.3">
      <c r="A2" s="235"/>
      <c r="B2" s="235"/>
      <c r="C2" s="235"/>
      <c r="D2" s="235"/>
      <c r="E2" s="235"/>
      <c r="F2" s="235"/>
    </row>
    <row r="3" spans="1:15" x14ac:dyDescent="0.25">
      <c r="A3" s="5"/>
      <c r="G3" s="37"/>
      <c r="H3" s="37"/>
      <c r="J3" s="37"/>
      <c r="K3" s="37"/>
      <c r="M3" s="37"/>
      <c r="N3" s="37"/>
    </row>
    <row r="4" spans="1:15" x14ac:dyDescent="0.25">
      <c r="A4" s="5"/>
      <c r="G4" s="37"/>
      <c r="H4" s="37"/>
      <c r="J4" s="37"/>
      <c r="K4" s="37"/>
      <c r="M4" s="37"/>
      <c r="N4" s="37"/>
    </row>
    <row r="5" spans="1:15" x14ac:dyDescent="0.25">
      <c r="A5" s="5"/>
      <c r="G5" s="160"/>
      <c r="H5" s="189" t="s">
        <v>279</v>
      </c>
      <c r="I5" s="57"/>
      <c r="J5" s="160"/>
      <c r="K5" s="189" t="s">
        <v>280</v>
      </c>
      <c r="L5" s="57"/>
      <c r="M5" s="160"/>
      <c r="N5" s="189" t="s">
        <v>552</v>
      </c>
    </row>
    <row r="7" spans="1:15" s="52" customFormat="1" x14ac:dyDescent="0.25">
      <c r="C7" s="188" t="s">
        <v>133</v>
      </c>
      <c r="D7" s="188" t="s">
        <v>117</v>
      </c>
      <c r="E7" s="188" t="s">
        <v>118</v>
      </c>
      <c r="F7" s="189"/>
      <c r="G7" s="188" t="s">
        <v>119</v>
      </c>
      <c r="H7" s="188" t="s">
        <v>120</v>
      </c>
      <c r="I7" s="188" t="s">
        <v>121</v>
      </c>
      <c r="J7" s="188" t="s">
        <v>204</v>
      </c>
      <c r="K7" s="188" t="s">
        <v>206</v>
      </c>
      <c r="L7" s="188" t="s">
        <v>207</v>
      </c>
      <c r="M7" s="188" t="s">
        <v>452</v>
      </c>
      <c r="N7" s="188" t="s">
        <v>453</v>
      </c>
      <c r="O7" s="188" t="s">
        <v>454</v>
      </c>
    </row>
    <row r="8" spans="1:15" s="54" customFormat="1" ht="31.5" customHeight="1" x14ac:dyDescent="0.25">
      <c r="A8" s="55"/>
      <c r="B8" s="55"/>
      <c r="C8" s="149" t="s">
        <v>270</v>
      </c>
      <c r="D8" s="149" t="s">
        <v>271</v>
      </c>
      <c r="E8" s="149" t="s">
        <v>272</v>
      </c>
      <c r="F8" s="70"/>
      <c r="G8" s="56" t="s">
        <v>231</v>
      </c>
      <c r="H8" s="56" t="s">
        <v>22</v>
      </c>
      <c r="I8" s="150" t="s">
        <v>130</v>
      </c>
      <c r="J8" s="56" t="s">
        <v>231</v>
      </c>
      <c r="K8" s="56" t="s">
        <v>22</v>
      </c>
      <c r="L8" s="150" t="s">
        <v>130</v>
      </c>
      <c r="M8" s="56" t="s">
        <v>231</v>
      </c>
      <c r="N8" s="56" t="s">
        <v>22</v>
      </c>
      <c r="O8" s="56" t="s">
        <v>130</v>
      </c>
    </row>
    <row r="9" spans="1:15" x14ac:dyDescent="0.25">
      <c r="A9" s="57" t="s">
        <v>137</v>
      </c>
      <c r="F9" s="71"/>
      <c r="G9" s="72"/>
      <c r="H9" s="72"/>
      <c r="I9" s="151"/>
      <c r="J9" s="72"/>
      <c r="K9" s="72"/>
      <c r="L9" s="151"/>
      <c r="M9" s="72"/>
      <c r="N9" s="72"/>
      <c r="O9" s="236"/>
    </row>
    <row r="10" spans="1:15" x14ac:dyDescent="0.25">
      <c r="B10" s="38" t="s">
        <v>141</v>
      </c>
      <c r="C10" s="61">
        <f>'CS Data By Shape'!$B$26</f>
        <v>457.95619548778438</v>
      </c>
      <c r="D10" s="61">
        <f>'CS Data By Shape'!$C$26</f>
        <v>264.2565982376517</v>
      </c>
      <c r="E10" s="61">
        <f>'CS Data By Shape'!$D$26</f>
        <v>73.866799865034594</v>
      </c>
      <c r="F10" s="73"/>
      <c r="G10" s="66"/>
      <c r="H10" s="66"/>
      <c r="I10" s="152">
        <f t="shared" ref="I10:I17" si="0">C10</f>
        <v>457.95619548778438</v>
      </c>
      <c r="J10" s="66"/>
      <c r="K10" s="66"/>
      <c r="L10" s="152">
        <f t="shared" ref="L10:L17" si="1">D10</f>
        <v>264.2565982376517</v>
      </c>
      <c r="M10" s="66"/>
      <c r="N10" s="66"/>
      <c r="O10" s="58">
        <f t="shared" ref="O10:O17" si="2">E10</f>
        <v>73.866799865034594</v>
      </c>
    </row>
    <row r="11" spans="1:15" x14ac:dyDescent="0.25">
      <c r="B11" s="38" t="s">
        <v>159</v>
      </c>
      <c r="C11" s="61">
        <f>'CS Data By Shape'!$B$27</f>
        <v>3390.798388153763</v>
      </c>
      <c r="D11" s="61">
        <f>'CS Data By Shape'!$C$27</f>
        <v>1836.4825850697321</v>
      </c>
      <c r="E11" s="61">
        <f>'CS Data By Shape'!$D$27</f>
        <v>26.37762314721126</v>
      </c>
      <c r="F11" s="73"/>
      <c r="G11" s="66"/>
      <c r="H11" s="66"/>
      <c r="I11" s="152">
        <f t="shared" si="0"/>
        <v>3390.798388153763</v>
      </c>
      <c r="J11" s="66"/>
      <c r="K11" s="66"/>
      <c r="L11" s="152">
        <f t="shared" si="1"/>
        <v>1836.4825850697321</v>
      </c>
      <c r="M11" s="66"/>
      <c r="N11" s="66"/>
      <c r="O11" s="58">
        <f t="shared" si="2"/>
        <v>26.37762314721126</v>
      </c>
    </row>
    <row r="12" spans="1:15" x14ac:dyDescent="0.25">
      <c r="A12" s="60"/>
      <c r="B12" s="38" t="s">
        <v>160</v>
      </c>
      <c r="C12" s="61">
        <f>'CS Data By Shape'!$B$28</f>
        <v>165.72063512641833</v>
      </c>
      <c r="D12" s="61">
        <f>'CS Data By Shape'!$C$28</f>
        <v>95.518755820329091</v>
      </c>
      <c r="E12" s="61">
        <f>'CS Data By Shape'!$D$28</f>
        <v>1.4672116955889021</v>
      </c>
      <c r="F12" s="73"/>
      <c r="G12" s="66"/>
      <c r="H12" s="66"/>
      <c r="I12" s="152">
        <f t="shared" si="0"/>
        <v>165.72063512641833</v>
      </c>
      <c r="J12" s="66"/>
      <c r="K12" s="66"/>
      <c r="L12" s="152">
        <f t="shared" si="1"/>
        <v>95.518755820329091</v>
      </c>
      <c r="M12" s="66"/>
      <c r="N12" s="66"/>
      <c r="O12" s="58">
        <f t="shared" si="2"/>
        <v>1.4672116955889021</v>
      </c>
    </row>
    <row r="13" spans="1:15" x14ac:dyDescent="0.25">
      <c r="B13" s="38" t="s">
        <v>144</v>
      </c>
      <c r="C13" s="61">
        <f>'CS Data By Shape'!$B$29</f>
        <v>4392.1077347530399</v>
      </c>
      <c r="D13" s="61">
        <f>'CS Data By Shape'!$C$29</f>
        <v>2487.9680497760528</v>
      </c>
      <c r="E13" s="61">
        <f>'CS Data By Shape'!$D$29</f>
        <v>41.596637307813772</v>
      </c>
      <c r="F13" s="73"/>
      <c r="G13" s="66"/>
      <c r="H13" s="66"/>
      <c r="I13" s="152">
        <f t="shared" si="0"/>
        <v>4392.1077347530399</v>
      </c>
      <c r="J13" s="66"/>
      <c r="K13" s="66"/>
      <c r="L13" s="152">
        <f t="shared" si="1"/>
        <v>2487.9680497760528</v>
      </c>
      <c r="M13" s="66"/>
      <c r="N13" s="66"/>
      <c r="O13" s="58">
        <f t="shared" si="2"/>
        <v>41.596637307813772</v>
      </c>
    </row>
    <row r="14" spans="1:15" x14ac:dyDescent="0.25">
      <c r="B14" s="38" t="s">
        <v>145</v>
      </c>
      <c r="C14" s="61">
        <f>'CS Data By Shape'!$B$30</f>
        <v>145.4492315038319</v>
      </c>
      <c r="D14" s="61">
        <f>'CS Data By Shape'!$C$30</f>
        <v>57.3004230198691</v>
      </c>
      <c r="E14" s="61">
        <f>'CS Data By Shape'!$D$30</f>
        <v>0.1239277232017624</v>
      </c>
      <c r="F14" s="73"/>
      <c r="G14" s="66"/>
      <c r="H14" s="66"/>
      <c r="I14" s="152">
        <f t="shared" si="0"/>
        <v>145.4492315038319</v>
      </c>
      <c r="J14" s="66"/>
      <c r="K14" s="66"/>
      <c r="L14" s="152">
        <f t="shared" si="1"/>
        <v>57.3004230198691</v>
      </c>
      <c r="M14" s="66"/>
      <c r="N14" s="66"/>
      <c r="O14" s="58">
        <f t="shared" si="2"/>
        <v>0.1239277232017624</v>
      </c>
    </row>
    <row r="15" spans="1:15" x14ac:dyDescent="0.25">
      <c r="B15" s="38" t="s">
        <v>146</v>
      </c>
      <c r="C15" s="61">
        <f>'CS Data By Shape'!$B$31</f>
        <v>24259.307355117628</v>
      </c>
      <c r="D15" s="61">
        <f>'CS Data By Shape'!$C$31</f>
        <v>11815.886128075588</v>
      </c>
      <c r="E15" s="61">
        <f>'CS Data By Shape'!$D$31</f>
        <v>243.78595244211809</v>
      </c>
      <c r="F15" s="73"/>
      <c r="G15" s="66"/>
      <c r="H15" s="66"/>
      <c r="I15" s="152">
        <f t="shared" si="0"/>
        <v>24259.307355117628</v>
      </c>
      <c r="J15" s="66"/>
      <c r="K15" s="66"/>
      <c r="L15" s="152">
        <f t="shared" si="1"/>
        <v>11815.886128075588</v>
      </c>
      <c r="M15" s="66"/>
      <c r="N15" s="66"/>
      <c r="O15" s="58">
        <f t="shared" si="2"/>
        <v>243.78595244211809</v>
      </c>
    </row>
    <row r="16" spans="1:15" x14ac:dyDescent="0.25">
      <c r="B16" s="313" t="s">
        <v>594</v>
      </c>
      <c r="C16" s="61">
        <f>'CS Data By Shape'!$B$32</f>
        <v>6.62690960445049</v>
      </c>
      <c r="D16" s="61">
        <f>'CS Data By Shape'!$C$32</f>
        <v>4.2392403208495084</v>
      </c>
      <c r="E16" s="61">
        <f>'CS Data By Shape'!$D$32</f>
        <v>0.27079929749999998</v>
      </c>
      <c r="F16" s="73"/>
      <c r="G16" s="66"/>
      <c r="H16" s="66"/>
      <c r="I16" s="152">
        <f t="shared" si="0"/>
        <v>6.62690960445049</v>
      </c>
      <c r="J16" s="66"/>
      <c r="K16" s="66"/>
      <c r="L16" s="152">
        <f t="shared" si="1"/>
        <v>4.2392403208495084</v>
      </c>
      <c r="M16" s="66"/>
      <c r="N16" s="66"/>
      <c r="O16" s="58">
        <f t="shared" si="2"/>
        <v>0.27079929749999998</v>
      </c>
    </row>
    <row r="17" spans="1:15" ht="13.8" thickBot="1" x14ac:dyDescent="0.3">
      <c r="A17" s="60"/>
      <c r="B17" s="74" t="s">
        <v>161</v>
      </c>
      <c r="C17" s="75">
        <f>'CS Data By Shape'!$B$33</f>
        <v>2752.5921075375777</v>
      </c>
      <c r="D17" s="75">
        <f>'CS Data By Shape'!$C$33</f>
        <v>1535.6747584123641</v>
      </c>
      <c r="E17" s="75">
        <f>'CS Data By Shape'!$D$33</f>
        <v>23.37559073380385</v>
      </c>
      <c r="F17" s="76"/>
      <c r="G17" s="77"/>
      <c r="H17" s="77"/>
      <c r="I17" s="153">
        <f t="shared" si="0"/>
        <v>2752.5921075375777</v>
      </c>
      <c r="J17" s="77"/>
      <c r="K17" s="77"/>
      <c r="L17" s="153">
        <f t="shared" si="1"/>
        <v>1535.6747584123641</v>
      </c>
      <c r="M17" s="77"/>
      <c r="N17" s="77"/>
      <c r="O17" s="237">
        <f t="shared" si="2"/>
        <v>23.37559073380385</v>
      </c>
    </row>
    <row r="18" spans="1:15" x14ac:dyDescent="0.25">
      <c r="A18" s="57" t="s">
        <v>162</v>
      </c>
      <c r="C18" s="61">
        <f>SUM(C10:C17)</f>
        <v>35570.558557284494</v>
      </c>
      <c r="D18" s="61">
        <f t="shared" ref="D18:E18" si="3">SUM(D10:D17)</f>
        <v>18097.326538732435</v>
      </c>
      <c r="E18" s="61">
        <f t="shared" si="3"/>
        <v>410.86454221227223</v>
      </c>
      <c r="F18" s="73"/>
      <c r="G18" s="66">
        <f t="shared" ref="G18:O18" si="4">SUM(G10:G17)</f>
        <v>0</v>
      </c>
      <c r="H18" s="66">
        <f t="shared" si="4"/>
        <v>0</v>
      </c>
      <c r="I18" s="152">
        <f t="shared" si="4"/>
        <v>35570.558557284494</v>
      </c>
      <c r="J18" s="66">
        <f t="shared" si="4"/>
        <v>0</v>
      </c>
      <c r="K18" s="66">
        <f t="shared" si="4"/>
        <v>0</v>
      </c>
      <c r="L18" s="152">
        <f t="shared" si="4"/>
        <v>18097.326538732435</v>
      </c>
      <c r="M18" s="66">
        <f t="shared" si="4"/>
        <v>0</v>
      </c>
      <c r="N18" s="66">
        <f t="shared" si="4"/>
        <v>0</v>
      </c>
      <c r="O18" s="58">
        <f t="shared" si="4"/>
        <v>410.86454221227223</v>
      </c>
    </row>
    <row r="19" spans="1:15" s="63" customFormat="1" x14ac:dyDescent="0.25">
      <c r="A19" s="64"/>
      <c r="B19" s="61"/>
      <c r="C19" s="325"/>
      <c r="F19" s="79"/>
      <c r="G19" s="80"/>
      <c r="H19" s="81"/>
      <c r="I19" s="154"/>
      <c r="J19" s="80"/>
      <c r="K19" s="81"/>
      <c r="L19" s="154"/>
      <c r="M19" s="80"/>
      <c r="N19" s="81"/>
      <c r="O19" s="80"/>
    </row>
    <row r="20" spans="1:15" ht="13.5" customHeight="1" x14ac:dyDescent="0.25">
      <c r="F20" s="71"/>
      <c r="G20" s="72"/>
      <c r="H20" s="72"/>
      <c r="I20" s="151"/>
      <c r="J20" s="72"/>
      <c r="K20" s="72"/>
      <c r="L20" s="151"/>
      <c r="M20" s="72"/>
      <c r="N20" s="72"/>
      <c r="O20" s="236"/>
    </row>
    <row r="21" spans="1:15" x14ac:dyDescent="0.25">
      <c r="A21" s="57" t="s">
        <v>138</v>
      </c>
      <c r="F21" s="71"/>
      <c r="G21" s="72"/>
      <c r="H21" s="72"/>
      <c r="I21" s="155"/>
      <c r="J21" s="72"/>
      <c r="K21" s="72"/>
      <c r="L21" s="155"/>
      <c r="M21" s="72"/>
      <c r="N21" s="72"/>
      <c r="O21" s="72"/>
    </row>
    <row r="22" spans="1:15" x14ac:dyDescent="0.25">
      <c r="B22" s="38" t="s">
        <v>22</v>
      </c>
      <c r="C22" s="61">
        <f>'Trans Cost Adj'!$E$7</f>
        <v>75834.194342643648</v>
      </c>
      <c r="D22" s="61">
        <f>'Trans Cost Adj'!$E$10</f>
        <v>56104.879441230805</v>
      </c>
      <c r="E22" s="61">
        <f>'Trans Cost Adj'!$E$13</f>
        <v>424.81037222197432</v>
      </c>
      <c r="F22" s="190" t="s">
        <v>36</v>
      </c>
      <c r="G22" s="66"/>
      <c r="H22" s="58">
        <f>C22</f>
        <v>75834.194342643648</v>
      </c>
      <c r="I22" s="155"/>
      <c r="J22" s="66"/>
      <c r="K22" s="58">
        <f>D22</f>
        <v>56104.879441230805</v>
      </c>
      <c r="L22" s="155"/>
      <c r="M22" s="66"/>
      <c r="N22" s="58">
        <f>E22</f>
        <v>424.81037222197432</v>
      </c>
      <c r="O22" s="72"/>
    </row>
    <row r="23" spans="1:15" x14ac:dyDescent="0.25">
      <c r="B23" s="38" t="s">
        <v>231</v>
      </c>
      <c r="C23" s="61">
        <f>'CS Data By Shape'!$B$37</f>
        <v>0</v>
      </c>
      <c r="D23" s="61">
        <f>'CS Data By Shape'!$C$37</f>
        <v>0</v>
      </c>
      <c r="E23" s="61">
        <f>'CS Data By Shape'!$D$37</f>
        <v>0</v>
      </c>
      <c r="F23" s="238"/>
      <c r="G23" s="58">
        <f>C23</f>
        <v>0</v>
      </c>
      <c r="H23" s="58"/>
      <c r="I23" s="155"/>
      <c r="J23" s="58">
        <f>D23</f>
        <v>0</v>
      </c>
      <c r="K23" s="58"/>
      <c r="L23" s="155"/>
      <c r="M23" s="58">
        <f>E23</f>
        <v>0</v>
      </c>
      <c r="N23" s="58"/>
      <c r="O23" s="72"/>
    </row>
    <row r="24" spans="1:15" x14ac:dyDescent="0.25">
      <c r="B24" s="38" t="s">
        <v>23</v>
      </c>
      <c r="C24" s="61">
        <f>'CS Data By Shape'!$B$38</f>
        <v>119082.16505420422</v>
      </c>
      <c r="D24" s="61">
        <f>'CS Data By Shape'!$C$38</f>
        <v>79354.664423115377</v>
      </c>
      <c r="E24" s="61">
        <f>'CS Data By Shape'!$D$38</f>
        <v>724.0524170645383</v>
      </c>
      <c r="F24" s="191"/>
      <c r="G24" s="58"/>
      <c r="H24" s="58"/>
      <c r="I24" s="152">
        <f>C24</f>
        <v>119082.16505420422</v>
      </c>
      <c r="J24" s="58"/>
      <c r="K24" s="58"/>
      <c r="L24" s="152">
        <f>D24</f>
        <v>79354.664423115377</v>
      </c>
      <c r="M24" s="58"/>
      <c r="N24" s="58"/>
      <c r="O24" s="58">
        <f>E24</f>
        <v>724.0524170645383</v>
      </c>
    </row>
    <row r="25" spans="1:15" x14ac:dyDescent="0.25">
      <c r="B25" s="38" t="s">
        <v>232</v>
      </c>
      <c r="C25" s="61">
        <f>'CS Data By Shape'!$B$39</f>
        <v>0</v>
      </c>
      <c r="D25" s="61">
        <f>'CS Data By Shape'!$C$39</f>
        <v>0</v>
      </c>
      <c r="E25" s="61">
        <f>'CS Data By Shape'!$D$39</f>
        <v>0</v>
      </c>
      <c r="F25" s="191"/>
      <c r="G25" s="58"/>
      <c r="H25" s="58"/>
      <c r="I25" s="152">
        <f>C25</f>
        <v>0</v>
      </c>
      <c r="J25" s="58"/>
      <c r="K25" s="58"/>
      <c r="L25" s="152">
        <f>D25</f>
        <v>0</v>
      </c>
      <c r="M25" s="58"/>
      <c r="N25" s="58"/>
      <c r="O25" s="58">
        <f>E25</f>
        <v>0</v>
      </c>
    </row>
    <row r="26" spans="1:15" x14ac:dyDescent="0.25">
      <c r="B26" s="38" t="s">
        <v>163</v>
      </c>
      <c r="C26" s="61">
        <f>'Trans Cost Adj'!$E$8</f>
        <v>58917.941614086129</v>
      </c>
      <c r="D26" s="61">
        <f>'Trans Cost Adj'!$E$11</f>
        <v>57708.315763725732</v>
      </c>
      <c r="E26" s="61">
        <f>'Trans Cost Adj'!$E$14</f>
        <v>216.06331372643731</v>
      </c>
      <c r="F26" s="190" t="s">
        <v>37</v>
      </c>
      <c r="G26" s="58"/>
      <c r="H26" s="58">
        <f>C26</f>
        <v>58917.941614086129</v>
      </c>
      <c r="I26" s="156"/>
      <c r="J26" s="58"/>
      <c r="K26" s="58">
        <f>D26</f>
        <v>57708.315763725732</v>
      </c>
      <c r="L26" s="156"/>
      <c r="M26" s="58"/>
      <c r="N26" s="58">
        <f>E26</f>
        <v>216.06331372643731</v>
      </c>
      <c r="O26" s="62"/>
    </row>
    <row r="27" spans="1:15" x14ac:dyDescent="0.25">
      <c r="B27" s="38" t="s">
        <v>164</v>
      </c>
      <c r="C27" s="61">
        <f>'CS Data By Shape'!$B$40</f>
        <v>1374.947172813416</v>
      </c>
      <c r="D27" s="61">
        <f>'CS Data By Shape'!$C$40</f>
        <v>958.30325342888989</v>
      </c>
      <c r="E27" s="61">
        <f>'CS Data By Shape'!$D$40</f>
        <v>9.4044652552641974</v>
      </c>
      <c r="F27" s="82"/>
      <c r="G27" s="58"/>
      <c r="H27" s="58"/>
      <c r="I27" s="152">
        <f>C27</f>
        <v>1374.947172813416</v>
      </c>
      <c r="J27" s="58"/>
      <c r="K27" s="58"/>
      <c r="L27" s="152">
        <f>D27</f>
        <v>958.30325342888989</v>
      </c>
      <c r="M27" s="58"/>
      <c r="N27" s="58"/>
      <c r="O27" s="58">
        <f>E27</f>
        <v>9.4044652552641974</v>
      </c>
    </row>
    <row r="28" spans="1:15" x14ac:dyDescent="0.25">
      <c r="B28" s="38" t="s">
        <v>165</v>
      </c>
      <c r="C28" s="61">
        <f>'CS Data By Shape'!$B$43</f>
        <v>0</v>
      </c>
      <c r="D28" s="61">
        <f>'CS Data By Shape'!$C$43</f>
        <v>0</v>
      </c>
      <c r="E28" s="61">
        <f>'CS Data By Shape'!$D$43</f>
        <v>0</v>
      </c>
      <c r="F28" s="82"/>
      <c r="G28" s="58">
        <f>C28</f>
        <v>0</v>
      </c>
      <c r="H28" s="58"/>
      <c r="I28" s="152"/>
      <c r="J28" s="58">
        <f>D28</f>
        <v>0</v>
      </c>
      <c r="K28" s="58"/>
      <c r="L28" s="152"/>
      <c r="M28" s="58">
        <f>E28</f>
        <v>0</v>
      </c>
      <c r="N28" s="58"/>
      <c r="O28" s="58"/>
    </row>
    <row r="29" spans="1:15" x14ac:dyDescent="0.25">
      <c r="A29" s="60"/>
      <c r="B29" s="38" t="s">
        <v>166</v>
      </c>
      <c r="C29" s="59">
        <f>'CS Data By Shape'!$B$41</f>
        <v>174.26447030715349</v>
      </c>
      <c r="D29" s="59">
        <f>'CS Data By Shape'!$C$41</f>
        <v>121.18593059998237</v>
      </c>
      <c r="E29" s="59">
        <f>'CS Data By Shape'!$D$41</f>
        <v>0.99834209773760607</v>
      </c>
      <c r="F29" s="83"/>
      <c r="G29" s="58">
        <f>$C$29*G32</f>
        <v>0</v>
      </c>
      <c r="H29" s="58">
        <f>$C$29*H32</f>
        <v>67.324457405863882</v>
      </c>
      <c r="I29" s="152">
        <f>C29*I32</f>
        <v>106.94001290128961</v>
      </c>
      <c r="J29" s="58">
        <f>$D$29*J32</f>
        <v>0</v>
      </c>
      <c r="K29" s="58">
        <f>$D$29*K32</f>
        <v>49.84041435880026</v>
      </c>
      <c r="L29" s="152">
        <f>D29*L32</f>
        <v>71.345516241182125</v>
      </c>
      <c r="M29" s="58">
        <f>$E$29*M32</f>
        <v>0</v>
      </c>
      <c r="N29" s="58">
        <f>$E$29*N32</f>
        <v>0.36615563159692371</v>
      </c>
      <c r="O29" s="58">
        <f>E29*O32</f>
        <v>0.63218646614068241</v>
      </c>
    </row>
    <row r="30" spans="1:15" ht="13.8" thickBot="1" x14ac:dyDescent="0.3">
      <c r="A30" s="60"/>
      <c r="B30" s="74" t="s">
        <v>167</v>
      </c>
      <c r="C30" s="75">
        <f>'CS Data By Shape'!$B$42</f>
        <v>6245.2786429084463</v>
      </c>
      <c r="D30" s="75">
        <f>'CS Data By Shape'!$C$42</f>
        <v>5609.93279587712</v>
      </c>
      <c r="E30" s="75">
        <f>'CS Data By Shape'!$D$42</f>
        <v>15.650176795444368</v>
      </c>
      <c r="F30" s="76"/>
      <c r="G30" s="78">
        <f>$C$30*G33</f>
        <v>0</v>
      </c>
      <c r="H30" s="78">
        <f>$C$30*H33</f>
        <v>2412.769483309768</v>
      </c>
      <c r="I30" s="153">
        <f>C30*I33</f>
        <v>3832.5091595986787</v>
      </c>
      <c r="J30" s="78">
        <f>$D$30*J33</f>
        <v>0</v>
      </c>
      <c r="K30" s="78">
        <f>$D$30*K33</f>
        <v>2307.2098690603207</v>
      </c>
      <c r="L30" s="153">
        <f>D30*L33</f>
        <v>3302.7229268167994</v>
      </c>
      <c r="M30" s="78">
        <f>$E$30*M33</f>
        <v>0</v>
      </c>
      <c r="N30" s="78">
        <f>$E$30*N33</f>
        <v>5.7399165898397007</v>
      </c>
      <c r="O30" s="78">
        <f>E30*O33</f>
        <v>9.9102602056046685</v>
      </c>
    </row>
    <row r="31" spans="1:15" x14ac:dyDescent="0.25">
      <c r="A31" s="57" t="s">
        <v>168</v>
      </c>
      <c r="C31" s="61">
        <f>SUM(C22:C30)</f>
        <v>261628.791296963</v>
      </c>
      <c r="D31" s="61">
        <f>SUM(D22:D30)</f>
        <v>199857.2816079779</v>
      </c>
      <c r="E31" s="61">
        <f>SUM(E22:E30)</f>
        <v>1390.9790871613961</v>
      </c>
      <c r="F31" s="73"/>
      <c r="G31" s="58">
        <f t="shared" ref="G31:O31" si="5">SUM(G22:G30)</f>
        <v>0</v>
      </c>
      <c r="H31" s="58">
        <f t="shared" si="5"/>
        <v>137232.22989744539</v>
      </c>
      <c r="I31" s="152">
        <f t="shared" si="5"/>
        <v>124396.56139951761</v>
      </c>
      <c r="J31" s="58">
        <f t="shared" si="5"/>
        <v>0</v>
      </c>
      <c r="K31" s="58">
        <f t="shared" si="5"/>
        <v>116170.24548837566</v>
      </c>
      <c r="L31" s="152">
        <f t="shared" si="5"/>
        <v>83687.036119602257</v>
      </c>
      <c r="M31" s="58">
        <f t="shared" si="5"/>
        <v>0</v>
      </c>
      <c r="N31" s="58">
        <f t="shared" si="5"/>
        <v>646.97975816984831</v>
      </c>
      <c r="O31" s="58">
        <f t="shared" si="5"/>
        <v>743.99932899154783</v>
      </c>
    </row>
    <row r="32" spans="1:15" s="63" customFormat="1" x14ac:dyDescent="0.25">
      <c r="A32" s="64" t="s">
        <v>166</v>
      </c>
      <c r="C32" s="84">
        <f>SUM(C22:C25)+C27</f>
        <v>196291.30656966128</v>
      </c>
      <c r="D32" s="84">
        <f>SUM(D22:D25)+D27</f>
        <v>136417.84711777506</v>
      </c>
      <c r="E32" s="84">
        <f>SUM(E22:E25)+E27</f>
        <v>1158.2672545417768</v>
      </c>
      <c r="F32" s="79"/>
      <c r="G32" s="85">
        <f>G23/SUM(C22:C25,C27)</f>
        <v>0</v>
      </c>
      <c r="H32" s="86">
        <f>H22/SUM(C22:C25,C27)</f>
        <v>0.38633496137910245</v>
      </c>
      <c r="I32" s="157">
        <f>SUM(I24,I25,I27)/SUM(C22:C25,C27)</f>
        <v>0.61366503862089761</v>
      </c>
      <c r="J32" s="85">
        <f>J23/SUM(D22:D25,D27)</f>
        <v>0</v>
      </c>
      <c r="K32" s="86">
        <f>K22/SUM(D22:D25,D27)</f>
        <v>0.41127228311111808</v>
      </c>
      <c r="L32" s="157">
        <f>SUM(L24,L25,L27)/SUM(D22:D25,D27)</f>
        <v>0.58872771688888204</v>
      </c>
      <c r="M32" s="85">
        <f>M23/SUM(E22:E25,E27)</f>
        <v>0</v>
      </c>
      <c r="N32" s="86">
        <f>N22/SUM(E22:E25,E27)</f>
        <v>0.36676368994825287</v>
      </c>
      <c r="O32" s="86">
        <f>SUM(O24,O25,O27)/SUM(E22:E25,E27)</f>
        <v>0.63323631005174719</v>
      </c>
    </row>
    <row r="33" spans="1:15" ht="14.25" customHeight="1" x14ac:dyDescent="0.25">
      <c r="A33" s="38" t="s">
        <v>167</v>
      </c>
      <c r="C33" s="61">
        <f>SUM(C22:C25)+C27+C28+C29</f>
        <v>196465.57103996843</v>
      </c>
      <c r="D33" s="61">
        <f>SUM(D22:D25)+D27+D28+D29</f>
        <v>136539.03304837504</v>
      </c>
      <c r="E33" s="61">
        <f>SUM(E22:E25)+E27+E28+E29</f>
        <v>1159.2655966395143</v>
      </c>
      <c r="F33" s="71"/>
      <c r="G33" s="86">
        <f>SUM(G23,G28,G29)/SUM(C22:C25,C27:C29)</f>
        <v>0</v>
      </c>
      <c r="H33" s="86">
        <f>SUM(H22,H29)/SUM(C22:C25,C27:C29)</f>
        <v>0.38633496137910245</v>
      </c>
      <c r="I33" s="157">
        <f>SUM(I24,I25,I27,I29)/SUM(C22:C25,C27:C29)</f>
        <v>0.61366503862089761</v>
      </c>
      <c r="J33" s="86">
        <f>SUM(J23,J28,J29)/SUM(D22:D25,D27:D29)</f>
        <v>0</v>
      </c>
      <c r="K33" s="86">
        <f>SUM(K22,K29)/SUM(D22:D25,D27:D29)</f>
        <v>0.41127228311111802</v>
      </c>
      <c r="L33" s="157">
        <f>SUM(L24,L25,L27,L29)/SUM(D22:D25,D27:D29)</f>
        <v>0.58872771688888204</v>
      </c>
      <c r="M33" s="86">
        <f>SUM(M23,M28,M29)/SUM(E22:E25,E27:E29)</f>
        <v>0</v>
      </c>
      <c r="N33" s="86">
        <f>SUM(N22,N29)/SUM(E22:E25,E27:E29)</f>
        <v>0.36676368994825292</v>
      </c>
      <c r="O33" s="86">
        <f>SUM(O24,O25,O27,O29)/SUM(E22:E25,E27:E29)</f>
        <v>0.63323631005174719</v>
      </c>
    </row>
    <row r="34" spans="1:15" x14ac:dyDescent="0.25">
      <c r="A34" s="57" t="s">
        <v>139</v>
      </c>
      <c r="F34" s="71"/>
      <c r="G34" s="72"/>
      <c r="H34" s="72"/>
      <c r="I34" s="151"/>
      <c r="J34" s="72"/>
      <c r="K34" s="72"/>
      <c r="L34" s="151"/>
      <c r="M34" s="72"/>
      <c r="N34" s="72"/>
      <c r="O34" s="236"/>
    </row>
    <row r="35" spans="1:15" x14ac:dyDescent="0.25">
      <c r="B35" s="38" t="s">
        <v>169</v>
      </c>
      <c r="C35" s="61">
        <f>'CS Data By Shape'!$B$46</f>
        <v>0</v>
      </c>
      <c r="D35" s="61">
        <f>'CS Data By Shape'!$C$46</f>
        <v>0</v>
      </c>
      <c r="E35" s="61">
        <f>'CS Data By Shape'!$D$46</f>
        <v>0</v>
      </c>
      <c r="F35" s="83"/>
      <c r="G35" s="87"/>
      <c r="H35" s="87"/>
      <c r="I35" s="152">
        <f>C35</f>
        <v>0</v>
      </c>
      <c r="J35" s="87"/>
      <c r="K35" s="87"/>
      <c r="L35" s="152">
        <f>D35</f>
        <v>0</v>
      </c>
      <c r="M35" s="87"/>
      <c r="N35" s="87"/>
      <c r="O35" s="58">
        <f>E35</f>
        <v>0</v>
      </c>
    </row>
    <row r="36" spans="1:15" x14ac:dyDescent="0.25">
      <c r="B36" s="38" t="s">
        <v>164</v>
      </c>
      <c r="C36" s="61">
        <f>'CS Data By Shape'!$B$47</f>
        <v>-5.3060917993605026</v>
      </c>
      <c r="D36" s="61">
        <f>'CS Data By Shape'!$C$47</f>
        <v>-3.971913592235591</v>
      </c>
      <c r="E36" s="61">
        <f>'CS Data By Shape'!$D$47</f>
        <v>-2.6659641514322048E-2</v>
      </c>
      <c r="F36" s="73"/>
      <c r="G36" s="66"/>
      <c r="H36" s="66"/>
      <c r="I36" s="152">
        <f>C36</f>
        <v>-5.3060917993605026</v>
      </c>
      <c r="J36" s="66"/>
      <c r="K36" s="66"/>
      <c r="L36" s="152">
        <f>D36</f>
        <v>-3.971913592235591</v>
      </c>
      <c r="M36" s="66"/>
      <c r="N36" s="66"/>
      <c r="O36" s="58">
        <f>E36</f>
        <v>-2.6659641514322048E-2</v>
      </c>
    </row>
    <row r="37" spans="1:15" ht="13.8" thickBot="1" x14ac:dyDescent="0.3">
      <c r="A37" s="60"/>
      <c r="B37" s="74" t="s">
        <v>170</v>
      </c>
      <c r="C37" s="75">
        <f>'CS Data By Shape'!$B$48</f>
        <v>2804.093151880505</v>
      </c>
      <c r="D37" s="75">
        <f>'CS Data By Shape'!$C$48</f>
        <v>2457.3347328351188</v>
      </c>
      <c r="E37" s="75">
        <f>'CS Data By Shape'!$D$48</f>
        <v>6.85629652021131</v>
      </c>
      <c r="F37" s="76"/>
      <c r="G37" s="77"/>
      <c r="H37" s="77"/>
      <c r="I37" s="158">
        <f>C37</f>
        <v>2804.093151880505</v>
      </c>
      <c r="J37" s="77"/>
      <c r="K37" s="77"/>
      <c r="L37" s="158">
        <f>D37</f>
        <v>2457.3347328351188</v>
      </c>
      <c r="M37" s="77"/>
      <c r="N37" s="77"/>
      <c r="O37" s="239">
        <f>E37</f>
        <v>6.85629652021131</v>
      </c>
    </row>
    <row r="38" spans="1:15" x14ac:dyDescent="0.25">
      <c r="A38" s="57" t="s">
        <v>171</v>
      </c>
      <c r="C38" s="61">
        <f>SUM(C35:C37)</f>
        <v>2798.7870600811443</v>
      </c>
      <c r="D38" s="61">
        <f>SUM(D35:D37)</f>
        <v>2453.3628192428832</v>
      </c>
      <c r="E38" s="61">
        <f>SUM(E35:E37)</f>
        <v>6.8296368786969879</v>
      </c>
      <c r="F38" s="73"/>
      <c r="G38" s="58">
        <f t="shared" ref="G38:O38" si="6">SUM(G35:G37)</f>
        <v>0</v>
      </c>
      <c r="H38" s="58">
        <f t="shared" si="6"/>
        <v>0</v>
      </c>
      <c r="I38" s="152">
        <f t="shared" si="6"/>
        <v>2798.7870600811443</v>
      </c>
      <c r="J38" s="58">
        <f t="shared" si="6"/>
        <v>0</v>
      </c>
      <c r="K38" s="58">
        <f t="shared" si="6"/>
        <v>0</v>
      </c>
      <c r="L38" s="152">
        <f t="shared" si="6"/>
        <v>2453.3628192428832</v>
      </c>
      <c r="M38" s="58">
        <f t="shared" si="6"/>
        <v>0</v>
      </c>
      <c r="N38" s="58">
        <f t="shared" si="6"/>
        <v>0</v>
      </c>
      <c r="O38" s="58">
        <f t="shared" si="6"/>
        <v>6.8296368786969879</v>
      </c>
    </row>
    <row r="39" spans="1:15" s="63" customFormat="1" x14ac:dyDescent="0.25">
      <c r="A39" s="64"/>
      <c r="B39" s="84"/>
      <c r="F39" s="79"/>
      <c r="G39" s="86"/>
      <c r="H39" s="86"/>
      <c r="I39" s="157"/>
      <c r="J39" s="86"/>
      <c r="K39" s="86"/>
      <c r="L39" s="157"/>
      <c r="M39" s="86"/>
      <c r="N39" s="86"/>
      <c r="O39" s="86"/>
    </row>
    <row r="40" spans="1:15" ht="15" customHeight="1" x14ac:dyDescent="0.25">
      <c r="A40" s="57" t="s">
        <v>140</v>
      </c>
      <c r="F40" s="71"/>
      <c r="G40" s="62"/>
      <c r="H40" s="62"/>
      <c r="I40" s="156"/>
      <c r="J40" s="62"/>
      <c r="K40" s="62"/>
      <c r="L40" s="156"/>
      <c r="M40" s="62"/>
      <c r="N40" s="62"/>
      <c r="O40" s="62"/>
    </row>
    <row r="41" spans="1:15" x14ac:dyDescent="0.25">
      <c r="B41" s="38" t="s">
        <v>154</v>
      </c>
      <c r="C41" s="61">
        <f>'CS Data By Shape'!$B$51</f>
        <v>155.31331389667056</v>
      </c>
      <c r="D41" s="61">
        <f>'CS Data By Shape'!$C$51</f>
        <v>113.83860646232614</v>
      </c>
      <c r="E41" s="61">
        <f>'CS Data By Shape'!$D$51</f>
        <v>0.85073633817007122</v>
      </c>
      <c r="F41" s="71"/>
      <c r="G41" s="58">
        <f>C41</f>
        <v>155.31331389667056</v>
      </c>
      <c r="H41" s="62"/>
      <c r="I41" s="156"/>
      <c r="J41" s="58">
        <f>D41</f>
        <v>113.83860646232614</v>
      </c>
      <c r="K41" s="62"/>
      <c r="L41" s="156"/>
      <c r="M41" s="58">
        <f>E41</f>
        <v>0.85073633817007122</v>
      </c>
      <c r="N41" s="62"/>
      <c r="O41" s="62"/>
    </row>
    <row r="42" spans="1:15" ht="13.8" thickBot="1" x14ac:dyDescent="0.3">
      <c r="B42" s="74" t="s">
        <v>155</v>
      </c>
      <c r="C42" s="75">
        <f>'CS Data By Shape'!$B$52</f>
        <v>1842.9867867883472</v>
      </c>
      <c r="D42" s="75">
        <f>'CS Data By Shape'!$C$52</f>
        <v>1290.5566529201933</v>
      </c>
      <c r="E42" s="75">
        <f>'CS Data By Shape'!$D$52</f>
        <v>10.7005683588308</v>
      </c>
      <c r="F42" s="76"/>
      <c r="G42" s="78">
        <f>C42</f>
        <v>1842.9867867883472</v>
      </c>
      <c r="H42" s="78"/>
      <c r="I42" s="159"/>
      <c r="J42" s="78">
        <f>D42</f>
        <v>1290.5566529201933</v>
      </c>
      <c r="K42" s="78"/>
      <c r="L42" s="159"/>
      <c r="M42" s="78">
        <f>E42</f>
        <v>10.7005683588308</v>
      </c>
      <c r="N42" s="78"/>
      <c r="O42" s="240"/>
    </row>
    <row r="43" spans="1:15" x14ac:dyDescent="0.25">
      <c r="A43" s="57" t="s">
        <v>172</v>
      </c>
      <c r="C43" s="61">
        <f t="shared" ref="C43:E43" si="7">+C42+C41</f>
        <v>1998.3001006850177</v>
      </c>
      <c r="D43" s="61">
        <f t="shared" si="7"/>
        <v>1404.3952593825195</v>
      </c>
      <c r="E43" s="61">
        <f t="shared" si="7"/>
        <v>11.551304697000871</v>
      </c>
      <c r="F43" s="73"/>
      <c r="G43" s="58">
        <f>+G42+G41</f>
        <v>1998.3001006850177</v>
      </c>
      <c r="H43" s="58">
        <f>SUM(H42:H42)</f>
        <v>0</v>
      </c>
      <c r="I43" s="152">
        <f>SUM(I42:I42)</f>
        <v>0</v>
      </c>
      <c r="J43" s="58">
        <f>+J42+J41</f>
        <v>1404.3952593825195</v>
      </c>
      <c r="K43" s="58">
        <f>SUM(K42:K42)</f>
        <v>0</v>
      </c>
      <c r="L43" s="152">
        <f>SUM(L42:L42)</f>
        <v>0</v>
      </c>
      <c r="M43" s="58">
        <f>+M42+M41</f>
        <v>11.551304697000871</v>
      </c>
      <c r="N43" s="58">
        <f>SUM(N42:N42)</f>
        <v>0</v>
      </c>
      <c r="O43" s="58">
        <f>SUM(O42:O42)</f>
        <v>0</v>
      </c>
    </row>
    <row r="44" spans="1:15" x14ac:dyDescent="0.25">
      <c r="A44" s="57"/>
      <c r="B44" s="61"/>
      <c r="C44" s="61"/>
      <c r="D44" s="61"/>
      <c r="E44" s="61"/>
      <c r="F44" s="61"/>
      <c r="G44" s="59"/>
      <c r="H44" s="59"/>
      <c r="I44" s="60"/>
      <c r="J44" s="59"/>
      <c r="K44" s="59"/>
      <c r="L44" s="60"/>
      <c r="M44" s="59"/>
      <c r="N44" s="59"/>
      <c r="O44" s="60"/>
    </row>
    <row r="45" spans="1:15" x14ac:dyDescent="0.25">
      <c r="A45" s="57" t="s">
        <v>173</v>
      </c>
      <c r="C45" s="61">
        <f>C43+C38+C31+C18</f>
        <v>301996.43701501365</v>
      </c>
      <c r="D45" s="61">
        <f>D43+D38+D31+D18</f>
        <v>221812.36622533575</v>
      </c>
      <c r="E45" s="61">
        <f>E43+E38+E31+E18</f>
        <v>1820.2245709493661</v>
      </c>
      <c r="F45" s="61"/>
      <c r="G45" s="59">
        <f t="shared" ref="G45:O45" si="8">G43+G38+G31+G18</f>
        <v>1998.3001006850177</v>
      </c>
      <c r="H45" s="59">
        <f t="shared" si="8"/>
        <v>137232.22989744539</v>
      </c>
      <c r="I45" s="59">
        <f t="shared" si="8"/>
        <v>162765.90701688325</v>
      </c>
      <c r="J45" s="59">
        <f t="shared" si="8"/>
        <v>1404.3952593825195</v>
      </c>
      <c r="K45" s="59">
        <f t="shared" si="8"/>
        <v>116170.24548837566</v>
      </c>
      <c r="L45" s="59">
        <f t="shared" si="8"/>
        <v>104237.72547757758</v>
      </c>
      <c r="M45" s="59">
        <f t="shared" si="8"/>
        <v>11.551304697000871</v>
      </c>
      <c r="N45" s="59">
        <f t="shared" si="8"/>
        <v>646.97975816984831</v>
      </c>
      <c r="O45" s="59">
        <f t="shared" si="8"/>
        <v>1161.6935080825169</v>
      </c>
    </row>
    <row r="46" spans="1:15" x14ac:dyDescent="0.25">
      <c r="A46" s="57"/>
      <c r="C46" s="61"/>
      <c r="D46" s="61"/>
      <c r="E46" s="61"/>
      <c r="F46" s="53"/>
      <c r="G46" s="88"/>
      <c r="H46" s="88"/>
      <c r="I46" s="88"/>
      <c r="J46" s="88"/>
      <c r="K46" s="88"/>
      <c r="L46" s="88"/>
      <c r="M46" s="88"/>
      <c r="N46" s="88"/>
      <c r="O46" s="88"/>
    </row>
    <row r="47" spans="1:15" x14ac:dyDescent="0.25">
      <c r="A47" s="48"/>
      <c r="B47" s="48"/>
      <c r="C47" s="61"/>
      <c r="D47" s="61"/>
      <c r="E47" s="61"/>
      <c r="F47" s="61"/>
      <c r="G47" s="67"/>
      <c r="H47" s="67"/>
      <c r="J47" s="67"/>
      <c r="K47" s="67"/>
      <c r="M47" s="67"/>
      <c r="N47" s="67"/>
    </row>
    <row r="48" spans="1:15" x14ac:dyDescent="0.25">
      <c r="A48" s="185" t="s">
        <v>325</v>
      </c>
    </row>
    <row r="49" spans="1:14" x14ac:dyDescent="0.25">
      <c r="A49" s="186" t="s">
        <v>564</v>
      </c>
      <c r="B49" s="184" t="s">
        <v>448</v>
      </c>
      <c r="C49" s="61"/>
      <c r="D49" s="61"/>
      <c r="E49" s="61"/>
      <c r="F49" s="61"/>
      <c r="G49" s="67"/>
      <c r="H49" s="67"/>
      <c r="J49" s="67"/>
      <c r="K49" s="67"/>
      <c r="M49" s="67"/>
      <c r="N49" s="67"/>
    </row>
    <row r="50" spans="1:14" x14ac:dyDescent="0.25">
      <c r="A50" s="186" t="s">
        <v>565</v>
      </c>
      <c r="B50" s="184" t="s">
        <v>448</v>
      </c>
      <c r="C50" s="61"/>
      <c r="D50" s="61"/>
      <c r="E50" s="61"/>
      <c r="F50" s="61"/>
      <c r="G50" s="67"/>
      <c r="H50" s="67"/>
      <c r="J50" s="67"/>
      <c r="K50" s="67"/>
      <c r="M50" s="67"/>
      <c r="N50" s="67"/>
    </row>
    <row r="51" spans="1:14" x14ac:dyDescent="0.25">
      <c r="A51" s="187" t="s">
        <v>476</v>
      </c>
      <c r="B51" s="184" t="s">
        <v>443</v>
      </c>
      <c r="C51" s="61"/>
      <c r="D51" s="61"/>
      <c r="E51" s="61"/>
      <c r="F51" s="61"/>
      <c r="G51" s="67"/>
      <c r="H51" s="67"/>
      <c r="J51" s="67"/>
      <c r="K51" s="67"/>
      <c r="M51" s="67"/>
      <c r="N51" s="67"/>
    </row>
    <row r="52" spans="1:14" x14ac:dyDescent="0.25">
      <c r="A52" s="187" t="s">
        <v>477</v>
      </c>
      <c r="B52" s="184" t="s">
        <v>443</v>
      </c>
      <c r="C52" s="61"/>
      <c r="D52" s="61"/>
      <c r="E52" s="61"/>
      <c r="F52" s="61"/>
      <c r="G52" s="67"/>
      <c r="H52" s="67"/>
      <c r="J52" s="67"/>
      <c r="K52" s="67"/>
      <c r="M52" s="67"/>
      <c r="N52" s="67"/>
    </row>
    <row r="53" spans="1:14" x14ac:dyDescent="0.25">
      <c r="A53" s="187" t="s">
        <v>478</v>
      </c>
      <c r="B53" s="184" t="s">
        <v>443</v>
      </c>
      <c r="C53" s="61"/>
      <c r="D53" s="61"/>
      <c r="E53" s="61"/>
      <c r="F53" s="61"/>
      <c r="G53" s="67"/>
      <c r="H53" s="67"/>
      <c r="J53" s="67"/>
      <c r="K53" s="67"/>
      <c r="M53" s="67"/>
      <c r="N53" s="67"/>
    </row>
    <row r="54" spans="1:14" x14ac:dyDescent="0.25">
      <c r="A54" s="187" t="s">
        <v>479</v>
      </c>
      <c r="B54" s="184" t="s">
        <v>449</v>
      </c>
      <c r="C54" s="61"/>
      <c r="D54" s="61"/>
      <c r="E54" s="61"/>
      <c r="F54" s="61"/>
      <c r="G54" s="67"/>
      <c r="H54" s="67"/>
      <c r="J54" s="67"/>
      <c r="K54" s="67"/>
      <c r="M54" s="67"/>
      <c r="N54" s="67"/>
    </row>
    <row r="55" spans="1:14" x14ac:dyDescent="0.25">
      <c r="A55" s="187" t="s">
        <v>480</v>
      </c>
      <c r="B55" s="184" t="s">
        <v>450</v>
      </c>
      <c r="C55" s="61"/>
      <c r="D55" s="61"/>
      <c r="E55" s="61"/>
      <c r="F55" s="61"/>
      <c r="G55" s="67"/>
      <c r="H55" s="67"/>
      <c r="J55" s="67"/>
      <c r="K55" s="67"/>
      <c r="M55" s="67"/>
      <c r="N55" s="67"/>
    </row>
    <row r="56" spans="1:14" x14ac:dyDescent="0.25">
      <c r="A56" s="187" t="s">
        <v>481</v>
      </c>
      <c r="B56" s="184" t="s">
        <v>451</v>
      </c>
      <c r="C56" s="61"/>
      <c r="D56" s="61"/>
      <c r="E56" s="61"/>
      <c r="F56" s="61"/>
      <c r="G56" s="67"/>
      <c r="H56" s="67"/>
      <c r="J56" s="67"/>
      <c r="K56" s="67"/>
      <c r="M56" s="67"/>
      <c r="N56" s="67"/>
    </row>
    <row r="57" spans="1:14" x14ac:dyDescent="0.25">
      <c r="A57" s="187" t="s">
        <v>482</v>
      </c>
      <c r="B57" s="184" t="s">
        <v>455</v>
      </c>
      <c r="C57" s="61"/>
      <c r="D57" s="61"/>
      <c r="E57" s="61"/>
      <c r="F57" s="61"/>
      <c r="G57" s="67"/>
      <c r="H57" s="67"/>
      <c r="J57" s="67"/>
      <c r="K57" s="67"/>
      <c r="M57" s="67"/>
      <c r="N57" s="67"/>
    </row>
    <row r="58" spans="1:14" x14ac:dyDescent="0.25">
      <c r="A58" s="187" t="s">
        <v>483</v>
      </c>
      <c r="B58" s="184" t="s">
        <v>456</v>
      </c>
      <c r="C58" s="61"/>
      <c r="D58" s="61"/>
      <c r="E58" s="61"/>
      <c r="F58" s="61"/>
      <c r="G58" s="67"/>
      <c r="H58" s="67"/>
      <c r="J58" s="67"/>
      <c r="K58" s="67"/>
      <c r="M58" s="67"/>
      <c r="N58" s="67"/>
    </row>
    <row r="59" spans="1:14" x14ac:dyDescent="0.25">
      <c r="A59" s="187" t="s">
        <v>484</v>
      </c>
      <c r="B59" s="184" t="s">
        <v>457</v>
      </c>
      <c r="C59" s="61"/>
      <c r="D59" s="61"/>
      <c r="E59" s="61"/>
      <c r="F59" s="61"/>
      <c r="G59" s="67"/>
      <c r="H59" s="67"/>
      <c r="J59" s="67"/>
      <c r="K59" s="67"/>
      <c r="M59" s="67"/>
      <c r="N59" s="67"/>
    </row>
    <row r="60" spans="1:14" x14ac:dyDescent="0.25">
      <c r="A60" s="187" t="s">
        <v>576</v>
      </c>
      <c r="B60" s="184" t="s">
        <v>458</v>
      </c>
      <c r="C60" s="61"/>
      <c r="D60" s="61"/>
      <c r="E60" s="61"/>
      <c r="F60" s="61"/>
      <c r="G60" s="67"/>
      <c r="H60" s="67"/>
      <c r="J60" s="67"/>
      <c r="K60" s="67"/>
      <c r="M60" s="67"/>
      <c r="N60" s="67"/>
    </row>
    <row r="61" spans="1:14" x14ac:dyDescent="0.25">
      <c r="A61" s="187" t="s">
        <v>577</v>
      </c>
      <c r="B61" s="184" t="s">
        <v>459</v>
      </c>
      <c r="C61" s="61"/>
      <c r="D61" s="61"/>
      <c r="E61" s="61"/>
      <c r="F61" s="61"/>
      <c r="G61" s="67"/>
      <c r="H61" s="67"/>
      <c r="J61" s="67"/>
      <c r="K61" s="67"/>
      <c r="M61" s="67"/>
      <c r="N61" s="67"/>
    </row>
    <row r="62" spans="1:14" x14ac:dyDescent="0.25">
      <c r="A62" s="187" t="s">
        <v>578</v>
      </c>
      <c r="B62" s="184" t="s">
        <v>460</v>
      </c>
      <c r="C62" s="61"/>
      <c r="D62" s="61"/>
      <c r="E62" s="61"/>
      <c r="F62" s="61"/>
      <c r="G62" s="67"/>
      <c r="H62" s="67"/>
      <c r="J62" s="67"/>
      <c r="K62" s="67"/>
      <c r="M62" s="67"/>
      <c r="N62" s="67"/>
    </row>
    <row r="63" spans="1:14" x14ac:dyDescent="0.25">
      <c r="A63" s="57"/>
      <c r="C63" s="61"/>
      <c r="D63" s="61"/>
      <c r="E63" s="61"/>
      <c r="F63" s="61"/>
      <c r="G63" s="67"/>
      <c r="H63" s="67"/>
      <c r="J63" s="67"/>
      <c r="K63" s="67"/>
      <c r="M63" s="67"/>
      <c r="N63" s="67"/>
    </row>
    <row r="64" spans="1:14" x14ac:dyDescent="0.25">
      <c r="A64" s="57"/>
      <c r="C64" s="61"/>
      <c r="D64" s="61"/>
      <c r="E64" s="61"/>
      <c r="F64" s="61"/>
      <c r="G64" s="67"/>
      <c r="H64" s="67"/>
      <c r="J64" s="67"/>
      <c r="K64" s="67"/>
      <c r="M64" s="67"/>
      <c r="N64" s="67"/>
    </row>
    <row r="65" spans="1:2" s="63" customFormat="1" x14ac:dyDescent="0.25"/>
    <row r="66" spans="1:2" x14ac:dyDescent="0.25">
      <c r="A66" s="48"/>
      <c r="B66" s="48"/>
    </row>
    <row r="67" spans="1:2" x14ac:dyDescent="0.25">
      <c r="A67" s="48"/>
      <c r="B67" s="48"/>
    </row>
    <row r="68" spans="1:2" x14ac:dyDescent="0.25">
      <c r="A68" s="48"/>
      <c r="B68" s="48"/>
    </row>
    <row r="69" spans="1:2" x14ac:dyDescent="0.25">
      <c r="A69" s="90"/>
      <c r="B69" s="89"/>
    </row>
    <row r="70" spans="1:2" x14ac:dyDescent="0.25">
      <c r="A70" s="90"/>
      <c r="B70" s="89"/>
    </row>
    <row r="71" spans="1:2" x14ac:dyDescent="0.25">
      <c r="A71" s="90"/>
      <c r="B71" s="89"/>
    </row>
    <row r="72" spans="1:2" x14ac:dyDescent="0.25">
      <c r="A72" s="48"/>
      <c r="B72" s="48"/>
    </row>
    <row r="73" spans="1:2" x14ac:dyDescent="0.25">
      <c r="A73" s="48"/>
      <c r="B73" s="48"/>
    </row>
    <row r="74" spans="1:2" x14ac:dyDescent="0.25">
      <c r="A74" s="48"/>
      <c r="B74" s="48"/>
    </row>
    <row r="75" spans="1:2" x14ac:dyDescent="0.25">
      <c r="A75" s="48"/>
      <c r="B75" s="48"/>
    </row>
    <row r="76" spans="1:2" x14ac:dyDescent="0.25">
      <c r="A76" s="48"/>
      <c r="B76" s="48"/>
    </row>
  </sheetData>
  <phoneticPr fontId="13" type="noConversion"/>
  <printOptions horizontalCentered="1"/>
  <pageMargins left="0.75" right="0.75" top="1" bottom="1" header="0.5" footer="0.5"/>
  <pageSetup scale="53" orientation="portrait" r:id="rId1"/>
  <headerFooter alignWithMargins="0">
    <oddHeader>&amp;RPage 6 of 42</oddHeader>
    <oddFooter>&amp;R&amp;F</oddFooter>
  </headerFooter>
  <ignoredErrors>
    <ignoredError sqref="G32 J32 M32" unlockedFormula="1"/>
    <ignoredError sqref="G43 J43 M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I62"/>
  <sheetViews>
    <sheetView zoomScale="75" workbookViewId="0"/>
  </sheetViews>
  <sheetFormatPr defaultColWidth="9.33203125" defaultRowHeight="13.2" x14ac:dyDescent="0.25"/>
  <cols>
    <col min="1" max="1" width="9.6640625" style="5" customWidth="1"/>
    <col min="2" max="2" width="19" style="5" customWidth="1"/>
    <col min="3" max="3" width="19.5546875" style="5" customWidth="1"/>
    <col min="4" max="4" width="22.33203125" style="5" customWidth="1"/>
    <col min="5" max="5" width="21" style="5" customWidth="1"/>
    <col min="6" max="6" width="21.6640625" style="5" customWidth="1"/>
    <col min="7" max="7" width="16.6640625" style="5" customWidth="1"/>
    <col min="8" max="8" width="21.33203125" style="5" customWidth="1"/>
    <col min="9" max="9" width="14.33203125" style="5" customWidth="1"/>
    <col min="10" max="16384" width="9.33203125" style="5"/>
  </cols>
  <sheetData>
    <row r="1" spans="1:9" ht="17.399999999999999" x14ac:dyDescent="0.3">
      <c r="A1" s="167" t="s">
        <v>609</v>
      </c>
      <c r="B1" s="32"/>
      <c r="C1" s="32"/>
      <c r="D1" s="32"/>
      <c r="E1" s="32"/>
      <c r="F1" s="32"/>
    </row>
    <row r="2" spans="1:9" x14ac:dyDescent="0.25">
      <c r="D2" s="241"/>
      <c r="E2" s="68"/>
      <c r="F2" s="34"/>
      <c r="G2" s="68"/>
      <c r="H2" s="241"/>
      <c r="I2" s="68"/>
    </row>
    <row r="3" spans="1:9" x14ac:dyDescent="0.25">
      <c r="D3" s="241"/>
      <c r="E3" s="68"/>
      <c r="F3" s="34"/>
      <c r="G3" s="68"/>
      <c r="H3" s="241"/>
      <c r="I3" s="68"/>
    </row>
    <row r="4" spans="1:9" x14ac:dyDescent="0.25">
      <c r="C4" s="24" t="s">
        <v>133</v>
      </c>
      <c r="D4" s="24" t="s">
        <v>117</v>
      </c>
      <c r="E4" s="242" t="s">
        <v>118</v>
      </c>
      <c r="F4" s="34"/>
      <c r="G4" s="68"/>
      <c r="H4" s="68"/>
      <c r="I4" s="68"/>
    </row>
    <row r="5" spans="1:9" ht="39" customHeight="1" x14ac:dyDescent="0.25">
      <c r="C5" s="243" t="s">
        <v>263</v>
      </c>
      <c r="D5" s="243" t="s">
        <v>157</v>
      </c>
      <c r="E5" s="243" t="s">
        <v>264</v>
      </c>
      <c r="F5" s="34"/>
      <c r="G5" s="68"/>
      <c r="H5" s="68"/>
      <c r="I5" s="68"/>
    </row>
    <row r="6" spans="1:9" x14ac:dyDescent="0.25">
      <c r="F6" s="34"/>
      <c r="G6" s="68"/>
      <c r="H6" s="68"/>
      <c r="I6" s="68"/>
    </row>
    <row r="7" spans="1:9" x14ac:dyDescent="0.25">
      <c r="A7" s="4" t="s">
        <v>279</v>
      </c>
      <c r="B7" s="4" t="s">
        <v>22</v>
      </c>
      <c r="C7" s="69">
        <f>'CS Data By Shape'!$B$36</f>
        <v>90743.322176191985</v>
      </c>
      <c r="D7" s="6">
        <f>'Other Inputs'!$G$22</f>
        <v>0.8357</v>
      </c>
      <c r="E7" s="69">
        <f>C7*D7</f>
        <v>75834.194342643648</v>
      </c>
      <c r="F7"/>
      <c r="G7"/>
      <c r="H7" s="68"/>
      <c r="I7" s="68"/>
    </row>
    <row r="8" spans="1:9" x14ac:dyDescent="0.25">
      <c r="A8" s="4"/>
      <c r="B8" s="4" t="s">
        <v>158</v>
      </c>
      <c r="C8" s="69">
        <f>'CS Data By Shape'!$B$55*'Piggyback Factors'!$D$63</f>
        <v>70501.306227218054</v>
      </c>
      <c r="D8" s="6">
        <f>'Other Inputs'!$G$22</f>
        <v>0.8357</v>
      </c>
      <c r="E8" s="69">
        <f>C8*D8</f>
        <v>58917.941614086129</v>
      </c>
      <c r="F8"/>
      <c r="G8"/>
      <c r="H8" s="68"/>
      <c r="I8" s="68"/>
    </row>
    <row r="9" spans="1:9" x14ac:dyDescent="0.25">
      <c r="A9" s="4"/>
      <c r="B9" s="4"/>
      <c r="C9" s="244"/>
      <c r="D9"/>
      <c r="E9"/>
      <c r="F9"/>
      <c r="G9"/>
      <c r="H9" s="68"/>
      <c r="I9" s="68"/>
    </row>
    <row r="10" spans="1:9" x14ac:dyDescent="0.25">
      <c r="A10" s="4" t="s">
        <v>280</v>
      </c>
      <c r="B10" s="4" t="s">
        <v>22</v>
      </c>
      <c r="C10" s="69">
        <f>'CS Data By Shape'!$C$36</f>
        <v>67135.191385940896</v>
      </c>
      <c r="D10" s="6">
        <f>'Other Inputs'!$G$22</f>
        <v>0.8357</v>
      </c>
      <c r="E10" s="69">
        <f>C10*D10</f>
        <v>56104.879441230805</v>
      </c>
      <c r="F10" s="102"/>
      <c r="G10"/>
      <c r="H10" s="68"/>
      <c r="I10" s="68"/>
    </row>
    <row r="11" spans="1:9" x14ac:dyDescent="0.25">
      <c r="A11" s="4"/>
      <c r="B11" s="4" t="s">
        <v>158</v>
      </c>
      <c r="C11" s="69">
        <f>'CS Data By Shape'!$C$55*'Piggyback Factors'!$D$63</f>
        <v>69053.865937209208</v>
      </c>
      <c r="D11" s="6">
        <f>'Other Inputs'!$G$22</f>
        <v>0.8357</v>
      </c>
      <c r="E11" s="69">
        <f>C11*D11</f>
        <v>57708.315763725732</v>
      </c>
      <c r="F11" s="102"/>
      <c r="G11"/>
      <c r="H11" s="68"/>
      <c r="I11" s="68"/>
    </row>
    <row r="12" spans="1:9" x14ac:dyDescent="0.25">
      <c r="A12" s="4"/>
      <c r="B12" s="4"/>
      <c r="E12" s="245"/>
      <c r="G12"/>
      <c r="H12" s="68"/>
      <c r="I12" s="68"/>
    </row>
    <row r="13" spans="1:9" x14ac:dyDescent="0.25">
      <c r="A13" s="4" t="s">
        <v>552</v>
      </c>
      <c r="B13" s="4" t="s">
        <v>22</v>
      </c>
      <c r="C13" s="69">
        <f>'CS Data By Shape'!$D$36</f>
        <v>508.32879289454866</v>
      </c>
      <c r="D13" s="6">
        <f>'Other Inputs'!$G$22</f>
        <v>0.8357</v>
      </c>
      <c r="E13" s="69">
        <f>C13*D13</f>
        <v>424.81037222197432</v>
      </c>
      <c r="G13"/>
      <c r="H13" s="68"/>
      <c r="I13" s="68"/>
    </row>
    <row r="14" spans="1:9" x14ac:dyDescent="0.25">
      <c r="A14" s="25"/>
      <c r="B14" s="4" t="s">
        <v>158</v>
      </c>
      <c r="C14" s="69">
        <f>'CS Data By Shape'!$D$55*'Piggyback Factors'!$D$63</f>
        <v>258.54171799262571</v>
      </c>
      <c r="D14" s="6">
        <f>'Other Inputs'!$G$22</f>
        <v>0.8357</v>
      </c>
      <c r="E14" s="69">
        <f>C14*D14</f>
        <v>216.06331372643731</v>
      </c>
      <c r="F14" s="102"/>
      <c r="G14"/>
      <c r="H14" s="68"/>
      <c r="I14" s="68"/>
    </row>
    <row r="15" spans="1:9" x14ac:dyDescent="0.25">
      <c r="A15" s="25"/>
      <c r="B15" s="4"/>
      <c r="C15" s="43"/>
      <c r="E15" s="245"/>
      <c r="G15"/>
      <c r="H15" s="68"/>
      <c r="I15" s="68"/>
    </row>
    <row r="16" spans="1:9" x14ac:dyDescent="0.25">
      <c r="A16" s="4" t="s">
        <v>26</v>
      </c>
      <c r="B16" s="4" t="s">
        <v>22</v>
      </c>
      <c r="C16" s="69">
        <f>C7+C10+C13</f>
        <v>158386.84235502745</v>
      </c>
      <c r="E16" s="245"/>
      <c r="G16"/>
      <c r="H16" s="68"/>
      <c r="I16" s="68"/>
    </row>
    <row r="17" spans="1:9" x14ac:dyDescent="0.25">
      <c r="A17" s="4"/>
      <c r="B17" s="4" t="s">
        <v>158</v>
      </c>
      <c r="C17" s="69">
        <f>C8+C11+C14</f>
        <v>139813.71388241989</v>
      </c>
      <c r="E17" s="245"/>
      <c r="G17"/>
      <c r="H17" s="68"/>
      <c r="I17" s="68"/>
    </row>
    <row r="18" spans="1:9" x14ac:dyDescent="0.25">
      <c r="A18" s="102"/>
      <c r="C18" s="43"/>
      <c r="E18" s="245"/>
      <c r="G18"/>
      <c r="H18" s="68"/>
      <c r="I18" s="68"/>
    </row>
    <row r="19" spans="1:9" x14ac:dyDescent="0.25">
      <c r="A19" s="102"/>
      <c r="C19" s="43"/>
      <c r="E19" s="245"/>
      <c r="F19" s="102"/>
      <c r="G19"/>
    </row>
    <row r="20" spans="1:9" x14ac:dyDescent="0.25">
      <c r="A20" s="25" t="s">
        <v>325</v>
      </c>
      <c r="C20" s="43"/>
      <c r="E20" s="245"/>
      <c r="F20" s="102"/>
      <c r="G20"/>
    </row>
    <row r="21" spans="1:9" x14ac:dyDescent="0.25">
      <c r="A21" s="4" t="s">
        <v>580</v>
      </c>
      <c r="E21" s="245"/>
      <c r="F21" s="102"/>
      <c r="G21"/>
    </row>
    <row r="22" spans="1:9" x14ac:dyDescent="0.25">
      <c r="A22" s="4" t="s">
        <v>579</v>
      </c>
      <c r="E22" s="245"/>
      <c r="F22" s="102"/>
      <c r="G22"/>
    </row>
    <row r="23" spans="1:9" x14ac:dyDescent="0.25">
      <c r="A23" s="192" t="s">
        <v>461</v>
      </c>
      <c r="E23" s="245"/>
      <c r="F23" s="102"/>
      <c r="G23"/>
    </row>
    <row r="24" spans="1:9" x14ac:dyDescent="0.25">
      <c r="A24" s="4" t="s">
        <v>462</v>
      </c>
      <c r="E24" s="245"/>
      <c r="G24"/>
    </row>
    <row r="25" spans="1:9" x14ac:dyDescent="0.25">
      <c r="E25" s="245"/>
      <c r="G25"/>
    </row>
    <row r="26" spans="1:9" x14ac:dyDescent="0.25">
      <c r="A26" s="102"/>
      <c r="E26" s="245"/>
      <c r="F26" s="102"/>
      <c r="G26"/>
    </row>
    <row r="27" spans="1:9" x14ac:dyDescent="0.25">
      <c r="F27" s="34"/>
      <c r="G27" s="68"/>
    </row>
    <row r="28" spans="1:9" x14ac:dyDescent="0.25">
      <c r="A28"/>
      <c r="B28"/>
    </row>
    <row r="29" spans="1:9" x14ac:dyDescent="0.25">
      <c r="A29"/>
      <c r="B29"/>
    </row>
    <row r="30" spans="1:9" x14ac:dyDescent="0.25">
      <c r="A30"/>
      <c r="B30"/>
    </row>
    <row r="35" spans="1:2" x14ac:dyDescent="0.25">
      <c r="A35"/>
      <c r="B35"/>
    </row>
    <row r="36" spans="1:2" x14ac:dyDescent="0.25">
      <c r="A36"/>
    </row>
    <row r="37" spans="1:2" x14ac:dyDescent="0.25">
      <c r="A37"/>
    </row>
    <row r="38" spans="1:2" x14ac:dyDescent="0.25">
      <c r="A38"/>
    </row>
    <row r="39" spans="1:2" x14ac:dyDescent="0.25">
      <c r="A39"/>
    </row>
    <row r="40" spans="1:2" x14ac:dyDescent="0.25">
      <c r="A40"/>
    </row>
    <row r="41" spans="1:2" x14ac:dyDescent="0.25">
      <c r="A41"/>
    </row>
    <row r="42" spans="1:2" x14ac:dyDescent="0.25">
      <c r="A42"/>
    </row>
    <row r="43" spans="1:2" x14ac:dyDescent="0.25">
      <c r="A43"/>
    </row>
    <row r="44" spans="1:2" x14ac:dyDescent="0.25">
      <c r="A44"/>
    </row>
    <row r="45" spans="1:2" x14ac:dyDescent="0.25">
      <c r="A45"/>
    </row>
    <row r="46" spans="1:2" x14ac:dyDescent="0.25">
      <c r="A46"/>
    </row>
    <row r="47" spans="1:2" x14ac:dyDescent="0.25">
      <c r="A47"/>
    </row>
    <row r="54" spans="1:1" x14ac:dyDescent="0.25">
      <c r="A54"/>
    </row>
    <row r="55" spans="1:1" x14ac:dyDescent="0.25">
      <c r="A55"/>
    </row>
    <row r="56" spans="1:1" x14ac:dyDescent="0.25">
      <c r="A56"/>
    </row>
    <row r="60" spans="1:1" x14ac:dyDescent="0.25">
      <c r="A60"/>
    </row>
    <row r="61" spans="1:1" x14ac:dyDescent="0.25">
      <c r="A61"/>
    </row>
    <row r="62" spans="1:1" x14ac:dyDescent="0.25">
      <c r="A62"/>
    </row>
  </sheetData>
  <phoneticPr fontId="13" type="noConversion"/>
  <printOptions horizontalCentered="1"/>
  <pageMargins left="0.75" right="0.75" top="1" bottom="1" header="0.5" footer="0.5"/>
  <pageSetup scale="69" orientation="portrait" r:id="rId1"/>
  <headerFooter alignWithMargins="0">
    <oddHeader>&amp;RPage 7 of 42</oddHeader>
    <oddFooter>&amp;R&amp;F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H32"/>
  <sheetViews>
    <sheetView zoomScale="75" workbookViewId="0"/>
  </sheetViews>
  <sheetFormatPr defaultColWidth="9.33203125" defaultRowHeight="13.2" x14ac:dyDescent="0.25"/>
  <cols>
    <col min="6" max="6" width="16.6640625" customWidth="1"/>
  </cols>
  <sheetData>
    <row r="1" spans="1:8" ht="15.6" x14ac:dyDescent="0.3">
      <c r="A1" s="180" t="s">
        <v>611</v>
      </c>
      <c r="B1" s="32"/>
      <c r="C1" s="32"/>
      <c r="D1" s="32"/>
      <c r="E1" s="32"/>
      <c r="F1" s="32"/>
      <c r="G1" s="5"/>
      <c r="H1" s="5"/>
    </row>
    <row r="2" spans="1:8" x14ac:dyDescent="0.25">
      <c r="A2" s="176"/>
      <c r="B2" s="32"/>
      <c r="C2" s="32"/>
      <c r="D2" s="32"/>
      <c r="E2" s="32"/>
      <c r="F2" s="32"/>
      <c r="G2" s="5"/>
      <c r="H2" s="5"/>
    </row>
    <row r="3" spans="1:8" x14ac:dyDescent="0.25">
      <c r="A3" s="104"/>
      <c r="B3" s="32"/>
      <c r="C3" s="32"/>
      <c r="D3" s="32"/>
      <c r="E3" s="32"/>
      <c r="F3" s="32"/>
      <c r="G3" s="5"/>
      <c r="H3" s="5"/>
    </row>
    <row r="4" spans="1:8" x14ac:dyDescent="0.25">
      <c r="A4" s="4" t="s">
        <v>279</v>
      </c>
      <c r="B4" s="5"/>
      <c r="C4" s="5"/>
      <c r="D4" s="5"/>
      <c r="E4" s="5"/>
      <c r="F4" s="47"/>
      <c r="G4" s="27"/>
      <c r="H4" s="5"/>
    </row>
    <row r="5" spans="1:8" x14ac:dyDescent="0.25">
      <c r="A5" s="5"/>
      <c r="B5" s="5"/>
      <c r="C5" s="5"/>
      <c r="D5" s="5"/>
      <c r="E5" s="5"/>
      <c r="F5" s="47"/>
      <c r="G5" s="27"/>
      <c r="H5" s="5"/>
    </row>
    <row r="6" spans="1:8" x14ac:dyDescent="0.25">
      <c r="A6" s="42" t="s">
        <v>24</v>
      </c>
      <c r="B6" s="5"/>
      <c r="C6" s="5"/>
      <c r="D6" s="5"/>
      <c r="E6" s="5"/>
      <c r="F6" s="46">
        <f>'CS Data By Shape'!$B$7</f>
        <v>2023843.9809999999</v>
      </c>
      <c r="G6" s="176" t="s">
        <v>36</v>
      </c>
      <c r="H6" s="5"/>
    </row>
    <row r="7" spans="1:8" x14ac:dyDescent="0.25">
      <c r="A7" s="5"/>
      <c r="B7" s="5"/>
      <c r="C7" s="5"/>
      <c r="D7" s="5"/>
      <c r="E7" s="5"/>
      <c r="F7" s="5"/>
      <c r="G7" s="176"/>
      <c r="H7" s="5"/>
    </row>
    <row r="8" spans="1:8" x14ac:dyDescent="0.25">
      <c r="A8" s="42" t="s">
        <v>612</v>
      </c>
      <c r="B8" s="5"/>
      <c r="C8" s="5"/>
      <c r="D8" s="5"/>
      <c r="E8" s="5"/>
      <c r="F8" s="68">
        <f>'Handling Costs'!$L$26</f>
        <v>29429.289529778176</v>
      </c>
      <c r="G8" s="176" t="s">
        <v>37</v>
      </c>
      <c r="H8" s="5"/>
    </row>
    <row r="9" spans="1:8" x14ac:dyDescent="0.25">
      <c r="A9" s="5"/>
      <c r="B9" s="5"/>
      <c r="C9" s="5"/>
      <c r="D9" s="5"/>
      <c r="E9" s="5"/>
      <c r="F9" s="7"/>
      <c r="G9" s="176"/>
      <c r="H9" s="5"/>
    </row>
    <row r="10" spans="1:8" x14ac:dyDescent="0.25">
      <c r="A10" s="42" t="s">
        <v>613</v>
      </c>
      <c r="B10" s="5"/>
      <c r="C10" s="5"/>
      <c r="D10" s="5"/>
      <c r="E10" s="5"/>
      <c r="F10" s="101">
        <f>F8/F6</f>
        <v>1.4541283718538864E-2</v>
      </c>
      <c r="G10" s="176" t="s">
        <v>38</v>
      </c>
      <c r="H10" s="5"/>
    </row>
    <row r="11" spans="1:8" x14ac:dyDescent="0.25">
      <c r="A11" s="5"/>
      <c r="B11" s="5"/>
      <c r="C11" s="5"/>
      <c r="D11" s="5"/>
      <c r="E11" s="5"/>
      <c r="F11" s="100"/>
      <c r="G11" s="176"/>
      <c r="H11" s="5"/>
    </row>
    <row r="12" spans="1:8" x14ac:dyDescent="0.25">
      <c r="A12" s="4" t="s">
        <v>280</v>
      </c>
      <c r="B12" s="5"/>
      <c r="C12" s="5"/>
      <c r="D12" s="5"/>
      <c r="E12" s="5"/>
      <c r="F12" s="47"/>
      <c r="G12" s="176"/>
      <c r="H12" s="5"/>
    </row>
    <row r="13" spans="1:8" x14ac:dyDescent="0.25">
      <c r="A13" s="5"/>
      <c r="B13" s="5"/>
      <c r="C13" s="5"/>
      <c r="D13" s="5"/>
      <c r="E13" s="5"/>
      <c r="F13" s="47"/>
      <c r="G13" s="176"/>
      <c r="H13" s="5"/>
    </row>
    <row r="14" spans="1:8" x14ac:dyDescent="0.25">
      <c r="A14" s="42" t="s">
        <v>24</v>
      </c>
      <c r="B14" s="5"/>
      <c r="C14" s="5"/>
      <c r="D14" s="5"/>
      <c r="E14" s="5"/>
      <c r="F14" s="46">
        <f>'CS Data By Shape'!$C$7</f>
        <v>1966890.6850000001</v>
      </c>
      <c r="G14" s="176" t="s">
        <v>36</v>
      </c>
      <c r="H14" s="5"/>
    </row>
    <row r="15" spans="1:8" x14ac:dyDescent="0.25">
      <c r="A15" s="5"/>
      <c r="B15" s="5"/>
      <c r="C15" s="5"/>
      <c r="D15" s="5"/>
      <c r="E15" s="5"/>
      <c r="F15" s="5"/>
      <c r="G15" s="176"/>
      <c r="H15" s="5"/>
    </row>
    <row r="16" spans="1:8" x14ac:dyDescent="0.25">
      <c r="A16" s="42" t="s">
        <v>612</v>
      </c>
      <c r="B16" s="5"/>
      <c r="C16" s="5"/>
      <c r="D16" s="5"/>
      <c r="E16" s="5"/>
      <c r="F16" s="68">
        <f>'Handling Costs'!$L$43</f>
        <v>10721.871357776041</v>
      </c>
      <c r="G16" s="176" t="s">
        <v>37</v>
      </c>
      <c r="H16" s="5"/>
    </row>
    <row r="17" spans="1:8" x14ac:dyDescent="0.25">
      <c r="A17" s="5"/>
      <c r="B17" s="5"/>
      <c r="C17" s="5"/>
      <c r="D17" s="5"/>
      <c r="E17" s="5"/>
      <c r="F17" s="7"/>
      <c r="G17" s="176"/>
      <c r="H17" s="5"/>
    </row>
    <row r="18" spans="1:8" x14ac:dyDescent="0.25">
      <c r="A18" s="42" t="s">
        <v>613</v>
      </c>
      <c r="B18" s="5"/>
      <c r="C18" s="5"/>
      <c r="D18" s="5"/>
      <c r="E18" s="5"/>
      <c r="F18" s="101">
        <f>F16/F14</f>
        <v>5.4511780647209891E-3</v>
      </c>
      <c r="G18" s="176" t="s">
        <v>38</v>
      </c>
      <c r="H18" s="5"/>
    </row>
    <row r="19" spans="1:8" x14ac:dyDescent="0.25">
      <c r="A19" s="5"/>
      <c r="B19" s="5"/>
      <c r="C19" s="5"/>
      <c r="D19" s="5"/>
      <c r="E19" s="5"/>
      <c r="F19" s="100"/>
      <c r="G19" s="176"/>
      <c r="H19" s="5"/>
    </row>
    <row r="20" spans="1:8" x14ac:dyDescent="0.25">
      <c r="A20" s="4" t="s">
        <v>552</v>
      </c>
      <c r="B20" s="5"/>
      <c r="C20" s="5"/>
      <c r="D20" s="5"/>
      <c r="E20" s="5"/>
      <c r="F20" s="47"/>
      <c r="G20" s="176"/>
      <c r="H20" s="5"/>
    </row>
    <row r="21" spans="1:8" x14ac:dyDescent="0.25">
      <c r="A21" s="5"/>
      <c r="B21" s="5"/>
      <c r="C21" s="5"/>
      <c r="D21" s="5"/>
      <c r="E21" s="5"/>
      <c r="F21" s="47"/>
      <c r="G21" s="176"/>
      <c r="H21" s="5"/>
    </row>
    <row r="22" spans="1:8" x14ac:dyDescent="0.25">
      <c r="A22" s="42" t="s">
        <v>24</v>
      </c>
      <c r="B22" s="5"/>
      <c r="C22" s="5"/>
      <c r="D22" s="5"/>
      <c r="E22" s="5"/>
      <c r="F22" s="46">
        <f>'CS Data By Shape'!$D$7</f>
        <v>4941.2060000000001</v>
      </c>
      <c r="G22" s="176" t="s">
        <v>36</v>
      </c>
      <c r="H22" s="5"/>
    </row>
    <row r="23" spans="1:8" x14ac:dyDescent="0.25">
      <c r="A23" s="5"/>
      <c r="B23" s="5"/>
      <c r="C23" s="5"/>
      <c r="D23" s="5"/>
      <c r="E23" s="5"/>
      <c r="F23" s="5"/>
      <c r="G23" s="176"/>
      <c r="H23" s="5"/>
    </row>
    <row r="24" spans="1:8" x14ac:dyDescent="0.25">
      <c r="A24" s="42" t="s">
        <v>612</v>
      </c>
      <c r="B24" s="5"/>
      <c r="C24" s="5"/>
      <c r="D24" s="5"/>
      <c r="E24" s="5"/>
      <c r="F24" s="68">
        <f>'Handling Costs'!$L$61</f>
        <v>329.50321054776566</v>
      </c>
      <c r="G24" s="176" t="s">
        <v>37</v>
      </c>
      <c r="H24" s="5"/>
    </row>
    <row r="25" spans="1:8" x14ac:dyDescent="0.25">
      <c r="A25" s="5"/>
      <c r="B25" s="5"/>
      <c r="C25" s="5"/>
      <c r="D25" s="5"/>
      <c r="E25" s="5"/>
      <c r="F25" s="7"/>
      <c r="G25" s="176"/>
      <c r="H25" s="5"/>
    </row>
    <row r="26" spans="1:8" x14ac:dyDescent="0.25">
      <c r="A26" s="42" t="s">
        <v>613</v>
      </c>
      <c r="B26" s="5"/>
      <c r="C26" s="5"/>
      <c r="D26" s="5"/>
      <c r="E26" s="5"/>
      <c r="F26" s="101">
        <f>F24/F22</f>
        <v>6.6684775042320774E-2</v>
      </c>
      <c r="G26" s="176" t="s">
        <v>38</v>
      </c>
      <c r="H26" s="5"/>
    </row>
    <row r="27" spans="1:8" x14ac:dyDescent="0.25">
      <c r="A27" s="5"/>
      <c r="B27" s="5"/>
      <c r="C27" s="5"/>
      <c r="D27" s="5"/>
      <c r="E27" s="5"/>
      <c r="F27" s="5"/>
      <c r="G27" s="5"/>
      <c r="H27" s="5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25" t="s">
        <v>325</v>
      </c>
      <c r="B29" s="5"/>
      <c r="C29" s="5"/>
      <c r="D29" s="5"/>
      <c r="E29" s="5"/>
      <c r="F29" s="5"/>
      <c r="G29" s="5"/>
      <c r="H29" s="5"/>
    </row>
    <row r="30" spans="1:8" x14ac:dyDescent="0.25">
      <c r="A30" s="4" t="s">
        <v>581</v>
      </c>
      <c r="B30" s="4"/>
      <c r="C30" s="5"/>
      <c r="D30" s="5"/>
      <c r="E30" s="5"/>
      <c r="F30" s="5"/>
      <c r="G30" s="5"/>
      <c r="H30" s="5"/>
    </row>
    <row r="31" spans="1:8" x14ac:dyDescent="0.25">
      <c r="A31" s="4" t="s">
        <v>582</v>
      </c>
      <c r="B31" s="4"/>
    </row>
    <row r="32" spans="1:8" x14ac:dyDescent="0.25">
      <c r="A32" s="4" t="s">
        <v>583</v>
      </c>
      <c r="B32" s="4"/>
    </row>
  </sheetData>
  <phoneticPr fontId="13" type="noConversion"/>
  <printOptions horizontalCentered="1"/>
  <pageMargins left="0.75" right="0.75" top="1" bottom="1" header="0.5" footer="0.5"/>
  <pageSetup orientation="portrait" r:id="rId1"/>
  <headerFooter alignWithMargins="0">
    <oddHeader>&amp;RPage 9 of 42</oddHeader>
    <oddFooter>&amp;R&amp;F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pageSetUpPr fitToPage="1"/>
  </sheetPr>
  <dimension ref="A1:K56"/>
  <sheetViews>
    <sheetView topLeftCell="A21" zoomScale="75" workbookViewId="0">
      <selection activeCell="G27" sqref="G27"/>
    </sheetView>
  </sheetViews>
  <sheetFormatPr defaultColWidth="9.33203125" defaultRowHeight="13.2" x14ac:dyDescent="0.25"/>
  <cols>
    <col min="1" max="1" width="4.6640625" style="92" customWidth="1"/>
    <col min="2" max="2" width="9.33203125" style="92"/>
    <col min="3" max="3" width="15.6640625" style="92" customWidth="1"/>
    <col min="4" max="4" width="3.6640625" style="92" customWidth="1"/>
    <col min="5" max="5" width="15.6640625" style="92" customWidth="1"/>
    <col min="6" max="6" width="3.6640625" style="92" customWidth="1"/>
    <col min="7" max="7" width="15.6640625" style="92" customWidth="1"/>
    <col min="8" max="8" width="3.6640625" style="92" customWidth="1"/>
    <col min="9" max="9" width="15.6640625" style="92" customWidth="1"/>
    <col min="10" max="10" width="3.6640625" style="92" customWidth="1"/>
    <col min="11" max="11" width="3.6640625" style="99" customWidth="1"/>
    <col min="12" max="16384" width="9.33203125" style="92"/>
  </cols>
  <sheetData>
    <row r="1" spans="1:11" ht="15.6" x14ac:dyDescent="0.3">
      <c r="A1" s="169" t="s">
        <v>610</v>
      </c>
      <c r="B1" s="91"/>
      <c r="C1" s="91"/>
      <c r="D1" s="91"/>
      <c r="E1" s="91"/>
      <c r="F1" s="91"/>
      <c r="G1" s="91"/>
      <c r="H1" s="91"/>
      <c r="I1" s="91"/>
      <c r="J1" s="91"/>
    </row>
    <row r="6" spans="1:11" x14ac:dyDescent="0.25">
      <c r="A6" s="99" t="s">
        <v>563</v>
      </c>
      <c r="D6" s="92" t="s">
        <v>230</v>
      </c>
      <c r="K6" s="99" t="s">
        <v>36</v>
      </c>
    </row>
    <row r="8" spans="1:11" ht="15.6" x14ac:dyDescent="0.25">
      <c r="B8" s="93" t="s">
        <v>107</v>
      </c>
      <c r="C8" s="206" t="s">
        <v>560</v>
      </c>
    </row>
    <row r="9" spans="1:11" ht="15.6" x14ac:dyDescent="0.25">
      <c r="B9" s="93" t="s">
        <v>108</v>
      </c>
      <c r="C9" s="206" t="s">
        <v>636</v>
      </c>
    </row>
    <row r="11" spans="1:11" ht="15.6" x14ac:dyDescent="0.25">
      <c r="B11" s="93" t="s">
        <v>260</v>
      </c>
      <c r="C11" s="206" t="s">
        <v>561</v>
      </c>
    </row>
    <row r="12" spans="1:11" ht="15.6" x14ac:dyDescent="0.25">
      <c r="B12" s="93" t="s">
        <v>258</v>
      </c>
      <c r="C12" s="206" t="s">
        <v>637</v>
      </c>
    </row>
    <row r="14" spans="1:11" ht="15.6" x14ac:dyDescent="0.25">
      <c r="B14" s="93" t="s">
        <v>109</v>
      </c>
      <c r="C14" s="206" t="s">
        <v>562</v>
      </c>
    </row>
    <row r="15" spans="1:11" ht="15.6" x14ac:dyDescent="0.25">
      <c r="B15" s="93" t="s">
        <v>110</v>
      </c>
      <c r="C15" s="206" t="s">
        <v>638</v>
      </c>
    </row>
    <row r="17" spans="1:11" ht="15.6" x14ac:dyDescent="0.25">
      <c r="B17" s="93" t="s">
        <v>111</v>
      </c>
      <c r="C17" s="206" t="s">
        <v>639</v>
      </c>
    </row>
    <row r="19" spans="1:11" x14ac:dyDescent="0.25">
      <c r="A19" s="93" t="s">
        <v>112</v>
      </c>
    </row>
    <row r="20" spans="1:11" x14ac:dyDescent="0.25">
      <c r="A20" s="93"/>
    </row>
    <row r="21" spans="1:11" x14ac:dyDescent="0.25">
      <c r="A21" s="93"/>
      <c r="C21" s="246" t="s">
        <v>279</v>
      </c>
      <c r="E21" s="246" t="s">
        <v>280</v>
      </c>
      <c r="G21" s="246" t="s">
        <v>552</v>
      </c>
    </row>
    <row r="23" spans="1:11" ht="15.6" x14ac:dyDescent="0.25">
      <c r="B23" s="93" t="s">
        <v>107</v>
      </c>
      <c r="C23" s="95">
        <f>'Entry Profile L&amp;F'!$G$8+'Entry Profile L&amp;F'!$G$9+'Entry Profile L&amp;F'!$G$10</f>
        <v>0.16020908588273544</v>
      </c>
      <c r="E23" s="95">
        <f>'Entry Profile L&amp;F'!$I$8+'Entry Profile L&amp;F'!$I$9+'Entry Profile L&amp;F'!$I$10</f>
        <v>0.1267516625629046</v>
      </c>
      <c r="G23" s="95">
        <f>'Entry Profile P'!$G$23+'Entry Profile P'!$G$24+'Entry Profile P'!$G$25</f>
        <v>0.49507190178879501</v>
      </c>
      <c r="K23" s="195" t="s">
        <v>37</v>
      </c>
    </row>
    <row r="24" spans="1:11" ht="15.6" x14ac:dyDescent="0.25">
      <c r="B24" s="96" t="s">
        <v>113</v>
      </c>
      <c r="C24" s="247" t="s">
        <v>286</v>
      </c>
      <c r="E24" s="247" t="s">
        <v>286</v>
      </c>
      <c r="G24" s="247" t="s">
        <v>286</v>
      </c>
      <c r="K24" s="195" t="s">
        <v>38</v>
      </c>
    </row>
    <row r="25" spans="1:11" x14ac:dyDescent="0.25">
      <c r="K25" s="195"/>
    </row>
    <row r="26" spans="1:11" ht="15.6" x14ac:dyDescent="0.25">
      <c r="B26" s="93" t="s">
        <v>260</v>
      </c>
      <c r="C26" s="95">
        <f>'Entry Profile L&amp;F'!$G$11</f>
        <v>6.7539306754731271E-2</v>
      </c>
      <c r="E26" s="95">
        <f>'Entry Profile L&amp;F'!$I$11</f>
        <v>5.0900412337427467E-2</v>
      </c>
      <c r="G26" s="95">
        <f>'Entry Profile P'!$G$26</f>
        <v>0.24782195716620409</v>
      </c>
      <c r="K26" s="195" t="s">
        <v>39</v>
      </c>
    </row>
    <row r="27" spans="1:11" ht="15.6" x14ac:dyDescent="0.25">
      <c r="B27" s="93" t="s">
        <v>258</v>
      </c>
      <c r="C27" s="309">
        <f>'Facility NonTrans CPP'!$B$40+'Flow Proportions'!$E$48*'Facility NonTrans CPP'!$B$49</f>
        <v>1.9121772928455807E-2</v>
      </c>
      <c r="E27" s="309">
        <f>'Facility NonTrans CPP'!$F$40+'Flow Proportions'!$E$48*'Facility NonTrans CPP'!$F$49</f>
        <v>8.4241547406626472E-3</v>
      </c>
      <c r="G27" s="309">
        <f>'Facility NonTrans CPP'!$J$40+'Flow Proportions'!$E$48*'Facility NonTrans CPP'!$J$49</f>
        <v>6.6046936754196248E-2</v>
      </c>
      <c r="K27" s="195" t="s">
        <v>40</v>
      </c>
    </row>
    <row r="28" spans="1:11" x14ac:dyDescent="0.25">
      <c r="K28" s="195"/>
    </row>
    <row r="29" spans="1:11" ht="15.6" x14ac:dyDescent="0.25">
      <c r="B29" s="93" t="s">
        <v>109</v>
      </c>
      <c r="C29" s="95">
        <f>'Entry Profile L&amp;F'!$G$12</f>
        <v>0.75042883961525719</v>
      </c>
      <c r="E29" s="95">
        <f>'Entry Profile L&amp;F'!$I$12</f>
        <v>0.55529925580540229</v>
      </c>
      <c r="G29" s="95">
        <f>'Entry Profile P'!$G$27</f>
        <v>0.23124213600213292</v>
      </c>
      <c r="K29" s="195" t="s">
        <v>41</v>
      </c>
    </row>
    <row r="30" spans="1:11" ht="15.6" x14ac:dyDescent="0.25">
      <c r="B30" s="93" t="s">
        <v>110</v>
      </c>
      <c r="C30" s="309">
        <f>'Facility NonTrans CPP'!$B$49</f>
        <v>1.1201471766743496E-2</v>
      </c>
      <c r="E30" s="309">
        <f>'Facility NonTrans CPP'!$F$49</f>
        <v>5.9848639600552983E-3</v>
      </c>
      <c r="G30" s="309">
        <f>'Facility NonTrans CPP'!$J$49</f>
        <v>6.2016210736727508E-2</v>
      </c>
      <c r="K30" s="195" t="s">
        <v>42</v>
      </c>
    </row>
    <row r="31" spans="1:11" x14ac:dyDescent="0.25">
      <c r="K31" s="195"/>
    </row>
    <row r="32" spans="1:11" ht="15.6" x14ac:dyDescent="0.25">
      <c r="B32" s="93" t="s">
        <v>111</v>
      </c>
      <c r="C32" s="309">
        <f>'NonTrans CPP'!$F$10</f>
        <v>1.4541283718538864E-2</v>
      </c>
      <c r="E32" s="309">
        <f>'NonTrans CPP'!$F$18</f>
        <v>5.4511780647209891E-3</v>
      </c>
      <c r="G32" s="309">
        <f>'NonTrans CPP'!$F$26</f>
        <v>6.6684775042320774E-2</v>
      </c>
      <c r="K32" s="195" t="s">
        <v>216</v>
      </c>
    </row>
    <row r="33" spans="1:11" x14ac:dyDescent="0.25">
      <c r="K33" s="195"/>
    </row>
    <row r="34" spans="1:11" ht="16.2" x14ac:dyDescent="0.25">
      <c r="B34" s="97" t="s">
        <v>114</v>
      </c>
      <c r="C34" s="310">
        <f>(C32-(C26*C27)-(C29*C30))/C23</f>
        <v>3.0234895508202731E-2</v>
      </c>
      <c r="E34" s="310">
        <f>(E32-(E26*E27)-(E29*E30))/E23</f>
        <v>1.3404120919270035E-2</v>
      </c>
      <c r="F34" s="31"/>
      <c r="G34" s="310">
        <f>(G32-(G26*G27)-(G29*G30))/G23</f>
        <v>7.2668500764343585E-2</v>
      </c>
      <c r="K34" s="195" t="s">
        <v>289</v>
      </c>
    </row>
    <row r="35" spans="1:11" x14ac:dyDescent="0.25">
      <c r="D35" s="98"/>
      <c r="F35" s="95"/>
      <c r="K35" s="163"/>
    </row>
    <row r="36" spans="1:11" x14ac:dyDescent="0.25">
      <c r="D36" s="98"/>
      <c r="F36" s="95"/>
      <c r="K36" s="163"/>
    </row>
    <row r="37" spans="1:11" x14ac:dyDescent="0.25">
      <c r="A37" s="99" t="s">
        <v>115</v>
      </c>
      <c r="D37" s="98"/>
      <c r="F37" s="95"/>
      <c r="K37" s="163"/>
    </row>
    <row r="38" spans="1:11" x14ac:dyDescent="0.25">
      <c r="C38" s="248"/>
      <c r="E38" s="248"/>
      <c r="G38" s="248"/>
      <c r="K38" s="196"/>
    </row>
    <row r="39" spans="1:11" x14ac:dyDescent="0.25">
      <c r="B39" s="92" t="s">
        <v>116</v>
      </c>
      <c r="C39" s="311">
        <f>C34</f>
        <v>3.0234895508202731E-2</v>
      </c>
      <c r="E39" s="311">
        <f>E34</f>
        <v>1.3404120919270035E-2</v>
      </c>
      <c r="F39" s="36"/>
      <c r="G39" s="311">
        <f>G34</f>
        <v>7.2668500764343585E-2</v>
      </c>
      <c r="K39" s="195" t="s">
        <v>290</v>
      </c>
    </row>
    <row r="40" spans="1:11" x14ac:dyDescent="0.25">
      <c r="A40" s="94"/>
      <c r="B40" s="162" t="s">
        <v>15</v>
      </c>
      <c r="C40" s="311">
        <f>C34-C30</f>
        <v>1.9033423741459235E-2</v>
      </c>
      <c r="E40" s="311">
        <f>E34-E30</f>
        <v>7.4192569592147371E-3</v>
      </c>
      <c r="F40" s="36"/>
      <c r="G40" s="311">
        <f>G34-G30</f>
        <v>1.0652290027616078E-2</v>
      </c>
      <c r="K40" s="195" t="s">
        <v>291</v>
      </c>
    </row>
    <row r="41" spans="1:11" x14ac:dyDescent="0.25">
      <c r="A41" s="94"/>
      <c r="B41" s="162" t="s">
        <v>229</v>
      </c>
      <c r="C41" s="311">
        <f>C34-C27</f>
        <v>1.1113122579746924E-2</v>
      </c>
      <c r="E41" s="311">
        <f>E34-E27</f>
        <v>4.9799661786073882E-3</v>
      </c>
      <c r="F41" s="36"/>
      <c r="G41" s="311">
        <f>G34-G27</f>
        <v>6.6215640101473378E-3</v>
      </c>
      <c r="K41" s="195" t="s">
        <v>292</v>
      </c>
    </row>
    <row r="42" spans="1:11" x14ac:dyDescent="0.25">
      <c r="A42" s="94"/>
      <c r="B42" s="94"/>
    </row>
    <row r="43" spans="1:11" x14ac:dyDescent="0.25">
      <c r="A43" s="94"/>
      <c r="B43" s="94"/>
    </row>
    <row r="44" spans="1:11" x14ac:dyDescent="0.25">
      <c r="A44" s="197" t="s">
        <v>325</v>
      </c>
      <c r="B44" s="94"/>
    </row>
    <row r="45" spans="1:11" x14ac:dyDescent="0.25">
      <c r="A45" s="198" t="s">
        <v>564</v>
      </c>
      <c r="B45" s="99" t="s">
        <v>470</v>
      </c>
      <c r="C45" s="99"/>
    </row>
    <row r="46" spans="1:11" x14ac:dyDescent="0.25">
      <c r="A46" s="198" t="s">
        <v>565</v>
      </c>
      <c r="B46" s="99" t="s">
        <v>441</v>
      </c>
      <c r="C46" s="99"/>
    </row>
    <row r="47" spans="1:11" ht="15.6" x14ac:dyDescent="0.25">
      <c r="A47" s="198" t="s">
        <v>566</v>
      </c>
      <c r="B47" s="99" t="s">
        <v>471</v>
      </c>
      <c r="C47" s="99"/>
    </row>
    <row r="48" spans="1:11" x14ac:dyDescent="0.25">
      <c r="A48" s="198" t="s">
        <v>567</v>
      </c>
      <c r="B48" s="99" t="s">
        <v>441</v>
      </c>
      <c r="C48" s="99"/>
    </row>
    <row r="49" spans="1:3" x14ac:dyDescent="0.25">
      <c r="A49" s="198" t="s">
        <v>568</v>
      </c>
      <c r="B49" s="99" t="s">
        <v>473</v>
      </c>
      <c r="C49" s="99"/>
    </row>
    <row r="50" spans="1:3" x14ac:dyDescent="0.25">
      <c r="A50" s="198" t="s">
        <v>569</v>
      </c>
      <c r="B50" s="99" t="s">
        <v>472</v>
      </c>
      <c r="C50" s="99"/>
    </row>
    <row r="51" spans="1:3" x14ac:dyDescent="0.25">
      <c r="A51" s="198" t="s">
        <v>570</v>
      </c>
      <c r="B51" s="99" t="s">
        <v>474</v>
      </c>
      <c r="C51" s="99"/>
    </row>
    <row r="52" spans="1:3" x14ac:dyDescent="0.25">
      <c r="A52" s="198" t="s">
        <v>571</v>
      </c>
      <c r="B52" s="99" t="s">
        <v>475</v>
      </c>
      <c r="C52" s="99"/>
    </row>
    <row r="53" spans="1:3" x14ac:dyDescent="0.25">
      <c r="A53" s="198" t="s">
        <v>572</v>
      </c>
      <c r="B53" s="99" t="s">
        <v>203</v>
      </c>
      <c r="C53" s="99"/>
    </row>
    <row r="54" spans="1:3" x14ac:dyDescent="0.25">
      <c r="A54" s="198" t="s">
        <v>573</v>
      </c>
      <c r="B54" s="99" t="s">
        <v>198</v>
      </c>
      <c r="C54" s="99"/>
    </row>
    <row r="55" spans="1:3" x14ac:dyDescent="0.25">
      <c r="A55" s="198" t="s">
        <v>574</v>
      </c>
      <c r="B55" s="99" t="s">
        <v>199</v>
      </c>
      <c r="C55" s="99"/>
    </row>
    <row r="56" spans="1:3" x14ac:dyDescent="0.25">
      <c r="A56" s="198" t="s">
        <v>575</v>
      </c>
      <c r="B56" s="99" t="s">
        <v>200</v>
      </c>
      <c r="C56" s="99"/>
    </row>
  </sheetData>
  <phoneticPr fontId="13" type="noConversion"/>
  <printOptions horizontalCentered="1"/>
  <pageMargins left="0.75" right="0.75" top="1" bottom="1" header="0.5" footer="0.5"/>
  <pageSetup scale="87" orientation="portrait" r:id="rId1"/>
  <headerFooter alignWithMargins="0">
    <oddHeader>&amp;RPage 8 of 42</oddHeader>
    <oddFooter>&amp;R&amp;F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R96"/>
  <sheetViews>
    <sheetView topLeftCell="A9" zoomScale="75" workbookViewId="0">
      <selection activeCell="O24" sqref="O24"/>
    </sheetView>
  </sheetViews>
  <sheetFormatPr defaultColWidth="9.33203125" defaultRowHeight="13.2" x14ac:dyDescent="0.25"/>
  <cols>
    <col min="1" max="1" width="17" style="227" customWidth="1"/>
    <col min="2" max="2" width="7.5546875" style="228" customWidth="1"/>
    <col min="3" max="3" width="19.44140625" style="227" customWidth="1"/>
    <col min="4" max="4" width="12.6640625" style="227" customWidth="1"/>
    <col min="5" max="5" width="14.6640625" style="227" customWidth="1"/>
    <col min="6" max="6" width="4.5546875" style="227" customWidth="1"/>
    <col min="7" max="7" width="12.6640625" style="227" customWidth="1"/>
    <col min="8" max="8" width="15.6640625" style="251" customWidth="1"/>
    <col min="9" max="12" width="15.6640625" style="227" customWidth="1"/>
    <col min="13" max="13" width="9.6640625" style="227" customWidth="1"/>
    <col min="14" max="14" width="10.6640625" style="255" customWidth="1"/>
    <col min="15" max="16" width="11.6640625" style="227" customWidth="1"/>
    <col min="17" max="17" width="9.33203125" style="253"/>
    <col min="18" max="18" width="10.33203125" style="227" customWidth="1"/>
    <col min="19" max="16384" width="9.33203125" style="227"/>
  </cols>
  <sheetData>
    <row r="1" spans="1:16" ht="17.399999999999999" x14ac:dyDescent="0.3">
      <c r="A1" s="167" t="s">
        <v>440</v>
      </c>
      <c r="B1" s="249"/>
      <c r="C1" s="250"/>
      <c r="D1" s="250"/>
      <c r="E1" s="250"/>
      <c r="F1" s="250"/>
      <c r="G1" s="250"/>
      <c r="I1" s="250"/>
      <c r="J1" s="250"/>
      <c r="K1" s="250"/>
      <c r="L1" s="250"/>
      <c r="M1" s="250"/>
      <c r="N1" s="252"/>
    </row>
    <row r="2" spans="1:16" x14ac:dyDescent="0.25">
      <c r="A2" s="176"/>
      <c r="B2" s="249"/>
      <c r="C2" s="250"/>
      <c r="D2" s="250"/>
      <c r="E2" s="250"/>
      <c r="F2" s="250"/>
      <c r="G2" s="250"/>
      <c r="I2" s="250"/>
      <c r="J2" s="250"/>
      <c r="K2" s="250"/>
      <c r="L2" s="250"/>
      <c r="M2" s="250"/>
      <c r="N2" s="252"/>
      <c r="P2" s="250"/>
    </row>
    <row r="3" spans="1:16" x14ac:dyDescent="0.25">
      <c r="A3" s="38"/>
      <c r="C3" s="254" t="s">
        <v>133</v>
      </c>
    </row>
    <row r="4" spans="1:16" x14ac:dyDescent="0.25">
      <c r="A4" s="256" t="s">
        <v>265</v>
      </c>
      <c r="B4" s="257"/>
      <c r="C4" s="258">
        <f>'CS Data By Shape'!$E$7</f>
        <v>3995675.872</v>
      </c>
      <c r="D4" s="259"/>
    </row>
    <row r="5" spans="1:16" x14ac:dyDescent="0.25">
      <c r="A5" s="256" t="s">
        <v>273</v>
      </c>
      <c r="B5" s="257"/>
      <c r="C5" s="258">
        <f>'CS Data By Shape'!$B$7</f>
        <v>2023843.9809999999</v>
      </c>
      <c r="D5" s="259"/>
    </row>
    <row r="6" spans="1:16" x14ac:dyDescent="0.25">
      <c r="A6" s="256" t="s">
        <v>274</v>
      </c>
      <c r="B6" s="257"/>
      <c r="C6" s="258">
        <f>'CS Data By Shape'!$C$7</f>
        <v>1966890.6850000001</v>
      </c>
      <c r="D6" s="259"/>
    </row>
    <row r="7" spans="1:16" x14ac:dyDescent="0.25">
      <c r="A7" s="256" t="s">
        <v>275</v>
      </c>
      <c r="B7" s="257"/>
      <c r="C7" s="258">
        <f>'CS Data By Shape'!$D$7</f>
        <v>4941.2060000000001</v>
      </c>
      <c r="D7" s="259"/>
    </row>
    <row r="8" spans="1:16" x14ac:dyDescent="0.25">
      <c r="C8" s="255"/>
    </row>
    <row r="9" spans="1:16" x14ac:dyDescent="0.25">
      <c r="C9" s="260" t="s">
        <v>117</v>
      </c>
      <c r="D9" s="260" t="s">
        <v>118</v>
      </c>
      <c r="E9" s="260" t="s">
        <v>119</v>
      </c>
      <c r="F9" s="260"/>
      <c r="G9" s="260" t="s">
        <v>120</v>
      </c>
      <c r="H9" s="260"/>
      <c r="I9" s="260" t="s">
        <v>121</v>
      </c>
      <c r="J9" s="260" t="s">
        <v>204</v>
      </c>
      <c r="K9" s="260" t="s">
        <v>206</v>
      </c>
      <c r="L9" s="260" t="s">
        <v>207</v>
      </c>
    </row>
    <row r="10" spans="1:16" x14ac:dyDescent="0.25">
      <c r="A10" s="254" t="s">
        <v>279</v>
      </c>
      <c r="B10" s="226"/>
      <c r="C10" s="261"/>
      <c r="D10" s="255"/>
      <c r="E10" s="255"/>
      <c r="F10" s="255"/>
      <c r="G10" s="255"/>
      <c r="I10" s="261"/>
      <c r="J10" s="228"/>
      <c r="K10" s="228"/>
      <c r="L10" s="68"/>
      <c r="N10" s="227"/>
    </row>
    <row r="11" spans="1:16" ht="36" x14ac:dyDescent="0.25">
      <c r="A11" s="262" t="s">
        <v>78</v>
      </c>
      <c r="B11" s="263" t="s">
        <v>18</v>
      </c>
      <c r="C11" s="264" t="s">
        <v>122</v>
      </c>
      <c r="D11" s="262" t="s">
        <v>123</v>
      </c>
      <c r="E11" s="262" t="s">
        <v>124</v>
      </c>
      <c r="F11" s="262"/>
      <c r="G11" s="262" t="s">
        <v>125</v>
      </c>
      <c r="H11" s="262" t="s">
        <v>126</v>
      </c>
      <c r="I11" s="262" t="s">
        <v>127</v>
      </c>
      <c r="J11" s="262" t="s">
        <v>128</v>
      </c>
      <c r="K11" s="262" t="s">
        <v>188</v>
      </c>
      <c r="L11" s="262" t="s">
        <v>189</v>
      </c>
      <c r="N11" s="227"/>
    </row>
    <row r="12" spans="1:16" x14ac:dyDescent="0.25">
      <c r="A12" s="251">
        <v>1</v>
      </c>
      <c r="B12" s="315" t="s">
        <v>348</v>
      </c>
      <c r="C12" s="266">
        <f>'Entry Profile L&amp;F'!$G$8</f>
        <v>0</v>
      </c>
      <c r="D12" s="267">
        <f>C12*$C$5</f>
        <v>0</v>
      </c>
      <c r="E12" s="267">
        <v>0</v>
      </c>
      <c r="F12" s="268"/>
      <c r="G12" s="267">
        <f t="shared" ref="G12:G24" si="0">D12+E12</f>
        <v>0</v>
      </c>
      <c r="H12" s="251" t="s">
        <v>22</v>
      </c>
      <c r="I12" s="269">
        <f>'Flow Proportions'!$E$30</f>
        <v>1.5825599999999999E-2</v>
      </c>
      <c r="J12" s="267">
        <f t="shared" ref="J12:J24" si="1">I12*G12</f>
        <v>0</v>
      </c>
      <c r="K12" s="270">
        <f>'Facility NonTrans CPP'!$B$13</f>
        <v>0</v>
      </c>
      <c r="L12" s="68">
        <f>J12*K12</f>
        <v>0</v>
      </c>
      <c r="N12" s="227"/>
    </row>
    <row r="13" spans="1:16" x14ac:dyDescent="0.25">
      <c r="A13" s="251">
        <v>2</v>
      </c>
      <c r="B13" s="315" t="s">
        <v>348</v>
      </c>
      <c r="C13" s="266">
        <f>'Entry Profile L&amp;F'!$G$8</f>
        <v>0</v>
      </c>
      <c r="D13" s="267">
        <f t="shared" ref="D13:D24" si="2">C13*$C$5</f>
        <v>0</v>
      </c>
      <c r="E13" s="267">
        <v>0</v>
      </c>
      <c r="F13" s="268"/>
      <c r="G13" s="267">
        <f t="shared" si="0"/>
        <v>0</v>
      </c>
      <c r="H13" s="251" t="s">
        <v>22</v>
      </c>
      <c r="I13" s="269">
        <f>'Flow Proportions'!$E$31</f>
        <v>0.48817440000000001</v>
      </c>
      <c r="J13" s="267">
        <f t="shared" si="1"/>
        <v>0</v>
      </c>
      <c r="K13" s="270">
        <f>'Facility NonTrans CPP'!$B$13</f>
        <v>0</v>
      </c>
      <c r="L13" s="68">
        <f t="shared" ref="L13:L24" si="3">J13*K13</f>
        <v>0</v>
      </c>
      <c r="N13" s="227"/>
    </row>
    <row r="14" spans="1:16" x14ac:dyDescent="0.25">
      <c r="A14" s="251">
        <v>3</v>
      </c>
      <c r="B14" s="315" t="s">
        <v>348</v>
      </c>
      <c r="C14" s="266">
        <f>'Entry Profile L&amp;F'!$G$8</f>
        <v>0</v>
      </c>
      <c r="D14" s="267">
        <f t="shared" si="2"/>
        <v>0</v>
      </c>
      <c r="E14" s="267">
        <v>0</v>
      </c>
      <c r="F14" s="268"/>
      <c r="G14" s="267">
        <f t="shared" si="0"/>
        <v>0</v>
      </c>
      <c r="H14" s="251" t="s">
        <v>22</v>
      </c>
      <c r="I14" s="269">
        <f>'Flow Proportions'!$E$32</f>
        <v>0.496</v>
      </c>
      <c r="J14" s="267">
        <f t="shared" si="1"/>
        <v>0</v>
      </c>
      <c r="K14" s="270">
        <f>'Facility NonTrans CPP'!$B$13</f>
        <v>0</v>
      </c>
      <c r="L14" s="68">
        <f t="shared" si="3"/>
        <v>0</v>
      </c>
      <c r="N14" s="227"/>
    </row>
    <row r="15" spans="1:16" x14ac:dyDescent="0.25">
      <c r="A15" s="251">
        <v>4</v>
      </c>
      <c r="B15" s="315" t="s">
        <v>348</v>
      </c>
      <c r="C15" s="266">
        <f>'Entry Profile L&amp;F'!$G$8</f>
        <v>0</v>
      </c>
      <c r="D15" s="267">
        <f t="shared" si="2"/>
        <v>0</v>
      </c>
      <c r="E15" s="267">
        <v>0</v>
      </c>
      <c r="F15" s="268"/>
      <c r="G15" s="267">
        <f t="shared" si="0"/>
        <v>0</v>
      </c>
      <c r="H15" s="251" t="s">
        <v>231</v>
      </c>
      <c r="I15" s="269">
        <f>'Flow Proportions'!$E$33</f>
        <v>0</v>
      </c>
      <c r="J15" s="267">
        <f t="shared" si="1"/>
        <v>0</v>
      </c>
      <c r="K15" s="270">
        <f>'Facility NonTrans CPP'!$B$13</f>
        <v>0</v>
      </c>
      <c r="L15" s="68">
        <f t="shared" si="3"/>
        <v>0</v>
      </c>
      <c r="N15" s="227"/>
    </row>
    <row r="16" spans="1:16" x14ac:dyDescent="0.25">
      <c r="A16" s="251">
        <v>5</v>
      </c>
      <c r="B16" s="315" t="s">
        <v>348</v>
      </c>
      <c r="C16" s="266">
        <f>'Entry Profile L&amp;F'!$G$8</f>
        <v>0</v>
      </c>
      <c r="D16" s="267">
        <f t="shared" si="2"/>
        <v>0</v>
      </c>
      <c r="E16" s="267">
        <v>0</v>
      </c>
      <c r="F16" s="268"/>
      <c r="G16" s="267">
        <f t="shared" si="0"/>
        <v>0</v>
      </c>
      <c r="H16" s="251" t="s">
        <v>231</v>
      </c>
      <c r="I16" s="269">
        <f>'Flow Proportions'!$E$34</f>
        <v>0</v>
      </c>
      <c r="J16" s="267">
        <f t="shared" si="1"/>
        <v>0</v>
      </c>
      <c r="K16" s="270">
        <f>'Facility NonTrans CPP'!$B$13</f>
        <v>0</v>
      </c>
      <c r="L16" s="68">
        <f t="shared" si="3"/>
        <v>0</v>
      </c>
      <c r="N16" s="227"/>
    </row>
    <row r="17" spans="1:14" x14ac:dyDescent="0.25">
      <c r="A17" s="251">
        <v>6</v>
      </c>
      <c r="B17" s="265" t="s">
        <v>14</v>
      </c>
      <c r="C17" s="266">
        <f>'Entry Profile L&amp;F'!$G$9</f>
        <v>0.15268065872260336</v>
      </c>
      <c r="D17" s="267">
        <f t="shared" si="2"/>
        <v>309001.83217085595</v>
      </c>
      <c r="E17" s="267">
        <f>J14</f>
        <v>0</v>
      </c>
      <c r="F17" s="268"/>
      <c r="G17" s="267">
        <f t="shared" si="0"/>
        <v>309001.83217085595</v>
      </c>
      <c r="H17" s="251" t="s">
        <v>231</v>
      </c>
      <c r="I17" s="269">
        <f>'Flow Proportions'!$E$38</f>
        <v>0.32491358999999997</v>
      </c>
      <c r="J17" s="267">
        <f t="shared" si="1"/>
        <v>100398.8946072103</v>
      </c>
      <c r="K17" s="270">
        <f>'Facility NonTrans CPP'!$B$22</f>
        <v>9.5770431502753862E-3</v>
      </c>
      <c r="L17" s="68">
        <f t="shared" si="3"/>
        <v>961.52454589320382</v>
      </c>
      <c r="N17" s="227"/>
    </row>
    <row r="18" spans="1:14" x14ac:dyDescent="0.25">
      <c r="A18" s="251">
        <v>7</v>
      </c>
      <c r="B18" s="265" t="s">
        <v>14</v>
      </c>
      <c r="C18" s="266">
        <f>'Entry Profile L&amp;F'!$G$9</f>
        <v>0.15268065872260336</v>
      </c>
      <c r="D18" s="267">
        <f t="shared" si="2"/>
        <v>309001.83217085595</v>
      </c>
      <c r="E18" s="267">
        <f>J14</f>
        <v>0</v>
      </c>
      <c r="F18" s="268"/>
      <c r="G18" s="267">
        <f t="shared" si="0"/>
        <v>309001.83217085595</v>
      </c>
      <c r="H18" s="251" t="s">
        <v>231</v>
      </c>
      <c r="I18" s="269">
        <f>'Flow Proportions'!$E$39</f>
        <v>0.43618641000000002</v>
      </c>
      <c r="J18" s="267">
        <f t="shared" si="1"/>
        <v>134782.39985802816</v>
      </c>
      <c r="K18" s="270">
        <f>'Facility NonTrans CPP'!$B$22</f>
        <v>9.5770431502753862E-3</v>
      </c>
      <c r="L18" s="68">
        <f t="shared" si="3"/>
        <v>1290.8168593380069</v>
      </c>
      <c r="N18" s="227"/>
    </row>
    <row r="19" spans="1:14" x14ac:dyDescent="0.25">
      <c r="A19" s="251">
        <v>8</v>
      </c>
      <c r="B19" s="265" t="s">
        <v>14</v>
      </c>
      <c r="C19" s="266">
        <f>'Entry Profile L&amp;F'!$G$9</f>
        <v>0.15268065872260336</v>
      </c>
      <c r="D19" s="267">
        <f t="shared" si="2"/>
        <v>309001.83217085595</v>
      </c>
      <c r="E19" s="267">
        <f>J14</f>
        <v>0</v>
      </c>
      <c r="F19" s="268"/>
      <c r="G19" s="267">
        <f t="shared" si="0"/>
        <v>309001.83217085595</v>
      </c>
      <c r="H19" s="251" t="s">
        <v>23</v>
      </c>
      <c r="I19" s="269">
        <f>'Flow Proportions'!$E$40</f>
        <v>0.23139854000000001</v>
      </c>
      <c r="J19" s="267">
        <f t="shared" si="1"/>
        <v>71502.572821661102</v>
      </c>
      <c r="K19" s="270">
        <f>'Facility NonTrans CPP'!$B$22</f>
        <v>9.5770431502753862E-3</v>
      </c>
      <c r="L19" s="68">
        <f t="shared" si="3"/>
        <v>684.7832252687565</v>
      </c>
      <c r="N19" s="227"/>
    </row>
    <row r="20" spans="1:14" x14ac:dyDescent="0.25">
      <c r="A20" s="251">
        <v>9</v>
      </c>
      <c r="B20" s="265" t="s">
        <v>14</v>
      </c>
      <c r="C20" s="266">
        <f>'Entry Profile L&amp;F'!$G$9</f>
        <v>0.15268065872260336</v>
      </c>
      <c r="D20" s="267">
        <f t="shared" si="2"/>
        <v>309001.83217085595</v>
      </c>
      <c r="E20" s="267">
        <f>J14</f>
        <v>0</v>
      </c>
      <c r="F20" s="268"/>
      <c r="G20" s="267">
        <f t="shared" si="0"/>
        <v>309001.83217085595</v>
      </c>
      <c r="H20" s="251" t="s">
        <v>23</v>
      </c>
      <c r="I20" s="269">
        <f>'Flow Proportions'!$E$41</f>
        <v>7.5014599999999997E-3</v>
      </c>
      <c r="J20" s="267">
        <f t="shared" si="1"/>
        <v>2317.9648839563888</v>
      </c>
      <c r="K20" s="270">
        <f>'Facility NonTrans CPP'!$B$22</f>
        <v>9.5770431502753862E-3</v>
      </c>
      <c r="L20" s="68">
        <f t="shared" si="3"/>
        <v>22.199249714473414</v>
      </c>
      <c r="N20" s="227"/>
    </row>
    <row r="21" spans="1:14" x14ac:dyDescent="0.25">
      <c r="A21" s="251">
        <v>10</v>
      </c>
      <c r="B21" s="265" t="s">
        <v>233</v>
      </c>
      <c r="C21" s="266">
        <f>'Entry Profile L&amp;F'!$G$10</f>
        <v>7.5284271601320837E-3</v>
      </c>
      <c r="D21" s="267">
        <f t="shared" si="2"/>
        <v>15236.361994430241</v>
      </c>
      <c r="E21" s="267">
        <f>J15+J18</f>
        <v>134782.39985802816</v>
      </c>
      <c r="F21" s="268"/>
      <c r="G21" s="267">
        <f t="shared" si="0"/>
        <v>150018.76185245841</v>
      </c>
      <c r="H21" s="251" t="s">
        <v>232</v>
      </c>
      <c r="I21" s="269">
        <f>'Flow Proportions'!$E$45</f>
        <v>1</v>
      </c>
      <c r="J21" s="267">
        <f t="shared" si="1"/>
        <v>150018.76185245841</v>
      </c>
      <c r="K21" s="270">
        <f>'Facility NonTrans CPP'!$B$31</f>
        <v>8.363090121794526E-3</v>
      </c>
      <c r="L21" s="68">
        <f t="shared" si="3"/>
        <v>1254.6204253321405</v>
      </c>
      <c r="N21" s="227"/>
    </row>
    <row r="22" spans="1:14" x14ac:dyDescent="0.25">
      <c r="A22" s="251">
        <v>11</v>
      </c>
      <c r="B22" s="265" t="s">
        <v>229</v>
      </c>
      <c r="C22" s="266">
        <f>'Entry Profile L&amp;F'!$G$11</f>
        <v>6.7539306754731271E-2</v>
      </c>
      <c r="D22" s="267">
        <f t="shared" si="2"/>
        <v>136689.01945647551</v>
      </c>
      <c r="E22" s="267">
        <f>J16+J17+J21</f>
        <v>250417.65645966871</v>
      </c>
      <c r="F22" s="268"/>
      <c r="G22" s="267">
        <f t="shared" si="0"/>
        <v>387106.67591614422</v>
      </c>
      <c r="H22" s="251" t="s">
        <v>231</v>
      </c>
      <c r="I22" s="269">
        <f>'Flow Proportions'!$E$48</f>
        <v>0.96860000000000002</v>
      </c>
      <c r="J22" s="267">
        <f t="shared" si="1"/>
        <v>374951.52629237727</v>
      </c>
      <c r="K22" s="270">
        <f>'Facility NonTrans CPP'!$B$40</f>
        <v>8.2720273751880555E-3</v>
      </c>
      <c r="L22" s="68">
        <f t="shared" si="3"/>
        <v>3101.6092898590887</v>
      </c>
      <c r="N22" s="227"/>
    </row>
    <row r="23" spans="1:14" x14ac:dyDescent="0.25">
      <c r="A23" s="251">
        <v>12</v>
      </c>
      <c r="B23" s="265" t="s">
        <v>229</v>
      </c>
      <c r="C23" s="266">
        <f>'Entry Profile L&amp;F'!$G$11</f>
        <v>6.7539306754731271E-2</v>
      </c>
      <c r="D23" s="267">
        <f t="shared" si="2"/>
        <v>136689.01945647551</v>
      </c>
      <c r="E23" s="267">
        <f>J16+J17+J21</f>
        <v>250417.65645966871</v>
      </c>
      <c r="F23" s="268"/>
      <c r="G23" s="267">
        <f t="shared" si="0"/>
        <v>387106.67591614422</v>
      </c>
      <c r="H23" s="251" t="s">
        <v>231</v>
      </c>
      <c r="I23" s="269">
        <f>'Flow Proportions'!$E$49</f>
        <v>3.1399999999999997E-2</v>
      </c>
      <c r="J23" s="267">
        <f t="shared" si="1"/>
        <v>12155.149623766927</v>
      </c>
      <c r="K23" s="270">
        <f>'Facility NonTrans CPP'!$B$40</f>
        <v>8.2720273751880555E-3</v>
      </c>
      <c r="L23" s="68">
        <f t="shared" si="3"/>
        <v>100.54773043730681</v>
      </c>
      <c r="N23" s="227"/>
    </row>
    <row r="24" spans="1:14" x14ac:dyDescent="0.25">
      <c r="A24" s="251">
        <v>13</v>
      </c>
      <c r="B24" s="265" t="s">
        <v>15</v>
      </c>
      <c r="C24" s="266">
        <f>'Entry Profile L&amp;F'!$G$12</f>
        <v>0.75042883961525719</v>
      </c>
      <c r="D24" s="267">
        <f t="shared" si="2"/>
        <v>1518750.8902241525</v>
      </c>
      <c r="E24" s="267">
        <f>J13+J19+J22</f>
        <v>446454.0991140384</v>
      </c>
      <c r="F24" s="271"/>
      <c r="G24" s="267">
        <f t="shared" si="0"/>
        <v>1965204.9893381908</v>
      </c>
      <c r="H24" s="251" t="s">
        <v>22</v>
      </c>
      <c r="I24" s="269">
        <f>'Flow Proportions'!$E$53</f>
        <v>1</v>
      </c>
      <c r="J24" s="267">
        <f t="shared" si="1"/>
        <v>1965204.9893381908</v>
      </c>
      <c r="K24" s="270">
        <f>'Facility NonTrans CPP'!$B$49</f>
        <v>1.1201471766743496E-2</v>
      </c>
      <c r="L24" s="312">
        <f t="shared" si="3"/>
        <v>22013.188203935199</v>
      </c>
      <c r="N24" s="227"/>
    </row>
    <row r="25" spans="1:14" x14ac:dyDescent="0.25">
      <c r="A25" s="251"/>
      <c r="B25" s="226"/>
      <c r="C25" s="261"/>
      <c r="D25" s="255"/>
      <c r="E25" s="255"/>
      <c r="F25" s="255"/>
      <c r="G25" s="255"/>
      <c r="I25" s="261"/>
      <c r="J25" s="228"/>
      <c r="K25" s="228"/>
      <c r="L25" s="228"/>
      <c r="N25" s="227"/>
    </row>
    <row r="26" spans="1:14" x14ac:dyDescent="0.25">
      <c r="A26" s="226"/>
      <c r="B26" s="226"/>
      <c r="C26" s="261"/>
      <c r="D26" s="255"/>
      <c r="E26" s="255"/>
      <c r="F26" s="255"/>
      <c r="G26" s="255"/>
      <c r="I26" s="261"/>
      <c r="J26" s="228"/>
      <c r="K26" s="228"/>
      <c r="L26" s="68">
        <f>SUM(L12:L24)</f>
        <v>29429.289529778176</v>
      </c>
      <c r="N26" s="227"/>
    </row>
    <row r="27" spans="1:14" x14ac:dyDescent="0.25">
      <c r="A27" s="254" t="s">
        <v>280</v>
      </c>
      <c r="B27" s="226"/>
      <c r="C27" s="261"/>
      <c r="D27" s="255"/>
      <c r="E27" s="255"/>
      <c r="F27" s="255"/>
      <c r="G27" s="255"/>
      <c r="I27" s="261"/>
      <c r="J27" s="228"/>
      <c r="K27" s="228"/>
      <c r="L27" s="68"/>
      <c r="N27" s="227"/>
    </row>
    <row r="28" spans="1:14" ht="36" x14ac:dyDescent="0.25">
      <c r="A28" s="262" t="s">
        <v>78</v>
      </c>
      <c r="B28" s="263" t="s">
        <v>18</v>
      </c>
      <c r="C28" s="264" t="s">
        <v>122</v>
      </c>
      <c r="D28" s="262" t="s">
        <v>123</v>
      </c>
      <c r="E28" s="262" t="s">
        <v>124</v>
      </c>
      <c r="F28" s="262"/>
      <c r="G28" s="262" t="s">
        <v>125</v>
      </c>
      <c r="H28" s="262" t="s">
        <v>126</v>
      </c>
      <c r="I28" s="262" t="s">
        <v>127</v>
      </c>
      <c r="J28" s="262" t="s">
        <v>128</v>
      </c>
      <c r="K28" s="262" t="s">
        <v>188</v>
      </c>
      <c r="L28" s="262" t="s">
        <v>189</v>
      </c>
      <c r="N28" s="227"/>
    </row>
    <row r="29" spans="1:14" x14ac:dyDescent="0.25">
      <c r="A29" s="251">
        <v>1</v>
      </c>
      <c r="B29" s="315" t="s">
        <v>348</v>
      </c>
      <c r="C29" s="266">
        <f>'Entry Profile L&amp;F'!$I$8</f>
        <v>8.7470933920500587E-4</v>
      </c>
      <c r="D29" s="267">
        <f>C29*$C$6</f>
        <v>1720.4576513648315</v>
      </c>
      <c r="E29" s="267">
        <v>0</v>
      </c>
      <c r="F29" s="268"/>
      <c r="G29" s="267">
        <f t="shared" ref="G29:G41" si="4">D29+E29</f>
        <v>1720.4576513648315</v>
      </c>
      <c r="H29" s="251" t="s">
        <v>22</v>
      </c>
      <c r="I29" s="269">
        <f>'Flow Proportions'!$E$30</f>
        <v>1.5825599999999999E-2</v>
      </c>
      <c r="J29" s="267">
        <f t="shared" ref="J29:J41" si="5">I29*G29</f>
        <v>27.227274607439274</v>
      </c>
      <c r="K29" s="270">
        <f>'Facility NonTrans CPP'!$F$13</f>
        <v>0</v>
      </c>
      <c r="L29" s="68">
        <f>J29*K29</f>
        <v>0</v>
      </c>
      <c r="N29" s="227"/>
    </row>
    <row r="30" spans="1:14" x14ac:dyDescent="0.25">
      <c r="A30" s="251">
        <v>2</v>
      </c>
      <c r="B30" s="315" t="s">
        <v>348</v>
      </c>
      <c r="C30" s="266">
        <f>'Entry Profile L&amp;F'!$I$8</f>
        <v>8.7470933920500587E-4</v>
      </c>
      <c r="D30" s="267">
        <f t="shared" ref="D30:D41" si="6">C30*$C$6</f>
        <v>1720.4576513648315</v>
      </c>
      <c r="E30" s="267">
        <v>0</v>
      </c>
      <c r="F30" s="268"/>
      <c r="G30" s="267">
        <f t="shared" si="4"/>
        <v>1720.4576513648315</v>
      </c>
      <c r="H30" s="251" t="s">
        <v>22</v>
      </c>
      <c r="I30" s="269">
        <f>'Flow Proportions'!$E$31</f>
        <v>0.48817440000000001</v>
      </c>
      <c r="J30" s="267">
        <f t="shared" si="5"/>
        <v>839.88338168043583</v>
      </c>
      <c r="K30" s="270">
        <f>'Facility NonTrans CPP'!$F$13</f>
        <v>0</v>
      </c>
      <c r="L30" s="68">
        <f t="shared" ref="L30:L41" si="7">J30*K30</f>
        <v>0</v>
      </c>
      <c r="N30" s="227"/>
    </row>
    <row r="31" spans="1:14" x14ac:dyDescent="0.25">
      <c r="A31" s="251">
        <v>3</v>
      </c>
      <c r="B31" s="315" t="s">
        <v>348</v>
      </c>
      <c r="C31" s="266">
        <f>'Entry Profile L&amp;F'!$I$8</f>
        <v>8.7470933920500587E-4</v>
      </c>
      <c r="D31" s="267">
        <f t="shared" si="6"/>
        <v>1720.4576513648315</v>
      </c>
      <c r="E31" s="267">
        <v>0</v>
      </c>
      <c r="F31" s="268"/>
      <c r="G31" s="267">
        <f t="shared" si="4"/>
        <v>1720.4576513648315</v>
      </c>
      <c r="H31" s="251" t="s">
        <v>22</v>
      </c>
      <c r="I31" s="269">
        <f>'Flow Proportions'!$E$32</f>
        <v>0.496</v>
      </c>
      <c r="J31" s="267">
        <f t="shared" si="5"/>
        <v>853.34699507695643</v>
      </c>
      <c r="K31" s="270">
        <f>'Facility NonTrans CPP'!$F$13</f>
        <v>0</v>
      </c>
      <c r="L31" s="68">
        <f t="shared" si="7"/>
        <v>0</v>
      </c>
      <c r="N31" s="227"/>
    </row>
    <row r="32" spans="1:14" x14ac:dyDescent="0.25">
      <c r="A32" s="251">
        <v>4</v>
      </c>
      <c r="B32" s="315" t="s">
        <v>348</v>
      </c>
      <c r="C32" s="266">
        <f>'Entry Profile L&amp;F'!$I$8</f>
        <v>8.7470933920500587E-4</v>
      </c>
      <c r="D32" s="267">
        <f t="shared" si="6"/>
        <v>1720.4576513648315</v>
      </c>
      <c r="E32" s="267">
        <v>0</v>
      </c>
      <c r="F32" s="268"/>
      <c r="G32" s="267">
        <f t="shared" si="4"/>
        <v>1720.4576513648315</v>
      </c>
      <c r="H32" s="251" t="s">
        <v>231</v>
      </c>
      <c r="I32" s="269">
        <f>'Flow Proportions'!$E$33</f>
        <v>0</v>
      </c>
      <c r="J32" s="267">
        <f t="shared" si="5"/>
        <v>0</v>
      </c>
      <c r="K32" s="270">
        <f>'Facility NonTrans CPP'!$F$13</f>
        <v>0</v>
      </c>
      <c r="L32" s="68">
        <f t="shared" si="7"/>
        <v>0</v>
      </c>
      <c r="N32" s="227"/>
    </row>
    <row r="33" spans="1:14" x14ac:dyDescent="0.25">
      <c r="A33" s="251">
        <v>5</v>
      </c>
      <c r="B33" s="315" t="s">
        <v>348</v>
      </c>
      <c r="C33" s="266">
        <f>'Entry Profile L&amp;F'!$I$8</f>
        <v>8.7470933920500587E-4</v>
      </c>
      <c r="D33" s="267">
        <f t="shared" si="6"/>
        <v>1720.4576513648315</v>
      </c>
      <c r="E33" s="267">
        <v>0</v>
      </c>
      <c r="F33" s="268"/>
      <c r="G33" s="267">
        <f t="shared" si="4"/>
        <v>1720.4576513648315</v>
      </c>
      <c r="H33" s="251" t="s">
        <v>231</v>
      </c>
      <c r="I33" s="269">
        <f>'Flow Proportions'!$E$34</f>
        <v>0</v>
      </c>
      <c r="J33" s="267">
        <f t="shared" si="5"/>
        <v>0</v>
      </c>
      <c r="K33" s="270">
        <f>'Facility NonTrans CPP'!$F$13</f>
        <v>0</v>
      </c>
      <c r="L33" s="68">
        <f t="shared" si="7"/>
        <v>0</v>
      </c>
      <c r="N33" s="227"/>
    </row>
    <row r="34" spans="1:14" x14ac:dyDescent="0.25">
      <c r="A34" s="251">
        <v>6</v>
      </c>
      <c r="B34" s="265" t="s">
        <v>14</v>
      </c>
      <c r="C34" s="266">
        <f>'Entry Profile L&amp;F'!$I$9</f>
        <v>0.11883737179339306</v>
      </c>
      <c r="D34" s="267">
        <f t="shared" si="6"/>
        <v>233740.11961030654</v>
      </c>
      <c r="E34" s="267">
        <f>J31</f>
        <v>853.34699507695643</v>
      </c>
      <c r="F34" s="268"/>
      <c r="G34" s="267">
        <f t="shared" si="4"/>
        <v>234593.4666053835</v>
      </c>
      <c r="H34" s="251" t="s">
        <v>231</v>
      </c>
      <c r="I34" s="269">
        <f>'Flow Proportions'!$E$38</f>
        <v>0.32491358999999997</v>
      </c>
      <c r="J34" s="267">
        <f t="shared" si="5"/>
        <v>76222.605425300266</v>
      </c>
      <c r="K34" s="270">
        <f>'Facility NonTrans CPP'!$F$22</f>
        <v>4.1151729985746668E-3</v>
      </c>
      <c r="L34" s="68">
        <f t="shared" si="7"/>
        <v>313.66920772720658</v>
      </c>
      <c r="N34" s="227"/>
    </row>
    <row r="35" spans="1:14" x14ac:dyDescent="0.25">
      <c r="A35" s="251">
        <v>7</v>
      </c>
      <c r="B35" s="265" t="s">
        <v>14</v>
      </c>
      <c r="C35" s="266">
        <f>'Entry Profile L&amp;F'!$I$9</f>
        <v>0.11883737179339306</v>
      </c>
      <c r="D35" s="267">
        <f t="shared" si="6"/>
        <v>233740.11961030654</v>
      </c>
      <c r="E35" s="267">
        <f>J31</f>
        <v>853.34699507695643</v>
      </c>
      <c r="F35" s="268"/>
      <c r="G35" s="267">
        <f t="shared" si="4"/>
        <v>234593.4666053835</v>
      </c>
      <c r="H35" s="251" t="s">
        <v>231</v>
      </c>
      <c r="I35" s="269">
        <f>'Flow Proportions'!$E$39</f>
        <v>0.43618641000000002</v>
      </c>
      <c r="J35" s="267">
        <f t="shared" si="5"/>
        <v>102326.48200805712</v>
      </c>
      <c r="K35" s="270">
        <f>'Facility NonTrans CPP'!$F$22</f>
        <v>4.1151729985746668E-3</v>
      </c>
      <c r="L35" s="68">
        <f t="shared" si="7"/>
        <v>421.09117579869314</v>
      </c>
      <c r="N35" s="227"/>
    </row>
    <row r="36" spans="1:14" x14ac:dyDescent="0.25">
      <c r="A36" s="251">
        <v>8</v>
      </c>
      <c r="B36" s="265" t="s">
        <v>14</v>
      </c>
      <c r="C36" s="266">
        <f>'Entry Profile L&amp;F'!$I$9</f>
        <v>0.11883737179339306</v>
      </c>
      <c r="D36" s="267">
        <f t="shared" si="6"/>
        <v>233740.11961030654</v>
      </c>
      <c r="E36" s="267">
        <f>J31</f>
        <v>853.34699507695643</v>
      </c>
      <c r="F36" s="268"/>
      <c r="G36" s="267">
        <f t="shared" si="4"/>
        <v>234593.4666053835</v>
      </c>
      <c r="H36" s="251" t="s">
        <v>23</v>
      </c>
      <c r="I36" s="269">
        <f>'Flow Proportions'!$E$40</f>
        <v>0.23139854000000001</v>
      </c>
      <c r="J36" s="267">
        <f t="shared" si="5"/>
        <v>54284.585666024497</v>
      </c>
      <c r="K36" s="270">
        <f>'Facility NonTrans CPP'!$F$22</f>
        <v>4.1151729985746668E-3</v>
      </c>
      <c r="L36" s="68">
        <f t="shared" si="7"/>
        <v>223.39046117163741</v>
      </c>
      <c r="N36" s="227"/>
    </row>
    <row r="37" spans="1:14" x14ac:dyDescent="0.25">
      <c r="A37" s="251">
        <v>9</v>
      </c>
      <c r="B37" s="265" t="s">
        <v>14</v>
      </c>
      <c r="C37" s="266">
        <f>'Entry Profile L&amp;F'!$I$9</f>
        <v>0.11883737179339306</v>
      </c>
      <c r="D37" s="267">
        <f t="shared" si="6"/>
        <v>233740.11961030654</v>
      </c>
      <c r="E37" s="267">
        <f>J31</f>
        <v>853.34699507695643</v>
      </c>
      <c r="F37" s="268"/>
      <c r="G37" s="267">
        <f t="shared" si="4"/>
        <v>234593.4666053835</v>
      </c>
      <c r="H37" s="251" t="s">
        <v>23</v>
      </c>
      <c r="I37" s="269">
        <f>'Flow Proportions'!$E$41</f>
        <v>7.5014599999999997E-3</v>
      </c>
      <c r="J37" s="267">
        <f t="shared" si="5"/>
        <v>1759.79350600162</v>
      </c>
      <c r="K37" s="270">
        <f>'Facility NonTrans CPP'!$F$22</f>
        <v>4.1151729985746668E-3</v>
      </c>
      <c r="L37" s="68">
        <f t="shared" si="7"/>
        <v>7.2418547189649125</v>
      </c>
      <c r="N37" s="227"/>
    </row>
    <row r="38" spans="1:14" x14ac:dyDescent="0.25">
      <c r="A38" s="251">
        <v>10</v>
      </c>
      <c r="B38" s="265" t="s">
        <v>233</v>
      </c>
      <c r="C38" s="266">
        <f>'Entry Profile L&amp;F'!$I$10</f>
        <v>7.0395814303065383E-3</v>
      </c>
      <c r="D38" s="267">
        <f t="shared" si="6"/>
        <v>13846.087141568907</v>
      </c>
      <c r="E38" s="267">
        <f>J32+J35</f>
        <v>102326.48200805712</v>
      </c>
      <c r="F38" s="268"/>
      <c r="G38" s="267">
        <f t="shared" si="4"/>
        <v>116172.56914962603</v>
      </c>
      <c r="H38" s="251" t="s">
        <v>232</v>
      </c>
      <c r="I38" s="269">
        <f>'Flow Proportions'!$E$45</f>
        <v>1</v>
      </c>
      <c r="J38" s="267">
        <f t="shared" si="5"/>
        <v>116172.56914962603</v>
      </c>
      <c r="K38" s="270">
        <f>'Facility NonTrans CPP'!$F$31</f>
        <v>3.6640732768799165E-3</v>
      </c>
      <c r="L38" s="68">
        <f t="shared" si="7"/>
        <v>425.66480612762894</v>
      </c>
      <c r="N38" s="227"/>
    </row>
    <row r="39" spans="1:14" x14ac:dyDescent="0.25">
      <c r="A39" s="251">
        <v>11</v>
      </c>
      <c r="B39" s="265" t="s">
        <v>229</v>
      </c>
      <c r="C39" s="266">
        <f>'Entry Profile L&amp;F'!$I$11</f>
        <v>5.0900412337427467E-2</v>
      </c>
      <c r="D39" s="267">
        <f>C39*$C$6</f>
        <v>100115.54688914516</v>
      </c>
      <c r="E39" s="267">
        <f>J33+J34+J38</f>
        <v>192395.17457492629</v>
      </c>
      <c r="F39" s="268"/>
      <c r="G39" s="267">
        <f t="shared" si="4"/>
        <v>292510.72146407142</v>
      </c>
      <c r="H39" s="251" t="s">
        <v>231</v>
      </c>
      <c r="I39" s="269">
        <f>'Flow Proportions'!$E$48</f>
        <v>0.96860000000000002</v>
      </c>
      <c r="J39" s="267">
        <f t="shared" si="5"/>
        <v>283325.88481009961</v>
      </c>
      <c r="K39" s="270">
        <f>'Facility NonTrans CPP'!$F$40</f>
        <v>2.6272155089530846E-3</v>
      </c>
      <c r="L39" s="68">
        <f t="shared" si="7"/>
        <v>744.3581586609489</v>
      </c>
      <c r="N39" s="227"/>
    </row>
    <row r="40" spans="1:14" x14ac:dyDescent="0.25">
      <c r="A40" s="251">
        <v>12</v>
      </c>
      <c r="B40" s="265" t="s">
        <v>229</v>
      </c>
      <c r="C40" s="266">
        <f>'Entry Profile L&amp;F'!$I$11</f>
        <v>5.0900412337427467E-2</v>
      </c>
      <c r="D40" s="267">
        <f>C40*$C$6</f>
        <v>100115.54688914516</v>
      </c>
      <c r="E40" s="267">
        <f>J33+J34+J38</f>
        <v>192395.17457492629</v>
      </c>
      <c r="F40" s="268"/>
      <c r="G40" s="267">
        <f t="shared" si="4"/>
        <v>292510.72146407142</v>
      </c>
      <c r="H40" s="251" t="s">
        <v>231</v>
      </c>
      <c r="I40" s="269">
        <f>'Flow Proportions'!$E$49</f>
        <v>3.1399999999999997E-2</v>
      </c>
      <c r="J40" s="267">
        <f t="shared" si="5"/>
        <v>9184.8366539718427</v>
      </c>
      <c r="K40" s="270">
        <f>'Facility NonTrans CPP'!$F$40</f>
        <v>2.6272155089530846E-3</v>
      </c>
      <c r="L40" s="68">
        <f t="shared" si="7"/>
        <v>24.130545304515582</v>
      </c>
      <c r="N40" s="227"/>
    </row>
    <row r="41" spans="1:14" x14ac:dyDescent="0.25">
      <c r="A41" s="251">
        <v>13</v>
      </c>
      <c r="B41" s="265" t="s">
        <v>15</v>
      </c>
      <c r="C41" s="266">
        <f>'Entry Profile L&amp;F'!$I$12</f>
        <v>0.55529925580540229</v>
      </c>
      <c r="D41" s="267">
        <f t="shared" si="6"/>
        <v>1092212.9336310779</v>
      </c>
      <c r="E41" s="267">
        <f>J30+J36+J39</f>
        <v>338450.35385780456</v>
      </c>
      <c r="F41" s="271"/>
      <c r="G41" s="267">
        <f t="shared" si="4"/>
        <v>1430663.2874888824</v>
      </c>
      <c r="H41" s="251" t="s">
        <v>22</v>
      </c>
      <c r="I41" s="269">
        <f>'Flow Proportions'!$E$53</f>
        <v>1</v>
      </c>
      <c r="J41" s="267">
        <f t="shared" si="5"/>
        <v>1430663.2874888824</v>
      </c>
      <c r="K41" s="270">
        <f>'Facility NonTrans CPP'!$F$49</f>
        <v>5.9848639600552983E-3</v>
      </c>
      <c r="L41" s="312">
        <f t="shared" si="7"/>
        <v>8562.3251482664455</v>
      </c>
      <c r="N41" s="227"/>
    </row>
    <row r="42" spans="1:14" x14ac:dyDescent="0.25">
      <c r="A42" s="251"/>
      <c r="B42" s="226"/>
      <c r="C42" s="261"/>
      <c r="D42" s="255"/>
      <c r="E42" s="255"/>
      <c r="F42" s="255"/>
      <c r="G42" s="255"/>
      <c r="I42" s="261"/>
      <c r="J42" s="228"/>
      <c r="K42" s="228"/>
      <c r="L42" s="228"/>
      <c r="N42" s="227"/>
    </row>
    <row r="43" spans="1:14" x14ac:dyDescent="0.25">
      <c r="A43" s="226"/>
      <c r="B43" s="226"/>
      <c r="C43" s="261"/>
      <c r="D43" s="255"/>
      <c r="E43" s="255"/>
      <c r="F43" s="255"/>
      <c r="G43" s="255"/>
      <c r="I43" s="261"/>
      <c r="J43" s="228"/>
      <c r="K43" s="228"/>
      <c r="L43" s="68">
        <f>SUM(L29:L41)</f>
        <v>10721.871357776041</v>
      </c>
      <c r="N43" s="227"/>
    </row>
    <row r="44" spans="1:14" x14ac:dyDescent="0.25">
      <c r="A44" s="226"/>
      <c r="B44" s="226"/>
      <c r="C44" s="261"/>
      <c r="D44" s="255"/>
      <c r="E44" s="255"/>
      <c r="F44" s="255"/>
      <c r="G44" s="255"/>
      <c r="I44" s="261"/>
      <c r="J44" s="228"/>
      <c r="K44" s="228"/>
      <c r="L44" s="68"/>
      <c r="N44" s="227"/>
    </row>
    <row r="45" spans="1:14" x14ac:dyDescent="0.25">
      <c r="A45" s="254" t="s">
        <v>552</v>
      </c>
      <c r="B45" s="226"/>
      <c r="C45" s="261"/>
      <c r="D45" s="255"/>
      <c r="E45" s="255"/>
      <c r="F45" s="255"/>
      <c r="G45" s="255"/>
      <c r="I45" s="261"/>
      <c r="J45" s="228"/>
      <c r="K45" s="228"/>
      <c r="L45" s="68"/>
      <c r="N45" s="227"/>
    </row>
    <row r="46" spans="1:14" ht="36" x14ac:dyDescent="0.25">
      <c r="A46" s="262" t="s">
        <v>78</v>
      </c>
      <c r="B46" s="263" t="s">
        <v>18</v>
      </c>
      <c r="C46" s="264" t="s">
        <v>122</v>
      </c>
      <c r="D46" s="262" t="s">
        <v>123</v>
      </c>
      <c r="E46" s="262" t="s">
        <v>124</v>
      </c>
      <c r="F46" s="262"/>
      <c r="G46" s="262" t="s">
        <v>125</v>
      </c>
      <c r="H46" s="262" t="s">
        <v>126</v>
      </c>
      <c r="I46" s="262" t="s">
        <v>127</v>
      </c>
      <c r="J46" s="262" t="s">
        <v>128</v>
      </c>
      <c r="K46" s="262" t="s">
        <v>188</v>
      </c>
      <c r="L46" s="262" t="s">
        <v>189</v>
      </c>
      <c r="N46" s="227"/>
    </row>
    <row r="47" spans="1:14" x14ac:dyDescent="0.25">
      <c r="A47" s="251">
        <v>1</v>
      </c>
      <c r="B47" s="315" t="s">
        <v>348</v>
      </c>
      <c r="C47" s="266">
        <f>'Entry Profile P'!$G$23</f>
        <v>0.15238304323394081</v>
      </c>
      <c r="D47" s="267">
        <f t="shared" ref="D47:D59" si="8">C47*$C$7</f>
        <v>752.95600752580776</v>
      </c>
      <c r="E47" s="267">
        <v>0</v>
      </c>
      <c r="F47" s="268"/>
      <c r="G47" s="267">
        <f t="shared" ref="G47:G59" si="9">D47+E47</f>
        <v>752.95600752580776</v>
      </c>
      <c r="H47" s="251" t="s">
        <v>22</v>
      </c>
      <c r="I47" s="269">
        <f>'Flow Proportions'!$E$30</f>
        <v>1.5825599999999999E-2</v>
      </c>
      <c r="J47" s="267">
        <f t="shared" ref="J47:J59" si="10">I47*G47</f>
        <v>11.915980592700423</v>
      </c>
      <c r="K47" s="270">
        <f>'Facility NonTrans CPP'!$J$13</f>
        <v>2.3372406685677033E-3</v>
      </c>
      <c r="L47" s="68">
        <f>J47*K47</f>
        <v>2.7850514447122915E-2</v>
      </c>
      <c r="N47" s="227"/>
    </row>
    <row r="48" spans="1:14" x14ac:dyDescent="0.25">
      <c r="A48" s="251">
        <v>2</v>
      </c>
      <c r="B48" s="315" t="s">
        <v>348</v>
      </c>
      <c r="C48" s="266">
        <f>'Entry Profile P'!$G$23</f>
        <v>0.15238304323394081</v>
      </c>
      <c r="D48" s="267">
        <f t="shared" si="8"/>
        <v>752.95600752580776</v>
      </c>
      <c r="E48" s="267">
        <v>0</v>
      </c>
      <c r="F48" s="268"/>
      <c r="G48" s="267">
        <f t="shared" si="9"/>
        <v>752.95600752580776</v>
      </c>
      <c r="H48" s="251" t="s">
        <v>22</v>
      </c>
      <c r="I48" s="269">
        <f>'Flow Proportions'!$E$31</f>
        <v>0.48817440000000001</v>
      </c>
      <c r="J48" s="267">
        <f t="shared" si="10"/>
        <v>367.57384720030672</v>
      </c>
      <c r="K48" s="270">
        <f>'Facility NonTrans CPP'!$J$13</f>
        <v>2.3372406685677033E-3</v>
      </c>
      <c r="L48" s="68">
        <f t="shared" ref="L48:L59" si="11">J48*K48</f>
        <v>0.85910854437844775</v>
      </c>
      <c r="N48" s="227"/>
    </row>
    <row r="49" spans="1:14" x14ac:dyDescent="0.25">
      <c r="A49" s="251">
        <v>3</v>
      </c>
      <c r="B49" s="315" t="s">
        <v>348</v>
      </c>
      <c r="C49" s="266">
        <f>'Entry Profile P'!$G$23</f>
        <v>0.15238304323394081</v>
      </c>
      <c r="D49" s="267">
        <f t="shared" si="8"/>
        <v>752.95600752580776</v>
      </c>
      <c r="E49" s="267">
        <v>0</v>
      </c>
      <c r="F49" s="268"/>
      <c r="G49" s="267">
        <f t="shared" si="9"/>
        <v>752.95600752580776</v>
      </c>
      <c r="H49" s="251" t="s">
        <v>22</v>
      </c>
      <c r="I49" s="269">
        <f>'Flow Proportions'!$E$32</f>
        <v>0.496</v>
      </c>
      <c r="J49" s="267">
        <f t="shared" si="10"/>
        <v>373.46617973280064</v>
      </c>
      <c r="K49" s="270">
        <f>'Facility NonTrans CPP'!$J$13</f>
        <v>2.3372406685677033E-3</v>
      </c>
      <c r="L49" s="68">
        <f t="shared" si="11"/>
        <v>0.87288034360611699</v>
      </c>
      <c r="N49" s="227"/>
    </row>
    <row r="50" spans="1:14" x14ac:dyDescent="0.25">
      <c r="A50" s="251">
        <v>4</v>
      </c>
      <c r="B50" s="315" t="s">
        <v>348</v>
      </c>
      <c r="C50" s="266">
        <f>'Entry Profile P'!$G$23</f>
        <v>0.15238304323394081</v>
      </c>
      <c r="D50" s="267">
        <f t="shared" si="8"/>
        <v>752.95600752580776</v>
      </c>
      <c r="E50" s="267">
        <v>0</v>
      </c>
      <c r="F50" s="268"/>
      <c r="G50" s="267">
        <f t="shared" si="9"/>
        <v>752.95600752580776</v>
      </c>
      <c r="H50" s="251" t="s">
        <v>231</v>
      </c>
      <c r="I50" s="269">
        <f>'Flow Proportions'!$E$33</f>
        <v>0</v>
      </c>
      <c r="J50" s="267">
        <f t="shared" si="10"/>
        <v>0</v>
      </c>
      <c r="K50" s="270">
        <f>'Facility NonTrans CPP'!$J$13</f>
        <v>2.3372406685677033E-3</v>
      </c>
      <c r="L50" s="68">
        <f t="shared" si="11"/>
        <v>0</v>
      </c>
      <c r="N50" s="227"/>
    </row>
    <row r="51" spans="1:14" x14ac:dyDescent="0.25">
      <c r="A51" s="251">
        <v>5</v>
      </c>
      <c r="B51" s="315" t="s">
        <v>348</v>
      </c>
      <c r="C51" s="266">
        <f>'Entry Profile P'!$G$23</f>
        <v>0.15238304323394081</v>
      </c>
      <c r="D51" s="267">
        <f t="shared" si="8"/>
        <v>752.95600752580776</v>
      </c>
      <c r="E51" s="267">
        <v>0</v>
      </c>
      <c r="F51" s="268"/>
      <c r="G51" s="267">
        <f t="shared" si="9"/>
        <v>752.95600752580776</v>
      </c>
      <c r="H51" s="251" t="s">
        <v>231</v>
      </c>
      <c r="I51" s="269">
        <f>'Flow Proportions'!$E$34</f>
        <v>0</v>
      </c>
      <c r="J51" s="267">
        <f t="shared" si="10"/>
        <v>0</v>
      </c>
      <c r="K51" s="270">
        <f>'Facility NonTrans CPP'!$J$13</f>
        <v>2.3372406685677033E-3</v>
      </c>
      <c r="L51" s="68">
        <f t="shared" si="11"/>
        <v>0</v>
      </c>
      <c r="N51" s="227"/>
    </row>
    <row r="52" spans="1:14" x14ac:dyDescent="0.25">
      <c r="A52" s="251">
        <v>6</v>
      </c>
      <c r="B52" s="265" t="s">
        <v>14</v>
      </c>
      <c r="C52" s="266">
        <f>'Entry Profile P'!$G$24</f>
        <v>0.14336700134855934</v>
      </c>
      <c r="D52" s="267">
        <f t="shared" si="8"/>
        <v>708.40588726550948</v>
      </c>
      <c r="E52" s="267">
        <f>J49</f>
        <v>373.46617973280064</v>
      </c>
      <c r="F52" s="268"/>
      <c r="G52" s="267">
        <f t="shared" si="9"/>
        <v>1081.8720669983102</v>
      </c>
      <c r="H52" s="251" t="s">
        <v>231</v>
      </c>
      <c r="I52" s="269">
        <f>'Flow Proportions'!$E$38</f>
        <v>0.32491358999999997</v>
      </c>
      <c r="J52" s="267">
        <f t="shared" si="10"/>
        <v>351.51493720914146</v>
      </c>
      <c r="K52" s="270">
        <f>'Facility NonTrans CPP'!$J$22</f>
        <v>8.6058244980729819E-3</v>
      </c>
      <c r="L52" s="68">
        <f t="shared" si="11"/>
        <v>3.0250758580730155</v>
      </c>
      <c r="N52" s="227"/>
    </row>
    <row r="53" spans="1:14" x14ac:dyDescent="0.25">
      <c r="A53" s="251">
        <v>7</v>
      </c>
      <c r="B53" s="265" t="s">
        <v>14</v>
      </c>
      <c r="C53" s="266">
        <f>'Entry Profile P'!$G$24</f>
        <v>0.14336700134855934</v>
      </c>
      <c r="D53" s="267">
        <f t="shared" si="8"/>
        <v>708.40588726550948</v>
      </c>
      <c r="E53" s="267">
        <f>J49</f>
        <v>373.46617973280064</v>
      </c>
      <c r="F53" s="268"/>
      <c r="G53" s="267">
        <f t="shared" si="9"/>
        <v>1081.8720669983102</v>
      </c>
      <c r="H53" s="251" t="s">
        <v>231</v>
      </c>
      <c r="I53" s="269">
        <f>'Flow Proportions'!$E$39</f>
        <v>0.43618641000000002</v>
      </c>
      <c r="J53" s="267">
        <f t="shared" si="10"/>
        <v>471.89789298327241</v>
      </c>
      <c r="K53" s="270">
        <f>'Facility NonTrans CPP'!$J$22</f>
        <v>8.6058244980729819E-3</v>
      </c>
      <c r="L53" s="68">
        <f t="shared" si="11"/>
        <v>4.0610704480244681</v>
      </c>
      <c r="N53" s="227"/>
    </row>
    <row r="54" spans="1:14" x14ac:dyDescent="0.25">
      <c r="A54" s="251">
        <v>8</v>
      </c>
      <c r="B54" s="265" t="s">
        <v>14</v>
      </c>
      <c r="C54" s="266">
        <f>'Entry Profile P'!$G$24</f>
        <v>0.14336700134855934</v>
      </c>
      <c r="D54" s="267">
        <f t="shared" si="8"/>
        <v>708.40588726550948</v>
      </c>
      <c r="E54" s="267">
        <f>J49</f>
        <v>373.46617973280064</v>
      </c>
      <c r="F54" s="268"/>
      <c r="G54" s="267">
        <f t="shared" si="9"/>
        <v>1081.8720669983102</v>
      </c>
      <c r="H54" s="251" t="s">
        <v>23</v>
      </c>
      <c r="I54" s="269">
        <f>'Flow Proportions'!$E$40</f>
        <v>0.23139854000000001</v>
      </c>
      <c r="J54" s="267">
        <f t="shared" si="10"/>
        <v>250.34361677019118</v>
      </c>
      <c r="K54" s="270">
        <f>'Facility NonTrans CPP'!$J$22</f>
        <v>8.6058244980729819E-3</v>
      </c>
      <c r="L54" s="68">
        <f t="shared" si="11"/>
        <v>2.1544132301371053</v>
      </c>
      <c r="N54" s="227"/>
    </row>
    <row r="55" spans="1:14" x14ac:dyDescent="0.25">
      <c r="A55" s="251">
        <v>9</v>
      </c>
      <c r="B55" s="265" t="s">
        <v>14</v>
      </c>
      <c r="C55" s="266">
        <f>'Entry Profile P'!$G$24</f>
        <v>0.14336700134855934</v>
      </c>
      <c r="D55" s="267">
        <f t="shared" si="8"/>
        <v>708.40588726550948</v>
      </c>
      <c r="E55" s="267">
        <f>J49</f>
        <v>373.46617973280064</v>
      </c>
      <c r="F55" s="268"/>
      <c r="G55" s="267">
        <f t="shared" si="9"/>
        <v>1081.8720669983102</v>
      </c>
      <c r="H55" s="251" t="s">
        <v>23</v>
      </c>
      <c r="I55" s="269">
        <f>'Flow Proportions'!$E$41</f>
        <v>7.5014599999999997E-3</v>
      </c>
      <c r="J55" s="267">
        <f t="shared" si="10"/>
        <v>8.1156200357051436</v>
      </c>
      <c r="K55" s="270">
        <f>'Facility NonTrans CPP'!$J$22</f>
        <v>8.6058244980729819E-3</v>
      </c>
      <c r="L55" s="68">
        <f t="shared" si="11"/>
        <v>6.9841601720323249E-2</v>
      </c>
      <c r="N55" s="227"/>
    </row>
    <row r="56" spans="1:14" x14ac:dyDescent="0.25">
      <c r="A56" s="251">
        <v>10</v>
      </c>
      <c r="B56" s="265" t="s">
        <v>233</v>
      </c>
      <c r="C56" s="266">
        <f>'Entry Profile P'!$G$25</f>
        <v>0.19932185720629483</v>
      </c>
      <c r="D56" s="267">
        <f t="shared" si="8"/>
        <v>984.89035675888726</v>
      </c>
      <c r="E56" s="267">
        <f>J50+J53</f>
        <v>471.89789298327241</v>
      </c>
      <c r="F56" s="268"/>
      <c r="G56" s="267">
        <f t="shared" si="9"/>
        <v>1456.7882497421597</v>
      </c>
      <c r="H56" s="251" t="s">
        <v>232</v>
      </c>
      <c r="I56" s="269">
        <f>'Flow Proportions'!$E$45</f>
        <v>1</v>
      </c>
      <c r="J56" s="267">
        <f t="shared" si="10"/>
        <v>1456.7882497421597</v>
      </c>
      <c r="K56" s="270">
        <f>'Facility NonTrans CPP'!$J$31</f>
        <v>6.1377878276176979E-3</v>
      </c>
      <c r="L56" s="68">
        <f t="shared" si="11"/>
        <v>8.9414571866839179</v>
      </c>
      <c r="N56" s="227"/>
    </row>
    <row r="57" spans="1:14" x14ac:dyDescent="0.25">
      <c r="A57" s="251">
        <v>11</v>
      </c>
      <c r="B57" s="265" t="s">
        <v>229</v>
      </c>
      <c r="C57" s="266">
        <f>'Entry Profile P'!$G$26</f>
        <v>0.24782195716620409</v>
      </c>
      <c r="D57" s="267">
        <f t="shared" si="8"/>
        <v>1224.5393416813906</v>
      </c>
      <c r="E57" s="267">
        <f>J51+J52+J56</f>
        <v>1808.3031869513011</v>
      </c>
      <c r="F57" s="268"/>
      <c r="G57" s="267">
        <f t="shared" si="9"/>
        <v>3032.8425286326919</v>
      </c>
      <c r="H57" s="251" t="s">
        <v>231</v>
      </c>
      <c r="I57" s="269">
        <f>'Flow Proportions'!$E$48</f>
        <v>0.96860000000000002</v>
      </c>
      <c r="J57" s="267">
        <f t="shared" si="10"/>
        <v>2937.6112732336255</v>
      </c>
      <c r="K57" s="270">
        <f>'Facility NonTrans CPP'!$J$40</f>
        <v>5.9780350346019806E-3</v>
      </c>
      <c r="L57" s="68">
        <f t="shared" si="11"/>
        <v>17.561143109432344</v>
      </c>
      <c r="N57" s="227"/>
    </row>
    <row r="58" spans="1:14" x14ac:dyDescent="0.25">
      <c r="A58" s="251">
        <v>12</v>
      </c>
      <c r="B58" s="265" t="s">
        <v>229</v>
      </c>
      <c r="C58" s="266">
        <f>'Entry Profile P'!$G$26</f>
        <v>0.24782195716620409</v>
      </c>
      <c r="D58" s="267">
        <f t="shared" si="8"/>
        <v>1224.5393416813906</v>
      </c>
      <c r="E58" s="267">
        <f>J51+J52+J56</f>
        <v>1808.3031869513011</v>
      </c>
      <c r="F58" s="268"/>
      <c r="G58" s="267">
        <f t="shared" si="9"/>
        <v>3032.8425286326919</v>
      </c>
      <c r="H58" s="251" t="s">
        <v>231</v>
      </c>
      <c r="I58" s="269">
        <f>'Flow Proportions'!$E$49</f>
        <v>3.1399999999999997E-2</v>
      </c>
      <c r="J58" s="267">
        <f t="shared" si="10"/>
        <v>95.231255399066512</v>
      </c>
      <c r="K58" s="270">
        <f>'Facility NonTrans CPP'!$J$40</f>
        <v>5.9780350346019806E-3</v>
      </c>
      <c r="L58" s="68">
        <f t="shared" si="11"/>
        <v>0.56929578116474866</v>
      </c>
      <c r="N58" s="227"/>
    </row>
    <row r="59" spans="1:14" x14ac:dyDescent="0.25">
      <c r="A59" s="251">
        <v>13</v>
      </c>
      <c r="B59" s="265" t="s">
        <v>15</v>
      </c>
      <c r="C59" s="266">
        <f>'Entry Profile P'!$G$27</f>
        <v>0.23124213600213292</v>
      </c>
      <c r="D59" s="267">
        <f t="shared" si="8"/>
        <v>1142.6150298665552</v>
      </c>
      <c r="E59" s="267">
        <f>J48+J54+J57</f>
        <v>3555.5287372041234</v>
      </c>
      <c r="F59" s="271"/>
      <c r="G59" s="267">
        <f t="shared" si="9"/>
        <v>4698.1437670706782</v>
      </c>
      <c r="H59" s="251" t="s">
        <v>22</v>
      </c>
      <c r="I59" s="269">
        <f>'Flow Proportions'!$E$53</f>
        <v>1</v>
      </c>
      <c r="J59" s="267">
        <f t="shared" si="10"/>
        <v>4698.1437670706782</v>
      </c>
      <c r="K59" s="270">
        <f>'Facility NonTrans CPP'!$J$49</f>
        <v>6.2016210736727508E-2</v>
      </c>
      <c r="L59" s="312">
        <f t="shared" si="11"/>
        <v>291.36107393009803</v>
      </c>
      <c r="N59" s="227"/>
    </row>
    <row r="60" spans="1:14" x14ac:dyDescent="0.25">
      <c r="A60" s="251"/>
      <c r="B60" s="226"/>
      <c r="C60" s="261"/>
      <c r="D60" s="255"/>
      <c r="E60" s="255"/>
      <c r="F60" s="255"/>
      <c r="G60" s="255"/>
      <c r="I60" s="261"/>
      <c r="J60" s="228"/>
      <c r="K60" s="228"/>
      <c r="L60" s="228"/>
      <c r="N60" s="227"/>
    </row>
    <row r="61" spans="1:14" x14ac:dyDescent="0.25">
      <c r="A61" s="226"/>
      <c r="B61" s="272"/>
      <c r="C61" s="261"/>
      <c r="D61" s="255"/>
      <c r="E61" s="255"/>
      <c r="F61" s="255"/>
      <c r="G61" s="255"/>
      <c r="I61" s="261"/>
      <c r="J61" s="228"/>
      <c r="K61" s="228"/>
      <c r="L61" s="68">
        <f>SUM(L47:L59)</f>
        <v>329.50321054776566</v>
      </c>
      <c r="N61" s="227"/>
    </row>
    <row r="62" spans="1:14" x14ac:dyDescent="0.25">
      <c r="A62" s="226"/>
      <c r="B62" s="273" t="s">
        <v>325</v>
      </c>
      <c r="C62" s="261"/>
      <c r="D62" s="255"/>
      <c r="E62" s="255"/>
      <c r="F62" s="255"/>
      <c r="G62" s="255"/>
      <c r="I62" s="261"/>
      <c r="J62" s="228"/>
      <c r="K62" s="228"/>
      <c r="L62" s="68"/>
      <c r="N62" s="227"/>
    </row>
    <row r="63" spans="1:14" x14ac:dyDescent="0.25">
      <c r="A63" s="274"/>
      <c r="B63" s="272" t="s">
        <v>476</v>
      </c>
      <c r="C63" s="275" t="s">
        <v>443</v>
      </c>
      <c r="D63" s="255"/>
      <c r="E63" s="255"/>
      <c r="F63" s="255"/>
      <c r="G63" s="255"/>
      <c r="I63" s="261"/>
      <c r="J63" s="228"/>
      <c r="K63" s="228"/>
      <c r="L63" s="68"/>
      <c r="N63" s="227"/>
    </row>
    <row r="64" spans="1:14" x14ac:dyDescent="0.25">
      <c r="A64" s="274"/>
      <c r="B64" s="272" t="s">
        <v>477</v>
      </c>
      <c r="C64" s="275" t="s">
        <v>485</v>
      </c>
      <c r="D64" s="255"/>
      <c r="E64" s="255"/>
      <c r="F64" s="255"/>
      <c r="G64" s="255"/>
      <c r="I64" s="261"/>
      <c r="J64" s="228"/>
      <c r="K64" s="228"/>
      <c r="L64" s="68"/>
      <c r="N64" s="227"/>
    </row>
    <row r="65" spans="1:17" x14ac:dyDescent="0.25">
      <c r="A65" s="274"/>
      <c r="B65" s="272" t="s">
        <v>478</v>
      </c>
      <c r="C65" s="275" t="s">
        <v>306</v>
      </c>
      <c r="D65" s="255"/>
      <c r="E65" s="255"/>
      <c r="F65" s="255"/>
      <c r="G65" s="255"/>
      <c r="I65" s="261"/>
      <c r="J65" s="228"/>
      <c r="K65" s="228"/>
      <c r="L65" s="68"/>
      <c r="N65" s="227"/>
    </row>
    <row r="66" spans="1:17" x14ac:dyDescent="0.25">
      <c r="A66" s="274"/>
      <c r="B66" s="272" t="s">
        <v>479</v>
      </c>
      <c r="C66" s="275" t="s">
        <v>486</v>
      </c>
      <c r="D66" s="255"/>
      <c r="E66" s="255"/>
      <c r="F66" s="255"/>
      <c r="G66" s="255"/>
      <c r="I66" s="261"/>
      <c r="J66" s="228"/>
      <c r="K66" s="228"/>
      <c r="L66" s="68"/>
      <c r="N66" s="227"/>
    </row>
    <row r="67" spans="1:17" x14ac:dyDescent="0.25">
      <c r="A67" s="274"/>
      <c r="B67" s="272" t="s">
        <v>480</v>
      </c>
      <c r="C67" s="275" t="s">
        <v>307</v>
      </c>
      <c r="D67" s="255"/>
      <c r="E67" s="255"/>
      <c r="F67" s="255"/>
      <c r="G67" s="255"/>
      <c r="I67" s="261"/>
      <c r="J67" s="228"/>
      <c r="K67" s="228"/>
      <c r="L67" s="68"/>
      <c r="N67" s="227"/>
    </row>
    <row r="68" spans="1:17" x14ac:dyDescent="0.25">
      <c r="A68" s="274"/>
      <c r="B68" s="272" t="s">
        <v>481</v>
      </c>
      <c r="C68" s="275" t="s">
        <v>487</v>
      </c>
      <c r="D68" s="255"/>
      <c r="E68" s="255"/>
      <c r="F68" s="255"/>
      <c r="G68" s="255"/>
      <c r="I68" s="261"/>
      <c r="J68" s="228"/>
      <c r="K68" s="228"/>
      <c r="L68" s="68"/>
      <c r="N68" s="227"/>
    </row>
    <row r="69" spans="1:17" x14ac:dyDescent="0.25">
      <c r="A69" s="274"/>
      <c r="B69" s="272" t="s">
        <v>482</v>
      </c>
      <c r="C69" s="275" t="s">
        <v>205</v>
      </c>
      <c r="D69" s="255"/>
      <c r="E69" s="255"/>
      <c r="F69" s="255"/>
      <c r="G69" s="255"/>
      <c r="I69" s="261"/>
      <c r="J69" s="228"/>
      <c r="K69" s="228"/>
      <c r="L69" s="68"/>
      <c r="N69" s="227"/>
    </row>
    <row r="70" spans="1:17" x14ac:dyDescent="0.25">
      <c r="A70" s="274"/>
      <c r="B70" s="272" t="s">
        <v>483</v>
      </c>
      <c r="C70" s="275" t="s">
        <v>488</v>
      </c>
      <c r="D70" s="255"/>
      <c r="E70" s="255"/>
      <c r="F70" s="255"/>
      <c r="G70" s="255"/>
      <c r="I70" s="261"/>
      <c r="J70" s="228"/>
      <c r="K70" s="228"/>
      <c r="L70" s="68"/>
      <c r="N70" s="227"/>
    </row>
    <row r="71" spans="1:17" x14ac:dyDescent="0.25">
      <c r="A71" s="274"/>
      <c r="B71" s="272" t="s">
        <v>484</v>
      </c>
      <c r="C71" s="275" t="s">
        <v>208</v>
      </c>
      <c r="D71" s="255"/>
      <c r="E71" s="255"/>
      <c r="F71" s="255"/>
      <c r="G71" s="255"/>
      <c r="I71" s="261"/>
      <c r="J71" s="228"/>
      <c r="K71" s="228"/>
      <c r="L71" s="68"/>
      <c r="N71" s="227"/>
    </row>
    <row r="72" spans="1:17" x14ac:dyDescent="0.25">
      <c r="A72" s="226"/>
      <c r="B72" s="272"/>
      <c r="C72" s="275"/>
      <c r="J72" s="228"/>
      <c r="K72" s="228"/>
      <c r="L72" s="228"/>
    </row>
    <row r="73" spans="1:17" x14ac:dyDescent="0.25">
      <c r="A73" s="226"/>
      <c r="B73" s="272"/>
      <c r="C73" s="275"/>
      <c r="J73" s="228"/>
      <c r="K73" s="228"/>
      <c r="L73" s="228"/>
    </row>
    <row r="74" spans="1:17" x14ac:dyDescent="0.25">
      <c r="A74" s="226"/>
      <c r="B74" s="272"/>
      <c r="C74" s="275"/>
      <c r="J74" s="228"/>
      <c r="K74" s="228"/>
      <c r="L74" s="228"/>
    </row>
    <row r="75" spans="1:17" x14ac:dyDescent="0.25">
      <c r="A75" s="226"/>
      <c r="B75" s="272"/>
      <c r="C75" s="275"/>
      <c r="J75" s="228"/>
      <c r="K75" s="228"/>
      <c r="L75" s="228"/>
    </row>
    <row r="76" spans="1:17" x14ac:dyDescent="0.25">
      <c r="B76" s="227"/>
      <c r="C76" s="228"/>
      <c r="I76" s="276"/>
      <c r="J76" s="276"/>
      <c r="K76" s="276"/>
      <c r="L76" s="276"/>
      <c r="M76" s="277"/>
      <c r="N76" s="45"/>
      <c r="O76" s="278"/>
      <c r="P76" s="253"/>
      <c r="Q76" s="227"/>
    </row>
    <row r="77" spans="1:17" x14ac:dyDescent="0.25">
      <c r="B77" s="227"/>
      <c r="C77" s="228"/>
      <c r="I77" s="276"/>
      <c r="J77" s="276"/>
      <c r="K77" s="276"/>
      <c r="L77" s="276"/>
      <c r="M77" s="277"/>
      <c r="N77" s="45"/>
      <c r="O77" s="278"/>
      <c r="P77" s="253"/>
      <c r="Q77" s="227"/>
    </row>
    <row r="78" spans="1:17" x14ac:dyDescent="0.25">
      <c r="B78" s="227"/>
      <c r="C78" s="228"/>
      <c r="I78" s="276"/>
      <c r="J78" s="276"/>
      <c r="K78" s="276"/>
      <c r="L78" s="276"/>
      <c r="M78" s="277"/>
      <c r="N78" s="45"/>
      <c r="O78" s="278"/>
      <c r="P78" s="253"/>
      <c r="Q78" s="227"/>
    </row>
    <row r="79" spans="1:17" x14ac:dyDescent="0.25">
      <c r="B79" s="227"/>
      <c r="C79" s="228"/>
      <c r="I79" s="276"/>
      <c r="J79" s="276"/>
      <c r="K79" s="276"/>
      <c r="L79" s="276"/>
      <c r="M79" s="277"/>
      <c r="N79" s="45"/>
      <c r="O79" s="278"/>
      <c r="P79" s="253"/>
      <c r="Q79" s="227"/>
    </row>
    <row r="80" spans="1:17" x14ac:dyDescent="0.25">
      <c r="B80" s="227"/>
      <c r="C80" s="228"/>
      <c r="I80" s="276"/>
      <c r="J80" s="276"/>
      <c r="K80" s="276"/>
      <c r="L80" s="276"/>
      <c r="M80" s="277"/>
      <c r="N80" s="45"/>
      <c r="O80" s="278"/>
      <c r="P80" s="253"/>
      <c r="Q80" s="227"/>
    </row>
    <row r="81" spans="1:18" x14ac:dyDescent="0.25">
      <c r="B81" s="227"/>
      <c r="C81" s="228"/>
      <c r="I81" s="276"/>
      <c r="J81" s="276"/>
      <c r="K81" s="276"/>
      <c r="L81" s="276"/>
      <c r="M81" s="277"/>
      <c r="N81" s="45"/>
      <c r="O81" s="278"/>
      <c r="P81" s="253"/>
      <c r="Q81" s="227"/>
    </row>
    <row r="82" spans="1:18" x14ac:dyDescent="0.25">
      <c r="B82" s="227"/>
      <c r="C82" s="228"/>
      <c r="I82" s="276"/>
      <c r="J82" s="276"/>
      <c r="K82" s="276"/>
      <c r="L82" s="276"/>
      <c r="M82" s="277"/>
      <c r="N82" s="45"/>
      <c r="O82" s="278"/>
      <c r="P82" s="253"/>
      <c r="Q82" s="227"/>
    </row>
    <row r="83" spans="1:18" x14ac:dyDescent="0.25">
      <c r="B83" s="227"/>
      <c r="C83" s="228"/>
      <c r="I83" s="276"/>
      <c r="J83" s="276"/>
      <c r="K83" s="276"/>
      <c r="L83" s="276"/>
      <c r="M83" s="277"/>
      <c r="N83" s="45"/>
      <c r="O83" s="278"/>
      <c r="P83" s="253"/>
      <c r="Q83" s="227"/>
    </row>
    <row r="84" spans="1:18" x14ac:dyDescent="0.25">
      <c r="B84" s="227"/>
      <c r="C84" s="228"/>
      <c r="I84" s="276"/>
      <c r="J84" s="276"/>
      <c r="K84" s="276"/>
      <c r="L84" s="276"/>
      <c r="M84" s="277"/>
      <c r="N84" s="45"/>
      <c r="O84" s="278"/>
      <c r="P84" s="253"/>
      <c r="Q84" s="227"/>
    </row>
    <row r="85" spans="1:18" x14ac:dyDescent="0.25">
      <c r="B85" s="227"/>
      <c r="C85" s="228"/>
      <c r="I85" s="276"/>
      <c r="J85" s="276"/>
      <c r="K85" s="276"/>
      <c r="L85" s="276"/>
      <c r="M85" s="277"/>
      <c r="N85" s="45"/>
      <c r="O85" s="278"/>
      <c r="P85" s="253"/>
      <c r="Q85" s="227"/>
    </row>
    <row r="86" spans="1:18" x14ac:dyDescent="0.25">
      <c r="B86" s="227"/>
      <c r="C86" s="228"/>
      <c r="I86" s="276"/>
      <c r="J86" s="276"/>
      <c r="K86" s="276"/>
      <c r="L86" s="276"/>
      <c r="M86" s="277"/>
      <c r="N86" s="45"/>
      <c r="O86" s="278"/>
      <c r="P86" s="253"/>
      <c r="Q86" s="227"/>
    </row>
    <row r="87" spans="1:18" x14ac:dyDescent="0.25">
      <c r="B87" s="227"/>
      <c r="C87" s="228"/>
      <c r="I87" s="276"/>
      <c r="J87" s="276"/>
      <c r="K87" s="276"/>
      <c r="L87" s="276"/>
      <c r="M87" s="277"/>
      <c r="N87" s="45"/>
      <c r="O87" s="278"/>
      <c r="P87" s="253"/>
      <c r="Q87" s="227"/>
    </row>
    <row r="88" spans="1:18" x14ac:dyDescent="0.25">
      <c r="B88" s="227"/>
      <c r="C88" s="228"/>
      <c r="I88" s="276"/>
      <c r="J88" s="276"/>
      <c r="K88" s="276"/>
      <c r="L88" s="276"/>
      <c r="M88" s="277"/>
      <c r="N88" s="45"/>
      <c r="O88" s="278"/>
      <c r="P88" s="253"/>
      <c r="Q88" s="227"/>
    </row>
    <row r="89" spans="1:18" x14ac:dyDescent="0.25">
      <c r="A89" s="279"/>
      <c r="B89" s="279"/>
      <c r="C89" s="228"/>
      <c r="I89" s="276"/>
      <c r="J89" s="276"/>
      <c r="K89" s="276"/>
      <c r="L89" s="276"/>
      <c r="M89" s="277"/>
      <c r="N89" s="45"/>
      <c r="O89" s="278"/>
      <c r="P89" s="253"/>
      <c r="Q89" s="227"/>
    </row>
    <row r="90" spans="1:18" x14ac:dyDescent="0.25">
      <c r="B90" s="227"/>
      <c r="C90" s="228"/>
      <c r="I90" s="276"/>
      <c r="J90" s="276"/>
      <c r="K90" s="276"/>
      <c r="L90" s="276"/>
      <c r="M90" s="277"/>
      <c r="N90" s="45"/>
      <c r="O90" s="278"/>
      <c r="P90" s="253"/>
      <c r="Q90" s="227"/>
    </row>
    <row r="91" spans="1:18" x14ac:dyDescent="0.25">
      <c r="B91" s="227"/>
      <c r="C91" s="228"/>
      <c r="I91" s="276"/>
      <c r="J91" s="276"/>
      <c r="K91" s="276"/>
      <c r="L91" s="276"/>
      <c r="M91" s="277"/>
      <c r="N91" s="45"/>
      <c r="O91" s="278"/>
      <c r="P91" s="253"/>
      <c r="Q91" s="227"/>
      <c r="R91" s="277"/>
    </row>
    <row r="92" spans="1:18" x14ac:dyDescent="0.25">
      <c r="B92" s="227"/>
      <c r="C92" s="228"/>
      <c r="I92" s="276"/>
      <c r="J92" s="276"/>
      <c r="K92" s="276"/>
      <c r="L92" s="276"/>
      <c r="M92" s="277"/>
      <c r="N92" s="45"/>
      <c r="O92" s="278"/>
      <c r="P92" s="253"/>
      <c r="Q92" s="227"/>
    </row>
    <row r="93" spans="1:18" x14ac:dyDescent="0.25">
      <c r="A93" s="279"/>
      <c r="B93" s="279"/>
      <c r="C93" s="228"/>
      <c r="I93" s="276"/>
      <c r="J93" s="276"/>
      <c r="K93" s="276"/>
      <c r="L93" s="276"/>
      <c r="M93" s="277"/>
      <c r="N93" s="45"/>
      <c r="O93" s="278"/>
      <c r="P93" s="253"/>
      <c r="Q93" s="227"/>
      <c r="R93" s="277"/>
    </row>
    <row r="94" spans="1:18" x14ac:dyDescent="0.25">
      <c r="A94" s="279"/>
      <c r="B94" s="279"/>
      <c r="C94" s="228"/>
      <c r="I94" s="276"/>
      <c r="J94" s="276"/>
      <c r="K94" s="276"/>
      <c r="L94" s="276"/>
      <c r="M94" s="277"/>
      <c r="N94" s="45"/>
      <c r="O94" s="278"/>
      <c r="P94" s="253"/>
      <c r="Q94" s="227"/>
      <c r="R94" s="277"/>
    </row>
    <row r="95" spans="1:18" x14ac:dyDescent="0.25">
      <c r="N95" s="45"/>
      <c r="O95" s="278"/>
      <c r="P95" s="253"/>
      <c r="Q95" s="227"/>
    </row>
    <row r="96" spans="1:18" x14ac:dyDescent="0.25">
      <c r="N96" s="45"/>
    </row>
  </sheetData>
  <phoneticPr fontId="13" type="noConversion"/>
  <printOptions horizontalCentered="1"/>
  <pageMargins left="0.75" right="0.75" top="1" bottom="1" header="0.5" footer="0.5"/>
  <pageSetup scale="51" orientation="portrait" horizontalDpi="300" verticalDpi="300" r:id="rId1"/>
  <headerFooter alignWithMargins="0">
    <oddHeader>&amp;RPage 10 of 42</oddHeader>
    <oddFooter>&amp;R&amp;F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pageSetUpPr fitToPage="1"/>
  </sheetPr>
  <dimension ref="A1:L99"/>
  <sheetViews>
    <sheetView topLeftCell="A19" zoomScale="75" workbookViewId="0">
      <selection activeCell="B49" sqref="B49:J49"/>
    </sheetView>
  </sheetViews>
  <sheetFormatPr defaultColWidth="9.33203125" defaultRowHeight="13.2" x14ac:dyDescent="0.25"/>
  <cols>
    <col min="1" max="1" width="25.6640625" customWidth="1"/>
    <col min="2" max="2" width="12.6640625" customWidth="1"/>
    <col min="3" max="3" width="16.6640625" customWidth="1"/>
    <col min="4" max="4" width="12.6640625" customWidth="1"/>
    <col min="5" max="5" width="2.6640625" customWidth="1"/>
    <col min="6" max="6" width="12.6640625" customWidth="1"/>
    <col min="7" max="7" width="16.6640625" customWidth="1"/>
    <col min="8" max="8" width="12.6640625" customWidth="1"/>
    <col min="9" max="9" width="2.6640625" customWidth="1"/>
    <col min="10" max="10" width="12.6640625" customWidth="1"/>
    <col min="11" max="11" width="14.6640625" bestFit="1" customWidth="1"/>
    <col min="12" max="12" width="12.6640625" customWidth="1"/>
  </cols>
  <sheetData>
    <row r="1" spans="1:12" ht="15.6" x14ac:dyDescent="0.3">
      <c r="A1" s="180" t="s">
        <v>614</v>
      </c>
      <c r="B1" s="104"/>
      <c r="C1" s="104"/>
      <c r="D1" s="104"/>
      <c r="F1" s="104"/>
      <c r="G1" s="104"/>
      <c r="H1" s="104"/>
      <c r="J1" s="104"/>
      <c r="K1" s="104"/>
      <c r="L1" s="104"/>
    </row>
    <row r="2" spans="1:12" x14ac:dyDescent="0.25">
      <c r="A2" s="280" t="s">
        <v>53</v>
      </c>
      <c r="B2" s="104"/>
      <c r="C2" s="104"/>
      <c r="D2" s="104"/>
      <c r="F2" s="104"/>
      <c r="G2" s="104"/>
      <c r="H2" s="104"/>
      <c r="J2" s="104"/>
      <c r="K2" s="104"/>
      <c r="L2" s="104"/>
    </row>
    <row r="3" spans="1:12" x14ac:dyDescent="0.25">
      <c r="A3" s="4"/>
      <c r="B3" s="5"/>
      <c r="C3" s="5"/>
      <c r="D3" s="5"/>
      <c r="F3" s="5"/>
      <c r="G3" s="5"/>
      <c r="H3" s="5"/>
      <c r="J3" s="5"/>
      <c r="K3" s="5"/>
      <c r="L3" s="5"/>
    </row>
    <row r="4" spans="1:12" x14ac:dyDescent="0.25">
      <c r="A4" s="5"/>
      <c r="B4" s="5"/>
      <c r="C4" s="24" t="s">
        <v>279</v>
      </c>
      <c r="D4" s="5"/>
      <c r="F4" s="5"/>
      <c r="G4" s="24" t="s">
        <v>280</v>
      </c>
      <c r="H4" s="5"/>
      <c r="J4" s="5"/>
      <c r="K4" s="24" t="s">
        <v>552</v>
      </c>
      <c r="L4" s="5"/>
    </row>
    <row r="5" spans="1:12" x14ac:dyDescent="0.25">
      <c r="A5" s="5"/>
      <c r="B5" s="5"/>
      <c r="C5" s="5"/>
      <c r="D5" s="5"/>
      <c r="F5" s="5"/>
      <c r="G5" s="5"/>
      <c r="H5" s="5"/>
      <c r="J5" s="5"/>
      <c r="K5" s="5"/>
      <c r="L5" s="5"/>
    </row>
    <row r="6" spans="1:12" x14ac:dyDescent="0.25">
      <c r="A6" s="5"/>
      <c r="B6" s="23" t="s">
        <v>133</v>
      </c>
      <c r="C6" s="23" t="s">
        <v>117</v>
      </c>
      <c r="D6" s="23" t="s">
        <v>118</v>
      </c>
      <c r="F6" s="23" t="s">
        <v>133</v>
      </c>
      <c r="G6" s="23" t="s">
        <v>117</v>
      </c>
      <c r="H6" s="23" t="s">
        <v>118</v>
      </c>
      <c r="J6" s="23" t="s">
        <v>133</v>
      </c>
      <c r="K6" s="23" t="s">
        <v>117</v>
      </c>
      <c r="L6" s="23" t="s">
        <v>118</v>
      </c>
    </row>
    <row r="7" spans="1:12" x14ac:dyDescent="0.25">
      <c r="A7" s="5"/>
      <c r="B7" s="23" t="s">
        <v>183</v>
      </c>
      <c r="C7" s="5"/>
      <c r="D7" s="5"/>
      <c r="F7" s="23" t="s">
        <v>183</v>
      </c>
      <c r="G7" s="5"/>
      <c r="H7" s="5"/>
      <c r="J7" s="23" t="s">
        <v>183</v>
      </c>
      <c r="K7" s="5"/>
      <c r="L7" s="5"/>
    </row>
    <row r="8" spans="1:12" x14ac:dyDescent="0.25">
      <c r="A8" s="4" t="s">
        <v>584</v>
      </c>
      <c r="B8" s="23" t="s">
        <v>184</v>
      </c>
      <c r="C8" s="23" t="s">
        <v>24</v>
      </c>
      <c r="D8" s="23" t="s">
        <v>13</v>
      </c>
      <c r="F8" s="23" t="s">
        <v>184</v>
      </c>
      <c r="G8" s="23" t="s">
        <v>24</v>
      </c>
      <c r="H8" s="23" t="s">
        <v>13</v>
      </c>
      <c r="J8" s="23" t="s">
        <v>184</v>
      </c>
      <c r="K8" s="23" t="s">
        <v>24</v>
      </c>
      <c r="L8" s="23" t="s">
        <v>13</v>
      </c>
    </row>
    <row r="9" spans="1:12" x14ac:dyDescent="0.25">
      <c r="A9" s="5" t="s">
        <v>34</v>
      </c>
      <c r="B9" s="270">
        <v>0</v>
      </c>
      <c r="C9" s="47">
        <v>0</v>
      </c>
      <c r="D9" s="34">
        <f>IF(C9&gt;0,C9/$C$12,0)</f>
        <v>0</v>
      </c>
      <c r="F9" s="270">
        <f>'ODU-S'!$K$10</f>
        <v>6.4220959892728269E-4</v>
      </c>
      <c r="G9" s="47">
        <f>'Entry Profile L&amp;F'!$H$33</f>
        <v>837578.70033204788</v>
      </c>
      <c r="H9" s="34">
        <f>IF(G9&gt;0,G9/$G$12,0)</f>
        <v>0.4891982707282454</v>
      </c>
      <c r="J9" s="270">
        <f>'ODU-S'!$K$12</f>
        <v>8.4877891424019625E-4</v>
      </c>
      <c r="K9" s="47">
        <f>'Entry Profile P'!$E$23</f>
        <v>27.434690929886493</v>
      </c>
      <c r="L9" s="34">
        <f>K9/$K$12</f>
        <v>3.6435981193690341E-2</v>
      </c>
    </row>
    <row r="10" spans="1:12" x14ac:dyDescent="0.25">
      <c r="A10" s="5" t="s">
        <v>33</v>
      </c>
      <c r="B10" s="270">
        <f>'ODU-T'!$K$10</f>
        <v>0</v>
      </c>
      <c r="C10" s="47">
        <f>'Entry Profile L&amp;F'!$D$33</f>
        <v>0</v>
      </c>
      <c r="D10" s="34">
        <f>IF(C10&gt;0,C10/$C$12,0)</f>
        <v>0</v>
      </c>
      <c r="F10" s="270">
        <v>0</v>
      </c>
      <c r="G10" s="47">
        <v>0</v>
      </c>
      <c r="H10" s="34">
        <f>IF(G10&gt;0,G10/$G$12,0)</f>
        <v>0</v>
      </c>
      <c r="J10" s="270">
        <v>0</v>
      </c>
      <c r="K10" s="47">
        <v>0</v>
      </c>
      <c r="L10" s="34">
        <f>K10/$K$12</f>
        <v>0</v>
      </c>
    </row>
    <row r="11" spans="1:12" x14ac:dyDescent="0.25">
      <c r="A11" s="5" t="s">
        <v>32</v>
      </c>
      <c r="B11" s="270">
        <f>'ODU-P'!$J$10</f>
        <v>0</v>
      </c>
      <c r="C11" s="281">
        <f>'Entry Profile L&amp;F'!$B$33</f>
        <v>0</v>
      </c>
      <c r="D11" s="161">
        <f>IF(C11&gt;0,C11/$C$12,0)</f>
        <v>0</v>
      </c>
      <c r="F11" s="270">
        <f>'ODU-P'!$J$12</f>
        <v>9.6016563571313938E-4</v>
      </c>
      <c r="G11" s="281">
        <f>'Entry Profile L&amp;F'!$F$33</f>
        <v>874566.96830489498</v>
      </c>
      <c r="H11" s="161">
        <f>IF(G11&gt;0,G11/$G$12,0)</f>
        <v>0.5108017292717546</v>
      </c>
      <c r="J11" s="270">
        <f>'ODU-P'!$J$14</f>
        <v>2.3935250081961075E-3</v>
      </c>
      <c r="K11" s="281">
        <f>'Entry Profile P'!$B$23+'Entry Profile P'!$C$23+'Entry Profile P'!$D$23</f>
        <v>725.52131659592123</v>
      </c>
      <c r="L11" s="161">
        <f>K11/$K$12</f>
        <v>0.9635640188063096</v>
      </c>
    </row>
    <row r="12" spans="1:12" x14ac:dyDescent="0.25">
      <c r="A12" s="10" t="s">
        <v>26</v>
      </c>
      <c r="C12" s="109">
        <f>SUM(C9:C11)</f>
        <v>0</v>
      </c>
      <c r="D12" s="106">
        <f>IF(OR(C9&gt;0,C10&gt;0,C11&gt;0),SUM(D9:D11),0)</f>
        <v>0</v>
      </c>
      <c r="G12" s="109">
        <f>SUM(G9:G11)</f>
        <v>1712145.6686369427</v>
      </c>
      <c r="H12" s="106">
        <f>IF(OR(G9&gt;0,G10&gt;0,G11&gt;0),SUM(H9:H11),0)</f>
        <v>1</v>
      </c>
      <c r="K12" s="109">
        <f>SUM(K9:K11)</f>
        <v>752.95600752580776</v>
      </c>
      <c r="L12" s="106">
        <f>SUM(L9:L11)</f>
        <v>0.99999999999999989</v>
      </c>
    </row>
    <row r="13" spans="1:12" x14ac:dyDescent="0.25">
      <c r="A13" s="10" t="s">
        <v>187</v>
      </c>
      <c r="B13" s="148">
        <f>IF(AND(C9&gt;0,C10&gt;0,C11&gt;0),SUMPRODUCT(B9:B11,C9:C11)/SUM(C9:C11),0)</f>
        <v>0</v>
      </c>
      <c r="C13" s="109"/>
      <c r="D13" s="106"/>
      <c r="F13" s="148">
        <f>IF(AND(G9&gt;0,G10&gt;0,G11&gt;0),SUMPRODUCT(F9:F11,G9:G11)/SUM(G9:G11),0)</f>
        <v>0</v>
      </c>
      <c r="G13" s="109"/>
      <c r="H13" s="106"/>
      <c r="J13" s="148">
        <f>SUMPRODUCT(J9:J11,K9:K11)/SUM(K9:K11)</f>
        <v>2.3372406685677033E-3</v>
      </c>
      <c r="K13" s="109"/>
      <c r="L13" s="106"/>
    </row>
    <row r="14" spans="1:12" x14ac:dyDescent="0.25">
      <c r="A14" s="10"/>
      <c r="B14" s="148"/>
      <c r="C14" s="109"/>
      <c r="D14" s="106"/>
      <c r="F14" s="148"/>
      <c r="G14" s="109"/>
      <c r="H14" s="106"/>
      <c r="J14" s="148"/>
      <c r="K14" s="109"/>
      <c r="L14" s="106"/>
    </row>
    <row r="15" spans="1:12" x14ac:dyDescent="0.25">
      <c r="A15" s="5"/>
      <c r="B15" s="5"/>
      <c r="C15" s="5"/>
      <c r="D15" s="5"/>
      <c r="F15" s="5"/>
      <c r="G15" s="5"/>
      <c r="H15" s="5"/>
      <c r="J15" s="5"/>
      <c r="K15" s="5"/>
      <c r="L15" s="5"/>
    </row>
    <row r="16" spans="1:12" x14ac:dyDescent="0.25">
      <c r="A16" s="5"/>
      <c r="B16" s="23" t="s">
        <v>183</v>
      </c>
      <c r="C16" s="5"/>
      <c r="D16" s="5"/>
      <c r="F16" s="23" t="s">
        <v>183</v>
      </c>
      <c r="G16" s="5"/>
      <c r="H16" s="5"/>
      <c r="J16" s="23" t="s">
        <v>183</v>
      </c>
      <c r="K16" s="5"/>
      <c r="L16" s="5"/>
    </row>
    <row r="17" spans="1:12" x14ac:dyDescent="0.25">
      <c r="A17" s="10" t="s">
        <v>185</v>
      </c>
      <c r="B17" s="23" t="s">
        <v>184</v>
      </c>
      <c r="C17" s="23" t="s">
        <v>24</v>
      </c>
      <c r="D17" s="23" t="s">
        <v>13</v>
      </c>
      <c r="F17" s="23" t="s">
        <v>184</v>
      </c>
      <c r="G17" s="23" t="s">
        <v>24</v>
      </c>
      <c r="H17" s="23" t="s">
        <v>13</v>
      </c>
      <c r="J17" s="23" t="s">
        <v>184</v>
      </c>
      <c r="K17" s="23" t="s">
        <v>24</v>
      </c>
      <c r="L17" s="23" t="s">
        <v>13</v>
      </c>
    </row>
    <row r="18" spans="1:12" x14ac:dyDescent="0.25">
      <c r="A18" s="5" t="s">
        <v>34</v>
      </c>
      <c r="B18" s="270">
        <v>0</v>
      </c>
      <c r="C18" s="47">
        <v>0</v>
      </c>
      <c r="D18" s="34">
        <f>C18/$C$21</f>
        <v>0</v>
      </c>
      <c r="F18" s="270">
        <f>'OSCF-S'!$K$13</f>
        <v>2.7322689070313601E-3</v>
      </c>
      <c r="G18" s="47">
        <f>'Entry Profile L&amp;F'!$H$34+'Entry Profile L&amp;F'!$H$35</f>
        <v>25115539.949584186</v>
      </c>
      <c r="H18" s="34">
        <f>G18/$G$21</f>
        <v>0.10797234480354255</v>
      </c>
      <c r="J18" s="270">
        <f>'OSCF-S'!$K$18</f>
        <v>2.22645833178024E-2</v>
      </c>
      <c r="K18" s="47">
        <f>'Entry Profile P'!$E$24</f>
        <v>27.699195690372242</v>
      </c>
      <c r="L18" s="34">
        <f>K18/$K$21</f>
        <v>3.910074180395768E-2</v>
      </c>
    </row>
    <row r="19" spans="1:12" x14ac:dyDescent="0.25">
      <c r="A19" s="5" t="s">
        <v>33</v>
      </c>
      <c r="B19" s="270">
        <f>'OSCF-T'!$K$13</f>
        <v>3.1172924409807942E-3</v>
      </c>
      <c r="C19" s="47">
        <f>'Entry Profile L&amp;F'!$D$34+'Entry Profile L&amp;F'!$D$35</f>
        <v>59949358.698921375</v>
      </c>
      <c r="D19" s="34">
        <f>C19/$C$21</f>
        <v>0.19310539866818099</v>
      </c>
      <c r="F19" s="270">
        <v>0</v>
      </c>
      <c r="G19" s="47">
        <v>0</v>
      </c>
      <c r="H19" s="34">
        <f>G19/$G$21</f>
        <v>0</v>
      </c>
      <c r="J19" s="270">
        <v>0</v>
      </c>
      <c r="K19" s="47">
        <v>0</v>
      </c>
      <c r="L19" s="34">
        <f>K19/$K$21</f>
        <v>0</v>
      </c>
    </row>
    <row r="20" spans="1:12" x14ac:dyDescent="0.25">
      <c r="A20" s="5" t="s">
        <v>32</v>
      </c>
      <c r="B20" s="270">
        <f>'OSCF-P'!$J$13</f>
        <v>1.1122985747928761E-2</v>
      </c>
      <c r="C20" s="281">
        <f>'Entry Profile L&amp;F'!$B$34+'Entry Profile L&amp;F'!$B$35</f>
        <v>250499541.8102468</v>
      </c>
      <c r="D20" s="161">
        <f>C20/$C$21</f>
        <v>0.80689460133181912</v>
      </c>
      <c r="F20" s="270">
        <f>'OSCF-P'!$J$18</f>
        <v>4.2825617521996418E-3</v>
      </c>
      <c r="G20" s="281">
        <f>'Entry Profile L&amp;F'!F34+'Entry Profile L&amp;F'!F35</f>
        <v>207495319.7597453</v>
      </c>
      <c r="H20" s="161">
        <f>G20/$G$21</f>
        <v>0.89202765519645744</v>
      </c>
      <c r="J20" s="270">
        <f>'OSCF-P'!$J$23</f>
        <v>8.0500247121772055E-3</v>
      </c>
      <c r="K20" s="281">
        <f>'Entry Profile P'!$B$24+'Entry Profile P'!$C$24+'Entry Profile P'!$D$24</f>
        <v>680.70669157513737</v>
      </c>
      <c r="L20" s="161">
        <f>K20/$K$21</f>
        <v>0.96089925819604238</v>
      </c>
    </row>
    <row r="21" spans="1:12" x14ac:dyDescent="0.25">
      <c r="A21" s="10" t="s">
        <v>26</v>
      </c>
      <c r="C21" s="109">
        <f>SUM(C18:C20)</f>
        <v>310448900.50916815</v>
      </c>
      <c r="D21" s="106">
        <f>SUM(D18:D20)</f>
        <v>1</v>
      </c>
      <c r="G21" s="109">
        <f>SUM(G18:G20)</f>
        <v>232610859.70932949</v>
      </c>
      <c r="H21" s="106">
        <f>SUM(H18:H20)</f>
        <v>1</v>
      </c>
      <c r="K21" s="109">
        <f>SUM(K18:K20)</f>
        <v>708.40588726550959</v>
      </c>
      <c r="L21" s="106">
        <f>SUM(L18:L20)</f>
        <v>1</v>
      </c>
    </row>
    <row r="22" spans="1:12" x14ac:dyDescent="0.25">
      <c r="A22" s="10" t="s">
        <v>187</v>
      </c>
      <c r="B22" s="148">
        <f>SUMPRODUCT(B18:B20,C18:C20)/SUM(C18:C20)</f>
        <v>9.5770431502753862E-3</v>
      </c>
      <c r="C22" s="109"/>
      <c r="D22" s="106"/>
      <c r="F22" s="148">
        <f>SUMPRODUCT(F18:F20,G18:G20)/SUM(G18:G20)</f>
        <v>4.1151729985746668E-3</v>
      </c>
      <c r="G22" s="109"/>
      <c r="H22" s="106"/>
      <c r="J22" s="148">
        <f>SUMPRODUCT(J18:J20,K18:K20)/SUM(K18:K20)</f>
        <v>8.6058244980729819E-3</v>
      </c>
      <c r="K22" s="109"/>
      <c r="L22" s="106"/>
    </row>
    <row r="23" spans="1:12" x14ac:dyDescent="0.25">
      <c r="A23" s="10"/>
      <c r="B23" s="148"/>
      <c r="C23" s="109"/>
      <c r="D23" s="106"/>
      <c r="F23" s="148"/>
      <c r="G23" s="109"/>
      <c r="H23" s="106"/>
      <c r="J23" s="148"/>
      <c r="K23" s="109"/>
      <c r="L23" s="106"/>
    </row>
    <row r="24" spans="1:12" x14ac:dyDescent="0.25">
      <c r="A24" s="10"/>
      <c r="B24" s="148"/>
      <c r="C24" s="109"/>
      <c r="D24" s="106"/>
      <c r="F24" s="148"/>
      <c r="G24" s="109"/>
      <c r="H24" s="106"/>
      <c r="J24" s="148"/>
      <c r="K24" s="109"/>
      <c r="L24" s="106"/>
    </row>
    <row r="25" spans="1:12" x14ac:dyDescent="0.25">
      <c r="A25" s="5"/>
      <c r="B25" s="23" t="s">
        <v>183</v>
      </c>
      <c r="C25" s="5"/>
      <c r="D25" s="5"/>
      <c r="F25" s="23" t="s">
        <v>183</v>
      </c>
      <c r="G25" s="5"/>
      <c r="H25" s="5"/>
      <c r="J25" s="23" t="s">
        <v>183</v>
      </c>
      <c r="K25" s="5"/>
      <c r="L25" s="5"/>
    </row>
    <row r="26" spans="1:12" x14ac:dyDescent="0.25">
      <c r="A26" s="10" t="s">
        <v>234</v>
      </c>
      <c r="B26" s="23" t="s">
        <v>184</v>
      </c>
      <c r="C26" s="23" t="s">
        <v>24</v>
      </c>
      <c r="D26" s="23" t="s">
        <v>13</v>
      </c>
      <c r="F26" s="23" t="s">
        <v>184</v>
      </c>
      <c r="G26" s="23" t="s">
        <v>24</v>
      </c>
      <c r="H26" s="23" t="s">
        <v>13</v>
      </c>
      <c r="J26" s="23" t="s">
        <v>184</v>
      </c>
      <c r="K26" s="23" t="s">
        <v>24</v>
      </c>
      <c r="L26" s="23" t="s">
        <v>13</v>
      </c>
    </row>
    <row r="27" spans="1:12" x14ac:dyDescent="0.25">
      <c r="A27" s="5" t="s">
        <v>34</v>
      </c>
      <c r="B27" s="270">
        <v>0</v>
      </c>
      <c r="C27" s="47">
        <v>0</v>
      </c>
      <c r="D27" s="34">
        <f>C27/$C$30</f>
        <v>0</v>
      </c>
      <c r="F27" s="270">
        <f>'ONDC-S'!$K$14</f>
        <v>3.3787643033648673E-2</v>
      </c>
      <c r="G27" s="47">
        <f>'Entry Profile L&amp;F'!$H$36</f>
        <v>200079.11797573123</v>
      </c>
      <c r="H27" s="34">
        <f>G27/$G$30</f>
        <v>1.4520379903766784E-2</v>
      </c>
      <c r="J27" s="270">
        <f>'ONDC-S'!$K$20</f>
        <v>2.0989501652946507E-2</v>
      </c>
      <c r="K27" s="47">
        <f>'Entry Profile P'!$E$25</f>
        <v>37.975297036197382</v>
      </c>
      <c r="L27" s="34">
        <f>K27/$K$30</f>
        <v>3.8557893044224599E-2</v>
      </c>
    </row>
    <row r="28" spans="1:12" x14ac:dyDescent="0.25">
      <c r="A28" s="5" t="s">
        <v>33</v>
      </c>
      <c r="B28" s="270">
        <f>'ONDC-T'!$K$13</f>
        <v>0.10900923186816266</v>
      </c>
      <c r="C28" s="47">
        <f>'Entry Profile L&amp;F'!$D$36</f>
        <v>157099.02959117841</v>
      </c>
      <c r="D28" s="34">
        <f>C28/$C$30</f>
        <v>1.0262735793904722E-2</v>
      </c>
      <c r="F28" s="270">
        <v>0</v>
      </c>
      <c r="G28" s="47">
        <v>0</v>
      </c>
      <c r="H28" s="34">
        <f>G28/$G$30</f>
        <v>0</v>
      </c>
      <c r="J28" s="270">
        <v>0</v>
      </c>
      <c r="K28" s="47">
        <v>0</v>
      </c>
      <c r="L28" s="34">
        <f>K28/$K$30</f>
        <v>0</v>
      </c>
    </row>
    <row r="29" spans="1:12" x14ac:dyDescent="0.25">
      <c r="A29" s="5" t="s">
        <v>32</v>
      </c>
      <c r="B29" s="270">
        <f>'ONDC-P'!$J$12</f>
        <v>7.319475014256476E-3</v>
      </c>
      <c r="C29" s="281">
        <f>'Entry Profile L&amp;F'!$B$36</f>
        <v>15150615.477147188</v>
      </c>
      <c r="D29" s="161">
        <f>C29/$C$30</f>
        <v>0.98973726420609531</v>
      </c>
      <c r="F29" s="270">
        <f>'ONDC-P'!$J$16</f>
        <v>3.2202227212660027E-3</v>
      </c>
      <c r="G29" s="281">
        <f>'Entry Profile L&amp;F'!$F$36</f>
        <v>13579113.940452995</v>
      </c>
      <c r="H29" s="161">
        <f>G29/$G$30</f>
        <v>0.98547962009623324</v>
      </c>
      <c r="J29" s="270">
        <f>'ONDC-P'!$J$20</f>
        <v>5.5421713166936542E-3</v>
      </c>
      <c r="K29" s="281">
        <f>'Entry Profile P'!$B$25+'Entry Profile P'!$C$25+'Entry Profile P'!$D$25</f>
        <v>946.91505972268988</v>
      </c>
      <c r="L29" s="161">
        <f>K29/$K$30</f>
        <v>0.96144210695577537</v>
      </c>
    </row>
    <row r="30" spans="1:12" x14ac:dyDescent="0.25">
      <c r="A30" s="10" t="s">
        <v>26</v>
      </c>
      <c r="C30" s="109">
        <f>SUM(C27:C29)</f>
        <v>15307714.506738367</v>
      </c>
      <c r="D30" s="106">
        <f>SUM(D27:D29)</f>
        <v>1</v>
      </c>
      <c r="G30" s="109">
        <f>SUM(G27:G29)</f>
        <v>13779193.058428725</v>
      </c>
      <c r="H30" s="106">
        <f>SUM(H27:H29)</f>
        <v>1</v>
      </c>
      <c r="K30" s="109">
        <f>SUM(K27:K29)</f>
        <v>984.89035675888726</v>
      </c>
      <c r="L30" s="106">
        <f>SUM(L27:L29)</f>
        <v>1</v>
      </c>
    </row>
    <row r="31" spans="1:12" x14ac:dyDescent="0.25">
      <c r="A31" s="10" t="s">
        <v>187</v>
      </c>
      <c r="B31" s="148">
        <f>SUMPRODUCT(B27:B29,C27:C29)/SUM(C27:C29)</f>
        <v>8.363090121794526E-3</v>
      </c>
      <c r="C31" s="109"/>
      <c r="D31" s="106"/>
      <c r="F31" s="148">
        <f>SUMPRODUCT(F27:F29,G27:G29)/SUM(G27:G29)</f>
        <v>3.6640732768799165E-3</v>
      </c>
      <c r="G31" s="109"/>
      <c r="H31" s="106"/>
      <c r="J31" s="148">
        <f>SUMPRODUCT(J27:J29,K27:K29)/SUM(K27:K29)</f>
        <v>6.1377878276176979E-3</v>
      </c>
      <c r="K31" s="109"/>
      <c r="L31" s="106"/>
    </row>
    <row r="32" spans="1:12" x14ac:dyDescent="0.25">
      <c r="A32" s="10"/>
      <c r="B32" s="148"/>
      <c r="C32" s="109"/>
      <c r="D32" s="106"/>
      <c r="F32" s="148"/>
      <c r="G32" s="109"/>
      <c r="H32" s="106"/>
      <c r="J32" s="148"/>
      <c r="K32" s="109"/>
      <c r="L32" s="106"/>
    </row>
    <row r="33" spans="1:12" x14ac:dyDescent="0.25">
      <c r="A33" s="10"/>
      <c r="B33" s="148"/>
      <c r="C33" s="109"/>
      <c r="D33" s="106"/>
      <c r="F33" s="148"/>
      <c r="G33" s="109"/>
      <c r="H33" s="106"/>
      <c r="J33" s="148"/>
      <c r="K33" s="109"/>
      <c r="L33" s="106"/>
    </row>
    <row r="34" spans="1:12" x14ac:dyDescent="0.25">
      <c r="A34" s="5"/>
      <c r="B34" s="23" t="s">
        <v>183</v>
      </c>
      <c r="C34" s="5"/>
      <c r="D34" s="5"/>
      <c r="F34" s="23" t="s">
        <v>183</v>
      </c>
      <c r="G34" s="5"/>
      <c r="H34" s="5"/>
      <c r="J34" s="23" t="s">
        <v>183</v>
      </c>
      <c r="K34" s="5"/>
      <c r="L34" s="5"/>
    </row>
    <row r="35" spans="1:12" x14ac:dyDescent="0.25">
      <c r="A35" s="10" t="s">
        <v>235</v>
      </c>
      <c r="B35" s="23" t="s">
        <v>184</v>
      </c>
      <c r="C35" s="23" t="s">
        <v>24</v>
      </c>
      <c r="D35" s="23" t="s">
        <v>13</v>
      </c>
      <c r="F35" s="23" t="s">
        <v>184</v>
      </c>
      <c r="G35" s="23" t="s">
        <v>24</v>
      </c>
      <c r="H35" s="23" t="s">
        <v>13</v>
      </c>
      <c r="J35" s="23" t="s">
        <v>184</v>
      </c>
      <c r="K35" s="23" t="s">
        <v>24</v>
      </c>
      <c r="L35" s="23" t="s">
        <v>13</v>
      </c>
    </row>
    <row r="36" spans="1:12" x14ac:dyDescent="0.25">
      <c r="A36" s="5" t="s">
        <v>34</v>
      </c>
      <c r="B36" s="270">
        <v>0</v>
      </c>
      <c r="C36" s="47">
        <v>0</v>
      </c>
      <c r="D36" s="34">
        <f>C36/$C$39</f>
        <v>0</v>
      </c>
      <c r="F36" s="270">
        <f>'DNDC-S'!$K$16</f>
        <v>2.9197688633349352E-2</v>
      </c>
      <c r="G36" s="47">
        <f>'Entry Profile L&amp;F'!$H$37+'Entry Profile L&amp;F'!$H$38</f>
        <v>104979.66628667848</v>
      </c>
      <c r="H36" s="34">
        <f>G36/$G$39</f>
        <v>1.0536260768445164E-3</v>
      </c>
      <c r="J36" s="270">
        <f>'DNDC-S'!$K$24</f>
        <v>1.6396735381551297E-2</v>
      </c>
      <c r="K36" s="47">
        <f>'Entry Profile P'!$E$26</f>
        <v>49.171230369191754</v>
      </c>
      <c r="L36" s="34">
        <f>K36/$K$39</f>
        <v>4.0154880039767214E-2</v>
      </c>
    </row>
    <row r="37" spans="1:12" x14ac:dyDescent="0.25">
      <c r="A37" s="5" t="s">
        <v>33</v>
      </c>
      <c r="B37" s="270">
        <f>'DNDC-T'!$K$13</f>
        <v>0.13565427342410113</v>
      </c>
      <c r="C37" s="47">
        <f>'Entry Profile L&amp;F'!$D$37+'Entry Profile L&amp;F'!$D$38</f>
        <v>1375787.0489938117</v>
      </c>
      <c r="D37" s="34">
        <f>C37/$C$39</f>
        <v>1.0017862084087245E-2</v>
      </c>
      <c r="F37" s="270">
        <v>0</v>
      </c>
      <c r="G37" s="47">
        <v>0</v>
      </c>
      <c r="H37" s="34">
        <f>G37/$G$39</f>
        <v>0</v>
      </c>
      <c r="J37" s="270">
        <v>0</v>
      </c>
      <c r="K37" s="47">
        <v>0</v>
      </c>
      <c r="L37" s="34">
        <f>K37/$K$39</f>
        <v>0</v>
      </c>
    </row>
    <row r="38" spans="1:12" x14ac:dyDescent="0.25">
      <c r="A38" s="5" t="s">
        <v>32</v>
      </c>
      <c r="B38" s="270">
        <f>'DNDC-P'!$J$12</f>
        <v>6.9830164688239379E-3</v>
      </c>
      <c r="C38" s="281">
        <f>'Entry Profile L&amp;F'!$B$37+'Entry Profile L&amp;F'!$B$38</f>
        <v>135957611.77860278</v>
      </c>
      <c r="D38" s="161">
        <f>C38/$C$39</f>
        <v>0.98998213791591261</v>
      </c>
      <c r="F38" s="270">
        <f>'DNDC-P'!$J$16</f>
        <v>2.5991906378601405E-3</v>
      </c>
      <c r="G38" s="281">
        <f>'Entry Profile L&amp;F'!F37+'Entry Profile L&amp;F'!F38</f>
        <v>99531569.384473309</v>
      </c>
      <c r="H38" s="161">
        <f>G38/$G$39</f>
        <v>0.99894637392315555</v>
      </c>
      <c r="J38" s="270">
        <f>'DNDC-P'!$J$20</f>
        <v>5.5421713166936542E-3</v>
      </c>
      <c r="K38" s="281">
        <f>'Entry Profile P'!$B$26+'Entry Profile P'!$C$26+'Entry Profile P'!$D$26</f>
        <v>1175.3681113121988</v>
      </c>
      <c r="L38" s="161">
        <f>K38/$K$39</f>
        <v>0.95984511996023281</v>
      </c>
    </row>
    <row r="39" spans="1:12" x14ac:dyDescent="0.25">
      <c r="A39" s="10" t="s">
        <v>26</v>
      </c>
      <c r="C39" s="109">
        <f>SUM(C36:C38)</f>
        <v>137333398.8275966</v>
      </c>
      <c r="D39" s="106">
        <f>SUM(D36:D38)</f>
        <v>0.99999999999999989</v>
      </c>
      <c r="G39" s="109">
        <f>SUM(G36:G38)</f>
        <v>99636549.050759986</v>
      </c>
      <c r="H39" s="106">
        <f>SUM(H36:H38)</f>
        <v>1</v>
      </c>
      <c r="K39" s="109">
        <f>SUM(K36:K38)</f>
        <v>1224.5393416813906</v>
      </c>
      <c r="L39" s="106">
        <f>SUM(L36:L38)</f>
        <v>1</v>
      </c>
    </row>
    <row r="40" spans="1:12" x14ac:dyDescent="0.25">
      <c r="A40" s="10" t="s">
        <v>187</v>
      </c>
      <c r="B40" s="148">
        <f>SUMPRODUCT(B36:B38,C36:C38)/SUM(C36:C38)</f>
        <v>8.2720273751880555E-3</v>
      </c>
      <c r="C40" s="109"/>
      <c r="D40" s="106"/>
      <c r="F40" s="148">
        <f>SUMPRODUCT(F36:F38,G36:G38)/SUM(G36:G38)</f>
        <v>2.6272155089530846E-3</v>
      </c>
      <c r="G40" s="109"/>
      <c r="H40" s="106"/>
      <c r="J40" s="148">
        <f>SUMPRODUCT(J36:J38,K36:K38)/SUM(K36:K38)</f>
        <v>5.9780350346019806E-3</v>
      </c>
      <c r="K40" s="109"/>
      <c r="L40" s="106"/>
    </row>
    <row r="41" spans="1:12" x14ac:dyDescent="0.25">
      <c r="A41" s="10"/>
      <c r="B41" s="5"/>
      <c r="C41" s="101"/>
      <c r="D41" s="101"/>
      <c r="F41" s="5"/>
      <c r="G41" s="101"/>
      <c r="H41" s="101"/>
      <c r="J41" s="5"/>
      <c r="K41" s="101"/>
      <c r="L41" s="101"/>
    </row>
    <row r="42" spans="1:12" x14ac:dyDescent="0.25">
      <c r="A42" s="10"/>
      <c r="B42" s="5"/>
      <c r="C42" s="101"/>
      <c r="D42" s="101"/>
      <c r="F42" s="5"/>
      <c r="G42" s="101"/>
      <c r="H42" s="101"/>
      <c r="J42" s="5"/>
      <c r="K42" s="101"/>
      <c r="L42" s="101"/>
    </row>
    <row r="43" spans="1:12" x14ac:dyDescent="0.25">
      <c r="A43" s="5"/>
      <c r="B43" s="23" t="s">
        <v>183</v>
      </c>
      <c r="C43" s="5"/>
      <c r="D43" s="5"/>
      <c r="F43" s="23" t="s">
        <v>183</v>
      </c>
      <c r="G43" s="5"/>
      <c r="H43" s="5"/>
      <c r="J43" s="23" t="s">
        <v>183</v>
      </c>
      <c r="K43" s="5"/>
      <c r="L43" s="5"/>
    </row>
    <row r="44" spans="1:12" x14ac:dyDescent="0.25">
      <c r="A44" s="10" t="s">
        <v>186</v>
      </c>
      <c r="B44" s="23" t="s">
        <v>184</v>
      </c>
      <c r="C44" s="23" t="s">
        <v>24</v>
      </c>
      <c r="D44" s="23" t="s">
        <v>13</v>
      </c>
      <c r="F44" s="23" t="s">
        <v>184</v>
      </c>
      <c r="G44" s="23" t="s">
        <v>24</v>
      </c>
      <c r="H44" s="23" t="s">
        <v>13</v>
      </c>
      <c r="J44" s="23" t="s">
        <v>184</v>
      </c>
      <c r="K44" s="23" t="s">
        <v>24</v>
      </c>
      <c r="L44" s="23" t="s">
        <v>13</v>
      </c>
    </row>
    <row r="45" spans="1:12" x14ac:dyDescent="0.25">
      <c r="A45" s="5" t="s">
        <v>34</v>
      </c>
      <c r="B45" s="270">
        <v>0</v>
      </c>
      <c r="C45" s="47">
        <v>0</v>
      </c>
      <c r="D45" s="34">
        <f>C45/$C$48</f>
        <v>0</v>
      </c>
      <c r="F45" s="270">
        <f>'DSCF-S'!$K$13</f>
        <v>0.11871403384166421</v>
      </c>
      <c r="G45" s="47">
        <f>'Entry Profile L&amp;F'!$H$39</f>
        <v>10531183.07054968</v>
      </c>
      <c r="H45" s="34">
        <f>G45/$G$48</f>
        <v>9.6889116467466941E-3</v>
      </c>
      <c r="J45" s="270">
        <f>'DSCF-S'!$K$18</f>
        <v>6.5364269301572422E-2</v>
      </c>
      <c r="K45" s="47">
        <f>'Entry Profile P'!$E$27</f>
        <v>1075.8682365611246</v>
      </c>
      <c r="L45" s="34">
        <f>K45/$K$48</f>
        <v>0.94158418053259296</v>
      </c>
    </row>
    <row r="46" spans="1:12" x14ac:dyDescent="0.25">
      <c r="A46" s="5" t="s">
        <v>33</v>
      </c>
      <c r="B46" s="270">
        <f>'DSCF-T'!$K$13</f>
        <v>0.11159983100652066</v>
      </c>
      <c r="C46" s="47">
        <f>'Entry Profile L&amp;F'!$D$39</f>
        <v>27113157.166979041</v>
      </c>
      <c r="D46" s="34">
        <f>C46/$C$48</f>
        <v>1.7769110442417191E-2</v>
      </c>
      <c r="F46" s="270">
        <v>0</v>
      </c>
      <c r="G46" s="47">
        <v>0</v>
      </c>
      <c r="H46" s="34">
        <f>G46/$G$48</f>
        <v>0</v>
      </c>
      <c r="J46" s="270">
        <v>0</v>
      </c>
      <c r="K46" s="47">
        <v>0</v>
      </c>
      <c r="L46" s="34">
        <f>K46/$K$48</f>
        <v>0</v>
      </c>
    </row>
    <row r="47" spans="1:12" x14ac:dyDescent="0.25">
      <c r="A47" s="5" t="s">
        <v>32</v>
      </c>
      <c r="B47" s="270">
        <f>'DSCF-P'!$J$13</f>
        <v>9.3852088569376119E-3</v>
      </c>
      <c r="C47" s="281">
        <f>'Entry Profile L&amp;F'!$B$39</f>
        <v>1498745847.1338997</v>
      </c>
      <c r="D47" s="161">
        <f>C47/$C$48</f>
        <v>0.98223088955758275</v>
      </c>
      <c r="F47" s="270">
        <f>'DSCF-P'!$J$18</f>
        <v>4.8819550056476303E-3</v>
      </c>
      <c r="G47" s="281">
        <f>'Entry Profile L&amp;F'!$F$39</f>
        <v>1076400296.3888383</v>
      </c>
      <c r="H47" s="161">
        <f>G47/$G$48</f>
        <v>0.99031108835325321</v>
      </c>
      <c r="J47" s="270">
        <f>'DSCF-P'!$J$23</f>
        <v>8.0500247121772055E-3</v>
      </c>
      <c r="K47" s="281">
        <f>'Entry Profile P'!$B$27+'Entry Profile P'!$C$27+'Entry Profile P'!$D$27</f>
        <v>66.746793305430572</v>
      </c>
      <c r="L47" s="161">
        <f>K47/$K$48</f>
        <v>5.8415819467407024E-2</v>
      </c>
    </row>
    <row r="48" spans="1:12" x14ac:dyDescent="0.25">
      <c r="A48" s="10" t="s">
        <v>26</v>
      </c>
      <c r="C48" s="109">
        <f>SUM(C45:C47)</f>
        <v>1525859004.3008788</v>
      </c>
      <c r="D48" s="106">
        <f>SUM(D45:D47)</f>
        <v>1</v>
      </c>
      <c r="G48" s="109">
        <f>SUM(G45:G47)</f>
        <v>1086931479.459388</v>
      </c>
      <c r="H48" s="106">
        <f>SUM(H45:H47)</f>
        <v>0.99999999999999989</v>
      </c>
      <c r="K48" s="109">
        <f>SUM(K45:K47)</f>
        <v>1142.6150298665552</v>
      </c>
      <c r="L48" s="106">
        <f>SUM(L45:L47)</f>
        <v>1</v>
      </c>
    </row>
    <row r="49" spans="1:12" x14ac:dyDescent="0.25">
      <c r="A49" s="10" t="s">
        <v>187</v>
      </c>
      <c r="B49" s="148">
        <f>SUMPRODUCT(B45:B47,C45:C47)/SUM(C45:C47)</f>
        <v>1.1201471766743496E-2</v>
      </c>
      <c r="C49" s="109"/>
      <c r="D49" s="106"/>
      <c r="F49" s="148">
        <f>SUMPRODUCT(F45:F47,G45:G47)/SUM(G45:G47)</f>
        <v>5.9848639600552983E-3</v>
      </c>
      <c r="G49" s="109"/>
      <c r="H49" s="106"/>
      <c r="J49" s="148">
        <f>SUMPRODUCT(J45:J47,K45:K47)/SUM(K45:K47)</f>
        <v>6.2016210736727508E-2</v>
      </c>
      <c r="K49" s="109"/>
      <c r="L49" s="106"/>
    </row>
    <row r="50" spans="1:12" x14ac:dyDescent="0.25">
      <c r="A50" s="10"/>
      <c r="B50" s="5"/>
      <c r="C50" s="101"/>
      <c r="D50" s="101"/>
      <c r="F50" s="5"/>
      <c r="G50" s="101"/>
      <c r="H50" s="101"/>
      <c r="J50" s="5"/>
      <c r="K50" s="101"/>
      <c r="L50" s="101"/>
    </row>
    <row r="51" spans="1:12" x14ac:dyDescent="0.25">
      <c r="A51" s="10" t="s">
        <v>215</v>
      </c>
      <c r="B51" s="5"/>
      <c r="C51" s="5"/>
      <c r="D51" s="5"/>
      <c r="F51" s="5"/>
      <c r="G51" s="5"/>
      <c r="H51" s="5"/>
      <c r="J51" s="5"/>
      <c r="K51" s="5"/>
      <c r="L51" s="5"/>
    </row>
    <row r="52" spans="1:12" s="19" customFormat="1" x14ac:dyDescent="0.25">
      <c r="A52" s="282" t="s">
        <v>489</v>
      </c>
      <c r="B52" s="47"/>
      <c r="D52" s="47"/>
      <c r="F52" s="47"/>
      <c r="H52" s="47"/>
      <c r="J52" s="47"/>
      <c r="L52" s="47"/>
    </row>
    <row r="53" spans="1:12" s="1" customFormat="1" x14ac:dyDescent="0.25">
      <c r="A53" s="283" t="s">
        <v>305</v>
      </c>
      <c r="B53" s="34"/>
      <c r="C53" s="106"/>
      <c r="D53" s="106"/>
      <c r="F53" s="34"/>
      <c r="G53" s="106"/>
      <c r="H53" s="106"/>
      <c r="J53" s="34"/>
      <c r="K53" s="106"/>
      <c r="L53" s="106"/>
    </row>
    <row r="54" spans="1:12" x14ac:dyDescent="0.25">
      <c r="A54" s="5"/>
      <c r="B54" s="5"/>
      <c r="C54" s="5"/>
      <c r="D54" s="5"/>
      <c r="F54" s="5"/>
      <c r="G54" s="5"/>
      <c r="H54" s="5"/>
      <c r="J54" s="5"/>
      <c r="K54" s="5"/>
      <c r="L54" s="5"/>
    </row>
    <row r="55" spans="1:12" s="19" customFormat="1" x14ac:dyDescent="0.25">
      <c r="A55" s="47"/>
      <c r="B55" s="47"/>
      <c r="D55" s="47"/>
      <c r="F55" s="47"/>
      <c r="H55" s="47"/>
      <c r="J55" s="47"/>
      <c r="L55" s="47"/>
    </row>
    <row r="56" spans="1:12" s="1" customFormat="1" x14ac:dyDescent="0.25">
      <c r="A56" s="34"/>
      <c r="B56" s="34"/>
      <c r="C56" s="106"/>
      <c r="D56" s="106"/>
      <c r="F56" s="34"/>
      <c r="G56" s="106"/>
      <c r="H56" s="106"/>
      <c r="J56" s="34"/>
      <c r="K56" s="106"/>
      <c r="L56" s="106"/>
    </row>
    <row r="57" spans="1:12" x14ac:dyDescent="0.25">
      <c r="A57" s="5"/>
      <c r="B57" s="5"/>
      <c r="C57" s="5"/>
      <c r="D57" s="5"/>
      <c r="F57" s="5"/>
      <c r="G57" s="5"/>
      <c r="H57" s="5"/>
      <c r="J57" s="5"/>
      <c r="K57" s="5"/>
      <c r="L57" s="5"/>
    </row>
    <row r="58" spans="1:12" s="19" customFormat="1" x14ac:dyDescent="0.25">
      <c r="A58" s="47"/>
      <c r="B58" s="47"/>
      <c r="D58" s="47"/>
      <c r="F58" s="47"/>
      <c r="H58" s="47"/>
      <c r="J58" s="47"/>
      <c r="L58" s="47"/>
    </row>
    <row r="59" spans="1:12" s="1" customFormat="1" x14ac:dyDescent="0.25">
      <c r="A59" s="34"/>
      <c r="B59" s="34"/>
      <c r="C59" s="106"/>
      <c r="D59" s="106"/>
      <c r="F59" s="34"/>
      <c r="G59" s="106"/>
      <c r="H59" s="106"/>
      <c r="J59" s="34"/>
      <c r="K59" s="106"/>
      <c r="L59" s="106"/>
    </row>
    <row r="60" spans="1:12" x14ac:dyDescent="0.25">
      <c r="A60" s="5"/>
      <c r="B60" s="5"/>
      <c r="C60" s="5"/>
      <c r="D60" s="5"/>
      <c r="F60" s="5"/>
      <c r="G60" s="5"/>
      <c r="H60" s="5"/>
      <c r="J60" s="5"/>
      <c r="K60" s="5"/>
      <c r="L60" s="5"/>
    </row>
    <row r="61" spans="1:12" s="19" customFormat="1" x14ac:dyDescent="0.25">
      <c r="A61" s="47"/>
      <c r="B61" s="47"/>
      <c r="D61" s="47"/>
      <c r="F61" s="47"/>
      <c r="H61" s="47"/>
      <c r="J61" s="47"/>
      <c r="L61" s="47"/>
    </row>
    <row r="62" spans="1:12" s="1" customFormat="1" x14ac:dyDescent="0.25">
      <c r="A62" s="34"/>
      <c r="B62" s="34"/>
      <c r="C62" s="106"/>
      <c r="D62" s="106"/>
      <c r="F62" s="34"/>
      <c r="G62" s="106"/>
      <c r="H62" s="106"/>
      <c r="J62" s="34"/>
      <c r="K62" s="106"/>
      <c r="L62" s="106"/>
    </row>
    <row r="63" spans="1:12" x14ac:dyDescent="0.25">
      <c r="A63" s="5"/>
      <c r="B63" s="5"/>
      <c r="C63" s="5"/>
      <c r="D63" s="5"/>
      <c r="F63" s="5"/>
      <c r="G63" s="5"/>
      <c r="H63" s="5"/>
      <c r="J63" s="5"/>
      <c r="K63" s="5"/>
      <c r="L63" s="5"/>
    </row>
    <row r="64" spans="1:12" s="19" customFormat="1" x14ac:dyDescent="0.25">
      <c r="A64" s="47"/>
      <c r="B64" s="47"/>
      <c r="D64" s="47"/>
      <c r="F64" s="47"/>
      <c r="H64" s="47"/>
      <c r="J64" s="47"/>
      <c r="L64" s="47"/>
    </row>
    <row r="65" spans="1:12" s="1" customFormat="1" x14ac:dyDescent="0.25">
      <c r="A65" s="34"/>
      <c r="B65" s="34"/>
      <c r="C65" s="34"/>
      <c r="D65" s="34"/>
      <c r="F65" s="34"/>
      <c r="G65" s="34"/>
      <c r="H65" s="34"/>
      <c r="J65" s="34"/>
      <c r="K65" s="34"/>
      <c r="L65" s="34"/>
    </row>
    <row r="66" spans="1:12" x14ac:dyDescent="0.25">
      <c r="A66" s="5"/>
      <c r="B66" s="5"/>
      <c r="C66" s="5"/>
      <c r="D66" s="5"/>
      <c r="F66" s="5"/>
      <c r="G66" s="5"/>
      <c r="H66" s="5"/>
      <c r="J66" s="5"/>
      <c r="K66" s="5"/>
      <c r="L66" s="5"/>
    </row>
    <row r="67" spans="1:12" x14ac:dyDescent="0.25">
      <c r="A67" s="5"/>
      <c r="B67" s="5"/>
      <c r="C67" s="5"/>
      <c r="D67" s="5"/>
      <c r="F67" s="5"/>
      <c r="G67" s="5"/>
      <c r="H67" s="5"/>
      <c r="J67" s="5"/>
      <c r="K67" s="5"/>
      <c r="L67" s="5"/>
    </row>
    <row r="68" spans="1:12" x14ac:dyDescent="0.25">
      <c r="A68" s="5"/>
      <c r="B68" s="5"/>
      <c r="C68" s="5"/>
      <c r="D68" s="5"/>
      <c r="F68" s="5"/>
      <c r="G68" s="5"/>
      <c r="H68" s="5"/>
      <c r="J68" s="5"/>
      <c r="K68" s="5"/>
      <c r="L68" s="5"/>
    </row>
    <row r="69" spans="1:12" x14ac:dyDescent="0.25">
      <c r="A69" s="32"/>
      <c r="B69" s="32"/>
      <c r="C69" s="32"/>
      <c r="D69" s="32"/>
      <c r="F69" s="32"/>
      <c r="G69" s="32"/>
      <c r="H69" s="32"/>
      <c r="J69" s="32"/>
      <c r="K69" s="32"/>
      <c r="L69" s="32"/>
    </row>
    <row r="70" spans="1:12" x14ac:dyDescent="0.25">
      <c r="A70" s="5"/>
      <c r="B70" s="5"/>
      <c r="C70" s="5"/>
      <c r="D70" s="5"/>
      <c r="F70" s="5"/>
      <c r="G70" s="5"/>
      <c r="H70" s="5"/>
      <c r="J70" s="5"/>
      <c r="K70" s="5"/>
      <c r="L70" s="5"/>
    </row>
    <row r="71" spans="1:12" x14ac:dyDescent="0.25">
      <c r="A71" s="5"/>
      <c r="B71" s="5"/>
      <c r="C71" s="6"/>
      <c r="D71" s="6"/>
      <c r="F71" s="5"/>
      <c r="G71" s="6"/>
      <c r="H71" s="6"/>
      <c r="J71" s="5"/>
      <c r="K71" s="6"/>
      <c r="L71" s="6"/>
    </row>
    <row r="72" spans="1:12" x14ac:dyDescent="0.25">
      <c r="A72" s="5"/>
      <c r="B72" s="5"/>
      <c r="C72" s="5"/>
      <c r="D72" s="5"/>
      <c r="F72" s="5"/>
      <c r="G72" s="5"/>
      <c r="H72" s="5"/>
      <c r="J72" s="5"/>
      <c r="K72" s="5"/>
      <c r="L72" s="5"/>
    </row>
    <row r="73" spans="1:12" x14ac:dyDescent="0.25">
      <c r="A73" s="5"/>
      <c r="B73" s="5"/>
      <c r="C73" s="35"/>
      <c r="D73" s="284"/>
      <c r="F73" s="5"/>
      <c r="G73" s="35"/>
      <c r="H73" s="284"/>
      <c r="J73" s="5"/>
      <c r="K73" s="35"/>
      <c r="L73" s="284"/>
    </row>
    <row r="74" spans="1:12" x14ac:dyDescent="0.25">
      <c r="A74" s="5"/>
      <c r="B74" s="5"/>
      <c r="C74" s="35"/>
      <c r="D74" s="284"/>
      <c r="F74" s="5"/>
      <c r="G74" s="35"/>
      <c r="H74" s="284"/>
      <c r="J74" s="5"/>
      <c r="K74" s="35"/>
      <c r="L74" s="284"/>
    </row>
    <row r="75" spans="1:12" x14ac:dyDescent="0.25">
      <c r="A75" s="5"/>
      <c r="B75" s="5"/>
      <c r="C75" s="35"/>
      <c r="D75" s="284"/>
      <c r="F75" s="5"/>
      <c r="G75" s="35"/>
      <c r="H75" s="284"/>
      <c r="J75" s="5"/>
      <c r="K75" s="35"/>
      <c r="L75" s="284"/>
    </row>
    <row r="76" spans="1:12" x14ac:dyDescent="0.25">
      <c r="A76" s="5"/>
      <c r="B76" s="5"/>
      <c r="C76" s="35"/>
      <c r="D76" s="284"/>
      <c r="F76" s="5"/>
      <c r="G76" s="35"/>
      <c r="H76" s="284"/>
      <c r="J76" s="5"/>
      <c r="K76" s="35"/>
      <c r="L76" s="284"/>
    </row>
    <row r="77" spans="1:12" x14ac:dyDescent="0.25">
      <c r="A77" s="5"/>
      <c r="B77" s="5"/>
      <c r="C77" s="35"/>
      <c r="D77" s="284"/>
      <c r="F77" s="5"/>
      <c r="G77" s="35"/>
      <c r="H77" s="284"/>
      <c r="J77" s="5"/>
      <c r="K77" s="35"/>
      <c r="L77" s="284"/>
    </row>
    <row r="78" spans="1:12" x14ac:dyDescent="0.25">
      <c r="A78" s="5"/>
      <c r="B78" s="5"/>
      <c r="C78" s="35"/>
      <c r="D78" s="284"/>
      <c r="F78" s="5"/>
      <c r="G78" s="35"/>
      <c r="H78" s="284"/>
      <c r="J78" s="5"/>
      <c r="K78" s="35"/>
      <c r="L78" s="284"/>
    </row>
    <row r="79" spans="1:12" x14ac:dyDescent="0.25">
      <c r="A79" s="5"/>
      <c r="B79" s="5"/>
      <c r="C79" s="35"/>
      <c r="D79" s="284"/>
      <c r="F79" s="5"/>
      <c r="G79" s="35"/>
      <c r="H79" s="284"/>
      <c r="J79" s="5"/>
      <c r="K79" s="35"/>
      <c r="L79" s="284"/>
    </row>
    <row r="80" spans="1:12" x14ac:dyDescent="0.25">
      <c r="A80" s="5"/>
      <c r="B80" s="5"/>
      <c r="C80" s="35"/>
      <c r="D80" s="284"/>
      <c r="F80" s="5"/>
      <c r="G80" s="35"/>
      <c r="H80" s="284"/>
      <c r="J80" s="5"/>
      <c r="K80" s="35"/>
      <c r="L80" s="284"/>
    </row>
    <row r="81" spans="1:12" x14ac:dyDescent="0.25">
      <c r="A81" s="5"/>
      <c r="B81" s="5"/>
      <c r="C81" s="35"/>
      <c r="D81" s="284"/>
      <c r="F81" s="5"/>
      <c r="G81" s="35"/>
      <c r="H81" s="284"/>
      <c r="J81" s="5"/>
      <c r="K81" s="35"/>
      <c r="L81" s="284"/>
    </row>
    <row r="82" spans="1:12" x14ac:dyDescent="0.25">
      <c r="A82" s="5"/>
      <c r="B82" s="5"/>
      <c r="C82" s="5"/>
      <c r="D82" s="5"/>
      <c r="F82" s="5"/>
      <c r="G82" s="5"/>
      <c r="H82" s="5"/>
      <c r="J82" s="5"/>
      <c r="K82" s="5"/>
      <c r="L82" s="5"/>
    </row>
    <row r="83" spans="1:12" x14ac:dyDescent="0.25">
      <c r="A83" s="5"/>
      <c r="B83" s="5"/>
      <c r="C83" s="5"/>
      <c r="D83" s="5"/>
      <c r="F83" s="5"/>
      <c r="G83" s="5"/>
      <c r="H83" s="5"/>
      <c r="J83" s="5"/>
      <c r="K83" s="5"/>
      <c r="L83" s="5"/>
    </row>
    <row r="84" spans="1:12" x14ac:dyDescent="0.25">
      <c r="A84" s="5"/>
      <c r="B84" s="5"/>
      <c r="C84" s="5"/>
      <c r="D84" s="5"/>
      <c r="F84" s="5"/>
      <c r="G84" s="5"/>
      <c r="H84" s="5"/>
      <c r="J84" s="5"/>
      <c r="K84" s="5"/>
      <c r="L84" s="5"/>
    </row>
    <row r="85" spans="1:12" x14ac:dyDescent="0.25">
      <c r="A85" s="5"/>
      <c r="B85" s="5"/>
      <c r="C85" s="5"/>
      <c r="D85" s="5"/>
      <c r="F85" s="5"/>
      <c r="G85" s="5"/>
      <c r="H85" s="5"/>
      <c r="J85" s="5"/>
      <c r="K85" s="5"/>
      <c r="L85" s="5"/>
    </row>
    <row r="86" spans="1:12" x14ac:dyDescent="0.25">
      <c r="A86" s="5"/>
      <c r="B86" s="5"/>
      <c r="C86" s="5"/>
      <c r="D86" s="5"/>
      <c r="F86" s="5"/>
      <c r="G86" s="5"/>
      <c r="H86" s="5"/>
      <c r="J86" s="5"/>
      <c r="K86" s="5"/>
      <c r="L86" s="5"/>
    </row>
    <row r="87" spans="1:12" x14ac:dyDescent="0.25">
      <c r="A87" s="5"/>
      <c r="B87" s="5"/>
      <c r="C87" s="5"/>
      <c r="D87" s="5"/>
      <c r="F87" s="5"/>
      <c r="G87" s="5"/>
      <c r="H87" s="5"/>
      <c r="J87" s="5"/>
      <c r="K87" s="5"/>
      <c r="L87" s="5"/>
    </row>
    <row r="88" spans="1:12" x14ac:dyDescent="0.25">
      <c r="A88" s="5"/>
      <c r="B88" s="5"/>
      <c r="C88" s="5"/>
      <c r="D88" s="5"/>
      <c r="F88" s="5"/>
      <c r="G88" s="5"/>
      <c r="H88" s="5"/>
      <c r="J88" s="5"/>
      <c r="K88" s="5"/>
      <c r="L88" s="5"/>
    </row>
    <row r="89" spans="1:12" x14ac:dyDescent="0.25">
      <c r="A89" s="5"/>
      <c r="B89" s="5"/>
      <c r="C89" s="5"/>
      <c r="D89" s="5"/>
      <c r="F89" s="5"/>
      <c r="G89" s="5"/>
      <c r="H89" s="5"/>
      <c r="J89" s="5"/>
      <c r="K89" s="5"/>
      <c r="L89" s="5"/>
    </row>
    <row r="90" spans="1:12" x14ac:dyDescent="0.25">
      <c r="A90" s="5"/>
      <c r="B90" s="5"/>
      <c r="C90" s="5"/>
      <c r="D90" s="5"/>
      <c r="F90" s="5"/>
      <c r="G90" s="5"/>
      <c r="H90" s="5"/>
      <c r="J90" s="5"/>
      <c r="K90" s="5"/>
      <c r="L90" s="5"/>
    </row>
    <row r="91" spans="1:12" x14ac:dyDescent="0.25">
      <c r="A91" s="5"/>
      <c r="B91" s="5"/>
      <c r="C91" s="5"/>
      <c r="D91" s="5"/>
      <c r="F91" s="5"/>
      <c r="G91" s="5"/>
      <c r="H91" s="5"/>
      <c r="J91" s="5"/>
      <c r="K91" s="5"/>
      <c r="L91" s="5"/>
    </row>
    <row r="92" spans="1:12" x14ac:dyDescent="0.25">
      <c r="A92" s="5"/>
      <c r="B92" s="5"/>
      <c r="C92" s="5"/>
      <c r="D92" s="5"/>
      <c r="F92" s="5"/>
      <c r="G92" s="5"/>
      <c r="H92" s="5"/>
      <c r="J92" s="5"/>
      <c r="K92" s="5"/>
      <c r="L92" s="5"/>
    </row>
    <row r="93" spans="1:12" x14ac:dyDescent="0.25">
      <c r="A93" s="5"/>
      <c r="B93" s="5"/>
      <c r="C93" s="5"/>
      <c r="D93" s="5"/>
      <c r="F93" s="5"/>
      <c r="G93" s="5"/>
      <c r="H93" s="5"/>
      <c r="J93" s="5"/>
      <c r="K93" s="5"/>
      <c r="L93" s="5"/>
    </row>
    <row r="94" spans="1:12" x14ac:dyDescent="0.25">
      <c r="A94" s="5"/>
      <c r="B94" s="5"/>
      <c r="C94" s="5"/>
      <c r="D94" s="5"/>
      <c r="F94" s="5"/>
      <c r="G94" s="5"/>
      <c r="H94" s="5"/>
      <c r="J94" s="5"/>
      <c r="K94" s="5"/>
      <c r="L94" s="5"/>
    </row>
    <row r="95" spans="1:12" x14ac:dyDescent="0.25">
      <c r="A95" s="5"/>
      <c r="B95" s="5"/>
      <c r="C95" s="5"/>
      <c r="D95" s="5"/>
      <c r="F95" s="5"/>
      <c r="G95" s="5"/>
      <c r="H95" s="5"/>
      <c r="J95" s="5"/>
      <c r="K95" s="5"/>
      <c r="L95" s="5"/>
    </row>
    <row r="96" spans="1:12" x14ac:dyDescent="0.25">
      <c r="A96" s="5"/>
      <c r="B96" s="5"/>
      <c r="C96" s="5"/>
      <c r="D96" s="5"/>
      <c r="F96" s="5"/>
      <c r="G96" s="5"/>
      <c r="H96" s="5"/>
      <c r="J96" s="5"/>
      <c r="K96" s="5"/>
      <c r="L96" s="5"/>
    </row>
    <row r="97" spans="1:12" x14ac:dyDescent="0.25">
      <c r="A97" s="5"/>
      <c r="B97" s="5"/>
      <c r="C97" s="5"/>
      <c r="D97" s="5"/>
      <c r="F97" s="5"/>
      <c r="G97" s="5"/>
      <c r="H97" s="5"/>
      <c r="J97" s="5"/>
      <c r="K97" s="5"/>
      <c r="L97" s="5"/>
    </row>
    <row r="98" spans="1:12" x14ac:dyDescent="0.25">
      <c r="A98" s="5"/>
      <c r="B98" s="5"/>
      <c r="C98" s="5"/>
      <c r="D98" s="5"/>
      <c r="F98" s="5"/>
      <c r="G98" s="5"/>
      <c r="H98" s="5"/>
      <c r="J98" s="5"/>
      <c r="K98" s="5"/>
      <c r="L98" s="5"/>
    </row>
    <row r="99" spans="1:12" x14ac:dyDescent="0.25">
      <c r="A99" s="5"/>
      <c r="B99" s="5"/>
      <c r="C99" s="5"/>
      <c r="D99" s="5"/>
      <c r="F99" s="5"/>
      <c r="G99" s="5"/>
      <c r="H99" s="5"/>
      <c r="J99" s="5"/>
      <c r="K99" s="5"/>
      <c r="L99" s="5"/>
    </row>
  </sheetData>
  <phoneticPr fontId="13" type="noConversion"/>
  <printOptions horizontalCentered="1"/>
  <pageMargins left="0.75" right="0.75" top="1" bottom="1" header="0.5" footer="0.5"/>
  <pageSetup scale="58" orientation="portrait" r:id="rId1"/>
  <headerFooter alignWithMargins="0">
    <oddHeader>&amp;RPage 11 of 42</oddHeader>
    <oddFooter>&amp;R&amp;F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24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87" customWidth="1"/>
    <col min="4" max="7" width="12.6640625" style="26" customWidth="1"/>
    <col min="8" max="8" width="12.6640625" style="286" customWidth="1"/>
    <col min="9" max="9" width="12.6640625" style="26" customWidth="1"/>
    <col min="10" max="11" width="12.6640625" style="2" customWidth="1"/>
  </cols>
  <sheetData>
    <row r="1" spans="1:11" ht="15.6" x14ac:dyDescent="0.3">
      <c r="A1" s="39" t="s">
        <v>439</v>
      </c>
      <c r="B1" s="39"/>
      <c r="C1" s="285"/>
    </row>
    <row r="4" spans="1:11" x14ac:dyDescent="0.25">
      <c r="C4" s="178" t="s">
        <v>133</v>
      </c>
      <c r="D4" s="178" t="s">
        <v>117</v>
      </c>
      <c r="E4" s="178" t="s">
        <v>118</v>
      </c>
      <c r="F4" s="288" t="s">
        <v>119</v>
      </c>
      <c r="G4" s="178" t="s">
        <v>120</v>
      </c>
      <c r="H4" s="289" t="s">
        <v>121</v>
      </c>
      <c r="I4" s="289" t="s">
        <v>204</v>
      </c>
      <c r="J4" s="289" t="s">
        <v>206</v>
      </c>
      <c r="K4" s="289" t="s">
        <v>207</v>
      </c>
    </row>
    <row r="5" spans="1:11" x14ac:dyDescent="0.25">
      <c r="A5" s="171"/>
      <c r="H5" s="288" t="s">
        <v>309</v>
      </c>
      <c r="J5" s="289" t="s">
        <v>227</v>
      </c>
      <c r="K5" s="289" t="s">
        <v>327</v>
      </c>
    </row>
    <row r="6" spans="1:11" s="4" customFormat="1" x14ac:dyDescent="0.25">
      <c r="C6" s="287"/>
      <c r="D6" s="178"/>
      <c r="E6" s="178" t="s">
        <v>336</v>
      </c>
      <c r="F6" s="178" t="s">
        <v>227</v>
      </c>
      <c r="G6" s="178" t="s">
        <v>328</v>
      </c>
      <c r="H6" s="288" t="s">
        <v>329</v>
      </c>
      <c r="I6" s="178" t="s">
        <v>4</v>
      </c>
      <c r="J6" s="289" t="s">
        <v>281</v>
      </c>
      <c r="K6" s="289" t="s">
        <v>281</v>
      </c>
    </row>
    <row r="7" spans="1:11" s="4" customFormat="1" x14ac:dyDescent="0.25">
      <c r="A7" s="4" t="s">
        <v>30</v>
      </c>
      <c r="B7" s="4" t="s">
        <v>1</v>
      </c>
      <c r="C7" s="287" t="s">
        <v>2</v>
      </c>
      <c r="D7" s="178" t="s">
        <v>226</v>
      </c>
      <c r="E7" s="178" t="s">
        <v>31</v>
      </c>
      <c r="F7" s="178" t="s">
        <v>3</v>
      </c>
      <c r="G7" s="178" t="s">
        <v>330</v>
      </c>
      <c r="H7" s="288" t="s">
        <v>331</v>
      </c>
      <c r="I7" s="178" t="s">
        <v>35</v>
      </c>
      <c r="J7" s="289" t="s">
        <v>184</v>
      </c>
      <c r="K7" s="289" t="s">
        <v>184</v>
      </c>
    </row>
    <row r="8" spans="1:11" x14ac:dyDescent="0.25">
      <c r="A8" s="172"/>
      <c r="B8" s="172"/>
      <c r="C8" s="290"/>
      <c r="D8" s="291"/>
      <c r="E8" s="291"/>
      <c r="F8" s="291"/>
      <c r="G8" s="291"/>
      <c r="H8" s="292"/>
      <c r="I8" s="291"/>
      <c r="J8" s="293"/>
      <c r="K8" s="294"/>
    </row>
    <row r="10" spans="1:11" x14ac:dyDescent="0.25">
      <c r="A10" s="4" t="s">
        <v>348</v>
      </c>
      <c r="B10" s="42" t="s">
        <v>333</v>
      </c>
      <c r="C10" s="295">
        <f>SUM('Sack Inputs F'!$F$17:$F$21)</f>
        <v>1</v>
      </c>
      <c r="D10" s="179" t="s">
        <v>280</v>
      </c>
      <c r="E10" s="26">
        <f>'Entry Profile P'!$B$39</f>
        <v>14.820735156910017</v>
      </c>
      <c r="F10" s="26">
        <f>'Other Inputs'!$G$14</f>
        <v>150.62975935817227</v>
      </c>
      <c r="G10" s="26">
        <f>Productivity!$C$14</f>
        <v>307.66822713635111</v>
      </c>
      <c r="H10" s="286">
        <f>'Other Inputs'!$G$7</f>
        <v>48.864673122693652</v>
      </c>
      <c r="I10" s="26">
        <f>'Piggyback Factors'!$D$48</f>
        <v>1.6214860636540271</v>
      </c>
      <c r="J10" s="2">
        <f>'Entry Profile L&amp;F'!$I$33</f>
        <v>5.5671349915194916</v>
      </c>
      <c r="K10" s="296">
        <f>(C10*H10*I10*J10)/(E10*F10*G10)</f>
        <v>6.4220959892728269E-4</v>
      </c>
    </row>
    <row r="11" spans="1:11" x14ac:dyDescent="0.25">
      <c r="B11" s="42"/>
      <c r="C11" s="295"/>
      <c r="D11" s="179"/>
      <c r="K11" s="296"/>
    </row>
    <row r="12" spans="1:11" x14ac:dyDescent="0.25">
      <c r="A12" s="4" t="s">
        <v>348</v>
      </c>
      <c r="B12" s="42" t="s">
        <v>333</v>
      </c>
      <c r="C12" s="295">
        <f>SUM('Sack Inputs P'!$F$17:$F$21)</f>
        <v>1</v>
      </c>
      <c r="D12" s="179" t="s">
        <v>552</v>
      </c>
      <c r="E12" s="26">
        <f>'Entry Profile P'!$B$39</f>
        <v>14.820735156910017</v>
      </c>
      <c r="F12" s="26">
        <f>'Entry Profile P'!$E$31</f>
        <v>48.787027953216125</v>
      </c>
      <c r="G12" s="26">
        <f>Productivity!$C$14</f>
        <v>307.66822713635111</v>
      </c>
      <c r="H12" s="286">
        <f>'Other Inputs'!$G$8</f>
        <v>49.154262813761939</v>
      </c>
      <c r="I12" s="26">
        <f>'Piggyback Factors'!$D$48</f>
        <v>1.6214860636540271</v>
      </c>
      <c r="J12" s="2">
        <f>'CS Data By Shape'!$D$6/'CS Data By Shape'!$D$7</f>
        <v>2.3690647586844182</v>
      </c>
      <c r="K12" s="296">
        <f>(C12*H12*I12*J12)/(E12*F12*G12)</f>
        <v>8.4877891424019625E-4</v>
      </c>
    </row>
    <row r="15" spans="1:11" x14ac:dyDescent="0.25">
      <c r="A15" s="25" t="s">
        <v>325</v>
      </c>
    </row>
    <row r="16" spans="1:11" x14ac:dyDescent="0.25">
      <c r="A16" s="4" t="s">
        <v>496</v>
      </c>
    </row>
    <row r="17" spans="1:11" x14ac:dyDescent="0.25">
      <c r="A17" s="4" t="s">
        <v>356</v>
      </c>
      <c r="B17"/>
      <c r="C17" s="297"/>
      <c r="D17"/>
      <c r="E17"/>
      <c r="F17"/>
      <c r="G17"/>
      <c r="H17"/>
      <c r="I17"/>
      <c r="J17"/>
      <c r="K17"/>
    </row>
    <row r="18" spans="1:11" x14ac:dyDescent="0.25">
      <c r="A18" s="4" t="s">
        <v>490</v>
      </c>
      <c r="B18"/>
      <c r="C18" s="297"/>
      <c r="D18"/>
      <c r="E18"/>
      <c r="F18"/>
      <c r="G18"/>
      <c r="H18"/>
      <c r="I18"/>
      <c r="J18"/>
      <c r="K18"/>
    </row>
    <row r="19" spans="1:11" x14ac:dyDescent="0.25">
      <c r="A19" s="4" t="s">
        <v>491</v>
      </c>
      <c r="B19"/>
      <c r="C19" s="297"/>
      <c r="D19"/>
      <c r="E19"/>
      <c r="F19"/>
      <c r="G19"/>
      <c r="H19"/>
      <c r="I19"/>
      <c r="J19"/>
      <c r="K19"/>
    </row>
    <row r="20" spans="1:11" x14ac:dyDescent="0.25">
      <c r="A20" s="4" t="s">
        <v>492</v>
      </c>
      <c r="B20"/>
      <c r="C20" s="297"/>
      <c r="D20"/>
      <c r="E20"/>
      <c r="F20"/>
      <c r="G20"/>
      <c r="H20"/>
      <c r="I20"/>
      <c r="J20"/>
      <c r="K20"/>
    </row>
    <row r="21" spans="1:11" x14ac:dyDescent="0.25">
      <c r="A21" s="4" t="s">
        <v>493</v>
      </c>
      <c r="B21"/>
      <c r="C21" s="297"/>
      <c r="D21"/>
      <c r="E21"/>
      <c r="F21"/>
      <c r="G21"/>
      <c r="H21"/>
      <c r="I21"/>
      <c r="J21"/>
      <c r="K21"/>
    </row>
    <row r="22" spans="1:11" x14ac:dyDescent="0.25">
      <c r="A22" s="4" t="s">
        <v>494</v>
      </c>
      <c r="B22"/>
      <c r="C22" s="297"/>
      <c r="D22"/>
      <c r="E22"/>
      <c r="F22"/>
      <c r="G22"/>
      <c r="H22"/>
      <c r="I22"/>
      <c r="J22"/>
      <c r="K22"/>
    </row>
    <row r="23" spans="1:11" x14ac:dyDescent="0.25">
      <c r="A23" s="4" t="s">
        <v>495</v>
      </c>
      <c r="B23"/>
      <c r="C23" s="297"/>
      <c r="D23"/>
      <c r="E23"/>
      <c r="F23"/>
      <c r="G23"/>
      <c r="H23"/>
      <c r="I23"/>
      <c r="J23"/>
      <c r="K23"/>
    </row>
    <row r="24" spans="1:11" x14ac:dyDescent="0.25">
      <c r="A24" s="4" t="s">
        <v>357</v>
      </c>
    </row>
  </sheetData>
  <printOptions horizontalCentered="1"/>
  <pageMargins left="0.7" right="0.7" top="0.75" bottom="0.75" header="0.3" footer="0.3"/>
  <pageSetup scale="63" orientation="portrait" r:id="rId1"/>
  <headerFooter>
    <oddHeader>&amp;RPage 12 of 42</oddHeader>
    <oddFooter>&amp;R&amp;F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22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87" customWidth="1"/>
    <col min="4" max="7" width="12.6640625" style="26" customWidth="1"/>
    <col min="8" max="8" width="12.6640625" style="286" customWidth="1"/>
    <col min="9" max="9" width="12.6640625" style="26" customWidth="1"/>
    <col min="10" max="11" width="12.6640625" style="2" customWidth="1"/>
  </cols>
  <sheetData>
    <row r="1" spans="1:11" ht="15.6" x14ac:dyDescent="0.3">
      <c r="A1" s="39" t="s">
        <v>438</v>
      </c>
      <c r="B1" s="39"/>
      <c r="C1" s="285"/>
    </row>
    <row r="4" spans="1:11" x14ac:dyDescent="0.25">
      <c r="C4" s="178" t="s">
        <v>133</v>
      </c>
      <c r="D4" s="178" t="s">
        <v>117</v>
      </c>
      <c r="E4" s="178" t="s">
        <v>118</v>
      </c>
      <c r="F4" s="288" t="s">
        <v>119</v>
      </c>
      <c r="G4" s="178" t="s">
        <v>120</v>
      </c>
      <c r="H4" s="289" t="s">
        <v>121</v>
      </c>
      <c r="I4" s="289" t="s">
        <v>204</v>
      </c>
      <c r="J4" s="289" t="s">
        <v>206</v>
      </c>
      <c r="K4" s="289" t="s">
        <v>207</v>
      </c>
    </row>
    <row r="5" spans="1:11" x14ac:dyDescent="0.25">
      <c r="A5" s="171"/>
      <c r="H5" s="288" t="s">
        <v>309</v>
      </c>
      <c r="J5" s="289" t="s">
        <v>227</v>
      </c>
      <c r="K5" s="289" t="s">
        <v>327</v>
      </c>
    </row>
    <row r="6" spans="1:11" s="4" customFormat="1" x14ac:dyDescent="0.25">
      <c r="C6" s="287"/>
      <c r="D6" s="178"/>
      <c r="E6" s="178" t="s">
        <v>337</v>
      </c>
      <c r="F6" s="178" t="s">
        <v>227</v>
      </c>
      <c r="G6" s="178" t="s">
        <v>328</v>
      </c>
      <c r="H6" s="288" t="s">
        <v>329</v>
      </c>
      <c r="I6" s="178" t="s">
        <v>4</v>
      </c>
      <c r="J6" s="289" t="s">
        <v>281</v>
      </c>
      <c r="K6" s="289" t="s">
        <v>281</v>
      </c>
    </row>
    <row r="7" spans="1:11" s="4" customFormat="1" x14ac:dyDescent="0.25">
      <c r="A7" s="4" t="s">
        <v>30</v>
      </c>
      <c r="B7" s="4" t="s">
        <v>1</v>
      </c>
      <c r="C7" s="287" t="s">
        <v>2</v>
      </c>
      <c r="D7" s="178" t="s">
        <v>226</v>
      </c>
      <c r="E7" s="178" t="s">
        <v>31</v>
      </c>
      <c r="F7" s="178" t="s">
        <v>6</v>
      </c>
      <c r="G7" s="178" t="s">
        <v>330</v>
      </c>
      <c r="H7" s="288" t="s">
        <v>331</v>
      </c>
      <c r="I7" s="178" t="s">
        <v>35</v>
      </c>
      <c r="J7" s="289" t="s">
        <v>184</v>
      </c>
      <c r="K7" s="289" t="s">
        <v>184</v>
      </c>
    </row>
    <row r="8" spans="1:11" x14ac:dyDescent="0.25">
      <c r="A8" s="172"/>
      <c r="B8" s="172"/>
      <c r="C8" s="290"/>
      <c r="D8" s="291"/>
      <c r="E8" s="291"/>
      <c r="F8" s="291"/>
      <c r="G8" s="291"/>
      <c r="H8" s="292"/>
      <c r="I8" s="291"/>
      <c r="J8" s="293"/>
      <c r="K8" s="294"/>
    </row>
    <row r="10" spans="1:11" x14ac:dyDescent="0.25">
      <c r="A10" s="4" t="s">
        <v>348</v>
      </c>
      <c r="B10" s="42" t="s">
        <v>333</v>
      </c>
      <c r="C10" s="295">
        <f>SUM('Tray Inputs L'!$F$16:$F$20)</f>
        <v>1</v>
      </c>
      <c r="D10" s="179" t="s">
        <v>279</v>
      </c>
      <c r="E10" s="26">
        <f>'Other Inputs'!$G$20</f>
        <v>24</v>
      </c>
      <c r="F10" s="26">
        <f>'Other Inputs'!$G$15</f>
        <v>315.12979385479116</v>
      </c>
      <c r="G10" s="26">
        <f>Productivity!$C$14</f>
        <v>307.66822713635111</v>
      </c>
      <c r="H10" s="286">
        <f>'Other Inputs'!$G$6</f>
        <v>48.808840866562093</v>
      </c>
      <c r="I10" s="26">
        <f>'Piggyback Factors'!$D$48</f>
        <v>1.6214860636540271</v>
      </c>
      <c r="J10" s="2">
        <f>'Entry Profile L&amp;F'!$E$33</f>
        <v>0</v>
      </c>
      <c r="K10" s="296">
        <f>(C10*H10*I10*J10)/(E10*F10*G10)</f>
        <v>0</v>
      </c>
    </row>
    <row r="11" spans="1:11" x14ac:dyDescent="0.25">
      <c r="E11" s="178"/>
    </row>
    <row r="13" spans="1:11" x14ac:dyDescent="0.25">
      <c r="A13" s="25" t="s">
        <v>325</v>
      </c>
    </row>
    <row r="14" spans="1:11" x14ac:dyDescent="0.25">
      <c r="A14" s="4" t="s">
        <v>497</v>
      </c>
    </row>
    <row r="15" spans="1:11" x14ac:dyDescent="0.25">
      <c r="A15" s="4" t="s">
        <v>356</v>
      </c>
      <c r="B15"/>
      <c r="C15" s="297"/>
      <c r="D15"/>
      <c r="E15"/>
      <c r="F15"/>
      <c r="G15"/>
      <c r="H15"/>
      <c r="I15"/>
      <c r="J15"/>
      <c r="K15"/>
    </row>
    <row r="16" spans="1:11" x14ac:dyDescent="0.25">
      <c r="A16" s="4" t="s">
        <v>498</v>
      </c>
      <c r="B16"/>
      <c r="C16" s="297"/>
      <c r="D16"/>
      <c r="E16"/>
      <c r="F16"/>
      <c r="G16"/>
      <c r="H16"/>
      <c r="I16"/>
      <c r="J16"/>
      <c r="K16"/>
    </row>
    <row r="17" spans="1:11" x14ac:dyDescent="0.25">
      <c r="A17" s="4" t="s">
        <v>499</v>
      </c>
      <c r="B17"/>
      <c r="C17" s="297"/>
      <c r="D17"/>
      <c r="E17"/>
      <c r="F17"/>
      <c r="G17"/>
      <c r="H17"/>
      <c r="I17"/>
      <c r="J17"/>
      <c r="K17"/>
    </row>
    <row r="18" spans="1:11" x14ac:dyDescent="0.25">
      <c r="A18" s="4" t="s">
        <v>492</v>
      </c>
      <c r="B18"/>
      <c r="C18" s="297"/>
      <c r="D18"/>
      <c r="E18"/>
      <c r="F18"/>
      <c r="G18"/>
      <c r="H18"/>
      <c r="I18"/>
      <c r="J18"/>
      <c r="K18"/>
    </row>
    <row r="19" spans="1:11" x14ac:dyDescent="0.25">
      <c r="A19" s="4" t="s">
        <v>493</v>
      </c>
      <c r="B19"/>
      <c r="C19" s="297"/>
      <c r="D19"/>
      <c r="E19"/>
      <c r="F19"/>
      <c r="G19"/>
      <c r="H19"/>
      <c r="I19"/>
      <c r="J19"/>
      <c r="K19"/>
    </row>
    <row r="20" spans="1:11" x14ac:dyDescent="0.25">
      <c r="A20" s="4" t="s">
        <v>494</v>
      </c>
      <c r="B20"/>
      <c r="C20" s="297"/>
      <c r="D20"/>
      <c r="E20"/>
      <c r="F20"/>
      <c r="G20"/>
      <c r="H20"/>
      <c r="I20"/>
      <c r="J20"/>
      <c r="K20"/>
    </row>
    <row r="21" spans="1:11" x14ac:dyDescent="0.25">
      <c r="A21" s="4" t="s">
        <v>500</v>
      </c>
      <c r="B21"/>
      <c r="C21" s="297"/>
      <c r="D21"/>
      <c r="E21"/>
      <c r="F21"/>
      <c r="G21"/>
      <c r="H21"/>
      <c r="I21"/>
      <c r="J21"/>
      <c r="K21"/>
    </row>
    <row r="22" spans="1:11" x14ac:dyDescent="0.25">
      <c r="A22" s="4" t="s">
        <v>357</v>
      </c>
    </row>
  </sheetData>
  <printOptions horizontalCentered="1"/>
  <pageMargins left="0.7" right="0.7" top="0.75" bottom="0.75" header="0.3" footer="0.3"/>
  <pageSetup scale="63" orientation="portrait" r:id="rId1"/>
  <headerFooter>
    <oddHeader>&amp;RPage 13 of 42</oddHeader>
    <oddFooter>&amp;R&amp;F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5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87" customWidth="1"/>
    <col min="4" max="6" width="12.6640625" style="26" customWidth="1"/>
    <col min="7" max="7" width="12.6640625" style="286" customWidth="1"/>
    <col min="8" max="8" width="12.6640625" style="26" customWidth="1"/>
    <col min="9" max="10" width="12.6640625" style="2" customWidth="1"/>
  </cols>
  <sheetData>
    <row r="1" spans="1:10" ht="15.6" x14ac:dyDescent="0.3">
      <c r="A1" s="39" t="s">
        <v>437</v>
      </c>
      <c r="B1" s="39"/>
      <c r="C1" s="285"/>
    </row>
    <row r="4" spans="1:10" x14ac:dyDescent="0.25">
      <c r="C4" s="287" t="s">
        <v>133</v>
      </c>
      <c r="D4" s="178" t="s">
        <v>117</v>
      </c>
      <c r="E4" s="288" t="s">
        <v>118</v>
      </c>
      <c r="F4" s="178" t="s">
        <v>119</v>
      </c>
      <c r="G4" s="289" t="s">
        <v>120</v>
      </c>
      <c r="H4" s="289" t="s">
        <v>121</v>
      </c>
      <c r="I4" s="289" t="s">
        <v>204</v>
      </c>
      <c r="J4" s="289" t="s">
        <v>206</v>
      </c>
    </row>
    <row r="5" spans="1:10" x14ac:dyDescent="0.25">
      <c r="A5" s="171"/>
      <c r="G5" s="288" t="s">
        <v>309</v>
      </c>
      <c r="I5" s="289" t="s">
        <v>227</v>
      </c>
      <c r="J5" s="289" t="s">
        <v>327</v>
      </c>
    </row>
    <row r="6" spans="1:10" s="4" customFormat="1" x14ac:dyDescent="0.25">
      <c r="C6" s="287"/>
      <c r="D6" s="178"/>
      <c r="E6" s="178" t="s">
        <v>227</v>
      </c>
      <c r="F6" s="178" t="s">
        <v>328</v>
      </c>
      <c r="G6" s="288" t="s">
        <v>329</v>
      </c>
      <c r="H6" s="178" t="s">
        <v>4</v>
      </c>
      <c r="I6" s="289" t="s">
        <v>281</v>
      </c>
      <c r="J6" s="289" t="s">
        <v>281</v>
      </c>
    </row>
    <row r="7" spans="1:10" s="4" customFormat="1" x14ac:dyDescent="0.25">
      <c r="A7" s="4" t="s">
        <v>30</v>
      </c>
      <c r="B7" s="4" t="s">
        <v>1</v>
      </c>
      <c r="C7" s="287" t="s">
        <v>2</v>
      </c>
      <c r="D7" s="178" t="s">
        <v>226</v>
      </c>
      <c r="E7" s="178" t="s">
        <v>8</v>
      </c>
      <c r="F7" s="178" t="s">
        <v>330</v>
      </c>
      <c r="G7" s="288" t="s">
        <v>331</v>
      </c>
      <c r="H7" s="178" t="s">
        <v>35</v>
      </c>
      <c r="I7" s="289" t="s">
        <v>184</v>
      </c>
      <c r="J7" s="289" t="s">
        <v>184</v>
      </c>
    </row>
    <row r="8" spans="1:10" x14ac:dyDescent="0.25">
      <c r="A8" s="172"/>
      <c r="B8" s="172"/>
      <c r="C8" s="290"/>
      <c r="D8" s="291"/>
      <c r="E8" s="291"/>
      <c r="F8" s="291"/>
      <c r="G8" s="292"/>
      <c r="H8" s="291"/>
      <c r="I8" s="293"/>
      <c r="J8" s="294"/>
    </row>
    <row r="10" spans="1:10" x14ac:dyDescent="0.25">
      <c r="A10" s="4" t="s">
        <v>348</v>
      </c>
      <c r="B10" s="42" t="s">
        <v>339</v>
      </c>
      <c r="C10" s="295">
        <f>SUM('Pallet Inputs L'!$F$16:$F$20)</f>
        <v>1</v>
      </c>
      <c r="D10" s="179" t="s">
        <v>279</v>
      </c>
      <c r="E10" s="26">
        <f>'Other Inputs'!$G$16</f>
        <v>8651.6570532899004</v>
      </c>
      <c r="F10" s="26">
        <f>Productivity!$C$15</f>
        <v>68.564044141410264</v>
      </c>
      <c r="G10" s="286">
        <f>'Other Inputs'!$G$6</f>
        <v>48.808840866562093</v>
      </c>
      <c r="H10" s="26">
        <f>'Piggyback Factors'!$D$48</f>
        <v>1.6214860636540271</v>
      </c>
      <c r="I10" s="2">
        <f>'Entry Profile L&amp;F'!$C$33</f>
        <v>0</v>
      </c>
      <c r="J10" s="296">
        <f>(C10*G10*H10*I10)/(E10*F10)</f>
        <v>0</v>
      </c>
    </row>
    <row r="11" spans="1:10" x14ac:dyDescent="0.25">
      <c r="B11" s="42"/>
      <c r="C11" s="295"/>
      <c r="D11" s="179"/>
      <c r="J11" s="296"/>
    </row>
    <row r="12" spans="1:10" x14ac:dyDescent="0.25">
      <c r="A12" s="4" t="s">
        <v>348</v>
      </c>
      <c r="B12" s="42" t="s">
        <v>339</v>
      </c>
      <c r="C12" s="295">
        <f>SUM('Pallet Inputs F'!$F$16:$F$20)</f>
        <v>1</v>
      </c>
      <c r="D12" s="179" t="s">
        <v>280</v>
      </c>
      <c r="E12" s="26">
        <f>'Other Inputs'!$G$17</f>
        <v>4487.1819257843872</v>
      </c>
      <c r="F12" s="26">
        <f>Productivity!$C$15</f>
        <v>68.564044141410264</v>
      </c>
      <c r="G12" s="286">
        <f>'Other Inputs'!$G$7</f>
        <v>48.864673122693652</v>
      </c>
      <c r="H12" s="26">
        <f>'Piggyback Factors'!$D$48</f>
        <v>1.6214860636540271</v>
      </c>
      <c r="I12" s="2">
        <f>'Entry Profile L&amp;F'!$G$33</f>
        <v>3.7282759019507572</v>
      </c>
      <c r="J12" s="296">
        <f>(C12*G12*H12*I12)/(E12*F12)</f>
        <v>9.6016563571313938E-4</v>
      </c>
    </row>
    <row r="13" spans="1:10" x14ac:dyDescent="0.25">
      <c r="B13" s="42"/>
      <c r="C13" s="295"/>
      <c r="D13" s="179"/>
      <c r="J13" s="296"/>
    </row>
    <row r="14" spans="1:10" x14ac:dyDescent="0.25">
      <c r="A14" s="4" t="s">
        <v>348</v>
      </c>
      <c r="B14" s="42" t="s">
        <v>339</v>
      </c>
      <c r="C14" s="295">
        <f>SUM('Pallet Inputs P'!$F$16:$F$20)</f>
        <v>1</v>
      </c>
      <c r="D14" s="179" t="s">
        <v>552</v>
      </c>
      <c r="E14" s="26">
        <f>'Entry Profile P'!$C$34</f>
        <v>1150.5803285257321</v>
      </c>
      <c r="F14" s="26">
        <f>Productivity!$C$15</f>
        <v>68.564044141410264</v>
      </c>
      <c r="G14" s="286">
        <f>'Other Inputs'!$G$8</f>
        <v>49.154262813761939</v>
      </c>
      <c r="H14" s="26">
        <f>'Piggyback Factors'!$D$48</f>
        <v>1.6214860636540271</v>
      </c>
      <c r="I14" s="2">
        <f>'CS Data By Shape'!$D$6/'CS Data By Shape'!$D$7</f>
        <v>2.3690647586844182</v>
      </c>
      <c r="J14" s="296">
        <f>(C14*G14*H14*I14)/(E14*F14)</f>
        <v>2.3935250081961075E-3</v>
      </c>
    </row>
    <row r="17" spans="1:10" x14ac:dyDescent="0.25">
      <c r="A17" s="25" t="s">
        <v>325</v>
      </c>
    </row>
    <row r="18" spans="1:10" x14ac:dyDescent="0.25">
      <c r="A18" s="4" t="s">
        <v>501</v>
      </c>
    </row>
    <row r="19" spans="1:10" x14ac:dyDescent="0.25">
      <c r="A19" s="4" t="s">
        <v>356</v>
      </c>
      <c r="B19"/>
      <c r="C19" s="297"/>
      <c r="D19"/>
      <c r="E19"/>
      <c r="F19"/>
      <c r="G19"/>
      <c r="H19"/>
      <c r="I19"/>
      <c r="J19"/>
    </row>
    <row r="20" spans="1:10" x14ac:dyDescent="0.25">
      <c r="A20" s="4" t="s">
        <v>585</v>
      </c>
      <c r="B20"/>
      <c r="C20" s="297"/>
      <c r="D20"/>
      <c r="E20"/>
      <c r="F20"/>
      <c r="G20"/>
      <c r="H20"/>
      <c r="I20"/>
      <c r="J20"/>
    </row>
    <row r="21" spans="1:10" x14ac:dyDescent="0.25">
      <c r="A21" s="4" t="s">
        <v>502</v>
      </c>
      <c r="B21"/>
      <c r="C21" s="297"/>
      <c r="D21"/>
      <c r="E21"/>
      <c r="F21"/>
      <c r="G21"/>
      <c r="H21"/>
      <c r="I21"/>
      <c r="J21"/>
    </row>
    <row r="22" spans="1:10" x14ac:dyDescent="0.25">
      <c r="A22" s="4" t="s">
        <v>503</v>
      </c>
      <c r="B22"/>
      <c r="C22" s="297"/>
      <c r="D22"/>
      <c r="E22"/>
      <c r="F22"/>
      <c r="G22"/>
      <c r="H22"/>
      <c r="I22"/>
      <c r="J22"/>
    </row>
    <row r="23" spans="1:10" x14ac:dyDescent="0.25">
      <c r="A23" s="4" t="s">
        <v>504</v>
      </c>
      <c r="B23"/>
      <c r="C23" s="297"/>
      <c r="D23"/>
      <c r="E23"/>
      <c r="F23"/>
      <c r="G23"/>
      <c r="H23"/>
      <c r="I23"/>
      <c r="J23"/>
    </row>
    <row r="24" spans="1:10" x14ac:dyDescent="0.25">
      <c r="A24" s="4" t="s">
        <v>505</v>
      </c>
      <c r="B24"/>
      <c r="C24" s="297"/>
      <c r="D24"/>
      <c r="E24"/>
      <c r="F24"/>
      <c r="G24"/>
      <c r="H24"/>
      <c r="I24"/>
      <c r="J24"/>
    </row>
    <row r="25" spans="1:10" x14ac:dyDescent="0.25">
      <c r="A25" s="4" t="s">
        <v>410</v>
      </c>
      <c r="B25"/>
      <c r="C25" s="297"/>
      <c r="D25"/>
      <c r="E25"/>
      <c r="F25"/>
      <c r="G25"/>
      <c r="H25"/>
      <c r="I25"/>
      <c r="J25"/>
    </row>
  </sheetData>
  <printOptions horizontalCentered="1"/>
  <pageMargins left="0.7" right="0.7" top="0.75" bottom="0.75" header="0.3" footer="0.3"/>
  <pageSetup scale="69" orientation="portrait" r:id="rId1"/>
  <headerFooter>
    <oddHeader>&amp;RPage 14 of 42</oddHeader>
    <oddFooter>&amp;R&amp;F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30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4" customWidth="1"/>
    <col min="4" max="7" width="12.6640625" style="26" customWidth="1"/>
    <col min="8" max="8" width="12.6640625" style="286" customWidth="1"/>
    <col min="9" max="9" width="12.6640625" style="26" customWidth="1"/>
    <col min="10" max="10" width="12.6640625" style="2" customWidth="1"/>
    <col min="11" max="11" width="12.6640625" style="296" customWidth="1"/>
  </cols>
  <sheetData>
    <row r="1" spans="1:11" ht="15.6" x14ac:dyDescent="0.3">
      <c r="A1" s="39" t="s">
        <v>436</v>
      </c>
      <c r="B1" s="39"/>
      <c r="C1" s="8"/>
    </row>
    <row r="4" spans="1:11" x14ac:dyDescent="0.25">
      <c r="C4" s="178" t="s">
        <v>133</v>
      </c>
      <c r="D4" s="178" t="s">
        <v>117</v>
      </c>
      <c r="E4" s="178" t="s">
        <v>118</v>
      </c>
      <c r="F4" s="288" t="s">
        <v>119</v>
      </c>
      <c r="G4" s="178" t="s">
        <v>120</v>
      </c>
      <c r="H4" s="289" t="s">
        <v>121</v>
      </c>
      <c r="I4" s="289" t="s">
        <v>204</v>
      </c>
      <c r="J4" s="208" t="s">
        <v>206</v>
      </c>
      <c r="K4" s="208" t="s">
        <v>207</v>
      </c>
    </row>
    <row r="5" spans="1:11" x14ac:dyDescent="0.25">
      <c r="A5" s="171"/>
      <c r="H5" s="288" t="s">
        <v>309</v>
      </c>
      <c r="J5" s="289" t="s">
        <v>227</v>
      </c>
      <c r="K5" s="208" t="s">
        <v>327</v>
      </c>
    </row>
    <row r="6" spans="1:11" s="4" customFormat="1" x14ac:dyDescent="0.25">
      <c r="C6" s="24"/>
      <c r="D6" s="178"/>
      <c r="E6" s="178" t="s">
        <v>336</v>
      </c>
      <c r="F6" s="178" t="s">
        <v>227</v>
      </c>
      <c r="G6" s="178" t="s">
        <v>328</v>
      </c>
      <c r="H6" s="288" t="s">
        <v>329</v>
      </c>
      <c r="I6" s="178" t="s">
        <v>4</v>
      </c>
      <c r="J6" s="289" t="s">
        <v>281</v>
      </c>
      <c r="K6" s="208" t="s">
        <v>281</v>
      </c>
    </row>
    <row r="7" spans="1:11" s="4" customFormat="1" x14ac:dyDescent="0.25">
      <c r="A7" s="4" t="s">
        <v>30</v>
      </c>
      <c r="B7" s="4" t="s">
        <v>1</v>
      </c>
      <c r="C7" s="24" t="s">
        <v>2</v>
      </c>
      <c r="D7" s="178" t="s">
        <v>226</v>
      </c>
      <c r="E7" s="178" t="s">
        <v>31</v>
      </c>
      <c r="F7" s="178" t="s">
        <v>3</v>
      </c>
      <c r="G7" s="178" t="s">
        <v>330</v>
      </c>
      <c r="H7" s="288" t="s">
        <v>331</v>
      </c>
      <c r="I7" s="178" t="s">
        <v>35</v>
      </c>
      <c r="J7" s="289" t="s">
        <v>184</v>
      </c>
      <c r="K7" s="208" t="s">
        <v>184</v>
      </c>
    </row>
    <row r="8" spans="1:11" x14ac:dyDescent="0.25">
      <c r="A8" s="172"/>
      <c r="B8" s="172"/>
      <c r="C8" s="175"/>
      <c r="D8" s="291"/>
      <c r="E8" s="291"/>
      <c r="F8" s="291"/>
      <c r="G8" s="291"/>
      <c r="H8" s="292"/>
      <c r="I8" s="291"/>
      <c r="J8" s="293"/>
      <c r="K8" s="298"/>
    </row>
    <row r="10" spans="1:11" x14ac:dyDescent="0.25">
      <c r="A10" s="4" t="s">
        <v>14</v>
      </c>
      <c r="B10" s="42" t="s">
        <v>333</v>
      </c>
      <c r="C10" s="295">
        <f>'Sack Inputs F'!$F$41</f>
        <v>0.98372804130975133</v>
      </c>
      <c r="D10" s="179" t="s">
        <v>280</v>
      </c>
      <c r="E10" s="26">
        <f>'Entry Profile P'!$B$39</f>
        <v>14.820735156910017</v>
      </c>
      <c r="F10" s="26">
        <f>'Other Inputs'!$G$14</f>
        <v>150.62975935817227</v>
      </c>
      <c r="G10" s="26">
        <f>Productivity!$C$19</f>
        <v>91.071587890934111</v>
      </c>
      <c r="H10" s="286">
        <f>'Other Inputs'!$G$7</f>
        <v>48.864673122693652</v>
      </c>
      <c r="I10" s="26">
        <f>'Piggyback Factors'!$D$27</f>
        <v>1.3606061934437479</v>
      </c>
      <c r="J10" s="2">
        <f>('Entry Profile L&amp;F'!$H$20+'Entry Profile L&amp;F'!$H$21)/('Entry Profile L&amp;F'!$H$34+'Entry Profile L&amp;F'!$H$35)</f>
        <v>5.9355037072404606</v>
      </c>
      <c r="K10" s="296">
        <f>(C10*H10*I10*J10)/(E10*F10*G10)</f>
        <v>1.9093987569708069E-3</v>
      </c>
    </row>
    <row r="11" spans="1:11" s="42" customFormat="1" x14ac:dyDescent="0.25">
      <c r="A11" s="4" t="s">
        <v>14</v>
      </c>
      <c r="B11" s="42" t="s">
        <v>341</v>
      </c>
      <c r="C11" s="295">
        <f>'Sack Inputs F'!$F$42</f>
        <v>1.627195869024866E-2</v>
      </c>
      <c r="D11" s="179" t="s">
        <v>280</v>
      </c>
      <c r="E11" s="26">
        <v>1</v>
      </c>
      <c r="F11" s="26">
        <f>'Other Inputs'!$G$14</f>
        <v>150.62975935817227</v>
      </c>
      <c r="G11" s="179">
        <f>Productivity!$C$12</f>
        <v>50.702917267135618</v>
      </c>
      <c r="H11" s="286">
        <f>'Other Inputs'!$G$7</f>
        <v>48.864673122693652</v>
      </c>
      <c r="I11" s="179">
        <f>'Piggyback Factors'!$D$30</f>
        <v>1.2805162995566952</v>
      </c>
      <c r="J11" s="2">
        <f>('Entry Profile L&amp;F'!$H$20+'Entry Profile L&amp;F'!$H$21)/('Entry Profile L&amp;F'!$H$34+'Entry Profile L&amp;F'!$H$35)</f>
        <v>5.9355037072404606</v>
      </c>
      <c r="K11" s="296">
        <f t="shared" ref="K11:K12" si="0">(C11*H11*I11*J11)/(E11*F11*G11)</f>
        <v>7.9128656558198694E-4</v>
      </c>
    </row>
    <row r="12" spans="1:11" s="42" customFormat="1" x14ac:dyDescent="0.25">
      <c r="A12" s="4" t="s">
        <v>14</v>
      </c>
      <c r="B12" s="42" t="s">
        <v>333</v>
      </c>
      <c r="C12" s="295">
        <f>'Sack Inputs F'!$F$42</f>
        <v>1.627195869024866E-2</v>
      </c>
      <c r="D12" s="179" t="s">
        <v>280</v>
      </c>
      <c r="E12" s="26">
        <f>'Entry Profile P'!$B$39</f>
        <v>14.820735156910017</v>
      </c>
      <c r="F12" s="26">
        <f>'Other Inputs'!$G$14</f>
        <v>150.62975935817227</v>
      </c>
      <c r="G12" s="179">
        <f>Productivity!$C$19</f>
        <v>91.071587890934111</v>
      </c>
      <c r="H12" s="286">
        <f>'Other Inputs'!$G$7</f>
        <v>48.864673122693652</v>
      </c>
      <c r="I12" s="26">
        <f>'Piggyback Factors'!$D$27</f>
        <v>1.3606061934437479</v>
      </c>
      <c r="J12" s="2">
        <f>('Entry Profile L&amp;F'!$H$20+'Entry Profile L&amp;F'!$H$21)/('Entry Profile L&amp;F'!$H$34+'Entry Profile L&amp;F'!$H$35)</f>
        <v>5.9355037072404606</v>
      </c>
      <c r="K12" s="299">
        <f t="shared" si="0"/>
        <v>3.158358447856632E-5</v>
      </c>
    </row>
    <row r="13" spans="1:11" s="42" customFormat="1" x14ac:dyDescent="0.25">
      <c r="C13" s="177"/>
      <c r="D13" s="179"/>
      <c r="E13" s="179"/>
      <c r="F13" s="179"/>
      <c r="G13" s="179"/>
      <c r="H13" s="300"/>
      <c r="I13" s="179"/>
      <c r="J13" s="301"/>
      <c r="K13" s="302">
        <f>SUM(K10:K12)</f>
        <v>2.7322689070313601E-3</v>
      </c>
    </row>
    <row r="14" spans="1:11" s="42" customFormat="1" x14ac:dyDescent="0.25">
      <c r="C14" s="177"/>
      <c r="D14" s="179"/>
      <c r="E14" s="179"/>
      <c r="F14" s="179"/>
      <c r="G14" s="179"/>
      <c r="H14" s="300"/>
      <c r="I14" s="179"/>
      <c r="J14" s="301"/>
      <c r="K14" s="302"/>
    </row>
    <row r="15" spans="1:11" s="42" customFormat="1" x14ac:dyDescent="0.25">
      <c r="A15" s="4" t="s">
        <v>14</v>
      </c>
      <c r="B15" s="42" t="s">
        <v>333</v>
      </c>
      <c r="C15" s="295">
        <f>'Sack Inputs P'!$F$41</f>
        <v>0.67057225654454844</v>
      </c>
      <c r="D15" s="179" t="s">
        <v>552</v>
      </c>
      <c r="E15" s="26">
        <f>'Entry Profile P'!$B$39</f>
        <v>14.820735156910017</v>
      </c>
      <c r="F15" s="26">
        <f>'Entry Profile P'!$E$31</f>
        <v>48.787027953216125</v>
      </c>
      <c r="G15" s="179">
        <f>Productivity!$C$19</f>
        <v>91.071587890934111</v>
      </c>
      <c r="H15" s="286">
        <f>'Other Inputs'!$G$8</f>
        <v>49.154262813761939</v>
      </c>
      <c r="I15" s="26">
        <f>'Piggyback Factors'!$D$27</f>
        <v>1.3606061934437479</v>
      </c>
      <c r="J15" s="2">
        <f>'CS Data By Shape'!$D$6/'CS Data By Shape'!$D$7</f>
        <v>2.3690647586844182</v>
      </c>
      <c r="K15" s="302">
        <f t="shared" ref="K15:K17" si="1">(C15*H15*I15*J15)/(E15*F15*G15)</f>
        <v>1.6134634321576951E-3</v>
      </c>
    </row>
    <row r="16" spans="1:11" s="42" customFormat="1" x14ac:dyDescent="0.25">
      <c r="A16" s="4" t="s">
        <v>14</v>
      </c>
      <c r="B16" s="42" t="s">
        <v>341</v>
      </c>
      <c r="C16" s="295">
        <f>'Sack Inputs P'!$F$42</f>
        <v>0.32942774345545156</v>
      </c>
      <c r="D16" s="179" t="s">
        <v>552</v>
      </c>
      <c r="E16" s="26">
        <v>1</v>
      </c>
      <c r="F16" s="26">
        <f>'Entry Profile P'!$E$31</f>
        <v>48.787027953216125</v>
      </c>
      <c r="G16" s="179">
        <f>Productivity!$C$12</f>
        <v>50.702917267135618</v>
      </c>
      <c r="H16" s="286">
        <f>'Other Inputs'!$G$8</f>
        <v>49.154262813761939</v>
      </c>
      <c r="I16" s="179">
        <f>'Piggyback Factors'!$D$30</f>
        <v>1.2805162995566952</v>
      </c>
      <c r="J16" s="2">
        <f>'CS Data By Shape'!$D$6/'CS Data By Shape'!$D$7</f>
        <v>2.3690647586844182</v>
      </c>
      <c r="K16" s="302">
        <f t="shared" si="1"/>
        <v>1.9858484025129818E-2</v>
      </c>
    </row>
    <row r="17" spans="1:11" s="42" customFormat="1" x14ac:dyDescent="0.25">
      <c r="A17" s="4" t="s">
        <v>14</v>
      </c>
      <c r="B17" s="42" t="s">
        <v>333</v>
      </c>
      <c r="C17" s="295">
        <f>'Sack Inputs P'!$F$42</f>
        <v>0.32942774345545156</v>
      </c>
      <c r="D17" s="179" t="s">
        <v>552</v>
      </c>
      <c r="E17" s="26">
        <f>'Entry Profile P'!$B$39</f>
        <v>14.820735156910017</v>
      </c>
      <c r="F17" s="26">
        <f>'Entry Profile P'!$E$31</f>
        <v>48.787027953216125</v>
      </c>
      <c r="G17" s="179">
        <f>Productivity!$C$19</f>
        <v>91.071587890934111</v>
      </c>
      <c r="H17" s="286">
        <f>'Other Inputs'!$G$8</f>
        <v>49.154262813761939</v>
      </c>
      <c r="I17" s="26">
        <f>'Piggyback Factors'!$D$27</f>
        <v>1.3606061934437479</v>
      </c>
      <c r="J17" s="2">
        <f>'CS Data By Shape'!$D$6/'CS Data By Shape'!$D$7</f>
        <v>2.3690647586844182</v>
      </c>
      <c r="K17" s="299">
        <f t="shared" si="1"/>
        <v>7.9263586051488664E-4</v>
      </c>
    </row>
    <row r="18" spans="1:11" s="42" customFormat="1" x14ac:dyDescent="0.25">
      <c r="C18" s="177"/>
      <c r="D18" s="179"/>
      <c r="E18" s="179"/>
      <c r="F18" s="179"/>
      <c r="G18" s="179"/>
      <c r="H18" s="300"/>
      <c r="I18" s="179"/>
      <c r="J18" s="301"/>
      <c r="K18" s="302">
        <f>SUM(K15:K17)</f>
        <v>2.22645833178024E-2</v>
      </c>
    </row>
    <row r="19" spans="1:11" s="42" customFormat="1" x14ac:dyDescent="0.25">
      <c r="C19" s="177"/>
      <c r="D19" s="179"/>
      <c r="E19" s="179"/>
      <c r="F19" s="179"/>
      <c r="G19" s="179"/>
      <c r="H19" s="300"/>
      <c r="I19" s="179"/>
      <c r="J19" s="301"/>
      <c r="K19" s="302"/>
    </row>
    <row r="20" spans="1:11" s="42" customFormat="1" x14ac:dyDescent="0.25">
      <c r="C20" s="177"/>
      <c r="D20" s="179"/>
      <c r="E20" s="179"/>
      <c r="F20" s="179"/>
      <c r="G20" s="179"/>
      <c r="H20" s="300"/>
      <c r="I20" s="179"/>
      <c r="J20" s="301"/>
      <c r="K20" s="302"/>
    </row>
    <row r="21" spans="1:11" x14ac:dyDescent="0.25">
      <c r="A21" s="25" t="s">
        <v>325</v>
      </c>
    </row>
    <row r="22" spans="1:11" x14ac:dyDescent="0.25">
      <c r="A22" s="4" t="s">
        <v>496</v>
      </c>
    </row>
    <row r="23" spans="1:11" x14ac:dyDescent="0.25">
      <c r="A23" s="4" t="s">
        <v>356</v>
      </c>
      <c r="B23"/>
      <c r="C23" s="11"/>
      <c r="D23"/>
      <c r="E23"/>
      <c r="F23"/>
      <c r="G23"/>
      <c r="H23"/>
      <c r="I23"/>
      <c r="J23"/>
      <c r="K23" s="303"/>
    </row>
    <row r="24" spans="1:11" x14ac:dyDescent="0.25">
      <c r="A24" s="4" t="s">
        <v>490</v>
      </c>
      <c r="B24"/>
      <c r="C24" s="11"/>
      <c r="D24"/>
      <c r="E24"/>
      <c r="F24"/>
      <c r="G24"/>
      <c r="H24"/>
      <c r="I24"/>
      <c r="J24"/>
      <c r="K24" s="303"/>
    </row>
    <row r="25" spans="1:11" x14ac:dyDescent="0.25">
      <c r="A25" s="4" t="s">
        <v>491</v>
      </c>
      <c r="B25"/>
      <c r="C25" s="11"/>
      <c r="D25"/>
      <c r="E25"/>
      <c r="F25"/>
      <c r="G25"/>
      <c r="H25"/>
      <c r="I25"/>
      <c r="J25"/>
      <c r="K25" s="303"/>
    </row>
    <row r="26" spans="1:11" x14ac:dyDescent="0.25">
      <c r="A26" s="4" t="s">
        <v>492</v>
      </c>
      <c r="B26"/>
      <c r="C26" s="11"/>
      <c r="D26"/>
      <c r="E26"/>
      <c r="F26"/>
      <c r="G26"/>
      <c r="H26"/>
      <c r="I26"/>
      <c r="J26"/>
      <c r="K26" s="303"/>
    </row>
    <row r="27" spans="1:11" x14ac:dyDescent="0.25">
      <c r="A27" s="4" t="s">
        <v>493</v>
      </c>
      <c r="B27"/>
      <c r="C27" s="11"/>
      <c r="D27"/>
      <c r="E27"/>
      <c r="F27"/>
      <c r="G27"/>
      <c r="H27"/>
      <c r="I27"/>
      <c r="J27"/>
      <c r="K27" s="303"/>
    </row>
    <row r="28" spans="1:11" x14ac:dyDescent="0.25">
      <c r="A28" s="4" t="s">
        <v>494</v>
      </c>
      <c r="B28"/>
      <c r="C28" s="11"/>
      <c r="D28"/>
      <c r="E28"/>
      <c r="F28"/>
      <c r="G28"/>
      <c r="H28"/>
      <c r="I28"/>
      <c r="J28"/>
      <c r="K28" s="303"/>
    </row>
    <row r="29" spans="1:11" x14ac:dyDescent="0.25">
      <c r="A29" s="4" t="s">
        <v>495</v>
      </c>
      <c r="B29"/>
    </row>
    <row r="30" spans="1:11" x14ac:dyDescent="0.25">
      <c r="A30" s="4" t="s">
        <v>357</v>
      </c>
    </row>
  </sheetData>
  <printOptions horizontalCentered="1"/>
  <pageMargins left="0.7" right="0.7" top="0.75" bottom="0.75" header="0.3" footer="0.3"/>
  <pageSetup scale="63" orientation="portrait" r:id="rId1"/>
  <headerFooter>
    <oddHeader>&amp;RPage 15 of 42</oddHeader>
    <oddFooter>&amp;R&amp;F</oddFooter>
  </headerFooter>
  <ignoredErrors>
    <ignoredError sqref="G11:I11 G16:I1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25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4" customWidth="1"/>
    <col min="4" max="7" width="12.6640625" style="26" customWidth="1"/>
    <col min="8" max="8" width="12.6640625" style="286" customWidth="1"/>
    <col min="9" max="9" width="12.6640625" style="26" customWidth="1"/>
    <col min="10" max="10" width="12.6640625" style="2" customWidth="1"/>
    <col min="11" max="11" width="12.6640625" style="296" customWidth="1"/>
  </cols>
  <sheetData>
    <row r="1" spans="1:11" ht="15.6" x14ac:dyDescent="0.3">
      <c r="A1" s="39" t="s">
        <v>435</v>
      </c>
      <c r="B1" s="39"/>
      <c r="C1" s="8"/>
    </row>
    <row r="4" spans="1:11" x14ac:dyDescent="0.25">
      <c r="C4" s="178" t="s">
        <v>133</v>
      </c>
      <c r="D4" s="178" t="s">
        <v>117</v>
      </c>
      <c r="E4" s="178" t="s">
        <v>118</v>
      </c>
      <c r="F4" s="288" t="s">
        <v>119</v>
      </c>
      <c r="G4" s="178" t="s">
        <v>120</v>
      </c>
      <c r="H4" s="289" t="s">
        <v>121</v>
      </c>
      <c r="I4" s="289" t="s">
        <v>204</v>
      </c>
      <c r="J4" s="208" t="s">
        <v>206</v>
      </c>
      <c r="K4" s="208" t="s">
        <v>207</v>
      </c>
    </row>
    <row r="5" spans="1:11" x14ac:dyDescent="0.25">
      <c r="A5" s="171"/>
      <c r="H5" s="288" t="s">
        <v>309</v>
      </c>
      <c r="J5" s="289" t="s">
        <v>227</v>
      </c>
      <c r="K5" s="208" t="s">
        <v>327</v>
      </c>
    </row>
    <row r="6" spans="1:11" s="4" customFormat="1" x14ac:dyDescent="0.25">
      <c r="C6" s="24"/>
      <c r="D6" s="178"/>
      <c r="E6" s="178" t="s">
        <v>337</v>
      </c>
      <c r="F6" s="178" t="s">
        <v>227</v>
      </c>
      <c r="G6" s="178" t="s">
        <v>328</v>
      </c>
      <c r="H6" s="288" t="s">
        <v>329</v>
      </c>
      <c r="I6" s="178" t="s">
        <v>4</v>
      </c>
      <c r="J6" s="289" t="s">
        <v>281</v>
      </c>
      <c r="K6" s="208" t="s">
        <v>281</v>
      </c>
    </row>
    <row r="7" spans="1:11" s="4" customFormat="1" x14ac:dyDescent="0.25">
      <c r="A7" s="4" t="s">
        <v>30</v>
      </c>
      <c r="B7" s="4" t="s">
        <v>1</v>
      </c>
      <c r="C7" s="24" t="s">
        <v>2</v>
      </c>
      <c r="D7" s="178" t="s">
        <v>226</v>
      </c>
      <c r="E7" s="178" t="s">
        <v>31</v>
      </c>
      <c r="F7" s="178" t="s">
        <v>6</v>
      </c>
      <c r="G7" s="178" t="s">
        <v>330</v>
      </c>
      <c r="H7" s="288" t="s">
        <v>331</v>
      </c>
      <c r="I7" s="178" t="s">
        <v>35</v>
      </c>
      <c r="J7" s="289" t="s">
        <v>184</v>
      </c>
      <c r="K7" s="208" t="s">
        <v>184</v>
      </c>
    </row>
    <row r="8" spans="1:11" x14ac:dyDescent="0.25">
      <c r="A8" s="172"/>
      <c r="B8" s="172"/>
      <c r="C8" s="175"/>
      <c r="D8" s="291"/>
      <c r="E8" s="291"/>
      <c r="F8" s="291"/>
      <c r="G8" s="291"/>
      <c r="H8" s="292"/>
      <c r="I8" s="291"/>
      <c r="J8" s="293"/>
      <c r="K8" s="298"/>
    </row>
    <row r="10" spans="1:11" x14ac:dyDescent="0.25">
      <c r="A10" s="4" t="s">
        <v>14</v>
      </c>
      <c r="B10" s="42" t="s">
        <v>340</v>
      </c>
      <c r="C10" s="295">
        <f>'Tray Inputs L'!$F$40</f>
        <v>1</v>
      </c>
      <c r="D10" s="179" t="s">
        <v>279</v>
      </c>
      <c r="E10" s="26">
        <f>'Other Inputs'!$G$20</f>
        <v>24</v>
      </c>
      <c r="F10" s="26">
        <f>'Other Inputs'!$G$15</f>
        <v>315.12979385479116</v>
      </c>
      <c r="G10" s="26">
        <f>Productivity!$C$16</f>
        <v>81.873572020007202</v>
      </c>
      <c r="H10" s="286">
        <f>'Other Inputs'!$G$6</f>
        <v>48.808840866562093</v>
      </c>
      <c r="I10" s="26">
        <f>'Piggyback Factors'!$D$27</f>
        <v>1.3606061934437479</v>
      </c>
      <c r="J10" s="2">
        <f>('Entry Profile L&amp;F'!$D$20+'Entry Profile L&amp;F'!$D$21)/('Entry Profile L&amp;F'!$D$34+'Entry Profile L&amp;F'!$D$35)</f>
        <v>29.06638718928296</v>
      </c>
      <c r="K10" s="296">
        <f>(C10*H10*I10*J10)/(E10*F10*G10)</f>
        <v>3.1172924409807942E-3</v>
      </c>
    </row>
    <row r="11" spans="1:11" x14ac:dyDescent="0.25">
      <c r="A11" s="4" t="s">
        <v>14</v>
      </c>
      <c r="B11" s="42" t="s">
        <v>677</v>
      </c>
      <c r="C11" s="295">
        <f>'Tray Inputs L'!$F$41</f>
        <v>0</v>
      </c>
      <c r="D11" s="179" t="s">
        <v>279</v>
      </c>
      <c r="E11" s="26">
        <v>1</v>
      </c>
      <c r="F11" s="26">
        <f>'Other Inputs'!$G$15</f>
        <v>315.12979385479116</v>
      </c>
      <c r="G11" s="26">
        <f>Productivity!C10</f>
        <v>92.988321017923852</v>
      </c>
      <c r="H11" s="286">
        <f>'Other Inputs'!$G$6</f>
        <v>48.808840866562093</v>
      </c>
      <c r="I11" s="26">
        <f>'Piggyback Factors'!$D$20</f>
        <v>1.5358044573278811</v>
      </c>
      <c r="J11" s="2">
        <f>('Entry Profile L&amp;F'!$D$20+'Entry Profile L&amp;F'!$D$21)/('Entry Profile L&amp;F'!$D$34+'Entry Profile L&amp;F'!$D$35)</f>
        <v>29.06638718928296</v>
      </c>
      <c r="K11" s="296">
        <f>(C11*H11*I11*J11)/(E11*F11*G11)</f>
        <v>0</v>
      </c>
    </row>
    <row r="12" spans="1:11" x14ac:dyDescent="0.25">
      <c r="A12" s="4" t="s">
        <v>14</v>
      </c>
      <c r="B12" s="42" t="s">
        <v>333</v>
      </c>
      <c r="C12" s="295">
        <f>'Tray Inputs L'!$F$41</f>
        <v>0</v>
      </c>
      <c r="D12" s="179" t="s">
        <v>279</v>
      </c>
      <c r="E12" s="26">
        <f>'Other Inputs'!$G$20</f>
        <v>24</v>
      </c>
      <c r="F12" s="26">
        <f>'Other Inputs'!$G$15</f>
        <v>315.12979385479116</v>
      </c>
      <c r="G12" s="26">
        <f>Productivity!$C$19</f>
        <v>91.071587890934111</v>
      </c>
      <c r="H12" s="286">
        <f>'Other Inputs'!$G$6</f>
        <v>48.808840866562093</v>
      </c>
      <c r="I12" s="26">
        <f>'Piggyback Factors'!$D$27</f>
        <v>1.3606061934437479</v>
      </c>
      <c r="J12" s="2">
        <f>('Entry Profile L&amp;F'!$D$20+'Entry Profile L&amp;F'!$D$21)/('Entry Profile L&amp;F'!$D$34+'Entry Profile L&amp;F'!$D$35)</f>
        <v>29.06638718928296</v>
      </c>
      <c r="K12" s="299">
        <f>(C12*H12*I12*J12)/(E12*F12*G12)</f>
        <v>0</v>
      </c>
    </row>
    <row r="13" spans="1:11" x14ac:dyDescent="0.25">
      <c r="B13" s="42"/>
      <c r="C13" s="295"/>
      <c r="D13" s="179"/>
      <c r="K13" s="296">
        <f>SUM(K10:K12)</f>
        <v>3.1172924409807942E-3</v>
      </c>
    </row>
    <row r="14" spans="1:11" s="42" customFormat="1" x14ac:dyDescent="0.25">
      <c r="C14" s="177"/>
      <c r="D14" s="179"/>
      <c r="E14" s="179"/>
      <c r="F14" s="179"/>
      <c r="G14" s="179"/>
      <c r="H14" s="300"/>
      <c r="I14" s="179"/>
      <c r="J14" s="301"/>
      <c r="K14" s="302"/>
    </row>
    <row r="15" spans="1:11" s="42" customFormat="1" x14ac:dyDescent="0.25">
      <c r="C15" s="177"/>
      <c r="D15" s="179"/>
      <c r="E15" s="179"/>
      <c r="F15" s="179"/>
      <c r="G15" s="179"/>
      <c r="H15" s="300"/>
      <c r="I15" s="179"/>
      <c r="J15" s="301"/>
      <c r="K15" s="302"/>
    </row>
    <row r="16" spans="1:11" x14ac:dyDescent="0.25">
      <c r="A16" s="25" t="s">
        <v>325</v>
      </c>
    </row>
    <row r="17" spans="1:11" x14ac:dyDescent="0.25">
      <c r="A17" s="4" t="s">
        <v>497</v>
      </c>
    </row>
    <row r="18" spans="1:11" x14ac:dyDescent="0.25">
      <c r="A18" s="4" t="s">
        <v>356</v>
      </c>
      <c r="B18"/>
      <c r="C18" s="11"/>
      <c r="D18"/>
      <c r="E18"/>
      <c r="F18"/>
      <c r="G18"/>
      <c r="H18"/>
      <c r="I18"/>
      <c r="J18"/>
      <c r="K18" s="303"/>
    </row>
    <row r="19" spans="1:11" x14ac:dyDescent="0.25">
      <c r="A19" s="4" t="s">
        <v>498</v>
      </c>
      <c r="B19"/>
      <c r="C19" s="11"/>
      <c r="D19"/>
      <c r="E19"/>
      <c r="F19"/>
      <c r="G19"/>
      <c r="H19"/>
      <c r="I19"/>
      <c r="J19"/>
      <c r="K19" s="303"/>
    </row>
    <row r="20" spans="1:11" x14ac:dyDescent="0.25">
      <c r="A20" s="4" t="s">
        <v>499</v>
      </c>
      <c r="B20"/>
      <c r="C20" s="11"/>
      <c r="D20"/>
      <c r="E20"/>
      <c r="F20"/>
      <c r="G20"/>
      <c r="H20"/>
      <c r="I20"/>
      <c r="J20"/>
      <c r="K20" s="303"/>
    </row>
    <row r="21" spans="1:11" x14ac:dyDescent="0.25">
      <c r="A21" s="4" t="s">
        <v>492</v>
      </c>
      <c r="B21"/>
      <c r="C21" s="11"/>
      <c r="D21"/>
      <c r="E21"/>
      <c r="F21"/>
      <c r="G21"/>
      <c r="H21"/>
      <c r="I21"/>
      <c r="J21"/>
      <c r="K21" s="303"/>
    </row>
    <row r="22" spans="1:11" x14ac:dyDescent="0.25">
      <c r="A22" s="4" t="s">
        <v>493</v>
      </c>
      <c r="B22"/>
      <c r="C22" s="11"/>
      <c r="D22"/>
      <c r="E22"/>
      <c r="F22"/>
      <c r="G22"/>
      <c r="H22"/>
      <c r="I22"/>
      <c r="J22"/>
      <c r="K22" s="303"/>
    </row>
    <row r="23" spans="1:11" x14ac:dyDescent="0.25">
      <c r="A23" s="4" t="s">
        <v>494</v>
      </c>
      <c r="B23"/>
      <c r="C23" s="11"/>
      <c r="D23"/>
      <c r="E23"/>
      <c r="F23"/>
      <c r="G23"/>
      <c r="H23"/>
      <c r="I23"/>
      <c r="J23"/>
      <c r="K23" s="303"/>
    </row>
    <row r="24" spans="1:11" x14ac:dyDescent="0.25">
      <c r="A24" s="4" t="s">
        <v>500</v>
      </c>
      <c r="B24"/>
    </row>
    <row r="25" spans="1:11" x14ac:dyDescent="0.25">
      <c r="A25" s="4" t="s">
        <v>357</v>
      </c>
    </row>
  </sheetData>
  <printOptions horizontalCentered="1"/>
  <pageMargins left="0.7" right="0.7" top="0.75" bottom="0.75" header="0.3" footer="0.3"/>
  <pageSetup scale="63" orientation="portrait" r:id="rId1"/>
  <headerFooter>
    <oddHeader>&amp;RPage 16 of 42</oddHeader>
    <oddFooter>&amp;R&amp;F</oddFooter>
  </headerFooter>
  <ignoredErrors>
    <ignoredError sqref="G11 I11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34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87" customWidth="1"/>
    <col min="4" max="6" width="12.6640625" style="26" customWidth="1"/>
    <col min="7" max="7" width="12.6640625" style="286" customWidth="1"/>
    <col min="8" max="8" width="12.6640625" style="26" customWidth="1"/>
    <col min="9" max="10" width="12.6640625" style="2" customWidth="1"/>
  </cols>
  <sheetData>
    <row r="1" spans="1:10" ht="15.6" x14ac:dyDescent="0.3">
      <c r="A1" s="39" t="s">
        <v>434</v>
      </c>
      <c r="B1" s="39"/>
      <c r="C1" s="285"/>
      <c r="J1" s="296"/>
    </row>
    <row r="2" spans="1:10" x14ac:dyDescent="0.25">
      <c r="J2" s="296"/>
    </row>
    <row r="3" spans="1:10" x14ac:dyDescent="0.25">
      <c r="J3" s="299"/>
    </row>
    <row r="4" spans="1:10" x14ac:dyDescent="0.25">
      <c r="C4" s="287" t="s">
        <v>133</v>
      </c>
      <c r="D4" s="178" t="s">
        <v>117</v>
      </c>
      <c r="E4" s="288" t="s">
        <v>118</v>
      </c>
      <c r="F4" s="178" t="s">
        <v>119</v>
      </c>
      <c r="G4" s="289" t="s">
        <v>120</v>
      </c>
      <c r="H4" s="289" t="s">
        <v>121</v>
      </c>
      <c r="I4" s="289" t="s">
        <v>204</v>
      </c>
      <c r="J4" s="289" t="s">
        <v>206</v>
      </c>
    </row>
    <row r="5" spans="1:10" x14ac:dyDescent="0.25">
      <c r="A5" s="171"/>
      <c r="G5" s="288" t="s">
        <v>309</v>
      </c>
      <c r="I5" s="289" t="s">
        <v>227</v>
      </c>
      <c r="J5" s="289" t="s">
        <v>327</v>
      </c>
    </row>
    <row r="6" spans="1:10" s="4" customFormat="1" x14ac:dyDescent="0.25">
      <c r="C6" s="287"/>
      <c r="D6" s="178"/>
      <c r="E6" s="178" t="s">
        <v>227</v>
      </c>
      <c r="F6" s="178" t="s">
        <v>328</v>
      </c>
      <c r="G6" s="288" t="s">
        <v>329</v>
      </c>
      <c r="H6" s="178" t="s">
        <v>4</v>
      </c>
      <c r="I6" s="289" t="s">
        <v>281</v>
      </c>
      <c r="J6" s="289" t="s">
        <v>281</v>
      </c>
    </row>
    <row r="7" spans="1:10" s="4" customFormat="1" x14ac:dyDescent="0.25">
      <c r="A7" s="4" t="s">
        <v>30</v>
      </c>
      <c r="B7" s="4" t="s">
        <v>1</v>
      </c>
      <c r="C7" s="287" t="s">
        <v>2</v>
      </c>
      <c r="D7" s="178" t="s">
        <v>226</v>
      </c>
      <c r="E7" s="178" t="s">
        <v>8</v>
      </c>
      <c r="F7" s="178" t="s">
        <v>330</v>
      </c>
      <c r="G7" s="288" t="s">
        <v>331</v>
      </c>
      <c r="H7" s="178" t="s">
        <v>35</v>
      </c>
      <c r="I7" s="289" t="s">
        <v>184</v>
      </c>
      <c r="J7" s="289" t="s">
        <v>184</v>
      </c>
    </row>
    <row r="8" spans="1:10" x14ac:dyDescent="0.25">
      <c r="A8" s="172"/>
      <c r="B8" s="172"/>
      <c r="C8" s="290"/>
      <c r="D8" s="291"/>
      <c r="E8" s="291"/>
      <c r="F8" s="291"/>
      <c r="G8" s="292"/>
      <c r="H8" s="291"/>
      <c r="I8" s="293"/>
      <c r="J8" s="294"/>
    </row>
    <row r="10" spans="1:10" x14ac:dyDescent="0.25">
      <c r="A10" s="4" t="s">
        <v>14</v>
      </c>
      <c r="B10" s="42" t="s">
        <v>342</v>
      </c>
      <c r="C10" s="295">
        <f>SUM('Pallet Inputs L'!$F$22:$F$25)</f>
        <v>1</v>
      </c>
      <c r="D10" s="179" t="s">
        <v>279</v>
      </c>
      <c r="E10" s="26">
        <f>'Other Inputs'!$G$16</f>
        <v>8651.6570532899004</v>
      </c>
      <c r="F10" s="26">
        <f>Productivity!$C$17</f>
        <v>58.156985400220201</v>
      </c>
      <c r="G10" s="286">
        <f>'Other Inputs'!$G$6</f>
        <v>48.808840866562093</v>
      </c>
      <c r="H10" s="26">
        <f>'Piggyback Factors'!$D$27</f>
        <v>1.3606061934437479</v>
      </c>
      <c r="I10" s="304">
        <f>('Entry Profile L&amp;F'!$B$20+'Entry Profile L&amp;F'!$B$21)/('Entry Profile L&amp;F'!$B$34+'Entry Profile L&amp;F'!$B$35)</f>
        <v>24.788265784549367</v>
      </c>
      <c r="J10" s="296">
        <f>(C10*G10*H10*I10)/(E10*F10)</f>
        <v>3.2717182693996864E-3</v>
      </c>
    </row>
    <row r="11" spans="1:10" x14ac:dyDescent="0.25">
      <c r="A11" s="4" t="s">
        <v>14</v>
      </c>
      <c r="B11" s="42" t="s">
        <v>343</v>
      </c>
      <c r="C11" s="295">
        <f>SUM('Pallet Inputs L'!$F$22:$F$25)</f>
        <v>1</v>
      </c>
      <c r="D11" s="179" t="s">
        <v>279</v>
      </c>
      <c r="E11" s="26">
        <f>'Other Inputs'!$G$16</f>
        <v>8651.6570532899004</v>
      </c>
      <c r="F11" s="26">
        <f>Productivity!$C$18</f>
        <v>39.899251235537818</v>
      </c>
      <c r="G11" s="286">
        <f>'Other Inputs'!$G$6</f>
        <v>48.808840866562093</v>
      </c>
      <c r="H11" s="26">
        <f>'Piggyback Factors'!$D$27</f>
        <v>1.3606061934437479</v>
      </c>
      <c r="I11" s="304">
        <f>('Entry Profile L&amp;F'!$B$20+'Entry Profile L&amp;F'!$B$21)/('Entry Profile L&amp;F'!$B$34+'Entry Profile L&amp;F'!$B$35)</f>
        <v>24.788265784549367</v>
      </c>
      <c r="J11" s="296">
        <f t="shared" ref="J11:J12" si="0">(C11*G11*H11*I11)/(E11*F11)</f>
        <v>4.76884316710277E-3</v>
      </c>
    </row>
    <row r="12" spans="1:10" x14ac:dyDescent="0.25">
      <c r="A12" s="4" t="s">
        <v>14</v>
      </c>
      <c r="B12" s="42" t="s">
        <v>339</v>
      </c>
      <c r="C12" s="295">
        <f>SUM('Pallet Inputs L'!$F$22:$F$25)</f>
        <v>1</v>
      </c>
      <c r="D12" s="179" t="s">
        <v>279</v>
      </c>
      <c r="E12" s="26">
        <f>'Other Inputs'!$G$16</f>
        <v>8651.6570532899004</v>
      </c>
      <c r="F12" s="26">
        <f>Productivity!$C$20</f>
        <v>61.728448910094343</v>
      </c>
      <c r="G12" s="286">
        <f>'Other Inputs'!$G$6</f>
        <v>48.808840866562093</v>
      </c>
      <c r="H12" s="26">
        <f>'Piggyback Factors'!$D$27</f>
        <v>1.3606061934437479</v>
      </c>
      <c r="I12" s="304">
        <f>('Entry Profile L&amp;F'!$B$20+'Entry Profile L&amp;F'!$B$21)/('Entry Profile L&amp;F'!$B$34+'Entry Profile L&amp;F'!$B$35)</f>
        <v>24.788265784549367</v>
      </c>
      <c r="J12" s="299">
        <f t="shared" si="0"/>
        <v>3.082424311426303E-3</v>
      </c>
    </row>
    <row r="13" spans="1:10" x14ac:dyDescent="0.25">
      <c r="B13" s="42"/>
      <c r="C13" s="295"/>
      <c r="D13" s="179"/>
      <c r="J13" s="296">
        <f>SUM(J10:J12)</f>
        <v>1.1122985747928761E-2</v>
      </c>
    </row>
    <row r="14" spans="1:10" x14ac:dyDescent="0.25">
      <c r="B14" s="42"/>
      <c r="C14" s="295"/>
      <c r="D14" s="179"/>
      <c r="J14" s="296"/>
    </row>
    <row r="15" spans="1:10" x14ac:dyDescent="0.25">
      <c r="A15" s="4" t="s">
        <v>14</v>
      </c>
      <c r="B15" s="42" t="s">
        <v>342</v>
      </c>
      <c r="C15" s="295">
        <f>SUM('Pallet Inputs F'!$F$22:$F$25)</f>
        <v>1</v>
      </c>
      <c r="D15" s="179" t="s">
        <v>280</v>
      </c>
      <c r="E15" s="26">
        <f>'Other Inputs'!$G$17</f>
        <v>4487.1819257843872</v>
      </c>
      <c r="F15" s="26">
        <f>Productivity!$C$17</f>
        <v>58.156985400220201</v>
      </c>
      <c r="G15" s="286">
        <f>'Other Inputs'!$G$7</f>
        <v>48.864673122693652</v>
      </c>
      <c r="H15" s="26">
        <f>'Piggyback Factors'!$D$27</f>
        <v>1.3606061934437479</v>
      </c>
      <c r="I15" s="304">
        <f>('Entry Profile L&amp;F'!$F$20+'Entry Profile L&amp;F'!$F$21)/('Entry Profile L&amp;F'!$F$34+'Entry Profile L&amp;F'!$F$35)</f>
        <v>4.9443166330585822</v>
      </c>
      <c r="J15" s="296">
        <f>(C15*G15*H15*I15)/(E15*F15)</f>
        <v>1.2596739618328638E-3</v>
      </c>
    </row>
    <row r="16" spans="1:10" x14ac:dyDescent="0.25">
      <c r="A16" s="4" t="s">
        <v>14</v>
      </c>
      <c r="B16" s="42" t="s">
        <v>343</v>
      </c>
      <c r="C16" s="295">
        <f>SUM('Pallet Inputs F'!$F$22:$F$25)</f>
        <v>1</v>
      </c>
      <c r="D16" s="179" t="s">
        <v>280</v>
      </c>
      <c r="E16" s="26">
        <f>'Other Inputs'!$G$17</f>
        <v>4487.1819257843872</v>
      </c>
      <c r="F16" s="26">
        <f>Productivity!$C$18</f>
        <v>39.899251235537818</v>
      </c>
      <c r="G16" s="286">
        <f>'Other Inputs'!$G$7</f>
        <v>48.864673122693652</v>
      </c>
      <c r="H16" s="26">
        <f>'Piggyback Factors'!$D$27</f>
        <v>1.3606061934437479</v>
      </c>
      <c r="I16" s="304">
        <f>('Entry Profile L&amp;F'!$F$20+'Entry Profile L&amp;F'!$F$21)/('Entry Profile L&amp;F'!$F$34+'Entry Profile L&amp;F'!$F$35)</f>
        <v>4.9443166330585822</v>
      </c>
      <c r="J16" s="296">
        <f t="shared" ref="J16:J17" si="1">(C16*G16*H16*I16)/(E16*F16)</f>
        <v>1.836095614298159E-3</v>
      </c>
    </row>
    <row r="17" spans="1:10" x14ac:dyDescent="0.25">
      <c r="A17" s="4" t="s">
        <v>14</v>
      </c>
      <c r="B17" s="42" t="s">
        <v>339</v>
      </c>
      <c r="C17" s="295">
        <f>SUM('Pallet Inputs F'!$F$22:$F$25)</f>
        <v>1</v>
      </c>
      <c r="D17" s="179" t="s">
        <v>280</v>
      </c>
      <c r="E17" s="26">
        <f>'Other Inputs'!$G$17</f>
        <v>4487.1819257843872</v>
      </c>
      <c r="F17" s="26">
        <f>Productivity!$C$20</f>
        <v>61.728448910094343</v>
      </c>
      <c r="G17" s="286">
        <f>'Other Inputs'!$G$7</f>
        <v>48.864673122693652</v>
      </c>
      <c r="H17" s="26">
        <f>'Piggyback Factors'!$D$27</f>
        <v>1.3606061934437479</v>
      </c>
      <c r="I17" s="304">
        <f>('Entry Profile L&amp;F'!$F$20+'Entry Profile L&amp;F'!$F$21)/('Entry Profile L&amp;F'!$F$34+'Entry Profile L&amp;F'!$F$35)</f>
        <v>4.9443166330585822</v>
      </c>
      <c r="J17" s="299">
        <f t="shared" si="1"/>
        <v>1.1867921760686183E-3</v>
      </c>
    </row>
    <row r="18" spans="1:10" x14ac:dyDescent="0.25">
      <c r="B18" s="42"/>
      <c r="C18" s="295"/>
      <c r="D18" s="179"/>
      <c r="J18" s="296">
        <f>SUM(J15:J17)</f>
        <v>4.2825617521996418E-3</v>
      </c>
    </row>
    <row r="19" spans="1:10" x14ac:dyDescent="0.25">
      <c r="B19" s="42"/>
      <c r="C19" s="295"/>
      <c r="D19" s="179"/>
      <c r="J19" s="296"/>
    </row>
    <row r="20" spans="1:10" x14ac:dyDescent="0.25">
      <c r="A20" s="4" t="s">
        <v>14</v>
      </c>
      <c r="B20" s="42" t="s">
        <v>342</v>
      </c>
      <c r="C20" s="295">
        <f>SUM('Pallet Inputs P'!$F$22:$F$25)</f>
        <v>1</v>
      </c>
      <c r="D20" s="179" t="s">
        <v>552</v>
      </c>
      <c r="E20" s="26">
        <f>'Entry Profile P'!$C$34</f>
        <v>1150.5803285257321</v>
      </c>
      <c r="F20" s="26">
        <f>Productivity!$C$17</f>
        <v>58.156985400220201</v>
      </c>
      <c r="G20" s="286">
        <f>'Other Inputs'!$G$8</f>
        <v>49.154262813761939</v>
      </c>
      <c r="H20" s="26">
        <f>'Piggyback Factors'!$D$27</f>
        <v>1.3606061934437479</v>
      </c>
      <c r="I20" s="2">
        <f>'CS Data By Shape'!$D$6/'CS Data By Shape'!$D$7</f>
        <v>2.3690647586844182</v>
      </c>
      <c r="J20" s="296">
        <f>(C20*G20*H20*I20)/(E20*F20)</f>
        <v>2.3678366148094255E-3</v>
      </c>
    </row>
    <row r="21" spans="1:10" x14ac:dyDescent="0.25">
      <c r="A21" s="4" t="s">
        <v>14</v>
      </c>
      <c r="B21" s="42" t="s">
        <v>343</v>
      </c>
      <c r="C21" s="295">
        <f>SUM('Pallet Inputs P'!$F$22:$F$25)</f>
        <v>1</v>
      </c>
      <c r="D21" s="179" t="s">
        <v>552</v>
      </c>
      <c r="E21" s="26">
        <f>'Entry Profile P'!$C$34</f>
        <v>1150.5803285257321</v>
      </c>
      <c r="F21" s="26">
        <f>Productivity!$C$18</f>
        <v>39.899251235537818</v>
      </c>
      <c r="G21" s="286">
        <f>'Other Inputs'!$G$8</f>
        <v>49.154262813761939</v>
      </c>
      <c r="H21" s="26">
        <f>'Piggyback Factors'!$D$27</f>
        <v>1.3606061934437479</v>
      </c>
      <c r="I21" s="2">
        <f>'CS Data By Shape'!$D$6/'CS Data By Shape'!$D$7</f>
        <v>2.3690647586844182</v>
      </c>
      <c r="J21" s="296">
        <f t="shared" ref="J21:J22" si="2">(C21*G21*H21*I21)/(E21*F21)</f>
        <v>3.4513489645370881E-3</v>
      </c>
    </row>
    <row r="22" spans="1:10" x14ac:dyDescent="0.25">
      <c r="A22" s="4" t="s">
        <v>14</v>
      </c>
      <c r="B22" s="42" t="s">
        <v>339</v>
      </c>
      <c r="C22" s="295">
        <f>SUM('Pallet Inputs P'!$F$22:$F$25)</f>
        <v>1</v>
      </c>
      <c r="D22" s="179" t="s">
        <v>552</v>
      </c>
      <c r="E22" s="26">
        <f>'Entry Profile P'!$C$34</f>
        <v>1150.5803285257321</v>
      </c>
      <c r="F22" s="26">
        <f>Productivity!$C$20</f>
        <v>61.728448910094343</v>
      </c>
      <c r="G22" s="286">
        <f>'Other Inputs'!$G$8</f>
        <v>49.154262813761939</v>
      </c>
      <c r="H22" s="26">
        <f>'Piggyback Factors'!$D$27</f>
        <v>1.3606061934437479</v>
      </c>
      <c r="I22" s="2">
        <f>'CS Data By Shape'!$D$6/'CS Data By Shape'!$D$7</f>
        <v>2.3690647586844182</v>
      </c>
      <c r="J22" s="299">
        <f t="shared" si="2"/>
        <v>2.2308391328306927E-3</v>
      </c>
    </row>
    <row r="23" spans="1:10" x14ac:dyDescent="0.25">
      <c r="B23" s="42"/>
      <c r="C23" s="295"/>
      <c r="J23" s="296">
        <f>SUM(J20:J22)</f>
        <v>8.0500247121772055E-3</v>
      </c>
    </row>
    <row r="26" spans="1:10" x14ac:dyDescent="0.25">
      <c r="A26" s="25" t="s">
        <v>325</v>
      </c>
    </row>
    <row r="27" spans="1:10" x14ac:dyDescent="0.25">
      <c r="A27" s="4" t="s">
        <v>501</v>
      </c>
    </row>
    <row r="28" spans="1:10" x14ac:dyDescent="0.25">
      <c r="A28" s="4" t="s">
        <v>356</v>
      </c>
      <c r="B28"/>
      <c r="C28" s="297"/>
      <c r="D28"/>
      <c r="E28"/>
      <c r="F28"/>
      <c r="G28"/>
      <c r="H28"/>
      <c r="I28"/>
      <c r="J28"/>
    </row>
    <row r="29" spans="1:10" x14ac:dyDescent="0.25">
      <c r="A29" s="4" t="s">
        <v>585</v>
      </c>
      <c r="B29"/>
      <c r="C29" s="297"/>
      <c r="D29"/>
      <c r="E29"/>
      <c r="F29"/>
      <c r="G29"/>
      <c r="H29"/>
      <c r="I29"/>
      <c r="J29"/>
    </row>
    <row r="30" spans="1:10" x14ac:dyDescent="0.25">
      <c r="A30" s="4" t="s">
        <v>502</v>
      </c>
      <c r="B30"/>
      <c r="C30" s="297"/>
      <c r="D30"/>
      <c r="E30"/>
      <c r="F30"/>
      <c r="G30"/>
      <c r="H30"/>
      <c r="I30"/>
      <c r="J30"/>
    </row>
    <row r="31" spans="1:10" x14ac:dyDescent="0.25">
      <c r="A31" s="4" t="s">
        <v>503</v>
      </c>
      <c r="B31"/>
      <c r="C31" s="297"/>
      <c r="D31"/>
      <c r="E31"/>
      <c r="F31"/>
      <c r="G31"/>
      <c r="H31"/>
      <c r="I31"/>
      <c r="J31"/>
    </row>
    <row r="32" spans="1:10" x14ac:dyDescent="0.25">
      <c r="A32" s="4" t="s">
        <v>504</v>
      </c>
      <c r="B32"/>
      <c r="C32" s="297"/>
      <c r="D32"/>
      <c r="E32"/>
      <c r="F32"/>
      <c r="G32"/>
      <c r="H32"/>
      <c r="I32"/>
      <c r="J32"/>
    </row>
    <row r="33" spans="1:10" x14ac:dyDescent="0.25">
      <c r="A33" s="4" t="s">
        <v>505</v>
      </c>
      <c r="B33"/>
      <c r="C33" s="297"/>
      <c r="D33"/>
      <c r="E33"/>
      <c r="F33"/>
      <c r="G33"/>
      <c r="H33"/>
      <c r="I33"/>
      <c r="J33"/>
    </row>
    <row r="34" spans="1:10" x14ac:dyDescent="0.25">
      <c r="A34" s="4" t="s">
        <v>410</v>
      </c>
      <c r="B34"/>
    </row>
  </sheetData>
  <printOptions horizontalCentered="1"/>
  <pageMargins left="0.7" right="0.7" top="0.75" bottom="0.75" header="0.3" footer="0.3"/>
  <pageSetup scale="69" orientation="portrait" r:id="rId1"/>
  <headerFooter>
    <oddHeader>&amp;RPage 17 of 42</oddHeader>
    <oddFooter>&amp;R&amp;F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K32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87" customWidth="1"/>
    <col min="4" max="7" width="12.6640625" style="26" customWidth="1"/>
    <col min="8" max="8" width="12.6640625" style="286" customWidth="1"/>
    <col min="9" max="9" width="12.6640625" style="26" customWidth="1"/>
    <col min="10" max="10" width="12.6640625" style="2" customWidth="1"/>
    <col min="11" max="11" width="12.6640625" style="296" customWidth="1"/>
  </cols>
  <sheetData>
    <row r="1" spans="1:11" ht="15.6" x14ac:dyDescent="0.3">
      <c r="A1" s="39" t="s">
        <v>433</v>
      </c>
      <c r="B1" s="39"/>
      <c r="C1" s="285"/>
    </row>
    <row r="4" spans="1:11" x14ac:dyDescent="0.25">
      <c r="C4" s="178" t="s">
        <v>133</v>
      </c>
      <c r="D4" s="178" t="s">
        <v>117</v>
      </c>
      <c r="E4" s="178" t="s">
        <v>118</v>
      </c>
      <c r="F4" s="288" t="s">
        <v>119</v>
      </c>
      <c r="G4" s="178" t="s">
        <v>120</v>
      </c>
      <c r="H4" s="289" t="s">
        <v>121</v>
      </c>
      <c r="I4" s="289" t="s">
        <v>204</v>
      </c>
      <c r="J4" s="208" t="s">
        <v>206</v>
      </c>
      <c r="K4" s="208" t="s">
        <v>207</v>
      </c>
    </row>
    <row r="5" spans="1:11" x14ac:dyDescent="0.25">
      <c r="A5" s="171"/>
      <c r="H5" s="288" t="s">
        <v>309</v>
      </c>
      <c r="J5" s="289" t="s">
        <v>227</v>
      </c>
      <c r="K5" s="208" t="s">
        <v>327</v>
      </c>
    </row>
    <row r="6" spans="1:11" s="4" customFormat="1" x14ac:dyDescent="0.25">
      <c r="C6" s="287"/>
      <c r="D6" s="178"/>
      <c r="E6" s="178" t="s">
        <v>336</v>
      </c>
      <c r="F6" s="178" t="s">
        <v>227</v>
      </c>
      <c r="G6" s="178" t="s">
        <v>328</v>
      </c>
      <c r="H6" s="288" t="s">
        <v>329</v>
      </c>
      <c r="I6" s="178" t="s">
        <v>4</v>
      </c>
      <c r="J6" s="289" t="s">
        <v>281</v>
      </c>
      <c r="K6" s="208" t="s">
        <v>281</v>
      </c>
    </row>
    <row r="7" spans="1:11" s="4" customFormat="1" x14ac:dyDescent="0.25">
      <c r="A7" s="4" t="s">
        <v>30</v>
      </c>
      <c r="B7" s="4" t="s">
        <v>1</v>
      </c>
      <c r="C7" s="287" t="s">
        <v>2</v>
      </c>
      <c r="D7" s="178" t="s">
        <v>226</v>
      </c>
      <c r="E7" s="178" t="s">
        <v>31</v>
      </c>
      <c r="F7" s="178" t="s">
        <v>3</v>
      </c>
      <c r="G7" s="178" t="s">
        <v>330</v>
      </c>
      <c r="H7" s="288" t="s">
        <v>331</v>
      </c>
      <c r="I7" s="178" t="s">
        <v>35</v>
      </c>
      <c r="J7" s="289" t="s">
        <v>184</v>
      </c>
      <c r="K7" s="208" t="s">
        <v>184</v>
      </c>
    </row>
    <row r="8" spans="1:11" x14ac:dyDescent="0.25">
      <c r="A8" s="172"/>
      <c r="B8" s="172"/>
      <c r="C8" s="290"/>
      <c r="D8" s="291"/>
      <c r="E8" s="291"/>
      <c r="F8" s="291"/>
      <c r="G8" s="291"/>
      <c r="H8" s="292"/>
      <c r="I8" s="291"/>
      <c r="J8" s="293"/>
      <c r="K8" s="298"/>
    </row>
    <row r="10" spans="1:11" x14ac:dyDescent="0.25">
      <c r="A10" s="4" t="s">
        <v>233</v>
      </c>
      <c r="B10" s="42" t="s">
        <v>340</v>
      </c>
      <c r="C10" s="295">
        <f>'Sack Inputs F'!$F$28</f>
        <v>1</v>
      </c>
      <c r="D10" s="179" t="s">
        <v>280</v>
      </c>
      <c r="E10" s="26">
        <f>'Entry Profile P'!$B$39</f>
        <v>14.820735156910017</v>
      </c>
      <c r="F10" s="26">
        <f>'Other Inputs'!$G$14</f>
        <v>150.62975935817227</v>
      </c>
      <c r="G10" s="26">
        <f>Productivity!$C$21</f>
        <v>55.996737364805647</v>
      </c>
      <c r="H10" s="286">
        <f>'Other Inputs'!$G$7</f>
        <v>48.864673122693652</v>
      </c>
      <c r="I10" s="26">
        <f>'Piggyback Factors'!$D$43</f>
        <v>1.386023903258889</v>
      </c>
      <c r="J10" s="2">
        <f>'Entry Profile L&amp;F'!$I$36</f>
        <v>11.844188526443816</v>
      </c>
      <c r="K10" s="296">
        <f>(C10*H10*I10*J10)/(E10*F10*G10)</f>
        <v>6.4169370225519197E-3</v>
      </c>
    </row>
    <row r="11" spans="1:11" x14ac:dyDescent="0.25">
      <c r="A11" s="4" t="s">
        <v>233</v>
      </c>
      <c r="B11" s="42" t="s">
        <v>344</v>
      </c>
      <c r="C11" s="295">
        <f>'Sack Inputs F'!$F$28</f>
        <v>1</v>
      </c>
      <c r="D11" s="179" t="s">
        <v>280</v>
      </c>
      <c r="E11" s="26">
        <f>'Entry Profile P'!$B$39</f>
        <v>14.820735156910017</v>
      </c>
      <c r="F11" s="26">
        <f>'Other Inputs'!$G$14</f>
        <v>150.62975935817227</v>
      </c>
      <c r="G11" s="26">
        <f>Productivity!$C$24</f>
        <v>23.065925296264197</v>
      </c>
      <c r="H11" s="286">
        <f>'Other Inputs'!$G$7</f>
        <v>48.864673122693652</v>
      </c>
      <c r="I11" s="26">
        <f>'Piggyback Factors'!$D$42</f>
        <v>1.51761435929636</v>
      </c>
      <c r="J11" s="2">
        <f>'Entry Profile L&amp;F'!$I$36</f>
        <v>11.844188526443816</v>
      </c>
      <c r="K11" s="296">
        <f t="shared" ref="K11:K13" si="0">(C11*H11*I11*J11)/(E11*F11*G11)</f>
        <v>1.7057301520912008E-2</v>
      </c>
    </row>
    <row r="12" spans="1:11" s="42" customFormat="1" x14ac:dyDescent="0.25">
      <c r="A12" s="4" t="s">
        <v>233</v>
      </c>
      <c r="B12" s="42" t="s">
        <v>332</v>
      </c>
      <c r="C12" s="295">
        <f>'Sack Inputs F'!$F$28</f>
        <v>1</v>
      </c>
      <c r="D12" s="179" t="s">
        <v>280</v>
      </c>
      <c r="E12" s="26">
        <v>1</v>
      </c>
      <c r="F12" s="26">
        <f>'Other Inputs'!$G$14</f>
        <v>150.62975935817227</v>
      </c>
      <c r="G12" s="179">
        <f>Productivity!$C$13</f>
        <v>3068.1109131264348</v>
      </c>
      <c r="H12" s="286">
        <f>'Other Inputs'!$G$7</f>
        <v>48.864673122693652</v>
      </c>
      <c r="I12" s="179">
        <f>'Piggyback Factors'!$D$46</f>
        <v>1.6196174573049362</v>
      </c>
      <c r="J12" s="2">
        <f>'Entry Profile L&amp;F'!$I$36</f>
        <v>11.844188526443816</v>
      </c>
      <c r="K12" s="296">
        <f t="shared" si="0"/>
        <v>2.0282940701899913E-3</v>
      </c>
    </row>
    <row r="13" spans="1:11" s="42" customFormat="1" x14ac:dyDescent="0.25">
      <c r="A13" s="4" t="s">
        <v>233</v>
      </c>
      <c r="B13" s="42" t="s">
        <v>324</v>
      </c>
      <c r="C13" s="295">
        <f>'Sack Inputs F'!$F$28</f>
        <v>1</v>
      </c>
      <c r="D13" s="179" t="s">
        <v>280</v>
      </c>
      <c r="E13" s="26">
        <f>'Entry Profile P'!$B$42</f>
        <v>30.886231220748158</v>
      </c>
      <c r="F13" s="26">
        <f>'Other Inputs'!$G$14</f>
        <v>150.62975935817227</v>
      </c>
      <c r="G13" s="179">
        <f>Productivity!$C$28</f>
        <v>20.811195458396703</v>
      </c>
      <c r="H13" s="286">
        <f>'Other Inputs'!$G$7</f>
        <v>48.864673122693652</v>
      </c>
      <c r="I13" s="26">
        <f>'Piggyback Factors'!$D$43</f>
        <v>1.386023903258889</v>
      </c>
      <c r="J13" s="2">
        <f>'Entry Profile L&amp;F'!$I$36</f>
        <v>11.844188526443816</v>
      </c>
      <c r="K13" s="299">
        <f t="shared" si="0"/>
        <v>8.2851104199947508E-3</v>
      </c>
    </row>
    <row r="14" spans="1:11" s="42" customFormat="1" x14ac:dyDescent="0.25">
      <c r="C14" s="295"/>
      <c r="D14" s="179"/>
      <c r="E14" s="179"/>
      <c r="F14" s="179"/>
      <c r="G14" s="179"/>
      <c r="H14" s="300"/>
      <c r="I14" s="179"/>
      <c r="J14" s="301"/>
      <c r="K14" s="302">
        <f>SUM(K10:K13)</f>
        <v>3.3787643033648673E-2</v>
      </c>
    </row>
    <row r="15" spans="1:11" s="42" customFormat="1" x14ac:dyDescent="0.25">
      <c r="C15" s="295"/>
      <c r="D15" s="179"/>
      <c r="E15" s="179"/>
      <c r="F15" s="179"/>
      <c r="G15" s="179"/>
      <c r="H15" s="300"/>
      <c r="I15" s="179"/>
      <c r="J15" s="301"/>
      <c r="K15" s="302"/>
    </row>
    <row r="16" spans="1:11" s="42" customFormat="1" x14ac:dyDescent="0.25">
      <c r="A16" s="4" t="s">
        <v>233</v>
      </c>
      <c r="B16" s="42" t="s">
        <v>340</v>
      </c>
      <c r="C16" s="295">
        <f>'Sack Inputs P'!$F$28</f>
        <v>1</v>
      </c>
      <c r="D16" s="179" t="s">
        <v>552</v>
      </c>
      <c r="E16" s="26">
        <f>'Entry Profile P'!$B$39</f>
        <v>14.820735156910017</v>
      </c>
      <c r="F16" s="26">
        <f>'Entry Profile P'!$E$31</f>
        <v>48.787027953216125</v>
      </c>
      <c r="G16" s="26">
        <f>Productivity!$C$21</f>
        <v>55.996737364805647</v>
      </c>
      <c r="H16" s="286">
        <f>'Other Inputs'!$G$8</f>
        <v>49.154262813761939</v>
      </c>
      <c r="I16" s="26">
        <f>'Piggyback Factors'!$D$43</f>
        <v>1.386023903258889</v>
      </c>
      <c r="J16" s="2">
        <f>'CS Data By Shape'!$D$6/'CS Data By Shape'!$D$7</f>
        <v>2.3690647586844182</v>
      </c>
      <c r="K16" s="296">
        <f>(C16*H16*I16*J16)/(E16*F16*G16)</f>
        <v>3.986318610847547E-3</v>
      </c>
    </row>
    <row r="17" spans="1:11" s="42" customFormat="1" x14ac:dyDescent="0.25">
      <c r="A17" s="4" t="s">
        <v>233</v>
      </c>
      <c r="B17" s="42" t="s">
        <v>344</v>
      </c>
      <c r="C17" s="295">
        <f>'Sack Inputs P'!$F$28</f>
        <v>1</v>
      </c>
      <c r="D17" s="179" t="s">
        <v>552</v>
      </c>
      <c r="E17" s="26">
        <f>'Entry Profile P'!$B$39</f>
        <v>14.820735156910017</v>
      </c>
      <c r="F17" s="26">
        <f>'Entry Profile P'!$E$31</f>
        <v>48.787027953216125</v>
      </c>
      <c r="G17" s="26">
        <f>Productivity!$C$24</f>
        <v>23.065925296264197</v>
      </c>
      <c r="H17" s="286">
        <f>'Other Inputs'!$G$8</f>
        <v>49.154262813761939</v>
      </c>
      <c r="I17" s="26">
        <f>'Piggyback Factors'!$D$42</f>
        <v>1.51761435929636</v>
      </c>
      <c r="J17" s="2">
        <f>'CS Data By Shape'!$D$6/'CS Data By Shape'!$D$7</f>
        <v>2.3690647586844182</v>
      </c>
      <c r="K17" s="296">
        <f t="shared" ref="K17:K19" si="1">(C17*H17*I17*J17)/(E17*F17*G17)</f>
        <v>1.0596307594212413E-2</v>
      </c>
    </row>
    <row r="18" spans="1:11" s="42" customFormat="1" x14ac:dyDescent="0.25">
      <c r="A18" s="4" t="s">
        <v>233</v>
      </c>
      <c r="B18" s="42" t="s">
        <v>332</v>
      </c>
      <c r="C18" s="295">
        <f>'Sack Inputs P'!$F$28</f>
        <v>1</v>
      </c>
      <c r="D18" s="179" t="s">
        <v>552</v>
      </c>
      <c r="E18" s="26">
        <v>1</v>
      </c>
      <c r="F18" s="26">
        <f>'Entry Profile P'!$E$31</f>
        <v>48.787027953216125</v>
      </c>
      <c r="G18" s="179">
        <f>Productivity!$C$13</f>
        <v>3068.1109131264348</v>
      </c>
      <c r="H18" s="286">
        <f>'Other Inputs'!$G$8</f>
        <v>49.154262813761939</v>
      </c>
      <c r="I18" s="179">
        <f>'Piggyback Factors'!$D$46</f>
        <v>1.6196174573049362</v>
      </c>
      <c r="J18" s="2">
        <f>'CS Data By Shape'!$D$6/'CS Data By Shape'!$D$7</f>
        <v>2.3690647586844182</v>
      </c>
      <c r="K18" s="296">
        <f t="shared" si="1"/>
        <v>1.2600133633623584E-3</v>
      </c>
    </row>
    <row r="19" spans="1:11" s="42" customFormat="1" x14ac:dyDescent="0.25">
      <c r="A19" s="4" t="s">
        <v>233</v>
      </c>
      <c r="B19" s="42" t="s">
        <v>324</v>
      </c>
      <c r="C19" s="295">
        <f>'Sack Inputs P'!$F$28</f>
        <v>1</v>
      </c>
      <c r="D19" s="179" t="s">
        <v>552</v>
      </c>
      <c r="E19" s="26">
        <f>'Entry Profile P'!$B$42</f>
        <v>30.886231220748158</v>
      </c>
      <c r="F19" s="26">
        <f>'Entry Profile P'!$E$31</f>
        <v>48.787027953216125</v>
      </c>
      <c r="G19" s="179">
        <f>Productivity!$C$28</f>
        <v>20.811195458396703</v>
      </c>
      <c r="H19" s="286">
        <f>'Other Inputs'!$G$8</f>
        <v>49.154262813761939</v>
      </c>
      <c r="I19" s="26">
        <f>'Piggyback Factors'!$D$43</f>
        <v>1.386023903258889</v>
      </c>
      <c r="J19" s="2">
        <f>'CS Data By Shape'!$D$6/'CS Data By Shape'!$D$7</f>
        <v>2.3690647586844182</v>
      </c>
      <c r="K19" s="299">
        <f t="shared" si="1"/>
        <v>5.1468620845241892E-3</v>
      </c>
    </row>
    <row r="20" spans="1:11" s="42" customFormat="1" x14ac:dyDescent="0.25">
      <c r="C20" s="295"/>
      <c r="D20" s="179"/>
      <c r="E20" s="179"/>
      <c r="F20" s="179"/>
      <c r="G20" s="179"/>
      <c r="H20" s="300"/>
      <c r="I20" s="179"/>
      <c r="J20" s="301"/>
      <c r="K20" s="302">
        <f>SUM(K16:K19)</f>
        <v>2.0989501652946507E-2</v>
      </c>
    </row>
    <row r="21" spans="1:11" s="42" customFormat="1" x14ac:dyDescent="0.25">
      <c r="C21" s="295"/>
      <c r="D21" s="179"/>
      <c r="E21" s="179"/>
      <c r="F21" s="179"/>
      <c r="G21" s="179"/>
      <c r="H21" s="300"/>
      <c r="I21" s="179"/>
      <c r="J21" s="301"/>
      <c r="K21" s="302"/>
    </row>
    <row r="22" spans="1:11" s="42" customFormat="1" x14ac:dyDescent="0.25">
      <c r="C22" s="295"/>
      <c r="D22" s="179"/>
      <c r="E22" s="179"/>
      <c r="F22" s="179"/>
      <c r="G22" s="179"/>
      <c r="H22" s="300"/>
      <c r="I22" s="179"/>
      <c r="J22" s="301"/>
      <c r="K22" s="302"/>
    </row>
    <row r="23" spans="1:11" x14ac:dyDescent="0.25">
      <c r="A23" s="25" t="s">
        <v>325</v>
      </c>
    </row>
    <row r="24" spans="1:11" x14ac:dyDescent="0.25">
      <c r="A24" s="4" t="s">
        <v>496</v>
      </c>
    </row>
    <row r="25" spans="1:11" x14ac:dyDescent="0.25">
      <c r="A25" s="4" t="s">
        <v>356</v>
      </c>
      <c r="B25"/>
      <c r="C25" s="297"/>
      <c r="D25"/>
      <c r="E25"/>
      <c r="F25"/>
      <c r="G25"/>
      <c r="H25"/>
      <c r="I25"/>
      <c r="J25"/>
      <c r="K25" s="303"/>
    </row>
    <row r="26" spans="1:11" x14ac:dyDescent="0.25">
      <c r="A26" s="4" t="s">
        <v>490</v>
      </c>
      <c r="B26"/>
      <c r="C26" s="297"/>
      <c r="D26"/>
      <c r="E26"/>
      <c r="F26"/>
      <c r="G26"/>
      <c r="H26"/>
      <c r="I26"/>
      <c r="J26"/>
      <c r="K26" s="303"/>
    </row>
    <row r="27" spans="1:11" x14ac:dyDescent="0.25">
      <c r="A27" s="4" t="s">
        <v>491</v>
      </c>
      <c r="B27"/>
      <c r="C27" s="297"/>
      <c r="D27"/>
      <c r="E27"/>
      <c r="F27"/>
      <c r="G27"/>
      <c r="H27"/>
      <c r="I27"/>
      <c r="J27"/>
      <c r="K27" s="303"/>
    </row>
    <row r="28" spans="1:11" x14ac:dyDescent="0.25">
      <c r="A28" s="4" t="s">
        <v>492</v>
      </c>
      <c r="B28"/>
      <c r="C28" s="297"/>
      <c r="D28"/>
      <c r="E28"/>
      <c r="F28"/>
      <c r="G28"/>
      <c r="H28"/>
      <c r="I28"/>
      <c r="J28"/>
      <c r="K28" s="303"/>
    </row>
    <row r="29" spans="1:11" x14ac:dyDescent="0.25">
      <c r="A29" s="4" t="s">
        <v>493</v>
      </c>
      <c r="B29"/>
      <c r="C29" s="297"/>
      <c r="D29"/>
      <c r="E29"/>
      <c r="F29"/>
      <c r="G29"/>
      <c r="H29"/>
      <c r="I29"/>
      <c r="J29"/>
      <c r="K29" s="303"/>
    </row>
    <row r="30" spans="1:11" x14ac:dyDescent="0.25">
      <c r="A30" s="4" t="s">
        <v>494</v>
      </c>
      <c r="B30"/>
      <c r="C30" s="297"/>
      <c r="D30"/>
      <c r="E30"/>
      <c r="F30"/>
      <c r="G30"/>
      <c r="H30"/>
      <c r="I30"/>
      <c r="J30"/>
      <c r="K30" s="303"/>
    </row>
    <row r="31" spans="1:11" x14ac:dyDescent="0.25">
      <c r="A31" s="4" t="s">
        <v>495</v>
      </c>
      <c r="B31"/>
    </row>
    <row r="32" spans="1:11" x14ac:dyDescent="0.25">
      <c r="A32" s="4" t="s">
        <v>357</v>
      </c>
    </row>
  </sheetData>
  <printOptions horizontalCentered="1"/>
  <pageMargins left="0.7" right="0.7" top="0.75" bottom="0.75" header="0.3" footer="0.3"/>
  <pageSetup scale="63" orientation="portrait" r:id="rId1"/>
  <headerFooter>
    <oddHeader>&amp;RPage 18 of 42</oddHeader>
    <oddFooter>&amp;R&amp;F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K25"/>
  <sheetViews>
    <sheetView zoomScale="75" zoomScaleNormal="75" workbookViewId="0">
      <selection activeCell="L11" sqref="L11"/>
    </sheetView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87" customWidth="1"/>
    <col min="4" max="7" width="12.6640625" style="26" customWidth="1"/>
    <col min="8" max="8" width="12.6640625" style="286" customWidth="1"/>
    <col min="9" max="9" width="12.6640625" style="26" customWidth="1"/>
    <col min="10" max="10" width="12.6640625" style="2" customWidth="1"/>
    <col min="11" max="11" width="12.6640625" style="296" customWidth="1"/>
  </cols>
  <sheetData>
    <row r="1" spans="1:11" ht="15.6" x14ac:dyDescent="0.3">
      <c r="A1" s="39" t="s">
        <v>432</v>
      </c>
      <c r="B1" s="39"/>
      <c r="C1" s="285"/>
    </row>
    <row r="4" spans="1:11" x14ac:dyDescent="0.25">
      <c r="C4" s="287" t="s">
        <v>133</v>
      </c>
      <c r="D4" s="178" t="s">
        <v>117</v>
      </c>
      <c r="E4" s="178" t="s">
        <v>118</v>
      </c>
      <c r="F4" s="288" t="s">
        <v>119</v>
      </c>
      <c r="G4" s="178" t="s">
        <v>120</v>
      </c>
      <c r="H4" s="289" t="s">
        <v>121</v>
      </c>
      <c r="I4" s="289" t="s">
        <v>204</v>
      </c>
      <c r="J4" s="208" t="s">
        <v>206</v>
      </c>
      <c r="K4" s="208" t="s">
        <v>207</v>
      </c>
    </row>
    <row r="5" spans="1:11" x14ac:dyDescent="0.25">
      <c r="A5" s="171"/>
      <c r="H5" s="288" t="s">
        <v>309</v>
      </c>
      <c r="J5" s="289" t="s">
        <v>227</v>
      </c>
      <c r="K5" s="208" t="s">
        <v>327</v>
      </c>
    </row>
    <row r="6" spans="1:11" s="4" customFormat="1" x14ac:dyDescent="0.25">
      <c r="C6" s="287"/>
      <c r="D6" s="178"/>
      <c r="E6" s="178" t="s">
        <v>337</v>
      </c>
      <c r="F6" s="178" t="s">
        <v>227</v>
      </c>
      <c r="G6" s="178" t="s">
        <v>328</v>
      </c>
      <c r="H6" s="288" t="s">
        <v>329</v>
      </c>
      <c r="I6" s="178" t="s">
        <v>4</v>
      </c>
      <c r="J6" s="289" t="s">
        <v>281</v>
      </c>
      <c r="K6" s="208" t="s">
        <v>281</v>
      </c>
    </row>
    <row r="7" spans="1:11" s="4" customFormat="1" x14ac:dyDescent="0.25">
      <c r="A7" s="4" t="s">
        <v>30</v>
      </c>
      <c r="B7" s="4" t="s">
        <v>1</v>
      </c>
      <c r="C7" s="287" t="s">
        <v>2</v>
      </c>
      <c r="D7" s="178" t="s">
        <v>226</v>
      </c>
      <c r="E7" s="178" t="s">
        <v>31</v>
      </c>
      <c r="F7" s="178" t="s">
        <v>6</v>
      </c>
      <c r="G7" s="178" t="s">
        <v>330</v>
      </c>
      <c r="H7" s="288" t="s">
        <v>331</v>
      </c>
      <c r="I7" s="178" t="s">
        <v>35</v>
      </c>
      <c r="J7" s="289" t="s">
        <v>184</v>
      </c>
      <c r="K7" s="208" t="s">
        <v>184</v>
      </c>
    </row>
    <row r="8" spans="1:11" x14ac:dyDescent="0.25">
      <c r="A8" s="172"/>
      <c r="B8" s="172"/>
      <c r="C8" s="290"/>
      <c r="D8" s="291"/>
      <c r="E8" s="291"/>
      <c r="F8" s="291"/>
      <c r="G8" s="291"/>
      <c r="H8" s="292"/>
      <c r="I8" s="291"/>
      <c r="J8" s="293"/>
      <c r="K8" s="298"/>
    </row>
    <row r="10" spans="1:11" x14ac:dyDescent="0.25">
      <c r="A10" s="4" t="s">
        <v>233</v>
      </c>
      <c r="B10" s="42" t="s">
        <v>340</v>
      </c>
      <c r="C10" s="295">
        <f>'Tray Inputs L'!$F$27</f>
        <v>1</v>
      </c>
      <c r="D10" s="179" t="s">
        <v>279</v>
      </c>
      <c r="E10" s="26">
        <f>'Other Inputs'!$G$20</f>
        <v>24</v>
      </c>
      <c r="F10" s="26">
        <f>'Other Inputs'!$G$15</f>
        <v>315.12979385479116</v>
      </c>
      <c r="G10" s="26">
        <f>Productivity!$C$21</f>
        <v>55.996737364805647</v>
      </c>
      <c r="H10" s="286">
        <f>'Other Inputs'!$G$6</f>
        <v>48.808840866562093</v>
      </c>
      <c r="I10" s="26">
        <f>'Piggyback Factors'!$D$43</f>
        <v>1.386023903258889</v>
      </c>
      <c r="J10" s="2">
        <f>'Entry Profile L&amp;F'!$E$36</f>
        <v>32.033139936653697</v>
      </c>
      <c r="K10" s="296">
        <f>(C10*H10*I10*J10)/(E10*F10*G10)</f>
        <v>5.1168807327829861E-3</v>
      </c>
    </row>
    <row r="11" spans="1:11" s="42" customFormat="1" x14ac:dyDescent="0.25">
      <c r="A11" s="4" t="s">
        <v>233</v>
      </c>
      <c r="B11" s="42" t="s">
        <v>677</v>
      </c>
      <c r="C11" s="295">
        <f>'Tray Inputs L'!$F$27</f>
        <v>1</v>
      </c>
      <c r="D11" s="179" t="s">
        <v>279</v>
      </c>
      <c r="E11" s="26">
        <v>1</v>
      </c>
      <c r="F11" s="26">
        <f>'Other Inputs'!$G$15</f>
        <v>315.12979385479116</v>
      </c>
      <c r="G11" s="179">
        <f>Productivity!$C$10</f>
        <v>92.988321017923852</v>
      </c>
      <c r="H11" s="286">
        <f>'Other Inputs'!$G$6</f>
        <v>48.808840866562093</v>
      </c>
      <c r="I11" s="179">
        <f>'Piggyback Factors'!$D$47</f>
        <v>1.8711128783813997</v>
      </c>
      <c r="J11" s="2">
        <f>'Entry Profile L&amp;F'!$E$36</f>
        <v>32.033139936653697</v>
      </c>
      <c r="K11" s="296">
        <f>(C11*H11*I11*J11)/(E11*F11*G11)</f>
        <v>9.9834379092956921E-2</v>
      </c>
    </row>
    <row r="12" spans="1:11" s="42" customFormat="1" x14ac:dyDescent="0.25">
      <c r="A12" s="4" t="s">
        <v>233</v>
      </c>
      <c r="B12" s="42" t="s">
        <v>333</v>
      </c>
      <c r="C12" s="295">
        <f>'Tray Inputs L'!$F$27</f>
        <v>1</v>
      </c>
      <c r="D12" s="179" t="s">
        <v>279</v>
      </c>
      <c r="E12" s="26">
        <f>'Other Inputs'!$G$20</f>
        <v>24</v>
      </c>
      <c r="F12" s="26">
        <f>'Other Inputs'!$G$15</f>
        <v>315.12979385479116</v>
      </c>
      <c r="G12" s="179">
        <f>Productivity!$C$26</f>
        <v>70.608822220868689</v>
      </c>
      <c r="H12" s="286">
        <f>'Other Inputs'!$G$6</f>
        <v>48.808840866562093</v>
      </c>
      <c r="I12" s="26">
        <f>'Piggyback Factors'!$D$43</f>
        <v>1.386023903258889</v>
      </c>
      <c r="J12" s="2">
        <f>'Entry Profile L&amp;F'!$E$36</f>
        <v>32.033139936653697</v>
      </c>
      <c r="K12" s="299">
        <f t="shared" ref="K12" si="0">(C12*H12*I12*J12)/(E12*F12*G12)</f>
        <v>4.0579720424227458E-3</v>
      </c>
    </row>
    <row r="13" spans="1:11" s="42" customFormat="1" x14ac:dyDescent="0.25">
      <c r="C13" s="295"/>
      <c r="D13" s="179"/>
      <c r="E13" s="179"/>
      <c r="F13" s="179"/>
      <c r="G13" s="179"/>
      <c r="H13" s="300"/>
      <c r="I13" s="179"/>
      <c r="J13" s="301"/>
      <c r="K13" s="302">
        <f>SUM(K10:K12)</f>
        <v>0.10900923186816266</v>
      </c>
    </row>
    <row r="14" spans="1:11" s="42" customFormat="1" x14ac:dyDescent="0.25">
      <c r="C14" s="295"/>
      <c r="D14" s="179"/>
      <c r="E14" s="179"/>
      <c r="F14" s="179"/>
      <c r="G14" s="179"/>
      <c r="H14" s="300"/>
      <c r="I14" s="179"/>
      <c r="J14" s="301"/>
      <c r="K14" s="302"/>
    </row>
    <row r="15" spans="1:11" s="42" customFormat="1" x14ac:dyDescent="0.25">
      <c r="C15" s="295"/>
      <c r="D15" s="179"/>
      <c r="E15" s="179"/>
      <c r="F15" s="179"/>
      <c r="G15" s="179"/>
      <c r="H15" s="300"/>
      <c r="I15" s="179"/>
      <c r="J15" s="301"/>
      <c r="K15" s="302"/>
    </row>
    <row r="16" spans="1:11" x14ac:dyDescent="0.25">
      <c r="A16" s="25" t="s">
        <v>325</v>
      </c>
    </row>
    <row r="17" spans="1:11" x14ac:dyDescent="0.25">
      <c r="A17" s="4" t="s">
        <v>497</v>
      </c>
    </row>
    <row r="18" spans="1:11" x14ac:dyDescent="0.25">
      <c r="A18" s="4" t="s">
        <v>356</v>
      </c>
      <c r="B18"/>
      <c r="C18" s="297"/>
      <c r="D18"/>
      <c r="E18"/>
      <c r="F18"/>
      <c r="G18"/>
      <c r="H18"/>
      <c r="I18"/>
      <c r="J18"/>
      <c r="K18" s="303"/>
    </row>
    <row r="19" spans="1:11" x14ac:dyDescent="0.25">
      <c r="A19" s="4" t="s">
        <v>498</v>
      </c>
      <c r="B19"/>
      <c r="C19" s="297"/>
      <c r="D19"/>
      <c r="E19"/>
      <c r="F19"/>
      <c r="G19"/>
      <c r="H19"/>
      <c r="I19"/>
      <c r="J19"/>
      <c r="K19" s="303"/>
    </row>
    <row r="20" spans="1:11" x14ac:dyDescent="0.25">
      <c r="A20" s="4" t="s">
        <v>499</v>
      </c>
      <c r="B20"/>
      <c r="C20" s="297"/>
      <c r="D20"/>
      <c r="E20"/>
      <c r="F20"/>
      <c r="G20"/>
      <c r="H20"/>
      <c r="I20"/>
      <c r="J20"/>
      <c r="K20" s="303"/>
    </row>
    <row r="21" spans="1:11" x14ac:dyDescent="0.25">
      <c r="A21" s="4" t="s">
        <v>492</v>
      </c>
      <c r="B21"/>
      <c r="C21" s="297"/>
      <c r="D21"/>
      <c r="E21"/>
      <c r="F21"/>
      <c r="G21"/>
      <c r="H21"/>
      <c r="I21"/>
      <c r="J21"/>
      <c r="K21" s="303"/>
    </row>
    <row r="22" spans="1:11" x14ac:dyDescent="0.25">
      <c r="A22" s="4" t="s">
        <v>493</v>
      </c>
      <c r="B22"/>
      <c r="C22" s="297"/>
      <c r="D22"/>
      <c r="E22"/>
      <c r="F22"/>
      <c r="G22"/>
      <c r="H22"/>
      <c r="I22"/>
      <c r="J22"/>
      <c r="K22" s="303"/>
    </row>
    <row r="23" spans="1:11" x14ac:dyDescent="0.25">
      <c r="A23" s="4" t="s">
        <v>494</v>
      </c>
      <c r="B23"/>
      <c r="C23" s="297"/>
      <c r="D23"/>
      <c r="E23"/>
      <c r="F23"/>
      <c r="G23"/>
      <c r="H23"/>
      <c r="I23"/>
      <c r="J23"/>
      <c r="K23" s="303"/>
    </row>
    <row r="24" spans="1:11" x14ac:dyDescent="0.25">
      <c r="A24" s="4" t="s">
        <v>500</v>
      </c>
      <c r="B24"/>
    </row>
    <row r="25" spans="1:11" x14ac:dyDescent="0.25">
      <c r="A25" s="4" t="s">
        <v>357</v>
      </c>
    </row>
  </sheetData>
  <printOptions horizontalCentered="1"/>
  <pageMargins left="0.7" right="0.7" top="0.75" bottom="0.75" header="0.3" footer="0.3"/>
  <pageSetup scale="63" orientation="portrait" r:id="rId1"/>
  <headerFooter>
    <oddHeader>&amp;RPage 19 of 42</oddHeader>
    <oddFooter>&amp;R&amp;F</oddFooter>
  </headerFooter>
  <ignoredErrors>
    <ignoredError sqref="I11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31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87" customWidth="1"/>
    <col min="4" max="6" width="12.6640625" style="26" customWidth="1"/>
    <col min="7" max="7" width="12.6640625" style="286" customWidth="1"/>
    <col min="8" max="8" width="12.6640625" style="26" customWidth="1"/>
    <col min="9" max="10" width="12.6640625" style="2" customWidth="1"/>
  </cols>
  <sheetData>
    <row r="1" spans="1:10" ht="15.6" x14ac:dyDescent="0.3">
      <c r="A1" s="39" t="s">
        <v>431</v>
      </c>
      <c r="B1" s="39"/>
      <c r="C1" s="285"/>
      <c r="J1" s="296"/>
    </row>
    <row r="2" spans="1:10" x14ac:dyDescent="0.25">
      <c r="J2" s="296"/>
    </row>
    <row r="3" spans="1:10" x14ac:dyDescent="0.25">
      <c r="J3" s="299"/>
    </row>
    <row r="4" spans="1:10" x14ac:dyDescent="0.25">
      <c r="C4" s="287" t="s">
        <v>133</v>
      </c>
      <c r="D4" s="178" t="s">
        <v>117</v>
      </c>
      <c r="E4" s="288" t="s">
        <v>118</v>
      </c>
      <c r="F4" s="178" t="s">
        <v>119</v>
      </c>
      <c r="G4" s="289" t="s">
        <v>120</v>
      </c>
      <c r="H4" s="289" t="s">
        <v>121</v>
      </c>
      <c r="I4" s="289" t="s">
        <v>204</v>
      </c>
      <c r="J4" s="289" t="s">
        <v>206</v>
      </c>
    </row>
    <row r="5" spans="1:10" x14ac:dyDescent="0.25">
      <c r="A5" s="171"/>
      <c r="G5" s="288" t="s">
        <v>309</v>
      </c>
      <c r="I5" s="289" t="s">
        <v>227</v>
      </c>
      <c r="J5" s="289" t="s">
        <v>327</v>
      </c>
    </row>
    <row r="6" spans="1:10" s="4" customFormat="1" x14ac:dyDescent="0.25">
      <c r="C6" s="287"/>
      <c r="D6" s="178"/>
      <c r="E6" s="178" t="s">
        <v>227</v>
      </c>
      <c r="F6" s="178" t="s">
        <v>328</v>
      </c>
      <c r="G6" s="288" t="s">
        <v>329</v>
      </c>
      <c r="H6" s="178" t="s">
        <v>4</v>
      </c>
      <c r="I6" s="289" t="s">
        <v>281</v>
      </c>
      <c r="J6" s="289" t="s">
        <v>281</v>
      </c>
    </row>
    <row r="7" spans="1:10" s="4" customFormat="1" x14ac:dyDescent="0.25">
      <c r="A7" s="4" t="s">
        <v>30</v>
      </c>
      <c r="B7" s="4" t="s">
        <v>1</v>
      </c>
      <c r="C7" s="287" t="s">
        <v>2</v>
      </c>
      <c r="D7" s="178" t="s">
        <v>226</v>
      </c>
      <c r="E7" s="178" t="s">
        <v>8</v>
      </c>
      <c r="F7" s="178" t="s">
        <v>330</v>
      </c>
      <c r="G7" s="288" t="s">
        <v>331</v>
      </c>
      <c r="H7" s="178" t="s">
        <v>35</v>
      </c>
      <c r="I7" s="289" t="s">
        <v>184</v>
      </c>
      <c r="J7" s="289" t="s">
        <v>184</v>
      </c>
    </row>
    <row r="8" spans="1:10" x14ac:dyDescent="0.25">
      <c r="A8" s="172"/>
      <c r="B8" s="172"/>
      <c r="C8" s="290"/>
      <c r="D8" s="291"/>
      <c r="E8" s="291"/>
      <c r="F8" s="291"/>
      <c r="G8" s="292"/>
      <c r="H8" s="291"/>
      <c r="I8" s="293"/>
      <c r="J8" s="294"/>
    </row>
    <row r="10" spans="1:10" x14ac:dyDescent="0.25">
      <c r="A10" s="4" t="s">
        <v>233</v>
      </c>
      <c r="B10" s="42" t="s">
        <v>342</v>
      </c>
      <c r="C10" s="295">
        <f>'Pallet Inputs L'!$F$27</f>
        <v>1</v>
      </c>
      <c r="D10" s="179" t="s">
        <v>279</v>
      </c>
      <c r="E10" s="26">
        <f>'Other Inputs'!$G$16</f>
        <v>8651.6570532899004</v>
      </c>
      <c r="F10" s="26">
        <f>Productivity!$C$22</f>
        <v>46.475052307166727</v>
      </c>
      <c r="G10" s="286">
        <f>'Other Inputs'!$G$6</f>
        <v>48.808840866562093</v>
      </c>
      <c r="H10" s="26">
        <f>'Piggyback Factors'!$D$43</f>
        <v>1.386023903258889</v>
      </c>
      <c r="I10" s="304">
        <f>'Entry Profile L&amp;F'!$C$36</f>
        <v>23.693104133241789</v>
      </c>
      <c r="J10" s="296">
        <f>(C10*G10*H10*I10)/(E10*F10)</f>
        <v>3.9863184909651505E-3</v>
      </c>
    </row>
    <row r="11" spans="1:10" x14ac:dyDescent="0.25">
      <c r="A11" s="4" t="s">
        <v>233</v>
      </c>
      <c r="B11" s="42" t="s">
        <v>339</v>
      </c>
      <c r="C11" s="295">
        <f>'Pallet Inputs L'!$F$27</f>
        <v>1</v>
      </c>
      <c r="D11" s="179" t="s">
        <v>279</v>
      </c>
      <c r="E11" s="26">
        <f>'Other Inputs'!$G$16</f>
        <v>8651.6570532899004</v>
      </c>
      <c r="F11" s="26">
        <f>Productivity!$C$27</f>
        <v>55.582256364514194</v>
      </c>
      <c r="G11" s="286">
        <f>'Other Inputs'!$G$6</f>
        <v>48.808840866562093</v>
      </c>
      <c r="H11" s="26">
        <f>'Piggyback Factors'!$D$43</f>
        <v>1.386023903258889</v>
      </c>
      <c r="I11" s="304">
        <f>'Entry Profile L&amp;F'!$C$36</f>
        <v>23.693104133241789</v>
      </c>
      <c r="J11" s="299">
        <f t="shared" ref="J11" si="0">(C11*G11*H11*I11)/(E11*F11)</f>
        <v>3.3331565232913255E-3</v>
      </c>
    </row>
    <row r="12" spans="1:10" x14ac:dyDescent="0.25">
      <c r="B12" s="42"/>
      <c r="C12" s="295"/>
      <c r="D12" s="179"/>
      <c r="J12" s="296">
        <f>SUM(J10:J11)</f>
        <v>7.319475014256476E-3</v>
      </c>
    </row>
    <row r="13" spans="1:10" x14ac:dyDescent="0.25">
      <c r="B13" s="42"/>
      <c r="C13" s="295"/>
      <c r="D13" s="179"/>
      <c r="J13" s="296"/>
    </row>
    <row r="14" spans="1:10" x14ac:dyDescent="0.25">
      <c r="A14" s="4" t="s">
        <v>233</v>
      </c>
      <c r="B14" s="42" t="s">
        <v>342</v>
      </c>
      <c r="C14" s="295">
        <f>'Pallet Inputs F'!$F$27</f>
        <v>1</v>
      </c>
      <c r="D14" s="179" t="s">
        <v>280</v>
      </c>
      <c r="E14" s="26">
        <f>'Other Inputs'!$G$17</f>
        <v>4487.1819257843872</v>
      </c>
      <c r="F14" s="26">
        <f>Productivity!$C$22</f>
        <v>46.475052307166727</v>
      </c>
      <c r="G14" s="286">
        <f>'Other Inputs'!$G$7</f>
        <v>48.864673122693652</v>
      </c>
      <c r="H14" s="26">
        <f>'Piggyback Factors'!$D$43</f>
        <v>1.386023903258889</v>
      </c>
      <c r="I14" s="304">
        <f>'Entry Profile L&amp;F'!$G$36</f>
        <v>5.4001499373527126</v>
      </c>
      <c r="J14" s="296">
        <f>(C14*G14*H14*I14)/(E14*F14)</f>
        <v>1.753791542946167E-3</v>
      </c>
    </row>
    <row r="15" spans="1:10" x14ac:dyDescent="0.25">
      <c r="A15" s="4" t="s">
        <v>233</v>
      </c>
      <c r="B15" s="42" t="s">
        <v>339</v>
      </c>
      <c r="C15" s="295">
        <f>'Pallet Inputs F'!$F$27</f>
        <v>1</v>
      </c>
      <c r="D15" s="179" t="s">
        <v>280</v>
      </c>
      <c r="E15" s="26">
        <f>'Other Inputs'!$G$17</f>
        <v>4487.1819257843872</v>
      </c>
      <c r="F15" s="26">
        <f>Productivity!$C$27</f>
        <v>55.582256364514194</v>
      </c>
      <c r="G15" s="286">
        <f>'Other Inputs'!$G$7</f>
        <v>48.864673122693652</v>
      </c>
      <c r="H15" s="26">
        <f>'Piggyback Factors'!$D$43</f>
        <v>1.386023903258889</v>
      </c>
      <c r="I15" s="304">
        <f>'Entry Profile L&amp;F'!$G$36</f>
        <v>5.4001499373527126</v>
      </c>
      <c r="J15" s="299">
        <f t="shared" ref="J15" si="1">(C15*G15*H15*I15)/(E15*F15)</f>
        <v>1.4664311783198359E-3</v>
      </c>
    </row>
    <row r="16" spans="1:10" x14ac:dyDescent="0.25">
      <c r="B16" s="42"/>
      <c r="C16" s="295"/>
      <c r="D16" s="179"/>
      <c r="J16" s="296">
        <f>SUM(J14:J15)</f>
        <v>3.2202227212660027E-3</v>
      </c>
    </row>
    <row r="17" spans="1:10" x14ac:dyDescent="0.25">
      <c r="B17" s="42"/>
      <c r="C17" s="295"/>
      <c r="D17" s="179"/>
      <c r="J17" s="296"/>
    </row>
    <row r="18" spans="1:10" x14ac:dyDescent="0.25">
      <c r="A18" s="4" t="s">
        <v>233</v>
      </c>
      <c r="B18" s="42" t="s">
        <v>342</v>
      </c>
      <c r="C18" s="295">
        <f>'Pallet Inputs P'!$F$27</f>
        <v>1</v>
      </c>
      <c r="D18" s="179" t="s">
        <v>552</v>
      </c>
      <c r="E18" s="26">
        <f>'Entry Profile P'!$C$34</f>
        <v>1150.5803285257321</v>
      </c>
      <c r="F18" s="26">
        <f>Productivity!$C$22</f>
        <v>46.475052307166727</v>
      </c>
      <c r="G18" s="286">
        <f>'Other Inputs'!$G$8</f>
        <v>49.154262813761939</v>
      </c>
      <c r="H18" s="26">
        <f>'Piggyback Factors'!$D$43</f>
        <v>1.386023903258889</v>
      </c>
      <c r="I18" s="2">
        <f>'CS Data By Shape'!$D$6/'CS Data By Shape'!$D$7</f>
        <v>2.3690647586844182</v>
      </c>
      <c r="J18" s="296">
        <f>(C18*G18*H18*I18)/(E18*F18)</f>
        <v>3.0183667485443036E-3</v>
      </c>
    </row>
    <row r="19" spans="1:10" x14ac:dyDescent="0.25">
      <c r="A19" s="4" t="s">
        <v>233</v>
      </c>
      <c r="B19" s="42" t="s">
        <v>339</v>
      </c>
      <c r="C19" s="295">
        <f>'Pallet Inputs P'!$F$27</f>
        <v>1</v>
      </c>
      <c r="D19" s="179" t="s">
        <v>552</v>
      </c>
      <c r="E19" s="26">
        <f>'Entry Profile P'!$C$34</f>
        <v>1150.5803285257321</v>
      </c>
      <c r="F19" s="26">
        <f>Productivity!$C$27</f>
        <v>55.582256364514194</v>
      </c>
      <c r="G19" s="286">
        <f>'Other Inputs'!$G$8</f>
        <v>49.154262813761939</v>
      </c>
      <c r="H19" s="26">
        <f>'Piggyback Factors'!$D$43</f>
        <v>1.386023903258889</v>
      </c>
      <c r="I19" s="2">
        <f>'CS Data By Shape'!$D$6/'CS Data By Shape'!$D$7</f>
        <v>2.3690647586844182</v>
      </c>
      <c r="J19" s="299">
        <f t="shared" ref="J19" si="2">(C19*G19*H19*I19)/(E19*F19)</f>
        <v>2.5238045681493511E-3</v>
      </c>
    </row>
    <row r="20" spans="1:10" x14ac:dyDescent="0.25">
      <c r="B20" s="42"/>
      <c r="C20" s="295"/>
      <c r="J20" s="296">
        <f>SUM(J18:J19)</f>
        <v>5.5421713166936542E-3</v>
      </c>
    </row>
    <row r="23" spans="1:10" x14ac:dyDescent="0.25">
      <c r="A23" s="25" t="s">
        <v>325</v>
      </c>
    </row>
    <row r="24" spans="1:10" x14ac:dyDescent="0.25">
      <c r="A24" s="4" t="s">
        <v>501</v>
      </c>
    </row>
    <row r="25" spans="1:10" x14ac:dyDescent="0.25">
      <c r="A25" s="4" t="s">
        <v>356</v>
      </c>
      <c r="B25"/>
      <c r="C25" s="297"/>
      <c r="D25"/>
      <c r="E25"/>
      <c r="F25"/>
      <c r="G25"/>
      <c r="H25"/>
      <c r="I25"/>
      <c r="J25"/>
    </row>
    <row r="26" spans="1:10" x14ac:dyDescent="0.25">
      <c r="A26" s="4" t="s">
        <v>585</v>
      </c>
      <c r="B26"/>
      <c r="C26" s="297"/>
      <c r="D26"/>
      <c r="E26"/>
      <c r="F26"/>
      <c r="G26"/>
      <c r="H26"/>
      <c r="I26"/>
      <c r="J26"/>
    </row>
    <row r="27" spans="1:10" x14ac:dyDescent="0.25">
      <c r="A27" s="4" t="s">
        <v>502</v>
      </c>
      <c r="B27"/>
      <c r="C27" s="297"/>
      <c r="D27"/>
      <c r="E27"/>
      <c r="F27"/>
      <c r="G27"/>
      <c r="H27"/>
      <c r="I27"/>
      <c r="J27"/>
    </row>
    <row r="28" spans="1:10" x14ac:dyDescent="0.25">
      <c r="A28" s="4" t="s">
        <v>503</v>
      </c>
      <c r="B28"/>
      <c r="C28" s="297"/>
      <c r="D28"/>
      <c r="E28"/>
      <c r="F28"/>
      <c r="G28"/>
      <c r="H28"/>
      <c r="I28"/>
      <c r="J28"/>
    </row>
    <row r="29" spans="1:10" x14ac:dyDescent="0.25">
      <c r="A29" s="4" t="s">
        <v>504</v>
      </c>
      <c r="B29"/>
      <c r="C29" s="297"/>
      <c r="D29"/>
      <c r="E29"/>
      <c r="F29"/>
      <c r="G29"/>
      <c r="H29"/>
      <c r="I29"/>
      <c r="J29"/>
    </row>
    <row r="30" spans="1:10" x14ac:dyDescent="0.25">
      <c r="A30" s="4" t="s">
        <v>505</v>
      </c>
      <c r="B30"/>
      <c r="C30" s="297"/>
      <c r="D30"/>
      <c r="E30"/>
      <c r="F30"/>
      <c r="G30"/>
      <c r="H30"/>
      <c r="I30"/>
      <c r="J30"/>
    </row>
    <row r="31" spans="1:10" x14ac:dyDescent="0.25">
      <c r="A31" s="4" t="s">
        <v>410</v>
      </c>
      <c r="B31"/>
    </row>
  </sheetData>
  <printOptions horizontalCentered="1"/>
  <pageMargins left="0.7" right="0.7" top="0.75" bottom="0.75" header="0.3" footer="0.3"/>
  <pageSetup scale="69" orientation="portrait" r:id="rId1"/>
  <headerFooter>
    <oddHeader>&amp;RPage 20 of 42</oddHeader>
    <oddFooter>&amp;R&amp;F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K37"/>
  <sheetViews>
    <sheetView zoomScale="75" zoomScaleNormal="75" workbookViewId="0">
      <selection activeCell="Q16" sqref="Q16"/>
    </sheetView>
  </sheetViews>
  <sheetFormatPr defaultColWidth="9.33203125" defaultRowHeight="13.2" x14ac:dyDescent="0.25"/>
  <cols>
    <col min="1" max="1" width="15.6640625" style="4" customWidth="1"/>
    <col min="2" max="2" width="30.6640625" style="4" customWidth="1"/>
    <col min="3" max="3" width="12.6640625" style="287" customWidth="1"/>
    <col min="4" max="7" width="12.6640625" style="26" customWidth="1"/>
    <col min="8" max="8" width="12.6640625" style="286" customWidth="1"/>
    <col min="9" max="9" width="12.6640625" style="26" customWidth="1"/>
    <col min="10" max="10" width="12.6640625" style="2" customWidth="1"/>
    <col min="11" max="11" width="12.6640625" style="296" customWidth="1"/>
  </cols>
  <sheetData>
    <row r="1" spans="1:11" ht="15.6" x14ac:dyDescent="0.3">
      <c r="A1" s="39" t="s">
        <v>428</v>
      </c>
      <c r="B1" s="39"/>
      <c r="C1" s="285"/>
    </row>
    <row r="4" spans="1:11" x14ac:dyDescent="0.25">
      <c r="C4" s="178" t="s">
        <v>133</v>
      </c>
      <c r="D4" s="178" t="s">
        <v>117</v>
      </c>
      <c r="E4" s="178" t="s">
        <v>118</v>
      </c>
      <c r="F4" s="288" t="s">
        <v>119</v>
      </c>
      <c r="G4" s="178" t="s">
        <v>120</v>
      </c>
      <c r="H4" s="289" t="s">
        <v>121</v>
      </c>
      <c r="I4" s="289" t="s">
        <v>204</v>
      </c>
      <c r="J4" s="208" t="s">
        <v>206</v>
      </c>
      <c r="K4" s="208" t="s">
        <v>207</v>
      </c>
    </row>
    <row r="5" spans="1:11" x14ac:dyDescent="0.25">
      <c r="A5" s="171"/>
      <c r="H5" s="288" t="s">
        <v>309</v>
      </c>
      <c r="J5" s="289" t="s">
        <v>227</v>
      </c>
      <c r="K5" s="208" t="s">
        <v>327</v>
      </c>
    </row>
    <row r="6" spans="1:11" s="4" customFormat="1" x14ac:dyDescent="0.25">
      <c r="C6" s="287"/>
      <c r="D6" s="178"/>
      <c r="E6" s="178" t="s">
        <v>336</v>
      </c>
      <c r="F6" s="178" t="s">
        <v>227</v>
      </c>
      <c r="G6" s="178" t="s">
        <v>328</v>
      </c>
      <c r="H6" s="288" t="s">
        <v>329</v>
      </c>
      <c r="I6" s="178" t="s">
        <v>4</v>
      </c>
      <c r="J6" s="289" t="s">
        <v>281</v>
      </c>
      <c r="K6" s="208" t="s">
        <v>281</v>
      </c>
    </row>
    <row r="7" spans="1:11" s="4" customFormat="1" x14ac:dyDescent="0.25">
      <c r="A7" s="4" t="s">
        <v>30</v>
      </c>
      <c r="B7" s="4" t="s">
        <v>1</v>
      </c>
      <c r="C7" s="287" t="s">
        <v>2</v>
      </c>
      <c r="D7" s="178" t="s">
        <v>226</v>
      </c>
      <c r="E7" s="178" t="s">
        <v>31</v>
      </c>
      <c r="F7" s="178" t="s">
        <v>3</v>
      </c>
      <c r="G7" s="178" t="s">
        <v>330</v>
      </c>
      <c r="H7" s="288" t="s">
        <v>331</v>
      </c>
      <c r="I7" s="178" t="s">
        <v>35</v>
      </c>
      <c r="J7" s="289" t="s">
        <v>184</v>
      </c>
      <c r="K7" s="208" t="s">
        <v>184</v>
      </c>
    </row>
    <row r="8" spans="1:11" x14ac:dyDescent="0.25">
      <c r="A8" s="172"/>
      <c r="B8" s="172"/>
      <c r="C8" s="290"/>
      <c r="D8" s="291"/>
      <c r="E8" s="291"/>
      <c r="F8" s="291"/>
      <c r="G8" s="291"/>
      <c r="H8" s="292"/>
      <c r="I8" s="291"/>
      <c r="J8" s="293"/>
      <c r="K8" s="298"/>
    </row>
    <row r="10" spans="1:11" x14ac:dyDescent="0.25">
      <c r="A10" s="4" t="s">
        <v>229</v>
      </c>
      <c r="B10" s="42" t="s">
        <v>340</v>
      </c>
      <c r="C10" s="295">
        <f>'Sack Inputs F'!$F$49+'Sack Inputs F'!$F$51</f>
        <v>0.42562066021738876</v>
      </c>
      <c r="D10" s="179" t="s">
        <v>280</v>
      </c>
      <c r="E10" s="26">
        <f>'Entry Profile P'!$B$39</f>
        <v>14.820735156910017</v>
      </c>
      <c r="F10" s="26">
        <f>'Other Inputs'!$G$14</f>
        <v>150.62975935817227</v>
      </c>
      <c r="G10" s="26">
        <f>Productivity!$C$21</f>
        <v>55.996737364805647</v>
      </c>
      <c r="H10" s="286">
        <f>'Other Inputs'!$G$7</f>
        <v>48.864673122693652</v>
      </c>
      <c r="I10" s="26">
        <f>'Piggyback Factors'!$D$43</f>
        <v>1.386023903258889</v>
      </c>
      <c r="J10" s="2">
        <f>('Entry Profile L&amp;F'!$H$23+'Entry Profile L&amp;F'!$H$24)/('Entry Profile L&amp;F'!$H$37+'Entry Profile L&amp;F'!$H$38)</f>
        <v>13.569133366202736</v>
      </c>
      <c r="K10" s="296">
        <f>(C10*H10*I10*J10)/(E10*F10*G10)</f>
        <v>3.1289403047816402E-3</v>
      </c>
    </row>
    <row r="11" spans="1:11" x14ac:dyDescent="0.25">
      <c r="A11" s="4" t="s">
        <v>229</v>
      </c>
      <c r="B11" s="42" t="s">
        <v>411</v>
      </c>
      <c r="C11" s="295">
        <f>'Sack Inputs F'!$F$50</f>
        <v>0.57437933978261113</v>
      </c>
      <c r="D11" s="179" t="s">
        <v>280</v>
      </c>
      <c r="E11" s="26">
        <f>'Entry Profile P'!$B$42</f>
        <v>30.886231220748158</v>
      </c>
      <c r="F11" s="26">
        <f>'Other Inputs'!$G$14</f>
        <v>150.62975935817227</v>
      </c>
      <c r="G11" s="26">
        <f>Productivity!$C$23</f>
        <v>53.146449685685347</v>
      </c>
      <c r="H11" s="286">
        <f>'Other Inputs'!$G$7</f>
        <v>48.864673122693652</v>
      </c>
      <c r="I11" s="26">
        <f>'Piggyback Factors'!$D$43</f>
        <v>1.386023903258889</v>
      </c>
      <c r="J11" s="2">
        <f>('Entry Profile L&amp;F'!$H$23+'Entry Profile L&amp;F'!$H$24)/('Entry Profile L&amp;F'!$H$37+'Entry Profile L&amp;F'!$H$38)</f>
        <v>13.569133366202736</v>
      </c>
      <c r="K11" s="296">
        <f t="shared" ref="K11:K14" si="0">(C11*H11*I11*J11)/(E11*F11*G11)</f>
        <v>2.1348466322399957E-3</v>
      </c>
    </row>
    <row r="12" spans="1:11" x14ac:dyDescent="0.25">
      <c r="A12" s="4" t="s">
        <v>229</v>
      </c>
      <c r="B12" s="42" t="s">
        <v>344</v>
      </c>
      <c r="C12" s="295">
        <f>C10</f>
        <v>0.42562066021738876</v>
      </c>
      <c r="D12" s="179" t="s">
        <v>280</v>
      </c>
      <c r="E12" s="26">
        <f>'Entry Profile P'!$B$39</f>
        <v>14.820735156910017</v>
      </c>
      <c r="F12" s="26">
        <f>'Other Inputs'!$G$14</f>
        <v>150.62975935817227</v>
      </c>
      <c r="G12" s="26">
        <f>Productivity!$C$24</f>
        <v>23.065925296264197</v>
      </c>
      <c r="H12" s="286">
        <f>'Other Inputs'!$G$7</f>
        <v>48.864673122693652</v>
      </c>
      <c r="I12" s="26">
        <f>'Piggyback Factors'!$D$42</f>
        <v>1.51761435929636</v>
      </c>
      <c r="J12" s="2">
        <f>('Entry Profile L&amp;F'!$H$23+'Entry Profile L&amp;F'!$H$24)/('Entry Profile L&amp;F'!$H$37+'Entry Profile L&amp;F'!$H$38)</f>
        <v>13.569133366202736</v>
      </c>
      <c r="K12" s="296">
        <f t="shared" si="0"/>
        <v>8.317251366504734E-3</v>
      </c>
    </row>
    <row r="13" spans="1:11" x14ac:dyDescent="0.25">
      <c r="A13" s="4" t="s">
        <v>229</v>
      </c>
      <c r="B13" s="42" t="s">
        <v>412</v>
      </c>
      <c r="C13" s="295">
        <f>C11</f>
        <v>0.57437933978261113</v>
      </c>
      <c r="D13" s="179" t="s">
        <v>280</v>
      </c>
      <c r="E13" s="26">
        <f>'Entry Profile P'!$B$42</f>
        <v>30.886231220748158</v>
      </c>
      <c r="F13" s="26">
        <f>'Other Inputs'!$G$14</f>
        <v>150.62975935817227</v>
      </c>
      <c r="G13" s="26">
        <f>Productivity!$C$25</f>
        <v>16.646694338879648</v>
      </c>
      <c r="H13" s="286">
        <f>'Other Inputs'!$G$7</f>
        <v>48.864673122693652</v>
      </c>
      <c r="I13" s="26">
        <f>'Piggyback Factors'!$D$42</f>
        <v>1.51761435929636</v>
      </c>
      <c r="J13" s="2">
        <f>('Entry Profile L&amp;F'!$H$23+'Entry Profile L&amp;F'!$H$24)/('Entry Profile L&amp;F'!$H$37+'Entry Profile L&amp;F'!$H$38)</f>
        <v>13.569133366202736</v>
      </c>
      <c r="K13" s="296">
        <f t="shared" si="0"/>
        <v>7.4628315737217295E-3</v>
      </c>
    </row>
    <row r="14" spans="1:11" s="42" customFormat="1" x14ac:dyDescent="0.25">
      <c r="A14" s="4" t="s">
        <v>229</v>
      </c>
      <c r="B14" s="42" t="s">
        <v>332</v>
      </c>
      <c r="C14" s="295">
        <f>C12+C13</f>
        <v>0.99999999999999989</v>
      </c>
      <c r="D14" s="179" t="s">
        <v>280</v>
      </c>
      <c r="E14" s="26">
        <v>1</v>
      </c>
      <c r="F14" s="26">
        <f>'Other Inputs'!$G$14</f>
        <v>150.62975935817227</v>
      </c>
      <c r="G14" s="179">
        <f>Productivity!$C$13</f>
        <v>3068.1109131264348</v>
      </c>
      <c r="H14" s="286">
        <f>'Other Inputs'!$G$7</f>
        <v>48.864673122693652</v>
      </c>
      <c r="I14" s="179">
        <f>'Piggyback Factors'!$D$46</f>
        <v>1.6196174573049362</v>
      </c>
      <c r="J14" s="2">
        <f>('Entry Profile L&amp;F'!$H$23+'Entry Profile L&amp;F'!$H$24)/('Entry Profile L&amp;F'!$H$37+'Entry Profile L&amp;F'!$H$38)</f>
        <v>13.569133366202736</v>
      </c>
      <c r="K14" s="296">
        <f t="shared" si="0"/>
        <v>2.3236874930552646E-3</v>
      </c>
    </row>
    <row r="15" spans="1:11" s="42" customFormat="1" x14ac:dyDescent="0.25">
      <c r="A15" s="4" t="s">
        <v>229</v>
      </c>
      <c r="B15" s="42" t="s">
        <v>333</v>
      </c>
      <c r="C15" s="295">
        <f>C14</f>
        <v>0.99999999999999989</v>
      </c>
      <c r="D15" s="179" t="s">
        <v>280</v>
      </c>
      <c r="E15" s="26">
        <f>'Entry Profile P'!$B$39</f>
        <v>14.820735156910017</v>
      </c>
      <c r="F15" s="26">
        <f>'Other Inputs'!$G$14</f>
        <v>150.62975935817227</v>
      </c>
      <c r="G15" s="179">
        <f>Productivity!$C$26</f>
        <v>70.608822220868689</v>
      </c>
      <c r="H15" s="286">
        <f>'Other Inputs'!$G$7</f>
        <v>48.864673122693652</v>
      </c>
      <c r="I15" s="26">
        <f>'Piggyback Factors'!$D$43</f>
        <v>1.386023903258889</v>
      </c>
      <c r="J15" s="2">
        <f>('Entry Profile L&amp;F'!$H$23+'Entry Profile L&amp;F'!$H$24)/('Entry Profile L&amp;F'!$H$37+'Entry Profile L&amp;F'!$H$38)</f>
        <v>13.569133366202736</v>
      </c>
      <c r="K15" s="299">
        <f t="shared" ref="K15" si="1">(C15*H15*I15*J15)/(E15*F15*G15)</f>
        <v>5.8301312630459866E-3</v>
      </c>
    </row>
    <row r="16" spans="1:11" s="42" customFormat="1" x14ac:dyDescent="0.25">
      <c r="C16" s="295"/>
      <c r="D16" s="179"/>
      <c r="E16" s="179"/>
      <c r="F16" s="179"/>
      <c r="G16" s="179"/>
      <c r="H16" s="300"/>
      <c r="I16" s="179"/>
      <c r="J16" s="301"/>
      <c r="K16" s="302">
        <f>SUM(K10:K15)</f>
        <v>2.9197688633349352E-2</v>
      </c>
    </row>
    <row r="17" spans="1:11" s="42" customFormat="1" x14ac:dyDescent="0.25">
      <c r="C17" s="295"/>
      <c r="D17" s="179"/>
      <c r="E17" s="179"/>
      <c r="F17" s="179"/>
      <c r="G17" s="179"/>
      <c r="H17" s="300"/>
      <c r="I17" s="179"/>
      <c r="J17" s="301"/>
      <c r="K17" s="302"/>
    </row>
    <row r="18" spans="1:11" s="42" customFormat="1" x14ac:dyDescent="0.25">
      <c r="A18" s="4" t="s">
        <v>229</v>
      </c>
      <c r="B18" s="42" t="s">
        <v>340</v>
      </c>
      <c r="C18" s="295">
        <f>'Sack Inputs P'!$F$49+'Sack Inputs P'!$F$51</f>
        <v>0.5278264597079606</v>
      </c>
      <c r="D18" s="179" t="s">
        <v>552</v>
      </c>
      <c r="E18" s="26">
        <f>'Entry Profile P'!$B$39</f>
        <v>14.820735156910017</v>
      </c>
      <c r="F18" s="26">
        <f>'Entry Profile P'!$E$31</f>
        <v>48.787027953216125</v>
      </c>
      <c r="G18" s="26">
        <f>Productivity!$C$21</f>
        <v>55.996737364805647</v>
      </c>
      <c r="H18" s="286">
        <f>'Other Inputs'!$G$8</f>
        <v>49.154262813761939</v>
      </c>
      <c r="I18" s="26">
        <f>'Piggyback Factors'!$D$43</f>
        <v>1.386023903258889</v>
      </c>
      <c r="J18" s="2">
        <f>'CS Data By Shape'!$D$6/'CS Data By Shape'!$D$7</f>
        <v>2.3690647586844182</v>
      </c>
      <c r="K18" s="296">
        <f>(C18*H18*I18*J18)/(E18*F18*G18)</f>
        <v>2.1040844396316163E-3</v>
      </c>
    </row>
    <row r="19" spans="1:11" s="42" customFormat="1" x14ac:dyDescent="0.25">
      <c r="A19" s="4" t="s">
        <v>229</v>
      </c>
      <c r="B19" s="42" t="s">
        <v>411</v>
      </c>
      <c r="C19" s="295">
        <f>'Sack Inputs P'!$F$50</f>
        <v>0.47217354029203945</v>
      </c>
      <c r="D19" s="179" t="s">
        <v>552</v>
      </c>
      <c r="E19" s="26">
        <f>'Entry Profile P'!$B$42</f>
        <v>30.886231220748158</v>
      </c>
      <c r="F19" s="26">
        <f>'Entry Profile P'!$E$31</f>
        <v>48.787027953216125</v>
      </c>
      <c r="G19" s="26">
        <f>Productivity!$C$23</f>
        <v>53.146449685685347</v>
      </c>
      <c r="H19" s="286">
        <f>'Other Inputs'!$G$8</f>
        <v>49.154262813761939</v>
      </c>
      <c r="I19" s="26">
        <f>'Piggyback Factors'!$D$43</f>
        <v>1.386023903258889</v>
      </c>
      <c r="J19" s="2">
        <f>'CS Data By Shape'!$D$6/'CS Data By Shape'!$D$7</f>
        <v>2.3690647586844182</v>
      </c>
      <c r="K19" s="296">
        <f t="shared" ref="K19:K23" si="2">(C19*H19*I19*J19)/(E19*F19*G19)</f>
        <v>9.5162742098199614E-4</v>
      </c>
    </row>
    <row r="20" spans="1:11" s="42" customFormat="1" x14ac:dyDescent="0.25">
      <c r="A20" s="4" t="s">
        <v>229</v>
      </c>
      <c r="B20" s="42" t="s">
        <v>344</v>
      </c>
      <c r="C20" s="295">
        <f>C18</f>
        <v>0.5278264597079606</v>
      </c>
      <c r="D20" s="179" t="s">
        <v>552</v>
      </c>
      <c r="E20" s="26">
        <f>'Entry Profile P'!$B$39</f>
        <v>14.820735156910017</v>
      </c>
      <c r="F20" s="26">
        <f>'Entry Profile P'!$E$31</f>
        <v>48.787027953216125</v>
      </c>
      <c r="G20" s="26">
        <f>Productivity!$C$24</f>
        <v>23.065925296264197</v>
      </c>
      <c r="H20" s="286">
        <f>'Other Inputs'!$G$8</f>
        <v>49.154262813761939</v>
      </c>
      <c r="I20" s="26">
        <f>'Piggyback Factors'!$D$42</f>
        <v>1.51761435929636</v>
      </c>
      <c r="J20" s="2">
        <f>'CS Data By Shape'!$D$6/'CS Data By Shape'!$D$7</f>
        <v>2.3690647586844182</v>
      </c>
      <c r="K20" s="296">
        <f t="shared" si="2"/>
        <v>5.5930115234297173E-3</v>
      </c>
    </row>
    <row r="21" spans="1:11" s="42" customFormat="1" x14ac:dyDescent="0.25">
      <c r="A21" s="4" t="s">
        <v>229</v>
      </c>
      <c r="B21" s="42" t="s">
        <v>412</v>
      </c>
      <c r="C21" s="295">
        <f>C19</f>
        <v>0.47217354029203945</v>
      </c>
      <c r="D21" s="179" t="s">
        <v>552</v>
      </c>
      <c r="E21" s="26">
        <f>'Entry Profile P'!$B$42</f>
        <v>30.886231220748158</v>
      </c>
      <c r="F21" s="26">
        <f>'Entry Profile P'!$E$31</f>
        <v>48.787027953216125</v>
      </c>
      <c r="G21" s="26">
        <f>Productivity!$C$25</f>
        <v>16.646694338879648</v>
      </c>
      <c r="H21" s="286">
        <f>'Other Inputs'!$G$8</f>
        <v>49.154262813761939</v>
      </c>
      <c r="I21" s="26">
        <f>'Piggyback Factors'!$D$42</f>
        <v>1.51761435929636</v>
      </c>
      <c r="J21" s="2">
        <f>'CS Data By Shape'!$D$6/'CS Data By Shape'!$D$7</f>
        <v>2.3690647586844182</v>
      </c>
      <c r="K21" s="296">
        <f t="shared" si="2"/>
        <v>3.3266254617420432E-3</v>
      </c>
    </row>
    <row r="22" spans="1:11" s="42" customFormat="1" x14ac:dyDescent="0.25">
      <c r="A22" s="4" t="s">
        <v>229</v>
      </c>
      <c r="B22" s="42" t="s">
        <v>332</v>
      </c>
      <c r="C22" s="295">
        <f>C20+C21</f>
        <v>1</v>
      </c>
      <c r="D22" s="179" t="s">
        <v>552</v>
      </c>
      <c r="E22" s="26">
        <v>1</v>
      </c>
      <c r="F22" s="26">
        <f>'Entry Profile P'!$E$31</f>
        <v>48.787027953216125</v>
      </c>
      <c r="G22" s="179">
        <f>Productivity!$C$13</f>
        <v>3068.1109131264348</v>
      </c>
      <c r="H22" s="286">
        <f>'Other Inputs'!$G$8</f>
        <v>49.154262813761939</v>
      </c>
      <c r="I22" s="179">
        <f>'Piggyback Factors'!$D$46</f>
        <v>1.6196174573049362</v>
      </c>
      <c r="J22" s="2">
        <f>'CS Data By Shape'!$D$6/'CS Data By Shape'!$D$7</f>
        <v>2.3690647586844182</v>
      </c>
      <c r="K22" s="296">
        <f t="shared" si="2"/>
        <v>1.2600133633623584E-3</v>
      </c>
    </row>
    <row r="23" spans="1:11" s="42" customFormat="1" x14ac:dyDescent="0.25">
      <c r="A23" s="4" t="s">
        <v>229</v>
      </c>
      <c r="B23" s="42" t="s">
        <v>333</v>
      </c>
      <c r="C23" s="295">
        <f>C22</f>
        <v>1</v>
      </c>
      <c r="D23" s="179" t="s">
        <v>552</v>
      </c>
      <c r="E23" s="26">
        <f>'Entry Profile P'!$B$39</f>
        <v>14.820735156910017</v>
      </c>
      <c r="F23" s="26">
        <f>'Entry Profile P'!$E$31</f>
        <v>48.787027953216125</v>
      </c>
      <c r="G23" s="179">
        <f>Productivity!$C$26</f>
        <v>70.608822220868689</v>
      </c>
      <c r="H23" s="286">
        <f>'Other Inputs'!$G$8</f>
        <v>49.154262813761939</v>
      </c>
      <c r="I23" s="26">
        <f>'Piggyback Factors'!$D$43</f>
        <v>1.386023903258889</v>
      </c>
      <c r="J23" s="2">
        <f>'CS Data By Shape'!$D$6/'CS Data By Shape'!$D$7</f>
        <v>2.3690647586844182</v>
      </c>
      <c r="K23" s="299">
        <f t="shared" si="2"/>
        <v>3.1613731724035648E-3</v>
      </c>
    </row>
    <row r="24" spans="1:11" s="42" customFormat="1" x14ac:dyDescent="0.25">
      <c r="C24" s="295"/>
      <c r="D24" s="179"/>
      <c r="E24" s="179"/>
      <c r="F24" s="179"/>
      <c r="G24" s="179"/>
      <c r="H24" s="300"/>
      <c r="I24" s="179"/>
      <c r="J24" s="301"/>
      <c r="K24" s="302">
        <f>SUM(K18:K23)</f>
        <v>1.6396735381551297E-2</v>
      </c>
    </row>
    <row r="25" spans="1:11" s="42" customFormat="1" x14ac:dyDescent="0.25">
      <c r="C25" s="295"/>
      <c r="D25" s="179"/>
      <c r="E25" s="179"/>
      <c r="F25" s="179"/>
      <c r="G25" s="179"/>
      <c r="H25" s="300"/>
      <c r="I25" s="179"/>
      <c r="J25" s="301"/>
      <c r="K25" s="302"/>
    </row>
    <row r="26" spans="1:11" s="42" customFormat="1" x14ac:dyDescent="0.25">
      <c r="C26" s="295"/>
      <c r="D26" s="179"/>
      <c r="E26" s="179"/>
      <c r="F26" s="179"/>
      <c r="G26" s="179"/>
      <c r="H26" s="300"/>
      <c r="I26" s="179"/>
      <c r="J26" s="301"/>
      <c r="K26" s="302"/>
    </row>
    <row r="27" spans="1:11" s="42" customFormat="1" x14ac:dyDescent="0.25">
      <c r="C27" s="295"/>
      <c r="D27" s="179"/>
      <c r="E27" s="179"/>
      <c r="F27" s="179"/>
      <c r="G27" s="179"/>
      <c r="H27" s="300"/>
      <c r="I27" s="179"/>
      <c r="J27" s="301"/>
      <c r="K27" s="302"/>
    </row>
    <row r="28" spans="1:11" x14ac:dyDescent="0.25">
      <c r="A28" s="25" t="s">
        <v>325</v>
      </c>
    </row>
    <row r="29" spans="1:11" x14ac:dyDescent="0.25">
      <c r="A29" s="4" t="s">
        <v>496</v>
      </c>
    </row>
    <row r="30" spans="1:11" x14ac:dyDescent="0.25">
      <c r="A30" s="4" t="s">
        <v>356</v>
      </c>
      <c r="B30"/>
      <c r="C30" s="297"/>
      <c r="D30"/>
      <c r="E30"/>
      <c r="F30"/>
      <c r="G30"/>
      <c r="H30"/>
      <c r="I30"/>
      <c r="J30"/>
      <c r="K30" s="303"/>
    </row>
    <row r="31" spans="1:11" x14ac:dyDescent="0.25">
      <c r="A31" s="4" t="s">
        <v>490</v>
      </c>
      <c r="B31"/>
      <c r="C31" s="297"/>
      <c r="D31"/>
      <c r="E31"/>
      <c r="F31"/>
      <c r="G31"/>
      <c r="H31"/>
      <c r="I31"/>
      <c r="J31"/>
      <c r="K31" s="303"/>
    </row>
    <row r="32" spans="1:11" x14ac:dyDescent="0.25">
      <c r="A32" s="4" t="s">
        <v>491</v>
      </c>
      <c r="B32"/>
      <c r="C32" s="297"/>
      <c r="D32"/>
      <c r="E32"/>
      <c r="F32"/>
      <c r="G32"/>
      <c r="H32"/>
      <c r="I32"/>
      <c r="J32"/>
      <c r="K32" s="303"/>
    </row>
    <row r="33" spans="1:11" x14ac:dyDescent="0.25">
      <c r="A33" s="4" t="s">
        <v>492</v>
      </c>
      <c r="B33"/>
      <c r="C33" s="297"/>
      <c r="D33"/>
      <c r="E33"/>
      <c r="F33"/>
      <c r="G33"/>
      <c r="H33"/>
      <c r="I33"/>
      <c r="J33"/>
      <c r="K33" s="303"/>
    </row>
    <row r="34" spans="1:11" x14ac:dyDescent="0.25">
      <c r="A34" s="4" t="s">
        <v>493</v>
      </c>
      <c r="B34"/>
      <c r="C34" s="297"/>
      <c r="D34"/>
      <c r="E34"/>
      <c r="F34"/>
      <c r="G34"/>
      <c r="H34"/>
      <c r="I34"/>
      <c r="J34"/>
      <c r="K34" s="303"/>
    </row>
    <row r="35" spans="1:11" x14ac:dyDescent="0.25">
      <c r="A35" s="4" t="s">
        <v>494</v>
      </c>
      <c r="B35"/>
      <c r="C35" s="297"/>
      <c r="D35"/>
      <c r="E35"/>
      <c r="F35"/>
      <c r="G35"/>
      <c r="H35"/>
      <c r="I35"/>
      <c r="J35"/>
      <c r="K35" s="303"/>
    </row>
    <row r="36" spans="1:11" x14ac:dyDescent="0.25">
      <c r="A36" s="4" t="s">
        <v>495</v>
      </c>
      <c r="B36"/>
    </row>
    <row r="37" spans="1:11" x14ac:dyDescent="0.25">
      <c r="A37" s="4" t="s">
        <v>357</v>
      </c>
    </row>
  </sheetData>
  <printOptions horizontalCentered="1"/>
  <pageMargins left="0.7" right="0.7" top="0.75" bottom="0.75" header="0.3" footer="0.3"/>
  <pageSetup scale="57" orientation="portrait" r:id="rId1"/>
  <headerFooter>
    <oddHeader>&amp;RPage 21 of 42</oddHeader>
    <oddFooter>&amp;R&amp;F</oddFooter>
  </headerFooter>
  <ignoredErrors>
    <ignoredError sqref="E11:E12 E19:E20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K25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87" customWidth="1"/>
    <col min="4" max="7" width="12.6640625" style="26" customWidth="1"/>
    <col min="8" max="8" width="12.6640625" style="286" customWidth="1"/>
    <col min="9" max="9" width="12.6640625" style="26" customWidth="1"/>
    <col min="10" max="10" width="12.6640625" style="2" customWidth="1"/>
    <col min="11" max="11" width="12.6640625" style="296" customWidth="1"/>
  </cols>
  <sheetData>
    <row r="1" spans="1:11" ht="15.6" x14ac:dyDescent="0.3">
      <c r="A1" s="39" t="s">
        <v>429</v>
      </c>
      <c r="B1" s="39"/>
      <c r="C1" s="285"/>
    </row>
    <row r="4" spans="1:11" x14ac:dyDescent="0.25">
      <c r="C4" s="287" t="s">
        <v>133</v>
      </c>
      <c r="D4" s="178" t="s">
        <v>117</v>
      </c>
      <c r="E4" s="178" t="s">
        <v>118</v>
      </c>
      <c r="F4" s="288" t="s">
        <v>119</v>
      </c>
      <c r="G4" s="178" t="s">
        <v>120</v>
      </c>
      <c r="H4" s="289" t="s">
        <v>121</v>
      </c>
      <c r="I4" s="289" t="s">
        <v>204</v>
      </c>
      <c r="J4" s="208" t="s">
        <v>206</v>
      </c>
      <c r="K4" s="208" t="s">
        <v>207</v>
      </c>
    </row>
    <row r="5" spans="1:11" x14ac:dyDescent="0.25">
      <c r="A5" s="171"/>
      <c r="H5" s="288" t="s">
        <v>309</v>
      </c>
      <c r="J5" s="289" t="s">
        <v>227</v>
      </c>
      <c r="K5" s="208" t="s">
        <v>327</v>
      </c>
    </row>
    <row r="6" spans="1:11" s="4" customFormat="1" x14ac:dyDescent="0.25">
      <c r="C6" s="287"/>
      <c r="D6" s="178"/>
      <c r="E6" s="178" t="s">
        <v>337</v>
      </c>
      <c r="F6" s="178" t="s">
        <v>227</v>
      </c>
      <c r="G6" s="178" t="s">
        <v>328</v>
      </c>
      <c r="H6" s="288" t="s">
        <v>329</v>
      </c>
      <c r="I6" s="178" t="s">
        <v>4</v>
      </c>
      <c r="J6" s="289" t="s">
        <v>281</v>
      </c>
      <c r="K6" s="208" t="s">
        <v>281</v>
      </c>
    </row>
    <row r="7" spans="1:11" s="4" customFormat="1" x14ac:dyDescent="0.25">
      <c r="A7" s="4" t="s">
        <v>30</v>
      </c>
      <c r="B7" s="4" t="s">
        <v>1</v>
      </c>
      <c r="C7" s="287" t="s">
        <v>2</v>
      </c>
      <c r="D7" s="178" t="s">
        <v>226</v>
      </c>
      <c r="E7" s="178" t="s">
        <v>31</v>
      </c>
      <c r="F7" s="178" t="s">
        <v>6</v>
      </c>
      <c r="G7" s="178" t="s">
        <v>330</v>
      </c>
      <c r="H7" s="288" t="s">
        <v>331</v>
      </c>
      <c r="I7" s="178" t="s">
        <v>35</v>
      </c>
      <c r="J7" s="289" t="s">
        <v>184</v>
      </c>
      <c r="K7" s="208" t="s">
        <v>184</v>
      </c>
    </row>
    <row r="8" spans="1:11" x14ac:dyDescent="0.25">
      <c r="A8" s="172"/>
      <c r="B8" s="172"/>
      <c r="C8" s="290"/>
      <c r="D8" s="291"/>
      <c r="E8" s="291"/>
      <c r="F8" s="291"/>
      <c r="G8" s="291"/>
      <c r="H8" s="292"/>
      <c r="I8" s="291"/>
      <c r="J8" s="293"/>
      <c r="K8" s="298"/>
    </row>
    <row r="10" spans="1:11" x14ac:dyDescent="0.25">
      <c r="A10" s="4" t="s">
        <v>229</v>
      </c>
      <c r="B10" s="42" t="s">
        <v>340</v>
      </c>
      <c r="C10" s="295">
        <f>SUM('Tray Inputs L'!$F$48:$F$50)</f>
        <v>1</v>
      </c>
      <c r="D10" s="179" t="s">
        <v>279</v>
      </c>
      <c r="E10" s="26">
        <f>'Other Inputs'!$G$20</f>
        <v>24</v>
      </c>
      <c r="F10" s="26">
        <f>'Other Inputs'!$G$15</f>
        <v>315.12979385479116</v>
      </c>
      <c r="G10" s="26">
        <f>Productivity!$C$21</f>
        <v>55.996737364805647</v>
      </c>
      <c r="H10" s="286">
        <f>'Other Inputs'!$G$6</f>
        <v>48.808840866562093</v>
      </c>
      <c r="I10" s="26">
        <f>'Piggyback Factors'!$D$43</f>
        <v>1.386023903258889</v>
      </c>
      <c r="J10" s="2">
        <f>('Entry Profile L&amp;F'!$D$23+'Entry Profile L&amp;F'!$D$24)/('Entry Profile L&amp;F'!$D$37+'Entry Profile L&amp;F'!$D$38)</f>
        <v>29.040928028351495</v>
      </c>
      <c r="K10" s="296">
        <f>(C10*H10*I10*J10)/(E10*F10*G10)</f>
        <v>4.6389134934716721E-3</v>
      </c>
    </row>
    <row r="11" spans="1:11" s="42" customFormat="1" x14ac:dyDescent="0.25">
      <c r="A11" s="4" t="s">
        <v>229</v>
      </c>
      <c r="B11" s="42" t="s">
        <v>677</v>
      </c>
      <c r="C11" s="295">
        <f>SUM('Tray Inputs L'!$F$48:$F$50)</f>
        <v>1</v>
      </c>
      <c r="D11" s="179" t="s">
        <v>279</v>
      </c>
      <c r="E11" s="26">
        <v>1</v>
      </c>
      <c r="F11" s="26">
        <f>'Other Inputs'!$G$15</f>
        <v>315.12979385479116</v>
      </c>
      <c r="G11" s="179">
        <f>Productivity!$C$11</f>
        <v>66.094724133664315</v>
      </c>
      <c r="H11" s="286">
        <f>'Other Inputs'!$G$6</f>
        <v>48.808840866562093</v>
      </c>
      <c r="I11" s="179">
        <f>'Piggyback Factors'!$D$47</f>
        <v>1.8711128783813997</v>
      </c>
      <c r="J11" s="2">
        <f>('Entry Profile L&amp;F'!$D$23+'Entry Profile L&amp;F'!$D$24)/('Entry Profile L&amp;F'!$D$37+'Entry Profile L&amp;F'!$D$38)</f>
        <v>29.040928028351495</v>
      </c>
      <c r="K11" s="296">
        <f>(C11*H11*I11*J11)/(E11*F11*G11)</f>
        <v>0.1273364425888357</v>
      </c>
    </row>
    <row r="12" spans="1:11" s="42" customFormat="1" x14ac:dyDescent="0.25">
      <c r="A12" s="4" t="s">
        <v>229</v>
      </c>
      <c r="B12" s="42" t="s">
        <v>333</v>
      </c>
      <c r="C12" s="295">
        <f>SUM('Tray Inputs L'!$F$48:$F$50)</f>
        <v>1</v>
      </c>
      <c r="D12" s="179" t="s">
        <v>279</v>
      </c>
      <c r="E12" s="26">
        <f>'Other Inputs'!$G$20</f>
        <v>24</v>
      </c>
      <c r="F12" s="26">
        <f>'Other Inputs'!$G$15</f>
        <v>315.12979385479116</v>
      </c>
      <c r="G12" s="179">
        <f>Productivity!$C$26</f>
        <v>70.608822220868689</v>
      </c>
      <c r="H12" s="286">
        <f>'Other Inputs'!$G$6</f>
        <v>48.808840866562093</v>
      </c>
      <c r="I12" s="26">
        <f>'Piggyback Factors'!$D$43</f>
        <v>1.386023903258889</v>
      </c>
      <c r="J12" s="2">
        <f>('Entry Profile L&amp;F'!$D$23+'Entry Profile L&amp;F'!$D$24)/('Entry Profile L&amp;F'!$D$37+'Entry Profile L&amp;F'!$D$38)</f>
        <v>29.040928028351495</v>
      </c>
      <c r="K12" s="299">
        <f t="shared" ref="K12" si="0">(C12*H12*I12*J12)/(E12*F12*G12)</f>
        <v>3.6789173417937581E-3</v>
      </c>
    </row>
    <row r="13" spans="1:11" s="42" customFormat="1" x14ac:dyDescent="0.25">
      <c r="C13" s="295"/>
      <c r="D13" s="179"/>
      <c r="E13" s="179"/>
      <c r="F13" s="179"/>
      <c r="G13" s="179"/>
      <c r="H13" s="300"/>
      <c r="I13" s="179"/>
      <c r="J13" s="301"/>
      <c r="K13" s="302">
        <f>SUM(K10:K12)</f>
        <v>0.13565427342410113</v>
      </c>
    </row>
    <row r="14" spans="1:11" s="42" customFormat="1" x14ac:dyDescent="0.25">
      <c r="C14" s="295"/>
      <c r="D14" s="179"/>
      <c r="E14" s="179"/>
      <c r="F14" s="179"/>
      <c r="G14" s="179"/>
      <c r="H14" s="300"/>
      <c r="I14" s="179"/>
      <c r="J14" s="301"/>
      <c r="K14" s="302"/>
    </row>
    <row r="15" spans="1:11" s="42" customFormat="1" x14ac:dyDescent="0.25">
      <c r="C15" s="295"/>
      <c r="D15" s="179"/>
      <c r="E15" s="179"/>
      <c r="F15" s="179"/>
      <c r="G15" s="179"/>
      <c r="H15" s="300"/>
      <c r="I15" s="179"/>
      <c r="J15" s="301"/>
      <c r="K15" s="302"/>
    </row>
    <row r="16" spans="1:11" x14ac:dyDescent="0.25">
      <c r="A16" s="25" t="s">
        <v>325</v>
      </c>
    </row>
    <row r="17" spans="1:11" x14ac:dyDescent="0.25">
      <c r="A17" s="4" t="s">
        <v>497</v>
      </c>
    </row>
    <row r="18" spans="1:11" x14ac:dyDescent="0.25">
      <c r="A18" s="4" t="s">
        <v>356</v>
      </c>
      <c r="B18"/>
      <c r="C18" s="297"/>
      <c r="D18"/>
      <c r="E18"/>
      <c r="F18"/>
      <c r="G18"/>
      <c r="H18"/>
      <c r="I18"/>
      <c r="J18"/>
      <c r="K18" s="303"/>
    </row>
    <row r="19" spans="1:11" x14ac:dyDescent="0.25">
      <c r="A19" s="4" t="s">
        <v>498</v>
      </c>
      <c r="B19"/>
      <c r="C19" s="297"/>
      <c r="D19"/>
      <c r="E19"/>
      <c r="F19"/>
      <c r="G19"/>
      <c r="H19"/>
      <c r="I19"/>
      <c r="J19"/>
      <c r="K19" s="303"/>
    </row>
    <row r="20" spans="1:11" x14ac:dyDescent="0.25">
      <c r="A20" s="4" t="s">
        <v>499</v>
      </c>
      <c r="B20"/>
      <c r="C20" s="297"/>
      <c r="D20"/>
      <c r="E20"/>
      <c r="F20"/>
      <c r="G20"/>
      <c r="H20"/>
      <c r="I20"/>
      <c r="J20"/>
      <c r="K20" s="303"/>
    </row>
    <row r="21" spans="1:11" x14ac:dyDescent="0.25">
      <c r="A21" s="4" t="s">
        <v>492</v>
      </c>
      <c r="B21"/>
      <c r="C21" s="297"/>
      <c r="D21"/>
      <c r="E21"/>
      <c r="F21"/>
      <c r="G21"/>
      <c r="H21"/>
      <c r="I21"/>
      <c r="J21"/>
      <c r="K21" s="303"/>
    </row>
    <row r="22" spans="1:11" x14ac:dyDescent="0.25">
      <c r="A22" s="4" t="s">
        <v>493</v>
      </c>
      <c r="B22"/>
      <c r="C22" s="297"/>
      <c r="D22"/>
      <c r="E22"/>
      <c r="F22"/>
      <c r="G22"/>
      <c r="H22"/>
      <c r="I22"/>
      <c r="J22"/>
      <c r="K22" s="303"/>
    </row>
    <row r="23" spans="1:11" x14ac:dyDescent="0.25">
      <c r="A23" s="4" t="s">
        <v>494</v>
      </c>
      <c r="B23"/>
      <c r="C23" s="297"/>
      <c r="D23"/>
      <c r="E23"/>
      <c r="F23"/>
      <c r="G23"/>
      <c r="H23"/>
      <c r="I23"/>
      <c r="J23"/>
      <c r="K23" s="303"/>
    </row>
    <row r="24" spans="1:11" x14ac:dyDescent="0.25">
      <c r="A24" s="4" t="s">
        <v>500</v>
      </c>
      <c r="B24"/>
    </row>
    <row r="25" spans="1:11" x14ac:dyDescent="0.25">
      <c r="A25" s="4" t="s">
        <v>357</v>
      </c>
    </row>
  </sheetData>
  <printOptions horizontalCentered="1"/>
  <pageMargins left="0.7" right="0.7" top="0.75" bottom="0.75" header="0.3" footer="0.3"/>
  <pageSetup scale="63" orientation="portrait" r:id="rId1"/>
  <headerFooter>
    <oddHeader>&amp;RPage 22 of 42</oddHeader>
    <oddFooter>&amp;R&amp;F</oddFooter>
  </headerFooter>
  <ignoredErrors>
    <ignoredError sqref="I11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31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87" customWidth="1"/>
    <col min="4" max="6" width="12.6640625" style="26" customWidth="1"/>
    <col min="7" max="7" width="12.6640625" style="286" customWidth="1"/>
    <col min="8" max="8" width="12.6640625" style="26" customWidth="1"/>
    <col min="9" max="10" width="12.6640625" style="2" customWidth="1"/>
  </cols>
  <sheetData>
    <row r="1" spans="1:10" ht="15.6" x14ac:dyDescent="0.3">
      <c r="A1" s="39" t="s">
        <v>430</v>
      </c>
      <c r="B1" s="39"/>
      <c r="C1" s="285"/>
      <c r="J1" s="296"/>
    </row>
    <row r="2" spans="1:10" x14ac:dyDescent="0.25">
      <c r="J2" s="296"/>
    </row>
    <row r="3" spans="1:10" x14ac:dyDescent="0.25">
      <c r="J3" s="299"/>
    </row>
    <row r="4" spans="1:10" x14ac:dyDescent="0.25">
      <c r="C4" s="287" t="s">
        <v>133</v>
      </c>
      <c r="D4" s="178" t="s">
        <v>117</v>
      </c>
      <c r="E4" s="288" t="s">
        <v>118</v>
      </c>
      <c r="F4" s="178" t="s">
        <v>119</v>
      </c>
      <c r="G4" s="289" t="s">
        <v>120</v>
      </c>
      <c r="H4" s="289" t="s">
        <v>121</v>
      </c>
      <c r="I4" s="289" t="s">
        <v>204</v>
      </c>
      <c r="J4" s="289" t="s">
        <v>206</v>
      </c>
    </row>
    <row r="5" spans="1:10" x14ac:dyDescent="0.25">
      <c r="A5" s="171"/>
      <c r="G5" s="288" t="s">
        <v>309</v>
      </c>
      <c r="I5" s="289" t="s">
        <v>227</v>
      </c>
      <c r="J5" s="289" t="s">
        <v>327</v>
      </c>
    </row>
    <row r="6" spans="1:10" s="4" customFormat="1" x14ac:dyDescent="0.25">
      <c r="C6" s="287"/>
      <c r="D6" s="178"/>
      <c r="E6" s="178" t="s">
        <v>227</v>
      </c>
      <c r="F6" s="178" t="s">
        <v>328</v>
      </c>
      <c r="G6" s="288" t="s">
        <v>329</v>
      </c>
      <c r="H6" s="178" t="s">
        <v>4</v>
      </c>
      <c r="I6" s="289" t="s">
        <v>281</v>
      </c>
      <c r="J6" s="289" t="s">
        <v>281</v>
      </c>
    </row>
    <row r="7" spans="1:10" s="4" customFormat="1" x14ac:dyDescent="0.25">
      <c r="A7" s="4" t="s">
        <v>30</v>
      </c>
      <c r="B7" s="4" t="s">
        <v>1</v>
      </c>
      <c r="C7" s="287" t="s">
        <v>2</v>
      </c>
      <c r="D7" s="178" t="s">
        <v>226</v>
      </c>
      <c r="E7" s="178" t="s">
        <v>8</v>
      </c>
      <c r="F7" s="178" t="s">
        <v>330</v>
      </c>
      <c r="G7" s="288" t="s">
        <v>331</v>
      </c>
      <c r="H7" s="178" t="s">
        <v>35</v>
      </c>
      <c r="I7" s="289" t="s">
        <v>184</v>
      </c>
      <c r="J7" s="289" t="s">
        <v>184</v>
      </c>
    </row>
    <row r="8" spans="1:10" x14ac:dyDescent="0.25">
      <c r="A8" s="172"/>
      <c r="B8" s="172"/>
      <c r="C8" s="290"/>
      <c r="D8" s="291"/>
      <c r="E8" s="291"/>
      <c r="F8" s="291"/>
      <c r="G8" s="292"/>
      <c r="H8" s="291"/>
      <c r="I8" s="293"/>
      <c r="J8" s="294"/>
    </row>
    <row r="10" spans="1:10" x14ac:dyDescent="0.25">
      <c r="A10" s="4" t="s">
        <v>229</v>
      </c>
      <c r="B10" s="42" t="s">
        <v>342</v>
      </c>
      <c r="C10" s="295">
        <f>SUM('Pallet Inputs L'!$F$48:$F$50)</f>
        <v>1</v>
      </c>
      <c r="D10" s="179" t="s">
        <v>279</v>
      </c>
      <c r="E10" s="26">
        <f>'Other Inputs'!$G$16</f>
        <v>8651.6570532899004</v>
      </c>
      <c r="F10" s="26">
        <f>Productivity!$C$22</f>
        <v>46.475052307166727</v>
      </c>
      <c r="G10" s="286">
        <f>'Other Inputs'!$G$6</f>
        <v>48.808840866562093</v>
      </c>
      <c r="H10" s="26">
        <f>'Piggyback Factors'!$D$43</f>
        <v>1.386023903258889</v>
      </c>
      <c r="I10" s="304">
        <f>('Entry Profile L&amp;F'!$B$23+'Entry Profile L&amp;F'!$B$24)/('Entry Profile L&amp;F'!$B$37+'Entry Profile L&amp;F'!$B$38)</f>
        <v>22.603989498937384</v>
      </c>
      <c r="J10" s="296">
        <f>(C10*G10*H10*I10)/(E10*F10)</f>
        <v>3.8030770810978326E-3</v>
      </c>
    </row>
    <row r="11" spans="1:10" x14ac:dyDescent="0.25">
      <c r="A11" s="4" t="s">
        <v>229</v>
      </c>
      <c r="B11" s="42" t="s">
        <v>339</v>
      </c>
      <c r="C11" s="295">
        <f>SUM('Pallet Inputs L'!$F$48:$F$50)</f>
        <v>1</v>
      </c>
      <c r="D11" s="179" t="s">
        <v>279</v>
      </c>
      <c r="E11" s="26">
        <f>'Other Inputs'!$G$16</f>
        <v>8651.6570532899004</v>
      </c>
      <c r="F11" s="26">
        <f>Productivity!$C$27</f>
        <v>55.582256364514194</v>
      </c>
      <c r="G11" s="286">
        <f>'Other Inputs'!$G$6</f>
        <v>48.808840866562093</v>
      </c>
      <c r="H11" s="26">
        <f>'Piggyback Factors'!$D$43</f>
        <v>1.386023903258889</v>
      </c>
      <c r="I11" s="304">
        <f>('Entry Profile L&amp;F'!$B$23+'Entry Profile L&amp;F'!$B$24)/('Entry Profile L&amp;F'!$B$37+'Entry Profile L&amp;F'!$B$38)</f>
        <v>22.603989498937384</v>
      </c>
      <c r="J11" s="299">
        <f t="shared" ref="J11" si="0">(C11*G11*H11*I11)/(E11*F11)</f>
        <v>3.1799393877261057E-3</v>
      </c>
    </row>
    <row r="12" spans="1:10" x14ac:dyDescent="0.25">
      <c r="B12" s="42"/>
      <c r="C12" s="295"/>
      <c r="D12" s="179"/>
      <c r="J12" s="296">
        <f>SUM(J10:J11)</f>
        <v>6.9830164688239379E-3</v>
      </c>
    </row>
    <row r="13" spans="1:10" x14ac:dyDescent="0.25">
      <c r="B13" s="42"/>
      <c r="C13" s="295"/>
      <c r="D13" s="179"/>
      <c r="J13" s="296"/>
    </row>
    <row r="14" spans="1:10" x14ac:dyDescent="0.25">
      <c r="A14" s="4" t="s">
        <v>229</v>
      </c>
      <c r="B14" s="42" t="s">
        <v>342</v>
      </c>
      <c r="C14" s="295">
        <f>SUM('Pallet Inputs F'!$F$48:$F$50)</f>
        <v>0.99999999999999989</v>
      </c>
      <c r="D14" s="179" t="s">
        <v>280</v>
      </c>
      <c r="E14" s="26">
        <f>'Other Inputs'!$G$17</f>
        <v>4487.1819257843872</v>
      </c>
      <c r="F14" s="26">
        <f>Productivity!$C$22</f>
        <v>46.475052307166727</v>
      </c>
      <c r="G14" s="286">
        <f>'Other Inputs'!$G$7</f>
        <v>48.864673122693652</v>
      </c>
      <c r="H14" s="26">
        <f>'Piggyback Factors'!$D$43</f>
        <v>1.386023903258889</v>
      </c>
      <c r="I14" s="304">
        <f>('Entry Profile L&amp;F'!$F$23+'Entry Profile L&amp;F'!$F$24)/('Entry Profile L&amp;F'!$F$37+'Entry Profile L&amp;F'!$F$38)</f>
        <v>4.3587106778409597</v>
      </c>
      <c r="J14" s="296">
        <f>(C14*G14*H14*I14)/(E14*F14)</f>
        <v>1.4155662367949062E-3</v>
      </c>
    </row>
    <row r="15" spans="1:10" x14ac:dyDescent="0.25">
      <c r="A15" s="4" t="s">
        <v>229</v>
      </c>
      <c r="B15" s="42" t="s">
        <v>339</v>
      </c>
      <c r="C15" s="295">
        <f>SUM('Pallet Inputs F'!$F$48:$F$50)</f>
        <v>0.99999999999999989</v>
      </c>
      <c r="D15" s="179" t="s">
        <v>280</v>
      </c>
      <c r="E15" s="26">
        <f>'Other Inputs'!$G$17</f>
        <v>4487.1819257843872</v>
      </c>
      <c r="F15" s="26">
        <f>Productivity!$C$27</f>
        <v>55.582256364514194</v>
      </c>
      <c r="G15" s="286">
        <f>'Other Inputs'!$G$7</f>
        <v>48.864673122693652</v>
      </c>
      <c r="H15" s="26">
        <f>'Piggyback Factors'!$D$43</f>
        <v>1.386023903258889</v>
      </c>
      <c r="I15" s="304">
        <f>('Entry Profile L&amp;F'!$F$23+'Entry Profile L&amp;F'!$F$24)/('Entry Profile L&amp;F'!$F$37+'Entry Profile L&amp;F'!$F$38)</f>
        <v>4.3587106778409597</v>
      </c>
      <c r="J15" s="299">
        <f t="shared" ref="J15" si="1">(C15*G15*H15*I15)/(E15*F15)</f>
        <v>1.1836244010652343E-3</v>
      </c>
    </row>
    <row r="16" spans="1:10" x14ac:dyDescent="0.25">
      <c r="B16" s="42"/>
      <c r="C16" s="295"/>
      <c r="D16" s="179"/>
      <c r="J16" s="296">
        <f>SUM(J14:J15)</f>
        <v>2.5991906378601405E-3</v>
      </c>
    </row>
    <row r="17" spans="1:10" x14ac:dyDescent="0.25">
      <c r="B17" s="42"/>
      <c r="C17" s="295"/>
      <c r="D17" s="179"/>
      <c r="J17" s="296"/>
    </row>
    <row r="18" spans="1:10" x14ac:dyDescent="0.25">
      <c r="A18" s="4" t="s">
        <v>229</v>
      </c>
      <c r="B18" s="42" t="s">
        <v>342</v>
      </c>
      <c r="C18" s="295">
        <f>SUM('Pallet Inputs P'!$F$48:$F$50)</f>
        <v>1</v>
      </c>
      <c r="D18" s="179" t="s">
        <v>552</v>
      </c>
      <c r="E18" s="26">
        <f>'Entry Profile P'!$C$34</f>
        <v>1150.5803285257321</v>
      </c>
      <c r="F18" s="26">
        <f>Productivity!$C$22</f>
        <v>46.475052307166727</v>
      </c>
      <c r="G18" s="286">
        <f>'Other Inputs'!$G$8</f>
        <v>49.154262813761939</v>
      </c>
      <c r="H18" s="26">
        <f>'Piggyback Factors'!$D$43</f>
        <v>1.386023903258889</v>
      </c>
      <c r="I18" s="2">
        <f>'CS Data By Shape'!$D$6/'CS Data By Shape'!$D$7</f>
        <v>2.3690647586844182</v>
      </c>
      <c r="J18" s="296">
        <f>(C18*G18*H18*I18)/(E18*F18)</f>
        <v>3.0183667485443036E-3</v>
      </c>
    </row>
    <row r="19" spans="1:10" x14ac:dyDescent="0.25">
      <c r="A19" s="4" t="s">
        <v>229</v>
      </c>
      <c r="B19" s="42" t="s">
        <v>339</v>
      </c>
      <c r="C19" s="295">
        <f>SUM('Pallet Inputs P'!$F$48:$F$50)</f>
        <v>1</v>
      </c>
      <c r="D19" s="179" t="s">
        <v>552</v>
      </c>
      <c r="E19" s="26">
        <f>'Entry Profile P'!$C$34</f>
        <v>1150.5803285257321</v>
      </c>
      <c r="F19" s="26">
        <f>Productivity!$C$27</f>
        <v>55.582256364514194</v>
      </c>
      <c r="G19" s="286">
        <f>'Other Inputs'!$G$8</f>
        <v>49.154262813761939</v>
      </c>
      <c r="H19" s="26">
        <f>'Piggyback Factors'!$D$43</f>
        <v>1.386023903258889</v>
      </c>
      <c r="I19" s="2">
        <f>'CS Data By Shape'!$D$6/'CS Data By Shape'!$D$7</f>
        <v>2.3690647586844182</v>
      </c>
      <c r="J19" s="299">
        <f t="shared" ref="J19" si="2">(C19*G19*H19*I19)/(E19*F19)</f>
        <v>2.5238045681493511E-3</v>
      </c>
    </row>
    <row r="20" spans="1:10" x14ac:dyDescent="0.25">
      <c r="B20" s="42"/>
      <c r="C20" s="295"/>
      <c r="J20" s="296">
        <f>SUM(J18:J19)</f>
        <v>5.5421713166936542E-3</v>
      </c>
    </row>
    <row r="23" spans="1:10" x14ac:dyDescent="0.25">
      <c r="A23" s="25" t="s">
        <v>325</v>
      </c>
    </row>
    <row r="24" spans="1:10" x14ac:dyDescent="0.25">
      <c r="A24" s="4" t="s">
        <v>501</v>
      </c>
    </row>
    <row r="25" spans="1:10" x14ac:dyDescent="0.25">
      <c r="A25" s="4" t="s">
        <v>356</v>
      </c>
      <c r="B25"/>
      <c r="C25" s="297"/>
      <c r="D25"/>
      <c r="E25"/>
      <c r="F25"/>
      <c r="G25"/>
      <c r="H25"/>
      <c r="I25"/>
      <c r="J25"/>
    </row>
    <row r="26" spans="1:10" x14ac:dyDescent="0.25">
      <c r="A26" s="4" t="s">
        <v>585</v>
      </c>
      <c r="B26"/>
      <c r="C26" s="297"/>
      <c r="D26"/>
      <c r="E26"/>
      <c r="F26"/>
      <c r="G26"/>
      <c r="H26"/>
      <c r="I26"/>
      <c r="J26"/>
    </row>
    <row r="27" spans="1:10" x14ac:dyDescent="0.25">
      <c r="A27" s="4" t="s">
        <v>502</v>
      </c>
      <c r="B27"/>
      <c r="C27" s="297"/>
      <c r="D27"/>
      <c r="E27"/>
      <c r="F27"/>
      <c r="G27"/>
      <c r="H27"/>
      <c r="I27"/>
      <c r="J27"/>
    </row>
    <row r="28" spans="1:10" x14ac:dyDescent="0.25">
      <c r="A28" s="4" t="s">
        <v>503</v>
      </c>
      <c r="B28"/>
      <c r="C28" s="297"/>
      <c r="D28"/>
      <c r="E28"/>
      <c r="F28"/>
      <c r="G28"/>
      <c r="H28"/>
      <c r="I28"/>
      <c r="J28"/>
    </row>
    <row r="29" spans="1:10" x14ac:dyDescent="0.25">
      <c r="A29" s="4" t="s">
        <v>504</v>
      </c>
      <c r="B29"/>
      <c r="C29" s="297"/>
      <c r="D29"/>
      <c r="E29"/>
      <c r="F29"/>
      <c r="G29"/>
      <c r="H29"/>
      <c r="I29"/>
      <c r="J29"/>
    </row>
    <row r="30" spans="1:10" x14ac:dyDescent="0.25">
      <c r="A30" s="4" t="s">
        <v>505</v>
      </c>
      <c r="B30"/>
      <c r="C30" s="297"/>
      <c r="D30"/>
      <c r="E30"/>
      <c r="F30"/>
      <c r="G30"/>
      <c r="H30"/>
      <c r="I30"/>
      <c r="J30"/>
    </row>
    <row r="31" spans="1:10" x14ac:dyDescent="0.25">
      <c r="A31" s="4" t="s">
        <v>410</v>
      </c>
      <c r="B31"/>
    </row>
  </sheetData>
  <printOptions horizontalCentered="1"/>
  <pageMargins left="0.7" right="0.7" top="0.75" bottom="0.75" header="0.3" footer="0.3"/>
  <pageSetup scale="69" orientation="portrait" r:id="rId1"/>
  <headerFooter>
    <oddHeader>&amp;RPage 23 of 42</oddHeader>
    <oddFooter>&amp;R&amp;F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K30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4" customWidth="1"/>
    <col min="4" max="7" width="12.6640625" style="26" customWidth="1"/>
    <col min="8" max="8" width="12.6640625" style="286" customWidth="1"/>
    <col min="9" max="9" width="12.6640625" style="26" customWidth="1"/>
    <col min="10" max="10" width="12.6640625" style="2" customWidth="1"/>
    <col min="11" max="11" width="12.6640625" style="296" customWidth="1"/>
  </cols>
  <sheetData>
    <row r="1" spans="1:11" ht="15.6" x14ac:dyDescent="0.3">
      <c r="A1" s="39" t="s">
        <v>427</v>
      </c>
      <c r="B1" s="39"/>
      <c r="C1" s="8"/>
    </row>
    <row r="4" spans="1:11" x14ac:dyDescent="0.25">
      <c r="C4" s="178" t="s">
        <v>133</v>
      </c>
      <c r="D4" s="178" t="s">
        <v>117</v>
      </c>
      <c r="E4" s="178" t="s">
        <v>118</v>
      </c>
      <c r="F4" s="288" t="s">
        <v>119</v>
      </c>
      <c r="G4" s="178" t="s">
        <v>120</v>
      </c>
      <c r="H4" s="289" t="s">
        <v>121</v>
      </c>
      <c r="I4" s="289" t="s">
        <v>204</v>
      </c>
      <c r="J4" s="208" t="s">
        <v>206</v>
      </c>
      <c r="K4" s="208" t="s">
        <v>207</v>
      </c>
    </row>
    <row r="5" spans="1:11" x14ac:dyDescent="0.25">
      <c r="A5" s="171"/>
      <c r="H5" s="288" t="s">
        <v>309</v>
      </c>
      <c r="J5" s="289" t="s">
        <v>227</v>
      </c>
      <c r="K5" s="208" t="s">
        <v>327</v>
      </c>
    </row>
    <row r="6" spans="1:11" s="4" customFormat="1" x14ac:dyDescent="0.25">
      <c r="C6" s="24"/>
      <c r="D6" s="178"/>
      <c r="E6" s="178" t="s">
        <v>336</v>
      </c>
      <c r="F6" s="178" t="s">
        <v>227</v>
      </c>
      <c r="G6" s="178" t="s">
        <v>328</v>
      </c>
      <c r="H6" s="288" t="s">
        <v>329</v>
      </c>
      <c r="I6" s="178" t="s">
        <v>4</v>
      </c>
      <c r="J6" s="289" t="s">
        <v>281</v>
      </c>
      <c r="K6" s="208" t="s">
        <v>281</v>
      </c>
    </row>
    <row r="7" spans="1:11" s="4" customFormat="1" x14ac:dyDescent="0.25">
      <c r="A7" s="4" t="s">
        <v>30</v>
      </c>
      <c r="B7" s="4" t="s">
        <v>1</v>
      </c>
      <c r="C7" s="24" t="s">
        <v>2</v>
      </c>
      <c r="D7" s="178" t="s">
        <v>226</v>
      </c>
      <c r="E7" s="178" t="s">
        <v>31</v>
      </c>
      <c r="F7" s="178" t="s">
        <v>3</v>
      </c>
      <c r="G7" s="178" t="s">
        <v>330</v>
      </c>
      <c r="H7" s="288" t="s">
        <v>331</v>
      </c>
      <c r="I7" s="178" t="s">
        <v>35</v>
      </c>
      <c r="J7" s="289" t="s">
        <v>184</v>
      </c>
      <c r="K7" s="208" t="s">
        <v>184</v>
      </c>
    </row>
    <row r="8" spans="1:11" x14ac:dyDescent="0.25">
      <c r="A8" s="172"/>
      <c r="B8" s="172"/>
      <c r="C8" s="175"/>
      <c r="D8" s="291"/>
      <c r="E8" s="291"/>
      <c r="F8" s="291"/>
      <c r="G8" s="291"/>
      <c r="H8" s="292"/>
      <c r="I8" s="291"/>
      <c r="J8" s="293"/>
      <c r="K8" s="298"/>
    </row>
    <row r="10" spans="1:11" x14ac:dyDescent="0.25">
      <c r="A10" s="4" t="s">
        <v>15</v>
      </c>
      <c r="B10" s="42" t="s">
        <v>340</v>
      </c>
      <c r="C10" s="295">
        <f>'Sack Inputs F'!$F$54+'Sack Inputs F'!$F$55+'Sack Inputs F'!$F$56</f>
        <v>1</v>
      </c>
      <c r="D10" s="179" t="s">
        <v>280</v>
      </c>
      <c r="E10" s="26">
        <f>'Entry Profile P'!$B$39</f>
        <v>14.820735156910017</v>
      </c>
      <c r="F10" s="26">
        <f>'Other Inputs'!$G$14</f>
        <v>150.62975935817227</v>
      </c>
      <c r="G10" s="26">
        <f>Productivity!$C$16</f>
        <v>81.873572020007202</v>
      </c>
      <c r="H10" s="286">
        <f>'Other Inputs'!$G$7</f>
        <v>48.864673122693652</v>
      </c>
      <c r="I10" s="26">
        <f>'Piggyback Factors'!$D$27</f>
        <v>1.3606061934437479</v>
      </c>
      <c r="J10" s="2">
        <f>'Entry Profile L&amp;F'!$I$39</f>
        <v>13.363222311441264</v>
      </c>
      <c r="K10" s="296">
        <f>(C10*H10*I10*J10)/(E10*F10*G10)</f>
        <v>4.8608740427673464E-3</v>
      </c>
    </row>
    <row r="11" spans="1:11" s="42" customFormat="1" x14ac:dyDescent="0.25">
      <c r="A11" s="4" t="s">
        <v>15</v>
      </c>
      <c r="B11" s="42" t="s">
        <v>341</v>
      </c>
      <c r="C11" s="295">
        <f>C10</f>
        <v>1</v>
      </c>
      <c r="D11" s="179" t="s">
        <v>280</v>
      </c>
      <c r="E11" s="26">
        <v>1</v>
      </c>
      <c r="F11" s="26">
        <f>'Other Inputs'!$G$14</f>
        <v>150.62975935817227</v>
      </c>
      <c r="G11" s="179">
        <f>Productivity!$C$12</f>
        <v>50.702917267135618</v>
      </c>
      <c r="H11" s="286">
        <f>'Other Inputs'!$G$7</f>
        <v>48.864673122693652</v>
      </c>
      <c r="I11" s="179">
        <f>'Piggyback Factors'!$D$30</f>
        <v>1.2805162995566952</v>
      </c>
      <c r="J11" s="2">
        <f>'Entry Profile L&amp;F'!$I$39</f>
        <v>13.363222311441264</v>
      </c>
      <c r="K11" s="296">
        <f t="shared" ref="K11:K12" si="0">(C11*H11*I11*J11)/(E11*F11*G11)</f>
        <v>0.1094832225853577</v>
      </c>
    </row>
    <row r="12" spans="1:11" s="42" customFormat="1" x14ac:dyDescent="0.25">
      <c r="A12" s="4" t="s">
        <v>15</v>
      </c>
      <c r="B12" s="42" t="s">
        <v>333</v>
      </c>
      <c r="C12" s="295">
        <f>C11</f>
        <v>1</v>
      </c>
      <c r="D12" s="179" t="s">
        <v>280</v>
      </c>
      <c r="E12" s="26">
        <f>'Entry Profile P'!$B$39</f>
        <v>14.820735156910017</v>
      </c>
      <c r="F12" s="26">
        <f>'Other Inputs'!$G$14</f>
        <v>150.62975935817227</v>
      </c>
      <c r="G12" s="179">
        <f>Productivity!$C$19</f>
        <v>91.071587890934111</v>
      </c>
      <c r="H12" s="286">
        <f>'Other Inputs'!$G$7</f>
        <v>48.864673122693652</v>
      </c>
      <c r="I12" s="26">
        <f>'Piggyback Factors'!$D$27</f>
        <v>1.3606061934437479</v>
      </c>
      <c r="J12" s="2">
        <f>'Entry Profile L&amp;F'!$I$39</f>
        <v>13.363222311441264</v>
      </c>
      <c r="K12" s="299">
        <f t="shared" si="0"/>
        <v>4.3699372135391663E-3</v>
      </c>
    </row>
    <row r="13" spans="1:11" s="42" customFormat="1" x14ac:dyDescent="0.25">
      <c r="C13" s="177"/>
      <c r="D13" s="179"/>
      <c r="E13" s="179"/>
      <c r="F13" s="179"/>
      <c r="G13" s="179"/>
      <c r="H13" s="300"/>
      <c r="I13" s="179"/>
      <c r="J13" s="301"/>
      <c r="K13" s="302">
        <f>SUM(K10:K12)</f>
        <v>0.11871403384166421</v>
      </c>
    </row>
    <row r="14" spans="1:11" s="42" customFormat="1" x14ac:dyDescent="0.25">
      <c r="C14" s="177"/>
      <c r="D14" s="179"/>
      <c r="E14" s="179"/>
      <c r="F14" s="179"/>
      <c r="G14" s="179"/>
      <c r="H14" s="300"/>
      <c r="I14" s="179"/>
      <c r="J14" s="301"/>
      <c r="K14" s="302"/>
    </row>
    <row r="15" spans="1:11" s="42" customFormat="1" x14ac:dyDescent="0.25">
      <c r="A15" s="4" t="s">
        <v>15</v>
      </c>
      <c r="B15" s="42" t="s">
        <v>340</v>
      </c>
      <c r="C15" s="295">
        <f>'Sack Inputs P'!$F$54+'Sack Inputs P'!$F$55+'Sack Inputs P'!$F$56</f>
        <v>0.99999999999999989</v>
      </c>
      <c r="D15" s="179" t="s">
        <v>552</v>
      </c>
      <c r="E15" s="26">
        <f>'Entry Profile P'!$B$39</f>
        <v>14.820735156910017</v>
      </c>
      <c r="F15" s="26">
        <f>'Entry Profile P'!$E$31</f>
        <v>48.787027953216125</v>
      </c>
      <c r="G15" s="26">
        <f>Productivity!$C$16</f>
        <v>81.873572020007202</v>
      </c>
      <c r="H15" s="286">
        <f>'Other Inputs'!$G$8</f>
        <v>49.154262813761939</v>
      </c>
      <c r="I15" s="26">
        <f>'Piggyback Factors'!$D$27</f>
        <v>1.3606061934437479</v>
      </c>
      <c r="J15" s="2">
        <f>'CS Data By Shape'!$D$6/'CS Data By Shape'!$D$7</f>
        <v>2.3690647586844182</v>
      </c>
      <c r="K15" s="302">
        <f t="shared" ref="K15:K17" si="1">(C15*H15*I15*J15)/(E15*F15*G15)</f>
        <v>2.6764104435726571E-3</v>
      </c>
    </row>
    <row r="16" spans="1:11" s="42" customFormat="1" x14ac:dyDescent="0.25">
      <c r="A16" s="4" t="s">
        <v>15</v>
      </c>
      <c r="B16" s="42" t="s">
        <v>341</v>
      </c>
      <c r="C16" s="295">
        <f>C15</f>
        <v>0.99999999999999989</v>
      </c>
      <c r="D16" s="179" t="s">
        <v>552</v>
      </c>
      <c r="E16" s="26">
        <v>1</v>
      </c>
      <c r="F16" s="26">
        <f>'Entry Profile P'!$E$31</f>
        <v>48.787027953216125</v>
      </c>
      <c r="G16" s="179">
        <f>Productivity!$C$12</f>
        <v>50.702917267135618</v>
      </c>
      <c r="H16" s="286">
        <f>'Other Inputs'!$G$8</f>
        <v>49.154262813761939</v>
      </c>
      <c r="I16" s="179">
        <f>'Piggyback Factors'!$D$30</f>
        <v>1.2805162995566952</v>
      </c>
      <c r="J16" s="2">
        <f>'CS Data By Shape'!$D$6/'CS Data By Shape'!$D$7</f>
        <v>2.3690647586844182</v>
      </c>
      <c r="K16" s="302">
        <f t="shared" si="1"/>
        <v>6.0281759565327192E-2</v>
      </c>
    </row>
    <row r="17" spans="1:11" s="42" customFormat="1" x14ac:dyDescent="0.25">
      <c r="A17" s="4" t="s">
        <v>15</v>
      </c>
      <c r="B17" s="42" t="s">
        <v>333</v>
      </c>
      <c r="C17" s="295">
        <f>C16</f>
        <v>0.99999999999999989</v>
      </c>
      <c r="D17" s="179" t="s">
        <v>552</v>
      </c>
      <c r="E17" s="26">
        <f>'Entry Profile P'!$B$39</f>
        <v>14.820735156910017</v>
      </c>
      <c r="F17" s="26">
        <f>'Entry Profile P'!$E$31</f>
        <v>48.787027953216125</v>
      </c>
      <c r="G17" s="179">
        <f>Productivity!$C$19</f>
        <v>91.071587890934111</v>
      </c>
      <c r="H17" s="286">
        <f>'Other Inputs'!$G$8</f>
        <v>49.154262813761939</v>
      </c>
      <c r="I17" s="26">
        <f>'Piggyback Factors'!$D$27</f>
        <v>1.3606061934437479</v>
      </c>
      <c r="J17" s="2">
        <f>'CS Data By Shape'!$D$6/'CS Data By Shape'!$D$7</f>
        <v>2.3690647586844182</v>
      </c>
      <c r="K17" s="299">
        <f t="shared" si="1"/>
        <v>2.4060992926725811E-3</v>
      </c>
    </row>
    <row r="18" spans="1:11" s="42" customFormat="1" x14ac:dyDescent="0.25">
      <c r="C18" s="177"/>
      <c r="D18" s="179"/>
      <c r="E18" s="179"/>
      <c r="F18" s="179"/>
      <c r="G18" s="179"/>
      <c r="H18" s="300"/>
      <c r="I18" s="179"/>
      <c r="J18" s="301"/>
      <c r="K18" s="302">
        <f>SUM(K15:K17)</f>
        <v>6.5364269301572422E-2</v>
      </c>
    </row>
    <row r="19" spans="1:11" s="42" customFormat="1" x14ac:dyDescent="0.25">
      <c r="C19" s="177"/>
      <c r="D19" s="179"/>
      <c r="E19" s="179"/>
      <c r="F19" s="179"/>
      <c r="G19" s="179"/>
      <c r="H19" s="300"/>
      <c r="I19" s="179"/>
      <c r="J19" s="301"/>
      <c r="K19" s="302"/>
    </row>
    <row r="20" spans="1:11" s="42" customFormat="1" x14ac:dyDescent="0.25">
      <c r="C20" s="177"/>
      <c r="D20" s="179"/>
      <c r="E20" s="179"/>
      <c r="F20" s="179"/>
      <c r="G20" s="179"/>
      <c r="H20" s="300"/>
      <c r="I20" s="179"/>
      <c r="J20" s="301"/>
      <c r="K20" s="302"/>
    </row>
    <row r="21" spans="1:11" x14ac:dyDescent="0.25">
      <c r="A21" s="25" t="s">
        <v>325</v>
      </c>
    </row>
    <row r="22" spans="1:11" x14ac:dyDescent="0.25">
      <c r="A22" s="4" t="s">
        <v>496</v>
      </c>
    </row>
    <row r="23" spans="1:11" x14ac:dyDescent="0.25">
      <c r="A23" s="4" t="s">
        <v>356</v>
      </c>
      <c r="B23"/>
      <c r="C23" s="11"/>
      <c r="D23"/>
      <c r="E23"/>
      <c r="F23"/>
      <c r="G23"/>
      <c r="H23"/>
      <c r="I23"/>
      <c r="J23"/>
      <c r="K23" s="303"/>
    </row>
    <row r="24" spans="1:11" x14ac:dyDescent="0.25">
      <c r="A24" s="4" t="s">
        <v>490</v>
      </c>
      <c r="B24"/>
      <c r="C24" s="11"/>
      <c r="D24"/>
      <c r="E24"/>
      <c r="F24"/>
      <c r="G24"/>
      <c r="H24"/>
      <c r="I24"/>
      <c r="J24"/>
      <c r="K24" s="303"/>
    </row>
    <row r="25" spans="1:11" x14ac:dyDescent="0.25">
      <c r="A25" s="4" t="s">
        <v>491</v>
      </c>
      <c r="B25"/>
      <c r="C25" s="11"/>
      <c r="D25"/>
      <c r="E25"/>
      <c r="F25"/>
      <c r="G25"/>
      <c r="H25"/>
      <c r="I25"/>
      <c r="J25"/>
      <c r="K25" s="303"/>
    </row>
    <row r="26" spans="1:11" x14ac:dyDescent="0.25">
      <c r="A26" s="4" t="s">
        <v>492</v>
      </c>
      <c r="B26"/>
      <c r="C26" s="11"/>
      <c r="D26"/>
      <c r="E26"/>
      <c r="F26"/>
      <c r="G26"/>
      <c r="H26"/>
      <c r="I26"/>
      <c r="J26"/>
      <c r="K26" s="303"/>
    </row>
    <row r="27" spans="1:11" x14ac:dyDescent="0.25">
      <c r="A27" s="4" t="s">
        <v>493</v>
      </c>
      <c r="B27"/>
      <c r="C27" s="11"/>
      <c r="D27"/>
      <c r="E27"/>
      <c r="F27"/>
      <c r="G27"/>
      <c r="H27"/>
      <c r="I27"/>
      <c r="J27"/>
      <c r="K27" s="303"/>
    </row>
    <row r="28" spans="1:11" x14ac:dyDescent="0.25">
      <c r="A28" s="4" t="s">
        <v>494</v>
      </c>
      <c r="B28"/>
      <c r="C28" s="11"/>
      <c r="D28"/>
      <c r="E28"/>
      <c r="F28"/>
      <c r="G28"/>
      <c r="H28"/>
      <c r="I28"/>
      <c r="J28"/>
      <c r="K28" s="303"/>
    </row>
    <row r="29" spans="1:11" x14ac:dyDescent="0.25">
      <c r="A29" s="4" t="s">
        <v>495</v>
      </c>
      <c r="B29"/>
    </row>
    <row r="30" spans="1:11" x14ac:dyDescent="0.25">
      <c r="A30" s="4" t="s">
        <v>357</v>
      </c>
    </row>
  </sheetData>
  <pageMargins left="0.7" right="0.7" top="0.75" bottom="0.75" header="0.3" footer="0.3"/>
  <pageSetup scale="63" orientation="portrait" r:id="rId1"/>
  <headerFooter>
    <oddHeader>&amp;RPage 24 of 42</oddHeader>
    <oddFooter>&amp;R&amp;F</oddFooter>
  </headerFooter>
  <ignoredErrors>
    <ignoredError sqref="I16 I11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K25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4" customWidth="1"/>
    <col min="4" max="7" width="12.6640625" style="26" customWidth="1"/>
    <col min="8" max="8" width="12.6640625" style="286" customWidth="1"/>
    <col min="9" max="9" width="12.6640625" style="26" customWidth="1"/>
    <col min="10" max="10" width="12.6640625" style="2" customWidth="1"/>
    <col min="11" max="11" width="12.6640625" style="296" customWidth="1"/>
  </cols>
  <sheetData>
    <row r="1" spans="1:11" ht="15.6" x14ac:dyDescent="0.3">
      <c r="A1" s="39" t="s">
        <v>426</v>
      </c>
      <c r="B1" s="39"/>
      <c r="C1" s="8"/>
    </row>
    <row r="4" spans="1:11" x14ac:dyDescent="0.25">
      <c r="C4" s="178" t="s">
        <v>133</v>
      </c>
      <c r="D4" s="178" t="s">
        <v>117</v>
      </c>
      <c r="E4" s="178" t="s">
        <v>118</v>
      </c>
      <c r="F4" s="288" t="s">
        <v>119</v>
      </c>
      <c r="G4" s="178" t="s">
        <v>120</v>
      </c>
      <c r="H4" s="289" t="s">
        <v>121</v>
      </c>
      <c r="I4" s="289" t="s">
        <v>204</v>
      </c>
      <c r="J4" s="208" t="s">
        <v>206</v>
      </c>
      <c r="K4" s="208" t="s">
        <v>207</v>
      </c>
    </row>
    <row r="5" spans="1:11" x14ac:dyDescent="0.25">
      <c r="A5" s="171"/>
      <c r="H5" s="288" t="s">
        <v>309</v>
      </c>
      <c r="J5" s="289" t="s">
        <v>227</v>
      </c>
      <c r="K5" s="208" t="s">
        <v>327</v>
      </c>
    </row>
    <row r="6" spans="1:11" s="4" customFormat="1" x14ac:dyDescent="0.25">
      <c r="C6" s="24"/>
      <c r="D6" s="178"/>
      <c r="E6" s="178" t="s">
        <v>337</v>
      </c>
      <c r="F6" s="178" t="s">
        <v>227</v>
      </c>
      <c r="G6" s="178" t="s">
        <v>328</v>
      </c>
      <c r="H6" s="288" t="s">
        <v>329</v>
      </c>
      <c r="I6" s="178" t="s">
        <v>4</v>
      </c>
      <c r="J6" s="289" t="s">
        <v>281</v>
      </c>
      <c r="K6" s="208" t="s">
        <v>281</v>
      </c>
    </row>
    <row r="7" spans="1:11" s="4" customFormat="1" x14ac:dyDescent="0.25">
      <c r="A7" s="4" t="s">
        <v>30</v>
      </c>
      <c r="B7" s="4" t="s">
        <v>1</v>
      </c>
      <c r="C7" s="24" t="s">
        <v>2</v>
      </c>
      <c r="D7" s="178" t="s">
        <v>226</v>
      </c>
      <c r="E7" s="178" t="s">
        <v>31</v>
      </c>
      <c r="F7" s="178" t="s">
        <v>6</v>
      </c>
      <c r="G7" s="178" t="s">
        <v>330</v>
      </c>
      <c r="H7" s="288" t="s">
        <v>331</v>
      </c>
      <c r="I7" s="178" t="s">
        <v>35</v>
      </c>
      <c r="J7" s="289" t="s">
        <v>184</v>
      </c>
      <c r="K7" s="208" t="s">
        <v>184</v>
      </c>
    </row>
    <row r="8" spans="1:11" x14ac:dyDescent="0.25">
      <c r="A8" s="172"/>
      <c r="B8" s="172"/>
      <c r="C8" s="175"/>
      <c r="D8" s="291"/>
      <c r="E8" s="291"/>
      <c r="F8" s="291"/>
      <c r="G8" s="291"/>
      <c r="H8" s="292"/>
      <c r="I8" s="291"/>
      <c r="J8" s="293"/>
      <c r="K8" s="298"/>
    </row>
    <row r="10" spans="1:11" x14ac:dyDescent="0.25">
      <c r="A10" s="4" t="s">
        <v>15</v>
      </c>
      <c r="B10" s="42" t="s">
        <v>340</v>
      </c>
      <c r="C10" s="295">
        <f>'Tray Inputs L'!$F$53+'Tray Inputs L'!$F$54+'Tray Inputs L'!$F$55</f>
        <v>1.0000000000000002</v>
      </c>
      <c r="D10" s="179" t="s">
        <v>279</v>
      </c>
      <c r="E10" s="26">
        <f>'Other Inputs'!$G$20</f>
        <v>24</v>
      </c>
      <c r="F10" s="26">
        <f>'Other Inputs'!$G$15</f>
        <v>315.12979385479116</v>
      </c>
      <c r="G10" s="26">
        <f>Productivity!$C$16</f>
        <v>81.873572020007202</v>
      </c>
      <c r="H10" s="286">
        <f>'Other Inputs'!$G$6</f>
        <v>48.808840866562093</v>
      </c>
      <c r="I10" s="26">
        <f>'Piggyback Factors'!$D$27</f>
        <v>1.3606061934437479</v>
      </c>
      <c r="J10" s="2">
        <f>'Entry Profile L&amp;F'!$E$39</f>
        <v>29.348046368096394</v>
      </c>
      <c r="K10" s="296">
        <f>(C10*H10*I10*J10)/(E10*F10*G10)</f>
        <v>3.1474996360934967E-3</v>
      </c>
    </row>
    <row r="11" spans="1:11" x14ac:dyDescent="0.25">
      <c r="A11" s="4" t="s">
        <v>15</v>
      </c>
      <c r="B11" s="42" t="s">
        <v>677</v>
      </c>
      <c r="C11" s="295">
        <f>'Tray Inputs L'!$F$53+'Tray Inputs L'!$F$54+'Tray Inputs L'!$F$55</f>
        <v>1.0000000000000002</v>
      </c>
      <c r="D11" s="179" t="s">
        <v>279</v>
      </c>
      <c r="E11" s="26">
        <v>1</v>
      </c>
      <c r="F11" s="26">
        <f>'Other Inputs'!$G$15</f>
        <v>315.12979385479116</v>
      </c>
      <c r="G11" s="26">
        <f>Productivity!$C$11</f>
        <v>66.094724133664315</v>
      </c>
      <c r="H11" s="286">
        <f>'Other Inputs'!$G$6</f>
        <v>48.808840866562093</v>
      </c>
      <c r="I11" s="26">
        <f>'Piggyback Factors'!$D$20</f>
        <v>1.5358044573278811</v>
      </c>
      <c r="J11" s="2">
        <f>'Entry Profile L&amp;F'!$E$39</f>
        <v>29.348046368096394</v>
      </c>
      <c r="K11" s="296">
        <f>(C11*H11*I11*J11)/(E11*F11*G11)</f>
        <v>0.10562272178409535</v>
      </c>
    </row>
    <row r="12" spans="1:11" x14ac:dyDescent="0.25">
      <c r="A12" s="4" t="s">
        <v>15</v>
      </c>
      <c r="B12" s="42" t="s">
        <v>333</v>
      </c>
      <c r="C12" s="295">
        <f>'Tray Inputs L'!$F$53+'Tray Inputs L'!$F$54+'Tray Inputs L'!$F$55</f>
        <v>1.0000000000000002</v>
      </c>
      <c r="D12" s="179" t="s">
        <v>279</v>
      </c>
      <c r="E12" s="26">
        <f>'Other Inputs'!$G$20</f>
        <v>24</v>
      </c>
      <c r="F12" s="26">
        <f>'Other Inputs'!$G$15</f>
        <v>315.12979385479116</v>
      </c>
      <c r="G12" s="26">
        <f>Productivity!$C$19</f>
        <v>91.071587890934111</v>
      </c>
      <c r="H12" s="286">
        <f>'Other Inputs'!$G$6</f>
        <v>48.808840866562093</v>
      </c>
      <c r="I12" s="26">
        <f>'Piggyback Factors'!$D$27</f>
        <v>1.3606061934437479</v>
      </c>
      <c r="J12" s="2">
        <f>'Entry Profile L&amp;F'!$E$39</f>
        <v>29.348046368096394</v>
      </c>
      <c r="K12" s="299">
        <f>(C12*H12*I12*J12)/(E12*F12*G12)</f>
        <v>2.8296095863318124E-3</v>
      </c>
    </row>
    <row r="13" spans="1:11" x14ac:dyDescent="0.25">
      <c r="B13" s="42"/>
      <c r="C13" s="295"/>
      <c r="D13" s="179"/>
      <c r="K13" s="296">
        <f>SUM(K10:K12)</f>
        <v>0.11159983100652066</v>
      </c>
    </row>
    <row r="14" spans="1:11" s="42" customFormat="1" x14ac:dyDescent="0.25">
      <c r="C14" s="177"/>
      <c r="D14" s="179"/>
      <c r="E14" s="179"/>
      <c r="F14" s="179"/>
      <c r="G14" s="179"/>
      <c r="H14" s="300"/>
      <c r="I14" s="179"/>
      <c r="J14" s="301"/>
      <c r="K14" s="302"/>
    </row>
    <row r="15" spans="1:11" s="42" customFormat="1" x14ac:dyDescent="0.25">
      <c r="C15" s="177"/>
      <c r="D15" s="179"/>
      <c r="E15" s="179"/>
      <c r="F15" s="179"/>
      <c r="G15" s="179"/>
      <c r="H15" s="300"/>
      <c r="I15" s="179"/>
      <c r="J15" s="301"/>
      <c r="K15" s="302"/>
    </row>
    <row r="16" spans="1:11" x14ac:dyDescent="0.25">
      <c r="A16" s="25" t="s">
        <v>325</v>
      </c>
    </row>
    <row r="17" spans="1:11" x14ac:dyDescent="0.25">
      <c r="A17" s="4" t="s">
        <v>497</v>
      </c>
    </row>
    <row r="18" spans="1:11" x14ac:dyDescent="0.25">
      <c r="A18" s="4" t="s">
        <v>356</v>
      </c>
      <c r="B18"/>
      <c r="C18" s="11"/>
      <c r="D18"/>
      <c r="E18"/>
      <c r="F18"/>
      <c r="G18"/>
      <c r="H18"/>
      <c r="I18"/>
      <c r="J18"/>
      <c r="K18" s="303"/>
    </row>
    <row r="19" spans="1:11" x14ac:dyDescent="0.25">
      <c r="A19" s="4" t="s">
        <v>498</v>
      </c>
      <c r="B19"/>
      <c r="C19" s="11"/>
      <c r="D19"/>
      <c r="E19"/>
      <c r="F19"/>
      <c r="G19"/>
      <c r="H19"/>
      <c r="I19"/>
      <c r="J19"/>
      <c r="K19" s="303"/>
    </row>
    <row r="20" spans="1:11" x14ac:dyDescent="0.25">
      <c r="A20" s="4" t="s">
        <v>499</v>
      </c>
      <c r="B20"/>
      <c r="C20" s="11"/>
      <c r="D20"/>
      <c r="E20"/>
      <c r="F20"/>
      <c r="G20"/>
      <c r="H20"/>
      <c r="I20"/>
      <c r="J20"/>
      <c r="K20" s="303"/>
    </row>
    <row r="21" spans="1:11" x14ac:dyDescent="0.25">
      <c r="A21" s="4" t="s">
        <v>492</v>
      </c>
      <c r="B21"/>
      <c r="C21" s="11"/>
      <c r="D21"/>
      <c r="E21"/>
      <c r="F21"/>
      <c r="G21"/>
      <c r="H21"/>
      <c r="I21"/>
      <c r="J21"/>
      <c r="K21" s="303"/>
    </row>
    <row r="22" spans="1:11" x14ac:dyDescent="0.25">
      <c r="A22" s="4" t="s">
        <v>493</v>
      </c>
      <c r="B22"/>
      <c r="C22" s="11"/>
      <c r="D22"/>
      <c r="E22"/>
      <c r="F22"/>
      <c r="G22"/>
      <c r="H22"/>
      <c r="I22"/>
      <c r="J22"/>
      <c r="K22" s="303"/>
    </row>
    <row r="23" spans="1:11" x14ac:dyDescent="0.25">
      <c r="A23" s="4" t="s">
        <v>494</v>
      </c>
      <c r="B23"/>
      <c r="C23" s="11"/>
      <c r="D23"/>
      <c r="E23"/>
      <c r="F23"/>
      <c r="G23"/>
      <c r="H23"/>
      <c r="I23"/>
      <c r="J23"/>
      <c r="K23" s="303"/>
    </row>
    <row r="24" spans="1:11" x14ac:dyDescent="0.25">
      <c r="A24" s="4" t="s">
        <v>500</v>
      </c>
      <c r="B24"/>
    </row>
    <row r="25" spans="1:11" x14ac:dyDescent="0.25">
      <c r="A25" s="4" t="s">
        <v>357</v>
      </c>
    </row>
  </sheetData>
  <printOptions horizontalCentered="1"/>
  <pageMargins left="0.7" right="0.7" top="0.75" bottom="0.75" header="0.3" footer="0.3"/>
  <pageSetup scale="63" orientation="portrait" r:id="rId1"/>
  <headerFooter>
    <oddHeader>&amp;RPage 25 of 42</oddHeader>
    <oddFooter>&amp;R&amp;F</oddFooter>
  </headerFooter>
  <ignoredErrors>
    <ignoredError sqref="I11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J34"/>
  <sheetViews>
    <sheetView zoomScale="75" zoomScaleNormal="75" workbookViewId="0"/>
  </sheetViews>
  <sheetFormatPr defaultColWidth="9.33203125" defaultRowHeight="13.2" x14ac:dyDescent="0.25"/>
  <cols>
    <col min="1" max="1" width="10.6640625" style="4" customWidth="1"/>
    <col min="2" max="2" width="20.6640625" style="4" customWidth="1"/>
    <col min="3" max="3" width="12.6640625" style="287" customWidth="1"/>
    <col min="4" max="6" width="12.6640625" style="26" customWidth="1"/>
    <col min="7" max="7" width="12.6640625" style="286" customWidth="1"/>
    <col min="8" max="8" width="12.6640625" style="26" customWidth="1"/>
    <col min="9" max="10" width="12.6640625" style="2" customWidth="1"/>
  </cols>
  <sheetData>
    <row r="1" spans="1:10" ht="15.6" x14ac:dyDescent="0.3">
      <c r="A1" s="39" t="s">
        <v>425</v>
      </c>
      <c r="B1" s="39"/>
      <c r="C1" s="285"/>
      <c r="J1" s="296"/>
    </row>
    <row r="2" spans="1:10" x14ac:dyDescent="0.25">
      <c r="J2" s="296"/>
    </row>
    <row r="3" spans="1:10" x14ac:dyDescent="0.25">
      <c r="J3" s="299"/>
    </row>
    <row r="4" spans="1:10" x14ac:dyDescent="0.25">
      <c r="C4" s="287" t="s">
        <v>133</v>
      </c>
      <c r="D4" s="178" t="s">
        <v>117</v>
      </c>
      <c r="E4" s="288" t="s">
        <v>118</v>
      </c>
      <c r="F4" s="178" t="s">
        <v>119</v>
      </c>
      <c r="G4" s="289" t="s">
        <v>120</v>
      </c>
      <c r="H4" s="289" t="s">
        <v>121</v>
      </c>
      <c r="I4" s="289" t="s">
        <v>204</v>
      </c>
      <c r="J4" s="289" t="s">
        <v>206</v>
      </c>
    </row>
    <row r="5" spans="1:10" x14ac:dyDescent="0.25">
      <c r="A5" s="171"/>
      <c r="G5" s="288" t="s">
        <v>309</v>
      </c>
      <c r="I5" s="289" t="s">
        <v>227</v>
      </c>
      <c r="J5" s="289" t="s">
        <v>327</v>
      </c>
    </row>
    <row r="6" spans="1:10" s="4" customFormat="1" x14ac:dyDescent="0.25">
      <c r="C6" s="287"/>
      <c r="D6" s="178"/>
      <c r="E6" s="178" t="s">
        <v>227</v>
      </c>
      <c r="F6" s="178" t="s">
        <v>328</v>
      </c>
      <c r="G6" s="288" t="s">
        <v>329</v>
      </c>
      <c r="H6" s="178" t="s">
        <v>4</v>
      </c>
      <c r="I6" s="289" t="s">
        <v>281</v>
      </c>
      <c r="J6" s="289" t="s">
        <v>281</v>
      </c>
    </row>
    <row r="7" spans="1:10" s="4" customFormat="1" x14ac:dyDescent="0.25">
      <c r="A7" s="4" t="s">
        <v>30</v>
      </c>
      <c r="B7" s="4" t="s">
        <v>1</v>
      </c>
      <c r="C7" s="287" t="s">
        <v>2</v>
      </c>
      <c r="D7" s="178" t="s">
        <v>226</v>
      </c>
      <c r="E7" s="178" t="s">
        <v>8</v>
      </c>
      <c r="F7" s="178" t="s">
        <v>330</v>
      </c>
      <c r="G7" s="288" t="s">
        <v>331</v>
      </c>
      <c r="H7" s="178" t="s">
        <v>35</v>
      </c>
      <c r="I7" s="289" t="s">
        <v>184</v>
      </c>
      <c r="J7" s="289" t="s">
        <v>184</v>
      </c>
    </row>
    <row r="8" spans="1:10" x14ac:dyDescent="0.25">
      <c r="A8" s="172"/>
      <c r="B8" s="172"/>
      <c r="C8" s="290"/>
      <c r="D8" s="291"/>
      <c r="E8" s="291"/>
      <c r="F8" s="291"/>
      <c r="G8" s="292"/>
      <c r="H8" s="291"/>
      <c r="I8" s="293"/>
      <c r="J8" s="294"/>
    </row>
    <row r="10" spans="1:10" x14ac:dyDescent="0.25">
      <c r="A10" s="4" t="s">
        <v>15</v>
      </c>
      <c r="B10" s="42" t="s">
        <v>342</v>
      </c>
      <c r="C10" s="295">
        <f>SUM('Pallet Inputs L'!$F$53:$F$55)</f>
        <v>1</v>
      </c>
      <c r="D10" s="179" t="s">
        <v>279</v>
      </c>
      <c r="E10" s="26">
        <f>'Other Inputs'!$G$16</f>
        <v>8651.6570532899004</v>
      </c>
      <c r="F10" s="26">
        <f>Productivity!$C$17</f>
        <v>58.156985400220201</v>
      </c>
      <c r="G10" s="286">
        <f>'Other Inputs'!$G$6</f>
        <v>48.808840866562093</v>
      </c>
      <c r="H10" s="26">
        <f>'Piggyback Factors'!$D$27</f>
        <v>1.3606061934437479</v>
      </c>
      <c r="I10" s="304">
        <f>'Entry Profile L&amp;F'!$C$39</f>
        <v>20.915521862697464</v>
      </c>
      <c r="J10" s="296">
        <f>(C10*G10*H10*I10)/(E10*F10)</f>
        <v>2.7605680682538259E-3</v>
      </c>
    </row>
    <row r="11" spans="1:10" x14ac:dyDescent="0.25">
      <c r="A11" s="4" t="s">
        <v>15</v>
      </c>
      <c r="B11" s="42" t="s">
        <v>343</v>
      </c>
      <c r="C11" s="295">
        <f>SUM('Pallet Inputs L'!$F$53:$F$55)</f>
        <v>1</v>
      </c>
      <c r="D11" s="179" t="s">
        <v>279</v>
      </c>
      <c r="E11" s="26">
        <f>'Other Inputs'!$G$16</f>
        <v>8651.6570532899004</v>
      </c>
      <c r="F11" s="26">
        <f>Productivity!$C$18</f>
        <v>39.899251235537818</v>
      </c>
      <c r="G11" s="286">
        <f>'Other Inputs'!$G$6</f>
        <v>48.808840866562093</v>
      </c>
      <c r="H11" s="26">
        <f>'Piggyback Factors'!$D$27</f>
        <v>1.3606061934437479</v>
      </c>
      <c r="I11" s="304">
        <f>'Entry Profile L&amp;F'!$C$39</f>
        <v>20.915521862697464</v>
      </c>
      <c r="J11" s="296">
        <f t="shared" ref="J11:J12" si="0">(C11*G11*H11*I11)/(E11*F11)</f>
        <v>4.0237927246803825E-3</v>
      </c>
    </row>
    <row r="12" spans="1:10" x14ac:dyDescent="0.25">
      <c r="A12" s="4" t="s">
        <v>15</v>
      </c>
      <c r="B12" s="42" t="s">
        <v>339</v>
      </c>
      <c r="C12" s="295">
        <f>SUM('Pallet Inputs L'!$F$53:$F$55)</f>
        <v>1</v>
      </c>
      <c r="D12" s="179" t="s">
        <v>279</v>
      </c>
      <c r="E12" s="26">
        <f>'Other Inputs'!$G$16</f>
        <v>8651.6570532899004</v>
      </c>
      <c r="F12" s="26">
        <f>Productivity!$C$20</f>
        <v>61.728448910094343</v>
      </c>
      <c r="G12" s="286">
        <f>'Other Inputs'!$G$6</f>
        <v>48.808840866562093</v>
      </c>
      <c r="H12" s="26">
        <f>'Piggyback Factors'!$D$27</f>
        <v>1.3606061934437479</v>
      </c>
      <c r="I12" s="304">
        <f>'Entry Profile L&amp;F'!$C$39</f>
        <v>20.915521862697464</v>
      </c>
      <c r="J12" s="299">
        <f t="shared" si="0"/>
        <v>2.6008480640034031E-3</v>
      </c>
    </row>
    <row r="13" spans="1:10" x14ac:dyDescent="0.25">
      <c r="B13" s="42"/>
      <c r="C13" s="295"/>
      <c r="D13" s="179"/>
      <c r="J13" s="296">
        <f>SUM(J10:J12)</f>
        <v>9.3852088569376119E-3</v>
      </c>
    </row>
    <row r="14" spans="1:10" x14ac:dyDescent="0.25">
      <c r="B14" s="42"/>
      <c r="C14" s="295"/>
      <c r="D14" s="179"/>
      <c r="J14" s="296"/>
    </row>
    <row r="15" spans="1:10" x14ac:dyDescent="0.25">
      <c r="A15" s="4" t="s">
        <v>15</v>
      </c>
      <c r="B15" s="42" t="s">
        <v>342</v>
      </c>
      <c r="C15" s="295">
        <f>SUM('Pallet Inputs F'!$F$53:$F$55)</f>
        <v>1</v>
      </c>
      <c r="D15" s="179" t="s">
        <v>280</v>
      </c>
      <c r="E15" s="26">
        <f>'Other Inputs'!$G$17</f>
        <v>4487.1819257843872</v>
      </c>
      <c r="F15" s="26">
        <f>Productivity!$C$17</f>
        <v>58.156985400220201</v>
      </c>
      <c r="G15" s="286">
        <f>'Other Inputs'!$G$7</f>
        <v>48.864673122693652</v>
      </c>
      <c r="H15" s="26">
        <f>'Piggyback Factors'!$D$27</f>
        <v>1.3606061934437479</v>
      </c>
      <c r="I15" s="304">
        <f>'Entry Profile L&amp;F'!$G$39</f>
        <v>5.6363300129576137</v>
      </c>
      <c r="J15" s="296">
        <f>(C15*G15*H15*I15)/(E15*F15)</f>
        <v>1.4359796680795767E-3</v>
      </c>
    </row>
    <row r="16" spans="1:10" x14ac:dyDescent="0.25">
      <c r="A16" s="4" t="s">
        <v>15</v>
      </c>
      <c r="B16" s="42" t="s">
        <v>343</v>
      </c>
      <c r="C16" s="295">
        <f>SUM('Pallet Inputs F'!$F$53:$F$55)</f>
        <v>1</v>
      </c>
      <c r="D16" s="179" t="s">
        <v>280</v>
      </c>
      <c r="E16" s="26">
        <f>'Other Inputs'!$G$17</f>
        <v>4487.1819257843872</v>
      </c>
      <c r="F16" s="26">
        <f>Productivity!$C$18</f>
        <v>39.899251235537818</v>
      </c>
      <c r="G16" s="286">
        <f>'Other Inputs'!$G$7</f>
        <v>48.864673122693652</v>
      </c>
      <c r="H16" s="26">
        <f>'Piggyback Factors'!$D$27</f>
        <v>1.3606061934437479</v>
      </c>
      <c r="I16" s="304">
        <f>'Entry Profile L&amp;F'!$G$39</f>
        <v>5.6363300129576137</v>
      </c>
      <c r="J16" s="296">
        <f t="shared" ref="J16:J17" si="1">(C16*G16*H16*I16)/(E16*F16)</f>
        <v>2.0930780905766364E-3</v>
      </c>
    </row>
    <row r="17" spans="1:10" x14ac:dyDescent="0.25">
      <c r="A17" s="4" t="s">
        <v>15</v>
      </c>
      <c r="B17" s="42" t="s">
        <v>339</v>
      </c>
      <c r="C17" s="295">
        <f>SUM('Pallet Inputs F'!$F$53:$F$55)</f>
        <v>1</v>
      </c>
      <c r="D17" s="179" t="s">
        <v>280</v>
      </c>
      <c r="E17" s="26">
        <f>'Other Inputs'!$G$17</f>
        <v>4487.1819257843872</v>
      </c>
      <c r="F17" s="26">
        <f>Productivity!$C$20</f>
        <v>61.728448910094343</v>
      </c>
      <c r="G17" s="286">
        <f>'Other Inputs'!$G$7</f>
        <v>48.864673122693652</v>
      </c>
      <c r="H17" s="26">
        <f>'Piggyback Factors'!$D$27</f>
        <v>1.3606061934437479</v>
      </c>
      <c r="I17" s="304">
        <f>'Entry Profile L&amp;F'!$G$39</f>
        <v>5.6363300129576137</v>
      </c>
      <c r="J17" s="299">
        <f t="shared" si="1"/>
        <v>1.3528972469914174E-3</v>
      </c>
    </row>
    <row r="18" spans="1:10" x14ac:dyDescent="0.25">
      <c r="B18" s="42"/>
      <c r="C18" s="295"/>
      <c r="D18" s="179"/>
      <c r="J18" s="296">
        <f>SUM(J15:J17)</f>
        <v>4.8819550056476303E-3</v>
      </c>
    </row>
    <row r="19" spans="1:10" x14ac:dyDescent="0.25">
      <c r="B19" s="42"/>
      <c r="C19" s="295"/>
      <c r="D19" s="179"/>
      <c r="J19" s="296"/>
    </row>
    <row r="20" spans="1:10" x14ac:dyDescent="0.25">
      <c r="A20" s="4" t="s">
        <v>15</v>
      </c>
      <c r="B20" s="42" t="s">
        <v>342</v>
      </c>
      <c r="C20" s="295">
        <f>SUM('Pallet Inputs P'!$F$53:$F$55)</f>
        <v>0.99999999999999989</v>
      </c>
      <c r="D20" s="179" t="s">
        <v>552</v>
      </c>
      <c r="E20" s="26">
        <f>'Entry Profile P'!$C$34</f>
        <v>1150.5803285257321</v>
      </c>
      <c r="F20" s="26">
        <f>Productivity!$C$17</f>
        <v>58.156985400220201</v>
      </c>
      <c r="G20" s="286">
        <f>'Other Inputs'!$G$8</f>
        <v>49.154262813761939</v>
      </c>
      <c r="H20" s="26">
        <f>'Piggyback Factors'!$D$27</f>
        <v>1.3606061934437479</v>
      </c>
      <c r="I20" s="2">
        <f>'CS Data By Shape'!$D$6/'CS Data By Shape'!$D$7</f>
        <v>2.3690647586844182</v>
      </c>
      <c r="J20" s="296">
        <f>(C20*G20*H20*I20)/(E20*F20)</f>
        <v>2.3678366148094251E-3</v>
      </c>
    </row>
    <row r="21" spans="1:10" x14ac:dyDescent="0.25">
      <c r="A21" s="4" t="s">
        <v>15</v>
      </c>
      <c r="B21" s="42" t="s">
        <v>343</v>
      </c>
      <c r="C21" s="295">
        <f>SUM('Pallet Inputs P'!$F$53:$F$55)</f>
        <v>0.99999999999999989</v>
      </c>
      <c r="D21" s="179" t="s">
        <v>552</v>
      </c>
      <c r="E21" s="26">
        <f>'Entry Profile P'!$C$34</f>
        <v>1150.5803285257321</v>
      </c>
      <c r="F21" s="26">
        <f>Productivity!$C$18</f>
        <v>39.899251235537818</v>
      </c>
      <c r="G21" s="286">
        <f>'Other Inputs'!$G$8</f>
        <v>49.154262813761939</v>
      </c>
      <c r="H21" s="26">
        <f>'Piggyback Factors'!$D$27</f>
        <v>1.3606061934437479</v>
      </c>
      <c r="I21" s="2">
        <f>'CS Data By Shape'!$D$6/'CS Data By Shape'!$D$7</f>
        <v>2.3690647586844182</v>
      </c>
      <c r="J21" s="296">
        <f t="shared" ref="J21:J22" si="2">(C21*G21*H21*I21)/(E21*F21)</f>
        <v>3.4513489645370873E-3</v>
      </c>
    </row>
    <row r="22" spans="1:10" x14ac:dyDescent="0.25">
      <c r="A22" s="4" t="s">
        <v>15</v>
      </c>
      <c r="B22" s="42" t="s">
        <v>339</v>
      </c>
      <c r="C22" s="295">
        <f>SUM('Pallet Inputs P'!$F$53:$F$55)</f>
        <v>0.99999999999999989</v>
      </c>
      <c r="D22" s="179" t="s">
        <v>552</v>
      </c>
      <c r="E22" s="26">
        <f>'Entry Profile P'!$C$34</f>
        <v>1150.5803285257321</v>
      </c>
      <c r="F22" s="26">
        <f>Productivity!$C$20</f>
        <v>61.728448910094343</v>
      </c>
      <c r="G22" s="286">
        <f>'Other Inputs'!$G$8</f>
        <v>49.154262813761939</v>
      </c>
      <c r="H22" s="26">
        <f>'Piggyback Factors'!$D$27</f>
        <v>1.3606061934437479</v>
      </c>
      <c r="I22" s="2">
        <f>'CS Data By Shape'!$D$6/'CS Data By Shape'!$D$7</f>
        <v>2.3690647586844182</v>
      </c>
      <c r="J22" s="299">
        <f t="shared" si="2"/>
        <v>2.2308391328306923E-3</v>
      </c>
    </row>
    <row r="23" spans="1:10" x14ac:dyDescent="0.25">
      <c r="B23" s="42"/>
      <c r="C23" s="295"/>
      <c r="J23" s="296">
        <f>SUM(J20:J22)</f>
        <v>8.0500247121772055E-3</v>
      </c>
    </row>
    <row r="26" spans="1:10" x14ac:dyDescent="0.25">
      <c r="A26" s="25" t="s">
        <v>325</v>
      </c>
    </row>
    <row r="27" spans="1:10" x14ac:dyDescent="0.25">
      <c r="A27" s="4" t="s">
        <v>501</v>
      </c>
    </row>
    <row r="28" spans="1:10" x14ac:dyDescent="0.25">
      <c r="A28" s="4" t="s">
        <v>356</v>
      </c>
      <c r="B28"/>
      <c r="C28" s="297"/>
      <c r="D28"/>
      <c r="E28"/>
      <c r="F28"/>
      <c r="G28"/>
      <c r="H28"/>
      <c r="I28"/>
      <c r="J28"/>
    </row>
    <row r="29" spans="1:10" x14ac:dyDescent="0.25">
      <c r="A29" s="4" t="s">
        <v>585</v>
      </c>
      <c r="B29"/>
      <c r="C29" s="297"/>
      <c r="D29"/>
      <c r="E29"/>
      <c r="F29"/>
      <c r="G29"/>
      <c r="H29"/>
      <c r="I29"/>
      <c r="J29"/>
    </row>
    <row r="30" spans="1:10" x14ac:dyDescent="0.25">
      <c r="A30" s="4" t="s">
        <v>502</v>
      </c>
      <c r="B30"/>
      <c r="C30" s="297"/>
      <c r="D30"/>
      <c r="E30"/>
      <c r="F30"/>
      <c r="G30"/>
      <c r="H30"/>
      <c r="I30"/>
      <c r="J30"/>
    </row>
    <row r="31" spans="1:10" x14ac:dyDescent="0.25">
      <c r="A31" s="4" t="s">
        <v>503</v>
      </c>
      <c r="B31"/>
      <c r="C31" s="297"/>
      <c r="D31"/>
      <c r="E31"/>
      <c r="F31"/>
      <c r="G31"/>
      <c r="H31"/>
      <c r="I31"/>
      <c r="J31"/>
    </row>
    <row r="32" spans="1:10" x14ac:dyDescent="0.25">
      <c r="A32" s="4" t="s">
        <v>504</v>
      </c>
      <c r="B32"/>
      <c r="C32" s="297"/>
      <c r="D32"/>
      <c r="E32"/>
      <c r="F32"/>
      <c r="G32"/>
      <c r="H32"/>
      <c r="I32"/>
      <c r="J32"/>
    </row>
    <row r="33" spans="1:10" x14ac:dyDescent="0.25">
      <c r="A33" s="4" t="s">
        <v>505</v>
      </c>
      <c r="B33"/>
      <c r="C33" s="297"/>
      <c r="D33"/>
      <c r="E33"/>
      <c r="F33"/>
      <c r="G33"/>
      <c r="H33"/>
      <c r="I33"/>
      <c r="J33"/>
    </row>
    <row r="34" spans="1:10" x14ac:dyDescent="0.25">
      <c r="A34" s="4" t="s">
        <v>410</v>
      </c>
      <c r="B34"/>
    </row>
  </sheetData>
  <printOptions horizontalCentered="1"/>
  <pageMargins left="0.7" right="0.7" top="0.75" bottom="0.75" header="0.3" footer="0.3"/>
  <pageSetup scale="69" orientation="portrait" r:id="rId1"/>
  <headerFooter>
    <oddHeader>&amp;RPage 26 of 42</oddHeader>
    <oddFooter>&amp;R&amp;F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3">
    <pageSetUpPr fitToPage="1"/>
  </sheetPr>
  <dimension ref="A1:P67"/>
  <sheetViews>
    <sheetView topLeftCell="A19" zoomScale="75" workbookViewId="0">
      <selection sqref="A1:L1"/>
    </sheetView>
  </sheetViews>
  <sheetFormatPr defaultRowHeight="13.2" x14ac:dyDescent="0.25"/>
  <cols>
    <col min="2" max="2" width="13.5546875" customWidth="1"/>
    <col min="3" max="3" width="6.6640625" customWidth="1"/>
    <col min="4" max="4" width="12.44140625" customWidth="1"/>
    <col min="5" max="5" width="5.6640625" customWidth="1"/>
    <col min="6" max="6" width="13.33203125" customWidth="1"/>
    <col min="7" max="7" width="12" customWidth="1"/>
    <col min="8" max="8" width="12.6640625" customWidth="1"/>
    <col min="9" max="9" width="4.6640625" customWidth="1"/>
    <col min="10" max="10" width="12.6640625" customWidth="1"/>
    <col min="11" max="11" width="7.33203125" customWidth="1"/>
    <col min="12" max="12" width="10.44140625" customWidth="1"/>
    <col min="13" max="13" width="10.33203125" customWidth="1"/>
    <col min="14" max="14" width="13.6640625" customWidth="1"/>
    <col min="15" max="15" width="6.5546875" style="11" customWidth="1"/>
    <col min="16" max="16" width="13.6640625" customWidth="1"/>
    <col min="17" max="17" width="3.33203125" customWidth="1"/>
    <col min="18" max="18" width="12.6640625" customWidth="1"/>
  </cols>
  <sheetData>
    <row r="1" spans="1:16" ht="15.6" x14ac:dyDescent="0.3">
      <c r="A1" s="451" t="s">
        <v>424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</row>
    <row r="4" spans="1:16" x14ac:dyDescent="0.25">
      <c r="A4" s="4" t="s">
        <v>11</v>
      </c>
      <c r="B4" s="24" t="s">
        <v>133</v>
      </c>
      <c r="C4" s="24"/>
      <c r="D4" s="24" t="s">
        <v>117</v>
      </c>
      <c r="F4" s="12"/>
      <c r="G4" s="11"/>
    </row>
    <row r="5" spans="1:16" x14ac:dyDescent="0.25">
      <c r="A5" s="172" t="s">
        <v>12</v>
      </c>
      <c r="B5" s="175" t="s">
        <v>24</v>
      </c>
      <c r="C5" s="175"/>
      <c r="D5" s="175" t="s">
        <v>13</v>
      </c>
    </row>
    <row r="6" spans="1:16" x14ac:dyDescent="0.25">
      <c r="A6" s="4" t="s">
        <v>348</v>
      </c>
      <c r="B6" s="28">
        <f>'Entry Profile L&amp;F'!$H$33</f>
        <v>837578.70033204788</v>
      </c>
      <c r="C6" s="14"/>
      <c r="D6" s="15">
        <f t="shared" ref="D6:D11" si="0">+B6/$B$12</f>
        <v>1.606150519694639E-2</v>
      </c>
    </row>
    <row r="7" spans="1:16" x14ac:dyDescent="0.25">
      <c r="A7" s="4" t="s">
        <v>14</v>
      </c>
      <c r="B7" s="28">
        <f>'Entry Profile L&amp;F'!$H$34+'Entry Profile L&amp;F'!$H$35</f>
        <v>25115539.949584186</v>
      </c>
      <c r="C7" s="14"/>
      <c r="D7" s="15">
        <f t="shared" si="0"/>
        <v>0.48161847389915802</v>
      </c>
    </row>
    <row r="8" spans="1:16" x14ac:dyDescent="0.25">
      <c r="A8" s="4" t="s">
        <v>233</v>
      </c>
      <c r="B8" s="28">
        <f>'Entry Profile L&amp;F'!$H$36</f>
        <v>200079.11797573123</v>
      </c>
      <c r="C8" s="14"/>
      <c r="D8" s="15">
        <f t="shared" si="0"/>
        <v>3.8367401079966285E-3</v>
      </c>
    </row>
    <row r="9" spans="1:16" x14ac:dyDescent="0.25">
      <c r="A9" s="4" t="s">
        <v>229</v>
      </c>
      <c r="B9" s="28">
        <f>'Entry Profile L&amp;F'!$H$37+'Entry Profile L&amp;F'!$H$38</f>
        <v>104979.66628667848</v>
      </c>
      <c r="C9" s="14"/>
      <c r="D9" s="15">
        <f t="shared" si="0"/>
        <v>2.0131021180084187E-3</v>
      </c>
    </row>
    <row r="10" spans="1:16" x14ac:dyDescent="0.25">
      <c r="A10" s="4" t="s">
        <v>15</v>
      </c>
      <c r="B10" s="28">
        <f>'Entry Profile L&amp;F'!$H$39</f>
        <v>10531183.07054968</v>
      </c>
      <c r="C10" s="14"/>
      <c r="D10" s="15">
        <f t="shared" si="0"/>
        <v>0.20194717409906843</v>
      </c>
    </row>
    <row r="11" spans="1:16" x14ac:dyDescent="0.25">
      <c r="A11" s="4" t="s">
        <v>116</v>
      </c>
      <c r="B11" s="28">
        <f>'Entry Profile L&amp;F'!$H$40</f>
        <v>15358846.656533753</v>
      </c>
      <c r="C11" s="14"/>
      <c r="D11" s="15">
        <f t="shared" si="0"/>
        <v>0.29452300457882208</v>
      </c>
    </row>
    <row r="12" spans="1:16" x14ac:dyDescent="0.25">
      <c r="A12" s="200" t="s">
        <v>16</v>
      </c>
      <c r="B12" s="29">
        <f>SUM(B6:B11)</f>
        <v>52148207.16126208</v>
      </c>
      <c r="C12" s="17"/>
      <c r="D12" s="18">
        <f>SUM(D6:D11)</f>
        <v>1</v>
      </c>
    </row>
    <row r="13" spans="1:16" x14ac:dyDescent="0.25">
      <c r="P13" s="19"/>
    </row>
    <row r="14" spans="1:16" x14ac:dyDescent="0.25">
      <c r="B14" s="24" t="s">
        <v>118</v>
      </c>
      <c r="C14" s="4"/>
      <c r="D14" s="4"/>
      <c r="E14" s="4"/>
      <c r="F14" s="24" t="s">
        <v>119</v>
      </c>
      <c r="G14" s="24" t="s">
        <v>120</v>
      </c>
      <c r="P14" s="19"/>
    </row>
    <row r="15" spans="1:16" x14ac:dyDescent="0.25">
      <c r="A15" s="4"/>
      <c r="B15" s="4"/>
      <c r="C15" s="4"/>
      <c r="D15" s="4"/>
      <c r="E15" s="4"/>
      <c r="F15" s="171" t="s">
        <v>17</v>
      </c>
      <c r="G15" s="4"/>
      <c r="H15" s="4"/>
      <c r="I15" s="4"/>
      <c r="J15" s="4"/>
      <c r="K15" s="4"/>
    </row>
    <row r="16" spans="1:16" x14ac:dyDescent="0.25">
      <c r="A16" s="172" t="s">
        <v>18</v>
      </c>
      <c r="B16" s="172" t="s">
        <v>24</v>
      </c>
      <c r="C16" s="172"/>
      <c r="D16" s="172"/>
      <c r="E16" s="172"/>
      <c r="F16" s="201" t="s">
        <v>209</v>
      </c>
      <c r="G16" s="175" t="s">
        <v>24</v>
      </c>
      <c r="H16" s="175" t="s">
        <v>19</v>
      </c>
      <c r="I16" s="175" t="s">
        <v>20</v>
      </c>
      <c r="J16" s="450" t="s">
        <v>21</v>
      </c>
      <c r="K16" s="450"/>
      <c r="L16" s="20"/>
    </row>
    <row r="17" spans="1:15" x14ac:dyDescent="0.25">
      <c r="A17" s="4" t="s">
        <v>348</v>
      </c>
      <c r="B17" s="19">
        <f>+B6</f>
        <v>837578.70033204788</v>
      </c>
      <c r="F17" s="21">
        <f>'Flow Proportions'!$E$30</f>
        <v>1.5825599999999999E-2</v>
      </c>
      <c r="G17" s="19">
        <f>$B$17*F17</f>
        <v>13255.185479974856</v>
      </c>
      <c r="H17" t="s">
        <v>116</v>
      </c>
      <c r="I17" s="11">
        <v>1</v>
      </c>
      <c r="J17" t="s">
        <v>22</v>
      </c>
      <c r="L17" s="3"/>
      <c r="O17"/>
    </row>
    <row r="18" spans="1:15" x14ac:dyDescent="0.25">
      <c r="A18" s="4"/>
      <c r="F18" s="21">
        <f>'Flow Proportions'!$E$31</f>
        <v>0.48817440000000001</v>
      </c>
      <c r="G18" s="19">
        <f>$B$17*F18</f>
        <v>408884.47948737728</v>
      </c>
      <c r="H18" t="s">
        <v>15</v>
      </c>
      <c r="I18" s="11">
        <v>2</v>
      </c>
      <c r="J18" t="s">
        <v>22</v>
      </c>
      <c r="L18" s="3"/>
      <c r="O18"/>
    </row>
    <row r="19" spans="1:15" x14ac:dyDescent="0.25">
      <c r="A19" s="4"/>
      <c r="F19" s="21">
        <f>'Flow Proportions'!$E$32</f>
        <v>0.496</v>
      </c>
      <c r="G19" s="19">
        <f>$B$17*F19</f>
        <v>415439.03536469577</v>
      </c>
      <c r="H19" t="s">
        <v>14</v>
      </c>
      <c r="I19" s="11">
        <v>3</v>
      </c>
      <c r="J19" t="s">
        <v>22</v>
      </c>
      <c r="O19"/>
    </row>
    <row r="20" spans="1:15" x14ac:dyDescent="0.25">
      <c r="A20" s="4"/>
      <c r="F20" s="21">
        <f>'Flow Proportions'!$E$33</f>
        <v>0</v>
      </c>
      <c r="G20" s="19">
        <f>$B$17*F20</f>
        <v>0</v>
      </c>
      <c r="H20" t="s">
        <v>233</v>
      </c>
      <c r="I20" s="11">
        <v>4</v>
      </c>
      <c r="J20" t="s">
        <v>231</v>
      </c>
      <c r="O20"/>
    </row>
    <row r="21" spans="1:15" x14ac:dyDescent="0.25">
      <c r="A21" s="4"/>
      <c r="F21" s="21">
        <f>'Flow Proportions'!$E$34</f>
        <v>0</v>
      </c>
      <c r="G21" s="19">
        <f>$B$17*F21</f>
        <v>0</v>
      </c>
      <c r="H21" t="s">
        <v>229</v>
      </c>
      <c r="I21" s="11">
        <v>5</v>
      </c>
      <c r="J21" t="s">
        <v>231</v>
      </c>
      <c r="L21" s="1"/>
      <c r="O21"/>
    </row>
    <row r="22" spans="1:15" x14ac:dyDescent="0.25">
      <c r="A22" s="4"/>
      <c r="F22" s="21"/>
      <c r="G22" s="19"/>
      <c r="I22" s="11"/>
      <c r="O22"/>
    </row>
    <row r="23" spans="1:15" x14ac:dyDescent="0.25">
      <c r="A23" s="4" t="s">
        <v>14</v>
      </c>
      <c r="B23" s="19">
        <f>B7+G19</f>
        <v>25530978.984948881</v>
      </c>
      <c r="F23" s="21">
        <f>'Flow Proportions'!$E$38</f>
        <v>0.32491358999999997</v>
      </c>
      <c r="G23" s="19">
        <f>$B$23*F23</f>
        <v>8295362.0382142961</v>
      </c>
      <c r="H23" t="s">
        <v>229</v>
      </c>
      <c r="I23" s="11">
        <v>6</v>
      </c>
      <c r="J23" t="s">
        <v>231</v>
      </c>
      <c r="L23" s="2" t="s">
        <v>7</v>
      </c>
      <c r="O23"/>
    </row>
    <row r="24" spans="1:15" x14ac:dyDescent="0.25">
      <c r="A24" s="4"/>
      <c r="F24" s="21">
        <f>'Flow Proportions'!$E$39</f>
        <v>0.43618641000000002</v>
      </c>
      <c r="G24" s="19">
        <f>$B$23*F24</f>
        <v>11136266.067230297</v>
      </c>
      <c r="H24" t="s">
        <v>233</v>
      </c>
      <c r="I24" s="11">
        <v>7</v>
      </c>
      <c r="J24" t="s">
        <v>231</v>
      </c>
      <c r="L24" s="2"/>
      <c r="O24"/>
    </row>
    <row r="25" spans="1:15" x14ac:dyDescent="0.25">
      <c r="A25" s="4"/>
      <c r="F25" s="21">
        <f>'Flow Proportions'!$E$40</f>
        <v>0.23139854000000001</v>
      </c>
      <c r="G25" s="19">
        <f>$B$23*F25</f>
        <v>5907831.261887853</v>
      </c>
      <c r="H25" t="s">
        <v>15</v>
      </c>
      <c r="I25" s="11">
        <v>8</v>
      </c>
      <c r="J25" t="s">
        <v>23</v>
      </c>
      <c r="L25" s="2"/>
      <c r="O25"/>
    </row>
    <row r="26" spans="1:15" x14ac:dyDescent="0.25">
      <c r="A26" s="4"/>
      <c r="F26" s="21">
        <f>'Flow Proportions'!$E$41</f>
        <v>7.5014599999999997E-3</v>
      </c>
      <c r="G26" s="19">
        <f>$B$23*F26</f>
        <v>191519.61761643464</v>
      </c>
      <c r="H26" t="s">
        <v>116</v>
      </c>
      <c r="I26" s="11">
        <v>9</v>
      </c>
      <c r="J26" t="s">
        <v>23</v>
      </c>
      <c r="L26" s="2"/>
      <c r="O26"/>
    </row>
    <row r="27" spans="1:15" x14ac:dyDescent="0.25">
      <c r="A27" s="4"/>
      <c r="F27" s="21"/>
      <c r="G27" s="19"/>
      <c r="I27" s="11"/>
      <c r="O27"/>
    </row>
    <row r="28" spans="1:15" x14ac:dyDescent="0.25">
      <c r="A28" s="4" t="s">
        <v>233</v>
      </c>
      <c r="B28" s="19">
        <f>B8+G20+G24</f>
        <v>11336345.185206028</v>
      </c>
      <c r="F28" s="21">
        <f>'Flow Proportions'!$E$45</f>
        <v>1</v>
      </c>
      <c r="G28" s="19">
        <f>B28*F28</f>
        <v>11336345.185206028</v>
      </c>
      <c r="H28" t="s">
        <v>229</v>
      </c>
      <c r="I28" s="11">
        <v>10</v>
      </c>
      <c r="J28" t="s">
        <v>232</v>
      </c>
      <c r="L28" s="2"/>
      <c r="O28"/>
    </row>
    <row r="29" spans="1:15" x14ac:dyDescent="0.25">
      <c r="A29" s="4"/>
      <c r="F29" s="21"/>
      <c r="G29" s="19"/>
      <c r="I29" s="11"/>
      <c r="L29" s="2"/>
      <c r="O29"/>
    </row>
    <row r="30" spans="1:15" x14ac:dyDescent="0.25">
      <c r="A30" s="4" t="s">
        <v>229</v>
      </c>
      <c r="B30" s="19">
        <f>B9+G21+G23+G28</f>
        <v>19736686.889707003</v>
      </c>
      <c r="F30" s="21">
        <f>'Flow Proportions'!$E$48</f>
        <v>0.96860000000000002</v>
      </c>
      <c r="G30" s="19">
        <f>$B$30*F30</f>
        <v>19116954.921370205</v>
      </c>
      <c r="H30" t="s">
        <v>15</v>
      </c>
      <c r="I30" s="11">
        <v>11</v>
      </c>
      <c r="J30" t="s">
        <v>231</v>
      </c>
      <c r="L30" s="2"/>
      <c r="O30"/>
    </row>
    <row r="31" spans="1:15" x14ac:dyDescent="0.25">
      <c r="A31" s="4"/>
      <c r="F31" s="21">
        <f>'Flow Proportions'!$E$49</f>
        <v>3.1399999999999997E-2</v>
      </c>
      <c r="G31" s="19">
        <f>$B$30*F31</f>
        <v>619731.96833679988</v>
      </c>
      <c r="H31" t="s">
        <v>116</v>
      </c>
      <c r="I31" s="11">
        <v>12</v>
      </c>
      <c r="J31" t="s">
        <v>231</v>
      </c>
      <c r="L31" s="2"/>
      <c r="O31"/>
    </row>
    <row r="32" spans="1:15" x14ac:dyDescent="0.25">
      <c r="A32" s="4"/>
      <c r="F32" s="21"/>
      <c r="G32" s="19"/>
      <c r="I32" s="11"/>
      <c r="L32" s="2"/>
      <c r="O32"/>
    </row>
    <row r="33" spans="1:16" x14ac:dyDescent="0.25">
      <c r="A33" s="4" t="s">
        <v>15</v>
      </c>
      <c r="B33" s="19">
        <f>B10+G30</f>
        <v>29648137.991919883</v>
      </c>
      <c r="F33" s="21">
        <f>'Flow Proportions'!$E$53</f>
        <v>1</v>
      </c>
      <c r="G33" s="19">
        <f>B33*F33</f>
        <v>29648137.991919883</v>
      </c>
      <c r="H33" t="s">
        <v>116</v>
      </c>
      <c r="I33" s="11">
        <v>13</v>
      </c>
      <c r="J33" t="s">
        <v>22</v>
      </c>
      <c r="L33" s="2"/>
    </row>
    <row r="34" spans="1:16" x14ac:dyDescent="0.25">
      <c r="A34" s="4"/>
      <c r="B34" s="19">
        <f>G18+G25</f>
        <v>6316715.7413752303</v>
      </c>
      <c r="G34" s="19">
        <f>B34*F33</f>
        <v>6316715.7413752303</v>
      </c>
      <c r="H34" t="s">
        <v>116</v>
      </c>
      <c r="I34" s="11">
        <v>13</v>
      </c>
      <c r="J34" t="s">
        <v>22</v>
      </c>
      <c r="L34" s="2"/>
    </row>
    <row r="35" spans="1:16" x14ac:dyDescent="0.25">
      <c r="A35" s="4"/>
      <c r="B35" s="19"/>
      <c r="J35" s="2"/>
      <c r="K35" s="2"/>
      <c r="L35" s="2"/>
      <c r="O35"/>
      <c r="P35" s="11"/>
    </row>
    <row r="36" spans="1:16" x14ac:dyDescent="0.25">
      <c r="A36" s="4" t="s">
        <v>116</v>
      </c>
      <c r="B36" s="19">
        <f>B11+G17+G26+G31+G33+G34</f>
        <v>52148207.161262073</v>
      </c>
      <c r="J36" s="2"/>
      <c r="K36" s="2"/>
      <c r="L36" s="2"/>
      <c r="O36"/>
      <c r="P36" s="11"/>
    </row>
    <row r="37" spans="1:16" ht="12" customHeight="1" x14ac:dyDescent="0.25">
      <c r="A37" s="4"/>
    </row>
    <row r="38" spans="1:16" x14ac:dyDescent="0.25">
      <c r="A38" s="4"/>
      <c r="B38" s="4"/>
      <c r="C38" s="4"/>
      <c r="D38" s="24" t="s">
        <v>121</v>
      </c>
      <c r="E38" s="24"/>
      <c r="F38" s="24" t="s">
        <v>204</v>
      </c>
    </row>
    <row r="39" spans="1:16" x14ac:dyDescent="0.25">
      <c r="A39" s="4" t="s">
        <v>11</v>
      </c>
      <c r="B39" s="4"/>
      <c r="C39" s="4"/>
      <c r="D39" s="4"/>
      <c r="E39" s="4"/>
      <c r="F39" s="24" t="s">
        <v>24</v>
      </c>
    </row>
    <row r="40" spans="1:16" x14ac:dyDescent="0.25">
      <c r="A40" s="172" t="s">
        <v>12</v>
      </c>
      <c r="B40" s="172" t="s">
        <v>0</v>
      </c>
      <c r="C40" s="172"/>
      <c r="D40" s="175" t="s">
        <v>24</v>
      </c>
      <c r="E40" s="172"/>
      <c r="F40" s="175" t="s">
        <v>13</v>
      </c>
    </row>
    <row r="41" spans="1:16" x14ac:dyDescent="0.25">
      <c r="A41" s="4" t="s">
        <v>14</v>
      </c>
      <c r="B41" t="s">
        <v>5</v>
      </c>
      <c r="D41" s="19">
        <f>B7</f>
        <v>25115539.949584186</v>
      </c>
      <c r="F41" s="1">
        <f>D41/$D$43</f>
        <v>0.98372804130975133</v>
      </c>
      <c r="P41" s="22"/>
    </row>
    <row r="42" spans="1:16" x14ac:dyDescent="0.25">
      <c r="A42" s="4"/>
      <c r="B42" t="s">
        <v>25</v>
      </c>
      <c r="D42" s="19">
        <f>B23-D41</f>
        <v>415439.03536469489</v>
      </c>
      <c r="E42" s="19"/>
      <c r="F42" s="1">
        <f>D42/$D$43</f>
        <v>1.627195869024866E-2</v>
      </c>
      <c r="P42" s="22"/>
    </row>
    <row r="43" spans="1:16" x14ac:dyDescent="0.25">
      <c r="A43" s="4"/>
      <c r="B43" t="s">
        <v>26</v>
      </c>
      <c r="D43" s="19">
        <f>D41+D42</f>
        <v>25530978.984948881</v>
      </c>
      <c r="F43" s="1">
        <f>SUM(F41:F42)</f>
        <v>1</v>
      </c>
      <c r="P43" s="22"/>
    </row>
    <row r="44" spans="1:16" x14ac:dyDescent="0.25">
      <c r="A44" s="4"/>
      <c r="D44" s="19"/>
      <c r="F44" s="1"/>
      <c r="P44" s="22"/>
    </row>
    <row r="45" spans="1:16" x14ac:dyDescent="0.25">
      <c r="A45" s="4" t="s">
        <v>233</v>
      </c>
      <c r="B45" t="s">
        <v>5</v>
      </c>
      <c r="D45" s="19">
        <f>B8</f>
        <v>200079.11797573123</v>
      </c>
      <c r="F45" s="1">
        <f>D45/$D$47</f>
        <v>1.7649349477893036E-2</v>
      </c>
      <c r="P45" s="22"/>
    </row>
    <row r="46" spans="1:16" x14ac:dyDescent="0.25">
      <c r="A46" s="4"/>
      <c r="B46" t="s">
        <v>27</v>
      </c>
      <c r="D46" s="19">
        <f>B28-D45</f>
        <v>11136266.067230297</v>
      </c>
      <c r="F46" s="1">
        <f>D46/$D$47</f>
        <v>0.98235065052210702</v>
      </c>
      <c r="P46" s="22"/>
    </row>
    <row r="47" spans="1:16" x14ac:dyDescent="0.25">
      <c r="A47" s="4"/>
      <c r="B47" t="s">
        <v>26</v>
      </c>
      <c r="D47" s="19">
        <f>SUM(D45:D46)</f>
        <v>11336345.185206028</v>
      </c>
      <c r="F47" s="1">
        <f>SUM(F45:F46)</f>
        <v>1</v>
      </c>
      <c r="P47" s="22"/>
    </row>
    <row r="48" spans="1:16" x14ac:dyDescent="0.25">
      <c r="A48" s="4"/>
      <c r="D48" s="19"/>
      <c r="F48" s="1"/>
      <c r="P48" s="22"/>
    </row>
    <row r="49" spans="1:16" x14ac:dyDescent="0.25">
      <c r="A49" s="4" t="s">
        <v>229</v>
      </c>
      <c r="B49" t="s">
        <v>5</v>
      </c>
      <c r="D49" s="19">
        <f>B9</f>
        <v>104979.66628667848</v>
      </c>
      <c r="F49" s="1">
        <f>D49/$D$52</f>
        <v>5.3190115885876988E-3</v>
      </c>
      <c r="P49" s="22"/>
    </row>
    <row r="50" spans="1:16" x14ac:dyDescent="0.25">
      <c r="A50" s="4"/>
      <c r="B50" t="s">
        <v>236</v>
      </c>
      <c r="D50" s="19">
        <f>B28</f>
        <v>11336345.185206028</v>
      </c>
      <c r="F50" s="1">
        <f>D50/$D$52</f>
        <v>0.57437933978261113</v>
      </c>
      <c r="P50" s="22"/>
    </row>
    <row r="51" spans="1:16" x14ac:dyDescent="0.25">
      <c r="A51" s="4"/>
      <c r="B51" t="s">
        <v>27</v>
      </c>
      <c r="D51" s="19">
        <f>B30-D49-D50</f>
        <v>8295362.038214298</v>
      </c>
      <c r="F51" s="1">
        <f>D51/$D$52</f>
        <v>0.42030164862880104</v>
      </c>
      <c r="P51" s="22"/>
    </row>
    <row r="52" spans="1:16" x14ac:dyDescent="0.25">
      <c r="A52" s="4"/>
      <c r="B52" t="s">
        <v>26</v>
      </c>
      <c r="D52" s="19">
        <f>SUM(D49:D51)</f>
        <v>19736686.889707007</v>
      </c>
      <c r="F52" s="1">
        <f>SUM(F49:F51)</f>
        <v>0.99999999999999989</v>
      </c>
      <c r="P52" s="22"/>
    </row>
    <row r="53" spans="1:16" x14ac:dyDescent="0.25">
      <c r="A53" s="4"/>
      <c r="D53" s="19"/>
      <c r="F53" s="1"/>
      <c r="P53" s="22"/>
    </row>
    <row r="54" spans="1:16" x14ac:dyDescent="0.25">
      <c r="A54" s="4" t="s">
        <v>15</v>
      </c>
      <c r="B54" t="s">
        <v>5</v>
      </c>
      <c r="D54" s="19">
        <f>B10</f>
        <v>10531183.07054968</v>
      </c>
      <c r="F54" s="1">
        <f>D54/$D57</f>
        <v>0.29281873766666389</v>
      </c>
      <c r="P54" s="22"/>
    </row>
    <row r="55" spans="1:16" x14ac:dyDescent="0.25">
      <c r="B55" t="s">
        <v>27</v>
      </c>
      <c r="D55" s="19">
        <f>B33+B34-D54-D56</f>
        <v>6316715.5394280516</v>
      </c>
      <c r="F55" s="1">
        <f>D55/$D57</f>
        <v>0.17563579116075309</v>
      </c>
      <c r="P55" s="22"/>
    </row>
    <row r="56" spans="1:16" x14ac:dyDescent="0.25">
      <c r="B56" t="s">
        <v>237</v>
      </c>
      <c r="D56" s="19">
        <f>G30+D10</f>
        <v>19116955.12331738</v>
      </c>
      <c r="F56" s="1">
        <f>D56/$D57</f>
        <v>0.531545471172583</v>
      </c>
      <c r="P56" s="22"/>
    </row>
    <row r="57" spans="1:16" x14ac:dyDescent="0.25">
      <c r="B57" t="s">
        <v>26</v>
      </c>
      <c r="D57" s="19">
        <f>SUM(D54:D56)</f>
        <v>35964853.733295113</v>
      </c>
      <c r="F57" s="1">
        <f>SUM(F54:F56)</f>
        <v>1</v>
      </c>
      <c r="P57" s="22"/>
    </row>
    <row r="60" spans="1:16" x14ac:dyDescent="0.25">
      <c r="A60" s="25" t="s">
        <v>325</v>
      </c>
    </row>
    <row r="61" spans="1:16" x14ac:dyDescent="0.25">
      <c r="A61" s="4" t="s">
        <v>506</v>
      </c>
      <c r="B61" s="4"/>
    </row>
    <row r="62" spans="1:16" x14ac:dyDescent="0.25">
      <c r="A62" s="4" t="s">
        <v>507</v>
      </c>
      <c r="B62" s="4"/>
    </row>
    <row r="63" spans="1:16" x14ac:dyDescent="0.25">
      <c r="A63" s="4" t="s">
        <v>508</v>
      </c>
      <c r="B63" s="4"/>
    </row>
    <row r="64" spans="1:16" x14ac:dyDescent="0.25">
      <c r="A64" s="4" t="s">
        <v>509</v>
      </c>
      <c r="B64" s="4"/>
    </row>
    <row r="65" spans="1:15" x14ac:dyDescent="0.25">
      <c r="A65" s="4" t="s">
        <v>510</v>
      </c>
      <c r="B65" s="4"/>
    </row>
    <row r="66" spans="1:15" x14ac:dyDescent="0.25">
      <c r="A66" s="4" t="s">
        <v>511</v>
      </c>
      <c r="B66" s="4"/>
      <c r="O66"/>
    </row>
    <row r="67" spans="1:15" x14ac:dyDescent="0.25">
      <c r="A67" s="4" t="s">
        <v>512</v>
      </c>
      <c r="B67" s="4"/>
      <c r="O67"/>
    </row>
  </sheetData>
  <mergeCells count="2">
    <mergeCell ref="J16:K16"/>
    <mergeCell ref="A1:L1"/>
  </mergeCells>
  <phoneticPr fontId="13" type="noConversion"/>
  <printOptions horizontalCentered="1"/>
  <pageMargins left="0.75" right="0.75" top="1" bottom="1" header="0.5" footer="0.5"/>
  <pageSetup scale="75" orientation="portrait" r:id="rId1"/>
  <headerFooter alignWithMargins="0">
    <oddHeader>&amp;RPage 27 of 42</oddHeader>
    <oddFooter>&amp;R&amp;F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P67"/>
  <sheetViews>
    <sheetView topLeftCell="A19" zoomScale="75" zoomScaleNormal="75" workbookViewId="0">
      <selection sqref="A1:L1"/>
    </sheetView>
  </sheetViews>
  <sheetFormatPr defaultColWidth="9.33203125" defaultRowHeight="13.2" x14ac:dyDescent="0.25"/>
  <cols>
    <col min="2" max="2" width="13.5546875" customWidth="1"/>
    <col min="3" max="3" width="6.6640625" customWidth="1"/>
    <col min="4" max="4" width="12.44140625" customWidth="1"/>
    <col min="5" max="5" width="5.6640625" customWidth="1"/>
    <col min="6" max="6" width="13.33203125" customWidth="1"/>
    <col min="7" max="7" width="12" customWidth="1"/>
    <col min="8" max="8" width="12.6640625" customWidth="1"/>
    <col min="9" max="9" width="4.6640625" customWidth="1"/>
    <col min="10" max="10" width="12.6640625" customWidth="1"/>
    <col min="11" max="11" width="7.33203125" customWidth="1"/>
    <col min="12" max="12" width="10.44140625" customWidth="1"/>
    <col min="13" max="13" width="10.33203125" customWidth="1"/>
    <col min="14" max="14" width="13.6640625" customWidth="1"/>
    <col min="15" max="15" width="6.5546875" style="11" customWidth="1"/>
    <col min="16" max="16" width="13.6640625" customWidth="1"/>
    <col min="17" max="17" width="3.33203125" customWidth="1"/>
    <col min="18" max="18" width="12.6640625" customWidth="1"/>
  </cols>
  <sheetData>
    <row r="1" spans="1:16" ht="15.6" x14ac:dyDescent="0.3">
      <c r="A1" s="451" t="s">
        <v>423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</row>
    <row r="4" spans="1:16" x14ac:dyDescent="0.25">
      <c r="A4" s="4" t="s">
        <v>11</v>
      </c>
      <c r="B4" s="24" t="s">
        <v>133</v>
      </c>
      <c r="C4" s="24"/>
      <c r="D4" s="24" t="s">
        <v>117</v>
      </c>
      <c r="F4" s="12"/>
      <c r="G4" s="11"/>
    </row>
    <row r="5" spans="1:16" x14ac:dyDescent="0.25">
      <c r="A5" s="172" t="s">
        <v>12</v>
      </c>
      <c r="B5" s="175" t="s">
        <v>24</v>
      </c>
      <c r="C5" s="175"/>
      <c r="D5" s="175" t="s">
        <v>13</v>
      </c>
    </row>
    <row r="6" spans="1:16" x14ac:dyDescent="0.25">
      <c r="A6" s="4" t="s">
        <v>348</v>
      </c>
      <c r="B6" s="305">
        <f>'Entry Profile P'!$E$23</f>
        <v>27.434690929886493</v>
      </c>
      <c r="C6" s="14"/>
      <c r="D6" s="306">
        <f t="shared" ref="D6:D11" si="0">+B6/$B$12</f>
        <v>2.0401936064125346E-2</v>
      </c>
    </row>
    <row r="7" spans="1:16" x14ac:dyDescent="0.25">
      <c r="A7" s="4" t="s">
        <v>14</v>
      </c>
      <c r="B7" s="305">
        <f>'Entry Profile P'!$E$24</f>
        <v>27.699195690372242</v>
      </c>
      <c r="C7" s="14"/>
      <c r="D7" s="306">
        <f t="shared" si="0"/>
        <v>2.0598636264826657E-2</v>
      </c>
    </row>
    <row r="8" spans="1:16" x14ac:dyDescent="0.25">
      <c r="A8" s="4" t="s">
        <v>233</v>
      </c>
      <c r="B8" s="305">
        <f>'Entry Profile P'!$E$25</f>
        <v>37.975297036197382</v>
      </c>
      <c r="C8" s="14"/>
      <c r="D8" s="306">
        <f t="shared" si="0"/>
        <v>2.8240507032818732E-2</v>
      </c>
    </row>
    <row r="9" spans="1:16" x14ac:dyDescent="0.25">
      <c r="A9" s="4" t="s">
        <v>229</v>
      </c>
      <c r="B9" s="305">
        <f>'Entry Profile P'!$E$26</f>
        <v>49.171230369191754</v>
      </c>
      <c r="C9" s="14"/>
      <c r="D9" s="306">
        <f t="shared" si="0"/>
        <v>3.6566415154828183E-2</v>
      </c>
    </row>
    <row r="10" spans="1:16" x14ac:dyDescent="0.25">
      <c r="A10" s="4" t="s">
        <v>15</v>
      </c>
      <c r="B10" s="305">
        <f>'Entry Profile P'!$E$27</f>
        <v>1075.8682365611246</v>
      </c>
      <c r="C10" s="14"/>
      <c r="D10" s="306">
        <f t="shared" si="0"/>
        <v>0.80007443976093529</v>
      </c>
    </row>
    <row r="11" spans="1:16" x14ac:dyDescent="0.25">
      <c r="A11" s="4" t="s">
        <v>116</v>
      </c>
      <c r="B11" s="305">
        <f>'Entry Profile P'!$E$28</f>
        <v>126.56152023507924</v>
      </c>
      <c r="C11" s="14"/>
      <c r="D11" s="306">
        <f t="shared" si="0"/>
        <v>9.4118065722465796E-2</v>
      </c>
    </row>
    <row r="12" spans="1:16" x14ac:dyDescent="0.25">
      <c r="A12" s="200" t="s">
        <v>16</v>
      </c>
      <c r="B12" s="29">
        <f>SUM(B6:B11)</f>
        <v>1344.7101708218518</v>
      </c>
      <c r="C12" s="17"/>
      <c r="D12" s="307">
        <f>SUM(D6:D11)</f>
        <v>1</v>
      </c>
    </row>
    <row r="13" spans="1:16" x14ac:dyDescent="0.25">
      <c r="P13" s="19"/>
    </row>
    <row r="14" spans="1:16" x14ac:dyDescent="0.25">
      <c r="A14" s="4"/>
      <c r="B14" s="24" t="s">
        <v>118</v>
      </c>
      <c r="C14" s="4"/>
      <c r="D14" s="4"/>
      <c r="E14" s="4"/>
      <c r="F14" s="24" t="s">
        <v>119</v>
      </c>
      <c r="G14" s="24" t="s">
        <v>120</v>
      </c>
      <c r="H14" s="4"/>
      <c r="I14" s="4"/>
      <c r="J14" s="4"/>
      <c r="K14" s="4"/>
      <c r="P14" s="19"/>
    </row>
    <row r="15" spans="1:16" x14ac:dyDescent="0.25">
      <c r="A15" s="4"/>
      <c r="B15" s="4"/>
      <c r="C15" s="4"/>
      <c r="D15" s="4"/>
      <c r="E15" s="4"/>
      <c r="F15" s="171" t="s">
        <v>17</v>
      </c>
      <c r="G15" s="4"/>
      <c r="H15" s="4"/>
      <c r="I15" s="4"/>
      <c r="J15" s="4"/>
      <c r="K15" s="4"/>
    </row>
    <row r="16" spans="1:16" x14ac:dyDescent="0.25">
      <c r="A16" s="172" t="s">
        <v>18</v>
      </c>
      <c r="B16" s="172" t="s">
        <v>24</v>
      </c>
      <c r="C16" s="172"/>
      <c r="D16" s="172"/>
      <c r="E16" s="172"/>
      <c r="F16" s="201" t="s">
        <v>209</v>
      </c>
      <c r="G16" s="175" t="s">
        <v>24</v>
      </c>
      <c r="H16" s="175" t="s">
        <v>19</v>
      </c>
      <c r="I16" s="175" t="s">
        <v>20</v>
      </c>
      <c r="J16" s="450" t="s">
        <v>21</v>
      </c>
      <c r="K16" s="450"/>
      <c r="L16" s="20"/>
    </row>
    <row r="17" spans="1:15" x14ac:dyDescent="0.25">
      <c r="A17" s="4" t="s">
        <v>348</v>
      </c>
      <c r="B17" s="19">
        <f>+B6</f>
        <v>27.434690929886493</v>
      </c>
      <c r="F17" s="107">
        <f>'Flow Proportions'!$E$30</f>
        <v>1.5825599999999999E-2</v>
      </c>
      <c r="G17" s="19">
        <f>$B$17*F17</f>
        <v>0.43417044478001166</v>
      </c>
      <c r="H17" t="s">
        <v>116</v>
      </c>
      <c r="I17" s="11">
        <v>1</v>
      </c>
      <c r="J17" t="s">
        <v>22</v>
      </c>
      <c r="L17" s="3"/>
      <c r="O17"/>
    </row>
    <row r="18" spans="1:15" x14ac:dyDescent="0.25">
      <c r="A18" s="4"/>
      <c r="F18" s="107">
        <f>'Flow Proportions'!$E$31</f>
        <v>0.48817440000000001</v>
      </c>
      <c r="G18" s="19">
        <f>$B$17*F18</f>
        <v>13.392913783882781</v>
      </c>
      <c r="H18" t="s">
        <v>15</v>
      </c>
      <c r="I18" s="11">
        <v>2</v>
      </c>
      <c r="J18" t="s">
        <v>22</v>
      </c>
      <c r="L18" s="3"/>
      <c r="O18"/>
    </row>
    <row r="19" spans="1:15" x14ac:dyDescent="0.25">
      <c r="A19" s="4"/>
      <c r="F19" s="107">
        <f>'Flow Proportions'!$E$32</f>
        <v>0.496</v>
      </c>
      <c r="G19" s="19">
        <f>$B$17*F19</f>
        <v>13.6076067012237</v>
      </c>
      <c r="H19" t="s">
        <v>14</v>
      </c>
      <c r="I19" s="11">
        <v>3</v>
      </c>
      <c r="J19" t="s">
        <v>22</v>
      </c>
      <c r="O19"/>
    </row>
    <row r="20" spans="1:15" x14ac:dyDescent="0.25">
      <c r="A20" s="4"/>
      <c r="F20" s="107">
        <f>'Flow Proportions'!$E$33</f>
        <v>0</v>
      </c>
      <c r="G20" s="19">
        <f>$B$17*F20</f>
        <v>0</v>
      </c>
      <c r="H20" t="s">
        <v>233</v>
      </c>
      <c r="I20" s="11">
        <v>4</v>
      </c>
      <c r="J20" t="s">
        <v>231</v>
      </c>
      <c r="O20"/>
    </row>
    <row r="21" spans="1:15" x14ac:dyDescent="0.25">
      <c r="A21" s="4"/>
      <c r="F21" s="107">
        <f>'Flow Proportions'!$E$34</f>
        <v>0</v>
      </c>
      <c r="G21" s="19">
        <f>$B$17*F21</f>
        <v>0</v>
      </c>
      <c r="H21" t="s">
        <v>229</v>
      </c>
      <c r="I21" s="11">
        <v>5</v>
      </c>
      <c r="J21" t="s">
        <v>231</v>
      </c>
      <c r="L21" s="1"/>
      <c r="O21"/>
    </row>
    <row r="22" spans="1:15" x14ac:dyDescent="0.25">
      <c r="A22" s="4"/>
      <c r="F22" s="107"/>
      <c r="G22" s="19"/>
      <c r="I22" s="11"/>
      <c r="O22"/>
    </row>
    <row r="23" spans="1:15" x14ac:dyDescent="0.25">
      <c r="A23" s="4" t="s">
        <v>14</v>
      </c>
      <c r="B23" s="19">
        <f>B7+G19</f>
        <v>41.306802391595944</v>
      </c>
      <c r="F23" s="107">
        <f>'Flow Proportions'!$E$38</f>
        <v>0.32491358999999997</v>
      </c>
      <c r="G23" s="19">
        <f>$B$23*F23</f>
        <v>13.421141456474023</v>
      </c>
      <c r="H23" t="s">
        <v>229</v>
      </c>
      <c r="I23" s="11">
        <v>6</v>
      </c>
      <c r="J23" t="s">
        <v>231</v>
      </c>
      <c r="L23" s="2" t="s">
        <v>7</v>
      </c>
      <c r="O23"/>
    </row>
    <row r="24" spans="1:15" x14ac:dyDescent="0.25">
      <c r="A24" s="4"/>
      <c r="F24" s="107">
        <f>'Flow Proportions'!$E$39</f>
        <v>0.43618641000000002</v>
      </c>
      <c r="G24" s="19">
        <f>$B$23*F24</f>
        <v>18.017465843769649</v>
      </c>
      <c r="H24" t="s">
        <v>233</v>
      </c>
      <c r="I24" s="11">
        <v>7</v>
      </c>
      <c r="J24" t="s">
        <v>231</v>
      </c>
      <c r="L24" s="2"/>
      <c r="O24"/>
    </row>
    <row r="25" spans="1:15" x14ac:dyDescent="0.25">
      <c r="A25" s="4"/>
      <c r="F25" s="107">
        <f>'Flow Proportions'!$E$40</f>
        <v>0.23139854000000001</v>
      </c>
      <c r="G25" s="19">
        <f>$B$23*F25</f>
        <v>9.5583337654838108</v>
      </c>
      <c r="H25" t="s">
        <v>15</v>
      </c>
      <c r="I25" s="11">
        <v>8</v>
      </c>
      <c r="J25" t="s">
        <v>23</v>
      </c>
      <c r="L25" s="2"/>
      <c r="O25"/>
    </row>
    <row r="26" spans="1:15" x14ac:dyDescent="0.25">
      <c r="A26" s="4"/>
      <c r="F26" s="107">
        <f>'Flow Proportions'!$E$41</f>
        <v>7.5014599999999997E-3</v>
      </c>
      <c r="G26" s="19">
        <f>$B$23*F26</f>
        <v>0.30986132586846132</v>
      </c>
      <c r="H26" t="s">
        <v>116</v>
      </c>
      <c r="I26" s="11">
        <v>9</v>
      </c>
      <c r="J26" t="s">
        <v>23</v>
      </c>
      <c r="L26" s="2"/>
      <c r="O26"/>
    </row>
    <row r="27" spans="1:15" x14ac:dyDescent="0.25">
      <c r="A27" s="4"/>
      <c r="F27" s="107"/>
      <c r="G27" s="19"/>
      <c r="I27" s="11"/>
      <c r="O27"/>
    </row>
    <row r="28" spans="1:15" x14ac:dyDescent="0.25">
      <c r="A28" s="4" t="s">
        <v>233</v>
      </c>
      <c r="B28" s="19">
        <f>B8+G20+G24</f>
        <v>55.992762879967032</v>
      </c>
      <c r="F28" s="107">
        <f>'Flow Proportions'!$E$45</f>
        <v>1</v>
      </c>
      <c r="G28" s="19">
        <f>B28*F28</f>
        <v>55.992762879967032</v>
      </c>
      <c r="H28" t="s">
        <v>229</v>
      </c>
      <c r="I28" s="11">
        <v>10</v>
      </c>
      <c r="J28" t="s">
        <v>232</v>
      </c>
      <c r="L28" s="2"/>
      <c r="O28"/>
    </row>
    <row r="29" spans="1:15" x14ac:dyDescent="0.25">
      <c r="A29" s="4"/>
      <c r="F29" s="107"/>
      <c r="G29" s="19"/>
      <c r="I29" s="11"/>
      <c r="L29" s="2"/>
      <c r="O29"/>
    </row>
    <row r="30" spans="1:15" x14ac:dyDescent="0.25">
      <c r="A30" s="4" t="s">
        <v>229</v>
      </c>
      <c r="B30" s="19">
        <f>B9+G21+G23+G28</f>
        <v>118.58513470563281</v>
      </c>
      <c r="F30" s="107">
        <f>'Flow Proportions'!$E$48</f>
        <v>0.96860000000000002</v>
      </c>
      <c r="G30" s="19">
        <f>$B$30*F30</f>
        <v>114.86156147587594</v>
      </c>
      <c r="H30" t="s">
        <v>15</v>
      </c>
      <c r="I30" s="11">
        <v>11</v>
      </c>
      <c r="J30" t="s">
        <v>231</v>
      </c>
      <c r="L30" s="2"/>
      <c r="O30"/>
    </row>
    <row r="31" spans="1:15" x14ac:dyDescent="0.25">
      <c r="A31" s="4"/>
      <c r="F31" s="107">
        <f>'Flow Proportions'!$E$49</f>
        <v>3.1399999999999997E-2</v>
      </c>
      <c r="G31" s="19">
        <f>$B$30*F31</f>
        <v>3.72357322975687</v>
      </c>
      <c r="H31" t="s">
        <v>116</v>
      </c>
      <c r="I31" s="11">
        <v>12</v>
      </c>
      <c r="J31" t="s">
        <v>231</v>
      </c>
      <c r="L31" s="2"/>
      <c r="O31"/>
    </row>
    <row r="32" spans="1:15" x14ac:dyDescent="0.25">
      <c r="A32" s="4"/>
      <c r="F32" s="107"/>
      <c r="G32" s="19"/>
      <c r="I32" s="11"/>
      <c r="L32" s="2"/>
      <c r="O32"/>
    </row>
    <row r="33" spans="1:16" x14ac:dyDescent="0.25">
      <c r="A33" s="4" t="s">
        <v>15</v>
      </c>
      <c r="B33" s="19">
        <f>B10+G30</f>
        <v>1190.7297980370006</v>
      </c>
      <c r="F33" s="107">
        <f>'Flow Proportions'!$E$53</f>
        <v>1</v>
      </c>
      <c r="G33" s="19">
        <f>B33*F33</f>
        <v>1190.7297980370006</v>
      </c>
      <c r="H33" t="s">
        <v>116</v>
      </c>
      <c r="I33" s="11">
        <v>13</v>
      </c>
      <c r="J33" t="s">
        <v>22</v>
      </c>
      <c r="L33" s="2"/>
    </row>
    <row r="34" spans="1:16" x14ac:dyDescent="0.25">
      <c r="A34" s="4"/>
      <c r="B34" s="19">
        <f>G18+G25</f>
        <v>22.951247549366592</v>
      </c>
      <c r="G34" s="19">
        <f>B34*F33</f>
        <v>22.951247549366592</v>
      </c>
      <c r="H34" t="s">
        <v>116</v>
      </c>
      <c r="I34" s="11">
        <v>13</v>
      </c>
      <c r="J34" t="s">
        <v>22</v>
      </c>
      <c r="L34" s="2"/>
    </row>
    <row r="35" spans="1:16" x14ac:dyDescent="0.25">
      <c r="A35" s="4"/>
      <c r="B35" s="19"/>
      <c r="J35" s="2"/>
      <c r="K35" s="2"/>
      <c r="L35" s="2"/>
      <c r="O35"/>
      <c r="P35" s="11"/>
    </row>
    <row r="36" spans="1:16" x14ac:dyDescent="0.25">
      <c r="A36" s="4" t="s">
        <v>116</v>
      </c>
      <c r="B36" s="19">
        <f>B11+G17+G26+G31+G33+G34</f>
        <v>1344.7101708218518</v>
      </c>
      <c r="J36" s="2"/>
      <c r="K36" s="2"/>
      <c r="L36" s="2"/>
      <c r="O36"/>
      <c r="P36" s="11"/>
    </row>
    <row r="37" spans="1:16" x14ac:dyDescent="0.25">
      <c r="A37" s="4"/>
    </row>
    <row r="38" spans="1:16" x14ac:dyDescent="0.25">
      <c r="A38" s="4"/>
      <c r="B38" s="4"/>
      <c r="C38" s="4"/>
      <c r="D38" s="24" t="s">
        <v>121</v>
      </c>
      <c r="E38" s="24"/>
      <c r="F38" s="24" t="s">
        <v>204</v>
      </c>
    </row>
    <row r="39" spans="1:16" x14ac:dyDescent="0.25">
      <c r="A39" s="4" t="s">
        <v>11</v>
      </c>
      <c r="B39" s="4"/>
      <c r="C39" s="4"/>
      <c r="D39" s="4"/>
      <c r="E39" s="4"/>
      <c r="F39" s="24" t="s">
        <v>24</v>
      </c>
    </row>
    <row r="40" spans="1:16" x14ac:dyDescent="0.25">
      <c r="A40" s="172" t="s">
        <v>12</v>
      </c>
      <c r="B40" s="172" t="s">
        <v>0</v>
      </c>
      <c r="C40" s="172"/>
      <c r="D40" s="175" t="s">
        <v>24</v>
      </c>
      <c r="E40" s="172"/>
      <c r="F40" s="175" t="s">
        <v>13</v>
      </c>
    </row>
    <row r="41" spans="1:16" x14ac:dyDescent="0.25">
      <c r="A41" s="4" t="s">
        <v>14</v>
      </c>
      <c r="B41" t="s">
        <v>5</v>
      </c>
      <c r="D41" s="19">
        <f>B7</f>
        <v>27.699195690372242</v>
      </c>
      <c r="F41" s="1">
        <f>D41/$D$43</f>
        <v>0.67057225654454844</v>
      </c>
      <c r="P41" s="22"/>
    </row>
    <row r="42" spans="1:16" x14ac:dyDescent="0.25">
      <c r="A42" s="4"/>
      <c r="B42" t="s">
        <v>25</v>
      </c>
      <c r="D42" s="19">
        <f>B23-D41</f>
        <v>13.607606701223702</v>
      </c>
      <c r="E42" s="19"/>
      <c r="F42" s="1">
        <f>D42/$D$43</f>
        <v>0.32942774345545156</v>
      </c>
      <c r="P42" s="22"/>
    </row>
    <row r="43" spans="1:16" x14ac:dyDescent="0.25">
      <c r="A43" s="4"/>
      <c r="B43" t="s">
        <v>26</v>
      </c>
      <c r="D43" s="19">
        <f>D41+D42</f>
        <v>41.306802391595944</v>
      </c>
      <c r="F43" s="1">
        <f>SUM(F41:F42)</f>
        <v>1</v>
      </c>
      <c r="P43" s="22"/>
    </row>
    <row r="44" spans="1:16" x14ac:dyDescent="0.25">
      <c r="A44" s="4"/>
      <c r="D44" s="19"/>
      <c r="F44" s="1"/>
      <c r="P44" s="22"/>
    </row>
    <row r="45" spans="1:16" x14ac:dyDescent="0.25">
      <c r="A45" s="4" t="s">
        <v>233</v>
      </c>
      <c r="B45" t="s">
        <v>5</v>
      </c>
      <c r="D45" s="19">
        <f>B8</f>
        <v>37.975297036197382</v>
      </c>
      <c r="F45" s="1">
        <f>D45/$D$47</f>
        <v>0.67821795323095413</v>
      </c>
      <c r="P45" s="22"/>
    </row>
    <row r="46" spans="1:16" x14ac:dyDescent="0.25">
      <c r="A46" s="4"/>
      <c r="B46" t="s">
        <v>27</v>
      </c>
      <c r="D46" s="19">
        <f>B28-D45</f>
        <v>18.017465843769649</v>
      </c>
      <c r="F46" s="1">
        <f>D46/$D$47</f>
        <v>0.32178204676904593</v>
      </c>
      <c r="P46" s="22"/>
    </row>
    <row r="47" spans="1:16" x14ac:dyDescent="0.25">
      <c r="A47" s="4"/>
      <c r="B47" t="s">
        <v>26</v>
      </c>
      <c r="D47" s="19">
        <f>SUM(D45:D46)</f>
        <v>55.992762879967032</v>
      </c>
      <c r="F47" s="1">
        <f>SUM(F45:F46)</f>
        <v>1</v>
      </c>
      <c r="P47" s="22"/>
    </row>
    <row r="48" spans="1:16" x14ac:dyDescent="0.25">
      <c r="A48" s="4"/>
      <c r="D48" s="19"/>
      <c r="F48" s="1"/>
      <c r="P48" s="22"/>
    </row>
    <row r="49" spans="1:16" x14ac:dyDescent="0.25">
      <c r="A49" s="4" t="s">
        <v>229</v>
      </c>
      <c r="B49" t="s">
        <v>5</v>
      </c>
      <c r="D49" s="19">
        <f>B9</f>
        <v>49.171230369191754</v>
      </c>
      <c r="F49" s="1">
        <f>D49/$D$52</f>
        <v>0.41464919267706596</v>
      </c>
      <c r="P49" s="22"/>
    </row>
    <row r="50" spans="1:16" x14ac:dyDescent="0.25">
      <c r="A50" s="4"/>
      <c r="B50" t="s">
        <v>236</v>
      </c>
      <c r="D50" s="19">
        <f>B28</f>
        <v>55.992762879967032</v>
      </c>
      <c r="F50" s="1">
        <f>D50/$D$52</f>
        <v>0.47217354029203945</v>
      </c>
      <c r="P50" s="22"/>
    </row>
    <row r="51" spans="1:16" x14ac:dyDescent="0.25">
      <c r="A51" s="4"/>
      <c r="B51" t="s">
        <v>27</v>
      </c>
      <c r="D51" s="19">
        <f>B30-D49-D50</f>
        <v>13.421141456474018</v>
      </c>
      <c r="F51" s="1">
        <f>D51/$D$52</f>
        <v>0.11317726703089467</v>
      </c>
      <c r="P51" s="22"/>
    </row>
    <row r="52" spans="1:16" x14ac:dyDescent="0.25">
      <c r="A52" s="4"/>
      <c r="B52" t="s">
        <v>26</v>
      </c>
      <c r="D52" s="19">
        <f>SUM(D49:D51)</f>
        <v>118.5851347056328</v>
      </c>
      <c r="F52" s="1">
        <f>SUM(F49:F51)</f>
        <v>1</v>
      </c>
      <c r="P52" s="22"/>
    </row>
    <row r="53" spans="1:16" x14ac:dyDescent="0.25">
      <c r="A53" s="4"/>
      <c r="D53" s="19"/>
      <c r="F53" s="1"/>
      <c r="P53" s="22"/>
    </row>
    <row r="54" spans="1:16" x14ac:dyDescent="0.25">
      <c r="A54" s="4" t="s">
        <v>15</v>
      </c>
      <c r="B54" t="s">
        <v>5</v>
      </c>
      <c r="D54" s="19">
        <f>B10</f>
        <v>1075.8682365611246</v>
      </c>
      <c r="F54" s="1">
        <f>D54/$D57</f>
        <v>0.88645055508907533</v>
      </c>
      <c r="P54" s="22"/>
    </row>
    <row r="55" spans="1:16" x14ac:dyDescent="0.25">
      <c r="A55" s="4"/>
      <c r="B55" t="s">
        <v>27</v>
      </c>
      <c r="D55" s="19">
        <f>B33+B34-D54-D56</f>
        <v>22.151173109605708</v>
      </c>
      <c r="F55" s="1">
        <f>D55/$D57</f>
        <v>1.8251230988701635E-2</v>
      </c>
      <c r="P55" s="22"/>
    </row>
    <row r="56" spans="1:16" x14ac:dyDescent="0.25">
      <c r="A56" s="4"/>
      <c r="B56" t="s">
        <v>237</v>
      </c>
      <c r="D56" s="19">
        <f>G30+D10</f>
        <v>115.66163591563688</v>
      </c>
      <c r="F56" s="1">
        <f>D56/$D57</f>
        <v>9.5298213922222971E-2</v>
      </c>
      <c r="P56" s="22"/>
    </row>
    <row r="57" spans="1:16" x14ac:dyDescent="0.25">
      <c r="A57" s="4"/>
      <c r="B57" t="s">
        <v>26</v>
      </c>
      <c r="D57" s="19">
        <f>SUM(D54:D56)</f>
        <v>1213.6810455863672</v>
      </c>
      <c r="F57" s="1">
        <f>SUM(F54:F56)</f>
        <v>0.99999999999999989</v>
      </c>
      <c r="P57" s="22"/>
    </row>
    <row r="60" spans="1:16" x14ac:dyDescent="0.25">
      <c r="A60" s="25" t="s">
        <v>325</v>
      </c>
    </row>
    <row r="61" spans="1:16" x14ac:dyDescent="0.25">
      <c r="A61" s="4" t="s">
        <v>513</v>
      </c>
      <c r="B61" s="4"/>
    </row>
    <row r="62" spans="1:16" x14ac:dyDescent="0.25">
      <c r="A62" s="4" t="s">
        <v>507</v>
      </c>
      <c r="B62" s="4"/>
    </row>
    <row r="63" spans="1:16" x14ac:dyDescent="0.25">
      <c r="A63" s="4" t="s">
        <v>508</v>
      </c>
      <c r="B63" s="4"/>
    </row>
    <row r="64" spans="1:16" x14ac:dyDescent="0.25">
      <c r="A64" s="4" t="s">
        <v>509</v>
      </c>
      <c r="B64" s="4"/>
    </row>
    <row r="65" spans="1:15" x14ac:dyDescent="0.25">
      <c r="A65" s="4" t="s">
        <v>510</v>
      </c>
      <c r="B65" s="4"/>
      <c r="O65"/>
    </row>
    <row r="66" spans="1:15" x14ac:dyDescent="0.25">
      <c r="A66" s="4" t="s">
        <v>511</v>
      </c>
      <c r="B66" s="4"/>
      <c r="O66"/>
    </row>
    <row r="67" spans="1:15" x14ac:dyDescent="0.25">
      <c r="A67" s="4" t="s">
        <v>512</v>
      </c>
      <c r="B67" s="4"/>
    </row>
  </sheetData>
  <mergeCells count="2">
    <mergeCell ref="J16:K16"/>
    <mergeCell ref="A1:L1"/>
  </mergeCells>
  <printOptions horizontalCentered="1"/>
  <pageMargins left="0.7" right="0.7" top="0.75" bottom="0.75" header="0.3" footer="0.3"/>
  <pageSetup scale="76" orientation="portrait" r:id="rId1"/>
  <headerFooter>
    <oddHeader>&amp;RPage 28 of 42</oddHeader>
    <oddFooter>&amp;R&amp;F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4">
    <pageSetUpPr fitToPage="1"/>
  </sheetPr>
  <dimension ref="A1:K66"/>
  <sheetViews>
    <sheetView topLeftCell="A12" zoomScale="75" workbookViewId="0">
      <selection sqref="A1:K1"/>
    </sheetView>
  </sheetViews>
  <sheetFormatPr defaultRowHeight="13.2" x14ac:dyDescent="0.25"/>
  <cols>
    <col min="1" max="1" width="10.33203125" customWidth="1"/>
    <col min="2" max="2" width="15.6640625" customWidth="1"/>
    <col min="3" max="3" width="7.44140625" customWidth="1"/>
    <col min="4" max="4" width="13.5546875" customWidth="1"/>
    <col min="5" max="5" width="7.44140625" customWidth="1"/>
    <col min="6" max="6" width="12.6640625" customWidth="1"/>
    <col min="7" max="7" width="13.6640625" customWidth="1"/>
    <col min="8" max="8" width="12.5546875" customWidth="1"/>
    <col min="9" max="9" width="6.6640625" customWidth="1"/>
    <col min="10" max="10" width="13.33203125" customWidth="1"/>
    <col min="11" max="11" width="7.33203125" customWidth="1"/>
  </cols>
  <sheetData>
    <row r="1" spans="1:11" ht="15.6" x14ac:dyDescent="0.3">
      <c r="A1" s="451" t="s">
        <v>422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</row>
    <row r="3" spans="1:11" x14ac:dyDescent="0.25">
      <c r="A3" s="4" t="s">
        <v>11</v>
      </c>
      <c r="B3" s="24" t="s">
        <v>133</v>
      </c>
      <c r="C3" s="24"/>
      <c r="D3" s="24" t="s">
        <v>117</v>
      </c>
      <c r="F3" s="12"/>
    </row>
    <row r="4" spans="1:11" x14ac:dyDescent="0.25">
      <c r="A4" s="172" t="s">
        <v>12</v>
      </c>
      <c r="B4" s="175" t="s">
        <v>24</v>
      </c>
      <c r="C4" s="175"/>
      <c r="D4" s="175" t="s">
        <v>13</v>
      </c>
    </row>
    <row r="5" spans="1:11" x14ac:dyDescent="0.25">
      <c r="A5" s="4" t="s">
        <v>348</v>
      </c>
      <c r="B5" s="13">
        <f>'Entry Profile L&amp;F'!$D$33</f>
        <v>0</v>
      </c>
      <c r="C5" s="14"/>
      <c r="D5" s="15">
        <f>+B5/$B$11</f>
        <v>0</v>
      </c>
    </row>
    <row r="6" spans="1:11" x14ac:dyDescent="0.25">
      <c r="A6" s="4" t="s">
        <v>14</v>
      </c>
      <c r="B6" s="13">
        <f>'Entry Profile L&amp;F'!$D$34+'Entry Profile L&amp;F'!$D$35</f>
        <v>59949358.698921375</v>
      </c>
      <c r="C6" s="14"/>
      <c r="D6" s="15">
        <f t="shared" ref="D6:D10" si="0">+B6/$B$11</f>
        <v>0.67666444739972087</v>
      </c>
    </row>
    <row r="7" spans="1:11" x14ac:dyDescent="0.25">
      <c r="A7" s="4" t="s">
        <v>233</v>
      </c>
      <c r="B7" s="13">
        <f>'Entry Profile L&amp;F'!$D$36</f>
        <v>157099.02959117841</v>
      </c>
      <c r="C7" s="14"/>
      <c r="D7" s="15">
        <f t="shared" si="0"/>
        <v>1.7732187691819256E-3</v>
      </c>
    </row>
    <row r="8" spans="1:11" x14ac:dyDescent="0.25">
      <c r="A8" s="4" t="s">
        <v>229</v>
      </c>
      <c r="B8" s="13">
        <f>'Entry Profile L&amp;F'!$D$37+'Entry Profile L&amp;F'!$D$38</f>
        <v>1375787.0489938117</v>
      </c>
      <c r="C8" s="14"/>
      <c r="D8" s="15">
        <f t="shared" si="0"/>
        <v>1.552887642922926E-2</v>
      </c>
    </row>
    <row r="9" spans="1:11" x14ac:dyDescent="0.25">
      <c r="A9" s="4" t="s">
        <v>15</v>
      </c>
      <c r="B9" s="13">
        <f>'Entry Profile L&amp;F'!$D$39</f>
        <v>27113157.166979041</v>
      </c>
      <c r="C9" s="14"/>
      <c r="D9" s="15">
        <f t="shared" si="0"/>
        <v>0.30603345740186788</v>
      </c>
    </row>
    <row r="10" spans="1:11" x14ac:dyDescent="0.25">
      <c r="A10" s="4" t="s">
        <v>116</v>
      </c>
      <c r="B10" s="13">
        <f>'Entry Profile L&amp;F'!$D$40</f>
        <v>0</v>
      </c>
      <c r="C10" s="14"/>
      <c r="D10" s="15">
        <f t="shared" si="0"/>
        <v>0</v>
      </c>
    </row>
    <row r="11" spans="1:11" x14ac:dyDescent="0.25">
      <c r="A11" s="200" t="s">
        <v>16</v>
      </c>
      <c r="B11" s="16">
        <f>SUM(B5:B10)</f>
        <v>88595401.944485411</v>
      </c>
      <c r="C11" s="16"/>
      <c r="D11" s="18">
        <f>SUM(D5:D10)</f>
        <v>1</v>
      </c>
      <c r="G11" s="19"/>
    </row>
    <row r="13" spans="1:11" x14ac:dyDescent="0.25">
      <c r="A13" s="4"/>
      <c r="B13" s="24" t="s">
        <v>118</v>
      </c>
      <c r="C13" s="4"/>
      <c r="D13" s="4"/>
      <c r="E13" s="4"/>
      <c r="F13" s="24" t="s">
        <v>119</v>
      </c>
      <c r="G13" s="24" t="s">
        <v>120</v>
      </c>
      <c r="H13" s="4"/>
      <c r="I13" s="4"/>
      <c r="J13" s="4"/>
      <c r="K13" s="4"/>
    </row>
    <row r="14" spans="1:11" x14ac:dyDescent="0.25">
      <c r="A14" s="4"/>
      <c r="B14" s="4"/>
      <c r="C14" s="4"/>
      <c r="D14" s="4"/>
      <c r="E14" s="4"/>
      <c r="F14" s="171" t="s">
        <v>28</v>
      </c>
      <c r="G14" s="4"/>
      <c r="H14" s="4"/>
      <c r="I14" s="4"/>
      <c r="J14" s="4"/>
      <c r="K14" s="4"/>
    </row>
    <row r="15" spans="1:11" x14ac:dyDescent="0.25">
      <c r="A15" s="172" t="s">
        <v>18</v>
      </c>
      <c r="B15" s="172" t="s">
        <v>24</v>
      </c>
      <c r="C15" s="172"/>
      <c r="D15" s="172"/>
      <c r="E15" s="172"/>
      <c r="F15" s="201" t="s">
        <v>209</v>
      </c>
      <c r="G15" s="175" t="s">
        <v>24</v>
      </c>
      <c r="H15" s="175" t="s">
        <v>19</v>
      </c>
      <c r="I15" s="175" t="s">
        <v>20</v>
      </c>
      <c r="J15" s="450" t="s">
        <v>21</v>
      </c>
      <c r="K15" s="450"/>
    </row>
    <row r="16" spans="1:11" x14ac:dyDescent="0.25">
      <c r="A16" s="4" t="s">
        <v>348</v>
      </c>
      <c r="B16" s="19">
        <f>B5</f>
        <v>0</v>
      </c>
      <c r="F16" s="21">
        <f>'Flow Proportions'!$E$30</f>
        <v>1.5825599999999999E-2</v>
      </c>
      <c r="G16" s="19">
        <f>$B$16*F16</f>
        <v>0</v>
      </c>
      <c r="H16" t="s">
        <v>116</v>
      </c>
      <c r="I16" s="11">
        <v>1</v>
      </c>
      <c r="J16" t="s">
        <v>22</v>
      </c>
    </row>
    <row r="17" spans="1:10" x14ac:dyDescent="0.25">
      <c r="A17" s="4"/>
      <c r="F17" s="21">
        <f>'Flow Proportions'!$E$31</f>
        <v>0.48817440000000001</v>
      </c>
      <c r="G17" s="19">
        <f>$B$16*F17</f>
        <v>0</v>
      </c>
      <c r="H17" t="s">
        <v>15</v>
      </c>
      <c r="I17" s="11">
        <v>2</v>
      </c>
      <c r="J17" t="s">
        <v>22</v>
      </c>
    </row>
    <row r="18" spans="1:10" x14ac:dyDescent="0.25">
      <c r="A18" s="4"/>
      <c r="F18" s="21">
        <f>'Flow Proportions'!$E$32</f>
        <v>0.496</v>
      </c>
      <c r="G18" s="19">
        <f>$B$16*F18</f>
        <v>0</v>
      </c>
      <c r="H18" t="s">
        <v>14</v>
      </c>
      <c r="I18" s="11">
        <v>3</v>
      </c>
      <c r="J18" t="s">
        <v>22</v>
      </c>
    </row>
    <row r="19" spans="1:10" x14ac:dyDescent="0.25">
      <c r="A19" s="4"/>
      <c r="F19" s="21">
        <f>'Flow Proportions'!$E$33</f>
        <v>0</v>
      </c>
      <c r="G19" s="19">
        <f>$B$16*F19</f>
        <v>0</v>
      </c>
      <c r="H19" t="s">
        <v>233</v>
      </c>
      <c r="I19" s="11">
        <v>4</v>
      </c>
      <c r="J19" t="s">
        <v>231</v>
      </c>
    </row>
    <row r="20" spans="1:10" x14ac:dyDescent="0.25">
      <c r="A20" s="4"/>
      <c r="F20" s="21">
        <f>'Flow Proportions'!$E$34</f>
        <v>0</v>
      </c>
      <c r="G20" s="19">
        <f>$B$16*F20</f>
        <v>0</v>
      </c>
      <c r="H20" t="s">
        <v>229</v>
      </c>
      <c r="I20" s="11">
        <v>5</v>
      </c>
      <c r="J20" t="s">
        <v>231</v>
      </c>
    </row>
    <row r="21" spans="1:10" x14ac:dyDescent="0.25">
      <c r="A21" s="4"/>
      <c r="F21" s="21"/>
      <c r="G21" s="19"/>
      <c r="I21" s="11"/>
    </row>
    <row r="22" spans="1:10" x14ac:dyDescent="0.25">
      <c r="A22" s="4" t="s">
        <v>14</v>
      </c>
      <c r="B22" s="19">
        <f>B6+G18</f>
        <v>59949358.698921375</v>
      </c>
      <c r="F22" s="21">
        <f>'Flow Proportions'!$E$38</f>
        <v>0.32491358999999997</v>
      </c>
      <c r="G22" s="19">
        <f>$B$22*F22</f>
        <v>19478361.353064273</v>
      </c>
      <c r="H22" t="s">
        <v>229</v>
      </c>
      <c r="I22" s="11">
        <v>6</v>
      </c>
      <c r="J22" t="s">
        <v>231</v>
      </c>
    </row>
    <row r="23" spans="1:10" x14ac:dyDescent="0.25">
      <c r="A23" s="4"/>
      <c r="F23" s="21">
        <f>'Flow Proportions'!$E$39</f>
        <v>0.43618641000000002</v>
      </c>
      <c r="G23" s="19">
        <f>$B$22*F23</f>
        <v>26149095.552684788</v>
      </c>
      <c r="H23" t="s">
        <v>233</v>
      </c>
      <c r="I23" s="11">
        <v>7</v>
      </c>
      <c r="J23" t="s">
        <v>231</v>
      </c>
    </row>
    <row r="24" spans="1:10" x14ac:dyDescent="0.25">
      <c r="A24" s="4"/>
      <c r="F24" s="21">
        <f>'Flow Proportions'!$E$40</f>
        <v>0.23139854000000001</v>
      </c>
      <c r="G24" s="19">
        <f>$B$22*F24</f>
        <v>13872194.076866707</v>
      </c>
      <c r="H24" t="s">
        <v>15</v>
      </c>
      <c r="I24" s="11">
        <v>8</v>
      </c>
      <c r="J24" t="s">
        <v>23</v>
      </c>
    </row>
    <row r="25" spans="1:10" x14ac:dyDescent="0.25">
      <c r="A25" s="4"/>
      <c r="F25" s="21">
        <f>'Flow Proportions'!$E$41</f>
        <v>7.5014599999999997E-3</v>
      </c>
      <c r="G25" s="19">
        <f>$B$22*F25</f>
        <v>449707.71630561072</v>
      </c>
      <c r="H25" t="s">
        <v>116</v>
      </c>
      <c r="I25" s="11">
        <v>9</v>
      </c>
      <c r="J25" t="s">
        <v>23</v>
      </c>
    </row>
    <row r="26" spans="1:10" x14ac:dyDescent="0.25">
      <c r="A26" s="4"/>
      <c r="F26" s="21"/>
      <c r="G26" s="19"/>
      <c r="I26" s="11"/>
    </row>
    <row r="27" spans="1:10" x14ac:dyDescent="0.25">
      <c r="A27" s="4" t="s">
        <v>233</v>
      </c>
      <c r="B27" s="19">
        <f>B7+G19+G23</f>
        <v>26306194.582275964</v>
      </c>
      <c r="F27" s="21">
        <f>'Flow Proportions'!$E$45</f>
        <v>1</v>
      </c>
      <c r="G27" s="19">
        <f>$B$27*F27</f>
        <v>26306194.582275964</v>
      </c>
      <c r="H27" t="s">
        <v>229</v>
      </c>
      <c r="I27" s="11">
        <v>10</v>
      </c>
      <c r="J27" t="s">
        <v>232</v>
      </c>
    </row>
    <row r="28" spans="1:10" x14ac:dyDescent="0.25">
      <c r="A28" s="4"/>
      <c r="F28" s="21"/>
      <c r="G28" s="19"/>
      <c r="I28" s="11"/>
    </row>
    <row r="29" spans="1:10" x14ac:dyDescent="0.25">
      <c r="A29" s="4" t="s">
        <v>229</v>
      </c>
      <c r="B29" s="19">
        <f>B8+G20+G22+G27</f>
        <v>47160342.984334052</v>
      </c>
      <c r="F29" s="21">
        <f>'Flow Proportions'!$E$48</f>
        <v>0.96860000000000002</v>
      </c>
      <c r="G29" s="19">
        <f>$B$29*F29</f>
        <v>45679508.214625962</v>
      </c>
      <c r="H29" t="s">
        <v>15</v>
      </c>
      <c r="I29" s="11">
        <v>11</v>
      </c>
      <c r="J29" t="s">
        <v>231</v>
      </c>
    </row>
    <row r="30" spans="1:10" x14ac:dyDescent="0.25">
      <c r="A30" s="4"/>
      <c r="F30" s="21">
        <f>'Flow Proportions'!$E$49</f>
        <v>3.1399999999999997E-2</v>
      </c>
      <c r="G30" s="19">
        <f>$B$29*F30</f>
        <v>1480834.7697080891</v>
      </c>
      <c r="H30" t="s">
        <v>116</v>
      </c>
      <c r="I30" s="11">
        <v>12</v>
      </c>
      <c r="J30" t="s">
        <v>231</v>
      </c>
    </row>
    <row r="31" spans="1:10" x14ac:dyDescent="0.25">
      <c r="A31" s="4"/>
      <c r="F31" s="21"/>
      <c r="G31" s="19"/>
      <c r="I31" s="11"/>
    </row>
    <row r="32" spans="1:10" x14ac:dyDescent="0.25">
      <c r="A32" s="4" t="s">
        <v>15</v>
      </c>
      <c r="B32" s="19">
        <f>B9+G29</f>
        <v>72792665.381604999</v>
      </c>
      <c r="F32" s="21">
        <f>'Flow Proportions'!$E$53</f>
        <v>1</v>
      </c>
      <c r="G32" s="19">
        <f>B32*F32</f>
        <v>72792665.381604999</v>
      </c>
      <c r="H32" t="s">
        <v>116</v>
      </c>
      <c r="I32" s="11">
        <v>13</v>
      </c>
      <c r="J32" t="s">
        <v>22</v>
      </c>
    </row>
    <row r="33" spans="1:11" x14ac:dyDescent="0.25">
      <c r="A33" s="4"/>
      <c r="B33" s="19">
        <f>G17+G24</f>
        <v>13872194.076866707</v>
      </c>
      <c r="F33" s="21"/>
      <c r="G33" s="19">
        <f>B33*F32</f>
        <v>13872194.076866707</v>
      </c>
      <c r="H33" t="s">
        <v>116</v>
      </c>
      <c r="I33" s="11">
        <v>13</v>
      </c>
      <c r="J33" t="s">
        <v>22</v>
      </c>
    </row>
    <row r="34" spans="1:11" x14ac:dyDescent="0.25">
      <c r="A34" s="4"/>
      <c r="B34" s="19"/>
      <c r="K34" s="2"/>
    </row>
    <row r="35" spans="1:11" x14ac:dyDescent="0.25">
      <c r="A35" s="4" t="s">
        <v>116</v>
      </c>
      <c r="B35" s="19">
        <f>B10+G16+G25+G30+G32+G33</f>
        <v>88595401.944485396</v>
      </c>
      <c r="K35" s="2"/>
    </row>
    <row r="37" spans="1:11" x14ac:dyDescent="0.25">
      <c r="A37" s="4"/>
      <c r="B37" s="4"/>
      <c r="C37" s="4"/>
      <c r="D37" s="24" t="s">
        <v>121</v>
      </c>
      <c r="E37" s="24"/>
      <c r="F37" s="24" t="s">
        <v>204</v>
      </c>
    </row>
    <row r="38" spans="1:11" x14ac:dyDescent="0.25">
      <c r="A38" s="4" t="s">
        <v>11</v>
      </c>
      <c r="B38" s="4"/>
      <c r="C38" s="4"/>
      <c r="D38" s="4"/>
      <c r="E38" s="4"/>
      <c r="F38" s="4" t="s">
        <v>24</v>
      </c>
    </row>
    <row r="39" spans="1:11" x14ac:dyDescent="0.25">
      <c r="A39" s="172" t="s">
        <v>12</v>
      </c>
      <c r="B39" s="172" t="s">
        <v>0</v>
      </c>
      <c r="C39" s="172"/>
      <c r="D39" s="175" t="s">
        <v>24</v>
      </c>
      <c r="E39" s="172"/>
      <c r="F39" s="172" t="s">
        <v>13</v>
      </c>
    </row>
    <row r="40" spans="1:11" x14ac:dyDescent="0.25">
      <c r="A40" s="4" t="s">
        <v>14</v>
      </c>
      <c r="B40" t="s">
        <v>5</v>
      </c>
      <c r="D40" s="19">
        <f>B6</f>
        <v>59949358.698921375</v>
      </c>
      <c r="F40" s="1">
        <f>D40/$D$42</f>
        <v>1</v>
      </c>
    </row>
    <row r="41" spans="1:11" x14ac:dyDescent="0.25">
      <c r="A41" s="4"/>
      <c r="B41" t="s">
        <v>25</v>
      </c>
      <c r="D41" s="19">
        <f>B22-D40</f>
        <v>0</v>
      </c>
      <c r="F41" s="1">
        <f>D41/$D$42</f>
        <v>0</v>
      </c>
    </row>
    <row r="42" spans="1:11" x14ac:dyDescent="0.25">
      <c r="A42" s="4"/>
      <c r="B42" t="s">
        <v>26</v>
      </c>
      <c r="D42" s="19">
        <f>D40+D41</f>
        <v>59949358.698921375</v>
      </c>
      <c r="F42" s="1">
        <f>SUM(F40:F41)</f>
        <v>1</v>
      </c>
    </row>
    <row r="43" spans="1:11" x14ac:dyDescent="0.25">
      <c r="A43" s="4"/>
      <c r="D43" s="19"/>
      <c r="F43" s="1"/>
    </row>
    <row r="44" spans="1:11" x14ac:dyDescent="0.25">
      <c r="A44" s="4" t="s">
        <v>233</v>
      </c>
      <c r="B44" t="s">
        <v>29</v>
      </c>
      <c r="D44" s="19">
        <f>B7</f>
        <v>157099.02959117841</v>
      </c>
      <c r="F44" s="1">
        <f>D44/$D$46</f>
        <v>5.9719405290579461E-3</v>
      </c>
    </row>
    <row r="45" spans="1:11" x14ac:dyDescent="0.25">
      <c r="A45" s="4"/>
      <c r="B45" t="s">
        <v>27</v>
      </c>
      <c r="D45" s="19">
        <f>B27-D44</f>
        <v>26149095.552684788</v>
      </c>
      <c r="F45" s="1">
        <f>D45/$D$46</f>
        <v>0.99402805947094208</v>
      </c>
    </row>
    <row r="46" spans="1:11" x14ac:dyDescent="0.25">
      <c r="A46" s="4"/>
      <c r="B46" t="s">
        <v>26</v>
      </c>
      <c r="D46" s="19">
        <f>SUM(D44:D45)</f>
        <v>26306194.582275964</v>
      </c>
      <c r="F46" s="1">
        <f>SUM(F44:F45)</f>
        <v>1</v>
      </c>
    </row>
    <row r="47" spans="1:11" x14ac:dyDescent="0.25">
      <c r="A47" s="4"/>
      <c r="D47" s="19"/>
      <c r="F47" s="1"/>
    </row>
    <row r="48" spans="1:11" x14ac:dyDescent="0.25">
      <c r="A48" s="4" t="s">
        <v>229</v>
      </c>
      <c r="B48" t="s">
        <v>5</v>
      </c>
      <c r="D48" s="19">
        <f>B8</f>
        <v>1375787.0489938117</v>
      </c>
      <c r="F48" s="1">
        <f>D48/$D$51</f>
        <v>1.872671687768632E-2</v>
      </c>
    </row>
    <row r="49" spans="1:9" x14ac:dyDescent="0.25">
      <c r="A49" s="4"/>
      <c r="B49" t="s">
        <v>27</v>
      </c>
      <c r="D49" s="19">
        <f>B29-D48</f>
        <v>45784555.935340241</v>
      </c>
      <c r="F49" s="1">
        <f>D49/$D$51</f>
        <v>0.62320285468508285</v>
      </c>
    </row>
    <row r="50" spans="1:9" x14ac:dyDescent="0.25">
      <c r="A50" s="4"/>
      <c r="B50" t="s">
        <v>233</v>
      </c>
      <c r="D50" s="19">
        <f>G27</f>
        <v>26306194.582275964</v>
      </c>
      <c r="F50" s="1">
        <f>D50/$D$51</f>
        <v>0.35807042843723091</v>
      </c>
    </row>
    <row r="51" spans="1:9" x14ac:dyDescent="0.25">
      <c r="A51" s="4"/>
      <c r="B51" t="s">
        <v>26</v>
      </c>
      <c r="D51" s="19">
        <f>SUM(D48:D50)</f>
        <v>73466537.566610008</v>
      </c>
      <c r="F51" s="1">
        <f>SUM(F48:F50)</f>
        <v>1</v>
      </c>
    </row>
    <row r="52" spans="1:9" x14ac:dyDescent="0.25">
      <c r="A52" s="4"/>
      <c r="D52" s="19"/>
      <c r="F52" s="1"/>
    </row>
    <row r="53" spans="1:9" x14ac:dyDescent="0.25">
      <c r="A53" s="4" t="s">
        <v>15</v>
      </c>
      <c r="B53" t="s">
        <v>5</v>
      </c>
      <c r="D53" s="19">
        <f>B9</f>
        <v>27113157.166979041</v>
      </c>
      <c r="F53" s="1">
        <f>D53/$D$56</f>
        <v>0.31285064484494091</v>
      </c>
    </row>
    <row r="54" spans="1:9" x14ac:dyDescent="0.25">
      <c r="B54" t="s">
        <v>27</v>
      </c>
      <c r="D54" s="19">
        <f>B32+B33-D53-D55</f>
        <v>13872194.076866694</v>
      </c>
      <c r="F54" s="1">
        <f>D54/$D$56</f>
        <v>0.16006711559388165</v>
      </c>
    </row>
    <row r="55" spans="1:9" x14ac:dyDescent="0.25">
      <c r="B55" t="s">
        <v>229</v>
      </c>
      <c r="D55" s="19">
        <f>G29</f>
        <v>45679508.214625962</v>
      </c>
      <c r="F55" s="1">
        <f>D55/$D$56</f>
        <v>0.52708223956117761</v>
      </c>
    </row>
    <row r="56" spans="1:9" x14ac:dyDescent="0.25">
      <c r="B56" t="s">
        <v>26</v>
      </c>
      <c r="D56" s="19">
        <f>SUM(D53:D55)</f>
        <v>86664859.458471686</v>
      </c>
      <c r="F56" s="1">
        <f>SUM(F53:F55)</f>
        <v>1.0000000000000002</v>
      </c>
    </row>
    <row r="59" spans="1:9" x14ac:dyDescent="0.25">
      <c r="A59" s="25" t="s">
        <v>325</v>
      </c>
    </row>
    <row r="60" spans="1:9" x14ac:dyDescent="0.25">
      <c r="A60" s="4" t="s">
        <v>506</v>
      </c>
      <c r="B60" s="4"/>
    </row>
    <row r="61" spans="1:9" x14ac:dyDescent="0.25">
      <c r="A61" s="4" t="s">
        <v>507</v>
      </c>
      <c r="B61" s="4"/>
    </row>
    <row r="62" spans="1:9" ht="15.6" x14ac:dyDescent="0.25">
      <c r="A62" s="4" t="s">
        <v>508</v>
      </c>
      <c r="B62" s="4"/>
      <c r="C62" s="9"/>
      <c r="D62" s="9"/>
      <c r="E62" s="9"/>
      <c r="F62" s="9"/>
      <c r="G62" s="9"/>
      <c r="H62" s="9"/>
      <c r="I62" s="9"/>
    </row>
    <row r="63" spans="1:9" ht="15.6" x14ac:dyDescent="0.25">
      <c r="A63" s="4" t="s">
        <v>509</v>
      </c>
      <c r="B63" s="4"/>
      <c r="C63" s="9"/>
      <c r="D63" s="9"/>
      <c r="E63" s="9"/>
      <c r="F63" s="9"/>
      <c r="G63" s="9"/>
      <c r="H63" s="9"/>
    </row>
    <row r="64" spans="1:9" x14ac:dyDescent="0.25">
      <c r="A64" s="4" t="s">
        <v>510</v>
      </c>
      <c r="B64" s="4"/>
    </row>
    <row r="65" spans="1:2" x14ac:dyDescent="0.25">
      <c r="A65" s="4" t="s">
        <v>511</v>
      </c>
      <c r="B65" s="4"/>
    </row>
    <row r="66" spans="1:2" x14ac:dyDescent="0.25">
      <c r="A66" s="4" t="s">
        <v>512</v>
      </c>
      <c r="B66" s="4"/>
    </row>
  </sheetData>
  <mergeCells count="2">
    <mergeCell ref="A1:K1"/>
    <mergeCell ref="J15:K15"/>
  </mergeCells>
  <phoneticPr fontId="13" type="noConversion"/>
  <printOptions horizontalCentered="1"/>
  <pageMargins left="0.75" right="0.75" top="1" bottom="1" header="0.5" footer="0.5"/>
  <pageSetup scale="75" orientation="portrait" r:id="rId1"/>
  <headerFooter alignWithMargins="0">
    <oddHeader>&amp;RPage 29 of 42</oddHeader>
    <oddFooter>&amp;R&amp;F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5">
    <pageSetUpPr fitToPage="1"/>
  </sheetPr>
  <dimension ref="A1:R66"/>
  <sheetViews>
    <sheetView topLeftCell="A30" zoomScale="75" workbookViewId="0">
      <selection sqref="A1:L1"/>
    </sheetView>
  </sheetViews>
  <sheetFormatPr defaultRowHeight="13.2" x14ac:dyDescent="0.25"/>
  <cols>
    <col min="2" max="2" width="15.6640625" customWidth="1"/>
    <col min="3" max="3" width="6.44140625" customWidth="1"/>
    <col min="4" max="4" width="15.6640625" customWidth="1"/>
    <col min="5" max="5" width="6.6640625" customWidth="1"/>
    <col min="6" max="6" width="13.5546875" customWidth="1"/>
    <col min="7" max="7" width="15.6640625" customWidth="1"/>
    <col min="8" max="8" width="14.6640625" customWidth="1"/>
    <col min="9" max="9" width="8" customWidth="1"/>
    <col min="10" max="10" width="12.6640625" customWidth="1"/>
    <col min="11" max="11" width="6" customWidth="1"/>
    <col min="12" max="12" width="10.44140625" customWidth="1"/>
    <col min="13" max="13" width="10.33203125" customWidth="1"/>
    <col min="14" max="14" width="12.6640625" customWidth="1"/>
    <col min="15" max="15" width="9.5546875" style="11" customWidth="1"/>
    <col min="16" max="16" width="12.33203125" customWidth="1"/>
    <col min="17" max="17" width="3.33203125" customWidth="1"/>
    <col min="18" max="18" width="12.6640625" customWidth="1"/>
  </cols>
  <sheetData>
    <row r="1" spans="1:18" ht="15.6" x14ac:dyDescent="0.3">
      <c r="A1" s="451" t="s">
        <v>419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8"/>
      <c r="N1" s="8"/>
      <c r="O1" s="8"/>
      <c r="P1" s="8"/>
      <c r="Q1" s="8"/>
      <c r="R1" s="8"/>
    </row>
    <row r="3" spans="1:18" x14ac:dyDescent="0.25">
      <c r="A3" s="4" t="s">
        <v>11</v>
      </c>
      <c r="B3" s="24" t="s">
        <v>133</v>
      </c>
      <c r="C3" s="24"/>
      <c r="D3" s="24" t="s">
        <v>117</v>
      </c>
      <c r="F3" s="11"/>
    </row>
    <row r="4" spans="1:18" x14ac:dyDescent="0.25">
      <c r="A4" s="172" t="s">
        <v>12</v>
      </c>
      <c r="B4" s="175" t="s">
        <v>24</v>
      </c>
      <c r="C4" s="175"/>
      <c r="D4" s="175" t="s">
        <v>13</v>
      </c>
    </row>
    <row r="5" spans="1:18" x14ac:dyDescent="0.25">
      <c r="A5" s="4" t="s">
        <v>348</v>
      </c>
      <c r="B5" s="19">
        <f>'Entry Profile L&amp;F'!$B$33</f>
        <v>0</v>
      </c>
      <c r="C5" s="14"/>
      <c r="D5" s="21">
        <f>+B5/$B$11</f>
        <v>0</v>
      </c>
    </row>
    <row r="6" spans="1:18" x14ac:dyDescent="0.25">
      <c r="A6" s="4" t="s">
        <v>14</v>
      </c>
      <c r="B6" s="19">
        <f>'Entry Profile L&amp;F'!$B$34+'Entry Profile L&amp;F'!$B$35</f>
        <v>250499541.8102468</v>
      </c>
      <c r="C6" s="14"/>
      <c r="D6" s="21">
        <f t="shared" ref="D6:D11" si="0">+B6/$B$11</f>
        <v>0.12880966268690863</v>
      </c>
    </row>
    <row r="7" spans="1:18" x14ac:dyDescent="0.25">
      <c r="A7" s="4" t="s">
        <v>233</v>
      </c>
      <c r="B7" s="19">
        <f>'Entry Profile L&amp;F'!$B$36</f>
        <v>15150615.477147188</v>
      </c>
      <c r="C7" s="14"/>
      <c r="D7" s="21">
        <f t="shared" si="0"/>
        <v>7.7906157233160961E-3</v>
      </c>
    </row>
    <row r="8" spans="1:18" x14ac:dyDescent="0.25">
      <c r="A8" s="4" t="s">
        <v>229</v>
      </c>
      <c r="B8" s="19">
        <f>'Entry Profile L&amp;F'!$B$37+'Entry Profile L&amp;F'!$B$38</f>
        <v>135957611.77860278</v>
      </c>
      <c r="C8" s="14"/>
      <c r="D8" s="21">
        <f t="shared" si="0"/>
        <v>6.9910922736079573E-2</v>
      </c>
    </row>
    <row r="9" spans="1:18" x14ac:dyDescent="0.25">
      <c r="A9" s="4" t="s">
        <v>15</v>
      </c>
      <c r="B9" s="19">
        <f>'Entry Profile L&amp;F'!$B$39</f>
        <v>1498745847.1338997</v>
      </c>
      <c r="C9" s="14"/>
      <c r="D9" s="21">
        <f t="shared" si="0"/>
        <v>0.77067185683301653</v>
      </c>
    </row>
    <row r="10" spans="1:18" x14ac:dyDescent="0.25">
      <c r="A10" s="4" t="s">
        <v>116</v>
      </c>
      <c r="B10" s="19">
        <f>'Entry Profile L&amp;F'!$B$40</f>
        <v>44372707.780345999</v>
      </c>
      <c r="C10" s="14"/>
      <c r="D10" s="21">
        <f t="shared" si="0"/>
        <v>2.2816942020679312E-2</v>
      </c>
    </row>
    <row r="11" spans="1:18" x14ac:dyDescent="0.25">
      <c r="A11" s="200" t="s">
        <v>16</v>
      </c>
      <c r="B11" s="16">
        <f>SUM(B5:B10)</f>
        <v>1944726323.9802423</v>
      </c>
      <c r="C11" s="17"/>
      <c r="D11" s="18">
        <f t="shared" si="0"/>
        <v>1</v>
      </c>
    </row>
    <row r="13" spans="1:18" x14ac:dyDescent="0.25">
      <c r="A13" s="4"/>
      <c r="B13" s="24" t="s">
        <v>118</v>
      </c>
      <c r="C13" s="4"/>
      <c r="D13" s="4"/>
      <c r="E13" s="4"/>
      <c r="F13" s="24" t="s">
        <v>119</v>
      </c>
      <c r="G13" s="24" t="s">
        <v>120</v>
      </c>
      <c r="H13" s="4"/>
      <c r="I13" s="4"/>
      <c r="J13" s="4"/>
    </row>
    <row r="14" spans="1:18" x14ac:dyDescent="0.25">
      <c r="A14" s="4"/>
      <c r="B14" s="4"/>
      <c r="C14" s="4"/>
      <c r="D14" s="4"/>
      <c r="E14" s="4"/>
      <c r="F14" s="171" t="s">
        <v>28</v>
      </c>
      <c r="G14" s="4"/>
      <c r="H14" s="4"/>
      <c r="I14" s="4"/>
      <c r="J14" s="4"/>
    </row>
    <row r="15" spans="1:18" x14ac:dyDescent="0.25">
      <c r="A15" s="172" t="s">
        <v>18</v>
      </c>
      <c r="B15" s="172" t="s">
        <v>24</v>
      </c>
      <c r="C15" s="172"/>
      <c r="D15" s="202"/>
      <c r="E15" s="202"/>
      <c r="F15" s="201" t="s">
        <v>209</v>
      </c>
      <c r="G15" s="175" t="s">
        <v>24</v>
      </c>
      <c r="H15" s="199" t="s">
        <v>19</v>
      </c>
      <c r="I15" s="175" t="s">
        <v>20</v>
      </c>
      <c r="J15" s="199" t="s">
        <v>21</v>
      </c>
    </row>
    <row r="16" spans="1:18" x14ac:dyDescent="0.25">
      <c r="A16" s="4" t="s">
        <v>348</v>
      </c>
      <c r="B16" s="19">
        <f>B5</f>
        <v>0</v>
      </c>
      <c r="D16" s="2"/>
      <c r="E16" s="3"/>
      <c r="F16" s="21">
        <f>'Flow Proportions'!$E$30</f>
        <v>1.5825599999999999E-2</v>
      </c>
      <c r="G16" s="19">
        <f>$B$16*F16</f>
        <v>0</v>
      </c>
      <c r="H16" t="s">
        <v>116</v>
      </c>
      <c r="I16" s="11">
        <v>1</v>
      </c>
      <c r="J16" t="s">
        <v>22</v>
      </c>
    </row>
    <row r="17" spans="1:10" customFormat="1" x14ac:dyDescent="0.25">
      <c r="A17" s="4"/>
      <c r="D17" s="2"/>
      <c r="E17" s="3"/>
      <c r="F17" s="21">
        <f>'Flow Proportions'!$E$31</f>
        <v>0.48817440000000001</v>
      </c>
      <c r="G17" s="19">
        <f>$B$16*F17</f>
        <v>0</v>
      </c>
      <c r="H17" t="s">
        <v>15</v>
      </c>
      <c r="I17" s="11">
        <v>2</v>
      </c>
      <c r="J17" t="s">
        <v>22</v>
      </c>
    </row>
    <row r="18" spans="1:10" customFormat="1" x14ac:dyDescent="0.25">
      <c r="A18" s="4"/>
      <c r="D18" s="2"/>
      <c r="E18" s="3"/>
      <c r="F18" s="21">
        <f>'Flow Proportions'!$E$32</f>
        <v>0.496</v>
      </c>
      <c r="G18" s="19">
        <f>$B$16*F18</f>
        <v>0</v>
      </c>
      <c r="H18" t="s">
        <v>14</v>
      </c>
      <c r="I18" s="11">
        <v>3</v>
      </c>
      <c r="J18" t="s">
        <v>22</v>
      </c>
    </row>
    <row r="19" spans="1:10" customFormat="1" x14ac:dyDescent="0.25">
      <c r="A19" s="4"/>
      <c r="D19" s="2"/>
      <c r="E19" s="3"/>
      <c r="F19" s="21">
        <f>'Flow Proportions'!$E$33</f>
        <v>0</v>
      </c>
      <c r="G19" s="19">
        <f>$B$16*F19</f>
        <v>0</v>
      </c>
      <c r="H19" t="s">
        <v>233</v>
      </c>
      <c r="I19" s="11">
        <v>4</v>
      </c>
      <c r="J19" t="s">
        <v>231</v>
      </c>
    </row>
    <row r="20" spans="1:10" customFormat="1" x14ac:dyDescent="0.25">
      <c r="A20" s="4"/>
      <c r="D20" s="2"/>
      <c r="E20" s="3"/>
      <c r="F20" s="21">
        <f>'Flow Proportions'!$E$34</f>
        <v>0</v>
      </c>
      <c r="G20" s="19">
        <f>$B$16*F20</f>
        <v>0</v>
      </c>
      <c r="H20" t="s">
        <v>229</v>
      </c>
      <c r="I20" s="11">
        <v>5</v>
      </c>
      <c r="J20" t="s">
        <v>231</v>
      </c>
    </row>
    <row r="21" spans="1:10" customFormat="1" x14ac:dyDescent="0.25">
      <c r="A21" s="4"/>
      <c r="F21" s="21"/>
      <c r="G21" s="19"/>
      <c r="I21" s="11"/>
    </row>
    <row r="22" spans="1:10" customFormat="1" x14ac:dyDescent="0.25">
      <c r="A22" s="4" t="s">
        <v>14</v>
      </c>
      <c r="B22" s="19">
        <f>B6+G18</f>
        <v>250499541.8102468</v>
      </c>
      <c r="D22" s="2"/>
      <c r="E22" s="2"/>
      <c r="F22" s="21">
        <f>'Flow Proportions'!$E$38</f>
        <v>0.32491358999999997</v>
      </c>
      <c r="G22" s="19">
        <f>$B$22*F22</f>
        <v>81390705.422922373</v>
      </c>
      <c r="H22" t="s">
        <v>229</v>
      </c>
      <c r="I22" s="11">
        <v>6</v>
      </c>
      <c r="J22" t="s">
        <v>231</v>
      </c>
    </row>
    <row r="23" spans="1:10" customFormat="1" x14ac:dyDescent="0.25">
      <c r="A23" s="4"/>
      <c r="D23" s="2"/>
      <c r="E23" s="2"/>
      <c r="F23" s="21">
        <f>'Flow Proportions'!$E$39</f>
        <v>0.43618641000000002</v>
      </c>
      <c r="G23" s="19">
        <f>$B$22*F23</f>
        <v>109264495.84885646</v>
      </c>
      <c r="H23" t="s">
        <v>233</v>
      </c>
      <c r="I23" s="11">
        <v>7</v>
      </c>
      <c r="J23" t="s">
        <v>231</v>
      </c>
    </row>
    <row r="24" spans="1:10" customFormat="1" x14ac:dyDescent="0.25">
      <c r="A24" s="4"/>
      <c r="D24" s="2"/>
      <c r="E24" s="2"/>
      <c r="F24" s="21">
        <f>'Flow Proportions'!$E$40</f>
        <v>0.23139854000000001</v>
      </c>
      <c r="G24" s="19">
        <f>$B$22*F24</f>
        <v>57965228.245560072</v>
      </c>
      <c r="H24" t="s">
        <v>15</v>
      </c>
      <c r="I24" s="11">
        <v>8</v>
      </c>
      <c r="J24" t="s">
        <v>23</v>
      </c>
    </row>
    <row r="25" spans="1:10" customFormat="1" x14ac:dyDescent="0.25">
      <c r="A25" s="4"/>
      <c r="D25" s="2"/>
      <c r="E25" s="2"/>
      <c r="F25" s="21">
        <f>'Flow Proportions'!$E$41</f>
        <v>7.5014599999999997E-3</v>
      </c>
      <c r="G25" s="19">
        <f>$B$22*F25</f>
        <v>1879112.2929078939</v>
      </c>
      <c r="H25" t="s">
        <v>116</v>
      </c>
      <c r="I25" s="11">
        <v>9</v>
      </c>
      <c r="J25" t="s">
        <v>23</v>
      </c>
    </row>
    <row r="26" spans="1:10" customFormat="1" x14ac:dyDescent="0.25">
      <c r="A26" s="4"/>
      <c r="F26" s="21"/>
      <c r="G26" s="19"/>
      <c r="I26" s="11"/>
    </row>
    <row r="27" spans="1:10" customFormat="1" x14ac:dyDescent="0.25">
      <c r="A27" s="4" t="s">
        <v>233</v>
      </c>
      <c r="B27" s="19">
        <f>B7+G19+G23</f>
        <v>124415111.32600366</v>
      </c>
      <c r="D27" s="2"/>
      <c r="E27" s="2"/>
      <c r="F27" s="21">
        <f>'Flow Proportions'!$E$45</f>
        <v>1</v>
      </c>
      <c r="G27" s="19">
        <f>B27*F27</f>
        <v>124415111.32600366</v>
      </c>
      <c r="H27" t="s">
        <v>229</v>
      </c>
      <c r="I27" s="11">
        <v>10</v>
      </c>
      <c r="J27" t="s">
        <v>232</v>
      </c>
    </row>
    <row r="28" spans="1:10" customFormat="1" x14ac:dyDescent="0.25">
      <c r="A28" s="4"/>
      <c r="D28" s="2"/>
      <c r="E28" s="2"/>
      <c r="F28" s="21"/>
      <c r="G28" s="19"/>
      <c r="I28" s="11"/>
    </row>
    <row r="29" spans="1:10" customFormat="1" x14ac:dyDescent="0.25">
      <c r="A29" s="4" t="s">
        <v>229</v>
      </c>
      <c r="B29" s="19">
        <f>B8+G20+G22+G27</f>
        <v>341763428.52752882</v>
      </c>
      <c r="D29" s="2"/>
      <c r="E29" s="2"/>
      <c r="F29" s="21">
        <f>'Flow Proportions'!$E$48</f>
        <v>0.96860000000000002</v>
      </c>
      <c r="G29" s="19">
        <f>B29*F29</f>
        <v>331032056.87176442</v>
      </c>
      <c r="H29" t="s">
        <v>15</v>
      </c>
      <c r="I29" s="11">
        <v>11</v>
      </c>
      <c r="J29" t="s">
        <v>231</v>
      </c>
    </row>
    <row r="30" spans="1:10" customFormat="1" x14ac:dyDescent="0.25">
      <c r="A30" s="4"/>
      <c r="D30" s="2"/>
      <c r="E30" s="2"/>
      <c r="F30" s="21">
        <f>'Flow Proportions'!$E$49</f>
        <v>3.1399999999999997E-2</v>
      </c>
      <c r="G30" s="19">
        <f>B29*F30</f>
        <v>10731371.655764405</v>
      </c>
      <c r="H30" t="s">
        <v>116</v>
      </c>
      <c r="I30" s="11">
        <v>12</v>
      </c>
      <c r="J30" t="s">
        <v>231</v>
      </c>
    </row>
    <row r="31" spans="1:10" customFormat="1" x14ac:dyDescent="0.25">
      <c r="A31" s="4"/>
      <c r="D31" s="2"/>
      <c r="E31" s="2"/>
      <c r="F31" s="21"/>
      <c r="G31" s="19"/>
      <c r="I31" s="11"/>
    </row>
    <row r="32" spans="1:10" customFormat="1" x14ac:dyDescent="0.25">
      <c r="A32" s="4" t="s">
        <v>15</v>
      </c>
      <c r="B32" s="19">
        <f>B9+G29</f>
        <v>1829777904.0056641</v>
      </c>
      <c r="D32" s="2"/>
      <c r="E32" s="2"/>
      <c r="F32" s="21">
        <f>'Flow Proportions'!$E$53</f>
        <v>1</v>
      </c>
      <c r="G32" s="19">
        <f>B32*F32</f>
        <v>1829777904.0056641</v>
      </c>
      <c r="H32" t="s">
        <v>116</v>
      </c>
      <c r="I32" s="11">
        <v>13</v>
      </c>
      <c r="J32" t="s">
        <v>22</v>
      </c>
    </row>
    <row r="33" spans="1:10" customFormat="1" x14ac:dyDescent="0.25">
      <c r="A33" s="4"/>
      <c r="B33" s="19">
        <f>G17+G24</f>
        <v>57965228.245560072</v>
      </c>
      <c r="D33" s="2"/>
      <c r="E33" s="2"/>
      <c r="G33" s="19">
        <f>B33*F32</f>
        <v>57965228.245560072</v>
      </c>
      <c r="H33" t="s">
        <v>116</v>
      </c>
      <c r="I33" s="11">
        <v>13</v>
      </c>
      <c r="J33" t="s">
        <v>22</v>
      </c>
    </row>
    <row r="34" spans="1:10" customFormat="1" x14ac:dyDescent="0.25">
      <c r="A34" s="4"/>
      <c r="D34" s="2"/>
      <c r="E34" s="2"/>
      <c r="I34" s="11"/>
    </row>
    <row r="35" spans="1:10" customFormat="1" x14ac:dyDescent="0.25">
      <c r="A35" s="4" t="s">
        <v>116</v>
      </c>
      <c r="B35" s="19">
        <f>B10+G16+G25+G30+G32+G33</f>
        <v>1944726323.9802425</v>
      </c>
      <c r="D35" s="2"/>
      <c r="E35" s="2"/>
      <c r="F35" s="2"/>
      <c r="J35" s="11"/>
    </row>
    <row r="37" spans="1:10" customFormat="1" x14ac:dyDescent="0.25">
      <c r="A37" s="4"/>
      <c r="B37" s="4"/>
      <c r="C37" s="4"/>
      <c r="D37" s="24" t="s">
        <v>121</v>
      </c>
      <c r="E37" s="24"/>
      <c r="F37" s="24" t="s">
        <v>204</v>
      </c>
    </row>
    <row r="38" spans="1:10" customFormat="1" x14ac:dyDescent="0.25">
      <c r="A38" s="4" t="s">
        <v>11</v>
      </c>
      <c r="B38" s="4"/>
      <c r="C38" s="4"/>
      <c r="D38" s="4"/>
      <c r="E38" s="4"/>
      <c r="F38" s="24" t="s">
        <v>24</v>
      </c>
    </row>
    <row r="39" spans="1:10" customFormat="1" x14ac:dyDescent="0.25">
      <c r="A39" s="172" t="s">
        <v>12</v>
      </c>
      <c r="B39" s="172" t="s">
        <v>0</v>
      </c>
      <c r="C39" s="172"/>
      <c r="D39" s="175" t="s">
        <v>24</v>
      </c>
      <c r="E39" s="172"/>
      <c r="F39" s="175" t="s">
        <v>13</v>
      </c>
    </row>
    <row r="40" spans="1:10" customFormat="1" x14ac:dyDescent="0.25">
      <c r="A40" s="4" t="s">
        <v>14</v>
      </c>
      <c r="B40" t="s">
        <v>5</v>
      </c>
      <c r="D40" s="19">
        <f>B6</f>
        <v>250499541.8102468</v>
      </c>
      <c r="F40" s="1">
        <f>D40/$D$42</f>
        <v>1</v>
      </c>
    </row>
    <row r="41" spans="1:10" customFormat="1" x14ac:dyDescent="0.25">
      <c r="A41" s="4"/>
      <c r="B41" t="s">
        <v>27</v>
      </c>
      <c r="D41" s="19">
        <f>B22-D40</f>
        <v>0</v>
      </c>
      <c r="F41" s="1">
        <f>D41/$D$42</f>
        <v>0</v>
      </c>
    </row>
    <row r="42" spans="1:10" customFormat="1" x14ac:dyDescent="0.25">
      <c r="A42" s="4"/>
      <c r="B42" t="s">
        <v>26</v>
      </c>
      <c r="D42" s="19">
        <f>D40+D41</f>
        <v>250499541.8102468</v>
      </c>
      <c r="F42" s="1">
        <f>SUM(F40:F41)</f>
        <v>1</v>
      </c>
    </row>
    <row r="43" spans="1:10" customFormat="1" x14ac:dyDescent="0.25">
      <c r="A43" s="4"/>
      <c r="D43" s="19"/>
      <c r="F43" s="1"/>
    </row>
    <row r="44" spans="1:10" customFormat="1" x14ac:dyDescent="0.25">
      <c r="A44" s="4" t="s">
        <v>233</v>
      </c>
      <c r="B44" t="s">
        <v>5</v>
      </c>
      <c r="D44" s="19">
        <f>B7</f>
        <v>15150615.477147188</v>
      </c>
      <c r="F44" s="1">
        <f>D44/$D$46</f>
        <v>0.12177472105818547</v>
      </c>
    </row>
    <row r="45" spans="1:10" customFormat="1" x14ac:dyDescent="0.25">
      <c r="A45" s="4"/>
      <c r="B45" t="s">
        <v>27</v>
      </c>
      <c r="D45" s="19">
        <f>B27-D44</f>
        <v>109264495.84885646</v>
      </c>
      <c r="F45" s="1">
        <f>D45/$D$46</f>
        <v>0.87822527894181446</v>
      </c>
    </row>
    <row r="46" spans="1:10" customFormat="1" x14ac:dyDescent="0.25">
      <c r="A46" s="4"/>
      <c r="B46" t="s">
        <v>26</v>
      </c>
      <c r="D46" s="19">
        <f>SUM(D44:D45)</f>
        <v>124415111.32600366</v>
      </c>
      <c r="F46" s="1">
        <f>SUM(F44:F45)</f>
        <v>0.99999999999999989</v>
      </c>
    </row>
    <row r="47" spans="1:10" customFormat="1" x14ac:dyDescent="0.25">
      <c r="A47" s="4"/>
      <c r="D47" s="19"/>
      <c r="F47" s="1"/>
    </row>
    <row r="48" spans="1:10" customFormat="1" x14ac:dyDescent="0.25">
      <c r="A48" s="4" t="s">
        <v>229</v>
      </c>
      <c r="B48" t="s">
        <v>5</v>
      </c>
      <c r="D48" s="19">
        <f>B8</f>
        <v>135957611.77860278</v>
      </c>
      <c r="F48" s="1">
        <f>D48/$D$51</f>
        <v>0.39781205486019838</v>
      </c>
    </row>
    <row r="49" spans="1:7" customFormat="1" x14ac:dyDescent="0.25">
      <c r="A49" s="4"/>
      <c r="B49" t="s">
        <v>27</v>
      </c>
      <c r="D49" s="19">
        <f>B29-D48-D50</f>
        <v>81390705.422922388</v>
      </c>
      <c r="F49" s="1">
        <f>D49/$D$51</f>
        <v>0.2381492536331061</v>
      </c>
    </row>
    <row r="50" spans="1:7" customFormat="1" x14ac:dyDescent="0.25">
      <c r="A50" s="4"/>
      <c r="B50" t="s">
        <v>233</v>
      </c>
      <c r="D50" s="19">
        <f>G27</f>
        <v>124415111.32600366</v>
      </c>
      <c r="F50" s="1">
        <f>D50/$D$51</f>
        <v>0.36403869150669554</v>
      </c>
    </row>
    <row r="51" spans="1:7" customFormat="1" x14ac:dyDescent="0.25">
      <c r="A51" s="4"/>
      <c r="B51" t="s">
        <v>26</v>
      </c>
      <c r="D51" s="19">
        <f>SUM(D48:D50)</f>
        <v>341763428.52752882</v>
      </c>
      <c r="F51" s="1">
        <f>SUM(F48:F50)</f>
        <v>1</v>
      </c>
    </row>
    <row r="52" spans="1:7" customFormat="1" x14ac:dyDescent="0.25">
      <c r="A52" s="4"/>
      <c r="D52" s="19"/>
      <c r="F52" s="1"/>
    </row>
    <row r="53" spans="1:7" customFormat="1" x14ac:dyDescent="0.25">
      <c r="A53" s="4" t="s">
        <v>15</v>
      </c>
      <c r="B53" t="s">
        <v>5</v>
      </c>
      <c r="D53" s="19">
        <f>B9</f>
        <v>1498745847.1338997</v>
      </c>
      <c r="F53" s="1">
        <f>D53/$D$56</f>
        <v>0.79393526668354153</v>
      </c>
    </row>
    <row r="54" spans="1:7" customFormat="1" x14ac:dyDescent="0.25">
      <c r="B54" t="s">
        <v>27</v>
      </c>
      <c r="D54" s="19">
        <f>B32+B33-D53-D55</f>
        <v>57965228.245560169</v>
      </c>
      <c r="F54" s="1">
        <f>D54/$D$56</f>
        <v>3.0706099392046975E-2</v>
      </c>
    </row>
    <row r="55" spans="1:7" customFormat="1" x14ac:dyDescent="0.25">
      <c r="B55" t="s">
        <v>229</v>
      </c>
      <c r="D55" s="19">
        <f>G29</f>
        <v>331032056.87176442</v>
      </c>
      <c r="F55" s="1">
        <f>D55/$D$56</f>
        <v>0.17535863392441153</v>
      </c>
    </row>
    <row r="56" spans="1:7" customFormat="1" x14ac:dyDescent="0.25">
      <c r="B56" t="s">
        <v>26</v>
      </c>
      <c r="D56" s="19">
        <f>SUM(D53:D55)</f>
        <v>1887743132.2512243</v>
      </c>
      <c r="F56" s="1">
        <f>SUM(F53:F55)</f>
        <v>1</v>
      </c>
    </row>
    <row r="57" spans="1:7" customFormat="1" x14ac:dyDescent="0.25"/>
    <row r="58" spans="1:7" customFormat="1" x14ac:dyDescent="0.25"/>
    <row r="59" spans="1:7" customFormat="1" x14ac:dyDescent="0.25">
      <c r="A59" s="25" t="s">
        <v>325</v>
      </c>
    </row>
    <row r="60" spans="1:7" customFormat="1" x14ac:dyDescent="0.25">
      <c r="A60" s="4" t="s">
        <v>506</v>
      </c>
      <c r="B60" s="4"/>
    </row>
    <row r="61" spans="1:7" customFormat="1" x14ac:dyDescent="0.25">
      <c r="A61" s="4" t="s">
        <v>507</v>
      </c>
      <c r="B61" s="4"/>
    </row>
    <row r="62" spans="1:7" customFormat="1" ht="15.6" x14ac:dyDescent="0.25">
      <c r="A62" s="4" t="s">
        <v>508</v>
      </c>
      <c r="B62" s="4"/>
      <c r="C62" s="9"/>
      <c r="D62" s="9"/>
      <c r="E62" s="9"/>
      <c r="F62" s="9"/>
      <c r="G62" s="9"/>
    </row>
    <row r="63" spans="1:7" customFormat="1" ht="15.6" x14ac:dyDescent="0.25">
      <c r="A63" s="4" t="s">
        <v>509</v>
      </c>
      <c r="B63" s="4"/>
      <c r="C63" s="9"/>
      <c r="D63" s="9"/>
      <c r="E63" s="9"/>
      <c r="F63" s="9"/>
      <c r="G63" s="9"/>
    </row>
    <row r="64" spans="1:7" customFormat="1" x14ac:dyDescent="0.25">
      <c r="A64" s="4" t="s">
        <v>510</v>
      </c>
      <c r="B64" s="4"/>
    </row>
    <row r="65" spans="1:2" customFormat="1" x14ac:dyDescent="0.25">
      <c r="A65" s="4" t="s">
        <v>511</v>
      </c>
      <c r="B65" s="4"/>
    </row>
    <row r="66" spans="1:2" x14ac:dyDescent="0.25">
      <c r="A66" s="4" t="s">
        <v>512</v>
      </c>
      <c r="B66" s="4"/>
    </row>
  </sheetData>
  <mergeCells count="1">
    <mergeCell ref="A1:L1"/>
  </mergeCells>
  <phoneticPr fontId="13" type="noConversion"/>
  <printOptions horizontalCentered="1"/>
  <pageMargins left="0.75" right="0.75" top="1" bottom="1" header="0.5" footer="0.5"/>
  <pageSetup scale="67" orientation="portrait" r:id="rId1"/>
  <headerFooter alignWithMargins="0">
    <oddHeader>&amp;RPage 30 of 42</oddHeader>
    <oddFooter>&amp;R&amp;F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66"/>
  <sheetViews>
    <sheetView topLeftCell="A30" zoomScale="75" zoomScaleNormal="75" workbookViewId="0">
      <selection sqref="A1:L1"/>
    </sheetView>
  </sheetViews>
  <sheetFormatPr defaultRowHeight="13.2" x14ac:dyDescent="0.25"/>
  <cols>
    <col min="2" max="2" width="15.6640625" customWidth="1"/>
    <col min="3" max="3" width="6.44140625" customWidth="1"/>
    <col min="4" max="4" width="15.6640625" customWidth="1"/>
    <col min="5" max="5" width="6.6640625" customWidth="1"/>
    <col min="6" max="6" width="13.5546875" customWidth="1"/>
    <col min="7" max="7" width="15.6640625" customWidth="1"/>
    <col min="8" max="8" width="14.6640625" customWidth="1"/>
    <col min="9" max="9" width="8" customWidth="1"/>
    <col min="10" max="10" width="12.6640625" customWidth="1"/>
    <col min="11" max="11" width="6" customWidth="1"/>
    <col min="12" max="12" width="10.44140625" customWidth="1"/>
    <col min="13" max="13" width="10.33203125" customWidth="1"/>
    <col min="14" max="14" width="12.6640625" customWidth="1"/>
    <col min="15" max="15" width="9.5546875" style="11" customWidth="1"/>
    <col min="16" max="16" width="12.33203125" customWidth="1"/>
    <col min="17" max="17" width="3.33203125" customWidth="1"/>
    <col min="18" max="18" width="12.6640625" customWidth="1"/>
  </cols>
  <sheetData>
    <row r="1" spans="1:18" ht="15.6" x14ac:dyDescent="0.3">
      <c r="A1" s="451" t="s">
        <v>420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8"/>
      <c r="N1" s="8"/>
      <c r="O1" s="8"/>
      <c r="P1" s="8"/>
      <c r="Q1" s="8"/>
      <c r="R1" s="8"/>
    </row>
    <row r="3" spans="1:18" x14ac:dyDescent="0.25">
      <c r="A3" s="4" t="s">
        <v>11</v>
      </c>
      <c r="B3" s="24" t="s">
        <v>133</v>
      </c>
      <c r="C3" s="24"/>
      <c r="D3" s="24" t="s">
        <v>117</v>
      </c>
      <c r="F3" s="11"/>
    </row>
    <row r="4" spans="1:18" x14ac:dyDescent="0.25">
      <c r="A4" s="172" t="s">
        <v>12</v>
      </c>
      <c r="B4" s="175" t="s">
        <v>24</v>
      </c>
      <c r="C4" s="175"/>
      <c r="D4" s="175" t="s">
        <v>13</v>
      </c>
    </row>
    <row r="5" spans="1:18" x14ac:dyDescent="0.25">
      <c r="A5" s="4" t="s">
        <v>348</v>
      </c>
      <c r="B5" s="19">
        <f>'Entry Profile L&amp;F'!$F$33</f>
        <v>874566.96830489498</v>
      </c>
      <c r="C5" s="14"/>
      <c r="D5" s="21">
        <f>+B5/$B$11</f>
        <v>4.5903246232078621E-4</v>
      </c>
    </row>
    <row r="6" spans="1:18" x14ac:dyDescent="0.25">
      <c r="A6" s="4" t="s">
        <v>14</v>
      </c>
      <c r="B6" s="19">
        <f>'Entry Profile L&amp;F'!$F$34+'Entry Profile L&amp;F'!$F$35</f>
        <v>207495319.7597453</v>
      </c>
      <c r="C6" s="14"/>
      <c r="D6" s="21">
        <f t="shared" ref="D6:D11" si="0">+B6/$B$11</f>
        <v>0.10890771204629965</v>
      </c>
    </row>
    <row r="7" spans="1:18" x14ac:dyDescent="0.25">
      <c r="A7" s="4" t="s">
        <v>233</v>
      </c>
      <c r="B7" s="19">
        <f>'Entry Profile L&amp;F'!$F$36</f>
        <v>13579113.940452995</v>
      </c>
      <c r="C7" s="14"/>
      <c r="D7" s="21">
        <f t="shared" si="0"/>
        <v>7.1272462076884553E-3</v>
      </c>
    </row>
    <row r="8" spans="1:18" x14ac:dyDescent="0.25">
      <c r="A8" s="4" t="s">
        <v>229</v>
      </c>
      <c r="B8" s="19">
        <f>'Entry Profile L&amp;F'!$F$37+'Entry Profile L&amp;F'!$F$38</f>
        <v>99531569.384473309</v>
      </c>
      <c r="C8" s="14"/>
      <c r="D8" s="21">
        <f t="shared" si="0"/>
        <v>5.2240963847240744E-2</v>
      </c>
    </row>
    <row r="9" spans="1:18" x14ac:dyDescent="0.25">
      <c r="A9" s="4" t="s">
        <v>15</v>
      </c>
      <c r="B9" s="19">
        <f>'Entry Profile L&amp;F'!$F$39</f>
        <v>1076400296.3888383</v>
      </c>
      <c r="C9" s="14"/>
      <c r="D9" s="21">
        <f t="shared" si="0"/>
        <v>0.56496837452239157</v>
      </c>
    </row>
    <row r="10" spans="1:18" x14ac:dyDescent="0.25">
      <c r="A10" s="4" t="s">
        <v>116</v>
      </c>
      <c r="B10" s="19">
        <f>'Entry Profile L&amp;F'!$F$40</f>
        <v>507359045.96708202</v>
      </c>
      <c r="C10" s="14"/>
      <c r="D10" s="21">
        <f t="shared" si="0"/>
        <v>0.26629667091405868</v>
      </c>
    </row>
    <row r="11" spans="1:18" x14ac:dyDescent="0.25">
      <c r="A11" s="200" t="s">
        <v>16</v>
      </c>
      <c r="B11" s="16">
        <f>SUM(B5:B10)</f>
        <v>1905239912.4088969</v>
      </c>
      <c r="C11" s="17"/>
      <c r="D11" s="18">
        <f t="shared" si="0"/>
        <v>1</v>
      </c>
    </row>
    <row r="13" spans="1:18" x14ac:dyDescent="0.25">
      <c r="A13" s="4"/>
      <c r="B13" s="24" t="s">
        <v>118</v>
      </c>
      <c r="C13" s="4"/>
      <c r="D13" s="4"/>
      <c r="E13" s="4"/>
      <c r="F13" s="24" t="s">
        <v>119</v>
      </c>
      <c r="G13" s="24" t="s">
        <v>120</v>
      </c>
      <c r="H13" s="4"/>
      <c r="I13" s="4"/>
      <c r="J13" s="4"/>
    </row>
    <row r="14" spans="1:18" x14ac:dyDescent="0.25">
      <c r="A14" s="4"/>
      <c r="B14" s="4"/>
      <c r="C14" s="4"/>
      <c r="D14" s="4"/>
      <c r="E14" s="4"/>
      <c r="F14" s="171" t="s">
        <v>28</v>
      </c>
      <c r="G14" s="4"/>
      <c r="H14" s="4"/>
      <c r="I14" s="4"/>
      <c r="J14" s="4"/>
    </row>
    <row r="15" spans="1:18" x14ac:dyDescent="0.25">
      <c r="A15" s="172" t="s">
        <v>18</v>
      </c>
      <c r="B15" s="172" t="s">
        <v>24</v>
      </c>
      <c r="C15" s="172"/>
      <c r="D15" s="202"/>
      <c r="E15" s="202"/>
      <c r="F15" s="201" t="s">
        <v>209</v>
      </c>
      <c r="G15" s="175" t="s">
        <v>24</v>
      </c>
      <c r="H15" s="199" t="s">
        <v>19</v>
      </c>
      <c r="I15" s="175" t="s">
        <v>20</v>
      </c>
      <c r="J15" s="199" t="s">
        <v>21</v>
      </c>
    </row>
    <row r="16" spans="1:18" x14ac:dyDescent="0.25">
      <c r="A16" s="4" t="s">
        <v>348</v>
      </c>
      <c r="B16" s="19">
        <f>B5</f>
        <v>874566.96830489498</v>
      </c>
      <c r="D16" s="2"/>
      <c r="E16" s="3"/>
      <c r="F16" s="21">
        <f>'Flow Proportions'!$E$30</f>
        <v>1.5825599999999999E-2</v>
      </c>
      <c r="G16" s="19">
        <f>$B$16*F16</f>
        <v>13840.547013605945</v>
      </c>
      <c r="H16" t="s">
        <v>116</v>
      </c>
      <c r="I16" s="11">
        <v>1</v>
      </c>
      <c r="J16" t="s">
        <v>22</v>
      </c>
    </row>
    <row r="17" spans="1:10" customFormat="1" x14ac:dyDescent="0.25">
      <c r="A17" s="4"/>
      <c r="D17" s="2"/>
      <c r="E17" s="3"/>
      <c r="F17" s="21">
        <f>'Flow Proportions'!$E$31</f>
        <v>0.48817440000000001</v>
      </c>
      <c r="G17" s="19">
        <f>$B$16*F17</f>
        <v>426941.20501206111</v>
      </c>
      <c r="H17" t="s">
        <v>15</v>
      </c>
      <c r="I17" s="11">
        <v>2</v>
      </c>
      <c r="J17" t="s">
        <v>22</v>
      </c>
    </row>
    <row r="18" spans="1:10" customFormat="1" x14ac:dyDescent="0.25">
      <c r="A18" s="4"/>
      <c r="D18" s="2"/>
      <c r="E18" s="3"/>
      <c r="F18" s="21">
        <f>'Flow Proportions'!$E$32</f>
        <v>0.496</v>
      </c>
      <c r="G18" s="19">
        <f>$B$16*F18</f>
        <v>433785.21627922793</v>
      </c>
      <c r="H18" t="s">
        <v>14</v>
      </c>
      <c r="I18" s="11">
        <v>3</v>
      </c>
      <c r="J18" t="s">
        <v>22</v>
      </c>
    </row>
    <row r="19" spans="1:10" customFormat="1" x14ac:dyDescent="0.25">
      <c r="A19" s="4"/>
      <c r="D19" s="2"/>
      <c r="E19" s="3"/>
      <c r="F19" s="21">
        <f>'Flow Proportions'!$E$33</f>
        <v>0</v>
      </c>
      <c r="G19" s="19">
        <f>$B$16*F19</f>
        <v>0</v>
      </c>
      <c r="H19" t="s">
        <v>233</v>
      </c>
      <c r="I19" s="11">
        <v>4</v>
      </c>
      <c r="J19" t="s">
        <v>231</v>
      </c>
    </row>
    <row r="20" spans="1:10" customFormat="1" x14ac:dyDescent="0.25">
      <c r="A20" s="4"/>
      <c r="D20" s="2"/>
      <c r="E20" s="3"/>
      <c r="F20" s="21">
        <f>'Flow Proportions'!$E$34</f>
        <v>0</v>
      </c>
      <c r="G20" s="19">
        <f>$B$16*F20</f>
        <v>0</v>
      </c>
      <c r="H20" t="s">
        <v>229</v>
      </c>
      <c r="I20" s="11">
        <v>5</v>
      </c>
      <c r="J20" t="s">
        <v>231</v>
      </c>
    </row>
    <row r="21" spans="1:10" customFormat="1" x14ac:dyDescent="0.25">
      <c r="A21" s="4"/>
      <c r="F21" s="21"/>
      <c r="G21" s="19"/>
      <c r="I21" s="11"/>
    </row>
    <row r="22" spans="1:10" customFormat="1" x14ac:dyDescent="0.25">
      <c r="A22" s="4" t="s">
        <v>14</v>
      </c>
      <c r="B22" s="19">
        <f>B6+G18</f>
        <v>207929104.97602454</v>
      </c>
      <c r="D22" s="2"/>
      <c r="E22" s="2"/>
      <c r="F22" s="21">
        <f>'Flow Proportions'!$E$38</f>
        <v>0.32491358999999997</v>
      </c>
      <c r="G22" s="19">
        <f>$B$22*F22</f>
        <v>67558991.963246986</v>
      </c>
      <c r="H22" t="s">
        <v>229</v>
      </c>
      <c r="I22" s="11">
        <v>6</v>
      </c>
      <c r="J22" t="s">
        <v>231</v>
      </c>
    </row>
    <row r="23" spans="1:10" customFormat="1" x14ac:dyDescent="0.25">
      <c r="A23" s="4"/>
      <c r="D23" s="2"/>
      <c r="E23" s="2"/>
      <c r="F23" s="21">
        <f>'Flow Proportions'!$E$39</f>
        <v>0.43618641000000002</v>
      </c>
      <c r="G23" s="19">
        <f>$B$22*F23</f>
        <v>90695849.834005281</v>
      </c>
      <c r="H23" t="s">
        <v>233</v>
      </c>
      <c r="I23" s="11">
        <v>7</v>
      </c>
      <c r="J23" t="s">
        <v>231</v>
      </c>
    </row>
    <row r="24" spans="1:10" customFormat="1" x14ac:dyDescent="0.25">
      <c r="A24" s="4"/>
      <c r="D24" s="2"/>
      <c r="E24" s="2"/>
      <c r="F24" s="21">
        <f>'Flow Proportions'!$E$40</f>
        <v>0.23139854000000001</v>
      </c>
      <c r="G24" s="19">
        <f>$B$22*F24</f>
        <v>48114491.314958818</v>
      </c>
      <c r="H24" t="s">
        <v>15</v>
      </c>
      <c r="I24" s="11">
        <v>8</v>
      </c>
      <c r="J24" t="s">
        <v>23</v>
      </c>
    </row>
    <row r="25" spans="1:10" customFormat="1" x14ac:dyDescent="0.25">
      <c r="A25" s="4"/>
      <c r="D25" s="2"/>
      <c r="E25" s="2"/>
      <c r="F25" s="21">
        <f>'Flow Proportions'!$E$41</f>
        <v>7.5014599999999997E-3</v>
      </c>
      <c r="G25" s="19">
        <f>$B$22*F25</f>
        <v>1559771.8638134489</v>
      </c>
      <c r="H25" t="s">
        <v>116</v>
      </c>
      <c r="I25" s="11">
        <v>9</v>
      </c>
      <c r="J25" t="s">
        <v>23</v>
      </c>
    </row>
    <row r="26" spans="1:10" customFormat="1" x14ac:dyDescent="0.25">
      <c r="A26" s="4"/>
      <c r="F26" s="21"/>
      <c r="G26" s="19"/>
      <c r="I26" s="11"/>
    </row>
    <row r="27" spans="1:10" customFormat="1" x14ac:dyDescent="0.25">
      <c r="A27" s="4" t="s">
        <v>233</v>
      </c>
      <c r="B27" s="19">
        <f>B7+G19+G23</f>
        <v>104274963.77445827</v>
      </c>
      <c r="D27" s="2"/>
      <c r="E27" s="2"/>
      <c r="F27" s="21">
        <f>'Flow Proportions'!$E$45</f>
        <v>1</v>
      </c>
      <c r="G27" s="19">
        <f>B27*F27</f>
        <v>104274963.77445827</v>
      </c>
      <c r="H27" t="s">
        <v>229</v>
      </c>
      <c r="I27" s="11">
        <v>10</v>
      </c>
      <c r="J27" t="s">
        <v>232</v>
      </c>
    </row>
    <row r="28" spans="1:10" customFormat="1" x14ac:dyDescent="0.25">
      <c r="A28" s="4"/>
      <c r="D28" s="2"/>
      <c r="E28" s="2"/>
      <c r="F28" s="21"/>
      <c r="G28" s="19"/>
      <c r="I28" s="11"/>
    </row>
    <row r="29" spans="1:10" customFormat="1" x14ac:dyDescent="0.25">
      <c r="A29" s="4" t="s">
        <v>229</v>
      </c>
      <c r="B29" s="19">
        <f>B8+G20+G22+G27</f>
        <v>271365525.12217855</v>
      </c>
      <c r="D29" s="2"/>
      <c r="E29" s="2"/>
      <c r="F29" s="21">
        <f>'Flow Proportions'!$E$48</f>
        <v>0.96860000000000002</v>
      </c>
      <c r="G29" s="19">
        <f>B29*F29</f>
        <v>262844647.63334215</v>
      </c>
      <c r="H29" t="s">
        <v>15</v>
      </c>
      <c r="I29" s="11">
        <v>11</v>
      </c>
      <c r="J29" t="s">
        <v>231</v>
      </c>
    </row>
    <row r="30" spans="1:10" customFormat="1" x14ac:dyDescent="0.25">
      <c r="A30" s="4"/>
      <c r="D30" s="2"/>
      <c r="E30" s="2"/>
      <c r="F30" s="21">
        <f>'Flow Proportions'!$E$49</f>
        <v>3.1399999999999997E-2</v>
      </c>
      <c r="G30" s="19">
        <f>B29*F30</f>
        <v>8520877.4888364058</v>
      </c>
      <c r="H30" t="s">
        <v>116</v>
      </c>
      <c r="I30" s="11">
        <v>12</v>
      </c>
      <c r="J30" t="s">
        <v>231</v>
      </c>
    </row>
    <row r="31" spans="1:10" customFormat="1" x14ac:dyDescent="0.25">
      <c r="A31" s="4"/>
      <c r="D31" s="2"/>
      <c r="E31" s="2"/>
      <c r="F31" s="21"/>
      <c r="G31" s="19"/>
      <c r="I31" s="11"/>
    </row>
    <row r="32" spans="1:10" customFormat="1" x14ac:dyDescent="0.25">
      <c r="A32" s="4" t="s">
        <v>15</v>
      </c>
      <c r="B32" s="19">
        <f>B9+G29</f>
        <v>1339244944.0221806</v>
      </c>
      <c r="D32" s="2"/>
      <c r="E32" s="2"/>
      <c r="F32" s="21">
        <f>'Flow Proportions'!$E$53</f>
        <v>1</v>
      </c>
      <c r="G32" s="19">
        <f>B32*F32</f>
        <v>1339244944.0221806</v>
      </c>
      <c r="H32" t="s">
        <v>116</v>
      </c>
      <c r="I32" s="11">
        <v>13</v>
      </c>
      <c r="J32" t="s">
        <v>22</v>
      </c>
    </row>
    <row r="33" spans="1:10" customFormat="1" x14ac:dyDescent="0.25">
      <c r="A33" s="4"/>
      <c r="B33" s="19">
        <f>G17+G24</f>
        <v>48541432.519970879</v>
      </c>
      <c r="D33" s="2"/>
      <c r="E33" s="2"/>
      <c r="G33" s="19">
        <f>B33*F32</f>
        <v>48541432.519970879</v>
      </c>
      <c r="H33" t="s">
        <v>116</v>
      </c>
      <c r="I33" s="11">
        <v>13</v>
      </c>
      <c r="J33" t="s">
        <v>22</v>
      </c>
    </row>
    <row r="34" spans="1:10" customFormat="1" x14ac:dyDescent="0.25">
      <c r="A34" s="4"/>
      <c r="D34" s="2"/>
      <c r="E34" s="2"/>
      <c r="I34" s="11"/>
    </row>
    <row r="35" spans="1:10" customFormat="1" x14ac:dyDescent="0.25">
      <c r="A35" s="4" t="s">
        <v>116</v>
      </c>
      <c r="B35" s="19">
        <f>B10+G16+G25+G30+G32+G33</f>
        <v>1905239912.4088969</v>
      </c>
      <c r="D35" s="2"/>
      <c r="E35" s="2"/>
      <c r="F35" s="2"/>
      <c r="J35" s="11"/>
    </row>
    <row r="37" spans="1:10" customFormat="1" x14ac:dyDescent="0.25">
      <c r="A37" s="4"/>
      <c r="B37" s="4"/>
      <c r="C37" s="4"/>
      <c r="D37" s="24" t="s">
        <v>121</v>
      </c>
      <c r="E37" s="24"/>
      <c r="F37" s="24" t="s">
        <v>204</v>
      </c>
    </row>
    <row r="38" spans="1:10" customFormat="1" x14ac:dyDescent="0.25">
      <c r="A38" s="4" t="s">
        <v>11</v>
      </c>
      <c r="B38" s="4"/>
      <c r="C38" s="4"/>
      <c r="D38" s="4"/>
      <c r="E38" s="4"/>
      <c r="F38" s="24" t="s">
        <v>24</v>
      </c>
    </row>
    <row r="39" spans="1:10" customFormat="1" x14ac:dyDescent="0.25">
      <c r="A39" s="172" t="s">
        <v>12</v>
      </c>
      <c r="B39" s="172" t="s">
        <v>0</v>
      </c>
      <c r="C39" s="172"/>
      <c r="D39" s="175" t="s">
        <v>24</v>
      </c>
      <c r="E39" s="172"/>
      <c r="F39" s="175" t="s">
        <v>13</v>
      </c>
    </row>
    <row r="40" spans="1:10" customFormat="1" x14ac:dyDescent="0.25">
      <c r="A40" s="4" t="s">
        <v>14</v>
      </c>
      <c r="B40" t="s">
        <v>5</v>
      </c>
      <c r="D40" s="19">
        <f>B6</f>
        <v>207495319.7597453</v>
      </c>
      <c r="F40" s="1">
        <f>D40/$D$42</f>
        <v>0.99791378308328094</v>
      </c>
    </row>
    <row r="41" spans="1:10" customFormat="1" x14ac:dyDescent="0.25">
      <c r="A41" s="4"/>
      <c r="B41" t="s">
        <v>27</v>
      </c>
      <c r="D41" s="19">
        <f>B22-D40</f>
        <v>433785.21627923846</v>
      </c>
      <c r="F41" s="1">
        <f>D41/$D$42</f>
        <v>2.0862169167190736E-3</v>
      </c>
    </row>
    <row r="42" spans="1:10" customFormat="1" x14ac:dyDescent="0.25">
      <c r="A42" s="4"/>
      <c r="B42" t="s">
        <v>26</v>
      </c>
      <c r="D42" s="19">
        <f>D40+D41</f>
        <v>207929104.97602454</v>
      </c>
      <c r="F42" s="1">
        <f>SUM(F40:F41)</f>
        <v>1</v>
      </c>
    </row>
    <row r="43" spans="1:10" customFormat="1" x14ac:dyDescent="0.25">
      <c r="A43" s="4"/>
      <c r="D43" s="19"/>
      <c r="F43" s="1"/>
    </row>
    <row r="44" spans="1:10" customFormat="1" x14ac:dyDescent="0.25">
      <c r="A44" s="4" t="s">
        <v>233</v>
      </c>
      <c r="B44" t="s">
        <v>5</v>
      </c>
      <c r="D44" s="19">
        <f>B7</f>
        <v>13579113.940452995</v>
      </c>
      <c r="F44" s="1">
        <f>D44/$D$46</f>
        <v>0.13022410604547383</v>
      </c>
    </row>
    <row r="45" spans="1:10" customFormat="1" x14ac:dyDescent="0.25">
      <c r="A45" s="4"/>
      <c r="B45" t="s">
        <v>27</v>
      </c>
      <c r="D45" s="19">
        <f>B27-D44</f>
        <v>90695849.834005281</v>
      </c>
      <c r="F45" s="1">
        <f>D45/$D$46</f>
        <v>0.86977589395452626</v>
      </c>
    </row>
    <row r="46" spans="1:10" customFormat="1" x14ac:dyDescent="0.25">
      <c r="A46" s="4"/>
      <c r="B46" t="s">
        <v>26</v>
      </c>
      <c r="D46" s="19">
        <f>SUM(D44:D45)</f>
        <v>104274963.77445827</v>
      </c>
      <c r="F46" s="1">
        <f>SUM(F44:F45)</f>
        <v>1</v>
      </c>
    </row>
    <row r="47" spans="1:10" customFormat="1" x14ac:dyDescent="0.25">
      <c r="A47" s="4"/>
      <c r="D47" s="19"/>
      <c r="F47" s="1"/>
    </row>
    <row r="48" spans="1:10" customFormat="1" x14ac:dyDescent="0.25">
      <c r="A48" s="4" t="s">
        <v>229</v>
      </c>
      <c r="B48" t="s">
        <v>5</v>
      </c>
      <c r="D48" s="19">
        <f>B8</f>
        <v>99531569.384473309</v>
      </c>
      <c r="F48" s="1">
        <f>D48/$D$51</f>
        <v>0.36678044987350772</v>
      </c>
    </row>
    <row r="49" spans="1:7" customFormat="1" x14ac:dyDescent="0.25">
      <c r="A49" s="4"/>
      <c r="B49" t="s">
        <v>27</v>
      </c>
      <c r="D49" s="19">
        <f>B29-D48-D50</f>
        <v>67558991.963246956</v>
      </c>
      <c r="F49" s="1">
        <f>D49/$D$51</f>
        <v>0.24895937659299006</v>
      </c>
    </row>
    <row r="50" spans="1:7" customFormat="1" x14ac:dyDescent="0.25">
      <c r="A50" s="4"/>
      <c r="B50" t="s">
        <v>233</v>
      </c>
      <c r="D50" s="19">
        <f>G27</f>
        <v>104274963.77445827</v>
      </c>
      <c r="F50" s="1">
        <f>D50/$D$51</f>
        <v>0.38426017353350217</v>
      </c>
    </row>
    <row r="51" spans="1:7" customFormat="1" x14ac:dyDescent="0.25">
      <c r="A51" s="4"/>
      <c r="B51" t="s">
        <v>26</v>
      </c>
      <c r="D51" s="19">
        <f>SUM(D48:D50)</f>
        <v>271365525.12217855</v>
      </c>
      <c r="F51" s="1">
        <f>SUM(F48:F50)</f>
        <v>0.99999999999999989</v>
      </c>
    </row>
    <row r="52" spans="1:7" customFormat="1" x14ac:dyDescent="0.25">
      <c r="A52" s="4"/>
      <c r="D52" s="19"/>
      <c r="F52" s="1"/>
    </row>
    <row r="53" spans="1:7" customFormat="1" x14ac:dyDescent="0.25">
      <c r="A53" s="4" t="s">
        <v>15</v>
      </c>
      <c r="B53" t="s">
        <v>5</v>
      </c>
      <c r="D53" s="19">
        <f>B9</f>
        <v>1076400296.3888383</v>
      </c>
      <c r="F53" s="1">
        <f>D53/$D$56</f>
        <v>0.77562391055518809</v>
      </c>
    </row>
    <row r="54" spans="1:7" customFormat="1" x14ac:dyDescent="0.25">
      <c r="B54" t="s">
        <v>27</v>
      </c>
      <c r="D54" s="19">
        <f>B32+B33-D53-D55</f>
        <v>48541432.519971013</v>
      </c>
      <c r="F54" s="1">
        <f>D54/$D$56</f>
        <v>3.4977596941770134E-2</v>
      </c>
    </row>
    <row r="55" spans="1:7" customFormat="1" x14ac:dyDescent="0.25">
      <c r="B55" t="s">
        <v>229</v>
      </c>
      <c r="D55" s="19">
        <f>G29</f>
        <v>262844647.63334215</v>
      </c>
      <c r="F55" s="1">
        <f>D55/$D$56</f>
        <v>0.18939849250304175</v>
      </c>
    </row>
    <row r="56" spans="1:7" customFormat="1" x14ac:dyDescent="0.25">
      <c r="B56" t="s">
        <v>26</v>
      </c>
      <c r="D56" s="19">
        <f>SUM(D53:D55)</f>
        <v>1387786376.5421515</v>
      </c>
      <c r="F56" s="1">
        <f>SUM(F53:F55)</f>
        <v>1</v>
      </c>
    </row>
    <row r="57" spans="1:7" customFormat="1" x14ac:dyDescent="0.25"/>
    <row r="58" spans="1:7" customFormat="1" x14ac:dyDescent="0.25"/>
    <row r="59" spans="1:7" customFormat="1" x14ac:dyDescent="0.25">
      <c r="A59" s="25" t="s">
        <v>325</v>
      </c>
    </row>
    <row r="60" spans="1:7" customFormat="1" x14ac:dyDescent="0.25">
      <c r="A60" s="4" t="s">
        <v>506</v>
      </c>
      <c r="B60" s="4"/>
    </row>
    <row r="61" spans="1:7" customFormat="1" x14ac:dyDescent="0.25">
      <c r="A61" s="4" t="s">
        <v>507</v>
      </c>
      <c r="B61" s="4"/>
    </row>
    <row r="62" spans="1:7" customFormat="1" ht="15.6" x14ac:dyDescent="0.25">
      <c r="A62" s="4" t="s">
        <v>508</v>
      </c>
      <c r="B62" s="4"/>
      <c r="C62" s="9"/>
      <c r="D62" s="9"/>
      <c r="E62" s="9"/>
      <c r="F62" s="9"/>
      <c r="G62" s="9"/>
    </row>
    <row r="63" spans="1:7" customFormat="1" ht="15.6" x14ac:dyDescent="0.25">
      <c r="A63" s="4" t="s">
        <v>509</v>
      </c>
      <c r="B63" s="4"/>
      <c r="C63" s="9"/>
      <c r="D63" s="9"/>
      <c r="E63" s="9"/>
      <c r="F63" s="9"/>
      <c r="G63" s="9"/>
    </row>
    <row r="64" spans="1:7" customFormat="1" x14ac:dyDescent="0.25">
      <c r="A64" s="4" t="s">
        <v>510</v>
      </c>
      <c r="B64" s="4"/>
    </row>
    <row r="65" spans="1:2" customFormat="1" x14ac:dyDescent="0.25">
      <c r="A65" s="4" t="s">
        <v>511</v>
      </c>
      <c r="B65" s="4"/>
    </row>
    <row r="66" spans="1:2" x14ac:dyDescent="0.25">
      <c r="A66" s="4" t="s">
        <v>512</v>
      </c>
      <c r="B66" s="4"/>
    </row>
  </sheetData>
  <mergeCells count="1">
    <mergeCell ref="A1:L1"/>
  </mergeCells>
  <printOptions horizontalCentered="1"/>
  <pageMargins left="0.7" right="0.7" top="0.75" bottom="0.75" header="0.3" footer="0.3"/>
  <pageSetup scale="68" orientation="portrait" r:id="rId1"/>
  <headerFooter>
    <oddHeader>&amp;RPage 31 of 42</oddHeader>
    <oddFooter>&amp;R&amp;F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66"/>
  <sheetViews>
    <sheetView topLeftCell="A30" zoomScale="75" zoomScaleNormal="75" workbookViewId="0">
      <selection sqref="A1:L1"/>
    </sheetView>
  </sheetViews>
  <sheetFormatPr defaultColWidth="9.33203125" defaultRowHeight="13.2" x14ac:dyDescent="0.25"/>
  <cols>
    <col min="2" max="2" width="12.6640625" customWidth="1"/>
    <col min="3" max="3" width="6.44140625" customWidth="1"/>
    <col min="4" max="4" width="15.6640625" customWidth="1"/>
    <col min="5" max="5" width="6.6640625" customWidth="1"/>
    <col min="6" max="6" width="13.5546875" customWidth="1"/>
    <col min="7" max="7" width="13.33203125" customWidth="1"/>
    <col min="8" max="8" width="14.6640625" customWidth="1"/>
    <col min="9" max="9" width="8" customWidth="1"/>
    <col min="10" max="10" width="12.6640625" customWidth="1"/>
    <col min="11" max="11" width="6" customWidth="1"/>
    <col min="12" max="12" width="10.44140625" customWidth="1"/>
    <col min="13" max="13" width="10.33203125" customWidth="1"/>
    <col min="14" max="14" width="12.6640625" customWidth="1"/>
    <col min="15" max="15" width="9.5546875" style="11" customWidth="1"/>
    <col min="16" max="16" width="12.33203125" customWidth="1"/>
    <col min="17" max="17" width="3.33203125" customWidth="1"/>
    <col min="18" max="18" width="12.6640625" customWidth="1"/>
  </cols>
  <sheetData>
    <row r="1" spans="1:18" ht="15.6" x14ac:dyDescent="0.3">
      <c r="A1" s="451" t="s">
        <v>421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8"/>
      <c r="N1" s="8"/>
      <c r="O1" s="8"/>
      <c r="P1" s="8"/>
      <c r="Q1" s="8"/>
      <c r="R1" s="8"/>
    </row>
    <row r="3" spans="1:18" x14ac:dyDescent="0.25">
      <c r="A3" s="4" t="s">
        <v>11</v>
      </c>
      <c r="B3" s="24" t="s">
        <v>133</v>
      </c>
      <c r="C3" s="24"/>
      <c r="D3" s="24" t="s">
        <v>117</v>
      </c>
      <c r="F3" s="11"/>
    </row>
    <row r="4" spans="1:18" x14ac:dyDescent="0.25">
      <c r="A4" s="172" t="s">
        <v>12</v>
      </c>
      <c r="B4" s="175" t="s">
        <v>24</v>
      </c>
      <c r="C4" s="175"/>
      <c r="D4" s="175" t="s">
        <v>13</v>
      </c>
    </row>
    <row r="5" spans="1:18" x14ac:dyDescent="0.25">
      <c r="A5" s="4" t="s">
        <v>348</v>
      </c>
      <c r="B5" s="19">
        <f>'Entry Profile P'!$B$23+'Entry Profile P'!$C$23+'Entry Profile P'!$D$23</f>
        <v>725.52131659592123</v>
      </c>
      <c r="C5" s="14"/>
      <c r="D5" s="107">
        <f>+B5/$B$11</f>
        <v>0.20173005921758941</v>
      </c>
    </row>
    <row r="6" spans="1:18" x14ac:dyDescent="0.25">
      <c r="A6" s="4" t="s">
        <v>14</v>
      </c>
      <c r="B6" s="19">
        <f>'Entry Profile P'!$B$24+'Entry Profile P'!$C$24+'Entry Profile P'!$D$24</f>
        <v>680.70669157513737</v>
      </c>
      <c r="C6" s="14"/>
      <c r="D6" s="107">
        <f t="shared" ref="D6:D11" si="0">+B6/$B$11</f>
        <v>0.18926942332383817</v>
      </c>
    </row>
    <row r="7" spans="1:18" x14ac:dyDescent="0.25">
      <c r="A7" s="4" t="s">
        <v>233</v>
      </c>
      <c r="B7" s="19">
        <f>'Entry Profile P'!$B$25+'Entry Profile P'!$C$25+'Entry Profile P'!$D$25</f>
        <v>946.91505972268988</v>
      </c>
      <c r="C7" s="14"/>
      <c r="D7" s="107">
        <f t="shared" si="0"/>
        <v>0.26328824074823792</v>
      </c>
    </row>
    <row r="8" spans="1:18" x14ac:dyDescent="0.25">
      <c r="A8" s="4" t="s">
        <v>229</v>
      </c>
      <c r="B8" s="19">
        <f>'Entry Profile P'!$B$26+'Entry Profile P'!$C$26+'Entry Profile P'!$D$26</f>
        <v>1175.3681113121988</v>
      </c>
      <c r="C8" s="14"/>
      <c r="D8" s="107">
        <f t="shared" si="0"/>
        <v>0.32680925187692694</v>
      </c>
    </row>
    <row r="9" spans="1:18" x14ac:dyDescent="0.25">
      <c r="A9" s="4" t="s">
        <v>15</v>
      </c>
      <c r="B9" s="19">
        <f>'Entry Profile P'!$B$27+'Entry Profile P'!$C$27+'Entry Profile P'!$D$27</f>
        <v>66.746793305430572</v>
      </c>
      <c r="C9" s="14"/>
      <c r="D9" s="107">
        <f t="shared" si="0"/>
        <v>1.8558840737119157E-2</v>
      </c>
    </row>
    <row r="10" spans="1:18" x14ac:dyDescent="0.25">
      <c r="A10" s="4" t="s">
        <v>116</v>
      </c>
      <c r="B10" s="281">
        <f>'Entry Profile P'!$B$28+'Entry Profile P'!$C$28+'Entry Profile P'!$D$28</f>
        <v>1.2378566667706268</v>
      </c>
      <c r="C10" s="14"/>
      <c r="D10" s="107">
        <f t="shared" si="0"/>
        <v>3.4418409628838496E-4</v>
      </c>
    </row>
    <row r="11" spans="1:18" x14ac:dyDescent="0.25">
      <c r="A11" s="200" t="s">
        <v>16</v>
      </c>
      <c r="B11" s="16">
        <f>SUM(B5:B10)</f>
        <v>3596.4958291781486</v>
      </c>
      <c r="C11" s="17"/>
      <c r="D11" s="307">
        <f t="shared" si="0"/>
        <v>1</v>
      </c>
    </row>
    <row r="12" spans="1:18" x14ac:dyDescent="0.25">
      <c r="B12" s="19"/>
    </row>
    <row r="13" spans="1:18" x14ac:dyDescent="0.25">
      <c r="A13" s="4"/>
      <c r="B13" s="24" t="s">
        <v>118</v>
      </c>
      <c r="C13" s="4"/>
      <c r="D13" s="4"/>
      <c r="E13" s="4"/>
      <c r="F13" s="24" t="s">
        <v>119</v>
      </c>
      <c r="G13" s="24" t="s">
        <v>120</v>
      </c>
      <c r="H13" s="4"/>
      <c r="I13" s="4"/>
      <c r="J13" s="4"/>
    </row>
    <row r="14" spans="1:18" x14ac:dyDescent="0.25">
      <c r="A14" s="4"/>
      <c r="B14" s="4"/>
      <c r="C14" s="4"/>
      <c r="D14" s="4"/>
      <c r="E14" s="4"/>
      <c r="F14" s="171" t="s">
        <v>28</v>
      </c>
      <c r="G14" s="4"/>
      <c r="H14" s="4"/>
      <c r="I14" s="4"/>
      <c r="J14" s="4"/>
    </row>
    <row r="15" spans="1:18" x14ac:dyDescent="0.25">
      <c r="A15" s="172" t="s">
        <v>18</v>
      </c>
      <c r="B15" s="172" t="s">
        <v>24</v>
      </c>
      <c r="C15" s="172"/>
      <c r="D15" s="202"/>
      <c r="E15" s="202"/>
      <c r="F15" s="201" t="s">
        <v>209</v>
      </c>
      <c r="G15" s="175" t="s">
        <v>24</v>
      </c>
      <c r="H15" s="199" t="s">
        <v>19</v>
      </c>
      <c r="I15" s="175" t="s">
        <v>20</v>
      </c>
      <c r="J15" s="199" t="s">
        <v>21</v>
      </c>
    </row>
    <row r="16" spans="1:18" x14ac:dyDescent="0.25">
      <c r="A16" s="4" t="s">
        <v>348</v>
      </c>
      <c r="B16" s="19">
        <f>B5</f>
        <v>725.52131659592123</v>
      </c>
      <c r="D16" s="2"/>
      <c r="E16" s="3"/>
      <c r="F16" s="107">
        <f>'Flow Proportions'!$E$30</f>
        <v>1.5825599999999999E-2</v>
      </c>
      <c r="G16" s="19">
        <f>$B$16*F16</f>
        <v>11.48181014792041</v>
      </c>
      <c r="H16" t="s">
        <v>116</v>
      </c>
      <c r="I16" s="11">
        <v>1</v>
      </c>
      <c r="J16" t="s">
        <v>22</v>
      </c>
    </row>
    <row r="17" spans="1:10" customFormat="1" x14ac:dyDescent="0.25">
      <c r="A17" s="4"/>
      <c r="D17" s="2"/>
      <c r="E17" s="3"/>
      <c r="F17" s="107">
        <f>'Flow Proportions'!$E$31</f>
        <v>0.48817440000000001</v>
      </c>
      <c r="G17" s="19">
        <f>$B$16*F17</f>
        <v>354.1809334164239</v>
      </c>
      <c r="H17" t="s">
        <v>15</v>
      </c>
      <c r="I17" s="11">
        <v>2</v>
      </c>
      <c r="J17" t="s">
        <v>22</v>
      </c>
    </row>
    <row r="18" spans="1:10" customFormat="1" x14ac:dyDescent="0.25">
      <c r="A18" s="4"/>
      <c r="D18" s="2"/>
      <c r="E18" s="3"/>
      <c r="F18" s="107">
        <f>'Flow Proportions'!$E$32</f>
        <v>0.496</v>
      </c>
      <c r="G18" s="19">
        <f>$B$16*F18</f>
        <v>359.85857303157695</v>
      </c>
      <c r="H18" t="s">
        <v>14</v>
      </c>
      <c r="I18" s="11">
        <v>3</v>
      </c>
      <c r="J18" t="s">
        <v>22</v>
      </c>
    </row>
    <row r="19" spans="1:10" customFormat="1" x14ac:dyDescent="0.25">
      <c r="A19" s="4"/>
      <c r="D19" s="2"/>
      <c r="E19" s="3"/>
      <c r="F19" s="107">
        <f>'Flow Proportions'!$E$33</f>
        <v>0</v>
      </c>
      <c r="G19" s="19">
        <f>$B$16*F19</f>
        <v>0</v>
      </c>
      <c r="H19" t="s">
        <v>233</v>
      </c>
      <c r="I19" s="11">
        <v>4</v>
      </c>
      <c r="J19" t="s">
        <v>231</v>
      </c>
    </row>
    <row r="20" spans="1:10" customFormat="1" x14ac:dyDescent="0.25">
      <c r="A20" s="4"/>
      <c r="D20" s="2"/>
      <c r="E20" s="3"/>
      <c r="F20" s="107">
        <f>'Flow Proportions'!$E$34</f>
        <v>0</v>
      </c>
      <c r="G20" s="19">
        <f>$B$16*F20</f>
        <v>0</v>
      </c>
      <c r="H20" t="s">
        <v>229</v>
      </c>
      <c r="I20" s="11">
        <v>5</v>
      </c>
      <c r="J20" t="s">
        <v>231</v>
      </c>
    </row>
    <row r="21" spans="1:10" customFormat="1" x14ac:dyDescent="0.25">
      <c r="A21" s="4"/>
      <c r="F21" s="107"/>
      <c r="G21" s="19"/>
      <c r="I21" s="11"/>
    </row>
    <row r="22" spans="1:10" customFormat="1" x14ac:dyDescent="0.25">
      <c r="A22" s="4" t="s">
        <v>14</v>
      </c>
      <c r="B22" s="19">
        <f>B6+G18</f>
        <v>1040.5652646067142</v>
      </c>
      <c r="D22" s="2"/>
      <c r="E22" s="2"/>
      <c r="F22" s="107">
        <f>'Flow Proportions'!$E$38</f>
        <v>0.32491358999999997</v>
      </c>
      <c r="G22" s="19">
        <f>$B$22*F22</f>
        <v>338.0937957526674</v>
      </c>
      <c r="H22" t="s">
        <v>229</v>
      </c>
      <c r="I22" s="11">
        <v>6</v>
      </c>
      <c r="J22" t="s">
        <v>231</v>
      </c>
    </row>
    <row r="23" spans="1:10" customFormat="1" x14ac:dyDescent="0.25">
      <c r="A23" s="4"/>
      <c r="D23" s="2"/>
      <c r="E23" s="2"/>
      <c r="F23" s="107">
        <f>'Flow Proportions'!$E$39</f>
        <v>0.43618641000000002</v>
      </c>
      <c r="G23" s="19">
        <f>$B$22*F23</f>
        <v>453.88042713950279</v>
      </c>
      <c r="H23" t="s">
        <v>233</v>
      </c>
      <c r="I23" s="11">
        <v>7</v>
      </c>
      <c r="J23" t="s">
        <v>231</v>
      </c>
    </row>
    <row r="24" spans="1:10" customFormat="1" x14ac:dyDescent="0.25">
      <c r="A24" s="4"/>
      <c r="D24" s="2"/>
      <c r="E24" s="2"/>
      <c r="F24" s="107">
        <f>'Flow Proportions'!$E$40</f>
        <v>0.23139854000000001</v>
      </c>
      <c r="G24" s="19">
        <f>$B$22*F24</f>
        <v>240.78528300470737</v>
      </c>
      <c r="H24" t="s">
        <v>15</v>
      </c>
      <c r="I24" s="11">
        <v>8</v>
      </c>
      <c r="J24" t="s">
        <v>23</v>
      </c>
    </row>
    <row r="25" spans="1:10" customFormat="1" x14ac:dyDescent="0.25">
      <c r="A25" s="4"/>
      <c r="D25" s="2"/>
      <c r="E25" s="2"/>
      <c r="F25" s="107">
        <f>'Flow Proportions'!$E$41</f>
        <v>7.5014599999999997E-3</v>
      </c>
      <c r="G25" s="19">
        <f>$B$22*F25</f>
        <v>7.8057587098366819</v>
      </c>
      <c r="H25" t="s">
        <v>116</v>
      </c>
      <c r="I25" s="11">
        <v>9</v>
      </c>
      <c r="J25" t="s">
        <v>23</v>
      </c>
    </row>
    <row r="26" spans="1:10" customFormat="1" x14ac:dyDescent="0.25">
      <c r="A26" s="4"/>
      <c r="F26" s="107"/>
      <c r="G26" s="19"/>
      <c r="I26" s="11"/>
    </row>
    <row r="27" spans="1:10" customFormat="1" x14ac:dyDescent="0.25">
      <c r="A27" s="4" t="s">
        <v>233</v>
      </c>
      <c r="B27" s="19">
        <f>B7+G19+G23</f>
        <v>1400.7954868621928</v>
      </c>
      <c r="D27" s="2"/>
      <c r="E27" s="2"/>
      <c r="F27" s="107">
        <f>'Flow Proportions'!$E$45</f>
        <v>1</v>
      </c>
      <c r="G27" s="19">
        <f>B27*F27</f>
        <v>1400.7954868621928</v>
      </c>
      <c r="H27" t="s">
        <v>229</v>
      </c>
      <c r="I27" s="11">
        <v>10</v>
      </c>
      <c r="J27" t="s">
        <v>232</v>
      </c>
    </row>
    <row r="28" spans="1:10" customFormat="1" x14ac:dyDescent="0.25">
      <c r="A28" s="4"/>
      <c r="D28" s="2"/>
      <c r="E28" s="2"/>
      <c r="F28" s="107"/>
      <c r="G28" s="19"/>
      <c r="I28" s="11"/>
    </row>
    <row r="29" spans="1:10" customFormat="1" x14ac:dyDescent="0.25">
      <c r="A29" s="4" t="s">
        <v>229</v>
      </c>
      <c r="B29" s="19">
        <f>B8+G20+G22+G27</f>
        <v>2914.2573939270587</v>
      </c>
      <c r="D29" s="2"/>
      <c r="E29" s="2"/>
      <c r="F29" s="107">
        <f>'Flow Proportions'!$E$48</f>
        <v>0.96860000000000002</v>
      </c>
      <c r="G29" s="19">
        <f>B29*F29</f>
        <v>2822.7497117577491</v>
      </c>
      <c r="H29" t="s">
        <v>15</v>
      </c>
      <c r="I29" s="11">
        <v>11</v>
      </c>
      <c r="J29" t="s">
        <v>231</v>
      </c>
    </row>
    <row r="30" spans="1:10" customFormat="1" x14ac:dyDescent="0.25">
      <c r="A30" s="4"/>
      <c r="D30" s="2"/>
      <c r="E30" s="2"/>
      <c r="F30" s="107">
        <f>'Flow Proportions'!$E$49</f>
        <v>3.1399999999999997E-2</v>
      </c>
      <c r="G30" s="19">
        <f>B29*F30</f>
        <v>91.507682169309632</v>
      </c>
      <c r="H30" t="s">
        <v>116</v>
      </c>
      <c r="I30" s="11">
        <v>12</v>
      </c>
      <c r="J30" t="s">
        <v>231</v>
      </c>
    </row>
    <row r="31" spans="1:10" customFormat="1" x14ac:dyDescent="0.25">
      <c r="A31" s="4"/>
      <c r="D31" s="2"/>
      <c r="E31" s="2"/>
      <c r="F31" s="107"/>
      <c r="G31" s="19"/>
      <c r="I31" s="11"/>
    </row>
    <row r="32" spans="1:10" customFormat="1" x14ac:dyDescent="0.25">
      <c r="A32" s="4" t="s">
        <v>15</v>
      </c>
      <c r="B32" s="19">
        <f>B9+G29</f>
        <v>2889.4965050631795</v>
      </c>
      <c r="D32" s="2"/>
      <c r="E32" s="2"/>
      <c r="F32" s="107">
        <f>'Flow Proportions'!$E$53</f>
        <v>1</v>
      </c>
      <c r="G32" s="19">
        <f>B32*F32</f>
        <v>2889.4965050631795</v>
      </c>
      <c r="H32" t="s">
        <v>116</v>
      </c>
      <c r="I32" s="11">
        <v>13</v>
      </c>
      <c r="J32" t="s">
        <v>22</v>
      </c>
    </row>
    <row r="33" spans="1:15" x14ac:dyDescent="0.25">
      <c r="A33" s="4"/>
      <c r="B33" s="19">
        <f>G17+G24</f>
        <v>594.96621642113132</v>
      </c>
      <c r="D33" s="2"/>
      <c r="E33" s="2"/>
      <c r="G33" s="19">
        <f>B33*F32</f>
        <v>594.96621642113132</v>
      </c>
      <c r="H33" t="s">
        <v>116</v>
      </c>
      <c r="I33" s="11">
        <v>13</v>
      </c>
      <c r="J33" t="s">
        <v>22</v>
      </c>
      <c r="O33"/>
    </row>
    <row r="34" spans="1:15" x14ac:dyDescent="0.25">
      <c r="A34" s="4"/>
      <c r="D34" s="2"/>
      <c r="E34" s="2"/>
      <c r="I34" s="11"/>
      <c r="O34"/>
    </row>
    <row r="35" spans="1:15" x14ac:dyDescent="0.25">
      <c r="A35" s="4" t="s">
        <v>116</v>
      </c>
      <c r="B35" s="19">
        <f>B10+G16+G25+G30+G32+G33</f>
        <v>3596.4958291781481</v>
      </c>
      <c r="D35" s="2"/>
      <c r="E35" s="2"/>
      <c r="F35" s="2"/>
      <c r="J35" s="11"/>
      <c r="O35"/>
    </row>
    <row r="37" spans="1:15" x14ac:dyDescent="0.25">
      <c r="A37" s="4"/>
      <c r="B37" s="4"/>
      <c r="C37" s="4"/>
      <c r="D37" s="24" t="s">
        <v>121</v>
      </c>
      <c r="E37" s="24"/>
      <c r="F37" s="24" t="s">
        <v>204</v>
      </c>
      <c r="G37" s="4"/>
      <c r="O37"/>
    </row>
    <row r="38" spans="1:15" x14ac:dyDescent="0.25">
      <c r="A38" s="4" t="s">
        <v>11</v>
      </c>
      <c r="B38" s="4"/>
      <c r="C38" s="4"/>
      <c r="D38" s="4"/>
      <c r="E38" s="4"/>
      <c r="F38" s="24" t="s">
        <v>24</v>
      </c>
      <c r="G38" s="4"/>
      <c r="O38"/>
    </row>
    <row r="39" spans="1:15" x14ac:dyDescent="0.25">
      <c r="A39" s="172" t="s">
        <v>12</v>
      </c>
      <c r="B39" s="172" t="s">
        <v>0</v>
      </c>
      <c r="C39" s="172"/>
      <c r="D39" s="175" t="s">
        <v>24</v>
      </c>
      <c r="E39" s="172"/>
      <c r="F39" s="175" t="s">
        <v>13</v>
      </c>
      <c r="G39" s="172"/>
      <c r="O39"/>
    </row>
    <row r="40" spans="1:15" x14ac:dyDescent="0.25">
      <c r="A40" s="4" t="s">
        <v>14</v>
      </c>
      <c r="B40" t="s">
        <v>5</v>
      </c>
      <c r="D40" s="19">
        <f>B6</f>
        <v>680.70669157513737</v>
      </c>
      <c r="F40" s="1">
        <f>D40/$D$42</f>
        <v>0.65417010804450904</v>
      </c>
      <c r="O40"/>
    </row>
    <row r="41" spans="1:15" x14ac:dyDescent="0.25">
      <c r="A41" s="4"/>
      <c r="B41" t="s">
        <v>27</v>
      </c>
      <c r="D41" s="19">
        <f>B22-D40</f>
        <v>359.85857303157684</v>
      </c>
      <c r="F41" s="1">
        <f>D41/$D$42</f>
        <v>0.34582989195549096</v>
      </c>
      <c r="O41"/>
    </row>
    <row r="42" spans="1:15" x14ac:dyDescent="0.25">
      <c r="A42" s="4"/>
      <c r="B42" t="s">
        <v>26</v>
      </c>
      <c r="D42" s="19">
        <f>D40+D41</f>
        <v>1040.5652646067142</v>
      </c>
      <c r="F42" s="1">
        <f>SUM(F40:F41)</f>
        <v>1</v>
      </c>
      <c r="O42"/>
    </row>
    <row r="43" spans="1:15" x14ac:dyDescent="0.25">
      <c r="A43" s="4"/>
      <c r="D43" s="19"/>
      <c r="F43" s="1"/>
      <c r="O43"/>
    </row>
    <row r="44" spans="1:15" x14ac:dyDescent="0.25">
      <c r="A44" s="4" t="s">
        <v>233</v>
      </c>
      <c r="B44" t="s">
        <v>5</v>
      </c>
      <c r="D44" s="19">
        <f>B7</f>
        <v>946.91505972268988</v>
      </c>
      <c r="F44" s="1">
        <f>D44/$D$46</f>
        <v>0.67598380249196599</v>
      </c>
      <c r="O44"/>
    </row>
    <row r="45" spans="1:15" x14ac:dyDescent="0.25">
      <c r="A45" s="4"/>
      <c r="B45" t="s">
        <v>27</v>
      </c>
      <c r="D45" s="19">
        <f>B27-D44</f>
        <v>453.8804271395029</v>
      </c>
      <c r="F45" s="1">
        <f>D45/$D$46</f>
        <v>0.32401619750803401</v>
      </c>
      <c r="O45"/>
    </row>
    <row r="46" spans="1:15" x14ac:dyDescent="0.25">
      <c r="A46" s="4"/>
      <c r="B46" t="s">
        <v>26</v>
      </c>
      <c r="D46" s="19">
        <f>SUM(D44:D45)</f>
        <v>1400.7954868621928</v>
      </c>
      <c r="F46" s="1">
        <f>SUM(F44:F45)</f>
        <v>1</v>
      </c>
      <c r="O46"/>
    </row>
    <row r="47" spans="1:15" x14ac:dyDescent="0.25">
      <c r="A47" s="4"/>
      <c r="D47" s="19"/>
      <c r="F47" s="1"/>
      <c r="O47"/>
    </row>
    <row r="48" spans="1:15" x14ac:dyDescent="0.25">
      <c r="A48" s="4" t="s">
        <v>229</v>
      </c>
      <c r="B48" t="s">
        <v>5</v>
      </c>
      <c r="D48" s="19">
        <f>B8</f>
        <v>1175.3681113121988</v>
      </c>
      <c r="F48" s="1">
        <f>D48/$D$51</f>
        <v>0.40331650655206924</v>
      </c>
      <c r="O48"/>
    </row>
    <row r="49" spans="1:7" customFormat="1" x14ac:dyDescent="0.25">
      <c r="A49" s="4"/>
      <c r="B49" t="s">
        <v>27</v>
      </c>
      <c r="D49" s="19">
        <f>B29-D48-D50</f>
        <v>338.09379575266712</v>
      </c>
      <c r="F49" s="1">
        <f>D49/$D$51</f>
        <v>0.11601370436846503</v>
      </c>
    </row>
    <row r="50" spans="1:7" customFormat="1" x14ac:dyDescent="0.25">
      <c r="A50" s="4"/>
      <c r="B50" t="s">
        <v>233</v>
      </c>
      <c r="D50" s="19">
        <f>G27</f>
        <v>1400.7954868621928</v>
      </c>
      <c r="F50" s="1">
        <f>D50/$D$51</f>
        <v>0.48066978907946573</v>
      </c>
    </row>
    <row r="51" spans="1:7" customFormat="1" x14ac:dyDescent="0.25">
      <c r="A51" s="4"/>
      <c r="B51" t="s">
        <v>26</v>
      </c>
      <c r="D51" s="19">
        <f>SUM(D48:D50)</f>
        <v>2914.2573939270587</v>
      </c>
      <c r="F51" s="1">
        <f>SUM(F48:F50)</f>
        <v>1</v>
      </c>
    </row>
    <row r="52" spans="1:7" customFormat="1" x14ac:dyDescent="0.25">
      <c r="A52" s="4"/>
      <c r="D52" s="19"/>
      <c r="F52" s="1"/>
    </row>
    <row r="53" spans="1:7" customFormat="1" x14ac:dyDescent="0.25">
      <c r="A53" s="4" t="s">
        <v>15</v>
      </c>
      <c r="B53" t="s">
        <v>5</v>
      </c>
      <c r="D53" s="19">
        <f>B9</f>
        <v>66.746793305430572</v>
      </c>
      <c r="F53" s="1">
        <f>D53/$D$56</f>
        <v>1.9155548111875847E-2</v>
      </c>
    </row>
    <row r="54" spans="1:7" customFormat="1" x14ac:dyDescent="0.25">
      <c r="B54" t="s">
        <v>27</v>
      </c>
      <c r="D54" s="19">
        <f>B32+B33-D53-D55</f>
        <v>594.96621642113132</v>
      </c>
      <c r="F54" s="1">
        <f>D54/$D$56</f>
        <v>0.17074833739868156</v>
      </c>
    </row>
    <row r="55" spans="1:7" customFormat="1" x14ac:dyDescent="0.25">
      <c r="B55" t="s">
        <v>229</v>
      </c>
      <c r="D55" s="19">
        <f>G29</f>
        <v>2822.7497117577491</v>
      </c>
      <c r="F55" s="1">
        <f>D55/$D$56</f>
        <v>0.81009611448944252</v>
      </c>
    </row>
    <row r="56" spans="1:7" customFormat="1" x14ac:dyDescent="0.25">
      <c r="B56" t="s">
        <v>26</v>
      </c>
      <c r="D56" s="19">
        <f>SUM(D53:D55)</f>
        <v>3484.4627214843113</v>
      </c>
      <c r="F56" s="1">
        <f>SUM(F53:F55)</f>
        <v>0.99999999999999989</v>
      </c>
    </row>
    <row r="57" spans="1:7" customFormat="1" x14ac:dyDescent="0.25"/>
    <row r="58" spans="1:7" customFormat="1" x14ac:dyDescent="0.25"/>
    <row r="59" spans="1:7" customFormat="1" x14ac:dyDescent="0.25">
      <c r="A59" s="25" t="s">
        <v>325</v>
      </c>
    </row>
    <row r="60" spans="1:7" customFormat="1" x14ac:dyDescent="0.25">
      <c r="A60" s="4" t="s">
        <v>513</v>
      </c>
      <c r="B60" s="4"/>
    </row>
    <row r="61" spans="1:7" customFormat="1" x14ac:dyDescent="0.25">
      <c r="A61" s="4" t="s">
        <v>507</v>
      </c>
      <c r="B61" s="4"/>
    </row>
    <row r="62" spans="1:7" customFormat="1" ht="15.6" x14ac:dyDescent="0.25">
      <c r="A62" s="4" t="s">
        <v>508</v>
      </c>
      <c r="B62" s="4"/>
      <c r="C62" s="9"/>
      <c r="D62" s="9"/>
      <c r="E62" s="9"/>
      <c r="F62" s="9"/>
      <c r="G62" s="9"/>
    </row>
    <row r="63" spans="1:7" customFormat="1" ht="15.6" x14ac:dyDescent="0.25">
      <c r="A63" s="4" t="s">
        <v>509</v>
      </c>
      <c r="B63" s="4"/>
      <c r="C63" s="9"/>
      <c r="D63" s="9"/>
      <c r="E63" s="9"/>
      <c r="F63" s="9"/>
      <c r="G63" s="9"/>
    </row>
    <row r="64" spans="1:7" customFormat="1" x14ac:dyDescent="0.25">
      <c r="A64" s="4" t="s">
        <v>510</v>
      </c>
      <c r="B64" s="4"/>
    </row>
    <row r="65" spans="1:15" x14ac:dyDescent="0.25">
      <c r="A65" s="4" t="s">
        <v>511</v>
      </c>
      <c r="B65" s="4"/>
      <c r="O65"/>
    </row>
    <row r="66" spans="1:15" x14ac:dyDescent="0.25">
      <c r="A66" s="4" t="s">
        <v>512</v>
      </c>
      <c r="B66" s="4"/>
    </row>
  </sheetData>
  <mergeCells count="1">
    <mergeCell ref="A1:L1"/>
  </mergeCells>
  <printOptions horizontalCentered="1"/>
  <pageMargins left="0.7" right="0.7" top="0.75" bottom="0.75" header="0.3" footer="0.3"/>
  <pageSetup scale="71" orientation="portrait" r:id="rId1"/>
  <headerFooter>
    <oddHeader>&amp;RPage 32 of 42</oddHeader>
    <oddFooter>&amp;R&amp;F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40">
    <pageSetUpPr fitToPage="1"/>
  </sheetPr>
  <dimension ref="A1:L156"/>
  <sheetViews>
    <sheetView topLeftCell="A50" zoomScale="75" workbookViewId="0"/>
  </sheetViews>
  <sheetFormatPr defaultColWidth="9.33203125" defaultRowHeight="13.2" x14ac:dyDescent="0.25"/>
  <cols>
    <col min="1" max="1" width="8.6640625" style="5" customWidth="1"/>
    <col min="2" max="2" width="13.5546875" style="5" customWidth="1"/>
    <col min="3" max="3" width="17.6640625" style="5" customWidth="1"/>
    <col min="4" max="4" width="23.33203125" style="5" customWidth="1"/>
    <col min="5" max="5" width="12.5546875" style="5" customWidth="1"/>
    <col min="6" max="6" width="4.33203125" style="5" customWidth="1"/>
    <col min="7" max="8" width="8.6640625" style="6" customWidth="1"/>
    <col min="9" max="9" width="9.33203125" style="6"/>
    <col min="10" max="10" width="4.6640625" style="4" customWidth="1"/>
    <col min="11" max="16384" width="9.33203125" style="5"/>
  </cols>
  <sheetData>
    <row r="1" spans="1:12" ht="17.399999999999999" x14ac:dyDescent="0.3">
      <c r="A1" s="167" t="s">
        <v>418</v>
      </c>
      <c r="B1" s="32"/>
      <c r="C1" s="32"/>
      <c r="D1" s="32"/>
      <c r="E1" s="32"/>
      <c r="F1" s="32"/>
      <c r="G1" s="32"/>
      <c r="H1" s="32"/>
      <c r="I1" s="32"/>
      <c r="J1" s="203"/>
      <c r="K1" s="32"/>
      <c r="L1" s="32"/>
    </row>
    <row r="2" spans="1:12" x14ac:dyDescent="0.25">
      <c r="B2" s="10"/>
    </row>
    <row r="3" spans="1:12" ht="19.5" customHeight="1" x14ac:dyDescent="0.3">
      <c r="A3" s="39" t="s">
        <v>71</v>
      </c>
      <c r="B3" s="102"/>
      <c r="C3" s="102"/>
    </row>
    <row r="4" spans="1:12" ht="6.75" customHeight="1" x14ac:dyDescent="0.3">
      <c r="A4" s="39"/>
      <c r="B4" s="102"/>
      <c r="C4" s="102"/>
    </row>
    <row r="5" spans="1:12" x14ac:dyDescent="0.25">
      <c r="B5" s="4" t="s">
        <v>349</v>
      </c>
    </row>
    <row r="6" spans="1:12" x14ac:dyDescent="0.25">
      <c r="B6" s="5" t="s">
        <v>245</v>
      </c>
      <c r="G6" s="316">
        <v>0</v>
      </c>
      <c r="J6" s="176" t="s">
        <v>36</v>
      </c>
    </row>
    <row r="7" spans="1:12" x14ac:dyDescent="0.25">
      <c r="C7" s="5" t="s">
        <v>246</v>
      </c>
      <c r="H7" s="316">
        <v>0.57310000000000005</v>
      </c>
      <c r="J7" s="176" t="s">
        <v>37</v>
      </c>
    </row>
    <row r="8" spans="1:12" x14ac:dyDescent="0.25">
      <c r="C8" s="5" t="s">
        <v>247</v>
      </c>
      <c r="H8" s="316">
        <v>0.4269</v>
      </c>
      <c r="J8" s="176" t="s">
        <v>38</v>
      </c>
    </row>
    <row r="9" spans="1:12" x14ac:dyDescent="0.25">
      <c r="H9" s="33"/>
      <c r="J9" s="176"/>
    </row>
    <row r="10" spans="1:12" x14ac:dyDescent="0.25">
      <c r="B10" s="5" t="s">
        <v>72</v>
      </c>
      <c r="G10" s="316">
        <v>1</v>
      </c>
      <c r="H10" s="33"/>
      <c r="J10" s="176" t="s">
        <v>39</v>
      </c>
      <c r="K10"/>
    </row>
    <row r="11" spans="1:12" x14ac:dyDescent="0.25">
      <c r="C11" s="5" t="s">
        <v>73</v>
      </c>
      <c r="H11" s="316">
        <v>0.496</v>
      </c>
      <c r="J11" s="176" t="s">
        <v>40</v>
      </c>
      <c r="K11"/>
    </row>
    <row r="12" spans="1:12" x14ac:dyDescent="0.25">
      <c r="C12" s="5" t="s">
        <v>74</v>
      </c>
      <c r="H12" s="316">
        <v>0.504</v>
      </c>
      <c r="J12" s="176" t="s">
        <v>41</v>
      </c>
      <c r="K12"/>
    </row>
    <row r="13" spans="1:12" x14ac:dyDescent="0.25">
      <c r="D13" s="5" t="s">
        <v>75</v>
      </c>
      <c r="H13" s="33"/>
      <c r="I13" s="110">
        <v>3.1399999999999997E-2</v>
      </c>
      <c r="J13" s="176" t="s">
        <v>42</v>
      </c>
      <c r="K13"/>
    </row>
    <row r="14" spans="1:12" x14ac:dyDescent="0.25">
      <c r="D14" s="5" t="s">
        <v>76</v>
      </c>
      <c r="H14" s="33"/>
      <c r="I14" s="110">
        <v>0.96860000000000002</v>
      </c>
      <c r="J14" s="176" t="s">
        <v>216</v>
      </c>
      <c r="K14"/>
    </row>
    <row r="15" spans="1:12" x14ac:dyDescent="0.25">
      <c r="H15" s="33"/>
      <c r="I15" s="33"/>
      <c r="J15" s="176"/>
      <c r="K15"/>
    </row>
    <row r="16" spans="1:12" x14ac:dyDescent="0.25">
      <c r="B16" s="10" t="s">
        <v>248</v>
      </c>
      <c r="C16" s="105"/>
      <c r="D16" s="105"/>
      <c r="E16" s="111"/>
      <c r="F16" s="111"/>
      <c r="H16" s="33"/>
      <c r="I16" s="33"/>
      <c r="J16" s="176"/>
      <c r="K16"/>
    </row>
    <row r="17" spans="2:11" x14ac:dyDescent="0.25">
      <c r="B17" s="5" t="s">
        <v>72</v>
      </c>
      <c r="C17" s="105"/>
      <c r="G17" s="316">
        <v>0.7611</v>
      </c>
      <c r="H17" s="33"/>
      <c r="I17" s="33"/>
      <c r="J17" s="176" t="s">
        <v>289</v>
      </c>
      <c r="K17"/>
    </row>
    <row r="18" spans="2:11" x14ac:dyDescent="0.25">
      <c r="C18" s="105"/>
      <c r="D18" s="112" t="s">
        <v>74</v>
      </c>
      <c r="G18" s="5"/>
      <c r="H18" s="316">
        <v>0.4269</v>
      </c>
      <c r="I18" s="33"/>
      <c r="J18" s="176" t="s">
        <v>290</v>
      </c>
      <c r="K18"/>
    </row>
    <row r="19" spans="2:11" x14ac:dyDescent="0.25">
      <c r="C19" s="105"/>
      <c r="D19" s="112" t="s">
        <v>77</v>
      </c>
      <c r="G19" s="5"/>
      <c r="H19" s="316">
        <v>0.57310000000000005</v>
      </c>
      <c r="I19" s="33"/>
      <c r="J19" s="176" t="s">
        <v>291</v>
      </c>
      <c r="K19"/>
    </row>
    <row r="20" spans="2:11" x14ac:dyDescent="0.25">
      <c r="C20" s="105"/>
      <c r="D20" s="111"/>
      <c r="E20" s="111"/>
      <c r="F20" s="111"/>
      <c r="H20" s="33"/>
      <c r="I20" s="33"/>
      <c r="J20" s="176"/>
      <c r="K20"/>
    </row>
    <row r="21" spans="2:11" x14ac:dyDescent="0.25">
      <c r="B21" s="5" t="s">
        <v>245</v>
      </c>
      <c r="C21" s="105"/>
      <c r="G21" s="316">
        <v>0.2389</v>
      </c>
      <c r="H21" s="33"/>
      <c r="J21" s="176" t="s">
        <v>292</v>
      </c>
      <c r="K21"/>
    </row>
    <row r="22" spans="2:11" x14ac:dyDescent="0.25">
      <c r="C22" s="105"/>
      <c r="D22" s="27" t="s">
        <v>249</v>
      </c>
      <c r="H22" s="316">
        <v>0.96860000000000002</v>
      </c>
      <c r="J22" s="183" t="s">
        <v>514</v>
      </c>
      <c r="K22"/>
    </row>
    <row r="23" spans="2:11" x14ac:dyDescent="0.25">
      <c r="C23" s="105"/>
      <c r="D23" s="27" t="s">
        <v>250</v>
      </c>
      <c r="H23" s="316">
        <v>3.1399999999999997E-2</v>
      </c>
      <c r="J23" s="176" t="s">
        <v>515</v>
      </c>
      <c r="K23"/>
    </row>
    <row r="24" spans="2:11" x14ac:dyDescent="0.25">
      <c r="E24" s="34"/>
      <c r="F24" s="34"/>
      <c r="G24" s="33"/>
      <c r="H24" s="33"/>
      <c r="K24" s="6"/>
    </row>
    <row r="25" spans="2:11" x14ac:dyDescent="0.25">
      <c r="E25" s="34"/>
      <c r="F25" s="34"/>
      <c r="H25" s="33"/>
    </row>
    <row r="26" spans="2:11" x14ac:dyDescent="0.25">
      <c r="E26" s="34"/>
      <c r="F26" s="34"/>
      <c r="H26" s="33"/>
    </row>
    <row r="27" spans="2:11" x14ac:dyDescent="0.25">
      <c r="E27" s="34"/>
      <c r="F27" s="34"/>
      <c r="H27" s="33"/>
    </row>
    <row r="28" spans="2:11" x14ac:dyDescent="0.25">
      <c r="B28" s="113" t="s">
        <v>78</v>
      </c>
      <c r="C28" s="113" t="s">
        <v>79</v>
      </c>
      <c r="D28" s="114" t="s">
        <v>80</v>
      </c>
      <c r="E28" s="113" t="s">
        <v>81</v>
      </c>
      <c r="F28" s="102" t="s">
        <v>82</v>
      </c>
      <c r="H28" s="33"/>
    </row>
    <row r="29" spans="2:11" x14ac:dyDescent="0.25">
      <c r="D29" s="115"/>
      <c r="H29" s="33"/>
    </row>
    <row r="30" spans="2:11" x14ac:dyDescent="0.25">
      <c r="B30" s="27">
        <v>1</v>
      </c>
      <c r="C30" s="173" t="s">
        <v>348</v>
      </c>
      <c r="D30" s="173" t="s">
        <v>350</v>
      </c>
      <c r="E30" s="110">
        <f>G10*H12*I13</f>
        <v>1.5825599999999999E-2</v>
      </c>
      <c r="F30" s="102" t="s">
        <v>83</v>
      </c>
      <c r="H30" s="33"/>
    </row>
    <row r="31" spans="2:11" x14ac:dyDescent="0.25">
      <c r="B31" s="27">
        <v>2</v>
      </c>
      <c r="C31" s="173" t="s">
        <v>348</v>
      </c>
      <c r="D31" s="174" t="s">
        <v>351</v>
      </c>
      <c r="E31" s="110">
        <f>G10*H12*I14</f>
        <v>0.48817440000000001</v>
      </c>
      <c r="F31" s="102" t="s">
        <v>84</v>
      </c>
      <c r="H31" s="33"/>
    </row>
    <row r="32" spans="2:11" x14ac:dyDescent="0.25">
      <c r="B32" s="27">
        <v>3</v>
      </c>
      <c r="C32" s="173" t="s">
        <v>348</v>
      </c>
      <c r="D32" s="173" t="s">
        <v>352</v>
      </c>
      <c r="E32" s="110">
        <f>G10*H11</f>
        <v>0.496</v>
      </c>
      <c r="F32" s="102" t="s">
        <v>85</v>
      </c>
      <c r="H32" s="33"/>
    </row>
    <row r="33" spans="2:10" x14ac:dyDescent="0.25">
      <c r="B33" s="27">
        <v>4</v>
      </c>
      <c r="C33" s="173" t="s">
        <v>348</v>
      </c>
      <c r="D33" s="173" t="s">
        <v>353</v>
      </c>
      <c r="E33" s="110">
        <f>G6*H7</f>
        <v>0</v>
      </c>
      <c r="F33" s="102" t="s">
        <v>86</v>
      </c>
      <c r="H33" s="33"/>
    </row>
    <row r="34" spans="2:10" x14ac:dyDescent="0.25">
      <c r="B34" s="27">
        <v>5</v>
      </c>
      <c r="C34" s="173" t="s">
        <v>348</v>
      </c>
      <c r="D34" s="173" t="s">
        <v>354</v>
      </c>
      <c r="E34" s="116">
        <f>G6*H8</f>
        <v>0</v>
      </c>
      <c r="F34" s="102" t="s">
        <v>87</v>
      </c>
      <c r="H34" s="33"/>
    </row>
    <row r="35" spans="2:10" x14ac:dyDescent="0.25">
      <c r="B35" s="27"/>
      <c r="C35" s="27"/>
      <c r="D35" s="27"/>
      <c r="E35" s="117">
        <f>SUM(E30:E34)</f>
        <v>1</v>
      </c>
      <c r="F35" s="102" t="s">
        <v>88</v>
      </c>
      <c r="H35" s="33"/>
    </row>
    <row r="36" spans="2:10" x14ac:dyDescent="0.25">
      <c r="B36" s="27"/>
      <c r="C36" s="27"/>
      <c r="D36" s="27"/>
      <c r="E36" s="117"/>
      <c r="F36" s="6"/>
      <c r="H36" s="33"/>
    </row>
    <row r="37" spans="2:10" x14ac:dyDescent="0.25">
      <c r="B37" s="27"/>
      <c r="C37" s="27"/>
      <c r="D37" s="27"/>
      <c r="E37" s="111"/>
      <c r="F37" s="6"/>
      <c r="H37" s="33"/>
    </row>
    <row r="38" spans="2:10" x14ac:dyDescent="0.25">
      <c r="B38" s="27">
        <v>6</v>
      </c>
      <c r="C38" s="27" t="s">
        <v>14</v>
      </c>
      <c r="D38" s="27" t="s">
        <v>251</v>
      </c>
      <c r="E38" s="110">
        <f>G17*H18</f>
        <v>0.32491358999999997</v>
      </c>
      <c r="F38" s="102" t="s">
        <v>89</v>
      </c>
      <c r="H38" s="33"/>
    </row>
    <row r="39" spans="2:10" x14ac:dyDescent="0.25">
      <c r="B39" s="27">
        <v>7</v>
      </c>
      <c r="C39" s="27" t="s">
        <v>14</v>
      </c>
      <c r="D39" s="27" t="s">
        <v>252</v>
      </c>
      <c r="E39" s="110">
        <f>G17*H19</f>
        <v>0.43618641000000002</v>
      </c>
      <c r="F39" s="102" t="s">
        <v>90</v>
      </c>
      <c r="H39" s="33"/>
    </row>
    <row r="40" spans="2:10" x14ac:dyDescent="0.25">
      <c r="B40" s="27">
        <v>8</v>
      </c>
      <c r="C40" s="27" t="s">
        <v>14</v>
      </c>
      <c r="D40" s="27" t="s">
        <v>91</v>
      </c>
      <c r="E40" s="110">
        <f>G21*H22</f>
        <v>0.23139854000000001</v>
      </c>
      <c r="F40" s="102" t="s">
        <v>92</v>
      </c>
      <c r="H40" s="33"/>
      <c r="J40" s="171"/>
    </row>
    <row r="41" spans="2:10" x14ac:dyDescent="0.25">
      <c r="B41" s="27">
        <v>9</v>
      </c>
      <c r="C41" s="27" t="s">
        <v>14</v>
      </c>
      <c r="D41" s="27" t="s">
        <v>93</v>
      </c>
      <c r="E41" s="116">
        <f>G21*H23</f>
        <v>7.5014599999999997E-3</v>
      </c>
      <c r="F41" s="102" t="s">
        <v>94</v>
      </c>
      <c r="H41" s="33"/>
      <c r="J41" s="171"/>
    </row>
    <row r="42" spans="2:10" x14ac:dyDescent="0.25">
      <c r="B42" s="27"/>
      <c r="C42" s="27"/>
      <c r="D42" s="27"/>
      <c r="E42" s="117">
        <f>SUM(E38:E41)</f>
        <v>1</v>
      </c>
      <c r="F42" s="118" t="s">
        <v>95</v>
      </c>
      <c r="H42" s="33"/>
      <c r="J42" s="171"/>
    </row>
    <row r="43" spans="2:10" x14ac:dyDescent="0.25">
      <c r="B43" s="27"/>
      <c r="C43" s="27"/>
      <c r="D43" s="27"/>
      <c r="E43" s="117"/>
      <c r="F43" s="6"/>
      <c r="H43" s="33"/>
      <c r="J43" s="171"/>
    </row>
    <row r="44" spans="2:10" x14ac:dyDescent="0.25">
      <c r="B44" s="27"/>
      <c r="C44" s="27"/>
      <c r="D44" s="27"/>
      <c r="E44" s="111"/>
      <c r="F44" s="6"/>
      <c r="H44" s="33"/>
      <c r="J44" s="171"/>
    </row>
    <row r="45" spans="2:10" x14ac:dyDescent="0.25">
      <c r="B45" s="27">
        <v>10</v>
      </c>
      <c r="C45" s="27" t="s">
        <v>233</v>
      </c>
      <c r="D45" s="27" t="s">
        <v>253</v>
      </c>
      <c r="E45" s="117">
        <f>1</f>
        <v>1</v>
      </c>
      <c r="F45" s="102" t="s">
        <v>96</v>
      </c>
      <c r="H45" s="33"/>
      <c r="J45" s="171"/>
    </row>
    <row r="46" spans="2:10" x14ac:dyDescent="0.25">
      <c r="B46" s="27"/>
      <c r="C46" s="27"/>
      <c r="D46" s="27"/>
      <c r="E46" s="111"/>
      <c r="F46" s="6"/>
      <c r="H46" s="33"/>
      <c r="J46" s="171"/>
    </row>
    <row r="47" spans="2:10" x14ac:dyDescent="0.25">
      <c r="B47" s="27"/>
      <c r="C47" s="27"/>
      <c r="D47" s="27"/>
      <c r="E47" s="111"/>
      <c r="F47" s="6"/>
      <c r="H47" s="33"/>
      <c r="J47" s="171"/>
    </row>
    <row r="48" spans="2:10" x14ac:dyDescent="0.25">
      <c r="B48" s="27">
        <v>11</v>
      </c>
      <c r="C48" s="27" t="s">
        <v>229</v>
      </c>
      <c r="D48" s="27" t="s">
        <v>254</v>
      </c>
      <c r="E48" s="110">
        <f>H22</f>
        <v>0.96860000000000002</v>
      </c>
      <c r="F48" s="102" t="s">
        <v>97</v>
      </c>
      <c r="H48" s="33"/>
      <c r="J48" s="171"/>
    </row>
    <row r="49" spans="1:9" x14ac:dyDescent="0.25">
      <c r="B49" s="27">
        <v>12</v>
      </c>
      <c r="C49" s="27" t="s">
        <v>229</v>
      </c>
      <c r="D49" s="27" t="s">
        <v>255</v>
      </c>
      <c r="E49" s="116">
        <f>H23</f>
        <v>3.1399999999999997E-2</v>
      </c>
      <c r="F49" s="102" t="s">
        <v>98</v>
      </c>
      <c r="H49" s="33"/>
    </row>
    <row r="50" spans="1:9" x14ac:dyDescent="0.25">
      <c r="B50" s="27"/>
      <c r="C50" s="27"/>
      <c r="D50" s="27"/>
      <c r="E50" s="117">
        <f>SUM(E48:E49)</f>
        <v>1</v>
      </c>
      <c r="F50" s="102" t="s">
        <v>99</v>
      </c>
      <c r="H50" s="33"/>
    </row>
    <row r="51" spans="1:9" x14ac:dyDescent="0.25">
      <c r="B51" s="27"/>
      <c r="C51" s="27"/>
      <c r="D51" s="27"/>
      <c r="E51" s="117"/>
      <c r="F51" s="23"/>
      <c r="H51" s="33"/>
    </row>
    <row r="52" spans="1:9" x14ac:dyDescent="0.25">
      <c r="B52" s="27"/>
      <c r="C52" s="27"/>
      <c r="D52" s="27"/>
      <c r="E52" s="111"/>
      <c r="F52" s="6"/>
      <c r="H52" s="33"/>
    </row>
    <row r="53" spans="1:9" x14ac:dyDescent="0.25">
      <c r="B53" s="27">
        <v>13</v>
      </c>
      <c r="C53" s="27" t="s">
        <v>15</v>
      </c>
      <c r="D53" s="27" t="s">
        <v>100</v>
      </c>
      <c r="E53" s="117">
        <v>1</v>
      </c>
      <c r="F53" s="102" t="s">
        <v>101</v>
      </c>
      <c r="H53" s="33"/>
    </row>
    <row r="54" spans="1:9" x14ac:dyDescent="0.25">
      <c r="B54" s="27"/>
      <c r="C54" s="27"/>
      <c r="D54" s="27"/>
      <c r="E54" s="119"/>
      <c r="F54" s="102"/>
      <c r="H54" s="33"/>
    </row>
    <row r="55" spans="1:9" x14ac:dyDescent="0.25">
      <c r="B55" s="27"/>
      <c r="C55" s="27"/>
      <c r="D55" s="27"/>
      <c r="E55" s="119"/>
      <c r="F55" s="102"/>
      <c r="H55" s="33"/>
    </row>
    <row r="56" spans="1:9" x14ac:dyDescent="0.25">
      <c r="A56" s="25" t="s">
        <v>546</v>
      </c>
      <c r="B56" s="6"/>
      <c r="E56" s="34"/>
      <c r="H56" s="33"/>
    </row>
    <row r="57" spans="1:9" x14ac:dyDescent="0.25">
      <c r="A57" s="171" t="s">
        <v>516</v>
      </c>
      <c r="B57" s="4" t="s">
        <v>102</v>
      </c>
      <c r="H57" s="33"/>
    </row>
    <row r="58" spans="1:9" x14ac:dyDescent="0.25">
      <c r="A58" s="171" t="s">
        <v>517</v>
      </c>
      <c r="B58" s="4" t="s">
        <v>533</v>
      </c>
      <c r="H58" s="33"/>
    </row>
    <row r="59" spans="1:9" x14ac:dyDescent="0.25">
      <c r="A59" s="171" t="s">
        <v>518</v>
      </c>
      <c r="B59" s="4" t="s">
        <v>534</v>
      </c>
      <c r="H59" s="33"/>
    </row>
    <row r="60" spans="1:9" x14ac:dyDescent="0.25">
      <c r="A60" s="171" t="s">
        <v>519</v>
      </c>
      <c r="B60" s="4" t="s">
        <v>535</v>
      </c>
      <c r="H60" s="5"/>
      <c r="I60" s="5"/>
    </row>
    <row r="61" spans="1:9" x14ac:dyDescent="0.25">
      <c r="A61" s="171" t="s">
        <v>520</v>
      </c>
      <c r="B61" s="4" t="s">
        <v>536</v>
      </c>
      <c r="G61" s="5"/>
      <c r="H61" s="5"/>
      <c r="I61" s="5"/>
    </row>
    <row r="62" spans="1:9" x14ac:dyDescent="0.25">
      <c r="A62" s="171" t="s">
        <v>521</v>
      </c>
      <c r="B62" s="4" t="s">
        <v>537</v>
      </c>
      <c r="G62" s="5"/>
      <c r="H62" s="5"/>
      <c r="I62" s="5"/>
    </row>
    <row r="63" spans="1:9" x14ac:dyDescent="0.25">
      <c r="A63" s="171" t="s">
        <v>522</v>
      </c>
      <c r="B63" s="4" t="s">
        <v>538</v>
      </c>
      <c r="G63" s="5"/>
      <c r="H63" s="5"/>
      <c r="I63" s="5"/>
    </row>
    <row r="64" spans="1:9" x14ac:dyDescent="0.25">
      <c r="A64" s="171" t="s">
        <v>523</v>
      </c>
      <c r="B64" s="4" t="s">
        <v>539</v>
      </c>
      <c r="G64" s="5"/>
      <c r="H64" s="5"/>
      <c r="I64" s="5"/>
    </row>
    <row r="65" spans="1:9" x14ac:dyDescent="0.25">
      <c r="A65" s="171" t="s">
        <v>524</v>
      </c>
      <c r="B65" s="4" t="s">
        <v>540</v>
      </c>
      <c r="G65" s="5"/>
      <c r="H65" s="5"/>
      <c r="I65" s="5"/>
    </row>
    <row r="66" spans="1:9" x14ac:dyDescent="0.25">
      <c r="A66" s="171" t="s">
        <v>525</v>
      </c>
      <c r="B66" s="4" t="s">
        <v>541</v>
      </c>
      <c r="G66" s="5"/>
      <c r="H66" s="5"/>
      <c r="I66" s="5"/>
    </row>
    <row r="67" spans="1:9" x14ac:dyDescent="0.25">
      <c r="A67" s="171" t="s">
        <v>526</v>
      </c>
      <c r="B67" s="4" t="s">
        <v>542</v>
      </c>
      <c r="G67" s="5"/>
      <c r="H67" s="5"/>
      <c r="I67" s="5"/>
    </row>
    <row r="68" spans="1:9" x14ac:dyDescent="0.25">
      <c r="A68" s="204" t="s">
        <v>527</v>
      </c>
      <c r="B68" s="4" t="s">
        <v>543</v>
      </c>
      <c r="G68" s="5"/>
      <c r="H68" s="5"/>
      <c r="I68" s="5"/>
    </row>
    <row r="69" spans="1:9" x14ac:dyDescent="0.25">
      <c r="A69" s="171" t="s">
        <v>528</v>
      </c>
      <c r="B69" s="4" t="s">
        <v>256</v>
      </c>
      <c r="G69" s="5"/>
      <c r="H69" s="5"/>
      <c r="I69" s="5"/>
    </row>
    <row r="70" spans="1:9" x14ac:dyDescent="0.25">
      <c r="A70" s="171" t="s">
        <v>529</v>
      </c>
      <c r="B70" s="4" t="s">
        <v>544</v>
      </c>
      <c r="G70" s="5"/>
      <c r="H70" s="5"/>
      <c r="I70" s="5"/>
    </row>
    <row r="71" spans="1:9" x14ac:dyDescent="0.25">
      <c r="A71" s="171" t="s">
        <v>530</v>
      </c>
      <c r="B71" s="4" t="s">
        <v>545</v>
      </c>
      <c r="G71" s="5"/>
      <c r="H71" s="5"/>
      <c r="I71" s="5"/>
    </row>
    <row r="72" spans="1:9" x14ac:dyDescent="0.25">
      <c r="A72" s="171" t="s">
        <v>531</v>
      </c>
      <c r="B72" s="4" t="s">
        <v>257</v>
      </c>
      <c r="G72" s="5"/>
      <c r="H72" s="5"/>
      <c r="I72" s="5"/>
    </row>
    <row r="73" spans="1:9" x14ac:dyDescent="0.25">
      <c r="A73" s="171" t="s">
        <v>532</v>
      </c>
      <c r="B73" s="4" t="s">
        <v>103</v>
      </c>
      <c r="G73" s="5"/>
      <c r="H73" s="5"/>
      <c r="I73" s="5"/>
    </row>
    <row r="74" spans="1:9" x14ac:dyDescent="0.25">
      <c r="A74"/>
      <c r="B74"/>
      <c r="G74" s="5"/>
      <c r="H74" s="5"/>
      <c r="I74" s="5"/>
    </row>
    <row r="75" spans="1:9" x14ac:dyDescent="0.25">
      <c r="A75"/>
      <c r="B75"/>
      <c r="G75" s="5"/>
      <c r="H75" s="5"/>
      <c r="I75" s="5"/>
    </row>
    <row r="76" spans="1:9" x14ac:dyDescent="0.25">
      <c r="A76"/>
      <c r="B76"/>
      <c r="G76" s="5"/>
      <c r="H76" s="5"/>
      <c r="I76" s="5"/>
    </row>
    <row r="77" spans="1:9" x14ac:dyDescent="0.25">
      <c r="A77"/>
      <c r="B77"/>
      <c r="G77" s="5"/>
      <c r="H77" s="33"/>
    </row>
    <row r="78" spans="1:9" x14ac:dyDescent="0.25">
      <c r="A78"/>
      <c r="B78"/>
      <c r="H78" s="33"/>
    </row>
    <row r="79" spans="1:9" x14ac:dyDescent="0.25">
      <c r="A79"/>
      <c r="B79"/>
      <c r="H79" s="33"/>
    </row>
    <row r="80" spans="1:9" x14ac:dyDescent="0.25">
      <c r="A80"/>
      <c r="B80"/>
      <c r="H80" s="33"/>
    </row>
    <row r="81" spans="1:8" x14ac:dyDescent="0.25">
      <c r="A81"/>
      <c r="B81"/>
      <c r="H81" s="33"/>
    </row>
    <row r="82" spans="1:8" x14ac:dyDescent="0.25">
      <c r="A82"/>
      <c r="B82"/>
      <c r="H82" s="33"/>
    </row>
    <row r="83" spans="1:8" x14ac:dyDescent="0.25">
      <c r="A83"/>
      <c r="B83"/>
      <c r="H83" s="33"/>
    </row>
    <row r="84" spans="1:8" x14ac:dyDescent="0.25">
      <c r="A84"/>
      <c r="B84"/>
      <c r="H84" s="33"/>
    </row>
    <row r="85" spans="1:8" x14ac:dyDescent="0.25">
      <c r="A85"/>
      <c r="B85"/>
      <c r="H85" s="33"/>
    </row>
    <row r="86" spans="1:8" x14ac:dyDescent="0.25">
      <c r="A86"/>
      <c r="B86"/>
      <c r="H86" s="33"/>
    </row>
    <row r="87" spans="1:8" x14ac:dyDescent="0.25">
      <c r="A87"/>
      <c r="B87"/>
      <c r="H87" s="33"/>
    </row>
    <row r="88" spans="1:8" x14ac:dyDescent="0.25">
      <c r="A88"/>
      <c r="B88"/>
      <c r="H88" s="33"/>
    </row>
    <row r="89" spans="1:8" x14ac:dyDescent="0.25">
      <c r="A89"/>
      <c r="B89"/>
      <c r="H89" s="33"/>
    </row>
    <row r="90" spans="1:8" x14ac:dyDescent="0.25">
      <c r="A90"/>
      <c r="B90"/>
      <c r="H90" s="33"/>
    </row>
    <row r="91" spans="1:8" x14ac:dyDescent="0.25">
      <c r="A91"/>
      <c r="H91" s="33"/>
    </row>
    <row r="92" spans="1:8" x14ac:dyDescent="0.25">
      <c r="A92" s="105"/>
      <c r="H92" s="33"/>
    </row>
    <row r="93" spans="1:8" x14ac:dyDescent="0.25">
      <c r="A93" s="105"/>
      <c r="H93" s="33"/>
    </row>
    <row r="94" spans="1:8" x14ac:dyDescent="0.25">
      <c r="A94"/>
      <c r="H94" s="33"/>
    </row>
    <row r="95" spans="1:8" x14ac:dyDescent="0.25">
      <c r="A95"/>
      <c r="H95" s="33"/>
    </row>
    <row r="96" spans="1:8" x14ac:dyDescent="0.25">
      <c r="A96"/>
      <c r="H96" s="33"/>
    </row>
    <row r="97" spans="1:8" x14ac:dyDescent="0.25">
      <c r="A97" s="120"/>
      <c r="H97" s="33"/>
    </row>
    <row r="98" spans="1:8" x14ac:dyDescent="0.25">
      <c r="A98" s="105"/>
      <c r="H98" s="33"/>
    </row>
    <row r="99" spans="1:8" x14ac:dyDescent="0.25">
      <c r="A99"/>
      <c r="H99" s="33"/>
    </row>
    <row r="100" spans="1:8" x14ac:dyDescent="0.25">
      <c r="A100" s="105"/>
      <c r="H100" s="33"/>
    </row>
    <row r="101" spans="1:8" x14ac:dyDescent="0.25">
      <c r="A101" s="105"/>
      <c r="H101" s="33"/>
    </row>
    <row r="102" spans="1:8" x14ac:dyDescent="0.25">
      <c r="A102" s="105"/>
      <c r="H102" s="33"/>
    </row>
    <row r="103" spans="1:8" x14ac:dyDescent="0.25">
      <c r="A103" s="105"/>
      <c r="H103" s="33"/>
    </row>
    <row r="104" spans="1:8" x14ac:dyDescent="0.25">
      <c r="A104" s="105"/>
      <c r="H104" s="33"/>
    </row>
    <row r="105" spans="1:8" x14ac:dyDescent="0.25">
      <c r="A105" s="105"/>
      <c r="H105" s="33"/>
    </row>
    <row r="106" spans="1:8" x14ac:dyDescent="0.25">
      <c r="A106" s="105"/>
      <c r="H106" s="33"/>
    </row>
    <row r="107" spans="1:8" x14ac:dyDescent="0.25">
      <c r="A107" s="105"/>
      <c r="H107" s="33"/>
    </row>
    <row r="108" spans="1:8" x14ac:dyDescent="0.25">
      <c r="A108" s="105"/>
      <c r="H108" s="33"/>
    </row>
    <row r="109" spans="1:8" x14ac:dyDescent="0.25">
      <c r="H109" s="33"/>
    </row>
    <row r="110" spans="1:8" x14ac:dyDescent="0.25">
      <c r="H110" s="33"/>
    </row>
    <row r="111" spans="1:8" x14ac:dyDescent="0.25">
      <c r="H111" s="33"/>
    </row>
    <row r="112" spans="1:8" x14ac:dyDescent="0.25">
      <c r="H112" s="33"/>
    </row>
    <row r="113" spans="8:8" x14ac:dyDescent="0.25">
      <c r="H113" s="33"/>
    </row>
    <row r="114" spans="8:8" x14ac:dyDescent="0.25">
      <c r="H114" s="33"/>
    </row>
    <row r="115" spans="8:8" x14ac:dyDescent="0.25">
      <c r="H115" s="33"/>
    </row>
    <row r="116" spans="8:8" x14ac:dyDescent="0.25">
      <c r="H116" s="33"/>
    </row>
    <row r="117" spans="8:8" x14ac:dyDescent="0.25">
      <c r="H117" s="33"/>
    </row>
    <row r="118" spans="8:8" x14ac:dyDescent="0.25">
      <c r="H118" s="33"/>
    </row>
    <row r="119" spans="8:8" x14ac:dyDescent="0.25">
      <c r="H119" s="33"/>
    </row>
    <row r="120" spans="8:8" x14ac:dyDescent="0.25">
      <c r="H120" s="33"/>
    </row>
    <row r="121" spans="8:8" x14ac:dyDescent="0.25">
      <c r="H121" s="33"/>
    </row>
    <row r="122" spans="8:8" x14ac:dyDescent="0.25">
      <c r="H122" s="33"/>
    </row>
    <row r="123" spans="8:8" x14ac:dyDescent="0.25">
      <c r="H123" s="33"/>
    </row>
    <row r="124" spans="8:8" x14ac:dyDescent="0.25">
      <c r="H124" s="33"/>
    </row>
    <row r="125" spans="8:8" x14ac:dyDescent="0.25">
      <c r="H125" s="33"/>
    </row>
    <row r="126" spans="8:8" x14ac:dyDescent="0.25">
      <c r="H126" s="33"/>
    </row>
    <row r="127" spans="8:8" x14ac:dyDescent="0.25">
      <c r="H127" s="33"/>
    </row>
    <row r="128" spans="8:8" x14ac:dyDescent="0.25">
      <c r="H128" s="33"/>
    </row>
    <row r="129" spans="8:8" x14ac:dyDescent="0.25">
      <c r="H129" s="33"/>
    </row>
    <row r="130" spans="8:8" x14ac:dyDescent="0.25">
      <c r="H130" s="33"/>
    </row>
    <row r="131" spans="8:8" x14ac:dyDescent="0.25">
      <c r="H131" s="33"/>
    </row>
    <row r="132" spans="8:8" x14ac:dyDescent="0.25">
      <c r="H132" s="33"/>
    </row>
    <row r="133" spans="8:8" x14ac:dyDescent="0.25">
      <c r="H133" s="33"/>
    </row>
    <row r="134" spans="8:8" x14ac:dyDescent="0.25">
      <c r="H134" s="33"/>
    </row>
    <row r="135" spans="8:8" x14ac:dyDescent="0.25">
      <c r="H135" s="33"/>
    </row>
    <row r="136" spans="8:8" x14ac:dyDescent="0.25">
      <c r="H136" s="33"/>
    </row>
    <row r="137" spans="8:8" x14ac:dyDescent="0.25">
      <c r="H137" s="33"/>
    </row>
    <row r="138" spans="8:8" x14ac:dyDescent="0.25">
      <c r="H138" s="33"/>
    </row>
    <row r="139" spans="8:8" x14ac:dyDescent="0.25">
      <c r="H139" s="33"/>
    </row>
    <row r="140" spans="8:8" x14ac:dyDescent="0.25">
      <c r="H140" s="33"/>
    </row>
    <row r="141" spans="8:8" x14ac:dyDescent="0.25">
      <c r="H141" s="33"/>
    </row>
    <row r="142" spans="8:8" x14ac:dyDescent="0.25">
      <c r="H142" s="33"/>
    </row>
    <row r="143" spans="8:8" x14ac:dyDescent="0.25">
      <c r="H143" s="33"/>
    </row>
    <row r="144" spans="8:8" x14ac:dyDescent="0.25">
      <c r="H144" s="33"/>
    </row>
    <row r="145" spans="8:8" x14ac:dyDescent="0.25">
      <c r="H145" s="33"/>
    </row>
    <row r="146" spans="8:8" x14ac:dyDescent="0.25">
      <c r="H146" s="33"/>
    </row>
    <row r="147" spans="8:8" x14ac:dyDescent="0.25">
      <c r="H147" s="33"/>
    </row>
    <row r="148" spans="8:8" x14ac:dyDescent="0.25">
      <c r="H148" s="33"/>
    </row>
    <row r="149" spans="8:8" x14ac:dyDescent="0.25">
      <c r="H149" s="33"/>
    </row>
    <row r="150" spans="8:8" x14ac:dyDescent="0.25">
      <c r="H150" s="33"/>
    </row>
    <row r="151" spans="8:8" x14ac:dyDescent="0.25">
      <c r="H151" s="33"/>
    </row>
    <row r="152" spans="8:8" x14ac:dyDescent="0.25">
      <c r="H152" s="33"/>
    </row>
    <row r="153" spans="8:8" x14ac:dyDescent="0.25">
      <c r="H153" s="33"/>
    </row>
    <row r="154" spans="8:8" x14ac:dyDescent="0.25">
      <c r="H154" s="33"/>
    </row>
    <row r="155" spans="8:8" x14ac:dyDescent="0.25">
      <c r="H155" s="33"/>
    </row>
    <row r="156" spans="8:8" x14ac:dyDescent="0.25">
      <c r="H156" s="33"/>
    </row>
  </sheetData>
  <phoneticPr fontId="13" type="noConversion"/>
  <printOptions horizontalCentered="1"/>
  <pageMargins left="0.75" right="0.75" top="1" bottom="1" header="0.5" footer="0.5"/>
  <pageSetup scale="69" orientation="portrait" horizontalDpi="300" verticalDpi="300" r:id="rId1"/>
  <headerFooter alignWithMargins="0">
    <oddHeader>&amp;RPage 33 of 42</oddHeader>
    <oddFooter>&amp;R&amp;F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1">
    <pageSetUpPr fitToPage="1"/>
  </sheetPr>
  <dimension ref="A1:S60"/>
  <sheetViews>
    <sheetView topLeftCell="A24" zoomScale="75" workbookViewId="0"/>
  </sheetViews>
  <sheetFormatPr defaultColWidth="9.33203125" defaultRowHeight="13.2" x14ac:dyDescent="0.25"/>
  <cols>
    <col min="1" max="2" width="9.33203125" style="121"/>
    <col min="3" max="3" width="5.5546875" style="121" customWidth="1"/>
    <col min="4" max="4" width="5.6640625" style="121" customWidth="1"/>
    <col min="5" max="5" width="5.33203125" style="121" customWidth="1"/>
    <col min="6" max="6" width="2.33203125" style="121" customWidth="1"/>
    <col min="7" max="7" width="10.33203125" style="131" customWidth="1"/>
    <col min="8" max="8" width="1.6640625" style="121" customWidth="1"/>
    <col min="9" max="9" width="9.33203125" style="121"/>
    <col min="10" max="10" width="5.6640625" style="121" customWidth="1"/>
    <col min="11" max="11" width="4.33203125" style="121" customWidth="1"/>
    <col min="12" max="12" width="5" style="121" customWidth="1"/>
    <col min="13" max="16384" width="9.33203125" style="121"/>
  </cols>
  <sheetData>
    <row r="1" spans="1:19" ht="15.6" x14ac:dyDescent="0.3">
      <c r="A1" s="180" t="s">
        <v>615</v>
      </c>
      <c r="C1" s="32"/>
      <c r="D1" s="122"/>
      <c r="E1" s="122"/>
      <c r="F1" s="122"/>
      <c r="G1" s="122"/>
      <c r="H1" s="122"/>
      <c r="I1" s="122"/>
      <c r="J1" s="122"/>
      <c r="K1" s="123"/>
      <c r="L1" s="122"/>
      <c r="Q1" s="122"/>
      <c r="R1" s="122"/>
      <c r="S1" s="122"/>
    </row>
    <row r="2" spans="1:19" x14ac:dyDescent="0.25">
      <c r="A2" s="205" t="s">
        <v>70</v>
      </c>
    </row>
    <row r="4" spans="1:19" x14ac:dyDescent="0.25">
      <c r="G4" s="124"/>
    </row>
    <row r="5" spans="1:19" ht="13.8" thickBot="1" x14ac:dyDescent="0.3">
      <c r="G5" s="121"/>
    </row>
    <row r="6" spans="1:19" x14ac:dyDescent="0.25">
      <c r="F6" s="125"/>
      <c r="G6" s="126"/>
      <c r="H6" s="127"/>
    </row>
    <row r="7" spans="1:19" x14ac:dyDescent="0.25">
      <c r="C7" s="128"/>
      <c r="D7" s="129"/>
      <c r="E7" s="129"/>
      <c r="F7" s="130"/>
      <c r="G7" s="131" t="s">
        <v>348</v>
      </c>
      <c r="H7" s="132"/>
      <c r="I7" s="133"/>
      <c r="J7" s="134"/>
    </row>
    <row r="8" spans="1:19" ht="13.8" thickBot="1" x14ac:dyDescent="0.3">
      <c r="C8" s="135"/>
      <c r="D8" s="128"/>
      <c r="E8" s="129"/>
      <c r="F8" s="136"/>
      <c r="G8" s="137"/>
      <c r="H8" s="138"/>
      <c r="I8" s="139"/>
      <c r="J8" s="139"/>
    </row>
    <row r="9" spans="1:19" x14ac:dyDescent="0.25">
      <c r="C9" s="135"/>
      <c r="D9" s="135"/>
      <c r="G9" s="121"/>
      <c r="I9" s="139"/>
      <c r="J9" s="139"/>
    </row>
    <row r="10" spans="1:19" x14ac:dyDescent="0.25">
      <c r="B10" s="131" t="s">
        <v>55</v>
      </c>
      <c r="C10" s="135"/>
      <c r="D10" s="140" t="s">
        <v>56</v>
      </c>
      <c r="G10" s="141" t="s">
        <v>57</v>
      </c>
      <c r="I10" s="139"/>
      <c r="J10" s="139" t="s">
        <v>58</v>
      </c>
      <c r="K10" s="121" t="s">
        <v>59</v>
      </c>
    </row>
    <row r="11" spans="1:19" ht="13.8" thickBot="1" x14ac:dyDescent="0.3">
      <c r="C11" s="135"/>
      <c r="D11" s="135"/>
      <c r="G11" s="121"/>
      <c r="I11" s="139"/>
      <c r="J11" s="139"/>
    </row>
    <row r="12" spans="1:19" x14ac:dyDescent="0.25">
      <c r="C12" s="135"/>
      <c r="D12" s="135"/>
      <c r="F12" s="125"/>
      <c r="G12" s="126"/>
      <c r="H12" s="127"/>
      <c r="I12" s="139"/>
      <c r="J12" s="139"/>
    </row>
    <row r="13" spans="1:19" x14ac:dyDescent="0.25">
      <c r="C13" s="135"/>
      <c r="D13" s="135"/>
      <c r="F13" s="130"/>
      <c r="G13" s="131" t="s">
        <v>14</v>
      </c>
      <c r="H13" s="132"/>
      <c r="I13" s="142"/>
      <c r="J13" s="142"/>
      <c r="K13" s="133"/>
      <c r="L13" s="134"/>
    </row>
    <row r="14" spans="1:19" ht="13.8" thickBot="1" x14ac:dyDescent="0.3">
      <c r="C14" s="135"/>
      <c r="D14" s="135"/>
      <c r="E14" s="128"/>
      <c r="F14" s="136"/>
      <c r="G14" s="137"/>
      <c r="H14" s="138"/>
      <c r="I14" s="139"/>
      <c r="J14" s="139"/>
      <c r="K14" s="139"/>
      <c r="L14" s="139"/>
    </row>
    <row r="15" spans="1:19" x14ac:dyDescent="0.25">
      <c r="C15" s="135"/>
      <c r="D15" s="135"/>
      <c r="E15" s="135"/>
      <c r="G15" s="121"/>
      <c r="I15" s="139"/>
      <c r="J15" s="139"/>
      <c r="K15" s="139"/>
      <c r="L15" s="139"/>
    </row>
    <row r="16" spans="1:19" x14ac:dyDescent="0.25">
      <c r="C16" s="135"/>
      <c r="D16" s="135"/>
      <c r="E16" s="143" t="s">
        <v>60</v>
      </c>
      <c r="G16" s="141" t="s">
        <v>61</v>
      </c>
      <c r="I16" s="139"/>
      <c r="J16" s="139"/>
      <c r="K16" s="139"/>
      <c r="L16" s="139" t="s">
        <v>62</v>
      </c>
      <c r="M16" s="121" t="s">
        <v>63</v>
      </c>
    </row>
    <row r="17" spans="3:12" ht="13.8" thickBot="1" x14ac:dyDescent="0.3">
      <c r="C17" s="135"/>
      <c r="D17" s="135"/>
      <c r="E17" s="135"/>
      <c r="G17" s="121"/>
      <c r="I17" s="139"/>
      <c r="J17" s="139"/>
      <c r="K17" s="139"/>
      <c r="L17" s="139"/>
    </row>
    <row r="18" spans="3:12" x14ac:dyDescent="0.25">
      <c r="C18" s="135"/>
      <c r="D18" s="135"/>
      <c r="E18" s="135"/>
      <c r="F18" s="125"/>
      <c r="G18" s="126"/>
      <c r="H18" s="127"/>
      <c r="I18" s="139"/>
      <c r="J18" s="139"/>
      <c r="K18" s="139"/>
      <c r="L18" s="139"/>
    </row>
    <row r="19" spans="3:12" x14ac:dyDescent="0.25">
      <c r="C19" s="135"/>
      <c r="D19" s="135"/>
      <c r="E19" s="135"/>
      <c r="F19" s="130"/>
      <c r="G19" s="131" t="s">
        <v>233</v>
      </c>
      <c r="H19" s="132"/>
      <c r="I19" s="139"/>
      <c r="J19" s="139"/>
      <c r="K19" s="139"/>
      <c r="L19" s="139"/>
    </row>
    <row r="20" spans="3:12" ht="13.8" thickBot="1" x14ac:dyDescent="0.3">
      <c r="C20" s="135"/>
      <c r="D20" s="135"/>
      <c r="E20" s="135"/>
      <c r="F20" s="136"/>
      <c r="G20" s="137"/>
      <c r="H20" s="138"/>
      <c r="J20" s="139"/>
      <c r="K20" s="139"/>
      <c r="L20" s="139"/>
    </row>
    <row r="21" spans="3:12" x14ac:dyDescent="0.25">
      <c r="C21" s="135"/>
      <c r="D21" s="135"/>
      <c r="E21" s="135"/>
      <c r="G21" s="121"/>
      <c r="J21" s="139"/>
      <c r="K21" s="139"/>
      <c r="L21" s="139"/>
    </row>
    <row r="22" spans="3:12" x14ac:dyDescent="0.25">
      <c r="C22" s="135"/>
      <c r="D22" s="135"/>
      <c r="E22" s="135"/>
      <c r="G22" s="141" t="s">
        <v>64</v>
      </c>
      <c r="J22" s="139"/>
      <c r="K22" s="139"/>
      <c r="L22" s="139"/>
    </row>
    <row r="23" spans="3:12" ht="13.8" thickBot="1" x14ac:dyDescent="0.3">
      <c r="C23" s="135"/>
      <c r="D23" s="135"/>
      <c r="E23" s="135"/>
      <c r="G23" s="121"/>
      <c r="J23" s="139"/>
      <c r="K23" s="139"/>
      <c r="L23" s="139"/>
    </row>
    <row r="24" spans="3:12" x14ac:dyDescent="0.25">
      <c r="C24" s="135"/>
      <c r="D24" s="135"/>
      <c r="E24" s="135"/>
      <c r="F24" s="125"/>
      <c r="G24" s="126"/>
      <c r="H24" s="127"/>
      <c r="J24" s="139"/>
      <c r="K24" s="139"/>
      <c r="L24" s="139"/>
    </row>
    <row r="25" spans="3:12" x14ac:dyDescent="0.25">
      <c r="C25" s="135"/>
      <c r="D25" s="135"/>
      <c r="E25" s="135"/>
      <c r="F25" s="130"/>
      <c r="G25" s="131" t="s">
        <v>229</v>
      </c>
      <c r="H25" s="132"/>
      <c r="K25" s="139"/>
      <c r="L25" s="139"/>
    </row>
    <row r="26" spans="3:12" ht="13.8" thickBot="1" x14ac:dyDescent="0.3">
      <c r="C26" s="135"/>
      <c r="D26" s="135"/>
      <c r="F26" s="136"/>
      <c r="G26" s="137"/>
      <c r="H26" s="138"/>
      <c r="I26" s="134"/>
      <c r="K26" s="139"/>
      <c r="L26" s="139"/>
    </row>
    <row r="27" spans="3:12" x14ac:dyDescent="0.25">
      <c r="C27" s="135"/>
      <c r="D27" s="135"/>
      <c r="G27" s="121"/>
      <c r="I27" s="139"/>
      <c r="K27" s="139"/>
      <c r="L27" s="139"/>
    </row>
    <row r="28" spans="3:12" x14ac:dyDescent="0.25">
      <c r="C28" s="135"/>
      <c r="D28" s="135"/>
      <c r="G28" s="141" t="s">
        <v>65</v>
      </c>
      <c r="I28" s="139"/>
      <c r="J28" s="121" t="s">
        <v>66</v>
      </c>
      <c r="K28" s="139"/>
      <c r="L28" s="139"/>
    </row>
    <row r="29" spans="3:12" ht="13.8" thickBot="1" x14ac:dyDescent="0.3">
      <c r="C29" s="135"/>
      <c r="D29" s="135"/>
      <c r="G29" s="121"/>
      <c r="I29" s="139"/>
      <c r="K29" s="139"/>
      <c r="L29" s="139"/>
    </row>
    <row r="30" spans="3:12" x14ac:dyDescent="0.25">
      <c r="C30" s="135"/>
      <c r="D30" s="135"/>
      <c r="F30" s="125"/>
      <c r="G30" s="126"/>
      <c r="H30" s="127"/>
      <c r="I30" s="139"/>
      <c r="K30" s="139"/>
      <c r="L30" s="139"/>
    </row>
    <row r="31" spans="3:12" x14ac:dyDescent="0.25">
      <c r="C31" s="135"/>
      <c r="D31" s="135"/>
      <c r="F31" s="130"/>
      <c r="G31" s="131" t="s">
        <v>15</v>
      </c>
      <c r="H31" s="132"/>
      <c r="I31" s="139"/>
      <c r="K31" s="139"/>
      <c r="L31" s="139"/>
    </row>
    <row r="32" spans="3:12" ht="13.8" thickBot="1" x14ac:dyDescent="0.3">
      <c r="C32" s="135"/>
      <c r="F32" s="136"/>
      <c r="G32" s="137"/>
      <c r="H32" s="138"/>
      <c r="I32" s="139"/>
      <c r="L32" s="139"/>
    </row>
    <row r="33" spans="2:12" x14ac:dyDescent="0.25">
      <c r="C33" s="135"/>
      <c r="G33" s="121"/>
      <c r="I33" s="139"/>
      <c r="L33" s="139"/>
    </row>
    <row r="34" spans="2:12" x14ac:dyDescent="0.25">
      <c r="C34" s="135"/>
      <c r="G34" s="141" t="s">
        <v>67</v>
      </c>
      <c r="I34" s="139"/>
      <c r="L34" s="139"/>
    </row>
    <row r="35" spans="2:12" ht="13.8" thickBot="1" x14ac:dyDescent="0.3">
      <c r="C35" s="135"/>
      <c r="G35" s="121"/>
      <c r="I35" s="139"/>
      <c r="L35" s="139"/>
    </row>
    <row r="36" spans="2:12" x14ac:dyDescent="0.25">
      <c r="C36" s="135"/>
      <c r="F36" s="125"/>
      <c r="G36" s="126"/>
      <c r="H36" s="127"/>
      <c r="I36" s="139"/>
      <c r="L36" s="139"/>
    </row>
    <row r="37" spans="2:12" x14ac:dyDescent="0.25">
      <c r="C37" s="144"/>
      <c r="D37" s="145"/>
      <c r="E37" s="145"/>
      <c r="F37" s="130"/>
      <c r="G37" s="131" t="s">
        <v>68</v>
      </c>
      <c r="H37" s="132"/>
      <c r="L37" s="139"/>
    </row>
    <row r="38" spans="2:12" x14ac:dyDescent="0.25">
      <c r="F38" s="130"/>
      <c r="G38" s="131" t="s">
        <v>69</v>
      </c>
      <c r="H38" s="132"/>
    </row>
    <row r="39" spans="2:12" ht="13.8" thickBot="1" x14ac:dyDescent="0.3">
      <c r="F39" s="136"/>
      <c r="G39" s="137"/>
      <c r="H39" s="138"/>
    </row>
    <row r="40" spans="2:12" x14ac:dyDescent="0.25">
      <c r="G40" s="121"/>
    </row>
    <row r="41" spans="2:12" ht="13.5" customHeight="1" x14ac:dyDescent="0.25"/>
    <row r="43" spans="2:12" x14ac:dyDescent="0.25">
      <c r="B43"/>
      <c r="C43"/>
    </row>
    <row r="56" spans="2:3" x14ac:dyDescent="0.25">
      <c r="B56"/>
      <c r="C56"/>
    </row>
    <row r="60" spans="2:3" x14ac:dyDescent="0.25">
      <c r="B60"/>
      <c r="C60"/>
    </row>
  </sheetData>
  <phoneticPr fontId="13" type="noConversion"/>
  <printOptions horizontalCentered="1"/>
  <pageMargins left="0.75" right="0.75" top="1" bottom="1" header="0.5" footer="0.5"/>
  <pageSetup orientation="portrait" horizontalDpi="300" verticalDpi="300" r:id="rId1"/>
  <headerFooter alignWithMargins="0">
    <oddHeader>&amp;RPage 34 of 42</oddHeader>
    <oddFooter>&amp;R&amp;F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7">
    <pageSetUpPr fitToPage="1"/>
  </sheetPr>
  <dimension ref="A1:J57"/>
  <sheetViews>
    <sheetView zoomScale="75" workbookViewId="0">
      <selection activeCell="D22" sqref="D22"/>
    </sheetView>
  </sheetViews>
  <sheetFormatPr defaultColWidth="9.33203125" defaultRowHeight="13.2" x14ac:dyDescent="0.25"/>
  <cols>
    <col min="1" max="1" width="24.6640625" customWidth="1"/>
    <col min="2" max="2" width="20.6640625" customWidth="1"/>
    <col min="3" max="3" width="10.6640625" customWidth="1"/>
    <col min="4" max="4" width="20.6640625" customWidth="1"/>
    <col min="5" max="5" width="12.6640625" style="406" customWidth="1"/>
    <col min="6" max="6" width="20.6640625" customWidth="1"/>
    <col min="7" max="7" width="13.44140625" customWidth="1"/>
    <col min="8" max="8" width="20.6640625" customWidth="1"/>
    <col min="9" max="9" width="13.44140625" customWidth="1"/>
    <col min="10" max="10" width="20.6640625" customWidth="1"/>
    <col min="11" max="11" width="10.6640625" customWidth="1"/>
  </cols>
  <sheetData>
    <row r="1" spans="1:10" ht="15.6" x14ac:dyDescent="0.3">
      <c r="A1" s="180" t="s">
        <v>616</v>
      </c>
      <c r="B1" s="20"/>
      <c r="C1" s="20"/>
      <c r="D1" s="20"/>
      <c r="E1" s="404"/>
      <c r="F1" s="20"/>
      <c r="G1" s="20"/>
      <c r="H1" s="20"/>
      <c r="I1" s="20"/>
      <c r="J1" s="20"/>
    </row>
    <row r="2" spans="1:10" ht="15.6" x14ac:dyDescent="0.3">
      <c r="A2" s="180" t="s">
        <v>690</v>
      </c>
      <c r="B2" s="20"/>
      <c r="C2" s="20"/>
      <c r="D2" s="20"/>
      <c r="E2" s="404"/>
      <c r="F2" s="20"/>
      <c r="G2" s="20"/>
      <c r="H2" s="20"/>
      <c r="I2" s="20"/>
      <c r="J2" s="20"/>
    </row>
    <row r="3" spans="1:10" x14ac:dyDescent="0.25">
      <c r="A3" s="4"/>
      <c r="B3" s="20"/>
      <c r="C3" s="20"/>
      <c r="D3" s="32"/>
      <c r="E3" s="404"/>
      <c r="F3" s="20"/>
      <c r="G3" s="20"/>
      <c r="H3" s="20"/>
      <c r="I3" s="20"/>
      <c r="J3" s="20"/>
    </row>
    <row r="4" spans="1:10" x14ac:dyDescent="0.25">
      <c r="A4" s="10"/>
      <c r="B4" s="20"/>
      <c r="C4" s="20"/>
      <c r="D4" s="32"/>
      <c r="E4" s="404"/>
      <c r="F4" s="20"/>
      <c r="G4" s="20"/>
      <c r="H4" s="20"/>
      <c r="I4" s="20"/>
      <c r="J4" s="20"/>
    </row>
    <row r="5" spans="1:10" ht="13.8" x14ac:dyDescent="0.25">
      <c r="A5" s="405"/>
      <c r="B5" s="20"/>
      <c r="C5" s="20"/>
      <c r="D5" s="104" t="s">
        <v>26</v>
      </c>
      <c r="F5" s="104" t="s">
        <v>279</v>
      </c>
      <c r="H5" s="104" t="s">
        <v>280</v>
      </c>
    </row>
    <row r="6" spans="1:10" ht="13.8" x14ac:dyDescent="0.25">
      <c r="A6" s="405"/>
      <c r="B6" s="20"/>
      <c r="C6" s="20"/>
      <c r="D6" s="104" t="s">
        <v>24</v>
      </c>
      <c r="E6" s="407" t="s">
        <v>26</v>
      </c>
      <c r="F6" s="104" t="s">
        <v>24</v>
      </c>
      <c r="G6" s="23" t="s">
        <v>279</v>
      </c>
      <c r="H6" s="104" t="s">
        <v>24</v>
      </c>
      <c r="I6" s="23" t="s">
        <v>280</v>
      </c>
    </row>
    <row r="7" spans="1:10" x14ac:dyDescent="0.25">
      <c r="A7" s="47"/>
      <c r="B7" s="120" t="s">
        <v>54</v>
      </c>
      <c r="D7" s="23" t="s">
        <v>182</v>
      </c>
      <c r="E7" s="408" t="s">
        <v>13</v>
      </c>
      <c r="F7" s="23" t="s">
        <v>182</v>
      </c>
      <c r="G7" s="23" t="s">
        <v>13</v>
      </c>
      <c r="H7" s="23" t="s">
        <v>182</v>
      </c>
      <c r="I7" s="23" t="s">
        <v>13</v>
      </c>
    </row>
    <row r="8" spans="1:10" x14ac:dyDescent="0.25">
      <c r="A8" s="47"/>
      <c r="B8" s="409" t="s">
        <v>355</v>
      </c>
      <c r="C8" s="120" t="str">
        <f>"(1)"</f>
        <v>(1)</v>
      </c>
      <c r="D8" s="410">
        <f>J33</f>
        <v>1712145.6686369427</v>
      </c>
      <c r="E8" s="317">
        <f t="shared" ref="E8:E13" si="0">D8/$D$14</f>
        <v>4.2903286255446116E-4</v>
      </c>
      <c r="F8" s="410">
        <f>B33+D33</f>
        <v>0</v>
      </c>
      <c r="G8" s="411">
        <f>F8/$F$14</f>
        <v>0</v>
      </c>
      <c r="H8" s="410">
        <f>F33+H33</f>
        <v>1712145.6686369427</v>
      </c>
      <c r="I8" s="411">
        <f>H8/$H$14</f>
        <v>8.7470933920500587E-4</v>
      </c>
      <c r="J8" s="410"/>
    </row>
    <row r="9" spans="1:10" x14ac:dyDescent="0.25">
      <c r="A9" s="47"/>
      <c r="B9" s="412" t="s">
        <v>174</v>
      </c>
      <c r="C9" s="120" t="str">
        <f>"(2)"</f>
        <v>(2)</v>
      </c>
      <c r="D9" s="410">
        <f>J34+J35</f>
        <v>543059760.21849775</v>
      </c>
      <c r="E9" s="317">
        <f t="shared" si="0"/>
        <v>0.13608099341814039</v>
      </c>
      <c r="F9" s="410">
        <f>B34+D34+B35+D35</f>
        <v>310448900.50916821</v>
      </c>
      <c r="G9" s="411">
        <f t="shared" ref="G9:G13" si="1">F9/$F$14</f>
        <v>0.15268065872260336</v>
      </c>
      <c r="H9" s="410">
        <f>F34+H34+F35+H35</f>
        <v>232610859.70932949</v>
      </c>
      <c r="I9" s="411">
        <f t="shared" ref="I9:I13" si="2">H9/$H$14</f>
        <v>0.11883737179339306</v>
      </c>
      <c r="J9" s="410"/>
    </row>
    <row r="10" spans="1:10" x14ac:dyDescent="0.25">
      <c r="A10" s="5"/>
      <c r="B10" s="412" t="s">
        <v>238</v>
      </c>
      <c r="C10" s="120" t="str">
        <f>"(3)"</f>
        <v>(3)</v>
      </c>
      <c r="D10" s="410">
        <f>J36</f>
        <v>29086907.565167092</v>
      </c>
      <c r="E10" s="317">
        <f t="shared" si="0"/>
        <v>7.2886550742353035E-3</v>
      </c>
      <c r="F10" s="410">
        <f>B36+D36</f>
        <v>15307714.506738367</v>
      </c>
      <c r="G10" s="411">
        <f t="shared" si="1"/>
        <v>7.5284271601320837E-3</v>
      </c>
      <c r="H10" s="410">
        <f>F36+H36</f>
        <v>13779193.058428725</v>
      </c>
      <c r="I10" s="411">
        <f t="shared" si="2"/>
        <v>7.0395814303065383E-3</v>
      </c>
      <c r="J10" s="410"/>
    </row>
    <row r="11" spans="1:10" x14ac:dyDescent="0.25">
      <c r="A11" s="5"/>
      <c r="B11" s="105" t="s">
        <v>239</v>
      </c>
      <c r="C11" s="120" t="str">
        <f>"(4)"</f>
        <v>(4)</v>
      </c>
      <c r="D11" s="410">
        <f>J37</f>
        <v>236961002.16879267</v>
      </c>
      <c r="E11" s="317">
        <f t="shared" si="0"/>
        <v>5.937815860912514E-2</v>
      </c>
      <c r="F11" s="410">
        <f>B37+D37</f>
        <v>137329139.77828982</v>
      </c>
      <c r="G11" s="411">
        <f t="shared" si="1"/>
        <v>6.7539306754731271E-2</v>
      </c>
      <c r="H11" s="410">
        <f>F37+H37</f>
        <v>99631862.39050287</v>
      </c>
      <c r="I11" s="411">
        <f t="shared" si="2"/>
        <v>5.0900412337427467E-2</v>
      </c>
      <c r="J11" s="410"/>
    </row>
    <row r="12" spans="1:10" x14ac:dyDescent="0.25">
      <c r="A12" s="5"/>
      <c r="B12" s="105" t="s">
        <v>175</v>
      </c>
      <c r="C12" s="120" t="str">
        <f>"(5)"</f>
        <v>(5)</v>
      </c>
      <c r="D12" s="410">
        <f>J38+J39</f>
        <v>2612799429.4698305</v>
      </c>
      <c r="E12" s="317">
        <f t="shared" si="0"/>
        <v>0.65472047095065566</v>
      </c>
      <c r="F12" s="410">
        <f>B38+B39+D38+D39</f>
        <v>1525863263.3501856</v>
      </c>
      <c r="G12" s="411">
        <f t="shared" si="1"/>
        <v>0.75042883961525719</v>
      </c>
      <c r="H12" s="410">
        <f>F38+F39+H38+H39</f>
        <v>1086936166.1196451</v>
      </c>
      <c r="I12" s="411">
        <f t="shared" si="2"/>
        <v>0.55529925580540229</v>
      </c>
      <c r="J12" s="410"/>
    </row>
    <row r="13" spans="1:10" ht="15" x14ac:dyDescent="0.4">
      <c r="B13" s="105" t="s">
        <v>176</v>
      </c>
      <c r="C13" s="120" t="str">
        <f>"(6)"</f>
        <v>(6)</v>
      </c>
      <c r="D13" s="413">
        <f>J40</f>
        <v>567090600.40396178</v>
      </c>
      <c r="E13" s="318">
        <f t="shared" si="0"/>
        <v>0.14210268908528903</v>
      </c>
      <c r="F13" s="414">
        <f>B40+D40</f>
        <v>44372707.780345999</v>
      </c>
      <c r="G13" s="369">
        <f t="shared" si="1"/>
        <v>2.1822767747276137E-2</v>
      </c>
      <c r="H13" s="415">
        <f>F40+H40</f>
        <v>522717892.6236158</v>
      </c>
      <c r="I13" s="369">
        <f t="shared" si="2"/>
        <v>0.26704866929426563</v>
      </c>
      <c r="J13" s="410"/>
    </row>
    <row r="14" spans="1:10" x14ac:dyDescent="0.25">
      <c r="B14" s="410"/>
      <c r="D14" s="416">
        <f t="shared" ref="D14:I14" si="3">SUM(D8:D13)</f>
        <v>3990709845.4948869</v>
      </c>
      <c r="E14" s="417">
        <f t="shared" si="3"/>
        <v>1</v>
      </c>
      <c r="F14" s="416">
        <f t="shared" si="3"/>
        <v>2033321725.9247279</v>
      </c>
      <c r="G14" s="418">
        <f t="shared" si="3"/>
        <v>1</v>
      </c>
      <c r="H14" s="416">
        <f t="shared" si="3"/>
        <v>1957388119.570159</v>
      </c>
      <c r="I14" s="418">
        <f t="shared" si="3"/>
        <v>1</v>
      </c>
      <c r="J14" s="410"/>
    </row>
    <row r="15" spans="1:10" x14ac:dyDescent="0.25">
      <c r="B15" s="410"/>
      <c r="D15" s="416"/>
      <c r="E15" s="417"/>
      <c r="H15" s="410"/>
    </row>
    <row r="16" spans="1:10" ht="13.8" x14ac:dyDescent="0.25">
      <c r="A16" s="419" t="s">
        <v>43</v>
      </c>
      <c r="B16" s="23" t="s">
        <v>223</v>
      </c>
      <c r="C16" s="23"/>
      <c r="D16" s="23" t="s">
        <v>223</v>
      </c>
      <c r="E16" s="407"/>
      <c r="F16" s="23" t="s">
        <v>276</v>
      </c>
      <c r="G16" s="23"/>
      <c r="H16" s="23" t="s">
        <v>224</v>
      </c>
    </row>
    <row r="17" spans="1:10" x14ac:dyDescent="0.25">
      <c r="F17" s="23" t="s">
        <v>277</v>
      </c>
      <c r="J17" s="11"/>
    </row>
    <row r="18" spans="1:10" x14ac:dyDescent="0.25">
      <c r="A18" s="10" t="s">
        <v>44</v>
      </c>
      <c r="B18" s="420" t="s">
        <v>45</v>
      </c>
      <c r="C18" s="420"/>
      <c r="D18" s="420" t="s">
        <v>46</v>
      </c>
      <c r="E18" s="421"/>
      <c r="F18" s="422" t="s">
        <v>278</v>
      </c>
      <c r="G18" s="420"/>
      <c r="H18" s="420" t="s">
        <v>47</v>
      </c>
      <c r="I18" s="10"/>
      <c r="J18" s="420" t="s">
        <v>26</v>
      </c>
    </row>
    <row r="19" spans="1:10" x14ac:dyDescent="0.25">
      <c r="A19" t="s">
        <v>297</v>
      </c>
      <c r="B19" s="423">
        <v>0</v>
      </c>
      <c r="D19" s="319">
        <v>0</v>
      </c>
      <c r="F19" s="319">
        <v>3260626.9525732715</v>
      </c>
      <c r="H19" s="319">
        <v>4662913.690769962</v>
      </c>
      <c r="J19" s="410">
        <f>+B19+D19+F19+H19</f>
        <v>7923540.6433432335</v>
      </c>
    </row>
    <row r="20" spans="1:10" x14ac:dyDescent="0.25">
      <c r="A20" t="s">
        <v>48</v>
      </c>
      <c r="B20" s="423">
        <v>6209382409.860218</v>
      </c>
      <c r="D20" s="319">
        <v>1742511271.6920571</v>
      </c>
      <c r="F20" s="319">
        <v>1025922560.7699177</v>
      </c>
      <c r="H20" s="319">
        <v>149073380.48010284</v>
      </c>
      <c r="J20" s="410">
        <f t="shared" ref="J20:J26" si="4">+B20+D20+F20+H20</f>
        <v>9126889622.8022957</v>
      </c>
    </row>
    <row r="21" spans="1:10" x14ac:dyDescent="0.25">
      <c r="A21" t="s">
        <v>49</v>
      </c>
      <c r="B21" s="423">
        <v>66811.440015915461</v>
      </c>
      <c r="D21" s="319">
        <v>0</v>
      </c>
      <c r="F21" s="319">
        <v>0</v>
      </c>
      <c r="H21" s="319">
        <v>0</v>
      </c>
      <c r="J21" s="410">
        <f t="shared" si="4"/>
        <v>66811.440015915461</v>
      </c>
    </row>
    <row r="22" spans="1:10" x14ac:dyDescent="0.25">
      <c r="A22" t="s">
        <v>240</v>
      </c>
      <c r="B22" s="423">
        <v>358965110.18275309</v>
      </c>
      <c r="D22" s="319">
        <v>5032375.198806718</v>
      </c>
      <c r="F22" s="319">
        <v>73329251.294842586</v>
      </c>
      <c r="H22" s="319">
        <v>2369774.7935091546</v>
      </c>
      <c r="J22" s="410">
        <f t="shared" si="4"/>
        <v>439696511.46991152</v>
      </c>
    </row>
    <row r="23" spans="1:10" x14ac:dyDescent="0.25">
      <c r="A23" t="s">
        <v>241</v>
      </c>
      <c r="B23" s="423">
        <v>3073184428.9441428</v>
      </c>
      <c r="D23" s="319">
        <v>39896724.590884045</v>
      </c>
      <c r="F23" s="319">
        <v>433817945.89405668</v>
      </c>
      <c r="H23" s="319">
        <v>1420562.3686387425</v>
      </c>
      <c r="J23" s="410">
        <f t="shared" si="4"/>
        <v>3548319661.7977223</v>
      </c>
    </row>
    <row r="24" spans="1:10" x14ac:dyDescent="0.25">
      <c r="A24" t="s">
        <v>50</v>
      </c>
      <c r="B24" s="423">
        <v>0</v>
      </c>
      <c r="D24" s="319">
        <v>57408.081283327891</v>
      </c>
      <c r="F24" s="319">
        <v>11368.364315496743</v>
      </c>
      <c r="H24" s="319">
        <v>3920.7239446549897</v>
      </c>
      <c r="J24" s="410">
        <f t="shared" si="4"/>
        <v>72697.169543479627</v>
      </c>
    </row>
    <row r="25" spans="1:10" x14ac:dyDescent="0.25">
      <c r="A25" t="s">
        <v>51</v>
      </c>
      <c r="B25" s="423">
        <v>31347051532.35611</v>
      </c>
      <c r="D25" s="319">
        <v>795718193.72198594</v>
      </c>
      <c r="F25" s="319">
        <v>6066947296.4928799</v>
      </c>
      <c r="H25" s="319">
        <v>140730540.574242</v>
      </c>
      <c r="J25" s="410">
        <f t="shared" si="4"/>
        <v>38350447563.145218</v>
      </c>
    </row>
    <row r="26" spans="1:10" ht="15" x14ac:dyDescent="0.4">
      <c r="A26" t="s">
        <v>181</v>
      </c>
      <c r="B26" s="423">
        <v>569935199.86535466</v>
      </c>
      <c r="C26" s="424"/>
      <c r="D26" s="319">
        <v>0</v>
      </c>
      <c r="E26" s="425"/>
      <c r="F26" s="319">
        <v>3879404471.4078617</v>
      </c>
      <c r="G26" s="424"/>
      <c r="H26" s="319">
        <v>288921960.03761071</v>
      </c>
      <c r="I26" s="424"/>
      <c r="J26" s="413">
        <f t="shared" si="4"/>
        <v>4738261631.3108273</v>
      </c>
    </row>
    <row r="27" spans="1:10" s="10" customFormat="1" x14ac:dyDescent="0.25">
      <c r="A27" s="10" t="s">
        <v>26</v>
      </c>
      <c r="B27" s="416">
        <f>SUM(B19:B26)</f>
        <v>41558585492.648598</v>
      </c>
      <c r="D27" s="416">
        <f>SUM(D19:D26)</f>
        <v>2583215973.285017</v>
      </c>
      <c r="E27" s="417"/>
      <c r="F27" s="416">
        <f>SUM(F19:F26)</f>
        <v>11482693521.176447</v>
      </c>
      <c r="H27" s="416">
        <f>SUM(H19:H26)</f>
        <v>587183052.668818</v>
      </c>
      <c r="J27" s="416">
        <f>SUM(J19:J26)</f>
        <v>56211678039.778877</v>
      </c>
    </row>
    <row r="28" spans="1:10" x14ac:dyDescent="0.25">
      <c r="B28" s="410"/>
      <c r="D28" s="410"/>
      <c r="F28" s="410"/>
      <c r="H28" s="410"/>
      <c r="J28" s="410"/>
    </row>
    <row r="29" spans="1:10" x14ac:dyDescent="0.25">
      <c r="B29" s="410"/>
      <c r="D29" s="410"/>
      <c r="F29" s="410"/>
      <c r="H29" s="410"/>
      <c r="J29" s="410"/>
    </row>
    <row r="30" spans="1:10" ht="13.8" x14ac:dyDescent="0.25">
      <c r="A30" s="419" t="s">
        <v>52</v>
      </c>
      <c r="B30" s="426" t="s">
        <v>223</v>
      </c>
      <c r="C30" s="23" t="s">
        <v>227</v>
      </c>
      <c r="D30" s="426" t="s">
        <v>223</v>
      </c>
      <c r="E30" s="407" t="s">
        <v>227</v>
      </c>
      <c r="F30" s="426" t="s">
        <v>276</v>
      </c>
      <c r="G30" s="23" t="s">
        <v>227</v>
      </c>
      <c r="H30" s="426" t="s">
        <v>224</v>
      </c>
      <c r="I30" s="23" t="s">
        <v>227</v>
      </c>
      <c r="J30" s="410"/>
    </row>
    <row r="31" spans="1:10" x14ac:dyDescent="0.25">
      <c r="C31" s="23" t="s">
        <v>281</v>
      </c>
      <c r="E31" s="407" t="s">
        <v>281</v>
      </c>
      <c r="F31" s="23" t="s">
        <v>277</v>
      </c>
      <c r="G31" s="23" t="s">
        <v>281</v>
      </c>
      <c r="I31" s="23" t="s">
        <v>281</v>
      </c>
      <c r="J31" s="11"/>
    </row>
    <row r="32" spans="1:10" x14ac:dyDescent="0.25">
      <c r="A32" s="10" t="s">
        <v>44</v>
      </c>
      <c r="B32" s="420" t="s">
        <v>45</v>
      </c>
      <c r="C32" s="420" t="s">
        <v>184</v>
      </c>
      <c r="D32" s="420" t="s">
        <v>46</v>
      </c>
      <c r="E32" s="421" t="s">
        <v>184</v>
      </c>
      <c r="F32" s="422" t="s">
        <v>278</v>
      </c>
      <c r="G32" s="420" t="s">
        <v>184</v>
      </c>
      <c r="H32" s="420" t="s">
        <v>47</v>
      </c>
      <c r="I32" s="420" t="s">
        <v>184</v>
      </c>
      <c r="J32" s="420" t="s">
        <v>26</v>
      </c>
    </row>
    <row r="33" spans="1:10" x14ac:dyDescent="0.25">
      <c r="A33" t="s">
        <v>297</v>
      </c>
      <c r="B33" s="423">
        <v>0</v>
      </c>
      <c r="C33" s="406">
        <f>IF(B33&gt;0,B19/B33,0)</f>
        <v>0</v>
      </c>
      <c r="D33" s="423">
        <v>0</v>
      </c>
      <c r="E33" s="406">
        <f t="shared" ref="E33:I40" si="5">IF(D33&gt;0,D19/D33,0)</f>
        <v>0</v>
      </c>
      <c r="F33" s="423">
        <v>874566.96830489498</v>
      </c>
      <c r="G33" s="406">
        <f t="shared" si="5"/>
        <v>3.7282759019507572</v>
      </c>
      <c r="H33" s="423">
        <v>837578.70033204788</v>
      </c>
      <c r="I33" s="406">
        <f t="shared" si="5"/>
        <v>5.5671349915194916</v>
      </c>
      <c r="J33" s="410">
        <f>+B33+D33+F33+H33</f>
        <v>1712145.6686369427</v>
      </c>
    </row>
    <row r="34" spans="1:10" x14ac:dyDescent="0.25">
      <c r="A34" t="s">
        <v>48</v>
      </c>
      <c r="B34" s="423">
        <v>250497442.74115145</v>
      </c>
      <c r="C34" s="406">
        <f>IF(B34&gt;0,B20/B34,0)</f>
        <v>24.788206785314809</v>
      </c>
      <c r="D34" s="423">
        <v>59949358.698921375</v>
      </c>
      <c r="E34" s="406">
        <f t="shared" si="5"/>
        <v>29.06638718928296</v>
      </c>
      <c r="F34" s="423">
        <v>207495319.7597453</v>
      </c>
      <c r="G34" s="406">
        <f t="shared" ref="G34" si="6">IF(F34&gt;0,F20/F34,0)</f>
        <v>4.9443166330585822</v>
      </c>
      <c r="H34" s="423">
        <v>25115539.949584186</v>
      </c>
      <c r="I34" s="406">
        <f t="shared" ref="I34" si="7">IF(H34&gt;0,H20/H34,0)</f>
        <v>5.9355037072404606</v>
      </c>
      <c r="J34" s="410">
        <f t="shared" ref="J34:J40" si="8">+B34+D34+F34+H34</f>
        <v>543057661.14940238</v>
      </c>
    </row>
    <row r="35" spans="1:10" x14ac:dyDescent="0.25">
      <c r="A35" t="s">
        <v>49</v>
      </c>
      <c r="B35" s="423">
        <v>2099.0690953473577</v>
      </c>
      <c r="C35" s="406">
        <f>IF(B35&gt;0,B21/B35,0)</f>
        <v>31.829080883523456</v>
      </c>
      <c r="D35" s="423">
        <v>0</v>
      </c>
      <c r="E35" s="406">
        <f t="shared" si="5"/>
        <v>0</v>
      </c>
      <c r="F35" s="423">
        <v>0</v>
      </c>
      <c r="G35" s="406">
        <f t="shared" ref="G35" si="9">IF(F35&gt;0,F21/F35,0)</f>
        <v>0</v>
      </c>
      <c r="H35" s="423">
        <v>0</v>
      </c>
      <c r="I35" s="406">
        <f t="shared" ref="I35" si="10">IF(H35&gt;0,H21/H35,0)</f>
        <v>0</v>
      </c>
      <c r="J35" s="410">
        <f t="shared" si="8"/>
        <v>2099.0690953473577</v>
      </c>
    </row>
    <row r="36" spans="1:10" x14ac:dyDescent="0.25">
      <c r="A36" t="s">
        <v>240</v>
      </c>
      <c r="B36" s="423">
        <v>15150615.477147188</v>
      </c>
      <c r="C36" s="406">
        <f t="shared" ref="C36:C40" si="11">IF(B36&gt;0,B22/B36,0)</f>
        <v>23.693104133241789</v>
      </c>
      <c r="D36" s="423">
        <v>157099.02959117841</v>
      </c>
      <c r="E36" s="406">
        <f t="shared" si="5"/>
        <v>32.033139936653697</v>
      </c>
      <c r="F36" s="423">
        <v>13579113.940452995</v>
      </c>
      <c r="G36" s="406">
        <f t="shared" ref="G36" si="12">IF(F36&gt;0,F22/F36,0)</f>
        <v>5.4001499373527126</v>
      </c>
      <c r="H36" s="423">
        <v>200079.11797573123</v>
      </c>
      <c r="I36" s="406">
        <f t="shared" ref="I36" si="13">IF(H36&gt;0,H22/H36,0)</f>
        <v>11.844188526443816</v>
      </c>
      <c r="J36" s="410">
        <f t="shared" si="8"/>
        <v>29086907.565167092</v>
      </c>
    </row>
    <row r="37" spans="1:10" x14ac:dyDescent="0.25">
      <c r="A37" t="s">
        <v>241</v>
      </c>
      <c r="B37" s="423">
        <v>135957611.77860278</v>
      </c>
      <c r="C37" s="406">
        <f t="shared" si="11"/>
        <v>22.603989498937384</v>
      </c>
      <c r="D37" s="423">
        <v>1371527.9996870505</v>
      </c>
      <c r="E37" s="406">
        <f t="shared" si="5"/>
        <v>29.089252716668938</v>
      </c>
      <c r="F37" s="423">
        <v>99528089.438193604</v>
      </c>
      <c r="G37" s="406">
        <f t="shared" ref="G37" si="14">IF(F37&gt;0,F23/F37,0)</f>
        <v>4.3587488551506377</v>
      </c>
      <c r="H37" s="423">
        <v>103772.95230926447</v>
      </c>
      <c r="I37" s="406">
        <f t="shared" ref="I37" si="15">IF(H37&gt;0,H23/H37,0)</f>
        <v>13.689139000355103</v>
      </c>
      <c r="J37" s="410">
        <f t="shared" si="8"/>
        <v>236961002.16879267</v>
      </c>
    </row>
    <row r="38" spans="1:10" x14ac:dyDescent="0.25">
      <c r="A38" t="s">
        <v>50</v>
      </c>
      <c r="B38" s="423">
        <v>0</v>
      </c>
      <c r="C38" s="406">
        <f t="shared" si="11"/>
        <v>0</v>
      </c>
      <c r="D38" s="423">
        <v>4259.0493067612233</v>
      </c>
      <c r="E38" s="406">
        <f t="shared" si="5"/>
        <v>13.479083511006269</v>
      </c>
      <c r="F38" s="423">
        <v>3479.9462797018614</v>
      </c>
      <c r="G38" s="406">
        <f t="shared" ref="G38" si="16">IF(F38&gt;0,F24/F38,0)</f>
        <v>3.2668217845221186</v>
      </c>
      <c r="H38" s="423">
        <v>1206.7139774140139</v>
      </c>
      <c r="I38" s="406">
        <f t="shared" ref="I38" si="17">IF(H38&gt;0,H24/H38,0)</f>
        <v>3.2490913489351425</v>
      </c>
      <c r="J38" s="410">
        <f t="shared" si="8"/>
        <v>8945.7095638770988</v>
      </c>
    </row>
    <row r="39" spans="1:10" x14ac:dyDescent="0.25">
      <c r="A39" t="s">
        <v>51</v>
      </c>
      <c r="B39" s="423">
        <v>1498745847.1338997</v>
      </c>
      <c r="C39" s="406">
        <f t="shared" si="11"/>
        <v>20.915521862697464</v>
      </c>
      <c r="D39" s="423">
        <v>27113157.166979041</v>
      </c>
      <c r="E39" s="406">
        <f t="shared" si="5"/>
        <v>29.348046368096394</v>
      </c>
      <c r="F39" s="423">
        <v>1076400296.3888383</v>
      </c>
      <c r="G39" s="406">
        <f t="shared" ref="G39" si="18">IF(F39&gt;0,F25/F39,0)</f>
        <v>5.6363300129576137</v>
      </c>
      <c r="H39" s="423">
        <v>10531183.07054968</v>
      </c>
      <c r="I39" s="406">
        <f t="shared" ref="I39" si="19">IF(H39&gt;0,H25/H39,0)</f>
        <v>13.363222311441264</v>
      </c>
      <c r="J39" s="410">
        <f t="shared" si="8"/>
        <v>2612790483.7602668</v>
      </c>
    </row>
    <row r="40" spans="1:10" ht="15" x14ac:dyDescent="0.4">
      <c r="A40" t="s">
        <v>181</v>
      </c>
      <c r="B40" s="423">
        <v>44372707.780345999</v>
      </c>
      <c r="C40" s="406">
        <f t="shared" si="11"/>
        <v>12.844273617166902</v>
      </c>
      <c r="D40" s="423">
        <v>0</v>
      </c>
      <c r="E40" s="406">
        <f t="shared" si="5"/>
        <v>0</v>
      </c>
      <c r="F40" s="423">
        <v>507359045.96708202</v>
      </c>
      <c r="G40" s="406">
        <f t="shared" ref="G40" si="20">IF(F40&gt;0,F26/F40,0)</f>
        <v>7.6462704316492296</v>
      </c>
      <c r="H40" s="423">
        <v>15358846.656533753</v>
      </c>
      <c r="I40" s="406">
        <f t="shared" ref="I40" si="21">IF(H40&gt;0,H26/H40,0)</f>
        <v>18.811435942991295</v>
      </c>
      <c r="J40" s="413">
        <f t="shared" si="8"/>
        <v>567090600.40396178</v>
      </c>
    </row>
    <row r="41" spans="1:10" s="10" customFormat="1" x14ac:dyDescent="0.25">
      <c r="A41" s="10" t="s">
        <v>26</v>
      </c>
      <c r="B41" s="324">
        <f>SUM(B33:B40)</f>
        <v>1944726323.9802423</v>
      </c>
      <c r="D41" s="320">
        <f>SUM(D33:D40)</f>
        <v>88595401.944485411</v>
      </c>
      <c r="E41" s="417"/>
      <c r="F41" s="320">
        <f>SUM(F33:F40)</f>
        <v>1905239912.4088969</v>
      </c>
      <c r="H41" s="416">
        <f>SUM(H33:H40)</f>
        <v>52148207.16126208</v>
      </c>
      <c r="J41" s="416">
        <f>SUM(J33:J40)</f>
        <v>3990709845.4948869</v>
      </c>
    </row>
    <row r="42" spans="1:10" x14ac:dyDescent="0.25">
      <c r="D42" s="410"/>
      <c r="F42" s="410"/>
      <c r="H42" s="410"/>
    </row>
    <row r="43" spans="1:10" x14ac:dyDescent="0.25">
      <c r="B43" s="319"/>
      <c r="C43" s="406"/>
      <c r="D43" s="322"/>
      <c r="F43" s="406"/>
      <c r="G43" s="406"/>
      <c r="H43" s="406"/>
      <c r="I43" s="406"/>
    </row>
    <row r="44" spans="1:10" x14ac:dyDescent="0.25">
      <c r="B44" s="410"/>
      <c r="C44" s="406"/>
      <c r="D44" s="323"/>
      <c r="F44" s="406"/>
      <c r="G44" s="406"/>
      <c r="H44" s="406"/>
      <c r="I44" s="406"/>
      <c r="J44" s="427"/>
    </row>
    <row r="45" spans="1:10" x14ac:dyDescent="0.25">
      <c r="A45" t="s">
        <v>177</v>
      </c>
      <c r="C45" s="406"/>
      <c r="D45" s="406"/>
      <c r="F45" s="406"/>
      <c r="G45" s="406"/>
      <c r="H45" s="406"/>
      <c r="I45" s="406"/>
    </row>
    <row r="46" spans="1:10" x14ac:dyDescent="0.25">
      <c r="A46" t="s">
        <v>178</v>
      </c>
      <c r="C46" s="406"/>
      <c r="D46" s="406"/>
      <c r="F46" s="406"/>
      <c r="G46" s="406"/>
      <c r="H46" s="406"/>
      <c r="I46" s="406"/>
    </row>
    <row r="47" spans="1:10" x14ac:dyDescent="0.25">
      <c r="A47" t="s">
        <v>242</v>
      </c>
      <c r="C47" s="406"/>
      <c r="D47" s="406"/>
      <c r="F47" s="406"/>
      <c r="G47" s="406"/>
      <c r="H47" s="406"/>
      <c r="I47" s="406"/>
    </row>
    <row r="48" spans="1:10" x14ac:dyDescent="0.25">
      <c r="A48" t="s">
        <v>243</v>
      </c>
      <c r="C48" s="406"/>
      <c r="D48" s="406"/>
      <c r="F48" s="406"/>
      <c r="G48" s="406"/>
      <c r="H48" s="406"/>
      <c r="I48" s="406"/>
      <c r="J48" s="321"/>
    </row>
    <row r="49" spans="1:10" x14ac:dyDescent="0.25">
      <c r="A49" t="s">
        <v>179</v>
      </c>
      <c r="C49" s="406"/>
      <c r="D49" s="406"/>
      <c r="F49" s="406"/>
      <c r="G49" s="406"/>
      <c r="H49" s="406"/>
      <c r="I49" s="406"/>
      <c r="J49" s="321"/>
    </row>
    <row r="50" spans="1:10" x14ac:dyDescent="0.25">
      <c r="A50" t="s">
        <v>180</v>
      </c>
      <c r="C50" s="406"/>
      <c r="D50" s="406"/>
      <c r="F50" s="406"/>
      <c r="G50" s="406"/>
      <c r="H50" s="406"/>
      <c r="I50" s="406"/>
      <c r="J50" s="321"/>
    </row>
    <row r="51" spans="1:10" x14ac:dyDescent="0.25">
      <c r="J51" s="321"/>
    </row>
    <row r="52" spans="1:10" x14ac:dyDescent="0.25">
      <c r="J52" s="321"/>
    </row>
    <row r="53" spans="1:10" x14ac:dyDescent="0.25">
      <c r="J53" s="321"/>
    </row>
    <row r="54" spans="1:10" x14ac:dyDescent="0.25">
      <c r="J54" s="321"/>
    </row>
    <row r="55" spans="1:10" x14ac:dyDescent="0.25">
      <c r="J55" s="321"/>
    </row>
    <row r="56" spans="1:10" x14ac:dyDescent="0.25">
      <c r="J56" s="321"/>
    </row>
    <row r="57" spans="1:10" x14ac:dyDescent="0.25">
      <c r="J57" s="321"/>
    </row>
  </sheetData>
  <phoneticPr fontId="13" type="noConversion"/>
  <printOptions horizontalCentered="1"/>
  <pageMargins left="0.75" right="0.75" top="1" bottom="1" header="0.5" footer="0.5"/>
  <pageSetup scale="52" orientation="portrait" horizontalDpi="300" verticalDpi="300" r:id="rId1"/>
  <headerFooter alignWithMargins="0">
    <oddHeader>&amp;RPage 35 of 42</oddHeader>
    <oddFooter>&amp;R&amp;F</oddFooter>
  </headerFooter>
  <ignoredErrors>
    <ignoredError sqref="F9" formula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9">
    <pageSetUpPr fitToPage="1"/>
  </sheetPr>
  <dimension ref="A1:H44"/>
  <sheetViews>
    <sheetView topLeftCell="A8" zoomScale="75" workbookViewId="0">
      <selection activeCell="L40" sqref="L40"/>
    </sheetView>
  </sheetViews>
  <sheetFormatPr defaultColWidth="9.33203125" defaultRowHeight="13.2" x14ac:dyDescent="0.25"/>
  <cols>
    <col min="1" max="1" width="16.6640625" customWidth="1"/>
    <col min="2" max="6" width="15.6640625" style="19" customWidth="1"/>
    <col min="7" max="7" width="10.6640625" style="297" customWidth="1"/>
  </cols>
  <sheetData>
    <row r="1" spans="1:8" ht="15.6" x14ac:dyDescent="0.3">
      <c r="A1" s="39" t="s">
        <v>617</v>
      </c>
      <c r="H1" s="397"/>
    </row>
    <row r="2" spans="1:8" ht="15.6" x14ac:dyDescent="0.3">
      <c r="A2" s="39" t="s">
        <v>681</v>
      </c>
      <c r="H2" s="397"/>
    </row>
    <row r="4" spans="1:8" x14ac:dyDescent="0.25">
      <c r="A4" s="10" t="s">
        <v>227</v>
      </c>
      <c r="B4" s="19">
        <f>'CS Data'!G6</f>
        <v>11706.037</v>
      </c>
    </row>
    <row r="5" spans="1:8" x14ac:dyDescent="0.25">
      <c r="A5" s="10" t="s">
        <v>24</v>
      </c>
      <c r="B5" s="19">
        <f>'CS Data'!G7</f>
        <v>4941.2060000000001</v>
      </c>
    </row>
    <row r="6" spans="1:8" x14ac:dyDescent="0.25">
      <c r="A6" s="10" t="s">
        <v>301</v>
      </c>
      <c r="B6" s="147">
        <f>B5/B4</f>
        <v>0.42210749889138399</v>
      </c>
    </row>
    <row r="7" spans="1:8" x14ac:dyDescent="0.25">
      <c r="B7" s="147"/>
    </row>
    <row r="9" spans="1:8" x14ac:dyDescent="0.25">
      <c r="A9" s="10" t="s">
        <v>293</v>
      </c>
    </row>
    <row r="11" spans="1:8" x14ac:dyDescent="0.25">
      <c r="A11" s="10" t="s">
        <v>44</v>
      </c>
      <c r="B11" s="146" t="s">
        <v>294</v>
      </c>
      <c r="C11" s="146" t="s">
        <v>295</v>
      </c>
      <c r="D11" s="146" t="s">
        <v>296</v>
      </c>
      <c r="E11" s="308" t="s">
        <v>335</v>
      </c>
      <c r="F11" s="146" t="s">
        <v>26</v>
      </c>
      <c r="G11" s="398" t="s">
        <v>13</v>
      </c>
    </row>
    <row r="12" spans="1:8" x14ac:dyDescent="0.25">
      <c r="A12" s="5" t="s">
        <v>297</v>
      </c>
      <c r="B12" s="19">
        <v>463.71194431742958</v>
      </c>
      <c r="C12" s="19">
        <v>1193.5079742493508</v>
      </c>
      <c r="D12" s="19">
        <v>61.587064254937111</v>
      </c>
      <c r="E12" s="19">
        <v>64.994559447393144</v>
      </c>
      <c r="F12" s="19">
        <f>SUM(B12:E12)</f>
        <v>1783.8015422691108</v>
      </c>
      <c r="G12" s="297">
        <f>F12/$F$18</f>
        <v>0.15238304323394081</v>
      </c>
    </row>
    <row r="13" spans="1:8" x14ac:dyDescent="0.25">
      <c r="A13" s="5" t="s">
        <v>298</v>
      </c>
      <c r="B13" s="19">
        <v>269.89770591733333</v>
      </c>
      <c r="C13" s="19">
        <v>1250.0437976960909</v>
      </c>
      <c r="D13" s="19">
        <v>92.69673039789734</v>
      </c>
      <c r="E13" s="19">
        <v>65.6211883539642</v>
      </c>
      <c r="F13" s="19">
        <f t="shared" ref="F13:F17" si="0">SUM(B13:E13)</f>
        <v>1678.2594223652857</v>
      </c>
      <c r="G13" s="297">
        <f t="shared" ref="G13:G17" si="1">F13/$F$18</f>
        <v>0.14336700134855934</v>
      </c>
    </row>
    <row r="14" spans="1:8" x14ac:dyDescent="0.25">
      <c r="A14" t="s">
        <v>240</v>
      </c>
      <c r="B14" s="19">
        <v>422.35815183833159</v>
      </c>
      <c r="C14" s="19">
        <v>1701.912478215256</v>
      </c>
      <c r="D14" s="19">
        <v>119.03246740298832</v>
      </c>
      <c r="E14" s="19">
        <v>89.965937909028057</v>
      </c>
      <c r="F14" s="19">
        <f t="shared" si="0"/>
        <v>2333.2690353656039</v>
      </c>
      <c r="G14" s="297">
        <f t="shared" si="1"/>
        <v>0.19932185720629483</v>
      </c>
    </row>
    <row r="15" spans="1:8" x14ac:dyDescent="0.25">
      <c r="A15" s="5" t="s">
        <v>241</v>
      </c>
      <c r="B15" s="19">
        <v>930.07948932473937</v>
      </c>
      <c r="C15" s="19">
        <v>1275.9695477001062</v>
      </c>
      <c r="D15" s="19">
        <v>578.47413396634943</v>
      </c>
      <c r="E15" s="19">
        <v>116.4898290088052</v>
      </c>
      <c r="F15" s="19">
        <f t="shared" si="0"/>
        <v>2901.0130000000004</v>
      </c>
      <c r="G15" s="297">
        <f t="shared" si="1"/>
        <v>0.24782195716620409</v>
      </c>
    </row>
    <row r="16" spans="1:8" x14ac:dyDescent="0.25">
      <c r="A16" s="5" t="s">
        <v>299</v>
      </c>
      <c r="B16" s="19">
        <v>21.073163084984706</v>
      </c>
      <c r="C16" s="19">
        <v>22.808315712299574</v>
      </c>
      <c r="D16" s="19">
        <v>114.24599697780434</v>
      </c>
      <c r="E16" s="19">
        <v>2548.8015242249112</v>
      </c>
      <c r="F16" s="19">
        <f t="shared" si="0"/>
        <v>2706.9289999999996</v>
      </c>
      <c r="G16" s="297">
        <f t="shared" si="1"/>
        <v>0.23124213600213289</v>
      </c>
    </row>
    <row r="17" spans="1:7" x14ac:dyDescent="0.25">
      <c r="A17" t="s">
        <v>181</v>
      </c>
      <c r="B17" s="281">
        <v>0</v>
      </c>
      <c r="C17" s="281">
        <v>2.9325626055488536</v>
      </c>
      <c r="D17" s="281">
        <v>0</v>
      </c>
      <c r="E17" s="281">
        <v>299.83243739445112</v>
      </c>
      <c r="F17" s="281">
        <f t="shared" si="0"/>
        <v>302.76499999999999</v>
      </c>
      <c r="G17" s="399">
        <f t="shared" si="1"/>
        <v>2.5864005042868048E-2</v>
      </c>
    </row>
    <row r="18" spans="1:7" x14ac:dyDescent="0.25">
      <c r="A18" s="10" t="s">
        <v>26</v>
      </c>
      <c r="B18" s="109">
        <f>SUM(B12:B17)</f>
        <v>2107.1204544828183</v>
      </c>
      <c r="C18" s="109">
        <f t="shared" ref="C18:E18" si="2">SUM(C12:C17)</f>
        <v>5447.1746761786517</v>
      </c>
      <c r="D18" s="109">
        <f t="shared" si="2"/>
        <v>966.03639299997656</v>
      </c>
      <c r="E18" s="109">
        <f t="shared" si="2"/>
        <v>3185.7054763385527</v>
      </c>
      <c r="F18" s="109">
        <f>SUM(F12:F17)</f>
        <v>11706.037</v>
      </c>
      <c r="G18" s="398">
        <f>SUM(G12:G17)</f>
        <v>1</v>
      </c>
    </row>
    <row r="20" spans="1:7" x14ac:dyDescent="0.25">
      <c r="A20" s="10" t="s">
        <v>300</v>
      </c>
    </row>
    <row r="22" spans="1:7" x14ac:dyDescent="0.25">
      <c r="A22" s="10" t="s">
        <v>44</v>
      </c>
      <c r="B22" s="146" t="s">
        <v>294</v>
      </c>
      <c r="C22" s="146" t="s">
        <v>295</v>
      </c>
      <c r="D22" s="146" t="s">
        <v>296</v>
      </c>
      <c r="E22" s="308" t="s">
        <v>335</v>
      </c>
      <c r="F22" s="146" t="s">
        <v>26</v>
      </c>
      <c r="G22" s="398" t="s">
        <v>13</v>
      </c>
    </row>
    <row r="23" spans="1:7" x14ac:dyDescent="0.25">
      <c r="A23" s="5" t="s">
        <v>297</v>
      </c>
      <c r="B23" s="19">
        <v>195.73628902189091</v>
      </c>
      <c r="C23" s="19">
        <v>503.78866591731583</v>
      </c>
      <c r="D23" s="19">
        <v>25.996361656714463</v>
      </c>
      <c r="E23" s="19">
        <v>27.434690929886493</v>
      </c>
      <c r="F23" s="19">
        <f>SUM(B23:E23)</f>
        <v>752.95600752580776</v>
      </c>
      <c r="G23" s="297">
        <f>F23/$F$29</f>
        <v>0.15238304323394081</v>
      </c>
    </row>
    <row r="24" spans="1:7" x14ac:dyDescent="0.25">
      <c r="A24" s="5" t="s">
        <v>298</v>
      </c>
      <c r="B24" s="19">
        <v>113.92584560128786</v>
      </c>
      <c r="C24" s="19">
        <v>527.65286095018416</v>
      </c>
      <c r="D24" s="19">
        <v>39.127985023665374</v>
      </c>
      <c r="E24" s="19">
        <v>27.699195690372242</v>
      </c>
      <c r="F24" s="19">
        <f t="shared" ref="F24:F28" si="3">SUM(B24:E24)</f>
        <v>708.40588726550959</v>
      </c>
      <c r="G24" s="297">
        <f t="shared" ref="G24:G28" si="4">F24/$F$29</f>
        <v>0.14336700134855934</v>
      </c>
    </row>
    <row r="25" spans="1:7" x14ac:dyDescent="0.25">
      <c r="A25" t="s">
        <v>240</v>
      </c>
      <c r="B25" s="19">
        <v>178.28054310886554</v>
      </c>
      <c r="C25" s="19">
        <v>718.39001951147873</v>
      </c>
      <c r="D25" s="19">
        <v>50.244497102345591</v>
      </c>
      <c r="E25" s="19">
        <v>37.975297036197382</v>
      </c>
      <c r="F25" s="19">
        <f t="shared" si="3"/>
        <v>984.89035675888726</v>
      </c>
      <c r="G25" s="297">
        <f t="shared" si="4"/>
        <v>0.19932185720629483</v>
      </c>
    </row>
    <row r="26" spans="1:7" x14ac:dyDescent="0.25">
      <c r="A26" s="5" t="s">
        <v>241</v>
      </c>
      <c r="B26" s="19">
        <v>392.5935270090414</v>
      </c>
      <c r="C26" s="19">
        <v>538.59631444126228</v>
      </c>
      <c r="D26" s="19">
        <v>244.17826986189516</v>
      </c>
      <c r="E26" s="19">
        <v>49.171230369191754</v>
      </c>
      <c r="F26" s="19">
        <f t="shared" si="3"/>
        <v>1224.5393416813906</v>
      </c>
      <c r="G26" s="297">
        <f t="shared" si="4"/>
        <v>0.24782195716620409</v>
      </c>
    </row>
    <row r="27" spans="1:7" x14ac:dyDescent="0.25">
      <c r="A27" s="5" t="s">
        <v>299</v>
      </c>
      <c r="B27" s="19">
        <v>8.8951401635331369</v>
      </c>
      <c r="C27" s="19">
        <v>9.6275610992438292</v>
      </c>
      <c r="D27" s="19">
        <v>48.224092042653602</v>
      </c>
      <c r="E27" s="19">
        <v>1075.8682365611246</v>
      </c>
      <c r="F27" s="47">
        <f t="shared" si="3"/>
        <v>1142.6150298665552</v>
      </c>
      <c r="G27" s="297">
        <f t="shared" si="4"/>
        <v>0.23124213600213292</v>
      </c>
    </row>
    <row r="28" spans="1:7" x14ac:dyDescent="0.25">
      <c r="A28" t="s">
        <v>181</v>
      </c>
      <c r="B28" s="281">
        <v>0</v>
      </c>
      <c r="C28" s="281">
        <v>1.2378566667706268</v>
      </c>
      <c r="D28" s="281">
        <v>0</v>
      </c>
      <c r="E28" s="281">
        <v>126.56152023507924</v>
      </c>
      <c r="F28" s="281">
        <f t="shared" si="3"/>
        <v>127.79937690184987</v>
      </c>
      <c r="G28" s="399">
        <f t="shared" si="4"/>
        <v>2.5864005042868048E-2</v>
      </c>
    </row>
    <row r="29" spans="1:7" x14ac:dyDescent="0.25">
      <c r="A29" s="10" t="s">
        <v>26</v>
      </c>
      <c r="B29" s="109">
        <f>SUM(B23:B28)</f>
        <v>889.43134490461887</v>
      </c>
      <c r="C29" s="109">
        <f t="shared" ref="C29:F29" si="5">SUM(C23:C28)</f>
        <v>2299.2932785862554</v>
      </c>
      <c r="D29" s="109">
        <f t="shared" si="5"/>
        <v>407.77120568727418</v>
      </c>
      <c r="E29" s="109">
        <f t="shared" si="5"/>
        <v>1344.7101708218518</v>
      </c>
      <c r="F29" s="109">
        <f t="shared" si="5"/>
        <v>4941.2060000000001</v>
      </c>
      <c r="G29" s="398">
        <f>SUM(G23:G28)</f>
        <v>1.0000000000000002</v>
      </c>
    </row>
    <row r="31" spans="1:7" x14ac:dyDescent="0.25">
      <c r="A31" s="4" t="s">
        <v>302</v>
      </c>
      <c r="B31" s="282">
        <v>829.75049477521463</v>
      </c>
      <c r="C31" s="282">
        <v>1327.1509524465309</v>
      </c>
      <c r="D31" s="282">
        <v>854.74890007725003</v>
      </c>
      <c r="E31" s="282">
        <v>48.787027953216125</v>
      </c>
    </row>
    <row r="32" spans="1:7" x14ac:dyDescent="0.25">
      <c r="B32" s="400"/>
      <c r="C32" s="401"/>
      <c r="D32" s="402"/>
    </row>
    <row r="33" spans="1:5" x14ac:dyDescent="0.25">
      <c r="A33" s="4" t="s">
        <v>303</v>
      </c>
    </row>
    <row r="34" spans="1:5" x14ac:dyDescent="0.25">
      <c r="A34" s="4" t="s">
        <v>304</v>
      </c>
      <c r="B34"/>
      <c r="C34" s="282">
        <f>(B18*B31+C18*C31+D18*D31)/SUM(B18:D18)</f>
        <v>1150.5803285257321</v>
      </c>
    </row>
    <row r="35" spans="1:5" x14ac:dyDescent="0.25">
      <c r="B35"/>
      <c r="C35"/>
    </row>
    <row r="36" spans="1:5" x14ac:dyDescent="0.25">
      <c r="A36" s="4" t="s">
        <v>334</v>
      </c>
      <c r="B36" s="403">
        <v>17.520003491438416</v>
      </c>
      <c r="C36"/>
    </row>
    <row r="37" spans="1:5" x14ac:dyDescent="0.25">
      <c r="A37" s="4" t="s">
        <v>8</v>
      </c>
      <c r="B37"/>
      <c r="C37"/>
      <c r="D37"/>
      <c r="E37"/>
    </row>
    <row r="38" spans="1:5" x14ac:dyDescent="0.25">
      <c r="B38"/>
      <c r="C38"/>
    </row>
    <row r="39" spans="1:5" x14ac:dyDescent="0.25">
      <c r="A39" s="4" t="s">
        <v>345</v>
      </c>
      <c r="B39" s="403">
        <v>14.820735156910017</v>
      </c>
      <c r="C39"/>
    </row>
    <row r="40" spans="1:5" x14ac:dyDescent="0.25">
      <c r="A40" s="4" t="s">
        <v>346</v>
      </c>
      <c r="B40"/>
      <c r="C40"/>
    </row>
    <row r="41" spans="1:5" x14ac:dyDescent="0.25">
      <c r="B41"/>
      <c r="C41"/>
    </row>
    <row r="42" spans="1:5" x14ac:dyDescent="0.25">
      <c r="A42" s="4" t="s">
        <v>334</v>
      </c>
      <c r="B42" s="403">
        <v>30.886231220748158</v>
      </c>
      <c r="C42"/>
    </row>
    <row r="43" spans="1:5" x14ac:dyDescent="0.25">
      <c r="A43" s="4" t="s">
        <v>347</v>
      </c>
    </row>
    <row r="44" spans="1:5" ht="15" customHeight="1" x14ac:dyDescent="0.25">
      <c r="B44"/>
      <c r="C44"/>
    </row>
  </sheetData>
  <phoneticPr fontId="13" type="noConversion"/>
  <printOptions horizontalCentered="1"/>
  <pageMargins left="0.75" right="0.75" top="1" bottom="1" header="0.5" footer="0.5"/>
  <pageSetup scale="85" orientation="portrait" r:id="rId1"/>
  <headerFooter alignWithMargins="0">
    <oddHeader>&amp;RPage 36 of 42</oddHeader>
    <oddFooter>&amp;R&amp;F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F67"/>
  <sheetViews>
    <sheetView topLeftCell="A12" zoomScale="75" workbookViewId="0">
      <selection activeCell="C26" sqref="C26"/>
    </sheetView>
  </sheetViews>
  <sheetFormatPr defaultColWidth="9.33203125" defaultRowHeight="13.2" x14ac:dyDescent="0.25"/>
  <cols>
    <col min="1" max="1" width="41" bestFit="1" customWidth="1"/>
    <col min="2" max="5" width="16.6640625" style="19" customWidth="1"/>
    <col min="6" max="6" width="16.6640625" customWidth="1"/>
    <col min="7" max="7" width="15.6640625" customWidth="1"/>
  </cols>
  <sheetData>
    <row r="1" spans="1:6" ht="15.6" x14ac:dyDescent="0.3">
      <c r="A1" s="39" t="s">
        <v>416</v>
      </c>
    </row>
    <row r="2" spans="1:6" x14ac:dyDescent="0.25">
      <c r="A2" s="10"/>
    </row>
    <row r="3" spans="1:6" ht="12.75" customHeight="1" x14ac:dyDescent="0.25">
      <c r="A3" s="10"/>
    </row>
    <row r="4" spans="1:6" ht="12.75" customHeight="1" x14ac:dyDescent="0.25">
      <c r="B4" s="146" t="s">
        <v>133</v>
      </c>
      <c r="C4" s="146" t="s">
        <v>117</v>
      </c>
      <c r="D4" s="146" t="s">
        <v>118</v>
      </c>
      <c r="E4" s="146" t="s">
        <v>119</v>
      </c>
    </row>
    <row r="5" spans="1:6" x14ac:dyDescent="0.25">
      <c r="A5" s="25" t="s">
        <v>196</v>
      </c>
      <c r="B5" s="108" t="s">
        <v>223</v>
      </c>
      <c r="C5" s="108" t="s">
        <v>224</v>
      </c>
      <c r="D5" s="108" t="s">
        <v>225</v>
      </c>
      <c r="E5" s="108" t="s">
        <v>26</v>
      </c>
      <c r="F5" s="25"/>
    </row>
    <row r="6" spans="1:6" x14ac:dyDescent="0.25">
      <c r="A6" t="s">
        <v>227</v>
      </c>
      <c r="B6" s="336">
        <f>'CS Data'!B6+'CS Data'!E6+'CR Dist Key'!C8*'CS Data'!D6</f>
        <v>43936997.941</v>
      </c>
      <c r="C6" s="336">
        <f>'CS Data'!C6+'CS Data'!F6+'CR Dist Key'!C9*'CS Data'!D6</f>
        <v>12275007.356000001</v>
      </c>
      <c r="D6" s="336">
        <f>'CS Data'!G6+'CR Dist Key'!C10*'CS Data'!D6</f>
        <v>11706.037</v>
      </c>
      <c r="E6" s="336">
        <f>SUM(B6:D6)</f>
        <v>56223711.333999999</v>
      </c>
    </row>
    <row r="7" spans="1:6" x14ac:dyDescent="0.25">
      <c r="A7" t="s">
        <v>24</v>
      </c>
      <c r="B7" s="336">
        <f>'CS Data'!B7+'CS Data'!E7+'CR Dist Key'!F8*'CS Data'!D7</f>
        <v>2023843.9809999999</v>
      </c>
      <c r="C7" s="336">
        <f>'CS Data'!C7+'CS Data'!F7+'CR Dist Key'!F9*'CS Data'!D7</f>
        <v>1966890.6850000001</v>
      </c>
      <c r="D7" s="336">
        <f>'CS Data'!G7+'CR Dist Key'!F10*'CS Data'!D7</f>
        <v>4941.2060000000001</v>
      </c>
      <c r="E7" s="336">
        <f>SUM(B7:D7)</f>
        <v>3995675.872</v>
      </c>
    </row>
    <row r="8" spans="1:6" x14ac:dyDescent="0.25">
      <c r="B8" s="326"/>
      <c r="C8" s="326"/>
      <c r="D8" s="326"/>
      <c r="E8" s="109"/>
    </row>
    <row r="9" spans="1:6" x14ac:dyDescent="0.25">
      <c r="A9" s="42" t="s">
        <v>653</v>
      </c>
      <c r="B9" s="326"/>
      <c r="C9" s="336">
        <f>'CS Data'!C10+'CS Data'!D10+'CS Data'!F10</f>
        <v>10349264.079</v>
      </c>
      <c r="D9" s="326">
        <v>0</v>
      </c>
      <c r="E9" s="109"/>
    </row>
    <row r="10" spans="1:6" x14ac:dyDescent="0.25">
      <c r="A10" s="42" t="s">
        <v>654</v>
      </c>
      <c r="B10" s="326"/>
      <c r="C10" s="336">
        <f>'CS Data'!C11+'CS Data'!D11+'CS Data'!F11</f>
        <v>1925170.2859999998</v>
      </c>
      <c r="D10" s="326">
        <v>0</v>
      </c>
      <c r="E10" s="109"/>
    </row>
    <row r="11" spans="1:6" x14ac:dyDescent="0.25">
      <c r="A11" t="s">
        <v>665</v>
      </c>
      <c r="B11" s="326"/>
      <c r="C11" s="336">
        <v>0</v>
      </c>
      <c r="D11" s="326">
        <f>'CS Data'!D12+'CS Data'!G12</f>
        <v>2652.3209999999999</v>
      </c>
      <c r="E11" s="109"/>
    </row>
    <row r="12" spans="1:6" x14ac:dyDescent="0.25">
      <c r="A12" s="42" t="s">
        <v>656</v>
      </c>
      <c r="B12" s="326"/>
      <c r="C12" s="336">
        <v>0</v>
      </c>
      <c r="D12" s="326">
        <f>'CS Data'!D13+'CS Data'!G13</f>
        <v>9053.7160000000003</v>
      </c>
      <c r="E12" s="109"/>
    </row>
    <row r="13" spans="1:6" x14ac:dyDescent="0.25">
      <c r="A13" s="42" t="s">
        <v>663</v>
      </c>
      <c r="B13" s="326"/>
      <c r="C13" s="337">
        <f>'CS Data'!C14+'CS Data'!D14+'CS Data'!F14</f>
        <v>572.99099999999999</v>
      </c>
      <c r="D13" s="335">
        <f>'CS Data'!G14</f>
        <v>0</v>
      </c>
      <c r="E13" s="109"/>
    </row>
    <row r="14" spans="1:6" x14ac:dyDescent="0.25">
      <c r="A14" s="42" t="s">
        <v>657</v>
      </c>
      <c r="B14" s="326"/>
      <c r="C14" s="338">
        <f>'CS Data'!C15</f>
        <v>0</v>
      </c>
      <c r="D14" s="339">
        <f>'CS Data'!D15</f>
        <v>0</v>
      </c>
      <c r="E14" s="109"/>
    </row>
    <row r="15" spans="1:6" x14ac:dyDescent="0.25">
      <c r="A15" s="42"/>
      <c r="B15" s="326"/>
      <c r="C15" s="336">
        <f>SUM(C9:C14)</f>
        <v>12275007.356000001</v>
      </c>
      <c r="D15" s="326">
        <f>SUM(D9:D14)</f>
        <v>11706.037</v>
      </c>
      <c r="E15" s="109"/>
    </row>
    <row r="16" spans="1:6" x14ac:dyDescent="0.25">
      <c r="A16" s="42"/>
      <c r="B16" s="326"/>
      <c r="C16" s="336"/>
      <c r="D16" s="326"/>
      <c r="E16" s="109"/>
    </row>
    <row r="17" spans="1:5" x14ac:dyDescent="0.25">
      <c r="A17" s="42" t="s">
        <v>658</v>
      </c>
      <c r="B17" s="326"/>
      <c r="C17" s="336">
        <f>'CS Data'!C19+'CS Data'!D19+'CS Data'!F19</f>
        <v>1165207.5819999999</v>
      </c>
      <c r="D17" s="326">
        <v>0</v>
      </c>
      <c r="E17" s="109"/>
    </row>
    <row r="18" spans="1:5" x14ac:dyDescent="0.25">
      <c r="A18" s="42" t="s">
        <v>659</v>
      </c>
      <c r="B18" s="326"/>
      <c r="C18" s="336">
        <f>'CS Data'!C20+'CS Data'!D20+'CS Data'!F20</f>
        <v>801562.01</v>
      </c>
      <c r="D18" s="326">
        <v>0</v>
      </c>
      <c r="E18" s="109"/>
    </row>
    <row r="19" spans="1:5" x14ac:dyDescent="0.25">
      <c r="A19" s="42" t="s">
        <v>678</v>
      </c>
      <c r="B19" s="326"/>
      <c r="C19" s="336">
        <v>0</v>
      </c>
      <c r="D19" s="326">
        <f>'CS Data'!G21</f>
        <v>368.76600000000002</v>
      </c>
      <c r="E19" s="109"/>
    </row>
    <row r="20" spans="1:5" x14ac:dyDescent="0.25">
      <c r="A20" s="42" t="s">
        <v>661</v>
      </c>
      <c r="B20" s="326"/>
      <c r="C20" s="336">
        <v>0</v>
      </c>
      <c r="D20" s="326">
        <f>'CS Data'!G22</f>
        <v>4572.4399999999996</v>
      </c>
      <c r="E20" s="109"/>
    </row>
    <row r="21" spans="1:5" x14ac:dyDescent="0.25">
      <c r="A21" s="42" t="s">
        <v>664</v>
      </c>
      <c r="B21" s="326"/>
      <c r="C21" s="282">
        <f>'CS Data'!C23+'CS Data'!D23+'CS Data'!F23</f>
        <v>121.093</v>
      </c>
      <c r="D21" s="326">
        <v>0</v>
      </c>
      <c r="E21" s="109"/>
    </row>
    <row r="22" spans="1:5" x14ac:dyDescent="0.25">
      <c r="A22" s="42" t="s">
        <v>662</v>
      </c>
      <c r="B22" s="326"/>
      <c r="C22" s="334">
        <f>'CS Data'!C24</f>
        <v>0</v>
      </c>
      <c r="D22" s="339">
        <f>'CS Data'!D24</f>
        <v>0</v>
      </c>
      <c r="E22" s="109"/>
    </row>
    <row r="23" spans="1:5" x14ac:dyDescent="0.25">
      <c r="A23" s="42"/>
      <c r="B23" s="326"/>
      <c r="C23" s="282">
        <f>SUM(C17:C22)</f>
        <v>1966890.6850000001</v>
      </c>
      <c r="D23" s="326">
        <f>SUM(D17:D22)</f>
        <v>4941.2059999999992</v>
      </c>
      <c r="E23" s="109"/>
    </row>
    <row r="24" spans="1:5" x14ac:dyDescent="0.25">
      <c r="B24" s="147"/>
      <c r="C24" s="147"/>
      <c r="D24" s="147"/>
    </row>
    <row r="25" spans="1:5" x14ac:dyDescent="0.25">
      <c r="A25" s="57" t="s">
        <v>213</v>
      </c>
    </row>
    <row r="26" spans="1:5" x14ac:dyDescent="0.25">
      <c r="A26" s="38" t="s">
        <v>141</v>
      </c>
      <c r="B26" s="327">
        <f>'CS Data'!B28+'CS Data'!E28+'CS Data'!D28*'CR Dist Key'!$F$8</f>
        <v>457.95619548778438</v>
      </c>
      <c r="C26" s="327">
        <f>'CS Data'!C28+'CS Data'!F28+'CS Data'!D28*'CR Dist Key'!$F$9</f>
        <v>264.2565982376517</v>
      </c>
      <c r="D26" s="327">
        <f>'CS Data'!G28+'CS Data'!D28*'CR Dist Key'!$F$10</f>
        <v>73.866799865034594</v>
      </c>
      <c r="E26" s="327">
        <f t="shared" ref="E26:E33" si="0">SUM(B26:D26)</f>
        <v>796.07959359047072</v>
      </c>
    </row>
    <row r="27" spans="1:5" x14ac:dyDescent="0.25">
      <c r="A27" s="38" t="s">
        <v>142</v>
      </c>
      <c r="B27" s="327">
        <f>'CS Data'!B29+'CS Data'!E29+'CS Data'!D29*'CR Dist Key'!$F$8</f>
        <v>3390.798388153763</v>
      </c>
      <c r="C27" s="327">
        <f>'CS Data'!C29+'CS Data'!F29+'CS Data'!D29*'CR Dist Key'!$F$9</f>
        <v>1836.4825850697321</v>
      </c>
      <c r="D27" s="327">
        <f>'CS Data'!G29+'CS Data'!D29*'CR Dist Key'!$F$10</f>
        <v>26.37762314721126</v>
      </c>
      <c r="E27" s="327">
        <f t="shared" si="0"/>
        <v>5253.6585963707057</v>
      </c>
    </row>
    <row r="28" spans="1:5" x14ac:dyDescent="0.25">
      <c r="A28" s="38" t="s">
        <v>143</v>
      </c>
      <c r="B28" s="327">
        <f>'CS Data'!B30+'CS Data'!E30+'CS Data'!D30*'CR Dist Key'!$F$8</f>
        <v>165.72063512641833</v>
      </c>
      <c r="C28" s="327">
        <f>'CS Data'!C30+'CS Data'!F30+'CS Data'!D30*'CR Dist Key'!$F$9</f>
        <v>95.518755820329091</v>
      </c>
      <c r="D28" s="327">
        <f>'CS Data'!G30+'CS Data'!D30*'CR Dist Key'!$F$10</f>
        <v>1.4672116955889021</v>
      </c>
      <c r="E28" s="327">
        <f t="shared" si="0"/>
        <v>262.70660264233635</v>
      </c>
    </row>
    <row r="29" spans="1:5" x14ac:dyDescent="0.25">
      <c r="A29" s="38" t="s">
        <v>144</v>
      </c>
      <c r="B29" s="327">
        <f>'CS Data'!B31+'CS Data'!E31+'CS Data'!D31*'CR Dist Key'!$F$8</f>
        <v>4392.1077347530399</v>
      </c>
      <c r="C29" s="327">
        <f>'CS Data'!C31+'CS Data'!F31+'CS Data'!D31*'CR Dist Key'!$F$9</f>
        <v>2487.9680497760528</v>
      </c>
      <c r="D29" s="327">
        <f>'CS Data'!G31+'CS Data'!D31*'CR Dist Key'!$F$10</f>
        <v>41.596637307813772</v>
      </c>
      <c r="E29" s="327">
        <f t="shared" si="0"/>
        <v>6921.6724218369063</v>
      </c>
    </row>
    <row r="30" spans="1:5" x14ac:dyDescent="0.25">
      <c r="A30" s="38" t="s">
        <v>145</v>
      </c>
      <c r="B30" s="327">
        <f>'CS Data'!B32+'CS Data'!E32+'CS Data'!D32*'CR Dist Key'!$F$8</f>
        <v>145.4492315038319</v>
      </c>
      <c r="C30" s="327">
        <f>'CS Data'!C32+'CS Data'!F32+'CS Data'!D32*'CR Dist Key'!$F$9</f>
        <v>57.3004230198691</v>
      </c>
      <c r="D30" s="327">
        <f>'CS Data'!G32+'CS Data'!D32*'CR Dist Key'!$F$10</f>
        <v>0.1239277232017624</v>
      </c>
      <c r="E30" s="327">
        <f t="shared" si="0"/>
        <v>202.87358224690277</v>
      </c>
    </row>
    <row r="31" spans="1:5" x14ac:dyDescent="0.25">
      <c r="A31" s="38" t="s">
        <v>146</v>
      </c>
      <c r="B31" s="327">
        <f>'CS Data'!B33+'CS Data'!E33+'CS Data'!D33*'CR Dist Key'!$F$8</f>
        <v>24259.307355117628</v>
      </c>
      <c r="C31" s="327">
        <f>'CS Data'!C33+'CS Data'!F33+'CS Data'!D33*'CR Dist Key'!$F$9</f>
        <v>11815.886128075588</v>
      </c>
      <c r="D31" s="327">
        <f>'CS Data'!G33+'CS Data'!D33*'CR Dist Key'!$F$10</f>
        <v>243.78595244211809</v>
      </c>
      <c r="E31" s="327">
        <f t="shared" si="0"/>
        <v>36318.97943563533</v>
      </c>
    </row>
    <row r="32" spans="1:5" x14ac:dyDescent="0.25">
      <c r="A32" s="313" t="s">
        <v>594</v>
      </c>
      <c r="B32" s="327">
        <f>'CS Data'!B34+'CS Data'!E34+'CS Data'!D34*'CR Dist Key'!$F$8</f>
        <v>6.62690960445049</v>
      </c>
      <c r="C32" s="327">
        <f>'CS Data'!C34+'CS Data'!F34+'CS Data'!D34*'CR Dist Key'!$F$9</f>
        <v>4.2392403208495084</v>
      </c>
      <c r="D32" s="327">
        <f>'CS Data'!G34+'CS Data'!D34*'CR Dist Key'!$F$10</f>
        <v>0.27079929749999998</v>
      </c>
      <c r="E32" s="327">
        <f t="shared" si="0"/>
        <v>11.136949222799998</v>
      </c>
    </row>
    <row r="33" spans="1:6" x14ac:dyDescent="0.25">
      <c r="A33" s="38" t="s">
        <v>147</v>
      </c>
      <c r="B33" s="328">
        <f>'CS Data'!B35+'CS Data'!E35+'CS Data'!D35*'CR Dist Key'!$F$8</f>
        <v>2752.5921075375777</v>
      </c>
      <c r="C33" s="328">
        <f>'CS Data'!C35+'CS Data'!F35+'CS Data'!D35*'CR Dist Key'!$F$9</f>
        <v>1535.6747584123641</v>
      </c>
      <c r="D33" s="328">
        <f>'CS Data'!G35+'CS Data'!D35*'CR Dist Key'!$F$10</f>
        <v>23.37559073380385</v>
      </c>
      <c r="E33" s="328">
        <f t="shared" si="0"/>
        <v>4311.642456683745</v>
      </c>
    </row>
    <row r="34" spans="1:6" x14ac:dyDescent="0.25">
      <c r="A34" s="38"/>
      <c r="B34" s="329">
        <f>SUM(B26:B33)</f>
        <v>35570.558557284494</v>
      </c>
      <c r="C34" s="329">
        <f>SUM(C26:C33)</f>
        <v>18097.326538732435</v>
      </c>
      <c r="D34" s="329">
        <f>SUM(D26:D33)</f>
        <v>410.86454221227223</v>
      </c>
      <c r="E34" s="329">
        <f>SUM(E26:E33)</f>
        <v>54078.749638229194</v>
      </c>
      <c r="F34" s="340"/>
    </row>
    <row r="35" spans="1:6" x14ac:dyDescent="0.25">
      <c r="A35" s="57" t="s">
        <v>212</v>
      </c>
      <c r="B35" s="327"/>
      <c r="C35" s="327"/>
      <c r="D35" s="327"/>
      <c r="E35" s="327"/>
    </row>
    <row r="36" spans="1:6" x14ac:dyDescent="0.25">
      <c r="A36" s="38" t="s">
        <v>22</v>
      </c>
      <c r="B36" s="327">
        <f>'CS Data'!B39+'CS Data'!E39+'CS Data'!D39*'CR Dist Key'!$F$8+('CS Data'!$B$43+'CS Data'!$E$43+'CS Data'!$D$43*'CR Dist Key'!$F$8)*'Other Inputs'!$G$25</f>
        <v>90743.322176191985</v>
      </c>
      <c r="C36" s="327">
        <f>'CS Data'!C39+'CS Data'!F39+'CS Data'!D39*'CR Dist Key'!$F$9+('CS Data'!$C$43+'CS Data'!$F$43+'CS Data'!$D$43*'CR Dist Key'!$F$9)*'Other Inputs'!$G$25</f>
        <v>67135.191385940896</v>
      </c>
      <c r="D36" s="327">
        <f>'CS Data'!G39+'CS Data'!D39*'CR Dist Key'!$F$10+('CS Data'!$G$43+'CS Data'!$D$43*'CR Dist Key'!$F$10)*'Other Inputs'!$G$25</f>
        <v>508.32879289454866</v>
      </c>
      <c r="E36" s="327">
        <f t="shared" ref="E36:E43" si="1">SUM(B36:D36)</f>
        <v>158386.84235502745</v>
      </c>
      <c r="F36" s="308" t="s">
        <v>120</v>
      </c>
    </row>
    <row r="37" spans="1:6" x14ac:dyDescent="0.25">
      <c r="A37" s="38" t="s">
        <v>231</v>
      </c>
      <c r="B37" s="327">
        <f>'CS Data'!B41+'CS Data'!E41+'CS Data'!D41*'CR Dist Key'!$F$8+('CS Data'!$B$43+'CS Data'!$E$43+'CS Data'!$D$43*'CR Dist Key'!$F$8)*'Other Inputs'!$G$27</f>
        <v>0</v>
      </c>
      <c r="C37" s="327">
        <f>'CS Data'!C41+'CS Data'!F41+'CS Data'!D41*'CR Dist Key'!$F$9+('CS Data'!$C$43+'CS Data'!$F$43+'CS Data'!$D$43*'CR Dist Key'!$F$9)*'Other Inputs'!$G$27</f>
        <v>0</v>
      </c>
      <c r="D37" s="327">
        <f>'CS Data'!G41+'CS Data'!D41*'CR Dist Key'!$F$10+('CS Data'!$G$43+'CS Data'!$D$43*'CR Dist Key'!$F$10)*'Other Inputs'!$G$27</f>
        <v>0</v>
      </c>
      <c r="E37" s="327">
        <f t="shared" si="1"/>
        <v>0</v>
      </c>
      <c r="F37" s="308" t="s">
        <v>120</v>
      </c>
    </row>
    <row r="38" spans="1:6" x14ac:dyDescent="0.25">
      <c r="A38" s="38" t="s">
        <v>23</v>
      </c>
      <c r="B38" s="327">
        <f>'CS Data'!B40+'CS Data'!E40+'CS Data'!D40*'CR Dist Key'!$F$8+('CS Data'!$B$43+'CS Data'!$E$43+'CS Data'!$D$43*'CR Dist Key'!$F$8)*'Other Inputs'!$G$26</f>
        <v>119082.16505420422</v>
      </c>
      <c r="C38" s="327">
        <f>'CS Data'!C40+'CS Data'!F40+'CS Data'!D40*'CR Dist Key'!$F$9+('CS Data'!$C$43+'CS Data'!$F$43+'CS Data'!$D$43*'CR Dist Key'!$F$9)*'Other Inputs'!$G$26</f>
        <v>79354.664423115377</v>
      </c>
      <c r="D38" s="327">
        <f>'CS Data'!G40+'CS Data'!D40*'CR Dist Key'!$F$10+('CS Data'!$G$43+'CS Data'!$D$43*'CR Dist Key'!$F$10)*'Other Inputs'!$G$26</f>
        <v>724.0524170645383</v>
      </c>
      <c r="E38" s="327">
        <f t="shared" si="1"/>
        <v>199160.88189438416</v>
      </c>
      <c r="F38" s="308" t="s">
        <v>120</v>
      </c>
    </row>
    <row r="39" spans="1:6" x14ac:dyDescent="0.25">
      <c r="A39" s="38" t="s">
        <v>232</v>
      </c>
      <c r="B39" s="327">
        <f>'CS Data'!B42+'CS Data'!E42+'CS Data'!D42*'CR Dist Key'!$F$8+('CS Data'!$B$43+'CS Data'!$E$43+'CS Data'!$D$43*'CR Dist Key'!$F$8)*'Other Inputs'!$G$28</f>
        <v>0</v>
      </c>
      <c r="C39" s="327">
        <f>'CS Data'!C42+'CS Data'!F42+'CS Data'!D42*'CR Dist Key'!$F$9+('CS Data'!$C$43+'CS Data'!$F$43+'CS Data'!$D$43*'CR Dist Key'!$F$9)*'Other Inputs'!$G$28</f>
        <v>0</v>
      </c>
      <c r="D39" s="327">
        <f>'CS Data'!G42+'CS Data'!D42*'CR Dist Key'!$F$10+('CS Data'!$G$43+'CS Data'!$D$43*'CR Dist Key'!$F$10)*'Other Inputs'!$G$28</f>
        <v>0</v>
      </c>
      <c r="E39" s="327">
        <f t="shared" si="1"/>
        <v>0</v>
      </c>
      <c r="F39" s="308" t="s">
        <v>120</v>
      </c>
    </row>
    <row r="40" spans="1:6" x14ac:dyDescent="0.25">
      <c r="A40" s="38" t="s">
        <v>148</v>
      </c>
      <c r="B40" s="327">
        <f>'CS Data'!B44+'CS Data'!E44+'CS Data'!D44*'CR Dist Key'!$F$8</f>
        <v>1374.947172813416</v>
      </c>
      <c r="C40" s="327">
        <f>'CS Data'!C44+'CS Data'!F44+'CS Data'!D44*'CR Dist Key'!$F$9</f>
        <v>958.30325342888989</v>
      </c>
      <c r="D40" s="327">
        <f>'CS Data'!G44+'CS Data'!D44*'CR Dist Key'!$F$10</f>
        <v>9.4044652552641974</v>
      </c>
      <c r="E40" s="327">
        <f t="shared" si="1"/>
        <v>2342.6548914975701</v>
      </c>
    </row>
    <row r="41" spans="1:6" x14ac:dyDescent="0.25">
      <c r="A41" s="38" t="s">
        <v>149</v>
      </c>
      <c r="B41" s="327">
        <f>'CS Data'!B45+'CS Data'!E45+'CS Data'!D45*'CR Dist Key'!$F$8</f>
        <v>174.26447030715349</v>
      </c>
      <c r="C41" s="327">
        <f>'CS Data'!C45+'CS Data'!F45+'CS Data'!D45*'CR Dist Key'!$F$9</f>
        <v>121.18593059998237</v>
      </c>
      <c r="D41" s="327">
        <f>'CS Data'!G45+'CS Data'!D45*'CR Dist Key'!$F$10</f>
        <v>0.99834209773760607</v>
      </c>
      <c r="E41" s="327">
        <f t="shared" si="1"/>
        <v>296.44874300487351</v>
      </c>
    </row>
    <row r="42" spans="1:6" x14ac:dyDescent="0.25">
      <c r="A42" s="38" t="s">
        <v>150</v>
      </c>
      <c r="B42" s="327">
        <f>'CS Data'!B46+'CS Data'!E46+'CS Data'!D46*'CR Dist Key'!$F$8</f>
        <v>6245.2786429084463</v>
      </c>
      <c r="C42" s="327">
        <f>'CS Data'!C46+'CS Data'!F46+'CS Data'!D46*'CR Dist Key'!$F$9</f>
        <v>5609.93279587712</v>
      </c>
      <c r="D42" s="327">
        <f>'CS Data'!G46+'CS Data'!D46*'CR Dist Key'!$F$10</f>
        <v>15.650176795444368</v>
      </c>
      <c r="E42" s="327">
        <f t="shared" si="1"/>
        <v>11870.86161558101</v>
      </c>
    </row>
    <row r="43" spans="1:6" x14ac:dyDescent="0.25">
      <c r="A43" s="64" t="s">
        <v>151</v>
      </c>
      <c r="B43" s="328">
        <f>'CS Data'!B47+'CS Data'!E47+'CS Data'!D47*'CR Dist Key'!$F$8</f>
        <v>0</v>
      </c>
      <c r="C43" s="328">
        <f>'CS Data'!C47+'CS Data'!F47+'CS Data'!D47*'CR Dist Key'!$F$9</f>
        <v>0</v>
      </c>
      <c r="D43" s="328">
        <f>'CS Data'!G47+'CS Data'!D47*'CR Dist Key'!$F$10</f>
        <v>0</v>
      </c>
      <c r="E43" s="328">
        <f t="shared" si="1"/>
        <v>0</v>
      </c>
    </row>
    <row r="44" spans="1:6" x14ac:dyDescent="0.25">
      <c r="A44" s="38"/>
      <c r="B44" s="329">
        <f>SUM(B36:B43)</f>
        <v>217619.97751642519</v>
      </c>
      <c r="C44" s="329">
        <f>SUM(C36:C43)</f>
        <v>153179.27778896227</v>
      </c>
      <c r="D44" s="329">
        <f>SUM(D36:D43)</f>
        <v>1258.4341941075329</v>
      </c>
      <c r="E44" s="329">
        <f>SUM(E36:E43)</f>
        <v>372057.68949949509</v>
      </c>
    </row>
    <row r="45" spans="1:6" x14ac:dyDescent="0.25">
      <c r="A45" s="57" t="s">
        <v>211</v>
      </c>
      <c r="B45" s="327"/>
      <c r="C45" s="327"/>
      <c r="D45" s="327"/>
      <c r="E45" s="327"/>
    </row>
    <row r="46" spans="1:6" x14ac:dyDescent="0.25">
      <c r="A46" s="38" t="s">
        <v>152</v>
      </c>
      <c r="B46" s="327">
        <f>'CS Data'!B50+'CS Data'!E50+'CS Data'!D50*'CR Dist Key'!$F$8</f>
        <v>0</v>
      </c>
      <c r="C46" s="327">
        <f>'CS Data'!C50+'CS Data'!F50+'CS Data'!D50*'CR Dist Key'!$F$9</f>
        <v>0</v>
      </c>
      <c r="D46" s="327">
        <f>'CS Data'!G50+'CS Data'!D50*'CR Dist Key'!$F$10</f>
        <v>0</v>
      </c>
      <c r="E46" s="327">
        <f>SUM(B46:D46)</f>
        <v>0</v>
      </c>
    </row>
    <row r="47" spans="1:6" x14ac:dyDescent="0.25">
      <c r="A47" s="38" t="s">
        <v>148</v>
      </c>
      <c r="B47" s="327">
        <f>'CS Data'!B51+'CS Data'!E51+'CS Data'!D51*'CR Dist Key'!$F$8</f>
        <v>-5.3060917993605026</v>
      </c>
      <c r="C47" s="327">
        <f>'CS Data'!C51+'CS Data'!F51+'CS Data'!D51*'CR Dist Key'!$F$9</f>
        <v>-3.971913592235591</v>
      </c>
      <c r="D47" s="327">
        <f>'CS Data'!G51+'CS Data'!D51*'CR Dist Key'!$F$10</f>
        <v>-2.6659641514322048E-2</v>
      </c>
      <c r="E47" s="327">
        <f>SUM(B47:D47)</f>
        <v>-9.3046650331104139</v>
      </c>
    </row>
    <row r="48" spans="1:6" x14ac:dyDescent="0.25">
      <c r="A48" s="38" t="s">
        <v>153</v>
      </c>
      <c r="B48" s="328">
        <f>'CS Data'!B52+'CS Data'!E52+'CS Data'!D52*'CR Dist Key'!$F$8</f>
        <v>2804.093151880505</v>
      </c>
      <c r="C48" s="328">
        <f>'CS Data'!C52+'CS Data'!F52+'CS Data'!D52*'CR Dist Key'!$F$9</f>
        <v>2457.3347328351188</v>
      </c>
      <c r="D48" s="328">
        <f>'CS Data'!G52+'CS Data'!D52*'CR Dist Key'!$F$10</f>
        <v>6.85629652021131</v>
      </c>
      <c r="E48" s="328">
        <f>SUM(B48:D48)</f>
        <v>5268.2841812358347</v>
      </c>
    </row>
    <row r="49" spans="1:5" x14ac:dyDescent="0.25">
      <c r="A49" s="63"/>
      <c r="B49" s="329">
        <f>SUM(B46:B48)</f>
        <v>2798.7870600811443</v>
      </c>
      <c r="C49" s="329">
        <f>SUM(C46:C48)</f>
        <v>2453.3628192428832</v>
      </c>
      <c r="D49" s="329">
        <f>SUM(D46:D48)</f>
        <v>6.8296368786969879</v>
      </c>
      <c r="E49" s="329">
        <f>SUM(E46:E48)</f>
        <v>5258.979516202724</v>
      </c>
    </row>
    <row r="50" spans="1:5" x14ac:dyDescent="0.25">
      <c r="A50" s="57" t="s">
        <v>210</v>
      </c>
      <c r="B50" s="327"/>
      <c r="C50" s="327"/>
      <c r="D50" s="327"/>
      <c r="E50" s="327"/>
    </row>
    <row r="51" spans="1:5" x14ac:dyDescent="0.25">
      <c r="A51" s="38" t="s">
        <v>154</v>
      </c>
      <c r="B51" s="327">
        <f>'CS Data'!B55+'CS Data'!E55+'CS Data'!D55*'CR Dist Key'!$F$8</f>
        <v>155.31331389667056</v>
      </c>
      <c r="C51" s="327">
        <f>'CS Data'!C55+'CS Data'!F55+'CS Data'!D55*'CR Dist Key'!$F$9</f>
        <v>113.83860646232614</v>
      </c>
      <c r="D51" s="327">
        <f>'CS Data'!G55+'CS Data'!D55*'CR Dist Key'!$F$10</f>
        <v>0.85073633817007122</v>
      </c>
      <c r="E51" s="327">
        <f>SUM(B51:D51)</f>
        <v>270.00265669716674</v>
      </c>
    </row>
    <row r="52" spans="1:5" x14ac:dyDescent="0.25">
      <c r="A52" s="38" t="s">
        <v>155</v>
      </c>
      <c r="B52" s="328">
        <f>'CS Data'!B56+'CS Data'!E56+'CS Data'!D56*'CR Dist Key'!$F$8</f>
        <v>1842.9867867883472</v>
      </c>
      <c r="C52" s="328">
        <f>'CS Data'!C56+'CS Data'!F56+'CS Data'!D56*'CR Dist Key'!$F$9</f>
        <v>1290.5566529201933</v>
      </c>
      <c r="D52" s="328">
        <f>'CS Data'!G56+'CS Data'!D56*'CR Dist Key'!$F$10</f>
        <v>10.7005683588308</v>
      </c>
      <c r="E52" s="328">
        <f>SUM(B52:D52)</f>
        <v>3144.2440080673714</v>
      </c>
    </row>
    <row r="53" spans="1:5" x14ac:dyDescent="0.25">
      <c r="A53" s="63"/>
      <c r="B53" s="329">
        <f>SUM(B51:B52)</f>
        <v>1998.3001006850177</v>
      </c>
      <c r="C53" s="329">
        <f>SUM(C51:C52)</f>
        <v>1404.3952593825195</v>
      </c>
      <c r="D53" s="329">
        <f>SUM(D51:D52)</f>
        <v>11.551304697000871</v>
      </c>
      <c r="E53" s="329">
        <f>SUM(E51:E52)</f>
        <v>3414.2466647645383</v>
      </c>
    </row>
    <row r="54" spans="1:5" x14ac:dyDescent="0.25">
      <c r="A54" s="65" t="s">
        <v>214</v>
      </c>
      <c r="B54" s="327"/>
      <c r="C54" s="327"/>
      <c r="D54" s="327"/>
      <c r="E54" s="327"/>
    </row>
    <row r="55" spans="1:5" x14ac:dyDescent="0.25">
      <c r="A55" s="38" t="s">
        <v>156</v>
      </c>
      <c r="B55" s="329">
        <f>'CS Data'!B62+'CS Data'!E62+'CS Data'!D62*'CR Dist Key'!$F$8</f>
        <v>49757.757095818248</v>
      </c>
      <c r="C55" s="329">
        <f>'CS Data'!C62+'CS Data'!F62+'CS Data'!D62*'CR Dist Key'!$F$9</f>
        <v>48736.196131701588</v>
      </c>
      <c r="D55" s="329">
        <f>'CS Data'!G62+'CS Data'!D62*'CR Dist Key'!$F$10</f>
        <v>182.47117240001012</v>
      </c>
      <c r="E55" s="329">
        <f>SUM(B55:D55)</f>
        <v>98676.424399919852</v>
      </c>
    </row>
    <row r="56" spans="1:5" x14ac:dyDescent="0.25">
      <c r="A56" s="38"/>
      <c r="B56" s="329"/>
      <c r="C56" s="329"/>
      <c r="D56" s="329"/>
      <c r="E56" s="329"/>
    </row>
    <row r="57" spans="1:5" x14ac:dyDescent="0.25">
      <c r="A57" s="313" t="s">
        <v>26</v>
      </c>
      <c r="B57" s="329">
        <f>B34+B44+B49+B53+B55</f>
        <v>307745.38033029408</v>
      </c>
      <c r="C57" s="329">
        <f>C34+C44+C49+C53+C55</f>
        <v>223870.55853802167</v>
      </c>
      <c r="D57" s="329">
        <f>D34+D44+D49+D53+D55</f>
        <v>1870.1508502955132</v>
      </c>
      <c r="E57" s="329">
        <f>SUM(B57:D57)</f>
        <v>533486.08971861133</v>
      </c>
    </row>
    <row r="58" spans="1:5" x14ac:dyDescent="0.25">
      <c r="A58" s="38"/>
      <c r="B58" s="329"/>
      <c r="C58" s="329"/>
      <c r="D58" s="329"/>
      <c r="E58" s="329"/>
    </row>
    <row r="59" spans="1:5" x14ac:dyDescent="0.25">
      <c r="A59" s="313" t="s">
        <v>190</v>
      </c>
      <c r="B59" s="341">
        <f>B57/B7</f>
        <v>0.15205983426560099</v>
      </c>
      <c r="C59" s="341">
        <f>C57/C7</f>
        <v>0.11381952248048888</v>
      </c>
      <c r="D59" s="341">
        <f>D57/D7</f>
        <v>0.37848064830640804</v>
      </c>
      <c r="E59" s="341">
        <f>E57/E7</f>
        <v>0.13351585734394908</v>
      </c>
    </row>
    <row r="60" spans="1:5" x14ac:dyDescent="0.25">
      <c r="A60" s="38"/>
    </row>
    <row r="61" spans="1:5" x14ac:dyDescent="0.25">
      <c r="A61" s="38"/>
    </row>
    <row r="62" spans="1:5" x14ac:dyDescent="0.25">
      <c r="A62" s="185" t="s">
        <v>325</v>
      </c>
    </row>
    <row r="63" spans="1:5" x14ac:dyDescent="0.25">
      <c r="A63" s="184" t="s">
        <v>586</v>
      </c>
    </row>
    <row r="64" spans="1:5" x14ac:dyDescent="0.25">
      <c r="A64" s="4" t="s">
        <v>587</v>
      </c>
    </row>
    <row r="65" spans="1:1" x14ac:dyDescent="0.25">
      <c r="A65" s="4" t="s">
        <v>589</v>
      </c>
    </row>
    <row r="66" spans="1:1" x14ac:dyDescent="0.25">
      <c r="A66" s="10" t="s">
        <v>228</v>
      </c>
    </row>
    <row r="67" spans="1:1" x14ac:dyDescent="0.25">
      <c r="A67" s="4" t="s">
        <v>649</v>
      </c>
    </row>
  </sheetData>
  <phoneticPr fontId="13" type="noConversion"/>
  <printOptions horizontalCentered="1"/>
  <pageMargins left="0.75" right="0.75" top="1" bottom="1" header="0.5" footer="0.5"/>
  <pageSetup scale="73" orientation="portrait" r:id="rId1"/>
  <headerFooter alignWithMargins="0">
    <oddHeader>&amp;RPage 37 of 42</oddHeader>
    <oddFooter>&amp;R&amp;F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F19"/>
  <sheetViews>
    <sheetView workbookViewId="0">
      <selection activeCell="E8" sqref="E8"/>
    </sheetView>
  </sheetViews>
  <sheetFormatPr defaultColWidth="9.33203125" defaultRowHeight="13.2" x14ac:dyDescent="0.25"/>
  <cols>
    <col min="1" max="1" width="12.6640625" customWidth="1"/>
    <col min="2" max="2" width="15.6640625" style="19" customWidth="1"/>
    <col min="3" max="3" width="9.33203125" style="1"/>
    <col min="4" max="4" width="2.6640625" customWidth="1"/>
    <col min="5" max="5" width="12.6640625" style="19" customWidth="1"/>
    <col min="6" max="6" width="9.33203125" style="1"/>
  </cols>
  <sheetData>
    <row r="1" spans="1:6" x14ac:dyDescent="0.25">
      <c r="A1" s="10" t="s">
        <v>266</v>
      </c>
    </row>
    <row r="4" spans="1:6" x14ac:dyDescent="0.25">
      <c r="A4" s="4" t="s">
        <v>618</v>
      </c>
    </row>
    <row r="6" spans="1:6" x14ac:dyDescent="0.25">
      <c r="B6" s="146" t="s">
        <v>133</v>
      </c>
      <c r="C6" s="146" t="s">
        <v>117</v>
      </c>
      <c r="E6" s="308" t="s">
        <v>118</v>
      </c>
      <c r="F6" s="308" t="s">
        <v>119</v>
      </c>
    </row>
    <row r="7" spans="1:6" x14ac:dyDescent="0.25">
      <c r="A7" s="10" t="s">
        <v>226</v>
      </c>
      <c r="B7" s="108" t="s">
        <v>227</v>
      </c>
      <c r="C7" s="330" t="s">
        <v>13</v>
      </c>
      <c r="D7" s="331"/>
      <c r="E7" s="108" t="s">
        <v>24</v>
      </c>
      <c r="F7" s="330" t="s">
        <v>13</v>
      </c>
    </row>
    <row r="8" spans="1:6" x14ac:dyDescent="0.25">
      <c r="A8" t="s">
        <v>223</v>
      </c>
      <c r="B8" s="19">
        <f>'CS Data'!D9</f>
        <v>7623.6549999999997</v>
      </c>
      <c r="C8" s="1">
        <f>B8/B11</f>
        <v>2.7769300677136996E-3</v>
      </c>
      <c r="E8" s="19">
        <f>'CS Data'!D18</f>
        <v>219.25700000000001</v>
      </c>
      <c r="F8" s="1">
        <f>E8/E11</f>
        <v>3.7214952052097729E-4</v>
      </c>
    </row>
    <row r="9" spans="1:6" x14ac:dyDescent="0.25">
      <c r="A9" t="s">
        <v>224</v>
      </c>
      <c r="B9" s="19">
        <f>'CS Data'!D10+'CS Data'!D11</f>
        <v>2737729.96</v>
      </c>
      <c r="C9" s="1">
        <f>B9/B11</f>
        <v>0.99722306993228638</v>
      </c>
      <c r="E9" s="19">
        <f>'CS Data'!D19+'CS Data'!D20</f>
        <v>588944.47399999993</v>
      </c>
      <c r="F9" s="1">
        <f>E9/E11</f>
        <v>0.999627850479479</v>
      </c>
    </row>
    <row r="10" spans="1:6" x14ac:dyDescent="0.25">
      <c r="A10" t="s">
        <v>225</v>
      </c>
      <c r="B10" s="281">
        <f>'CS Data'!D15</f>
        <v>0</v>
      </c>
      <c r="C10" s="332">
        <f>B10/B11</f>
        <v>0</v>
      </c>
      <c r="E10" s="281">
        <f>'CS Data'!D24</f>
        <v>0</v>
      </c>
      <c r="F10" s="332">
        <f>E10/E11</f>
        <v>0</v>
      </c>
    </row>
    <row r="11" spans="1:6" x14ac:dyDescent="0.25">
      <c r="A11" t="s">
        <v>26</v>
      </c>
      <c r="B11" s="19">
        <f>SUM(B8:B10)</f>
        <v>2745353.6149999998</v>
      </c>
      <c r="C11" s="1">
        <f>SUM(C8:C10)</f>
        <v>1</v>
      </c>
      <c r="E11" s="19">
        <f>SUM(E8:E10)</f>
        <v>589163.73099999991</v>
      </c>
      <c r="F11" s="1">
        <f>SUM(F8:F10)</f>
        <v>1</v>
      </c>
    </row>
    <row r="13" spans="1:6" x14ac:dyDescent="0.25">
      <c r="A13" s="10"/>
    </row>
    <row r="14" spans="1:6" x14ac:dyDescent="0.25">
      <c r="A14" s="185" t="s">
        <v>325</v>
      </c>
    </row>
    <row r="15" spans="1:6" x14ac:dyDescent="0.25">
      <c r="A15" s="184" t="s">
        <v>673</v>
      </c>
      <c r="B15" s="108"/>
      <c r="C15" s="330"/>
      <c r="D15" s="331"/>
      <c r="E15" s="108"/>
      <c r="F15" s="330"/>
    </row>
    <row r="16" spans="1:6" x14ac:dyDescent="0.25">
      <c r="A16" s="4" t="s">
        <v>674</v>
      </c>
    </row>
    <row r="17" spans="1:6" x14ac:dyDescent="0.25">
      <c r="A17" s="4" t="s">
        <v>675</v>
      </c>
      <c r="B17" s="333"/>
      <c r="C17" s="332"/>
      <c r="E17" s="333"/>
      <c r="F17" s="332"/>
    </row>
    <row r="18" spans="1:6" x14ac:dyDescent="0.25">
      <c r="A18" s="4" t="s">
        <v>676</v>
      </c>
    </row>
    <row r="19" spans="1:6" x14ac:dyDescent="0.25">
      <c r="A19" s="4"/>
    </row>
  </sheetData>
  <phoneticPr fontId="13" type="noConversion"/>
  <printOptions horizontalCentered="1"/>
  <pageMargins left="0.75" right="0.75" top="1" bottom="1" header="0.5" footer="0.5"/>
  <pageSetup orientation="portrait" r:id="rId1"/>
  <headerFooter alignWithMargins="0">
    <oddHeader>&amp;RPage 38 of 42</oddHeader>
    <oddFooter>&amp;R&amp;F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O63"/>
  <sheetViews>
    <sheetView zoomScale="75" workbookViewId="0">
      <selection activeCell="C10" sqref="C10"/>
    </sheetView>
  </sheetViews>
  <sheetFormatPr defaultColWidth="9.33203125" defaultRowHeight="13.2" x14ac:dyDescent="0.25"/>
  <cols>
    <col min="1" max="1" width="41" bestFit="1" customWidth="1"/>
    <col min="2" max="2" width="16.6640625" style="19" customWidth="1"/>
    <col min="3" max="3" width="19.5546875" style="19" customWidth="1"/>
    <col min="4" max="8" width="16.6640625" style="19" customWidth="1"/>
    <col min="9" max="9" width="18.6640625" style="4" customWidth="1"/>
    <col min="10" max="15" width="14.88671875" customWidth="1"/>
  </cols>
  <sheetData>
    <row r="1" spans="1:15" ht="15.6" x14ac:dyDescent="0.3">
      <c r="A1" s="39" t="s">
        <v>417</v>
      </c>
    </row>
    <row r="2" spans="1:15" x14ac:dyDescent="0.25">
      <c r="A2" s="10"/>
      <c r="B2" s="411"/>
      <c r="C2" s="411"/>
      <c r="D2" s="411"/>
      <c r="E2" s="411"/>
      <c r="F2" s="411"/>
      <c r="G2" s="411"/>
      <c r="H2" s="411"/>
    </row>
    <row r="3" spans="1:15" x14ac:dyDescent="0.25">
      <c r="A3" s="10"/>
    </row>
    <row r="4" spans="1:15" x14ac:dyDescent="0.25">
      <c r="B4" s="146" t="s">
        <v>218</v>
      </c>
      <c r="C4" s="146" t="s">
        <v>220</v>
      </c>
      <c r="D4" s="146"/>
      <c r="E4" s="146"/>
      <c r="F4" s="146"/>
      <c r="G4" s="146"/>
    </row>
    <row r="5" spans="1:15" x14ac:dyDescent="0.25">
      <c r="A5" s="25" t="s">
        <v>196</v>
      </c>
      <c r="B5" s="108" t="s">
        <v>219</v>
      </c>
      <c r="C5" s="108" t="s">
        <v>221</v>
      </c>
      <c r="D5" s="108" t="s">
        <v>222</v>
      </c>
      <c r="E5" s="108" t="s">
        <v>223</v>
      </c>
      <c r="F5" s="108" t="s">
        <v>224</v>
      </c>
      <c r="G5" s="108" t="s">
        <v>225</v>
      </c>
      <c r="H5" s="108" t="s">
        <v>26</v>
      </c>
      <c r="I5" s="25" t="s">
        <v>0</v>
      </c>
    </row>
    <row r="6" spans="1:15" x14ac:dyDescent="0.25">
      <c r="A6" t="s">
        <v>227</v>
      </c>
      <c r="B6" s="109">
        <v>6017413.5520000001</v>
      </c>
      <c r="C6" s="109">
        <v>7868876.8259999994</v>
      </c>
      <c r="D6" s="109">
        <v>2745353.6150000002</v>
      </c>
      <c r="E6" s="109">
        <v>37911960.733999997</v>
      </c>
      <c r="F6" s="109">
        <v>1668400.57</v>
      </c>
      <c r="G6" s="109">
        <v>11706.037</v>
      </c>
      <c r="H6" s="109">
        <f>SUM(B6:G6)</f>
        <v>56223711.333999999</v>
      </c>
      <c r="I6" s="4" t="s">
        <v>672</v>
      </c>
    </row>
    <row r="7" spans="1:15" x14ac:dyDescent="0.25">
      <c r="A7" t="s">
        <v>24</v>
      </c>
      <c r="B7" s="109">
        <v>230973.75400000002</v>
      </c>
      <c r="C7" s="109">
        <v>941034.02299999993</v>
      </c>
      <c r="D7" s="109">
        <v>589163.73100000003</v>
      </c>
      <c r="E7" s="109">
        <v>1792650.97</v>
      </c>
      <c r="F7" s="282">
        <v>436912.18800000002</v>
      </c>
      <c r="G7" s="109">
        <v>4941.2060000000001</v>
      </c>
      <c r="H7" s="109">
        <f>SUM(B7:G7)</f>
        <v>3995675.872</v>
      </c>
      <c r="I7" s="4" t="s">
        <v>672</v>
      </c>
    </row>
    <row r="8" spans="1:15" x14ac:dyDescent="0.25">
      <c r="B8" s="326"/>
      <c r="C8" s="326"/>
      <c r="D8" s="326"/>
      <c r="E8" s="326"/>
      <c r="F8" s="326"/>
      <c r="G8" s="326"/>
      <c r="H8" s="109"/>
    </row>
    <row r="9" spans="1:15" x14ac:dyDescent="0.25">
      <c r="A9" t="s">
        <v>223</v>
      </c>
      <c r="B9" s="326"/>
      <c r="C9" s="326">
        <v>0</v>
      </c>
      <c r="D9" s="326">
        <v>7623.6549999999997</v>
      </c>
      <c r="E9" s="326"/>
      <c r="F9" s="326">
        <v>0</v>
      </c>
      <c r="G9" s="326">
        <v>0</v>
      </c>
      <c r="H9" s="109">
        <f t="shared" ref="H9:H15" si="0">SUM(B9:G9)</f>
        <v>7623.6549999999997</v>
      </c>
      <c r="I9" s="4" t="s">
        <v>672</v>
      </c>
      <c r="J9" s="326"/>
      <c r="K9" s="326"/>
      <c r="L9" s="326"/>
      <c r="M9" s="326"/>
      <c r="N9" s="326"/>
      <c r="O9" s="109"/>
    </row>
    <row r="10" spans="1:15" x14ac:dyDescent="0.25">
      <c r="A10" s="42" t="s">
        <v>653</v>
      </c>
      <c r="B10" s="326"/>
      <c r="C10" s="326">
        <v>7262654.2860000003</v>
      </c>
      <c r="D10" s="326">
        <v>2098971.7590000001</v>
      </c>
      <c r="E10" s="326"/>
      <c r="F10" s="326">
        <v>987638.03399999999</v>
      </c>
      <c r="G10" s="326">
        <v>0</v>
      </c>
      <c r="H10" s="109">
        <f t="shared" si="0"/>
        <v>10349264.079</v>
      </c>
      <c r="I10" s="4" t="s">
        <v>672</v>
      </c>
      <c r="J10" s="326"/>
      <c r="K10" s="326"/>
      <c r="L10" s="326"/>
      <c r="M10" s="326"/>
      <c r="N10" s="326"/>
      <c r="O10" s="109"/>
    </row>
    <row r="11" spans="1:15" x14ac:dyDescent="0.25">
      <c r="A11" s="42" t="s">
        <v>654</v>
      </c>
      <c r="B11" s="326"/>
      <c r="C11" s="326">
        <v>606222.54</v>
      </c>
      <c r="D11" s="326">
        <v>638758.201</v>
      </c>
      <c r="E11" s="326"/>
      <c r="F11" s="326">
        <v>680189.54500000004</v>
      </c>
      <c r="G11" s="326">
        <v>0</v>
      </c>
      <c r="H11" s="109">
        <f t="shared" si="0"/>
        <v>1925170.2859999998</v>
      </c>
      <c r="I11" s="4" t="s">
        <v>672</v>
      </c>
      <c r="J11" s="326"/>
      <c r="K11" s="326"/>
      <c r="L11" s="326"/>
      <c r="M11" s="326"/>
      <c r="N11" s="326"/>
      <c r="O11" s="109"/>
    </row>
    <row r="12" spans="1:15" x14ac:dyDescent="0.25">
      <c r="A12" s="42" t="s">
        <v>655</v>
      </c>
      <c r="B12" s="326"/>
      <c r="C12" s="326">
        <v>0</v>
      </c>
      <c r="D12" s="326">
        <v>0</v>
      </c>
      <c r="E12" s="326"/>
      <c r="F12" s="326">
        <v>0</v>
      </c>
      <c r="G12" s="326">
        <v>2652.3209999999999</v>
      </c>
      <c r="H12" s="109">
        <f t="shared" si="0"/>
        <v>2652.3209999999999</v>
      </c>
      <c r="I12" s="4" t="s">
        <v>672</v>
      </c>
      <c r="J12" s="326"/>
      <c r="K12" s="326"/>
      <c r="L12" s="326"/>
      <c r="M12" s="326"/>
      <c r="N12" s="326"/>
      <c r="O12" s="109"/>
    </row>
    <row r="13" spans="1:15" x14ac:dyDescent="0.25">
      <c r="A13" s="42" t="s">
        <v>656</v>
      </c>
      <c r="B13" s="326"/>
      <c r="C13" s="326">
        <v>0</v>
      </c>
      <c r="D13" s="326">
        <v>0</v>
      </c>
      <c r="E13" s="326"/>
      <c r="F13" s="326">
        <v>0</v>
      </c>
      <c r="G13" s="326">
        <v>9053.7160000000003</v>
      </c>
      <c r="H13" s="109">
        <f t="shared" si="0"/>
        <v>9053.7160000000003</v>
      </c>
      <c r="I13" s="4" t="s">
        <v>672</v>
      </c>
      <c r="J13" s="326"/>
      <c r="K13" s="326"/>
      <c r="L13" s="326"/>
      <c r="M13" s="326"/>
      <c r="N13" s="326"/>
      <c r="O13" s="109"/>
    </row>
    <row r="14" spans="1:15" x14ac:dyDescent="0.25">
      <c r="A14" s="42" t="s">
        <v>663</v>
      </c>
      <c r="B14" s="326"/>
      <c r="C14" s="326">
        <v>0</v>
      </c>
      <c r="D14" s="326">
        <v>0</v>
      </c>
      <c r="E14" s="326"/>
      <c r="F14" s="326">
        <v>572.99099999999999</v>
      </c>
      <c r="G14" s="326">
        <v>0</v>
      </c>
      <c r="H14" s="109">
        <f t="shared" si="0"/>
        <v>572.99099999999999</v>
      </c>
      <c r="I14" s="4" t="s">
        <v>672</v>
      </c>
      <c r="J14" s="326"/>
      <c r="K14" s="326"/>
      <c r="L14" s="326"/>
      <c r="M14" s="326"/>
      <c r="N14" s="326"/>
      <c r="O14" s="109"/>
    </row>
    <row r="15" spans="1:15" x14ac:dyDescent="0.25">
      <c r="A15" s="42" t="s">
        <v>657</v>
      </c>
      <c r="B15" s="326"/>
      <c r="C15" s="339">
        <v>0</v>
      </c>
      <c r="D15" s="339">
        <v>0</v>
      </c>
      <c r="E15" s="326"/>
      <c r="F15" s="339">
        <v>0</v>
      </c>
      <c r="G15" s="339">
        <v>0</v>
      </c>
      <c r="H15" s="334">
        <f t="shared" si="0"/>
        <v>0</v>
      </c>
      <c r="I15" s="4" t="s">
        <v>672</v>
      </c>
      <c r="J15" s="339"/>
      <c r="K15" s="339"/>
      <c r="L15" s="326"/>
      <c r="M15" s="339"/>
      <c r="N15" s="339"/>
      <c r="O15" s="334"/>
    </row>
    <row r="16" spans="1:15" x14ac:dyDescent="0.25">
      <c r="A16" s="42"/>
      <c r="B16" s="326"/>
      <c r="C16" s="326">
        <f>SUM(C9:C15)</f>
        <v>7868876.8260000004</v>
      </c>
      <c r="D16" s="326">
        <f>SUM(D9:D15)</f>
        <v>2745353.6149999998</v>
      </c>
      <c r="E16" s="326"/>
      <c r="F16" s="326">
        <f>SUM(F9:F15)</f>
        <v>1668400.5699999998</v>
      </c>
      <c r="G16" s="326">
        <f>SUM(G9:G15)</f>
        <v>11706.037</v>
      </c>
      <c r="H16" s="109">
        <f>SUM(H9:H15)</f>
        <v>12294337.048</v>
      </c>
      <c r="I16" s="4" t="s">
        <v>672</v>
      </c>
      <c r="J16" s="326"/>
      <c r="K16" s="326"/>
      <c r="L16" s="326"/>
      <c r="M16" s="326"/>
      <c r="N16" s="326"/>
      <c r="O16" s="109"/>
    </row>
    <row r="17" spans="1:15" x14ac:dyDescent="0.25">
      <c r="B17" s="326"/>
      <c r="C17" s="326"/>
      <c r="D17" s="326"/>
      <c r="E17" s="326"/>
      <c r="F17" s="326"/>
      <c r="G17" s="326"/>
      <c r="H17" s="109"/>
      <c r="I17" s="4" t="s">
        <v>672</v>
      </c>
      <c r="J17" s="326"/>
      <c r="K17" s="326"/>
      <c r="L17" s="326"/>
      <c r="M17" s="326"/>
      <c r="N17" s="326"/>
      <c r="O17" s="109"/>
    </row>
    <row r="18" spans="1:15" x14ac:dyDescent="0.25">
      <c r="A18" t="s">
        <v>223</v>
      </c>
      <c r="B18" s="326"/>
      <c r="C18" s="326">
        <v>0</v>
      </c>
      <c r="D18" s="326">
        <v>219.25700000000001</v>
      </c>
      <c r="E18" s="326"/>
      <c r="F18" s="326">
        <v>0</v>
      </c>
      <c r="G18" s="326">
        <v>0</v>
      </c>
      <c r="H18" s="109">
        <f t="shared" ref="H18:H24" si="1">SUM(B18:G18)</f>
        <v>219.25700000000001</v>
      </c>
      <c r="I18" s="4" t="s">
        <v>672</v>
      </c>
      <c r="J18" s="326"/>
      <c r="K18" s="326"/>
      <c r="L18" s="326"/>
      <c r="M18" s="326"/>
      <c r="N18" s="326"/>
      <c r="O18" s="109"/>
    </row>
    <row r="19" spans="1:15" x14ac:dyDescent="0.25">
      <c r="A19" s="42" t="s">
        <v>658</v>
      </c>
      <c r="B19" s="326"/>
      <c r="C19" s="326">
        <v>700061.85199999996</v>
      </c>
      <c r="D19" s="326">
        <v>316404.821</v>
      </c>
      <c r="E19" s="326"/>
      <c r="F19" s="326">
        <v>148740.90900000001</v>
      </c>
      <c r="G19" s="326">
        <v>0</v>
      </c>
      <c r="H19" s="109">
        <f t="shared" si="1"/>
        <v>1165207.5819999999</v>
      </c>
      <c r="I19" s="4" t="s">
        <v>672</v>
      </c>
      <c r="J19" s="326"/>
      <c r="K19" s="326"/>
      <c r="L19" s="326"/>
      <c r="M19" s="326"/>
      <c r="N19" s="326"/>
      <c r="O19" s="109"/>
    </row>
    <row r="20" spans="1:15" x14ac:dyDescent="0.25">
      <c r="A20" s="42" t="s">
        <v>659</v>
      </c>
      <c r="B20" s="326"/>
      <c r="C20" s="326">
        <v>240972.171</v>
      </c>
      <c r="D20" s="326">
        <v>272539.65299999999</v>
      </c>
      <c r="E20" s="326"/>
      <c r="F20" s="326">
        <v>288050.18599999999</v>
      </c>
      <c r="G20" s="326">
        <v>0</v>
      </c>
      <c r="H20" s="109">
        <f t="shared" si="1"/>
        <v>801562.01</v>
      </c>
      <c r="I20" s="4" t="s">
        <v>672</v>
      </c>
      <c r="J20" s="326"/>
      <c r="K20" s="326"/>
      <c r="L20" s="326"/>
      <c r="M20" s="326"/>
      <c r="N20" s="326"/>
      <c r="O20" s="109"/>
    </row>
    <row r="21" spans="1:15" x14ac:dyDescent="0.25">
      <c r="A21" s="42" t="s">
        <v>660</v>
      </c>
      <c r="B21" s="335" t="s">
        <v>7</v>
      </c>
      <c r="C21" s="326">
        <v>0</v>
      </c>
      <c r="D21" s="326">
        <v>0</v>
      </c>
      <c r="E21" s="326"/>
      <c r="F21" s="326">
        <v>0</v>
      </c>
      <c r="G21" s="326">
        <v>368.76600000000002</v>
      </c>
      <c r="H21" s="109">
        <f t="shared" si="1"/>
        <v>368.76600000000002</v>
      </c>
      <c r="I21" s="4" t="s">
        <v>672</v>
      </c>
      <c r="J21" s="326"/>
      <c r="K21" s="326"/>
      <c r="L21" s="326"/>
      <c r="M21" s="326"/>
      <c r="N21" s="326"/>
      <c r="O21" s="109"/>
    </row>
    <row r="22" spans="1:15" x14ac:dyDescent="0.25">
      <c r="A22" s="42" t="s">
        <v>661</v>
      </c>
      <c r="B22" s="326"/>
      <c r="C22" s="326">
        <v>0</v>
      </c>
      <c r="D22" s="326">
        <v>0</v>
      </c>
      <c r="E22" s="326"/>
      <c r="F22" s="326">
        <v>0</v>
      </c>
      <c r="G22" s="326">
        <v>4572.4399999999996</v>
      </c>
      <c r="H22" s="109">
        <f t="shared" si="1"/>
        <v>4572.4399999999996</v>
      </c>
      <c r="I22" s="4" t="s">
        <v>672</v>
      </c>
      <c r="J22" s="326"/>
      <c r="K22" s="326"/>
      <c r="L22" s="326"/>
      <c r="M22" s="326"/>
      <c r="N22" s="326"/>
      <c r="O22" s="109"/>
    </row>
    <row r="23" spans="1:15" x14ac:dyDescent="0.25">
      <c r="A23" s="42" t="s">
        <v>664</v>
      </c>
      <c r="B23" s="326"/>
      <c r="C23" s="326">
        <v>0</v>
      </c>
      <c r="D23" s="326">
        <v>0</v>
      </c>
      <c r="E23" s="326"/>
      <c r="F23" s="326">
        <v>121.093</v>
      </c>
      <c r="G23" s="326">
        <v>0</v>
      </c>
      <c r="H23" s="109">
        <f t="shared" si="1"/>
        <v>121.093</v>
      </c>
      <c r="I23" s="4" t="s">
        <v>672</v>
      </c>
      <c r="J23" s="326"/>
      <c r="K23" s="326"/>
      <c r="L23" s="326"/>
      <c r="M23" s="326"/>
      <c r="N23" s="326"/>
      <c r="O23" s="109"/>
    </row>
    <row r="24" spans="1:15" x14ac:dyDescent="0.25">
      <c r="A24" s="42" t="s">
        <v>662</v>
      </c>
      <c r="B24" s="326"/>
      <c r="C24" s="339">
        <v>0</v>
      </c>
      <c r="D24" s="339">
        <v>0</v>
      </c>
      <c r="E24" s="326"/>
      <c r="F24" s="339">
        <v>0</v>
      </c>
      <c r="G24" s="339">
        <v>0</v>
      </c>
      <c r="H24" s="334">
        <f t="shared" si="1"/>
        <v>0</v>
      </c>
      <c r="I24" s="4" t="s">
        <v>672</v>
      </c>
      <c r="J24" s="339"/>
      <c r="K24" s="339"/>
      <c r="L24" s="326"/>
      <c r="M24" s="339"/>
      <c r="N24" s="339"/>
      <c r="O24" s="334"/>
    </row>
    <row r="25" spans="1:15" x14ac:dyDescent="0.25">
      <c r="A25" s="42"/>
      <c r="B25" s="326"/>
      <c r="C25" s="326">
        <f>SUM(C18:C24)</f>
        <v>941034.02299999993</v>
      </c>
      <c r="D25" s="326">
        <f>SUM(D18:D24)</f>
        <v>589163.73099999991</v>
      </c>
      <c r="E25" s="326"/>
      <c r="F25" s="326">
        <f>SUM(F18:F24)</f>
        <v>436912.18799999997</v>
      </c>
      <c r="G25" s="326">
        <f>SUM(G18:G24)</f>
        <v>4941.2059999999992</v>
      </c>
      <c r="H25" s="109">
        <f>SUM(H18:H24)</f>
        <v>1972051.148</v>
      </c>
      <c r="I25" s="4" t="s">
        <v>672</v>
      </c>
      <c r="J25" s="326"/>
      <c r="K25" s="326"/>
      <c r="L25" s="326"/>
      <c r="M25" s="326"/>
      <c r="N25" s="326"/>
      <c r="O25" s="109"/>
    </row>
    <row r="26" spans="1:15" x14ac:dyDescent="0.25">
      <c r="A26" s="42"/>
      <c r="B26" s="326"/>
      <c r="C26" s="326"/>
      <c r="D26" s="326"/>
      <c r="E26" s="326"/>
      <c r="F26" s="326"/>
      <c r="G26" s="326"/>
      <c r="H26" s="109"/>
    </row>
    <row r="27" spans="1:15" x14ac:dyDescent="0.25">
      <c r="A27" s="184" t="s">
        <v>679</v>
      </c>
    </row>
    <row r="28" spans="1:15" x14ac:dyDescent="0.25">
      <c r="A28" s="313" t="s">
        <v>597</v>
      </c>
      <c r="B28" s="327">
        <v>18.549493802191861</v>
      </c>
      <c r="C28" s="327">
        <v>0</v>
      </c>
      <c r="D28" s="327">
        <v>6.7533677927996578</v>
      </c>
      <c r="E28" s="327">
        <v>439.40418842300653</v>
      </c>
      <c r="F28" s="327">
        <v>257.50574370743806</v>
      </c>
      <c r="G28" s="327">
        <v>73.866799865034594</v>
      </c>
      <c r="H28" s="327">
        <f>SUM(B28:G28)</f>
        <v>796.07959359047072</v>
      </c>
      <c r="I28" s="4" t="s">
        <v>682</v>
      </c>
    </row>
    <row r="29" spans="1:15" x14ac:dyDescent="0.25">
      <c r="A29" s="38" t="s">
        <v>142</v>
      </c>
      <c r="B29" s="327">
        <v>160.3899366403337</v>
      </c>
      <c r="C29" s="327">
        <v>56.876993316845116</v>
      </c>
      <c r="D29" s="327">
        <v>211.61280044095884</v>
      </c>
      <c r="E29" s="428">
        <v>3230.329699911209</v>
      </c>
      <c r="F29" s="327">
        <v>1568.0715429141483</v>
      </c>
      <c r="G29" s="327">
        <v>26.37762314721126</v>
      </c>
      <c r="H29" s="327">
        <f t="shared" ref="H29:H35" si="2">SUM(B29:G29)</f>
        <v>5253.6585963707057</v>
      </c>
      <c r="I29" s="4" t="s">
        <v>682</v>
      </c>
    </row>
    <row r="30" spans="1:15" x14ac:dyDescent="0.25">
      <c r="A30" s="38" t="s">
        <v>143</v>
      </c>
      <c r="B30" s="327">
        <v>7.3154789730474921</v>
      </c>
      <c r="C30" s="327">
        <v>3.5272691323765364</v>
      </c>
      <c r="D30" s="327">
        <v>12.224485816011994</v>
      </c>
      <c r="E30" s="327">
        <v>158.40060681683579</v>
      </c>
      <c r="F30" s="327">
        <v>79.771550208475617</v>
      </c>
      <c r="G30" s="327">
        <v>1.4672116955889021</v>
      </c>
      <c r="H30" s="327">
        <f t="shared" si="2"/>
        <v>262.70660264233635</v>
      </c>
      <c r="I30" s="4" t="s">
        <v>682</v>
      </c>
    </row>
    <row r="31" spans="1:15" x14ac:dyDescent="0.25">
      <c r="A31" s="38" t="s">
        <v>144</v>
      </c>
      <c r="B31" s="327">
        <v>204.28721961018522</v>
      </c>
      <c r="C31" s="327">
        <v>86.398793159527742</v>
      </c>
      <c r="D31" s="327">
        <v>309.00457219971179</v>
      </c>
      <c r="E31" s="327">
        <v>4187.7055192394719</v>
      </c>
      <c r="F31" s="327">
        <v>2092.679680320196</v>
      </c>
      <c r="G31" s="327">
        <v>41.596637307813772</v>
      </c>
      <c r="H31" s="327">
        <f t="shared" si="2"/>
        <v>6921.6724218369063</v>
      </c>
      <c r="I31" s="4" t="s">
        <v>682</v>
      </c>
    </row>
    <row r="32" spans="1:15" x14ac:dyDescent="0.25">
      <c r="A32" s="38" t="s">
        <v>145</v>
      </c>
      <c r="B32" s="327">
        <v>6.9769962892793203</v>
      </c>
      <c r="C32" s="327">
        <v>0.15787000345305802</v>
      </c>
      <c r="D32" s="327">
        <v>2.8264604141035128</v>
      </c>
      <c r="E32" s="327">
        <v>138.47118334866468</v>
      </c>
      <c r="F32" s="327">
        <v>54.317144468200411</v>
      </c>
      <c r="G32" s="327">
        <v>0.1239277232017624</v>
      </c>
      <c r="H32" s="327">
        <f t="shared" si="2"/>
        <v>202.87358224690277</v>
      </c>
      <c r="I32" s="4" t="s">
        <v>682</v>
      </c>
    </row>
    <row r="33" spans="1:9" x14ac:dyDescent="0.25">
      <c r="A33" s="38" t="s">
        <v>146</v>
      </c>
      <c r="B33" s="327">
        <v>831.5898875587709</v>
      </c>
      <c r="C33" s="327">
        <v>31.683659547312242</v>
      </c>
      <c r="D33" s="428">
        <v>682.61782112782259</v>
      </c>
      <c r="E33" s="327">
        <v>23427.463431664026</v>
      </c>
      <c r="F33" s="327">
        <v>11101.838683295286</v>
      </c>
      <c r="G33" s="327">
        <v>243.78595244211809</v>
      </c>
      <c r="H33" s="327">
        <f t="shared" si="2"/>
        <v>36318.97943563533</v>
      </c>
      <c r="I33" s="4" t="s">
        <v>682</v>
      </c>
    </row>
    <row r="34" spans="1:9" x14ac:dyDescent="0.25">
      <c r="A34" s="313" t="s">
        <v>594</v>
      </c>
      <c r="B34" s="327">
        <v>0.53219777280000002</v>
      </c>
      <c r="C34" s="327">
        <v>0.24048741119999997</v>
      </c>
      <c r="D34" s="327">
        <v>0.64177229129999991</v>
      </c>
      <c r="E34" s="327">
        <v>6.0944729963999995</v>
      </c>
      <c r="F34" s="327">
        <v>3.3572194535999995</v>
      </c>
      <c r="G34" s="327">
        <v>0.27079929749999998</v>
      </c>
      <c r="H34" s="327">
        <f t="shared" si="2"/>
        <v>11.136949222799998</v>
      </c>
      <c r="I34" s="4" t="s">
        <v>682</v>
      </c>
    </row>
    <row r="35" spans="1:9" x14ac:dyDescent="0.25">
      <c r="A35" s="38" t="s">
        <v>147</v>
      </c>
      <c r="B35" s="328">
        <v>126.6627263677405</v>
      </c>
      <c r="C35" s="328">
        <v>50.496947182067608</v>
      </c>
      <c r="D35" s="328">
        <v>185.51838770745542</v>
      </c>
      <c r="E35" s="328">
        <v>2625.8603405908038</v>
      </c>
      <c r="F35" s="328">
        <v>1299.7284641018744</v>
      </c>
      <c r="G35" s="328">
        <v>23.37559073380385</v>
      </c>
      <c r="H35" s="328">
        <f t="shared" si="2"/>
        <v>4311.642456683745</v>
      </c>
      <c r="I35" s="4" t="s">
        <v>682</v>
      </c>
    </row>
    <row r="36" spans="1:9" x14ac:dyDescent="0.25">
      <c r="A36" s="38"/>
      <c r="B36" s="329">
        <f t="shared" ref="B36:H36" si="3">SUM(B28:B35)</f>
        <v>1356.303937014349</v>
      </c>
      <c r="C36" s="329">
        <f t="shared" si="3"/>
        <v>229.3820197527823</v>
      </c>
      <c r="D36" s="329">
        <f t="shared" si="3"/>
        <v>1411.1996677901639</v>
      </c>
      <c r="E36" s="329">
        <f t="shared" si="3"/>
        <v>34213.729442990421</v>
      </c>
      <c r="F36" s="329">
        <f t="shared" si="3"/>
        <v>16457.270028469218</v>
      </c>
      <c r="G36" s="329">
        <f t="shared" si="3"/>
        <v>410.86454221227223</v>
      </c>
      <c r="H36" s="329">
        <f t="shared" si="3"/>
        <v>54078.749638229194</v>
      </c>
    </row>
    <row r="37" spans="1:9" x14ac:dyDescent="0.25">
      <c r="A37" s="57" t="s">
        <v>212</v>
      </c>
      <c r="B37" s="327"/>
      <c r="C37" s="327"/>
      <c r="D37" s="327"/>
      <c r="E37" s="327"/>
      <c r="F37" s="327"/>
      <c r="G37" s="327"/>
      <c r="H37" s="327"/>
    </row>
    <row r="38" spans="1:9" x14ac:dyDescent="0.25">
      <c r="A38" s="313" t="s">
        <v>640</v>
      </c>
      <c r="B38" s="428">
        <v>4978.2914464182577</v>
      </c>
      <c r="C38" s="428">
        <v>10848.646213094204</v>
      </c>
      <c r="D38" s="428">
        <v>5585.3843985365875</v>
      </c>
      <c r="E38" s="428">
        <v>21127.584464606967</v>
      </c>
      <c r="F38" s="428">
        <v>3528.3873906756994</v>
      </c>
      <c r="G38" s="428">
        <v>93.131627753437584</v>
      </c>
      <c r="H38" s="327">
        <f>SUM(B38:G38)</f>
        <v>46161.425541085155</v>
      </c>
      <c r="I38" s="4" t="s">
        <v>682</v>
      </c>
    </row>
    <row r="39" spans="1:9" x14ac:dyDescent="0.25">
      <c r="A39" s="38" t="s">
        <v>22</v>
      </c>
      <c r="B39" s="327">
        <v>8545.0423359448741</v>
      </c>
      <c r="C39" s="327">
        <v>5113.6598831254569</v>
      </c>
      <c r="D39" s="327">
        <v>14535.698208045953</v>
      </c>
      <c r="E39" s="327">
        <v>81977.89956350367</v>
      </c>
      <c r="F39" s="327">
        <v>47444.432976797718</v>
      </c>
      <c r="G39" s="327">
        <v>508.32879289454866</v>
      </c>
      <c r="H39" s="327">
        <f>SUM(B39:G39)</f>
        <v>158125.06176031224</v>
      </c>
      <c r="I39" s="4" t="s">
        <v>682</v>
      </c>
    </row>
    <row r="40" spans="1:9" x14ac:dyDescent="0.25">
      <c r="A40" s="38" t="s">
        <v>23</v>
      </c>
      <c r="B40" s="327">
        <v>3228.5512340163546</v>
      </c>
      <c r="C40" s="327">
        <v>3119.1610126629835</v>
      </c>
      <c r="D40" s="327">
        <v>11654.48525236352</v>
      </c>
      <c r="E40" s="327">
        <v>109314.7598414824</v>
      </c>
      <c r="F40" s="327">
        <v>63162.468165613878</v>
      </c>
      <c r="G40" s="327">
        <v>724.0524170645383</v>
      </c>
      <c r="H40" s="327">
        <f>SUM(B40:G40)</f>
        <v>191203.4779232037</v>
      </c>
      <c r="I40" s="4" t="s">
        <v>682</v>
      </c>
    </row>
    <row r="41" spans="1:9" x14ac:dyDescent="0.25">
      <c r="A41" s="38" t="s">
        <v>231</v>
      </c>
      <c r="B41" s="327">
        <v>0</v>
      </c>
      <c r="C41" s="327">
        <v>0</v>
      </c>
      <c r="D41" s="327">
        <v>0</v>
      </c>
      <c r="E41" s="327">
        <v>0</v>
      </c>
      <c r="F41" s="327">
        <v>0</v>
      </c>
      <c r="G41" s="327">
        <v>0</v>
      </c>
      <c r="H41" s="327">
        <f t="shared" ref="H41:H47" si="4">SUM(B41:G41)</f>
        <v>0</v>
      </c>
      <c r="I41" s="4" t="s">
        <v>682</v>
      </c>
    </row>
    <row r="42" spans="1:9" x14ac:dyDescent="0.25">
      <c r="A42" s="38" t="s">
        <v>232</v>
      </c>
      <c r="B42" s="327">
        <v>0</v>
      </c>
      <c r="C42" s="327">
        <v>0</v>
      </c>
      <c r="D42" s="327">
        <v>0</v>
      </c>
      <c r="E42" s="327">
        <v>0</v>
      </c>
      <c r="F42" s="327">
        <v>0</v>
      </c>
      <c r="G42" s="327">
        <v>0</v>
      </c>
      <c r="H42" s="327">
        <f t="shared" si="4"/>
        <v>0</v>
      </c>
      <c r="I42" s="4" t="s">
        <v>682</v>
      </c>
    </row>
    <row r="43" spans="1:9" x14ac:dyDescent="0.25">
      <c r="A43" s="313" t="s">
        <v>594</v>
      </c>
      <c r="B43" s="327">
        <v>45.252085587545082</v>
      </c>
      <c r="C43" s="327">
        <v>40.342782248144175</v>
      </c>
      <c r="D43" s="327">
        <v>387.78614616090283</v>
      </c>
      <c r="E43" s="327">
        <v>6704.0911912158617</v>
      </c>
      <c r="F43" s="327">
        <v>1041.7123606832035</v>
      </c>
      <c r="G43" s="327">
        <v>0</v>
      </c>
      <c r="H43" s="327">
        <f t="shared" si="4"/>
        <v>8219.1845658956572</v>
      </c>
      <c r="I43" s="4" t="s">
        <v>682</v>
      </c>
    </row>
    <row r="44" spans="1:9" x14ac:dyDescent="0.25">
      <c r="A44" s="38" t="s">
        <v>148</v>
      </c>
      <c r="B44" s="327">
        <v>38.02207139571766</v>
      </c>
      <c r="C44" s="327">
        <v>38.119267828584206</v>
      </c>
      <c r="D44" s="327">
        <v>137.60633049075403</v>
      </c>
      <c r="E44" s="327">
        <v>1336.8738912877857</v>
      </c>
      <c r="F44" s="428">
        <v>782.62886523946452</v>
      </c>
      <c r="G44" s="327">
        <v>9.4044652552641974</v>
      </c>
      <c r="H44" s="327">
        <f t="shared" si="4"/>
        <v>2342.6548914975706</v>
      </c>
      <c r="I44" s="4" t="s">
        <v>682</v>
      </c>
    </row>
    <row r="45" spans="1:9" x14ac:dyDescent="0.25">
      <c r="A45" s="313" t="s">
        <v>598</v>
      </c>
      <c r="B45" s="327">
        <v>10.148025614196623</v>
      </c>
      <c r="C45" s="327">
        <v>6.7178344594941359</v>
      </c>
      <c r="D45" s="327">
        <v>22.483098696901884</v>
      </c>
      <c r="E45" s="327">
        <v>164.10807761855699</v>
      </c>
      <c r="F45" s="327">
        <v>91.993364517986222</v>
      </c>
      <c r="G45" s="327">
        <v>0.99834209773760607</v>
      </c>
      <c r="H45" s="327">
        <f t="shared" si="4"/>
        <v>296.44874300487351</v>
      </c>
      <c r="I45" s="4" t="s">
        <v>682</v>
      </c>
    </row>
    <row r="46" spans="1:9" x14ac:dyDescent="0.25">
      <c r="A46" s="313" t="s">
        <v>167</v>
      </c>
      <c r="B46" s="327">
        <v>281.85243405750469</v>
      </c>
      <c r="C46" s="327">
        <v>265.11621566628054</v>
      </c>
      <c r="D46" s="327">
        <v>916.56434625919655</v>
      </c>
      <c r="E46" s="327">
        <v>5963.0851098689545</v>
      </c>
      <c r="F46" s="327">
        <v>4428.5933329336303</v>
      </c>
      <c r="G46" s="327">
        <v>15.650176795444368</v>
      </c>
      <c r="H46" s="327">
        <f t="shared" si="4"/>
        <v>11870.86161558101</v>
      </c>
      <c r="I46" s="4" t="s">
        <v>682</v>
      </c>
    </row>
    <row r="47" spans="1:9" x14ac:dyDescent="0.25">
      <c r="A47" s="314" t="s">
        <v>599</v>
      </c>
      <c r="B47" s="328">
        <v>0</v>
      </c>
      <c r="C47" s="328">
        <v>0</v>
      </c>
      <c r="D47" s="312">
        <v>0</v>
      </c>
      <c r="E47" s="328">
        <v>0</v>
      </c>
      <c r="F47" s="328">
        <v>0</v>
      </c>
      <c r="G47" s="328">
        <v>0</v>
      </c>
      <c r="H47" s="328">
        <f t="shared" si="4"/>
        <v>0</v>
      </c>
      <c r="I47" s="4" t="s">
        <v>682</v>
      </c>
    </row>
    <row r="48" spans="1:9" x14ac:dyDescent="0.25">
      <c r="A48" s="38"/>
      <c r="B48" s="329">
        <f t="shared" ref="B48:H48" si="5">SUM(B38:B47)</f>
        <v>17127.159633034447</v>
      </c>
      <c r="C48" s="329">
        <f t="shared" si="5"/>
        <v>19431.763209085144</v>
      </c>
      <c r="D48" s="329">
        <f t="shared" si="5"/>
        <v>33240.007780553817</v>
      </c>
      <c r="E48" s="329">
        <f t="shared" si="5"/>
        <v>226588.40213958416</v>
      </c>
      <c r="F48" s="329">
        <f t="shared" si="5"/>
        <v>120480.21645646157</v>
      </c>
      <c r="G48" s="329">
        <f t="shared" si="5"/>
        <v>1351.5658218609706</v>
      </c>
      <c r="H48" s="329">
        <f t="shared" si="5"/>
        <v>418219.11504058022</v>
      </c>
    </row>
    <row r="49" spans="1:9" x14ac:dyDescent="0.25">
      <c r="A49" s="57" t="s">
        <v>211</v>
      </c>
      <c r="B49" s="327"/>
      <c r="C49" s="327"/>
      <c r="D49" s="327"/>
      <c r="E49" s="327"/>
      <c r="F49" s="327"/>
      <c r="G49" s="327"/>
      <c r="H49" s="327"/>
    </row>
    <row r="50" spans="1:9" x14ac:dyDescent="0.25">
      <c r="A50" s="38" t="s">
        <v>152</v>
      </c>
      <c r="B50" s="327">
        <v>0</v>
      </c>
      <c r="C50" s="327">
        <v>0</v>
      </c>
      <c r="D50" s="327">
        <v>0</v>
      </c>
      <c r="E50" s="327">
        <v>0</v>
      </c>
      <c r="F50" s="327">
        <v>0</v>
      </c>
      <c r="G50" s="327">
        <v>0</v>
      </c>
      <c r="H50" s="327">
        <f>SUM(B50:G50)</f>
        <v>0</v>
      </c>
      <c r="I50" s="4" t="s">
        <v>682</v>
      </c>
    </row>
    <row r="51" spans="1:9" x14ac:dyDescent="0.25">
      <c r="A51" s="38" t="s">
        <v>148</v>
      </c>
      <c r="B51" s="327">
        <v>-0.21736444519171502</v>
      </c>
      <c r="C51" s="327">
        <v>-0.15127767590584831</v>
      </c>
      <c r="D51" s="327">
        <v>-0.66358518125492116</v>
      </c>
      <c r="E51" s="327">
        <v>-5.0884804012617586</v>
      </c>
      <c r="F51" s="327">
        <v>-3.1572976879818504</v>
      </c>
      <c r="G51" s="327">
        <v>-2.6659641514322048E-2</v>
      </c>
      <c r="H51" s="327">
        <f>SUM(B51:G51)</f>
        <v>-9.3046650331104157</v>
      </c>
      <c r="I51" s="4" t="s">
        <v>682</v>
      </c>
    </row>
    <row r="52" spans="1:9" x14ac:dyDescent="0.25">
      <c r="A52" s="38" t="s">
        <v>153</v>
      </c>
      <c r="B52" s="312">
        <v>127.52089390155729</v>
      </c>
      <c r="C52" s="328">
        <v>116.74519073459507</v>
      </c>
      <c r="D52" s="328">
        <v>403.4601255378397</v>
      </c>
      <c r="E52" s="328">
        <v>2676.4221104866792</v>
      </c>
      <c r="F52" s="328">
        <v>1937.2795640549525</v>
      </c>
      <c r="G52" s="328">
        <v>6.85629652021131</v>
      </c>
      <c r="H52" s="328">
        <f>SUM(B52:G52)</f>
        <v>5268.2841812358347</v>
      </c>
      <c r="I52" s="4" t="s">
        <v>682</v>
      </c>
    </row>
    <row r="53" spans="1:9" x14ac:dyDescent="0.25">
      <c r="A53" s="63"/>
      <c r="B53" s="329">
        <f t="shared" ref="B53:H53" si="6">SUM(B50:B52)</f>
        <v>127.30352945636557</v>
      </c>
      <c r="C53" s="329">
        <f t="shared" si="6"/>
        <v>116.59391305868922</v>
      </c>
      <c r="D53" s="329">
        <f t="shared" si="6"/>
        <v>402.79654035658479</v>
      </c>
      <c r="E53" s="329">
        <f t="shared" si="6"/>
        <v>2671.3336300854176</v>
      </c>
      <c r="F53" s="329">
        <f t="shared" si="6"/>
        <v>1934.1222663669707</v>
      </c>
      <c r="G53" s="329">
        <f t="shared" si="6"/>
        <v>6.8296368786969879</v>
      </c>
      <c r="H53" s="329">
        <f t="shared" si="6"/>
        <v>5258.979516202724</v>
      </c>
    </row>
    <row r="54" spans="1:9" x14ac:dyDescent="0.25">
      <c r="A54" s="57" t="s">
        <v>210</v>
      </c>
      <c r="B54" s="327"/>
      <c r="C54" s="327"/>
      <c r="D54" s="327"/>
      <c r="E54" s="327"/>
      <c r="F54" s="327"/>
      <c r="G54" s="327"/>
      <c r="H54" s="327"/>
    </row>
    <row r="55" spans="1:9" x14ac:dyDescent="0.25">
      <c r="A55" s="38" t="s">
        <v>154</v>
      </c>
      <c r="B55" s="327">
        <v>14.628697292211085</v>
      </c>
      <c r="C55" s="327">
        <v>8.587485493107426</v>
      </c>
      <c r="D55" s="327">
        <v>24.862964041496298</v>
      </c>
      <c r="E55" s="327">
        <v>140.67536386431271</v>
      </c>
      <c r="F55" s="327">
        <v>80.397409667869198</v>
      </c>
      <c r="G55" s="327">
        <v>0.85073633817007122</v>
      </c>
      <c r="H55" s="327">
        <f>SUM(B55:G55)</f>
        <v>270.00265669716674</v>
      </c>
      <c r="I55" s="4" t="s">
        <v>682</v>
      </c>
    </row>
    <row r="56" spans="1:9" x14ac:dyDescent="0.25">
      <c r="A56" s="38" t="s">
        <v>155</v>
      </c>
      <c r="B56" s="328">
        <v>53.071040812267398</v>
      </c>
      <c r="C56" s="328">
        <v>50.606492211325502</v>
      </c>
      <c r="D56" s="328">
        <v>206.72758693188121</v>
      </c>
      <c r="E56" s="328">
        <v>1789.8388124037247</v>
      </c>
      <c r="F56" s="328">
        <v>1033.2995073493416</v>
      </c>
      <c r="G56" s="328">
        <v>10.7005683588308</v>
      </c>
      <c r="H56" s="328">
        <f>SUM(B56:G56)</f>
        <v>3144.2440080673714</v>
      </c>
      <c r="I56" s="4" t="s">
        <v>682</v>
      </c>
    </row>
    <row r="57" spans="1:9" x14ac:dyDescent="0.25">
      <c r="A57" s="63"/>
      <c r="B57" s="329">
        <f t="shared" ref="B57:H57" si="7">SUM(B55:B56)</f>
        <v>67.699738104478485</v>
      </c>
      <c r="C57" s="329">
        <f t="shared" si="7"/>
        <v>59.193977704432925</v>
      </c>
      <c r="D57" s="329">
        <f t="shared" si="7"/>
        <v>231.5905509733775</v>
      </c>
      <c r="E57" s="329">
        <f t="shared" si="7"/>
        <v>1930.5141762680373</v>
      </c>
      <c r="F57" s="329">
        <f t="shared" si="7"/>
        <v>1113.6969170172108</v>
      </c>
      <c r="G57" s="329">
        <f t="shared" si="7"/>
        <v>11.551304697000871</v>
      </c>
      <c r="H57" s="329">
        <f t="shared" si="7"/>
        <v>3414.2466647645383</v>
      </c>
      <c r="I57" s="4" t="s">
        <v>682</v>
      </c>
    </row>
    <row r="58" spans="1:9" x14ac:dyDescent="0.25">
      <c r="A58" s="63"/>
      <c r="B58" s="329"/>
      <c r="C58" s="329"/>
      <c r="D58" s="329"/>
      <c r="E58" s="329"/>
      <c r="F58" s="329"/>
      <c r="G58" s="329"/>
      <c r="H58" s="329"/>
    </row>
    <row r="59" spans="1:9" x14ac:dyDescent="0.25">
      <c r="A59" s="63"/>
      <c r="B59" s="329">
        <f t="shared" ref="B59:G59" si="8">B36+B48+B53+B57</f>
        <v>18678.466837609642</v>
      </c>
      <c r="C59" s="329">
        <f t="shared" si="8"/>
        <v>19836.933119601046</v>
      </c>
      <c r="D59" s="329">
        <f t="shared" si="8"/>
        <v>35285.594539673941</v>
      </c>
      <c r="E59" s="329">
        <f t="shared" si="8"/>
        <v>265403.97938892798</v>
      </c>
      <c r="F59" s="329">
        <f t="shared" si="8"/>
        <v>139985.30566831498</v>
      </c>
      <c r="G59" s="329">
        <f t="shared" si="8"/>
        <v>1780.8113056489406</v>
      </c>
      <c r="H59" s="329">
        <f>SUM(B59:G59)</f>
        <v>480971.09085977654</v>
      </c>
    </row>
    <row r="60" spans="1:9" x14ac:dyDescent="0.25">
      <c r="A60" s="63"/>
      <c r="B60" s="329"/>
      <c r="C60" s="329"/>
      <c r="D60" s="329"/>
      <c r="E60" s="329"/>
      <c r="F60" s="329"/>
      <c r="G60" s="329"/>
      <c r="H60" s="329"/>
    </row>
    <row r="61" spans="1:9" x14ac:dyDescent="0.25">
      <c r="A61" s="65" t="s">
        <v>214</v>
      </c>
    </row>
    <row r="62" spans="1:9" x14ac:dyDescent="0.25">
      <c r="A62" s="38" t="s">
        <v>156</v>
      </c>
      <c r="B62" s="429">
        <v>3978.8506599038396</v>
      </c>
      <c r="C62" s="429">
        <v>3829.8988304588061</v>
      </c>
      <c r="D62" s="429">
        <v>14626.334698302884</v>
      </c>
      <c r="E62" s="429">
        <v>45773.463252469461</v>
      </c>
      <c r="F62" s="429">
        <v>30285.40578638485</v>
      </c>
      <c r="G62" s="429">
        <v>182.47117240001012</v>
      </c>
      <c r="H62" s="329">
        <f>SUM(B62:G62)</f>
        <v>98676.424399919852</v>
      </c>
      <c r="I62" s="4" t="s">
        <v>682</v>
      </c>
    </row>
    <row r="63" spans="1:9" x14ac:dyDescent="0.25">
      <c r="A63" s="38"/>
    </row>
  </sheetData>
  <phoneticPr fontId="13" type="noConversion"/>
  <printOptions horizontalCentered="1"/>
  <pageMargins left="0.75" right="0.75" top="1" bottom="1" header="0.5" footer="0.5"/>
  <pageSetup scale="51" orientation="portrait" r:id="rId1"/>
  <headerFooter alignWithMargins="0">
    <oddHeader>&amp;RPage 39 of 42</oddHeader>
    <oddFooter>&amp;R&amp;F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E70"/>
  <sheetViews>
    <sheetView topLeftCell="A19" zoomScale="75" zoomScaleNormal="75" workbookViewId="0">
      <selection activeCell="M60" sqref="M60"/>
    </sheetView>
  </sheetViews>
  <sheetFormatPr defaultColWidth="9.33203125" defaultRowHeight="13.2" x14ac:dyDescent="0.25"/>
  <cols>
    <col min="1" max="1" width="6.6640625" style="177" customWidth="1"/>
    <col min="2" max="2" width="12.6640625" style="42" customWidth="1"/>
    <col min="3" max="3" width="15.6640625" style="42" customWidth="1"/>
    <col min="4" max="4" width="13.6640625" style="26" customWidth="1"/>
    <col min="5" max="5" width="9.33203125" style="177"/>
  </cols>
  <sheetData>
    <row r="1" spans="1:5" ht="15.6" x14ac:dyDescent="0.3">
      <c r="A1" s="39" t="s">
        <v>415</v>
      </c>
      <c r="B1" s="39"/>
      <c r="C1" s="39"/>
      <c r="D1" s="386"/>
      <c r="E1" s="387"/>
    </row>
    <row r="2" spans="1:5" x14ac:dyDescent="0.25">
      <c r="A2" s="176"/>
      <c r="B2" s="4"/>
      <c r="C2" s="4"/>
      <c r="D2" s="178"/>
    </row>
    <row r="3" spans="1:5" x14ac:dyDescent="0.25">
      <c r="A3" s="176"/>
      <c r="B3" s="4"/>
      <c r="C3" s="4"/>
      <c r="D3" s="178"/>
    </row>
    <row r="4" spans="1:5" x14ac:dyDescent="0.25">
      <c r="D4" s="376" t="s">
        <v>133</v>
      </c>
    </row>
    <row r="5" spans="1:5" x14ac:dyDescent="0.25">
      <c r="A5" s="24" t="s">
        <v>327</v>
      </c>
      <c r="B5" s="4"/>
      <c r="C5" s="4"/>
    </row>
    <row r="6" spans="1:5" x14ac:dyDescent="0.25">
      <c r="A6" s="24" t="s">
        <v>360</v>
      </c>
      <c r="B6" s="4"/>
      <c r="C6" s="4" t="s">
        <v>361</v>
      </c>
      <c r="D6" s="178" t="s">
        <v>4</v>
      </c>
    </row>
    <row r="7" spans="1:5" x14ac:dyDescent="0.25">
      <c r="A7" s="24" t="s">
        <v>362</v>
      </c>
      <c r="B7" s="4" t="s">
        <v>0</v>
      </c>
      <c r="C7" s="4" t="s">
        <v>363</v>
      </c>
      <c r="D7" s="178" t="s">
        <v>407</v>
      </c>
    </row>
    <row r="9" spans="1:5" x14ac:dyDescent="0.25">
      <c r="A9" s="177">
        <v>1</v>
      </c>
      <c r="B9" t="s">
        <v>364</v>
      </c>
      <c r="C9" s="42" t="s">
        <v>365</v>
      </c>
      <c r="D9" s="179">
        <v>1.754359816131257</v>
      </c>
    </row>
    <row r="10" spans="1:5" x14ac:dyDescent="0.25">
      <c r="A10" s="177">
        <f>A9+1</f>
        <v>2</v>
      </c>
      <c r="B10" t="s">
        <v>623</v>
      </c>
      <c r="C10" t="s">
        <v>366</v>
      </c>
      <c r="D10" s="26">
        <v>1.6305774272183733</v>
      </c>
      <c r="E10" s="388" t="s">
        <v>595</v>
      </c>
    </row>
    <row r="11" spans="1:5" x14ac:dyDescent="0.25">
      <c r="A11" s="177">
        <f t="shared" ref="A11:A60" si="0">A10+1</f>
        <v>3</v>
      </c>
      <c r="B11" t="s">
        <v>623</v>
      </c>
      <c r="C11" t="s">
        <v>367</v>
      </c>
      <c r="D11" s="26">
        <v>0</v>
      </c>
      <c r="E11" s="389">
        <v>1.6056412614911089</v>
      </c>
    </row>
    <row r="12" spans="1:5" x14ac:dyDescent="0.25">
      <c r="A12" s="177">
        <f t="shared" si="0"/>
        <v>4</v>
      </c>
      <c r="B12" t="s">
        <v>368</v>
      </c>
      <c r="C12" s="390" t="s">
        <v>600</v>
      </c>
      <c r="D12" s="391">
        <v>1.6595872730679075</v>
      </c>
      <c r="E12" s="392"/>
    </row>
    <row r="13" spans="1:5" x14ac:dyDescent="0.25">
      <c r="A13" s="177">
        <f t="shared" si="0"/>
        <v>5</v>
      </c>
      <c r="B13" t="s">
        <v>368</v>
      </c>
      <c r="C13" s="42" t="s">
        <v>601</v>
      </c>
      <c r="D13" s="393">
        <v>1.6636637393337459</v>
      </c>
      <c r="E13" s="392"/>
    </row>
    <row r="14" spans="1:5" x14ac:dyDescent="0.25">
      <c r="A14" s="177">
        <f t="shared" si="0"/>
        <v>6</v>
      </c>
      <c r="B14" t="s">
        <v>370</v>
      </c>
      <c r="C14" t="s">
        <v>371</v>
      </c>
      <c r="D14" s="26">
        <v>1.3622907328394676</v>
      </c>
      <c r="E14" s="394">
        <v>1.8052502472456198</v>
      </c>
    </row>
    <row r="15" spans="1:5" x14ac:dyDescent="0.25">
      <c r="A15" s="177">
        <f t="shared" si="0"/>
        <v>7</v>
      </c>
      <c r="B15" t="s">
        <v>370</v>
      </c>
      <c r="C15" t="s">
        <v>372</v>
      </c>
      <c r="D15" s="26">
        <v>1.2988119246888874</v>
      </c>
      <c r="E15" s="173" t="s">
        <v>680</v>
      </c>
    </row>
    <row r="16" spans="1:5" x14ac:dyDescent="0.25">
      <c r="A16" s="177">
        <f t="shared" si="0"/>
        <v>8</v>
      </c>
      <c r="B16" t="s">
        <v>370</v>
      </c>
      <c r="C16" t="s">
        <v>373</v>
      </c>
      <c r="D16" s="26">
        <v>1.3208756008457678</v>
      </c>
    </row>
    <row r="17" spans="1:4" x14ac:dyDescent="0.25">
      <c r="A17" s="177">
        <f t="shared" si="0"/>
        <v>9</v>
      </c>
      <c r="B17" t="s">
        <v>370</v>
      </c>
      <c r="C17" t="s">
        <v>374</v>
      </c>
      <c r="D17" s="26">
        <v>1.3673172205996416</v>
      </c>
    </row>
    <row r="18" spans="1:4" x14ac:dyDescent="0.25">
      <c r="A18" s="177">
        <f t="shared" si="0"/>
        <v>10</v>
      </c>
      <c r="B18" t="s">
        <v>375</v>
      </c>
      <c r="C18" t="s">
        <v>376</v>
      </c>
      <c r="D18" s="26">
        <v>1.3915842531237421</v>
      </c>
    </row>
    <row r="19" spans="1:4" x14ac:dyDescent="0.25">
      <c r="A19" s="177">
        <f t="shared" si="0"/>
        <v>11</v>
      </c>
      <c r="B19" t="s">
        <v>624</v>
      </c>
      <c r="C19" t="s">
        <v>620</v>
      </c>
      <c r="D19" s="26">
        <v>1.5773008471152119</v>
      </c>
    </row>
    <row r="20" spans="1:4" x14ac:dyDescent="0.25">
      <c r="A20" s="177">
        <f t="shared" si="0"/>
        <v>12</v>
      </c>
      <c r="B20" t="s">
        <v>624</v>
      </c>
      <c r="C20" t="s">
        <v>369</v>
      </c>
      <c r="D20" s="26">
        <v>1.5358044573278811</v>
      </c>
    </row>
    <row r="21" spans="1:4" x14ac:dyDescent="0.25">
      <c r="A21" s="177">
        <f t="shared" si="0"/>
        <v>13</v>
      </c>
      <c r="B21" t="s">
        <v>377</v>
      </c>
      <c r="C21" t="s">
        <v>378</v>
      </c>
      <c r="D21" s="26">
        <v>2.1937318420478604</v>
      </c>
    </row>
    <row r="22" spans="1:4" x14ac:dyDescent="0.25">
      <c r="A22" s="177">
        <f t="shared" si="0"/>
        <v>14</v>
      </c>
      <c r="B22" t="s">
        <v>377</v>
      </c>
      <c r="C22" t="s">
        <v>379</v>
      </c>
      <c r="D22" s="26">
        <v>1.9963030491866973</v>
      </c>
    </row>
    <row r="23" spans="1:4" x14ac:dyDescent="0.25">
      <c r="A23" s="177">
        <f t="shared" si="0"/>
        <v>15</v>
      </c>
      <c r="B23" t="s">
        <v>377</v>
      </c>
      <c r="C23" t="s">
        <v>380</v>
      </c>
      <c r="D23" s="26">
        <v>1.4592078249027221</v>
      </c>
    </row>
    <row r="24" spans="1:4" x14ac:dyDescent="0.25">
      <c r="A24" s="177">
        <f t="shared" si="0"/>
        <v>16</v>
      </c>
      <c r="B24" t="s">
        <v>377</v>
      </c>
      <c r="C24" t="s">
        <v>381</v>
      </c>
      <c r="D24" s="26">
        <v>1.5480484240671368</v>
      </c>
    </row>
    <row r="25" spans="1:4" x14ac:dyDescent="0.25">
      <c r="A25" s="177">
        <f t="shared" si="0"/>
        <v>17</v>
      </c>
      <c r="B25" t="s">
        <v>377</v>
      </c>
      <c r="C25" t="s">
        <v>382</v>
      </c>
      <c r="D25" s="26">
        <v>1.329782450145587</v>
      </c>
    </row>
    <row r="26" spans="1:4" x14ac:dyDescent="0.25">
      <c r="A26" s="177">
        <f t="shared" si="0"/>
        <v>18</v>
      </c>
      <c r="B26" t="s">
        <v>377</v>
      </c>
      <c r="C26" t="s">
        <v>383</v>
      </c>
      <c r="D26" s="26">
        <v>1.3430299336376534</v>
      </c>
    </row>
    <row r="27" spans="1:4" x14ac:dyDescent="0.25">
      <c r="A27" s="177">
        <f t="shared" si="0"/>
        <v>19</v>
      </c>
      <c r="B27" t="s">
        <v>377</v>
      </c>
      <c r="C27" t="s">
        <v>384</v>
      </c>
      <c r="D27" s="26">
        <v>1.3606061934437479</v>
      </c>
    </row>
    <row r="28" spans="1:4" x14ac:dyDescent="0.25">
      <c r="A28" s="177">
        <f t="shared" si="0"/>
        <v>20</v>
      </c>
      <c r="B28" t="s">
        <v>377</v>
      </c>
      <c r="C28" t="s">
        <v>385</v>
      </c>
      <c r="D28" s="26">
        <v>1.5985378657336238</v>
      </c>
    </row>
    <row r="29" spans="1:4" x14ac:dyDescent="0.25">
      <c r="A29" s="177">
        <f t="shared" si="0"/>
        <v>21</v>
      </c>
      <c r="B29" t="s">
        <v>377</v>
      </c>
      <c r="C29" t="s">
        <v>386</v>
      </c>
      <c r="D29" s="26">
        <v>1.3835777822483029</v>
      </c>
    </row>
    <row r="30" spans="1:4" x14ac:dyDescent="0.25">
      <c r="A30" s="177">
        <f t="shared" si="0"/>
        <v>22</v>
      </c>
      <c r="B30" t="s">
        <v>377</v>
      </c>
      <c r="C30" t="s">
        <v>387</v>
      </c>
      <c r="D30" s="26">
        <v>1.2805162995566952</v>
      </c>
    </row>
    <row r="31" spans="1:4" x14ac:dyDescent="0.25">
      <c r="A31" s="177">
        <f t="shared" si="0"/>
        <v>23</v>
      </c>
      <c r="B31" t="s">
        <v>377</v>
      </c>
      <c r="C31" t="s">
        <v>388</v>
      </c>
      <c r="D31" s="26">
        <v>1.7604648143981843</v>
      </c>
    </row>
    <row r="32" spans="1:4" x14ac:dyDescent="0.25">
      <c r="A32" s="177">
        <f t="shared" si="0"/>
        <v>24</v>
      </c>
      <c r="B32" t="s">
        <v>389</v>
      </c>
      <c r="C32" t="s">
        <v>390</v>
      </c>
      <c r="D32" s="26">
        <v>1.2907912016362046</v>
      </c>
    </row>
    <row r="33" spans="1:5" x14ac:dyDescent="0.25">
      <c r="A33" s="177">
        <f t="shared" si="0"/>
        <v>25</v>
      </c>
      <c r="B33" t="s">
        <v>389</v>
      </c>
      <c r="C33" t="s">
        <v>391</v>
      </c>
      <c r="D33" s="26">
        <v>1.3454731811702236</v>
      </c>
    </row>
    <row r="34" spans="1:5" x14ac:dyDescent="0.25">
      <c r="A34" s="177">
        <f t="shared" si="0"/>
        <v>26</v>
      </c>
      <c r="B34" t="s">
        <v>389</v>
      </c>
      <c r="C34" t="s">
        <v>392</v>
      </c>
      <c r="D34" s="26">
        <v>1.4574114779200835</v>
      </c>
    </row>
    <row r="35" spans="1:5" x14ac:dyDescent="0.25">
      <c r="A35" s="177">
        <f t="shared" si="0"/>
        <v>27</v>
      </c>
      <c r="B35" t="s">
        <v>389</v>
      </c>
      <c r="C35" t="s">
        <v>393</v>
      </c>
      <c r="D35" s="26">
        <v>1.3190103788853187</v>
      </c>
    </row>
    <row r="36" spans="1:5" x14ac:dyDescent="0.25">
      <c r="A36" s="177">
        <f t="shared" si="0"/>
        <v>28</v>
      </c>
      <c r="B36" t="s">
        <v>389</v>
      </c>
      <c r="C36" t="s">
        <v>394</v>
      </c>
      <c r="D36" s="26">
        <v>1.7174723886329033</v>
      </c>
    </row>
    <row r="37" spans="1:5" x14ac:dyDescent="0.25">
      <c r="A37" s="177">
        <f t="shared" si="0"/>
        <v>29</v>
      </c>
      <c r="B37" t="s">
        <v>389</v>
      </c>
      <c r="C37" t="s">
        <v>395</v>
      </c>
      <c r="D37" s="26">
        <v>1.2712452079894261</v>
      </c>
    </row>
    <row r="38" spans="1:5" x14ac:dyDescent="0.25">
      <c r="A38" s="177">
        <f t="shared" si="0"/>
        <v>30</v>
      </c>
      <c r="B38" t="s">
        <v>389</v>
      </c>
      <c r="C38" t="s">
        <v>396</v>
      </c>
      <c r="D38" s="26">
        <v>1.2900243484249196</v>
      </c>
    </row>
    <row r="39" spans="1:5" x14ac:dyDescent="0.25">
      <c r="A39" s="177">
        <f t="shared" si="0"/>
        <v>31</v>
      </c>
      <c r="B39" t="s">
        <v>625</v>
      </c>
      <c r="C39" t="s">
        <v>397</v>
      </c>
      <c r="D39" s="26">
        <v>1.5816647277035631</v>
      </c>
    </row>
    <row r="40" spans="1:5" x14ac:dyDescent="0.25">
      <c r="A40" s="177">
        <f t="shared" si="0"/>
        <v>32</v>
      </c>
      <c r="B40" t="s">
        <v>626</v>
      </c>
      <c r="C40" t="s">
        <v>367</v>
      </c>
      <c r="D40" s="26">
        <v>0</v>
      </c>
    </row>
    <row r="41" spans="1:5" x14ac:dyDescent="0.25">
      <c r="A41" s="177">
        <f t="shared" si="0"/>
        <v>33</v>
      </c>
      <c r="B41" t="s">
        <v>627</v>
      </c>
      <c r="C41" t="s">
        <v>373</v>
      </c>
      <c r="D41" s="26">
        <v>1.4774316541145593</v>
      </c>
    </row>
    <row r="42" spans="1:5" x14ac:dyDescent="0.25">
      <c r="A42" s="177">
        <f t="shared" si="0"/>
        <v>34</v>
      </c>
      <c r="B42" t="s">
        <v>628</v>
      </c>
      <c r="C42" t="s">
        <v>398</v>
      </c>
      <c r="D42" s="26">
        <v>1.51761435929636</v>
      </c>
      <c r="E42" s="388" t="s">
        <v>408</v>
      </c>
    </row>
    <row r="43" spans="1:5" x14ac:dyDescent="0.25">
      <c r="A43" s="177">
        <f t="shared" si="0"/>
        <v>35</v>
      </c>
      <c r="B43" t="s">
        <v>629</v>
      </c>
      <c r="C43" t="s">
        <v>399</v>
      </c>
      <c r="D43" s="26">
        <v>1.386023903258889</v>
      </c>
      <c r="E43" s="392">
        <v>1.9204979181524358</v>
      </c>
    </row>
    <row r="44" spans="1:5" x14ac:dyDescent="0.25">
      <c r="A44" s="177">
        <f t="shared" si="0"/>
        <v>36</v>
      </c>
      <c r="B44" t="s">
        <v>630</v>
      </c>
      <c r="C44" t="s">
        <v>400</v>
      </c>
      <c r="D44" s="395">
        <v>2.035366262612941</v>
      </c>
      <c r="E44" s="392"/>
    </row>
    <row r="45" spans="1:5" x14ac:dyDescent="0.25">
      <c r="A45" s="177">
        <f t="shared" si="0"/>
        <v>37</v>
      </c>
      <c r="B45" t="s">
        <v>630</v>
      </c>
      <c r="C45" t="s">
        <v>595</v>
      </c>
      <c r="D45" s="179">
        <v>1.4922245136324837</v>
      </c>
      <c r="E45" s="394">
        <v>2.0700178145522989</v>
      </c>
    </row>
    <row r="46" spans="1:5" x14ac:dyDescent="0.25">
      <c r="A46" s="177">
        <f t="shared" si="0"/>
        <v>38</v>
      </c>
      <c r="B46" t="s">
        <v>630</v>
      </c>
      <c r="C46" s="42" t="s">
        <v>620</v>
      </c>
      <c r="D46" s="179">
        <v>1.6196174573049362</v>
      </c>
      <c r="E46" s="177" t="s">
        <v>409</v>
      </c>
    </row>
    <row r="47" spans="1:5" x14ac:dyDescent="0.25">
      <c r="A47" s="177">
        <f t="shared" si="0"/>
        <v>39</v>
      </c>
      <c r="B47" t="s">
        <v>630</v>
      </c>
      <c r="C47" t="s">
        <v>401</v>
      </c>
      <c r="D47" s="179">
        <v>1.8711128783813997</v>
      </c>
    </row>
    <row r="48" spans="1:5" x14ac:dyDescent="0.25">
      <c r="A48" s="177">
        <f t="shared" si="0"/>
        <v>40</v>
      </c>
      <c r="B48" t="s">
        <v>631</v>
      </c>
      <c r="C48" t="s">
        <v>402</v>
      </c>
      <c r="D48" s="179">
        <v>1.6214860636540271</v>
      </c>
    </row>
    <row r="49" spans="1:4" x14ac:dyDescent="0.25">
      <c r="A49" s="177">
        <f t="shared" si="0"/>
        <v>41</v>
      </c>
      <c r="B49" t="s">
        <v>631</v>
      </c>
      <c r="C49" s="42" t="s">
        <v>621</v>
      </c>
      <c r="D49" s="179">
        <v>1.4978878089199297</v>
      </c>
    </row>
    <row r="50" spans="1:4" x14ac:dyDescent="0.25">
      <c r="A50" s="177">
        <f t="shared" si="0"/>
        <v>42</v>
      </c>
      <c r="B50" t="s">
        <v>631</v>
      </c>
      <c r="C50" s="42" t="s">
        <v>622</v>
      </c>
      <c r="D50" s="179">
        <v>2.7152513461318581</v>
      </c>
    </row>
    <row r="51" spans="1:4" x14ac:dyDescent="0.25">
      <c r="A51" s="177">
        <f t="shared" si="0"/>
        <v>43</v>
      </c>
      <c r="B51" t="s">
        <v>631</v>
      </c>
      <c r="C51" t="s">
        <v>390</v>
      </c>
      <c r="D51" s="179">
        <v>1.5940040162919518</v>
      </c>
    </row>
    <row r="52" spans="1:4" x14ac:dyDescent="0.25">
      <c r="A52" s="177">
        <f t="shared" si="0"/>
        <v>44</v>
      </c>
      <c r="B52" t="s">
        <v>631</v>
      </c>
      <c r="C52" t="s">
        <v>403</v>
      </c>
      <c r="D52" s="179">
        <v>1.7750950887377657</v>
      </c>
    </row>
    <row r="53" spans="1:4" x14ac:dyDescent="0.25">
      <c r="A53" s="177">
        <f t="shared" si="0"/>
        <v>45</v>
      </c>
      <c r="B53" t="s">
        <v>631</v>
      </c>
      <c r="C53" t="s">
        <v>404</v>
      </c>
      <c r="D53" s="179">
        <v>1.743186205242375</v>
      </c>
    </row>
    <row r="54" spans="1:4" x14ac:dyDescent="0.25">
      <c r="A54" s="177">
        <f t="shared" si="0"/>
        <v>46</v>
      </c>
      <c r="B54" t="s">
        <v>631</v>
      </c>
      <c r="C54" t="s">
        <v>391</v>
      </c>
      <c r="D54" s="179">
        <v>1.368369834646356</v>
      </c>
    </row>
    <row r="55" spans="1:4" x14ac:dyDescent="0.25">
      <c r="A55" s="177">
        <f t="shared" si="0"/>
        <v>47</v>
      </c>
      <c r="B55" t="s">
        <v>631</v>
      </c>
      <c r="C55" t="s">
        <v>371</v>
      </c>
      <c r="D55" s="179">
        <v>1.5675506909733425</v>
      </c>
    </row>
    <row r="56" spans="1:4" x14ac:dyDescent="0.25">
      <c r="A56" s="177">
        <f t="shared" si="0"/>
        <v>48</v>
      </c>
      <c r="B56" t="s">
        <v>631</v>
      </c>
      <c r="C56" t="s">
        <v>372</v>
      </c>
      <c r="D56" s="179">
        <v>1.4234618489304431</v>
      </c>
    </row>
    <row r="57" spans="1:4" x14ac:dyDescent="0.25">
      <c r="A57" s="177">
        <f t="shared" si="0"/>
        <v>49</v>
      </c>
      <c r="B57" t="s">
        <v>631</v>
      </c>
      <c r="C57" t="s">
        <v>373</v>
      </c>
      <c r="D57" s="179">
        <v>1.4957786551922303</v>
      </c>
    </row>
    <row r="58" spans="1:4" x14ac:dyDescent="0.25">
      <c r="A58" s="177">
        <f t="shared" si="0"/>
        <v>50</v>
      </c>
      <c r="B58" t="s">
        <v>631</v>
      </c>
      <c r="C58" t="s">
        <v>405</v>
      </c>
      <c r="D58" s="179">
        <v>1.5940040162919524</v>
      </c>
    </row>
    <row r="59" spans="1:4" x14ac:dyDescent="0.25">
      <c r="A59" s="177">
        <f t="shared" si="0"/>
        <v>51</v>
      </c>
      <c r="B59" t="s">
        <v>631</v>
      </c>
      <c r="C59" t="s">
        <v>406</v>
      </c>
      <c r="D59" s="179">
        <v>1.5940040162919527</v>
      </c>
    </row>
    <row r="60" spans="1:4" x14ac:dyDescent="0.25">
      <c r="A60" s="177">
        <f t="shared" si="0"/>
        <v>52</v>
      </c>
      <c r="B60" t="s">
        <v>631</v>
      </c>
      <c r="C60" t="s">
        <v>392</v>
      </c>
      <c r="D60" s="179">
        <v>3.5156084078143586</v>
      </c>
    </row>
    <row r="61" spans="1:4" x14ac:dyDescent="0.25">
      <c r="D61" s="179"/>
    </row>
    <row r="62" spans="1:4" x14ac:dyDescent="0.25">
      <c r="D62" s="178" t="s">
        <v>117</v>
      </c>
    </row>
    <row r="63" spans="1:4" x14ac:dyDescent="0.25">
      <c r="C63" s="168" t="s">
        <v>413</v>
      </c>
      <c r="D63" s="396">
        <v>1.4168907591926634</v>
      </c>
    </row>
    <row r="64" spans="1:4" x14ac:dyDescent="0.25">
      <c r="D64" s="179"/>
    </row>
    <row r="65" spans="1:2" x14ac:dyDescent="0.25">
      <c r="A65" s="384" t="s">
        <v>325</v>
      </c>
      <c r="B65" s="4"/>
    </row>
    <row r="66" spans="1:2" x14ac:dyDescent="0.25">
      <c r="A66" s="375" t="s">
        <v>683</v>
      </c>
      <c r="B66" s="4"/>
    </row>
    <row r="67" spans="1:2" x14ac:dyDescent="0.25">
      <c r="A67" s="375" t="s">
        <v>684</v>
      </c>
      <c r="B67" s="4"/>
    </row>
    <row r="68" spans="1:2" x14ac:dyDescent="0.25">
      <c r="A68" s="176"/>
      <c r="B68" s="4"/>
    </row>
    <row r="69" spans="1:2" x14ac:dyDescent="0.25">
      <c r="A69" s="176"/>
      <c r="B69" s="4"/>
    </row>
    <row r="70" spans="1:2" x14ac:dyDescent="0.25">
      <c r="A70" s="176"/>
    </row>
  </sheetData>
  <printOptions horizontalCentered="1"/>
  <pageMargins left="0.7" right="0.7" top="0.75" bottom="0.75" header="0.3" footer="0.3"/>
  <pageSetup scale="77" orientation="portrait" r:id="rId1"/>
  <headerFooter>
    <oddHeader>&amp;RPage 40 of 42</oddHeader>
    <oddFooter>&amp;R&amp;F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7"/>
  <sheetViews>
    <sheetView zoomScale="75" zoomScaleNormal="75" workbookViewId="0">
      <selection activeCell="C13" sqref="C13"/>
    </sheetView>
  </sheetViews>
  <sheetFormatPr defaultColWidth="8.6640625" defaultRowHeight="13.2" x14ac:dyDescent="0.25"/>
  <cols>
    <col min="1" max="1" width="50.6640625" style="382" customWidth="1"/>
    <col min="2" max="2" width="12.6640625" style="373" customWidth="1"/>
    <col min="3" max="3" width="15.6640625" style="372" customWidth="1"/>
    <col min="4" max="4" width="12.6640625" style="373" customWidth="1"/>
    <col min="5" max="16384" width="8.6640625" style="374"/>
  </cols>
  <sheetData>
    <row r="1" spans="1:4" ht="15.6" x14ac:dyDescent="0.3">
      <c r="A1" s="39" t="s">
        <v>551</v>
      </c>
      <c r="B1" s="371"/>
    </row>
    <row r="2" spans="1:4" x14ac:dyDescent="0.25">
      <c r="A2" s="375"/>
      <c r="B2" s="371"/>
    </row>
    <row r="3" spans="1:4" x14ac:dyDescent="0.25">
      <c r="A3" s="375"/>
      <c r="B3" s="371"/>
    </row>
    <row r="4" spans="1:4" x14ac:dyDescent="0.25">
      <c r="A4" s="375"/>
      <c r="B4" s="371"/>
      <c r="C4" s="376" t="s">
        <v>133</v>
      </c>
      <c r="D4" s="376"/>
    </row>
    <row r="5" spans="1:4" x14ac:dyDescent="0.25">
      <c r="A5" s="375"/>
      <c r="B5" s="371"/>
    </row>
    <row r="6" spans="1:4" x14ac:dyDescent="0.25">
      <c r="A6" s="375"/>
      <c r="B6" s="371"/>
      <c r="C6" s="376" t="s">
        <v>326</v>
      </c>
    </row>
    <row r="7" spans="1:4" x14ac:dyDescent="0.25">
      <c r="A7" s="375" t="s">
        <v>1</v>
      </c>
      <c r="B7" s="371" t="s">
        <v>30</v>
      </c>
      <c r="C7" s="376" t="s">
        <v>310</v>
      </c>
    </row>
    <row r="8" spans="1:4" x14ac:dyDescent="0.25">
      <c r="A8" s="375" t="s">
        <v>196</v>
      </c>
      <c r="B8" s="371" t="s">
        <v>311</v>
      </c>
      <c r="C8" s="377" t="s">
        <v>308</v>
      </c>
      <c r="D8" s="378"/>
    </row>
    <row r="9" spans="1:4" x14ac:dyDescent="0.25">
      <c r="A9" s="379"/>
      <c r="B9" s="380"/>
      <c r="C9" s="381"/>
    </row>
    <row r="10" spans="1:4" x14ac:dyDescent="0.25">
      <c r="A10" s="382" t="s">
        <v>358</v>
      </c>
      <c r="B10" s="373" t="s">
        <v>312</v>
      </c>
      <c r="C10" s="372">
        <v>92.988321017923852</v>
      </c>
    </row>
    <row r="11" spans="1:4" x14ac:dyDescent="0.25">
      <c r="A11" s="382" t="s">
        <v>359</v>
      </c>
      <c r="B11" s="373" t="s">
        <v>312</v>
      </c>
      <c r="C11" s="372">
        <v>66.094724133664315</v>
      </c>
    </row>
    <row r="12" spans="1:4" x14ac:dyDescent="0.25">
      <c r="A12" s="382" t="s">
        <v>313</v>
      </c>
      <c r="B12" s="373" t="s">
        <v>312</v>
      </c>
      <c r="C12" s="372">
        <v>50.702917267135618</v>
      </c>
    </row>
    <row r="13" spans="1:4" x14ac:dyDescent="0.25">
      <c r="A13" s="374" t="s">
        <v>314</v>
      </c>
      <c r="B13" s="373" t="s">
        <v>244</v>
      </c>
      <c r="C13" s="372">
        <v>3068.1109131264348</v>
      </c>
    </row>
    <row r="14" spans="1:4" x14ac:dyDescent="0.25">
      <c r="A14" s="383" t="s">
        <v>315</v>
      </c>
      <c r="B14" s="11" t="s">
        <v>316</v>
      </c>
      <c r="C14" s="372">
        <v>307.66822713635111</v>
      </c>
    </row>
    <row r="15" spans="1:4" x14ac:dyDescent="0.25">
      <c r="A15" s="383" t="s">
        <v>317</v>
      </c>
      <c r="B15" s="11" t="s">
        <v>316</v>
      </c>
      <c r="C15" s="372">
        <v>68.564044141410264</v>
      </c>
    </row>
    <row r="16" spans="1:4" x14ac:dyDescent="0.25">
      <c r="A16" s="383" t="s">
        <v>318</v>
      </c>
      <c r="B16" s="11" t="s">
        <v>312</v>
      </c>
      <c r="C16" s="372">
        <v>81.873572020007202</v>
      </c>
    </row>
    <row r="17" spans="1:3" x14ac:dyDescent="0.25">
      <c r="A17" s="383" t="s">
        <v>319</v>
      </c>
      <c r="B17" s="11" t="s">
        <v>312</v>
      </c>
      <c r="C17" s="372">
        <v>58.156985400220201</v>
      </c>
    </row>
    <row r="18" spans="1:3" x14ac:dyDescent="0.25">
      <c r="A18" s="383" t="s">
        <v>320</v>
      </c>
      <c r="B18" s="11" t="s">
        <v>312</v>
      </c>
      <c r="C18" s="372">
        <v>39.899251235537818</v>
      </c>
    </row>
    <row r="19" spans="1:3" x14ac:dyDescent="0.25">
      <c r="A19" s="383" t="s">
        <v>315</v>
      </c>
      <c r="B19" s="11" t="s">
        <v>312</v>
      </c>
      <c r="C19" s="372">
        <v>91.071587890934111</v>
      </c>
    </row>
    <row r="20" spans="1:3" x14ac:dyDescent="0.25">
      <c r="A20" s="383" t="s">
        <v>317</v>
      </c>
      <c r="B20" s="11" t="s">
        <v>312</v>
      </c>
      <c r="C20" s="372">
        <v>61.728448910094343</v>
      </c>
    </row>
    <row r="21" spans="1:3" x14ac:dyDescent="0.25">
      <c r="A21" s="383" t="s">
        <v>318</v>
      </c>
      <c r="B21" s="11" t="s">
        <v>244</v>
      </c>
      <c r="C21" s="372">
        <v>55.996737364805647</v>
      </c>
    </row>
    <row r="22" spans="1:3" x14ac:dyDescent="0.25">
      <c r="A22" s="383" t="s">
        <v>319</v>
      </c>
      <c r="B22" s="11" t="s">
        <v>244</v>
      </c>
      <c r="C22" s="372">
        <v>46.475052307166727</v>
      </c>
    </row>
    <row r="23" spans="1:3" x14ac:dyDescent="0.25">
      <c r="A23" s="383" t="s">
        <v>321</v>
      </c>
      <c r="B23" s="11" t="s">
        <v>244</v>
      </c>
      <c r="C23" s="372">
        <v>53.146449685685347</v>
      </c>
    </row>
    <row r="24" spans="1:3" x14ac:dyDescent="0.25">
      <c r="A24" s="383" t="s">
        <v>322</v>
      </c>
      <c r="B24" s="11" t="s">
        <v>244</v>
      </c>
      <c r="C24" s="372">
        <v>23.065925296264197</v>
      </c>
    </row>
    <row r="25" spans="1:3" x14ac:dyDescent="0.25">
      <c r="A25" s="383" t="s">
        <v>323</v>
      </c>
      <c r="B25" s="11" t="s">
        <v>244</v>
      </c>
      <c r="C25" s="372">
        <v>16.646694338879648</v>
      </c>
    </row>
    <row r="26" spans="1:3" x14ac:dyDescent="0.25">
      <c r="A26" s="383" t="s">
        <v>315</v>
      </c>
      <c r="B26" s="11" t="s">
        <v>244</v>
      </c>
      <c r="C26" s="372">
        <v>70.608822220868689</v>
      </c>
    </row>
    <row r="27" spans="1:3" x14ac:dyDescent="0.25">
      <c r="A27" s="383" t="s">
        <v>317</v>
      </c>
      <c r="B27" s="11" t="s">
        <v>244</v>
      </c>
      <c r="C27" s="372">
        <v>55.582256364514194</v>
      </c>
    </row>
    <row r="28" spans="1:3" x14ac:dyDescent="0.25">
      <c r="A28" s="383" t="s">
        <v>324</v>
      </c>
      <c r="B28" s="11" t="s">
        <v>244</v>
      </c>
      <c r="C28" s="372">
        <v>20.811195458396703</v>
      </c>
    </row>
    <row r="31" spans="1:3" x14ac:dyDescent="0.25">
      <c r="A31" s="384" t="s">
        <v>325</v>
      </c>
    </row>
    <row r="32" spans="1:3" x14ac:dyDescent="0.25">
      <c r="A32" s="375" t="s">
        <v>685</v>
      </c>
    </row>
    <row r="33" spans="1:3" x14ac:dyDescent="0.25">
      <c r="A33" s="385"/>
    </row>
    <row r="34" spans="1:3" x14ac:dyDescent="0.25">
      <c r="A34" s="385"/>
    </row>
    <row r="35" spans="1:3" x14ac:dyDescent="0.25">
      <c r="A35" s="385"/>
    </row>
    <row r="36" spans="1:3" x14ac:dyDescent="0.25">
      <c r="A36" s="385"/>
    </row>
    <row r="37" spans="1:3" x14ac:dyDescent="0.25">
      <c r="A37" s="385"/>
      <c r="B37" s="374"/>
      <c r="C37" s="374"/>
    </row>
  </sheetData>
  <printOptions horizontalCentered="1"/>
  <pageMargins left="0.7" right="0.7" top="0.75" bottom="0.75" header="0.3" footer="0.3"/>
  <pageSetup orientation="portrait" r:id="rId1"/>
  <headerFooter>
    <oddHeader>&amp;RPage 41 of 42</oddHeader>
    <oddFooter>&amp;R&amp;F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8">
    <pageSetUpPr fitToPage="1"/>
  </sheetPr>
  <dimension ref="A1:J39"/>
  <sheetViews>
    <sheetView zoomScale="75" workbookViewId="0">
      <selection activeCell="P28" sqref="P28"/>
    </sheetView>
  </sheetViews>
  <sheetFormatPr defaultColWidth="9.33203125" defaultRowHeight="13.2" x14ac:dyDescent="0.25"/>
  <cols>
    <col min="1" max="1" width="5.6640625" customWidth="1"/>
    <col min="4" max="4" width="10.6640625" bestFit="1" customWidth="1"/>
    <col min="5" max="5" width="7" customWidth="1"/>
    <col min="6" max="6" width="14.33203125" customWidth="1"/>
    <col min="7" max="7" width="10.6640625" customWidth="1"/>
    <col min="10" max="10" width="25.6640625" customWidth="1"/>
  </cols>
  <sheetData>
    <row r="1" spans="1:9" ht="15.6" x14ac:dyDescent="0.3">
      <c r="A1" s="451" t="s">
        <v>414</v>
      </c>
      <c r="B1" s="451"/>
      <c r="C1" s="451"/>
      <c r="D1" s="451"/>
      <c r="E1" s="451"/>
      <c r="F1" s="451"/>
      <c r="G1" s="451"/>
      <c r="H1" s="451"/>
      <c r="I1" s="5"/>
    </row>
    <row r="2" spans="1:9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x14ac:dyDescent="0.25">
      <c r="A3" s="5"/>
      <c r="B3" s="5"/>
      <c r="C3" s="5"/>
      <c r="D3" s="5"/>
      <c r="E3" s="5"/>
      <c r="F3" s="5"/>
      <c r="G3" s="5"/>
      <c r="H3" s="5"/>
      <c r="I3" s="5"/>
    </row>
    <row r="4" spans="1:9" ht="15.6" x14ac:dyDescent="0.25">
      <c r="A4" s="10" t="s">
        <v>282</v>
      </c>
      <c r="B4" s="5"/>
      <c r="C4" s="5"/>
      <c r="D4" s="5"/>
      <c r="E4" s="5"/>
      <c r="F4" s="5"/>
      <c r="G4" s="361">
        <v>50.10717457546064</v>
      </c>
      <c r="H4" s="362"/>
      <c r="I4" s="4" t="s">
        <v>133</v>
      </c>
    </row>
    <row r="5" spans="1:9" ht="15.6" x14ac:dyDescent="0.25">
      <c r="A5" s="10"/>
      <c r="B5" s="5"/>
      <c r="C5" s="5"/>
      <c r="D5" s="5"/>
      <c r="E5" s="5"/>
      <c r="F5" s="5"/>
      <c r="G5" s="361"/>
      <c r="H5" s="362"/>
      <c r="I5" s="4"/>
    </row>
    <row r="6" spans="1:9" ht="15.6" x14ac:dyDescent="0.25">
      <c r="A6" s="10" t="s">
        <v>283</v>
      </c>
      <c r="B6" s="5"/>
      <c r="C6" s="5"/>
      <c r="D6" s="5"/>
      <c r="E6" s="5"/>
      <c r="F6" s="5"/>
      <c r="G6" s="361">
        <f>G4*G10</f>
        <v>48.808840866562093</v>
      </c>
      <c r="H6" s="362"/>
      <c r="I6" s="4" t="s">
        <v>117</v>
      </c>
    </row>
    <row r="7" spans="1:9" ht="15.6" x14ac:dyDescent="0.25">
      <c r="A7" s="10" t="s">
        <v>284</v>
      </c>
      <c r="B7" s="5"/>
      <c r="C7" s="5"/>
      <c r="D7" s="5"/>
      <c r="E7" s="5"/>
      <c r="F7" s="5"/>
      <c r="G7" s="361">
        <f>G4*G11</f>
        <v>48.864673122693652</v>
      </c>
      <c r="H7" s="362"/>
      <c r="I7" s="4" t="s">
        <v>117</v>
      </c>
    </row>
    <row r="8" spans="1:9" ht="15.6" x14ac:dyDescent="0.25">
      <c r="A8" s="10" t="s">
        <v>285</v>
      </c>
      <c r="B8" s="5"/>
      <c r="C8" s="5"/>
      <c r="D8" s="5"/>
      <c r="E8" s="5"/>
      <c r="F8" s="5"/>
      <c r="G8" s="361">
        <f>G4*G12</f>
        <v>49.154262813761939</v>
      </c>
      <c r="H8" s="362"/>
      <c r="I8" s="4" t="s">
        <v>117</v>
      </c>
    </row>
    <row r="9" spans="1:9" ht="15.6" x14ac:dyDescent="0.25">
      <c r="A9" s="5"/>
      <c r="B9" s="5"/>
      <c r="C9" s="5"/>
      <c r="D9" s="5"/>
      <c r="E9" s="5"/>
      <c r="F9" s="5"/>
      <c r="G9" s="7"/>
      <c r="H9" s="362"/>
      <c r="I9" s="4"/>
    </row>
    <row r="10" spans="1:9" ht="15.6" x14ac:dyDescent="0.25">
      <c r="A10" s="10" t="s">
        <v>267</v>
      </c>
      <c r="B10" s="5"/>
      <c r="C10" s="5"/>
      <c r="D10" s="5"/>
      <c r="E10" s="5"/>
      <c r="F10" s="5"/>
      <c r="G10" s="363">
        <v>0.97408886611750023</v>
      </c>
      <c r="H10" s="362"/>
      <c r="I10" s="4" t="s">
        <v>118</v>
      </c>
    </row>
    <row r="11" spans="1:9" ht="15.6" x14ac:dyDescent="0.25">
      <c r="A11" s="10" t="s">
        <v>268</v>
      </c>
      <c r="B11" s="5"/>
      <c r="C11" s="5"/>
      <c r="D11" s="5"/>
      <c r="E11" s="5"/>
      <c r="F11" s="5"/>
      <c r="G11" s="363">
        <v>0.97520312284030708</v>
      </c>
      <c r="H11" s="362"/>
      <c r="I11" s="4" t="s">
        <v>118</v>
      </c>
    </row>
    <row r="12" spans="1:9" ht="15.6" x14ac:dyDescent="0.25">
      <c r="A12" s="10" t="s">
        <v>269</v>
      </c>
      <c r="B12" s="5"/>
      <c r="C12" s="5"/>
      <c r="D12" s="5"/>
      <c r="E12" s="5"/>
      <c r="F12" s="5"/>
      <c r="G12" s="363">
        <v>0.98098252855459589</v>
      </c>
      <c r="H12" s="362"/>
      <c r="I12" s="4" t="s">
        <v>118</v>
      </c>
    </row>
    <row r="13" spans="1:9" ht="15.6" x14ac:dyDescent="0.25">
      <c r="A13" s="5"/>
      <c r="B13" s="5"/>
      <c r="C13" s="5"/>
      <c r="D13" s="5"/>
      <c r="E13" s="5"/>
      <c r="F13" s="5"/>
      <c r="G13" s="7"/>
      <c r="H13" s="362"/>
      <c r="I13" s="4"/>
    </row>
    <row r="14" spans="1:9" ht="15.6" x14ac:dyDescent="0.25">
      <c r="A14" s="10" t="s">
        <v>9</v>
      </c>
      <c r="B14" s="5"/>
      <c r="C14" s="5"/>
      <c r="D14" s="5"/>
      <c r="E14" s="5"/>
      <c r="F14" s="5"/>
      <c r="G14" s="47">
        <v>150.62975935817227</v>
      </c>
      <c r="H14" s="362"/>
      <c r="I14" s="4" t="s">
        <v>119</v>
      </c>
    </row>
    <row r="15" spans="1:9" ht="15.6" x14ac:dyDescent="0.25">
      <c r="A15" s="10" t="s">
        <v>10</v>
      </c>
      <c r="B15" s="5"/>
      <c r="C15" s="5"/>
      <c r="D15" s="5"/>
      <c r="E15" s="5"/>
      <c r="F15" s="5"/>
      <c r="G15" s="47">
        <v>315.12979385479116</v>
      </c>
      <c r="H15" s="362"/>
      <c r="I15" s="4" t="s">
        <v>119</v>
      </c>
    </row>
    <row r="16" spans="1:9" ht="15.6" x14ac:dyDescent="0.25">
      <c r="A16" s="4" t="s">
        <v>588</v>
      </c>
      <c r="B16" s="5"/>
      <c r="C16" s="5"/>
      <c r="D16" s="5"/>
      <c r="E16" s="5"/>
      <c r="F16" s="5"/>
      <c r="G16" s="47">
        <v>8651.6570532899004</v>
      </c>
      <c r="H16" s="362"/>
      <c r="I16" s="4" t="s">
        <v>119</v>
      </c>
    </row>
    <row r="17" spans="1:10" ht="15.6" x14ac:dyDescent="0.25">
      <c r="A17" s="4" t="s">
        <v>596</v>
      </c>
      <c r="B17" s="5"/>
      <c r="C17" s="5"/>
      <c r="D17" s="5"/>
      <c r="E17" s="5"/>
      <c r="F17" s="5"/>
      <c r="G17" s="47">
        <v>4487.1819257843872</v>
      </c>
      <c r="H17" s="362"/>
      <c r="I17" s="4" t="s">
        <v>119</v>
      </c>
    </row>
    <row r="18" spans="1:10" ht="15.6" x14ac:dyDescent="0.25">
      <c r="A18" s="10" t="s">
        <v>104</v>
      </c>
      <c r="B18" s="5"/>
      <c r="C18" s="5"/>
      <c r="D18" s="5"/>
      <c r="E18" s="5"/>
      <c r="F18" s="5"/>
      <c r="G18" s="47">
        <v>42</v>
      </c>
      <c r="H18" s="362"/>
      <c r="I18" s="4" t="s">
        <v>120</v>
      </c>
    </row>
    <row r="19" spans="1:10" ht="15.6" x14ac:dyDescent="0.25">
      <c r="A19" s="10" t="s">
        <v>105</v>
      </c>
      <c r="B19" s="5"/>
      <c r="C19" s="5"/>
      <c r="D19" s="5"/>
      <c r="E19" s="5"/>
      <c r="F19" s="5"/>
      <c r="G19" s="47">
        <v>54</v>
      </c>
      <c r="H19" s="362"/>
      <c r="I19" s="4" t="s">
        <v>120</v>
      </c>
    </row>
    <row r="20" spans="1:10" ht="15.6" x14ac:dyDescent="0.25">
      <c r="A20" s="4" t="s">
        <v>338</v>
      </c>
      <c r="B20" s="5"/>
      <c r="C20" s="5"/>
      <c r="D20" s="5"/>
      <c r="E20" s="5"/>
      <c r="F20" s="5"/>
      <c r="G20" s="364">
        <v>24</v>
      </c>
      <c r="H20" s="362"/>
      <c r="I20" s="4" t="s">
        <v>121</v>
      </c>
    </row>
    <row r="21" spans="1:10" ht="15.6" x14ac:dyDescent="0.25">
      <c r="A21" s="5"/>
      <c r="B21" s="5"/>
      <c r="C21" s="5"/>
      <c r="D21" s="5"/>
      <c r="E21" s="5"/>
      <c r="F21" s="5"/>
      <c r="G21" s="5"/>
      <c r="H21" s="362"/>
      <c r="I21" s="4"/>
    </row>
    <row r="22" spans="1:10" ht="15.6" x14ac:dyDescent="0.25">
      <c r="A22" s="4" t="s">
        <v>157</v>
      </c>
      <c r="B22" s="5"/>
      <c r="C22" s="5"/>
      <c r="D22" s="5"/>
      <c r="E22" s="5"/>
      <c r="F22" s="5"/>
      <c r="G22" s="5">
        <v>0.8357</v>
      </c>
      <c r="H22" s="362"/>
      <c r="I22" s="4" t="s">
        <v>204</v>
      </c>
    </row>
    <row r="23" spans="1:10" ht="15.6" x14ac:dyDescent="0.25">
      <c r="A23" s="5"/>
      <c r="B23" s="5"/>
      <c r="C23" s="5"/>
      <c r="D23" s="5"/>
      <c r="E23" s="5"/>
      <c r="F23" s="5"/>
      <c r="G23" s="5"/>
      <c r="H23" s="362"/>
      <c r="I23" s="5"/>
    </row>
    <row r="24" spans="1:10" ht="15.6" x14ac:dyDescent="0.25">
      <c r="A24" s="4" t="s">
        <v>641</v>
      </c>
      <c r="B24" s="5"/>
      <c r="C24" s="5"/>
      <c r="D24" s="5"/>
      <c r="E24" s="5"/>
      <c r="F24" s="5"/>
      <c r="G24" s="5"/>
      <c r="H24" s="362"/>
      <c r="I24" s="365"/>
    </row>
    <row r="25" spans="1:10" ht="15.6" x14ac:dyDescent="0.25">
      <c r="A25" s="5"/>
      <c r="B25" s="42" t="s">
        <v>642</v>
      </c>
      <c r="C25" s="5"/>
      <c r="D25" s="5"/>
      <c r="E25" s="5"/>
      <c r="F25" s="5"/>
      <c r="G25" s="366">
        <v>3.1849947232165027E-2</v>
      </c>
      <c r="H25" s="362"/>
      <c r="I25" s="367" t="s">
        <v>206</v>
      </c>
      <c r="J25" t="s">
        <v>646</v>
      </c>
    </row>
    <row r="26" spans="1:10" ht="15.6" x14ac:dyDescent="0.25">
      <c r="A26" s="5"/>
      <c r="B26" s="42" t="s">
        <v>643</v>
      </c>
      <c r="C26" s="5"/>
      <c r="D26" s="5"/>
      <c r="E26" s="5"/>
      <c r="F26" s="5"/>
      <c r="G26" s="366">
        <v>0.96815005276783495</v>
      </c>
      <c r="H26" s="362"/>
      <c r="I26" s="368" t="s">
        <v>206</v>
      </c>
      <c r="J26" t="s">
        <v>647</v>
      </c>
    </row>
    <row r="27" spans="1:10" ht="15.6" x14ac:dyDescent="0.25">
      <c r="A27" s="5"/>
      <c r="B27" s="42" t="s">
        <v>644</v>
      </c>
      <c r="C27" s="5"/>
      <c r="D27" s="5"/>
      <c r="E27" s="5"/>
      <c r="F27" s="5"/>
      <c r="G27" s="366">
        <v>0</v>
      </c>
      <c r="H27" s="362"/>
      <c r="I27" s="368" t="s">
        <v>206</v>
      </c>
      <c r="J27" t="s">
        <v>648</v>
      </c>
    </row>
    <row r="28" spans="1:10" ht="15.6" x14ac:dyDescent="0.25">
      <c r="A28" s="5"/>
      <c r="B28" s="42" t="s">
        <v>645</v>
      </c>
      <c r="C28" s="5"/>
      <c r="D28" s="5"/>
      <c r="E28" s="5"/>
      <c r="F28" s="5"/>
      <c r="G28" s="366">
        <v>0</v>
      </c>
      <c r="H28" s="362"/>
      <c r="I28" s="368" t="s">
        <v>206</v>
      </c>
    </row>
    <row r="29" spans="1:10" ht="15.6" x14ac:dyDescent="0.25">
      <c r="A29" s="5"/>
      <c r="B29" s="5"/>
      <c r="C29" s="5"/>
      <c r="D29" s="5"/>
      <c r="E29" s="5"/>
      <c r="F29" s="5"/>
      <c r="G29" s="366">
        <f>SUM(G25:G28)</f>
        <v>1</v>
      </c>
      <c r="H29" s="362"/>
      <c r="I29" s="370"/>
    </row>
    <row r="30" spans="1:10" ht="15.6" x14ac:dyDescent="0.25">
      <c r="A30" s="25" t="s">
        <v>325</v>
      </c>
      <c r="B30" s="5"/>
      <c r="C30" s="5"/>
      <c r="D30" s="5"/>
      <c r="E30" s="5"/>
      <c r="F30" s="5"/>
      <c r="G30" s="5"/>
      <c r="H30" s="362"/>
      <c r="I30" s="5"/>
    </row>
    <row r="31" spans="1:10" x14ac:dyDescent="0.25">
      <c r="A31" s="4" t="s">
        <v>686</v>
      </c>
      <c r="B31" s="5"/>
      <c r="C31" s="5"/>
      <c r="D31" s="5"/>
      <c r="E31" s="5"/>
      <c r="F31" s="5"/>
      <c r="G31" s="5"/>
      <c r="H31" s="5"/>
      <c r="I31" s="5"/>
    </row>
    <row r="32" spans="1:10" x14ac:dyDescent="0.25">
      <c r="A32" s="4" t="s">
        <v>547</v>
      </c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4" t="s">
        <v>687</v>
      </c>
      <c r="B33" s="5"/>
      <c r="C33" s="5"/>
      <c r="D33" s="5"/>
      <c r="E33" s="5"/>
      <c r="F33" s="5"/>
      <c r="G33" s="5"/>
      <c r="H33" s="5"/>
      <c r="I33" s="5"/>
    </row>
    <row r="34" spans="1:9" x14ac:dyDescent="0.25">
      <c r="A34" s="4" t="s">
        <v>688</v>
      </c>
      <c r="B34" s="5"/>
      <c r="C34" s="5"/>
      <c r="D34" s="5"/>
      <c r="E34" s="5"/>
      <c r="F34" s="5"/>
      <c r="G34" s="5"/>
      <c r="H34" s="5"/>
      <c r="I34" s="5"/>
    </row>
    <row r="35" spans="1:9" x14ac:dyDescent="0.25">
      <c r="A35" s="4" t="s">
        <v>548</v>
      </c>
      <c r="B35" s="5"/>
      <c r="C35" s="5"/>
      <c r="D35" s="5"/>
      <c r="E35" s="5"/>
      <c r="F35" s="5"/>
      <c r="G35" s="5"/>
      <c r="H35" s="5"/>
      <c r="I35" s="5"/>
    </row>
    <row r="36" spans="1:9" x14ac:dyDescent="0.25">
      <c r="A36" s="4" t="s">
        <v>549</v>
      </c>
      <c r="B36" s="5"/>
      <c r="C36" s="5"/>
      <c r="D36" s="5"/>
      <c r="E36" s="5"/>
      <c r="F36" s="5"/>
      <c r="G36" s="5"/>
      <c r="H36" s="5"/>
      <c r="I36" s="5"/>
    </row>
    <row r="37" spans="1:9" s="5" customFormat="1" x14ac:dyDescent="0.25">
      <c r="A37" s="192" t="s">
        <v>550</v>
      </c>
      <c r="B37" s="27"/>
      <c r="G37" s="245"/>
      <c r="H37" s="102"/>
      <c r="I37"/>
    </row>
    <row r="38" spans="1:9" x14ac:dyDescent="0.25">
      <c r="A38" s="4" t="s">
        <v>619</v>
      </c>
    </row>
    <row r="39" spans="1:9" x14ac:dyDescent="0.25">
      <c r="A39" s="4" t="s">
        <v>689</v>
      </c>
      <c r="B39" s="4"/>
    </row>
  </sheetData>
  <mergeCells count="1">
    <mergeCell ref="A1:H1"/>
  </mergeCells>
  <phoneticPr fontId="13" type="noConversion"/>
  <printOptions horizontalCentered="1"/>
  <pageMargins left="1" right="0.75" top="1" bottom="1" header="0.5" footer="0.5"/>
  <pageSetup orientation="portrait" r:id="rId1"/>
  <headerFooter alignWithMargins="0">
    <oddHeader>&amp;RPage 42 of 42</oddHeader>
    <oddFooter>&amp;R&amp;F</oddFooter>
  </headerFooter>
</worksheet>
</file>

<file path=docMetadata/LabelInfo.xml><?xml version="1.0" encoding="utf-8"?>
<clbl:labelList xmlns:clbl="http://schemas.microsoft.com/office/2020/mipLabelMetadata">
  <clbl:label id="{f9aa5788-eb33-4a49-8ad0-76101910cac3}" enabled="0" method="" siteId="{f9aa5788-eb33-4a49-8ad0-76101910ca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5</vt:i4>
      </vt:variant>
    </vt:vector>
  </HeadingPairs>
  <TitlesOfParts>
    <vt:vector size="47" baseType="lpstr">
      <vt:lpstr>Summary</vt:lpstr>
      <vt:lpstr>Results Trans</vt:lpstr>
      <vt:lpstr>Trans CPP</vt:lpstr>
      <vt:lpstr>Flow Trans CPP</vt:lpstr>
      <vt:lpstr>Flow Pounds</vt:lpstr>
      <vt:lpstr>Trans Costs</vt:lpstr>
      <vt:lpstr>Trans Cost Adj</vt:lpstr>
      <vt:lpstr>NonTrans CPP</vt:lpstr>
      <vt:lpstr>Results NonTrans</vt:lpstr>
      <vt:lpstr>Handling Costs</vt:lpstr>
      <vt:lpstr>Facility NonTrans CPP</vt:lpstr>
      <vt:lpstr>ODU-S</vt:lpstr>
      <vt:lpstr>ODU-T</vt:lpstr>
      <vt:lpstr>ODU-P</vt:lpstr>
      <vt:lpstr>OSCF-S</vt:lpstr>
      <vt:lpstr>OSCF-T</vt:lpstr>
      <vt:lpstr>OSCF-P</vt:lpstr>
      <vt:lpstr>ONDC-S</vt:lpstr>
      <vt:lpstr>ONDC-T</vt:lpstr>
      <vt:lpstr>ONDC-P</vt:lpstr>
      <vt:lpstr>DNDC-S</vt:lpstr>
      <vt:lpstr>DNDC-T</vt:lpstr>
      <vt:lpstr>DNDC-P</vt:lpstr>
      <vt:lpstr>DSCF-S</vt:lpstr>
      <vt:lpstr>DSCF-T</vt:lpstr>
      <vt:lpstr>DSCF-P</vt:lpstr>
      <vt:lpstr>Sack Inputs F</vt:lpstr>
      <vt:lpstr>Sack Inputs P</vt:lpstr>
      <vt:lpstr>Tray Inputs L</vt:lpstr>
      <vt:lpstr>Pallet Inputs L</vt:lpstr>
      <vt:lpstr>Pallet Inputs F</vt:lpstr>
      <vt:lpstr>Pallet Inputs P</vt:lpstr>
      <vt:lpstr>Flow Proportions</vt:lpstr>
      <vt:lpstr>Flow Paths</vt:lpstr>
      <vt:lpstr>Entry Profile L&amp;F</vt:lpstr>
      <vt:lpstr>Entry Profile P</vt:lpstr>
      <vt:lpstr>CS Data By Shape</vt:lpstr>
      <vt:lpstr>CR Dist Key</vt:lpstr>
      <vt:lpstr>CS Data</vt:lpstr>
      <vt:lpstr>Piggyback Factors</vt:lpstr>
      <vt:lpstr>Productivity</vt:lpstr>
      <vt:lpstr>Other Inputs</vt:lpstr>
      <vt:lpstr>'Flow Paths'!Print_Area</vt:lpstr>
      <vt:lpstr>'Flow Proportions'!Print_Area</vt:lpstr>
      <vt:lpstr>'Handling Costs'!Print_Area</vt:lpstr>
      <vt:lpstr>'Results NonTrans'!Print_Area</vt:lpstr>
      <vt:lpstr>'Results Trans'!Print_Area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Waterhouse LLP</dc:creator>
  <cp:lastModifiedBy>Rahman, Aminur - Washington, DC</cp:lastModifiedBy>
  <cp:lastPrinted>2014-08-28T15:46:10Z</cp:lastPrinted>
  <dcterms:created xsi:type="dcterms:W3CDTF">1997-03-10T21:23:05Z</dcterms:created>
  <dcterms:modified xsi:type="dcterms:W3CDTF">2025-12-24T15:40:35Z</dcterms:modified>
</cp:coreProperties>
</file>