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sps365.sharepoint.com/sites/CostAttribution/Shared Documents/ACR 2025/FY25 ACR Revision CHIR No.2 Q30/USPS-FY25-10 MODS Update/"/>
    </mc:Choice>
  </mc:AlternateContent>
  <xr:revisionPtr revIDLastSave="38" documentId="8_{031A3550-EEEB-4126-A1ED-4E6C28E58148}" xr6:coauthVersionLast="47" xr6:coauthVersionMax="47" xr10:uidLastSave="{8F2782C3-2221-408F-A75C-1E030B61F3A4}"/>
  <bookViews>
    <workbookView xWindow="-14505" yWindow="0" windowWidth="14610" windowHeight="15585" tabRatio="894" firstSheet="3" activeTab="3" xr2:uid="{00000000-000D-0000-FFFF-FFFF00000000}"/>
  </bookViews>
  <sheets>
    <sheet name="SUMMARY" sheetId="179" r:id="rId1"/>
    <sheet name="PRESORT LETTERS SUM" sheetId="165" r:id="rId2"/>
    <sheet name="PRESORT CARDS SUM" sheetId="168" r:id="rId3"/>
    <sheet name="OUT TRAY SORT FC C&amp;L&amp;F" sheetId="201" r:id="rId4"/>
    <sheet name="AADC_BENCH_COST" sheetId="200" r:id="rId5"/>
    <sheet name="AADC_BENCH_MODEL" sheetId="199" r:id="rId6"/>
    <sheet name="CRA-METERED LETTERS" sheetId="185" r:id="rId7"/>
    <sheet name="CRA - PRESORT LETTERS" sheetId="164" r:id="rId8"/>
    <sheet name="CRA - PRESORT CARDS" sheetId="167" r:id="rId9"/>
    <sheet name="BMM_Volume" sheetId="202" r:id="rId10"/>
    <sheet name="AUTO MAADC COST" sheetId="133" r:id="rId11"/>
    <sheet name="AUTO MAADC MODEL" sheetId="134" r:id="rId12"/>
    <sheet name="BENCH_MAADC_COST" sheetId="194" r:id="rId13"/>
    <sheet name="MAADC_BENCH_MODEL" sheetId="195" r:id="rId14"/>
    <sheet name="MACH MAADC COST" sheetId="125" r:id="rId15"/>
    <sheet name="MACH MAADC MODEL" sheetId="126" r:id="rId16"/>
    <sheet name="ACCEPT" sheetId="111" r:id="rId17"/>
    <sheet name="METERED LETTERS COST" sheetId="186" r:id="rId18"/>
    <sheet name="METERED LETTERS MODEL" sheetId="187" r:id="rId19"/>
    <sheet name="METERED LETTERS NONMACH_MODEL" sheetId="196" r:id="rId20"/>
    <sheet name="METERED LETTERS NONMACH_COST" sheetId="197" r:id="rId21"/>
    <sheet name="AUTO AADC COST" sheetId="131" r:id="rId22"/>
    <sheet name="AUTO AADC MODEL" sheetId="132" r:id="rId23"/>
    <sheet name="AUTO 3-DIGIT COST" sheetId="129" r:id="rId24"/>
    <sheet name="AUTO 3-DIGIT MODEL" sheetId="130" r:id="rId25"/>
    <sheet name="AUTO 5-DIGIT OTHER COST" sheetId="188" r:id="rId26"/>
    <sheet name="AUTO 5-DIGIT OTHER MODEL" sheetId="189" r:id="rId27"/>
    <sheet name="Auto 5-digit Manual Cost" sheetId="190" r:id="rId28"/>
    <sheet name="Auto 5-digit Manual Model" sheetId="191" r:id="rId29"/>
    <sheet name="AUTO 5-DIGIT COST" sheetId="176" r:id="rId30"/>
    <sheet name="AUTO 5-DIGIT MODEL" sheetId="175" r:id="rId31"/>
    <sheet name="MACH INCOMING COST" sheetId="184" r:id="rId32"/>
    <sheet name="MACH INCOMING MODEL" sheetId="122" r:id="rId33"/>
    <sheet name="NMACH MADC COST" sheetId="141" r:id="rId34"/>
    <sheet name="NMACH MADC MODEL" sheetId="142" r:id="rId35"/>
    <sheet name="NMACH ADC COST" sheetId="139" r:id="rId36"/>
    <sheet name="NMACH ADC MODEL" sheetId="140" r:id="rId37"/>
    <sheet name="NMACH 3-DIGIT COST" sheetId="137" r:id="rId38"/>
    <sheet name="NMACH 3-DIGIT MODEL" sheetId="138" r:id="rId39"/>
    <sheet name="NMACH 5-DIGIT COST" sheetId="135" r:id="rId40"/>
    <sheet name="NMACH 5-DIGIT MODEL" sheetId="136" r:id="rId41"/>
    <sheet name="CARD-LETTER COST RATIO" sheetId="169" r:id="rId42"/>
    <sheet name="NONAUTO MACH SUM" sheetId="181" r:id="rId43"/>
    <sheet name="NONAUTO NMACH SUM" sheetId="171" r:id="rId44"/>
    <sheet name="SP NMACH SUM" sheetId="182" r:id="rId45"/>
    <sheet name="SP NMACH COST" sheetId="153" r:id="rId46"/>
    <sheet name="SP NMACH MODEL" sheetId="154" r:id="rId47"/>
    <sheet name="PRODUCTIVITY" sheetId="112" r:id="rId48"/>
    <sheet name="MISC" sheetId="113" r:id="rId49"/>
    <sheet name="DENSITY" sheetId="116" r:id="rId50"/>
    <sheet name="WAGE RATES - PIGGYBACK FACTORS" sheetId="114" r:id="rId51"/>
    <sheet name="MCS LETTERS" sheetId="172" r:id="rId52"/>
    <sheet name="MCS CARDS" sheetId="180" r:id="rId53"/>
    <sheet name="BUNDLE SORT" sheetId="192" r:id="rId54"/>
  </sheets>
  <externalReferences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_xlnm.Print_Area" localSheetId="24">'AUTO 3-DIGIT MODEL'!$A$1:$AF$78</definedName>
    <definedName name="_xlnm.Print_Area" localSheetId="22">'AUTO AADC MODEL'!$A$1:$AF$78</definedName>
    <definedName name="_xlnm.Print_Area" localSheetId="11">'AUTO MAADC MODEL'!$A$1:$AF$78</definedName>
    <definedName name="_xlnm.Print_Area" localSheetId="8">'CRA - PRESORT CARDS'!$A$1:$M$85</definedName>
    <definedName name="_xlnm.Print_Area" localSheetId="7">'CRA - PRESORT LETTERS'!$A$1:$N$86</definedName>
    <definedName name="_xlnm.Print_Area" localSheetId="6">'CRA-METERED LETTERS'!$A$1:$N$85</definedName>
    <definedName name="_xlnm.Print_Area" localSheetId="32">'MACH INCOMING MODEL'!$A$1:$AF$78</definedName>
    <definedName name="_xlnm.Print_Area" localSheetId="15">'MACH MAADC MODEL'!$A$1:$AF$78</definedName>
    <definedName name="_xlnm.Print_Area" localSheetId="38">'NMACH 3-DIGIT MODEL'!$A$1:$AF$78</definedName>
    <definedName name="_xlnm.Print_Area" localSheetId="40">'NMACH 5-DIGIT MODEL'!$A$1:$AF$78</definedName>
    <definedName name="_xlnm.Print_Area" localSheetId="36">'NMACH ADC MODEL'!$A$1:$AF$78</definedName>
    <definedName name="_xlnm.Print_Area" localSheetId="34">'NMACH MADC MODEL'!$A$1:$AF$78</definedName>
    <definedName name="_xlnm.Print_Area" localSheetId="2">'PRESORT CARDS SUM'!$A$1:$J$60</definedName>
    <definedName name="_xlnm.Print_Area" localSheetId="1">'PRESORT LETTERS SUM'!$A$1:$I$85</definedName>
    <definedName name="_xlnm.Print_Area" localSheetId="46">'SP NMACH MODEL'!$A$1:$AF$78</definedName>
    <definedName name="_xlnm.Print_Area" localSheetId="0">SUMMARY!$A$1:$L$71</definedName>
  </definedNames>
  <calcPr calcId="191028"/>
  <pivotCaches>
    <pivotCache cacheId="571" r:id="rId7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14" l="1"/>
  <c r="D17" i="114"/>
  <c r="D16" i="114"/>
  <c r="D14" i="114"/>
  <c r="D13" i="114"/>
  <c r="D12" i="114"/>
  <c r="D18" i="112" l="1"/>
  <c r="D17" i="112"/>
  <c r="D16" i="112"/>
  <c r="D15" i="112"/>
  <c r="D14" i="112"/>
  <c r="D13" i="112"/>
  <c r="D10" i="112"/>
  <c r="D6" i="112"/>
  <c r="D9" i="112" l="1"/>
  <c r="D8" i="112" l="1"/>
  <c r="B56" i="179" l="1"/>
  <c r="B57" i="179"/>
  <c r="B58" i="179"/>
  <c r="B59" i="179"/>
  <c r="B55" i="179"/>
  <c r="B53" i="179"/>
  <c r="B51" i="179"/>
  <c r="B50" i="179"/>
  <c r="B48" i="179"/>
  <c r="B47" i="179"/>
  <c r="B46" i="179"/>
  <c r="B45" i="179"/>
  <c r="B44" i="179"/>
  <c r="B43" i="179"/>
  <c r="B42" i="179"/>
  <c r="B41" i="179"/>
  <c r="E11" i="179"/>
  <c r="D9" i="114" l="1"/>
  <c r="K11" i="201" s="1"/>
  <c r="C56" i="167" l="1"/>
  <c r="C57" i="167"/>
  <c r="C58" i="167"/>
  <c r="C59" i="167"/>
  <c r="C60" i="167"/>
  <c r="C55" i="167"/>
  <c r="C53" i="167"/>
  <c r="C52" i="167"/>
  <c r="C40" i="167"/>
  <c r="C33" i="167"/>
  <c r="C24" i="167"/>
  <c r="C10" i="167"/>
  <c r="C34" i="167"/>
  <c r="C74" i="167"/>
  <c r="C73" i="167"/>
  <c r="C72" i="167"/>
  <c r="C71" i="167"/>
  <c r="C70" i="167"/>
  <c r="C69" i="167"/>
  <c r="C68" i="167"/>
  <c r="C67" i="167"/>
  <c r="C66" i="167"/>
  <c r="C65" i="167"/>
  <c r="C64" i="167"/>
  <c r="C63" i="167"/>
  <c r="C62" i="167"/>
  <c r="C39" i="167"/>
  <c r="C38" i="167"/>
  <c r="C37" i="167"/>
  <c r="C36" i="167"/>
  <c r="C35" i="167"/>
  <c r="C32" i="167"/>
  <c r="C31" i="167"/>
  <c r="C30" i="167"/>
  <c r="C29" i="167"/>
  <c r="C28" i="167"/>
  <c r="C27" i="167"/>
  <c r="C26" i="167"/>
  <c r="C25" i="167"/>
  <c r="C22" i="167"/>
  <c r="C21" i="167"/>
  <c r="C20" i="167"/>
  <c r="C19" i="167"/>
  <c r="C18" i="167"/>
  <c r="C17" i="167"/>
  <c r="C16" i="167"/>
  <c r="C15" i="167"/>
  <c r="C14" i="167"/>
  <c r="C13" i="167"/>
  <c r="C12" i="167"/>
  <c r="C8" i="167"/>
  <c r="C7" i="167"/>
  <c r="C74" i="164"/>
  <c r="C73" i="164"/>
  <c r="C72" i="164"/>
  <c r="C71" i="164"/>
  <c r="C70" i="164"/>
  <c r="C69" i="164"/>
  <c r="C68" i="164"/>
  <c r="C67" i="164"/>
  <c r="C66" i="164"/>
  <c r="C65" i="164"/>
  <c r="C64" i="164"/>
  <c r="C63" i="164"/>
  <c r="C62" i="164"/>
  <c r="C60" i="164"/>
  <c r="C59" i="164"/>
  <c r="C58" i="164"/>
  <c r="C57" i="164"/>
  <c r="C56" i="164"/>
  <c r="C55" i="164"/>
  <c r="C53" i="164"/>
  <c r="C40" i="164"/>
  <c r="C39" i="164"/>
  <c r="C38" i="164"/>
  <c r="C37" i="164"/>
  <c r="C36" i="164"/>
  <c r="C35" i="164"/>
  <c r="C34" i="164"/>
  <c r="C33" i="164"/>
  <c r="C32" i="164"/>
  <c r="C31" i="164"/>
  <c r="C30" i="164"/>
  <c r="C29" i="164"/>
  <c r="C28" i="164"/>
  <c r="C27" i="164"/>
  <c r="C26" i="164"/>
  <c r="C25" i="164"/>
  <c r="C24" i="164"/>
  <c r="C22" i="164"/>
  <c r="C21" i="164"/>
  <c r="C20" i="164"/>
  <c r="C19" i="164"/>
  <c r="C18" i="164"/>
  <c r="C17" i="164"/>
  <c r="C16" i="164"/>
  <c r="C15" i="164"/>
  <c r="C14" i="164"/>
  <c r="C13" i="164"/>
  <c r="C12" i="164"/>
  <c r="C8" i="164"/>
  <c r="C7" i="164"/>
  <c r="C74" i="185"/>
  <c r="C73" i="185"/>
  <c r="C72" i="185"/>
  <c r="C71" i="185"/>
  <c r="C70" i="185"/>
  <c r="C69" i="185"/>
  <c r="C68" i="185"/>
  <c r="C67" i="185"/>
  <c r="C66" i="185"/>
  <c r="C65" i="185"/>
  <c r="C64" i="185"/>
  <c r="C63" i="185"/>
  <c r="C62" i="185"/>
  <c r="C60" i="185"/>
  <c r="C59" i="185"/>
  <c r="C58" i="185"/>
  <c r="C57" i="185"/>
  <c r="C56" i="185"/>
  <c r="C55" i="185"/>
  <c r="C53" i="185"/>
  <c r="C40" i="185"/>
  <c r="C39" i="185"/>
  <c r="C38" i="185"/>
  <c r="C37" i="185"/>
  <c r="C36" i="185"/>
  <c r="C35" i="185"/>
  <c r="C34" i="185"/>
  <c r="C33" i="185"/>
  <c r="C32" i="185"/>
  <c r="C31" i="185"/>
  <c r="C30" i="185"/>
  <c r="C29" i="185"/>
  <c r="C28" i="185"/>
  <c r="C27" i="185"/>
  <c r="C26" i="185"/>
  <c r="C25" i="185"/>
  <c r="C24" i="185"/>
  <c r="C22" i="185"/>
  <c r="C21" i="185"/>
  <c r="C20" i="185"/>
  <c r="C19" i="185"/>
  <c r="C18" i="185"/>
  <c r="C17" i="185"/>
  <c r="C16" i="185"/>
  <c r="C15" i="185"/>
  <c r="C14" i="185"/>
  <c r="C13" i="185"/>
  <c r="C12" i="185"/>
  <c r="C8" i="185"/>
  <c r="C7" i="185"/>
  <c r="C9" i="182"/>
  <c r="B9" i="182"/>
  <c r="E7" i="113"/>
  <c r="D20" i="112"/>
  <c r="E39" i="165"/>
  <c r="E40" i="165"/>
  <c r="C75" i="167" l="1"/>
  <c r="C51" i="167"/>
  <c r="G20" i="112"/>
  <c r="G27" i="112"/>
  <c r="G25" i="112"/>
  <c r="G9" i="112"/>
  <c r="G7" i="112"/>
  <c r="G6" i="112"/>
  <c r="D10" i="114"/>
  <c r="D8" i="114"/>
  <c r="D7" i="114"/>
  <c r="D6" i="114"/>
  <c r="D5" i="114"/>
  <c r="D4" i="114"/>
  <c r="D24" i="112" l="1"/>
  <c r="K12" i="201" l="1"/>
  <c r="K10" i="201"/>
  <c r="E11" i="201" l="1"/>
  <c r="E12" i="201"/>
  <c r="E10" i="201"/>
  <c r="F11" i="201"/>
  <c r="F12" i="201"/>
  <c r="F10" i="201"/>
  <c r="I6" i="112" l="1"/>
  <c r="D12" i="201" l="1"/>
  <c r="D11" i="201"/>
  <c r="D10" i="201"/>
  <c r="J11" i="201" l="1"/>
  <c r="A16" i="114"/>
  <c r="J10" i="201" l="1"/>
  <c r="J12" i="201"/>
  <c r="G12" i="201"/>
  <c r="G11" i="201"/>
  <c r="G10" i="201"/>
  <c r="E33" i="180" l="1"/>
  <c r="E34" i="180"/>
  <c r="E35" i="180"/>
  <c r="E36" i="180"/>
  <c r="E32" i="180"/>
  <c r="E7" i="180"/>
  <c r="F7" i="180"/>
  <c r="G7" i="180"/>
  <c r="E8" i="180"/>
  <c r="F8" i="180"/>
  <c r="G8" i="180"/>
  <c r="E9" i="180"/>
  <c r="F9" i="180"/>
  <c r="G9" i="180"/>
  <c r="F6" i="180"/>
  <c r="G6" i="180"/>
  <c r="E6" i="180"/>
  <c r="A3" i="180"/>
  <c r="A2" i="180"/>
  <c r="A1" i="180"/>
  <c r="A1" i="172"/>
  <c r="A3" i="172"/>
  <c r="A2" i="172"/>
  <c r="E33" i="172"/>
  <c r="E34" i="172"/>
  <c r="E35" i="172"/>
  <c r="E36" i="172"/>
  <c r="E32" i="172"/>
  <c r="E16" i="172"/>
  <c r="F16" i="172"/>
  <c r="E17" i="172"/>
  <c r="F17" i="172"/>
  <c r="E18" i="172"/>
  <c r="F18" i="172"/>
  <c r="E19" i="172"/>
  <c r="F19" i="172"/>
  <c r="E20" i="172"/>
  <c r="F20" i="172"/>
  <c r="E21" i="172"/>
  <c r="F21" i="172"/>
  <c r="E22" i="172"/>
  <c r="F22" i="172"/>
  <c r="E23" i="172"/>
  <c r="F23" i="172"/>
  <c r="E24" i="172"/>
  <c r="F24" i="172"/>
  <c r="E25" i="172"/>
  <c r="F25" i="172"/>
  <c r="E26" i="172"/>
  <c r="F26" i="172"/>
  <c r="E27" i="172"/>
  <c r="F27" i="172"/>
  <c r="F15" i="172"/>
  <c r="E15" i="172"/>
  <c r="E9" i="172"/>
  <c r="E8" i="172"/>
  <c r="E7" i="172"/>
  <c r="E6" i="172"/>
  <c r="E18" i="113" l="1"/>
  <c r="E16" i="113"/>
  <c r="E10" i="113" l="1"/>
  <c r="C9" i="111" l="1"/>
  <c r="C10" i="111"/>
  <c r="C11" i="111"/>
  <c r="C12" i="111"/>
  <c r="C13" i="111"/>
  <c r="C15" i="111"/>
  <c r="C16" i="111"/>
  <c r="C17" i="111"/>
  <c r="C18" i="111"/>
  <c r="C19" i="111"/>
  <c r="C20" i="111"/>
  <c r="C21" i="111"/>
  <c r="C6" i="111"/>
  <c r="B61" i="167" l="1"/>
  <c r="C61" i="167"/>
  <c r="C77" i="167" s="1"/>
  <c r="C61" i="164"/>
  <c r="C51" i="164"/>
  <c r="C61" i="185"/>
  <c r="C51" i="185"/>
  <c r="H11" i="201" l="1"/>
  <c r="I11" i="201" s="1"/>
  <c r="L11" i="201" s="1"/>
  <c r="M11" i="201" s="1"/>
  <c r="N11" i="201" s="1"/>
  <c r="H10" i="201"/>
  <c r="I10" i="201" s="1"/>
  <c r="L10" i="201" s="1"/>
  <c r="M10" i="201" s="1"/>
  <c r="N10" i="201" s="1"/>
  <c r="H12" i="201"/>
  <c r="I12" i="201" s="1"/>
  <c r="L12" i="201" l="1"/>
  <c r="M12" i="201" s="1"/>
  <c r="N12" i="201" s="1"/>
  <c r="F19" i="168"/>
  <c r="F21" i="168"/>
  <c r="E37" i="180"/>
  <c r="E16" i="180"/>
  <c r="E17" i="180"/>
  <c r="E18" i="180"/>
  <c r="E19" i="180"/>
  <c r="E20" i="180"/>
  <c r="E21" i="180"/>
  <c r="E22" i="180"/>
  <c r="E23" i="180"/>
  <c r="E24" i="180"/>
  <c r="E25" i="180"/>
  <c r="E26" i="180"/>
  <c r="E27" i="180"/>
  <c r="E15" i="180"/>
  <c r="G28" i="180"/>
  <c r="F6" i="172"/>
  <c r="F7" i="172"/>
  <c r="F8" i="172"/>
  <c r="F9" i="172"/>
  <c r="E28" i="180" l="1"/>
  <c r="B35" i="168" l="1"/>
  <c r="H13" i="169" l="1"/>
  <c r="H12" i="169"/>
  <c r="H11" i="169"/>
  <c r="E6" i="111" l="1"/>
  <c r="F6" i="111" l="1"/>
  <c r="C75" i="164"/>
  <c r="E8" i="113" l="1"/>
  <c r="D11" i="112"/>
  <c r="D12" i="112"/>
  <c r="D7" i="112" l="1"/>
  <c r="C79" i="167"/>
  <c r="H74" i="167"/>
  <c r="H73" i="167"/>
  <c r="G72" i="167"/>
  <c r="E70" i="167"/>
  <c r="E69" i="167"/>
  <c r="G68" i="167"/>
  <c r="E67" i="167"/>
  <c r="G66" i="167"/>
  <c r="H65" i="167"/>
  <c r="G64" i="167"/>
  <c r="E63" i="167"/>
  <c r="E52" i="167"/>
  <c r="G38" i="167"/>
  <c r="G36" i="167"/>
  <c r="H35" i="167"/>
  <c r="G34" i="167"/>
  <c r="H33" i="167"/>
  <c r="G24" i="167"/>
  <c r="G21" i="167"/>
  <c r="E20" i="167"/>
  <c r="E17" i="167"/>
  <c r="E16" i="167"/>
  <c r="E10" i="167"/>
  <c r="E8" i="167"/>
  <c r="E7" i="167"/>
  <c r="C79" i="164"/>
  <c r="C77" i="164"/>
  <c r="H74" i="164"/>
  <c r="H73" i="164"/>
  <c r="G72" i="164"/>
  <c r="E70" i="164"/>
  <c r="E69" i="164"/>
  <c r="G68" i="164"/>
  <c r="E67" i="164"/>
  <c r="G66" i="164"/>
  <c r="H65" i="164"/>
  <c r="G64" i="164"/>
  <c r="E63" i="164"/>
  <c r="E52" i="164"/>
  <c r="G38" i="164"/>
  <c r="G36" i="164"/>
  <c r="H35" i="164"/>
  <c r="G34" i="164"/>
  <c r="H33" i="164"/>
  <c r="G24" i="164"/>
  <c r="G21" i="164"/>
  <c r="E20" i="164"/>
  <c r="E17" i="164"/>
  <c r="E16" i="164"/>
  <c r="E10" i="164"/>
  <c r="E8" i="164"/>
  <c r="E7" i="164"/>
  <c r="C79" i="185"/>
  <c r="C75" i="185"/>
  <c r="C77" i="185" s="1"/>
  <c r="H74" i="185"/>
  <c r="H73" i="185"/>
  <c r="G72" i="185"/>
  <c r="E70" i="185"/>
  <c r="E69" i="185"/>
  <c r="G68" i="185"/>
  <c r="E67" i="185"/>
  <c r="G66" i="185"/>
  <c r="H65" i="185"/>
  <c r="G64" i="185"/>
  <c r="E63" i="185"/>
  <c r="E52" i="185"/>
  <c r="G38" i="185"/>
  <c r="G36" i="185"/>
  <c r="H35" i="185"/>
  <c r="G34" i="185"/>
  <c r="H33" i="185"/>
  <c r="G24" i="185"/>
  <c r="G21" i="185"/>
  <c r="E20" i="185"/>
  <c r="E17" i="185"/>
  <c r="E16" i="185"/>
  <c r="E10" i="185"/>
  <c r="E8" i="185"/>
  <c r="E7" i="185"/>
  <c r="E12" i="179"/>
  <c r="K13" i="197"/>
  <c r="E41" i="165"/>
  <c r="F40" i="165" s="1"/>
  <c r="A14" i="179"/>
  <c r="A15" i="179"/>
  <c r="A16" i="179"/>
  <c r="A17" i="179"/>
  <c r="A18" i="179"/>
  <c r="A19" i="179"/>
  <c r="A20" i="179"/>
  <c r="A21" i="179"/>
  <c r="A13" i="179"/>
  <c r="J38" i="200"/>
  <c r="E38" i="200"/>
  <c r="H18" i="199"/>
  <c r="K7" i="199"/>
  <c r="H51" i="199"/>
  <c r="J37" i="197"/>
  <c r="E37" i="197"/>
  <c r="H51" i="196"/>
  <c r="H18" i="196"/>
  <c r="H51" i="195"/>
  <c r="E7" i="195"/>
  <c r="H18" i="195"/>
  <c r="J37" i="194"/>
  <c r="E37" i="194"/>
  <c r="D20" i="179"/>
  <c r="D19" i="179"/>
  <c r="D18" i="179"/>
  <c r="D17" i="179"/>
  <c r="D16" i="179"/>
  <c r="D15" i="179"/>
  <c r="D14" i="179"/>
  <c r="D12" i="179"/>
  <c r="D13" i="179"/>
  <c r="K14" i="200"/>
  <c r="K25" i="194"/>
  <c r="I37" i="197"/>
  <c r="K37" i="197" s="1"/>
  <c r="G15" i="112"/>
  <c r="I15" i="112" s="1"/>
  <c r="G16" i="112"/>
  <c r="I16" i="112" s="1"/>
  <c r="G15" i="200"/>
  <c r="G27" i="200"/>
  <c r="G14" i="197"/>
  <c r="G26" i="197"/>
  <c r="G26" i="194"/>
  <c r="G14" i="194"/>
  <c r="G41" i="200"/>
  <c r="G39" i="200"/>
  <c r="G32" i="200"/>
  <c r="G23" i="200"/>
  <c r="G20" i="200"/>
  <c r="G17" i="200"/>
  <c r="G13" i="200"/>
  <c r="G38" i="200"/>
  <c r="G35" i="200"/>
  <c r="G28" i="200"/>
  <c r="G42" i="200"/>
  <c r="G40" i="200"/>
  <c r="G31" i="200"/>
  <c r="G25" i="200"/>
  <c r="G22" i="200"/>
  <c r="G19" i="200"/>
  <c r="G16" i="200"/>
  <c r="G37" i="200"/>
  <c r="G34" i="200"/>
  <c r="G29" i="200"/>
  <c r="G41" i="197"/>
  <c r="G34" i="197"/>
  <c r="G27" i="197"/>
  <c r="G22" i="197"/>
  <c r="G19" i="197"/>
  <c r="G28" i="197"/>
  <c r="G24" i="197"/>
  <c r="G38" i="197"/>
  <c r="G15" i="197"/>
  <c r="G39" i="197"/>
  <c r="G36" i="197"/>
  <c r="G30" i="197"/>
  <c r="G16" i="197"/>
  <c r="G40" i="197"/>
  <c r="G33" i="197"/>
  <c r="G12" i="197"/>
  <c r="G37" i="197"/>
  <c r="G31" i="197"/>
  <c r="G21" i="197"/>
  <c r="G18" i="197"/>
  <c r="G34" i="194"/>
  <c r="G28" i="194"/>
  <c r="G22" i="194"/>
  <c r="G16" i="194"/>
  <c r="G15" i="194"/>
  <c r="G31" i="194"/>
  <c r="G39" i="194"/>
  <c r="G30" i="194"/>
  <c r="G18" i="194"/>
  <c r="G40" i="194"/>
  <c r="G38" i="194"/>
  <c r="G37" i="194"/>
  <c r="G33" i="194"/>
  <c r="G27" i="194"/>
  <c r="G21" i="194"/>
  <c r="G19" i="194"/>
  <c r="G41" i="194"/>
  <c r="G36" i="194"/>
  <c r="G24" i="194"/>
  <c r="G12" i="194"/>
  <c r="I38" i="200"/>
  <c r="I37" i="194"/>
  <c r="H21" i="199"/>
  <c r="H25" i="199" s="1"/>
  <c r="I15" i="199"/>
  <c r="I48" i="199"/>
  <c r="I48" i="196"/>
  <c r="H21" i="196"/>
  <c r="H25" i="196" s="1"/>
  <c r="L29" i="196" s="1"/>
  <c r="I15" i="196"/>
  <c r="H54" i="196"/>
  <c r="H58" i="196" s="1"/>
  <c r="I15" i="195"/>
  <c r="H54" i="195"/>
  <c r="H58" i="195" s="1"/>
  <c r="I48" i="195"/>
  <c r="I27" i="112"/>
  <c r="B44" i="192" s="1"/>
  <c r="D45" i="114"/>
  <c r="D33" i="114"/>
  <c r="J29" i="200" s="1"/>
  <c r="D31" i="114"/>
  <c r="J27" i="153" s="1"/>
  <c r="D30" i="114"/>
  <c r="J24" i="186" s="1"/>
  <c r="D34" i="179"/>
  <c r="D30" i="179"/>
  <c r="D28" i="179"/>
  <c r="D29" i="179" s="1"/>
  <c r="D26" i="179"/>
  <c r="D23" i="179"/>
  <c r="D11" i="179"/>
  <c r="Z47" i="189"/>
  <c r="G6" i="111"/>
  <c r="D22" i="114"/>
  <c r="J13" i="153" s="1"/>
  <c r="I38" i="137"/>
  <c r="K38" i="137" s="1"/>
  <c r="G14" i="186"/>
  <c r="D22" i="179"/>
  <c r="L7" i="192"/>
  <c r="H29" i="192"/>
  <c r="B8" i="192"/>
  <c r="C8" i="192"/>
  <c r="D8" i="192"/>
  <c r="B9" i="192"/>
  <c r="F9" i="192"/>
  <c r="C9" i="192"/>
  <c r="I9" i="192"/>
  <c r="D9" i="192"/>
  <c r="B10" i="192"/>
  <c r="C10" i="192"/>
  <c r="J10" i="192"/>
  <c r="D10" i="192"/>
  <c r="E10" i="192"/>
  <c r="F10" i="192"/>
  <c r="L11" i="192"/>
  <c r="H33" i="192"/>
  <c r="J33" i="192"/>
  <c r="L13" i="192"/>
  <c r="I14" i="192"/>
  <c r="J14" i="192"/>
  <c r="M14" i="192"/>
  <c r="I15" i="192"/>
  <c r="J15" i="192"/>
  <c r="L16" i="192"/>
  <c r="L18" i="192"/>
  <c r="H40" i="192"/>
  <c r="L19" i="192"/>
  <c r="M19" i="192"/>
  <c r="L20" i="192"/>
  <c r="H42" i="192"/>
  <c r="J42" i="192"/>
  <c r="L22" i="192"/>
  <c r="H35" i="192"/>
  <c r="J38" i="192"/>
  <c r="P32" i="172"/>
  <c r="P33" i="172"/>
  <c r="P34" i="172"/>
  <c r="P35" i="172"/>
  <c r="P36" i="172"/>
  <c r="P37" i="172"/>
  <c r="D15" i="114"/>
  <c r="D24" i="114" s="1"/>
  <c r="H7" i="116"/>
  <c r="H8" i="116"/>
  <c r="H9" i="116"/>
  <c r="H10" i="116"/>
  <c r="H11" i="116"/>
  <c r="H12" i="116"/>
  <c r="H13" i="116"/>
  <c r="H14" i="116"/>
  <c r="H15" i="116"/>
  <c r="H16" i="116"/>
  <c r="I9" i="112"/>
  <c r="E27" i="176" s="1"/>
  <c r="I20" i="112"/>
  <c r="E20" i="137" s="1"/>
  <c r="D21" i="112"/>
  <c r="D22" i="112"/>
  <c r="D23" i="112"/>
  <c r="E7" i="154"/>
  <c r="H18" i="154" s="1"/>
  <c r="E11" i="154"/>
  <c r="H51" i="154"/>
  <c r="E38" i="153"/>
  <c r="J38" i="153"/>
  <c r="G31" i="141"/>
  <c r="G41" i="125"/>
  <c r="G34" i="188"/>
  <c r="H16" i="169"/>
  <c r="H17" i="169"/>
  <c r="H10" i="169"/>
  <c r="H18" i="169"/>
  <c r="H19" i="169"/>
  <c r="H20" i="169"/>
  <c r="H22" i="169"/>
  <c r="N10" i="164"/>
  <c r="C10" i="181"/>
  <c r="C11" i="181"/>
  <c r="C12" i="181"/>
  <c r="C13" i="181"/>
  <c r="M10" i="167"/>
  <c r="F18" i="168"/>
  <c r="B36" i="168"/>
  <c r="B37" i="168"/>
  <c r="B38" i="168"/>
  <c r="Q9" i="136"/>
  <c r="H18" i="136"/>
  <c r="H51" i="136"/>
  <c r="E38" i="135"/>
  <c r="J38" i="135"/>
  <c r="H18" i="138"/>
  <c r="H51" i="138"/>
  <c r="E38" i="137"/>
  <c r="J38" i="137"/>
  <c r="H18" i="140"/>
  <c r="H51" i="140"/>
  <c r="E38" i="139"/>
  <c r="J38" i="139"/>
  <c r="H18" i="142"/>
  <c r="H51" i="142"/>
  <c r="E38" i="141"/>
  <c r="J38" i="141"/>
  <c r="K7" i="122"/>
  <c r="H51" i="122"/>
  <c r="H18" i="122"/>
  <c r="E38" i="184"/>
  <c r="J38" i="184"/>
  <c r="E7" i="126"/>
  <c r="H18" i="126" s="1"/>
  <c r="I15" i="126" s="1"/>
  <c r="H51" i="126"/>
  <c r="E38" i="125"/>
  <c r="J38" i="125"/>
  <c r="H18" i="175"/>
  <c r="H51" i="175"/>
  <c r="E38" i="176"/>
  <c r="J38" i="176"/>
  <c r="K10" i="191"/>
  <c r="H18" i="191"/>
  <c r="H51" i="191"/>
  <c r="X63" i="191"/>
  <c r="W63" i="191"/>
  <c r="C39" i="190" s="1"/>
  <c r="E38" i="190"/>
  <c r="J38" i="190"/>
  <c r="H18" i="189"/>
  <c r="X49" i="189"/>
  <c r="H51" i="189"/>
  <c r="X56" i="189"/>
  <c r="Z54" i="189"/>
  <c r="AE57" i="189" s="1"/>
  <c r="E38" i="188"/>
  <c r="J38" i="188"/>
  <c r="K9" i="130"/>
  <c r="H18" i="130"/>
  <c r="H51" i="130"/>
  <c r="H54" i="130"/>
  <c r="H58" i="130" s="1"/>
  <c r="E38" i="129"/>
  <c r="J38" i="129"/>
  <c r="K38" i="129" s="1"/>
  <c r="K8" i="132"/>
  <c r="H18" i="132"/>
  <c r="H51" i="132"/>
  <c r="E38" i="131"/>
  <c r="J38" i="131"/>
  <c r="H18" i="134"/>
  <c r="I15" i="134"/>
  <c r="H51" i="134"/>
  <c r="E37" i="133"/>
  <c r="J37" i="133"/>
  <c r="E7" i="187"/>
  <c r="H18" i="187"/>
  <c r="H51" i="187"/>
  <c r="I48" i="187"/>
  <c r="E37" i="186"/>
  <c r="J37" i="186"/>
  <c r="M10" i="185"/>
  <c r="D31" i="179"/>
  <c r="D32" i="179"/>
  <c r="G31" i="131"/>
  <c r="G38" i="153"/>
  <c r="I15" i="175"/>
  <c r="H54" i="140"/>
  <c r="H58" i="140" s="1"/>
  <c r="J62" i="140" s="1"/>
  <c r="G10" i="192"/>
  <c r="H10" i="192"/>
  <c r="F22" i="168"/>
  <c r="G9" i="192"/>
  <c r="D37" i="114"/>
  <c r="J35" i="139" s="1"/>
  <c r="F32" i="192"/>
  <c r="W56" i="189"/>
  <c r="C38" i="188" s="1"/>
  <c r="W49" i="189"/>
  <c r="C37" i="188"/>
  <c r="G10" i="112"/>
  <c r="I10" i="112" s="1"/>
  <c r="E17" i="139" s="1"/>
  <c r="M15" i="192"/>
  <c r="G15" i="125"/>
  <c r="G15" i="153"/>
  <c r="G14" i="133"/>
  <c r="G15" i="135"/>
  <c r="G15" i="139"/>
  <c r="G27" i="184"/>
  <c r="G27" i="188"/>
  <c r="G27" i="137"/>
  <c r="G15" i="129"/>
  <c r="G15" i="184"/>
  <c r="G27" i="190"/>
  <c r="I25" i="112"/>
  <c r="E41" i="141" s="1"/>
  <c r="G26" i="112"/>
  <c r="I26" i="112" s="1"/>
  <c r="G37" i="153"/>
  <c r="G21" i="186"/>
  <c r="G22" i="186"/>
  <c r="G19" i="141"/>
  <c r="G23" i="141"/>
  <c r="G25" i="139"/>
  <c r="G35" i="139"/>
  <c r="G34" i="137"/>
  <c r="G42" i="137"/>
  <c r="G17" i="135"/>
  <c r="G19" i="125"/>
  <c r="G23" i="125"/>
  <c r="G28" i="184"/>
  <c r="G35" i="184"/>
  <c r="G33" i="133"/>
  <c r="G41" i="133"/>
  <c r="G39" i="131"/>
  <c r="G13" i="129"/>
  <c r="G29" i="129"/>
  <c r="G22" i="188"/>
  <c r="G29" i="188"/>
  <c r="G22" i="190"/>
  <c r="G32" i="190"/>
  <c r="G38" i="125"/>
  <c r="G22" i="176"/>
  <c r="G38" i="176"/>
  <c r="G38" i="190"/>
  <c r="G23" i="176"/>
  <c r="G40" i="188"/>
  <c r="G19" i="129"/>
  <c r="G27" i="133"/>
  <c r="G16" i="125"/>
  <c r="G39" i="137"/>
  <c r="G40" i="141"/>
  <c r="G31" i="153"/>
  <c r="G24" i="186"/>
  <c r="G31" i="186"/>
  <c r="G37" i="141"/>
  <c r="G13" i="139"/>
  <c r="G29" i="139"/>
  <c r="G22" i="137"/>
  <c r="G32" i="137"/>
  <c r="G31" i="135"/>
  <c r="G41" i="135"/>
  <c r="G39" i="125"/>
  <c r="G16" i="184"/>
  <c r="G29" i="184"/>
  <c r="G21" i="133"/>
  <c r="G31" i="133"/>
  <c r="G28" i="131"/>
  <c r="G35" i="131"/>
  <c r="G34" i="129"/>
  <c r="G42" i="129"/>
  <c r="G39" i="188"/>
  <c r="G42" i="188"/>
  <c r="G17" i="190"/>
  <c r="G16" i="176"/>
  <c r="G35" i="176"/>
  <c r="G38" i="129"/>
  <c r="G39" i="190"/>
  <c r="G23" i="129"/>
  <c r="G40" i="133"/>
  <c r="G37" i="184"/>
  <c r="G40" i="135"/>
  <c r="G28" i="137"/>
  <c r="G20" i="141"/>
  <c r="G23" i="153"/>
  <c r="G12" i="186"/>
  <c r="G16" i="186"/>
  <c r="G25" i="141"/>
  <c r="G35" i="141"/>
  <c r="G34" i="139"/>
  <c r="G42" i="139"/>
  <c r="G17" i="137"/>
  <c r="G19" i="135"/>
  <c r="G23" i="135"/>
  <c r="G28" i="125"/>
  <c r="G40" i="125"/>
  <c r="G34" i="184"/>
  <c r="G42" i="184"/>
  <c r="G16" i="133"/>
  <c r="G16" i="131"/>
  <c r="G29" i="131"/>
  <c r="G22" i="129"/>
  <c r="G32" i="129"/>
  <c r="G28" i="188"/>
  <c r="G32" i="188"/>
  <c r="G31" i="190"/>
  <c r="G40" i="190"/>
  <c r="G38" i="184"/>
  <c r="G28" i="176"/>
  <c r="G39" i="176"/>
  <c r="G37" i="186"/>
  <c r="G38" i="141"/>
  <c r="G31" i="188"/>
  <c r="G23" i="131"/>
  <c r="G41" i="184"/>
  <c r="G37" i="125"/>
  <c r="G41" i="137"/>
  <c r="G28" i="139"/>
  <c r="I48" i="122"/>
  <c r="H54" i="126"/>
  <c r="H58" i="126" s="1"/>
  <c r="I38" i="184"/>
  <c r="I38" i="190"/>
  <c r="I38" i="188"/>
  <c r="I38" i="135"/>
  <c r="K38" i="135" s="1"/>
  <c r="I38" i="125"/>
  <c r="K38" i="125" s="1"/>
  <c r="I38" i="141"/>
  <c r="I38" i="139"/>
  <c r="I37" i="133"/>
  <c r="D25" i="114"/>
  <c r="J17" i="139" s="1"/>
  <c r="K14" i="137"/>
  <c r="K14" i="139"/>
  <c r="I38" i="176"/>
  <c r="G21" i="112"/>
  <c r="I38" i="131"/>
  <c r="K38" i="131" s="1"/>
  <c r="G27" i="139"/>
  <c r="G27" i="141"/>
  <c r="G15" i="131"/>
  <c r="G15" i="141"/>
  <c r="G15" i="188"/>
  <c r="G15" i="137"/>
  <c r="G27" i="131"/>
  <c r="G27" i="125"/>
  <c r="G27" i="176"/>
  <c r="G27" i="129"/>
  <c r="G26" i="186"/>
  <c r="G26" i="133"/>
  <c r="G15" i="176"/>
  <c r="G15" i="190"/>
  <c r="G27" i="135"/>
  <c r="G27" i="153"/>
  <c r="D23" i="114"/>
  <c r="J15" i="137" s="1"/>
  <c r="G11" i="112"/>
  <c r="I11" i="112" s="1"/>
  <c r="G8" i="112"/>
  <c r="I8" i="112" s="1"/>
  <c r="G12" i="112"/>
  <c r="I12" i="112" s="1"/>
  <c r="E27" i="197" s="1"/>
  <c r="G14" i="112"/>
  <c r="I14" i="112" s="1"/>
  <c r="G18" i="112"/>
  <c r="I18" i="112" s="1"/>
  <c r="E38" i="186" s="1"/>
  <c r="C36" i="192"/>
  <c r="AE64" i="191"/>
  <c r="Z61" i="191" s="1"/>
  <c r="I7" i="112"/>
  <c r="E12" i="197" s="1"/>
  <c r="I10" i="192"/>
  <c r="K10" i="192"/>
  <c r="M10" i="192"/>
  <c r="L14" i="192"/>
  <c r="K15" i="192"/>
  <c r="L15" i="192"/>
  <c r="K14" i="190"/>
  <c r="K26" i="129"/>
  <c r="K14" i="135"/>
  <c r="K26" i="135"/>
  <c r="K26" i="141"/>
  <c r="K26" i="137"/>
  <c r="K14" i="141"/>
  <c r="K26" i="190"/>
  <c r="K26" i="153"/>
  <c r="K26" i="131"/>
  <c r="K25" i="133"/>
  <c r="F8" i="192"/>
  <c r="M8" i="192"/>
  <c r="G8" i="192"/>
  <c r="H21" i="130"/>
  <c r="H25" i="130" s="1"/>
  <c r="H21" i="140"/>
  <c r="H25" i="140" s="1"/>
  <c r="I48" i="126"/>
  <c r="H21" i="191"/>
  <c r="H25" i="191" s="1"/>
  <c r="I15" i="140"/>
  <c r="I15" i="187"/>
  <c r="I48" i="130"/>
  <c r="H54" i="138"/>
  <c r="H58" i="138" s="1"/>
  <c r="H21" i="175"/>
  <c r="H25" i="175" s="1"/>
  <c r="H21" i="132"/>
  <c r="H25" i="132" s="1"/>
  <c r="H21" i="189"/>
  <c r="H25" i="189" s="1"/>
  <c r="I48" i="175"/>
  <c r="I48" i="154"/>
  <c r="I48" i="136"/>
  <c r="H21" i="134"/>
  <c r="H25" i="134" s="1"/>
  <c r="I15" i="189"/>
  <c r="I48" i="191"/>
  <c r="I48" i="189"/>
  <c r="H21" i="138"/>
  <c r="H25" i="138" s="1"/>
  <c r="L29" i="138" s="1"/>
  <c r="J28" i="138" s="1"/>
  <c r="H28" i="138" s="1"/>
  <c r="I15" i="130"/>
  <c r="H54" i="175"/>
  <c r="H58" i="175" s="1"/>
  <c r="I15" i="132"/>
  <c r="I48" i="138"/>
  <c r="I15" i="191"/>
  <c r="H54" i="189"/>
  <c r="H58" i="189" s="1"/>
  <c r="H54" i="142"/>
  <c r="H58" i="142" s="1"/>
  <c r="H54" i="154"/>
  <c r="H58" i="154" s="1"/>
  <c r="H54" i="136"/>
  <c r="H58" i="136" s="1"/>
  <c r="I48" i="140"/>
  <c r="H54" i="191"/>
  <c r="H58" i="191" s="1"/>
  <c r="H21" i="136"/>
  <c r="H25" i="136" s="1"/>
  <c r="L29" i="136" s="1"/>
  <c r="I15" i="138"/>
  <c r="H21" i="122"/>
  <c r="H25" i="122" s="1"/>
  <c r="L29" i="122" s="1"/>
  <c r="J28" i="122" s="1"/>
  <c r="G17" i="112"/>
  <c r="I17" i="112" s="1"/>
  <c r="G13" i="112"/>
  <c r="I13" i="112" s="1"/>
  <c r="G24" i="112"/>
  <c r="I24" i="112" s="1"/>
  <c r="G23" i="112"/>
  <c r="G22" i="112"/>
  <c r="E19" i="113"/>
  <c r="H21" i="169"/>
  <c r="G17" i="153"/>
  <c r="G35" i="153"/>
  <c r="G15" i="186"/>
  <c r="G28" i="186"/>
  <c r="G13" i="141"/>
  <c r="G29" i="141"/>
  <c r="G22" i="139"/>
  <c r="G32" i="139"/>
  <c r="G31" i="137"/>
  <c r="G40" i="137"/>
  <c r="G37" i="135"/>
  <c r="G13" i="125"/>
  <c r="G20" i="125"/>
  <c r="G22" i="184"/>
  <c r="G32" i="184"/>
  <c r="G30" i="133"/>
  <c r="G39" i="133"/>
  <c r="G37" i="131"/>
  <c r="G42" i="131"/>
  <c r="G39" i="129"/>
  <c r="G16" i="188"/>
  <c r="G35" i="188"/>
  <c r="G34" i="190"/>
  <c r="G42" i="190"/>
  <c r="G20" i="176"/>
  <c r="G40" i="176"/>
  <c r="G29" i="176"/>
  <c r="G16" i="190"/>
  <c r="G31" i="129"/>
  <c r="G38" i="133"/>
  <c r="G13" i="184"/>
  <c r="G39" i="135"/>
  <c r="G40" i="139"/>
  <c r="G28" i="141"/>
  <c r="G39" i="186"/>
  <c r="G30" i="186"/>
  <c r="G41" i="153"/>
  <c r="G34" i="153"/>
  <c r="G20" i="153"/>
  <c r="C44" i="192"/>
  <c r="G39" i="153"/>
  <c r="G40" i="186"/>
  <c r="G41" i="141"/>
  <c r="G13" i="137"/>
  <c r="G22" i="135"/>
  <c r="G31" i="125"/>
  <c r="G39" i="184"/>
  <c r="G28" i="133"/>
  <c r="G20" i="131"/>
  <c r="G35" i="129"/>
  <c r="G19" i="190"/>
  <c r="G38" i="137"/>
  <c r="G38" i="188"/>
  <c r="G19" i="188"/>
  <c r="G23" i="184"/>
  <c r="G23" i="137"/>
  <c r="G16" i="141"/>
  <c r="G18" i="186"/>
  <c r="G28" i="153"/>
  <c r="C32" i="192"/>
  <c r="G33" i="186"/>
  <c r="G37" i="139"/>
  <c r="G32" i="135"/>
  <c r="G12" i="133"/>
  <c r="G25" i="129"/>
  <c r="G20" i="190"/>
  <c r="G31" i="176"/>
  <c r="G41" i="190"/>
  <c r="G25" i="125"/>
  <c r="G19" i="186"/>
  <c r="G16" i="153"/>
  <c r="C37" i="192"/>
  <c r="C41" i="192"/>
  <c r="G29" i="153"/>
  <c r="G25" i="153"/>
  <c r="G29" i="137"/>
  <c r="G22" i="131"/>
  <c r="G16" i="139"/>
  <c r="C30" i="192"/>
  <c r="G19" i="153"/>
  <c r="G40" i="153"/>
  <c r="G36" i="186"/>
  <c r="G41" i="186"/>
  <c r="G34" i="141"/>
  <c r="G42" i="141"/>
  <c r="G17" i="139"/>
  <c r="G19" i="137"/>
  <c r="G20" i="137"/>
  <c r="G25" i="135"/>
  <c r="G35" i="135"/>
  <c r="G34" i="125"/>
  <c r="G42" i="125"/>
  <c r="G17" i="184"/>
  <c r="G18" i="133"/>
  <c r="G19" i="133"/>
  <c r="G25" i="131"/>
  <c r="G32" i="131"/>
  <c r="G28" i="129"/>
  <c r="G40" i="129"/>
  <c r="G37" i="188"/>
  <c r="G41" i="188"/>
  <c r="G37" i="190"/>
  <c r="G38" i="135"/>
  <c r="G13" i="176"/>
  <c r="G32" i="176"/>
  <c r="G41" i="176"/>
  <c r="G38" i="131"/>
  <c r="G23" i="190"/>
  <c r="G41" i="129"/>
  <c r="G19" i="131"/>
  <c r="G35" i="125"/>
  <c r="G28" i="135"/>
  <c r="G20" i="139"/>
  <c r="G22" i="153"/>
  <c r="G42" i="153"/>
  <c r="G38" i="186"/>
  <c r="G22" i="141"/>
  <c r="G32" i="141"/>
  <c r="G31" i="139"/>
  <c r="G41" i="139"/>
  <c r="G37" i="137"/>
  <c r="G13" i="135"/>
  <c r="G29" i="135"/>
  <c r="G22" i="125"/>
  <c r="G32" i="125"/>
  <c r="G31" i="184"/>
  <c r="G40" i="184"/>
  <c r="G36" i="133"/>
  <c r="G13" i="131"/>
  <c r="G17" i="131"/>
  <c r="G16" i="129"/>
  <c r="G20" i="129"/>
  <c r="G25" i="188"/>
  <c r="G23" i="188"/>
  <c r="G25" i="190"/>
  <c r="G35" i="190"/>
  <c r="G25" i="176"/>
  <c r="G42" i="176"/>
  <c r="G17" i="176"/>
  <c r="G20" i="188"/>
  <c r="G41" i="131"/>
  <c r="G15" i="133"/>
  <c r="G29" i="125"/>
  <c r="G16" i="135"/>
  <c r="G39" i="139"/>
  <c r="G13" i="153"/>
  <c r="G32" i="153"/>
  <c r="G27" i="186"/>
  <c r="G34" i="186"/>
  <c r="G17" i="141"/>
  <c r="G19" i="139"/>
  <c r="G23" i="139"/>
  <c r="G25" i="137"/>
  <c r="G35" i="137"/>
  <c r="G34" i="135"/>
  <c r="G42" i="135"/>
  <c r="G17" i="125"/>
  <c r="G19" i="184"/>
  <c r="G20" i="184"/>
  <c r="G24" i="133"/>
  <c r="G34" i="133"/>
  <c r="G34" i="131"/>
  <c r="G40" i="131"/>
  <c r="G37" i="129"/>
  <c r="G13" i="188"/>
  <c r="G17" i="188"/>
  <c r="G13" i="190"/>
  <c r="G29" i="190"/>
  <c r="G38" i="139"/>
  <c r="G19" i="176"/>
  <c r="G37" i="176"/>
  <c r="G37" i="133"/>
  <c r="G34" i="176"/>
  <c r="G28" i="190"/>
  <c r="G17" i="129"/>
  <c r="G22" i="133"/>
  <c r="G25" i="184"/>
  <c r="G20" i="135"/>
  <c r="G16" i="137"/>
  <c r="G39" i="141"/>
  <c r="C31" i="192"/>
  <c r="I38" i="153"/>
  <c r="K38" i="153" s="1"/>
  <c r="I37" i="186"/>
  <c r="D41" i="114"/>
  <c r="F41" i="192"/>
  <c r="F30" i="192"/>
  <c r="F36" i="192"/>
  <c r="D42" i="114"/>
  <c r="J39" i="194" s="1"/>
  <c r="D18" i="114"/>
  <c r="D44" i="114" s="1"/>
  <c r="F37" i="192"/>
  <c r="F31" i="192"/>
  <c r="D29" i="114"/>
  <c r="J23" i="200" s="1"/>
  <c r="D27" i="114"/>
  <c r="J20" i="200" s="1"/>
  <c r="F44" i="192"/>
  <c r="K13" i="186"/>
  <c r="K26" i="188"/>
  <c r="K26" i="139"/>
  <c r="K26" i="125"/>
  <c r="K14" i="125"/>
  <c r="K14" i="153"/>
  <c r="K26" i="184"/>
  <c r="K14" i="129"/>
  <c r="K14" i="176"/>
  <c r="K14" i="184"/>
  <c r="K26" i="176"/>
  <c r="K13" i="133"/>
  <c r="K25" i="186"/>
  <c r="K14" i="188"/>
  <c r="L9" i="192"/>
  <c r="M9" i="192"/>
  <c r="H54" i="187"/>
  <c r="H58" i="187" s="1"/>
  <c r="H54" i="134"/>
  <c r="H58" i="134" s="1"/>
  <c r="I48" i="134"/>
  <c r="H54" i="132"/>
  <c r="H58" i="132" s="1"/>
  <c r="L62" i="132" s="1"/>
  <c r="I48" i="132"/>
  <c r="I15" i="142"/>
  <c r="H21" i="142"/>
  <c r="H25" i="142" s="1"/>
  <c r="L29" i="142" s="1"/>
  <c r="J28" i="142" s="1"/>
  <c r="M31" i="142" s="1"/>
  <c r="I15" i="136"/>
  <c r="I15" i="122"/>
  <c r="I48" i="142"/>
  <c r="M10" i="164"/>
  <c r="L8" i="192"/>
  <c r="L10" i="192"/>
  <c r="L46" i="153"/>
  <c r="I22" i="112" l="1"/>
  <c r="K38" i="188"/>
  <c r="L38" i="188" s="1"/>
  <c r="K38" i="190"/>
  <c r="K38" i="139"/>
  <c r="K37" i="133"/>
  <c r="K37" i="186"/>
  <c r="K38" i="176"/>
  <c r="K38" i="184"/>
  <c r="K38" i="200"/>
  <c r="K37" i="194"/>
  <c r="K38" i="141"/>
  <c r="I23" i="112"/>
  <c r="E35" i="139" s="1"/>
  <c r="H35" i="139" s="1"/>
  <c r="H12" i="197"/>
  <c r="I12" i="197" s="1"/>
  <c r="I21" i="112"/>
  <c r="E23" i="137" s="1"/>
  <c r="H23" i="137" s="1"/>
  <c r="I23" i="137" s="1"/>
  <c r="J25" i="176"/>
  <c r="J28" i="133"/>
  <c r="J29" i="139"/>
  <c r="J25" i="184"/>
  <c r="J13" i="139"/>
  <c r="J17" i="153"/>
  <c r="J25" i="153"/>
  <c r="J24" i="194"/>
  <c r="J28" i="194"/>
  <c r="J29" i="135"/>
  <c r="J25" i="200"/>
  <c r="J29" i="125"/>
  <c r="J25" i="190"/>
  <c r="J12" i="133"/>
  <c r="J28" i="186"/>
  <c r="J29" i="188"/>
  <c r="J29" i="153"/>
  <c r="J29" i="137"/>
  <c r="J29" i="190"/>
  <c r="J29" i="131"/>
  <c r="J29" i="184"/>
  <c r="J29" i="129"/>
  <c r="E27" i="139"/>
  <c r="H27" i="139" s="1"/>
  <c r="I27" i="139" s="1"/>
  <c r="J28" i="197"/>
  <c r="J29" i="176"/>
  <c r="J29" i="141"/>
  <c r="E14" i="197"/>
  <c r="H14" i="197" s="1"/>
  <c r="I14" i="197" s="1"/>
  <c r="B32" i="192"/>
  <c r="D32" i="192" s="1"/>
  <c r="E32" i="192" s="1"/>
  <c r="G32" i="192" s="1"/>
  <c r="H32" i="192" s="1"/>
  <c r="E26" i="197"/>
  <c r="H26" i="197" s="1"/>
  <c r="I26" i="197" s="1"/>
  <c r="E27" i="135"/>
  <c r="H27" i="135" s="1"/>
  <c r="I27" i="135" s="1"/>
  <c r="E15" i="184"/>
  <c r="H15" i="184" s="1"/>
  <c r="I15" i="184" s="1"/>
  <c r="E15" i="190"/>
  <c r="H15" i="190" s="1"/>
  <c r="I15" i="190" s="1"/>
  <c r="E15" i="137"/>
  <c r="H15" i="137" s="1"/>
  <c r="I15" i="137" s="1"/>
  <c r="K15" i="137" s="1"/>
  <c r="E27" i="184"/>
  <c r="H27" i="184" s="1"/>
  <c r="I27" i="184" s="1"/>
  <c r="E26" i="186"/>
  <c r="H26" i="186" s="1"/>
  <c r="I26" i="186" s="1"/>
  <c r="E15" i="188"/>
  <c r="H15" i="188" s="1"/>
  <c r="I15" i="188" s="1"/>
  <c r="E14" i="194"/>
  <c r="H14" i="194" s="1"/>
  <c r="I14" i="194" s="1"/>
  <c r="E27" i="200"/>
  <c r="H27" i="200" s="1"/>
  <c r="I27" i="200" s="1"/>
  <c r="E15" i="176"/>
  <c r="H15" i="176" s="1"/>
  <c r="I15" i="176" s="1"/>
  <c r="E26" i="194"/>
  <c r="H26" i="194" s="1"/>
  <c r="I26" i="194" s="1"/>
  <c r="J17" i="135"/>
  <c r="E15" i="200"/>
  <c r="H15" i="200" s="1"/>
  <c r="I15" i="200" s="1"/>
  <c r="E27" i="153"/>
  <c r="H27" i="153" s="1"/>
  <c r="I27" i="153" s="1"/>
  <c r="K27" i="153" s="1"/>
  <c r="E27" i="137"/>
  <c r="H27" i="137" s="1"/>
  <c r="I27" i="137" s="1"/>
  <c r="E15" i="129"/>
  <c r="H15" i="129" s="1"/>
  <c r="I15" i="129" s="1"/>
  <c r="E26" i="133"/>
  <c r="H26" i="133" s="1"/>
  <c r="I26" i="133" s="1"/>
  <c r="E15" i="131"/>
  <c r="H15" i="131" s="1"/>
  <c r="I15" i="131" s="1"/>
  <c r="E14" i="186"/>
  <c r="H14" i="186" s="1"/>
  <c r="I14" i="186" s="1"/>
  <c r="E27" i="190"/>
  <c r="H27" i="190" s="1"/>
  <c r="I27" i="190" s="1"/>
  <c r="E15" i="141"/>
  <c r="H15" i="141" s="1"/>
  <c r="I15" i="141" s="1"/>
  <c r="J15" i="184"/>
  <c r="J23" i="141"/>
  <c r="E15" i="125"/>
  <c r="H15" i="125" s="1"/>
  <c r="I15" i="125" s="1"/>
  <c r="E27" i="131"/>
  <c r="H27" i="131" s="1"/>
  <c r="I27" i="131" s="1"/>
  <c r="E15" i="153"/>
  <c r="H15" i="153" s="1"/>
  <c r="I15" i="153" s="1"/>
  <c r="E15" i="139"/>
  <c r="H15" i="139" s="1"/>
  <c r="I15" i="139" s="1"/>
  <c r="E15" i="135"/>
  <c r="H15" i="135" s="1"/>
  <c r="I15" i="135" s="1"/>
  <c r="E14" i="133"/>
  <c r="H14" i="133" s="1"/>
  <c r="I14" i="133" s="1"/>
  <c r="E27" i="141"/>
  <c r="H27" i="141" s="1"/>
  <c r="I27" i="141" s="1"/>
  <c r="E27" i="188"/>
  <c r="H27" i="188" s="1"/>
  <c r="I27" i="188" s="1"/>
  <c r="E27" i="129"/>
  <c r="H27" i="129" s="1"/>
  <c r="I27" i="129" s="1"/>
  <c r="E27" i="125"/>
  <c r="H27" i="125" s="1"/>
  <c r="I27" i="125" s="1"/>
  <c r="F16" i="168"/>
  <c r="F24" i="168" s="1"/>
  <c r="J17" i="176"/>
  <c r="J17" i="141"/>
  <c r="J17" i="131"/>
  <c r="J17" i="129"/>
  <c r="J16" i="186"/>
  <c r="J17" i="125"/>
  <c r="J16" i="194"/>
  <c r="E13" i="190"/>
  <c r="H13" i="190" s="1"/>
  <c r="I13" i="190" s="1"/>
  <c r="J17" i="137"/>
  <c r="J17" i="188"/>
  <c r="H79" i="167"/>
  <c r="H80" i="167" s="1"/>
  <c r="H26" i="167" s="1"/>
  <c r="H79" i="164"/>
  <c r="H80" i="164" s="1"/>
  <c r="H58" i="164" s="1"/>
  <c r="J40" i="137"/>
  <c r="E13" i="188"/>
  <c r="H13" i="188" s="1"/>
  <c r="I13" i="188" s="1"/>
  <c r="E13" i="153"/>
  <c r="H13" i="153" s="1"/>
  <c r="E12" i="133"/>
  <c r="H12" i="133" s="1"/>
  <c r="I12" i="133" s="1"/>
  <c r="H20" i="137"/>
  <c r="I20" i="137" s="1"/>
  <c r="E40" i="186"/>
  <c r="H40" i="186" s="1"/>
  <c r="I40" i="186" s="1"/>
  <c r="E41" i="137"/>
  <c r="H41" i="137" s="1"/>
  <c r="I41" i="137" s="1"/>
  <c r="E41" i="131"/>
  <c r="H41" i="131" s="1"/>
  <c r="I41" i="131" s="1"/>
  <c r="E40" i="197"/>
  <c r="H40" i="197" s="1"/>
  <c r="I40" i="197" s="1"/>
  <c r="E34" i="141"/>
  <c r="H34" i="141" s="1"/>
  <c r="I34" i="141" s="1"/>
  <c r="E34" i="137"/>
  <c r="H34" i="137" s="1"/>
  <c r="I34" i="137" s="1"/>
  <c r="E34" i="129"/>
  <c r="H34" i="129" s="1"/>
  <c r="I34" i="129" s="1"/>
  <c r="E34" i="176"/>
  <c r="H34" i="176" s="1"/>
  <c r="I34" i="176" s="1"/>
  <c r="E33" i="194"/>
  <c r="H33" i="194" s="1"/>
  <c r="I33" i="194" s="1"/>
  <c r="E33" i="186"/>
  <c r="H33" i="186" s="1"/>
  <c r="I33" i="186" s="1"/>
  <c r="E33" i="133"/>
  <c r="H33" i="133" s="1"/>
  <c r="I33" i="133" s="1"/>
  <c r="E34" i="131"/>
  <c r="H34" i="131" s="1"/>
  <c r="I34" i="131" s="1"/>
  <c r="E34" i="188"/>
  <c r="H34" i="188" s="1"/>
  <c r="I34" i="188" s="1"/>
  <c r="E34" i="184"/>
  <c r="H34" i="184" s="1"/>
  <c r="I34" i="184" s="1"/>
  <c r="E34" i="125"/>
  <c r="H34" i="125" s="1"/>
  <c r="I34" i="125" s="1"/>
  <c r="E34" i="190"/>
  <c r="H34" i="190" s="1"/>
  <c r="I34" i="190" s="1"/>
  <c r="E34" i="200"/>
  <c r="H34" i="200" s="1"/>
  <c r="I34" i="200" s="1"/>
  <c r="E33" i="197"/>
  <c r="H33" i="197" s="1"/>
  <c r="I33" i="197" s="1"/>
  <c r="E34" i="153"/>
  <c r="H34" i="153" s="1"/>
  <c r="I34" i="153" s="1"/>
  <c r="E34" i="135"/>
  <c r="H34" i="135" s="1"/>
  <c r="I34" i="135" s="1"/>
  <c r="E34" i="139"/>
  <c r="H34" i="139" s="1"/>
  <c r="I34" i="139" s="1"/>
  <c r="E15" i="194"/>
  <c r="H15" i="194" s="1"/>
  <c r="I15" i="194" s="1"/>
  <c r="E16" i="188"/>
  <c r="H16" i="188" s="1"/>
  <c r="I16" i="188" s="1"/>
  <c r="E28" i="176"/>
  <c r="H28" i="176" s="1"/>
  <c r="I28" i="176" s="1"/>
  <c r="E28" i="137"/>
  <c r="H28" i="137" s="1"/>
  <c r="I28" i="137" s="1"/>
  <c r="E28" i="141"/>
  <c r="H28" i="141" s="1"/>
  <c r="I28" i="141" s="1"/>
  <c r="E13" i="135"/>
  <c r="H13" i="135" s="1"/>
  <c r="I13" i="135" s="1"/>
  <c r="E13" i="125"/>
  <c r="H13" i="125" s="1"/>
  <c r="I13" i="125" s="1"/>
  <c r="E13" i="200"/>
  <c r="H13" i="200" s="1"/>
  <c r="I13" i="200" s="1"/>
  <c r="E28" i="200"/>
  <c r="H28" i="200" s="1"/>
  <c r="I28" i="200" s="1"/>
  <c r="E13" i="184"/>
  <c r="H13" i="184" s="1"/>
  <c r="I13" i="184" s="1"/>
  <c r="E27" i="133"/>
  <c r="H27" i="133" s="1"/>
  <c r="I27" i="133" s="1"/>
  <c r="E28" i="125"/>
  <c r="H28" i="125" s="1"/>
  <c r="I28" i="125" s="1"/>
  <c r="E13" i="176"/>
  <c r="H13" i="176" s="1"/>
  <c r="I13" i="176" s="1"/>
  <c r="E27" i="194"/>
  <c r="H27" i="194" s="1"/>
  <c r="I27" i="194" s="1"/>
  <c r="E28" i="153"/>
  <c r="H28" i="153" s="1"/>
  <c r="I28" i="153" s="1"/>
  <c r="E16" i="190"/>
  <c r="H16" i="190" s="1"/>
  <c r="I16" i="190" s="1"/>
  <c r="E16" i="153"/>
  <c r="H16" i="153" s="1"/>
  <c r="I16" i="153" s="1"/>
  <c r="E15" i="186"/>
  <c r="H15" i="186" s="1"/>
  <c r="I15" i="186" s="1"/>
  <c r="E12" i="186"/>
  <c r="H12" i="186" s="1"/>
  <c r="I12" i="186" s="1"/>
  <c r="E13" i="131"/>
  <c r="H13" i="131" s="1"/>
  <c r="E13" i="137"/>
  <c r="H13" i="137" s="1"/>
  <c r="I13" i="137" s="1"/>
  <c r="E17" i="125"/>
  <c r="H17" i="125" s="1"/>
  <c r="I17" i="125" s="1"/>
  <c r="E29" i="184"/>
  <c r="H29" i="184" s="1"/>
  <c r="I29" i="184" s="1"/>
  <c r="E17" i="188"/>
  <c r="H17" i="188" s="1"/>
  <c r="E18" i="197"/>
  <c r="H18" i="197" s="1"/>
  <c r="I18" i="197" s="1"/>
  <c r="E19" i="137"/>
  <c r="H19" i="137" s="1"/>
  <c r="I19" i="137" s="1"/>
  <c r="E19" i="135"/>
  <c r="H19" i="135" s="1"/>
  <c r="I19" i="135" s="1"/>
  <c r="E19" i="188"/>
  <c r="H19" i="188" s="1"/>
  <c r="I19" i="188" s="1"/>
  <c r="E18" i="186"/>
  <c r="H18" i="186" s="1"/>
  <c r="I18" i="186" s="1"/>
  <c r="E19" i="141"/>
  <c r="H19" i="141" s="1"/>
  <c r="I19" i="141" s="1"/>
  <c r="E19" i="129"/>
  <c r="H19" i="129" s="1"/>
  <c r="I19" i="129" s="1"/>
  <c r="E18" i="194"/>
  <c r="H18" i="194" s="1"/>
  <c r="I18" i="194" s="1"/>
  <c r="E19" i="184"/>
  <c r="H19" i="184" s="1"/>
  <c r="I19" i="184" s="1"/>
  <c r="E24" i="197"/>
  <c r="H24" i="197" s="1"/>
  <c r="I24" i="197" s="1"/>
  <c r="E25" i="137"/>
  <c r="H25" i="137" s="1"/>
  <c r="I25" i="137" s="1"/>
  <c r="E25" i="176"/>
  <c r="H25" i="176" s="1"/>
  <c r="I25" i="176" s="1"/>
  <c r="E25" i="184"/>
  <c r="H25" i="184" s="1"/>
  <c r="I25" i="184" s="1"/>
  <c r="E25" i="141"/>
  <c r="H25" i="141" s="1"/>
  <c r="I25" i="141" s="1"/>
  <c r="E24" i="133"/>
  <c r="H24" i="133" s="1"/>
  <c r="I24" i="133" s="1"/>
  <c r="E25" i="153"/>
  <c r="H25" i="153" s="1"/>
  <c r="I25" i="153" s="1"/>
  <c r="E25" i="129"/>
  <c r="H25" i="129" s="1"/>
  <c r="I25" i="129" s="1"/>
  <c r="E25" i="125"/>
  <c r="H25" i="125" s="1"/>
  <c r="I25" i="125" s="1"/>
  <c r="E25" i="131"/>
  <c r="H25" i="131" s="1"/>
  <c r="I25" i="131" s="1"/>
  <c r="E24" i="186"/>
  <c r="H24" i="186" s="1"/>
  <c r="E25" i="135"/>
  <c r="H25" i="135" s="1"/>
  <c r="I25" i="135" s="1"/>
  <c r="E25" i="139"/>
  <c r="H25" i="139" s="1"/>
  <c r="I25" i="139" s="1"/>
  <c r="E25" i="188"/>
  <c r="H25" i="188" s="1"/>
  <c r="I25" i="188" s="1"/>
  <c r="E25" i="200"/>
  <c r="H25" i="200" s="1"/>
  <c r="I25" i="200" s="1"/>
  <c r="E24" i="194"/>
  <c r="H24" i="194" s="1"/>
  <c r="I24" i="194" s="1"/>
  <c r="E25" i="190"/>
  <c r="H25" i="190" s="1"/>
  <c r="I25" i="190" s="1"/>
  <c r="J35" i="141"/>
  <c r="J35" i="137"/>
  <c r="E16" i="129"/>
  <c r="H16" i="129" s="1"/>
  <c r="I16" i="129" s="1"/>
  <c r="E38" i="197"/>
  <c r="H38" i="197" s="1"/>
  <c r="I38" i="197" s="1"/>
  <c r="J34" i="186"/>
  <c r="E16" i="184"/>
  <c r="H16" i="184" s="1"/>
  <c r="I16" i="184" s="1"/>
  <c r="E16" i="176"/>
  <c r="H16" i="176" s="1"/>
  <c r="I16" i="176" s="1"/>
  <c r="E39" i="125"/>
  <c r="H39" i="125" s="1"/>
  <c r="I39" i="125" s="1"/>
  <c r="E20" i="188"/>
  <c r="H20" i="188" s="1"/>
  <c r="I20" i="188" s="1"/>
  <c r="E39" i="129"/>
  <c r="H39" i="129" s="1"/>
  <c r="I39" i="129" s="1"/>
  <c r="J15" i="135"/>
  <c r="E16" i="135"/>
  <c r="H16" i="135" s="1"/>
  <c r="I16" i="135" s="1"/>
  <c r="E16" i="141"/>
  <c r="H16" i="141" s="1"/>
  <c r="I16" i="141" s="1"/>
  <c r="E16" i="131"/>
  <c r="H16" i="131" s="1"/>
  <c r="I16" i="131" s="1"/>
  <c r="E20" i="129"/>
  <c r="H20" i="129" s="1"/>
  <c r="I20" i="129" s="1"/>
  <c r="E15" i="197"/>
  <c r="H15" i="197" s="1"/>
  <c r="I15" i="197" s="1"/>
  <c r="E16" i="139"/>
  <c r="H16" i="139" s="1"/>
  <c r="I16" i="139" s="1"/>
  <c r="E39" i="190"/>
  <c r="H39" i="190" s="1"/>
  <c r="I39" i="190" s="1"/>
  <c r="E20" i="184"/>
  <c r="H20" i="184" s="1"/>
  <c r="I20" i="184" s="1"/>
  <c r="J14" i="186"/>
  <c r="E13" i="129"/>
  <c r="H13" i="129" s="1"/>
  <c r="I13" i="129" s="1"/>
  <c r="E29" i="125"/>
  <c r="H29" i="125" s="1"/>
  <c r="I29" i="125" s="1"/>
  <c r="E17" i="129"/>
  <c r="H17" i="129" s="1"/>
  <c r="E12" i="194"/>
  <c r="H12" i="194" s="1"/>
  <c r="I12" i="194" s="1"/>
  <c r="E16" i="125"/>
  <c r="H16" i="125" s="1"/>
  <c r="I16" i="125" s="1"/>
  <c r="E20" i="176"/>
  <c r="H20" i="176" s="1"/>
  <c r="I20" i="176" s="1"/>
  <c r="E16" i="137"/>
  <c r="H16" i="137" s="1"/>
  <c r="I16" i="137" s="1"/>
  <c r="E16" i="200"/>
  <c r="H16" i="200" s="1"/>
  <c r="I16" i="200" s="1"/>
  <c r="E13" i="139"/>
  <c r="H13" i="139" s="1"/>
  <c r="I13" i="139" s="1"/>
  <c r="E17" i="153"/>
  <c r="H17" i="153" s="1"/>
  <c r="I17" i="153" s="1"/>
  <c r="J15" i="188"/>
  <c r="J14" i="197"/>
  <c r="J15" i="129"/>
  <c r="E15" i="133"/>
  <c r="H15" i="133" s="1"/>
  <c r="I15" i="133" s="1"/>
  <c r="E17" i="131"/>
  <c r="H17" i="131" s="1"/>
  <c r="J15" i="190"/>
  <c r="J15" i="200"/>
  <c r="J15" i="176"/>
  <c r="J62" i="189"/>
  <c r="L62" i="189"/>
  <c r="E31" i="141"/>
  <c r="H31" i="141" s="1"/>
  <c r="I31" i="141" s="1"/>
  <c r="E30" i="133"/>
  <c r="H30" i="133" s="1"/>
  <c r="I30" i="133" s="1"/>
  <c r="E31" i="153"/>
  <c r="H31" i="153" s="1"/>
  <c r="I31" i="153" s="1"/>
  <c r="E31" i="125"/>
  <c r="H31" i="125" s="1"/>
  <c r="I31" i="125" s="1"/>
  <c r="E31" i="184"/>
  <c r="H31" i="184" s="1"/>
  <c r="I31" i="184" s="1"/>
  <c r="E31" i="135"/>
  <c r="H31" i="135" s="1"/>
  <c r="I31" i="135" s="1"/>
  <c r="E31" i="129"/>
  <c r="H31" i="129" s="1"/>
  <c r="I31" i="129" s="1"/>
  <c r="E31" i="131"/>
  <c r="H31" i="131" s="1"/>
  <c r="I31" i="131" s="1"/>
  <c r="E31" i="200"/>
  <c r="H31" i="200" s="1"/>
  <c r="I31" i="200" s="1"/>
  <c r="E31" i="176"/>
  <c r="H31" i="176" s="1"/>
  <c r="I31" i="176" s="1"/>
  <c r="E31" i="137"/>
  <c r="H31" i="137" s="1"/>
  <c r="I31" i="137" s="1"/>
  <c r="E31" i="190"/>
  <c r="H31" i="190" s="1"/>
  <c r="I31" i="190" s="1"/>
  <c r="E30" i="194"/>
  <c r="H30" i="194" s="1"/>
  <c r="I30" i="194" s="1"/>
  <c r="E31" i="188"/>
  <c r="H31" i="188" s="1"/>
  <c r="I31" i="188" s="1"/>
  <c r="E31" i="139"/>
  <c r="H31" i="139" s="1"/>
  <c r="I31" i="139" s="1"/>
  <c r="E30" i="186"/>
  <c r="H30" i="186" s="1"/>
  <c r="I30" i="186" s="1"/>
  <c r="E30" i="197"/>
  <c r="H30" i="197" s="1"/>
  <c r="I30" i="197" s="1"/>
  <c r="J42" i="188"/>
  <c r="J42" i="200"/>
  <c r="J42" i="131"/>
  <c r="J42" i="139"/>
  <c r="J62" i="195"/>
  <c r="M64" i="195" s="1"/>
  <c r="L62" i="195"/>
  <c r="E19" i="190"/>
  <c r="H19" i="190" s="1"/>
  <c r="I19" i="190" s="1"/>
  <c r="J62" i="132"/>
  <c r="H61" i="132" s="1"/>
  <c r="H65" i="132" s="1"/>
  <c r="E20" i="135"/>
  <c r="H20" i="135" s="1"/>
  <c r="I20" i="135" s="1"/>
  <c r="E28" i="190"/>
  <c r="H28" i="190" s="1"/>
  <c r="I28" i="190" s="1"/>
  <c r="D35" i="114"/>
  <c r="J31" i="194" s="1"/>
  <c r="E19" i="200"/>
  <c r="H19" i="200" s="1"/>
  <c r="I19" i="200" s="1"/>
  <c r="B37" i="192"/>
  <c r="D37" i="192" s="1"/>
  <c r="E37" i="192" s="1"/>
  <c r="G37" i="192" s="1"/>
  <c r="H37" i="192" s="1"/>
  <c r="E16" i="133"/>
  <c r="H16" i="133" s="1"/>
  <c r="I16" i="133" s="1"/>
  <c r="E17" i="135"/>
  <c r="H17" i="135" s="1"/>
  <c r="I17" i="135" s="1"/>
  <c r="E16" i="186"/>
  <c r="H16" i="186" s="1"/>
  <c r="B30" i="192"/>
  <c r="D30" i="192" s="1"/>
  <c r="E30" i="192" s="1"/>
  <c r="G30" i="192" s="1"/>
  <c r="H30" i="192" s="1"/>
  <c r="E29" i="135"/>
  <c r="H29" i="135" s="1"/>
  <c r="I29" i="135" s="1"/>
  <c r="E16" i="197"/>
  <c r="H16" i="197" s="1"/>
  <c r="I16" i="197" s="1"/>
  <c r="E20" i="190"/>
  <c r="H20" i="190" s="1"/>
  <c r="I20" i="190" s="1"/>
  <c r="E29" i="153"/>
  <c r="H29" i="153" s="1"/>
  <c r="I29" i="153" s="1"/>
  <c r="E20" i="141"/>
  <c r="H20" i="141" s="1"/>
  <c r="I20" i="141" s="1"/>
  <c r="D43" i="114"/>
  <c r="J40" i="186" s="1"/>
  <c r="E19" i="125"/>
  <c r="H19" i="125" s="1"/>
  <c r="I19" i="125" s="1"/>
  <c r="E19" i="131"/>
  <c r="H19" i="131" s="1"/>
  <c r="I19" i="131" s="1"/>
  <c r="E20" i="139"/>
  <c r="H20" i="139" s="1"/>
  <c r="I20" i="139" s="1"/>
  <c r="E28" i="184"/>
  <c r="H28" i="184" s="1"/>
  <c r="I28" i="184" s="1"/>
  <c r="E28" i="139"/>
  <c r="H28" i="139" s="1"/>
  <c r="I28" i="139" s="1"/>
  <c r="E19" i="197"/>
  <c r="H19" i="197" s="1"/>
  <c r="I19" i="197" s="1"/>
  <c r="E17" i="137"/>
  <c r="H17" i="137" s="1"/>
  <c r="I17" i="137" s="1"/>
  <c r="E29" i="131"/>
  <c r="H29" i="131" s="1"/>
  <c r="I29" i="131" s="1"/>
  <c r="E29" i="129"/>
  <c r="H29" i="129" s="1"/>
  <c r="I29" i="129" s="1"/>
  <c r="E28" i="197"/>
  <c r="H28" i="197" s="1"/>
  <c r="I28" i="197" s="1"/>
  <c r="E41" i="139"/>
  <c r="H41" i="139" s="1"/>
  <c r="E19" i="153"/>
  <c r="H19" i="153" s="1"/>
  <c r="I19" i="153" s="1"/>
  <c r="E18" i="133"/>
  <c r="H18" i="133" s="1"/>
  <c r="I18" i="133" s="1"/>
  <c r="E20" i="153"/>
  <c r="H20" i="153" s="1"/>
  <c r="I20" i="153" s="1"/>
  <c r="E28" i="131"/>
  <c r="H28" i="131" s="1"/>
  <c r="I28" i="131" s="1"/>
  <c r="E27" i="186"/>
  <c r="H27" i="186" s="1"/>
  <c r="I27" i="186" s="1"/>
  <c r="E20" i="200"/>
  <c r="H20" i="200" s="1"/>
  <c r="I20" i="200" s="1"/>
  <c r="K20" i="200" s="1"/>
  <c r="E17" i="141"/>
  <c r="H17" i="141" s="1"/>
  <c r="I17" i="141" s="1"/>
  <c r="E17" i="190"/>
  <c r="H17" i="190" s="1"/>
  <c r="I17" i="190" s="1"/>
  <c r="E17" i="200"/>
  <c r="H17" i="200" s="1"/>
  <c r="I17" i="200" s="1"/>
  <c r="H41" i="141"/>
  <c r="I41" i="141" s="1"/>
  <c r="J40" i="200"/>
  <c r="H17" i="139"/>
  <c r="I17" i="139" s="1"/>
  <c r="E19" i="139"/>
  <c r="H19" i="139" s="1"/>
  <c r="I19" i="139" s="1"/>
  <c r="E19" i="186"/>
  <c r="H19" i="186" s="1"/>
  <c r="I19" i="186" s="1"/>
  <c r="E19" i="194"/>
  <c r="H19" i="194" s="1"/>
  <c r="I19" i="194" s="1"/>
  <c r="E13" i="141"/>
  <c r="H13" i="141" s="1"/>
  <c r="I13" i="141" s="1"/>
  <c r="E29" i="137"/>
  <c r="H29" i="137" s="1"/>
  <c r="I29" i="137" s="1"/>
  <c r="E29" i="141"/>
  <c r="H29" i="141" s="1"/>
  <c r="I29" i="141" s="1"/>
  <c r="C14" i="181"/>
  <c r="D13" i="181" s="1"/>
  <c r="E16" i="194"/>
  <c r="H16" i="194" s="1"/>
  <c r="I16" i="194" s="1"/>
  <c r="E20" i="131"/>
  <c r="H20" i="131" s="1"/>
  <c r="I20" i="131" s="1"/>
  <c r="B31" i="192"/>
  <c r="D31" i="192" s="1"/>
  <c r="E31" i="192" s="1"/>
  <c r="E19" i="133"/>
  <c r="H19" i="133" s="1"/>
  <c r="E19" i="176"/>
  <c r="H19" i="176" s="1"/>
  <c r="I19" i="176" s="1"/>
  <c r="J40" i="153"/>
  <c r="E20" i="125"/>
  <c r="H20" i="125" s="1"/>
  <c r="I20" i="125" s="1"/>
  <c r="E28" i="135"/>
  <c r="H28" i="135" s="1"/>
  <c r="I28" i="135" s="1"/>
  <c r="E28" i="129"/>
  <c r="H28" i="129" s="1"/>
  <c r="I28" i="129" s="1"/>
  <c r="E29" i="176"/>
  <c r="H29" i="176" s="1"/>
  <c r="I29" i="176" s="1"/>
  <c r="E28" i="133"/>
  <c r="H28" i="133" s="1"/>
  <c r="I28" i="133" s="1"/>
  <c r="J14" i="133"/>
  <c r="E28" i="194"/>
  <c r="H28" i="194" s="1"/>
  <c r="I28" i="194" s="1"/>
  <c r="E29" i="200"/>
  <c r="H29" i="200" s="1"/>
  <c r="E28" i="188"/>
  <c r="H28" i="188" s="1"/>
  <c r="I28" i="188" s="1"/>
  <c r="E28" i="186"/>
  <c r="H28" i="186" s="1"/>
  <c r="I28" i="186" s="1"/>
  <c r="J15" i="153"/>
  <c r="E29" i="190"/>
  <c r="H29" i="190" s="1"/>
  <c r="I29" i="190" s="1"/>
  <c r="J40" i="184"/>
  <c r="J40" i="176"/>
  <c r="B36" i="192"/>
  <c r="D36" i="192" s="1"/>
  <c r="E36" i="192" s="1"/>
  <c r="G36" i="192" s="1"/>
  <c r="H36" i="192" s="1"/>
  <c r="E17" i="176"/>
  <c r="H17" i="176" s="1"/>
  <c r="E29" i="188"/>
  <c r="H29" i="188" s="1"/>
  <c r="I29" i="188" s="1"/>
  <c r="J40" i="139"/>
  <c r="B41" i="192"/>
  <c r="D41" i="192" s="1"/>
  <c r="E41" i="192" s="1"/>
  <c r="E29" i="139"/>
  <c r="H29" i="139" s="1"/>
  <c r="I29" i="139" s="1"/>
  <c r="E17" i="184"/>
  <c r="H17" i="184" s="1"/>
  <c r="I17" i="184" s="1"/>
  <c r="G79" i="164"/>
  <c r="G80" i="164" s="1"/>
  <c r="G26" i="164" s="1"/>
  <c r="E79" i="164"/>
  <c r="E80" i="164" s="1"/>
  <c r="E13" i="164" s="1"/>
  <c r="H79" i="185"/>
  <c r="H80" i="185" s="1"/>
  <c r="H58" i="185" s="1"/>
  <c r="J23" i="129"/>
  <c r="J42" i="125"/>
  <c r="J27" i="125"/>
  <c r="J23" i="135"/>
  <c r="J23" i="190"/>
  <c r="J27" i="135"/>
  <c r="E79" i="167"/>
  <c r="E80" i="167" s="1"/>
  <c r="E57" i="167" s="1"/>
  <c r="G79" i="167"/>
  <c r="G80" i="167" s="1"/>
  <c r="G60" i="167" s="1"/>
  <c r="G79" i="185"/>
  <c r="G80" i="185" s="1"/>
  <c r="G31" i="185" s="1"/>
  <c r="E79" i="185"/>
  <c r="E80" i="185" s="1"/>
  <c r="E57" i="185" s="1"/>
  <c r="J13" i="129"/>
  <c r="J25" i="135"/>
  <c r="J15" i="125"/>
  <c r="J15" i="141"/>
  <c r="J14" i="194"/>
  <c r="J24" i="197"/>
  <c r="J13" i="200"/>
  <c r="J17" i="190"/>
  <c r="J13" i="141"/>
  <c r="J25" i="141"/>
  <c r="J15" i="131"/>
  <c r="J13" i="188"/>
  <c r="J15" i="139"/>
  <c r="J25" i="125"/>
  <c r="J13" i="135"/>
  <c r="J24" i="133"/>
  <c r="J16" i="197"/>
  <c r="J17" i="184"/>
  <c r="J12" i="186"/>
  <c r="J25" i="129"/>
  <c r="J25" i="137"/>
  <c r="J17" i="200"/>
  <c r="J16" i="133"/>
  <c r="J13" i="125"/>
  <c r="J13" i="131"/>
  <c r="J25" i="188"/>
  <c r="J12" i="194"/>
  <c r="J13" i="137"/>
  <c r="J25" i="131"/>
  <c r="J13" i="190"/>
  <c r="J25" i="139"/>
  <c r="J12" i="197"/>
  <c r="J13" i="184"/>
  <c r="J40" i="190"/>
  <c r="J40" i="125"/>
  <c r="J23" i="188"/>
  <c r="J39" i="133"/>
  <c r="J23" i="153"/>
  <c r="J22" i="133"/>
  <c r="J35" i="176"/>
  <c r="J40" i="141"/>
  <c r="J23" i="176"/>
  <c r="J23" i="137"/>
  <c r="J35" i="153"/>
  <c r="J34" i="197"/>
  <c r="J40" i="129"/>
  <c r="J23" i="131"/>
  <c r="J22" i="186"/>
  <c r="J22" i="197"/>
  <c r="J35" i="135"/>
  <c r="J34" i="194"/>
  <c r="J23" i="184"/>
  <c r="J23" i="125"/>
  <c r="J22" i="194"/>
  <c r="J23" i="139"/>
  <c r="J42" i="184"/>
  <c r="J42" i="153"/>
  <c r="J20" i="125"/>
  <c r="J20" i="129"/>
  <c r="J35" i="131"/>
  <c r="J35" i="190"/>
  <c r="J20" i="153"/>
  <c r="J19" i="133"/>
  <c r="J19" i="194"/>
  <c r="J42" i="137"/>
  <c r="J41" i="197"/>
  <c r="J40" i="131"/>
  <c r="J40" i="188"/>
  <c r="J20" i="188"/>
  <c r="J20" i="135"/>
  <c r="J35" i="129"/>
  <c r="J34" i="133"/>
  <c r="J42" i="129"/>
  <c r="J42" i="176"/>
  <c r="J41" i="194"/>
  <c r="J20" i="137"/>
  <c r="J39" i="197"/>
  <c r="J35" i="188"/>
  <c r="J35" i="184"/>
  <c r="J35" i="200"/>
  <c r="J42" i="135"/>
  <c r="J20" i="190"/>
  <c r="J19" i="186"/>
  <c r="J42" i="141"/>
  <c r="J41" i="186"/>
  <c r="J42" i="190"/>
  <c r="J40" i="135"/>
  <c r="J39" i="186"/>
  <c r="J20" i="139"/>
  <c r="J20" i="131"/>
  <c r="J19" i="197"/>
  <c r="J35" i="125"/>
  <c r="J20" i="176"/>
  <c r="J41" i="133"/>
  <c r="J20" i="184"/>
  <c r="J20" i="141"/>
  <c r="J27" i="139"/>
  <c r="J26" i="133"/>
  <c r="J26" i="197"/>
  <c r="J27" i="131"/>
  <c r="J27" i="176"/>
  <c r="J27" i="141"/>
  <c r="J27" i="200"/>
  <c r="J27" i="184"/>
  <c r="J26" i="194"/>
  <c r="J27" i="188"/>
  <c r="J26" i="186"/>
  <c r="J27" i="190"/>
  <c r="J27" i="129"/>
  <c r="J27" i="137"/>
  <c r="J13" i="176"/>
  <c r="J15" i="197"/>
  <c r="J15" i="194"/>
  <c r="J15" i="186"/>
  <c r="J15" i="133"/>
  <c r="J16" i="129"/>
  <c r="J16" i="200"/>
  <c r="J16" i="184"/>
  <c r="J16" i="137"/>
  <c r="J16" i="139"/>
  <c r="J16" i="141"/>
  <c r="J16" i="135"/>
  <c r="J16" i="176"/>
  <c r="J16" i="190"/>
  <c r="J16" i="153"/>
  <c r="J16" i="125"/>
  <c r="J16" i="188"/>
  <c r="J16" i="131"/>
  <c r="D32" i="114"/>
  <c r="D28" i="114"/>
  <c r="D38" i="114"/>
  <c r="D26" i="114"/>
  <c r="D40" i="114"/>
  <c r="D36" i="114"/>
  <c r="D34" i="114"/>
  <c r="H38" i="186"/>
  <c r="I38" i="186" s="1"/>
  <c r="H27" i="197"/>
  <c r="I27" i="197" s="1"/>
  <c r="D44" i="192"/>
  <c r="E44" i="192" s="1"/>
  <c r="G44" i="192" s="1"/>
  <c r="H44" i="192" s="1"/>
  <c r="J44" i="192" s="1"/>
  <c r="H27" i="176"/>
  <c r="I27" i="176" s="1"/>
  <c r="E42" i="153"/>
  <c r="H42" i="153" s="1"/>
  <c r="E42" i="141"/>
  <c r="H42" i="141" s="1"/>
  <c r="E42" i="176"/>
  <c r="H42" i="176" s="1"/>
  <c r="E41" i="197"/>
  <c r="H41" i="197" s="1"/>
  <c r="E42" i="125"/>
  <c r="H42" i="125" s="1"/>
  <c r="E41" i="133"/>
  <c r="H41" i="133" s="1"/>
  <c r="E42" i="200"/>
  <c r="H42" i="200" s="1"/>
  <c r="E42" i="137"/>
  <c r="H42" i="137" s="1"/>
  <c r="E42" i="184"/>
  <c r="H42" i="184" s="1"/>
  <c r="E41" i="186"/>
  <c r="H41" i="186" s="1"/>
  <c r="E42" i="190"/>
  <c r="H42" i="190" s="1"/>
  <c r="E42" i="188"/>
  <c r="H42" i="188" s="1"/>
  <c r="E42" i="131"/>
  <c r="H42" i="131" s="1"/>
  <c r="E42" i="139"/>
  <c r="H42" i="139" s="1"/>
  <c r="E41" i="194"/>
  <c r="H41" i="194" s="1"/>
  <c r="E42" i="135"/>
  <c r="H42" i="135" s="1"/>
  <c r="E42" i="129"/>
  <c r="H42" i="129" s="1"/>
  <c r="E41" i="200"/>
  <c r="H41" i="200" s="1"/>
  <c r="E41" i="184"/>
  <c r="H41" i="184" s="1"/>
  <c r="E40" i="133"/>
  <c r="H40" i="133" s="1"/>
  <c r="E41" i="176"/>
  <c r="H41" i="176" s="1"/>
  <c r="E41" i="129"/>
  <c r="H41" i="129" s="1"/>
  <c r="E41" i="188"/>
  <c r="H41" i="188" s="1"/>
  <c r="E41" i="125"/>
  <c r="H41" i="125" s="1"/>
  <c r="E41" i="153"/>
  <c r="H41" i="153" s="1"/>
  <c r="E40" i="194"/>
  <c r="H40" i="194" s="1"/>
  <c r="E41" i="190"/>
  <c r="H41" i="190" s="1"/>
  <c r="E41" i="135"/>
  <c r="H41" i="135" s="1"/>
  <c r="E39" i="197"/>
  <c r="H39" i="197" s="1"/>
  <c r="E40" i="135"/>
  <c r="H40" i="135" s="1"/>
  <c r="E40" i="153"/>
  <c r="H40" i="153" s="1"/>
  <c r="E40" i="176"/>
  <c r="H40" i="176" s="1"/>
  <c r="E40" i="125"/>
  <c r="H40" i="125" s="1"/>
  <c r="E39" i="186"/>
  <c r="H39" i="186" s="1"/>
  <c r="E40" i="131"/>
  <c r="H40" i="131" s="1"/>
  <c r="E40" i="139"/>
  <c r="H40" i="139" s="1"/>
  <c r="E39" i="133"/>
  <c r="H39" i="133" s="1"/>
  <c r="E39" i="194"/>
  <c r="H39" i="194" s="1"/>
  <c r="E40" i="200"/>
  <c r="H40" i="200" s="1"/>
  <c r="E40" i="188"/>
  <c r="H40" i="188" s="1"/>
  <c r="E40" i="190"/>
  <c r="H40" i="190" s="1"/>
  <c r="E40" i="184"/>
  <c r="H40" i="184" s="1"/>
  <c r="E40" i="129"/>
  <c r="H40" i="129" s="1"/>
  <c r="E40" i="137"/>
  <c r="H40" i="137" s="1"/>
  <c r="E40" i="141"/>
  <c r="H40" i="141" s="1"/>
  <c r="E31" i="194"/>
  <c r="H31" i="194" s="1"/>
  <c r="E31" i="186"/>
  <c r="H31" i="186" s="1"/>
  <c r="E32" i="135"/>
  <c r="H32" i="135" s="1"/>
  <c r="E32" i="153"/>
  <c r="H32" i="153" s="1"/>
  <c r="E32" i="200"/>
  <c r="H32" i="200" s="1"/>
  <c r="E32" i="184"/>
  <c r="H32" i="184" s="1"/>
  <c r="E32" i="141"/>
  <c r="H32" i="141" s="1"/>
  <c r="E31" i="133"/>
  <c r="H31" i="133" s="1"/>
  <c r="E31" i="197"/>
  <c r="H31" i="197" s="1"/>
  <c r="E32" i="190"/>
  <c r="H32" i="190" s="1"/>
  <c r="E32" i="139"/>
  <c r="H32" i="139" s="1"/>
  <c r="E32" i="137"/>
  <c r="H32" i="137" s="1"/>
  <c r="E32" i="125"/>
  <c r="H32" i="125" s="1"/>
  <c r="E32" i="129"/>
  <c r="H32" i="129" s="1"/>
  <c r="E32" i="131"/>
  <c r="H32" i="131" s="1"/>
  <c r="E32" i="188"/>
  <c r="H32" i="188" s="1"/>
  <c r="E32" i="176"/>
  <c r="H32" i="176" s="1"/>
  <c r="E37" i="184"/>
  <c r="H37" i="184" s="1"/>
  <c r="E37" i="139"/>
  <c r="H37" i="139" s="1"/>
  <c r="E37" i="200"/>
  <c r="H37" i="200" s="1"/>
  <c r="I37" i="200" s="1"/>
  <c r="E37" i="135"/>
  <c r="H37" i="135" s="1"/>
  <c r="E36" i="133"/>
  <c r="H36" i="133" s="1"/>
  <c r="I36" i="133" s="1"/>
  <c r="E37" i="131"/>
  <c r="H37" i="131" s="1"/>
  <c r="I37" i="131" s="1"/>
  <c r="E36" i="197"/>
  <c r="H36" i="197" s="1"/>
  <c r="I36" i="197" s="1"/>
  <c r="E37" i="141"/>
  <c r="H37" i="141" s="1"/>
  <c r="I37" i="141" s="1"/>
  <c r="E37" i="153"/>
  <c r="H37" i="153" s="1"/>
  <c r="I37" i="153" s="1"/>
  <c r="E37" i="176"/>
  <c r="H37" i="176" s="1"/>
  <c r="I37" i="176" s="1"/>
  <c r="E37" i="188"/>
  <c r="H37" i="188" s="1"/>
  <c r="I37" i="188" s="1"/>
  <c r="E37" i="137"/>
  <c r="H37" i="137" s="1"/>
  <c r="I37" i="137" s="1"/>
  <c r="E37" i="125"/>
  <c r="H37" i="125" s="1"/>
  <c r="E36" i="194"/>
  <c r="H36" i="194" s="1"/>
  <c r="E36" i="186"/>
  <c r="H36" i="186" s="1"/>
  <c r="E37" i="129"/>
  <c r="H37" i="129" s="1"/>
  <c r="I37" i="129" s="1"/>
  <c r="E37" i="190"/>
  <c r="H37" i="190" s="1"/>
  <c r="E22" i="190"/>
  <c r="H22" i="190" s="1"/>
  <c r="I22" i="190" s="1"/>
  <c r="E22" i="137"/>
  <c r="H22" i="137" s="1"/>
  <c r="I22" i="137" s="1"/>
  <c r="E22" i="153"/>
  <c r="H22" i="153" s="1"/>
  <c r="I22" i="153" s="1"/>
  <c r="E21" i="133"/>
  <c r="H21" i="133" s="1"/>
  <c r="E22" i="184"/>
  <c r="H22" i="184" s="1"/>
  <c r="E22" i="129"/>
  <c r="H22" i="129" s="1"/>
  <c r="I22" i="129" s="1"/>
  <c r="E22" i="200"/>
  <c r="H22" i="200" s="1"/>
  <c r="I22" i="200" s="1"/>
  <c r="E21" i="186"/>
  <c r="H21" i="186" s="1"/>
  <c r="I21" i="186" s="1"/>
  <c r="E21" i="197"/>
  <c r="H21" i="197" s="1"/>
  <c r="I21" i="197" s="1"/>
  <c r="E22" i="139"/>
  <c r="H22" i="139" s="1"/>
  <c r="E22" i="141"/>
  <c r="H22" i="141" s="1"/>
  <c r="I22" i="141" s="1"/>
  <c r="E21" i="194"/>
  <c r="H21" i="194" s="1"/>
  <c r="E22" i="131"/>
  <c r="H22" i="131" s="1"/>
  <c r="E22" i="176"/>
  <c r="H22" i="176" s="1"/>
  <c r="I22" i="176" s="1"/>
  <c r="E22" i="135"/>
  <c r="H22" i="135" s="1"/>
  <c r="E22" i="188"/>
  <c r="H22" i="188" s="1"/>
  <c r="I22" i="188" s="1"/>
  <c r="E22" i="125"/>
  <c r="H22" i="125" s="1"/>
  <c r="E39" i="176"/>
  <c r="H39" i="176" s="1"/>
  <c r="I39" i="176" s="1"/>
  <c r="E38" i="133"/>
  <c r="H38" i="133" s="1"/>
  <c r="I38" i="133" s="1"/>
  <c r="E39" i="141"/>
  <c r="H39" i="141" s="1"/>
  <c r="I39" i="141" s="1"/>
  <c r="E39" i="135"/>
  <c r="H39" i="135" s="1"/>
  <c r="I39" i="135" s="1"/>
  <c r="E39" i="184"/>
  <c r="H39" i="184" s="1"/>
  <c r="I39" i="184" s="1"/>
  <c r="E39" i="188"/>
  <c r="H39" i="188" s="1"/>
  <c r="I39" i="188" s="1"/>
  <c r="E39" i="137"/>
  <c r="H39" i="137" s="1"/>
  <c r="I39" i="137" s="1"/>
  <c r="E39" i="153"/>
  <c r="H39" i="153" s="1"/>
  <c r="E39" i="200"/>
  <c r="H39" i="200" s="1"/>
  <c r="E39" i="131"/>
  <c r="H39" i="131" s="1"/>
  <c r="I39" i="131" s="1"/>
  <c r="E39" i="139"/>
  <c r="H39" i="139" s="1"/>
  <c r="I39" i="139" s="1"/>
  <c r="E38" i="194"/>
  <c r="H38" i="194" s="1"/>
  <c r="I38" i="194" s="1"/>
  <c r="H21" i="154"/>
  <c r="H25" i="154" s="1"/>
  <c r="L29" i="154" s="1"/>
  <c r="J28" i="154" s="1"/>
  <c r="I15" i="154"/>
  <c r="L62" i="136"/>
  <c r="J62" i="136"/>
  <c r="L29" i="175"/>
  <c r="J28" i="175" s="1"/>
  <c r="L29" i="140"/>
  <c r="J28" i="140" s="1"/>
  <c r="H32" i="138"/>
  <c r="M31" i="138"/>
  <c r="J35" i="138" s="1"/>
  <c r="L62" i="154"/>
  <c r="J62" i="154"/>
  <c r="L62" i="175"/>
  <c r="J62" i="175"/>
  <c r="L29" i="134"/>
  <c r="J28" i="134" s="1"/>
  <c r="L62" i="138"/>
  <c r="J62" i="138"/>
  <c r="L29" i="130"/>
  <c r="J28" i="130" s="1"/>
  <c r="M64" i="140"/>
  <c r="J68" i="140" s="1"/>
  <c r="H61" i="140"/>
  <c r="H65" i="140" s="1"/>
  <c r="L62" i="126"/>
  <c r="J62" i="126"/>
  <c r="L62" i="142"/>
  <c r="J62" i="142"/>
  <c r="L29" i="199"/>
  <c r="J28" i="199" s="1"/>
  <c r="H32" i="122"/>
  <c r="M31" i="122"/>
  <c r="J35" i="122" s="1"/>
  <c r="H32" i="142"/>
  <c r="J35" i="142"/>
  <c r="H28" i="142"/>
  <c r="J62" i="130"/>
  <c r="L62" i="130"/>
  <c r="J62" i="196"/>
  <c r="L62" i="196"/>
  <c r="H28" i="122"/>
  <c r="J62" i="134"/>
  <c r="L62" i="134"/>
  <c r="J28" i="136"/>
  <c r="H21" i="187"/>
  <c r="H25" i="187" s="1"/>
  <c r="H21" i="195"/>
  <c r="H25" i="195" s="1"/>
  <c r="H54" i="122"/>
  <c r="H58" i="122" s="1"/>
  <c r="H54" i="199"/>
  <c r="H58" i="199" s="1"/>
  <c r="H21" i="126"/>
  <c r="H25" i="126" s="1"/>
  <c r="L29" i="189"/>
  <c r="J28" i="189" s="1"/>
  <c r="L62" i="187"/>
  <c r="J62" i="187"/>
  <c r="J62" i="191"/>
  <c r="L62" i="191"/>
  <c r="L29" i="132"/>
  <c r="J28" i="132" s="1"/>
  <c r="L29" i="191"/>
  <c r="J28" i="191" s="1"/>
  <c r="L62" i="140"/>
  <c r="J28" i="196"/>
  <c r="K26" i="200"/>
  <c r="K14" i="131"/>
  <c r="K13" i="194"/>
  <c r="K25" i="197"/>
  <c r="F39" i="165"/>
  <c r="E35" i="141" l="1"/>
  <c r="H35" i="141" s="1"/>
  <c r="E34" i="194"/>
  <c r="H34" i="194" s="1"/>
  <c r="K28" i="186"/>
  <c r="E35" i="153"/>
  <c r="H35" i="153" s="1"/>
  <c r="I35" i="153" s="1"/>
  <c r="K35" i="153" s="1"/>
  <c r="E35" i="129"/>
  <c r="H35" i="129" s="1"/>
  <c r="I35" i="129" s="1"/>
  <c r="K35" i="129" s="1"/>
  <c r="E35" i="188"/>
  <c r="H35" i="188" s="1"/>
  <c r="E35" i="184"/>
  <c r="H35" i="184" s="1"/>
  <c r="I35" i="184" s="1"/>
  <c r="K35" i="184" s="1"/>
  <c r="E23" i="176"/>
  <c r="H23" i="176" s="1"/>
  <c r="I23" i="176" s="1"/>
  <c r="E23" i="188"/>
  <c r="H23" i="188" s="1"/>
  <c r="I23" i="188" s="1"/>
  <c r="E23" i="200"/>
  <c r="H23" i="200" s="1"/>
  <c r="I23" i="200" s="1"/>
  <c r="K23" i="200" s="1"/>
  <c r="E22" i="197"/>
  <c r="H22" i="197" s="1"/>
  <c r="I22" i="197" s="1"/>
  <c r="E23" i="141"/>
  <c r="H23" i="141" s="1"/>
  <c r="I23" i="141" s="1"/>
  <c r="E23" i="153"/>
  <c r="H23" i="153" s="1"/>
  <c r="I23" i="153" s="1"/>
  <c r="E23" i="129"/>
  <c r="H23" i="129" s="1"/>
  <c r="I23" i="129" s="1"/>
  <c r="E22" i="186"/>
  <c r="H22" i="186" s="1"/>
  <c r="I22" i="186" s="1"/>
  <c r="E35" i="176"/>
  <c r="H35" i="176" s="1"/>
  <c r="I35" i="176" s="1"/>
  <c r="K35" i="176" s="1"/>
  <c r="E23" i="131"/>
  <c r="H23" i="131" s="1"/>
  <c r="I23" i="131" s="1"/>
  <c r="E35" i="131"/>
  <c r="H35" i="131" s="1"/>
  <c r="I35" i="131" s="1"/>
  <c r="K35" i="131" s="1"/>
  <c r="E35" i="135"/>
  <c r="H35" i="135" s="1"/>
  <c r="I35" i="135" s="1"/>
  <c r="K35" i="135" s="1"/>
  <c r="E23" i="139"/>
  <c r="H23" i="139" s="1"/>
  <c r="I23" i="139" s="1"/>
  <c r="K23" i="139" s="1"/>
  <c r="E34" i="197"/>
  <c r="H34" i="197" s="1"/>
  <c r="I34" i="197" s="1"/>
  <c r="K34" i="197" s="1"/>
  <c r="E22" i="194"/>
  <c r="H22" i="194" s="1"/>
  <c r="I22" i="194" s="1"/>
  <c r="E22" i="133"/>
  <c r="H22" i="133" s="1"/>
  <c r="I22" i="133" s="1"/>
  <c r="E35" i="125"/>
  <c r="H35" i="125" s="1"/>
  <c r="I35" i="125" s="1"/>
  <c r="K35" i="125" s="1"/>
  <c r="E23" i="125"/>
  <c r="H23" i="125" s="1"/>
  <c r="I23" i="125" s="1"/>
  <c r="E23" i="190"/>
  <c r="H23" i="190" s="1"/>
  <c r="I23" i="190" s="1"/>
  <c r="K23" i="190" s="1"/>
  <c r="E34" i="133"/>
  <c r="H34" i="133" s="1"/>
  <c r="I34" i="133" s="1"/>
  <c r="K34" i="133" s="1"/>
  <c r="E35" i="200"/>
  <c r="H35" i="200" s="1"/>
  <c r="I35" i="200" s="1"/>
  <c r="K35" i="200" s="1"/>
  <c r="E23" i="135"/>
  <c r="H23" i="135" s="1"/>
  <c r="I23" i="135" s="1"/>
  <c r="E35" i="190"/>
  <c r="H35" i="190" s="1"/>
  <c r="E23" i="184"/>
  <c r="H23" i="184" s="1"/>
  <c r="I23" i="184" s="1"/>
  <c r="E34" i="186"/>
  <c r="H34" i="186" s="1"/>
  <c r="I34" i="186" s="1"/>
  <c r="K34" i="186" s="1"/>
  <c r="E35" i="137"/>
  <c r="H35" i="137" s="1"/>
  <c r="I35" i="137" s="1"/>
  <c r="K35" i="137" s="1"/>
  <c r="K12" i="197"/>
  <c r="K29" i="139"/>
  <c r="K26" i="194"/>
  <c r="K25" i="190"/>
  <c r="K29" i="188"/>
  <c r="K17" i="135"/>
  <c r="K25" i="184"/>
  <c r="K12" i="133"/>
  <c r="K25" i="176"/>
  <c r="K24" i="197"/>
  <c r="K15" i="200"/>
  <c r="K15" i="139"/>
  <c r="K28" i="197"/>
  <c r="K29" i="125"/>
  <c r="K17" i="139"/>
  <c r="K13" i="188"/>
  <c r="K15" i="153"/>
  <c r="K17" i="125"/>
  <c r="K25" i="200"/>
  <c r="K29" i="184"/>
  <c r="K29" i="131"/>
  <c r="M64" i="132"/>
  <c r="J68" i="132" s="1"/>
  <c r="H68" i="132" s="1"/>
  <c r="K29" i="137"/>
  <c r="K14" i="194"/>
  <c r="K15" i="190"/>
  <c r="K16" i="141"/>
  <c r="K17" i="137"/>
  <c r="K27" i="188"/>
  <c r="K27" i="135"/>
  <c r="K14" i="133"/>
  <c r="K27" i="125"/>
  <c r="K16" i="133"/>
  <c r="K29" i="153"/>
  <c r="K26" i="197"/>
  <c r="K13" i="200"/>
  <c r="K25" i="129"/>
  <c r="K17" i="141"/>
  <c r="K29" i="129"/>
  <c r="K16" i="194"/>
  <c r="J32" i="129"/>
  <c r="K12" i="186"/>
  <c r="K24" i="133"/>
  <c r="K20" i="153"/>
  <c r="K15" i="184"/>
  <c r="H40" i="167"/>
  <c r="H19" i="167"/>
  <c r="H30" i="167"/>
  <c r="H37" i="167"/>
  <c r="E19" i="167"/>
  <c r="H57" i="167"/>
  <c r="E39" i="167"/>
  <c r="H58" i="167"/>
  <c r="H71" i="167"/>
  <c r="H62" i="167"/>
  <c r="H28" i="167"/>
  <c r="H13" i="167"/>
  <c r="H56" i="167"/>
  <c r="G31" i="167"/>
  <c r="G40" i="167"/>
  <c r="E56" i="167"/>
  <c r="H53" i="167"/>
  <c r="E53" i="167"/>
  <c r="G55" i="167"/>
  <c r="G19" i="167"/>
  <c r="G58" i="167"/>
  <c r="H25" i="167"/>
  <c r="G25" i="167"/>
  <c r="H60" i="167"/>
  <c r="H12" i="167"/>
  <c r="G62" i="167"/>
  <c r="H27" i="167"/>
  <c r="H14" i="167"/>
  <c r="G13" i="167"/>
  <c r="H55" i="167"/>
  <c r="H22" i="167"/>
  <c r="G22" i="167"/>
  <c r="G56" i="167"/>
  <c r="H15" i="167"/>
  <c r="H29" i="167"/>
  <c r="E29" i="167"/>
  <c r="G29" i="167"/>
  <c r="G32" i="167"/>
  <c r="G12" i="167"/>
  <c r="H18" i="167"/>
  <c r="H31" i="167"/>
  <c r="G71" i="167"/>
  <c r="H32" i="167"/>
  <c r="H39" i="167"/>
  <c r="H59" i="167"/>
  <c r="G59" i="167"/>
  <c r="G53" i="167"/>
  <c r="G39" i="167"/>
  <c r="G14" i="167"/>
  <c r="G57" i="167"/>
  <c r="G26" i="167"/>
  <c r="E62" i="167"/>
  <c r="G27" i="167"/>
  <c r="G28" i="167"/>
  <c r="G15" i="167"/>
  <c r="G18" i="167"/>
  <c r="G37" i="167"/>
  <c r="G30" i="167"/>
  <c r="E55" i="167"/>
  <c r="H71" i="164"/>
  <c r="E15" i="164"/>
  <c r="H62" i="164"/>
  <c r="H53" i="164"/>
  <c r="H12" i="164"/>
  <c r="H27" i="164"/>
  <c r="E26" i="164"/>
  <c r="H25" i="164"/>
  <c r="H22" i="164"/>
  <c r="H18" i="164"/>
  <c r="H32" i="164"/>
  <c r="E40" i="164"/>
  <c r="H60" i="164"/>
  <c r="H39" i="164"/>
  <c r="H13" i="164"/>
  <c r="H56" i="164"/>
  <c r="H57" i="164"/>
  <c r="H55" i="164"/>
  <c r="H29" i="164"/>
  <c r="H31" i="164"/>
  <c r="H14" i="164"/>
  <c r="H19" i="164"/>
  <c r="H26" i="164"/>
  <c r="H30" i="164"/>
  <c r="H59" i="164"/>
  <c r="H28" i="164"/>
  <c r="H37" i="164"/>
  <c r="H15" i="164"/>
  <c r="H40" i="164"/>
  <c r="G18" i="164"/>
  <c r="E19" i="164"/>
  <c r="G56" i="164"/>
  <c r="G40" i="164"/>
  <c r="E29" i="164"/>
  <c r="E37" i="164"/>
  <c r="E32" i="164"/>
  <c r="E31" i="164"/>
  <c r="E57" i="164"/>
  <c r="G57" i="164"/>
  <c r="E28" i="164"/>
  <c r="E55" i="164"/>
  <c r="E56" i="164"/>
  <c r="E60" i="164"/>
  <c r="E59" i="164"/>
  <c r="E62" i="164"/>
  <c r="E30" i="164"/>
  <c r="G55" i="164"/>
  <c r="E71" i="164"/>
  <c r="E27" i="164"/>
  <c r="E58" i="164"/>
  <c r="G30" i="164"/>
  <c r="E25" i="164"/>
  <c r="E14" i="164"/>
  <c r="G39" i="164"/>
  <c r="E39" i="164"/>
  <c r="E18" i="164"/>
  <c r="E22" i="164"/>
  <c r="E53" i="164"/>
  <c r="E12" i="164"/>
  <c r="H55" i="185"/>
  <c r="G25" i="185"/>
  <c r="H27" i="185"/>
  <c r="H26" i="185"/>
  <c r="G13" i="185"/>
  <c r="H53" i="185"/>
  <c r="H40" i="185"/>
  <c r="G14" i="185"/>
  <c r="G27" i="185"/>
  <c r="G15" i="185"/>
  <c r="H31" i="185"/>
  <c r="G19" i="185"/>
  <c r="G71" i="185"/>
  <c r="H15" i="185"/>
  <c r="H71" i="185"/>
  <c r="H57" i="185"/>
  <c r="G18" i="185"/>
  <c r="H39" i="185"/>
  <c r="G59" i="185"/>
  <c r="H32" i="185"/>
  <c r="G37" i="185"/>
  <c r="H60" i="185"/>
  <c r="H28" i="185"/>
  <c r="G60" i="185"/>
  <c r="G40" i="185"/>
  <c r="H37" i="185"/>
  <c r="H25" i="185"/>
  <c r="G28" i="185"/>
  <c r="H62" i="185"/>
  <c r="G29" i="185"/>
  <c r="H13" i="185"/>
  <c r="G26" i="185"/>
  <c r="H12" i="185"/>
  <c r="H56" i="185"/>
  <c r="G12" i="185"/>
  <c r="H14" i="185"/>
  <c r="H18" i="185"/>
  <c r="H19" i="185"/>
  <c r="E27" i="185"/>
  <c r="H22" i="185"/>
  <c r="H30" i="185"/>
  <c r="E40" i="185"/>
  <c r="G62" i="185"/>
  <c r="H59" i="185"/>
  <c r="H29" i="185"/>
  <c r="E62" i="185"/>
  <c r="J41" i="153"/>
  <c r="J41" i="131"/>
  <c r="K41" i="131" s="1"/>
  <c r="J41" i="190"/>
  <c r="J41" i="125"/>
  <c r="J41" i="135"/>
  <c r="J40" i="133"/>
  <c r="K15" i="188"/>
  <c r="J41" i="176"/>
  <c r="J41" i="200"/>
  <c r="K20" i="131"/>
  <c r="K20" i="129"/>
  <c r="K17" i="190"/>
  <c r="K16" i="197"/>
  <c r="K14" i="186"/>
  <c r="K15" i="125"/>
  <c r="K15" i="141"/>
  <c r="K25" i="188"/>
  <c r="K16" i="137"/>
  <c r="K25" i="139"/>
  <c r="K16" i="129"/>
  <c r="K13" i="184"/>
  <c r="K25" i="125"/>
  <c r="K15" i="197"/>
  <c r="K12" i="194"/>
  <c r="I13" i="153"/>
  <c r="K13" i="153" s="1"/>
  <c r="K16" i="200"/>
  <c r="K29" i="135"/>
  <c r="K25" i="153"/>
  <c r="K13" i="125"/>
  <c r="K29" i="176"/>
  <c r="I13" i="131"/>
  <c r="K13" i="131" s="1"/>
  <c r="K13" i="135"/>
  <c r="K25" i="135"/>
  <c r="K16" i="188"/>
  <c r="K16" i="125"/>
  <c r="K15" i="194"/>
  <c r="K13" i="176"/>
  <c r="J68" i="195"/>
  <c r="H72" i="195" s="1"/>
  <c r="H61" i="195"/>
  <c r="H65" i="195" s="1"/>
  <c r="K27" i="190"/>
  <c r="K15" i="135"/>
  <c r="K27" i="137"/>
  <c r="K25" i="131"/>
  <c r="I24" i="186"/>
  <c r="K24" i="186" s="1"/>
  <c r="K25" i="141"/>
  <c r="K24" i="194"/>
  <c r="K16" i="176"/>
  <c r="K13" i="137"/>
  <c r="K13" i="129"/>
  <c r="I17" i="129"/>
  <c r="K17" i="129" s="1"/>
  <c r="I17" i="131"/>
  <c r="K17" i="131" s="1"/>
  <c r="I17" i="188"/>
  <c r="K17" i="188" s="1"/>
  <c r="K17" i="153"/>
  <c r="I16" i="186"/>
  <c r="K16" i="186" s="1"/>
  <c r="K26" i="133"/>
  <c r="J41" i="137"/>
  <c r="K41" i="137" s="1"/>
  <c r="J41" i="184"/>
  <c r="K14" i="197"/>
  <c r="K20" i="137"/>
  <c r="K15" i="131"/>
  <c r="K15" i="129"/>
  <c r="J40" i="194"/>
  <c r="K20" i="125"/>
  <c r="K13" i="139"/>
  <c r="J41" i="188"/>
  <c r="J32" i="176"/>
  <c r="J31" i="186"/>
  <c r="J40" i="197"/>
  <c r="K40" i="197" s="1"/>
  <c r="K27" i="200"/>
  <c r="K40" i="186"/>
  <c r="J32" i="125"/>
  <c r="J32" i="131"/>
  <c r="K19" i="194"/>
  <c r="J41" i="139"/>
  <c r="K27" i="141"/>
  <c r="K13" i="141"/>
  <c r="I29" i="200"/>
  <c r="K29" i="200" s="1"/>
  <c r="I17" i="176"/>
  <c r="K17" i="176" s="1"/>
  <c r="I41" i="139"/>
  <c r="K16" i="153"/>
  <c r="G41" i="192"/>
  <c r="H41" i="192" s="1"/>
  <c r="J41" i="129"/>
  <c r="J41" i="141"/>
  <c r="K41" i="141" s="1"/>
  <c r="K17" i="184"/>
  <c r="D12" i="181"/>
  <c r="K20" i="135"/>
  <c r="K13" i="190"/>
  <c r="K27" i="139"/>
  <c r="K20" i="176"/>
  <c r="G31" i="192"/>
  <c r="H31" i="192" s="1"/>
  <c r="M64" i="189"/>
  <c r="J68" i="189" s="1"/>
  <c r="H61" i="189"/>
  <c r="H65" i="189" s="1"/>
  <c r="K29" i="190"/>
  <c r="K27" i="176"/>
  <c r="K17" i="200"/>
  <c r="K27" i="131"/>
  <c r="D10" i="181"/>
  <c r="D11" i="181"/>
  <c r="K20" i="184"/>
  <c r="J31" i="133"/>
  <c r="J31" i="197"/>
  <c r="J32" i="139"/>
  <c r="J32" i="141"/>
  <c r="J32" i="188"/>
  <c r="J32" i="137"/>
  <c r="J32" i="190"/>
  <c r="J32" i="153"/>
  <c r="J32" i="135"/>
  <c r="J32" i="184"/>
  <c r="J32" i="200"/>
  <c r="K15" i="176"/>
  <c r="K28" i="133"/>
  <c r="I19" i="133"/>
  <c r="K19" i="133" s="1"/>
  <c r="K26" i="186"/>
  <c r="K29" i="141"/>
  <c r="K28" i="194"/>
  <c r="K25" i="137"/>
  <c r="K16" i="131"/>
  <c r="K20" i="141"/>
  <c r="G22" i="164"/>
  <c r="G32" i="164"/>
  <c r="G60" i="164"/>
  <c r="G53" i="164"/>
  <c r="G29" i="164"/>
  <c r="G15" i="164"/>
  <c r="G13" i="164"/>
  <c r="G37" i="164"/>
  <c r="G19" i="164"/>
  <c r="G28" i="164"/>
  <c r="G62" i="164"/>
  <c r="G58" i="164"/>
  <c r="G31" i="164"/>
  <c r="G12" i="164"/>
  <c r="G71" i="164"/>
  <c r="G59" i="164"/>
  <c r="G14" i="164"/>
  <c r="G27" i="164"/>
  <c r="G25" i="164"/>
  <c r="E53" i="185"/>
  <c r="E12" i="185"/>
  <c r="E22" i="185"/>
  <c r="E25" i="185"/>
  <c r="E39" i="185"/>
  <c r="E19" i="185"/>
  <c r="E56" i="185"/>
  <c r="E30" i="167"/>
  <c r="E31" i="167"/>
  <c r="E60" i="167"/>
  <c r="E58" i="167"/>
  <c r="E59" i="167"/>
  <c r="E14" i="167"/>
  <c r="E71" i="167"/>
  <c r="E32" i="167"/>
  <c r="E18" i="167"/>
  <c r="E25" i="167"/>
  <c r="E12" i="167"/>
  <c r="E22" i="167"/>
  <c r="E27" i="167"/>
  <c r="E13" i="167"/>
  <c r="E26" i="167"/>
  <c r="E37" i="167"/>
  <c r="E15" i="167"/>
  <c r="E28" i="167"/>
  <c r="E40" i="167"/>
  <c r="E55" i="185"/>
  <c r="E13" i="185"/>
  <c r="E14" i="185"/>
  <c r="E15" i="185"/>
  <c r="E28" i="185"/>
  <c r="E18" i="185"/>
  <c r="G22" i="185"/>
  <c r="G55" i="185"/>
  <c r="G39" i="185"/>
  <c r="G53" i="185"/>
  <c r="E30" i="185"/>
  <c r="E31" i="185"/>
  <c r="E32" i="185"/>
  <c r="E58" i="185"/>
  <c r="E59" i="185"/>
  <c r="E37" i="185"/>
  <c r="G57" i="185"/>
  <c r="G30" i="185"/>
  <c r="G56" i="185"/>
  <c r="E29" i="185"/>
  <c r="E60" i="185"/>
  <c r="E71" i="185"/>
  <c r="E26" i="185"/>
  <c r="G32" i="185"/>
  <c r="G58" i="185"/>
  <c r="K27" i="129"/>
  <c r="K20" i="139"/>
  <c r="K19" i="186"/>
  <c r="K23" i="137"/>
  <c r="K19" i="197"/>
  <c r="K20" i="190"/>
  <c r="K20" i="188"/>
  <c r="K27" i="184"/>
  <c r="K15" i="186"/>
  <c r="K16" i="135"/>
  <c r="K16" i="184"/>
  <c r="K15" i="133"/>
  <c r="J22" i="200"/>
  <c r="K22" i="200" s="1"/>
  <c r="J22" i="137"/>
  <c r="K22" i="137" s="1"/>
  <c r="J22" i="129"/>
  <c r="K22" i="129" s="1"/>
  <c r="J21" i="133"/>
  <c r="J22" i="153"/>
  <c r="K22" i="153" s="1"/>
  <c r="J22" i="131"/>
  <c r="J22" i="176"/>
  <c r="K22" i="176" s="1"/>
  <c r="J21" i="197"/>
  <c r="K21" i="197" s="1"/>
  <c r="J22" i="190"/>
  <c r="K22" i="190" s="1"/>
  <c r="J22" i="135"/>
  <c r="J22" i="141"/>
  <c r="K22" i="141" s="1"/>
  <c r="J21" i="186"/>
  <c r="K21" i="186" s="1"/>
  <c r="J22" i="184"/>
  <c r="J21" i="194"/>
  <c r="J22" i="188"/>
  <c r="K22" i="188" s="1"/>
  <c r="J22" i="139"/>
  <c r="J22" i="125"/>
  <c r="J18" i="186"/>
  <c r="K18" i="186" s="1"/>
  <c r="J19" i="125"/>
  <c r="K19" i="125" s="1"/>
  <c r="J18" i="133"/>
  <c r="K18" i="133" s="1"/>
  <c r="J19" i="135"/>
  <c r="K19" i="135" s="1"/>
  <c r="J19" i="153"/>
  <c r="K19" i="153" s="1"/>
  <c r="J19" i="176"/>
  <c r="K19" i="176" s="1"/>
  <c r="J18" i="197"/>
  <c r="K18" i="197" s="1"/>
  <c r="J19" i="137"/>
  <c r="K19" i="137" s="1"/>
  <c r="J19" i="139"/>
  <c r="K19" i="139" s="1"/>
  <c r="J19" i="184"/>
  <c r="K19" i="184" s="1"/>
  <c r="J18" i="194"/>
  <c r="K18" i="194" s="1"/>
  <c r="J19" i="131"/>
  <c r="K19" i="131" s="1"/>
  <c r="J19" i="141"/>
  <c r="K19" i="141" s="1"/>
  <c r="J19" i="190"/>
  <c r="K19" i="190" s="1"/>
  <c r="J19" i="200"/>
  <c r="K19" i="200" s="1"/>
  <c r="J19" i="129"/>
  <c r="K19" i="129" s="1"/>
  <c r="J19" i="188"/>
  <c r="K19" i="188" s="1"/>
  <c r="K16" i="190"/>
  <c r="K16" i="139"/>
  <c r="J31" i="139"/>
  <c r="K31" i="139" s="1"/>
  <c r="J30" i="186"/>
  <c r="K30" i="186" s="1"/>
  <c r="J31" i="200"/>
  <c r="K31" i="200" s="1"/>
  <c r="J31" i="135"/>
  <c r="K31" i="135" s="1"/>
  <c r="J31" i="184"/>
  <c r="K31" i="184" s="1"/>
  <c r="J31" i="129"/>
  <c r="K31" i="129" s="1"/>
  <c r="J30" i="197"/>
  <c r="K30" i="197" s="1"/>
  <c r="J30" i="194"/>
  <c r="K30" i="194" s="1"/>
  <c r="J31" i="141"/>
  <c r="K31" i="141" s="1"/>
  <c r="J31" i="190"/>
  <c r="K31" i="190" s="1"/>
  <c r="J31" i="176"/>
  <c r="K31" i="176" s="1"/>
  <c r="J31" i="188"/>
  <c r="K31" i="188" s="1"/>
  <c r="J30" i="133"/>
  <c r="K30" i="133" s="1"/>
  <c r="J31" i="131"/>
  <c r="K31" i="131" s="1"/>
  <c r="J31" i="153"/>
  <c r="K31" i="153" s="1"/>
  <c r="J31" i="125"/>
  <c r="K31" i="125" s="1"/>
  <c r="J31" i="137"/>
  <c r="K31" i="137" s="1"/>
  <c r="J39" i="190"/>
  <c r="K39" i="190" s="1"/>
  <c r="L39" i="190" s="1"/>
  <c r="J38" i="186"/>
  <c r="K38" i="186" s="1"/>
  <c r="J39" i="137"/>
  <c r="K39" i="137" s="1"/>
  <c r="J39" i="200"/>
  <c r="J38" i="133"/>
  <c r="K38" i="133" s="1"/>
  <c r="J39" i="139"/>
  <c r="K39" i="139" s="1"/>
  <c r="J39" i="153"/>
  <c r="J39" i="176"/>
  <c r="K39" i="176" s="1"/>
  <c r="J38" i="197"/>
  <c r="K38" i="197" s="1"/>
  <c r="J38" i="194"/>
  <c r="K38" i="194" s="1"/>
  <c r="J39" i="135"/>
  <c r="K39" i="135" s="1"/>
  <c r="J39" i="131"/>
  <c r="K39" i="131" s="1"/>
  <c r="J39" i="129"/>
  <c r="K39" i="129" s="1"/>
  <c r="J39" i="125"/>
  <c r="K39" i="125" s="1"/>
  <c r="J39" i="141"/>
  <c r="K39" i="141" s="1"/>
  <c r="J39" i="184"/>
  <c r="K39" i="184" s="1"/>
  <c r="J39" i="188"/>
  <c r="K39" i="188" s="1"/>
  <c r="J28" i="129"/>
  <c r="K28" i="129" s="1"/>
  <c r="J28" i="137"/>
  <c r="K28" i="137" s="1"/>
  <c r="J28" i="131"/>
  <c r="K28" i="131" s="1"/>
  <c r="J28" i="176"/>
  <c r="K28" i="176" s="1"/>
  <c r="J28" i="125"/>
  <c r="K28" i="125" s="1"/>
  <c r="J28" i="188"/>
  <c r="K28" i="188" s="1"/>
  <c r="J28" i="200"/>
  <c r="K28" i="200" s="1"/>
  <c r="J28" i="153"/>
  <c r="K28" i="153" s="1"/>
  <c r="J28" i="141"/>
  <c r="K28" i="141" s="1"/>
  <c r="J28" i="135"/>
  <c r="K28" i="135" s="1"/>
  <c r="J27" i="197"/>
  <c r="K27" i="197" s="1"/>
  <c r="J27" i="194"/>
  <c r="K27" i="194" s="1"/>
  <c r="J27" i="186"/>
  <c r="K27" i="186" s="1"/>
  <c r="J28" i="184"/>
  <c r="K28" i="184" s="1"/>
  <c r="J28" i="139"/>
  <c r="K28" i="139" s="1"/>
  <c r="J28" i="190"/>
  <c r="K28" i="190" s="1"/>
  <c r="J27" i="133"/>
  <c r="K27" i="133" s="1"/>
  <c r="J34" i="135"/>
  <c r="K34" i="135" s="1"/>
  <c r="J33" i="197"/>
  <c r="K33" i="197" s="1"/>
  <c r="J33" i="186"/>
  <c r="K33" i="186" s="1"/>
  <c r="J34" i="131"/>
  <c r="K34" i="131" s="1"/>
  <c r="J34" i="176"/>
  <c r="K34" i="176" s="1"/>
  <c r="J34" i="139"/>
  <c r="K34" i="139" s="1"/>
  <c r="J34" i="137"/>
  <c r="K34" i="137" s="1"/>
  <c r="J34" i="190"/>
  <c r="K34" i="190" s="1"/>
  <c r="J34" i="188"/>
  <c r="K34" i="188" s="1"/>
  <c r="J34" i="141"/>
  <c r="K34" i="141" s="1"/>
  <c r="J33" i="194"/>
  <c r="K33" i="194" s="1"/>
  <c r="J33" i="133"/>
  <c r="K33" i="133" s="1"/>
  <c r="J34" i="125"/>
  <c r="K34" i="125" s="1"/>
  <c r="J34" i="153"/>
  <c r="K34" i="153" s="1"/>
  <c r="J34" i="129"/>
  <c r="K34" i="129" s="1"/>
  <c r="J34" i="200"/>
  <c r="K34" i="200" s="1"/>
  <c r="J34" i="184"/>
  <c r="K34" i="184" s="1"/>
  <c r="J36" i="194"/>
  <c r="J37" i="129"/>
  <c r="K37" i="129" s="1"/>
  <c r="J37" i="135"/>
  <c r="J37" i="200"/>
  <c r="K37" i="200" s="1"/>
  <c r="J37" i="131"/>
  <c r="K37" i="131" s="1"/>
  <c r="J36" i="197"/>
  <c r="K36" i="197" s="1"/>
  <c r="J37" i="137"/>
  <c r="K37" i="137" s="1"/>
  <c r="J37" i="188"/>
  <c r="K37" i="188" s="1"/>
  <c r="L37" i="188" s="1"/>
  <c r="J37" i="153"/>
  <c r="K37" i="153" s="1"/>
  <c r="J37" i="125"/>
  <c r="J37" i="184"/>
  <c r="J37" i="190"/>
  <c r="J37" i="176"/>
  <c r="K37" i="176" s="1"/>
  <c r="J36" i="133"/>
  <c r="K36" i="133" s="1"/>
  <c r="J37" i="139"/>
  <c r="J36" i="186"/>
  <c r="J37" i="141"/>
  <c r="K37" i="141" s="1"/>
  <c r="I42" i="141"/>
  <c r="K42" i="141" s="1"/>
  <c r="I42" i="153"/>
  <c r="K42" i="153" s="1"/>
  <c r="I41" i="190"/>
  <c r="I40" i="133"/>
  <c r="I42" i="135"/>
  <c r="K42" i="135" s="1"/>
  <c r="I42" i="137"/>
  <c r="K42" i="137" s="1"/>
  <c r="I41" i="176"/>
  <c r="I40" i="194"/>
  <c r="I41" i="184"/>
  <c r="I41" i="194"/>
  <c r="K41" i="194" s="1"/>
  <c r="I42" i="200"/>
  <c r="K42" i="200" s="1"/>
  <c r="I41" i="129"/>
  <c r="I42" i="129"/>
  <c r="K42" i="129" s="1"/>
  <c r="I41" i="153"/>
  <c r="I41" i="200"/>
  <c r="I42" i="139"/>
  <c r="K42" i="139" s="1"/>
  <c r="I41" i="133"/>
  <c r="K41" i="133" s="1"/>
  <c r="I41" i="186"/>
  <c r="K41" i="186" s="1"/>
  <c r="I41" i="125"/>
  <c r="I42" i="131"/>
  <c r="K42" i="131" s="1"/>
  <c r="I42" i="125"/>
  <c r="K42" i="125" s="1"/>
  <c r="I41" i="135"/>
  <c r="I41" i="188"/>
  <c r="I42" i="188"/>
  <c r="K42" i="188" s="1"/>
  <c r="I41" i="197"/>
  <c r="K41" i="197" s="1"/>
  <c r="I42" i="184"/>
  <c r="K42" i="184" s="1"/>
  <c r="I42" i="190"/>
  <c r="K42" i="190" s="1"/>
  <c r="I42" i="176"/>
  <c r="K42" i="176" s="1"/>
  <c r="I40" i="139"/>
  <c r="K40" i="139" s="1"/>
  <c r="I32" i="141"/>
  <c r="I35" i="188"/>
  <c r="K35" i="188" s="1"/>
  <c r="I32" i="125"/>
  <c r="I32" i="200"/>
  <c r="I40" i="141"/>
  <c r="K40" i="141" s="1"/>
  <c r="I39" i="133"/>
  <c r="K39" i="133" s="1"/>
  <c r="I39" i="197"/>
  <c r="K39" i="197" s="1"/>
  <c r="I34" i="194"/>
  <c r="K34" i="194" s="1"/>
  <c r="I32" i="190"/>
  <c r="I31" i="186"/>
  <c r="I40" i="184"/>
  <c r="K40" i="184" s="1"/>
  <c r="I39" i="186"/>
  <c r="K39" i="186" s="1"/>
  <c r="I35" i="190"/>
  <c r="K35" i="190" s="1"/>
  <c r="I40" i="129"/>
  <c r="K40" i="129" s="1"/>
  <c r="I32" i="176"/>
  <c r="I31" i="197"/>
  <c r="I31" i="194"/>
  <c r="K31" i="194" s="1"/>
  <c r="I40" i="190"/>
  <c r="K40" i="190" s="1"/>
  <c r="I40" i="125"/>
  <c r="K40" i="125" s="1"/>
  <c r="I32" i="137"/>
  <c r="I40" i="137"/>
  <c r="K40" i="137" s="1"/>
  <c r="I35" i="141"/>
  <c r="K35" i="141" s="1"/>
  <c r="I32" i="135"/>
  <c r="I40" i="131"/>
  <c r="K40" i="131" s="1"/>
  <c r="I32" i="188"/>
  <c r="I31" i="133"/>
  <c r="I40" i="188"/>
  <c r="K40" i="188" s="1"/>
  <c r="I40" i="176"/>
  <c r="K40" i="176" s="1"/>
  <c r="I32" i="153"/>
  <c r="I35" i="139"/>
  <c r="K35" i="139" s="1"/>
  <c r="I40" i="200"/>
  <c r="K40" i="200" s="1"/>
  <c r="I40" i="153"/>
  <c r="K40" i="153" s="1"/>
  <c r="I32" i="139"/>
  <c r="I32" i="131"/>
  <c r="I32" i="129"/>
  <c r="I32" i="184"/>
  <c r="I39" i="194"/>
  <c r="K39" i="194" s="1"/>
  <c r="I40" i="135"/>
  <c r="K40" i="135" s="1"/>
  <c r="I39" i="153"/>
  <c r="I22" i="135"/>
  <c r="I36" i="194"/>
  <c r="I37" i="125"/>
  <c r="I22" i="131"/>
  <c r="I22" i="184"/>
  <c r="I37" i="135"/>
  <c r="I21" i="194"/>
  <c r="I21" i="133"/>
  <c r="I37" i="139"/>
  <c r="I22" i="139"/>
  <c r="I37" i="190"/>
  <c r="I37" i="184"/>
  <c r="I22" i="125"/>
  <c r="I39" i="200"/>
  <c r="I36" i="186"/>
  <c r="G19" i="168"/>
  <c r="G20" i="168"/>
  <c r="G18" i="168"/>
  <c r="G21" i="168"/>
  <c r="G22" i="168"/>
  <c r="G16" i="168"/>
  <c r="H32" i="191"/>
  <c r="M31" i="191"/>
  <c r="J35" i="191" s="1"/>
  <c r="H28" i="191"/>
  <c r="H28" i="134"/>
  <c r="H32" i="134"/>
  <c r="M31" i="134"/>
  <c r="J35" i="134" s="1"/>
  <c r="M31" i="189"/>
  <c r="J35" i="189" s="1"/>
  <c r="H32" i="189"/>
  <c r="H28" i="189"/>
  <c r="H32" i="199"/>
  <c r="M31" i="199"/>
  <c r="J35" i="199" s="1"/>
  <c r="H28" i="199"/>
  <c r="H28" i="130"/>
  <c r="H32" i="130"/>
  <c r="M31" i="130"/>
  <c r="M64" i="191"/>
  <c r="J68" i="191" s="1"/>
  <c r="H61" i="191"/>
  <c r="H65" i="191" s="1"/>
  <c r="J62" i="199"/>
  <c r="L62" i="199"/>
  <c r="H61" i="154"/>
  <c r="H65" i="154" s="1"/>
  <c r="M64" i="154"/>
  <c r="M64" i="187"/>
  <c r="J68" i="187" s="1"/>
  <c r="H61" i="187"/>
  <c r="H65" i="187" s="1"/>
  <c r="J62" i="122"/>
  <c r="L62" i="122"/>
  <c r="M64" i="196"/>
  <c r="J68" i="196" s="1"/>
  <c r="H61" i="196"/>
  <c r="H65" i="196" s="1"/>
  <c r="H39" i="122"/>
  <c r="H35" i="122"/>
  <c r="M31" i="154"/>
  <c r="J35" i="154" s="1"/>
  <c r="H28" i="154"/>
  <c r="H32" i="154"/>
  <c r="H32" i="140"/>
  <c r="M31" i="140"/>
  <c r="J35" i="140" s="1"/>
  <c r="H28" i="140"/>
  <c r="L29" i="195"/>
  <c r="J28" i="195" s="1"/>
  <c r="H61" i="138"/>
  <c r="H65" i="138" s="1"/>
  <c r="M64" i="138"/>
  <c r="J68" i="138" s="1"/>
  <c r="L29" i="187"/>
  <c r="J28" i="187" s="1"/>
  <c r="H61" i="126"/>
  <c r="H65" i="126" s="1"/>
  <c r="M64" i="126"/>
  <c r="J68" i="126" s="1"/>
  <c r="H32" i="175"/>
  <c r="M31" i="175"/>
  <c r="J35" i="175" s="1"/>
  <c r="H28" i="175"/>
  <c r="H28" i="136"/>
  <c r="M31" i="136"/>
  <c r="J35" i="136" s="1"/>
  <c r="H32" i="136"/>
  <c r="H61" i="130"/>
  <c r="H65" i="130" s="1"/>
  <c r="M64" i="130"/>
  <c r="H28" i="132"/>
  <c r="M31" i="132"/>
  <c r="J35" i="132" s="1"/>
  <c r="H32" i="132"/>
  <c r="H28" i="196"/>
  <c r="H32" i="196"/>
  <c r="M31" i="196"/>
  <c r="J35" i="196" s="1"/>
  <c r="H61" i="134"/>
  <c r="H65" i="134" s="1"/>
  <c r="M64" i="134"/>
  <c r="J68" i="134" s="1"/>
  <c r="H39" i="142"/>
  <c r="H35" i="142"/>
  <c r="H61" i="142"/>
  <c r="H65" i="142" s="1"/>
  <c r="M64" i="142"/>
  <c r="H68" i="140"/>
  <c r="H72" i="140"/>
  <c r="M64" i="175"/>
  <c r="J68" i="175" s="1"/>
  <c r="H61" i="175"/>
  <c r="H65" i="175" s="1"/>
  <c r="H35" i="138"/>
  <c r="H39" i="138"/>
  <c r="H61" i="136"/>
  <c r="H65" i="136" s="1"/>
  <c r="M64" i="136"/>
  <c r="J68" i="136" s="1"/>
  <c r="L29" i="126"/>
  <c r="J28" i="126" s="1"/>
  <c r="F41" i="165"/>
  <c r="K23" i="131" l="1"/>
  <c r="K23" i="188"/>
  <c r="K23" i="176"/>
  <c r="K23" i="125"/>
  <c r="K23" i="153"/>
  <c r="K23" i="129"/>
  <c r="K22" i="197"/>
  <c r="K23" i="141"/>
  <c r="K23" i="184"/>
  <c r="K22" i="194"/>
  <c r="K22" i="133"/>
  <c r="K23" i="135"/>
  <c r="K22" i="186"/>
  <c r="H68" i="195"/>
  <c r="H75" i="167"/>
  <c r="K40" i="133"/>
  <c r="K41" i="188"/>
  <c r="H72" i="132"/>
  <c r="E59" i="132" s="1"/>
  <c r="K41" i="176"/>
  <c r="K32" i="184"/>
  <c r="K32" i="129"/>
  <c r="K41" i="190"/>
  <c r="K41" i="135"/>
  <c r="K31" i="186"/>
  <c r="K41" i="153"/>
  <c r="K32" i="139"/>
  <c r="K32" i="125"/>
  <c r="K41" i="125"/>
  <c r="G61" i="167"/>
  <c r="H61" i="167"/>
  <c r="G51" i="167"/>
  <c r="H51" i="167"/>
  <c r="G75" i="167"/>
  <c r="E75" i="167"/>
  <c r="H75" i="164"/>
  <c r="H51" i="164"/>
  <c r="G61" i="164"/>
  <c r="E51" i="164"/>
  <c r="H61" i="164"/>
  <c r="G51" i="164"/>
  <c r="E61" i="164"/>
  <c r="E75" i="164"/>
  <c r="H61" i="185"/>
  <c r="G75" i="185"/>
  <c r="E61" i="185"/>
  <c r="H75" i="185"/>
  <c r="G51" i="185"/>
  <c r="H51" i="185"/>
  <c r="E75" i="185"/>
  <c r="K41" i="200"/>
  <c r="K32" i="188"/>
  <c r="K32" i="176"/>
  <c r="K32" i="135"/>
  <c r="K41" i="184"/>
  <c r="K41" i="129"/>
  <c r="K32" i="141"/>
  <c r="K41" i="139"/>
  <c r="K32" i="137"/>
  <c r="K32" i="190"/>
  <c r="K32" i="200"/>
  <c r="K32" i="131"/>
  <c r="K40" i="194"/>
  <c r="G24" i="168"/>
  <c r="K37" i="135"/>
  <c r="H72" i="189"/>
  <c r="H68" i="189"/>
  <c r="K22" i="131"/>
  <c r="D14" i="181"/>
  <c r="K32" i="153"/>
  <c r="K21" i="133"/>
  <c r="K31" i="133"/>
  <c r="K31" i="197"/>
  <c r="E61" i="167"/>
  <c r="G75" i="164"/>
  <c r="E51" i="185"/>
  <c r="G61" i="185"/>
  <c r="K22" i="139"/>
  <c r="E51" i="167"/>
  <c r="K21" i="194"/>
  <c r="K22" i="125"/>
  <c r="K37" i="125"/>
  <c r="K37" i="139"/>
  <c r="K39" i="153"/>
  <c r="K39" i="200"/>
  <c r="K22" i="184"/>
  <c r="K37" i="184"/>
  <c r="K37" i="190"/>
  <c r="K36" i="186"/>
  <c r="K36" i="194"/>
  <c r="K22" i="135"/>
  <c r="H72" i="126"/>
  <c r="H68" i="126"/>
  <c r="H72" i="191"/>
  <c r="H68" i="191"/>
  <c r="H72" i="196"/>
  <c r="H68" i="196"/>
  <c r="H39" i="140"/>
  <c r="H35" i="140"/>
  <c r="H68" i="187"/>
  <c r="H72" i="187"/>
  <c r="H35" i="196"/>
  <c r="H39" i="196"/>
  <c r="H39" i="154"/>
  <c r="H35" i="154"/>
  <c r="H28" i="195"/>
  <c r="H32" i="195"/>
  <c r="M31" i="195"/>
  <c r="H35" i="189"/>
  <c r="H39" i="189"/>
  <c r="E27" i="138"/>
  <c r="L39" i="138"/>
  <c r="E40" i="138"/>
  <c r="H42" i="138"/>
  <c r="D36" i="138"/>
  <c r="H68" i="136"/>
  <c r="H72" i="136"/>
  <c r="H39" i="132"/>
  <c r="H35" i="132"/>
  <c r="H35" i="199"/>
  <c r="H39" i="199"/>
  <c r="H75" i="195"/>
  <c r="K72" i="195"/>
  <c r="E59" i="195"/>
  <c r="E73" i="195"/>
  <c r="D69" i="195"/>
  <c r="D65" i="195" s="1"/>
  <c r="C65" i="195" s="1"/>
  <c r="H35" i="134"/>
  <c r="H39" i="134"/>
  <c r="J68" i="142"/>
  <c r="J68" i="154"/>
  <c r="H75" i="132"/>
  <c r="K72" i="132"/>
  <c r="E73" i="132"/>
  <c r="H68" i="175"/>
  <c r="H72" i="175"/>
  <c r="H35" i="175"/>
  <c r="H39" i="175"/>
  <c r="H28" i="126"/>
  <c r="H32" i="126"/>
  <c r="M31" i="126"/>
  <c r="J35" i="126" s="1"/>
  <c r="H42" i="142"/>
  <c r="L39" i="142"/>
  <c r="E27" i="142"/>
  <c r="D36" i="142"/>
  <c r="E40" i="142"/>
  <c r="J68" i="130"/>
  <c r="H28" i="187"/>
  <c r="M31" i="187"/>
  <c r="H32" i="187"/>
  <c r="H61" i="122"/>
  <c r="H65" i="122" s="1"/>
  <c r="M64" i="122"/>
  <c r="J35" i="130"/>
  <c r="H35" i="191"/>
  <c r="H39" i="191"/>
  <c r="E59" i="140"/>
  <c r="H75" i="140"/>
  <c r="K72" i="140"/>
  <c r="D69" i="140"/>
  <c r="D65" i="140" s="1"/>
  <c r="C65" i="140" s="1"/>
  <c r="E73" i="140"/>
  <c r="H68" i="134"/>
  <c r="H72" i="134"/>
  <c r="L39" i="122"/>
  <c r="D36" i="122"/>
  <c r="E27" i="122"/>
  <c r="E40" i="122"/>
  <c r="H42" i="122"/>
  <c r="H61" i="199"/>
  <c r="H65" i="199" s="1"/>
  <c r="M64" i="199"/>
  <c r="H39" i="136"/>
  <c r="H35" i="136"/>
  <c r="H72" i="138"/>
  <c r="H68" i="138"/>
  <c r="H77" i="167" l="1"/>
  <c r="E9" i="168" s="1"/>
  <c r="I39" i="168" s="1"/>
  <c r="D69" i="132"/>
  <c r="D65" i="132" s="1"/>
  <c r="C65" i="132" s="1"/>
  <c r="G77" i="167"/>
  <c r="E8" i="168" s="1"/>
  <c r="E77" i="167"/>
  <c r="E7" i="168" s="1"/>
  <c r="H77" i="164"/>
  <c r="D8" i="165" s="1"/>
  <c r="H58" i="165" s="1"/>
  <c r="G77" i="164"/>
  <c r="D7" i="165" s="1"/>
  <c r="F67" i="165" s="1"/>
  <c r="E77" i="164"/>
  <c r="E31" i="169" s="1"/>
  <c r="H77" i="185"/>
  <c r="E77" i="185"/>
  <c r="G77" i="185"/>
  <c r="H75" i="189"/>
  <c r="E59" i="189"/>
  <c r="E73" i="189"/>
  <c r="D69" i="189"/>
  <c r="D65" i="189" s="1"/>
  <c r="C65" i="189" s="1"/>
  <c r="K72" i="189"/>
  <c r="H39" i="126"/>
  <c r="H35" i="126"/>
  <c r="D32" i="138"/>
  <c r="C32" i="138"/>
  <c r="H68" i="154"/>
  <c r="H72" i="154"/>
  <c r="E73" i="126"/>
  <c r="D69" i="126"/>
  <c r="D65" i="126" s="1"/>
  <c r="C65" i="126" s="1"/>
  <c r="H75" i="126"/>
  <c r="K72" i="126"/>
  <c r="E59" i="126"/>
  <c r="C32" i="122"/>
  <c r="D32" i="122"/>
  <c r="C29" i="139"/>
  <c r="L29" i="139" s="1"/>
  <c r="C53" i="140"/>
  <c r="D32" i="142"/>
  <c r="C32" i="142"/>
  <c r="D36" i="175"/>
  <c r="H42" i="175"/>
  <c r="L39" i="175"/>
  <c r="E40" i="175"/>
  <c r="E27" i="175"/>
  <c r="H72" i="142"/>
  <c r="H68" i="142"/>
  <c r="E40" i="140"/>
  <c r="D36" i="140"/>
  <c r="H42" i="140"/>
  <c r="E27" i="140"/>
  <c r="L39" i="140"/>
  <c r="J68" i="199"/>
  <c r="D36" i="132"/>
  <c r="E40" i="132"/>
  <c r="E27" i="132"/>
  <c r="H42" i="132"/>
  <c r="L39" i="132"/>
  <c r="E40" i="199"/>
  <c r="H42" i="199"/>
  <c r="L39" i="199"/>
  <c r="D36" i="199"/>
  <c r="E27" i="199"/>
  <c r="D69" i="136"/>
  <c r="D65" i="136" s="1"/>
  <c r="C65" i="136" s="1"/>
  <c r="E59" i="136"/>
  <c r="H75" i="136"/>
  <c r="E73" i="136"/>
  <c r="K72" i="136"/>
  <c r="E27" i="189"/>
  <c r="D36" i="189"/>
  <c r="H42" i="189"/>
  <c r="E40" i="189"/>
  <c r="L39" i="189"/>
  <c r="H42" i="154"/>
  <c r="D36" i="154"/>
  <c r="E40" i="154"/>
  <c r="E27" i="154"/>
  <c r="L39" i="154"/>
  <c r="E59" i="196"/>
  <c r="E73" i="196"/>
  <c r="K72" i="196"/>
  <c r="H75" i="196"/>
  <c r="D69" i="196"/>
  <c r="D65" i="196" s="1"/>
  <c r="C65" i="196" s="1"/>
  <c r="D36" i="136"/>
  <c r="L39" i="136"/>
  <c r="E27" i="136"/>
  <c r="H42" i="136"/>
  <c r="E40" i="136"/>
  <c r="E59" i="187"/>
  <c r="H75" i="187"/>
  <c r="K72" i="187"/>
  <c r="D69" i="187"/>
  <c r="D65" i="187" s="1"/>
  <c r="C65" i="187" s="1"/>
  <c r="E73" i="187"/>
  <c r="H39" i="130"/>
  <c r="H35" i="130"/>
  <c r="H42" i="134"/>
  <c r="E40" i="134"/>
  <c r="L39" i="134"/>
  <c r="E27" i="134"/>
  <c r="D36" i="134"/>
  <c r="E59" i="138"/>
  <c r="D69" i="138"/>
  <c r="D65" i="138" s="1"/>
  <c r="C65" i="138" s="1"/>
  <c r="K72" i="138"/>
  <c r="H75" i="138"/>
  <c r="E73" i="138"/>
  <c r="K72" i="134"/>
  <c r="E73" i="134"/>
  <c r="H75" i="134"/>
  <c r="E59" i="134"/>
  <c r="D69" i="134"/>
  <c r="D65" i="134" s="1"/>
  <c r="C65" i="134" s="1"/>
  <c r="J35" i="187"/>
  <c r="D36" i="196"/>
  <c r="E27" i="196"/>
  <c r="E40" i="196"/>
  <c r="H42" i="196"/>
  <c r="L39" i="196"/>
  <c r="L39" i="191"/>
  <c r="E27" i="191"/>
  <c r="E40" i="191"/>
  <c r="H42" i="191"/>
  <c r="D36" i="191"/>
  <c r="J68" i="122"/>
  <c r="H68" i="130"/>
  <c r="H72" i="130"/>
  <c r="E73" i="175"/>
  <c r="K72" i="175"/>
  <c r="E59" i="175"/>
  <c r="H75" i="175"/>
  <c r="D69" i="175"/>
  <c r="D65" i="175" s="1"/>
  <c r="C65" i="175" s="1"/>
  <c r="C53" i="132"/>
  <c r="C29" i="131"/>
  <c r="L29" i="131" s="1"/>
  <c r="C28" i="194"/>
  <c r="L28" i="194" s="1"/>
  <c r="C53" i="195"/>
  <c r="J35" i="195"/>
  <c r="E59" i="191"/>
  <c r="K72" i="191"/>
  <c r="D69" i="191"/>
  <c r="D65" i="191" s="1"/>
  <c r="C65" i="191" s="1"/>
  <c r="H75" i="191"/>
  <c r="E73" i="191"/>
  <c r="I34" i="168" l="1"/>
  <c r="I37" i="168"/>
  <c r="I38" i="168"/>
  <c r="I40" i="168"/>
  <c r="I36" i="168"/>
  <c r="I35" i="168"/>
  <c r="E10" i="168"/>
  <c r="G34" i="168"/>
  <c r="G35" i="168"/>
  <c r="F64" i="165"/>
  <c r="F61" i="165"/>
  <c r="F58" i="165"/>
  <c r="G40" i="168"/>
  <c r="G39" i="168"/>
  <c r="G36" i="168"/>
  <c r="G38" i="168"/>
  <c r="G37" i="168"/>
  <c r="E30" i="169"/>
  <c r="E32" i="169" s="1"/>
  <c r="F57" i="165"/>
  <c r="F60" i="165"/>
  <c r="F59" i="165"/>
  <c r="H61" i="165"/>
  <c r="H55" i="165"/>
  <c r="H59" i="165"/>
  <c r="H66" i="165"/>
  <c r="H54" i="165"/>
  <c r="H64" i="165"/>
  <c r="H57" i="165"/>
  <c r="H56" i="165"/>
  <c r="H63" i="165"/>
  <c r="H65" i="165"/>
  <c r="H67" i="165"/>
  <c r="H60" i="165"/>
  <c r="F65" i="165"/>
  <c r="F54" i="165"/>
  <c r="F55" i="165"/>
  <c r="D6" i="165"/>
  <c r="D9" i="165" s="1"/>
  <c r="F56" i="165"/>
  <c r="F63" i="165"/>
  <c r="F66" i="165"/>
  <c r="C53" i="189"/>
  <c r="C29" i="188"/>
  <c r="L29" i="188" s="1"/>
  <c r="H68" i="122"/>
  <c r="H72" i="122"/>
  <c r="C17" i="184"/>
  <c r="L17" i="184" s="1"/>
  <c r="C20" i="122"/>
  <c r="E73" i="154"/>
  <c r="H75" i="154"/>
  <c r="D69" i="154"/>
  <c r="D65" i="154" s="1"/>
  <c r="C65" i="154" s="1"/>
  <c r="K72" i="154"/>
  <c r="E59" i="154"/>
  <c r="D32" i="189"/>
  <c r="C32" i="189"/>
  <c r="D32" i="132"/>
  <c r="C32" i="132"/>
  <c r="D32" i="136"/>
  <c r="C32" i="136"/>
  <c r="H72" i="199"/>
  <c r="H68" i="199"/>
  <c r="C17" i="137"/>
  <c r="L17" i="137" s="1"/>
  <c r="C20" i="138"/>
  <c r="G51" i="195"/>
  <c r="C24" i="194" s="1"/>
  <c r="L24" i="194" s="1"/>
  <c r="I49" i="195"/>
  <c r="K48" i="195" s="1"/>
  <c r="G54" i="195"/>
  <c r="C32" i="154"/>
  <c r="D32" i="154"/>
  <c r="C32" i="199"/>
  <c r="D32" i="199"/>
  <c r="C17" i="141"/>
  <c r="L17" i="141" s="1"/>
  <c r="C20" i="142"/>
  <c r="C53" i="175"/>
  <c r="C29" i="176"/>
  <c r="L29" i="176" s="1"/>
  <c r="C53" i="136"/>
  <c r="C29" i="135"/>
  <c r="L29" i="135" s="1"/>
  <c r="C53" i="196"/>
  <c r="C28" i="197"/>
  <c r="L28" i="197" s="1"/>
  <c r="E40" i="130"/>
  <c r="H42" i="130"/>
  <c r="L39" i="130"/>
  <c r="E27" i="130"/>
  <c r="D36" i="130"/>
  <c r="H75" i="142"/>
  <c r="E73" i="142"/>
  <c r="E59" i="142"/>
  <c r="K72" i="142"/>
  <c r="D69" i="142"/>
  <c r="D65" i="142" s="1"/>
  <c r="C65" i="142" s="1"/>
  <c r="C53" i="187"/>
  <c r="C28" i="186"/>
  <c r="L28" i="186" s="1"/>
  <c r="C53" i="138"/>
  <c r="C29" i="137"/>
  <c r="L29" i="137" s="1"/>
  <c r="C32" i="175"/>
  <c r="D32" i="175"/>
  <c r="D32" i="196"/>
  <c r="C32" i="196"/>
  <c r="C32" i="134"/>
  <c r="D32" i="134"/>
  <c r="D32" i="140"/>
  <c r="C32" i="140"/>
  <c r="G54" i="140"/>
  <c r="I49" i="140"/>
  <c r="K48" i="140" s="1"/>
  <c r="G51" i="140"/>
  <c r="C25" i="139" s="1"/>
  <c r="L25" i="139" s="1"/>
  <c r="C53" i="126"/>
  <c r="C29" i="125"/>
  <c r="L29" i="125" s="1"/>
  <c r="H42" i="126"/>
  <c r="E40" i="126"/>
  <c r="E27" i="126"/>
  <c r="L39" i="126"/>
  <c r="D36" i="126"/>
  <c r="C29" i="190"/>
  <c r="L29" i="190" s="1"/>
  <c r="C53" i="191"/>
  <c r="H35" i="187"/>
  <c r="H39" i="187"/>
  <c r="C28" i="133"/>
  <c r="L28" i="133" s="1"/>
  <c r="C53" i="134"/>
  <c r="H35" i="195"/>
  <c r="H39" i="195"/>
  <c r="D32" i="191"/>
  <c r="C32" i="191"/>
  <c r="C20" i="191" s="1"/>
  <c r="I49" i="132"/>
  <c r="K48" i="132" s="1"/>
  <c r="G51" i="132"/>
  <c r="C25" i="131" s="1"/>
  <c r="L25" i="131" s="1"/>
  <c r="G54" i="132"/>
  <c r="H75" i="130"/>
  <c r="E73" i="130"/>
  <c r="D69" i="130"/>
  <c r="D65" i="130" s="1"/>
  <c r="C65" i="130" s="1"/>
  <c r="K72" i="130"/>
  <c r="E59" i="130"/>
  <c r="G51" i="189" l="1"/>
  <c r="C25" i="188" s="1"/>
  <c r="L25" i="188" s="1"/>
  <c r="G54" i="189"/>
  <c r="I49" i="189"/>
  <c r="K48" i="189" s="1"/>
  <c r="G54" i="134"/>
  <c r="G51" i="134"/>
  <c r="C24" i="133" s="1"/>
  <c r="L24" i="133" s="1"/>
  <c r="I49" i="134"/>
  <c r="K48" i="134" s="1"/>
  <c r="C32" i="126"/>
  <c r="D32" i="126"/>
  <c r="N48" i="140"/>
  <c r="N50" i="140"/>
  <c r="N49" i="140"/>
  <c r="C20" i="134"/>
  <c r="C16" i="133"/>
  <c r="L16" i="133" s="1"/>
  <c r="C53" i="142"/>
  <c r="C29" i="141"/>
  <c r="L29" i="141" s="1"/>
  <c r="I16" i="142"/>
  <c r="K15" i="142" s="1"/>
  <c r="G21" i="142"/>
  <c r="G18" i="142"/>
  <c r="C13" i="141" s="1"/>
  <c r="L13" i="141" s="1"/>
  <c r="G54" i="196"/>
  <c r="G51" i="196"/>
  <c r="C24" i="197" s="1"/>
  <c r="L24" i="197" s="1"/>
  <c r="I49" i="196"/>
  <c r="K48" i="196" s="1"/>
  <c r="G18" i="122"/>
  <c r="C13" i="184" s="1"/>
  <c r="L13" i="184" s="1"/>
  <c r="G21" i="122"/>
  <c r="I16" i="122"/>
  <c r="K15" i="122" s="1"/>
  <c r="C17" i="139"/>
  <c r="L17" i="139" s="1"/>
  <c r="C20" i="140"/>
  <c r="C20" i="196"/>
  <c r="C16" i="197"/>
  <c r="L16" i="197" s="1"/>
  <c r="K62" i="195"/>
  <c r="I62" i="195"/>
  <c r="G58" i="195"/>
  <c r="C25" i="194" s="1"/>
  <c r="L25" i="194" s="1"/>
  <c r="E73" i="199"/>
  <c r="D69" i="199"/>
  <c r="D65" i="199" s="1"/>
  <c r="C65" i="199" s="1"/>
  <c r="E59" i="199"/>
  <c r="K72" i="199"/>
  <c r="H75" i="199"/>
  <c r="C20" i="132"/>
  <c r="C17" i="131"/>
  <c r="L17" i="131" s="1"/>
  <c r="K62" i="140"/>
  <c r="I62" i="140"/>
  <c r="G58" i="140"/>
  <c r="C26" i="139" s="1"/>
  <c r="L26" i="139" s="1"/>
  <c r="I16" i="191"/>
  <c r="K15" i="191" s="1"/>
  <c r="G18" i="191"/>
  <c r="C13" i="190" s="1"/>
  <c r="L13" i="190" s="1"/>
  <c r="G21" i="191"/>
  <c r="E40" i="187"/>
  <c r="E27" i="187"/>
  <c r="H42" i="187"/>
  <c r="L39" i="187"/>
  <c r="D36" i="187"/>
  <c r="C32" i="130"/>
  <c r="D32" i="130"/>
  <c r="G51" i="136"/>
  <c r="C25" i="135" s="1"/>
  <c r="L25" i="135" s="1"/>
  <c r="I49" i="136"/>
  <c r="K48" i="136" s="1"/>
  <c r="G54" i="136"/>
  <c r="C20" i="199"/>
  <c r="C17" i="200"/>
  <c r="L17" i="200" s="1"/>
  <c r="N49" i="195"/>
  <c r="N50" i="195"/>
  <c r="N48" i="195"/>
  <c r="C17" i="135"/>
  <c r="L17" i="135" s="1"/>
  <c r="C20" i="136"/>
  <c r="N50" i="132"/>
  <c r="N48" i="132"/>
  <c r="N49" i="132"/>
  <c r="C20" i="189"/>
  <c r="C17" i="188"/>
  <c r="L17" i="188" s="1"/>
  <c r="C29" i="129"/>
  <c r="L29" i="129" s="1"/>
  <c r="C53" i="130"/>
  <c r="D36" i="195"/>
  <c r="L39" i="195"/>
  <c r="E27" i="195"/>
  <c r="E40" i="195"/>
  <c r="H42" i="195"/>
  <c r="G54" i="191"/>
  <c r="I49" i="191"/>
  <c r="K48" i="191" s="1"/>
  <c r="G51" i="191"/>
  <c r="C25" i="190" s="1"/>
  <c r="L25" i="190" s="1"/>
  <c r="C17" i="176"/>
  <c r="L17" i="176" s="1"/>
  <c r="C20" i="175"/>
  <c r="G54" i="187"/>
  <c r="I49" i="187"/>
  <c r="K48" i="187" s="1"/>
  <c r="G51" i="187"/>
  <c r="C24" i="186" s="1"/>
  <c r="L24" i="186" s="1"/>
  <c r="C17" i="153"/>
  <c r="L17" i="153" s="1"/>
  <c r="C20" i="154"/>
  <c r="I16" i="138"/>
  <c r="K15" i="138" s="1"/>
  <c r="G18" i="138"/>
  <c r="C13" i="137" s="1"/>
  <c r="L13" i="137" s="1"/>
  <c r="G21" i="138"/>
  <c r="D69" i="122"/>
  <c r="D65" i="122" s="1"/>
  <c r="C65" i="122" s="1"/>
  <c r="E73" i="122"/>
  <c r="H75" i="122"/>
  <c r="K72" i="122"/>
  <c r="E59" i="122"/>
  <c r="I49" i="126"/>
  <c r="K48" i="126" s="1"/>
  <c r="G51" i="126"/>
  <c r="C25" i="125" s="1"/>
  <c r="L25" i="125" s="1"/>
  <c r="G54" i="126"/>
  <c r="G54" i="175"/>
  <c r="G51" i="175"/>
  <c r="C25" i="176" s="1"/>
  <c r="L25" i="176" s="1"/>
  <c r="I49" i="175"/>
  <c r="K48" i="175" s="1"/>
  <c r="C53" i="154"/>
  <c r="C29" i="153"/>
  <c r="L29" i="153" s="1"/>
  <c r="K62" i="132"/>
  <c r="G58" i="132"/>
  <c r="C26" i="131" s="1"/>
  <c r="L26" i="131" s="1"/>
  <c r="I62" i="132"/>
  <c r="G54" i="138"/>
  <c r="G51" i="138"/>
  <c r="C25" i="137" s="1"/>
  <c r="L25" i="137" s="1"/>
  <c r="I49" i="138"/>
  <c r="K48" i="138" s="1"/>
  <c r="N48" i="189" l="1"/>
  <c r="N49" i="189"/>
  <c r="N50" i="189"/>
  <c r="I62" i="189"/>
  <c r="G58" i="189"/>
  <c r="C26" i="188" s="1"/>
  <c r="L26" i="188" s="1"/>
  <c r="K62" i="189"/>
  <c r="G21" i="196"/>
  <c r="I16" i="196"/>
  <c r="K15" i="196" s="1"/>
  <c r="G18" i="196"/>
  <c r="C12" i="197" s="1"/>
  <c r="L12" i="197" s="1"/>
  <c r="I49" i="154"/>
  <c r="K48" i="154" s="1"/>
  <c r="G54" i="154"/>
  <c r="G51" i="154"/>
  <c r="C25" i="153" s="1"/>
  <c r="L25" i="153" s="1"/>
  <c r="G21" i="189"/>
  <c r="I16" i="189"/>
  <c r="K15" i="189" s="1"/>
  <c r="G18" i="189"/>
  <c r="C13" i="188" s="1"/>
  <c r="L13" i="188" s="1"/>
  <c r="G18" i="140"/>
  <c r="C13" i="139" s="1"/>
  <c r="L13" i="139" s="1"/>
  <c r="I16" i="140"/>
  <c r="K15" i="140" s="1"/>
  <c r="G21" i="140"/>
  <c r="N49" i="138"/>
  <c r="N50" i="138"/>
  <c r="N48" i="138"/>
  <c r="N50" i="175"/>
  <c r="N48" i="175"/>
  <c r="N49" i="175"/>
  <c r="K29" i="138"/>
  <c r="I28" i="138" s="1"/>
  <c r="G25" i="138"/>
  <c r="C14" i="137" s="1"/>
  <c r="L14" i="137" s="1"/>
  <c r="I62" i="187"/>
  <c r="G58" i="187"/>
  <c r="C25" i="186" s="1"/>
  <c r="L25" i="186" s="1"/>
  <c r="K62" i="187"/>
  <c r="I16" i="132"/>
  <c r="K15" i="132" s="1"/>
  <c r="G21" i="132"/>
  <c r="G18" i="132"/>
  <c r="C13" i="131" s="1"/>
  <c r="L13" i="131" s="1"/>
  <c r="G61" i="195"/>
  <c r="G65" i="195" s="1"/>
  <c r="C26" i="194" s="1"/>
  <c r="L26" i="194" s="1"/>
  <c r="M65" i="195"/>
  <c r="N64" i="195" s="1"/>
  <c r="K29" i="142"/>
  <c r="I28" i="142" s="1"/>
  <c r="G25" i="142"/>
  <c r="C14" i="141" s="1"/>
  <c r="L14" i="141" s="1"/>
  <c r="N18" i="142"/>
  <c r="N16" i="142"/>
  <c r="N15" i="142"/>
  <c r="N19" i="142"/>
  <c r="N17" i="142"/>
  <c r="K62" i="138"/>
  <c r="I62" i="138"/>
  <c r="G58" i="138"/>
  <c r="C26" i="137" s="1"/>
  <c r="L26" i="137" s="1"/>
  <c r="K62" i="175"/>
  <c r="G58" i="175"/>
  <c r="C26" i="176" s="1"/>
  <c r="L26" i="176" s="1"/>
  <c r="I62" i="175"/>
  <c r="N19" i="138"/>
  <c r="N16" i="138"/>
  <c r="N17" i="138"/>
  <c r="N15" i="138"/>
  <c r="N18" i="138"/>
  <c r="C17" i="129"/>
  <c r="L17" i="129" s="1"/>
  <c r="C20" i="130"/>
  <c r="G25" i="122"/>
  <c r="C14" i="184" s="1"/>
  <c r="L14" i="184" s="1"/>
  <c r="K29" i="122"/>
  <c r="I28" i="122" s="1"/>
  <c r="C17" i="125"/>
  <c r="L17" i="125" s="1"/>
  <c r="C20" i="126"/>
  <c r="G18" i="126" s="1"/>
  <c r="C29" i="184"/>
  <c r="L29" i="184" s="1"/>
  <c r="C53" i="122"/>
  <c r="K62" i="136"/>
  <c r="I62" i="136"/>
  <c r="G58" i="136"/>
  <c r="C26" i="135" s="1"/>
  <c r="L26" i="135" s="1"/>
  <c r="N48" i="136"/>
  <c r="N50" i="136"/>
  <c r="N49" i="136"/>
  <c r="G61" i="132"/>
  <c r="G65" i="132" s="1"/>
  <c r="C27" i="131" s="1"/>
  <c r="L27" i="131" s="1"/>
  <c r="M65" i="132"/>
  <c r="N64" i="132" s="1"/>
  <c r="G18" i="154"/>
  <c r="C13" i="153" s="1"/>
  <c r="L13" i="153" s="1"/>
  <c r="G21" i="154"/>
  <c r="I16" i="154"/>
  <c r="K15" i="154" s="1"/>
  <c r="C32" i="195"/>
  <c r="D32" i="195"/>
  <c r="N18" i="191"/>
  <c r="N17" i="191"/>
  <c r="N16" i="191"/>
  <c r="N19" i="191"/>
  <c r="N15" i="191"/>
  <c r="I49" i="142"/>
  <c r="K48" i="142" s="1"/>
  <c r="G54" i="142"/>
  <c r="G51" i="142"/>
  <c r="C25" i="141" s="1"/>
  <c r="L25" i="141" s="1"/>
  <c r="N50" i="134"/>
  <c r="N49" i="134"/>
  <c r="N48" i="134"/>
  <c r="N50" i="126"/>
  <c r="N49" i="126"/>
  <c r="N48" i="126"/>
  <c r="N50" i="187"/>
  <c r="N48" i="187"/>
  <c r="N49" i="187"/>
  <c r="G25" i="191"/>
  <c r="C14" i="190" s="1"/>
  <c r="L14" i="190" s="1"/>
  <c r="K29" i="191"/>
  <c r="I28" i="191" s="1"/>
  <c r="G58" i="126"/>
  <c r="C26" i="125" s="1"/>
  <c r="L26" i="125" s="1"/>
  <c r="K62" i="126"/>
  <c r="I62" i="126"/>
  <c r="N48" i="191"/>
  <c r="N49" i="191"/>
  <c r="N50" i="191"/>
  <c r="G54" i="130"/>
  <c r="G51" i="130"/>
  <c r="C25" i="129" s="1"/>
  <c r="L25" i="129" s="1"/>
  <c r="I49" i="130"/>
  <c r="K48" i="130" s="1"/>
  <c r="D32" i="187"/>
  <c r="C32" i="187"/>
  <c r="N50" i="196"/>
  <c r="N49" i="196"/>
  <c r="N48" i="196"/>
  <c r="K62" i="196"/>
  <c r="I62" i="196"/>
  <c r="G58" i="196"/>
  <c r="C25" i="197" s="1"/>
  <c r="L25" i="197" s="1"/>
  <c r="G21" i="136"/>
  <c r="G18" i="136"/>
  <c r="C13" i="135" s="1"/>
  <c r="L13" i="135" s="1"/>
  <c r="I16" i="136"/>
  <c r="K15" i="136" s="1"/>
  <c r="I16" i="175"/>
  <c r="K15" i="175" s="1"/>
  <c r="G18" i="175"/>
  <c r="C13" i="176" s="1"/>
  <c r="L13" i="176" s="1"/>
  <c r="G21" i="175"/>
  <c r="N15" i="122"/>
  <c r="N19" i="122"/>
  <c r="N18" i="122"/>
  <c r="N16" i="122"/>
  <c r="N17" i="122"/>
  <c r="K62" i="191"/>
  <c r="I62" i="191"/>
  <c r="G58" i="191"/>
  <c r="C26" i="190" s="1"/>
  <c r="L26" i="190" s="1"/>
  <c r="I16" i="199"/>
  <c r="K15" i="199" s="1"/>
  <c r="G18" i="199"/>
  <c r="C13" i="200" s="1"/>
  <c r="L13" i="200" s="1"/>
  <c r="G21" i="199"/>
  <c r="M65" i="140"/>
  <c r="N64" i="140" s="1"/>
  <c r="G61" i="140"/>
  <c r="G65" i="140" s="1"/>
  <c r="C27" i="139" s="1"/>
  <c r="L27" i="139" s="1"/>
  <c r="C53" i="199"/>
  <c r="C29" i="200"/>
  <c r="L29" i="200" s="1"/>
  <c r="G18" i="134"/>
  <c r="C12" i="133" s="1"/>
  <c r="L12" i="133" s="1"/>
  <c r="G21" i="134"/>
  <c r="I16" i="134"/>
  <c r="K15" i="134" s="1"/>
  <c r="I62" i="134"/>
  <c r="K62" i="134"/>
  <c r="G58" i="134"/>
  <c r="C25" i="133" s="1"/>
  <c r="L25" i="133" s="1"/>
  <c r="M65" i="189" l="1"/>
  <c r="N64" i="189" s="1"/>
  <c r="G61" i="189"/>
  <c r="G65" i="189" s="1"/>
  <c r="C27" i="188" s="1"/>
  <c r="L27" i="188" s="1"/>
  <c r="I68" i="195"/>
  <c r="G72" i="195" s="1"/>
  <c r="I68" i="140"/>
  <c r="G72" i="140" s="1"/>
  <c r="M32" i="191"/>
  <c r="N31" i="191" s="1"/>
  <c r="G32" i="191"/>
  <c r="G28" i="191"/>
  <c r="N19" i="199"/>
  <c r="N16" i="199"/>
  <c r="N17" i="199"/>
  <c r="N18" i="199"/>
  <c r="N15" i="199"/>
  <c r="N50" i="130"/>
  <c r="N48" i="130"/>
  <c r="N49" i="130"/>
  <c r="M65" i="136"/>
  <c r="N64" i="136" s="1"/>
  <c r="G61" i="136"/>
  <c r="G65" i="136" s="1"/>
  <c r="C27" i="135" s="1"/>
  <c r="L27" i="135" s="1"/>
  <c r="N16" i="189"/>
  <c r="N18" i="189"/>
  <c r="N15" i="189"/>
  <c r="N19" i="189"/>
  <c r="N17" i="189"/>
  <c r="M65" i="191"/>
  <c r="N64" i="191" s="1"/>
  <c r="G61" i="191"/>
  <c r="G65" i="191" s="1"/>
  <c r="C27" i="190" s="1"/>
  <c r="L27" i="190" s="1"/>
  <c r="N48" i="142"/>
  <c r="N49" i="142"/>
  <c r="N50" i="142"/>
  <c r="I68" i="132"/>
  <c r="G61" i="187"/>
  <c r="G65" i="187" s="1"/>
  <c r="C26" i="186" s="1"/>
  <c r="L26" i="186" s="1"/>
  <c r="M65" i="187"/>
  <c r="N64" i="187" s="1"/>
  <c r="K29" i="189"/>
  <c r="I28" i="189" s="1"/>
  <c r="G25" i="189"/>
  <c r="C14" i="188" s="1"/>
  <c r="L14" i="188" s="1"/>
  <c r="G25" i="175"/>
  <c r="C14" i="176" s="1"/>
  <c r="L14" i="176" s="1"/>
  <c r="K29" i="175"/>
  <c r="I28" i="175" s="1"/>
  <c r="M32" i="122"/>
  <c r="N31" i="122" s="1"/>
  <c r="G32" i="122"/>
  <c r="C15" i="184" s="1"/>
  <c r="L15" i="184" s="1"/>
  <c r="G28" i="122"/>
  <c r="I62" i="130"/>
  <c r="G58" i="130"/>
  <c r="C26" i="129" s="1"/>
  <c r="L26" i="129" s="1"/>
  <c r="K62" i="130"/>
  <c r="I16" i="130"/>
  <c r="K15" i="130" s="1"/>
  <c r="G18" i="130"/>
  <c r="C13" i="129" s="1"/>
  <c r="L13" i="129" s="1"/>
  <c r="G21" i="130"/>
  <c r="M65" i="175"/>
  <c r="N64" i="175" s="1"/>
  <c r="G61" i="175"/>
  <c r="G65" i="175" s="1"/>
  <c r="C27" i="176" s="1"/>
  <c r="L27" i="176" s="1"/>
  <c r="N17" i="136"/>
  <c r="N15" i="136"/>
  <c r="N16" i="136"/>
  <c r="N19" i="136"/>
  <c r="N18" i="136"/>
  <c r="I62" i="154"/>
  <c r="G58" i="154"/>
  <c r="C26" i="153" s="1"/>
  <c r="L26" i="153" s="1"/>
  <c r="K62" i="154"/>
  <c r="G32" i="142"/>
  <c r="C15" i="141" s="1"/>
  <c r="L15" i="141" s="1"/>
  <c r="M32" i="142"/>
  <c r="N31" i="142" s="1"/>
  <c r="G28" i="142"/>
  <c r="M65" i="134"/>
  <c r="N64" i="134" s="1"/>
  <c r="G61" i="134"/>
  <c r="G65" i="134" s="1"/>
  <c r="C26" i="133" s="1"/>
  <c r="L26" i="133" s="1"/>
  <c r="N18" i="134"/>
  <c r="N16" i="134"/>
  <c r="N17" i="134"/>
  <c r="N19" i="134"/>
  <c r="N15" i="134"/>
  <c r="C20" i="195"/>
  <c r="C16" i="194"/>
  <c r="L16" i="194" s="1"/>
  <c r="C13" i="125"/>
  <c r="L13" i="125" s="1"/>
  <c r="G21" i="126"/>
  <c r="I16" i="126"/>
  <c r="K15" i="126" s="1"/>
  <c r="K29" i="140"/>
  <c r="I28" i="140" s="1"/>
  <c r="G25" i="140"/>
  <c r="C14" i="139" s="1"/>
  <c r="L14" i="139" s="1"/>
  <c r="N49" i="154"/>
  <c r="N50" i="154"/>
  <c r="N48" i="154"/>
  <c r="G51" i="199"/>
  <c r="C25" i="200" s="1"/>
  <c r="L25" i="200" s="1"/>
  <c r="G54" i="199"/>
  <c r="I49" i="199"/>
  <c r="K48" i="199" s="1"/>
  <c r="I62" i="142"/>
  <c r="K62" i="142"/>
  <c r="G58" i="142"/>
  <c r="C26" i="141" s="1"/>
  <c r="L26" i="141" s="1"/>
  <c r="M32" i="138"/>
  <c r="N31" i="138" s="1"/>
  <c r="G28" i="138"/>
  <c r="G32" i="138"/>
  <c r="C15" i="137" s="1"/>
  <c r="L15" i="137" s="1"/>
  <c r="K29" i="134"/>
  <c r="I28" i="134" s="1"/>
  <c r="G25" i="134"/>
  <c r="C13" i="133" s="1"/>
  <c r="L13" i="133" s="1"/>
  <c r="K29" i="199"/>
  <c r="I28" i="199" s="1"/>
  <c r="G25" i="199"/>
  <c r="C14" i="200" s="1"/>
  <c r="L14" i="200" s="1"/>
  <c r="K29" i="136"/>
  <c r="I28" i="136" s="1"/>
  <c r="G25" i="136"/>
  <c r="C14" i="135" s="1"/>
  <c r="L14" i="135" s="1"/>
  <c r="N16" i="154"/>
  <c r="N15" i="154"/>
  <c r="N17" i="154"/>
  <c r="N19" i="154"/>
  <c r="N18" i="154"/>
  <c r="G25" i="132"/>
  <c r="C14" i="131" s="1"/>
  <c r="L14" i="131" s="1"/>
  <c r="K29" i="132"/>
  <c r="I28" i="132" s="1"/>
  <c r="N19" i="140"/>
  <c r="N15" i="140"/>
  <c r="N17" i="140"/>
  <c r="N16" i="140"/>
  <c r="N18" i="140"/>
  <c r="G61" i="126"/>
  <c r="G65" i="126" s="1"/>
  <c r="C27" i="125" s="1"/>
  <c r="L27" i="125" s="1"/>
  <c r="M65" i="126"/>
  <c r="N64" i="126" s="1"/>
  <c r="K29" i="196"/>
  <c r="I28" i="196" s="1"/>
  <c r="G25" i="196"/>
  <c r="C13" i="197" s="1"/>
  <c r="L13" i="197" s="1"/>
  <c r="M65" i="196"/>
  <c r="N64" i="196" s="1"/>
  <c r="G61" i="196"/>
  <c r="G65" i="196" s="1"/>
  <c r="C26" i="197" s="1"/>
  <c r="L26" i="197" s="1"/>
  <c r="N16" i="175"/>
  <c r="N15" i="175"/>
  <c r="N17" i="175"/>
  <c r="N19" i="175"/>
  <c r="N18" i="175"/>
  <c r="G54" i="122"/>
  <c r="G51" i="122"/>
  <c r="C25" i="184" s="1"/>
  <c r="L25" i="184" s="1"/>
  <c r="I49" i="122"/>
  <c r="K48" i="122" s="1"/>
  <c r="C20" i="187"/>
  <c r="C16" i="186"/>
  <c r="L16" i="186" s="1"/>
  <c r="K29" i="154"/>
  <c r="I28" i="154" s="1"/>
  <c r="G25" i="154"/>
  <c r="C14" i="153" s="1"/>
  <c r="L14" i="153" s="1"/>
  <c r="G61" i="138"/>
  <c r="G65" i="138" s="1"/>
  <c r="C27" i="137" s="1"/>
  <c r="L27" i="137" s="1"/>
  <c r="M65" i="138"/>
  <c r="N64" i="138" s="1"/>
  <c r="N15" i="132"/>
  <c r="N16" i="132"/>
  <c r="N19" i="132"/>
  <c r="N18" i="132"/>
  <c r="N17" i="132"/>
  <c r="N15" i="196"/>
  <c r="N19" i="196"/>
  <c r="N16" i="196"/>
  <c r="N18" i="196"/>
  <c r="N17" i="196"/>
  <c r="G68" i="140" l="1"/>
  <c r="I35" i="122"/>
  <c r="I68" i="189"/>
  <c r="G72" i="189" s="1"/>
  <c r="I35" i="138"/>
  <c r="G35" i="138" s="1"/>
  <c r="I68" i="134"/>
  <c r="G72" i="134" s="1"/>
  <c r="G68" i="195"/>
  <c r="I68" i="175"/>
  <c r="G72" i="175" s="1"/>
  <c r="I35" i="142"/>
  <c r="G39" i="142" s="1"/>
  <c r="I35" i="191"/>
  <c r="G35" i="191" s="1"/>
  <c r="I68" i="126"/>
  <c r="G68" i="126" s="1"/>
  <c r="G28" i="132"/>
  <c r="G32" i="132"/>
  <c r="C15" i="131" s="1"/>
  <c r="L15" i="131" s="1"/>
  <c r="M32" i="132"/>
  <c r="N31" i="132" s="1"/>
  <c r="G32" i="175"/>
  <c r="C15" i="176" s="1"/>
  <c r="L15" i="176" s="1"/>
  <c r="G28" i="175"/>
  <c r="M32" i="175"/>
  <c r="N31" i="175" s="1"/>
  <c r="G32" i="189"/>
  <c r="C15" i="188" s="1"/>
  <c r="L15" i="188" s="1"/>
  <c r="G28" i="189"/>
  <c r="M32" i="189"/>
  <c r="N31" i="189" s="1"/>
  <c r="G32" i="140"/>
  <c r="C15" i="139" s="1"/>
  <c r="L15" i="139" s="1"/>
  <c r="G28" i="140"/>
  <c r="M32" i="140"/>
  <c r="N31" i="140" s="1"/>
  <c r="G28" i="136"/>
  <c r="M32" i="136"/>
  <c r="N31" i="136" s="1"/>
  <c r="G32" i="136"/>
  <c r="C15" i="135" s="1"/>
  <c r="L15" i="135" s="1"/>
  <c r="G28" i="154"/>
  <c r="G32" i="154"/>
  <c r="C15" i="153" s="1"/>
  <c r="L15" i="153" s="1"/>
  <c r="M32" i="154"/>
  <c r="N31" i="154" s="1"/>
  <c r="I16" i="195"/>
  <c r="K15" i="195" s="1"/>
  <c r="G21" i="195"/>
  <c r="G18" i="195"/>
  <c r="C12" i="194" s="1"/>
  <c r="L12" i="194" s="1"/>
  <c r="I68" i="187"/>
  <c r="I68" i="138"/>
  <c r="G18" i="187"/>
  <c r="C12" i="186" s="1"/>
  <c r="L12" i="186" s="1"/>
  <c r="I16" i="187"/>
  <c r="K15" i="187" s="1"/>
  <c r="G21" i="187"/>
  <c r="N48" i="199"/>
  <c r="N50" i="199"/>
  <c r="N49" i="199"/>
  <c r="M65" i="130"/>
  <c r="N64" i="130" s="1"/>
  <c r="G61" i="130"/>
  <c r="G65" i="130" s="1"/>
  <c r="C27" i="129" s="1"/>
  <c r="L27" i="129" s="1"/>
  <c r="G28" i="196"/>
  <c r="M32" i="196"/>
  <c r="N31" i="196" s="1"/>
  <c r="G32" i="196"/>
  <c r="C14" i="197" s="1"/>
  <c r="L14" i="197" s="1"/>
  <c r="M32" i="199"/>
  <c r="N31" i="199" s="1"/>
  <c r="G28" i="199"/>
  <c r="G32" i="199"/>
  <c r="C15" i="200" s="1"/>
  <c r="L15" i="200" s="1"/>
  <c r="M65" i="154"/>
  <c r="N64" i="154" s="1"/>
  <c r="G61" i="154"/>
  <c r="G65" i="154" s="1"/>
  <c r="C27" i="153" s="1"/>
  <c r="L27" i="153" s="1"/>
  <c r="I62" i="122"/>
  <c r="K62" i="122"/>
  <c r="G58" i="122"/>
  <c r="C26" i="184" s="1"/>
  <c r="L26" i="184" s="1"/>
  <c r="M65" i="142"/>
  <c r="N64" i="142" s="1"/>
  <c r="G61" i="142"/>
  <c r="G65" i="142" s="1"/>
  <c r="C27" i="141" s="1"/>
  <c r="L27" i="141" s="1"/>
  <c r="G32" i="134"/>
  <c r="C14" i="133" s="1"/>
  <c r="L14" i="133" s="1"/>
  <c r="G28" i="134"/>
  <c r="M32" i="134"/>
  <c r="N31" i="134" s="1"/>
  <c r="N17" i="126"/>
  <c r="N18" i="126"/>
  <c r="N16" i="126"/>
  <c r="N19" i="126"/>
  <c r="N15" i="126"/>
  <c r="K29" i="130"/>
  <c r="I28" i="130" s="1"/>
  <c r="G25" i="130"/>
  <c r="C14" i="129" s="1"/>
  <c r="L14" i="129" s="1"/>
  <c r="C17" i="190"/>
  <c r="L17" i="190" s="1"/>
  <c r="C15" i="190"/>
  <c r="L15" i="190" s="1"/>
  <c r="G68" i="134"/>
  <c r="G35" i="122"/>
  <c r="G39" i="122"/>
  <c r="N48" i="122"/>
  <c r="N49" i="122"/>
  <c r="N50" i="122"/>
  <c r="I68" i="196"/>
  <c r="K29" i="126"/>
  <c r="I28" i="126" s="1"/>
  <c r="G25" i="126"/>
  <c r="C14" i="125" s="1"/>
  <c r="L14" i="125" s="1"/>
  <c r="G68" i="132"/>
  <c r="G72" i="132"/>
  <c r="I68" i="191"/>
  <c r="K73" i="195"/>
  <c r="N72" i="195" s="1"/>
  <c r="H76" i="195"/>
  <c r="K75" i="195" s="1"/>
  <c r="C27" i="194"/>
  <c r="L27" i="194" s="1"/>
  <c r="I62" i="199"/>
  <c r="K62" i="199"/>
  <c r="G58" i="199"/>
  <c r="C26" i="200" s="1"/>
  <c r="L26" i="200" s="1"/>
  <c r="N17" i="130"/>
  <c r="N19" i="130"/>
  <c r="N15" i="130"/>
  <c r="N16" i="130"/>
  <c r="N18" i="130"/>
  <c r="C28" i="139"/>
  <c r="L28" i="139" s="1"/>
  <c r="H76" i="140"/>
  <c r="K75" i="140" s="1"/>
  <c r="K73" i="140"/>
  <c r="N72" i="140" s="1"/>
  <c r="I68" i="136"/>
  <c r="G39" i="138" l="1"/>
  <c r="C16" i="137" s="1"/>
  <c r="L16" i="137" s="1"/>
  <c r="G68" i="175"/>
  <c r="G39" i="191"/>
  <c r="G68" i="189"/>
  <c r="G72" i="126"/>
  <c r="K73" i="126" s="1"/>
  <c r="N72" i="126" s="1"/>
  <c r="G35" i="142"/>
  <c r="I35" i="136"/>
  <c r="G39" i="136" s="1"/>
  <c r="I35" i="132"/>
  <c r="G35" i="132" s="1"/>
  <c r="I68" i="154"/>
  <c r="G68" i="154" s="1"/>
  <c r="C28" i="188"/>
  <c r="L28" i="188" s="1"/>
  <c r="H76" i="189"/>
  <c r="K75" i="189" s="1"/>
  <c r="K73" i="189"/>
  <c r="N72" i="189" s="1"/>
  <c r="I35" i="154"/>
  <c r="G35" i="154" s="1"/>
  <c r="I35" i="196"/>
  <c r="G39" i="196" s="1"/>
  <c r="I35" i="175"/>
  <c r="G35" i="175" s="1"/>
  <c r="I68" i="130"/>
  <c r="G68" i="130" s="1"/>
  <c r="L40" i="138"/>
  <c r="N39" i="138" s="1"/>
  <c r="G68" i="191"/>
  <c r="G72" i="191"/>
  <c r="I35" i="140"/>
  <c r="N18" i="195"/>
  <c r="N17" i="195"/>
  <c r="N16" i="195"/>
  <c r="N19" i="195"/>
  <c r="N15" i="195"/>
  <c r="G68" i="136"/>
  <c r="G72" i="136"/>
  <c r="N77" i="195"/>
  <c r="N75" i="195"/>
  <c r="N76" i="195"/>
  <c r="H43" i="142"/>
  <c r="J42" i="142" s="1"/>
  <c r="C16" i="141"/>
  <c r="L16" i="141" s="1"/>
  <c r="L40" i="142"/>
  <c r="N39" i="142" s="1"/>
  <c r="K29" i="187"/>
  <c r="I28" i="187" s="1"/>
  <c r="G25" i="187"/>
  <c r="C13" i="186" s="1"/>
  <c r="L13" i="186" s="1"/>
  <c r="G68" i="187"/>
  <c r="G72" i="187"/>
  <c r="C28" i="176"/>
  <c r="L28" i="176" s="1"/>
  <c r="H76" i="175"/>
  <c r="K75" i="175" s="1"/>
  <c r="K73" i="175"/>
  <c r="N72" i="175" s="1"/>
  <c r="L40" i="122"/>
  <c r="N39" i="122" s="1"/>
  <c r="H43" i="122"/>
  <c r="J42" i="122" s="1"/>
  <c r="C16" i="184"/>
  <c r="L16" i="184" s="1"/>
  <c r="G28" i="130"/>
  <c r="G32" i="130"/>
  <c r="C15" i="129" s="1"/>
  <c r="L15" i="129" s="1"/>
  <c r="M32" i="130"/>
  <c r="N31" i="130" s="1"/>
  <c r="N17" i="187"/>
  <c r="N15" i="187"/>
  <c r="N16" i="187"/>
  <c r="N18" i="187"/>
  <c r="N19" i="187"/>
  <c r="G61" i="199"/>
  <c r="G65" i="199" s="1"/>
  <c r="C27" i="200" s="1"/>
  <c r="L27" i="200" s="1"/>
  <c r="M65" i="199"/>
  <c r="N64" i="199" s="1"/>
  <c r="H76" i="134"/>
  <c r="K75" i="134" s="1"/>
  <c r="C27" i="133"/>
  <c r="L27" i="133" s="1"/>
  <c r="K73" i="134"/>
  <c r="N72" i="134" s="1"/>
  <c r="N75" i="140"/>
  <c r="N77" i="140"/>
  <c r="N76" i="140"/>
  <c r="G68" i="196"/>
  <c r="G72" i="196"/>
  <c r="G61" i="122"/>
  <c r="G65" i="122" s="1"/>
  <c r="C27" i="184" s="1"/>
  <c r="L27" i="184" s="1"/>
  <c r="M65" i="122"/>
  <c r="N64" i="122" s="1"/>
  <c r="I35" i="199"/>
  <c r="I35" i="189"/>
  <c r="C16" i="190"/>
  <c r="L16" i="190" s="1"/>
  <c r="L40" i="191"/>
  <c r="N39" i="191" s="1"/>
  <c r="H43" i="191"/>
  <c r="J42" i="191" s="1"/>
  <c r="M32" i="126"/>
  <c r="N31" i="126" s="1"/>
  <c r="G32" i="126"/>
  <c r="C15" i="125" s="1"/>
  <c r="L15" i="125" s="1"/>
  <c r="G28" i="126"/>
  <c r="I68" i="142"/>
  <c r="K73" i="132"/>
  <c r="N72" i="132" s="1"/>
  <c r="C28" i="131"/>
  <c r="L28" i="131" s="1"/>
  <c r="H76" i="132"/>
  <c r="K75" i="132" s="1"/>
  <c r="I35" i="134"/>
  <c r="G68" i="138"/>
  <c r="G72" i="138"/>
  <c r="K29" i="195"/>
  <c r="I28" i="195" s="1"/>
  <c r="G25" i="195"/>
  <c r="C13" i="194" s="1"/>
  <c r="L13" i="194" s="1"/>
  <c r="E6" i="165"/>
  <c r="E7" i="165"/>
  <c r="F53" i="165" s="1"/>
  <c r="E8" i="165"/>
  <c r="H53" i="165" s="1"/>
  <c r="F52" i="165"/>
  <c r="H52" i="165"/>
  <c r="L47" i="153"/>
  <c r="C28" i="125" l="1"/>
  <c r="L28" i="125" s="1"/>
  <c r="H76" i="126"/>
  <c r="K75" i="126" s="1"/>
  <c r="H43" i="138"/>
  <c r="J42" i="138" s="1"/>
  <c r="N45" i="138" s="1"/>
  <c r="G35" i="136"/>
  <c r="G72" i="154"/>
  <c r="C28" i="153" s="1"/>
  <c r="L28" i="153" s="1"/>
  <c r="G39" i="132"/>
  <c r="H43" i="132" s="1"/>
  <c r="J42" i="132" s="1"/>
  <c r="G35" i="196"/>
  <c r="G72" i="130"/>
  <c r="C28" i="129" s="1"/>
  <c r="L28" i="129" s="1"/>
  <c r="G39" i="154"/>
  <c r="H43" i="154" s="1"/>
  <c r="J42" i="154" s="1"/>
  <c r="N77" i="189"/>
  <c r="N76" i="189"/>
  <c r="N75" i="189"/>
  <c r="G39" i="175"/>
  <c r="C16" i="176" s="1"/>
  <c r="L16" i="176" s="1"/>
  <c r="E9" i="165"/>
  <c r="I68" i="122"/>
  <c r="G68" i="122" s="1"/>
  <c r="I68" i="199"/>
  <c r="G72" i="199" s="1"/>
  <c r="M32" i="195"/>
  <c r="N31" i="195" s="1"/>
  <c r="G28" i="195"/>
  <c r="G32" i="195"/>
  <c r="C14" i="194" s="1"/>
  <c r="L14" i="194" s="1"/>
  <c r="C28" i="135"/>
  <c r="L28" i="135" s="1"/>
  <c r="K73" i="136"/>
  <c r="N72" i="136" s="1"/>
  <c r="H76" i="136"/>
  <c r="K75" i="136" s="1"/>
  <c r="N42" i="138"/>
  <c r="N44" i="138"/>
  <c r="G68" i="142"/>
  <c r="G72" i="142"/>
  <c r="G28" i="187"/>
  <c r="G32" i="187"/>
  <c r="C14" i="186" s="1"/>
  <c r="L14" i="186" s="1"/>
  <c r="M32" i="187"/>
  <c r="N31" i="187" s="1"/>
  <c r="N75" i="126"/>
  <c r="N76" i="126"/>
  <c r="N77" i="126"/>
  <c r="K73" i="138"/>
  <c r="N72" i="138" s="1"/>
  <c r="H76" i="138"/>
  <c r="K75" i="138" s="1"/>
  <c r="C28" i="137"/>
  <c r="L28" i="137" s="1"/>
  <c r="H76" i="196"/>
  <c r="K75" i="196" s="1"/>
  <c r="K73" i="196"/>
  <c r="N72" i="196" s="1"/>
  <c r="C27" i="197"/>
  <c r="L27" i="197" s="1"/>
  <c r="K73" i="191"/>
  <c r="N72" i="191" s="1"/>
  <c r="H76" i="191"/>
  <c r="K75" i="191" s="1"/>
  <c r="C28" i="190"/>
  <c r="L28" i="190" s="1"/>
  <c r="G35" i="189"/>
  <c r="G39" i="189"/>
  <c r="L40" i="196"/>
  <c r="N39" i="196" s="1"/>
  <c r="C15" i="197"/>
  <c r="L15" i="197" s="1"/>
  <c r="H43" i="196"/>
  <c r="J42" i="196" s="1"/>
  <c r="G35" i="134"/>
  <c r="G39" i="134"/>
  <c r="N41" i="122"/>
  <c r="T16" i="122" s="1"/>
  <c r="N43" i="122"/>
  <c r="N45" i="122"/>
  <c r="N42" i="122"/>
  <c r="N44" i="122"/>
  <c r="I35" i="126"/>
  <c r="G35" i="199"/>
  <c r="G39" i="199"/>
  <c r="C27" i="186"/>
  <c r="L27" i="186" s="1"/>
  <c r="K73" i="187"/>
  <c r="N72" i="187" s="1"/>
  <c r="H76" i="187"/>
  <c r="K75" i="187" s="1"/>
  <c r="G35" i="140"/>
  <c r="G39" i="140"/>
  <c r="N76" i="134"/>
  <c r="N77" i="134"/>
  <c r="N75" i="134"/>
  <c r="N77" i="132"/>
  <c r="N76" i="132"/>
  <c r="N75" i="132"/>
  <c r="N43" i="191"/>
  <c r="N42" i="191"/>
  <c r="N44" i="191"/>
  <c r="N41" i="191"/>
  <c r="T16" i="191" s="1"/>
  <c r="N45" i="191"/>
  <c r="H43" i="136"/>
  <c r="J42" i="136" s="1"/>
  <c r="C16" i="135"/>
  <c r="L16" i="135" s="1"/>
  <c r="L40" i="136"/>
  <c r="N39" i="136" s="1"/>
  <c r="N41" i="142"/>
  <c r="T16" i="142" s="1"/>
  <c r="N42" i="142"/>
  <c r="N44" i="142"/>
  <c r="N45" i="142"/>
  <c r="N43" i="142"/>
  <c r="I35" i="130"/>
  <c r="N77" i="175"/>
  <c r="N75" i="175"/>
  <c r="N76" i="175"/>
  <c r="K73" i="154" l="1"/>
  <c r="N72" i="154" s="1"/>
  <c r="H76" i="154"/>
  <c r="K75" i="154" s="1"/>
  <c r="N43" i="138"/>
  <c r="N41" i="138"/>
  <c r="T16" i="138" s="1"/>
  <c r="V17" i="138" s="1"/>
  <c r="C16" i="131"/>
  <c r="L16" i="131" s="1"/>
  <c r="H43" i="175"/>
  <c r="J42" i="175" s="1"/>
  <c r="N44" i="175" s="1"/>
  <c r="L40" i="132"/>
  <c r="N39" i="132" s="1"/>
  <c r="L40" i="154"/>
  <c r="N39" i="154" s="1"/>
  <c r="C16" i="153"/>
  <c r="L16" i="153" s="1"/>
  <c r="H76" i="130"/>
  <c r="K75" i="130" s="1"/>
  <c r="N76" i="130" s="1"/>
  <c r="K73" i="130"/>
  <c r="N72" i="130" s="1"/>
  <c r="L40" i="175"/>
  <c r="N39" i="175" s="1"/>
  <c r="G72" i="122"/>
  <c r="K73" i="122" s="1"/>
  <c r="N72" i="122" s="1"/>
  <c r="I35" i="195"/>
  <c r="G35" i="195" s="1"/>
  <c r="G68" i="199"/>
  <c r="I35" i="187"/>
  <c r="G35" i="187" s="1"/>
  <c r="H43" i="134"/>
  <c r="J42" i="134" s="1"/>
  <c r="L40" i="134"/>
  <c r="N39" i="134" s="1"/>
  <c r="C15" i="133"/>
  <c r="L15" i="133" s="1"/>
  <c r="K73" i="142"/>
  <c r="N72" i="142" s="1"/>
  <c r="H76" i="142"/>
  <c r="K75" i="142" s="1"/>
  <c r="C28" i="141"/>
  <c r="L28" i="141" s="1"/>
  <c r="K73" i="199"/>
  <c r="N72" i="199" s="1"/>
  <c r="H76" i="199"/>
  <c r="K75" i="199" s="1"/>
  <c r="C28" i="200"/>
  <c r="L28" i="200" s="1"/>
  <c r="G35" i="126"/>
  <c r="G39" i="126"/>
  <c r="N76" i="196"/>
  <c r="N77" i="196"/>
  <c r="N75" i="196"/>
  <c r="C16" i="188"/>
  <c r="L16" i="188" s="1"/>
  <c r="L40" i="189"/>
  <c r="N39" i="189" s="1"/>
  <c r="H43" i="189"/>
  <c r="J42" i="189" s="1"/>
  <c r="N44" i="136"/>
  <c r="N41" i="136"/>
  <c r="T16" i="136" s="1"/>
  <c r="N45" i="136"/>
  <c r="N43" i="136"/>
  <c r="N42" i="136"/>
  <c r="N42" i="196"/>
  <c r="N43" i="196"/>
  <c r="N44" i="196"/>
  <c r="N45" i="196"/>
  <c r="N41" i="196"/>
  <c r="T16" i="196" s="1"/>
  <c r="N76" i="191"/>
  <c r="N77" i="191"/>
  <c r="N75" i="191"/>
  <c r="N75" i="138"/>
  <c r="N76" i="138"/>
  <c r="N77" i="138"/>
  <c r="N75" i="154"/>
  <c r="N76" i="154"/>
  <c r="N77" i="154"/>
  <c r="V17" i="142"/>
  <c r="V14" i="142"/>
  <c r="AB16" i="142" s="1"/>
  <c r="S16" i="142"/>
  <c r="C19" i="141" s="1"/>
  <c r="L19" i="141" s="1"/>
  <c r="C16" i="139"/>
  <c r="L16" i="139" s="1"/>
  <c r="H43" i="140"/>
  <c r="J42" i="140" s="1"/>
  <c r="L40" i="140"/>
  <c r="N39" i="140" s="1"/>
  <c r="N44" i="154"/>
  <c r="N43" i="154"/>
  <c r="N41" i="154"/>
  <c r="T16" i="154" s="1"/>
  <c r="N45" i="154"/>
  <c r="N42" i="154"/>
  <c r="V17" i="191"/>
  <c r="V14" i="191"/>
  <c r="AB16" i="191" s="1"/>
  <c r="S16" i="191"/>
  <c r="C19" i="190" s="1"/>
  <c r="L19" i="190" s="1"/>
  <c r="N42" i="132"/>
  <c r="N43" i="132"/>
  <c r="N44" i="132"/>
  <c r="N41" i="132"/>
  <c r="T16" i="132" s="1"/>
  <c r="N45" i="132"/>
  <c r="H43" i="199"/>
  <c r="J42" i="199" s="1"/>
  <c r="L40" i="199"/>
  <c r="N39" i="199" s="1"/>
  <c r="C16" i="200"/>
  <c r="L16" i="200" s="1"/>
  <c r="N76" i="136"/>
  <c r="N77" i="136"/>
  <c r="N75" i="136"/>
  <c r="N76" i="187"/>
  <c r="N77" i="187"/>
  <c r="N75" i="187"/>
  <c r="G35" i="130"/>
  <c r="G39" i="130"/>
  <c r="S16" i="122"/>
  <c r="C19" i="184" s="1"/>
  <c r="L19" i="184" s="1"/>
  <c r="V17" i="122"/>
  <c r="V14" i="122"/>
  <c r="AB16" i="122" s="1"/>
  <c r="N77" i="130" l="1"/>
  <c r="S16" i="138"/>
  <c r="C19" i="137" s="1"/>
  <c r="L19" i="137" s="1"/>
  <c r="V14" i="138"/>
  <c r="AB16" i="138" s="1"/>
  <c r="AD18" i="138" s="1"/>
  <c r="N42" i="175"/>
  <c r="N43" i="175"/>
  <c r="N41" i="175"/>
  <c r="T16" i="175" s="1"/>
  <c r="V17" i="175" s="1"/>
  <c r="N75" i="130"/>
  <c r="N45" i="175"/>
  <c r="C28" i="184"/>
  <c r="L28" i="184" s="1"/>
  <c r="H76" i="122"/>
  <c r="K75" i="122" s="1"/>
  <c r="N75" i="122" s="1"/>
  <c r="G39" i="195"/>
  <c r="C15" i="194" s="1"/>
  <c r="L15" i="194" s="1"/>
  <c r="G39" i="187"/>
  <c r="L40" i="187" s="1"/>
  <c r="N39" i="187" s="1"/>
  <c r="N41" i="199"/>
  <c r="T16" i="199" s="1"/>
  <c r="N42" i="199"/>
  <c r="N45" i="199"/>
  <c r="N44" i="199"/>
  <c r="N43" i="199"/>
  <c r="S16" i="196"/>
  <c r="C18" i="197" s="1"/>
  <c r="L18" i="197" s="1"/>
  <c r="V14" i="196"/>
  <c r="AB16" i="196" s="1"/>
  <c r="V17" i="196"/>
  <c r="V17" i="154"/>
  <c r="S16" i="154"/>
  <c r="C19" i="153" s="1"/>
  <c r="L19" i="153" s="1"/>
  <c r="V14" i="154"/>
  <c r="AB16" i="154" s="1"/>
  <c r="N43" i="140"/>
  <c r="N45" i="140"/>
  <c r="N41" i="140"/>
  <c r="T16" i="140" s="1"/>
  <c r="N44" i="140"/>
  <c r="N42" i="140"/>
  <c r="S16" i="132"/>
  <c r="C19" i="131" s="1"/>
  <c r="L19" i="131" s="1"/>
  <c r="V14" i="132"/>
  <c r="AB16" i="132" s="1"/>
  <c r="V17" i="132"/>
  <c r="AD15" i="138"/>
  <c r="AA16" i="138"/>
  <c r="C20" i="137" s="1"/>
  <c r="L20" i="137" s="1"/>
  <c r="AD17" i="138"/>
  <c r="N75" i="199"/>
  <c r="N77" i="199"/>
  <c r="N76" i="199"/>
  <c r="H43" i="130"/>
  <c r="J42" i="130" s="1"/>
  <c r="L40" i="130"/>
  <c r="N39" i="130" s="1"/>
  <c r="C16" i="129"/>
  <c r="L16" i="129" s="1"/>
  <c r="AD17" i="142"/>
  <c r="AA16" i="142"/>
  <c r="C20" i="141" s="1"/>
  <c r="L20" i="141" s="1"/>
  <c r="AD16" i="142"/>
  <c r="AD18" i="142"/>
  <c r="AD15" i="142"/>
  <c r="W18" i="138"/>
  <c r="W16" i="138"/>
  <c r="T24" i="138" s="1"/>
  <c r="W17" i="138"/>
  <c r="W19" i="138"/>
  <c r="V14" i="136"/>
  <c r="AB16" i="136" s="1"/>
  <c r="V17" i="136"/>
  <c r="S16" i="136"/>
  <c r="C19" i="135" s="1"/>
  <c r="L19" i="135" s="1"/>
  <c r="AA16" i="191"/>
  <c r="C20" i="190" s="1"/>
  <c r="L20" i="190" s="1"/>
  <c r="AD18" i="191"/>
  <c r="AD16" i="191"/>
  <c r="AD15" i="191"/>
  <c r="AD17" i="191"/>
  <c r="W19" i="142"/>
  <c r="W17" i="142"/>
  <c r="W18" i="142"/>
  <c r="W16" i="142"/>
  <c r="T24" i="142" s="1"/>
  <c r="W19" i="191"/>
  <c r="W18" i="191"/>
  <c r="W16" i="191"/>
  <c r="T24" i="191" s="1"/>
  <c r="W17" i="191"/>
  <c r="N41" i="189"/>
  <c r="T16" i="189" s="1"/>
  <c r="N45" i="189"/>
  <c r="N44" i="189"/>
  <c r="N42" i="189"/>
  <c r="N43" i="189"/>
  <c r="H43" i="126"/>
  <c r="J42" i="126" s="1"/>
  <c r="C16" i="125"/>
  <c r="L16" i="125" s="1"/>
  <c r="L40" i="126"/>
  <c r="N39" i="126" s="1"/>
  <c r="AD17" i="122"/>
  <c r="AD16" i="122"/>
  <c r="AA16" i="122"/>
  <c r="C20" i="184" s="1"/>
  <c r="L20" i="184" s="1"/>
  <c r="AD18" i="122"/>
  <c r="AD15" i="122"/>
  <c r="W16" i="122"/>
  <c r="T24" i="122" s="1"/>
  <c r="W17" i="122"/>
  <c r="W19" i="122"/>
  <c r="W18" i="122"/>
  <c r="N77" i="142"/>
  <c r="N75" i="142"/>
  <c r="N76" i="142"/>
  <c r="N42" i="134"/>
  <c r="N44" i="134"/>
  <c r="N43" i="134"/>
  <c r="N41" i="134"/>
  <c r="T16" i="134" s="1"/>
  <c r="N45" i="134"/>
  <c r="AD16" i="138" l="1"/>
  <c r="S16" i="175"/>
  <c r="C19" i="176" s="1"/>
  <c r="L19" i="176" s="1"/>
  <c r="N77" i="122"/>
  <c r="N76" i="122"/>
  <c r="V14" i="175"/>
  <c r="AB16" i="175" s="1"/>
  <c r="AD15" i="175" s="1"/>
  <c r="L40" i="195"/>
  <c r="N39" i="195" s="1"/>
  <c r="H43" i="187"/>
  <c r="J42" i="187" s="1"/>
  <c r="N45" i="187" s="1"/>
  <c r="C15" i="186"/>
  <c r="L15" i="186" s="1"/>
  <c r="H43" i="195"/>
  <c r="J42" i="195" s="1"/>
  <c r="N44" i="195" s="1"/>
  <c r="N44" i="187"/>
  <c r="N43" i="187"/>
  <c r="S16" i="189"/>
  <c r="C19" i="188" s="1"/>
  <c r="L19" i="188" s="1"/>
  <c r="V17" i="189"/>
  <c r="V14" i="189"/>
  <c r="AB16" i="189" s="1"/>
  <c r="W16" i="136"/>
  <c r="T24" i="136" s="1"/>
  <c r="W17" i="136"/>
  <c r="W19" i="136"/>
  <c r="W18" i="136"/>
  <c r="N44" i="130"/>
  <c r="N45" i="130"/>
  <c r="N42" i="130"/>
  <c r="N41" i="130"/>
  <c r="T16" i="130" s="1"/>
  <c r="N43" i="130"/>
  <c r="AD16" i="154"/>
  <c r="AD18" i="154"/>
  <c r="AD15" i="154"/>
  <c r="AA16" i="154"/>
  <c r="C20" i="153" s="1"/>
  <c r="L20" i="153" s="1"/>
  <c r="AD17" i="154"/>
  <c r="W16" i="196"/>
  <c r="T24" i="196" s="1"/>
  <c r="W18" i="196"/>
  <c r="W19" i="196"/>
  <c r="W17" i="196"/>
  <c r="AD16" i="136"/>
  <c r="AA16" i="136"/>
  <c r="C20" i="135" s="1"/>
  <c r="L20" i="135" s="1"/>
  <c r="AD15" i="136"/>
  <c r="AD18" i="136"/>
  <c r="AD17" i="136"/>
  <c r="AA16" i="196"/>
  <c r="C19" i="197" s="1"/>
  <c r="L19" i="197" s="1"/>
  <c r="AD15" i="196"/>
  <c r="AD18" i="196"/>
  <c r="AD16" i="196"/>
  <c r="AD17" i="196"/>
  <c r="AD16" i="175"/>
  <c r="AD17" i="175"/>
  <c r="AD18" i="175"/>
  <c r="AA16" i="175"/>
  <c r="C20" i="176" s="1"/>
  <c r="L20" i="176" s="1"/>
  <c r="W18" i="154"/>
  <c r="W17" i="154"/>
  <c r="W19" i="154"/>
  <c r="W16" i="154"/>
  <c r="T24" i="154" s="1"/>
  <c r="V14" i="134"/>
  <c r="AB16" i="134" s="1"/>
  <c r="V17" i="134"/>
  <c r="S16" i="134"/>
  <c r="C18" i="133" s="1"/>
  <c r="L18" i="133" s="1"/>
  <c r="V25" i="122"/>
  <c r="V22" i="122"/>
  <c r="AB24" i="122" s="1"/>
  <c r="S24" i="122"/>
  <c r="C22" i="184" s="1"/>
  <c r="L22" i="184" s="1"/>
  <c r="W18" i="175"/>
  <c r="W19" i="175"/>
  <c r="W16" i="175"/>
  <c r="T24" i="175" s="1"/>
  <c r="W17" i="175"/>
  <c r="N42" i="126"/>
  <c r="N43" i="126"/>
  <c r="N45" i="126"/>
  <c r="N44" i="126"/>
  <c r="N41" i="126"/>
  <c r="T16" i="126" s="1"/>
  <c r="V22" i="191"/>
  <c r="AB24" i="191" s="1"/>
  <c r="V25" i="191"/>
  <c r="S24" i="191"/>
  <c r="V25" i="142"/>
  <c r="V22" i="142"/>
  <c r="AB24" i="142" s="1"/>
  <c r="S24" i="142"/>
  <c r="C22" i="141" s="1"/>
  <c r="L22" i="141" s="1"/>
  <c r="W17" i="132"/>
  <c r="W16" i="132"/>
  <c r="T24" i="132" s="1"/>
  <c r="W18" i="132"/>
  <c r="W19" i="132"/>
  <c r="V22" i="138"/>
  <c r="AB24" i="138" s="1"/>
  <c r="V25" i="138"/>
  <c r="S24" i="138"/>
  <c r="C22" i="137" s="1"/>
  <c r="L22" i="137" s="1"/>
  <c r="AD18" i="132"/>
  <c r="AD16" i="132"/>
  <c r="AA16" i="132"/>
  <c r="C20" i="131" s="1"/>
  <c r="L20" i="131" s="1"/>
  <c r="AD17" i="132"/>
  <c r="AD15" i="132"/>
  <c r="V17" i="140"/>
  <c r="V14" i="140"/>
  <c r="AB16" i="140" s="1"/>
  <c r="S16" i="140"/>
  <c r="C19" i="139" s="1"/>
  <c r="L19" i="139" s="1"/>
  <c r="V17" i="199"/>
  <c r="S16" i="199"/>
  <c r="C19" i="200" s="1"/>
  <c r="L19" i="200" s="1"/>
  <c r="V14" i="199"/>
  <c r="AB16" i="199" s="1"/>
  <c r="N42" i="187" l="1"/>
  <c r="N41" i="187"/>
  <c r="T16" i="187" s="1"/>
  <c r="N43" i="195"/>
  <c r="N41" i="195"/>
  <c r="T16" i="195" s="1"/>
  <c r="N42" i="195"/>
  <c r="N45" i="195"/>
  <c r="V22" i="132"/>
  <c r="AB24" i="132" s="1"/>
  <c r="V25" i="132"/>
  <c r="S24" i="132"/>
  <c r="C22" i="131" s="1"/>
  <c r="L22" i="131" s="1"/>
  <c r="S16" i="126"/>
  <c r="C19" i="125" s="1"/>
  <c r="L19" i="125" s="1"/>
  <c r="V17" i="126"/>
  <c r="V14" i="126"/>
  <c r="AB16" i="126" s="1"/>
  <c r="V14" i="187"/>
  <c r="AB16" i="187" s="1"/>
  <c r="S16" i="187"/>
  <c r="C18" i="186" s="1"/>
  <c r="L18" i="186" s="1"/>
  <c r="V17" i="187"/>
  <c r="V22" i="136"/>
  <c r="AB24" i="136" s="1"/>
  <c r="S24" i="136"/>
  <c r="C22" i="135" s="1"/>
  <c r="L22" i="135" s="1"/>
  <c r="V25" i="136"/>
  <c r="S24" i="154"/>
  <c r="C22" i="153" s="1"/>
  <c r="L22" i="153" s="1"/>
  <c r="V22" i="154"/>
  <c r="AB24" i="154" s="1"/>
  <c r="V25" i="154"/>
  <c r="S16" i="130"/>
  <c r="C19" i="129" s="1"/>
  <c r="L19" i="129" s="1"/>
  <c r="V17" i="130"/>
  <c r="V14" i="130"/>
  <c r="AB16" i="130" s="1"/>
  <c r="AD16" i="189"/>
  <c r="AD17" i="189"/>
  <c r="AD15" i="189"/>
  <c r="AD18" i="189"/>
  <c r="AA16" i="189"/>
  <c r="C20" i="188" s="1"/>
  <c r="L20" i="188" s="1"/>
  <c r="AD17" i="140"/>
  <c r="AD15" i="140"/>
  <c r="AD16" i="140"/>
  <c r="AA16" i="140"/>
  <c r="C20" i="139" s="1"/>
  <c r="L20" i="139" s="1"/>
  <c r="AD18" i="140"/>
  <c r="AD26" i="122"/>
  <c r="AD25" i="122"/>
  <c r="AD24" i="122"/>
  <c r="AA24" i="122"/>
  <c r="C23" i="184" s="1"/>
  <c r="L23" i="184" s="1"/>
  <c r="S24" i="196"/>
  <c r="C21" i="197" s="1"/>
  <c r="L21" i="197" s="1"/>
  <c r="V22" i="196"/>
  <c r="AB24" i="196" s="1"/>
  <c r="V25" i="196"/>
  <c r="W18" i="189"/>
  <c r="W17" i="189"/>
  <c r="W19" i="189"/>
  <c r="W16" i="189"/>
  <c r="T24" i="189" s="1"/>
  <c r="V14" i="195"/>
  <c r="AB16" i="195" s="1"/>
  <c r="S16" i="195"/>
  <c r="C18" i="194" s="1"/>
  <c r="L18" i="194" s="1"/>
  <c r="V17" i="195"/>
  <c r="AD15" i="199"/>
  <c r="AD16" i="199"/>
  <c r="AD18" i="199"/>
  <c r="AD17" i="199"/>
  <c r="AA16" i="199"/>
  <c r="C20" i="200" s="1"/>
  <c r="L20" i="200" s="1"/>
  <c r="AD25" i="142"/>
  <c r="AA24" i="142"/>
  <c r="C23" i="141" s="1"/>
  <c r="L23" i="141" s="1"/>
  <c r="AD24" i="142"/>
  <c r="AD26" i="142"/>
  <c r="W24" i="122"/>
  <c r="T32" i="122" s="1"/>
  <c r="W26" i="122"/>
  <c r="W25" i="122"/>
  <c r="W25" i="138"/>
  <c r="W24" i="138"/>
  <c r="T32" i="138" s="1"/>
  <c r="W26" i="138"/>
  <c r="W17" i="199"/>
  <c r="W16" i="199"/>
  <c r="T24" i="199" s="1"/>
  <c r="W18" i="199"/>
  <c r="W19" i="199"/>
  <c r="W24" i="142"/>
  <c r="T32" i="142" s="1"/>
  <c r="W25" i="142"/>
  <c r="W26" i="142"/>
  <c r="AD24" i="138"/>
  <c r="AD26" i="138"/>
  <c r="AA24" i="138"/>
  <c r="C23" i="137" s="1"/>
  <c r="L23" i="137" s="1"/>
  <c r="AD25" i="138"/>
  <c r="W24" i="191"/>
  <c r="T32" i="191" s="1"/>
  <c r="W26" i="191"/>
  <c r="W25" i="191"/>
  <c r="V25" i="175"/>
  <c r="S24" i="175"/>
  <c r="C22" i="176" s="1"/>
  <c r="L22" i="176" s="1"/>
  <c r="V22" i="175"/>
  <c r="AB24" i="175" s="1"/>
  <c r="W16" i="134"/>
  <c r="T24" i="134" s="1"/>
  <c r="W18" i="134"/>
  <c r="W17" i="134"/>
  <c r="W19" i="134"/>
  <c r="W17" i="140"/>
  <c r="W18" i="140"/>
  <c r="W19" i="140"/>
  <c r="W16" i="140"/>
  <c r="T24" i="140" s="1"/>
  <c r="AD25" i="191"/>
  <c r="AD26" i="191"/>
  <c r="AD24" i="191"/>
  <c r="AA24" i="191"/>
  <c r="AD18" i="134"/>
  <c r="AD17" i="134"/>
  <c r="AA16" i="134"/>
  <c r="C19" i="133" s="1"/>
  <c r="L19" i="133" s="1"/>
  <c r="AD15" i="134"/>
  <c r="AD16" i="134"/>
  <c r="V33" i="142" l="1"/>
  <c r="V30" i="142"/>
  <c r="AB32" i="142" s="1"/>
  <c r="S32" i="142"/>
  <c r="C31" i="141" s="1"/>
  <c r="L31" i="141" s="1"/>
  <c r="W17" i="195"/>
  <c r="W18" i="195"/>
  <c r="W19" i="195"/>
  <c r="W16" i="195"/>
  <c r="T24" i="195" s="1"/>
  <c r="W16" i="130"/>
  <c r="T24" i="130" s="1"/>
  <c r="W17" i="130"/>
  <c r="W19" i="130"/>
  <c r="W18" i="130"/>
  <c r="W24" i="136"/>
  <c r="T32" i="136" s="1"/>
  <c r="W25" i="136"/>
  <c r="W26" i="136"/>
  <c r="W25" i="175"/>
  <c r="W24" i="175"/>
  <c r="T32" i="175" s="1"/>
  <c r="W26" i="175"/>
  <c r="W25" i="196"/>
  <c r="W24" i="196"/>
  <c r="T32" i="196" s="1"/>
  <c r="W26" i="196"/>
  <c r="AD24" i="196"/>
  <c r="AA24" i="196"/>
  <c r="C22" i="197" s="1"/>
  <c r="L22" i="197" s="1"/>
  <c r="AD25" i="196"/>
  <c r="AD26" i="196"/>
  <c r="V22" i="199"/>
  <c r="AB24" i="199" s="1"/>
  <c r="V25" i="199"/>
  <c r="S24" i="199"/>
  <c r="C22" i="200" s="1"/>
  <c r="L22" i="200" s="1"/>
  <c r="W25" i="154"/>
  <c r="W24" i="154"/>
  <c r="T32" i="154" s="1"/>
  <c r="W26" i="154"/>
  <c r="W19" i="126"/>
  <c r="W16" i="126"/>
  <c r="T24" i="126" s="1"/>
  <c r="W17" i="126"/>
  <c r="W18" i="126"/>
  <c r="AD24" i="136"/>
  <c r="AA24" i="136"/>
  <c r="C23" i="135" s="1"/>
  <c r="L23" i="135" s="1"/>
  <c r="AD25" i="136"/>
  <c r="AD26" i="136"/>
  <c r="S32" i="191"/>
  <c r="C31" i="190" s="1"/>
  <c r="L31" i="190" s="1"/>
  <c r="V30" i="191"/>
  <c r="AB32" i="191" s="1"/>
  <c r="V33" i="191"/>
  <c r="V33" i="122"/>
  <c r="S32" i="122"/>
  <c r="C31" i="184" s="1"/>
  <c r="L31" i="184" s="1"/>
  <c r="V30" i="122"/>
  <c r="AB32" i="122" s="1"/>
  <c r="S24" i="189"/>
  <c r="C22" i="188" s="1"/>
  <c r="L22" i="188" s="1"/>
  <c r="V22" i="189"/>
  <c r="AB24" i="189" s="1"/>
  <c r="V25" i="189"/>
  <c r="AD26" i="154"/>
  <c r="AD24" i="154"/>
  <c r="AA24" i="154"/>
  <c r="C23" i="153" s="1"/>
  <c r="L23" i="153" s="1"/>
  <c r="AD25" i="154"/>
  <c r="W19" i="187"/>
  <c r="W17" i="187"/>
  <c r="W16" i="187"/>
  <c r="T24" i="187" s="1"/>
  <c r="W18" i="187"/>
  <c r="AA16" i="195"/>
  <c r="C19" i="194" s="1"/>
  <c r="L19" i="194" s="1"/>
  <c r="AD15" i="195"/>
  <c r="AD18" i="195"/>
  <c r="AD16" i="195"/>
  <c r="AD17" i="195"/>
  <c r="AD17" i="126"/>
  <c r="AD16" i="126"/>
  <c r="AD15" i="126"/>
  <c r="AD18" i="126"/>
  <c r="AA16" i="126"/>
  <c r="C20" i="125" s="1"/>
  <c r="L20" i="125" s="1"/>
  <c r="V25" i="134"/>
  <c r="V22" i="134"/>
  <c r="AB24" i="134" s="1"/>
  <c r="S24" i="134"/>
  <c r="C21" i="133" s="1"/>
  <c r="L21" i="133" s="1"/>
  <c r="S32" i="138"/>
  <c r="C31" i="137" s="1"/>
  <c r="L31" i="137" s="1"/>
  <c r="V30" i="138"/>
  <c r="AB32" i="138" s="1"/>
  <c r="V33" i="138"/>
  <c r="AD18" i="187"/>
  <c r="AD16" i="187"/>
  <c r="AD17" i="187"/>
  <c r="AD15" i="187"/>
  <c r="AA16" i="187"/>
  <c r="C19" i="186" s="1"/>
  <c r="L19" i="186" s="1"/>
  <c r="W25" i="132"/>
  <c r="W24" i="132"/>
  <c r="T32" i="132" s="1"/>
  <c r="W26" i="132"/>
  <c r="V25" i="140"/>
  <c r="S24" i="140"/>
  <c r="C22" i="139" s="1"/>
  <c r="L22" i="139" s="1"/>
  <c r="V22" i="140"/>
  <c r="AB24" i="140" s="1"/>
  <c r="C22" i="190"/>
  <c r="L22" i="190" s="1"/>
  <c r="C23" i="190"/>
  <c r="L23" i="190" s="1"/>
  <c r="AD25" i="175"/>
  <c r="AA24" i="175"/>
  <c r="C23" i="176" s="1"/>
  <c r="L23" i="176" s="1"/>
  <c r="AD24" i="175"/>
  <c r="AD26" i="175"/>
  <c r="AD18" i="130"/>
  <c r="AD17" i="130"/>
  <c r="AA16" i="130"/>
  <c r="C20" i="129" s="1"/>
  <c r="L20" i="129" s="1"/>
  <c r="AD16" i="130"/>
  <c r="AD15" i="130"/>
  <c r="AD26" i="132"/>
  <c r="AD24" i="132"/>
  <c r="AD25" i="132"/>
  <c r="AA24" i="132"/>
  <c r="C23" i="131" s="1"/>
  <c r="L23" i="131" s="1"/>
  <c r="W26" i="134" l="1"/>
  <c r="W24" i="134"/>
  <c r="T32" i="134" s="1"/>
  <c r="W25" i="134"/>
  <c r="V25" i="187"/>
  <c r="S24" i="187"/>
  <c r="C21" i="186" s="1"/>
  <c r="L21" i="186" s="1"/>
  <c r="V22" i="187"/>
  <c r="AB24" i="187" s="1"/>
  <c r="AD25" i="189"/>
  <c r="AD26" i="189"/>
  <c r="AD24" i="189"/>
  <c r="AA24" i="189"/>
  <c r="C23" i="188" s="1"/>
  <c r="L23" i="188" s="1"/>
  <c r="W26" i="199"/>
  <c r="W24" i="199"/>
  <c r="T32" i="199" s="1"/>
  <c r="W25" i="199"/>
  <c r="S24" i="126"/>
  <c r="C22" i="125" s="1"/>
  <c r="L22" i="125" s="1"/>
  <c r="V25" i="126"/>
  <c r="V22" i="126"/>
  <c r="AB24" i="126" s="1"/>
  <c r="AD25" i="199"/>
  <c r="AD24" i="199"/>
  <c r="AA24" i="199"/>
  <c r="C23" i="200" s="1"/>
  <c r="L23" i="200" s="1"/>
  <c r="AD26" i="199"/>
  <c r="V30" i="196"/>
  <c r="AB32" i="196" s="1"/>
  <c r="S32" i="196"/>
  <c r="C30" i="197" s="1"/>
  <c r="L30" i="197" s="1"/>
  <c r="V33" i="196"/>
  <c r="AA32" i="191"/>
  <c r="C32" i="190" s="1"/>
  <c r="L32" i="190" s="1"/>
  <c r="AD33" i="191"/>
  <c r="AD34" i="191"/>
  <c r="V33" i="132"/>
  <c r="S32" i="132"/>
  <c r="C31" i="131" s="1"/>
  <c r="V30" i="132"/>
  <c r="AB32" i="132" s="1"/>
  <c r="W34" i="138"/>
  <c r="W33" i="138"/>
  <c r="T40" i="138" s="1"/>
  <c r="AD34" i="122"/>
  <c r="AD33" i="122"/>
  <c r="AA32" i="122"/>
  <c r="C32" i="184" s="1"/>
  <c r="L32" i="184" s="1"/>
  <c r="V30" i="136"/>
  <c r="AB32" i="136" s="1"/>
  <c r="V33" i="136"/>
  <c r="S32" i="136"/>
  <c r="C31" i="135" s="1"/>
  <c r="L31" i="135" s="1"/>
  <c r="AA32" i="138"/>
  <c r="C32" i="137" s="1"/>
  <c r="L32" i="137" s="1"/>
  <c r="AD34" i="138"/>
  <c r="AD33" i="138"/>
  <c r="V25" i="195"/>
  <c r="S24" i="195"/>
  <c r="C21" i="194" s="1"/>
  <c r="L21" i="194" s="1"/>
  <c r="V22" i="195"/>
  <c r="AB24" i="195" s="1"/>
  <c r="W33" i="122"/>
  <c r="T40" i="122" s="1"/>
  <c r="W34" i="122"/>
  <c r="V30" i="154"/>
  <c r="AB32" i="154" s="1"/>
  <c r="V33" i="154"/>
  <c r="S32" i="154"/>
  <c r="C31" i="153" s="1"/>
  <c r="L31" i="153" s="1"/>
  <c r="AA32" i="142"/>
  <c r="C32" i="141" s="1"/>
  <c r="L32" i="141" s="1"/>
  <c r="AD33" i="142"/>
  <c r="AD34" i="142"/>
  <c r="AD24" i="134"/>
  <c r="AD26" i="134"/>
  <c r="AA24" i="134"/>
  <c r="C22" i="133" s="1"/>
  <c r="L22" i="133" s="1"/>
  <c r="AD25" i="134"/>
  <c r="W26" i="189"/>
  <c r="W24" i="189"/>
  <c r="T32" i="189" s="1"/>
  <c r="W25" i="189"/>
  <c r="AD25" i="140"/>
  <c r="AD24" i="140"/>
  <c r="AA24" i="140"/>
  <c r="C23" i="139" s="1"/>
  <c r="L23" i="139" s="1"/>
  <c r="AD26" i="140"/>
  <c r="W34" i="142"/>
  <c r="W33" i="142"/>
  <c r="T40" i="142" s="1"/>
  <c r="W26" i="140"/>
  <c r="W25" i="140"/>
  <c r="W24" i="140"/>
  <c r="T32" i="140" s="1"/>
  <c r="W33" i="191"/>
  <c r="T40" i="191" s="1"/>
  <c r="W34" i="191"/>
  <c r="V33" i="175"/>
  <c r="S32" i="175"/>
  <c r="C31" i="176" s="1"/>
  <c r="L31" i="176" s="1"/>
  <c r="V30" i="175"/>
  <c r="AB32" i="175" s="1"/>
  <c r="V22" i="130"/>
  <c r="AB24" i="130" s="1"/>
  <c r="V25" i="130"/>
  <c r="S24" i="130"/>
  <c r="C22" i="129" s="1"/>
  <c r="L22" i="129" s="1"/>
  <c r="W24" i="130" l="1"/>
  <c r="T32" i="130" s="1"/>
  <c r="W25" i="130"/>
  <c r="W26" i="130"/>
  <c r="AD33" i="154"/>
  <c r="AD34" i="154"/>
  <c r="AA32" i="154"/>
  <c r="C32" i="153" s="1"/>
  <c r="L32" i="153" s="1"/>
  <c r="AA32" i="132"/>
  <c r="C32" i="131" s="1"/>
  <c r="AD33" i="132"/>
  <c r="AD34" i="132"/>
  <c r="W33" i="196"/>
  <c r="T40" i="196" s="1"/>
  <c r="W34" i="196"/>
  <c r="W24" i="126"/>
  <c r="T32" i="126" s="1"/>
  <c r="W26" i="126"/>
  <c r="W25" i="126"/>
  <c r="S32" i="199"/>
  <c r="C31" i="200" s="1"/>
  <c r="L31" i="200" s="1"/>
  <c r="V30" i="199"/>
  <c r="AB32" i="199" s="1"/>
  <c r="V33" i="199"/>
  <c r="L31" i="131"/>
  <c r="W26" i="187"/>
  <c r="W25" i="187"/>
  <c r="W24" i="187"/>
  <c r="T32" i="187" s="1"/>
  <c r="V41" i="142"/>
  <c r="T56" i="142" s="1"/>
  <c r="V38" i="142"/>
  <c r="AB40" i="142" s="1"/>
  <c r="S40" i="142"/>
  <c r="C34" i="141" s="1"/>
  <c r="L34" i="141" s="1"/>
  <c r="V41" i="122"/>
  <c r="T56" i="122" s="1"/>
  <c r="S40" i="122"/>
  <c r="C34" i="184" s="1"/>
  <c r="L34" i="184" s="1"/>
  <c r="V38" i="122"/>
  <c r="AB40" i="122" s="1"/>
  <c r="W33" i="132"/>
  <c r="T40" i="132" s="1"/>
  <c r="W34" i="132"/>
  <c r="AD33" i="196"/>
  <c r="AD34" i="196"/>
  <c r="AA32" i="196"/>
  <c r="C31" i="197" s="1"/>
  <c r="L31" i="197" s="1"/>
  <c r="AD25" i="126"/>
  <c r="AD26" i="126"/>
  <c r="AD24" i="126"/>
  <c r="AA24" i="126"/>
  <c r="C23" i="125" s="1"/>
  <c r="L23" i="125" s="1"/>
  <c r="AD33" i="175"/>
  <c r="AD34" i="175"/>
  <c r="AA32" i="175"/>
  <c r="C32" i="176" s="1"/>
  <c r="L32" i="176" s="1"/>
  <c r="AD24" i="195"/>
  <c r="AD26" i="195"/>
  <c r="AA24" i="195"/>
  <c r="C22" i="194" s="1"/>
  <c r="L22" i="194" s="1"/>
  <c r="AD25" i="195"/>
  <c r="S32" i="134"/>
  <c r="C30" i="133" s="1"/>
  <c r="L30" i="133" s="1"/>
  <c r="V33" i="134"/>
  <c r="V30" i="134"/>
  <c r="AB32" i="134" s="1"/>
  <c r="AD33" i="136"/>
  <c r="AD34" i="136"/>
  <c r="AA32" i="136"/>
  <c r="C32" i="135" s="1"/>
  <c r="L32" i="135" s="1"/>
  <c r="V30" i="189"/>
  <c r="AB32" i="189" s="1"/>
  <c r="V33" i="189"/>
  <c r="S32" i="189"/>
  <c r="C31" i="188" s="1"/>
  <c r="L31" i="188" s="1"/>
  <c r="W34" i="154"/>
  <c r="W33" i="154"/>
  <c r="T40" i="154" s="1"/>
  <c r="AD25" i="187"/>
  <c r="AD24" i="187"/>
  <c r="AD26" i="187"/>
  <c r="AA24" i="187"/>
  <c r="C22" i="186" s="1"/>
  <c r="L22" i="186" s="1"/>
  <c r="S40" i="191"/>
  <c r="C34" i="190" s="1"/>
  <c r="L34" i="190" s="1"/>
  <c r="V38" i="191"/>
  <c r="AB40" i="191" s="1"/>
  <c r="V41" i="191"/>
  <c r="T56" i="191" s="1"/>
  <c r="W26" i="195"/>
  <c r="W24" i="195"/>
  <c r="T32" i="195" s="1"/>
  <c r="W25" i="195"/>
  <c r="AD26" i="130"/>
  <c r="AA24" i="130"/>
  <c r="C23" i="129" s="1"/>
  <c r="L23" i="129" s="1"/>
  <c r="AD25" i="130"/>
  <c r="AD24" i="130"/>
  <c r="W33" i="175"/>
  <c r="T40" i="175" s="1"/>
  <c r="W34" i="175"/>
  <c r="V33" i="140"/>
  <c r="S32" i="140"/>
  <c r="C31" i="139" s="1"/>
  <c r="L31" i="139" s="1"/>
  <c r="V30" i="140"/>
  <c r="AB32" i="140" s="1"/>
  <c r="W34" i="136"/>
  <c r="W33" i="136"/>
  <c r="T40" i="136" s="1"/>
  <c r="S40" i="138"/>
  <c r="C34" i="137" s="1"/>
  <c r="L34" i="137" s="1"/>
  <c r="V41" i="138"/>
  <c r="T56" i="138" s="1"/>
  <c r="V38" i="138"/>
  <c r="AB40" i="138" s="1"/>
  <c r="V48" i="138" l="1"/>
  <c r="X49" i="138" s="1"/>
  <c r="AE50" i="138"/>
  <c r="S56" i="138"/>
  <c r="Z67" i="138"/>
  <c r="V63" i="138"/>
  <c r="X63" i="138" s="1"/>
  <c r="V48" i="122"/>
  <c r="X49" i="122" s="1"/>
  <c r="Z67" i="122"/>
  <c r="AE50" i="122"/>
  <c r="V63" i="122"/>
  <c r="X63" i="122" s="1"/>
  <c r="S56" i="122"/>
  <c r="AD33" i="134"/>
  <c r="AA32" i="134"/>
  <c r="C31" i="133" s="1"/>
  <c r="L31" i="133" s="1"/>
  <c r="AD34" i="134"/>
  <c r="AE50" i="142"/>
  <c r="S56" i="142"/>
  <c r="V63" i="142"/>
  <c r="X63" i="142" s="1"/>
  <c r="V48" i="142"/>
  <c r="X49" i="142" s="1"/>
  <c r="Z67" i="142"/>
  <c r="S40" i="136"/>
  <c r="C34" i="135" s="1"/>
  <c r="L34" i="135" s="1"/>
  <c r="V41" i="136"/>
  <c r="T56" i="136" s="1"/>
  <c r="V38" i="136"/>
  <c r="AB40" i="136" s="1"/>
  <c r="AD34" i="140"/>
  <c r="AD33" i="140"/>
  <c r="AA32" i="140"/>
  <c r="C32" i="139" s="1"/>
  <c r="L32" i="139" s="1"/>
  <c r="W33" i="189"/>
  <c r="T40" i="189" s="1"/>
  <c r="W34" i="189"/>
  <c r="W34" i="134"/>
  <c r="W33" i="134"/>
  <c r="T40" i="134" s="1"/>
  <c r="AD41" i="142"/>
  <c r="AA40" i="142"/>
  <c r="C35" i="141" s="1"/>
  <c r="L35" i="141" s="1"/>
  <c r="W33" i="140"/>
  <c r="T40" i="140" s="1"/>
  <c r="W34" i="140"/>
  <c r="V30" i="195"/>
  <c r="AB32" i="195" s="1"/>
  <c r="V33" i="195"/>
  <c r="S32" i="195"/>
  <c r="C30" i="194" s="1"/>
  <c r="L30" i="194" s="1"/>
  <c r="AE50" i="191"/>
  <c r="S56" i="191"/>
  <c r="Z67" i="191"/>
  <c r="V48" i="191"/>
  <c r="X49" i="191" s="1"/>
  <c r="V33" i="126"/>
  <c r="S32" i="126"/>
  <c r="C31" i="125" s="1"/>
  <c r="L31" i="125" s="1"/>
  <c r="V30" i="126"/>
  <c r="AB32" i="126" s="1"/>
  <c r="V41" i="196"/>
  <c r="T56" i="196" s="1"/>
  <c r="V38" i="196"/>
  <c r="AB40" i="196" s="1"/>
  <c r="S40" i="196"/>
  <c r="C33" i="197" s="1"/>
  <c r="L33" i="197" s="1"/>
  <c r="AA40" i="191"/>
  <c r="C35" i="190" s="1"/>
  <c r="L35" i="190" s="1"/>
  <c r="AD41" i="191"/>
  <c r="AA40" i="138"/>
  <c r="C35" i="137" s="1"/>
  <c r="L35" i="137" s="1"/>
  <c r="AD41" i="138"/>
  <c r="S40" i="154"/>
  <c r="C34" i="153" s="1"/>
  <c r="L34" i="153" s="1"/>
  <c r="V41" i="154"/>
  <c r="T56" i="154" s="1"/>
  <c r="V38" i="154"/>
  <c r="AB40" i="154" s="1"/>
  <c r="V38" i="132"/>
  <c r="AB40" i="132" s="1"/>
  <c r="S40" i="132"/>
  <c r="C34" i="131" s="1"/>
  <c r="V41" i="132"/>
  <c r="T56" i="132" s="1"/>
  <c r="V33" i="187"/>
  <c r="V30" i="187"/>
  <c r="AB32" i="187" s="1"/>
  <c r="S32" i="187"/>
  <c r="C30" i="186" s="1"/>
  <c r="L30" i="186" s="1"/>
  <c r="W33" i="199"/>
  <c r="T40" i="199" s="1"/>
  <c r="W34" i="199"/>
  <c r="L32" i="131"/>
  <c r="AD33" i="189"/>
  <c r="AD34" i="189"/>
  <c r="AA32" i="189"/>
  <c r="C32" i="188" s="1"/>
  <c r="L32" i="188" s="1"/>
  <c r="S40" i="175"/>
  <c r="C34" i="176" s="1"/>
  <c r="L34" i="176" s="1"/>
  <c r="V41" i="175"/>
  <c r="T56" i="175" s="1"/>
  <c r="V38" i="175"/>
  <c r="AB40" i="175" s="1"/>
  <c r="AD41" i="122"/>
  <c r="AA40" i="122"/>
  <c r="C35" i="184" s="1"/>
  <c r="L35" i="184" s="1"/>
  <c r="AD34" i="199"/>
  <c r="AD33" i="199"/>
  <c r="AA32" i="199"/>
  <c r="C32" i="200" s="1"/>
  <c r="L32" i="200" s="1"/>
  <c r="V33" i="130"/>
  <c r="V30" i="130"/>
  <c r="AB32" i="130" s="1"/>
  <c r="S32" i="130"/>
  <c r="C31" i="129" s="1"/>
  <c r="L31" i="129" s="1"/>
  <c r="S56" i="175" l="1"/>
  <c r="V63" i="175"/>
  <c r="X63" i="175" s="1"/>
  <c r="Z67" i="175"/>
  <c r="V48" i="175"/>
  <c r="X49" i="175" s="1"/>
  <c r="AE50" i="175"/>
  <c r="AE50" i="132"/>
  <c r="Z67" i="132"/>
  <c r="V48" i="132"/>
  <c r="X49" i="132" s="1"/>
  <c r="S56" i="132"/>
  <c r="V63" i="132"/>
  <c r="X63" i="132" s="1"/>
  <c r="AA40" i="154"/>
  <c r="C35" i="153" s="1"/>
  <c r="L35" i="153" s="1"/>
  <c r="AD41" i="154"/>
  <c r="W33" i="195"/>
  <c r="T40" i="195" s="1"/>
  <c r="W34" i="195"/>
  <c r="AD41" i="136"/>
  <c r="AA40" i="136"/>
  <c r="C35" i="135" s="1"/>
  <c r="L35" i="135" s="1"/>
  <c r="S40" i="199"/>
  <c r="C34" i="200" s="1"/>
  <c r="L34" i="200" s="1"/>
  <c r="V41" i="199"/>
  <c r="T56" i="199" s="1"/>
  <c r="V38" i="199"/>
  <c r="AB40" i="199" s="1"/>
  <c r="W34" i="126"/>
  <c r="W33" i="126"/>
  <c r="T40" i="126" s="1"/>
  <c r="AD33" i="195"/>
  <c r="AA32" i="195"/>
  <c r="C31" i="194" s="1"/>
  <c r="L31" i="194" s="1"/>
  <c r="AD34" i="195"/>
  <c r="S40" i="134"/>
  <c r="C33" i="133" s="1"/>
  <c r="L33" i="133" s="1"/>
  <c r="V38" i="134"/>
  <c r="AB40" i="134" s="1"/>
  <c r="V41" i="134"/>
  <c r="T56" i="134" s="1"/>
  <c r="Z47" i="122"/>
  <c r="X52" i="122" s="1"/>
  <c r="X56" i="122" s="1"/>
  <c r="W49" i="122"/>
  <c r="C37" i="184" s="1"/>
  <c r="L37" i="184" s="1"/>
  <c r="AD41" i="196"/>
  <c r="AA40" i="196"/>
  <c r="C34" i="197" s="1"/>
  <c r="L34" i="197" s="1"/>
  <c r="Z67" i="196"/>
  <c r="V63" i="196"/>
  <c r="X63" i="196" s="1"/>
  <c r="S56" i="196"/>
  <c r="AE50" i="196"/>
  <c r="V48" i="196"/>
  <c r="X49" i="196" s="1"/>
  <c r="AE64" i="138"/>
  <c r="Z61" i="138" s="1"/>
  <c r="W63" i="138"/>
  <c r="C39" i="137" s="1"/>
  <c r="L39" i="137" s="1"/>
  <c r="AD33" i="187"/>
  <c r="AA32" i="187"/>
  <c r="C31" i="186" s="1"/>
  <c r="L31" i="186" s="1"/>
  <c r="AD34" i="187"/>
  <c r="Z47" i="191"/>
  <c r="X52" i="191" s="1"/>
  <c r="X56" i="191" s="1"/>
  <c r="W49" i="191"/>
  <c r="C37" i="190" s="1"/>
  <c r="L37" i="190" s="1"/>
  <c r="V41" i="140"/>
  <c r="T56" i="140" s="1"/>
  <c r="V38" i="140"/>
  <c r="AB40" i="140" s="1"/>
  <c r="S40" i="140"/>
  <c r="C34" i="139" s="1"/>
  <c r="L34" i="139" s="1"/>
  <c r="AA40" i="132"/>
  <c r="C35" i="131" s="1"/>
  <c r="AD41" i="132"/>
  <c r="W34" i="187"/>
  <c r="W33" i="187"/>
  <c r="T40" i="187" s="1"/>
  <c r="V38" i="189"/>
  <c r="AB40" i="189" s="1"/>
  <c r="V41" i="189"/>
  <c r="T56" i="189" s="1"/>
  <c r="S40" i="189"/>
  <c r="C34" i="188" s="1"/>
  <c r="L34" i="188" s="1"/>
  <c r="V48" i="154"/>
  <c r="X49" i="154" s="1"/>
  <c r="V63" i="154"/>
  <c r="X63" i="154" s="1"/>
  <c r="Z67" i="154"/>
  <c r="AE50" i="154"/>
  <c r="S56" i="154"/>
  <c r="V48" i="136"/>
  <c r="X49" i="136" s="1"/>
  <c r="Z67" i="136"/>
  <c r="AE50" i="136"/>
  <c r="S56" i="136"/>
  <c r="V63" i="136"/>
  <c r="X63" i="136" s="1"/>
  <c r="Z47" i="142"/>
  <c r="X52" i="142" s="1"/>
  <c r="X56" i="142" s="1"/>
  <c r="W49" i="142"/>
  <c r="C37" i="141" s="1"/>
  <c r="L37" i="141" s="1"/>
  <c r="AD33" i="126"/>
  <c r="AA32" i="126"/>
  <c r="C32" i="125" s="1"/>
  <c r="L32" i="125" s="1"/>
  <c r="AD34" i="126"/>
  <c r="AD34" i="130"/>
  <c r="AA32" i="130"/>
  <c r="C32" i="129" s="1"/>
  <c r="L32" i="129" s="1"/>
  <c r="AD33" i="130"/>
  <c r="W34" i="130"/>
  <c r="W33" i="130"/>
  <c r="T40" i="130" s="1"/>
  <c r="AD41" i="175"/>
  <c r="AA40" i="175"/>
  <c r="C35" i="176" s="1"/>
  <c r="L35" i="176" s="1"/>
  <c r="L34" i="131"/>
  <c r="W63" i="142"/>
  <c r="C39" i="141" s="1"/>
  <c r="L39" i="141" s="1"/>
  <c r="AE64" i="142"/>
  <c r="Z61" i="142" s="1"/>
  <c r="AE64" i="122"/>
  <c r="Z61" i="122" s="1"/>
  <c r="W63" i="122"/>
  <c r="C39" i="184" s="1"/>
  <c r="L39" i="184" s="1"/>
  <c r="W49" i="138"/>
  <c r="C37" i="137" s="1"/>
  <c r="L37" i="137" s="1"/>
  <c r="Z47" i="138"/>
  <c r="V63" i="134" l="1"/>
  <c r="X63" i="134" s="1"/>
  <c r="AE50" i="134"/>
  <c r="Z67" i="134"/>
  <c r="V48" i="134"/>
  <c r="X49" i="134" s="1"/>
  <c r="S56" i="134"/>
  <c r="V48" i="140"/>
  <c r="X49" i="140" s="1"/>
  <c r="AE50" i="140"/>
  <c r="V63" i="140"/>
  <c r="X63" i="140" s="1"/>
  <c r="S56" i="140"/>
  <c r="Z67" i="140"/>
  <c r="AE50" i="199"/>
  <c r="V48" i="199"/>
  <c r="X49" i="199" s="1"/>
  <c r="S56" i="199"/>
  <c r="Z67" i="199"/>
  <c r="V63" i="199"/>
  <c r="X63" i="199" s="1"/>
  <c r="Z47" i="132"/>
  <c r="X52" i="132" s="1"/>
  <c r="X56" i="132" s="1"/>
  <c r="W49" i="132"/>
  <c r="C37" i="131" s="1"/>
  <c r="S40" i="130"/>
  <c r="C34" i="129" s="1"/>
  <c r="L34" i="129" s="1"/>
  <c r="V41" i="130"/>
  <c r="T56" i="130" s="1"/>
  <c r="V38" i="130"/>
  <c r="AB40" i="130" s="1"/>
  <c r="V38" i="126"/>
  <c r="AB40" i="126" s="1"/>
  <c r="S40" i="126"/>
  <c r="C34" i="125" s="1"/>
  <c r="L34" i="125" s="1"/>
  <c r="V41" i="126"/>
  <c r="T56" i="126" s="1"/>
  <c r="Z47" i="196"/>
  <c r="X52" i="196" s="1"/>
  <c r="X56" i="196" s="1"/>
  <c r="W49" i="196"/>
  <c r="C36" i="197" s="1"/>
  <c r="L36" i="197" s="1"/>
  <c r="Z47" i="136"/>
  <c r="X52" i="136" s="1"/>
  <c r="X56" i="136" s="1"/>
  <c r="W49" i="136"/>
  <c r="C37" i="135" s="1"/>
  <c r="L37" i="135" s="1"/>
  <c r="AD41" i="189"/>
  <c r="AA40" i="189"/>
  <c r="C35" i="188" s="1"/>
  <c r="L35" i="188" s="1"/>
  <c r="AA40" i="140"/>
  <c r="C35" i="139" s="1"/>
  <c r="L35" i="139" s="1"/>
  <c r="AD41" i="140"/>
  <c r="Z54" i="122"/>
  <c r="AB74" i="122" s="1"/>
  <c r="W56" i="122"/>
  <c r="C38" i="184" s="1"/>
  <c r="L38" i="184" s="1"/>
  <c r="V38" i="195"/>
  <c r="AB40" i="195" s="1"/>
  <c r="S40" i="195"/>
  <c r="C33" i="194" s="1"/>
  <c r="L33" i="194" s="1"/>
  <c r="V41" i="195"/>
  <c r="T56" i="195" s="1"/>
  <c r="V38" i="187"/>
  <c r="AB40" i="187" s="1"/>
  <c r="S40" i="187"/>
  <c r="C33" i="186" s="1"/>
  <c r="L33" i="186" s="1"/>
  <c r="V41" i="187"/>
  <c r="T56" i="187" s="1"/>
  <c r="W63" i="196"/>
  <c r="C38" i="197" s="1"/>
  <c r="L38" i="197" s="1"/>
  <c r="AE64" i="196"/>
  <c r="Z61" i="196" s="1"/>
  <c r="AD41" i="134"/>
  <c r="AA40" i="134"/>
  <c r="C34" i="133" s="1"/>
  <c r="L34" i="133" s="1"/>
  <c r="Z47" i="175"/>
  <c r="X52" i="175" s="1"/>
  <c r="X56" i="175" s="1"/>
  <c r="W49" i="175"/>
  <c r="C37" i="176" s="1"/>
  <c r="L37" i="176" s="1"/>
  <c r="W56" i="142"/>
  <c r="C38" i="141" s="1"/>
  <c r="L38" i="141" s="1"/>
  <c r="Z54" i="142"/>
  <c r="AB74" i="142" s="1"/>
  <c r="X52" i="138"/>
  <c r="X56" i="138" s="1"/>
  <c r="Z54" i="191"/>
  <c r="AB74" i="191" s="1"/>
  <c r="W56" i="191"/>
  <c r="C38" i="190" s="1"/>
  <c r="L38" i="190" s="1"/>
  <c r="Z67" i="189"/>
  <c r="S56" i="189"/>
  <c r="V63" i="189"/>
  <c r="X63" i="189" s="1"/>
  <c r="AD41" i="199"/>
  <c r="AA40" i="199"/>
  <c r="C35" i="200" s="1"/>
  <c r="L35" i="200" s="1"/>
  <c r="AE64" i="136"/>
  <c r="Z61" i="136" s="1"/>
  <c r="W63" i="136"/>
  <c r="C39" i="135" s="1"/>
  <c r="L39" i="135" s="1"/>
  <c r="Z61" i="154"/>
  <c r="W63" i="154"/>
  <c r="C39" i="153" s="1"/>
  <c r="L39" i="153" s="1"/>
  <c r="AE64" i="154"/>
  <c r="AE64" i="132"/>
  <c r="Z61" i="132" s="1"/>
  <c r="W63" i="132"/>
  <c r="C39" i="131" s="1"/>
  <c r="W63" i="175"/>
  <c r="C39" i="176" s="1"/>
  <c r="L39" i="176" s="1"/>
  <c r="AE64" i="175"/>
  <c r="Z47" i="154"/>
  <c r="X52" i="154" s="1"/>
  <c r="X56" i="154" s="1"/>
  <c r="W49" i="154"/>
  <c r="C37" i="153" s="1"/>
  <c r="L37" i="153" s="1"/>
  <c r="L35" i="131"/>
  <c r="AE57" i="142" l="1"/>
  <c r="C41" i="141" s="1"/>
  <c r="L41" i="141" s="1"/>
  <c r="AE57" i="122"/>
  <c r="C41" i="184" s="1"/>
  <c r="L41" i="184" s="1"/>
  <c r="Z54" i="154"/>
  <c r="AE57" i="154" s="1"/>
  <c r="W56" i="154"/>
  <c r="C38" i="153" s="1"/>
  <c r="L38" i="153" s="1"/>
  <c r="AE75" i="142"/>
  <c r="C42" i="141" s="1"/>
  <c r="L42" i="141" s="1"/>
  <c r="AA74" i="142"/>
  <c r="C40" i="141" s="1"/>
  <c r="L40" i="141" s="1"/>
  <c r="V48" i="195"/>
  <c r="X49" i="195" s="1"/>
  <c r="S56" i="195"/>
  <c r="AE50" i="195"/>
  <c r="Z67" i="195"/>
  <c r="V63" i="195"/>
  <c r="X63" i="195" s="1"/>
  <c r="Z54" i="196"/>
  <c r="AB74" i="196" s="1"/>
  <c r="W56" i="196"/>
  <c r="C37" i="197" s="1"/>
  <c r="L37" i="197" s="1"/>
  <c r="Z67" i="130"/>
  <c r="S56" i="130"/>
  <c r="V63" i="130"/>
  <c r="X63" i="130" s="1"/>
  <c r="AE50" i="130"/>
  <c r="V48" i="130"/>
  <c r="X49" i="130" s="1"/>
  <c r="W63" i="140"/>
  <c r="C39" i="139" s="1"/>
  <c r="L39" i="139" s="1"/>
  <c r="AE64" i="140"/>
  <c r="Z61" i="140" s="1"/>
  <c r="AE57" i="191"/>
  <c r="AD41" i="130"/>
  <c r="AA40" i="130"/>
  <c r="C35" i="129" s="1"/>
  <c r="L35" i="129" s="1"/>
  <c r="W63" i="199"/>
  <c r="C39" i="200" s="1"/>
  <c r="L39" i="200" s="1"/>
  <c r="AE64" i="199"/>
  <c r="Z47" i="140"/>
  <c r="W49" i="140"/>
  <c r="C37" i="139" s="1"/>
  <c r="L37" i="139" s="1"/>
  <c r="W56" i="175"/>
  <c r="C38" i="176" s="1"/>
  <c r="L38" i="176" s="1"/>
  <c r="Z54" i="175"/>
  <c r="AE57" i="175" s="1"/>
  <c r="C41" i="176" s="1"/>
  <c r="L41" i="176" s="1"/>
  <c r="AD41" i="195"/>
  <c r="AA40" i="195"/>
  <c r="C34" i="194" s="1"/>
  <c r="L34" i="194" s="1"/>
  <c r="L37" i="131"/>
  <c r="Z47" i="199"/>
  <c r="X52" i="199" s="1"/>
  <c r="X56" i="199" s="1"/>
  <c r="W49" i="199"/>
  <c r="C37" i="200" s="1"/>
  <c r="L37" i="200" s="1"/>
  <c r="Z47" i="134"/>
  <c r="X52" i="134" s="1"/>
  <c r="X56" i="134" s="1"/>
  <c r="W49" i="134"/>
  <c r="C36" i="133" s="1"/>
  <c r="L36" i="133" s="1"/>
  <c r="V63" i="187"/>
  <c r="X63" i="187" s="1"/>
  <c r="AE50" i="187"/>
  <c r="Z67" i="187"/>
  <c r="S56" i="187"/>
  <c r="V48" i="187"/>
  <c r="X49" i="187" s="1"/>
  <c r="AE64" i="189"/>
  <c r="Z61" i="189" s="1"/>
  <c r="AB74" i="189" s="1"/>
  <c r="W63" i="189"/>
  <c r="C39" i="188" s="1"/>
  <c r="L39" i="188" s="1"/>
  <c r="Z54" i="138"/>
  <c r="AB74" i="138" s="1"/>
  <c r="W56" i="138"/>
  <c r="C38" i="137" s="1"/>
  <c r="L38" i="137" s="1"/>
  <c r="Z67" i="126"/>
  <c r="S56" i="126"/>
  <c r="AE50" i="126"/>
  <c r="V63" i="126"/>
  <c r="X63" i="126" s="1"/>
  <c r="V48" i="126"/>
  <c r="X49" i="126" s="1"/>
  <c r="Z54" i="132"/>
  <c r="AB74" i="132" s="1"/>
  <c r="W56" i="132"/>
  <c r="C38" i="131" s="1"/>
  <c r="AE75" i="191"/>
  <c r="C42" i="190" s="1"/>
  <c r="L42" i="190" s="1"/>
  <c r="AA74" i="191"/>
  <c r="C40" i="190" s="1"/>
  <c r="L40" i="190" s="1"/>
  <c r="Z61" i="175"/>
  <c r="W56" i="136"/>
  <c r="C38" i="135" s="1"/>
  <c r="L38" i="135" s="1"/>
  <c r="Z54" i="136"/>
  <c r="AB74" i="136" s="1"/>
  <c r="L39" i="131"/>
  <c r="AD41" i="187"/>
  <c r="AA40" i="187"/>
  <c r="C34" i="186" s="1"/>
  <c r="L34" i="186" s="1"/>
  <c r="AE75" i="122"/>
  <c r="C42" i="184" s="1"/>
  <c r="L42" i="184" s="1"/>
  <c r="AA74" i="122"/>
  <c r="C40" i="184" s="1"/>
  <c r="L40" i="184" s="1"/>
  <c r="AA40" i="126"/>
  <c r="C35" i="125" s="1"/>
  <c r="L35" i="125" s="1"/>
  <c r="AD41" i="126"/>
  <c r="W63" i="134"/>
  <c r="C38" i="133" s="1"/>
  <c r="L38" i="133" s="1"/>
  <c r="AE64" i="134"/>
  <c r="AB74" i="154" l="1"/>
  <c r="AE57" i="196"/>
  <c r="C40" i="197" s="1"/>
  <c r="L40" i="197" s="1"/>
  <c r="L44" i="184"/>
  <c r="D22" i="165" s="1"/>
  <c r="C41" i="153"/>
  <c r="L41" i="153" s="1"/>
  <c r="W56" i="199"/>
  <c r="C38" i="200" s="1"/>
  <c r="L38" i="200" s="1"/>
  <c r="Z54" i="199"/>
  <c r="C41" i="190"/>
  <c r="L41" i="190" s="1"/>
  <c r="L44" i="190" s="1"/>
  <c r="N4" i="191"/>
  <c r="C3" i="190" s="1"/>
  <c r="L46" i="190" s="1"/>
  <c r="W49" i="195"/>
  <c r="C36" i="194" s="1"/>
  <c r="L36" i="194" s="1"/>
  <c r="Z47" i="195"/>
  <c r="X52" i="195" s="1"/>
  <c r="X56" i="195" s="1"/>
  <c r="L38" i="131"/>
  <c r="AE57" i="136"/>
  <c r="AE57" i="132"/>
  <c r="AE57" i="138"/>
  <c r="X52" i="140"/>
  <c r="X56" i="140" s="1"/>
  <c r="Z61" i="199"/>
  <c r="AA74" i="138"/>
  <c r="C40" i="137" s="1"/>
  <c r="L40" i="137" s="1"/>
  <c r="AE75" i="138"/>
  <c r="C42" i="137" s="1"/>
  <c r="L42" i="137" s="1"/>
  <c r="Z47" i="126"/>
  <c r="X52" i="126" s="1"/>
  <c r="X56" i="126" s="1"/>
  <c r="W49" i="126"/>
  <c r="C37" i="125" s="1"/>
  <c r="L37" i="125" s="1"/>
  <c r="AE75" i="189"/>
  <c r="C42" i="188" s="1"/>
  <c r="L42" i="188" s="1"/>
  <c r="AA74" i="189"/>
  <c r="C40" i="188" s="1"/>
  <c r="L40" i="188" s="1"/>
  <c r="AA74" i="196"/>
  <c r="C39" i="197" s="1"/>
  <c r="L39" i="197" s="1"/>
  <c r="AE75" i="196"/>
  <c r="C41" i="197" s="1"/>
  <c r="L41" i="197" s="1"/>
  <c r="AA74" i="132"/>
  <c r="C40" i="131" s="1"/>
  <c r="AE75" i="132"/>
  <c r="C42" i="131" s="1"/>
  <c r="W63" i="126"/>
  <c r="C39" i="125" s="1"/>
  <c r="L39" i="125" s="1"/>
  <c r="AE64" i="126"/>
  <c r="Z61" i="126" s="1"/>
  <c r="Z54" i="134"/>
  <c r="W56" i="134"/>
  <c r="C37" i="133" s="1"/>
  <c r="L37" i="133" s="1"/>
  <c r="N4" i="122"/>
  <c r="AA74" i="154"/>
  <c r="C40" i="153" s="1"/>
  <c r="L40" i="153" s="1"/>
  <c r="AE75" i="154"/>
  <c r="C42" i="153" s="1"/>
  <c r="L42" i="153" s="1"/>
  <c r="Z47" i="130"/>
  <c r="X52" i="130" s="1"/>
  <c r="X56" i="130" s="1"/>
  <c r="W49" i="130"/>
  <c r="C37" i="129" s="1"/>
  <c r="L37" i="129" s="1"/>
  <c r="AE64" i="195"/>
  <c r="Z61" i="195" s="1"/>
  <c r="W63" i="195"/>
  <c r="C38" i="194" s="1"/>
  <c r="L38" i="194" s="1"/>
  <c r="Z61" i="134"/>
  <c r="C41" i="188"/>
  <c r="L41" i="188" s="1"/>
  <c r="N4" i="142"/>
  <c r="C3" i="141" s="1"/>
  <c r="L46" i="141" s="1"/>
  <c r="AA74" i="136"/>
  <c r="C40" i="135" s="1"/>
  <c r="L40" i="135" s="1"/>
  <c r="AE75" i="136"/>
  <c r="C42" i="135" s="1"/>
  <c r="L42" i="135" s="1"/>
  <c r="W63" i="187"/>
  <c r="C38" i="186" s="1"/>
  <c r="L38" i="186" s="1"/>
  <c r="AE64" i="187"/>
  <c r="Z61" i="187" s="1"/>
  <c r="Z47" i="187"/>
  <c r="W49" i="187"/>
  <c r="C36" i="186" s="1"/>
  <c r="L36" i="186" s="1"/>
  <c r="AB74" i="175"/>
  <c r="W63" i="130"/>
  <c r="C39" i="129" s="1"/>
  <c r="L39" i="129" s="1"/>
  <c r="AE64" i="130"/>
  <c r="D20" i="165" l="1"/>
  <c r="D59" i="165" s="1"/>
  <c r="D21" i="165"/>
  <c r="C16" i="169" s="1"/>
  <c r="L44" i="153"/>
  <c r="L48" i="153" s="1"/>
  <c r="C8" i="182" s="1"/>
  <c r="C10" i="182" s="1"/>
  <c r="AB74" i="134"/>
  <c r="AE75" i="134" s="1"/>
  <c r="C41" i="133" s="1"/>
  <c r="L41" i="133" s="1"/>
  <c r="L44" i="188"/>
  <c r="D27" i="165" s="1"/>
  <c r="L43" i="197"/>
  <c r="D40" i="165" s="1"/>
  <c r="D53" i="165" s="1"/>
  <c r="W56" i="195"/>
  <c r="C37" i="194" s="1"/>
  <c r="L37" i="194" s="1"/>
  <c r="Z54" i="195"/>
  <c r="AB74" i="195" s="1"/>
  <c r="W56" i="140"/>
  <c r="C38" i="139" s="1"/>
  <c r="L38" i="139" s="1"/>
  <c r="Z54" i="140"/>
  <c r="AB74" i="140" s="1"/>
  <c r="X52" i="187"/>
  <c r="X56" i="187" s="1"/>
  <c r="AE57" i="134"/>
  <c r="L42" i="131"/>
  <c r="AB74" i="199"/>
  <c r="L40" i="131"/>
  <c r="D28" i="165"/>
  <c r="C22" i="169"/>
  <c r="W56" i="130"/>
  <c r="C38" i="129" s="1"/>
  <c r="L38" i="129" s="1"/>
  <c r="Z54" i="130"/>
  <c r="N4" i="196"/>
  <c r="N4" i="132"/>
  <c r="C3" i="131" s="1"/>
  <c r="L46" i="131" s="1"/>
  <c r="C41" i="131"/>
  <c r="AE57" i="199"/>
  <c r="Z61" i="130"/>
  <c r="D61" i="165"/>
  <c r="C17" i="169"/>
  <c r="N4" i="136"/>
  <c r="C3" i="135" s="1"/>
  <c r="L46" i="135" s="1"/>
  <c r="C41" i="135"/>
  <c r="L41" i="135" s="1"/>
  <c r="C3" i="184"/>
  <c r="L46" i="184" s="1"/>
  <c r="C3" i="200"/>
  <c r="L46" i="200" s="1"/>
  <c r="Z54" i="126"/>
  <c r="AB74" i="126" s="1"/>
  <c r="W56" i="126"/>
  <c r="C38" i="125" s="1"/>
  <c r="L38" i="125" s="1"/>
  <c r="N4" i="138"/>
  <c r="C3" i="137" s="1"/>
  <c r="L46" i="137" s="1"/>
  <c r="C41" i="137"/>
  <c r="L41" i="137" s="1"/>
  <c r="N4" i="154"/>
  <c r="C3" i="153" s="1"/>
  <c r="N4" i="189"/>
  <c r="C3" i="188" s="1"/>
  <c r="L46" i="188" s="1"/>
  <c r="AA74" i="175"/>
  <c r="C40" i="176" s="1"/>
  <c r="L40" i="176" s="1"/>
  <c r="AE75" i="175"/>
  <c r="AA74" i="134" l="1"/>
  <c r="C39" i="133" s="1"/>
  <c r="L39" i="133" s="1"/>
  <c r="D60" i="165"/>
  <c r="C21" i="169"/>
  <c r="L41" i="131"/>
  <c r="D67" i="165"/>
  <c r="N4" i="134"/>
  <c r="C40" i="133"/>
  <c r="L40" i="133" s="1"/>
  <c r="C42" i="176"/>
  <c r="L42" i="176" s="1"/>
  <c r="L44" i="176" s="1"/>
  <c r="N4" i="175"/>
  <c r="C3" i="176" s="1"/>
  <c r="L46" i="176" s="1"/>
  <c r="Z54" i="187"/>
  <c r="AB74" i="187" s="1"/>
  <c r="W56" i="187"/>
  <c r="C37" i="186" s="1"/>
  <c r="L37" i="186" s="1"/>
  <c r="AE75" i="126"/>
  <c r="C42" i="125" s="1"/>
  <c r="L42" i="125" s="1"/>
  <c r="AA74" i="126"/>
  <c r="C40" i="125" s="1"/>
  <c r="L40" i="125" s="1"/>
  <c r="AE57" i="126"/>
  <c r="AB74" i="130"/>
  <c r="AE57" i="195"/>
  <c r="AA74" i="199"/>
  <c r="C40" i="200" s="1"/>
  <c r="L40" i="200" s="1"/>
  <c r="AE75" i="199"/>
  <c r="C42" i="200" s="1"/>
  <c r="L42" i="200" s="1"/>
  <c r="AE75" i="140"/>
  <c r="C42" i="139" s="1"/>
  <c r="L42" i="139" s="1"/>
  <c r="AA74" i="140"/>
  <c r="C40" i="139" s="1"/>
  <c r="L40" i="139" s="1"/>
  <c r="AA74" i="195"/>
  <c r="C39" i="194" s="1"/>
  <c r="L39" i="194" s="1"/>
  <c r="AE75" i="195"/>
  <c r="C41" i="194" s="1"/>
  <c r="L41" i="194" s="1"/>
  <c r="C41" i="200"/>
  <c r="L41" i="200" s="1"/>
  <c r="AE57" i="130"/>
  <c r="AE57" i="140"/>
  <c r="L43" i="133" l="1"/>
  <c r="C18" i="169" s="1"/>
  <c r="N4" i="126"/>
  <c r="L44" i="200"/>
  <c r="AE57" i="187"/>
  <c r="AA74" i="187"/>
  <c r="C39" i="186" s="1"/>
  <c r="L39" i="186" s="1"/>
  <c r="AE75" i="187"/>
  <c r="C41" i="186" s="1"/>
  <c r="L41" i="186" s="1"/>
  <c r="L44" i="131"/>
  <c r="N4" i="195"/>
  <c r="C40" i="194"/>
  <c r="L40" i="194" s="1"/>
  <c r="L43" i="194" s="1"/>
  <c r="N4" i="199"/>
  <c r="C3" i="125"/>
  <c r="L46" i="125" s="1"/>
  <c r="C41" i="125"/>
  <c r="L41" i="125" s="1"/>
  <c r="L44" i="125" s="1"/>
  <c r="C3" i="133"/>
  <c r="L45" i="133" s="1"/>
  <c r="C3" i="194"/>
  <c r="L45" i="194" s="1"/>
  <c r="N4" i="140"/>
  <c r="C3" i="139" s="1"/>
  <c r="L46" i="139" s="1"/>
  <c r="C41" i="139"/>
  <c r="L41" i="139" s="1"/>
  <c r="AE75" i="130"/>
  <c r="C42" i="129" s="1"/>
  <c r="L42" i="129" s="1"/>
  <c r="AA74" i="130"/>
  <c r="C40" i="129" s="1"/>
  <c r="L40" i="129" s="1"/>
  <c r="C41" i="129"/>
  <c r="L41" i="129" s="1"/>
  <c r="D23" i="165" l="1"/>
  <c r="D63" i="165" s="1"/>
  <c r="N4" i="130"/>
  <c r="C3" i="129" s="1"/>
  <c r="L46" i="129" s="1"/>
  <c r="D19" i="165"/>
  <c r="C14" i="169"/>
  <c r="C15" i="169"/>
  <c r="D25" i="165"/>
  <c r="C19" i="169"/>
  <c r="L44" i="129"/>
  <c r="N4" i="187"/>
  <c r="C40" i="186"/>
  <c r="L40" i="186" s="1"/>
  <c r="L43" i="186" s="1"/>
  <c r="D64" i="165" l="1"/>
  <c r="D58" i="165"/>
  <c r="C3" i="186"/>
  <c r="L48" i="186" s="1"/>
  <c r="C3" i="197"/>
  <c r="L48" i="197" s="1"/>
  <c r="D39" i="165"/>
  <c r="D52" i="165"/>
  <c r="C20" i="169"/>
  <c r="D26" i="165"/>
  <c r="D65" i="165" l="1"/>
  <c r="D41" i="165"/>
  <c r="D43" i="165" s="1"/>
  <c r="E53" i="165" l="1"/>
  <c r="E52" i="165" l="1"/>
  <c r="G52" i="165" s="1"/>
  <c r="C11" i="179" s="1"/>
  <c r="F11" i="179" s="1"/>
  <c r="G53" i="165"/>
  <c r="C12" i="179" s="1"/>
  <c r="F12" i="179" s="1"/>
  <c r="I53" i="165"/>
  <c r="B12" i="179" l="1"/>
  <c r="I52" i="165"/>
  <c r="B11" i="179" l="1"/>
  <c r="I29" i="192" l="1"/>
  <c r="J29" i="192" s="1"/>
  <c r="I30" i="192"/>
  <c r="J30" i="192" s="1"/>
  <c r="I31" i="192"/>
  <c r="J31" i="192" s="1"/>
  <c r="I32" i="192"/>
  <c r="J32" i="192" s="1"/>
  <c r="I35" i="192"/>
  <c r="I36" i="192"/>
  <c r="I37" i="192"/>
  <c r="I40" i="192"/>
  <c r="J40" i="192" s="1"/>
  <c r="I41" i="192"/>
  <c r="J41" i="192" s="1"/>
  <c r="K30" i="192"/>
  <c r="K31" i="192"/>
  <c r="K32" i="192"/>
  <c r="K33" i="192"/>
  <c r="K35" i="192"/>
  <c r="K36" i="192"/>
  <c r="K37" i="192"/>
  <c r="K38" i="192"/>
  <c r="K41" i="192"/>
  <c r="K42" i="192"/>
  <c r="K11" i="139" l="1"/>
  <c r="L11" i="139" s="1"/>
  <c r="L44" i="139" s="1"/>
  <c r="D16" i="165" s="1"/>
  <c r="D55" i="165" s="1"/>
  <c r="E10" i="180"/>
  <c r="H14" i="169"/>
  <c r="H15" i="169"/>
  <c r="E22" i="165"/>
  <c r="D17" i="169"/>
  <c r="D18" i="169"/>
  <c r="E23" i="165"/>
  <c r="C25" i="181"/>
  <c r="E10" i="172"/>
  <c r="D14" i="169"/>
  <c r="E19" i="165"/>
  <c r="E17" i="165"/>
  <c r="K40" i="192"/>
  <c r="M41" i="192" s="1"/>
  <c r="K11" i="137" s="1"/>
  <c r="L11" i="137" s="1"/>
  <c r="L44" i="137" s="1"/>
  <c r="D12" i="169"/>
  <c r="D19" i="169"/>
  <c r="E25" i="165"/>
  <c r="C26" i="181"/>
  <c r="E21" i="165"/>
  <c r="D16" i="169"/>
  <c r="E20" i="165"/>
  <c r="D15" i="169"/>
  <c r="C27" i="181"/>
  <c r="D20" i="169"/>
  <c r="E26" i="165"/>
  <c r="E28" i="172"/>
  <c r="K29" i="192"/>
  <c r="M31" i="192" s="1"/>
  <c r="K11" i="141" s="1"/>
  <c r="L11" i="141" s="1"/>
  <c r="L44" i="141" s="1"/>
  <c r="D10" i="169"/>
  <c r="E15" i="165"/>
  <c r="D13" i="169"/>
  <c r="K44" i="192"/>
  <c r="M44" i="192" s="1"/>
  <c r="K11" i="135" s="1"/>
  <c r="L11" i="135" s="1"/>
  <c r="L44" i="135" s="1"/>
  <c r="E18" i="165"/>
  <c r="C28" i="181"/>
  <c r="D21" i="169"/>
  <c r="E27" i="165"/>
  <c r="D22" i="169"/>
  <c r="E28" i="165"/>
  <c r="E37" i="172"/>
  <c r="G7" i="172" l="1"/>
  <c r="C11" i="169"/>
  <c r="G9" i="172"/>
  <c r="G27" i="172"/>
  <c r="D66" i="165"/>
  <c r="G6" i="172"/>
  <c r="K15" i="169"/>
  <c r="H24" i="169"/>
  <c r="K12" i="169"/>
  <c r="K17" i="169"/>
  <c r="K11" i="169"/>
  <c r="K14" i="169"/>
  <c r="K16" i="169"/>
  <c r="K13" i="169"/>
  <c r="K10" i="169"/>
  <c r="D15" i="165"/>
  <c r="C10" i="169"/>
  <c r="C12" i="169"/>
  <c r="D17" i="165"/>
  <c r="D56" i="165" s="1"/>
  <c r="G19" i="172"/>
  <c r="G8" i="172"/>
  <c r="E29" i="165"/>
  <c r="F15" i="165" s="1"/>
  <c r="H23" i="165"/>
  <c r="H16" i="165" s="1"/>
  <c r="C29" i="181"/>
  <c r="D27" i="181" s="1"/>
  <c r="G23" i="165"/>
  <c r="G20" i="165" s="1"/>
  <c r="D24" i="169"/>
  <c r="E19" i="169" s="1"/>
  <c r="F19" i="169" s="1"/>
  <c r="D18" i="165"/>
  <c r="D57" i="165" s="1"/>
  <c r="C13" i="169"/>
  <c r="G26" i="172"/>
  <c r="D28" i="181" l="1"/>
  <c r="D26" i="181"/>
  <c r="D25" i="181"/>
  <c r="D29" i="181" s="1"/>
  <c r="K24" i="169"/>
  <c r="E18" i="169"/>
  <c r="F18" i="169" s="1"/>
  <c r="G28" i="172"/>
  <c r="E14" i="169"/>
  <c r="F14" i="169" s="1"/>
  <c r="E20" i="169"/>
  <c r="F20" i="169" s="1"/>
  <c r="F22" i="165"/>
  <c r="F23" i="165"/>
  <c r="F18" i="165"/>
  <c r="H20" i="165"/>
  <c r="H22" i="165"/>
  <c r="F26" i="165"/>
  <c r="F20" i="165"/>
  <c r="E21" i="169"/>
  <c r="F21" i="169" s="1"/>
  <c r="E15" i="169"/>
  <c r="F15" i="169" s="1"/>
  <c r="F19" i="165"/>
  <c r="H18" i="165"/>
  <c r="H19" i="165"/>
  <c r="F25" i="165"/>
  <c r="I14" i="169"/>
  <c r="J14" i="169" s="1"/>
  <c r="I11" i="169"/>
  <c r="J11" i="169" s="1"/>
  <c r="I18" i="169"/>
  <c r="J18" i="169" s="1"/>
  <c r="I10" i="169"/>
  <c r="J10" i="169" s="1"/>
  <c r="I13" i="169"/>
  <c r="J13" i="169" s="1"/>
  <c r="I19" i="169"/>
  <c r="J19" i="169" s="1"/>
  <c r="I22" i="169"/>
  <c r="J22" i="169" s="1"/>
  <c r="I12" i="169"/>
  <c r="I21" i="169"/>
  <c r="J21" i="169" s="1"/>
  <c r="I20" i="169"/>
  <c r="J20" i="169" s="1"/>
  <c r="I17" i="169"/>
  <c r="J17" i="169" s="1"/>
  <c r="I16" i="169"/>
  <c r="J16" i="169" s="1"/>
  <c r="J12" i="169"/>
  <c r="I15" i="169"/>
  <c r="J15" i="169" s="1"/>
  <c r="G19" i="165"/>
  <c r="H17" i="165"/>
  <c r="E17" i="169"/>
  <c r="F17" i="169" s="1"/>
  <c r="H21" i="165"/>
  <c r="H15" i="165"/>
  <c r="F17" i="165"/>
  <c r="E16" i="169"/>
  <c r="F16" i="169" s="1"/>
  <c r="F21" i="165"/>
  <c r="G21" i="165"/>
  <c r="E10" i="169"/>
  <c r="F10" i="169" s="1"/>
  <c r="E11" i="169"/>
  <c r="F11" i="169" s="1"/>
  <c r="F27" i="165"/>
  <c r="F16" i="165"/>
  <c r="E12" i="169"/>
  <c r="F12" i="169" s="1"/>
  <c r="G22" i="165"/>
  <c r="E22" i="169"/>
  <c r="F22" i="169" s="1"/>
  <c r="F28" i="165"/>
  <c r="E13" i="169"/>
  <c r="F13" i="169" s="1"/>
  <c r="D54" i="165"/>
  <c r="B49" i="179" l="1"/>
  <c r="D21" i="179" s="1"/>
  <c r="D29" i="165"/>
  <c r="D31" i="165" s="1"/>
  <c r="F24" i="169"/>
  <c r="F29" i="165"/>
  <c r="J24" i="169"/>
  <c r="I24" i="169"/>
  <c r="E24" i="169"/>
  <c r="E56" i="165" l="1"/>
  <c r="E26" i="169"/>
  <c r="E33" i="169" s="1"/>
  <c r="E20" i="168" s="1"/>
  <c r="E38" i="168" s="1"/>
  <c r="E65" i="165" l="1"/>
  <c r="G65" i="165" s="1"/>
  <c r="C24" i="179" s="1"/>
  <c r="F24" i="179" s="1"/>
  <c r="H24" i="179" s="1"/>
  <c r="J24" i="179" s="1"/>
  <c r="E60" i="165"/>
  <c r="I60" i="165" s="1"/>
  <c r="C19" i="171" s="1"/>
  <c r="E66" i="165"/>
  <c r="G66" i="165" s="1"/>
  <c r="C26" i="179" s="1"/>
  <c r="F26" i="179" s="1"/>
  <c r="H26" i="179" s="1"/>
  <c r="J26" i="179" s="1"/>
  <c r="E64" i="165"/>
  <c r="G64" i="165" s="1"/>
  <c r="C23" i="179" s="1"/>
  <c r="F23" i="179" s="1"/>
  <c r="F25" i="179" s="1"/>
  <c r="E55" i="165"/>
  <c r="I55" i="165" s="1"/>
  <c r="E59" i="165"/>
  <c r="G59" i="165" s="1"/>
  <c r="C18" i="179" s="1"/>
  <c r="F18" i="179" s="1"/>
  <c r="E61" i="165"/>
  <c r="G61" i="165" s="1"/>
  <c r="C20" i="179" s="1"/>
  <c r="F20" i="179" s="1"/>
  <c r="E67" i="165"/>
  <c r="G67" i="165" s="1"/>
  <c r="E54" i="165"/>
  <c r="G54" i="165" s="1"/>
  <c r="C13" i="179" s="1"/>
  <c r="F13" i="179" s="1"/>
  <c r="E57" i="165"/>
  <c r="I57" i="165" s="1"/>
  <c r="E63" i="165"/>
  <c r="G63" i="165" s="1"/>
  <c r="C22" i="179" s="1"/>
  <c r="F22" i="179" s="1"/>
  <c r="E58" i="165"/>
  <c r="G58" i="165" s="1"/>
  <c r="C17" i="179" s="1"/>
  <c r="F17" i="179" s="1"/>
  <c r="G56" i="165"/>
  <c r="C15" i="179" s="1"/>
  <c r="F15" i="179" s="1"/>
  <c r="I56" i="165"/>
  <c r="E18" i="168"/>
  <c r="E36" i="168" s="1"/>
  <c r="E21" i="168"/>
  <c r="B19" i="171"/>
  <c r="E22" i="168"/>
  <c r="E40" i="168" s="1"/>
  <c r="E16" i="168"/>
  <c r="E34" i="168" s="1"/>
  <c r="E17" i="168"/>
  <c r="E35" i="168" s="1"/>
  <c r="G60" i="165"/>
  <c r="C19" i="179" s="1"/>
  <c r="F19" i="179" s="1"/>
  <c r="I65" i="165"/>
  <c r="E19" i="168"/>
  <c r="E37" i="168" s="1"/>
  <c r="B8" i="182"/>
  <c r="B10" i="182" s="1"/>
  <c r="G13" i="179" l="1"/>
  <c r="H22" i="179"/>
  <c r="J22" i="179" s="1"/>
  <c r="E27" i="181"/>
  <c r="C18" i="171"/>
  <c r="C20" i="171" s="1"/>
  <c r="B19" i="179"/>
  <c r="B14" i="179"/>
  <c r="B24" i="179"/>
  <c r="B15" i="179"/>
  <c r="B21" i="171"/>
  <c r="H25" i="179"/>
  <c r="J25" i="179" s="1"/>
  <c r="H23" i="179"/>
  <c r="J23" i="179" s="1"/>
  <c r="G26" i="179"/>
  <c r="I26" i="179" s="1"/>
  <c r="I66" i="165"/>
  <c r="G24" i="179"/>
  <c r="I24" i="179" s="1"/>
  <c r="I63" i="165"/>
  <c r="I67" i="165"/>
  <c r="I59" i="165"/>
  <c r="I58" i="165"/>
  <c r="I61" i="165"/>
  <c r="I64" i="165"/>
  <c r="C21" i="171"/>
  <c r="G57" i="165"/>
  <c r="C16" i="179" s="1"/>
  <c r="F16" i="179" s="1"/>
  <c r="G16" i="179" s="1"/>
  <c r="G23" i="179"/>
  <c r="I23" i="179" s="1"/>
  <c r="C15" i="171"/>
  <c r="B15" i="171"/>
  <c r="I54" i="165"/>
  <c r="B16" i="179"/>
  <c r="G55" i="165"/>
  <c r="C14" i="179" s="1"/>
  <c r="F14" i="179" s="1"/>
  <c r="G15" i="179" s="1"/>
  <c r="B18" i="171"/>
  <c r="B20" i="171" s="1"/>
  <c r="E39" i="168"/>
  <c r="E24" i="168"/>
  <c r="E26" i="168" s="1"/>
  <c r="E10" i="181" s="1"/>
  <c r="B27" i="181"/>
  <c r="G62" i="165"/>
  <c r="C21" i="179" s="1"/>
  <c r="F21" i="179" s="1"/>
  <c r="H13" i="179"/>
  <c r="J13" i="179" s="1"/>
  <c r="I13" i="179"/>
  <c r="G22" i="179"/>
  <c r="I22" i="179" s="1"/>
  <c r="G18" i="179"/>
  <c r="G17" i="179"/>
  <c r="B25" i="181" l="1"/>
  <c r="B26" i="179"/>
  <c r="B26" i="181"/>
  <c r="B22" i="171"/>
  <c r="B23" i="171" s="1"/>
  <c r="C13" i="171"/>
  <c r="B16" i="171"/>
  <c r="B17" i="171" s="1"/>
  <c r="B22" i="179"/>
  <c r="B12" i="171"/>
  <c r="B28" i="181"/>
  <c r="B29" i="181" s="1"/>
  <c r="B17" i="179"/>
  <c r="B13" i="171"/>
  <c r="I62" i="165"/>
  <c r="C16" i="171"/>
  <c r="C17" i="171" s="1"/>
  <c r="C22" i="171"/>
  <c r="C23" i="171" s="1"/>
  <c r="E28" i="181"/>
  <c r="B20" i="179"/>
  <c r="E26" i="181"/>
  <c r="B18" i="179"/>
  <c r="B23" i="179"/>
  <c r="C12" i="171"/>
  <c r="C10" i="171"/>
  <c r="B13" i="179"/>
  <c r="B10" i="171"/>
  <c r="B11" i="171" s="1"/>
  <c r="J62" i="165"/>
  <c r="B37" i="179" s="1"/>
  <c r="E25" i="181"/>
  <c r="G14" i="179"/>
  <c r="C9" i="171"/>
  <c r="F36" i="168"/>
  <c r="J36" i="168" s="1"/>
  <c r="F35" i="168"/>
  <c r="H35" i="168" s="1"/>
  <c r="C29" i="179" s="1"/>
  <c r="F29" i="179" s="1"/>
  <c r="F39" i="168"/>
  <c r="H39" i="168" s="1"/>
  <c r="C34" i="179" s="1"/>
  <c r="F34" i="179" s="1"/>
  <c r="F37" i="168"/>
  <c r="J37" i="168" s="1"/>
  <c r="F40" i="168"/>
  <c r="J40" i="168" s="1"/>
  <c r="F34" i="168"/>
  <c r="J34" i="168" s="1"/>
  <c r="B28" i="179" s="1"/>
  <c r="E13" i="181"/>
  <c r="E12" i="181"/>
  <c r="F38" i="168"/>
  <c r="H38" i="168" s="1"/>
  <c r="C32" i="179" s="1"/>
  <c r="F32" i="179" s="1"/>
  <c r="E11" i="181"/>
  <c r="H17" i="179"/>
  <c r="J17" i="179" s="1"/>
  <c r="I17" i="179"/>
  <c r="B14" i="171" l="1"/>
  <c r="B21" i="179"/>
  <c r="C14" i="171"/>
  <c r="E29" i="181"/>
  <c r="B33" i="181" s="1"/>
  <c r="C11" i="171"/>
  <c r="H36" i="168"/>
  <c r="C30" i="179" s="1"/>
  <c r="F30" i="179" s="1"/>
  <c r="H37" i="168"/>
  <c r="C31" i="179" s="1"/>
  <c r="F31" i="179" s="1"/>
  <c r="J35" i="168"/>
  <c r="B29" i="179" s="1"/>
  <c r="J39" i="168"/>
  <c r="B13" i="181" s="1"/>
  <c r="E14" i="181"/>
  <c r="J38" i="168"/>
  <c r="B12" i="181" s="1"/>
  <c r="H34" i="168"/>
  <c r="C28" i="179" s="1"/>
  <c r="F28" i="179" s="1"/>
  <c r="H34" i="179" s="1"/>
  <c r="J34" i="179" s="1"/>
  <c r="H40" i="168"/>
  <c r="B11" i="181"/>
  <c r="B31" i="179"/>
  <c r="B30" i="179"/>
  <c r="B10" i="181"/>
  <c r="H30" i="179" l="1"/>
  <c r="J30" i="179" s="1"/>
  <c r="F33" i="179"/>
  <c r="G34" i="179" s="1"/>
  <c r="I34" i="179" s="1"/>
  <c r="G30" i="179"/>
  <c r="I30" i="179" s="1"/>
  <c r="B34" i="179"/>
  <c r="G31" i="179"/>
  <c r="I31" i="179" s="1"/>
  <c r="G32" i="179"/>
  <c r="I32" i="179" s="1"/>
  <c r="B32" i="179"/>
  <c r="H31" i="179"/>
  <c r="J31" i="179" s="1"/>
  <c r="H32" i="179"/>
  <c r="J32" i="179" s="1"/>
  <c r="B14" i="181"/>
  <c r="B18" i="181" s="1"/>
</calcChain>
</file>

<file path=xl/sharedStrings.xml><?xml version="1.0" encoding="utf-8"?>
<sst xmlns="http://schemas.openxmlformats.org/spreadsheetml/2006/main" count="5007" uniqueCount="762">
  <si>
    <t xml:space="preserve">FIRST-CLASS MAIL CARDS / LETTERS SUMMARY </t>
  </si>
  <si>
    <t>USPS-FY25-10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</si>
  <si>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</si>
  <si>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</si>
  <si>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</si>
  <si>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</si>
  <si>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</si>
  <si>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</si>
  <si>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</si>
  <si>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</si>
  <si>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</si>
  <si>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Incremental</t>
  </si>
  <si>
    <t>Cummulative</t>
  </si>
  <si>
    <t>TOTAL MAIL</t>
  </si>
  <si>
    <t>Mail Processing</t>
  </si>
  <si>
    <t>Delivery</t>
  </si>
  <si>
    <t>Collection</t>
  </si>
  <si>
    <t>Total</t>
  </si>
  <si>
    <t>WS Related</t>
  </si>
  <si>
    <t xml:space="preserve">PROCESSING </t>
  </si>
  <si>
    <t>Mail</t>
  </si>
  <si>
    <t>Unit Cost Savings</t>
  </si>
  <si>
    <t>PRICE CATEGORY</t>
  </si>
  <si>
    <t>UNIT COST</t>
  </si>
  <si>
    <t>Unit Cost</t>
  </si>
  <si>
    <t>(cents)</t>
  </si>
  <si>
    <t>(CENTS)</t>
  </si>
  <si>
    <t>(rounded to mils)</t>
  </si>
  <si>
    <t>Letters:</t>
  </si>
  <si>
    <t>Machinable Metered Letters</t>
  </si>
  <si>
    <t>Nonmachinable Metered Letters</t>
  </si>
  <si>
    <t>Automation MAADC Presort Letters</t>
  </si>
  <si>
    <t>Automation AADC Presort Letters</t>
  </si>
  <si>
    <t>Automation 3-Digit Presort Letters</t>
  </si>
  <si>
    <t>Weight-Averaged AADC &amp; 3D Letters</t>
  </si>
  <si>
    <t>Automation 5-Digit Presort Letters</t>
  </si>
  <si>
    <t xml:space="preserve">Cards: </t>
  </si>
  <si>
    <t>Nonautomation Presort Cards</t>
  </si>
  <si>
    <t>Nonautomation MAADC BC-Benchmark</t>
  </si>
  <si>
    <t>Automation MAADC Presort Cards</t>
  </si>
  <si>
    <t>Automation AADC Presort Cards</t>
  </si>
  <si>
    <t>Automation 3-Digit Presort Cards</t>
  </si>
  <si>
    <t>Weight-Averaged Automation AADC &amp; 3D Presort Cards</t>
  </si>
  <si>
    <t>Automation 5-Digit Presort Cards</t>
  </si>
  <si>
    <t>Nonautomation Presort Letters (all - Mach &amp; Non)</t>
  </si>
  <si>
    <t xml:space="preserve"> </t>
  </si>
  <si>
    <t>[10]</t>
  </si>
  <si>
    <t>Delivery Costs</t>
  </si>
  <si>
    <t>Nonautomation -- Nonmach Mixed ADC</t>
  </si>
  <si>
    <t>Nonautomation -- Nonmach ADC</t>
  </si>
  <si>
    <t>Nonautomation -- Nonmach 3-Digit</t>
  </si>
  <si>
    <t>Nonautomation -- Nonmach 5-Digit</t>
  </si>
  <si>
    <t>Nonautomation -- Mach Mixed AADC</t>
  </si>
  <si>
    <t>Nonautomation -- Mach AADC</t>
  </si>
  <si>
    <t>Nonautomation -- Mach 3-Digit</t>
  </si>
  <si>
    <t>Nonautomation -- Mach 5-Digit</t>
  </si>
  <si>
    <t>Avg. Machinable Nonauto</t>
  </si>
  <si>
    <t>Automation Mixed AADC</t>
  </si>
  <si>
    <t>Automation AADC</t>
  </si>
  <si>
    <t>Auto 5-Digit Letters</t>
  </si>
  <si>
    <t>NonAuto Presort Cards</t>
  </si>
  <si>
    <t>Auto Mixed AADC Cards</t>
  </si>
  <si>
    <t>Auto AADC Cards</t>
  </si>
  <si>
    <t>Auto 3-Digit Cards</t>
  </si>
  <si>
    <t>Auto 5-Digit Cards</t>
  </si>
  <si>
    <t>Sources:</t>
  </si>
  <si>
    <t>[1]:  'PRESORT LETTERS SUM' tab (Letters) and  'PRESORT CARD SUM' tab (Cards)</t>
  </si>
  <si>
    <t>[2]:  'PRESORT LETTERS SUM' tab (Letters) and  'PRESORT CARD SUM' tab (Cards)</t>
  </si>
  <si>
    <t>[3]:  Corresponding costs by Rate catergory from [11]</t>
  </si>
  <si>
    <t>[4]:  USPS-FY25-19</t>
  </si>
  <si>
    <t>[5]:  [2] + [3] + [4]</t>
  </si>
  <si>
    <t>[6]:  [5] Benchmark - [5] Price Category</t>
  </si>
  <si>
    <t>[7]:  [5] Benchmark - [5] Price Category</t>
  </si>
  <si>
    <t>[8]:  [6] rounded to tenth of a cent</t>
  </si>
  <si>
    <t>[9]:  [7] rounded to tenth of a cent</t>
  </si>
  <si>
    <t>[10]: USPS-FY25-19</t>
  </si>
  <si>
    <t>FIRST-CLASS PRESORT LETTERS MAIL PROCESSING UNIT COST SUMMARY</t>
  </si>
  <si>
    <t>Table 1:  CRA Mail Processing Unit Costs</t>
  </si>
  <si>
    <t>Presort</t>
  </si>
  <si>
    <t>Metered</t>
  </si>
  <si>
    <t>Proportional Cost Pools</t>
  </si>
  <si>
    <t>1/</t>
  </si>
  <si>
    <t>WS Related Fixed Cost Pools</t>
  </si>
  <si>
    <t>2/</t>
  </si>
  <si>
    <t>Non-WS Related Fixed Cost Pools</t>
  </si>
  <si>
    <t>3/</t>
  </si>
  <si>
    <t>Table 2:  CRA Proportional Adjustment Factor</t>
  </si>
  <si>
    <t>Volume %</t>
  </si>
  <si>
    <t>Model Cost</t>
  </si>
  <si>
    <t>Volume</t>
  </si>
  <si>
    <t>of Machinable</t>
  </si>
  <si>
    <t>of Total</t>
  </si>
  <si>
    <t>Base Model Costs</t>
  </si>
  <si>
    <t>Nonauto</t>
  </si>
  <si>
    <t>Nonautomation Nonmachinable Mixed ADC</t>
  </si>
  <si>
    <t>Nonautomation Nonmachinable ADC</t>
  </si>
  <si>
    <t>Nonautomation Nonmachinable 3-Digit</t>
  </si>
  <si>
    <t>Nonautomation Nonmachinable 5-Digit</t>
  </si>
  <si>
    <t>Nonautomation Machinable Mixed AADC</t>
  </si>
  <si>
    <t>Nonautomation Machinable AADC</t>
  </si>
  <si>
    <t>Nonautomation Machinable 3-Digit</t>
  </si>
  <si>
    <t>Nonautomation Machinable 5-Digit</t>
  </si>
  <si>
    <t>Automation 3-Digit</t>
  </si>
  <si>
    <t>Automation 5-Digit Other</t>
  </si>
  <si>
    <t>Automation 5-Digit Manual</t>
  </si>
  <si>
    <t>Total Weighted Model Cost</t>
  </si>
  <si>
    <t>4/</t>
  </si>
  <si>
    <t>CRA Proportional Adjustment</t>
  </si>
  <si>
    <t>5/</t>
  </si>
  <si>
    <t>.</t>
  </si>
  <si>
    <t>Table 2A:  Metered Mail CRA Proportional Adjustment Factor</t>
  </si>
  <si>
    <t>Metered Machinable Letters</t>
  </si>
  <si>
    <t>Metered Nonmachinable Letters</t>
  </si>
  <si>
    <t>Table 3:  Adjusted Letter Mail Processing Unit Costs</t>
  </si>
  <si>
    <t>CRA</t>
  </si>
  <si>
    <t>Non-WS Related</t>
  </si>
  <si>
    <t>Model</t>
  </si>
  <si>
    <t>Adjusted</t>
  </si>
  <si>
    <t>Fixed</t>
  </si>
  <si>
    <t>Mail Proc</t>
  </si>
  <si>
    <t>Price Category</t>
  </si>
  <si>
    <t>Nonautomation Nonmachinable Mixed ADC Letters</t>
  </si>
  <si>
    <t>Nonautomation Nonmachinable ADC Letters</t>
  </si>
  <si>
    <t>Nonautomation Nonmachinable 3-Digit Letters</t>
  </si>
  <si>
    <t>Nonautomation Nonmachinable 5-Digit Letters</t>
  </si>
  <si>
    <t>Nonautomation Machinable Mixed AADC Letters</t>
  </si>
  <si>
    <t>Nonautomation Machinable AADC Letters</t>
  </si>
  <si>
    <t>Nonautomation Machinable 3-Digit Letters</t>
  </si>
  <si>
    <t>Nonautomation Machinable 5-Digit Letters</t>
  </si>
  <si>
    <t>Avg. MP Cost All Nonauto</t>
  </si>
  <si>
    <t>Average Nonautomation Machinable Letters</t>
  </si>
  <si>
    <t>Automation Mixed AADC Letters</t>
  </si>
  <si>
    <t>Automation AADC Letters</t>
  </si>
  <si>
    <t>Automation 3-Digit Letters</t>
  </si>
  <si>
    <t>Automation 5-Digit Letters</t>
  </si>
  <si>
    <t>Automation 5-Digit Manual Letters</t>
  </si>
  <si>
    <t>Sources</t>
  </si>
  <si>
    <t>[1]:  Model costs from Corresponding Price Category 'Cost' sheets</t>
  </si>
  <si>
    <t>[2]: Tab 'MCS LETTERS'</t>
  </si>
  <si>
    <t>[3]:  Volume in each row [2] divided by the total volume [2]</t>
  </si>
  <si>
    <t>[4]:  [1]</t>
  </si>
  <si>
    <t>[5]:  [4] * 5/</t>
  </si>
  <si>
    <t>[6]:  2/</t>
  </si>
  <si>
    <t>[7]:  [5] + [6]</t>
  </si>
  <si>
    <t>[8]:  Tab 'CRA-METERED LETTERS' or 2/</t>
  </si>
  <si>
    <t>[9]:  [5] + [6] + [8]</t>
  </si>
  <si>
    <t>1/:  Tab 'CRA - PRESORT LETTERS'</t>
  </si>
  <si>
    <t>2/:  Tab 'CRA - PRESORT LETTERS'</t>
  </si>
  <si>
    <t>3/:  1/ + 2/</t>
  </si>
  <si>
    <t xml:space="preserve">4/:  Sumproduct ( [1] , [3] ) </t>
  </si>
  <si>
    <t>5/:  1/ divided by 4/</t>
  </si>
  <si>
    <t>FIRST-CLASS PRESORT CARDS MAIL PROCESSING UNIT COST SUMMARY</t>
  </si>
  <si>
    <t>NonAutomation</t>
  </si>
  <si>
    <t>N/A</t>
  </si>
  <si>
    <t>Note:Volume of this category is part of the NonAutomation category above, model cost calculated for purposes of barcode cost avoidance analysis.</t>
  </si>
  <si>
    <t>Table 3:  Adjusted Letter Unit Mail Processing Costs</t>
  </si>
  <si>
    <t xml:space="preserve">Nonautomation </t>
  </si>
  <si>
    <t>Automation 5-Digit</t>
  </si>
  <si>
    <t xml:space="preserve">[1]:  Letter model cost estimates  * Card-letter cost ratio </t>
  </si>
  <si>
    <t>[2]:  Tab 'MCS CARDS'</t>
  </si>
  <si>
    <t>[8]:  2/</t>
  </si>
  <si>
    <t>1/:  Tab 'CRA - PRESORT CARDS'</t>
  </si>
  <si>
    <t>2/: Tab  'CRA - PRESORT CARDS'</t>
  </si>
  <si>
    <t>4/:  Sumproduct ( [1] , [3] )</t>
  </si>
  <si>
    <t>OUTGOING LETTER TRAY/FLAT TUB SORTING UNIT COST AVOIDANCE</t>
  </si>
  <si>
    <t>[11]</t>
  </si>
  <si>
    <t>Marginal</t>
  </si>
  <si>
    <t>Pieces</t>
  </si>
  <si>
    <t>Trays</t>
  </si>
  <si>
    <t>Direct</t>
  </si>
  <si>
    <t>Premium</t>
  </si>
  <si>
    <t>Per</t>
  </si>
  <si>
    <t>Variability</t>
  </si>
  <si>
    <t>Wage</t>
  </si>
  <si>
    <t>Cents</t>
  </si>
  <si>
    <t>Piggyback</t>
  </si>
  <si>
    <t>Pay</t>
  </si>
  <si>
    <t>Operation</t>
  </si>
  <si>
    <t>Product</t>
  </si>
  <si>
    <t>Tray/Tub</t>
  </si>
  <si>
    <t>Hour</t>
  </si>
  <si>
    <t>Factor</t>
  </si>
  <si>
    <t>Rate</t>
  </si>
  <si>
    <t>Per Tray</t>
  </si>
  <si>
    <t>Adjust</t>
  </si>
  <si>
    <t>Per Piece</t>
  </si>
  <si>
    <t>Outgoing Letter Tray Sort</t>
  </si>
  <si>
    <t>First-Class Mail Presort Cards</t>
  </si>
  <si>
    <t>First-Class Mail Presort Letters</t>
  </si>
  <si>
    <t>Outgoing Flat Tub Sort</t>
  </si>
  <si>
    <t>First-Class Mail Presort Flats</t>
  </si>
  <si>
    <t>USPS-FY25-14 Table MCS-16</t>
  </si>
  <si>
    <t>USPS-FY25-23</t>
  </si>
  <si>
    <t>Tab 'WAGE RATES - PIGGYBACK FACTORS'</t>
  </si>
  <si>
    <t>[2] / [3]</t>
  </si>
  <si>
    <t>[5] * 100 / [4]</t>
  </si>
  <si>
    <t>USPS-FY25-25</t>
  </si>
  <si>
    <t>[6] * ( [8] - 1 )</t>
  </si>
  <si>
    <t>[6] * [7] + [9]</t>
  </si>
  <si>
    <t>[10] / [1]</t>
  </si>
  <si>
    <t>FIRST-CLASS MACHINABLE BENCHMARK MACH AADC LETTERS</t>
  </si>
  <si>
    <t>COST SHEET</t>
  </si>
  <si>
    <t>Total Pieces</t>
  </si>
  <si>
    <t>Weighted</t>
  </si>
  <si>
    <t>TPH</t>
  </si>
  <si>
    <t>Per Hour</t>
  </si>
  <si>
    <t>Entry Activities</t>
  </si>
  <si>
    <t>Bundle Sorting</t>
  </si>
  <si>
    <t>Outgoing RBCS</t>
  </si>
  <si>
    <t>ISS</t>
  </si>
  <si>
    <t>RCR</t>
  </si>
  <si>
    <t>--</t>
  </si>
  <si>
    <t>REC</t>
  </si>
  <si>
    <t>OSS</t>
  </si>
  <si>
    <t>LCREM</t>
  </si>
  <si>
    <t>Outgoing Primary</t>
  </si>
  <si>
    <t>Automation</t>
  </si>
  <si>
    <t>Manual</t>
  </si>
  <si>
    <t>Outgoing Secondary</t>
  </si>
  <si>
    <t>Incoming RBCS</t>
  </si>
  <si>
    <t>Incoming MMP</t>
  </si>
  <si>
    <t>Manual ADC</t>
  </si>
  <si>
    <t>Incoming SCF/Primary</t>
  </si>
  <si>
    <t>Incoming Secondaries</t>
  </si>
  <si>
    <t>Auto Carrier Route</t>
  </si>
  <si>
    <t>Auto 3-Pass DPS</t>
  </si>
  <si>
    <t>Auto 2-Pass DPS</t>
  </si>
  <si>
    <t>Man Inc Sec Final At DU</t>
  </si>
  <si>
    <t>Box Section Sort, DPS</t>
  </si>
  <si>
    <t>Box Section Sort, Other</t>
  </si>
  <si>
    <t>Model Cost  1/</t>
  </si>
  <si>
    <t>DPS %  2/</t>
  </si>
  <si>
    <t>[1]:  Tab 'MACH INCOMING MODEL'</t>
  </si>
  <si>
    <t>[2]:  Tab 'PRODUCTIVITY'</t>
  </si>
  <si>
    <t>[3]:  Tab 'WAGE RATES - PIGGYBACK FACTORS'</t>
  </si>
  <si>
    <t>[4]:  [3] * [2] / 100</t>
  </si>
  <si>
    <t>[5]:  [4] * [premium pay factor - 1]</t>
  </si>
  <si>
    <t>[6]: Tab 'WAGE RATES - PIGGYBACK FACTORS'</t>
  </si>
  <si>
    <t>[7]:  [4] * [6] + [5]</t>
  </si>
  <si>
    <t>[8]:  [1] * [7] / 10,000</t>
  </si>
  <si>
    <t>1/:  Sum of [8]</t>
  </si>
  <si>
    <t>2/:  Tab 'MACH INCOMING MODEL' (Pieces Finalized in DPS Operations) / (Total Pieces Out)</t>
  </si>
  <si>
    <t>FIRST-CLASS MACHINABLE INCOMING BENCHMARK AADC  LETTERS</t>
  </si>
  <si>
    <t>MAIL FLOW MODEL</t>
  </si>
  <si>
    <t>PCS IN =</t>
  </si>
  <si>
    <t>PCS OUT =</t>
  </si>
  <si>
    <t>ENTRY POINTS:</t>
  </si>
  <si>
    <t>Out ISS</t>
  </si>
  <si>
    <t>Inc ISS</t>
  </si>
  <si>
    <t>Inc ADC Man</t>
  </si>
  <si>
    <t>Out RCR</t>
  </si>
  <si>
    <t>Inc MMP Auto</t>
  </si>
  <si>
    <t>Inc SCF/Prim Man</t>
  </si>
  <si>
    <t>Out Prim Auto</t>
  </si>
  <si>
    <t>Inc SCF/Prim Auto</t>
  </si>
  <si>
    <t>Inc Sec Man</t>
  </si>
  <si>
    <t>Out Sec Auto</t>
  </si>
  <si>
    <t>Inc Sec Auto</t>
  </si>
  <si>
    <t>Out Prim Man</t>
  </si>
  <si>
    <t>Out Sec Man</t>
  </si>
  <si>
    <t>OUTGOING RBCS</t>
  </si>
  <si>
    <t>Rejects to Out Prim Man</t>
  </si>
  <si>
    <t>Inc Prim Man</t>
  </si>
  <si>
    <t>Rejects to Out Sec Man</t>
  </si>
  <si>
    <t>(finalized on RCR, to out OSS)</t>
  </si>
  <si>
    <t>(image)</t>
  </si>
  <si>
    <t>(mail</t>
  </si>
  <si>
    <t>piece)</t>
  </si>
  <si>
    <t>Out LCREM</t>
  </si>
  <si>
    <t>Out REC</t>
  </si>
  <si>
    <t>Rejects to Inc ADC Man</t>
  </si>
  <si>
    <t>Leakage to Out Prim Man</t>
  </si>
  <si>
    <t>Out OSS</t>
  </si>
  <si>
    <t>ID Tag Error</t>
  </si>
  <si>
    <t>Rejects to Inc Prim Man</t>
  </si>
  <si>
    <t>OSS Refeeds</t>
  </si>
  <si>
    <t>INCOMING RBCS</t>
  </si>
  <si>
    <t>Inc Sec 1 Pass Auto</t>
  </si>
  <si>
    <t>Rejects to Inc Sec Man</t>
  </si>
  <si>
    <t>Finalized</t>
  </si>
  <si>
    <t>Inc Sec 3 Pass Auto</t>
  </si>
  <si>
    <t>Inc RCR</t>
  </si>
  <si>
    <t>(to inc OSS)</t>
  </si>
  <si>
    <t>Inc Sec 2 Pass Auto</t>
  </si>
  <si>
    <t>Inc LCREM</t>
  </si>
  <si>
    <t>Inc REC</t>
  </si>
  <si>
    <t>Leakage to Inc ADC Man</t>
  </si>
  <si>
    <t>Inc OSS</t>
  </si>
  <si>
    <t xml:space="preserve">FIRST CLASS  BULK METERED LETTERS </t>
  </si>
  <si>
    <t>CRA MAIL PROCESSING COSTS</t>
  </si>
  <si>
    <t>Source: USPS-FY25-26</t>
  </si>
  <si>
    <t>Source - Worksheet: LTTR Unit Costs  Final Adj.</t>
  </si>
  <si>
    <t>Worksharing-Related</t>
  </si>
  <si>
    <t>Cost Pools</t>
  </si>
  <si>
    <t>Total (Cents)</t>
  </si>
  <si>
    <t>Proportional (Cents)</t>
  </si>
  <si>
    <t>Fixed (Cents)</t>
  </si>
  <si>
    <t>Non-WS Related (Cents)</t>
  </si>
  <si>
    <t>Key</t>
  </si>
  <si>
    <t>Treatment</t>
  </si>
  <si>
    <t>MODS 11</t>
  </si>
  <si>
    <t>D/BCS</t>
  </si>
  <si>
    <t>Piece Sorting</t>
  </si>
  <si>
    <t>Proportional</t>
  </si>
  <si>
    <t>MODS 12</t>
  </si>
  <si>
    <t>AFSM100</t>
  </si>
  <si>
    <t>Fwd/Accept/Cust.Srv.</t>
  </si>
  <si>
    <t>WS Fixed</t>
  </si>
  <si>
    <t>Non-WS</t>
  </si>
  <si>
    <t>Non WS</t>
  </si>
  <si>
    <t>FSS</t>
  </si>
  <si>
    <t>Unexpected</t>
  </si>
  <si>
    <t>MODS 13</t>
  </si>
  <si>
    <t>APBS BUNDLE</t>
  </si>
  <si>
    <t>Allied/Support</t>
  </si>
  <si>
    <t>Piggybacked</t>
  </si>
  <si>
    <t>APBSPRIO</t>
  </si>
  <si>
    <t>MODS 16</t>
  </si>
  <si>
    <t>LCUS-SSM</t>
  </si>
  <si>
    <t>Note: OPBULK, OPPREF and Pouching</t>
  </si>
  <si>
    <t>1TRAYSRT</t>
  </si>
  <si>
    <t xml:space="preserve">were WS related fixed in 3 column system, </t>
  </si>
  <si>
    <t>MODS 14</t>
  </si>
  <si>
    <t>MANF</t>
  </si>
  <si>
    <t>are grouped with prep and accept</t>
  </si>
  <si>
    <t>MANL</t>
  </si>
  <si>
    <t>MANP</t>
  </si>
  <si>
    <t>PRIORITY</t>
  </si>
  <si>
    <t>MODS 15</t>
  </si>
  <si>
    <t>LD15</t>
  </si>
  <si>
    <t>MODS 17</t>
  </si>
  <si>
    <t>1CANCEL</t>
  </si>
  <si>
    <t>1DSPATCH</t>
  </si>
  <si>
    <t>1MTRPREP</t>
  </si>
  <si>
    <t>1OPBULK</t>
  </si>
  <si>
    <t>1OPPREF</t>
  </si>
  <si>
    <t>1OPTRANS</t>
  </si>
  <si>
    <t>1PLATFRM</t>
  </si>
  <si>
    <t>1POUCHNG</t>
  </si>
  <si>
    <t>1PRESORT</t>
  </si>
  <si>
    <t>1SACKS_H</t>
  </si>
  <si>
    <t>1SCAN</t>
  </si>
  <si>
    <t>MODS 18</t>
  </si>
  <si>
    <t>BUSREPLY</t>
  </si>
  <si>
    <t>EXPRESS</t>
  </si>
  <si>
    <t>REGISTRY</t>
  </si>
  <si>
    <t>REWRAP</t>
  </si>
  <si>
    <t>1EEQMT</t>
  </si>
  <si>
    <t>1MISC</t>
  </si>
  <si>
    <t>1SUPPORT</t>
  </si>
  <si>
    <t>MODS 19</t>
  </si>
  <si>
    <t>INTL ISC</t>
  </si>
  <si>
    <t>MODS Subtotal</t>
  </si>
  <si>
    <t>NDCS</t>
  </si>
  <si>
    <t>OTHR</t>
  </si>
  <si>
    <t>PLA</t>
  </si>
  <si>
    <t>PSM</t>
  </si>
  <si>
    <t>APBS</t>
  </si>
  <si>
    <t>SSM</t>
  </si>
  <si>
    <t>TRAYSORT</t>
  </si>
  <si>
    <t>NDC Subtotal</t>
  </si>
  <si>
    <t>NON MODS</t>
  </si>
  <si>
    <t>ALLIED</t>
  </si>
  <si>
    <t>AUTO/MEC</t>
  </si>
  <si>
    <t>BULKACCP</t>
  </si>
  <si>
    <t>CFS</t>
  </si>
  <si>
    <t>D.PO BOX</t>
  </si>
  <si>
    <t>MISC</t>
  </si>
  <si>
    <t>OTH ACCT</t>
  </si>
  <si>
    <t>Non MODS Subtotal</t>
  </si>
  <si>
    <t>Total Assigned</t>
  </si>
  <si>
    <t>(piggyback basis)</t>
  </si>
  <si>
    <t>FIRST-CLASS MAIL PRESORT LETTERS</t>
  </si>
  <si>
    <t>Source: Worksheet LTTR Unit Costs  Final Adj.</t>
  </si>
  <si>
    <t>FIRST CLASS MAIL PRESORT CARDS</t>
  </si>
  <si>
    <t xml:space="preserve">First Class Mail </t>
  </si>
  <si>
    <t>Revenue Pieces and Weight</t>
  </si>
  <si>
    <t>By Weight Increment, Shape and Indicia</t>
  </si>
  <si>
    <t>Fiscal Year 2025</t>
  </si>
  <si>
    <t>Quarter</t>
  </si>
  <si>
    <t>(All)</t>
  </si>
  <si>
    <t>Regime</t>
  </si>
  <si>
    <t>WGTI</t>
  </si>
  <si>
    <t>Shape</t>
  </si>
  <si>
    <t>Sum of Pieces</t>
  </si>
  <si>
    <t>Indicia</t>
  </si>
  <si>
    <t>Sum Code</t>
  </si>
  <si>
    <t>Sum Label</t>
  </si>
  <si>
    <t>RPW Cat</t>
  </si>
  <si>
    <t>Cat Label</t>
  </si>
  <si>
    <t>PVI</t>
  </si>
  <si>
    <t>Grand Total</t>
  </si>
  <si>
    <t xml:space="preserve">   Single-Piece Letters</t>
  </si>
  <si>
    <t>10010IAAM</t>
  </si>
  <si>
    <t>FCM SP LETTERS NON-PERMIT (OTHER THAN METER)</t>
  </si>
  <si>
    <t>10010IFAM</t>
  </si>
  <si>
    <t>FCM SP LETTERS NON-PERMIT (METER)</t>
  </si>
  <si>
    <t>10012IAAM</t>
  </si>
  <si>
    <t>FCM SP NONMACH LETTERS NON-PERMIT (OTHER THAN METER)</t>
  </si>
  <si>
    <t>10012IFAM</t>
  </si>
  <si>
    <t>FCM SP NONMACH LETTERS NON-PERMIT (METER)</t>
  </si>
  <si>
    <t>FCM RESIDUAL NONPRSRT LETTERS 2 OZ</t>
  </si>
  <si>
    <t>FCM SP LETTERS PERMIT</t>
  </si>
  <si>
    <t>FCM SP NONMACH LETTERS PERMIT</t>
  </si>
  <si>
    <t>FIRST-CLASS AUTOMATION MIXED-AADC PRESORTED LETTERS</t>
  </si>
  <si>
    <t>[1]: Tab 'AUTO MAADC MODEL'</t>
  </si>
  <si>
    <t>2/:  Tab 'AUTO MAADC MODEL' (Pieces Finalized in DPS Operations) / (Total Pieces Out)</t>
  </si>
  <si>
    <t>FIRST-CLASS MACHINABLE MAADC PRESORTED LETTERS</t>
  </si>
  <si>
    <t>[1]:  Tab 'MACH MAADC MODEL'</t>
  </si>
  <si>
    <t>2/:  Tab 'MACH MAADC MODEL' (Pieces Finalized in DPS Operations) / (Total Pieces Out)</t>
  </si>
  <si>
    <t>ACCEPTANCE RATE SUMMARY</t>
  </si>
  <si>
    <t>Percent</t>
  </si>
  <si>
    <t>DIOSS Rejects</t>
  </si>
  <si>
    <t>To OSS</t>
  </si>
  <si>
    <t>To Man</t>
  </si>
  <si>
    <t>DIOSS Accept Rate</t>
  </si>
  <si>
    <t>OSS Reject Rates</t>
  </si>
  <si>
    <t>ISS Refeeds</t>
  </si>
  <si>
    <t>Inc Sec 2 Pass Auto - Pass 1</t>
  </si>
  <si>
    <t>Inc Sec 2 Pass Auto - Pass 2</t>
  </si>
  <si>
    <t xml:space="preserve">1/:  Density study results-  'RBCS RESULTS' </t>
  </si>
  <si>
    <t>2/:  WebEOR data extract FY25</t>
  </si>
  <si>
    <t>FIRST-CLASS BULK MACHINABLE METERED LETTERS</t>
  </si>
  <si>
    <t>[1]:  Tab 'BMM MODEL'</t>
  </si>
  <si>
    <t>[4]:  [3] * [2] / 100.</t>
  </si>
  <si>
    <t>[5]:  [4] * [ premium pay factor - 1]</t>
  </si>
  <si>
    <t>2/: Tab'BMM MODEL' (Pieces Finalized in DPS Operations) / (Total Pieces Out)</t>
  </si>
  <si>
    <t>Inc ISS/RCR</t>
  </si>
  <si>
    <t>FIRST-CLASS BULK NONMACHINABLE METERED LETTERS</t>
  </si>
  <si>
    <t>[1]:  Tab 'METERED LETTERS MODEL'</t>
  </si>
  <si>
    <t>2/: Tab 'METERED LETTERS MODEL' (Pieces Finalized in DPS Operations) / (Total Pieces Out)</t>
  </si>
  <si>
    <t>FIRST-CLASS AUTOMATION AADC PRESORTED LETTERS</t>
  </si>
  <si>
    <t>[1]:  Tab 'AUTO AADC MODEL'</t>
  </si>
  <si>
    <t>2/:  Tab 'AUTO AADC MODEL' (Pieces Finalized in DPS Operations) / (Total Pieces Out)</t>
  </si>
  <si>
    <t>FIRST-CLASS AUTOMATION 3-DIGIT PRESORTED LETTERS</t>
  </si>
  <si>
    <t>[1]: Tab 'AUTO 3-DIGIT MODEL'</t>
  </si>
  <si>
    <t>2/:  Tab 'AUTO 3-DIGIT MODEL' (Pieces Finalized in DPS Operations) / (Total Pieces Out)</t>
  </si>
  <si>
    <t>FIRST-CLASS AUTOMATION 5-DIGIT PRESORTED LETTERS</t>
  </si>
  <si>
    <t>[1]:  Tab 'AUTO 5-DIGIT OTHER MODEL'</t>
  </si>
  <si>
    <t>2/:  Tab 'AUTO 5-DIGIT OTHER MODEL' (Pieces Finalized in DPS Operations) / (Total Pieces Out)</t>
  </si>
  <si>
    <t>FIRST-CLASS AUTOMATION 5-DIGIT MANUAL PRESORTED MAIL</t>
  </si>
  <si>
    <t>Package Sorting</t>
  </si>
  <si>
    <t>[1]:  Tab 'Auto 5-digit Man Model'</t>
  </si>
  <si>
    <t>2/:  Tab 'Auto 5-digit Man Model' (Pieces Finalized in DPS Operations) / (Total Pieces Out)</t>
  </si>
  <si>
    <t>inc sec auto</t>
  </si>
  <si>
    <t>[1]:  Tab 'AUTO 5-DIGIT MODEL'</t>
  </si>
  <si>
    <t>2/:   'AUTO 5-DIGIT MODEL' (Pieces Finalized in DPS Operations) / (Total Pieces Out)</t>
  </si>
  <si>
    <t>FIRST-CLASS MACHINABLE INCOMING PRESORTED LETTERS</t>
  </si>
  <si>
    <t>FIRST-CLASS NONMACHINABLE MADC PRESORTED LETTERS</t>
  </si>
  <si>
    <t>[1]:  Tab 'NMACH MADC MODEL'</t>
  </si>
  <si>
    <t>2/:  Tab 'NMACH MADC MODEL' (Pieces Finalized in DPS Operations) / (Total Pieces Out)</t>
  </si>
  <si>
    <t>FIRST-CLASS NONMACHINABLE ADC PRESORTED LETTERS</t>
  </si>
  <si>
    <t>[1]:  Tab 'NMACH ADC MODEL'</t>
  </si>
  <si>
    <t>2/:  Tab  'NMACH ADC MODEL' (Pieces Finalized in DPS Operations) / (Total Pieces Out)</t>
  </si>
  <si>
    <t>FIRST-CLASS NONMACHINABLE 3-DIGIT PRESORTED LETTERS</t>
  </si>
  <si>
    <t>[1]:  Tab 'NMACH 3-DIGIT MODEL'</t>
  </si>
  <si>
    <t>2/:  Tab 'NMACH 3-DIGIT MODEL' (Pieces Finalized in DPS Operations) / (Total Pieces Out)</t>
  </si>
  <si>
    <t>FIRST-CLASS NONMACHINABLE 5-DIGIT PRESORTED LETTERS</t>
  </si>
  <si>
    <t>[1]:  Tab 'NMACH 5-DIGIT MODEL'</t>
  </si>
  <si>
    <t>2/:  Tab 'NMACH 5-DIGIT MODEL' (Pieces Finalized in DPS Operations) / (Total Pieces Out)</t>
  </si>
  <si>
    <t>FIRST-CLASS CARD / LETTER RATIO CALCULATIONS AND PRESORT MIX ADJUSTMENT</t>
  </si>
  <si>
    <t>Letter</t>
  </si>
  <si>
    <t>Card</t>
  </si>
  <si>
    <t>Modeled</t>
  </si>
  <si>
    <t xml:space="preserve">Presort </t>
  </si>
  <si>
    <t>Cost</t>
  </si>
  <si>
    <t>Mix</t>
  </si>
  <si>
    <t>(1)</t>
  </si>
  <si>
    <t>(2)</t>
  </si>
  <si>
    <t>(3)</t>
  </si>
  <si>
    <t>(4)</t>
  </si>
  <si>
    <t>(5)</t>
  </si>
  <si>
    <t>(6)</t>
  </si>
  <si>
    <t>(7)</t>
  </si>
  <si>
    <t>(8)</t>
  </si>
  <si>
    <t>Card/Letter Presort Mix Adjustment Factor</t>
  </si>
  <si>
    <t>Mail Processing Automation Carrier-Route Presort Card/Letter Cost Ratio</t>
  </si>
  <si>
    <t>Card Proportional Costs</t>
  </si>
  <si>
    <t>Letter Proportional Costs</t>
  </si>
  <si>
    <t>CRA Proportional Card / Letter Adjustment</t>
  </si>
  <si>
    <t>Card / Letter Ratio</t>
  </si>
  <si>
    <t>[1]:  Model costs from pages Corresponding Price Category 'Cost' sheets</t>
  </si>
  <si>
    <t>[2]:  Tab 'MCS LETTERS'</t>
  </si>
  <si>
    <t>[3]:  Price category [2] / total volume [2]</t>
  </si>
  <si>
    <t>[4]:  [1] * [3]</t>
  </si>
  <si>
    <t>[5]:  Tab 'MCS CARDS'</t>
  </si>
  <si>
    <t>[6]:  Price category [5] / total volume [5]</t>
  </si>
  <si>
    <t xml:space="preserve">[7]:  [1] * [6] </t>
  </si>
  <si>
    <t>[8]: Nonauto Line Item Volume / Total Nonauto Volume</t>
  </si>
  <si>
    <t>1/:  Total [7] / Total [4]</t>
  </si>
  <si>
    <t>2/:  From 'CRA - PRESORT CARDS'</t>
  </si>
  <si>
    <t>3/:  From 'CRA - PRESORT LETTERS'</t>
  </si>
  <si>
    <t>4/:  2/ divided by 3/</t>
  </si>
  <si>
    <t>5/:  4/ divided by 1/</t>
  </si>
  <si>
    <t>FIRST-CLASS MAIL PRESORT CARDS AND LETTERS</t>
  </si>
  <si>
    <t>NONAUTOMATION MACHINABLE ADDITIONAL COST SUMMARY</t>
  </si>
  <si>
    <t>Nonautomation</t>
  </si>
  <si>
    <t>Machinable</t>
  </si>
  <si>
    <t>Cards</t>
  </si>
  <si>
    <t>Presort Level</t>
  </si>
  <si>
    <t>Unit Cost (Cents)</t>
  </si>
  <si>
    <t>MADC</t>
  </si>
  <si>
    <t>AADC</t>
  </si>
  <si>
    <t>3-Digit</t>
  </si>
  <si>
    <t>5-Digit</t>
  </si>
  <si>
    <t>Aggregate / Total</t>
  </si>
  <si>
    <t>Additional Cost</t>
  </si>
  <si>
    <t>Letters</t>
  </si>
  <si>
    <t>[1]: Tab 'PRESORT CARD SUM'</t>
  </si>
  <si>
    <t>[2]: Tab 'MCS CARDS'</t>
  </si>
  <si>
    <t>[3]: Price Category [2] / Total [2]</t>
  </si>
  <si>
    <t>[4]: Tab 'PRESORT LETTERS SUM * Tab 'CARD-LETTER COST RATIO' * Tab 'PRESORT CARD SUM' + Tab 'PRESORT CARD SUM'</t>
  </si>
  <si>
    <t>[5]: Tab 'PRESORT LETTERS SUM'</t>
  </si>
  <si>
    <t>[6]: From 'MCS LETTERS'</t>
  </si>
  <si>
    <t>[7]: Price Category [6] / Total [6]</t>
  </si>
  <si>
    <t>[8]: From 'PRESORT LETTERS SUM'</t>
  </si>
  <si>
    <t>1/:  Sumproduct ( [1] , [3] ) for Column [1] and Sumproduct ( [3] , [4] ) for Column [4]</t>
  </si>
  <si>
    <t>2/:  Aggregate [4] - Aggregate [1]</t>
  </si>
  <si>
    <t>3/:  Sumproduct ( [5] , [7] ) for Column [5] and Sumproduct ( [7] , [8] ) for Column [8]</t>
  </si>
  <si>
    <t>4/:  Aggregate [8] - Aggregate [5]</t>
  </si>
  <si>
    <t>NONAUTOMATION NONMACHINABLE ADDITIONAL COST SUMMARY</t>
  </si>
  <si>
    <t>CARDS</t>
  </si>
  <si>
    <t>LETTERS</t>
  </si>
  <si>
    <t>MAIL PROCESSING</t>
  </si>
  <si>
    <t>MAIL TYPE</t>
  </si>
  <si>
    <t>Nonautomation Nonmachinable All Presort Levels</t>
  </si>
  <si>
    <t>Nonautomation Machinable All Presort Levels</t>
  </si>
  <si>
    <t>Nonautomation Nonmachinable MADC</t>
  </si>
  <si>
    <t>Nonautomation Machinable MAADC</t>
  </si>
  <si>
    <t>6/</t>
  </si>
  <si>
    <t>1/:  Weighted Average of all 4/</t>
  </si>
  <si>
    <t>2/:  Weighted average of all 5/</t>
  </si>
  <si>
    <t>3/:  1/ - 2/</t>
  </si>
  <si>
    <t>4/:  Page 2 and 26 total mail processing unit cost estimates</t>
  </si>
  <si>
    <t>5/:  Page 2 and 26 total mail processing unit cost estimates</t>
  </si>
  <si>
    <t>6/:  4/ - 5/</t>
  </si>
  <si>
    <t>FIRST-CLASS MAIL SINGLE-PIECE CARDS AND LETTERS</t>
  </si>
  <si>
    <t>RATE CATEGORY</t>
  </si>
  <si>
    <t>UNIT COST (CENTS)</t>
  </si>
  <si>
    <t>Nonmachinable First-Class Mail Single-Piece Cards/Letters</t>
  </si>
  <si>
    <t>Average First-Class Mail Single-Piece Cards/Letters</t>
  </si>
  <si>
    <t>Additional Costs</t>
  </si>
  <si>
    <t>1/: Tab 'SP NMACH COST' * card/letter cost ratio for cards and 'SP NMACH COST' for letters</t>
  </si>
  <si>
    <t>2/: USPS-FY25-26</t>
  </si>
  <si>
    <t>FIRST-CLASS NONMACHINABLE SINGLE-PIECE LETTERS</t>
  </si>
  <si>
    <t xml:space="preserve">Model Cost  </t>
  </si>
  <si>
    <t>CRA Proportional Adjustment Factor =</t>
  </si>
  <si>
    <t>Metered Mail Letters Other Fixed Adjustment Factor (ws and nws)=</t>
  </si>
  <si>
    <t>CRA Adjusted First-Class Nonstandard Single-Piece Letter Cost =</t>
  </si>
  <si>
    <t>[1]:  Tab 'SP NMACH MODEL'</t>
  </si>
  <si>
    <t>[5]:  [4] * [ premium pay factor  - 1]</t>
  </si>
  <si>
    <t>[6]:  Tab 'WAGE RATES - PIGGYBACK FACTORS'</t>
  </si>
  <si>
    <t>2/: Tab 'METERED LETTERS COST'</t>
  </si>
  <si>
    <t>3/: Tab 'CRA-METERED LETTERS'</t>
  </si>
  <si>
    <t>4/: 1/ * 2/ + 3/</t>
  </si>
  <si>
    <t>Productivities</t>
  </si>
  <si>
    <t>Average</t>
  </si>
  <si>
    <t>Description</t>
  </si>
  <si>
    <t>Productivity</t>
  </si>
  <si>
    <t>Tray Sortation Outgoing</t>
  </si>
  <si>
    <t>[1a]</t>
  </si>
  <si>
    <t>Outgoing ISS</t>
  </si>
  <si>
    <t>[1f]</t>
  </si>
  <si>
    <t>Incoming ISS</t>
  </si>
  <si>
    <t>Outgoing OSS</t>
  </si>
  <si>
    <t>[1g]</t>
  </si>
  <si>
    <t>Incoming OSS</t>
  </si>
  <si>
    <t>Outgoing BCS Primary</t>
  </si>
  <si>
    <t>Outgoing BCS Secondary</t>
  </si>
  <si>
    <t>Incoming BCS MMP</t>
  </si>
  <si>
    <t>Incoming BCS SCF/Primary</t>
  </si>
  <si>
    <t>Incoming BCS Secondary Carrier Route(1 Pass)</t>
  </si>
  <si>
    <t>Incoming BCS Secondary DPS (2 Pass)</t>
  </si>
  <si>
    <t>Incoming CSBCS Secondary DPS (3 Pass)</t>
  </si>
  <si>
    <t>[1e]</t>
  </si>
  <si>
    <t xml:space="preserve">Intentionally blank. Equipment withdrawn from service. </t>
  </si>
  <si>
    <t>Manual Out Primary</t>
  </si>
  <si>
    <t>[1h]</t>
  </si>
  <si>
    <t>Manual Out Secondary</t>
  </si>
  <si>
    <t>Manual In MMP</t>
  </si>
  <si>
    <t>Manual In SCF/Primary</t>
  </si>
  <si>
    <t>Manual Incoming Secondary Delivery Units</t>
  </si>
  <si>
    <t>[1b]</t>
  </si>
  <si>
    <t>Post Office Box DPS Wall</t>
  </si>
  <si>
    <t>[1c]</t>
  </si>
  <si>
    <t>Post Office Box Non-DPS Wall</t>
  </si>
  <si>
    <t>Manual Plant Bundle Sorting Productivity</t>
  </si>
  <si>
    <t>[1d]</t>
  </si>
  <si>
    <t>[1]:  Data Source for Average Productivities</t>
  </si>
  <si>
    <t>[1a]:  USPS-FY25-23</t>
  </si>
  <si>
    <t>[1b]:  USPS-FY25-23, Docket No. RM2025-4 Order No. 8713 (February 21, 2025)</t>
  </si>
  <si>
    <t>[1c]:  Docket No. MC95-1, Exhibit USPS-T-10J, page 2</t>
  </si>
  <si>
    <t>[1d]:  Docket No. MC95-1, Exhibit USPS-T-10B, page 1, column 1</t>
  </si>
  <si>
    <t>[1e]:  CSBCS data; Intentionally blank- Equipment withdrawn from service at end of FY13</t>
  </si>
  <si>
    <t>[1f]:   USPS-FY25-23; Docket No. RM2012-2 Proposal Seventeen</t>
  </si>
  <si>
    <t>[1g]:  USPS-FY25-23; Docket No. RM2012-2 Proposal Seventeen</t>
  </si>
  <si>
    <t>[1h]:  USPS-FY15-23</t>
  </si>
  <si>
    <t>[2]:  USPS-FY25-7</t>
  </si>
  <si>
    <t>[3]:  [1] / [2]</t>
  </si>
  <si>
    <t>MISCELLANEOUS FACTORS</t>
  </si>
  <si>
    <t>Value</t>
  </si>
  <si>
    <t>RBCS leakage rate</t>
  </si>
  <si>
    <t>1a/</t>
  </si>
  <si>
    <t>RCR finalization rate</t>
  </si>
  <si>
    <t>1b/</t>
  </si>
  <si>
    <t>RCR cost per image (cents)</t>
  </si>
  <si>
    <t>Auto carrier route presort % to CSBCS site</t>
  </si>
  <si>
    <t>Finalized at least to carrier route at plant</t>
  </si>
  <si>
    <t>Post Office Box destination</t>
  </si>
  <si>
    <t>Nonmachinable single-piece letters % accept</t>
  </si>
  <si>
    <t>Automation Incoming Secondaries</t>
  </si>
  <si>
    <t>7/</t>
  </si>
  <si>
    <t>Delivery Unit (ZIP Code)</t>
  </si>
  <si>
    <t>Carrier Route</t>
  </si>
  <si>
    <t>2-Pass DPS (DBCS)</t>
  </si>
  <si>
    <t>1a/: Pursuant to Order No. 741</t>
  </si>
  <si>
    <t>1b/: FY25 RBCS Data</t>
  </si>
  <si>
    <t>2/: RCR Costs (in cents)/ RCR images processed</t>
  </si>
  <si>
    <t>3/: Due to CSBCS equipment removal from service in FY13</t>
  </si>
  <si>
    <t>4/:  Docket No. R2006-1, USPS-T-42, page 20 at lines 2-5</t>
  </si>
  <si>
    <t xml:space="preserve">   </t>
  </si>
  <si>
    <t>5/:  FY25 CPC Data</t>
  </si>
  <si>
    <t>6/:  Docket No. R2000-1, Tr. 22/10162 at 16</t>
  </si>
  <si>
    <t>7/:  FY25 F.A.S.T. Data</t>
  </si>
  <si>
    <t>Presort Letters Mail Flow Densities</t>
  </si>
  <si>
    <t>Outgoing</t>
  </si>
  <si>
    <t>Incoming</t>
  </si>
  <si>
    <t>Mgd Mail</t>
  </si>
  <si>
    <t>SCF/</t>
  </si>
  <si>
    <t>From Operation</t>
  </si>
  <si>
    <t>Refeeds</t>
  </si>
  <si>
    <t>Primary</t>
  </si>
  <si>
    <t>Secondary</t>
  </si>
  <si>
    <t>Program</t>
  </si>
  <si>
    <t>Inc Sec</t>
  </si>
  <si>
    <t>Out ISS Auto</t>
  </si>
  <si>
    <t>Out OSS Auto</t>
  </si>
  <si>
    <t>Inc ISS Auto</t>
  </si>
  <si>
    <t>Inc OSS Auto</t>
  </si>
  <si>
    <t>Source:</t>
  </si>
  <si>
    <t>Pursuant to Order No. 741</t>
  </si>
  <si>
    <t>Wage Rates, Premium Pay Factors, and Piggyback Factors</t>
  </si>
  <si>
    <t>WAGE RATES</t>
  </si>
  <si>
    <t>VALUE</t>
  </si>
  <si>
    <t>Remote Encoding Centers (REC)</t>
  </si>
  <si>
    <t>All Facilities</t>
  </si>
  <si>
    <t>Other Mail Processing</t>
  </si>
  <si>
    <t>Premium Pay Adjustment Factor (presort)</t>
  </si>
  <si>
    <t>Premium Pay Adjustment Factor (single-piece)</t>
  </si>
  <si>
    <t>Premium Pay Adjustment Factor PRESORT CARDS</t>
  </si>
  <si>
    <t>Non-NDC</t>
  </si>
  <si>
    <t>Premium Pay Adjustment Factor PRESORT LETTERS</t>
  </si>
  <si>
    <t>Premium Pay Adjustment Factor PRESORT FLATS</t>
  </si>
  <si>
    <t>PIGGYBACK FACTORS</t>
  </si>
  <si>
    <t>LCREM &amp; LMLM</t>
  </si>
  <si>
    <t>DBCS</t>
  </si>
  <si>
    <t>Manual P.O. Box</t>
  </si>
  <si>
    <r>
      <t xml:space="preserve">Tray Opening Unit Bundle Sorting- </t>
    </r>
    <r>
      <rPr>
        <b/>
        <sz val="10"/>
        <rFont val="Arial"/>
        <family val="2"/>
      </rPr>
      <t>Pref Mail</t>
    </r>
  </si>
  <si>
    <t>OPERATION DESCRIPTION</t>
  </si>
  <si>
    <t>Outgoing REC</t>
  </si>
  <si>
    <t>Outgoing LCREM</t>
  </si>
  <si>
    <t>Outgoing Prim Auto</t>
  </si>
  <si>
    <t>Outgoing Prim Man</t>
  </si>
  <si>
    <t>Outgoing Sec Auto</t>
  </si>
  <si>
    <t>Outgoing Sec Man</t>
  </si>
  <si>
    <t>Incoming REC</t>
  </si>
  <si>
    <t>Incoming LCREM</t>
  </si>
  <si>
    <t>Incoming MMP Auto</t>
  </si>
  <si>
    <t>Incoming ADC Man</t>
  </si>
  <si>
    <t>Incoming SCF/Prim Auto</t>
  </si>
  <si>
    <t>Incoming SCF/Prim Man</t>
  </si>
  <si>
    <t>Incoming Sec Auto Carrier Route</t>
  </si>
  <si>
    <t>Incoming Sec Auto 3-Pass DPS</t>
  </si>
  <si>
    <t>Incoming Sec Auto 2-Pass DPS</t>
  </si>
  <si>
    <t>Man Inc Sec Final At Plant</t>
  </si>
  <si>
    <t>Tray Opening Unit Bundle Sorting</t>
  </si>
  <si>
    <t>1/:  USPS-FY25-7, part 8</t>
  </si>
  <si>
    <t>2/:  USPS-FY25-7, part 7</t>
  </si>
  <si>
    <t>3/:  USPS-FY25-25</t>
  </si>
  <si>
    <t>4/:  Linked to appropriate equipment piggyback factor above</t>
  </si>
  <si>
    <t>AVERAGE</t>
  </si>
  <si>
    <t>PCS PER</t>
  </si>
  <si>
    <t>NONAUTO</t>
  </si>
  <si>
    <t>MACHINABILITY</t>
  </si>
  <si>
    <t>TRAY PRESORT</t>
  </si>
  <si>
    <t>BUNDLE PRESORT</t>
  </si>
  <si>
    <t>VOLUME</t>
  </si>
  <si>
    <t>BUNDLE</t>
  </si>
  <si>
    <t>PERCENT</t>
  </si>
  <si>
    <t>Nonauto Presort Letters</t>
  </si>
  <si>
    <t>Machinable ("MACH")</t>
  </si>
  <si>
    <t>Mixed AADC</t>
  </si>
  <si>
    <t>N/A (FULL TRAYS)</t>
  </si>
  <si>
    <t>TOTAL</t>
  </si>
  <si>
    <t>PACKAGE</t>
  </si>
  <si>
    <t>Nonmachinable ("MANUAL")</t>
  </si>
  <si>
    <t>Mixed ADC</t>
  </si>
  <si>
    <t>ADC</t>
  </si>
  <si>
    <t>Auto MAADC Presort Letters</t>
  </si>
  <si>
    <t>Auto AADC Presort Letters</t>
  </si>
  <si>
    <t>Auto 3-Digit Presort Letters</t>
  </si>
  <si>
    <t>Auto 5-Digit Presort Letters</t>
  </si>
  <si>
    <t>Total Presort Letters</t>
  </si>
  <si>
    <t>Nonauto Presort Cards</t>
  </si>
  <si>
    <t>Auto MAADC Presort Cards</t>
  </si>
  <si>
    <t>Auto AADC Presort Cards</t>
  </si>
  <si>
    <t>Total Presort Cards</t>
  </si>
  <si>
    <t>FIRST-CLASS MAIL NONAUTOMATION PRESORT BUNDLE SORTING COSTS</t>
  </si>
  <si>
    <t xml:space="preserve">Tray Presort - </t>
  </si>
  <si>
    <t>OP to</t>
  </si>
  <si>
    <t>OS to</t>
  </si>
  <si>
    <t>MMP to</t>
  </si>
  <si>
    <t>SCF to</t>
  </si>
  <si>
    <t xml:space="preserve">Total </t>
  </si>
  <si>
    <t>Bundle Presort</t>
  </si>
  <si>
    <t>OS</t>
  </si>
  <si>
    <t>MMP</t>
  </si>
  <si>
    <t>SCF</t>
  </si>
  <si>
    <t>IS</t>
  </si>
  <si>
    <t>Handlings</t>
  </si>
  <si>
    <t>MADC - MADC Bundle</t>
  </si>
  <si>
    <t>MADC - ADC Bundle</t>
  </si>
  <si>
    <t>MADC - 3D Bundle</t>
  </si>
  <si>
    <t>MADC - 5D Bundle</t>
  </si>
  <si>
    <t>MADC Full Trays</t>
  </si>
  <si>
    <t>ADC - ADC Bundle</t>
  </si>
  <si>
    <t>ADC - 3D Bundle</t>
  </si>
  <si>
    <t>ADC - 5D Bundle</t>
  </si>
  <si>
    <t>ADC Full Trays</t>
  </si>
  <si>
    <t>3D - 3D Bundle</t>
  </si>
  <si>
    <t>3D - 5D Bundle</t>
  </si>
  <si>
    <t>3D Full Trays</t>
  </si>
  <si>
    <t>5D Full Trays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</si>
  <si>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</si>
  <si>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</si>
  <si>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</si>
  <si>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</si>
  <si>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</si>
  <si>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</si>
  <si>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</si>
  <si>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</si>
  <si>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</si>
  <si>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</si>
  <si>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</si>
  <si>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Bundles</t>
  </si>
  <si>
    <t xml:space="preserve">Pay </t>
  </si>
  <si>
    <t>Per Bndl</t>
  </si>
  <si>
    <t>Bundle</t>
  </si>
  <si>
    <t>NA</t>
  </si>
  <si>
    <t>[1] - [10]: Based on manual density table from 'DENSITY'</t>
  </si>
  <si>
    <t>[11]:  Sum ( [1] : [10] )</t>
  </si>
  <si>
    <t>[12]:  From 'PRODUCTIVITY'</t>
  </si>
  <si>
    <t>[13]:  From 'WAGE RATES - PIGGYBACK FACTORS'</t>
  </si>
  <si>
    <t>[14]:  ( [13] / [12] ) * 100</t>
  </si>
  <si>
    <t>[15]:  [14] * [ Premium Pay Factor - 1 ]</t>
  </si>
  <si>
    <t>[16]:  From 'WAGE RATES - PIGGYBACK FACTORS'</t>
  </si>
  <si>
    <t>[17]:  [14] * [16] + [15]</t>
  </si>
  <si>
    <t>[18]:  [17] * [11]</t>
  </si>
  <si>
    <t>[19]: From 'MCS LETTERS'</t>
  </si>
  <si>
    <t>[20]:  [18] / [19]</t>
  </si>
  <si>
    <t>[21]: From 'MCS LETTERS'</t>
  </si>
  <si>
    <t>[22]:  [ Sumproduct ( [20] , [21] ) / Sum (21) ]  By Bundle Presort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</si>
</sst>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(* #,##0.00_);_(* \(#,##0.00\);_(* &quot;-&quot;??_);_(@_)"/>
    <numFmt numFmtId="164" formatCode="0.000"/>
    <numFmt numFmtId="165" formatCode="#,##0.000"/>
    <numFmt numFmtId="166" formatCode="&quot;$&quot;#,##0.000"/>
    <numFmt numFmtId="167" formatCode="0.0000"/>
    <numFmt numFmtId="168" formatCode="#,##0.000_);\(#,##0.000\)"/>
    <numFmt numFmtId="169" formatCode="0.0"/>
    <numFmt numFmtId="170" formatCode="&quot;$&quot;#,##0"/>
    <numFmt numFmtId="171" formatCode="0.000_);\(0.000\)"/>
    <numFmt numFmtId="172" formatCode="#,##0.0"/>
    <numFmt numFmtId="173" formatCode="0.00000"/>
    <numFmt numFmtId="174" formatCode="0.0%"/>
    <numFmt numFmtId="175" formatCode="0.00000000000000"/>
    <numFmt numFmtId="176" formatCode="&quot;$&quot;#,##0.00"/>
    <numFmt numFmtId="177" formatCode="General_)"/>
    <numFmt numFmtId="178" formatCode="#,##0.000000000"/>
    <numFmt numFmtId="179" formatCode="_(* #,##0.000_);_(* \(#,##0.000\);_(* &quot;-&quot;??_);_(@_)"/>
    <numFmt numFmtId="180" formatCode="_(* #,##0_);_(* \(#,##0\);_(* &quot;-&quot;??_);_(@_)"/>
    <numFmt numFmtId="181" formatCode="0.000000_)"/>
    <numFmt numFmtId="182" formatCode="_(* #,##0.000000_);_(* \(#,##0.000000\);_(* &quot;-&quot;??_);_(@_)"/>
    <numFmt numFmtId="183" formatCode="0.000_)"/>
    <numFmt numFmtId="184" formatCode="_(* #,##0.00000_);_(* \(#,##0.00000\);_(* &quot;-&quot;??_);_(@_)"/>
    <numFmt numFmtId="185" formatCode="_(* #,##0.000_);_(* \(#,##0.000\);_(* &quot;-&quot;???_);_(@_)"/>
    <numFmt numFmtId="186" formatCode="_(* #,##0.0000_);_(* \(#,##0.0000\);_(* &quot;-&quot;??_);_(@_)"/>
    <numFmt numFmtId="187" formatCode="&quot;$&quot;#,##0.000_);[Red]\(&quot;$&quot;#,##0.000\)"/>
    <numFmt numFmtId="188" formatCode="&quot;$&quot;#,##0.000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20"/>
      <name val="Arial"/>
      <family val="2"/>
    </font>
    <font>
      <b/>
      <sz val="10"/>
      <color indexed="20"/>
      <name val="Arial"/>
      <family val="2"/>
    </font>
    <font>
      <b/>
      <sz val="16"/>
      <name val="Arial"/>
      <family val="2"/>
    </font>
    <font>
      <sz val="10"/>
      <color indexed="17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indexed="10"/>
      <name val="Arial"/>
      <family val="2"/>
    </font>
    <font>
      <sz val="8"/>
      <color indexed="48"/>
      <name val="Arial"/>
      <family val="2"/>
    </font>
    <font>
      <b/>
      <sz val="10"/>
      <color indexed="48"/>
      <name val="Arial"/>
      <family val="2"/>
    </font>
    <font>
      <sz val="10"/>
      <color indexed="14"/>
      <name val="Arial"/>
      <family val="2"/>
    </font>
    <font>
      <sz val="8"/>
      <color indexed="12"/>
      <name val="Arial"/>
      <family val="2"/>
    </font>
    <font>
      <sz val="10"/>
      <color indexed="48"/>
      <name val="Arial"/>
      <family val="2"/>
    </font>
    <font>
      <sz val="10"/>
      <color indexed="57"/>
      <name val="Arial"/>
      <family val="2"/>
    </font>
    <font>
      <b/>
      <sz val="10"/>
      <color indexed="21"/>
      <name val="Arial"/>
      <family val="2"/>
    </font>
    <font>
      <sz val="10"/>
      <color indexed="2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color indexed="10"/>
      <name val="Arial"/>
      <family val="2"/>
    </font>
    <font>
      <sz val="12"/>
      <name val="Helv"/>
    </font>
    <font>
      <sz val="12"/>
      <color indexed="10"/>
      <name val="Helv"/>
    </font>
    <font>
      <sz val="12"/>
      <color indexed="9"/>
      <name val="Helv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sz val="10"/>
      <color indexed="52"/>
      <name val="Arial"/>
      <family val="2"/>
    </font>
    <font>
      <b/>
      <sz val="9"/>
      <color indexed="10"/>
      <name val="Arial"/>
      <family val="2"/>
    </font>
    <font>
      <sz val="10"/>
      <color indexed="5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Univers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b/>
      <sz val="1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name val="Arial"/>
      <family val="2"/>
    </font>
    <font>
      <b/>
      <u/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0"/>
      <color theme="1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  <border>
      <left/>
      <right style="dott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53" fillId="6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8" borderId="0" applyNumberFormat="0" applyBorder="0" applyAlignment="0" applyProtection="0"/>
    <xf numFmtId="0" fontId="53" fillId="6" borderId="0" applyNumberFormat="0" applyBorder="0" applyAlignment="0" applyProtection="0"/>
    <xf numFmtId="0" fontId="53" fillId="3" borderId="0" applyNumberFormat="0" applyBorder="0" applyAlignment="0" applyProtection="0"/>
    <xf numFmtId="0" fontId="53" fillId="11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4" fillId="15" borderId="0" applyNumberFormat="0" applyBorder="0" applyAlignment="0" applyProtection="0"/>
    <xf numFmtId="0" fontId="55" fillId="16" borderId="1" applyNumberFormat="0" applyAlignment="0" applyProtection="0"/>
    <xf numFmtId="0" fontId="56" fillId="17" borderId="2" applyNumberFormat="0" applyAlignment="0" applyProtection="0"/>
    <xf numFmtId="43" fontId="3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6" borderId="0" applyNumberFormat="0" applyBorder="0" applyAlignment="0" applyProtection="0"/>
    <xf numFmtId="0" fontId="59" fillId="0" borderId="3" applyNumberFormat="0" applyFill="0" applyAlignment="0" applyProtection="0"/>
    <xf numFmtId="0" fontId="60" fillId="0" borderId="4" applyNumberFormat="0" applyFill="0" applyAlignment="0" applyProtection="0"/>
    <xf numFmtId="0" fontId="61" fillId="0" borderId="5" applyNumberFormat="0" applyFill="0" applyAlignment="0" applyProtection="0"/>
    <xf numFmtId="0" fontId="61" fillId="0" borderId="0" applyNumberFormat="0" applyFill="0" applyBorder="0" applyAlignment="0" applyProtection="0"/>
    <xf numFmtId="0" fontId="62" fillId="7" borderId="1" applyNumberFormat="0" applyAlignment="0" applyProtection="0"/>
    <xf numFmtId="0" fontId="63" fillId="0" borderId="6" applyNumberFormat="0" applyFill="0" applyAlignment="0" applyProtection="0"/>
    <xf numFmtId="0" fontId="64" fillId="7" borderId="0" applyNumberFormat="0" applyBorder="0" applyAlignment="0" applyProtection="0"/>
    <xf numFmtId="0" fontId="3" fillId="0" borderId="0"/>
    <xf numFmtId="0" fontId="68" fillId="0" borderId="0"/>
    <xf numFmtId="177" fontId="34" fillId="0" borderId="0"/>
    <xf numFmtId="0" fontId="3" fillId="4" borderId="7" applyNumberFormat="0" applyFont="0" applyAlignment="0" applyProtection="0"/>
    <xf numFmtId="0" fontId="65" fillId="16" borderId="8" applyNumberFormat="0" applyAlignment="0" applyProtection="0"/>
    <xf numFmtId="9" fontId="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9" applyNumberFormat="0" applyFill="0" applyAlignment="0" applyProtection="0"/>
    <xf numFmtId="0" fontId="63" fillId="0" borderId="0" applyNumberFormat="0" applyFill="0" applyBorder="0" applyAlignment="0" applyProtection="0"/>
    <xf numFmtId="0" fontId="1" fillId="0" borderId="0"/>
    <xf numFmtId="0" fontId="3" fillId="0" borderId="0"/>
  </cellStyleXfs>
  <cellXfs count="62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10" fontId="0" fillId="0" borderId="0" xfId="0" applyNumberFormat="1" applyAlignment="1">
      <alignment horizontal="center"/>
    </xf>
    <xf numFmtId="0" fontId="7" fillId="0" borderId="0" xfId="0" applyFont="1"/>
    <xf numFmtId="10" fontId="4" fillId="0" borderId="0" xfId="0" applyNumberFormat="1" applyFont="1" applyAlignment="1">
      <alignment horizontal="center"/>
    </xf>
    <xf numFmtId="0" fontId="8" fillId="0" borderId="0" xfId="0" applyFont="1"/>
    <xf numFmtId="10" fontId="8" fillId="0" borderId="0" xfId="0" applyNumberFormat="1" applyFont="1" applyAlignment="1">
      <alignment horizontal="center"/>
    </xf>
    <xf numFmtId="0" fontId="4" fillId="0" borderId="0" xfId="0" applyFont="1"/>
    <xf numFmtId="10" fontId="0" fillId="0" borderId="0" xfId="0" applyNumberFormat="1"/>
    <xf numFmtId="0" fontId="9" fillId="0" borderId="0" xfId="0" applyFont="1"/>
    <xf numFmtId="0" fontId="8" fillId="0" borderId="0" xfId="0" applyFont="1" applyAlignment="1">
      <alignment horizontal="center"/>
    </xf>
    <xf numFmtId="0" fontId="5" fillId="0" borderId="0" xfId="0" applyFont="1"/>
    <xf numFmtId="164" fontId="8" fillId="0" borderId="0" xfId="0" applyNumberFormat="1" applyFont="1" applyAlignment="1">
      <alignment horizontal="center"/>
    </xf>
    <xf numFmtId="0" fontId="3" fillId="0" borderId="0" xfId="0" applyFont="1"/>
    <xf numFmtId="164" fontId="0" fillId="0" borderId="0" xfId="0" applyNumberFormat="1"/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3" fontId="0" fillId="0" borderId="0" xfId="0" applyNumberFormat="1"/>
    <xf numFmtId="3" fontId="4" fillId="0" borderId="0" xfId="0" applyNumberFormat="1" applyFont="1"/>
    <xf numFmtId="1" fontId="0" fillId="0" borderId="0" xfId="0" applyNumberFormat="1"/>
    <xf numFmtId="1" fontId="4" fillId="0" borderId="0" xfId="0" applyNumberFormat="1" applyFont="1" applyAlignment="1">
      <alignment horizontal="right"/>
    </xf>
    <xf numFmtId="1" fontId="4" fillId="0" borderId="10" xfId="0" applyNumberFormat="1" applyFont="1" applyBorder="1" applyAlignment="1">
      <alignment horizontal="right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4" fillId="0" borderId="13" xfId="0" applyNumberFormat="1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10" fontId="4" fillId="0" borderId="0" xfId="0" applyNumberFormat="1" applyFont="1"/>
    <xf numFmtId="0" fontId="4" fillId="0" borderId="0" xfId="0" applyFont="1" applyAlignment="1">
      <alignment horizontal="left"/>
    </xf>
    <xf numFmtId="167" fontId="4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left"/>
    </xf>
    <xf numFmtId="0" fontId="13" fillId="0" borderId="0" xfId="0" applyFont="1"/>
    <xf numFmtId="1" fontId="13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right"/>
    </xf>
    <xf numFmtId="1" fontId="14" fillId="0" borderId="0" xfId="0" applyNumberFormat="1" applyFont="1" applyAlignment="1">
      <alignment horizontal="center"/>
    </xf>
    <xf numFmtId="0" fontId="14" fillId="0" borderId="0" xfId="0" applyFont="1"/>
    <xf numFmtId="1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" fontId="4" fillId="0" borderId="15" xfId="0" applyNumberFormat="1" applyFont="1" applyBorder="1" applyAlignment="1">
      <alignment horizontal="left"/>
    </xf>
    <xf numFmtId="0" fontId="16" fillId="0" borderId="0" xfId="0" applyFont="1"/>
    <xf numFmtId="1" fontId="7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5" fillId="0" borderId="0" xfId="0" applyFont="1" applyAlignment="1">
      <alignment horizontal="centerContinuous"/>
    </xf>
    <xf numFmtId="1" fontId="0" fillId="0" borderId="16" xfId="0" applyNumberFormat="1" applyBorder="1" applyAlignment="1">
      <alignment horizontal="center"/>
    </xf>
    <xf numFmtId="0" fontId="0" fillId="0" borderId="16" xfId="0" applyBorder="1"/>
    <xf numFmtId="1" fontId="15" fillId="0" borderId="0" xfId="0" applyNumberFormat="1" applyFont="1" applyAlignment="1">
      <alignment horizontal="left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0" borderId="17" xfId="0" applyBorder="1"/>
    <xf numFmtId="1" fontId="0" fillId="0" borderId="18" xfId="0" applyNumberFormat="1" applyBorder="1" applyAlignment="1">
      <alignment horizontal="center"/>
    </xf>
    <xf numFmtId="1" fontId="7" fillId="0" borderId="19" xfId="0" applyNumberFormat="1" applyFont="1" applyBorder="1"/>
    <xf numFmtId="1" fontId="9" fillId="0" borderId="20" xfId="0" applyNumberFormat="1" applyFont="1" applyBorder="1"/>
    <xf numFmtId="1" fontId="9" fillId="0" borderId="20" xfId="0" applyNumberFormat="1" applyFont="1" applyBorder="1" applyAlignment="1">
      <alignment horizontal="center"/>
    </xf>
    <xf numFmtId="0" fontId="9" fillId="0" borderId="20" xfId="0" applyFont="1" applyBorder="1"/>
    <xf numFmtId="1" fontId="9" fillId="0" borderId="21" xfId="0" applyNumberFormat="1" applyFont="1" applyBorder="1" applyAlignment="1">
      <alignment horizontal="center"/>
    </xf>
    <xf numFmtId="0" fontId="3" fillId="0" borderId="10" xfId="0" applyFont="1" applyBorder="1"/>
    <xf numFmtId="3" fontId="0" fillId="0" borderId="10" xfId="0" applyNumberFormat="1" applyBorder="1"/>
    <xf numFmtId="0" fontId="7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3" fontId="9" fillId="0" borderId="0" xfId="0" applyNumberFormat="1" applyFont="1" applyAlignment="1">
      <alignment horizontal="centerContinuous"/>
    </xf>
    <xf numFmtId="166" fontId="9" fillId="0" borderId="0" xfId="0" applyNumberFormat="1" applyFont="1" applyAlignment="1">
      <alignment horizontal="centerContinuous"/>
    </xf>
    <xf numFmtId="167" fontId="9" fillId="0" borderId="0" xfId="0" applyNumberFormat="1" applyFont="1" applyAlignment="1">
      <alignment horizontal="centerContinuous"/>
    </xf>
    <xf numFmtId="164" fontId="9" fillId="0" borderId="0" xfId="0" applyNumberFormat="1" applyFont="1" applyAlignment="1">
      <alignment horizontal="centerContinuous"/>
    </xf>
    <xf numFmtId="0" fontId="0" fillId="0" borderId="0" xfId="0" applyAlignment="1">
      <alignment horizontal="centerContinuous"/>
    </xf>
    <xf numFmtId="3" fontId="0" fillId="0" borderId="0" xfId="0" applyNumberFormat="1" applyAlignment="1">
      <alignment horizontal="centerContinuous"/>
    </xf>
    <xf numFmtId="166" fontId="0" fillId="0" borderId="0" xfId="0" applyNumberFormat="1" applyAlignment="1">
      <alignment horizontal="centerContinuous"/>
    </xf>
    <xf numFmtId="167" fontId="0" fillId="0" borderId="0" xfId="0" applyNumberFormat="1" applyAlignment="1">
      <alignment horizontal="centerContinuous"/>
    </xf>
    <xf numFmtId="164" fontId="0" fillId="0" borderId="0" xfId="0" applyNumberForma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25" xfId="0" applyFont="1" applyBorder="1"/>
    <xf numFmtId="0" fontId="4" fillId="0" borderId="10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0" fillId="0" borderId="25" xfId="0" applyBorder="1"/>
    <xf numFmtId="1" fontId="17" fillId="0" borderId="0" xfId="0" applyNumberFormat="1" applyFont="1" applyAlignment="1">
      <alignment horizontal="centerContinuous"/>
    </xf>
    <xf numFmtId="1" fontId="17" fillId="0" borderId="0" xfId="0" applyNumberFormat="1" applyFont="1" applyAlignment="1">
      <alignment horizontal="center"/>
    </xf>
    <xf numFmtId="0" fontId="0" fillId="0" borderId="27" xfId="0" applyBorder="1"/>
    <xf numFmtId="1" fontId="3" fillId="0" borderId="16" xfId="0" applyNumberFormat="1" applyFont="1" applyBorder="1" applyAlignment="1">
      <alignment horizontal="center"/>
    </xf>
    <xf numFmtId="0" fontId="3" fillId="0" borderId="16" xfId="0" applyFont="1" applyBorder="1"/>
    <xf numFmtId="0" fontId="4" fillId="0" borderId="28" xfId="0" applyFont="1" applyBorder="1"/>
    <xf numFmtId="0" fontId="0" fillId="0" borderId="29" xfId="0" applyBorder="1" applyAlignment="1">
      <alignment horizontal="center"/>
    </xf>
    <xf numFmtId="1" fontId="12" fillId="0" borderId="0" xfId="0" applyNumberFormat="1" applyFont="1"/>
    <xf numFmtId="3" fontId="0" fillId="0" borderId="0" xfId="0" applyNumberFormat="1" applyAlignment="1">
      <alignment horizontal="right"/>
    </xf>
    <xf numFmtId="164" fontId="4" fillId="0" borderId="10" xfId="0" applyNumberFormat="1" applyFont="1" applyBorder="1" applyAlignment="1">
      <alignment horizontal="center"/>
    </xf>
    <xf numFmtId="164" fontId="4" fillId="0" borderId="25" xfId="0" applyNumberFormat="1" applyFont="1" applyBorder="1" applyAlignment="1">
      <alignment horizontal="center"/>
    </xf>
    <xf numFmtId="0" fontId="4" fillId="0" borderId="27" xfId="0" applyFont="1" applyBorder="1"/>
    <xf numFmtId="0" fontId="4" fillId="0" borderId="27" xfId="0" applyFont="1" applyBorder="1" applyAlignment="1">
      <alignment horizontal="center"/>
    </xf>
    <xf numFmtId="164" fontId="4" fillId="0" borderId="0" xfId="0" applyNumberFormat="1" applyFont="1"/>
    <xf numFmtId="0" fontId="4" fillId="0" borderId="27" xfId="0" quotePrefix="1" applyFont="1" applyBorder="1" applyAlignment="1">
      <alignment horizontal="center"/>
    </xf>
    <xf numFmtId="0" fontId="0" fillId="0" borderId="0" xfId="0" applyAlignment="1">
      <alignment horizontal="right"/>
    </xf>
    <xf numFmtId="174" fontId="0" fillId="0" borderId="0" xfId="0" applyNumberFormat="1"/>
    <xf numFmtId="0" fontId="7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1" fontId="9" fillId="0" borderId="14" xfId="0" applyNumberFormat="1" applyFont="1" applyBorder="1" applyAlignment="1">
      <alignment horizontal="center"/>
    </xf>
    <xf numFmtId="1" fontId="9" fillId="0" borderId="0" xfId="0" applyNumberFormat="1" applyFont="1"/>
    <xf numFmtId="0" fontId="4" fillId="0" borderId="16" xfId="0" applyFont="1" applyBorder="1"/>
    <xf numFmtId="0" fontId="4" fillId="0" borderId="39" xfId="0" applyFont="1" applyBorder="1"/>
    <xf numFmtId="1" fontId="0" fillId="0" borderId="29" xfId="0" applyNumberFormat="1" applyBorder="1" applyAlignment="1">
      <alignment horizontal="center"/>
    </xf>
    <xf numFmtId="0" fontId="0" fillId="0" borderId="29" xfId="0" applyBorder="1"/>
    <xf numFmtId="1" fontId="4" fillId="18" borderId="22" xfId="0" applyNumberFormat="1" applyFont="1" applyFill="1" applyBorder="1"/>
    <xf numFmtId="1" fontId="4" fillId="18" borderId="24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/>
    </xf>
    <xf numFmtId="1" fontId="0" fillId="0" borderId="32" xfId="0" applyNumberFormat="1" applyBorder="1"/>
    <xf numFmtId="1" fontId="0" fillId="0" borderId="41" xfId="0" applyNumberFormat="1" applyBorder="1" applyAlignment="1">
      <alignment horizontal="center"/>
    </xf>
    <xf numFmtId="1" fontId="4" fillId="18" borderId="22" xfId="0" applyNumberFormat="1" applyFont="1" applyFill="1" applyBorder="1" applyAlignment="1">
      <alignment horizontal="left"/>
    </xf>
    <xf numFmtId="1" fontId="22" fillId="0" borderId="0" xfId="0" applyNumberFormat="1" applyFont="1" applyAlignment="1">
      <alignment horizontal="center"/>
    </xf>
    <xf numFmtId="1" fontId="0" fillId="0" borderId="32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1" fontId="0" fillId="0" borderId="34" xfId="0" applyNumberFormat="1" applyBorder="1"/>
    <xf numFmtId="1" fontId="0" fillId="0" borderId="4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12" fillId="0" borderId="0" xfId="0" applyNumberFormat="1" applyFont="1" applyAlignment="1">
      <alignment horizontal="centerContinuous"/>
    </xf>
    <xf numFmtId="175" fontId="0" fillId="0" borderId="0" xfId="0" applyNumberFormat="1" applyAlignment="1">
      <alignment horizontal="center"/>
    </xf>
    <xf numFmtId="0" fontId="4" fillId="18" borderId="44" xfId="0" applyFont="1" applyFill="1" applyBorder="1" applyAlignment="1">
      <alignment horizontal="left"/>
    </xf>
    <xf numFmtId="1" fontId="4" fillId="18" borderId="44" xfId="0" applyNumberFormat="1" applyFont="1" applyFill="1" applyBorder="1" applyAlignment="1">
      <alignment horizontal="center"/>
    </xf>
    <xf numFmtId="1" fontId="4" fillId="18" borderId="45" xfId="0" applyNumberFormat="1" applyFont="1" applyFill="1" applyBorder="1" applyAlignment="1">
      <alignment horizontal="left"/>
    </xf>
    <xf numFmtId="1" fontId="4" fillId="18" borderId="46" xfId="0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22" fillId="0" borderId="0" xfId="0" applyFont="1" applyAlignment="1">
      <alignment horizontal="center"/>
    </xf>
    <xf numFmtId="1" fontId="23" fillId="0" borderId="0" xfId="0" applyNumberFormat="1" applyFont="1" applyAlignment="1">
      <alignment horizontal="right"/>
    </xf>
    <xf numFmtId="0" fontId="12" fillId="0" borderId="16" xfId="0" applyFont="1" applyBorder="1"/>
    <xf numFmtId="1" fontId="0" fillId="0" borderId="33" xfId="0" applyNumberFormat="1" applyBorder="1" applyAlignment="1">
      <alignment horizontal="center"/>
    </xf>
    <xf numFmtId="1" fontId="0" fillId="0" borderId="41" xfId="0" applyNumberFormat="1" applyBorder="1"/>
    <xf numFmtId="1" fontId="0" fillId="0" borderId="42" xfId="0" applyNumberFormat="1" applyBorder="1" applyAlignment="1">
      <alignment horizontal="centerContinuous"/>
    </xf>
    <xf numFmtId="169" fontId="22" fillId="0" borderId="0" xfId="0" applyNumberFormat="1" applyFont="1" applyAlignment="1">
      <alignment horizontal="center"/>
    </xf>
    <xf numFmtId="0" fontId="0" fillId="0" borderId="43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43" xfId="0" applyNumberFormat="1" applyBorder="1"/>
    <xf numFmtId="1" fontId="24" fillId="0" borderId="0" xfId="0" applyNumberFormat="1" applyFont="1" applyAlignment="1">
      <alignment horizontal="center"/>
    </xf>
    <xf numFmtId="169" fontId="22" fillId="0" borderId="0" xfId="0" applyNumberFormat="1" applyFont="1"/>
    <xf numFmtId="3" fontId="13" fillId="0" borderId="0" xfId="0" applyNumberFormat="1" applyFont="1" applyAlignment="1">
      <alignment horizontal="center"/>
    </xf>
    <xf numFmtId="1" fontId="13" fillId="0" borderId="0" xfId="0" applyNumberFormat="1" applyFont="1"/>
    <xf numFmtId="169" fontId="0" fillId="0" borderId="0" xfId="0" applyNumberFormat="1" applyAlignment="1">
      <alignment horizontal="center"/>
    </xf>
    <xf numFmtId="1" fontId="0" fillId="0" borderId="39" xfId="0" applyNumberFormat="1" applyBorder="1" applyAlignment="1">
      <alignment horizontal="center"/>
    </xf>
    <xf numFmtId="1" fontId="4" fillId="18" borderId="44" xfId="0" applyNumberFormat="1" applyFont="1" applyFill="1" applyBorder="1" applyAlignment="1">
      <alignment horizontal="left"/>
    </xf>
    <xf numFmtId="1" fontId="3" fillId="0" borderId="42" xfId="0" applyNumberFormat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0" fontId="0" fillId="0" borderId="37" xfId="0" applyBorder="1"/>
    <xf numFmtId="0" fontId="0" fillId="0" borderId="32" xfId="0" applyBorder="1" applyAlignment="1">
      <alignment horizontal="center"/>
    </xf>
    <xf numFmtId="1" fontId="25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right"/>
    </xf>
    <xf numFmtId="1" fontId="0" fillId="0" borderId="32" xfId="0" applyNumberFormat="1" applyBorder="1" applyAlignment="1">
      <alignment horizontal="centerContinuous"/>
    </xf>
    <xf numFmtId="0" fontId="0" fillId="0" borderId="34" xfId="0" applyBorder="1" applyAlignment="1">
      <alignment horizontal="center"/>
    </xf>
    <xf numFmtId="1" fontId="26" fillId="0" borderId="0" xfId="0" applyNumberFormat="1" applyFont="1" applyAlignment="1">
      <alignment horizontal="center"/>
    </xf>
    <xf numFmtId="3" fontId="0" fillId="0" borderId="0" xfId="0" quotePrefix="1" applyNumberFormat="1" applyAlignment="1">
      <alignment horizontal="right"/>
    </xf>
    <xf numFmtId="10" fontId="3" fillId="0" borderId="0" xfId="0" applyNumberFormat="1" applyFont="1"/>
    <xf numFmtId="0" fontId="21" fillId="0" borderId="0" xfId="0" applyFont="1"/>
    <xf numFmtId="0" fontId="8" fillId="0" borderId="0" xfId="0" applyFont="1" applyAlignment="1">
      <alignment horizontal="left"/>
    </xf>
    <xf numFmtId="178" fontId="0" fillId="0" borderId="0" xfId="0" applyNumberFormat="1" applyAlignment="1">
      <alignment horizontal="right"/>
    </xf>
    <xf numFmtId="3" fontId="4" fillId="0" borderId="10" xfId="0" applyNumberFormat="1" applyFont="1" applyBorder="1" applyAlignment="1">
      <alignment horizontal="center"/>
    </xf>
    <xf numFmtId="166" fontId="4" fillId="0" borderId="10" xfId="0" applyNumberFormat="1" applyFont="1" applyBorder="1" applyAlignment="1">
      <alignment horizontal="center"/>
    </xf>
    <xf numFmtId="0" fontId="0" fillId="0" borderId="15" xfId="0" applyBorder="1"/>
    <xf numFmtId="0" fontId="0" fillId="0" borderId="13" xfId="0" applyBorder="1"/>
    <xf numFmtId="1" fontId="27" fillId="0" borderId="0" xfId="0" applyNumberFormat="1" applyFont="1" applyAlignment="1">
      <alignment horizontal="center"/>
    </xf>
    <xf numFmtId="0" fontId="32" fillId="0" borderId="0" xfId="0" applyFont="1"/>
    <xf numFmtId="0" fontId="31" fillId="0" borderId="0" xfId="0" applyFont="1"/>
    <xf numFmtId="10" fontId="31" fillId="0" borderId="0" xfId="0" applyNumberFormat="1" applyFont="1" applyAlignment="1">
      <alignment horizontal="center"/>
    </xf>
    <xf numFmtId="182" fontId="35" fillId="0" borderId="0" xfId="28" applyNumberFormat="1" applyFont="1" applyFill="1"/>
    <xf numFmtId="182" fontId="36" fillId="0" borderId="0" xfId="28" applyNumberFormat="1" applyFont="1" applyFill="1"/>
    <xf numFmtId="182" fontId="34" fillId="0" borderId="0" xfId="28" applyNumberFormat="1" applyFont="1" applyFill="1"/>
    <xf numFmtId="164" fontId="31" fillId="0" borderId="0" xfId="0" applyNumberFormat="1" applyFont="1" applyAlignment="1">
      <alignment horizontal="center"/>
    </xf>
    <xf numFmtId="0" fontId="27" fillId="0" borderId="0" xfId="0" applyFont="1"/>
    <xf numFmtId="1" fontId="27" fillId="0" borderId="0" xfId="0" applyNumberFormat="1" applyFont="1"/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left"/>
    </xf>
    <xf numFmtId="1" fontId="27" fillId="0" borderId="0" xfId="0" applyNumberFormat="1" applyFont="1" applyAlignment="1">
      <alignment horizontal="left"/>
    </xf>
    <xf numFmtId="165" fontId="17" fillId="0" borderId="0" xfId="0" applyNumberFormat="1" applyFont="1"/>
    <xf numFmtId="164" fontId="17" fillId="0" borderId="0" xfId="0" applyNumberFormat="1" applyFont="1" applyAlignment="1">
      <alignment horizontal="left"/>
    </xf>
    <xf numFmtId="1" fontId="17" fillId="0" borderId="0" xfId="0" applyNumberFormat="1" applyFont="1" applyAlignment="1">
      <alignment horizontal="left"/>
    </xf>
    <xf numFmtId="4" fontId="17" fillId="0" borderId="0" xfId="0" applyNumberFormat="1" applyFont="1"/>
    <xf numFmtId="2" fontId="17" fillId="0" borderId="0" xfId="0" applyNumberFormat="1" applyFont="1" applyAlignment="1">
      <alignment horizontal="left"/>
    </xf>
    <xf numFmtId="1" fontId="17" fillId="0" borderId="49" xfId="0" applyNumberFormat="1" applyFont="1" applyBorder="1" applyAlignment="1">
      <alignment horizontal="center"/>
    </xf>
    <xf numFmtId="169" fontId="27" fillId="0" borderId="0" xfId="0" applyNumberFormat="1" applyFont="1"/>
    <xf numFmtId="169" fontId="27" fillId="0" borderId="0" xfId="0" applyNumberFormat="1" applyFont="1" applyAlignment="1">
      <alignment horizontal="center"/>
    </xf>
    <xf numFmtId="169" fontId="17" fillId="0" borderId="0" xfId="0" applyNumberFormat="1" applyFont="1"/>
    <xf numFmtId="1" fontId="28" fillId="0" borderId="0" xfId="0" applyNumberFormat="1" applyFont="1"/>
    <xf numFmtId="1" fontId="29" fillId="0" borderId="16" xfId="0" applyNumberFormat="1" applyFont="1" applyBorder="1" applyAlignment="1">
      <alignment horizontal="center"/>
    </xf>
    <xf numFmtId="1" fontId="29" fillId="0" borderId="0" xfId="0" applyNumberFormat="1" applyFont="1"/>
    <xf numFmtId="2" fontId="29" fillId="0" borderId="16" xfId="0" applyNumberFormat="1" applyFont="1" applyBorder="1" applyAlignment="1">
      <alignment horizontal="center"/>
    </xf>
    <xf numFmtId="1" fontId="27" fillId="0" borderId="16" xfId="0" applyNumberFormat="1" applyFont="1" applyBorder="1" applyAlignment="1">
      <alignment horizontal="center"/>
    </xf>
    <xf numFmtId="1" fontId="29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6" fillId="0" borderId="0" xfId="0" applyFont="1"/>
    <xf numFmtId="10" fontId="5" fillId="0" borderId="0" xfId="0" applyNumberFormat="1" applyFont="1"/>
    <xf numFmtId="10" fontId="8" fillId="0" borderId="0" xfId="0" applyNumberFormat="1" applyFont="1" applyAlignment="1">
      <alignment horizontal="left"/>
    </xf>
    <xf numFmtId="10" fontId="10" fillId="0" borderId="0" xfId="0" applyNumberFormat="1" applyFont="1"/>
    <xf numFmtId="164" fontId="4" fillId="0" borderId="27" xfId="0" applyNumberFormat="1" applyFont="1" applyBorder="1"/>
    <xf numFmtId="174" fontId="4" fillId="0" borderId="27" xfId="0" applyNumberFormat="1" applyFont="1" applyBorder="1"/>
    <xf numFmtId="3" fontId="4" fillId="0" borderId="27" xfId="0" applyNumberFormat="1" applyFont="1" applyBorder="1"/>
    <xf numFmtId="10" fontId="4" fillId="0" borderId="27" xfId="0" applyNumberFormat="1" applyFont="1" applyBorder="1"/>
    <xf numFmtId="0" fontId="30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1" fontId="0" fillId="0" borderId="10" xfId="0" applyNumberFormat="1" applyBorder="1"/>
    <xf numFmtId="10" fontId="4" fillId="0" borderId="0" xfId="0" applyNumberFormat="1" applyFont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left"/>
    </xf>
    <xf numFmtId="3" fontId="37" fillId="0" borderId="0" xfId="0" applyNumberFormat="1" applyFont="1"/>
    <xf numFmtId="166" fontId="37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0" fontId="31" fillId="0" borderId="0" xfId="0" applyFont="1" applyAlignment="1">
      <alignment horizontal="centerContinuous"/>
    </xf>
    <xf numFmtId="0" fontId="4" fillId="0" borderId="0" xfId="0" quotePrefix="1" applyFont="1" applyAlignment="1">
      <alignment horizontal="centerContinuous" wrapText="1"/>
    </xf>
    <xf numFmtId="0" fontId="4" fillId="0" borderId="25" xfId="0" applyFont="1" applyBorder="1" applyAlignment="1">
      <alignment horizontal="left"/>
    </xf>
    <xf numFmtId="0" fontId="4" fillId="0" borderId="25" xfId="0" applyFont="1" applyBorder="1" applyAlignment="1">
      <alignment horizontal="centerContinuous"/>
    </xf>
    <xf numFmtId="0" fontId="4" fillId="0" borderId="25" xfId="0" applyFont="1" applyBorder="1" applyAlignment="1">
      <alignment horizontal="center" wrapText="1"/>
    </xf>
    <xf numFmtId="0" fontId="4" fillId="0" borderId="25" xfId="0" quotePrefix="1" applyFont="1" applyBorder="1" applyAlignment="1">
      <alignment horizontal="center" wrapText="1"/>
    </xf>
    <xf numFmtId="0" fontId="3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79" fontId="0" fillId="0" borderId="0" xfId="28" applyNumberFormat="1" applyFont="1" applyFill="1"/>
    <xf numFmtId="164" fontId="21" fillId="0" borderId="0" xfId="0" applyNumberFormat="1" applyFont="1"/>
    <xf numFmtId="164" fontId="42" fillId="0" borderId="0" xfId="0" applyNumberFormat="1" applyFont="1"/>
    <xf numFmtId="2" fontId="0" fillId="0" borderId="0" xfId="0" applyNumberFormat="1"/>
    <xf numFmtId="0" fontId="3" fillId="0" borderId="0" xfId="0" applyFont="1" applyAlignment="1">
      <alignment horizontal="center"/>
    </xf>
    <xf numFmtId="164" fontId="31" fillId="0" borderId="0" xfId="0" applyNumberFormat="1" applyFont="1" applyAlignment="1">
      <alignment horizontal="centerContinuous"/>
    </xf>
    <xf numFmtId="164" fontId="8" fillId="0" borderId="0" xfId="0" applyNumberFormat="1" applyFont="1"/>
    <xf numFmtId="165" fontId="0" fillId="0" borderId="0" xfId="0" applyNumberFormat="1"/>
    <xf numFmtId="9" fontId="3" fillId="0" borderId="0" xfId="45" applyFill="1"/>
    <xf numFmtId="168" fontId="3" fillId="0" borderId="0" xfId="28" applyNumberFormat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43" fontId="0" fillId="0" borderId="0" xfId="0" applyNumberFormat="1"/>
    <xf numFmtId="179" fontId="0" fillId="0" borderId="0" xfId="0" applyNumberFormat="1"/>
    <xf numFmtId="184" fontId="0" fillId="0" borderId="0" xfId="0" applyNumberFormat="1"/>
    <xf numFmtId="166" fontId="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45" fillId="0" borderId="0" xfId="0" applyFont="1"/>
    <xf numFmtId="0" fontId="47" fillId="0" borderId="0" xfId="0" applyFont="1"/>
    <xf numFmtId="3" fontId="47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0" fontId="4" fillId="0" borderId="10" xfId="0" applyNumberFormat="1" applyFont="1" applyBorder="1" applyAlignment="1">
      <alignment horizontal="center"/>
    </xf>
    <xf numFmtId="185" fontId="0" fillId="0" borderId="0" xfId="28" applyNumberFormat="1" applyFont="1"/>
    <xf numFmtId="3" fontId="3" fillId="0" borderId="0" xfId="0" applyNumberFormat="1" applyFont="1" applyAlignment="1">
      <alignment horizontal="center"/>
    </xf>
    <xf numFmtId="10" fontId="4" fillId="0" borderId="10" xfId="0" applyNumberFormat="1" applyFont="1" applyBorder="1" applyAlignment="1">
      <alignment horizontal="centerContinuous"/>
    </xf>
    <xf numFmtId="10" fontId="49" fillId="0" borderId="0" xfId="0" applyNumberFormat="1" applyFont="1" applyAlignment="1">
      <alignment horizontal="centerContinuous"/>
    </xf>
    <xf numFmtId="164" fontId="50" fillId="0" borderId="0" xfId="0" applyNumberFormat="1" applyFont="1"/>
    <xf numFmtId="174" fontId="0" fillId="0" borderId="0" xfId="45" applyNumberFormat="1" applyFont="1" applyFill="1" applyAlignment="1">
      <alignment horizontal="center"/>
    </xf>
    <xf numFmtId="180" fontId="0" fillId="0" borderId="0" xfId="0" applyNumberFormat="1"/>
    <xf numFmtId="173" fontId="0" fillId="0" borderId="0" xfId="0" applyNumberFormat="1"/>
    <xf numFmtId="171" fontId="0" fillId="0" borderId="0" xfId="0" applyNumberFormat="1"/>
    <xf numFmtId="180" fontId="4" fillId="0" borderId="0" xfId="0" applyNumberFormat="1" applyFont="1"/>
    <xf numFmtId="0" fontId="31" fillId="19" borderId="0" xfId="0" applyFont="1" applyFill="1"/>
    <xf numFmtId="0" fontId="4" fillId="0" borderId="0" xfId="0" quotePrefix="1" applyFont="1"/>
    <xf numFmtId="0" fontId="31" fillId="22" borderId="0" xfId="0" applyFont="1" applyFill="1"/>
    <xf numFmtId="0" fontId="31" fillId="20" borderId="0" xfId="0" applyFont="1" applyFill="1"/>
    <xf numFmtId="167" fontId="0" fillId="0" borderId="0" xfId="0" applyNumberFormat="1"/>
    <xf numFmtId="0" fontId="31" fillId="23" borderId="0" xfId="0" applyFont="1" applyFill="1"/>
    <xf numFmtId="10" fontId="3" fillId="0" borderId="0" xfId="0" applyNumberFormat="1" applyFont="1" applyAlignment="1">
      <alignment horizontal="center"/>
    </xf>
    <xf numFmtId="180" fontId="51" fillId="0" borderId="0" xfId="28" applyNumberFormat="1" applyFont="1" applyFill="1" applyAlignment="1">
      <alignment horizontal="center"/>
    </xf>
    <xf numFmtId="3" fontId="4" fillId="0" borderId="0" xfId="40" applyNumberFormat="1" applyFont="1"/>
    <xf numFmtId="0" fontId="21" fillId="0" borderId="0" xfId="40" applyFont="1"/>
    <xf numFmtId="172" fontId="3" fillId="0" borderId="0" xfId="40" applyNumberFormat="1" applyAlignment="1">
      <alignment horizontal="center"/>
    </xf>
    <xf numFmtId="10" fontId="3" fillId="0" borderId="0" xfId="45" applyNumberFormat="1" applyFont="1" applyFill="1"/>
    <xf numFmtId="43" fontId="3" fillId="0" borderId="0" xfId="28" applyFont="1"/>
    <xf numFmtId="3" fontId="3" fillId="0" borderId="0" xfId="0" applyNumberFormat="1" applyFont="1"/>
    <xf numFmtId="3" fontId="10" fillId="0" borderId="0" xfId="0" applyNumberFormat="1" applyFont="1"/>
    <xf numFmtId="1" fontId="4" fillId="0" borderId="24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10" fontId="71" fillId="0" borderId="0" xfId="0" applyNumberFormat="1" applyFont="1" applyAlignment="1">
      <alignment horizontal="center"/>
    </xf>
    <xf numFmtId="0" fontId="71" fillId="0" borderId="0" xfId="0" applyFont="1" applyAlignment="1">
      <alignment horizontal="center"/>
    </xf>
    <xf numFmtId="1" fontId="4" fillId="0" borderId="22" xfId="0" applyNumberFormat="1" applyFont="1" applyBorder="1" applyAlignment="1">
      <alignment horizontal="left"/>
    </xf>
    <xf numFmtId="1" fontId="4" fillId="0" borderId="22" xfId="0" applyNumberFormat="1" applyFont="1" applyBorder="1"/>
    <xf numFmtId="172" fontId="0" fillId="0" borderId="0" xfId="0" applyNumberFormat="1" applyAlignment="1">
      <alignment horizontal="center"/>
    </xf>
    <xf numFmtId="10" fontId="8" fillId="0" borderId="0" xfId="0" applyNumberFormat="1" applyFont="1"/>
    <xf numFmtId="172" fontId="3" fillId="0" borderId="0" xfId="0" applyNumberFormat="1" applyFont="1" applyAlignment="1">
      <alignment horizontal="center"/>
    </xf>
    <xf numFmtId="10" fontId="7" fillId="0" borderId="0" xfId="0" applyNumberFormat="1" applyFont="1"/>
    <xf numFmtId="10" fontId="4" fillId="0" borderId="0" xfId="0" quotePrefix="1" applyNumberFormat="1" applyFont="1" applyAlignment="1">
      <alignment horizontal="left"/>
    </xf>
    <xf numFmtId="180" fontId="0" fillId="0" borderId="0" xfId="28" applyNumberFormat="1" applyFont="1" applyFill="1"/>
    <xf numFmtId="9" fontId="72" fillId="0" borderId="0" xfId="45" applyFont="1" applyFill="1"/>
    <xf numFmtId="164" fontId="3" fillId="0" borderId="0" xfId="0" applyNumberFormat="1" applyFont="1"/>
    <xf numFmtId="164" fontId="72" fillId="0" borderId="0" xfId="45" applyNumberFormat="1" applyFont="1" applyFill="1"/>
    <xf numFmtId="0" fontId="0" fillId="24" borderId="0" xfId="0" applyFill="1"/>
    <xf numFmtId="0" fontId="31" fillId="25" borderId="0" xfId="0" applyFont="1" applyFill="1"/>
    <xf numFmtId="0" fontId="31" fillId="24" borderId="0" xfId="0" applyFont="1" applyFill="1"/>
    <xf numFmtId="0" fontId="31" fillId="26" borderId="0" xfId="0" applyFont="1" applyFill="1"/>
    <xf numFmtId="164" fontId="44" fillId="0" borderId="0" xfId="0" applyNumberFormat="1" applyFont="1" applyAlignment="1">
      <alignment horizontal="center"/>
    </xf>
    <xf numFmtId="0" fontId="37" fillId="0" borderId="10" xfId="0" applyFont="1" applyBorder="1"/>
    <xf numFmtId="0" fontId="3" fillId="25" borderId="0" xfId="0" applyFont="1" applyFill="1"/>
    <xf numFmtId="0" fontId="3" fillId="24" borderId="0" xfId="0" applyFont="1" applyFill="1"/>
    <xf numFmtId="0" fontId="3" fillId="20" borderId="0" xfId="0" applyFont="1" applyFill="1"/>
    <xf numFmtId="0" fontId="0" fillId="25" borderId="0" xfId="0" applyFill="1"/>
    <xf numFmtId="0" fontId="0" fillId="27" borderId="0" xfId="0" applyFill="1"/>
    <xf numFmtId="179" fontId="0" fillId="0" borderId="0" xfId="0" applyNumberFormat="1" applyAlignment="1">
      <alignment horizontal="center"/>
    </xf>
    <xf numFmtId="0" fontId="0" fillId="26" borderId="0" xfId="0" applyFill="1"/>
    <xf numFmtId="0" fontId="4" fillId="0" borderId="25" xfId="0" quotePrefix="1" applyFont="1" applyBorder="1" applyAlignment="1">
      <alignment horizontal="left"/>
    </xf>
    <xf numFmtId="43" fontId="3" fillId="0" borderId="0" xfId="0" applyNumberFormat="1" applyFont="1" applyAlignment="1">
      <alignment horizontal="center"/>
    </xf>
    <xf numFmtId="173" fontId="4" fillId="0" borderId="0" xfId="0" applyNumberFormat="1" applyFont="1" applyAlignment="1">
      <alignment horizontal="center"/>
    </xf>
    <xf numFmtId="0" fontId="39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165" fontId="3" fillId="0" borderId="0" xfId="0" applyNumberFormat="1" applyFont="1" applyAlignment="1">
      <alignment horizontal="centerContinuous"/>
    </xf>
    <xf numFmtId="3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51" fillId="0" borderId="0" xfId="0" applyFont="1" applyAlignment="1">
      <alignment horizontal="left"/>
    </xf>
    <xf numFmtId="0" fontId="3" fillId="0" borderId="0" xfId="0" quotePrefix="1" applyFont="1" applyAlignment="1">
      <alignment horizontal="center"/>
    </xf>
    <xf numFmtId="165" fontId="30" fillId="0" borderId="0" xfId="0" applyNumberFormat="1" applyFont="1"/>
    <xf numFmtId="3" fontId="30" fillId="0" borderId="0" xfId="0" applyNumberFormat="1" applyFont="1"/>
    <xf numFmtId="0" fontId="21" fillId="0" borderId="0" xfId="0" applyFont="1" applyAlignment="1">
      <alignment horizontal="centerContinuous"/>
    </xf>
    <xf numFmtId="10" fontId="21" fillId="0" borderId="0" xfId="0" applyNumberFormat="1" applyFont="1" applyAlignment="1">
      <alignment horizontal="centerContinuous"/>
    </xf>
    <xf numFmtId="0" fontId="33" fillId="0" borderId="0" xfId="0" applyFont="1"/>
    <xf numFmtId="10" fontId="9" fillId="0" borderId="0" xfId="0" applyNumberFormat="1" applyFont="1"/>
    <xf numFmtId="0" fontId="40" fillId="0" borderId="0" xfId="0" applyFont="1"/>
    <xf numFmtId="0" fontId="69" fillId="0" borderId="0" xfId="0" applyFont="1" applyAlignment="1">
      <alignment vertical="center"/>
    </xf>
    <xf numFmtId="173" fontId="3" fillId="0" borderId="0" xfId="0" applyNumberFormat="1" applyFont="1"/>
    <xf numFmtId="4" fontId="0" fillId="0" borderId="0" xfId="0" applyNumberFormat="1"/>
    <xf numFmtId="0" fontId="41" fillId="0" borderId="0" xfId="0" applyFont="1"/>
    <xf numFmtId="0" fontId="4" fillId="0" borderId="48" xfId="0" applyFont="1" applyBorder="1"/>
    <xf numFmtId="0" fontId="0" fillId="0" borderId="26" xfId="0" applyBorder="1"/>
    <xf numFmtId="10" fontId="4" fillId="0" borderId="0" xfId="0" quotePrefix="1" applyNumberFormat="1" applyFont="1"/>
    <xf numFmtId="10" fontId="48" fillId="0" borderId="0" xfId="0" applyNumberFormat="1" applyFont="1"/>
    <xf numFmtId="164" fontId="48" fillId="0" borderId="0" xfId="0" applyNumberFormat="1" applyFont="1"/>
    <xf numFmtId="0" fontId="48" fillId="0" borderId="0" xfId="0" applyFont="1"/>
    <xf numFmtId="10" fontId="0" fillId="0" borderId="0" xfId="45" applyNumberFormat="1" applyFont="1" applyFill="1"/>
    <xf numFmtId="166" fontId="21" fillId="0" borderId="0" xfId="0" applyNumberFormat="1" applyFont="1"/>
    <xf numFmtId="164" fontId="21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64" fontId="12" fillId="0" borderId="0" xfId="0" applyNumberFormat="1" applyFont="1" applyAlignment="1">
      <alignment horizontal="left"/>
    </xf>
    <xf numFmtId="164" fontId="35" fillId="0" borderId="0" xfId="42" applyNumberFormat="1" applyFont="1"/>
    <xf numFmtId="181" fontId="35" fillId="0" borderId="0" xfId="42" applyNumberFormat="1" applyFont="1"/>
    <xf numFmtId="164" fontId="34" fillId="0" borderId="0" xfId="42" applyNumberFormat="1"/>
    <xf numFmtId="183" fontId="34" fillId="0" borderId="0" xfId="42" applyNumberFormat="1"/>
    <xf numFmtId="0" fontId="13" fillId="0" borderId="0" xfId="0" applyFont="1" applyAlignment="1">
      <alignment horizontal="center"/>
    </xf>
    <xf numFmtId="2" fontId="23" fillId="0" borderId="0" xfId="0" applyNumberFormat="1" applyFont="1" applyAlignment="1">
      <alignment horizontal="right"/>
    </xf>
    <xf numFmtId="1" fontId="0" fillId="0" borderId="21" xfId="0" applyNumberFormat="1" applyBorder="1" applyAlignment="1">
      <alignment horizontal="center"/>
    </xf>
    <xf numFmtId="9" fontId="0" fillId="0" borderId="0" xfId="45" applyFont="1"/>
    <xf numFmtId="174" fontId="0" fillId="0" borderId="0" xfId="45" applyNumberFormat="1" applyFont="1"/>
    <xf numFmtId="9" fontId="4" fillId="0" borderId="0" xfId="45" applyFont="1" applyFill="1"/>
    <xf numFmtId="3" fontId="70" fillId="0" borderId="0" xfId="0" quotePrefix="1" applyNumberFormat="1" applyFont="1"/>
    <xf numFmtId="172" fontId="0" fillId="0" borderId="0" xfId="0" applyNumberFormat="1"/>
    <xf numFmtId="172" fontId="4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174" fontId="20" fillId="0" borderId="0" xfId="45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0" fontId="37" fillId="0" borderId="51" xfId="0" applyNumberFormat="1" applyFont="1" applyBorder="1" applyAlignment="1">
      <alignment horizontal="right"/>
    </xf>
    <xf numFmtId="10" fontId="3" fillId="0" borderId="0" xfId="45" applyNumberFormat="1" applyFont="1" applyFill="1" applyBorder="1"/>
    <xf numFmtId="10" fontId="37" fillId="0" borderId="12" xfId="0" applyNumberFormat="1" applyFont="1" applyBorder="1" applyAlignment="1">
      <alignment horizontal="right"/>
    </xf>
    <xf numFmtId="164" fontId="13" fillId="0" borderId="0" xfId="0" applyNumberFormat="1" applyFont="1" applyAlignment="1">
      <alignment horizontal="center"/>
    </xf>
    <xf numFmtId="43" fontId="3" fillId="0" borderId="0" xfId="28" applyFont="1" applyFill="1" applyBorder="1"/>
    <xf numFmtId="0" fontId="4" fillId="0" borderId="52" xfId="0" applyFont="1" applyBorder="1"/>
    <xf numFmtId="164" fontId="4" fillId="0" borderId="52" xfId="0" applyNumberFormat="1" applyFont="1" applyBorder="1" applyAlignment="1">
      <alignment horizontal="center"/>
    </xf>
    <xf numFmtId="0" fontId="4" fillId="0" borderId="53" xfId="0" applyFont="1" applyBorder="1"/>
    <xf numFmtId="164" fontId="4" fillId="0" borderId="53" xfId="0" applyNumberFormat="1" applyFont="1" applyBorder="1" applyAlignment="1">
      <alignment horizontal="center"/>
    </xf>
    <xf numFmtId="0" fontId="4" fillId="0" borderId="54" xfId="0" applyFont="1" applyBorder="1"/>
    <xf numFmtId="164" fontId="4" fillId="0" borderId="54" xfId="0" applyNumberFormat="1" applyFont="1" applyBorder="1" applyAlignment="1">
      <alignment horizontal="center"/>
    </xf>
    <xf numFmtId="0" fontId="4" fillId="0" borderId="19" xfId="0" applyFont="1" applyBorder="1"/>
    <xf numFmtId="0" fontId="3" fillId="0" borderId="15" xfId="0" applyFont="1" applyBorder="1"/>
    <xf numFmtId="169" fontId="3" fillId="0" borderId="0" xfId="0" applyNumberFormat="1" applyFont="1" applyAlignment="1">
      <alignment horizontal="center"/>
    </xf>
    <xf numFmtId="164" fontId="3" fillId="0" borderId="53" xfId="0" applyNumberFormat="1" applyFont="1" applyBorder="1" applyAlignment="1">
      <alignment horizontal="center"/>
    </xf>
    <xf numFmtId="169" fontId="0" fillId="0" borderId="0" xfId="0" applyNumberFormat="1"/>
    <xf numFmtId="164" fontId="0" fillId="0" borderId="53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169" fontId="0" fillId="0" borderId="0" xfId="0" applyNumberFormat="1" applyAlignment="1">
      <alignment horizontal="right"/>
    </xf>
    <xf numFmtId="0" fontId="3" fillId="0" borderId="32" xfId="0" applyFont="1" applyBorder="1"/>
    <xf numFmtId="164" fontId="0" fillId="0" borderId="54" xfId="0" applyNumberFormat="1" applyBorder="1" applyAlignment="1">
      <alignment horizontal="center"/>
    </xf>
    <xf numFmtId="170" fontId="20" fillId="0" borderId="0" xfId="0" applyNumberFormat="1" applyFont="1" applyAlignment="1">
      <alignment horizontal="center"/>
    </xf>
    <xf numFmtId="0" fontId="20" fillId="0" borderId="0" xfId="0" applyFont="1"/>
    <xf numFmtId="0" fontId="80" fillId="0" borderId="0" xfId="0" applyFont="1" applyAlignment="1">
      <alignment vertical="center"/>
    </xf>
    <xf numFmtId="164" fontId="80" fillId="0" borderId="0" xfId="0" applyNumberFormat="1" applyFont="1" applyAlignment="1">
      <alignment vertical="center"/>
    </xf>
    <xf numFmtId="0" fontId="72" fillId="0" borderId="0" xfId="0" applyFont="1" applyAlignment="1">
      <alignment vertical="center"/>
    </xf>
    <xf numFmtId="187" fontId="72" fillId="0" borderId="0" xfId="0" applyNumberFormat="1" applyFont="1" applyAlignment="1">
      <alignment horizontal="center" vertical="center"/>
    </xf>
    <xf numFmtId="0" fontId="0" fillId="0" borderId="0" xfId="0" quotePrefix="1"/>
    <xf numFmtId="0" fontId="78" fillId="0" borderId="0" xfId="0" applyFont="1"/>
    <xf numFmtId="0" fontId="74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187" fontId="7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Continuous"/>
    </xf>
    <xf numFmtId="164" fontId="18" fillId="0" borderId="0" xfId="0" applyNumberFormat="1" applyFont="1" applyAlignment="1">
      <alignment horizontal="centerContinuous"/>
    </xf>
    <xf numFmtId="3" fontId="18" fillId="0" borderId="0" xfId="0" applyNumberFormat="1" applyFont="1" applyAlignment="1">
      <alignment horizontal="centerContinuous"/>
    </xf>
    <xf numFmtId="170" fontId="18" fillId="0" borderId="0" xfId="0" applyNumberFormat="1" applyFont="1" applyAlignment="1">
      <alignment horizontal="centerContinuous"/>
    </xf>
    <xf numFmtId="0" fontId="18" fillId="0" borderId="0" xfId="0" applyFont="1"/>
    <xf numFmtId="164" fontId="73" fillId="0" borderId="0" xfId="0" applyNumberFormat="1" applyFont="1"/>
    <xf numFmtId="0" fontId="73" fillId="0" borderId="0" xfId="0" applyFont="1"/>
    <xf numFmtId="164" fontId="72" fillId="0" borderId="0" xfId="0" applyNumberFormat="1" applyFont="1"/>
    <xf numFmtId="0" fontId="72" fillId="0" borderId="0" xfId="0" applyFont="1"/>
    <xf numFmtId="0" fontId="4" fillId="0" borderId="20" xfId="0" applyFont="1" applyBorder="1" applyAlignment="1">
      <alignment horizontal="left"/>
    </xf>
    <xf numFmtId="170" fontId="4" fillId="0" borderId="0" xfId="0" applyNumberFormat="1" applyFont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0" xfId="0" quotePrefix="1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30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1" xfId="0" applyFont="1" applyBorder="1"/>
    <xf numFmtId="164" fontId="4" fillId="0" borderId="31" xfId="0" applyNumberFormat="1" applyFont="1" applyBorder="1" applyAlignment="1">
      <alignment horizontal="center"/>
    </xf>
    <xf numFmtId="3" fontId="4" fillId="0" borderId="31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45" xfId="0" applyFont="1" applyBorder="1"/>
    <xf numFmtId="0" fontId="4" fillId="0" borderId="55" xfId="0" applyFont="1" applyBorder="1"/>
    <xf numFmtId="164" fontId="4" fillId="0" borderId="55" xfId="0" applyNumberFormat="1" applyFont="1" applyBorder="1" applyAlignment="1">
      <alignment horizontal="center"/>
    </xf>
    <xf numFmtId="0" fontId="4" fillId="0" borderId="5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3" fontId="31" fillId="0" borderId="0" xfId="0" applyNumberFormat="1" applyFont="1" applyAlignment="1">
      <alignment horizontal="right"/>
    </xf>
    <xf numFmtId="0" fontId="4" fillId="0" borderId="32" xfId="0" applyFont="1" applyBorder="1"/>
    <xf numFmtId="3" fontId="4" fillId="0" borderId="0" xfId="0" applyNumberFormat="1" applyFont="1" applyAlignment="1">
      <alignment horizontal="right"/>
    </xf>
    <xf numFmtId="10" fontId="4" fillId="0" borderId="33" xfId="0" applyNumberFormat="1" applyFont="1" applyBorder="1" applyAlignment="1">
      <alignment horizontal="center"/>
    </xf>
    <xf numFmtId="164" fontId="74" fillId="0" borderId="0" xfId="0" applyNumberFormat="1" applyFont="1"/>
    <xf numFmtId="0" fontId="4" fillId="0" borderId="34" xfId="0" applyFont="1" applyBorder="1" applyAlignment="1">
      <alignment horizontal="left"/>
    </xf>
    <xf numFmtId="0" fontId="4" fillId="0" borderId="27" xfId="0" quotePrefix="1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164" fontId="4" fillId="0" borderId="27" xfId="0" applyNumberFormat="1" applyFont="1" applyBorder="1" applyAlignment="1">
      <alignment horizontal="center"/>
    </xf>
    <xf numFmtId="164" fontId="4" fillId="0" borderId="37" xfId="0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70" fontId="4" fillId="0" borderId="0" xfId="0" applyNumberFormat="1" applyFont="1" applyAlignment="1">
      <alignment horizontal="center"/>
    </xf>
    <xf numFmtId="0" fontId="4" fillId="0" borderId="20" xfId="0" applyFont="1" applyBorder="1"/>
    <xf numFmtId="164" fontId="4" fillId="0" borderId="20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0" fontId="4" fillId="0" borderId="15" xfId="0" applyFont="1" applyBorder="1"/>
    <xf numFmtId="10" fontId="4" fillId="0" borderId="11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3" fillId="0" borderId="30" xfId="0" applyFont="1" applyBorder="1"/>
    <xf numFmtId="0" fontId="3" fillId="0" borderId="31" xfId="0" applyFont="1" applyBorder="1"/>
    <xf numFmtId="170" fontId="4" fillId="0" borderId="36" xfId="0" applyNumberFormat="1" applyFont="1" applyBorder="1" applyAlignment="1">
      <alignment horizontal="center"/>
    </xf>
    <xf numFmtId="170" fontId="4" fillId="0" borderId="33" xfId="0" applyNumberFormat="1" applyFont="1" applyBorder="1" applyAlignment="1">
      <alignment horizontal="center"/>
    </xf>
    <xf numFmtId="0" fontId="4" fillId="0" borderId="35" xfId="0" applyFont="1" applyBorder="1"/>
    <xf numFmtId="0" fontId="4" fillId="0" borderId="38" xfId="0" applyFont="1" applyBorder="1" applyAlignment="1">
      <alignment horizontal="center"/>
    </xf>
    <xf numFmtId="164" fontId="4" fillId="0" borderId="33" xfId="0" applyNumberFormat="1" applyFont="1" applyBorder="1" applyAlignment="1">
      <alignment horizontal="center"/>
    </xf>
    <xf numFmtId="0" fontId="3" fillId="0" borderId="32" xfId="0" applyFont="1" applyBorder="1" applyAlignment="1">
      <alignment horizontal="left"/>
    </xf>
    <xf numFmtId="164" fontId="37" fillId="0" borderId="0" xfId="0" applyNumberFormat="1" applyFont="1"/>
    <xf numFmtId="0" fontId="74" fillId="0" borderId="0" xfId="0" applyFont="1"/>
    <xf numFmtId="164" fontId="75" fillId="0" borderId="0" xfId="0" applyNumberFormat="1" applyFont="1"/>
    <xf numFmtId="0" fontId="75" fillId="0" borderId="0" xfId="0" applyFont="1"/>
    <xf numFmtId="0" fontId="38" fillId="0" borderId="0" xfId="0" applyFont="1"/>
    <xf numFmtId="164" fontId="20" fillId="0" borderId="0" xfId="0" applyNumberFormat="1" applyFont="1" applyAlignment="1">
      <alignment horizontal="center"/>
    </xf>
    <xf numFmtId="3" fontId="20" fillId="0" borderId="0" xfId="0" applyNumberFormat="1" applyFont="1" applyAlignment="1">
      <alignment horizontal="right"/>
    </xf>
    <xf numFmtId="176" fontId="20" fillId="0" borderId="0" xfId="0" applyNumberFormat="1" applyFont="1" applyAlignment="1">
      <alignment horizontal="center"/>
    </xf>
    <xf numFmtId="0" fontId="43" fillId="0" borderId="0" xfId="0" applyFont="1"/>
    <xf numFmtId="164" fontId="43" fillId="0" borderId="0" xfId="0" applyNumberFormat="1" applyFont="1" applyAlignment="1">
      <alignment horizontal="center"/>
    </xf>
    <xf numFmtId="3" fontId="43" fillId="0" borderId="0" xfId="0" applyNumberFormat="1" applyFont="1" applyAlignment="1">
      <alignment horizontal="right"/>
    </xf>
    <xf numFmtId="170" fontId="43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3" fontId="19" fillId="0" borderId="0" xfId="0" applyNumberFormat="1" applyFont="1" applyAlignment="1">
      <alignment horizontal="right"/>
    </xf>
    <xf numFmtId="170" fontId="19" fillId="0" borderId="0" xfId="0" applyNumberFormat="1" applyFont="1" applyAlignment="1">
      <alignment horizontal="center"/>
    </xf>
    <xf numFmtId="164" fontId="76" fillId="0" borderId="0" xfId="0" applyNumberFormat="1" applyFont="1"/>
    <xf numFmtId="0" fontId="76" fillId="0" borderId="0" xfId="0" applyFont="1"/>
    <xf numFmtId="16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center"/>
    </xf>
    <xf numFmtId="0" fontId="3" fillId="0" borderId="50" xfId="0" applyFont="1" applyBorder="1"/>
    <xf numFmtId="10" fontId="3" fillId="0" borderId="33" xfId="0" applyNumberFormat="1" applyFont="1" applyBorder="1" applyAlignment="1">
      <alignment horizontal="center"/>
    </xf>
    <xf numFmtId="10" fontId="3" fillId="0" borderId="0" xfId="0" quotePrefix="1" applyNumberFormat="1" applyFont="1" applyAlignment="1">
      <alignment horizontal="left"/>
    </xf>
    <xf numFmtId="0" fontId="4" fillId="0" borderId="0" xfId="0" applyFont="1" applyAlignment="1">
      <alignment horizontal="right"/>
    </xf>
    <xf numFmtId="164" fontId="3" fillId="0" borderId="33" xfId="0" applyNumberFormat="1" applyFont="1" applyBorder="1" applyAlignment="1">
      <alignment horizontal="center"/>
    </xf>
    <xf numFmtId="0" fontId="3" fillId="0" borderId="34" xfId="0" applyFont="1" applyBorder="1" applyAlignment="1">
      <alignment horizontal="left"/>
    </xf>
    <xf numFmtId="0" fontId="20" fillId="0" borderId="0" xfId="0" applyFont="1" applyAlignment="1">
      <alignment horizontal="right"/>
    </xf>
    <xf numFmtId="0" fontId="80" fillId="0" borderId="0" xfId="0" applyFont="1" applyAlignment="1">
      <alignment vertical="center" wrapText="1"/>
    </xf>
    <xf numFmtId="0" fontId="81" fillId="0" borderId="0" xfId="0" applyFont="1" applyAlignment="1">
      <alignment vertical="center" wrapText="1"/>
    </xf>
    <xf numFmtId="0" fontId="79" fillId="0" borderId="0" xfId="0" applyFont="1" applyAlignment="1">
      <alignment vertical="top"/>
    </xf>
    <xf numFmtId="0" fontId="38" fillId="0" borderId="0" xfId="0" applyFont="1" applyAlignment="1">
      <alignment horizontal="right"/>
    </xf>
    <xf numFmtId="164" fontId="38" fillId="0" borderId="0" xfId="0" applyNumberFormat="1" applyFont="1" applyAlignment="1">
      <alignment horizontal="center"/>
    </xf>
    <xf numFmtId="3" fontId="38" fillId="0" borderId="0" xfId="0" applyNumberFormat="1" applyFont="1" applyAlignment="1">
      <alignment horizontal="right"/>
    </xf>
    <xf numFmtId="170" fontId="38" fillId="0" borderId="0" xfId="0" applyNumberFormat="1" applyFont="1" applyAlignment="1">
      <alignment horizontal="center"/>
    </xf>
    <xf numFmtId="3" fontId="9" fillId="0" borderId="0" xfId="0" applyNumberFormat="1" applyFont="1"/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4" fillId="0" borderId="22" xfId="0" applyNumberFormat="1" applyFont="1" applyBorder="1" applyAlignment="1">
      <alignment horizontal="left"/>
    </xf>
    <xf numFmtId="167" fontId="0" fillId="0" borderId="23" xfId="0" applyNumberFormat="1" applyBorder="1" applyAlignment="1">
      <alignment horizontal="center"/>
    </xf>
    <xf numFmtId="164" fontId="4" fillId="0" borderId="24" xfId="0" applyNumberFormat="1" applyFont="1" applyBorder="1" applyAlignment="1">
      <alignment horizontal="center"/>
    </xf>
    <xf numFmtId="0" fontId="4" fillId="0" borderId="22" xfId="0" applyFont="1" applyBorder="1" applyAlignment="1">
      <alignment horizontal="left"/>
    </xf>
    <xf numFmtId="167" fontId="4" fillId="0" borderId="23" xfId="0" applyNumberFormat="1" applyFont="1" applyBorder="1" applyAlignment="1">
      <alignment horizontal="right"/>
    </xf>
    <xf numFmtId="10" fontId="4" fillId="0" borderId="24" xfId="0" applyNumberFormat="1" applyFont="1" applyBorder="1" applyAlignment="1">
      <alignment horizontal="center"/>
    </xf>
    <xf numFmtId="43" fontId="3" fillId="0" borderId="0" xfId="28" applyFont="1" applyFill="1"/>
    <xf numFmtId="0" fontId="0" fillId="0" borderId="20" xfId="0" applyBorder="1"/>
    <xf numFmtId="3" fontId="0" fillId="0" borderId="27" xfId="0" applyNumberFormat="1" applyBorder="1"/>
    <xf numFmtId="166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3" fontId="4" fillId="0" borderId="27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0" fillId="0" borderId="10" xfId="0" applyNumberFormat="1" applyBorder="1"/>
    <xf numFmtId="0" fontId="4" fillId="0" borderId="27" xfId="0" applyFont="1" applyBorder="1" applyAlignment="1">
      <alignment horizontal="right"/>
    </xf>
    <xf numFmtId="164" fontId="0" fillId="0" borderId="27" xfId="0" applyNumberFormat="1" applyBorder="1"/>
    <xf numFmtId="164" fontId="4" fillId="0" borderId="1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3" fontId="31" fillId="0" borderId="0" xfId="0" applyNumberFormat="1" applyFont="1"/>
    <xf numFmtId="166" fontId="31" fillId="0" borderId="0" xfId="0" applyNumberFormat="1" applyFont="1" applyAlignment="1">
      <alignment horizontal="center"/>
    </xf>
    <xf numFmtId="10" fontId="3" fillId="0" borderId="0" xfId="45" applyNumberFormat="1" applyFont="1"/>
    <xf numFmtId="0" fontId="82" fillId="0" borderId="0" xfId="0" applyFont="1"/>
    <xf numFmtId="0" fontId="83" fillId="0" borderId="0" xfId="0" applyFont="1"/>
    <xf numFmtId="164" fontId="83" fillId="0" borderId="0" xfId="0" applyNumberFormat="1" applyFont="1"/>
    <xf numFmtId="166" fontId="83" fillId="0" borderId="0" xfId="0" applyNumberFormat="1" applyFont="1" applyAlignment="1">
      <alignment horizontal="center"/>
    </xf>
    <xf numFmtId="164" fontId="83" fillId="0" borderId="0" xfId="0" applyNumberFormat="1" applyFont="1" applyAlignment="1">
      <alignment horizontal="center"/>
    </xf>
    <xf numFmtId="164" fontId="9" fillId="0" borderId="0" xfId="0" applyNumberFormat="1" applyFont="1"/>
    <xf numFmtId="166" fontId="9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4" fontId="84" fillId="0" borderId="0" xfId="0" applyNumberFormat="1" applyFont="1" applyAlignment="1">
      <alignment horizontal="center"/>
    </xf>
    <xf numFmtId="0" fontId="85" fillId="0" borderId="0" xfId="0" applyFont="1"/>
    <xf numFmtId="0" fontId="86" fillId="0" borderId="0" xfId="0" applyFont="1"/>
    <xf numFmtId="164" fontId="85" fillId="0" borderId="0" xfId="0" applyNumberFormat="1" applyFont="1" applyAlignment="1">
      <alignment horizontal="center"/>
    </xf>
    <xf numFmtId="166" fontId="85" fillId="0" borderId="0" xfId="0" applyNumberFormat="1" applyFont="1" applyAlignment="1">
      <alignment horizontal="center"/>
    </xf>
    <xf numFmtId="166" fontId="83" fillId="0" borderId="0" xfId="0" applyNumberFormat="1" applyFont="1"/>
    <xf numFmtId="167" fontId="83" fillId="0" borderId="0" xfId="0" applyNumberFormat="1" applyFont="1" applyAlignment="1">
      <alignment horizontal="center"/>
    </xf>
    <xf numFmtId="188" fontId="83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0" fontId="87" fillId="0" borderId="0" xfId="0" applyFont="1"/>
    <xf numFmtId="167" fontId="7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left"/>
    </xf>
    <xf numFmtId="173" fontId="9" fillId="0" borderId="0" xfId="0" applyNumberFormat="1" applyFont="1" applyAlignment="1">
      <alignment horizontal="center"/>
    </xf>
    <xf numFmtId="166" fontId="88" fillId="0" borderId="0" xfId="0" applyNumberFormat="1" applyFont="1"/>
    <xf numFmtId="0" fontId="72" fillId="0" borderId="0" xfId="0" quotePrefix="1" applyFont="1" applyAlignment="1">
      <alignment horizontal="left"/>
    </xf>
    <xf numFmtId="43" fontId="31" fillId="0" borderId="0" xfId="0" applyNumberFormat="1" applyFont="1"/>
    <xf numFmtId="0" fontId="8" fillId="0" borderId="0" xfId="0" applyFont="1" applyAlignment="1">
      <alignment horizontal="left" vertical="top"/>
    </xf>
    <xf numFmtId="186" fontId="70" fillId="0" borderId="0" xfId="29" applyNumberFormat="1" applyFont="1" applyFill="1"/>
    <xf numFmtId="186" fontId="3" fillId="0" borderId="0" xfId="28" applyNumberFormat="1" applyFont="1" applyFill="1" applyAlignment="1">
      <alignment horizontal="center"/>
    </xf>
    <xf numFmtId="186" fontId="3" fillId="0" borderId="0" xfId="29" applyNumberFormat="1" applyFont="1" applyFill="1"/>
    <xf numFmtId="180" fontId="3" fillId="0" borderId="0" xfId="28" applyNumberFormat="1" applyFont="1" applyFill="1" applyAlignment="1">
      <alignment horizontal="right"/>
    </xf>
    <xf numFmtId="10" fontId="70" fillId="0" borderId="0" xfId="0" applyNumberFormat="1" applyFont="1" applyAlignment="1">
      <alignment horizontal="center"/>
    </xf>
    <xf numFmtId="3" fontId="4" fillId="0" borderId="0" xfId="0" quotePrefix="1" applyNumberFormat="1" applyFont="1" applyAlignment="1">
      <alignment horizontal="left"/>
    </xf>
    <xf numFmtId="2" fontId="9" fillId="0" borderId="0" xfId="0" applyNumberFormat="1" applyFont="1" applyAlignment="1">
      <alignment horizontal="center"/>
    </xf>
    <xf numFmtId="3" fontId="0" fillId="25" borderId="0" xfId="0" applyNumberFormat="1" applyFill="1"/>
    <xf numFmtId="180" fontId="3" fillId="25" borderId="0" xfId="28" applyNumberFormat="1" applyFont="1" applyFill="1"/>
    <xf numFmtId="3" fontId="51" fillId="25" borderId="0" xfId="0" applyNumberFormat="1" applyFont="1" applyFill="1" applyAlignment="1">
      <alignment horizontal="right"/>
    </xf>
    <xf numFmtId="3" fontId="51" fillId="0" borderId="0" xfId="40" applyNumberFormat="1" applyFont="1" applyAlignment="1">
      <alignment horizontal="right"/>
    </xf>
    <xf numFmtId="164" fontId="4" fillId="0" borderId="34" xfId="0" applyNumberFormat="1" applyFont="1" applyBorder="1" applyAlignment="1">
      <alignment horizontal="center"/>
    </xf>
    <xf numFmtId="0" fontId="0" fillId="0" borderId="10" xfId="0" applyBorder="1"/>
    <xf numFmtId="1" fontId="1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1" fontId="0" fillId="0" borderId="10" xfId="0" applyNumberFormat="1" applyBorder="1" applyAlignment="1">
      <alignment horizontal="left"/>
    </xf>
    <xf numFmtId="1" fontId="1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9" fillId="0" borderId="48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" fontId="9" fillId="0" borderId="51" xfId="0" applyNumberFormat="1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20" xfId="0" quotePrefix="1" applyFont="1" applyBorder="1" applyAlignment="1">
      <alignment horizontal="left"/>
    </xf>
    <xf numFmtId="164" fontId="3" fillId="0" borderId="21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0" xfId="0" quotePrefix="1" applyFont="1" applyAlignment="1">
      <alignment horizontal="left"/>
    </xf>
    <xf numFmtId="164" fontId="3" fillId="0" borderId="11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70" fontId="3" fillId="0" borderId="0" xfId="0" applyNumberFormat="1" applyFont="1" applyAlignment="1">
      <alignment horizontal="center"/>
    </xf>
    <xf numFmtId="3" fontId="21" fillId="0" borderId="0" xfId="0" applyNumberFormat="1" applyFont="1"/>
    <xf numFmtId="180" fontId="3" fillId="0" borderId="27" xfId="28" applyNumberFormat="1" applyFont="1" applyFill="1" applyBorder="1" applyAlignment="1">
      <alignment horizontal="center"/>
    </xf>
    <xf numFmtId="180" fontId="3" fillId="0" borderId="37" xfId="28" applyNumberFormat="1" applyFont="1" applyFill="1" applyBorder="1" applyAlignment="1">
      <alignment horizontal="center"/>
    </xf>
    <xf numFmtId="180" fontId="3" fillId="0" borderId="0" xfId="28" applyNumberFormat="1" applyFont="1" applyFill="1" applyBorder="1" applyAlignment="1">
      <alignment horizontal="center"/>
    </xf>
    <xf numFmtId="9" fontId="3" fillId="0" borderId="0" xfId="45" applyFont="1"/>
    <xf numFmtId="0" fontId="3" fillId="0" borderId="19" xfId="0" applyFont="1" applyBorder="1"/>
    <xf numFmtId="10" fontId="3" fillId="0" borderId="11" xfId="0" applyNumberFormat="1" applyFont="1" applyBorder="1" applyAlignment="1">
      <alignment horizontal="center"/>
    </xf>
    <xf numFmtId="0" fontId="3" fillId="0" borderId="31" xfId="0" applyFont="1" applyBorder="1" applyAlignment="1">
      <alignment horizontal="left"/>
    </xf>
    <xf numFmtId="0" fontId="3" fillId="0" borderId="27" xfId="0" applyFont="1" applyBorder="1"/>
    <xf numFmtId="164" fontId="3" fillId="0" borderId="27" xfId="0" applyNumberFormat="1" applyFont="1" applyBorder="1" applyAlignment="1">
      <alignment horizontal="center"/>
    </xf>
    <xf numFmtId="164" fontId="3" fillId="0" borderId="37" xfId="0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9" fillId="0" borderId="51" xfId="0" applyFont="1" applyBorder="1" applyAlignment="1"/>
    <xf numFmtId="1" fontId="3" fillId="0" borderId="0" xfId="0" applyNumberFormat="1" applyFont="1" applyAlignment="1">
      <alignment horizontal="left"/>
    </xf>
    <xf numFmtId="0" fontId="3" fillId="0" borderId="0" xfId="0" applyFont="1" applyAlignment="1"/>
    <xf numFmtId="0" fontId="0" fillId="0" borderId="0" xfId="0" applyAlignment="1"/>
    <xf numFmtId="0" fontId="0" fillId="0" borderId="10" xfId="0" applyBorder="1" applyAlignment="1"/>
    <xf numFmtId="0" fontId="3" fillId="0" borderId="29" xfId="0" applyFont="1" applyBorder="1"/>
    <xf numFmtId="0" fontId="12" fillId="0" borderId="40" xfId="0" applyFont="1" applyBorder="1"/>
    <xf numFmtId="0" fontId="12" fillId="0" borderId="0" xfId="0" applyFont="1" applyAlignment="1">
      <alignment horizontal="right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Continuous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5" fillId="0" borderId="0" xfId="0" applyFont="1"/>
    <xf numFmtId="0" fontId="17" fillId="0" borderId="0" xfId="0" applyFont="1"/>
    <xf numFmtId="164" fontId="3" fillId="0" borderId="0" xfId="0" applyNumberFormat="1" applyFont="1" applyAlignment="1">
      <alignment horizontal="centerContinuous"/>
    </xf>
    <xf numFmtId="164" fontId="4" fillId="0" borderId="25" xfId="0" quotePrefix="1" applyNumberFormat="1" applyFont="1" applyBorder="1" applyAlignment="1">
      <alignment horizontal="center" wrapText="1"/>
    </xf>
    <xf numFmtId="165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1" fillId="0" borderId="0" xfId="0" applyNumberFormat="1" applyFont="1"/>
    <xf numFmtId="10" fontId="3" fillId="0" borderId="0" xfId="0" applyNumberFormat="1" applyFont="1" applyAlignment="1">
      <alignment horizontal="left"/>
    </xf>
    <xf numFmtId="1" fontId="3" fillId="0" borderId="11" xfId="0" applyNumberFormat="1" applyFont="1" applyBorder="1" applyAlignment="1">
      <alignment horizontal="center"/>
    </xf>
    <xf numFmtId="3" fontId="3" fillId="0" borderId="0" xfId="0" quotePrefix="1" applyNumberFormat="1" applyFont="1"/>
    <xf numFmtId="10" fontId="10" fillId="0" borderId="0" xfId="0" applyNumberFormat="1" applyFont="1" applyAlignment="1">
      <alignment horizontal="center"/>
    </xf>
    <xf numFmtId="180" fontId="3" fillId="0" borderId="0" xfId="0" applyNumberFormat="1" applyFont="1"/>
    <xf numFmtId="171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3" fontId="4" fillId="0" borderId="10" xfId="0" applyNumberFormat="1" applyFont="1" applyBorder="1" applyAlignment="1">
      <alignment horizontal="centerContinuous"/>
    </xf>
    <xf numFmtId="0" fontId="8" fillId="0" borderId="10" xfId="0" applyFont="1" applyBorder="1" applyAlignment="1">
      <alignment horizontal="centerContinuous"/>
    </xf>
    <xf numFmtId="165" fontId="4" fillId="0" borderId="10" xfId="0" applyNumberFormat="1" applyFont="1" applyBorder="1" applyAlignment="1">
      <alignment horizontal="center"/>
    </xf>
    <xf numFmtId="3" fontId="3" fillId="25" borderId="0" xfId="0" applyNumberFormat="1" applyFont="1" applyFill="1" applyAlignment="1">
      <alignment horizontal="center"/>
    </xf>
    <xf numFmtId="10" fontId="21" fillId="0" borderId="0" xfId="0" applyNumberFormat="1" applyFont="1"/>
    <xf numFmtId="174" fontId="3" fillId="0" borderId="0" xfId="0" applyNumberFormat="1" applyFont="1"/>
    <xf numFmtId="10" fontId="3" fillId="0" borderId="0" xfId="0" applyNumberFormat="1" applyFont="1" applyAlignment="1">
      <alignment horizontal="centerContinuous"/>
    </xf>
    <xf numFmtId="10" fontId="3" fillId="0" borderId="10" xfId="0" applyNumberFormat="1" applyFont="1" applyBorder="1" applyAlignment="1">
      <alignment horizontal="centerContinuous"/>
    </xf>
    <xf numFmtId="10" fontId="3" fillId="0" borderId="10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</cellXfs>
  <cellStyles count="5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2" xfId="29" xr:uid="{00000000-0005-0000-0000-00001C000000}"/>
    <cellStyle name="Comma 2 2" xfId="30" xr:uid="{00000000-0005-0000-0000-00001D000000}"/>
    <cellStyle name="Explanatory Text 2" xfId="31" xr:uid="{00000000-0005-0000-0000-00001E000000}"/>
    <cellStyle name="Good 2" xfId="32" xr:uid="{00000000-0005-0000-0000-00001F000000}"/>
    <cellStyle name="Heading 1 2" xfId="33" xr:uid="{00000000-0005-0000-0000-000020000000}"/>
    <cellStyle name="Heading 2 2" xfId="34" xr:uid="{00000000-0005-0000-0000-000021000000}"/>
    <cellStyle name="Heading 3 2" xfId="35" xr:uid="{00000000-0005-0000-0000-000022000000}"/>
    <cellStyle name="Heading 4 2" xfId="36" xr:uid="{00000000-0005-0000-0000-000023000000}"/>
    <cellStyle name="Input 2" xfId="37" xr:uid="{00000000-0005-0000-0000-000024000000}"/>
    <cellStyle name="Linked Cell 2" xfId="38" xr:uid="{00000000-0005-0000-0000-000025000000}"/>
    <cellStyle name="Neutral 2" xfId="39" xr:uid="{00000000-0005-0000-0000-000026000000}"/>
    <cellStyle name="Normal" xfId="0" builtinId="0"/>
    <cellStyle name="Normal 2" xfId="40" xr:uid="{00000000-0005-0000-0000-000028000000}"/>
    <cellStyle name="Normal 3" xfId="41" xr:uid="{00000000-0005-0000-0000-000029000000}"/>
    <cellStyle name="Normal 3 2" xfId="52" xr:uid="{0C40CFE0-EED7-4E71-AB8C-F2F3924D144F}"/>
    <cellStyle name="Normal 4" xfId="51" xr:uid="{2BCD972C-2301-42A2-B846-9B726B5DF747}"/>
    <cellStyle name="Normal_Wage Rate and Piggyback" xfId="42" xr:uid="{00000000-0005-0000-0000-00002A000000}"/>
    <cellStyle name="Note 2" xfId="43" xr:uid="{00000000-0005-0000-0000-00002B000000}"/>
    <cellStyle name="Output 2" xfId="44" xr:uid="{00000000-0005-0000-0000-00002C000000}"/>
    <cellStyle name="Percent" xfId="45" builtinId="5"/>
    <cellStyle name="Percent 2" xfId="46" xr:uid="{00000000-0005-0000-0000-00002E000000}"/>
    <cellStyle name="Percent 2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5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9.xml"/><Relationship Id="rId68" Type="http://schemas.openxmlformats.org/officeDocument/2006/relationships/externalLink" Target="externalLinks/externalLink1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4.xml"/><Relationship Id="rId74" Type="http://schemas.openxmlformats.org/officeDocument/2006/relationships/pivotCacheDefinition" Target="pivotCache/pivotCacheDefinition1.xml"/><Relationship Id="rId79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64" Type="http://schemas.openxmlformats.org/officeDocument/2006/relationships/externalLink" Target="externalLinks/externalLink10.xml"/><Relationship Id="rId69" Type="http://schemas.openxmlformats.org/officeDocument/2006/relationships/externalLink" Target="externalLinks/externalLink15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8.xml"/><Relationship Id="rId80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5.xml"/><Relationship Id="rId67" Type="http://schemas.openxmlformats.org/officeDocument/2006/relationships/externalLink" Target="externalLinks/externalLink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8.xml"/><Relationship Id="rId70" Type="http://schemas.openxmlformats.org/officeDocument/2006/relationships/externalLink" Target="externalLinks/externalLink16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6.xml"/><Relationship Id="rId65" Type="http://schemas.openxmlformats.org/officeDocument/2006/relationships/externalLink" Target="externalLinks/externalLink11.xml"/><Relationship Id="rId73" Type="http://schemas.openxmlformats.org/officeDocument/2006/relationships/externalLink" Target="externalLinks/externalLink19.xml"/><Relationship Id="rId78" Type="http://schemas.openxmlformats.org/officeDocument/2006/relationships/calcChain" Target="calcChain.xml"/><Relationship Id="rId8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116" name="Line 1">
          <a:extLst>
            <a:ext uri="{FF2B5EF4-FFF2-40B4-BE49-F238E27FC236}">
              <a16:creationId xmlns:a16="http://schemas.microsoft.com/office/drawing/2014/main" id="{924FEF64-CC15-4CEF-AA95-194C7785CB44}"/>
            </a:ext>
          </a:extLst>
        </xdr:cNvPr>
        <xdr:cNvSpPr>
          <a:spLocks noChangeShapeType="1"/>
        </xdr:cNvSpPr>
      </xdr:nvSpPr>
      <xdr:spPr bwMode="auto">
        <a:xfrm flipV="1">
          <a:off x="800100" y="55626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117" name="Line 2">
          <a:extLst>
            <a:ext uri="{FF2B5EF4-FFF2-40B4-BE49-F238E27FC236}">
              <a16:creationId xmlns:a16="http://schemas.microsoft.com/office/drawing/2014/main" id="{D948B8F6-7EF9-4B2A-9F5D-5468689285DC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118" name="Line 3">
          <a:extLst>
            <a:ext uri="{FF2B5EF4-FFF2-40B4-BE49-F238E27FC236}">
              <a16:creationId xmlns:a16="http://schemas.microsoft.com/office/drawing/2014/main" id="{A38124C5-B212-4D11-851B-2C9D58FD9F7E}"/>
            </a:ext>
          </a:extLst>
        </xdr:cNvPr>
        <xdr:cNvSpPr>
          <a:spLocks noChangeShapeType="1"/>
        </xdr:cNvSpPr>
      </xdr:nvSpPr>
      <xdr:spPr bwMode="auto">
        <a:xfrm>
          <a:off x="2584450" y="4406900"/>
          <a:ext cx="0" cy="4826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119" name="Line 4">
          <a:extLst>
            <a:ext uri="{FF2B5EF4-FFF2-40B4-BE49-F238E27FC236}">
              <a16:creationId xmlns:a16="http://schemas.microsoft.com/office/drawing/2014/main" id="{CC2F7EFF-7F2C-4F22-BEEB-A46EE5EB33A2}"/>
            </a:ext>
          </a:extLst>
        </xdr:cNvPr>
        <xdr:cNvSpPr>
          <a:spLocks noChangeShapeType="1"/>
        </xdr:cNvSpPr>
      </xdr:nvSpPr>
      <xdr:spPr bwMode="auto">
        <a:xfrm>
          <a:off x="2584450" y="5572125"/>
          <a:ext cx="0" cy="47942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20" name="Line 5">
          <a:extLst>
            <a:ext uri="{FF2B5EF4-FFF2-40B4-BE49-F238E27FC236}">
              <a16:creationId xmlns:a16="http://schemas.microsoft.com/office/drawing/2014/main" id="{56CED11B-2237-42AF-9F4B-9AEA727F1374}"/>
            </a:ext>
          </a:extLst>
        </xdr:cNvPr>
        <xdr:cNvSpPr>
          <a:spLocks noChangeShapeType="1"/>
        </xdr:cNvSpPr>
      </xdr:nvSpPr>
      <xdr:spPr bwMode="auto">
        <a:xfrm flipV="1">
          <a:off x="1250950" y="655955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121" name="Line 6">
          <a:extLst>
            <a:ext uri="{FF2B5EF4-FFF2-40B4-BE49-F238E27FC236}">
              <a16:creationId xmlns:a16="http://schemas.microsoft.com/office/drawing/2014/main" id="{36483F20-69C2-4427-AAD2-1D355D2BF26C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122" name="Line 7">
          <a:extLst>
            <a:ext uri="{FF2B5EF4-FFF2-40B4-BE49-F238E27FC236}">
              <a16:creationId xmlns:a16="http://schemas.microsoft.com/office/drawing/2014/main" id="{25B20029-802F-49F5-8180-647F40FD8113}"/>
            </a:ext>
          </a:extLst>
        </xdr:cNvPr>
        <xdr:cNvSpPr>
          <a:spLocks noChangeShapeType="1"/>
        </xdr:cNvSpPr>
      </xdr:nvSpPr>
      <xdr:spPr bwMode="auto">
        <a:xfrm flipV="1">
          <a:off x="3213100" y="2552700"/>
          <a:ext cx="2749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123" name="Line 8">
          <a:extLst>
            <a:ext uri="{FF2B5EF4-FFF2-40B4-BE49-F238E27FC236}">
              <a16:creationId xmlns:a16="http://schemas.microsoft.com/office/drawing/2014/main" id="{9DCBEE7E-A87A-400F-8829-288A9518E675}"/>
            </a:ext>
          </a:extLst>
        </xdr:cNvPr>
        <xdr:cNvSpPr>
          <a:spLocks noChangeShapeType="1"/>
        </xdr:cNvSpPr>
      </xdr:nvSpPr>
      <xdr:spPr bwMode="auto">
        <a:xfrm>
          <a:off x="5283200" y="306070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124" name="Line 9">
          <a:extLst>
            <a:ext uri="{FF2B5EF4-FFF2-40B4-BE49-F238E27FC236}">
              <a16:creationId xmlns:a16="http://schemas.microsoft.com/office/drawing/2014/main" id="{ED72A362-30E4-4C57-B8EF-0C122DBAD965}"/>
            </a:ext>
          </a:extLst>
        </xdr:cNvPr>
        <xdr:cNvSpPr>
          <a:spLocks noChangeShapeType="1"/>
        </xdr:cNvSpPr>
      </xdr:nvSpPr>
      <xdr:spPr bwMode="auto">
        <a:xfrm>
          <a:off x="5283200" y="27241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125" name="Line 10">
          <a:extLst>
            <a:ext uri="{FF2B5EF4-FFF2-40B4-BE49-F238E27FC236}">
              <a16:creationId xmlns:a16="http://schemas.microsoft.com/office/drawing/2014/main" id="{3E5195D8-9B14-4183-901B-19E9F496E0E0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26" name="Line 11">
          <a:extLst>
            <a:ext uri="{FF2B5EF4-FFF2-40B4-BE49-F238E27FC236}">
              <a16:creationId xmlns:a16="http://schemas.microsoft.com/office/drawing/2014/main" id="{F13BCE3E-CB98-465C-95B1-49DA147EA95F}"/>
            </a:ext>
          </a:extLst>
        </xdr:cNvPr>
        <xdr:cNvSpPr>
          <a:spLocks noChangeShapeType="1"/>
        </xdr:cNvSpPr>
      </xdr:nvSpPr>
      <xdr:spPr bwMode="auto">
        <a:xfrm>
          <a:off x="5283200" y="72326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127" name="Line 12">
          <a:extLst>
            <a:ext uri="{FF2B5EF4-FFF2-40B4-BE49-F238E27FC236}">
              <a16:creationId xmlns:a16="http://schemas.microsoft.com/office/drawing/2014/main" id="{4DDCA031-DB14-464F-BD9C-922B985FB250}"/>
            </a:ext>
          </a:extLst>
        </xdr:cNvPr>
        <xdr:cNvSpPr>
          <a:spLocks noChangeShapeType="1"/>
        </xdr:cNvSpPr>
      </xdr:nvSpPr>
      <xdr:spPr bwMode="auto">
        <a:xfrm>
          <a:off x="5283200" y="73977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128" name="Line 13">
          <a:extLst>
            <a:ext uri="{FF2B5EF4-FFF2-40B4-BE49-F238E27FC236}">
              <a16:creationId xmlns:a16="http://schemas.microsoft.com/office/drawing/2014/main" id="{6DB1BA7E-2A84-42D0-B22A-462AA1DD69F8}"/>
            </a:ext>
          </a:extLst>
        </xdr:cNvPr>
        <xdr:cNvSpPr>
          <a:spLocks noChangeShapeType="1"/>
        </xdr:cNvSpPr>
      </xdr:nvSpPr>
      <xdr:spPr bwMode="auto">
        <a:xfrm>
          <a:off x="3771900" y="5226050"/>
          <a:ext cx="2171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129" name="Line 14">
          <a:extLst>
            <a:ext uri="{FF2B5EF4-FFF2-40B4-BE49-F238E27FC236}">
              <a16:creationId xmlns:a16="http://schemas.microsoft.com/office/drawing/2014/main" id="{C67987BE-7D97-4B2C-95EA-E2CCBDE00309}"/>
            </a:ext>
          </a:extLst>
        </xdr:cNvPr>
        <xdr:cNvSpPr>
          <a:spLocks noChangeShapeType="1"/>
        </xdr:cNvSpPr>
      </xdr:nvSpPr>
      <xdr:spPr bwMode="auto">
        <a:xfrm>
          <a:off x="3213100" y="6559550"/>
          <a:ext cx="2730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130" name="Line 15">
          <a:extLst>
            <a:ext uri="{FF2B5EF4-FFF2-40B4-BE49-F238E27FC236}">
              <a16:creationId xmlns:a16="http://schemas.microsoft.com/office/drawing/2014/main" id="{59BB7110-B2C9-4BFF-8046-D451770BE675}"/>
            </a:ext>
          </a:extLst>
        </xdr:cNvPr>
        <xdr:cNvSpPr>
          <a:spLocks noChangeShapeType="1"/>
        </xdr:cNvSpPr>
      </xdr:nvSpPr>
      <xdr:spPr bwMode="auto">
        <a:xfrm>
          <a:off x="10991850" y="2724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131" name="Line 16">
          <a:extLst>
            <a:ext uri="{FF2B5EF4-FFF2-40B4-BE49-F238E27FC236}">
              <a16:creationId xmlns:a16="http://schemas.microsoft.com/office/drawing/2014/main" id="{A0E36691-6D8D-4C49-8276-962D46917602}"/>
            </a:ext>
          </a:extLst>
        </xdr:cNvPr>
        <xdr:cNvSpPr>
          <a:spLocks noChangeShapeType="1"/>
        </xdr:cNvSpPr>
      </xdr:nvSpPr>
      <xdr:spPr bwMode="auto">
        <a:xfrm>
          <a:off x="10991850" y="3060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132" name="Line 17">
          <a:extLst>
            <a:ext uri="{FF2B5EF4-FFF2-40B4-BE49-F238E27FC236}">
              <a16:creationId xmlns:a16="http://schemas.microsoft.com/office/drawing/2014/main" id="{7C259F70-870E-4976-AB1F-FF68ADDCD33A}"/>
            </a:ext>
          </a:extLst>
        </xdr:cNvPr>
        <xdr:cNvSpPr>
          <a:spLocks noChangeShapeType="1"/>
        </xdr:cNvSpPr>
      </xdr:nvSpPr>
      <xdr:spPr bwMode="auto">
        <a:xfrm>
          <a:off x="10191750" y="2895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133" name="Line 18">
          <a:extLst>
            <a:ext uri="{FF2B5EF4-FFF2-40B4-BE49-F238E27FC236}">
              <a16:creationId xmlns:a16="http://schemas.microsoft.com/office/drawing/2014/main" id="{E451D6E2-7D8B-4795-967F-09408C7C8523}"/>
            </a:ext>
          </a:extLst>
        </xdr:cNvPr>
        <xdr:cNvSpPr>
          <a:spLocks noChangeShapeType="1"/>
        </xdr:cNvSpPr>
      </xdr:nvSpPr>
      <xdr:spPr bwMode="auto">
        <a:xfrm>
          <a:off x="10991850" y="3232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134" name="Line 19">
          <a:extLst>
            <a:ext uri="{FF2B5EF4-FFF2-40B4-BE49-F238E27FC236}">
              <a16:creationId xmlns:a16="http://schemas.microsoft.com/office/drawing/2014/main" id="{FD664067-BDF3-434D-B688-CCB83BC613BB}"/>
            </a:ext>
          </a:extLst>
        </xdr:cNvPr>
        <xdr:cNvSpPr>
          <a:spLocks noChangeShapeType="1"/>
        </xdr:cNvSpPr>
      </xdr:nvSpPr>
      <xdr:spPr bwMode="auto">
        <a:xfrm>
          <a:off x="10991850" y="40640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135" name="Line 20">
          <a:extLst>
            <a:ext uri="{FF2B5EF4-FFF2-40B4-BE49-F238E27FC236}">
              <a16:creationId xmlns:a16="http://schemas.microsoft.com/office/drawing/2014/main" id="{C263A5EE-631E-4117-A6F6-A65FF9ACCC38}"/>
            </a:ext>
          </a:extLst>
        </xdr:cNvPr>
        <xdr:cNvSpPr>
          <a:spLocks noChangeShapeType="1"/>
        </xdr:cNvSpPr>
      </xdr:nvSpPr>
      <xdr:spPr bwMode="auto">
        <a:xfrm>
          <a:off x="10191750" y="423545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136" name="Line 21">
          <a:extLst>
            <a:ext uri="{FF2B5EF4-FFF2-40B4-BE49-F238E27FC236}">
              <a16:creationId xmlns:a16="http://schemas.microsoft.com/office/drawing/2014/main" id="{9062D05F-48B9-4CA6-A408-741C8C7F7824}"/>
            </a:ext>
          </a:extLst>
        </xdr:cNvPr>
        <xdr:cNvSpPr>
          <a:spLocks noChangeShapeType="1"/>
        </xdr:cNvSpPr>
      </xdr:nvSpPr>
      <xdr:spPr bwMode="auto">
        <a:xfrm>
          <a:off x="10991850" y="5727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137" name="Line 22">
          <a:extLst>
            <a:ext uri="{FF2B5EF4-FFF2-40B4-BE49-F238E27FC236}">
              <a16:creationId xmlns:a16="http://schemas.microsoft.com/office/drawing/2014/main" id="{0D264E4B-1481-41A4-A5D0-8F8BDFA80124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498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38" name="Line 23">
          <a:extLst>
            <a:ext uri="{FF2B5EF4-FFF2-40B4-BE49-F238E27FC236}">
              <a16:creationId xmlns:a16="http://schemas.microsoft.com/office/drawing/2014/main" id="{4859AF9C-20BB-4CDA-BD1B-41D177460166}"/>
            </a:ext>
          </a:extLst>
        </xdr:cNvPr>
        <xdr:cNvSpPr>
          <a:spLocks noChangeShapeType="1"/>
        </xdr:cNvSpPr>
      </xdr:nvSpPr>
      <xdr:spPr bwMode="auto">
        <a:xfrm>
          <a:off x="1581150" y="84137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139" name="Line 24">
          <a:extLst>
            <a:ext uri="{FF2B5EF4-FFF2-40B4-BE49-F238E27FC236}">
              <a16:creationId xmlns:a16="http://schemas.microsoft.com/office/drawing/2014/main" id="{DF6830CB-83BC-433D-AD10-CFF14B9BDDCB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40" name="Line 25">
          <a:extLst>
            <a:ext uri="{FF2B5EF4-FFF2-40B4-BE49-F238E27FC236}">
              <a16:creationId xmlns:a16="http://schemas.microsoft.com/office/drawing/2014/main" id="{87C8759B-D4CA-4F6C-A905-1C9E9D125E87}"/>
            </a:ext>
          </a:extLst>
        </xdr:cNvPr>
        <xdr:cNvSpPr>
          <a:spLocks noChangeShapeType="1"/>
        </xdr:cNvSpPr>
      </xdr:nvSpPr>
      <xdr:spPr bwMode="auto">
        <a:xfrm>
          <a:off x="800100" y="84137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141" name="Line 26">
          <a:extLst>
            <a:ext uri="{FF2B5EF4-FFF2-40B4-BE49-F238E27FC236}">
              <a16:creationId xmlns:a16="http://schemas.microsoft.com/office/drawing/2014/main" id="{FDF60A82-2BB0-43F6-8FE8-351AD7730699}"/>
            </a:ext>
          </a:extLst>
        </xdr:cNvPr>
        <xdr:cNvSpPr>
          <a:spLocks noChangeShapeType="1"/>
        </xdr:cNvSpPr>
      </xdr:nvSpPr>
      <xdr:spPr bwMode="auto">
        <a:xfrm>
          <a:off x="2584450" y="11087100"/>
          <a:ext cx="0" cy="4889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142" name="Line 27">
          <a:extLst>
            <a:ext uri="{FF2B5EF4-FFF2-40B4-BE49-F238E27FC236}">
              <a16:creationId xmlns:a16="http://schemas.microsoft.com/office/drawing/2014/main" id="{C9264568-BC19-4746-BBBD-98CFD93E382A}"/>
            </a:ext>
          </a:extLst>
        </xdr:cNvPr>
        <xdr:cNvSpPr>
          <a:spLocks noChangeShapeType="1"/>
        </xdr:cNvSpPr>
      </xdr:nvSpPr>
      <xdr:spPr bwMode="auto">
        <a:xfrm flipH="1">
          <a:off x="2584450" y="9918700"/>
          <a:ext cx="0" cy="5016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143" name="Line 28">
          <a:extLst>
            <a:ext uri="{FF2B5EF4-FFF2-40B4-BE49-F238E27FC236}">
              <a16:creationId xmlns:a16="http://schemas.microsoft.com/office/drawing/2014/main" id="{88B3824F-E0DD-4140-83A8-709B439535D3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144" name="Line 29">
          <a:extLst>
            <a:ext uri="{FF2B5EF4-FFF2-40B4-BE49-F238E27FC236}">
              <a16:creationId xmlns:a16="http://schemas.microsoft.com/office/drawing/2014/main" id="{71C9BDCF-3FA0-4F21-930C-1CFC7D8E10DD}"/>
            </a:ext>
          </a:extLst>
        </xdr:cNvPr>
        <xdr:cNvSpPr>
          <a:spLocks noChangeShapeType="1"/>
        </xdr:cNvSpPr>
      </xdr:nvSpPr>
      <xdr:spPr bwMode="auto">
        <a:xfrm flipV="1">
          <a:off x="5283200" y="824230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145" name="Line 30">
          <a:extLst>
            <a:ext uri="{FF2B5EF4-FFF2-40B4-BE49-F238E27FC236}">
              <a16:creationId xmlns:a16="http://schemas.microsoft.com/office/drawing/2014/main" id="{22718D81-758F-47E3-8456-953E4C114F32}"/>
            </a:ext>
          </a:extLst>
        </xdr:cNvPr>
        <xdr:cNvSpPr>
          <a:spLocks noChangeShapeType="1"/>
        </xdr:cNvSpPr>
      </xdr:nvSpPr>
      <xdr:spPr bwMode="auto">
        <a:xfrm>
          <a:off x="5283200" y="84137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146" name="Line 31">
          <a:extLst>
            <a:ext uri="{FF2B5EF4-FFF2-40B4-BE49-F238E27FC236}">
              <a16:creationId xmlns:a16="http://schemas.microsoft.com/office/drawing/2014/main" id="{C708B3A9-D8B5-4129-8FE6-579027BD4E69}"/>
            </a:ext>
          </a:extLst>
        </xdr:cNvPr>
        <xdr:cNvSpPr>
          <a:spLocks noChangeShapeType="1"/>
        </xdr:cNvSpPr>
      </xdr:nvSpPr>
      <xdr:spPr bwMode="auto">
        <a:xfrm>
          <a:off x="2584450" y="12592050"/>
          <a:ext cx="3359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147" name="Line 32">
          <a:extLst>
            <a:ext uri="{FF2B5EF4-FFF2-40B4-BE49-F238E27FC236}">
              <a16:creationId xmlns:a16="http://schemas.microsoft.com/office/drawing/2014/main" id="{528D813A-0301-49FD-ABA7-509D6D9A41A8}"/>
            </a:ext>
          </a:extLst>
        </xdr:cNvPr>
        <xdr:cNvSpPr>
          <a:spLocks noChangeShapeType="1"/>
        </xdr:cNvSpPr>
      </xdr:nvSpPr>
      <xdr:spPr bwMode="auto">
        <a:xfrm flipV="1">
          <a:off x="5283200" y="129222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148" name="Line 33">
          <a:extLst>
            <a:ext uri="{FF2B5EF4-FFF2-40B4-BE49-F238E27FC236}">
              <a16:creationId xmlns:a16="http://schemas.microsoft.com/office/drawing/2014/main" id="{22667952-1027-4F10-A548-88060D36C602}"/>
            </a:ext>
          </a:extLst>
        </xdr:cNvPr>
        <xdr:cNvSpPr>
          <a:spLocks noChangeShapeType="1"/>
        </xdr:cNvSpPr>
      </xdr:nvSpPr>
      <xdr:spPr bwMode="auto">
        <a:xfrm>
          <a:off x="5283200" y="127571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149" name="Line 34">
          <a:extLst>
            <a:ext uri="{FF2B5EF4-FFF2-40B4-BE49-F238E27FC236}">
              <a16:creationId xmlns:a16="http://schemas.microsoft.com/office/drawing/2014/main" id="{6AD1E7BF-D8D5-4192-8DC1-A8906636CB4B}"/>
            </a:ext>
          </a:extLst>
        </xdr:cNvPr>
        <xdr:cNvSpPr>
          <a:spLocks noChangeShapeType="1"/>
        </xdr:cNvSpPr>
      </xdr:nvSpPr>
      <xdr:spPr bwMode="auto">
        <a:xfrm>
          <a:off x="3771900" y="10763250"/>
          <a:ext cx="2171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150" name="Line 35">
          <a:extLst>
            <a:ext uri="{FF2B5EF4-FFF2-40B4-BE49-F238E27FC236}">
              <a16:creationId xmlns:a16="http://schemas.microsoft.com/office/drawing/2014/main" id="{0CB27A48-FF79-4622-B6B2-11AC01D461F4}"/>
            </a:ext>
          </a:extLst>
        </xdr:cNvPr>
        <xdr:cNvSpPr>
          <a:spLocks noChangeShapeType="1"/>
        </xdr:cNvSpPr>
      </xdr:nvSpPr>
      <xdr:spPr bwMode="auto">
        <a:xfrm>
          <a:off x="3213100" y="12090400"/>
          <a:ext cx="2730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51" name="Line 36">
          <a:extLst>
            <a:ext uri="{FF2B5EF4-FFF2-40B4-BE49-F238E27FC236}">
              <a16:creationId xmlns:a16="http://schemas.microsoft.com/office/drawing/2014/main" id="{EF1CC007-F624-4EC6-9B1A-5280D4A896A9}"/>
            </a:ext>
          </a:extLst>
        </xdr:cNvPr>
        <xdr:cNvSpPr>
          <a:spLocks noChangeShapeType="1"/>
        </xdr:cNvSpPr>
      </xdr:nvSpPr>
      <xdr:spPr bwMode="auto">
        <a:xfrm flipV="1">
          <a:off x="10991850" y="44069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152" name="Line 37">
          <a:extLst>
            <a:ext uri="{FF2B5EF4-FFF2-40B4-BE49-F238E27FC236}">
              <a16:creationId xmlns:a16="http://schemas.microsoft.com/office/drawing/2014/main" id="{A53EDB41-449B-4C60-B8B8-0569ED894E62}"/>
            </a:ext>
          </a:extLst>
        </xdr:cNvPr>
        <xdr:cNvSpPr>
          <a:spLocks noChangeShapeType="1"/>
        </xdr:cNvSpPr>
      </xdr:nvSpPr>
      <xdr:spPr bwMode="auto">
        <a:xfrm>
          <a:off x="10191750" y="5562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153" name="Line 38">
          <a:extLst>
            <a:ext uri="{FF2B5EF4-FFF2-40B4-BE49-F238E27FC236}">
              <a16:creationId xmlns:a16="http://schemas.microsoft.com/office/drawing/2014/main" id="{71F3049A-6B51-4091-BD3A-AA0CD84B9F2B}"/>
            </a:ext>
          </a:extLst>
        </xdr:cNvPr>
        <xdr:cNvSpPr>
          <a:spLocks noChangeShapeType="1"/>
        </xdr:cNvSpPr>
      </xdr:nvSpPr>
      <xdr:spPr bwMode="auto">
        <a:xfrm>
          <a:off x="12490450" y="84137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154" name="Line 39">
          <a:extLst>
            <a:ext uri="{FF2B5EF4-FFF2-40B4-BE49-F238E27FC236}">
              <a16:creationId xmlns:a16="http://schemas.microsoft.com/office/drawing/2014/main" id="{B2E02288-B3DB-4063-90CF-1182BB70D218}"/>
            </a:ext>
          </a:extLst>
        </xdr:cNvPr>
        <xdr:cNvSpPr>
          <a:spLocks noChangeShapeType="1"/>
        </xdr:cNvSpPr>
      </xdr:nvSpPr>
      <xdr:spPr bwMode="auto">
        <a:xfrm>
          <a:off x="12490450" y="958850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155" name="Line 40">
          <a:extLst>
            <a:ext uri="{FF2B5EF4-FFF2-40B4-BE49-F238E27FC236}">
              <a16:creationId xmlns:a16="http://schemas.microsoft.com/office/drawing/2014/main" id="{00458780-6255-41B3-B4C5-2F826C066B29}"/>
            </a:ext>
          </a:extLst>
        </xdr:cNvPr>
        <xdr:cNvSpPr>
          <a:spLocks noChangeShapeType="1"/>
        </xdr:cNvSpPr>
      </xdr:nvSpPr>
      <xdr:spPr bwMode="auto">
        <a:xfrm>
          <a:off x="12490450" y="107632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156" name="Line 41">
          <a:extLst>
            <a:ext uri="{FF2B5EF4-FFF2-40B4-BE49-F238E27FC236}">
              <a16:creationId xmlns:a16="http://schemas.microsoft.com/office/drawing/2014/main" id="{83513CC1-3C0D-46F7-A764-31177FB40E04}"/>
            </a:ext>
          </a:extLst>
        </xdr:cNvPr>
        <xdr:cNvSpPr>
          <a:spLocks noChangeShapeType="1"/>
        </xdr:cNvSpPr>
      </xdr:nvSpPr>
      <xdr:spPr bwMode="auto">
        <a:xfrm>
          <a:off x="11690350" y="8413750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157" name="Line 42">
          <a:extLst>
            <a:ext uri="{FF2B5EF4-FFF2-40B4-BE49-F238E27FC236}">
              <a16:creationId xmlns:a16="http://schemas.microsoft.com/office/drawing/2014/main" id="{8F097504-D2F2-46D5-81D0-599DE3E01444}"/>
            </a:ext>
          </a:extLst>
        </xdr:cNvPr>
        <xdr:cNvSpPr>
          <a:spLocks noChangeShapeType="1"/>
        </xdr:cNvSpPr>
      </xdr:nvSpPr>
      <xdr:spPr bwMode="auto">
        <a:xfrm>
          <a:off x="15176500" y="2552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158" name="Line 43">
          <a:extLst>
            <a:ext uri="{FF2B5EF4-FFF2-40B4-BE49-F238E27FC236}">
              <a16:creationId xmlns:a16="http://schemas.microsoft.com/office/drawing/2014/main" id="{A37C52AD-F6D3-4ACD-B697-85DBEA66BFD9}"/>
            </a:ext>
          </a:extLst>
        </xdr:cNvPr>
        <xdr:cNvSpPr>
          <a:spLocks noChangeShapeType="1"/>
        </xdr:cNvSpPr>
      </xdr:nvSpPr>
      <xdr:spPr bwMode="auto">
        <a:xfrm>
          <a:off x="15176500" y="272415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159" name="Line 44">
          <a:extLst>
            <a:ext uri="{FF2B5EF4-FFF2-40B4-BE49-F238E27FC236}">
              <a16:creationId xmlns:a16="http://schemas.microsoft.com/office/drawing/2014/main" id="{9F0B5CA4-4B45-4382-B2AE-F144458B4E47}"/>
            </a:ext>
          </a:extLst>
        </xdr:cNvPr>
        <xdr:cNvSpPr>
          <a:spLocks noChangeShapeType="1"/>
        </xdr:cNvSpPr>
      </xdr:nvSpPr>
      <xdr:spPr bwMode="auto">
        <a:xfrm>
          <a:off x="14738350" y="2895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160" name="Line 45">
          <a:extLst>
            <a:ext uri="{FF2B5EF4-FFF2-40B4-BE49-F238E27FC236}">
              <a16:creationId xmlns:a16="http://schemas.microsoft.com/office/drawing/2014/main" id="{4F51C929-B21F-4788-98F5-5D93BDC3C229}"/>
            </a:ext>
          </a:extLst>
        </xdr:cNvPr>
        <xdr:cNvSpPr>
          <a:spLocks noChangeShapeType="1"/>
        </xdr:cNvSpPr>
      </xdr:nvSpPr>
      <xdr:spPr bwMode="auto">
        <a:xfrm>
          <a:off x="15176500" y="3060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161" name="Line 46">
          <a:extLst>
            <a:ext uri="{FF2B5EF4-FFF2-40B4-BE49-F238E27FC236}">
              <a16:creationId xmlns:a16="http://schemas.microsoft.com/office/drawing/2014/main" id="{774C5E6E-44A9-4205-8CD2-40FFDFE9D5A4}"/>
            </a:ext>
          </a:extLst>
        </xdr:cNvPr>
        <xdr:cNvSpPr>
          <a:spLocks noChangeShapeType="1"/>
        </xdr:cNvSpPr>
      </xdr:nvSpPr>
      <xdr:spPr bwMode="auto">
        <a:xfrm>
          <a:off x="15176500" y="40640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162" name="Line 47">
          <a:extLst>
            <a:ext uri="{FF2B5EF4-FFF2-40B4-BE49-F238E27FC236}">
              <a16:creationId xmlns:a16="http://schemas.microsoft.com/office/drawing/2014/main" id="{01F2BAEC-9A04-4AAC-A4BA-2823117A6450}"/>
            </a:ext>
          </a:extLst>
        </xdr:cNvPr>
        <xdr:cNvSpPr>
          <a:spLocks noChangeShapeType="1"/>
        </xdr:cNvSpPr>
      </xdr:nvSpPr>
      <xdr:spPr bwMode="auto">
        <a:xfrm>
          <a:off x="14738350" y="4235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163" name="Line 48">
          <a:extLst>
            <a:ext uri="{FF2B5EF4-FFF2-40B4-BE49-F238E27FC236}">
              <a16:creationId xmlns:a16="http://schemas.microsoft.com/office/drawing/2014/main" id="{3382EC14-F828-4234-B5BE-DC60B5A015A1}"/>
            </a:ext>
          </a:extLst>
        </xdr:cNvPr>
        <xdr:cNvSpPr>
          <a:spLocks noChangeShapeType="1"/>
        </xdr:cNvSpPr>
      </xdr:nvSpPr>
      <xdr:spPr bwMode="auto">
        <a:xfrm>
          <a:off x="15176500" y="44069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164" name="Line 49">
          <a:extLst>
            <a:ext uri="{FF2B5EF4-FFF2-40B4-BE49-F238E27FC236}">
              <a16:creationId xmlns:a16="http://schemas.microsoft.com/office/drawing/2014/main" id="{46FCF033-A275-477D-877A-7DE86A17686C}"/>
            </a:ext>
          </a:extLst>
        </xdr:cNvPr>
        <xdr:cNvSpPr>
          <a:spLocks noChangeShapeType="1"/>
        </xdr:cNvSpPr>
      </xdr:nvSpPr>
      <xdr:spPr bwMode="auto">
        <a:xfrm>
          <a:off x="14738350" y="5562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165" name="Line 50">
          <a:extLst>
            <a:ext uri="{FF2B5EF4-FFF2-40B4-BE49-F238E27FC236}">
              <a16:creationId xmlns:a16="http://schemas.microsoft.com/office/drawing/2014/main" id="{0077336D-4ADB-42AC-BE14-23A664AAFB2B}"/>
            </a:ext>
          </a:extLst>
        </xdr:cNvPr>
        <xdr:cNvSpPr>
          <a:spLocks noChangeShapeType="1"/>
        </xdr:cNvSpPr>
      </xdr:nvSpPr>
      <xdr:spPr bwMode="auto">
        <a:xfrm flipV="1">
          <a:off x="15176500" y="5727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166" name="Line 51">
          <a:extLst>
            <a:ext uri="{FF2B5EF4-FFF2-40B4-BE49-F238E27FC236}">
              <a16:creationId xmlns:a16="http://schemas.microsoft.com/office/drawing/2014/main" id="{DF215685-23C0-4698-8409-B7D6E5E952F9}"/>
            </a:ext>
          </a:extLst>
        </xdr:cNvPr>
        <xdr:cNvSpPr>
          <a:spLocks noChangeShapeType="1"/>
        </xdr:cNvSpPr>
      </xdr:nvSpPr>
      <xdr:spPr bwMode="auto">
        <a:xfrm flipV="1">
          <a:off x="14738350" y="6902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167" name="Line 52">
          <a:extLst>
            <a:ext uri="{FF2B5EF4-FFF2-40B4-BE49-F238E27FC236}">
              <a16:creationId xmlns:a16="http://schemas.microsoft.com/office/drawing/2014/main" id="{D1E45D39-8144-4876-9DF8-BAC4082E80CF}"/>
            </a:ext>
          </a:extLst>
        </xdr:cNvPr>
        <xdr:cNvSpPr>
          <a:spLocks noChangeShapeType="1"/>
        </xdr:cNvSpPr>
      </xdr:nvSpPr>
      <xdr:spPr bwMode="auto">
        <a:xfrm>
          <a:off x="3213100" y="4235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68" name="Line 53">
          <a:extLst>
            <a:ext uri="{FF2B5EF4-FFF2-40B4-BE49-F238E27FC236}">
              <a16:creationId xmlns:a16="http://schemas.microsoft.com/office/drawing/2014/main" id="{B2226CC6-6F95-4FC3-922F-7A9D1D4BF15B}"/>
            </a:ext>
          </a:extLst>
        </xdr:cNvPr>
        <xdr:cNvSpPr>
          <a:spLocks noChangeShapeType="1"/>
        </xdr:cNvSpPr>
      </xdr:nvSpPr>
      <xdr:spPr bwMode="auto">
        <a:xfrm>
          <a:off x="3251200" y="9753600"/>
          <a:ext cx="14287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69" name="Line 54">
          <a:extLst>
            <a:ext uri="{FF2B5EF4-FFF2-40B4-BE49-F238E27FC236}">
              <a16:creationId xmlns:a16="http://schemas.microsoft.com/office/drawing/2014/main" id="{3A5C9CE9-C7BA-4B62-97DE-5D47D0CDACA7}"/>
            </a:ext>
          </a:extLst>
        </xdr:cNvPr>
        <xdr:cNvSpPr>
          <a:spLocks noChangeShapeType="1"/>
        </xdr:cNvSpPr>
      </xdr:nvSpPr>
      <xdr:spPr bwMode="auto">
        <a:xfrm flipH="1" flipV="1">
          <a:off x="3213100" y="6394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70" name="Line 55">
          <a:extLst>
            <a:ext uri="{FF2B5EF4-FFF2-40B4-BE49-F238E27FC236}">
              <a16:creationId xmlns:a16="http://schemas.microsoft.com/office/drawing/2014/main" id="{535B1792-5619-4BD2-86F0-E25C1E0A8AC4}"/>
            </a:ext>
          </a:extLst>
        </xdr:cNvPr>
        <xdr:cNvSpPr>
          <a:spLocks noChangeShapeType="1"/>
        </xdr:cNvSpPr>
      </xdr:nvSpPr>
      <xdr:spPr bwMode="auto">
        <a:xfrm>
          <a:off x="3771900" y="4406900"/>
          <a:ext cx="0" cy="1816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171" name="Line 56">
          <a:extLst>
            <a:ext uri="{FF2B5EF4-FFF2-40B4-BE49-F238E27FC236}">
              <a16:creationId xmlns:a16="http://schemas.microsoft.com/office/drawing/2014/main" id="{638CA6EE-3103-4074-96E4-26F1543C8B65}"/>
            </a:ext>
          </a:extLst>
        </xdr:cNvPr>
        <xdr:cNvSpPr>
          <a:spLocks noChangeShapeType="1"/>
        </xdr:cNvSpPr>
      </xdr:nvSpPr>
      <xdr:spPr bwMode="auto">
        <a:xfrm>
          <a:off x="3213100" y="44069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172" name="Line 57">
          <a:extLst>
            <a:ext uri="{FF2B5EF4-FFF2-40B4-BE49-F238E27FC236}">
              <a16:creationId xmlns:a16="http://schemas.microsoft.com/office/drawing/2014/main" id="{47659B05-0ECD-4A55-B1F1-7341013A7354}"/>
            </a:ext>
          </a:extLst>
        </xdr:cNvPr>
        <xdr:cNvSpPr>
          <a:spLocks noChangeShapeType="1"/>
        </xdr:cNvSpPr>
      </xdr:nvSpPr>
      <xdr:spPr bwMode="auto">
        <a:xfrm flipH="1">
          <a:off x="3213100" y="62230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73" name="Line 58">
          <a:extLst>
            <a:ext uri="{FF2B5EF4-FFF2-40B4-BE49-F238E27FC236}">
              <a16:creationId xmlns:a16="http://schemas.microsoft.com/office/drawing/2014/main" id="{99E0CD2D-468B-42D5-A678-9B9455728B76}"/>
            </a:ext>
          </a:extLst>
        </xdr:cNvPr>
        <xdr:cNvSpPr>
          <a:spLocks noChangeShapeType="1"/>
        </xdr:cNvSpPr>
      </xdr:nvSpPr>
      <xdr:spPr bwMode="auto">
        <a:xfrm flipH="1">
          <a:off x="2584450" y="6731000"/>
          <a:ext cx="0" cy="33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174" name="Line 59">
          <a:extLst>
            <a:ext uri="{FF2B5EF4-FFF2-40B4-BE49-F238E27FC236}">
              <a16:creationId xmlns:a16="http://schemas.microsoft.com/office/drawing/2014/main" id="{4269C577-3AB8-457A-9CA0-F556B49F274F}"/>
            </a:ext>
          </a:extLst>
        </xdr:cNvPr>
        <xdr:cNvSpPr>
          <a:spLocks noChangeShapeType="1"/>
        </xdr:cNvSpPr>
      </xdr:nvSpPr>
      <xdr:spPr bwMode="auto">
        <a:xfrm>
          <a:off x="2584450" y="7067550"/>
          <a:ext cx="3359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175" name="Line 60">
          <a:extLst>
            <a:ext uri="{FF2B5EF4-FFF2-40B4-BE49-F238E27FC236}">
              <a16:creationId xmlns:a16="http://schemas.microsoft.com/office/drawing/2014/main" id="{25C8D341-9374-4833-92E4-607528C258BB}"/>
            </a:ext>
          </a:extLst>
        </xdr:cNvPr>
        <xdr:cNvSpPr>
          <a:spLocks noChangeShapeType="1"/>
        </xdr:cNvSpPr>
      </xdr:nvSpPr>
      <xdr:spPr bwMode="auto">
        <a:xfrm>
          <a:off x="5283200" y="75628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76" name="Line 61">
          <a:extLst>
            <a:ext uri="{FF2B5EF4-FFF2-40B4-BE49-F238E27FC236}">
              <a16:creationId xmlns:a16="http://schemas.microsoft.com/office/drawing/2014/main" id="{1BA71040-EDE0-46FB-ADDB-06560D237236}"/>
            </a:ext>
          </a:extLst>
        </xdr:cNvPr>
        <xdr:cNvSpPr>
          <a:spLocks noChangeShapeType="1"/>
        </xdr:cNvSpPr>
      </xdr:nvSpPr>
      <xdr:spPr bwMode="auto">
        <a:xfrm>
          <a:off x="4679950" y="4235450"/>
          <a:ext cx="0" cy="21590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177" name="Line 62">
          <a:extLst>
            <a:ext uri="{FF2B5EF4-FFF2-40B4-BE49-F238E27FC236}">
              <a16:creationId xmlns:a16="http://schemas.microsoft.com/office/drawing/2014/main" id="{1E96DAA8-14C8-4A6F-87AC-8E027DB175FB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0" cy="679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78" name="Line 63">
          <a:extLst>
            <a:ext uri="{FF2B5EF4-FFF2-40B4-BE49-F238E27FC236}">
              <a16:creationId xmlns:a16="http://schemas.microsoft.com/office/drawing/2014/main" id="{28960398-186D-49CD-8245-122D1281EE06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0" cy="1993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9" name="Line 64">
          <a:extLst>
            <a:ext uri="{FF2B5EF4-FFF2-40B4-BE49-F238E27FC236}">
              <a16:creationId xmlns:a16="http://schemas.microsoft.com/office/drawing/2014/main" id="{033C146C-C2BB-4814-8679-DBB117DF0D40}"/>
            </a:ext>
          </a:extLst>
        </xdr:cNvPr>
        <xdr:cNvSpPr>
          <a:spLocks noChangeShapeType="1"/>
        </xdr:cNvSpPr>
      </xdr:nvSpPr>
      <xdr:spPr bwMode="auto">
        <a:xfrm>
          <a:off x="800100" y="63944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80" name="Line 65">
          <a:extLst>
            <a:ext uri="{FF2B5EF4-FFF2-40B4-BE49-F238E27FC236}">
              <a16:creationId xmlns:a16="http://schemas.microsoft.com/office/drawing/2014/main" id="{5D5F8BAC-8047-422E-8703-764600930EF1}"/>
            </a:ext>
          </a:extLst>
        </xdr:cNvPr>
        <xdr:cNvSpPr>
          <a:spLocks noChangeShapeType="1"/>
        </xdr:cNvSpPr>
      </xdr:nvSpPr>
      <xdr:spPr bwMode="auto">
        <a:xfrm>
          <a:off x="1250950" y="67310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181" name="Line 66">
          <a:extLst>
            <a:ext uri="{FF2B5EF4-FFF2-40B4-BE49-F238E27FC236}">
              <a16:creationId xmlns:a16="http://schemas.microsoft.com/office/drawing/2014/main" id="{F0C2F697-DFC7-484B-A7B3-D8B10D057BC8}"/>
            </a:ext>
          </a:extLst>
        </xdr:cNvPr>
        <xdr:cNvSpPr>
          <a:spLocks noChangeShapeType="1"/>
        </xdr:cNvSpPr>
      </xdr:nvSpPr>
      <xdr:spPr bwMode="auto">
        <a:xfrm flipH="1" flipV="1">
          <a:off x="1250950" y="65595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182" name="Line 67">
          <a:extLst>
            <a:ext uri="{FF2B5EF4-FFF2-40B4-BE49-F238E27FC236}">
              <a16:creationId xmlns:a16="http://schemas.microsoft.com/office/drawing/2014/main" id="{13A0C5E9-1269-4AD5-B0DC-1C3179433C45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0" cy="660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183" name="Line 68">
          <a:extLst>
            <a:ext uri="{FF2B5EF4-FFF2-40B4-BE49-F238E27FC236}">
              <a16:creationId xmlns:a16="http://schemas.microsoft.com/office/drawing/2014/main" id="{2B2298BE-5A53-4895-AF18-DDBB503D3C14}"/>
            </a:ext>
          </a:extLst>
        </xdr:cNvPr>
        <xdr:cNvSpPr>
          <a:spLocks noChangeShapeType="1"/>
        </xdr:cNvSpPr>
      </xdr:nvSpPr>
      <xdr:spPr bwMode="auto">
        <a:xfrm flipV="1">
          <a:off x="3213100" y="8070850"/>
          <a:ext cx="2730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184" name="Line 69">
          <a:extLst>
            <a:ext uri="{FF2B5EF4-FFF2-40B4-BE49-F238E27FC236}">
              <a16:creationId xmlns:a16="http://schemas.microsoft.com/office/drawing/2014/main" id="{4C5D8938-DA81-4044-BD23-522BA283726C}"/>
            </a:ext>
          </a:extLst>
        </xdr:cNvPr>
        <xdr:cNvSpPr>
          <a:spLocks noChangeShapeType="1"/>
        </xdr:cNvSpPr>
      </xdr:nvSpPr>
      <xdr:spPr bwMode="auto">
        <a:xfrm>
          <a:off x="5283200" y="80708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185" name="Line 70">
          <a:extLst>
            <a:ext uri="{FF2B5EF4-FFF2-40B4-BE49-F238E27FC236}">
              <a16:creationId xmlns:a16="http://schemas.microsoft.com/office/drawing/2014/main" id="{B18053F7-A6C8-4220-954C-CD5629AA317E}"/>
            </a:ext>
          </a:extLst>
        </xdr:cNvPr>
        <xdr:cNvSpPr>
          <a:spLocks noChangeShapeType="1"/>
        </xdr:cNvSpPr>
      </xdr:nvSpPr>
      <xdr:spPr bwMode="auto">
        <a:xfrm>
          <a:off x="4679950" y="9753600"/>
          <a:ext cx="0" cy="19939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186" name="Line 71">
          <a:extLst>
            <a:ext uri="{FF2B5EF4-FFF2-40B4-BE49-F238E27FC236}">
              <a16:creationId xmlns:a16="http://schemas.microsoft.com/office/drawing/2014/main" id="{C24D9609-EA5A-4D74-8B72-99309CB83BA0}"/>
            </a:ext>
          </a:extLst>
        </xdr:cNvPr>
        <xdr:cNvSpPr>
          <a:spLocks noChangeShapeType="1"/>
        </xdr:cNvSpPr>
      </xdr:nvSpPr>
      <xdr:spPr bwMode="auto">
        <a:xfrm flipH="1">
          <a:off x="3213100" y="1174750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187" name="Line 72">
          <a:extLst>
            <a:ext uri="{FF2B5EF4-FFF2-40B4-BE49-F238E27FC236}">
              <a16:creationId xmlns:a16="http://schemas.microsoft.com/office/drawing/2014/main" id="{05F264E4-545D-48D3-9984-AC52619C2219}"/>
            </a:ext>
          </a:extLst>
        </xdr:cNvPr>
        <xdr:cNvSpPr>
          <a:spLocks noChangeShapeType="1"/>
        </xdr:cNvSpPr>
      </xdr:nvSpPr>
      <xdr:spPr bwMode="auto">
        <a:xfrm>
          <a:off x="3771900" y="9918700"/>
          <a:ext cx="0" cy="1657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188" name="Line 73">
          <a:extLst>
            <a:ext uri="{FF2B5EF4-FFF2-40B4-BE49-F238E27FC236}">
              <a16:creationId xmlns:a16="http://schemas.microsoft.com/office/drawing/2014/main" id="{A27497CC-A038-40CA-8745-22AA7AB45512}"/>
            </a:ext>
          </a:extLst>
        </xdr:cNvPr>
        <xdr:cNvSpPr>
          <a:spLocks noChangeShapeType="1"/>
        </xdr:cNvSpPr>
      </xdr:nvSpPr>
      <xdr:spPr bwMode="auto">
        <a:xfrm flipH="1">
          <a:off x="3213100" y="1157605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189" name="Line 74">
          <a:extLst>
            <a:ext uri="{FF2B5EF4-FFF2-40B4-BE49-F238E27FC236}">
              <a16:creationId xmlns:a16="http://schemas.microsoft.com/office/drawing/2014/main" id="{E4C505F0-244F-4164-8C2B-654ED0048274}"/>
            </a:ext>
          </a:extLst>
        </xdr:cNvPr>
        <xdr:cNvSpPr>
          <a:spLocks noChangeShapeType="1"/>
        </xdr:cNvSpPr>
      </xdr:nvSpPr>
      <xdr:spPr bwMode="auto">
        <a:xfrm>
          <a:off x="2584450" y="12265025"/>
          <a:ext cx="0" cy="3270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190" name="Line 75">
          <a:extLst>
            <a:ext uri="{FF2B5EF4-FFF2-40B4-BE49-F238E27FC236}">
              <a16:creationId xmlns:a16="http://schemas.microsoft.com/office/drawing/2014/main" id="{A258B75E-61BD-4D50-B6A6-FE28C471662A}"/>
            </a:ext>
          </a:extLst>
        </xdr:cNvPr>
        <xdr:cNvSpPr>
          <a:spLocks noChangeShapeType="1"/>
        </xdr:cNvSpPr>
      </xdr:nvSpPr>
      <xdr:spPr bwMode="auto">
        <a:xfrm flipH="1">
          <a:off x="5283200" y="12592050"/>
          <a:ext cx="0" cy="330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191" name="Line 76">
          <a:extLst>
            <a:ext uri="{FF2B5EF4-FFF2-40B4-BE49-F238E27FC236}">
              <a16:creationId xmlns:a16="http://schemas.microsoft.com/office/drawing/2014/main" id="{87A90482-9C7D-4B52-81A0-D30E886E9129}"/>
            </a:ext>
          </a:extLst>
        </xdr:cNvPr>
        <xdr:cNvSpPr>
          <a:spLocks noChangeShapeType="1"/>
        </xdr:cNvSpPr>
      </xdr:nvSpPr>
      <xdr:spPr bwMode="auto">
        <a:xfrm>
          <a:off x="800100" y="119189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192" name="Line 77">
          <a:extLst>
            <a:ext uri="{FF2B5EF4-FFF2-40B4-BE49-F238E27FC236}">
              <a16:creationId xmlns:a16="http://schemas.microsoft.com/office/drawing/2014/main" id="{3277114B-7290-48B1-BD7E-682DE00F117B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193" name="Line 78">
          <a:extLst>
            <a:ext uri="{FF2B5EF4-FFF2-40B4-BE49-F238E27FC236}">
              <a16:creationId xmlns:a16="http://schemas.microsoft.com/office/drawing/2014/main" id="{EDA0728F-7DC1-4E75-8D74-5F22CF522946}"/>
            </a:ext>
          </a:extLst>
        </xdr:cNvPr>
        <xdr:cNvSpPr>
          <a:spLocks noChangeShapeType="1"/>
        </xdr:cNvSpPr>
      </xdr:nvSpPr>
      <xdr:spPr bwMode="auto">
        <a:xfrm>
          <a:off x="1250950" y="122555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194" name="Line 79">
          <a:extLst>
            <a:ext uri="{FF2B5EF4-FFF2-40B4-BE49-F238E27FC236}">
              <a16:creationId xmlns:a16="http://schemas.microsoft.com/office/drawing/2014/main" id="{6EB30867-090E-492E-A498-71D5A5F96E75}"/>
            </a:ext>
          </a:extLst>
        </xdr:cNvPr>
        <xdr:cNvSpPr>
          <a:spLocks noChangeShapeType="1"/>
        </xdr:cNvSpPr>
      </xdr:nvSpPr>
      <xdr:spPr bwMode="auto">
        <a:xfrm>
          <a:off x="1099185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195" name="Line 80">
          <a:extLst>
            <a:ext uri="{FF2B5EF4-FFF2-40B4-BE49-F238E27FC236}">
              <a16:creationId xmlns:a16="http://schemas.microsoft.com/office/drawing/2014/main" id="{C073FC95-97E2-49AC-ABCF-71FFBEAA66A9}"/>
            </a:ext>
          </a:extLst>
        </xdr:cNvPr>
        <xdr:cNvSpPr>
          <a:spLocks noChangeShapeType="1"/>
        </xdr:cNvSpPr>
      </xdr:nvSpPr>
      <xdr:spPr bwMode="auto">
        <a:xfrm>
          <a:off x="10991850" y="272415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196" name="Line 81">
          <a:extLst>
            <a:ext uri="{FF2B5EF4-FFF2-40B4-BE49-F238E27FC236}">
              <a16:creationId xmlns:a16="http://schemas.microsoft.com/office/drawing/2014/main" id="{37C5528E-742E-441D-919B-04C59F13EA2D}"/>
            </a:ext>
          </a:extLst>
        </xdr:cNvPr>
        <xdr:cNvSpPr>
          <a:spLocks noChangeShapeType="1"/>
        </xdr:cNvSpPr>
      </xdr:nvSpPr>
      <xdr:spPr bwMode="auto">
        <a:xfrm>
          <a:off x="10191750" y="23812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197" name="Line 82">
          <a:extLst>
            <a:ext uri="{FF2B5EF4-FFF2-40B4-BE49-F238E27FC236}">
              <a16:creationId xmlns:a16="http://schemas.microsoft.com/office/drawing/2014/main" id="{F7B89AB0-A623-4B25-A525-D7D8FC675D74}"/>
            </a:ext>
          </a:extLst>
        </xdr:cNvPr>
        <xdr:cNvSpPr>
          <a:spLocks noChangeShapeType="1"/>
        </xdr:cNvSpPr>
      </xdr:nvSpPr>
      <xdr:spPr bwMode="auto">
        <a:xfrm>
          <a:off x="10191750" y="3727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198" name="Line 83">
          <a:extLst>
            <a:ext uri="{FF2B5EF4-FFF2-40B4-BE49-F238E27FC236}">
              <a16:creationId xmlns:a16="http://schemas.microsoft.com/office/drawing/2014/main" id="{C0845586-7297-4BD3-BA01-E5557019B6EB}"/>
            </a:ext>
          </a:extLst>
        </xdr:cNvPr>
        <xdr:cNvSpPr>
          <a:spLocks noChangeShapeType="1"/>
        </xdr:cNvSpPr>
      </xdr:nvSpPr>
      <xdr:spPr bwMode="auto">
        <a:xfrm>
          <a:off x="15176500" y="25527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199" name="Line 84">
          <a:extLst>
            <a:ext uri="{FF2B5EF4-FFF2-40B4-BE49-F238E27FC236}">
              <a16:creationId xmlns:a16="http://schemas.microsoft.com/office/drawing/2014/main" id="{83AC226F-D31E-465A-AD30-D6570458077E}"/>
            </a:ext>
          </a:extLst>
        </xdr:cNvPr>
        <xdr:cNvSpPr>
          <a:spLocks noChangeShapeType="1"/>
        </xdr:cNvSpPr>
      </xdr:nvSpPr>
      <xdr:spPr bwMode="auto">
        <a:xfrm>
          <a:off x="1517650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200" name="Line 85">
          <a:extLst>
            <a:ext uri="{FF2B5EF4-FFF2-40B4-BE49-F238E27FC236}">
              <a16:creationId xmlns:a16="http://schemas.microsoft.com/office/drawing/2014/main" id="{A53305FE-7A8A-427E-B115-8D7FC1235735}"/>
            </a:ext>
          </a:extLst>
        </xdr:cNvPr>
        <xdr:cNvSpPr>
          <a:spLocks noChangeShapeType="1"/>
        </xdr:cNvSpPr>
      </xdr:nvSpPr>
      <xdr:spPr bwMode="auto">
        <a:xfrm flipV="1">
          <a:off x="800100" y="8413750"/>
          <a:ext cx="0" cy="20066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01" name="Line 86">
          <a:extLst>
            <a:ext uri="{FF2B5EF4-FFF2-40B4-BE49-F238E27FC236}">
              <a16:creationId xmlns:a16="http://schemas.microsoft.com/office/drawing/2014/main" id="{706CABF2-97D2-4919-B9D3-DC7705D0C7AC}"/>
            </a:ext>
          </a:extLst>
        </xdr:cNvPr>
        <xdr:cNvSpPr>
          <a:spLocks noChangeShapeType="1"/>
        </xdr:cNvSpPr>
      </xdr:nvSpPr>
      <xdr:spPr bwMode="auto">
        <a:xfrm>
          <a:off x="10191750" y="908050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202" name="Line 87">
          <a:extLst>
            <a:ext uri="{FF2B5EF4-FFF2-40B4-BE49-F238E27FC236}">
              <a16:creationId xmlns:a16="http://schemas.microsoft.com/office/drawing/2014/main" id="{EA9741D0-D99F-473D-AD9F-F04AF06E7DFB}"/>
            </a:ext>
          </a:extLst>
        </xdr:cNvPr>
        <xdr:cNvSpPr>
          <a:spLocks noChangeShapeType="1"/>
        </xdr:cNvSpPr>
      </xdr:nvSpPr>
      <xdr:spPr bwMode="auto">
        <a:xfrm flipV="1">
          <a:off x="10312400" y="8070850"/>
          <a:ext cx="0" cy="10096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203" name="Line 88">
          <a:extLst>
            <a:ext uri="{FF2B5EF4-FFF2-40B4-BE49-F238E27FC236}">
              <a16:creationId xmlns:a16="http://schemas.microsoft.com/office/drawing/2014/main" id="{081F0DAE-533B-47C3-B526-429777127335}"/>
            </a:ext>
          </a:extLst>
        </xdr:cNvPr>
        <xdr:cNvSpPr>
          <a:spLocks noChangeShapeType="1"/>
        </xdr:cNvSpPr>
      </xdr:nvSpPr>
      <xdr:spPr bwMode="auto">
        <a:xfrm>
          <a:off x="10191750" y="9588500"/>
          <a:ext cx="0" cy="1663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204" name="Line 89">
          <a:extLst>
            <a:ext uri="{FF2B5EF4-FFF2-40B4-BE49-F238E27FC236}">
              <a16:creationId xmlns:a16="http://schemas.microsoft.com/office/drawing/2014/main" id="{3E1E3D9E-0057-497D-9A81-EA51DFACC268}"/>
            </a:ext>
          </a:extLst>
        </xdr:cNvPr>
        <xdr:cNvSpPr>
          <a:spLocks noChangeShapeType="1"/>
        </xdr:cNvSpPr>
      </xdr:nvSpPr>
      <xdr:spPr bwMode="auto">
        <a:xfrm>
          <a:off x="10191750" y="11252200"/>
          <a:ext cx="320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205" name="Line 90">
          <a:extLst>
            <a:ext uri="{FF2B5EF4-FFF2-40B4-BE49-F238E27FC236}">
              <a16:creationId xmlns:a16="http://schemas.microsoft.com/office/drawing/2014/main" id="{77C3D967-A012-4DFB-86BF-47FF8BB4BC1B}"/>
            </a:ext>
          </a:extLst>
        </xdr:cNvPr>
        <xdr:cNvSpPr>
          <a:spLocks noChangeShapeType="1"/>
        </xdr:cNvSpPr>
      </xdr:nvSpPr>
      <xdr:spPr bwMode="auto">
        <a:xfrm>
          <a:off x="10312400" y="1059180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206" name="Line 91">
          <a:extLst>
            <a:ext uri="{FF2B5EF4-FFF2-40B4-BE49-F238E27FC236}">
              <a16:creationId xmlns:a16="http://schemas.microsoft.com/office/drawing/2014/main" id="{76D7709B-4B16-464E-A6C8-43EBC8C9C1C6}"/>
            </a:ext>
          </a:extLst>
        </xdr:cNvPr>
        <xdr:cNvSpPr>
          <a:spLocks noChangeShapeType="1"/>
        </xdr:cNvSpPr>
      </xdr:nvSpPr>
      <xdr:spPr bwMode="auto">
        <a:xfrm flipV="1">
          <a:off x="10312400" y="807085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207" name="Line 92">
          <a:extLst>
            <a:ext uri="{FF2B5EF4-FFF2-40B4-BE49-F238E27FC236}">
              <a16:creationId xmlns:a16="http://schemas.microsoft.com/office/drawing/2014/main" id="{B98EC609-E2C4-454F-8F11-2F27C9AFFCE6}"/>
            </a:ext>
          </a:extLst>
        </xdr:cNvPr>
        <xdr:cNvSpPr>
          <a:spLocks noChangeShapeType="1"/>
        </xdr:cNvSpPr>
      </xdr:nvSpPr>
      <xdr:spPr bwMode="auto">
        <a:xfrm flipV="1">
          <a:off x="10191750" y="941705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208" name="Line 93">
          <a:extLst>
            <a:ext uri="{FF2B5EF4-FFF2-40B4-BE49-F238E27FC236}">
              <a16:creationId xmlns:a16="http://schemas.microsoft.com/office/drawing/2014/main" id="{C30BF4D9-375E-4E64-8073-72E34C89CD45}"/>
            </a:ext>
          </a:extLst>
        </xdr:cNvPr>
        <xdr:cNvSpPr>
          <a:spLocks noChangeShapeType="1"/>
        </xdr:cNvSpPr>
      </xdr:nvSpPr>
      <xdr:spPr bwMode="auto">
        <a:xfrm>
          <a:off x="10312400" y="9417050"/>
          <a:ext cx="0" cy="11747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209" name="Line 94">
          <a:extLst>
            <a:ext uri="{FF2B5EF4-FFF2-40B4-BE49-F238E27FC236}">
              <a16:creationId xmlns:a16="http://schemas.microsoft.com/office/drawing/2014/main" id="{B34F1A7E-C49F-4722-8D1F-37C2EE3826B0}"/>
            </a:ext>
          </a:extLst>
        </xdr:cNvPr>
        <xdr:cNvSpPr>
          <a:spLocks noChangeShapeType="1"/>
        </xdr:cNvSpPr>
      </xdr:nvSpPr>
      <xdr:spPr bwMode="auto">
        <a:xfrm>
          <a:off x="12490450" y="90805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210" name="Line 95">
          <a:extLst>
            <a:ext uri="{FF2B5EF4-FFF2-40B4-BE49-F238E27FC236}">
              <a16:creationId xmlns:a16="http://schemas.microsoft.com/office/drawing/2014/main" id="{E8F865CC-228D-437A-AF38-F051AE22AD72}"/>
            </a:ext>
          </a:extLst>
        </xdr:cNvPr>
        <xdr:cNvSpPr>
          <a:spLocks noChangeShapeType="1"/>
        </xdr:cNvSpPr>
      </xdr:nvSpPr>
      <xdr:spPr bwMode="auto">
        <a:xfrm>
          <a:off x="12490450" y="78994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211" name="Line 96">
          <a:extLst>
            <a:ext uri="{FF2B5EF4-FFF2-40B4-BE49-F238E27FC236}">
              <a16:creationId xmlns:a16="http://schemas.microsoft.com/office/drawing/2014/main" id="{CF288FCA-6C2B-4B71-BB8D-CB9F6D7C86EA}"/>
            </a:ext>
          </a:extLst>
        </xdr:cNvPr>
        <xdr:cNvSpPr>
          <a:spLocks noChangeShapeType="1"/>
        </xdr:cNvSpPr>
      </xdr:nvSpPr>
      <xdr:spPr bwMode="auto">
        <a:xfrm>
          <a:off x="10191750" y="6394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212" name="Line 97">
          <a:extLst>
            <a:ext uri="{FF2B5EF4-FFF2-40B4-BE49-F238E27FC236}">
              <a16:creationId xmlns:a16="http://schemas.microsoft.com/office/drawing/2014/main" id="{14123D01-87C9-4BDE-A033-FB5C67250F65}"/>
            </a:ext>
          </a:extLst>
        </xdr:cNvPr>
        <xdr:cNvSpPr>
          <a:spLocks noChangeShapeType="1"/>
        </xdr:cNvSpPr>
      </xdr:nvSpPr>
      <xdr:spPr bwMode="auto">
        <a:xfrm>
          <a:off x="12490450" y="1025525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213" name="Line 98">
          <a:extLst>
            <a:ext uri="{FF2B5EF4-FFF2-40B4-BE49-F238E27FC236}">
              <a16:creationId xmlns:a16="http://schemas.microsoft.com/office/drawing/2014/main" id="{B3A909A6-FAE4-4D61-B9EB-0C82BDB9A777}"/>
            </a:ext>
          </a:extLst>
        </xdr:cNvPr>
        <xdr:cNvSpPr>
          <a:spLocks noChangeShapeType="1"/>
        </xdr:cNvSpPr>
      </xdr:nvSpPr>
      <xdr:spPr bwMode="auto">
        <a:xfrm flipV="1">
          <a:off x="10191750" y="50609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214" name="Line 99">
          <a:extLst>
            <a:ext uri="{FF2B5EF4-FFF2-40B4-BE49-F238E27FC236}">
              <a16:creationId xmlns:a16="http://schemas.microsoft.com/office/drawing/2014/main" id="{35333039-E58A-48E9-ABF1-8F365FCFAEA0}"/>
            </a:ext>
          </a:extLst>
        </xdr:cNvPr>
        <xdr:cNvSpPr>
          <a:spLocks noChangeShapeType="1"/>
        </xdr:cNvSpPr>
      </xdr:nvSpPr>
      <xdr:spPr bwMode="auto">
        <a:xfrm>
          <a:off x="1099185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215" name="Line 100">
          <a:extLst>
            <a:ext uri="{FF2B5EF4-FFF2-40B4-BE49-F238E27FC236}">
              <a16:creationId xmlns:a16="http://schemas.microsoft.com/office/drawing/2014/main" id="{A04B07B4-2209-4354-92C8-A78CC7D5AEF2}"/>
            </a:ext>
          </a:extLst>
        </xdr:cNvPr>
        <xdr:cNvSpPr>
          <a:spLocks noChangeShapeType="1"/>
        </xdr:cNvSpPr>
      </xdr:nvSpPr>
      <xdr:spPr bwMode="auto">
        <a:xfrm>
          <a:off x="1517650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216" name="Line 101">
          <a:extLst>
            <a:ext uri="{FF2B5EF4-FFF2-40B4-BE49-F238E27FC236}">
              <a16:creationId xmlns:a16="http://schemas.microsoft.com/office/drawing/2014/main" id="{73A2ED96-A91D-4581-A7FB-866FF0084997}"/>
            </a:ext>
          </a:extLst>
        </xdr:cNvPr>
        <xdr:cNvSpPr>
          <a:spLocks noChangeShapeType="1"/>
        </xdr:cNvSpPr>
      </xdr:nvSpPr>
      <xdr:spPr bwMode="auto">
        <a:xfrm>
          <a:off x="14738350" y="12592050"/>
          <a:ext cx="14541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217" name="Line 102">
          <a:extLst>
            <a:ext uri="{FF2B5EF4-FFF2-40B4-BE49-F238E27FC236}">
              <a16:creationId xmlns:a16="http://schemas.microsoft.com/office/drawing/2014/main" id="{E63CA3AC-AD87-4146-A72A-CADD8D293A36}"/>
            </a:ext>
          </a:extLst>
        </xdr:cNvPr>
        <xdr:cNvSpPr>
          <a:spLocks noChangeShapeType="1"/>
        </xdr:cNvSpPr>
      </xdr:nvSpPr>
      <xdr:spPr bwMode="auto">
        <a:xfrm flipH="1">
          <a:off x="2584450" y="3232150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218" name="Line 103">
          <a:extLst>
            <a:ext uri="{FF2B5EF4-FFF2-40B4-BE49-F238E27FC236}">
              <a16:creationId xmlns:a16="http://schemas.microsoft.com/office/drawing/2014/main" id="{847E89C0-9FF3-4239-B994-A5B86BB0FAEA}"/>
            </a:ext>
          </a:extLst>
        </xdr:cNvPr>
        <xdr:cNvSpPr>
          <a:spLocks noChangeShapeType="1"/>
        </xdr:cNvSpPr>
      </xdr:nvSpPr>
      <xdr:spPr bwMode="auto">
        <a:xfrm flipH="1">
          <a:off x="1581150" y="605155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219" name="Line 104">
          <a:extLst>
            <a:ext uri="{FF2B5EF4-FFF2-40B4-BE49-F238E27FC236}">
              <a16:creationId xmlns:a16="http://schemas.microsoft.com/office/drawing/2014/main" id="{F9BB630F-22FB-4EDD-B780-A49310C92AF6}"/>
            </a:ext>
          </a:extLst>
        </xdr:cNvPr>
        <xdr:cNvSpPr>
          <a:spLocks noChangeShapeType="1"/>
        </xdr:cNvSpPr>
      </xdr:nvSpPr>
      <xdr:spPr bwMode="auto">
        <a:xfrm flipV="1">
          <a:off x="1581150" y="3232150"/>
          <a:ext cx="0" cy="2819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220" name="Line 105">
          <a:extLst>
            <a:ext uri="{FF2B5EF4-FFF2-40B4-BE49-F238E27FC236}">
              <a16:creationId xmlns:a16="http://schemas.microsoft.com/office/drawing/2014/main" id="{0604F0F0-582F-432C-ACB1-F6B442414D53}"/>
            </a:ext>
          </a:extLst>
        </xdr:cNvPr>
        <xdr:cNvSpPr>
          <a:spLocks noChangeShapeType="1"/>
        </xdr:cNvSpPr>
      </xdr:nvSpPr>
      <xdr:spPr bwMode="auto">
        <a:xfrm>
          <a:off x="1581150" y="32321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221" name="Line 106">
          <a:extLst>
            <a:ext uri="{FF2B5EF4-FFF2-40B4-BE49-F238E27FC236}">
              <a16:creationId xmlns:a16="http://schemas.microsoft.com/office/drawing/2014/main" id="{407EBEA2-2BD6-48AF-AF3F-C221BC4E054E}"/>
            </a:ext>
          </a:extLst>
        </xdr:cNvPr>
        <xdr:cNvSpPr>
          <a:spLocks noChangeShapeType="1"/>
        </xdr:cNvSpPr>
      </xdr:nvSpPr>
      <xdr:spPr bwMode="auto">
        <a:xfrm>
          <a:off x="3213100" y="99187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222" name="Line 107">
          <a:extLst>
            <a:ext uri="{FF2B5EF4-FFF2-40B4-BE49-F238E27FC236}">
              <a16:creationId xmlns:a16="http://schemas.microsoft.com/office/drawing/2014/main" id="{039A5E0C-45EC-4094-89A0-AB5A95F222F3}"/>
            </a:ext>
          </a:extLst>
        </xdr:cNvPr>
        <xdr:cNvSpPr>
          <a:spLocks noChangeShapeType="1"/>
        </xdr:cNvSpPr>
      </xdr:nvSpPr>
      <xdr:spPr bwMode="auto">
        <a:xfrm>
          <a:off x="3213100" y="9753600"/>
          <a:ext cx="1466850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23" name="Line 108">
          <a:extLst>
            <a:ext uri="{FF2B5EF4-FFF2-40B4-BE49-F238E27FC236}">
              <a16:creationId xmlns:a16="http://schemas.microsoft.com/office/drawing/2014/main" id="{9926CC11-3262-4260-A167-56C6D77D0C32}"/>
            </a:ext>
          </a:extLst>
        </xdr:cNvPr>
        <xdr:cNvSpPr>
          <a:spLocks noChangeShapeType="1"/>
        </xdr:cNvSpPr>
      </xdr:nvSpPr>
      <xdr:spPr bwMode="auto">
        <a:xfrm>
          <a:off x="2584450" y="87376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224" name="Line 109">
          <a:extLst>
            <a:ext uri="{FF2B5EF4-FFF2-40B4-BE49-F238E27FC236}">
              <a16:creationId xmlns:a16="http://schemas.microsoft.com/office/drawing/2014/main" id="{3B63C70D-1840-4D53-AA56-9EAF47BBCE87}"/>
            </a:ext>
          </a:extLst>
        </xdr:cNvPr>
        <xdr:cNvSpPr>
          <a:spLocks noChangeShapeType="1"/>
        </xdr:cNvSpPr>
      </xdr:nvSpPr>
      <xdr:spPr bwMode="auto">
        <a:xfrm flipH="1" flipV="1">
          <a:off x="1581150" y="115760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225" name="Line 110">
          <a:extLst>
            <a:ext uri="{FF2B5EF4-FFF2-40B4-BE49-F238E27FC236}">
              <a16:creationId xmlns:a16="http://schemas.microsoft.com/office/drawing/2014/main" id="{8A243877-BDCE-4AF3-BA9B-9612C850EF00}"/>
            </a:ext>
          </a:extLst>
        </xdr:cNvPr>
        <xdr:cNvSpPr>
          <a:spLocks noChangeShapeType="1"/>
        </xdr:cNvSpPr>
      </xdr:nvSpPr>
      <xdr:spPr bwMode="auto">
        <a:xfrm flipV="1">
          <a:off x="1581150" y="873760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26" name="Line 111">
          <a:extLst>
            <a:ext uri="{FF2B5EF4-FFF2-40B4-BE49-F238E27FC236}">
              <a16:creationId xmlns:a16="http://schemas.microsoft.com/office/drawing/2014/main" id="{4087EE7D-4DCC-40E8-BD43-E549E84E2BD7}"/>
            </a:ext>
          </a:extLst>
        </xdr:cNvPr>
        <xdr:cNvSpPr>
          <a:spLocks noChangeShapeType="1"/>
        </xdr:cNvSpPr>
      </xdr:nvSpPr>
      <xdr:spPr bwMode="auto">
        <a:xfrm>
          <a:off x="1581150" y="873760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227" name="Line 112">
          <a:extLst>
            <a:ext uri="{FF2B5EF4-FFF2-40B4-BE49-F238E27FC236}">
              <a16:creationId xmlns:a16="http://schemas.microsoft.com/office/drawing/2014/main" id="{CECD3609-A0C1-4423-9B6A-D90BAD7BABE5}"/>
            </a:ext>
          </a:extLst>
        </xdr:cNvPr>
        <xdr:cNvSpPr>
          <a:spLocks noChangeShapeType="1"/>
        </xdr:cNvSpPr>
      </xdr:nvSpPr>
      <xdr:spPr bwMode="auto">
        <a:xfrm>
          <a:off x="5283200" y="289560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228" name="Line 113">
          <a:extLst>
            <a:ext uri="{FF2B5EF4-FFF2-40B4-BE49-F238E27FC236}">
              <a16:creationId xmlns:a16="http://schemas.microsoft.com/office/drawing/2014/main" id="{9452587D-1CD9-41EB-9A5B-D5A51BA18725}"/>
            </a:ext>
          </a:extLst>
        </xdr:cNvPr>
        <xdr:cNvSpPr>
          <a:spLocks noChangeShapeType="1"/>
        </xdr:cNvSpPr>
      </xdr:nvSpPr>
      <xdr:spPr bwMode="auto">
        <a:xfrm>
          <a:off x="5283200" y="3232150"/>
          <a:ext cx="66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229" name="Line 114">
          <a:extLst>
            <a:ext uri="{FF2B5EF4-FFF2-40B4-BE49-F238E27FC236}">
              <a16:creationId xmlns:a16="http://schemas.microsoft.com/office/drawing/2014/main" id="{90F84317-2669-4A35-BB8C-E3C9670F9019}"/>
            </a:ext>
          </a:extLst>
        </xdr:cNvPr>
        <xdr:cNvSpPr>
          <a:spLocks noChangeShapeType="1"/>
        </xdr:cNvSpPr>
      </xdr:nvSpPr>
      <xdr:spPr bwMode="auto">
        <a:xfrm flipV="1">
          <a:off x="10191750" y="6902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3164" name="Line 1">
          <a:extLst>
            <a:ext uri="{FF2B5EF4-FFF2-40B4-BE49-F238E27FC236}">
              <a16:creationId xmlns:a16="http://schemas.microsoft.com/office/drawing/2014/main" id="{78490E4E-6C9F-4575-A306-96CF5F84474F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3165" name="Line 2">
          <a:extLst>
            <a:ext uri="{FF2B5EF4-FFF2-40B4-BE49-F238E27FC236}">
              <a16:creationId xmlns:a16="http://schemas.microsoft.com/office/drawing/2014/main" id="{86FBFD0D-2E53-4BA3-8C96-2552C1E06DA1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3166" name="Line 3">
          <a:extLst>
            <a:ext uri="{FF2B5EF4-FFF2-40B4-BE49-F238E27FC236}">
              <a16:creationId xmlns:a16="http://schemas.microsoft.com/office/drawing/2014/main" id="{55858808-1AD6-4540-8532-091EE5420D6B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3167" name="Line 4">
          <a:extLst>
            <a:ext uri="{FF2B5EF4-FFF2-40B4-BE49-F238E27FC236}">
              <a16:creationId xmlns:a16="http://schemas.microsoft.com/office/drawing/2014/main" id="{3826C7A3-9573-43F7-8EB7-04884D7A207D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3168" name="Line 5">
          <a:extLst>
            <a:ext uri="{FF2B5EF4-FFF2-40B4-BE49-F238E27FC236}">
              <a16:creationId xmlns:a16="http://schemas.microsoft.com/office/drawing/2014/main" id="{60BAA13C-C2D1-4AEC-9343-E570DBA8A2C5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3169" name="Line 6">
          <a:extLst>
            <a:ext uri="{FF2B5EF4-FFF2-40B4-BE49-F238E27FC236}">
              <a16:creationId xmlns:a16="http://schemas.microsoft.com/office/drawing/2014/main" id="{11E32722-0EAE-4A90-B635-9B17EAEFD7AD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3170" name="Line 7">
          <a:extLst>
            <a:ext uri="{FF2B5EF4-FFF2-40B4-BE49-F238E27FC236}">
              <a16:creationId xmlns:a16="http://schemas.microsoft.com/office/drawing/2014/main" id="{39A8EF61-20CE-451A-9B09-810F90322636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71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3171" name="Line 8">
          <a:extLst>
            <a:ext uri="{FF2B5EF4-FFF2-40B4-BE49-F238E27FC236}">
              <a16:creationId xmlns:a16="http://schemas.microsoft.com/office/drawing/2014/main" id="{666CC236-1065-4047-B8B2-30AF6DDB1D94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3172" name="Line 9">
          <a:extLst>
            <a:ext uri="{FF2B5EF4-FFF2-40B4-BE49-F238E27FC236}">
              <a16:creationId xmlns:a16="http://schemas.microsoft.com/office/drawing/2014/main" id="{A4ECE35D-CBB9-4B15-9568-9D4E22F3298B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3173" name="Line 10">
          <a:extLst>
            <a:ext uri="{FF2B5EF4-FFF2-40B4-BE49-F238E27FC236}">
              <a16:creationId xmlns:a16="http://schemas.microsoft.com/office/drawing/2014/main" id="{7B565D22-1913-4CFB-A70C-3735E262C61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3174" name="Line 11">
          <a:extLst>
            <a:ext uri="{FF2B5EF4-FFF2-40B4-BE49-F238E27FC236}">
              <a16:creationId xmlns:a16="http://schemas.microsoft.com/office/drawing/2014/main" id="{5706688C-31AA-4EB8-A1A2-C851DDDB7BEC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3175" name="Line 12">
          <a:extLst>
            <a:ext uri="{FF2B5EF4-FFF2-40B4-BE49-F238E27FC236}">
              <a16:creationId xmlns:a16="http://schemas.microsoft.com/office/drawing/2014/main" id="{9B9216AF-E16B-45FB-90FF-995B741B6EE3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3176" name="Line 13">
          <a:extLst>
            <a:ext uri="{FF2B5EF4-FFF2-40B4-BE49-F238E27FC236}">
              <a16:creationId xmlns:a16="http://schemas.microsoft.com/office/drawing/2014/main" id="{EFD64B0C-8F51-45ED-B468-77CD2ADD9F65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19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3177" name="Line 14">
          <a:extLst>
            <a:ext uri="{FF2B5EF4-FFF2-40B4-BE49-F238E27FC236}">
              <a16:creationId xmlns:a16="http://schemas.microsoft.com/office/drawing/2014/main" id="{44F11B21-0415-41B2-B53D-B4D05461A817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52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3178" name="Line 15">
          <a:extLst>
            <a:ext uri="{FF2B5EF4-FFF2-40B4-BE49-F238E27FC236}">
              <a16:creationId xmlns:a16="http://schemas.microsoft.com/office/drawing/2014/main" id="{1FBC0435-5782-4EC5-ACD8-30AAA9494F81}"/>
            </a:ext>
          </a:extLst>
        </xdr:cNvPr>
        <xdr:cNvSpPr>
          <a:spLocks noChangeShapeType="1"/>
        </xdr:cNvSpPr>
      </xdr:nvSpPr>
      <xdr:spPr bwMode="auto">
        <a:xfrm>
          <a:off x="10420350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3179" name="Line 16">
          <a:extLst>
            <a:ext uri="{FF2B5EF4-FFF2-40B4-BE49-F238E27FC236}">
              <a16:creationId xmlns:a16="http://schemas.microsoft.com/office/drawing/2014/main" id="{B98B39CC-2FEF-4987-BB4B-5FE88D1F5AB9}"/>
            </a:ext>
          </a:extLst>
        </xdr:cNvPr>
        <xdr:cNvSpPr>
          <a:spLocks noChangeShapeType="1"/>
        </xdr:cNvSpPr>
      </xdr:nvSpPr>
      <xdr:spPr bwMode="auto">
        <a:xfrm>
          <a:off x="10420350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3180" name="Line 17">
          <a:extLst>
            <a:ext uri="{FF2B5EF4-FFF2-40B4-BE49-F238E27FC236}">
              <a16:creationId xmlns:a16="http://schemas.microsoft.com/office/drawing/2014/main" id="{94D93B31-E639-483E-9CF7-B9BAAA9CAFC5}"/>
            </a:ext>
          </a:extLst>
        </xdr:cNvPr>
        <xdr:cNvSpPr>
          <a:spLocks noChangeShapeType="1"/>
        </xdr:cNvSpPr>
      </xdr:nvSpPr>
      <xdr:spPr bwMode="auto">
        <a:xfrm>
          <a:off x="9658350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3181" name="Line 18">
          <a:extLst>
            <a:ext uri="{FF2B5EF4-FFF2-40B4-BE49-F238E27FC236}">
              <a16:creationId xmlns:a16="http://schemas.microsoft.com/office/drawing/2014/main" id="{A7395A0D-CF14-4C46-801A-D643DF8C2D65}"/>
            </a:ext>
          </a:extLst>
        </xdr:cNvPr>
        <xdr:cNvSpPr>
          <a:spLocks noChangeShapeType="1"/>
        </xdr:cNvSpPr>
      </xdr:nvSpPr>
      <xdr:spPr bwMode="auto">
        <a:xfrm>
          <a:off x="10420350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3182" name="Line 19">
          <a:extLst>
            <a:ext uri="{FF2B5EF4-FFF2-40B4-BE49-F238E27FC236}">
              <a16:creationId xmlns:a16="http://schemas.microsoft.com/office/drawing/2014/main" id="{60904F48-92BC-4571-AEA4-0115530273A4}"/>
            </a:ext>
          </a:extLst>
        </xdr:cNvPr>
        <xdr:cNvSpPr>
          <a:spLocks noChangeShapeType="1"/>
        </xdr:cNvSpPr>
      </xdr:nvSpPr>
      <xdr:spPr bwMode="auto">
        <a:xfrm>
          <a:off x="10420350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3183" name="Line 20">
          <a:extLst>
            <a:ext uri="{FF2B5EF4-FFF2-40B4-BE49-F238E27FC236}">
              <a16:creationId xmlns:a16="http://schemas.microsoft.com/office/drawing/2014/main" id="{3A3DCC39-9CA6-4236-B37A-530F1031EA71}"/>
            </a:ext>
          </a:extLst>
        </xdr:cNvPr>
        <xdr:cNvSpPr>
          <a:spLocks noChangeShapeType="1"/>
        </xdr:cNvSpPr>
      </xdr:nvSpPr>
      <xdr:spPr bwMode="auto">
        <a:xfrm>
          <a:off x="9658350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3184" name="Line 21">
          <a:extLst>
            <a:ext uri="{FF2B5EF4-FFF2-40B4-BE49-F238E27FC236}">
              <a16:creationId xmlns:a16="http://schemas.microsoft.com/office/drawing/2014/main" id="{5246D905-40F9-41E0-8E5D-D44061A236C3}"/>
            </a:ext>
          </a:extLst>
        </xdr:cNvPr>
        <xdr:cNvSpPr>
          <a:spLocks noChangeShapeType="1"/>
        </xdr:cNvSpPr>
      </xdr:nvSpPr>
      <xdr:spPr bwMode="auto">
        <a:xfrm>
          <a:off x="10420350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3185" name="Line 22">
          <a:extLst>
            <a:ext uri="{FF2B5EF4-FFF2-40B4-BE49-F238E27FC236}">
              <a16:creationId xmlns:a16="http://schemas.microsoft.com/office/drawing/2014/main" id="{432D6EB7-4B40-49A0-93EE-17B390765A1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3186" name="Line 23">
          <a:extLst>
            <a:ext uri="{FF2B5EF4-FFF2-40B4-BE49-F238E27FC236}">
              <a16:creationId xmlns:a16="http://schemas.microsoft.com/office/drawing/2014/main" id="{2A34F5C9-4471-4099-ABAD-F8B7089563F6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3187" name="Line 24">
          <a:extLst>
            <a:ext uri="{FF2B5EF4-FFF2-40B4-BE49-F238E27FC236}">
              <a16:creationId xmlns:a16="http://schemas.microsoft.com/office/drawing/2014/main" id="{7B734A9C-D4F1-43E2-9CA6-E10E79134986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3188" name="Line 25">
          <a:extLst>
            <a:ext uri="{FF2B5EF4-FFF2-40B4-BE49-F238E27FC236}">
              <a16:creationId xmlns:a16="http://schemas.microsoft.com/office/drawing/2014/main" id="{5C04F2FB-D7C1-4B3C-BE63-443384341F5E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3189" name="Line 26">
          <a:extLst>
            <a:ext uri="{FF2B5EF4-FFF2-40B4-BE49-F238E27FC236}">
              <a16:creationId xmlns:a16="http://schemas.microsoft.com/office/drawing/2014/main" id="{668CDE85-EC6C-4A14-BED8-E67ACE523BB0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3190" name="Line 27">
          <a:extLst>
            <a:ext uri="{FF2B5EF4-FFF2-40B4-BE49-F238E27FC236}">
              <a16:creationId xmlns:a16="http://schemas.microsoft.com/office/drawing/2014/main" id="{9211B8A2-BC74-402A-858D-42D2C665422E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3191" name="Line 28">
          <a:extLst>
            <a:ext uri="{FF2B5EF4-FFF2-40B4-BE49-F238E27FC236}">
              <a16:creationId xmlns:a16="http://schemas.microsoft.com/office/drawing/2014/main" id="{7FA0CFEB-013D-42D7-A47A-C4A31A78E82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3192" name="Line 29">
          <a:extLst>
            <a:ext uri="{FF2B5EF4-FFF2-40B4-BE49-F238E27FC236}">
              <a16:creationId xmlns:a16="http://schemas.microsoft.com/office/drawing/2014/main" id="{792553D0-6418-409D-8C6D-2D81FE7580D6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3193" name="Line 30">
          <a:extLst>
            <a:ext uri="{FF2B5EF4-FFF2-40B4-BE49-F238E27FC236}">
              <a16:creationId xmlns:a16="http://schemas.microsoft.com/office/drawing/2014/main" id="{B5C0E8AA-B8DA-40A4-8763-0B41A7A5A117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3194" name="Line 31">
          <a:extLst>
            <a:ext uri="{FF2B5EF4-FFF2-40B4-BE49-F238E27FC236}">
              <a16:creationId xmlns:a16="http://schemas.microsoft.com/office/drawing/2014/main" id="{9673A4B6-27E7-4B5A-9B61-AF11BE9434B9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52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3195" name="Line 32">
          <a:extLst>
            <a:ext uri="{FF2B5EF4-FFF2-40B4-BE49-F238E27FC236}">
              <a16:creationId xmlns:a16="http://schemas.microsoft.com/office/drawing/2014/main" id="{7319637E-EEFA-4F30-A1F5-6E20C1B98C2F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3196" name="Line 33">
          <a:extLst>
            <a:ext uri="{FF2B5EF4-FFF2-40B4-BE49-F238E27FC236}">
              <a16:creationId xmlns:a16="http://schemas.microsoft.com/office/drawing/2014/main" id="{942369CC-44E6-4E7D-B3FA-A2F9C3DD3BF7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3197" name="Line 34">
          <a:extLst>
            <a:ext uri="{FF2B5EF4-FFF2-40B4-BE49-F238E27FC236}">
              <a16:creationId xmlns:a16="http://schemas.microsoft.com/office/drawing/2014/main" id="{EFA7B10C-74E8-4364-8C29-02228BB0FC5B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19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3198" name="Line 35">
          <a:extLst>
            <a:ext uri="{FF2B5EF4-FFF2-40B4-BE49-F238E27FC236}">
              <a16:creationId xmlns:a16="http://schemas.microsoft.com/office/drawing/2014/main" id="{105D2924-97AB-49E8-9209-F3468ABC2555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52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3199" name="Line 36">
          <a:extLst>
            <a:ext uri="{FF2B5EF4-FFF2-40B4-BE49-F238E27FC236}">
              <a16:creationId xmlns:a16="http://schemas.microsoft.com/office/drawing/2014/main" id="{D8B254C8-7562-454E-B1EF-A638D64B8CDB}"/>
            </a:ext>
          </a:extLst>
        </xdr:cNvPr>
        <xdr:cNvSpPr>
          <a:spLocks noChangeShapeType="1"/>
        </xdr:cNvSpPr>
      </xdr:nvSpPr>
      <xdr:spPr bwMode="auto">
        <a:xfrm flipV="1">
          <a:off x="10420350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3200" name="Line 37">
          <a:extLst>
            <a:ext uri="{FF2B5EF4-FFF2-40B4-BE49-F238E27FC236}">
              <a16:creationId xmlns:a16="http://schemas.microsoft.com/office/drawing/2014/main" id="{81D77117-404F-42EB-BCA4-D84B03D5DA7C}"/>
            </a:ext>
          </a:extLst>
        </xdr:cNvPr>
        <xdr:cNvSpPr>
          <a:spLocks noChangeShapeType="1"/>
        </xdr:cNvSpPr>
      </xdr:nvSpPr>
      <xdr:spPr bwMode="auto">
        <a:xfrm>
          <a:off x="9658350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3201" name="Line 38">
          <a:extLst>
            <a:ext uri="{FF2B5EF4-FFF2-40B4-BE49-F238E27FC236}">
              <a16:creationId xmlns:a16="http://schemas.microsoft.com/office/drawing/2014/main" id="{7FFCBE5F-911D-4C18-996E-BBC372BC2CE6}"/>
            </a:ext>
          </a:extLst>
        </xdr:cNvPr>
        <xdr:cNvSpPr>
          <a:spLocks noChangeShapeType="1"/>
        </xdr:cNvSpPr>
      </xdr:nvSpPr>
      <xdr:spPr bwMode="auto">
        <a:xfrm>
          <a:off x="11849100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3202" name="Line 39">
          <a:extLst>
            <a:ext uri="{FF2B5EF4-FFF2-40B4-BE49-F238E27FC236}">
              <a16:creationId xmlns:a16="http://schemas.microsoft.com/office/drawing/2014/main" id="{4281E1E0-7AFF-4D38-8AF6-3DABBDC752F2}"/>
            </a:ext>
          </a:extLst>
        </xdr:cNvPr>
        <xdr:cNvSpPr>
          <a:spLocks noChangeShapeType="1"/>
        </xdr:cNvSpPr>
      </xdr:nvSpPr>
      <xdr:spPr bwMode="auto">
        <a:xfrm>
          <a:off x="11849100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3203" name="Line 40">
          <a:extLst>
            <a:ext uri="{FF2B5EF4-FFF2-40B4-BE49-F238E27FC236}">
              <a16:creationId xmlns:a16="http://schemas.microsoft.com/office/drawing/2014/main" id="{ED6EF8E7-606A-4373-B466-D19E38C4CF26}"/>
            </a:ext>
          </a:extLst>
        </xdr:cNvPr>
        <xdr:cNvSpPr>
          <a:spLocks noChangeShapeType="1"/>
        </xdr:cNvSpPr>
      </xdr:nvSpPr>
      <xdr:spPr bwMode="auto">
        <a:xfrm>
          <a:off x="11849100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3204" name="Line 41">
          <a:extLst>
            <a:ext uri="{FF2B5EF4-FFF2-40B4-BE49-F238E27FC236}">
              <a16:creationId xmlns:a16="http://schemas.microsoft.com/office/drawing/2014/main" id="{710E6A32-A5DF-4652-9027-3937450D753D}"/>
            </a:ext>
          </a:extLst>
        </xdr:cNvPr>
        <xdr:cNvSpPr>
          <a:spLocks noChangeShapeType="1"/>
        </xdr:cNvSpPr>
      </xdr:nvSpPr>
      <xdr:spPr bwMode="auto">
        <a:xfrm>
          <a:off x="11087100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3205" name="Line 42">
          <a:extLst>
            <a:ext uri="{FF2B5EF4-FFF2-40B4-BE49-F238E27FC236}">
              <a16:creationId xmlns:a16="http://schemas.microsoft.com/office/drawing/2014/main" id="{91227E96-599F-42E9-825A-44CADF6BDFA4}"/>
            </a:ext>
          </a:extLst>
        </xdr:cNvPr>
        <xdr:cNvSpPr>
          <a:spLocks noChangeShapeType="1"/>
        </xdr:cNvSpPr>
      </xdr:nvSpPr>
      <xdr:spPr bwMode="auto">
        <a:xfrm>
          <a:off x="1441132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3206" name="Line 43">
          <a:extLst>
            <a:ext uri="{FF2B5EF4-FFF2-40B4-BE49-F238E27FC236}">
              <a16:creationId xmlns:a16="http://schemas.microsoft.com/office/drawing/2014/main" id="{1241040A-EBFE-4B22-8260-DA288F34B4BD}"/>
            </a:ext>
          </a:extLst>
        </xdr:cNvPr>
        <xdr:cNvSpPr>
          <a:spLocks noChangeShapeType="1"/>
        </xdr:cNvSpPr>
      </xdr:nvSpPr>
      <xdr:spPr bwMode="auto">
        <a:xfrm>
          <a:off x="1441132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3207" name="Line 44">
          <a:extLst>
            <a:ext uri="{FF2B5EF4-FFF2-40B4-BE49-F238E27FC236}">
              <a16:creationId xmlns:a16="http://schemas.microsoft.com/office/drawing/2014/main" id="{8337E78A-0BFE-4440-93A7-49A8D8FF9D4F}"/>
            </a:ext>
          </a:extLst>
        </xdr:cNvPr>
        <xdr:cNvSpPr>
          <a:spLocks noChangeShapeType="1"/>
        </xdr:cNvSpPr>
      </xdr:nvSpPr>
      <xdr:spPr bwMode="auto">
        <a:xfrm>
          <a:off x="1399222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3208" name="Line 45">
          <a:extLst>
            <a:ext uri="{FF2B5EF4-FFF2-40B4-BE49-F238E27FC236}">
              <a16:creationId xmlns:a16="http://schemas.microsoft.com/office/drawing/2014/main" id="{3FC7A59A-1D07-46A3-831F-B064CF4491B0}"/>
            </a:ext>
          </a:extLst>
        </xdr:cNvPr>
        <xdr:cNvSpPr>
          <a:spLocks noChangeShapeType="1"/>
        </xdr:cNvSpPr>
      </xdr:nvSpPr>
      <xdr:spPr bwMode="auto">
        <a:xfrm>
          <a:off x="1441132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3209" name="Line 46">
          <a:extLst>
            <a:ext uri="{FF2B5EF4-FFF2-40B4-BE49-F238E27FC236}">
              <a16:creationId xmlns:a16="http://schemas.microsoft.com/office/drawing/2014/main" id="{5A665315-4200-428F-B5B1-B4DFF9937DD1}"/>
            </a:ext>
          </a:extLst>
        </xdr:cNvPr>
        <xdr:cNvSpPr>
          <a:spLocks noChangeShapeType="1"/>
        </xdr:cNvSpPr>
      </xdr:nvSpPr>
      <xdr:spPr bwMode="auto">
        <a:xfrm>
          <a:off x="1441132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3210" name="Line 47">
          <a:extLst>
            <a:ext uri="{FF2B5EF4-FFF2-40B4-BE49-F238E27FC236}">
              <a16:creationId xmlns:a16="http://schemas.microsoft.com/office/drawing/2014/main" id="{5FA8F49B-4E29-469D-8CEE-7C2C7D8AB54F}"/>
            </a:ext>
          </a:extLst>
        </xdr:cNvPr>
        <xdr:cNvSpPr>
          <a:spLocks noChangeShapeType="1"/>
        </xdr:cNvSpPr>
      </xdr:nvSpPr>
      <xdr:spPr bwMode="auto">
        <a:xfrm>
          <a:off x="1399222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3211" name="Line 48">
          <a:extLst>
            <a:ext uri="{FF2B5EF4-FFF2-40B4-BE49-F238E27FC236}">
              <a16:creationId xmlns:a16="http://schemas.microsoft.com/office/drawing/2014/main" id="{BAB6E29B-03FC-49F1-B22A-2A26B5CD5ED7}"/>
            </a:ext>
          </a:extLst>
        </xdr:cNvPr>
        <xdr:cNvSpPr>
          <a:spLocks noChangeShapeType="1"/>
        </xdr:cNvSpPr>
      </xdr:nvSpPr>
      <xdr:spPr bwMode="auto">
        <a:xfrm>
          <a:off x="1441132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3212" name="Line 49">
          <a:extLst>
            <a:ext uri="{FF2B5EF4-FFF2-40B4-BE49-F238E27FC236}">
              <a16:creationId xmlns:a16="http://schemas.microsoft.com/office/drawing/2014/main" id="{0B6C445A-B8A7-47A9-A342-D40F2CCEDD98}"/>
            </a:ext>
          </a:extLst>
        </xdr:cNvPr>
        <xdr:cNvSpPr>
          <a:spLocks noChangeShapeType="1"/>
        </xdr:cNvSpPr>
      </xdr:nvSpPr>
      <xdr:spPr bwMode="auto">
        <a:xfrm>
          <a:off x="1399222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3213" name="Line 50">
          <a:extLst>
            <a:ext uri="{FF2B5EF4-FFF2-40B4-BE49-F238E27FC236}">
              <a16:creationId xmlns:a16="http://schemas.microsoft.com/office/drawing/2014/main" id="{7224DD40-9008-4951-BD1E-8197DF0191B9}"/>
            </a:ext>
          </a:extLst>
        </xdr:cNvPr>
        <xdr:cNvSpPr>
          <a:spLocks noChangeShapeType="1"/>
        </xdr:cNvSpPr>
      </xdr:nvSpPr>
      <xdr:spPr bwMode="auto">
        <a:xfrm flipV="1">
          <a:off x="1441132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3214" name="Line 51">
          <a:extLst>
            <a:ext uri="{FF2B5EF4-FFF2-40B4-BE49-F238E27FC236}">
              <a16:creationId xmlns:a16="http://schemas.microsoft.com/office/drawing/2014/main" id="{69781CE9-EC95-4CCA-BBE0-EA3D66807B62}"/>
            </a:ext>
          </a:extLst>
        </xdr:cNvPr>
        <xdr:cNvSpPr>
          <a:spLocks noChangeShapeType="1"/>
        </xdr:cNvSpPr>
      </xdr:nvSpPr>
      <xdr:spPr bwMode="auto">
        <a:xfrm flipV="1">
          <a:off x="1399222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3215" name="Line 52">
          <a:extLst>
            <a:ext uri="{FF2B5EF4-FFF2-40B4-BE49-F238E27FC236}">
              <a16:creationId xmlns:a16="http://schemas.microsoft.com/office/drawing/2014/main" id="{1CFD2E25-6C26-4D88-8A86-65B5E7C17B65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3216" name="Line 53">
          <a:extLst>
            <a:ext uri="{FF2B5EF4-FFF2-40B4-BE49-F238E27FC236}">
              <a16:creationId xmlns:a16="http://schemas.microsoft.com/office/drawing/2014/main" id="{F6D033B7-7D59-4A6A-88E5-9F317C554C50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3217" name="Line 54">
          <a:extLst>
            <a:ext uri="{FF2B5EF4-FFF2-40B4-BE49-F238E27FC236}">
              <a16:creationId xmlns:a16="http://schemas.microsoft.com/office/drawing/2014/main" id="{7EB6E212-E967-43F5-AD80-75B213356110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3218" name="Line 55">
          <a:extLst>
            <a:ext uri="{FF2B5EF4-FFF2-40B4-BE49-F238E27FC236}">
              <a16:creationId xmlns:a16="http://schemas.microsoft.com/office/drawing/2014/main" id="{17114AA0-2B9F-45E2-956A-C60D927805CC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3219" name="Line 56">
          <a:extLst>
            <a:ext uri="{FF2B5EF4-FFF2-40B4-BE49-F238E27FC236}">
              <a16:creationId xmlns:a16="http://schemas.microsoft.com/office/drawing/2014/main" id="{A97587B8-BF61-4205-8FEA-B4A730CB1746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3220" name="Line 57">
          <a:extLst>
            <a:ext uri="{FF2B5EF4-FFF2-40B4-BE49-F238E27FC236}">
              <a16:creationId xmlns:a16="http://schemas.microsoft.com/office/drawing/2014/main" id="{486C1E8D-9382-48E8-B8FA-16030789686E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3221" name="Line 58">
          <a:extLst>
            <a:ext uri="{FF2B5EF4-FFF2-40B4-BE49-F238E27FC236}">
              <a16:creationId xmlns:a16="http://schemas.microsoft.com/office/drawing/2014/main" id="{1DE253A2-EA88-49C0-97FF-834D621F30C3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3222" name="Line 59">
          <a:extLst>
            <a:ext uri="{FF2B5EF4-FFF2-40B4-BE49-F238E27FC236}">
              <a16:creationId xmlns:a16="http://schemas.microsoft.com/office/drawing/2014/main" id="{CE0B96F6-3F1C-406A-BA33-B01D1D9032E5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52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3223" name="Line 60">
          <a:extLst>
            <a:ext uri="{FF2B5EF4-FFF2-40B4-BE49-F238E27FC236}">
              <a16:creationId xmlns:a16="http://schemas.microsoft.com/office/drawing/2014/main" id="{ABFAC152-EEAB-4B15-984C-0468B1C2FAD7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3224" name="Line 61">
          <a:extLst>
            <a:ext uri="{FF2B5EF4-FFF2-40B4-BE49-F238E27FC236}">
              <a16:creationId xmlns:a16="http://schemas.microsoft.com/office/drawing/2014/main" id="{564BA92B-E9E5-491B-AC09-5EEEC31604DA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3225" name="Line 62">
          <a:extLst>
            <a:ext uri="{FF2B5EF4-FFF2-40B4-BE49-F238E27FC236}">
              <a16:creationId xmlns:a16="http://schemas.microsoft.com/office/drawing/2014/main" id="{760B3BE6-2B7A-4A45-9F37-1CEF54E8BE22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3226" name="Line 63">
          <a:extLst>
            <a:ext uri="{FF2B5EF4-FFF2-40B4-BE49-F238E27FC236}">
              <a16:creationId xmlns:a16="http://schemas.microsoft.com/office/drawing/2014/main" id="{458C0CDD-03DC-4B85-8A0A-16FD89801048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3227" name="Line 64">
          <a:extLst>
            <a:ext uri="{FF2B5EF4-FFF2-40B4-BE49-F238E27FC236}">
              <a16:creationId xmlns:a16="http://schemas.microsoft.com/office/drawing/2014/main" id="{294FA830-7CB5-43C5-9259-2EC08A2200A3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3228" name="Line 65">
          <a:extLst>
            <a:ext uri="{FF2B5EF4-FFF2-40B4-BE49-F238E27FC236}">
              <a16:creationId xmlns:a16="http://schemas.microsoft.com/office/drawing/2014/main" id="{1D4F1325-1E54-45DB-A39A-9A7DB5FE287A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3229" name="Line 66">
          <a:extLst>
            <a:ext uri="{FF2B5EF4-FFF2-40B4-BE49-F238E27FC236}">
              <a16:creationId xmlns:a16="http://schemas.microsoft.com/office/drawing/2014/main" id="{A1B17A1E-FB97-40AD-AEAF-C1271E4E8714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3230" name="Line 67">
          <a:extLst>
            <a:ext uri="{FF2B5EF4-FFF2-40B4-BE49-F238E27FC236}">
              <a16:creationId xmlns:a16="http://schemas.microsoft.com/office/drawing/2014/main" id="{7C150E4A-9E73-4742-B590-DEBDDDC6D6DE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3231" name="Line 68">
          <a:extLst>
            <a:ext uri="{FF2B5EF4-FFF2-40B4-BE49-F238E27FC236}">
              <a16:creationId xmlns:a16="http://schemas.microsoft.com/office/drawing/2014/main" id="{DCF4BE59-6E31-43A1-82ED-E24271BEF5E7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52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3232" name="Line 69">
          <a:extLst>
            <a:ext uri="{FF2B5EF4-FFF2-40B4-BE49-F238E27FC236}">
              <a16:creationId xmlns:a16="http://schemas.microsoft.com/office/drawing/2014/main" id="{4AE31CE6-C368-4D3F-AFAA-01F6595C8C33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3233" name="Line 70">
          <a:extLst>
            <a:ext uri="{FF2B5EF4-FFF2-40B4-BE49-F238E27FC236}">
              <a16:creationId xmlns:a16="http://schemas.microsoft.com/office/drawing/2014/main" id="{36900D35-7987-4F62-8FC1-E7476A0B8566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3234" name="Line 71">
          <a:extLst>
            <a:ext uri="{FF2B5EF4-FFF2-40B4-BE49-F238E27FC236}">
              <a16:creationId xmlns:a16="http://schemas.microsoft.com/office/drawing/2014/main" id="{2E873704-8BD3-4E74-BB6F-C1C61408D777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3235" name="Line 72">
          <a:extLst>
            <a:ext uri="{FF2B5EF4-FFF2-40B4-BE49-F238E27FC236}">
              <a16:creationId xmlns:a16="http://schemas.microsoft.com/office/drawing/2014/main" id="{3B582502-EE15-470C-A3E9-A4C3394EEE77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3236" name="Line 73">
          <a:extLst>
            <a:ext uri="{FF2B5EF4-FFF2-40B4-BE49-F238E27FC236}">
              <a16:creationId xmlns:a16="http://schemas.microsoft.com/office/drawing/2014/main" id="{7626FC8E-AFF0-4CB2-BD31-8510F72FCCDB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3237" name="Line 74">
          <a:extLst>
            <a:ext uri="{FF2B5EF4-FFF2-40B4-BE49-F238E27FC236}">
              <a16:creationId xmlns:a16="http://schemas.microsoft.com/office/drawing/2014/main" id="{036A1EC8-E3AF-43E1-9F7C-955C6F2DEFBD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3238" name="Line 75">
          <a:extLst>
            <a:ext uri="{FF2B5EF4-FFF2-40B4-BE49-F238E27FC236}">
              <a16:creationId xmlns:a16="http://schemas.microsoft.com/office/drawing/2014/main" id="{670B7E42-EEE9-46CD-8C1D-DDA65A9BC199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3239" name="Line 76">
          <a:extLst>
            <a:ext uri="{FF2B5EF4-FFF2-40B4-BE49-F238E27FC236}">
              <a16:creationId xmlns:a16="http://schemas.microsoft.com/office/drawing/2014/main" id="{4ECBC7F9-D1B1-43EE-A495-677915E076AE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3240" name="Line 77">
          <a:extLst>
            <a:ext uri="{FF2B5EF4-FFF2-40B4-BE49-F238E27FC236}">
              <a16:creationId xmlns:a16="http://schemas.microsoft.com/office/drawing/2014/main" id="{0BFCBD15-AF4F-42E2-83FD-DAA0579B5C7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3241" name="Line 78">
          <a:extLst>
            <a:ext uri="{FF2B5EF4-FFF2-40B4-BE49-F238E27FC236}">
              <a16:creationId xmlns:a16="http://schemas.microsoft.com/office/drawing/2014/main" id="{F08C6E22-0512-44D6-A3C4-2440681CB41C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3242" name="Line 79">
          <a:extLst>
            <a:ext uri="{FF2B5EF4-FFF2-40B4-BE49-F238E27FC236}">
              <a16:creationId xmlns:a16="http://schemas.microsoft.com/office/drawing/2014/main" id="{9AEEC7C0-C3AF-41A8-BFAD-310CD1C24439}"/>
            </a:ext>
          </a:extLst>
        </xdr:cNvPr>
        <xdr:cNvSpPr>
          <a:spLocks noChangeShapeType="1"/>
        </xdr:cNvSpPr>
      </xdr:nvSpPr>
      <xdr:spPr bwMode="auto">
        <a:xfrm>
          <a:off x="104203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3243" name="Line 80">
          <a:extLst>
            <a:ext uri="{FF2B5EF4-FFF2-40B4-BE49-F238E27FC236}">
              <a16:creationId xmlns:a16="http://schemas.microsoft.com/office/drawing/2014/main" id="{29113D1C-0F3C-49C0-9828-AB631082D380}"/>
            </a:ext>
          </a:extLst>
        </xdr:cNvPr>
        <xdr:cNvSpPr>
          <a:spLocks noChangeShapeType="1"/>
        </xdr:cNvSpPr>
      </xdr:nvSpPr>
      <xdr:spPr bwMode="auto">
        <a:xfrm>
          <a:off x="10420350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3244" name="Line 81">
          <a:extLst>
            <a:ext uri="{FF2B5EF4-FFF2-40B4-BE49-F238E27FC236}">
              <a16:creationId xmlns:a16="http://schemas.microsoft.com/office/drawing/2014/main" id="{1FC545B5-3107-4DE8-98EE-9203F3E2B04A}"/>
            </a:ext>
          </a:extLst>
        </xdr:cNvPr>
        <xdr:cNvSpPr>
          <a:spLocks noChangeShapeType="1"/>
        </xdr:cNvSpPr>
      </xdr:nvSpPr>
      <xdr:spPr bwMode="auto">
        <a:xfrm>
          <a:off x="9658350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3245" name="Line 82">
          <a:extLst>
            <a:ext uri="{FF2B5EF4-FFF2-40B4-BE49-F238E27FC236}">
              <a16:creationId xmlns:a16="http://schemas.microsoft.com/office/drawing/2014/main" id="{2F044CB1-199C-4CCA-ACEC-3ECC12DF5A7F}"/>
            </a:ext>
          </a:extLst>
        </xdr:cNvPr>
        <xdr:cNvSpPr>
          <a:spLocks noChangeShapeType="1"/>
        </xdr:cNvSpPr>
      </xdr:nvSpPr>
      <xdr:spPr bwMode="auto">
        <a:xfrm>
          <a:off x="9658350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3246" name="Line 83">
          <a:extLst>
            <a:ext uri="{FF2B5EF4-FFF2-40B4-BE49-F238E27FC236}">
              <a16:creationId xmlns:a16="http://schemas.microsoft.com/office/drawing/2014/main" id="{253CC97C-7395-490E-AF89-A1148DAEF050}"/>
            </a:ext>
          </a:extLst>
        </xdr:cNvPr>
        <xdr:cNvSpPr>
          <a:spLocks noChangeShapeType="1"/>
        </xdr:cNvSpPr>
      </xdr:nvSpPr>
      <xdr:spPr bwMode="auto">
        <a:xfrm>
          <a:off x="1441132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3247" name="Line 84">
          <a:extLst>
            <a:ext uri="{FF2B5EF4-FFF2-40B4-BE49-F238E27FC236}">
              <a16:creationId xmlns:a16="http://schemas.microsoft.com/office/drawing/2014/main" id="{DB30FBDA-D7EE-404C-9130-B95AB1EDE51F}"/>
            </a:ext>
          </a:extLst>
        </xdr:cNvPr>
        <xdr:cNvSpPr>
          <a:spLocks noChangeShapeType="1"/>
        </xdr:cNvSpPr>
      </xdr:nvSpPr>
      <xdr:spPr bwMode="auto">
        <a:xfrm>
          <a:off x="144113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3248" name="Line 85">
          <a:extLst>
            <a:ext uri="{FF2B5EF4-FFF2-40B4-BE49-F238E27FC236}">
              <a16:creationId xmlns:a16="http://schemas.microsoft.com/office/drawing/2014/main" id="{AD8FCE1C-F3B4-439B-AAEC-008A253CA192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3249" name="Line 86">
          <a:extLst>
            <a:ext uri="{FF2B5EF4-FFF2-40B4-BE49-F238E27FC236}">
              <a16:creationId xmlns:a16="http://schemas.microsoft.com/office/drawing/2014/main" id="{438414CD-DFFC-47BB-B395-9AC807C49F0D}"/>
            </a:ext>
          </a:extLst>
        </xdr:cNvPr>
        <xdr:cNvSpPr>
          <a:spLocks noChangeShapeType="1"/>
        </xdr:cNvSpPr>
      </xdr:nvSpPr>
      <xdr:spPr bwMode="auto">
        <a:xfrm>
          <a:off x="9658350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3250" name="Line 87">
          <a:extLst>
            <a:ext uri="{FF2B5EF4-FFF2-40B4-BE49-F238E27FC236}">
              <a16:creationId xmlns:a16="http://schemas.microsoft.com/office/drawing/2014/main" id="{AE8844DE-60B7-4A92-9606-A720EEA787D5}"/>
            </a:ext>
          </a:extLst>
        </xdr:cNvPr>
        <xdr:cNvSpPr>
          <a:spLocks noChangeShapeType="1"/>
        </xdr:cNvSpPr>
      </xdr:nvSpPr>
      <xdr:spPr bwMode="auto">
        <a:xfrm flipV="1">
          <a:off x="9772650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3251" name="Line 88">
          <a:extLst>
            <a:ext uri="{FF2B5EF4-FFF2-40B4-BE49-F238E27FC236}">
              <a16:creationId xmlns:a16="http://schemas.microsoft.com/office/drawing/2014/main" id="{7A6BF118-586B-4A38-A867-6C59F9872F1D}"/>
            </a:ext>
          </a:extLst>
        </xdr:cNvPr>
        <xdr:cNvSpPr>
          <a:spLocks noChangeShapeType="1"/>
        </xdr:cNvSpPr>
      </xdr:nvSpPr>
      <xdr:spPr bwMode="auto">
        <a:xfrm>
          <a:off x="9658350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3252" name="Line 89">
          <a:extLst>
            <a:ext uri="{FF2B5EF4-FFF2-40B4-BE49-F238E27FC236}">
              <a16:creationId xmlns:a16="http://schemas.microsoft.com/office/drawing/2014/main" id="{F90F273C-2219-470F-9A18-768EBA8FF3DB}"/>
            </a:ext>
          </a:extLst>
        </xdr:cNvPr>
        <xdr:cNvSpPr>
          <a:spLocks noChangeShapeType="1"/>
        </xdr:cNvSpPr>
      </xdr:nvSpPr>
      <xdr:spPr bwMode="auto">
        <a:xfrm>
          <a:off x="9658350" y="11287125"/>
          <a:ext cx="30575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3253" name="Line 90">
          <a:extLst>
            <a:ext uri="{FF2B5EF4-FFF2-40B4-BE49-F238E27FC236}">
              <a16:creationId xmlns:a16="http://schemas.microsoft.com/office/drawing/2014/main" id="{085E6D03-ADA8-4E22-B1ED-B9E3C0D6779D}"/>
            </a:ext>
          </a:extLst>
        </xdr:cNvPr>
        <xdr:cNvSpPr>
          <a:spLocks noChangeShapeType="1"/>
        </xdr:cNvSpPr>
      </xdr:nvSpPr>
      <xdr:spPr bwMode="auto">
        <a:xfrm>
          <a:off x="9772650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3254" name="Line 91">
          <a:extLst>
            <a:ext uri="{FF2B5EF4-FFF2-40B4-BE49-F238E27FC236}">
              <a16:creationId xmlns:a16="http://schemas.microsoft.com/office/drawing/2014/main" id="{9248DEAB-5DB0-4AAC-A17A-666122A8D375}"/>
            </a:ext>
          </a:extLst>
        </xdr:cNvPr>
        <xdr:cNvSpPr>
          <a:spLocks noChangeShapeType="1"/>
        </xdr:cNvSpPr>
      </xdr:nvSpPr>
      <xdr:spPr bwMode="auto">
        <a:xfrm flipV="1">
          <a:off x="9772650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3255" name="Line 92">
          <a:extLst>
            <a:ext uri="{FF2B5EF4-FFF2-40B4-BE49-F238E27FC236}">
              <a16:creationId xmlns:a16="http://schemas.microsoft.com/office/drawing/2014/main" id="{4D1D9549-714F-4479-8BB2-E99AA8575C62}"/>
            </a:ext>
          </a:extLst>
        </xdr:cNvPr>
        <xdr:cNvSpPr>
          <a:spLocks noChangeShapeType="1"/>
        </xdr:cNvSpPr>
      </xdr:nvSpPr>
      <xdr:spPr bwMode="auto">
        <a:xfrm flipV="1">
          <a:off x="9658350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3256" name="Line 93">
          <a:extLst>
            <a:ext uri="{FF2B5EF4-FFF2-40B4-BE49-F238E27FC236}">
              <a16:creationId xmlns:a16="http://schemas.microsoft.com/office/drawing/2014/main" id="{EEB5BF60-3462-432B-9149-ABF43655FC03}"/>
            </a:ext>
          </a:extLst>
        </xdr:cNvPr>
        <xdr:cNvSpPr>
          <a:spLocks noChangeShapeType="1"/>
        </xdr:cNvSpPr>
      </xdr:nvSpPr>
      <xdr:spPr bwMode="auto">
        <a:xfrm>
          <a:off x="9772650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3257" name="Line 94">
          <a:extLst>
            <a:ext uri="{FF2B5EF4-FFF2-40B4-BE49-F238E27FC236}">
              <a16:creationId xmlns:a16="http://schemas.microsoft.com/office/drawing/2014/main" id="{597953AA-4BE3-490A-8F37-2F8BE628874F}"/>
            </a:ext>
          </a:extLst>
        </xdr:cNvPr>
        <xdr:cNvSpPr>
          <a:spLocks noChangeShapeType="1"/>
        </xdr:cNvSpPr>
      </xdr:nvSpPr>
      <xdr:spPr bwMode="auto">
        <a:xfrm>
          <a:off x="1184910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3258" name="Line 95">
          <a:extLst>
            <a:ext uri="{FF2B5EF4-FFF2-40B4-BE49-F238E27FC236}">
              <a16:creationId xmlns:a16="http://schemas.microsoft.com/office/drawing/2014/main" id="{E2B1D463-E756-4FFD-90FE-741781535532}"/>
            </a:ext>
          </a:extLst>
        </xdr:cNvPr>
        <xdr:cNvSpPr>
          <a:spLocks noChangeShapeType="1"/>
        </xdr:cNvSpPr>
      </xdr:nvSpPr>
      <xdr:spPr bwMode="auto">
        <a:xfrm>
          <a:off x="1184910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3259" name="Line 96">
          <a:extLst>
            <a:ext uri="{FF2B5EF4-FFF2-40B4-BE49-F238E27FC236}">
              <a16:creationId xmlns:a16="http://schemas.microsoft.com/office/drawing/2014/main" id="{D2B7FF85-8708-4E30-B440-850FFB2172F8}"/>
            </a:ext>
          </a:extLst>
        </xdr:cNvPr>
        <xdr:cNvSpPr>
          <a:spLocks noChangeShapeType="1"/>
        </xdr:cNvSpPr>
      </xdr:nvSpPr>
      <xdr:spPr bwMode="auto">
        <a:xfrm>
          <a:off x="9658350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3260" name="Line 97">
          <a:extLst>
            <a:ext uri="{FF2B5EF4-FFF2-40B4-BE49-F238E27FC236}">
              <a16:creationId xmlns:a16="http://schemas.microsoft.com/office/drawing/2014/main" id="{CFD192BF-92B7-493C-B3E8-142C20152AA9}"/>
            </a:ext>
          </a:extLst>
        </xdr:cNvPr>
        <xdr:cNvSpPr>
          <a:spLocks noChangeShapeType="1"/>
        </xdr:cNvSpPr>
      </xdr:nvSpPr>
      <xdr:spPr bwMode="auto">
        <a:xfrm>
          <a:off x="1184910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3261" name="Line 98">
          <a:extLst>
            <a:ext uri="{FF2B5EF4-FFF2-40B4-BE49-F238E27FC236}">
              <a16:creationId xmlns:a16="http://schemas.microsoft.com/office/drawing/2014/main" id="{1658EEC0-C303-4F69-BF28-448DE7994944}"/>
            </a:ext>
          </a:extLst>
        </xdr:cNvPr>
        <xdr:cNvSpPr>
          <a:spLocks noChangeShapeType="1"/>
        </xdr:cNvSpPr>
      </xdr:nvSpPr>
      <xdr:spPr bwMode="auto">
        <a:xfrm flipV="1">
          <a:off x="9658350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3262" name="Line 99">
          <a:extLst>
            <a:ext uri="{FF2B5EF4-FFF2-40B4-BE49-F238E27FC236}">
              <a16:creationId xmlns:a16="http://schemas.microsoft.com/office/drawing/2014/main" id="{0EF2E377-3A2F-43E9-8631-93EA053665CF}"/>
            </a:ext>
          </a:extLst>
        </xdr:cNvPr>
        <xdr:cNvSpPr>
          <a:spLocks noChangeShapeType="1"/>
        </xdr:cNvSpPr>
      </xdr:nvSpPr>
      <xdr:spPr bwMode="auto">
        <a:xfrm>
          <a:off x="104203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3263" name="Line 100">
          <a:extLst>
            <a:ext uri="{FF2B5EF4-FFF2-40B4-BE49-F238E27FC236}">
              <a16:creationId xmlns:a16="http://schemas.microsoft.com/office/drawing/2014/main" id="{A7DFCFFC-A77C-4250-9C61-B460E231C76F}"/>
            </a:ext>
          </a:extLst>
        </xdr:cNvPr>
        <xdr:cNvSpPr>
          <a:spLocks noChangeShapeType="1"/>
        </xdr:cNvSpPr>
      </xdr:nvSpPr>
      <xdr:spPr bwMode="auto">
        <a:xfrm>
          <a:off x="144113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0</xdr:colOff>
      <xdr:row>75</xdr:row>
      <xdr:rowOff>0</xdr:rowOff>
    </xdr:to>
    <xdr:sp macro="" textlink="">
      <xdr:nvSpPr>
        <xdr:cNvPr id="537600" name="Line 101">
          <a:extLst>
            <a:ext uri="{FF2B5EF4-FFF2-40B4-BE49-F238E27FC236}">
              <a16:creationId xmlns:a16="http://schemas.microsoft.com/office/drawing/2014/main" id="{2FDCD597-9054-4005-B795-F653D01B5A07}"/>
            </a:ext>
          </a:extLst>
        </xdr:cNvPr>
        <xdr:cNvSpPr>
          <a:spLocks noChangeShapeType="1"/>
        </xdr:cNvSpPr>
      </xdr:nvSpPr>
      <xdr:spPr bwMode="auto">
        <a:xfrm>
          <a:off x="13992225" y="12639675"/>
          <a:ext cx="1371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7601" name="Line 102">
          <a:extLst>
            <a:ext uri="{FF2B5EF4-FFF2-40B4-BE49-F238E27FC236}">
              <a16:creationId xmlns:a16="http://schemas.microsoft.com/office/drawing/2014/main" id="{1721384C-1384-48A7-B7BB-AB649F24C498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7602" name="Line 103">
          <a:extLst>
            <a:ext uri="{FF2B5EF4-FFF2-40B4-BE49-F238E27FC236}">
              <a16:creationId xmlns:a16="http://schemas.microsoft.com/office/drawing/2014/main" id="{1EBED7E1-3A8B-4B25-98C3-C2FC004B3262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7603" name="Line 104">
          <a:extLst>
            <a:ext uri="{FF2B5EF4-FFF2-40B4-BE49-F238E27FC236}">
              <a16:creationId xmlns:a16="http://schemas.microsoft.com/office/drawing/2014/main" id="{F0642E29-D6E0-4B03-90DD-D4213FAF5AC1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7604" name="Line 105">
          <a:extLst>
            <a:ext uri="{FF2B5EF4-FFF2-40B4-BE49-F238E27FC236}">
              <a16:creationId xmlns:a16="http://schemas.microsoft.com/office/drawing/2014/main" id="{8B73B315-C1AE-49E8-95F5-C2935EAD2733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7605" name="Line 106">
          <a:extLst>
            <a:ext uri="{FF2B5EF4-FFF2-40B4-BE49-F238E27FC236}">
              <a16:creationId xmlns:a16="http://schemas.microsoft.com/office/drawing/2014/main" id="{8A0774FC-0868-450E-B30B-F12E80341726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7606" name="Line 107">
          <a:extLst>
            <a:ext uri="{FF2B5EF4-FFF2-40B4-BE49-F238E27FC236}">
              <a16:creationId xmlns:a16="http://schemas.microsoft.com/office/drawing/2014/main" id="{A30F361F-B7CA-4F70-BA4A-9ABC088F2511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7607" name="Line 108">
          <a:extLst>
            <a:ext uri="{FF2B5EF4-FFF2-40B4-BE49-F238E27FC236}">
              <a16:creationId xmlns:a16="http://schemas.microsoft.com/office/drawing/2014/main" id="{9E36F5FC-E868-4244-99F5-DB67C9AB0E80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7608" name="Line 109">
          <a:extLst>
            <a:ext uri="{FF2B5EF4-FFF2-40B4-BE49-F238E27FC236}">
              <a16:creationId xmlns:a16="http://schemas.microsoft.com/office/drawing/2014/main" id="{3DA56F35-4818-4C50-BA13-64688679B0C8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7609" name="Line 110">
          <a:extLst>
            <a:ext uri="{FF2B5EF4-FFF2-40B4-BE49-F238E27FC236}">
              <a16:creationId xmlns:a16="http://schemas.microsoft.com/office/drawing/2014/main" id="{C89285B3-1038-48E8-90AA-FAA2AAE6BE25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7610" name="Line 111">
          <a:extLst>
            <a:ext uri="{FF2B5EF4-FFF2-40B4-BE49-F238E27FC236}">
              <a16:creationId xmlns:a16="http://schemas.microsoft.com/office/drawing/2014/main" id="{37B29944-0070-4370-A70C-4E19CAAF1BC8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7611" name="Line 112">
          <a:extLst>
            <a:ext uri="{FF2B5EF4-FFF2-40B4-BE49-F238E27FC236}">
              <a16:creationId xmlns:a16="http://schemas.microsoft.com/office/drawing/2014/main" id="{866F5027-FCDB-4FCF-B583-1F242F974E6F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7612" name="Line 113">
          <a:extLst>
            <a:ext uri="{FF2B5EF4-FFF2-40B4-BE49-F238E27FC236}">
              <a16:creationId xmlns:a16="http://schemas.microsoft.com/office/drawing/2014/main" id="{3070F14E-3CDD-475A-AF45-429181FD150A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810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37613" name="Line 114">
          <a:extLst>
            <a:ext uri="{FF2B5EF4-FFF2-40B4-BE49-F238E27FC236}">
              <a16:creationId xmlns:a16="http://schemas.microsoft.com/office/drawing/2014/main" id="{94BF2BF2-B38B-4AA2-9C63-CC22630FF913}"/>
            </a:ext>
          </a:extLst>
        </xdr:cNvPr>
        <xdr:cNvSpPr>
          <a:spLocks noChangeShapeType="1"/>
        </xdr:cNvSpPr>
      </xdr:nvSpPr>
      <xdr:spPr bwMode="auto">
        <a:xfrm flipV="1">
          <a:off x="9658350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35CA6CB-0CC5-4CEF-8EB2-2CDD839DFBB1}"/>
            </a:ext>
          </a:extLst>
        </xdr:cNvPr>
        <xdr:cNvSpPr>
          <a:spLocks noChangeShapeType="1"/>
        </xdr:cNvSpPr>
      </xdr:nvSpPr>
      <xdr:spPr bwMode="auto">
        <a:xfrm flipV="1">
          <a:off x="800100" y="55626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7680DA1-0A61-41B9-947C-1ACFEA03C667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9E57378B-F8FF-42CB-BD45-093E6C8403B5}"/>
            </a:ext>
          </a:extLst>
        </xdr:cNvPr>
        <xdr:cNvSpPr>
          <a:spLocks noChangeShapeType="1"/>
        </xdr:cNvSpPr>
      </xdr:nvSpPr>
      <xdr:spPr bwMode="auto">
        <a:xfrm>
          <a:off x="2584450" y="4406900"/>
          <a:ext cx="0" cy="4826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F59BBE3-F9BB-4317-99F0-431D691E483E}"/>
            </a:ext>
          </a:extLst>
        </xdr:cNvPr>
        <xdr:cNvSpPr>
          <a:spLocks noChangeShapeType="1"/>
        </xdr:cNvSpPr>
      </xdr:nvSpPr>
      <xdr:spPr bwMode="auto">
        <a:xfrm>
          <a:off x="2584450" y="5572125"/>
          <a:ext cx="0" cy="47942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E224DA8-2E9A-4E3A-8082-3C700AF1E23E}"/>
            </a:ext>
          </a:extLst>
        </xdr:cNvPr>
        <xdr:cNvSpPr>
          <a:spLocks noChangeShapeType="1"/>
        </xdr:cNvSpPr>
      </xdr:nvSpPr>
      <xdr:spPr bwMode="auto">
        <a:xfrm flipV="1">
          <a:off x="1250950" y="655955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5B6B8674-F595-498C-B119-F76803DE3F1D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E16E35D6-31D5-4190-8384-EE425283B979}"/>
            </a:ext>
          </a:extLst>
        </xdr:cNvPr>
        <xdr:cNvSpPr>
          <a:spLocks noChangeShapeType="1"/>
        </xdr:cNvSpPr>
      </xdr:nvSpPr>
      <xdr:spPr bwMode="auto">
        <a:xfrm flipV="1">
          <a:off x="3213100" y="2552700"/>
          <a:ext cx="2679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1E35E6E0-D09B-4ADE-B690-F165834A639E}"/>
            </a:ext>
          </a:extLst>
        </xdr:cNvPr>
        <xdr:cNvSpPr>
          <a:spLocks noChangeShapeType="1"/>
        </xdr:cNvSpPr>
      </xdr:nvSpPr>
      <xdr:spPr bwMode="auto">
        <a:xfrm>
          <a:off x="5283200" y="30607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ACF0352-76E0-4F69-9114-CBB7E50B2A48}"/>
            </a:ext>
          </a:extLst>
        </xdr:cNvPr>
        <xdr:cNvSpPr>
          <a:spLocks noChangeShapeType="1"/>
        </xdr:cNvSpPr>
      </xdr:nvSpPr>
      <xdr:spPr bwMode="auto">
        <a:xfrm>
          <a:off x="5283200" y="27241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3E2E14DE-049D-4DE2-907B-DF0B49DDD78F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5E96C07-EC2D-4454-912D-642761AE482F}"/>
            </a:ext>
          </a:extLst>
        </xdr:cNvPr>
        <xdr:cNvSpPr>
          <a:spLocks noChangeShapeType="1"/>
        </xdr:cNvSpPr>
      </xdr:nvSpPr>
      <xdr:spPr bwMode="auto">
        <a:xfrm>
          <a:off x="5283200" y="72326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CBFEE6F3-C0BB-451B-A05D-B5EA2DE48D43}"/>
            </a:ext>
          </a:extLst>
        </xdr:cNvPr>
        <xdr:cNvSpPr>
          <a:spLocks noChangeShapeType="1"/>
        </xdr:cNvSpPr>
      </xdr:nvSpPr>
      <xdr:spPr bwMode="auto">
        <a:xfrm>
          <a:off x="5283200" y="73977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9436BA06-7BB3-4843-9D05-2B74C6E8D154}"/>
            </a:ext>
          </a:extLst>
        </xdr:cNvPr>
        <xdr:cNvSpPr>
          <a:spLocks noChangeShapeType="1"/>
        </xdr:cNvSpPr>
      </xdr:nvSpPr>
      <xdr:spPr bwMode="auto">
        <a:xfrm>
          <a:off x="3771900" y="5226050"/>
          <a:ext cx="2101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8C2F7900-D275-419B-B006-7DDBDAC343DF}"/>
            </a:ext>
          </a:extLst>
        </xdr:cNvPr>
        <xdr:cNvSpPr>
          <a:spLocks noChangeShapeType="1"/>
        </xdr:cNvSpPr>
      </xdr:nvSpPr>
      <xdr:spPr bwMode="auto">
        <a:xfrm>
          <a:off x="3213100" y="6559550"/>
          <a:ext cx="266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4A862994-C818-45CC-9468-F9E34D0753D1}"/>
            </a:ext>
          </a:extLst>
        </xdr:cNvPr>
        <xdr:cNvSpPr>
          <a:spLocks noChangeShapeType="1"/>
        </xdr:cNvSpPr>
      </xdr:nvSpPr>
      <xdr:spPr bwMode="auto">
        <a:xfrm>
          <a:off x="10922000" y="2724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21675B2C-3C13-4696-B570-359DD443165F}"/>
            </a:ext>
          </a:extLst>
        </xdr:cNvPr>
        <xdr:cNvSpPr>
          <a:spLocks noChangeShapeType="1"/>
        </xdr:cNvSpPr>
      </xdr:nvSpPr>
      <xdr:spPr bwMode="auto">
        <a:xfrm>
          <a:off x="10922000" y="3060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F3755F1E-CC4E-4F87-8983-86ED72450638}"/>
            </a:ext>
          </a:extLst>
        </xdr:cNvPr>
        <xdr:cNvSpPr>
          <a:spLocks noChangeShapeType="1"/>
        </xdr:cNvSpPr>
      </xdr:nvSpPr>
      <xdr:spPr bwMode="auto">
        <a:xfrm>
          <a:off x="10121900" y="2895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35EE8C91-3436-48E6-B99F-AA68ACA6EC2E}"/>
            </a:ext>
          </a:extLst>
        </xdr:cNvPr>
        <xdr:cNvSpPr>
          <a:spLocks noChangeShapeType="1"/>
        </xdr:cNvSpPr>
      </xdr:nvSpPr>
      <xdr:spPr bwMode="auto">
        <a:xfrm>
          <a:off x="10922000" y="3232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FC9517CA-B543-4692-9DC5-A4CED519E30D}"/>
            </a:ext>
          </a:extLst>
        </xdr:cNvPr>
        <xdr:cNvSpPr>
          <a:spLocks noChangeShapeType="1"/>
        </xdr:cNvSpPr>
      </xdr:nvSpPr>
      <xdr:spPr bwMode="auto">
        <a:xfrm>
          <a:off x="10922000" y="40640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D24E6667-4F60-4D98-B8D4-31938CBF5281}"/>
            </a:ext>
          </a:extLst>
        </xdr:cNvPr>
        <xdr:cNvSpPr>
          <a:spLocks noChangeShapeType="1"/>
        </xdr:cNvSpPr>
      </xdr:nvSpPr>
      <xdr:spPr bwMode="auto">
        <a:xfrm>
          <a:off x="10121900" y="423545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9F421E6A-CC92-4DAC-BA43-D36251FCAB20}"/>
            </a:ext>
          </a:extLst>
        </xdr:cNvPr>
        <xdr:cNvSpPr>
          <a:spLocks noChangeShapeType="1"/>
        </xdr:cNvSpPr>
      </xdr:nvSpPr>
      <xdr:spPr bwMode="auto">
        <a:xfrm>
          <a:off x="10922000" y="5727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FD3466EF-E9A9-4ACD-B446-A65E9393EEEB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498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C866C0F3-85BA-41BC-A533-EE70153A4E6F}"/>
            </a:ext>
          </a:extLst>
        </xdr:cNvPr>
        <xdr:cNvSpPr>
          <a:spLocks noChangeShapeType="1"/>
        </xdr:cNvSpPr>
      </xdr:nvSpPr>
      <xdr:spPr bwMode="auto">
        <a:xfrm>
          <a:off x="1581150" y="84137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82F4665B-839A-4DDF-AB7C-EFA27DCA51CF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CDB66EA4-5153-449D-8A70-A04402C03F59}"/>
            </a:ext>
          </a:extLst>
        </xdr:cNvPr>
        <xdr:cNvSpPr>
          <a:spLocks noChangeShapeType="1"/>
        </xdr:cNvSpPr>
      </xdr:nvSpPr>
      <xdr:spPr bwMode="auto">
        <a:xfrm>
          <a:off x="800100" y="84137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D5DFDFF1-C1EC-40F3-A8F5-F99D559ED718}"/>
            </a:ext>
          </a:extLst>
        </xdr:cNvPr>
        <xdr:cNvSpPr>
          <a:spLocks noChangeShapeType="1"/>
        </xdr:cNvSpPr>
      </xdr:nvSpPr>
      <xdr:spPr bwMode="auto">
        <a:xfrm>
          <a:off x="2584450" y="11087100"/>
          <a:ext cx="0" cy="4889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31304ACF-FCC7-4F82-871D-AB5608A4288D}"/>
            </a:ext>
          </a:extLst>
        </xdr:cNvPr>
        <xdr:cNvSpPr>
          <a:spLocks noChangeShapeType="1"/>
        </xdr:cNvSpPr>
      </xdr:nvSpPr>
      <xdr:spPr bwMode="auto">
        <a:xfrm flipH="1">
          <a:off x="2584450" y="9918700"/>
          <a:ext cx="0" cy="5016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39D7CBE5-3497-456D-BAD3-F5D5814FADCE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A6087133-1022-432E-863E-5D67852B557A}"/>
            </a:ext>
          </a:extLst>
        </xdr:cNvPr>
        <xdr:cNvSpPr>
          <a:spLocks noChangeShapeType="1"/>
        </xdr:cNvSpPr>
      </xdr:nvSpPr>
      <xdr:spPr bwMode="auto">
        <a:xfrm flipV="1">
          <a:off x="5283200" y="82423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99D5BE5C-20B6-4C62-99A7-03B7C085F9ED}"/>
            </a:ext>
          </a:extLst>
        </xdr:cNvPr>
        <xdr:cNvSpPr>
          <a:spLocks noChangeShapeType="1"/>
        </xdr:cNvSpPr>
      </xdr:nvSpPr>
      <xdr:spPr bwMode="auto">
        <a:xfrm>
          <a:off x="5283200" y="84137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8962E38C-ED2B-41CB-8753-814D18385321}"/>
            </a:ext>
          </a:extLst>
        </xdr:cNvPr>
        <xdr:cNvSpPr>
          <a:spLocks noChangeShapeType="1"/>
        </xdr:cNvSpPr>
      </xdr:nvSpPr>
      <xdr:spPr bwMode="auto">
        <a:xfrm>
          <a:off x="2584450" y="12592050"/>
          <a:ext cx="3289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59F5DD70-2D77-40E5-9C12-0508501F7696}"/>
            </a:ext>
          </a:extLst>
        </xdr:cNvPr>
        <xdr:cNvSpPr>
          <a:spLocks noChangeShapeType="1"/>
        </xdr:cNvSpPr>
      </xdr:nvSpPr>
      <xdr:spPr bwMode="auto">
        <a:xfrm flipV="1">
          <a:off x="5283200" y="129222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7EB06139-205F-4C73-A48A-C69FAE3B8D69}"/>
            </a:ext>
          </a:extLst>
        </xdr:cNvPr>
        <xdr:cNvSpPr>
          <a:spLocks noChangeShapeType="1"/>
        </xdr:cNvSpPr>
      </xdr:nvSpPr>
      <xdr:spPr bwMode="auto">
        <a:xfrm>
          <a:off x="5283200" y="127571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AE700505-BDBC-458F-8AA8-435BDFB21FAA}"/>
            </a:ext>
          </a:extLst>
        </xdr:cNvPr>
        <xdr:cNvSpPr>
          <a:spLocks noChangeShapeType="1"/>
        </xdr:cNvSpPr>
      </xdr:nvSpPr>
      <xdr:spPr bwMode="auto">
        <a:xfrm>
          <a:off x="3771900" y="10763250"/>
          <a:ext cx="2101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0C5E25C3-05C1-4E7C-A4C8-44E025C8A551}"/>
            </a:ext>
          </a:extLst>
        </xdr:cNvPr>
        <xdr:cNvSpPr>
          <a:spLocks noChangeShapeType="1"/>
        </xdr:cNvSpPr>
      </xdr:nvSpPr>
      <xdr:spPr bwMode="auto">
        <a:xfrm>
          <a:off x="3213100" y="12090400"/>
          <a:ext cx="266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2115B88E-E9FB-45C2-8232-C773C20FE922}"/>
            </a:ext>
          </a:extLst>
        </xdr:cNvPr>
        <xdr:cNvSpPr>
          <a:spLocks noChangeShapeType="1"/>
        </xdr:cNvSpPr>
      </xdr:nvSpPr>
      <xdr:spPr bwMode="auto">
        <a:xfrm flipV="1">
          <a:off x="10922000" y="44069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36F3929F-83D1-4198-90A6-6C7CF2031C0F}"/>
            </a:ext>
          </a:extLst>
        </xdr:cNvPr>
        <xdr:cNvSpPr>
          <a:spLocks noChangeShapeType="1"/>
        </xdr:cNvSpPr>
      </xdr:nvSpPr>
      <xdr:spPr bwMode="auto">
        <a:xfrm>
          <a:off x="10121900" y="5562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2CA0D396-7C24-4B86-B994-CC56AFE49F08}"/>
            </a:ext>
          </a:extLst>
        </xdr:cNvPr>
        <xdr:cNvSpPr>
          <a:spLocks noChangeShapeType="1"/>
        </xdr:cNvSpPr>
      </xdr:nvSpPr>
      <xdr:spPr bwMode="auto">
        <a:xfrm>
          <a:off x="12299950" y="84137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17126F76-FA5D-4CCA-A07B-8600F4EE56E9}"/>
            </a:ext>
          </a:extLst>
        </xdr:cNvPr>
        <xdr:cNvSpPr>
          <a:spLocks noChangeShapeType="1"/>
        </xdr:cNvSpPr>
      </xdr:nvSpPr>
      <xdr:spPr bwMode="auto">
        <a:xfrm>
          <a:off x="12299950" y="958850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259BE798-BD31-460B-89AD-3F1636C29432}"/>
            </a:ext>
          </a:extLst>
        </xdr:cNvPr>
        <xdr:cNvSpPr>
          <a:spLocks noChangeShapeType="1"/>
        </xdr:cNvSpPr>
      </xdr:nvSpPr>
      <xdr:spPr bwMode="auto">
        <a:xfrm>
          <a:off x="12299950" y="107632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419B2FFF-0A12-425D-9ACF-00BDEDDFA8D1}"/>
            </a:ext>
          </a:extLst>
        </xdr:cNvPr>
        <xdr:cNvSpPr>
          <a:spLocks noChangeShapeType="1"/>
        </xdr:cNvSpPr>
      </xdr:nvSpPr>
      <xdr:spPr bwMode="auto">
        <a:xfrm>
          <a:off x="11620500" y="8413750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916899DC-2EEF-44B5-9E31-54F036EC70A5}"/>
            </a:ext>
          </a:extLst>
        </xdr:cNvPr>
        <xdr:cNvSpPr>
          <a:spLocks noChangeShapeType="1"/>
        </xdr:cNvSpPr>
      </xdr:nvSpPr>
      <xdr:spPr bwMode="auto">
        <a:xfrm>
          <a:off x="14986000" y="2552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BCA0804A-7C5B-4C23-BF70-7D1679081A48}"/>
            </a:ext>
          </a:extLst>
        </xdr:cNvPr>
        <xdr:cNvSpPr>
          <a:spLocks noChangeShapeType="1"/>
        </xdr:cNvSpPr>
      </xdr:nvSpPr>
      <xdr:spPr bwMode="auto">
        <a:xfrm>
          <a:off x="14986000" y="272415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005725E9-62DB-4554-B2FD-2D906B687E7C}"/>
            </a:ext>
          </a:extLst>
        </xdr:cNvPr>
        <xdr:cNvSpPr>
          <a:spLocks noChangeShapeType="1"/>
        </xdr:cNvSpPr>
      </xdr:nvSpPr>
      <xdr:spPr bwMode="auto">
        <a:xfrm>
          <a:off x="14547850" y="2895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AB3B39E9-5026-412E-9FB5-C9D0D63175A0}"/>
            </a:ext>
          </a:extLst>
        </xdr:cNvPr>
        <xdr:cNvSpPr>
          <a:spLocks noChangeShapeType="1"/>
        </xdr:cNvSpPr>
      </xdr:nvSpPr>
      <xdr:spPr bwMode="auto">
        <a:xfrm>
          <a:off x="14986000" y="3060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BFEAA315-9391-4450-BA07-79CCADD41560}"/>
            </a:ext>
          </a:extLst>
        </xdr:cNvPr>
        <xdr:cNvSpPr>
          <a:spLocks noChangeShapeType="1"/>
        </xdr:cNvSpPr>
      </xdr:nvSpPr>
      <xdr:spPr bwMode="auto">
        <a:xfrm>
          <a:off x="14986000" y="40640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741D3DA9-A1B1-45FF-A2D5-1B23D49F400B}"/>
            </a:ext>
          </a:extLst>
        </xdr:cNvPr>
        <xdr:cNvSpPr>
          <a:spLocks noChangeShapeType="1"/>
        </xdr:cNvSpPr>
      </xdr:nvSpPr>
      <xdr:spPr bwMode="auto">
        <a:xfrm>
          <a:off x="14547850" y="4235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7E2F4401-9452-4475-9FF9-F61788CF1885}"/>
            </a:ext>
          </a:extLst>
        </xdr:cNvPr>
        <xdr:cNvSpPr>
          <a:spLocks noChangeShapeType="1"/>
        </xdr:cNvSpPr>
      </xdr:nvSpPr>
      <xdr:spPr bwMode="auto">
        <a:xfrm>
          <a:off x="14986000" y="44069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C6FB0ED0-3961-4744-94F3-D6F20C5B2B41}"/>
            </a:ext>
          </a:extLst>
        </xdr:cNvPr>
        <xdr:cNvSpPr>
          <a:spLocks noChangeShapeType="1"/>
        </xdr:cNvSpPr>
      </xdr:nvSpPr>
      <xdr:spPr bwMode="auto">
        <a:xfrm>
          <a:off x="14547850" y="5562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DCDBA057-7DD9-4865-ADB0-1B7891D0EFCC}"/>
            </a:ext>
          </a:extLst>
        </xdr:cNvPr>
        <xdr:cNvSpPr>
          <a:spLocks noChangeShapeType="1"/>
        </xdr:cNvSpPr>
      </xdr:nvSpPr>
      <xdr:spPr bwMode="auto">
        <a:xfrm flipV="1">
          <a:off x="14986000" y="5727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D761DFCD-1067-4FCD-B0D8-CD7CDF8F4E3A}"/>
            </a:ext>
          </a:extLst>
        </xdr:cNvPr>
        <xdr:cNvSpPr>
          <a:spLocks noChangeShapeType="1"/>
        </xdr:cNvSpPr>
      </xdr:nvSpPr>
      <xdr:spPr bwMode="auto">
        <a:xfrm flipV="1">
          <a:off x="14547850" y="6902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65BBDE8A-9A92-49A8-BFAB-306206565545}"/>
            </a:ext>
          </a:extLst>
        </xdr:cNvPr>
        <xdr:cNvSpPr>
          <a:spLocks noChangeShapeType="1"/>
        </xdr:cNvSpPr>
      </xdr:nvSpPr>
      <xdr:spPr bwMode="auto">
        <a:xfrm>
          <a:off x="3213100" y="4235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189469C0-86BE-44C0-B95D-9BA756FAA8EF}"/>
            </a:ext>
          </a:extLst>
        </xdr:cNvPr>
        <xdr:cNvSpPr>
          <a:spLocks noChangeShapeType="1"/>
        </xdr:cNvSpPr>
      </xdr:nvSpPr>
      <xdr:spPr bwMode="auto">
        <a:xfrm>
          <a:off x="3251200" y="9753600"/>
          <a:ext cx="14287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4C39B4B7-8F2B-4FD7-A4C4-98EA33B2DD16}"/>
            </a:ext>
          </a:extLst>
        </xdr:cNvPr>
        <xdr:cNvSpPr>
          <a:spLocks noChangeShapeType="1"/>
        </xdr:cNvSpPr>
      </xdr:nvSpPr>
      <xdr:spPr bwMode="auto">
        <a:xfrm flipH="1" flipV="1">
          <a:off x="3213100" y="6394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3E85AD9F-8CBD-411C-B938-520596A56B2B}"/>
            </a:ext>
          </a:extLst>
        </xdr:cNvPr>
        <xdr:cNvSpPr>
          <a:spLocks noChangeShapeType="1"/>
        </xdr:cNvSpPr>
      </xdr:nvSpPr>
      <xdr:spPr bwMode="auto">
        <a:xfrm>
          <a:off x="3771900" y="4406900"/>
          <a:ext cx="0" cy="1816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4E5207F2-8BC7-4D1D-97B6-82A0BF6FD6AD}"/>
            </a:ext>
          </a:extLst>
        </xdr:cNvPr>
        <xdr:cNvSpPr>
          <a:spLocks noChangeShapeType="1"/>
        </xdr:cNvSpPr>
      </xdr:nvSpPr>
      <xdr:spPr bwMode="auto">
        <a:xfrm>
          <a:off x="3213100" y="44069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0611DC65-E9EC-4E7A-BB00-58509F7DF49C}"/>
            </a:ext>
          </a:extLst>
        </xdr:cNvPr>
        <xdr:cNvSpPr>
          <a:spLocks noChangeShapeType="1"/>
        </xdr:cNvSpPr>
      </xdr:nvSpPr>
      <xdr:spPr bwMode="auto">
        <a:xfrm flipH="1">
          <a:off x="3213100" y="62230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FE34C511-86B5-441C-87CB-867605595F1B}"/>
            </a:ext>
          </a:extLst>
        </xdr:cNvPr>
        <xdr:cNvSpPr>
          <a:spLocks noChangeShapeType="1"/>
        </xdr:cNvSpPr>
      </xdr:nvSpPr>
      <xdr:spPr bwMode="auto">
        <a:xfrm flipH="1">
          <a:off x="2584450" y="6731000"/>
          <a:ext cx="0" cy="33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4155C773-157E-487A-8EA0-0D5593920EC1}"/>
            </a:ext>
          </a:extLst>
        </xdr:cNvPr>
        <xdr:cNvSpPr>
          <a:spLocks noChangeShapeType="1"/>
        </xdr:cNvSpPr>
      </xdr:nvSpPr>
      <xdr:spPr bwMode="auto">
        <a:xfrm>
          <a:off x="2584450" y="7067550"/>
          <a:ext cx="3289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152400</xdr:rowOff>
    </xdr:from>
    <xdr:to>
      <xdr:col>14</xdr:col>
      <xdr:colOff>0</xdr:colOff>
      <xdr:row>44</xdr:row>
      <xdr:rowOff>152400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9D6BC6BA-4210-4433-81AB-A2EE67B1665E}"/>
            </a:ext>
          </a:extLst>
        </xdr:cNvPr>
        <xdr:cNvSpPr>
          <a:spLocks noChangeShapeType="1"/>
        </xdr:cNvSpPr>
      </xdr:nvSpPr>
      <xdr:spPr bwMode="auto">
        <a:xfrm>
          <a:off x="5283200" y="75501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B68E4080-7385-4162-92D2-9483F40C3C89}"/>
            </a:ext>
          </a:extLst>
        </xdr:cNvPr>
        <xdr:cNvSpPr>
          <a:spLocks noChangeShapeType="1"/>
        </xdr:cNvSpPr>
      </xdr:nvSpPr>
      <xdr:spPr bwMode="auto">
        <a:xfrm>
          <a:off x="4679950" y="4235450"/>
          <a:ext cx="0" cy="21590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E90D8533-DF0F-4FAF-8249-563B24B33B2E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0" cy="679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AB480D40-E808-47DB-8E48-31DBAE91F179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0" cy="1993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37DE00E5-8C91-46F4-B16C-14D34A5BF969}"/>
            </a:ext>
          </a:extLst>
        </xdr:cNvPr>
        <xdr:cNvSpPr>
          <a:spLocks noChangeShapeType="1"/>
        </xdr:cNvSpPr>
      </xdr:nvSpPr>
      <xdr:spPr bwMode="auto">
        <a:xfrm>
          <a:off x="800100" y="63944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4124B78F-4291-4BB0-96E5-C5A7C71652C1}"/>
            </a:ext>
          </a:extLst>
        </xdr:cNvPr>
        <xdr:cNvSpPr>
          <a:spLocks noChangeShapeType="1"/>
        </xdr:cNvSpPr>
      </xdr:nvSpPr>
      <xdr:spPr bwMode="auto">
        <a:xfrm>
          <a:off x="1250950" y="67310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2F30D988-F64E-4B98-BF9B-1F227EAC6AF1}"/>
            </a:ext>
          </a:extLst>
        </xdr:cNvPr>
        <xdr:cNvSpPr>
          <a:spLocks noChangeShapeType="1"/>
        </xdr:cNvSpPr>
      </xdr:nvSpPr>
      <xdr:spPr bwMode="auto">
        <a:xfrm flipH="1" flipV="1">
          <a:off x="1250950" y="65595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8E8C639D-BFA5-47F2-BB34-AA0DD03A150A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0" cy="660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E3FE8978-9ECD-4CEA-AEBD-1A439C6189B4}"/>
            </a:ext>
          </a:extLst>
        </xdr:cNvPr>
        <xdr:cNvSpPr>
          <a:spLocks noChangeShapeType="1"/>
        </xdr:cNvSpPr>
      </xdr:nvSpPr>
      <xdr:spPr bwMode="auto">
        <a:xfrm flipV="1">
          <a:off x="3213100" y="8070850"/>
          <a:ext cx="266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5F98A3EE-7A7A-4AB9-8F23-81DE38C429FD}"/>
            </a:ext>
          </a:extLst>
        </xdr:cNvPr>
        <xdr:cNvSpPr>
          <a:spLocks noChangeShapeType="1"/>
        </xdr:cNvSpPr>
      </xdr:nvSpPr>
      <xdr:spPr bwMode="auto">
        <a:xfrm>
          <a:off x="5283200" y="80708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3C2F6D1D-F50A-4049-8E80-3BA93D59F9CB}"/>
            </a:ext>
          </a:extLst>
        </xdr:cNvPr>
        <xdr:cNvSpPr>
          <a:spLocks noChangeShapeType="1"/>
        </xdr:cNvSpPr>
      </xdr:nvSpPr>
      <xdr:spPr bwMode="auto">
        <a:xfrm>
          <a:off x="4679950" y="9753600"/>
          <a:ext cx="0" cy="19939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02782CC6-6CBC-4BF9-B60C-100ADFC9E43E}"/>
            </a:ext>
          </a:extLst>
        </xdr:cNvPr>
        <xdr:cNvSpPr>
          <a:spLocks noChangeShapeType="1"/>
        </xdr:cNvSpPr>
      </xdr:nvSpPr>
      <xdr:spPr bwMode="auto">
        <a:xfrm flipH="1">
          <a:off x="3213100" y="1174750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4CE19D66-5042-4495-8BCD-0F2070F44B34}"/>
            </a:ext>
          </a:extLst>
        </xdr:cNvPr>
        <xdr:cNvSpPr>
          <a:spLocks noChangeShapeType="1"/>
        </xdr:cNvSpPr>
      </xdr:nvSpPr>
      <xdr:spPr bwMode="auto">
        <a:xfrm>
          <a:off x="3771900" y="9918700"/>
          <a:ext cx="0" cy="1657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21514CB0-A343-4E01-B849-A67D89C52BA2}"/>
            </a:ext>
          </a:extLst>
        </xdr:cNvPr>
        <xdr:cNvSpPr>
          <a:spLocks noChangeShapeType="1"/>
        </xdr:cNvSpPr>
      </xdr:nvSpPr>
      <xdr:spPr bwMode="auto">
        <a:xfrm flipH="1">
          <a:off x="3213100" y="1157605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289DF5F4-8836-4E21-9258-A148AF43F1D6}"/>
            </a:ext>
          </a:extLst>
        </xdr:cNvPr>
        <xdr:cNvSpPr>
          <a:spLocks noChangeShapeType="1"/>
        </xdr:cNvSpPr>
      </xdr:nvSpPr>
      <xdr:spPr bwMode="auto">
        <a:xfrm>
          <a:off x="2584450" y="12265025"/>
          <a:ext cx="0" cy="3270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CC5C5E23-6DFA-46BF-B2F5-DC50460D7C84}"/>
            </a:ext>
          </a:extLst>
        </xdr:cNvPr>
        <xdr:cNvSpPr>
          <a:spLocks noChangeShapeType="1"/>
        </xdr:cNvSpPr>
      </xdr:nvSpPr>
      <xdr:spPr bwMode="auto">
        <a:xfrm flipH="1">
          <a:off x="5283200" y="12592050"/>
          <a:ext cx="0" cy="330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4A0E29EF-E373-445F-84B2-66FBE7E6B71F}"/>
            </a:ext>
          </a:extLst>
        </xdr:cNvPr>
        <xdr:cNvSpPr>
          <a:spLocks noChangeShapeType="1"/>
        </xdr:cNvSpPr>
      </xdr:nvSpPr>
      <xdr:spPr bwMode="auto">
        <a:xfrm>
          <a:off x="800100" y="119189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016D59FB-C74E-479B-88DF-E986BCBACC26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6F2E69FD-D436-4B68-AFE1-49676BAB6935}"/>
            </a:ext>
          </a:extLst>
        </xdr:cNvPr>
        <xdr:cNvSpPr>
          <a:spLocks noChangeShapeType="1"/>
        </xdr:cNvSpPr>
      </xdr:nvSpPr>
      <xdr:spPr bwMode="auto">
        <a:xfrm>
          <a:off x="1250950" y="122555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1C2A2764-AFEA-4DD0-A4AE-4E1E05937A7B}"/>
            </a:ext>
          </a:extLst>
        </xdr:cNvPr>
        <xdr:cNvSpPr>
          <a:spLocks noChangeShapeType="1"/>
        </xdr:cNvSpPr>
      </xdr:nvSpPr>
      <xdr:spPr bwMode="auto">
        <a:xfrm>
          <a:off x="1092200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FB28B102-0DAA-47B7-8DF0-D7CEE1825CAE}"/>
            </a:ext>
          </a:extLst>
        </xdr:cNvPr>
        <xdr:cNvSpPr>
          <a:spLocks noChangeShapeType="1"/>
        </xdr:cNvSpPr>
      </xdr:nvSpPr>
      <xdr:spPr bwMode="auto">
        <a:xfrm>
          <a:off x="10922000" y="272415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82535642-BA9D-44A5-91E9-2622459F16DF}"/>
            </a:ext>
          </a:extLst>
        </xdr:cNvPr>
        <xdr:cNvSpPr>
          <a:spLocks noChangeShapeType="1"/>
        </xdr:cNvSpPr>
      </xdr:nvSpPr>
      <xdr:spPr bwMode="auto">
        <a:xfrm>
          <a:off x="10121900" y="23812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23D6AC8B-02CE-40E7-B264-AD1EF6CA8E44}"/>
            </a:ext>
          </a:extLst>
        </xdr:cNvPr>
        <xdr:cNvSpPr>
          <a:spLocks noChangeShapeType="1"/>
        </xdr:cNvSpPr>
      </xdr:nvSpPr>
      <xdr:spPr bwMode="auto">
        <a:xfrm>
          <a:off x="10121900" y="3727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48A38A3F-D16D-4B7D-AAB6-1EF20C3B7CC6}"/>
            </a:ext>
          </a:extLst>
        </xdr:cNvPr>
        <xdr:cNvSpPr>
          <a:spLocks noChangeShapeType="1"/>
        </xdr:cNvSpPr>
      </xdr:nvSpPr>
      <xdr:spPr bwMode="auto">
        <a:xfrm>
          <a:off x="14986000" y="25527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6E3773C8-077E-4D7C-8154-AE171F540B08}"/>
            </a:ext>
          </a:extLst>
        </xdr:cNvPr>
        <xdr:cNvSpPr>
          <a:spLocks noChangeShapeType="1"/>
        </xdr:cNvSpPr>
      </xdr:nvSpPr>
      <xdr:spPr bwMode="auto">
        <a:xfrm>
          <a:off x="1498600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8744EE7D-7CE8-4C2C-9CFD-E3AD124FDEC9}"/>
            </a:ext>
          </a:extLst>
        </xdr:cNvPr>
        <xdr:cNvSpPr>
          <a:spLocks noChangeShapeType="1"/>
        </xdr:cNvSpPr>
      </xdr:nvSpPr>
      <xdr:spPr bwMode="auto">
        <a:xfrm flipV="1">
          <a:off x="800100" y="8413750"/>
          <a:ext cx="0" cy="20066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F602541A-88D6-499D-8A40-8C782549AB06}"/>
            </a:ext>
          </a:extLst>
        </xdr:cNvPr>
        <xdr:cNvSpPr>
          <a:spLocks noChangeShapeType="1"/>
        </xdr:cNvSpPr>
      </xdr:nvSpPr>
      <xdr:spPr bwMode="auto">
        <a:xfrm>
          <a:off x="10121900" y="908050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B852E00E-60BD-44C2-B648-DEA1ABB454D9}"/>
            </a:ext>
          </a:extLst>
        </xdr:cNvPr>
        <xdr:cNvSpPr>
          <a:spLocks noChangeShapeType="1"/>
        </xdr:cNvSpPr>
      </xdr:nvSpPr>
      <xdr:spPr bwMode="auto">
        <a:xfrm flipV="1">
          <a:off x="10242550" y="8070850"/>
          <a:ext cx="0" cy="10096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DC9E60FF-37A7-4B0A-A10F-FEA91FCC832C}"/>
            </a:ext>
          </a:extLst>
        </xdr:cNvPr>
        <xdr:cNvSpPr>
          <a:spLocks noChangeShapeType="1"/>
        </xdr:cNvSpPr>
      </xdr:nvSpPr>
      <xdr:spPr bwMode="auto">
        <a:xfrm>
          <a:off x="10121900" y="9588500"/>
          <a:ext cx="0" cy="1663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8BE7731A-D9C1-42B2-ADC0-19B3B39A2088}"/>
            </a:ext>
          </a:extLst>
        </xdr:cNvPr>
        <xdr:cNvSpPr>
          <a:spLocks noChangeShapeType="1"/>
        </xdr:cNvSpPr>
      </xdr:nvSpPr>
      <xdr:spPr bwMode="auto">
        <a:xfrm>
          <a:off x="10121900" y="11252200"/>
          <a:ext cx="308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1B305286-1E9F-4D15-BFE1-11D2025B794E}"/>
            </a:ext>
          </a:extLst>
        </xdr:cNvPr>
        <xdr:cNvSpPr>
          <a:spLocks noChangeShapeType="1"/>
        </xdr:cNvSpPr>
      </xdr:nvSpPr>
      <xdr:spPr bwMode="auto">
        <a:xfrm>
          <a:off x="10242550" y="1059180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5A05F56C-0D8F-44EC-8EB1-36EBDFA85513}"/>
            </a:ext>
          </a:extLst>
        </xdr:cNvPr>
        <xdr:cNvSpPr>
          <a:spLocks noChangeShapeType="1"/>
        </xdr:cNvSpPr>
      </xdr:nvSpPr>
      <xdr:spPr bwMode="auto">
        <a:xfrm flipV="1">
          <a:off x="10242550" y="807085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793F2755-B596-4646-A0E6-3256F4FDAE98}"/>
            </a:ext>
          </a:extLst>
        </xdr:cNvPr>
        <xdr:cNvSpPr>
          <a:spLocks noChangeShapeType="1"/>
        </xdr:cNvSpPr>
      </xdr:nvSpPr>
      <xdr:spPr bwMode="auto">
        <a:xfrm flipV="1">
          <a:off x="10121900" y="941705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CAB76BD2-CC77-4B10-94B6-D24276B026FD}"/>
            </a:ext>
          </a:extLst>
        </xdr:cNvPr>
        <xdr:cNvSpPr>
          <a:spLocks noChangeShapeType="1"/>
        </xdr:cNvSpPr>
      </xdr:nvSpPr>
      <xdr:spPr bwMode="auto">
        <a:xfrm>
          <a:off x="10242550" y="9417050"/>
          <a:ext cx="0" cy="11747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98D461C2-5D8C-4557-B337-D40FA6EFA2BE}"/>
            </a:ext>
          </a:extLst>
        </xdr:cNvPr>
        <xdr:cNvSpPr>
          <a:spLocks noChangeShapeType="1"/>
        </xdr:cNvSpPr>
      </xdr:nvSpPr>
      <xdr:spPr bwMode="auto">
        <a:xfrm>
          <a:off x="12299950" y="90805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AB20CAF3-C506-471F-BCD8-7B8AE94DFB9D}"/>
            </a:ext>
          </a:extLst>
        </xdr:cNvPr>
        <xdr:cNvSpPr>
          <a:spLocks noChangeShapeType="1"/>
        </xdr:cNvSpPr>
      </xdr:nvSpPr>
      <xdr:spPr bwMode="auto">
        <a:xfrm>
          <a:off x="12299950" y="78994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79BAD9BC-9EF0-434E-ABEC-1F68EB08008F}"/>
            </a:ext>
          </a:extLst>
        </xdr:cNvPr>
        <xdr:cNvSpPr>
          <a:spLocks noChangeShapeType="1"/>
        </xdr:cNvSpPr>
      </xdr:nvSpPr>
      <xdr:spPr bwMode="auto">
        <a:xfrm>
          <a:off x="10121900" y="6394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2B4C5F52-8C88-4CDE-AB8A-420393045013}"/>
            </a:ext>
          </a:extLst>
        </xdr:cNvPr>
        <xdr:cNvSpPr>
          <a:spLocks noChangeShapeType="1"/>
        </xdr:cNvSpPr>
      </xdr:nvSpPr>
      <xdr:spPr bwMode="auto">
        <a:xfrm>
          <a:off x="12299950" y="1025525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FBDBBBC6-C6DE-4B7A-B8A6-0DE7B60D50D5}"/>
            </a:ext>
          </a:extLst>
        </xdr:cNvPr>
        <xdr:cNvSpPr>
          <a:spLocks noChangeShapeType="1"/>
        </xdr:cNvSpPr>
      </xdr:nvSpPr>
      <xdr:spPr bwMode="auto">
        <a:xfrm flipV="1">
          <a:off x="10121900" y="50609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B47F7736-9E90-4964-9D49-948087DE2BC2}"/>
            </a:ext>
          </a:extLst>
        </xdr:cNvPr>
        <xdr:cNvSpPr>
          <a:spLocks noChangeShapeType="1"/>
        </xdr:cNvSpPr>
      </xdr:nvSpPr>
      <xdr:spPr bwMode="auto">
        <a:xfrm>
          <a:off x="1092200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101" name="Line 100">
          <a:extLst>
            <a:ext uri="{FF2B5EF4-FFF2-40B4-BE49-F238E27FC236}">
              <a16:creationId xmlns:a16="http://schemas.microsoft.com/office/drawing/2014/main" id="{DD963B41-5A8E-415D-8DBC-7421A8241A40}"/>
            </a:ext>
          </a:extLst>
        </xdr:cNvPr>
        <xdr:cNvSpPr>
          <a:spLocks noChangeShapeType="1"/>
        </xdr:cNvSpPr>
      </xdr:nvSpPr>
      <xdr:spPr bwMode="auto">
        <a:xfrm>
          <a:off x="1498600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102" name="Line 101">
          <a:extLst>
            <a:ext uri="{FF2B5EF4-FFF2-40B4-BE49-F238E27FC236}">
              <a16:creationId xmlns:a16="http://schemas.microsoft.com/office/drawing/2014/main" id="{F36FD260-12C7-4A8B-AD0C-56E3EA188B25}"/>
            </a:ext>
          </a:extLst>
        </xdr:cNvPr>
        <xdr:cNvSpPr>
          <a:spLocks noChangeShapeType="1"/>
        </xdr:cNvSpPr>
      </xdr:nvSpPr>
      <xdr:spPr bwMode="auto">
        <a:xfrm>
          <a:off x="14547850" y="12592050"/>
          <a:ext cx="14541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103" name="Line 102">
          <a:extLst>
            <a:ext uri="{FF2B5EF4-FFF2-40B4-BE49-F238E27FC236}">
              <a16:creationId xmlns:a16="http://schemas.microsoft.com/office/drawing/2014/main" id="{FD509E03-6977-4CDD-B88F-E044DBF4BA05}"/>
            </a:ext>
          </a:extLst>
        </xdr:cNvPr>
        <xdr:cNvSpPr>
          <a:spLocks noChangeShapeType="1"/>
        </xdr:cNvSpPr>
      </xdr:nvSpPr>
      <xdr:spPr bwMode="auto">
        <a:xfrm flipH="1">
          <a:off x="2584450" y="3232150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104" name="Line 103">
          <a:extLst>
            <a:ext uri="{FF2B5EF4-FFF2-40B4-BE49-F238E27FC236}">
              <a16:creationId xmlns:a16="http://schemas.microsoft.com/office/drawing/2014/main" id="{D9C7163D-922B-4B9B-B336-A9D5B347C497}"/>
            </a:ext>
          </a:extLst>
        </xdr:cNvPr>
        <xdr:cNvSpPr>
          <a:spLocks noChangeShapeType="1"/>
        </xdr:cNvSpPr>
      </xdr:nvSpPr>
      <xdr:spPr bwMode="auto">
        <a:xfrm flipH="1">
          <a:off x="1581150" y="605155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05" name="Line 104">
          <a:extLst>
            <a:ext uri="{FF2B5EF4-FFF2-40B4-BE49-F238E27FC236}">
              <a16:creationId xmlns:a16="http://schemas.microsoft.com/office/drawing/2014/main" id="{6A5825F7-EADF-4E35-AC49-53E3A383811D}"/>
            </a:ext>
          </a:extLst>
        </xdr:cNvPr>
        <xdr:cNvSpPr>
          <a:spLocks noChangeShapeType="1"/>
        </xdr:cNvSpPr>
      </xdr:nvSpPr>
      <xdr:spPr bwMode="auto">
        <a:xfrm flipV="1">
          <a:off x="1581150" y="3232150"/>
          <a:ext cx="0" cy="2819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718B79C6-73E2-44F2-93BB-8DFA42219FCE}"/>
            </a:ext>
          </a:extLst>
        </xdr:cNvPr>
        <xdr:cNvSpPr>
          <a:spLocks noChangeShapeType="1"/>
        </xdr:cNvSpPr>
      </xdr:nvSpPr>
      <xdr:spPr bwMode="auto">
        <a:xfrm>
          <a:off x="1581150" y="32321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123EA453-6360-403A-B2D3-00E938FFB7C4}"/>
            </a:ext>
          </a:extLst>
        </xdr:cNvPr>
        <xdr:cNvSpPr>
          <a:spLocks noChangeShapeType="1"/>
        </xdr:cNvSpPr>
      </xdr:nvSpPr>
      <xdr:spPr bwMode="auto">
        <a:xfrm>
          <a:off x="3213100" y="99187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08" name="Line 107">
          <a:extLst>
            <a:ext uri="{FF2B5EF4-FFF2-40B4-BE49-F238E27FC236}">
              <a16:creationId xmlns:a16="http://schemas.microsoft.com/office/drawing/2014/main" id="{8CB2949F-BBA8-49FF-A2AF-AA6CF35E54BE}"/>
            </a:ext>
          </a:extLst>
        </xdr:cNvPr>
        <xdr:cNvSpPr>
          <a:spLocks noChangeShapeType="1"/>
        </xdr:cNvSpPr>
      </xdr:nvSpPr>
      <xdr:spPr bwMode="auto">
        <a:xfrm>
          <a:off x="3213100" y="9753600"/>
          <a:ext cx="1466850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109" name="Line 108">
          <a:extLst>
            <a:ext uri="{FF2B5EF4-FFF2-40B4-BE49-F238E27FC236}">
              <a16:creationId xmlns:a16="http://schemas.microsoft.com/office/drawing/2014/main" id="{D0DF6C32-180A-4D8A-84BD-68796D9AF9E1}"/>
            </a:ext>
          </a:extLst>
        </xdr:cNvPr>
        <xdr:cNvSpPr>
          <a:spLocks noChangeShapeType="1"/>
        </xdr:cNvSpPr>
      </xdr:nvSpPr>
      <xdr:spPr bwMode="auto">
        <a:xfrm>
          <a:off x="2584450" y="87376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110" name="Line 109">
          <a:extLst>
            <a:ext uri="{FF2B5EF4-FFF2-40B4-BE49-F238E27FC236}">
              <a16:creationId xmlns:a16="http://schemas.microsoft.com/office/drawing/2014/main" id="{43B6EFF7-66AE-41C6-9ED5-184A537E577D}"/>
            </a:ext>
          </a:extLst>
        </xdr:cNvPr>
        <xdr:cNvSpPr>
          <a:spLocks noChangeShapeType="1"/>
        </xdr:cNvSpPr>
      </xdr:nvSpPr>
      <xdr:spPr bwMode="auto">
        <a:xfrm flipH="1" flipV="1">
          <a:off x="1581150" y="115760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11" name="Line 110">
          <a:extLst>
            <a:ext uri="{FF2B5EF4-FFF2-40B4-BE49-F238E27FC236}">
              <a16:creationId xmlns:a16="http://schemas.microsoft.com/office/drawing/2014/main" id="{B74F5941-7F13-430B-9D3E-3D4041D5DCA5}"/>
            </a:ext>
          </a:extLst>
        </xdr:cNvPr>
        <xdr:cNvSpPr>
          <a:spLocks noChangeShapeType="1"/>
        </xdr:cNvSpPr>
      </xdr:nvSpPr>
      <xdr:spPr bwMode="auto">
        <a:xfrm flipV="1">
          <a:off x="1581150" y="873760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12" name="Line 111">
          <a:extLst>
            <a:ext uri="{FF2B5EF4-FFF2-40B4-BE49-F238E27FC236}">
              <a16:creationId xmlns:a16="http://schemas.microsoft.com/office/drawing/2014/main" id="{4E00F7CC-DD42-4325-A6FA-8F804623DE26}"/>
            </a:ext>
          </a:extLst>
        </xdr:cNvPr>
        <xdr:cNvSpPr>
          <a:spLocks noChangeShapeType="1"/>
        </xdr:cNvSpPr>
      </xdr:nvSpPr>
      <xdr:spPr bwMode="auto">
        <a:xfrm>
          <a:off x="1581150" y="873760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113" name="Line 112">
          <a:extLst>
            <a:ext uri="{FF2B5EF4-FFF2-40B4-BE49-F238E27FC236}">
              <a16:creationId xmlns:a16="http://schemas.microsoft.com/office/drawing/2014/main" id="{538957A2-87CC-4487-8456-5FF4B81A6823}"/>
            </a:ext>
          </a:extLst>
        </xdr:cNvPr>
        <xdr:cNvSpPr>
          <a:spLocks noChangeShapeType="1"/>
        </xdr:cNvSpPr>
      </xdr:nvSpPr>
      <xdr:spPr bwMode="auto">
        <a:xfrm>
          <a:off x="5283200" y="2895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114" name="Line 113">
          <a:extLst>
            <a:ext uri="{FF2B5EF4-FFF2-40B4-BE49-F238E27FC236}">
              <a16:creationId xmlns:a16="http://schemas.microsoft.com/office/drawing/2014/main" id="{6C7BE5E2-7D75-4B5D-BD9F-7583505C52D9}"/>
            </a:ext>
          </a:extLst>
        </xdr:cNvPr>
        <xdr:cNvSpPr>
          <a:spLocks noChangeShapeType="1"/>
        </xdr:cNvSpPr>
      </xdr:nvSpPr>
      <xdr:spPr bwMode="auto">
        <a:xfrm>
          <a:off x="5283200" y="32321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115" name="Line 114">
          <a:extLst>
            <a:ext uri="{FF2B5EF4-FFF2-40B4-BE49-F238E27FC236}">
              <a16:creationId xmlns:a16="http://schemas.microsoft.com/office/drawing/2014/main" id="{0C259A35-ED42-43CF-9616-4C89C5156AEA}"/>
            </a:ext>
          </a:extLst>
        </xdr:cNvPr>
        <xdr:cNvSpPr>
          <a:spLocks noChangeShapeType="1"/>
        </xdr:cNvSpPr>
      </xdr:nvSpPr>
      <xdr:spPr bwMode="auto">
        <a:xfrm flipV="1">
          <a:off x="10121900" y="6902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8284" name="Line 1">
          <a:extLst>
            <a:ext uri="{FF2B5EF4-FFF2-40B4-BE49-F238E27FC236}">
              <a16:creationId xmlns:a16="http://schemas.microsoft.com/office/drawing/2014/main" id="{6113612C-588A-4B06-A928-0D0925C3C51E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8285" name="Line 2">
          <a:extLst>
            <a:ext uri="{FF2B5EF4-FFF2-40B4-BE49-F238E27FC236}">
              <a16:creationId xmlns:a16="http://schemas.microsoft.com/office/drawing/2014/main" id="{3563A0FA-C94B-4198-8A0A-776CA3581A69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8286" name="Line 3">
          <a:extLst>
            <a:ext uri="{FF2B5EF4-FFF2-40B4-BE49-F238E27FC236}">
              <a16:creationId xmlns:a16="http://schemas.microsoft.com/office/drawing/2014/main" id="{C8618974-9044-4112-9C76-9C7AF35A9A05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8287" name="Line 4">
          <a:extLst>
            <a:ext uri="{FF2B5EF4-FFF2-40B4-BE49-F238E27FC236}">
              <a16:creationId xmlns:a16="http://schemas.microsoft.com/office/drawing/2014/main" id="{B966E798-6DA3-45FA-B453-E933100523E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8288" name="Line 5">
          <a:extLst>
            <a:ext uri="{FF2B5EF4-FFF2-40B4-BE49-F238E27FC236}">
              <a16:creationId xmlns:a16="http://schemas.microsoft.com/office/drawing/2014/main" id="{789BF328-FAA2-45ED-8BE3-FDA2F6907282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8289" name="Line 6">
          <a:extLst>
            <a:ext uri="{FF2B5EF4-FFF2-40B4-BE49-F238E27FC236}">
              <a16:creationId xmlns:a16="http://schemas.microsoft.com/office/drawing/2014/main" id="{CF98306F-F2D9-4670-A035-20772E356FA8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8290" name="Line 7">
          <a:extLst>
            <a:ext uri="{FF2B5EF4-FFF2-40B4-BE49-F238E27FC236}">
              <a16:creationId xmlns:a16="http://schemas.microsoft.com/office/drawing/2014/main" id="{17ED56CA-A2D0-4A7C-97D3-1857B9193BBC}"/>
            </a:ext>
          </a:extLst>
        </xdr:cNvPr>
        <xdr:cNvSpPr>
          <a:spLocks noChangeShapeType="1"/>
        </xdr:cNvSpPr>
      </xdr:nvSpPr>
      <xdr:spPr bwMode="auto">
        <a:xfrm flipV="1">
          <a:off x="3217333" y="2573867"/>
          <a:ext cx="2694517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8291" name="Line 8">
          <a:extLst>
            <a:ext uri="{FF2B5EF4-FFF2-40B4-BE49-F238E27FC236}">
              <a16:creationId xmlns:a16="http://schemas.microsoft.com/office/drawing/2014/main" id="{F49C8AA3-F294-4C77-A46A-D78D2B36BB7D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8292" name="Line 9">
          <a:extLst>
            <a:ext uri="{FF2B5EF4-FFF2-40B4-BE49-F238E27FC236}">
              <a16:creationId xmlns:a16="http://schemas.microsoft.com/office/drawing/2014/main" id="{E4577D5D-1907-47A9-AA86-1883147BE293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8293" name="Line 10">
          <a:extLst>
            <a:ext uri="{FF2B5EF4-FFF2-40B4-BE49-F238E27FC236}">
              <a16:creationId xmlns:a16="http://schemas.microsoft.com/office/drawing/2014/main" id="{68D24E62-1D25-4E8E-82EC-5A7D41EF9C48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8294" name="Line 11">
          <a:extLst>
            <a:ext uri="{FF2B5EF4-FFF2-40B4-BE49-F238E27FC236}">
              <a16:creationId xmlns:a16="http://schemas.microsoft.com/office/drawing/2014/main" id="{3599E88D-D9D3-436E-A952-16E32B35834F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8295" name="Line 12">
          <a:extLst>
            <a:ext uri="{FF2B5EF4-FFF2-40B4-BE49-F238E27FC236}">
              <a16:creationId xmlns:a16="http://schemas.microsoft.com/office/drawing/2014/main" id="{0E147332-5024-456E-B851-A9B5A4D3C788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8296" name="Line 13">
          <a:extLst>
            <a:ext uri="{FF2B5EF4-FFF2-40B4-BE49-F238E27FC236}">
              <a16:creationId xmlns:a16="http://schemas.microsoft.com/office/drawing/2014/main" id="{9C8F5049-F5B9-4DA6-B27C-505C1C082855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00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8297" name="Line 14">
          <a:extLst>
            <a:ext uri="{FF2B5EF4-FFF2-40B4-BE49-F238E27FC236}">
              <a16:creationId xmlns:a16="http://schemas.microsoft.com/office/drawing/2014/main" id="{026722C7-314A-4B95-ACD0-BE5599ABACE7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33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8298" name="Line 15">
          <a:extLst>
            <a:ext uri="{FF2B5EF4-FFF2-40B4-BE49-F238E27FC236}">
              <a16:creationId xmlns:a16="http://schemas.microsoft.com/office/drawing/2014/main" id="{A53D17F1-7B5A-49B2-8095-23E370BF4D2E}"/>
            </a:ext>
          </a:extLst>
        </xdr:cNvPr>
        <xdr:cNvSpPr>
          <a:spLocks noChangeShapeType="1"/>
        </xdr:cNvSpPr>
      </xdr:nvSpPr>
      <xdr:spPr bwMode="auto">
        <a:xfrm>
          <a:off x="10401300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8299" name="Line 16">
          <a:extLst>
            <a:ext uri="{FF2B5EF4-FFF2-40B4-BE49-F238E27FC236}">
              <a16:creationId xmlns:a16="http://schemas.microsoft.com/office/drawing/2014/main" id="{2C82FC9F-690D-4D69-8F0F-6F403B2D56BA}"/>
            </a:ext>
          </a:extLst>
        </xdr:cNvPr>
        <xdr:cNvSpPr>
          <a:spLocks noChangeShapeType="1"/>
        </xdr:cNvSpPr>
      </xdr:nvSpPr>
      <xdr:spPr bwMode="auto">
        <a:xfrm>
          <a:off x="10401300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8300" name="Line 17">
          <a:extLst>
            <a:ext uri="{FF2B5EF4-FFF2-40B4-BE49-F238E27FC236}">
              <a16:creationId xmlns:a16="http://schemas.microsoft.com/office/drawing/2014/main" id="{65B0131B-826F-4AD2-A7FF-DE6B1B148E7E}"/>
            </a:ext>
          </a:extLst>
        </xdr:cNvPr>
        <xdr:cNvSpPr>
          <a:spLocks noChangeShapeType="1"/>
        </xdr:cNvSpPr>
      </xdr:nvSpPr>
      <xdr:spPr bwMode="auto">
        <a:xfrm>
          <a:off x="9639300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8301" name="Line 18">
          <a:extLst>
            <a:ext uri="{FF2B5EF4-FFF2-40B4-BE49-F238E27FC236}">
              <a16:creationId xmlns:a16="http://schemas.microsoft.com/office/drawing/2014/main" id="{AEEFB79A-20B9-402A-8C7F-B79FE157452C}"/>
            </a:ext>
          </a:extLst>
        </xdr:cNvPr>
        <xdr:cNvSpPr>
          <a:spLocks noChangeShapeType="1"/>
        </xdr:cNvSpPr>
      </xdr:nvSpPr>
      <xdr:spPr bwMode="auto">
        <a:xfrm>
          <a:off x="10401300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8302" name="Line 19">
          <a:extLst>
            <a:ext uri="{FF2B5EF4-FFF2-40B4-BE49-F238E27FC236}">
              <a16:creationId xmlns:a16="http://schemas.microsoft.com/office/drawing/2014/main" id="{018D6FD0-5327-4FA2-B952-D724024855A3}"/>
            </a:ext>
          </a:extLst>
        </xdr:cNvPr>
        <xdr:cNvSpPr>
          <a:spLocks noChangeShapeType="1"/>
        </xdr:cNvSpPr>
      </xdr:nvSpPr>
      <xdr:spPr bwMode="auto">
        <a:xfrm>
          <a:off x="10401300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8303" name="Line 20">
          <a:extLst>
            <a:ext uri="{FF2B5EF4-FFF2-40B4-BE49-F238E27FC236}">
              <a16:creationId xmlns:a16="http://schemas.microsoft.com/office/drawing/2014/main" id="{32E3373D-749B-4AC2-B24A-28817E900D6C}"/>
            </a:ext>
          </a:extLst>
        </xdr:cNvPr>
        <xdr:cNvSpPr>
          <a:spLocks noChangeShapeType="1"/>
        </xdr:cNvSpPr>
      </xdr:nvSpPr>
      <xdr:spPr bwMode="auto">
        <a:xfrm>
          <a:off x="9639300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8304" name="Line 21">
          <a:extLst>
            <a:ext uri="{FF2B5EF4-FFF2-40B4-BE49-F238E27FC236}">
              <a16:creationId xmlns:a16="http://schemas.microsoft.com/office/drawing/2014/main" id="{C695F19B-3D0F-4512-9125-9D39405E2C4B}"/>
            </a:ext>
          </a:extLst>
        </xdr:cNvPr>
        <xdr:cNvSpPr>
          <a:spLocks noChangeShapeType="1"/>
        </xdr:cNvSpPr>
      </xdr:nvSpPr>
      <xdr:spPr bwMode="auto">
        <a:xfrm>
          <a:off x="10401300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8305" name="Line 22">
          <a:extLst>
            <a:ext uri="{FF2B5EF4-FFF2-40B4-BE49-F238E27FC236}">
              <a16:creationId xmlns:a16="http://schemas.microsoft.com/office/drawing/2014/main" id="{FD52589C-61D9-4E8A-9434-04D86CF68CD7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8306" name="Line 23">
          <a:extLst>
            <a:ext uri="{FF2B5EF4-FFF2-40B4-BE49-F238E27FC236}">
              <a16:creationId xmlns:a16="http://schemas.microsoft.com/office/drawing/2014/main" id="{C70D6F95-5F07-4023-A7AF-83092D1AC70F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8307" name="Line 24">
          <a:extLst>
            <a:ext uri="{FF2B5EF4-FFF2-40B4-BE49-F238E27FC236}">
              <a16:creationId xmlns:a16="http://schemas.microsoft.com/office/drawing/2014/main" id="{A52F65A1-4A3D-4234-98DF-F23C2A34B80B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8308" name="Line 25">
          <a:extLst>
            <a:ext uri="{FF2B5EF4-FFF2-40B4-BE49-F238E27FC236}">
              <a16:creationId xmlns:a16="http://schemas.microsoft.com/office/drawing/2014/main" id="{FA053191-D730-45CF-8809-90FAD641F766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8309" name="Line 26">
          <a:extLst>
            <a:ext uri="{FF2B5EF4-FFF2-40B4-BE49-F238E27FC236}">
              <a16:creationId xmlns:a16="http://schemas.microsoft.com/office/drawing/2014/main" id="{1ABC8920-7E13-48E8-A32E-31759638F8AF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8310" name="Line 27">
          <a:extLst>
            <a:ext uri="{FF2B5EF4-FFF2-40B4-BE49-F238E27FC236}">
              <a16:creationId xmlns:a16="http://schemas.microsoft.com/office/drawing/2014/main" id="{DF11124D-71CD-4AAC-96F4-AB3DE7E0E51D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8311" name="Line 28">
          <a:extLst>
            <a:ext uri="{FF2B5EF4-FFF2-40B4-BE49-F238E27FC236}">
              <a16:creationId xmlns:a16="http://schemas.microsoft.com/office/drawing/2014/main" id="{B4B56F0A-664A-4718-A881-2F56CCA7BBDB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8312" name="Line 29">
          <a:extLst>
            <a:ext uri="{FF2B5EF4-FFF2-40B4-BE49-F238E27FC236}">
              <a16:creationId xmlns:a16="http://schemas.microsoft.com/office/drawing/2014/main" id="{12E3D862-5301-435A-88FB-592B17726F63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8313" name="Line 30">
          <a:extLst>
            <a:ext uri="{FF2B5EF4-FFF2-40B4-BE49-F238E27FC236}">
              <a16:creationId xmlns:a16="http://schemas.microsoft.com/office/drawing/2014/main" id="{FB60452A-1ABD-479D-A040-D334A3495B4E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8314" name="Line 31">
          <a:extLst>
            <a:ext uri="{FF2B5EF4-FFF2-40B4-BE49-F238E27FC236}">
              <a16:creationId xmlns:a16="http://schemas.microsoft.com/office/drawing/2014/main" id="{80F3CD5E-EEF1-4EC0-96C3-DBC49642ADD1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33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8315" name="Line 32">
          <a:extLst>
            <a:ext uri="{FF2B5EF4-FFF2-40B4-BE49-F238E27FC236}">
              <a16:creationId xmlns:a16="http://schemas.microsoft.com/office/drawing/2014/main" id="{5D0F5B5E-8775-4F67-8D2B-5F771D31D6AA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8316" name="Line 33">
          <a:extLst>
            <a:ext uri="{FF2B5EF4-FFF2-40B4-BE49-F238E27FC236}">
              <a16:creationId xmlns:a16="http://schemas.microsoft.com/office/drawing/2014/main" id="{6FDE627D-F892-418E-9973-A1E7DEFEC652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8317" name="Line 34">
          <a:extLst>
            <a:ext uri="{FF2B5EF4-FFF2-40B4-BE49-F238E27FC236}">
              <a16:creationId xmlns:a16="http://schemas.microsoft.com/office/drawing/2014/main" id="{3D100C6D-2D5D-4A33-8B21-B09FCE232107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00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8318" name="Line 35">
          <a:extLst>
            <a:ext uri="{FF2B5EF4-FFF2-40B4-BE49-F238E27FC236}">
              <a16:creationId xmlns:a16="http://schemas.microsoft.com/office/drawing/2014/main" id="{978C9CDC-7029-4FF1-BC75-3A6839460556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33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8319" name="Line 36">
          <a:extLst>
            <a:ext uri="{FF2B5EF4-FFF2-40B4-BE49-F238E27FC236}">
              <a16:creationId xmlns:a16="http://schemas.microsoft.com/office/drawing/2014/main" id="{5E1F7706-14CC-4AD3-913A-5C412DAA8CE4}"/>
            </a:ext>
          </a:extLst>
        </xdr:cNvPr>
        <xdr:cNvSpPr>
          <a:spLocks noChangeShapeType="1"/>
        </xdr:cNvSpPr>
      </xdr:nvSpPr>
      <xdr:spPr bwMode="auto">
        <a:xfrm flipV="1">
          <a:off x="10401300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8320" name="Line 37">
          <a:extLst>
            <a:ext uri="{FF2B5EF4-FFF2-40B4-BE49-F238E27FC236}">
              <a16:creationId xmlns:a16="http://schemas.microsoft.com/office/drawing/2014/main" id="{E96BFB7B-BF14-41FD-B13E-8DBCD1DDE7B4}"/>
            </a:ext>
          </a:extLst>
        </xdr:cNvPr>
        <xdr:cNvSpPr>
          <a:spLocks noChangeShapeType="1"/>
        </xdr:cNvSpPr>
      </xdr:nvSpPr>
      <xdr:spPr bwMode="auto">
        <a:xfrm>
          <a:off x="9639300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8321" name="Line 38">
          <a:extLst>
            <a:ext uri="{FF2B5EF4-FFF2-40B4-BE49-F238E27FC236}">
              <a16:creationId xmlns:a16="http://schemas.microsoft.com/office/drawing/2014/main" id="{030D3AED-8259-447A-9485-39C92F87A31C}"/>
            </a:ext>
          </a:extLst>
        </xdr:cNvPr>
        <xdr:cNvSpPr>
          <a:spLocks noChangeShapeType="1"/>
        </xdr:cNvSpPr>
      </xdr:nvSpPr>
      <xdr:spPr bwMode="auto">
        <a:xfrm>
          <a:off x="11715750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8322" name="Line 39">
          <a:extLst>
            <a:ext uri="{FF2B5EF4-FFF2-40B4-BE49-F238E27FC236}">
              <a16:creationId xmlns:a16="http://schemas.microsoft.com/office/drawing/2014/main" id="{DC4FDEF2-9B49-4C9B-9F64-1E7A6D2FAE8B}"/>
            </a:ext>
          </a:extLst>
        </xdr:cNvPr>
        <xdr:cNvSpPr>
          <a:spLocks noChangeShapeType="1"/>
        </xdr:cNvSpPr>
      </xdr:nvSpPr>
      <xdr:spPr bwMode="auto">
        <a:xfrm>
          <a:off x="11715750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8323" name="Line 40">
          <a:extLst>
            <a:ext uri="{FF2B5EF4-FFF2-40B4-BE49-F238E27FC236}">
              <a16:creationId xmlns:a16="http://schemas.microsoft.com/office/drawing/2014/main" id="{C1099FF9-8E14-4B36-B6BC-AE3C2677C1D3}"/>
            </a:ext>
          </a:extLst>
        </xdr:cNvPr>
        <xdr:cNvSpPr>
          <a:spLocks noChangeShapeType="1"/>
        </xdr:cNvSpPr>
      </xdr:nvSpPr>
      <xdr:spPr bwMode="auto">
        <a:xfrm>
          <a:off x="11715750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8324" name="Line 41">
          <a:extLst>
            <a:ext uri="{FF2B5EF4-FFF2-40B4-BE49-F238E27FC236}">
              <a16:creationId xmlns:a16="http://schemas.microsoft.com/office/drawing/2014/main" id="{76609618-7CC2-48EB-9A1D-9BE0099ABB46}"/>
            </a:ext>
          </a:extLst>
        </xdr:cNvPr>
        <xdr:cNvSpPr>
          <a:spLocks noChangeShapeType="1"/>
        </xdr:cNvSpPr>
      </xdr:nvSpPr>
      <xdr:spPr bwMode="auto">
        <a:xfrm>
          <a:off x="11068050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8325" name="Line 42">
          <a:extLst>
            <a:ext uri="{FF2B5EF4-FFF2-40B4-BE49-F238E27FC236}">
              <a16:creationId xmlns:a16="http://schemas.microsoft.com/office/drawing/2014/main" id="{D79C34BD-7329-4819-8E39-9662CEAD8893}"/>
            </a:ext>
          </a:extLst>
        </xdr:cNvPr>
        <xdr:cNvSpPr>
          <a:spLocks noChangeShapeType="1"/>
        </xdr:cNvSpPr>
      </xdr:nvSpPr>
      <xdr:spPr bwMode="auto">
        <a:xfrm>
          <a:off x="142779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8326" name="Line 43">
          <a:extLst>
            <a:ext uri="{FF2B5EF4-FFF2-40B4-BE49-F238E27FC236}">
              <a16:creationId xmlns:a16="http://schemas.microsoft.com/office/drawing/2014/main" id="{2314714E-01A8-408A-AD75-117034487B58}"/>
            </a:ext>
          </a:extLst>
        </xdr:cNvPr>
        <xdr:cNvSpPr>
          <a:spLocks noChangeShapeType="1"/>
        </xdr:cNvSpPr>
      </xdr:nvSpPr>
      <xdr:spPr bwMode="auto">
        <a:xfrm>
          <a:off x="142779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8327" name="Line 44">
          <a:extLst>
            <a:ext uri="{FF2B5EF4-FFF2-40B4-BE49-F238E27FC236}">
              <a16:creationId xmlns:a16="http://schemas.microsoft.com/office/drawing/2014/main" id="{3608B640-709D-4BFD-88DA-009D23351B11}"/>
            </a:ext>
          </a:extLst>
        </xdr:cNvPr>
        <xdr:cNvSpPr>
          <a:spLocks noChangeShapeType="1"/>
        </xdr:cNvSpPr>
      </xdr:nvSpPr>
      <xdr:spPr bwMode="auto">
        <a:xfrm>
          <a:off x="138588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8328" name="Line 45">
          <a:extLst>
            <a:ext uri="{FF2B5EF4-FFF2-40B4-BE49-F238E27FC236}">
              <a16:creationId xmlns:a16="http://schemas.microsoft.com/office/drawing/2014/main" id="{F2F96B55-4196-40DA-A575-EDE7DDB3D8C4}"/>
            </a:ext>
          </a:extLst>
        </xdr:cNvPr>
        <xdr:cNvSpPr>
          <a:spLocks noChangeShapeType="1"/>
        </xdr:cNvSpPr>
      </xdr:nvSpPr>
      <xdr:spPr bwMode="auto">
        <a:xfrm>
          <a:off x="142779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8329" name="Line 46">
          <a:extLst>
            <a:ext uri="{FF2B5EF4-FFF2-40B4-BE49-F238E27FC236}">
              <a16:creationId xmlns:a16="http://schemas.microsoft.com/office/drawing/2014/main" id="{CCB854EF-3AFB-4376-AB21-0234857E8BFF}"/>
            </a:ext>
          </a:extLst>
        </xdr:cNvPr>
        <xdr:cNvSpPr>
          <a:spLocks noChangeShapeType="1"/>
        </xdr:cNvSpPr>
      </xdr:nvSpPr>
      <xdr:spPr bwMode="auto">
        <a:xfrm>
          <a:off x="142779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8330" name="Line 47">
          <a:extLst>
            <a:ext uri="{FF2B5EF4-FFF2-40B4-BE49-F238E27FC236}">
              <a16:creationId xmlns:a16="http://schemas.microsoft.com/office/drawing/2014/main" id="{3B922013-379D-4566-BC49-CA7845556D02}"/>
            </a:ext>
          </a:extLst>
        </xdr:cNvPr>
        <xdr:cNvSpPr>
          <a:spLocks noChangeShapeType="1"/>
        </xdr:cNvSpPr>
      </xdr:nvSpPr>
      <xdr:spPr bwMode="auto">
        <a:xfrm>
          <a:off x="138588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8331" name="Line 48">
          <a:extLst>
            <a:ext uri="{FF2B5EF4-FFF2-40B4-BE49-F238E27FC236}">
              <a16:creationId xmlns:a16="http://schemas.microsoft.com/office/drawing/2014/main" id="{92CB5984-6C21-4F95-80EF-4F0BAC09CC25}"/>
            </a:ext>
          </a:extLst>
        </xdr:cNvPr>
        <xdr:cNvSpPr>
          <a:spLocks noChangeShapeType="1"/>
        </xdr:cNvSpPr>
      </xdr:nvSpPr>
      <xdr:spPr bwMode="auto">
        <a:xfrm>
          <a:off x="142779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8332" name="Line 49">
          <a:extLst>
            <a:ext uri="{FF2B5EF4-FFF2-40B4-BE49-F238E27FC236}">
              <a16:creationId xmlns:a16="http://schemas.microsoft.com/office/drawing/2014/main" id="{F1C76FEE-E05C-40DE-B476-CE5E915404CC}"/>
            </a:ext>
          </a:extLst>
        </xdr:cNvPr>
        <xdr:cNvSpPr>
          <a:spLocks noChangeShapeType="1"/>
        </xdr:cNvSpPr>
      </xdr:nvSpPr>
      <xdr:spPr bwMode="auto">
        <a:xfrm>
          <a:off x="138588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8333" name="Line 50">
          <a:extLst>
            <a:ext uri="{FF2B5EF4-FFF2-40B4-BE49-F238E27FC236}">
              <a16:creationId xmlns:a16="http://schemas.microsoft.com/office/drawing/2014/main" id="{962F62D4-D5F1-4B11-99EA-C41845AA4AAF}"/>
            </a:ext>
          </a:extLst>
        </xdr:cNvPr>
        <xdr:cNvSpPr>
          <a:spLocks noChangeShapeType="1"/>
        </xdr:cNvSpPr>
      </xdr:nvSpPr>
      <xdr:spPr bwMode="auto">
        <a:xfrm flipV="1">
          <a:off x="142779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8334" name="Line 51">
          <a:extLst>
            <a:ext uri="{FF2B5EF4-FFF2-40B4-BE49-F238E27FC236}">
              <a16:creationId xmlns:a16="http://schemas.microsoft.com/office/drawing/2014/main" id="{BEDDEEE8-13C6-4DE8-87E1-87A313639917}"/>
            </a:ext>
          </a:extLst>
        </xdr:cNvPr>
        <xdr:cNvSpPr>
          <a:spLocks noChangeShapeType="1"/>
        </xdr:cNvSpPr>
      </xdr:nvSpPr>
      <xdr:spPr bwMode="auto">
        <a:xfrm flipV="1">
          <a:off x="138588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8335" name="Line 52">
          <a:extLst>
            <a:ext uri="{FF2B5EF4-FFF2-40B4-BE49-F238E27FC236}">
              <a16:creationId xmlns:a16="http://schemas.microsoft.com/office/drawing/2014/main" id="{CAAF3E89-C2B8-4991-969A-40108AF238CF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8336" name="Line 53">
          <a:extLst>
            <a:ext uri="{FF2B5EF4-FFF2-40B4-BE49-F238E27FC236}">
              <a16:creationId xmlns:a16="http://schemas.microsoft.com/office/drawing/2014/main" id="{E850BEAA-FF11-4A99-8569-720C161FA525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8337" name="Line 54">
          <a:extLst>
            <a:ext uri="{FF2B5EF4-FFF2-40B4-BE49-F238E27FC236}">
              <a16:creationId xmlns:a16="http://schemas.microsoft.com/office/drawing/2014/main" id="{F267F856-37D7-483B-8DF9-F22E4F064437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8338" name="Line 55">
          <a:extLst>
            <a:ext uri="{FF2B5EF4-FFF2-40B4-BE49-F238E27FC236}">
              <a16:creationId xmlns:a16="http://schemas.microsoft.com/office/drawing/2014/main" id="{7313D1CD-DFF7-411E-8B4F-A7273CE41A6E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8339" name="Line 56">
          <a:extLst>
            <a:ext uri="{FF2B5EF4-FFF2-40B4-BE49-F238E27FC236}">
              <a16:creationId xmlns:a16="http://schemas.microsoft.com/office/drawing/2014/main" id="{FFE9DD45-8FDD-48FE-9586-065C0228D54C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8340" name="Line 57">
          <a:extLst>
            <a:ext uri="{FF2B5EF4-FFF2-40B4-BE49-F238E27FC236}">
              <a16:creationId xmlns:a16="http://schemas.microsoft.com/office/drawing/2014/main" id="{468CFD5F-4DD9-4608-BFEB-F03F964A4B80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8341" name="Line 58">
          <a:extLst>
            <a:ext uri="{FF2B5EF4-FFF2-40B4-BE49-F238E27FC236}">
              <a16:creationId xmlns:a16="http://schemas.microsoft.com/office/drawing/2014/main" id="{94006B52-95E0-422B-8EE0-9063C4FC031B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8342" name="Line 59">
          <a:extLst>
            <a:ext uri="{FF2B5EF4-FFF2-40B4-BE49-F238E27FC236}">
              <a16:creationId xmlns:a16="http://schemas.microsoft.com/office/drawing/2014/main" id="{AC673119-2D4B-4DD2-972D-C4BE7A8FD643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33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152400</xdr:rowOff>
    </xdr:from>
    <xdr:to>
      <xdr:col>14</xdr:col>
      <xdr:colOff>0</xdr:colOff>
      <xdr:row>44</xdr:row>
      <xdr:rowOff>152400</xdr:rowOff>
    </xdr:to>
    <xdr:sp macro="" textlink="">
      <xdr:nvSpPr>
        <xdr:cNvPr id="528343" name="Line 60">
          <a:extLst>
            <a:ext uri="{FF2B5EF4-FFF2-40B4-BE49-F238E27FC236}">
              <a16:creationId xmlns:a16="http://schemas.microsoft.com/office/drawing/2014/main" id="{FE5E5ADE-86E3-4F6D-A71D-F54117D1736D}"/>
            </a:ext>
          </a:extLst>
        </xdr:cNvPr>
        <xdr:cNvSpPr>
          <a:spLocks noChangeShapeType="1"/>
        </xdr:cNvSpPr>
      </xdr:nvSpPr>
      <xdr:spPr bwMode="auto">
        <a:xfrm>
          <a:off x="5029200" y="77343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8344" name="Line 61">
          <a:extLst>
            <a:ext uri="{FF2B5EF4-FFF2-40B4-BE49-F238E27FC236}">
              <a16:creationId xmlns:a16="http://schemas.microsoft.com/office/drawing/2014/main" id="{ADD041D2-9634-4F2E-BC89-CE1C87DF8605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8345" name="Line 62">
          <a:extLst>
            <a:ext uri="{FF2B5EF4-FFF2-40B4-BE49-F238E27FC236}">
              <a16:creationId xmlns:a16="http://schemas.microsoft.com/office/drawing/2014/main" id="{9B59076E-7DF2-48E7-89E9-5EFD623A831D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8346" name="Line 63">
          <a:extLst>
            <a:ext uri="{FF2B5EF4-FFF2-40B4-BE49-F238E27FC236}">
              <a16:creationId xmlns:a16="http://schemas.microsoft.com/office/drawing/2014/main" id="{5A376219-9FE2-464B-9160-0EBCDFDE34C2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8347" name="Line 64">
          <a:extLst>
            <a:ext uri="{FF2B5EF4-FFF2-40B4-BE49-F238E27FC236}">
              <a16:creationId xmlns:a16="http://schemas.microsoft.com/office/drawing/2014/main" id="{A254CB09-E786-42AA-803C-3DF8BF49552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8348" name="Line 65">
          <a:extLst>
            <a:ext uri="{FF2B5EF4-FFF2-40B4-BE49-F238E27FC236}">
              <a16:creationId xmlns:a16="http://schemas.microsoft.com/office/drawing/2014/main" id="{0D0AD469-88E0-42E1-85C4-68428D25F063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8349" name="Line 66">
          <a:extLst>
            <a:ext uri="{FF2B5EF4-FFF2-40B4-BE49-F238E27FC236}">
              <a16:creationId xmlns:a16="http://schemas.microsoft.com/office/drawing/2014/main" id="{EF9C8A9F-0C09-4EC0-8495-54CC31F86BA8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8350" name="Line 67">
          <a:extLst>
            <a:ext uri="{FF2B5EF4-FFF2-40B4-BE49-F238E27FC236}">
              <a16:creationId xmlns:a16="http://schemas.microsoft.com/office/drawing/2014/main" id="{2DB954AA-939D-4A33-B97B-47237D635475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8351" name="Line 68">
          <a:extLst>
            <a:ext uri="{FF2B5EF4-FFF2-40B4-BE49-F238E27FC236}">
              <a16:creationId xmlns:a16="http://schemas.microsoft.com/office/drawing/2014/main" id="{3AD6CEDB-E80D-497C-BAFD-239F66CA0331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33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8352" name="Line 69">
          <a:extLst>
            <a:ext uri="{FF2B5EF4-FFF2-40B4-BE49-F238E27FC236}">
              <a16:creationId xmlns:a16="http://schemas.microsoft.com/office/drawing/2014/main" id="{D3CBB237-E000-4D76-8024-B9463B789C19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8353" name="Line 70">
          <a:extLst>
            <a:ext uri="{FF2B5EF4-FFF2-40B4-BE49-F238E27FC236}">
              <a16:creationId xmlns:a16="http://schemas.microsoft.com/office/drawing/2014/main" id="{E9E3EF9A-93BB-4BBA-B736-8E110D0333B1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8354" name="Line 71">
          <a:extLst>
            <a:ext uri="{FF2B5EF4-FFF2-40B4-BE49-F238E27FC236}">
              <a16:creationId xmlns:a16="http://schemas.microsoft.com/office/drawing/2014/main" id="{45B3ECA2-1449-4C8F-B6FB-5CBB5CB143EC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8355" name="Line 72">
          <a:extLst>
            <a:ext uri="{FF2B5EF4-FFF2-40B4-BE49-F238E27FC236}">
              <a16:creationId xmlns:a16="http://schemas.microsoft.com/office/drawing/2014/main" id="{9B630496-1D12-4530-BCFA-02BEB0A46714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8356" name="Line 73">
          <a:extLst>
            <a:ext uri="{FF2B5EF4-FFF2-40B4-BE49-F238E27FC236}">
              <a16:creationId xmlns:a16="http://schemas.microsoft.com/office/drawing/2014/main" id="{990FC251-2672-4A2A-B367-D359316B995A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8357" name="Line 74">
          <a:extLst>
            <a:ext uri="{FF2B5EF4-FFF2-40B4-BE49-F238E27FC236}">
              <a16:creationId xmlns:a16="http://schemas.microsoft.com/office/drawing/2014/main" id="{2AF3BE53-E1CF-4735-AF1F-9CBEFFC8FF7B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8358" name="Line 75">
          <a:extLst>
            <a:ext uri="{FF2B5EF4-FFF2-40B4-BE49-F238E27FC236}">
              <a16:creationId xmlns:a16="http://schemas.microsoft.com/office/drawing/2014/main" id="{A4D51A25-090F-48FF-8E3A-6AF4AB104C89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8359" name="Line 76">
          <a:extLst>
            <a:ext uri="{FF2B5EF4-FFF2-40B4-BE49-F238E27FC236}">
              <a16:creationId xmlns:a16="http://schemas.microsoft.com/office/drawing/2014/main" id="{94B8D823-4884-44A1-9047-D66136788174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8360" name="Line 77">
          <a:extLst>
            <a:ext uri="{FF2B5EF4-FFF2-40B4-BE49-F238E27FC236}">
              <a16:creationId xmlns:a16="http://schemas.microsoft.com/office/drawing/2014/main" id="{AE4B28CC-5DC2-40BE-86E8-8FE8E67051F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8361" name="Line 78">
          <a:extLst>
            <a:ext uri="{FF2B5EF4-FFF2-40B4-BE49-F238E27FC236}">
              <a16:creationId xmlns:a16="http://schemas.microsoft.com/office/drawing/2014/main" id="{2075C289-ED42-4820-A7C1-1AF4D46AAE4D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8362" name="Line 79">
          <a:extLst>
            <a:ext uri="{FF2B5EF4-FFF2-40B4-BE49-F238E27FC236}">
              <a16:creationId xmlns:a16="http://schemas.microsoft.com/office/drawing/2014/main" id="{1DBF6EDA-4551-42A3-8110-8D70BEF870D8}"/>
            </a:ext>
          </a:extLst>
        </xdr:cNvPr>
        <xdr:cNvSpPr>
          <a:spLocks noChangeShapeType="1"/>
        </xdr:cNvSpPr>
      </xdr:nvSpPr>
      <xdr:spPr bwMode="auto">
        <a:xfrm>
          <a:off x="104013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8363" name="Line 80">
          <a:extLst>
            <a:ext uri="{FF2B5EF4-FFF2-40B4-BE49-F238E27FC236}">
              <a16:creationId xmlns:a16="http://schemas.microsoft.com/office/drawing/2014/main" id="{808D1EE6-7D76-4DC6-ADE8-89EB7BBBF281}"/>
            </a:ext>
          </a:extLst>
        </xdr:cNvPr>
        <xdr:cNvSpPr>
          <a:spLocks noChangeShapeType="1"/>
        </xdr:cNvSpPr>
      </xdr:nvSpPr>
      <xdr:spPr bwMode="auto">
        <a:xfrm>
          <a:off x="10401300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8364" name="Line 81">
          <a:extLst>
            <a:ext uri="{FF2B5EF4-FFF2-40B4-BE49-F238E27FC236}">
              <a16:creationId xmlns:a16="http://schemas.microsoft.com/office/drawing/2014/main" id="{F9F60321-41E3-44F4-BDB6-92CB0519DD3D}"/>
            </a:ext>
          </a:extLst>
        </xdr:cNvPr>
        <xdr:cNvSpPr>
          <a:spLocks noChangeShapeType="1"/>
        </xdr:cNvSpPr>
      </xdr:nvSpPr>
      <xdr:spPr bwMode="auto">
        <a:xfrm>
          <a:off x="9639300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8365" name="Line 82">
          <a:extLst>
            <a:ext uri="{FF2B5EF4-FFF2-40B4-BE49-F238E27FC236}">
              <a16:creationId xmlns:a16="http://schemas.microsoft.com/office/drawing/2014/main" id="{F620514F-2FE5-47E3-8975-2B8F8E2FD8DC}"/>
            </a:ext>
          </a:extLst>
        </xdr:cNvPr>
        <xdr:cNvSpPr>
          <a:spLocks noChangeShapeType="1"/>
        </xdr:cNvSpPr>
      </xdr:nvSpPr>
      <xdr:spPr bwMode="auto">
        <a:xfrm>
          <a:off x="9639300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8366" name="Line 83">
          <a:extLst>
            <a:ext uri="{FF2B5EF4-FFF2-40B4-BE49-F238E27FC236}">
              <a16:creationId xmlns:a16="http://schemas.microsoft.com/office/drawing/2014/main" id="{5FF5D6AB-D2B3-4E90-8B84-5D905AA65320}"/>
            </a:ext>
          </a:extLst>
        </xdr:cNvPr>
        <xdr:cNvSpPr>
          <a:spLocks noChangeShapeType="1"/>
        </xdr:cNvSpPr>
      </xdr:nvSpPr>
      <xdr:spPr bwMode="auto">
        <a:xfrm>
          <a:off x="142779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8367" name="Line 84">
          <a:extLst>
            <a:ext uri="{FF2B5EF4-FFF2-40B4-BE49-F238E27FC236}">
              <a16:creationId xmlns:a16="http://schemas.microsoft.com/office/drawing/2014/main" id="{E3D71EF7-CCC8-49F5-A612-B5EA2D77ED76}"/>
            </a:ext>
          </a:extLst>
        </xdr:cNvPr>
        <xdr:cNvSpPr>
          <a:spLocks noChangeShapeType="1"/>
        </xdr:cNvSpPr>
      </xdr:nvSpPr>
      <xdr:spPr bwMode="auto">
        <a:xfrm>
          <a:off x="142779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8368" name="Line 85">
          <a:extLst>
            <a:ext uri="{FF2B5EF4-FFF2-40B4-BE49-F238E27FC236}">
              <a16:creationId xmlns:a16="http://schemas.microsoft.com/office/drawing/2014/main" id="{B4A419B1-7116-447D-AB15-36CC3304273A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8369" name="Line 86">
          <a:extLst>
            <a:ext uri="{FF2B5EF4-FFF2-40B4-BE49-F238E27FC236}">
              <a16:creationId xmlns:a16="http://schemas.microsoft.com/office/drawing/2014/main" id="{86282B6E-49FC-4000-96D9-01B539E7A58D}"/>
            </a:ext>
          </a:extLst>
        </xdr:cNvPr>
        <xdr:cNvSpPr>
          <a:spLocks noChangeShapeType="1"/>
        </xdr:cNvSpPr>
      </xdr:nvSpPr>
      <xdr:spPr bwMode="auto">
        <a:xfrm>
          <a:off x="9639300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8370" name="Line 87">
          <a:extLst>
            <a:ext uri="{FF2B5EF4-FFF2-40B4-BE49-F238E27FC236}">
              <a16:creationId xmlns:a16="http://schemas.microsoft.com/office/drawing/2014/main" id="{FF63E2DC-6BF1-403A-B4C6-742AA3334231}"/>
            </a:ext>
          </a:extLst>
        </xdr:cNvPr>
        <xdr:cNvSpPr>
          <a:spLocks noChangeShapeType="1"/>
        </xdr:cNvSpPr>
      </xdr:nvSpPr>
      <xdr:spPr bwMode="auto">
        <a:xfrm flipV="1">
          <a:off x="9753600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8371" name="Line 88">
          <a:extLst>
            <a:ext uri="{FF2B5EF4-FFF2-40B4-BE49-F238E27FC236}">
              <a16:creationId xmlns:a16="http://schemas.microsoft.com/office/drawing/2014/main" id="{9E8545A7-FC1B-49DC-9595-544885D35BA5}"/>
            </a:ext>
          </a:extLst>
        </xdr:cNvPr>
        <xdr:cNvSpPr>
          <a:spLocks noChangeShapeType="1"/>
        </xdr:cNvSpPr>
      </xdr:nvSpPr>
      <xdr:spPr bwMode="auto">
        <a:xfrm>
          <a:off x="9639300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8372" name="Line 89">
          <a:extLst>
            <a:ext uri="{FF2B5EF4-FFF2-40B4-BE49-F238E27FC236}">
              <a16:creationId xmlns:a16="http://schemas.microsoft.com/office/drawing/2014/main" id="{ECEB5AED-EDE6-4264-AFC7-B74CC8C5ABBB}"/>
            </a:ext>
          </a:extLst>
        </xdr:cNvPr>
        <xdr:cNvSpPr>
          <a:spLocks noChangeShapeType="1"/>
        </xdr:cNvSpPr>
      </xdr:nvSpPr>
      <xdr:spPr bwMode="auto">
        <a:xfrm>
          <a:off x="9639300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8373" name="Line 90">
          <a:extLst>
            <a:ext uri="{FF2B5EF4-FFF2-40B4-BE49-F238E27FC236}">
              <a16:creationId xmlns:a16="http://schemas.microsoft.com/office/drawing/2014/main" id="{F077A24F-EDDB-4080-B0AC-5B496D290DBE}"/>
            </a:ext>
          </a:extLst>
        </xdr:cNvPr>
        <xdr:cNvSpPr>
          <a:spLocks noChangeShapeType="1"/>
        </xdr:cNvSpPr>
      </xdr:nvSpPr>
      <xdr:spPr bwMode="auto">
        <a:xfrm>
          <a:off x="9753600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8374" name="Line 91">
          <a:extLst>
            <a:ext uri="{FF2B5EF4-FFF2-40B4-BE49-F238E27FC236}">
              <a16:creationId xmlns:a16="http://schemas.microsoft.com/office/drawing/2014/main" id="{FE2979A3-B6B0-4450-BC5E-37E8A034A2B2}"/>
            </a:ext>
          </a:extLst>
        </xdr:cNvPr>
        <xdr:cNvSpPr>
          <a:spLocks noChangeShapeType="1"/>
        </xdr:cNvSpPr>
      </xdr:nvSpPr>
      <xdr:spPr bwMode="auto">
        <a:xfrm flipV="1">
          <a:off x="9753600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8375" name="Line 92">
          <a:extLst>
            <a:ext uri="{FF2B5EF4-FFF2-40B4-BE49-F238E27FC236}">
              <a16:creationId xmlns:a16="http://schemas.microsoft.com/office/drawing/2014/main" id="{DA7CE11C-28C1-4CE9-B6B0-E47AD3DC8C0B}"/>
            </a:ext>
          </a:extLst>
        </xdr:cNvPr>
        <xdr:cNvSpPr>
          <a:spLocks noChangeShapeType="1"/>
        </xdr:cNvSpPr>
      </xdr:nvSpPr>
      <xdr:spPr bwMode="auto">
        <a:xfrm flipV="1">
          <a:off x="9639300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8376" name="Line 93">
          <a:extLst>
            <a:ext uri="{FF2B5EF4-FFF2-40B4-BE49-F238E27FC236}">
              <a16:creationId xmlns:a16="http://schemas.microsoft.com/office/drawing/2014/main" id="{62A6A38B-C6E1-4A5C-910A-6D7DDAD6F84D}"/>
            </a:ext>
          </a:extLst>
        </xdr:cNvPr>
        <xdr:cNvSpPr>
          <a:spLocks noChangeShapeType="1"/>
        </xdr:cNvSpPr>
      </xdr:nvSpPr>
      <xdr:spPr bwMode="auto">
        <a:xfrm>
          <a:off x="9753600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8377" name="Line 94">
          <a:extLst>
            <a:ext uri="{FF2B5EF4-FFF2-40B4-BE49-F238E27FC236}">
              <a16:creationId xmlns:a16="http://schemas.microsoft.com/office/drawing/2014/main" id="{7879D6DB-44B3-4B6B-A8FB-34437AE360A7}"/>
            </a:ext>
          </a:extLst>
        </xdr:cNvPr>
        <xdr:cNvSpPr>
          <a:spLocks noChangeShapeType="1"/>
        </xdr:cNvSpPr>
      </xdr:nvSpPr>
      <xdr:spPr bwMode="auto">
        <a:xfrm>
          <a:off x="117157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8378" name="Line 95">
          <a:extLst>
            <a:ext uri="{FF2B5EF4-FFF2-40B4-BE49-F238E27FC236}">
              <a16:creationId xmlns:a16="http://schemas.microsoft.com/office/drawing/2014/main" id="{162C2BFB-5DCE-4D91-86F6-011D86CF5767}"/>
            </a:ext>
          </a:extLst>
        </xdr:cNvPr>
        <xdr:cNvSpPr>
          <a:spLocks noChangeShapeType="1"/>
        </xdr:cNvSpPr>
      </xdr:nvSpPr>
      <xdr:spPr bwMode="auto">
        <a:xfrm>
          <a:off x="117157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8379" name="Line 96">
          <a:extLst>
            <a:ext uri="{FF2B5EF4-FFF2-40B4-BE49-F238E27FC236}">
              <a16:creationId xmlns:a16="http://schemas.microsoft.com/office/drawing/2014/main" id="{7D39E5E9-05FB-4BBD-8375-BD4009F8EBDA}"/>
            </a:ext>
          </a:extLst>
        </xdr:cNvPr>
        <xdr:cNvSpPr>
          <a:spLocks noChangeShapeType="1"/>
        </xdr:cNvSpPr>
      </xdr:nvSpPr>
      <xdr:spPr bwMode="auto">
        <a:xfrm>
          <a:off x="9639300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8380" name="Line 97">
          <a:extLst>
            <a:ext uri="{FF2B5EF4-FFF2-40B4-BE49-F238E27FC236}">
              <a16:creationId xmlns:a16="http://schemas.microsoft.com/office/drawing/2014/main" id="{181387CF-7B89-4B16-9E51-5EBC8C66AC03}"/>
            </a:ext>
          </a:extLst>
        </xdr:cNvPr>
        <xdr:cNvSpPr>
          <a:spLocks noChangeShapeType="1"/>
        </xdr:cNvSpPr>
      </xdr:nvSpPr>
      <xdr:spPr bwMode="auto">
        <a:xfrm>
          <a:off x="117157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8381" name="Line 98">
          <a:extLst>
            <a:ext uri="{FF2B5EF4-FFF2-40B4-BE49-F238E27FC236}">
              <a16:creationId xmlns:a16="http://schemas.microsoft.com/office/drawing/2014/main" id="{806A2F4C-F9A3-4A97-B0BE-E6A2DDF949E3}"/>
            </a:ext>
          </a:extLst>
        </xdr:cNvPr>
        <xdr:cNvSpPr>
          <a:spLocks noChangeShapeType="1"/>
        </xdr:cNvSpPr>
      </xdr:nvSpPr>
      <xdr:spPr bwMode="auto">
        <a:xfrm flipV="1">
          <a:off x="9639300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8382" name="Line 99">
          <a:extLst>
            <a:ext uri="{FF2B5EF4-FFF2-40B4-BE49-F238E27FC236}">
              <a16:creationId xmlns:a16="http://schemas.microsoft.com/office/drawing/2014/main" id="{04C2EC39-DA1F-4234-8725-802FEDB012C5}"/>
            </a:ext>
          </a:extLst>
        </xdr:cNvPr>
        <xdr:cNvSpPr>
          <a:spLocks noChangeShapeType="1"/>
        </xdr:cNvSpPr>
      </xdr:nvSpPr>
      <xdr:spPr bwMode="auto">
        <a:xfrm>
          <a:off x="104013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8383" name="Line 100">
          <a:extLst>
            <a:ext uri="{FF2B5EF4-FFF2-40B4-BE49-F238E27FC236}">
              <a16:creationId xmlns:a16="http://schemas.microsoft.com/office/drawing/2014/main" id="{1CEFAAB6-6254-4931-BF35-2C693FF66577}"/>
            </a:ext>
          </a:extLst>
        </xdr:cNvPr>
        <xdr:cNvSpPr>
          <a:spLocks noChangeShapeType="1"/>
        </xdr:cNvSpPr>
      </xdr:nvSpPr>
      <xdr:spPr bwMode="auto">
        <a:xfrm>
          <a:off x="142779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2720" name="Line 101">
          <a:extLst>
            <a:ext uri="{FF2B5EF4-FFF2-40B4-BE49-F238E27FC236}">
              <a16:creationId xmlns:a16="http://schemas.microsoft.com/office/drawing/2014/main" id="{70831058-BDA9-4509-A53F-EE314521957A}"/>
            </a:ext>
          </a:extLst>
        </xdr:cNvPr>
        <xdr:cNvSpPr>
          <a:spLocks noChangeShapeType="1"/>
        </xdr:cNvSpPr>
      </xdr:nvSpPr>
      <xdr:spPr bwMode="auto">
        <a:xfrm>
          <a:off x="13858875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2721" name="Line 102">
          <a:extLst>
            <a:ext uri="{FF2B5EF4-FFF2-40B4-BE49-F238E27FC236}">
              <a16:creationId xmlns:a16="http://schemas.microsoft.com/office/drawing/2014/main" id="{5A2195A2-BA5D-4EDC-B152-46EED5ED6C01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2722" name="Line 103">
          <a:extLst>
            <a:ext uri="{FF2B5EF4-FFF2-40B4-BE49-F238E27FC236}">
              <a16:creationId xmlns:a16="http://schemas.microsoft.com/office/drawing/2014/main" id="{9495AF59-2687-4A6D-AAA9-92CA07D78BFE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2723" name="Line 104">
          <a:extLst>
            <a:ext uri="{FF2B5EF4-FFF2-40B4-BE49-F238E27FC236}">
              <a16:creationId xmlns:a16="http://schemas.microsoft.com/office/drawing/2014/main" id="{92D2DA3A-F169-4AF8-A22D-2309F477FAE1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2724" name="Line 105">
          <a:extLst>
            <a:ext uri="{FF2B5EF4-FFF2-40B4-BE49-F238E27FC236}">
              <a16:creationId xmlns:a16="http://schemas.microsoft.com/office/drawing/2014/main" id="{82318456-F27E-4F2C-A1EA-A6C98F98BA0C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2725" name="Line 106">
          <a:extLst>
            <a:ext uri="{FF2B5EF4-FFF2-40B4-BE49-F238E27FC236}">
              <a16:creationId xmlns:a16="http://schemas.microsoft.com/office/drawing/2014/main" id="{F72F697F-266C-4E68-AA85-CB5D3EF53753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2726" name="Line 107">
          <a:extLst>
            <a:ext uri="{FF2B5EF4-FFF2-40B4-BE49-F238E27FC236}">
              <a16:creationId xmlns:a16="http://schemas.microsoft.com/office/drawing/2014/main" id="{6519FB8E-5A2E-4BA4-A6B9-9B717EB388AE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2727" name="Line 108">
          <a:extLst>
            <a:ext uri="{FF2B5EF4-FFF2-40B4-BE49-F238E27FC236}">
              <a16:creationId xmlns:a16="http://schemas.microsoft.com/office/drawing/2014/main" id="{656943AC-2DA9-434B-BA04-43BD6DC8DD60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2728" name="Line 109">
          <a:extLst>
            <a:ext uri="{FF2B5EF4-FFF2-40B4-BE49-F238E27FC236}">
              <a16:creationId xmlns:a16="http://schemas.microsoft.com/office/drawing/2014/main" id="{17AEFA20-4859-437A-908A-E70813210547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2729" name="Line 110">
          <a:extLst>
            <a:ext uri="{FF2B5EF4-FFF2-40B4-BE49-F238E27FC236}">
              <a16:creationId xmlns:a16="http://schemas.microsoft.com/office/drawing/2014/main" id="{549055FD-5BA7-43F5-9183-8AFFD85CFCA5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2730" name="Line 111">
          <a:extLst>
            <a:ext uri="{FF2B5EF4-FFF2-40B4-BE49-F238E27FC236}">
              <a16:creationId xmlns:a16="http://schemas.microsoft.com/office/drawing/2014/main" id="{35CEEB96-5949-437B-B120-2842EBED80C6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2731" name="Line 112">
          <a:extLst>
            <a:ext uri="{FF2B5EF4-FFF2-40B4-BE49-F238E27FC236}">
              <a16:creationId xmlns:a16="http://schemas.microsoft.com/office/drawing/2014/main" id="{F20247A9-D9FE-49AA-8BB2-5A7FD86FD817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2732" name="Line 113">
          <a:extLst>
            <a:ext uri="{FF2B5EF4-FFF2-40B4-BE49-F238E27FC236}">
              <a16:creationId xmlns:a16="http://schemas.microsoft.com/office/drawing/2014/main" id="{E34E917C-85FE-4958-892B-DCEA028BBAA6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61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2733" name="Line 114">
          <a:extLst>
            <a:ext uri="{FF2B5EF4-FFF2-40B4-BE49-F238E27FC236}">
              <a16:creationId xmlns:a16="http://schemas.microsoft.com/office/drawing/2014/main" id="{9D51DBBE-CB01-4B74-ABA4-4CA88B9550F7}"/>
            </a:ext>
          </a:extLst>
        </xdr:cNvPr>
        <xdr:cNvSpPr>
          <a:spLocks noChangeShapeType="1"/>
        </xdr:cNvSpPr>
      </xdr:nvSpPr>
      <xdr:spPr bwMode="auto">
        <a:xfrm flipV="1">
          <a:off x="9639300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2140" name="Line 1">
          <a:extLst>
            <a:ext uri="{FF2B5EF4-FFF2-40B4-BE49-F238E27FC236}">
              <a16:creationId xmlns:a16="http://schemas.microsoft.com/office/drawing/2014/main" id="{154DC436-970E-4364-8172-D15AF3BE8A72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2141" name="Line 2">
          <a:extLst>
            <a:ext uri="{FF2B5EF4-FFF2-40B4-BE49-F238E27FC236}">
              <a16:creationId xmlns:a16="http://schemas.microsoft.com/office/drawing/2014/main" id="{D555FF30-6CEE-4C43-A350-E25A461639C9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2142" name="Line 3">
          <a:extLst>
            <a:ext uri="{FF2B5EF4-FFF2-40B4-BE49-F238E27FC236}">
              <a16:creationId xmlns:a16="http://schemas.microsoft.com/office/drawing/2014/main" id="{E5C270CA-BAE5-4172-8339-3D82976D4E10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2143" name="Line 4">
          <a:extLst>
            <a:ext uri="{FF2B5EF4-FFF2-40B4-BE49-F238E27FC236}">
              <a16:creationId xmlns:a16="http://schemas.microsoft.com/office/drawing/2014/main" id="{5118FBF9-3C29-447C-A9F9-F5F7C7A80CB6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2144" name="Line 5">
          <a:extLst>
            <a:ext uri="{FF2B5EF4-FFF2-40B4-BE49-F238E27FC236}">
              <a16:creationId xmlns:a16="http://schemas.microsoft.com/office/drawing/2014/main" id="{C7369AC9-989B-4F1D-AE8C-933E5E1534DE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2145" name="Line 6">
          <a:extLst>
            <a:ext uri="{FF2B5EF4-FFF2-40B4-BE49-F238E27FC236}">
              <a16:creationId xmlns:a16="http://schemas.microsoft.com/office/drawing/2014/main" id="{8FE277E5-0E75-4EC5-B8FC-7C41D97B2133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2146" name="Line 7">
          <a:extLst>
            <a:ext uri="{FF2B5EF4-FFF2-40B4-BE49-F238E27FC236}">
              <a16:creationId xmlns:a16="http://schemas.microsoft.com/office/drawing/2014/main" id="{05C83E88-1F9B-4BF4-B51B-A230CFA9C02E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838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2147" name="Line 8">
          <a:extLst>
            <a:ext uri="{FF2B5EF4-FFF2-40B4-BE49-F238E27FC236}">
              <a16:creationId xmlns:a16="http://schemas.microsoft.com/office/drawing/2014/main" id="{570591A3-0104-4AFA-A8B2-29D3C25CE059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2148" name="Line 9">
          <a:extLst>
            <a:ext uri="{FF2B5EF4-FFF2-40B4-BE49-F238E27FC236}">
              <a16:creationId xmlns:a16="http://schemas.microsoft.com/office/drawing/2014/main" id="{9F89CE14-1725-4B30-9C3D-B43B8586597D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2149" name="Line 10">
          <a:extLst>
            <a:ext uri="{FF2B5EF4-FFF2-40B4-BE49-F238E27FC236}">
              <a16:creationId xmlns:a16="http://schemas.microsoft.com/office/drawing/2014/main" id="{C66C55F9-FCD3-4690-9585-8B56748CC2E4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2150" name="Line 11">
          <a:extLst>
            <a:ext uri="{FF2B5EF4-FFF2-40B4-BE49-F238E27FC236}">
              <a16:creationId xmlns:a16="http://schemas.microsoft.com/office/drawing/2014/main" id="{E9D34313-3B6B-484C-A15B-D7A5D2D6D45D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2151" name="Line 12">
          <a:extLst>
            <a:ext uri="{FF2B5EF4-FFF2-40B4-BE49-F238E27FC236}">
              <a16:creationId xmlns:a16="http://schemas.microsoft.com/office/drawing/2014/main" id="{3BB038FD-CD4C-4990-AB2E-FC8D1E3DFF56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2152" name="Line 13">
          <a:extLst>
            <a:ext uri="{FF2B5EF4-FFF2-40B4-BE49-F238E27FC236}">
              <a16:creationId xmlns:a16="http://schemas.microsoft.com/office/drawing/2014/main" id="{AA400772-5C02-4294-863B-EE4E97E1D3DE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286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2153" name="Line 14">
          <a:extLst>
            <a:ext uri="{FF2B5EF4-FFF2-40B4-BE49-F238E27FC236}">
              <a16:creationId xmlns:a16="http://schemas.microsoft.com/office/drawing/2014/main" id="{F3D0D075-A7E5-4587-810C-8EA1C9EEC131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819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2154" name="Line 15">
          <a:extLst>
            <a:ext uri="{FF2B5EF4-FFF2-40B4-BE49-F238E27FC236}">
              <a16:creationId xmlns:a16="http://schemas.microsoft.com/office/drawing/2014/main" id="{1EF6CDF3-9CD8-460B-9F1A-E1F7665FB533}"/>
            </a:ext>
          </a:extLst>
        </xdr:cNvPr>
        <xdr:cNvSpPr>
          <a:spLocks noChangeShapeType="1"/>
        </xdr:cNvSpPr>
      </xdr:nvSpPr>
      <xdr:spPr bwMode="auto">
        <a:xfrm>
          <a:off x="10687050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2155" name="Line 16">
          <a:extLst>
            <a:ext uri="{FF2B5EF4-FFF2-40B4-BE49-F238E27FC236}">
              <a16:creationId xmlns:a16="http://schemas.microsoft.com/office/drawing/2014/main" id="{78326EF6-F3AF-490C-9B00-3DF7B55D1F8A}"/>
            </a:ext>
          </a:extLst>
        </xdr:cNvPr>
        <xdr:cNvSpPr>
          <a:spLocks noChangeShapeType="1"/>
        </xdr:cNvSpPr>
      </xdr:nvSpPr>
      <xdr:spPr bwMode="auto">
        <a:xfrm>
          <a:off x="10687050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2156" name="Line 17">
          <a:extLst>
            <a:ext uri="{FF2B5EF4-FFF2-40B4-BE49-F238E27FC236}">
              <a16:creationId xmlns:a16="http://schemas.microsoft.com/office/drawing/2014/main" id="{999C18A0-CF4E-4991-A1C8-AF4539E670B4}"/>
            </a:ext>
          </a:extLst>
        </xdr:cNvPr>
        <xdr:cNvSpPr>
          <a:spLocks noChangeShapeType="1"/>
        </xdr:cNvSpPr>
      </xdr:nvSpPr>
      <xdr:spPr bwMode="auto">
        <a:xfrm>
          <a:off x="9925050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2157" name="Line 18">
          <a:extLst>
            <a:ext uri="{FF2B5EF4-FFF2-40B4-BE49-F238E27FC236}">
              <a16:creationId xmlns:a16="http://schemas.microsoft.com/office/drawing/2014/main" id="{59A0C6E1-A422-4B23-B002-263BE475827F}"/>
            </a:ext>
          </a:extLst>
        </xdr:cNvPr>
        <xdr:cNvSpPr>
          <a:spLocks noChangeShapeType="1"/>
        </xdr:cNvSpPr>
      </xdr:nvSpPr>
      <xdr:spPr bwMode="auto">
        <a:xfrm>
          <a:off x="10687050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2158" name="Line 19">
          <a:extLst>
            <a:ext uri="{FF2B5EF4-FFF2-40B4-BE49-F238E27FC236}">
              <a16:creationId xmlns:a16="http://schemas.microsoft.com/office/drawing/2014/main" id="{E5829AE7-AEFF-4ED4-B560-45BBFCE6E4C1}"/>
            </a:ext>
          </a:extLst>
        </xdr:cNvPr>
        <xdr:cNvSpPr>
          <a:spLocks noChangeShapeType="1"/>
        </xdr:cNvSpPr>
      </xdr:nvSpPr>
      <xdr:spPr bwMode="auto">
        <a:xfrm>
          <a:off x="10687050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2159" name="Line 20">
          <a:extLst>
            <a:ext uri="{FF2B5EF4-FFF2-40B4-BE49-F238E27FC236}">
              <a16:creationId xmlns:a16="http://schemas.microsoft.com/office/drawing/2014/main" id="{6C4B6E4A-61E9-40D6-AE56-94FD3D707EC4}"/>
            </a:ext>
          </a:extLst>
        </xdr:cNvPr>
        <xdr:cNvSpPr>
          <a:spLocks noChangeShapeType="1"/>
        </xdr:cNvSpPr>
      </xdr:nvSpPr>
      <xdr:spPr bwMode="auto">
        <a:xfrm>
          <a:off x="9925050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2160" name="Line 21">
          <a:extLst>
            <a:ext uri="{FF2B5EF4-FFF2-40B4-BE49-F238E27FC236}">
              <a16:creationId xmlns:a16="http://schemas.microsoft.com/office/drawing/2014/main" id="{01DE3264-5090-4120-A870-46D26AA1810A}"/>
            </a:ext>
          </a:extLst>
        </xdr:cNvPr>
        <xdr:cNvSpPr>
          <a:spLocks noChangeShapeType="1"/>
        </xdr:cNvSpPr>
      </xdr:nvSpPr>
      <xdr:spPr bwMode="auto">
        <a:xfrm>
          <a:off x="10687050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2161" name="Line 22">
          <a:extLst>
            <a:ext uri="{FF2B5EF4-FFF2-40B4-BE49-F238E27FC236}">
              <a16:creationId xmlns:a16="http://schemas.microsoft.com/office/drawing/2014/main" id="{7C17DEBF-2084-4ACA-ACFD-444BBE13D42F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2162" name="Line 23">
          <a:extLst>
            <a:ext uri="{FF2B5EF4-FFF2-40B4-BE49-F238E27FC236}">
              <a16:creationId xmlns:a16="http://schemas.microsoft.com/office/drawing/2014/main" id="{EDC431B8-C1B5-45C6-92AC-9847DB4BC7C7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2163" name="Line 24">
          <a:extLst>
            <a:ext uri="{FF2B5EF4-FFF2-40B4-BE49-F238E27FC236}">
              <a16:creationId xmlns:a16="http://schemas.microsoft.com/office/drawing/2014/main" id="{24B8FEF0-7657-45A5-BA92-D619A85713B5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2164" name="Line 25">
          <a:extLst>
            <a:ext uri="{FF2B5EF4-FFF2-40B4-BE49-F238E27FC236}">
              <a16:creationId xmlns:a16="http://schemas.microsoft.com/office/drawing/2014/main" id="{300624B5-4B84-4150-9AC5-CB2D24C26789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2165" name="Line 26">
          <a:extLst>
            <a:ext uri="{FF2B5EF4-FFF2-40B4-BE49-F238E27FC236}">
              <a16:creationId xmlns:a16="http://schemas.microsoft.com/office/drawing/2014/main" id="{CEC89F4A-343C-436B-9065-9CD5CBE0022E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2166" name="Line 27">
          <a:extLst>
            <a:ext uri="{FF2B5EF4-FFF2-40B4-BE49-F238E27FC236}">
              <a16:creationId xmlns:a16="http://schemas.microsoft.com/office/drawing/2014/main" id="{334B4C1E-3F13-4D55-8703-3DB9CD84B20D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2167" name="Line 28">
          <a:extLst>
            <a:ext uri="{FF2B5EF4-FFF2-40B4-BE49-F238E27FC236}">
              <a16:creationId xmlns:a16="http://schemas.microsoft.com/office/drawing/2014/main" id="{A3DEA578-1B9E-4C4D-9BE4-C14C12986760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2168" name="Line 29">
          <a:extLst>
            <a:ext uri="{FF2B5EF4-FFF2-40B4-BE49-F238E27FC236}">
              <a16:creationId xmlns:a16="http://schemas.microsoft.com/office/drawing/2014/main" id="{3763FFF0-CD1C-4E4E-A2D2-DC79FBABC8A2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2169" name="Line 30">
          <a:extLst>
            <a:ext uri="{FF2B5EF4-FFF2-40B4-BE49-F238E27FC236}">
              <a16:creationId xmlns:a16="http://schemas.microsoft.com/office/drawing/2014/main" id="{EA0893BB-CBDE-4422-B9BA-76777CAA16BA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2170" name="Line 31">
          <a:extLst>
            <a:ext uri="{FF2B5EF4-FFF2-40B4-BE49-F238E27FC236}">
              <a16:creationId xmlns:a16="http://schemas.microsoft.com/office/drawing/2014/main" id="{6A110715-E68D-419D-BC5B-CF6278B209B3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4194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2171" name="Line 32">
          <a:extLst>
            <a:ext uri="{FF2B5EF4-FFF2-40B4-BE49-F238E27FC236}">
              <a16:creationId xmlns:a16="http://schemas.microsoft.com/office/drawing/2014/main" id="{171447F6-2569-4AD1-883D-BEF627312AA1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2172" name="Line 33">
          <a:extLst>
            <a:ext uri="{FF2B5EF4-FFF2-40B4-BE49-F238E27FC236}">
              <a16:creationId xmlns:a16="http://schemas.microsoft.com/office/drawing/2014/main" id="{6347A54D-1A9D-49F1-9F66-B8EEEBEB3103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2173" name="Line 34">
          <a:extLst>
            <a:ext uri="{FF2B5EF4-FFF2-40B4-BE49-F238E27FC236}">
              <a16:creationId xmlns:a16="http://schemas.microsoft.com/office/drawing/2014/main" id="{5F3C5E66-572E-49AB-BCC7-61B7B5FF6AC2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286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2174" name="Line 35">
          <a:extLst>
            <a:ext uri="{FF2B5EF4-FFF2-40B4-BE49-F238E27FC236}">
              <a16:creationId xmlns:a16="http://schemas.microsoft.com/office/drawing/2014/main" id="{3C45F9B4-9F71-4370-9E25-9406F9711FB6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819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2175" name="Line 36">
          <a:extLst>
            <a:ext uri="{FF2B5EF4-FFF2-40B4-BE49-F238E27FC236}">
              <a16:creationId xmlns:a16="http://schemas.microsoft.com/office/drawing/2014/main" id="{572053BB-FDF9-49D1-A9B7-595897951CC8}"/>
            </a:ext>
          </a:extLst>
        </xdr:cNvPr>
        <xdr:cNvSpPr>
          <a:spLocks noChangeShapeType="1"/>
        </xdr:cNvSpPr>
      </xdr:nvSpPr>
      <xdr:spPr bwMode="auto">
        <a:xfrm flipV="1">
          <a:off x="10687050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2176" name="Line 37">
          <a:extLst>
            <a:ext uri="{FF2B5EF4-FFF2-40B4-BE49-F238E27FC236}">
              <a16:creationId xmlns:a16="http://schemas.microsoft.com/office/drawing/2014/main" id="{C3D1892B-F93A-48B9-BDAB-840BAFD6F533}"/>
            </a:ext>
          </a:extLst>
        </xdr:cNvPr>
        <xdr:cNvSpPr>
          <a:spLocks noChangeShapeType="1"/>
        </xdr:cNvSpPr>
      </xdr:nvSpPr>
      <xdr:spPr bwMode="auto">
        <a:xfrm>
          <a:off x="9925050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2177" name="Line 38">
          <a:extLst>
            <a:ext uri="{FF2B5EF4-FFF2-40B4-BE49-F238E27FC236}">
              <a16:creationId xmlns:a16="http://schemas.microsoft.com/office/drawing/2014/main" id="{6B071A8B-FFA8-4D28-BB6F-E04B6B143FC6}"/>
            </a:ext>
          </a:extLst>
        </xdr:cNvPr>
        <xdr:cNvSpPr>
          <a:spLocks noChangeShapeType="1"/>
        </xdr:cNvSpPr>
      </xdr:nvSpPr>
      <xdr:spPr bwMode="auto">
        <a:xfrm>
          <a:off x="120872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2178" name="Line 39">
          <a:extLst>
            <a:ext uri="{FF2B5EF4-FFF2-40B4-BE49-F238E27FC236}">
              <a16:creationId xmlns:a16="http://schemas.microsoft.com/office/drawing/2014/main" id="{0C7B0D79-D910-49D2-B56E-BE8B237BBFCB}"/>
            </a:ext>
          </a:extLst>
        </xdr:cNvPr>
        <xdr:cNvSpPr>
          <a:spLocks noChangeShapeType="1"/>
        </xdr:cNvSpPr>
      </xdr:nvSpPr>
      <xdr:spPr bwMode="auto">
        <a:xfrm>
          <a:off x="120872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2179" name="Line 40">
          <a:extLst>
            <a:ext uri="{FF2B5EF4-FFF2-40B4-BE49-F238E27FC236}">
              <a16:creationId xmlns:a16="http://schemas.microsoft.com/office/drawing/2014/main" id="{0129ED26-7230-45DB-AA72-5D4D5C58C297}"/>
            </a:ext>
          </a:extLst>
        </xdr:cNvPr>
        <xdr:cNvSpPr>
          <a:spLocks noChangeShapeType="1"/>
        </xdr:cNvSpPr>
      </xdr:nvSpPr>
      <xdr:spPr bwMode="auto">
        <a:xfrm>
          <a:off x="120872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2180" name="Line 41">
          <a:extLst>
            <a:ext uri="{FF2B5EF4-FFF2-40B4-BE49-F238E27FC236}">
              <a16:creationId xmlns:a16="http://schemas.microsoft.com/office/drawing/2014/main" id="{17B1D11C-84BC-4595-B7DD-ECA8273B5779}"/>
            </a:ext>
          </a:extLst>
        </xdr:cNvPr>
        <xdr:cNvSpPr>
          <a:spLocks noChangeShapeType="1"/>
        </xdr:cNvSpPr>
      </xdr:nvSpPr>
      <xdr:spPr bwMode="auto">
        <a:xfrm>
          <a:off x="11353800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2181" name="Line 42">
          <a:extLst>
            <a:ext uri="{FF2B5EF4-FFF2-40B4-BE49-F238E27FC236}">
              <a16:creationId xmlns:a16="http://schemas.microsoft.com/office/drawing/2014/main" id="{93FBD66A-243C-4511-85DB-4C8F469E771E}"/>
            </a:ext>
          </a:extLst>
        </xdr:cNvPr>
        <xdr:cNvSpPr>
          <a:spLocks noChangeShapeType="1"/>
        </xdr:cNvSpPr>
      </xdr:nvSpPr>
      <xdr:spPr bwMode="auto">
        <a:xfrm>
          <a:off x="146494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2182" name="Line 43">
          <a:extLst>
            <a:ext uri="{FF2B5EF4-FFF2-40B4-BE49-F238E27FC236}">
              <a16:creationId xmlns:a16="http://schemas.microsoft.com/office/drawing/2014/main" id="{79174E16-0966-4E98-8A6D-2A1FD069978A}"/>
            </a:ext>
          </a:extLst>
        </xdr:cNvPr>
        <xdr:cNvSpPr>
          <a:spLocks noChangeShapeType="1"/>
        </xdr:cNvSpPr>
      </xdr:nvSpPr>
      <xdr:spPr bwMode="auto">
        <a:xfrm>
          <a:off x="146494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2183" name="Line 44">
          <a:extLst>
            <a:ext uri="{FF2B5EF4-FFF2-40B4-BE49-F238E27FC236}">
              <a16:creationId xmlns:a16="http://schemas.microsoft.com/office/drawing/2014/main" id="{8201C529-782E-4BC0-B225-08DBB5A55DB5}"/>
            </a:ext>
          </a:extLst>
        </xdr:cNvPr>
        <xdr:cNvSpPr>
          <a:spLocks noChangeShapeType="1"/>
        </xdr:cNvSpPr>
      </xdr:nvSpPr>
      <xdr:spPr bwMode="auto">
        <a:xfrm>
          <a:off x="142303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2184" name="Line 45">
          <a:extLst>
            <a:ext uri="{FF2B5EF4-FFF2-40B4-BE49-F238E27FC236}">
              <a16:creationId xmlns:a16="http://schemas.microsoft.com/office/drawing/2014/main" id="{0856FBB1-2395-4744-8D2C-6DD32029994E}"/>
            </a:ext>
          </a:extLst>
        </xdr:cNvPr>
        <xdr:cNvSpPr>
          <a:spLocks noChangeShapeType="1"/>
        </xdr:cNvSpPr>
      </xdr:nvSpPr>
      <xdr:spPr bwMode="auto">
        <a:xfrm>
          <a:off x="146494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2185" name="Line 46">
          <a:extLst>
            <a:ext uri="{FF2B5EF4-FFF2-40B4-BE49-F238E27FC236}">
              <a16:creationId xmlns:a16="http://schemas.microsoft.com/office/drawing/2014/main" id="{7A6C13EB-95F6-4439-AE61-F6DEA4ABD33A}"/>
            </a:ext>
          </a:extLst>
        </xdr:cNvPr>
        <xdr:cNvSpPr>
          <a:spLocks noChangeShapeType="1"/>
        </xdr:cNvSpPr>
      </xdr:nvSpPr>
      <xdr:spPr bwMode="auto">
        <a:xfrm>
          <a:off x="146494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2186" name="Line 47">
          <a:extLst>
            <a:ext uri="{FF2B5EF4-FFF2-40B4-BE49-F238E27FC236}">
              <a16:creationId xmlns:a16="http://schemas.microsoft.com/office/drawing/2014/main" id="{74910752-10F0-4D86-9D9F-0CD745978B10}"/>
            </a:ext>
          </a:extLst>
        </xdr:cNvPr>
        <xdr:cNvSpPr>
          <a:spLocks noChangeShapeType="1"/>
        </xdr:cNvSpPr>
      </xdr:nvSpPr>
      <xdr:spPr bwMode="auto">
        <a:xfrm>
          <a:off x="142303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2187" name="Line 48">
          <a:extLst>
            <a:ext uri="{FF2B5EF4-FFF2-40B4-BE49-F238E27FC236}">
              <a16:creationId xmlns:a16="http://schemas.microsoft.com/office/drawing/2014/main" id="{03D70987-3075-4EFF-BDC0-8FEA61C10C05}"/>
            </a:ext>
          </a:extLst>
        </xdr:cNvPr>
        <xdr:cNvSpPr>
          <a:spLocks noChangeShapeType="1"/>
        </xdr:cNvSpPr>
      </xdr:nvSpPr>
      <xdr:spPr bwMode="auto">
        <a:xfrm>
          <a:off x="146494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2188" name="Line 49">
          <a:extLst>
            <a:ext uri="{FF2B5EF4-FFF2-40B4-BE49-F238E27FC236}">
              <a16:creationId xmlns:a16="http://schemas.microsoft.com/office/drawing/2014/main" id="{EF44687E-6484-4840-98C1-A02BD342C2E7}"/>
            </a:ext>
          </a:extLst>
        </xdr:cNvPr>
        <xdr:cNvSpPr>
          <a:spLocks noChangeShapeType="1"/>
        </xdr:cNvSpPr>
      </xdr:nvSpPr>
      <xdr:spPr bwMode="auto">
        <a:xfrm>
          <a:off x="142303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2189" name="Line 50">
          <a:extLst>
            <a:ext uri="{FF2B5EF4-FFF2-40B4-BE49-F238E27FC236}">
              <a16:creationId xmlns:a16="http://schemas.microsoft.com/office/drawing/2014/main" id="{9DA9DC2C-631F-4670-A4B9-BAFEA20DB568}"/>
            </a:ext>
          </a:extLst>
        </xdr:cNvPr>
        <xdr:cNvSpPr>
          <a:spLocks noChangeShapeType="1"/>
        </xdr:cNvSpPr>
      </xdr:nvSpPr>
      <xdr:spPr bwMode="auto">
        <a:xfrm flipV="1">
          <a:off x="146494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2190" name="Line 51">
          <a:extLst>
            <a:ext uri="{FF2B5EF4-FFF2-40B4-BE49-F238E27FC236}">
              <a16:creationId xmlns:a16="http://schemas.microsoft.com/office/drawing/2014/main" id="{E99E6E24-F7E3-4295-80C3-3C607A0B764B}"/>
            </a:ext>
          </a:extLst>
        </xdr:cNvPr>
        <xdr:cNvSpPr>
          <a:spLocks noChangeShapeType="1"/>
        </xdr:cNvSpPr>
      </xdr:nvSpPr>
      <xdr:spPr bwMode="auto">
        <a:xfrm flipV="1">
          <a:off x="142303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2191" name="Line 52">
          <a:extLst>
            <a:ext uri="{FF2B5EF4-FFF2-40B4-BE49-F238E27FC236}">
              <a16:creationId xmlns:a16="http://schemas.microsoft.com/office/drawing/2014/main" id="{189B7BEA-A460-49EC-9B07-357594339FCB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2192" name="Line 53">
          <a:extLst>
            <a:ext uri="{FF2B5EF4-FFF2-40B4-BE49-F238E27FC236}">
              <a16:creationId xmlns:a16="http://schemas.microsoft.com/office/drawing/2014/main" id="{F8644407-79FB-4084-8703-E0AE97B5D522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2193" name="Line 54">
          <a:extLst>
            <a:ext uri="{FF2B5EF4-FFF2-40B4-BE49-F238E27FC236}">
              <a16:creationId xmlns:a16="http://schemas.microsoft.com/office/drawing/2014/main" id="{497BE26B-0D23-43D6-9998-6DE4014B25B9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2194" name="Line 55">
          <a:extLst>
            <a:ext uri="{FF2B5EF4-FFF2-40B4-BE49-F238E27FC236}">
              <a16:creationId xmlns:a16="http://schemas.microsoft.com/office/drawing/2014/main" id="{E1FBE46E-D851-40E9-8F4A-0085A9661BF7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2195" name="Line 56">
          <a:extLst>
            <a:ext uri="{FF2B5EF4-FFF2-40B4-BE49-F238E27FC236}">
              <a16:creationId xmlns:a16="http://schemas.microsoft.com/office/drawing/2014/main" id="{A3D12028-23BB-4F60-9154-3A20A3543276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2196" name="Line 57">
          <a:extLst>
            <a:ext uri="{FF2B5EF4-FFF2-40B4-BE49-F238E27FC236}">
              <a16:creationId xmlns:a16="http://schemas.microsoft.com/office/drawing/2014/main" id="{3E7A1142-ED2E-482B-83B7-17118183C600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2197" name="Line 58">
          <a:extLst>
            <a:ext uri="{FF2B5EF4-FFF2-40B4-BE49-F238E27FC236}">
              <a16:creationId xmlns:a16="http://schemas.microsoft.com/office/drawing/2014/main" id="{1D2C59D6-375C-463A-9279-11E14A3AE7A5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2198" name="Line 59">
          <a:extLst>
            <a:ext uri="{FF2B5EF4-FFF2-40B4-BE49-F238E27FC236}">
              <a16:creationId xmlns:a16="http://schemas.microsoft.com/office/drawing/2014/main" id="{D1077A5B-EFA5-4561-9539-7E4EECD298A9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4194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2199" name="Line 60">
          <a:extLst>
            <a:ext uri="{FF2B5EF4-FFF2-40B4-BE49-F238E27FC236}">
              <a16:creationId xmlns:a16="http://schemas.microsoft.com/office/drawing/2014/main" id="{70E4C694-2524-4B9C-94BF-CDE5D6F5C47A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2200" name="Line 61">
          <a:extLst>
            <a:ext uri="{FF2B5EF4-FFF2-40B4-BE49-F238E27FC236}">
              <a16:creationId xmlns:a16="http://schemas.microsoft.com/office/drawing/2014/main" id="{0254E6F3-789C-43D3-940C-C4AD18DF2BBE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2201" name="Line 62">
          <a:extLst>
            <a:ext uri="{FF2B5EF4-FFF2-40B4-BE49-F238E27FC236}">
              <a16:creationId xmlns:a16="http://schemas.microsoft.com/office/drawing/2014/main" id="{8FDC3D55-BBCA-4251-86B1-633A93D59E6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2202" name="Line 63">
          <a:extLst>
            <a:ext uri="{FF2B5EF4-FFF2-40B4-BE49-F238E27FC236}">
              <a16:creationId xmlns:a16="http://schemas.microsoft.com/office/drawing/2014/main" id="{A1D7B779-A7D1-40C8-BBF2-E7BCF4C0BED9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2203" name="Line 64">
          <a:extLst>
            <a:ext uri="{FF2B5EF4-FFF2-40B4-BE49-F238E27FC236}">
              <a16:creationId xmlns:a16="http://schemas.microsoft.com/office/drawing/2014/main" id="{0864CC04-F823-4800-9737-7E4FC651A67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2204" name="Line 65">
          <a:extLst>
            <a:ext uri="{FF2B5EF4-FFF2-40B4-BE49-F238E27FC236}">
              <a16:creationId xmlns:a16="http://schemas.microsoft.com/office/drawing/2014/main" id="{2C830D62-45AB-48E8-B65E-C7337E978CC7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2205" name="Line 66">
          <a:extLst>
            <a:ext uri="{FF2B5EF4-FFF2-40B4-BE49-F238E27FC236}">
              <a16:creationId xmlns:a16="http://schemas.microsoft.com/office/drawing/2014/main" id="{EADDC912-7FB5-437F-8356-C06D3A35E59D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2206" name="Line 67">
          <a:extLst>
            <a:ext uri="{FF2B5EF4-FFF2-40B4-BE49-F238E27FC236}">
              <a16:creationId xmlns:a16="http://schemas.microsoft.com/office/drawing/2014/main" id="{CC9FBEB1-1E92-492E-AD12-BC51608AA842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2207" name="Line 68">
          <a:extLst>
            <a:ext uri="{FF2B5EF4-FFF2-40B4-BE49-F238E27FC236}">
              <a16:creationId xmlns:a16="http://schemas.microsoft.com/office/drawing/2014/main" id="{E3D272A9-3637-47BD-89A9-8E3A56477B25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819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2208" name="Line 69">
          <a:extLst>
            <a:ext uri="{FF2B5EF4-FFF2-40B4-BE49-F238E27FC236}">
              <a16:creationId xmlns:a16="http://schemas.microsoft.com/office/drawing/2014/main" id="{C29EDEA4-EA70-414F-8C38-08BBAC766DD3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2209" name="Line 70">
          <a:extLst>
            <a:ext uri="{FF2B5EF4-FFF2-40B4-BE49-F238E27FC236}">
              <a16:creationId xmlns:a16="http://schemas.microsoft.com/office/drawing/2014/main" id="{78BA577C-97CF-44CC-9AD5-C97207872810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2210" name="Line 71">
          <a:extLst>
            <a:ext uri="{FF2B5EF4-FFF2-40B4-BE49-F238E27FC236}">
              <a16:creationId xmlns:a16="http://schemas.microsoft.com/office/drawing/2014/main" id="{CF3C2BDC-4FF6-4548-A655-C20C581A9A27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2211" name="Line 72">
          <a:extLst>
            <a:ext uri="{FF2B5EF4-FFF2-40B4-BE49-F238E27FC236}">
              <a16:creationId xmlns:a16="http://schemas.microsoft.com/office/drawing/2014/main" id="{5B0D13A8-4DB6-457A-BF95-861C400233BA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2212" name="Line 73">
          <a:extLst>
            <a:ext uri="{FF2B5EF4-FFF2-40B4-BE49-F238E27FC236}">
              <a16:creationId xmlns:a16="http://schemas.microsoft.com/office/drawing/2014/main" id="{49763325-49AD-48FB-B537-2FCF5469B5BA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2213" name="Line 74">
          <a:extLst>
            <a:ext uri="{FF2B5EF4-FFF2-40B4-BE49-F238E27FC236}">
              <a16:creationId xmlns:a16="http://schemas.microsoft.com/office/drawing/2014/main" id="{5E84FE2E-0970-4822-B73D-FF3025736F59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2214" name="Line 75">
          <a:extLst>
            <a:ext uri="{FF2B5EF4-FFF2-40B4-BE49-F238E27FC236}">
              <a16:creationId xmlns:a16="http://schemas.microsoft.com/office/drawing/2014/main" id="{5056AA4D-AF6D-4C7B-9E28-015A6EE0ED31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2215" name="Line 76">
          <a:extLst>
            <a:ext uri="{FF2B5EF4-FFF2-40B4-BE49-F238E27FC236}">
              <a16:creationId xmlns:a16="http://schemas.microsoft.com/office/drawing/2014/main" id="{F5D7A682-CB70-4AE7-923F-A0798CC06AF6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2216" name="Line 77">
          <a:extLst>
            <a:ext uri="{FF2B5EF4-FFF2-40B4-BE49-F238E27FC236}">
              <a16:creationId xmlns:a16="http://schemas.microsoft.com/office/drawing/2014/main" id="{21E73370-629D-44B7-9027-50D8BDB8097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2217" name="Line 78">
          <a:extLst>
            <a:ext uri="{FF2B5EF4-FFF2-40B4-BE49-F238E27FC236}">
              <a16:creationId xmlns:a16="http://schemas.microsoft.com/office/drawing/2014/main" id="{18D09A26-3BE6-4F78-8069-3A431212140E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2218" name="Line 79">
          <a:extLst>
            <a:ext uri="{FF2B5EF4-FFF2-40B4-BE49-F238E27FC236}">
              <a16:creationId xmlns:a16="http://schemas.microsoft.com/office/drawing/2014/main" id="{FFB4B875-F13E-4D3C-9D6E-C708F19C26F0}"/>
            </a:ext>
          </a:extLst>
        </xdr:cNvPr>
        <xdr:cNvSpPr>
          <a:spLocks noChangeShapeType="1"/>
        </xdr:cNvSpPr>
      </xdr:nvSpPr>
      <xdr:spPr bwMode="auto">
        <a:xfrm>
          <a:off x="106870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2219" name="Line 80">
          <a:extLst>
            <a:ext uri="{FF2B5EF4-FFF2-40B4-BE49-F238E27FC236}">
              <a16:creationId xmlns:a16="http://schemas.microsoft.com/office/drawing/2014/main" id="{E1345439-FC79-49C4-847D-67EACB752D7A}"/>
            </a:ext>
          </a:extLst>
        </xdr:cNvPr>
        <xdr:cNvSpPr>
          <a:spLocks noChangeShapeType="1"/>
        </xdr:cNvSpPr>
      </xdr:nvSpPr>
      <xdr:spPr bwMode="auto">
        <a:xfrm>
          <a:off x="10687050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2220" name="Line 81">
          <a:extLst>
            <a:ext uri="{FF2B5EF4-FFF2-40B4-BE49-F238E27FC236}">
              <a16:creationId xmlns:a16="http://schemas.microsoft.com/office/drawing/2014/main" id="{59F06C59-72A3-49FD-BDC6-136149863D7A}"/>
            </a:ext>
          </a:extLst>
        </xdr:cNvPr>
        <xdr:cNvSpPr>
          <a:spLocks noChangeShapeType="1"/>
        </xdr:cNvSpPr>
      </xdr:nvSpPr>
      <xdr:spPr bwMode="auto">
        <a:xfrm>
          <a:off x="9925050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2221" name="Line 82">
          <a:extLst>
            <a:ext uri="{FF2B5EF4-FFF2-40B4-BE49-F238E27FC236}">
              <a16:creationId xmlns:a16="http://schemas.microsoft.com/office/drawing/2014/main" id="{7C04E096-AA64-4386-ACBC-1DEB1E363E6D}"/>
            </a:ext>
          </a:extLst>
        </xdr:cNvPr>
        <xdr:cNvSpPr>
          <a:spLocks noChangeShapeType="1"/>
        </xdr:cNvSpPr>
      </xdr:nvSpPr>
      <xdr:spPr bwMode="auto">
        <a:xfrm>
          <a:off x="9925050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2222" name="Line 83">
          <a:extLst>
            <a:ext uri="{FF2B5EF4-FFF2-40B4-BE49-F238E27FC236}">
              <a16:creationId xmlns:a16="http://schemas.microsoft.com/office/drawing/2014/main" id="{6CF860B2-4664-40E3-BB9D-3AF3BC53B88A}"/>
            </a:ext>
          </a:extLst>
        </xdr:cNvPr>
        <xdr:cNvSpPr>
          <a:spLocks noChangeShapeType="1"/>
        </xdr:cNvSpPr>
      </xdr:nvSpPr>
      <xdr:spPr bwMode="auto">
        <a:xfrm>
          <a:off x="146494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2223" name="Line 84">
          <a:extLst>
            <a:ext uri="{FF2B5EF4-FFF2-40B4-BE49-F238E27FC236}">
              <a16:creationId xmlns:a16="http://schemas.microsoft.com/office/drawing/2014/main" id="{00C5FEA9-5183-462D-851D-1818AF0EE4B3}"/>
            </a:ext>
          </a:extLst>
        </xdr:cNvPr>
        <xdr:cNvSpPr>
          <a:spLocks noChangeShapeType="1"/>
        </xdr:cNvSpPr>
      </xdr:nvSpPr>
      <xdr:spPr bwMode="auto">
        <a:xfrm>
          <a:off x="146494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2224" name="Line 85">
          <a:extLst>
            <a:ext uri="{FF2B5EF4-FFF2-40B4-BE49-F238E27FC236}">
              <a16:creationId xmlns:a16="http://schemas.microsoft.com/office/drawing/2014/main" id="{45AA5591-40EC-4993-9C5E-4F9AAFDD41B1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2225" name="Line 86">
          <a:extLst>
            <a:ext uri="{FF2B5EF4-FFF2-40B4-BE49-F238E27FC236}">
              <a16:creationId xmlns:a16="http://schemas.microsoft.com/office/drawing/2014/main" id="{090F46E6-3964-47CC-862E-7BA3B52156D7}"/>
            </a:ext>
          </a:extLst>
        </xdr:cNvPr>
        <xdr:cNvSpPr>
          <a:spLocks noChangeShapeType="1"/>
        </xdr:cNvSpPr>
      </xdr:nvSpPr>
      <xdr:spPr bwMode="auto">
        <a:xfrm>
          <a:off x="9925050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2226" name="Line 87">
          <a:extLst>
            <a:ext uri="{FF2B5EF4-FFF2-40B4-BE49-F238E27FC236}">
              <a16:creationId xmlns:a16="http://schemas.microsoft.com/office/drawing/2014/main" id="{95876DA9-BB29-4213-96F7-269C3D51B24F}"/>
            </a:ext>
          </a:extLst>
        </xdr:cNvPr>
        <xdr:cNvSpPr>
          <a:spLocks noChangeShapeType="1"/>
        </xdr:cNvSpPr>
      </xdr:nvSpPr>
      <xdr:spPr bwMode="auto">
        <a:xfrm flipV="1">
          <a:off x="10039350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2227" name="Line 88">
          <a:extLst>
            <a:ext uri="{FF2B5EF4-FFF2-40B4-BE49-F238E27FC236}">
              <a16:creationId xmlns:a16="http://schemas.microsoft.com/office/drawing/2014/main" id="{2408FBB4-B49F-4218-9B2E-59C559913863}"/>
            </a:ext>
          </a:extLst>
        </xdr:cNvPr>
        <xdr:cNvSpPr>
          <a:spLocks noChangeShapeType="1"/>
        </xdr:cNvSpPr>
      </xdr:nvSpPr>
      <xdr:spPr bwMode="auto">
        <a:xfrm>
          <a:off x="9925050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2228" name="Line 89">
          <a:extLst>
            <a:ext uri="{FF2B5EF4-FFF2-40B4-BE49-F238E27FC236}">
              <a16:creationId xmlns:a16="http://schemas.microsoft.com/office/drawing/2014/main" id="{2DF0977A-9DCB-4251-A4F3-1F904AC2B08B}"/>
            </a:ext>
          </a:extLst>
        </xdr:cNvPr>
        <xdr:cNvSpPr>
          <a:spLocks noChangeShapeType="1"/>
        </xdr:cNvSpPr>
      </xdr:nvSpPr>
      <xdr:spPr bwMode="auto">
        <a:xfrm>
          <a:off x="9925050" y="11287125"/>
          <a:ext cx="3028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2229" name="Line 90">
          <a:extLst>
            <a:ext uri="{FF2B5EF4-FFF2-40B4-BE49-F238E27FC236}">
              <a16:creationId xmlns:a16="http://schemas.microsoft.com/office/drawing/2014/main" id="{DB815C54-2931-431D-A9CF-E956D3260B46}"/>
            </a:ext>
          </a:extLst>
        </xdr:cNvPr>
        <xdr:cNvSpPr>
          <a:spLocks noChangeShapeType="1"/>
        </xdr:cNvSpPr>
      </xdr:nvSpPr>
      <xdr:spPr bwMode="auto">
        <a:xfrm>
          <a:off x="10039350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2230" name="Line 91">
          <a:extLst>
            <a:ext uri="{FF2B5EF4-FFF2-40B4-BE49-F238E27FC236}">
              <a16:creationId xmlns:a16="http://schemas.microsoft.com/office/drawing/2014/main" id="{C63BCE24-0249-4222-84ED-A5AB6B054549}"/>
            </a:ext>
          </a:extLst>
        </xdr:cNvPr>
        <xdr:cNvSpPr>
          <a:spLocks noChangeShapeType="1"/>
        </xdr:cNvSpPr>
      </xdr:nvSpPr>
      <xdr:spPr bwMode="auto">
        <a:xfrm flipV="1">
          <a:off x="10039350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2231" name="Line 92">
          <a:extLst>
            <a:ext uri="{FF2B5EF4-FFF2-40B4-BE49-F238E27FC236}">
              <a16:creationId xmlns:a16="http://schemas.microsoft.com/office/drawing/2014/main" id="{EDB3747D-0B85-4514-8653-11C1781732D6}"/>
            </a:ext>
          </a:extLst>
        </xdr:cNvPr>
        <xdr:cNvSpPr>
          <a:spLocks noChangeShapeType="1"/>
        </xdr:cNvSpPr>
      </xdr:nvSpPr>
      <xdr:spPr bwMode="auto">
        <a:xfrm flipV="1">
          <a:off x="9925050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2232" name="Line 93">
          <a:extLst>
            <a:ext uri="{FF2B5EF4-FFF2-40B4-BE49-F238E27FC236}">
              <a16:creationId xmlns:a16="http://schemas.microsoft.com/office/drawing/2014/main" id="{FCCE92F0-2709-4D09-9CC1-F34970FCC854}"/>
            </a:ext>
          </a:extLst>
        </xdr:cNvPr>
        <xdr:cNvSpPr>
          <a:spLocks noChangeShapeType="1"/>
        </xdr:cNvSpPr>
      </xdr:nvSpPr>
      <xdr:spPr bwMode="auto">
        <a:xfrm>
          <a:off x="10039350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2233" name="Line 94">
          <a:extLst>
            <a:ext uri="{FF2B5EF4-FFF2-40B4-BE49-F238E27FC236}">
              <a16:creationId xmlns:a16="http://schemas.microsoft.com/office/drawing/2014/main" id="{345198B6-4065-46FB-B2E9-A2DAEF29F7E8}"/>
            </a:ext>
          </a:extLst>
        </xdr:cNvPr>
        <xdr:cNvSpPr>
          <a:spLocks noChangeShapeType="1"/>
        </xdr:cNvSpPr>
      </xdr:nvSpPr>
      <xdr:spPr bwMode="auto">
        <a:xfrm>
          <a:off x="120872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2234" name="Line 95">
          <a:extLst>
            <a:ext uri="{FF2B5EF4-FFF2-40B4-BE49-F238E27FC236}">
              <a16:creationId xmlns:a16="http://schemas.microsoft.com/office/drawing/2014/main" id="{DB39DA83-2B7B-4CB2-89B1-EE4C5FA35FE7}"/>
            </a:ext>
          </a:extLst>
        </xdr:cNvPr>
        <xdr:cNvSpPr>
          <a:spLocks noChangeShapeType="1"/>
        </xdr:cNvSpPr>
      </xdr:nvSpPr>
      <xdr:spPr bwMode="auto">
        <a:xfrm>
          <a:off x="120872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2235" name="Line 96">
          <a:extLst>
            <a:ext uri="{FF2B5EF4-FFF2-40B4-BE49-F238E27FC236}">
              <a16:creationId xmlns:a16="http://schemas.microsoft.com/office/drawing/2014/main" id="{38E8021E-8B3B-4C87-9906-348704F91CC9}"/>
            </a:ext>
          </a:extLst>
        </xdr:cNvPr>
        <xdr:cNvSpPr>
          <a:spLocks noChangeShapeType="1"/>
        </xdr:cNvSpPr>
      </xdr:nvSpPr>
      <xdr:spPr bwMode="auto">
        <a:xfrm>
          <a:off x="9925050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2236" name="Line 97">
          <a:extLst>
            <a:ext uri="{FF2B5EF4-FFF2-40B4-BE49-F238E27FC236}">
              <a16:creationId xmlns:a16="http://schemas.microsoft.com/office/drawing/2014/main" id="{B842E8DA-C8B4-44F6-AEC2-5E04B45502CB}"/>
            </a:ext>
          </a:extLst>
        </xdr:cNvPr>
        <xdr:cNvSpPr>
          <a:spLocks noChangeShapeType="1"/>
        </xdr:cNvSpPr>
      </xdr:nvSpPr>
      <xdr:spPr bwMode="auto">
        <a:xfrm>
          <a:off x="120872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2237" name="Line 98">
          <a:extLst>
            <a:ext uri="{FF2B5EF4-FFF2-40B4-BE49-F238E27FC236}">
              <a16:creationId xmlns:a16="http://schemas.microsoft.com/office/drawing/2014/main" id="{3ADAFC21-864B-4EB9-989F-5F12DF237B69}"/>
            </a:ext>
          </a:extLst>
        </xdr:cNvPr>
        <xdr:cNvSpPr>
          <a:spLocks noChangeShapeType="1"/>
        </xdr:cNvSpPr>
      </xdr:nvSpPr>
      <xdr:spPr bwMode="auto">
        <a:xfrm flipV="1">
          <a:off x="9925050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2238" name="Line 99">
          <a:extLst>
            <a:ext uri="{FF2B5EF4-FFF2-40B4-BE49-F238E27FC236}">
              <a16:creationId xmlns:a16="http://schemas.microsoft.com/office/drawing/2014/main" id="{C768C331-2031-4BA2-B98C-BD0EAF8646FC}"/>
            </a:ext>
          </a:extLst>
        </xdr:cNvPr>
        <xdr:cNvSpPr>
          <a:spLocks noChangeShapeType="1"/>
        </xdr:cNvSpPr>
      </xdr:nvSpPr>
      <xdr:spPr bwMode="auto">
        <a:xfrm>
          <a:off x="106870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2239" name="Line 100">
          <a:extLst>
            <a:ext uri="{FF2B5EF4-FFF2-40B4-BE49-F238E27FC236}">
              <a16:creationId xmlns:a16="http://schemas.microsoft.com/office/drawing/2014/main" id="{01790CCC-B04B-4E88-8631-2E73F339761D}"/>
            </a:ext>
          </a:extLst>
        </xdr:cNvPr>
        <xdr:cNvSpPr>
          <a:spLocks noChangeShapeType="1"/>
        </xdr:cNvSpPr>
      </xdr:nvSpPr>
      <xdr:spPr bwMode="auto">
        <a:xfrm>
          <a:off x="146494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36576" name="Line 101">
          <a:extLst>
            <a:ext uri="{FF2B5EF4-FFF2-40B4-BE49-F238E27FC236}">
              <a16:creationId xmlns:a16="http://schemas.microsoft.com/office/drawing/2014/main" id="{47C4408A-2762-4151-AF46-742CBB26B1B8}"/>
            </a:ext>
          </a:extLst>
        </xdr:cNvPr>
        <xdr:cNvSpPr>
          <a:spLocks noChangeShapeType="1"/>
        </xdr:cNvSpPr>
      </xdr:nvSpPr>
      <xdr:spPr bwMode="auto">
        <a:xfrm>
          <a:off x="142303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6577" name="Line 102">
          <a:extLst>
            <a:ext uri="{FF2B5EF4-FFF2-40B4-BE49-F238E27FC236}">
              <a16:creationId xmlns:a16="http://schemas.microsoft.com/office/drawing/2014/main" id="{84E18E7F-460B-41A6-8C1D-EA054BA54698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6578" name="Line 103">
          <a:extLst>
            <a:ext uri="{FF2B5EF4-FFF2-40B4-BE49-F238E27FC236}">
              <a16:creationId xmlns:a16="http://schemas.microsoft.com/office/drawing/2014/main" id="{F526D360-7C32-4FFC-BFC1-3F9778F5180B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6579" name="Line 104">
          <a:extLst>
            <a:ext uri="{FF2B5EF4-FFF2-40B4-BE49-F238E27FC236}">
              <a16:creationId xmlns:a16="http://schemas.microsoft.com/office/drawing/2014/main" id="{C2AB4A2D-AAF2-40EE-AFA8-37398F79F672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6580" name="Line 105">
          <a:extLst>
            <a:ext uri="{FF2B5EF4-FFF2-40B4-BE49-F238E27FC236}">
              <a16:creationId xmlns:a16="http://schemas.microsoft.com/office/drawing/2014/main" id="{CF401BD6-A4FC-4415-B426-09E85D5DC734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6581" name="Line 106">
          <a:extLst>
            <a:ext uri="{FF2B5EF4-FFF2-40B4-BE49-F238E27FC236}">
              <a16:creationId xmlns:a16="http://schemas.microsoft.com/office/drawing/2014/main" id="{861E1178-0516-402E-812F-F2C89BBDA5C5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6582" name="Line 107">
          <a:extLst>
            <a:ext uri="{FF2B5EF4-FFF2-40B4-BE49-F238E27FC236}">
              <a16:creationId xmlns:a16="http://schemas.microsoft.com/office/drawing/2014/main" id="{FCDDE1DF-8C3E-4FEC-8CC4-B8C426470FED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6583" name="Line 108">
          <a:extLst>
            <a:ext uri="{FF2B5EF4-FFF2-40B4-BE49-F238E27FC236}">
              <a16:creationId xmlns:a16="http://schemas.microsoft.com/office/drawing/2014/main" id="{9A0F6538-0C0F-4BAF-A928-31336B02EADB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6584" name="Line 109">
          <a:extLst>
            <a:ext uri="{FF2B5EF4-FFF2-40B4-BE49-F238E27FC236}">
              <a16:creationId xmlns:a16="http://schemas.microsoft.com/office/drawing/2014/main" id="{960D667C-18CC-4FAB-BB57-E730978ED9E4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6585" name="Line 110">
          <a:extLst>
            <a:ext uri="{FF2B5EF4-FFF2-40B4-BE49-F238E27FC236}">
              <a16:creationId xmlns:a16="http://schemas.microsoft.com/office/drawing/2014/main" id="{7D0B8741-DFE0-4D08-B733-93F1C4B0A403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6586" name="Line 111">
          <a:extLst>
            <a:ext uri="{FF2B5EF4-FFF2-40B4-BE49-F238E27FC236}">
              <a16:creationId xmlns:a16="http://schemas.microsoft.com/office/drawing/2014/main" id="{AC79897B-D7F5-4CDE-A8B8-601B1724D501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6587" name="Line 112">
          <a:extLst>
            <a:ext uri="{FF2B5EF4-FFF2-40B4-BE49-F238E27FC236}">
              <a16:creationId xmlns:a16="http://schemas.microsoft.com/office/drawing/2014/main" id="{3199801D-F104-4CE6-9539-9357A3DD0D47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6588" name="Line 113">
          <a:extLst>
            <a:ext uri="{FF2B5EF4-FFF2-40B4-BE49-F238E27FC236}">
              <a16:creationId xmlns:a16="http://schemas.microsoft.com/office/drawing/2014/main" id="{C694D2F4-49BB-49E1-854A-D2D23F0B032C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847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36589" name="Line 114">
          <a:extLst>
            <a:ext uri="{FF2B5EF4-FFF2-40B4-BE49-F238E27FC236}">
              <a16:creationId xmlns:a16="http://schemas.microsoft.com/office/drawing/2014/main" id="{72BC63DC-3683-4EF0-846E-6355F86E7FC8}"/>
            </a:ext>
          </a:extLst>
        </xdr:cNvPr>
        <xdr:cNvSpPr>
          <a:spLocks noChangeShapeType="1"/>
        </xdr:cNvSpPr>
      </xdr:nvSpPr>
      <xdr:spPr bwMode="auto">
        <a:xfrm flipV="1">
          <a:off x="9925050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DB79FB3-4C96-499B-A01A-1D31C46EBACF}"/>
            </a:ext>
          </a:extLst>
        </xdr:cNvPr>
        <xdr:cNvSpPr>
          <a:spLocks noChangeShapeType="1"/>
        </xdr:cNvSpPr>
      </xdr:nvSpPr>
      <xdr:spPr bwMode="auto">
        <a:xfrm flipV="1">
          <a:off x="800100" y="55626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0C1EDED-8283-4905-946A-E4BAD7207349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485C51B-1D0E-4DDC-9D65-43C2981B6525}"/>
            </a:ext>
          </a:extLst>
        </xdr:cNvPr>
        <xdr:cNvSpPr>
          <a:spLocks noChangeShapeType="1"/>
        </xdr:cNvSpPr>
      </xdr:nvSpPr>
      <xdr:spPr bwMode="auto">
        <a:xfrm>
          <a:off x="2584450" y="4406900"/>
          <a:ext cx="0" cy="4826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9A849476-4B53-4873-847F-BCBCB94311F1}"/>
            </a:ext>
          </a:extLst>
        </xdr:cNvPr>
        <xdr:cNvSpPr>
          <a:spLocks noChangeShapeType="1"/>
        </xdr:cNvSpPr>
      </xdr:nvSpPr>
      <xdr:spPr bwMode="auto">
        <a:xfrm>
          <a:off x="2584450" y="5572125"/>
          <a:ext cx="0" cy="47942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102951B3-DA51-4EF5-8E00-E5B5EA7D13A1}"/>
            </a:ext>
          </a:extLst>
        </xdr:cNvPr>
        <xdr:cNvSpPr>
          <a:spLocks noChangeShapeType="1"/>
        </xdr:cNvSpPr>
      </xdr:nvSpPr>
      <xdr:spPr bwMode="auto">
        <a:xfrm flipV="1">
          <a:off x="1250950" y="655955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6203CD4A-FACF-4CBD-9247-B2EB7BF42000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0E7927F-24A8-4637-9AC6-B2157B18A773}"/>
            </a:ext>
          </a:extLst>
        </xdr:cNvPr>
        <xdr:cNvSpPr>
          <a:spLocks noChangeShapeType="1"/>
        </xdr:cNvSpPr>
      </xdr:nvSpPr>
      <xdr:spPr bwMode="auto">
        <a:xfrm flipV="1">
          <a:off x="3213100" y="2552700"/>
          <a:ext cx="2978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8C80019F-32E6-41D5-8815-885243817722}"/>
            </a:ext>
          </a:extLst>
        </xdr:cNvPr>
        <xdr:cNvSpPr>
          <a:spLocks noChangeShapeType="1"/>
        </xdr:cNvSpPr>
      </xdr:nvSpPr>
      <xdr:spPr bwMode="auto">
        <a:xfrm>
          <a:off x="5283200" y="306070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97A64D43-6B94-4190-827A-BE07ABC17366}"/>
            </a:ext>
          </a:extLst>
        </xdr:cNvPr>
        <xdr:cNvSpPr>
          <a:spLocks noChangeShapeType="1"/>
        </xdr:cNvSpPr>
      </xdr:nvSpPr>
      <xdr:spPr bwMode="auto">
        <a:xfrm>
          <a:off x="5283200" y="27241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5D9C8B27-34B9-4DD9-AE84-582BA253719E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CE39F10D-5990-43CB-99F3-DAFB7B90D2D9}"/>
            </a:ext>
          </a:extLst>
        </xdr:cNvPr>
        <xdr:cNvSpPr>
          <a:spLocks noChangeShapeType="1"/>
        </xdr:cNvSpPr>
      </xdr:nvSpPr>
      <xdr:spPr bwMode="auto">
        <a:xfrm>
          <a:off x="5283200" y="72326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8366D246-5CBA-4C21-86CC-B39C4112191E}"/>
            </a:ext>
          </a:extLst>
        </xdr:cNvPr>
        <xdr:cNvSpPr>
          <a:spLocks noChangeShapeType="1"/>
        </xdr:cNvSpPr>
      </xdr:nvSpPr>
      <xdr:spPr bwMode="auto">
        <a:xfrm>
          <a:off x="5283200" y="73977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14" name="Line 13">
          <a:extLst>
            <a:ext uri="{FF2B5EF4-FFF2-40B4-BE49-F238E27FC236}">
              <a16:creationId xmlns:a16="http://schemas.microsoft.com/office/drawing/2014/main" id="{F6FCEB95-51CA-4002-AA3F-0DA4E9F25962}"/>
            </a:ext>
          </a:extLst>
        </xdr:cNvPr>
        <xdr:cNvSpPr>
          <a:spLocks noChangeShapeType="1"/>
        </xdr:cNvSpPr>
      </xdr:nvSpPr>
      <xdr:spPr bwMode="auto">
        <a:xfrm>
          <a:off x="3771900" y="5226050"/>
          <a:ext cx="2400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15" name="Line 14">
          <a:extLst>
            <a:ext uri="{FF2B5EF4-FFF2-40B4-BE49-F238E27FC236}">
              <a16:creationId xmlns:a16="http://schemas.microsoft.com/office/drawing/2014/main" id="{4F531E3A-32C3-47F1-B08C-0692ADD7AFF0}"/>
            </a:ext>
          </a:extLst>
        </xdr:cNvPr>
        <xdr:cNvSpPr>
          <a:spLocks noChangeShapeType="1"/>
        </xdr:cNvSpPr>
      </xdr:nvSpPr>
      <xdr:spPr bwMode="auto">
        <a:xfrm>
          <a:off x="3213100" y="6559550"/>
          <a:ext cx="2959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16" name="Line 15">
          <a:extLst>
            <a:ext uri="{FF2B5EF4-FFF2-40B4-BE49-F238E27FC236}">
              <a16:creationId xmlns:a16="http://schemas.microsoft.com/office/drawing/2014/main" id="{448C14FF-51F0-4429-BA85-C438AE435D40}"/>
            </a:ext>
          </a:extLst>
        </xdr:cNvPr>
        <xdr:cNvSpPr>
          <a:spLocks noChangeShapeType="1"/>
        </xdr:cNvSpPr>
      </xdr:nvSpPr>
      <xdr:spPr bwMode="auto">
        <a:xfrm>
          <a:off x="11220450" y="2724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17" name="Line 16">
          <a:extLst>
            <a:ext uri="{FF2B5EF4-FFF2-40B4-BE49-F238E27FC236}">
              <a16:creationId xmlns:a16="http://schemas.microsoft.com/office/drawing/2014/main" id="{50827003-F593-42D8-8425-B8844D0476A7}"/>
            </a:ext>
          </a:extLst>
        </xdr:cNvPr>
        <xdr:cNvSpPr>
          <a:spLocks noChangeShapeType="1"/>
        </xdr:cNvSpPr>
      </xdr:nvSpPr>
      <xdr:spPr bwMode="auto">
        <a:xfrm>
          <a:off x="11220450" y="3060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18" name="Line 17">
          <a:extLst>
            <a:ext uri="{FF2B5EF4-FFF2-40B4-BE49-F238E27FC236}">
              <a16:creationId xmlns:a16="http://schemas.microsoft.com/office/drawing/2014/main" id="{807E14F4-403E-484B-B4C0-A9AED0919557}"/>
            </a:ext>
          </a:extLst>
        </xdr:cNvPr>
        <xdr:cNvSpPr>
          <a:spLocks noChangeShapeType="1"/>
        </xdr:cNvSpPr>
      </xdr:nvSpPr>
      <xdr:spPr bwMode="auto">
        <a:xfrm>
          <a:off x="10420350" y="2895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19" name="Line 18">
          <a:extLst>
            <a:ext uri="{FF2B5EF4-FFF2-40B4-BE49-F238E27FC236}">
              <a16:creationId xmlns:a16="http://schemas.microsoft.com/office/drawing/2014/main" id="{5D9BC38C-1E49-4E23-8325-CA3362952459}"/>
            </a:ext>
          </a:extLst>
        </xdr:cNvPr>
        <xdr:cNvSpPr>
          <a:spLocks noChangeShapeType="1"/>
        </xdr:cNvSpPr>
      </xdr:nvSpPr>
      <xdr:spPr bwMode="auto">
        <a:xfrm>
          <a:off x="11220450" y="323215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20" name="Line 19">
          <a:extLst>
            <a:ext uri="{FF2B5EF4-FFF2-40B4-BE49-F238E27FC236}">
              <a16:creationId xmlns:a16="http://schemas.microsoft.com/office/drawing/2014/main" id="{BD0C937D-EF51-41DB-90E6-46FC11EF3CC6}"/>
            </a:ext>
          </a:extLst>
        </xdr:cNvPr>
        <xdr:cNvSpPr>
          <a:spLocks noChangeShapeType="1"/>
        </xdr:cNvSpPr>
      </xdr:nvSpPr>
      <xdr:spPr bwMode="auto">
        <a:xfrm>
          <a:off x="11220450" y="40640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21" name="Line 20">
          <a:extLst>
            <a:ext uri="{FF2B5EF4-FFF2-40B4-BE49-F238E27FC236}">
              <a16:creationId xmlns:a16="http://schemas.microsoft.com/office/drawing/2014/main" id="{7E2C7D8B-DE3D-4A5C-B7E8-BA895570B717}"/>
            </a:ext>
          </a:extLst>
        </xdr:cNvPr>
        <xdr:cNvSpPr>
          <a:spLocks noChangeShapeType="1"/>
        </xdr:cNvSpPr>
      </xdr:nvSpPr>
      <xdr:spPr bwMode="auto">
        <a:xfrm>
          <a:off x="10420350" y="423545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22" name="Line 21">
          <a:extLst>
            <a:ext uri="{FF2B5EF4-FFF2-40B4-BE49-F238E27FC236}">
              <a16:creationId xmlns:a16="http://schemas.microsoft.com/office/drawing/2014/main" id="{15B91604-5750-4DB1-B108-547389AF3451}"/>
            </a:ext>
          </a:extLst>
        </xdr:cNvPr>
        <xdr:cNvSpPr>
          <a:spLocks noChangeShapeType="1"/>
        </xdr:cNvSpPr>
      </xdr:nvSpPr>
      <xdr:spPr bwMode="auto">
        <a:xfrm>
          <a:off x="11220450" y="57277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23" name="Line 22">
          <a:extLst>
            <a:ext uri="{FF2B5EF4-FFF2-40B4-BE49-F238E27FC236}">
              <a16:creationId xmlns:a16="http://schemas.microsoft.com/office/drawing/2014/main" id="{4448949E-5795-46FA-A304-0B1EDD1BA9B9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498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4" name="Line 23">
          <a:extLst>
            <a:ext uri="{FF2B5EF4-FFF2-40B4-BE49-F238E27FC236}">
              <a16:creationId xmlns:a16="http://schemas.microsoft.com/office/drawing/2014/main" id="{513F7190-0734-4838-B51A-8896170EE03E}"/>
            </a:ext>
          </a:extLst>
        </xdr:cNvPr>
        <xdr:cNvSpPr>
          <a:spLocks noChangeShapeType="1"/>
        </xdr:cNvSpPr>
      </xdr:nvSpPr>
      <xdr:spPr bwMode="auto">
        <a:xfrm>
          <a:off x="1581150" y="8413750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618BD327-7136-4711-A770-A58DCA6FC5A3}"/>
            </a:ext>
          </a:extLst>
        </xdr:cNvPr>
        <xdr:cNvSpPr>
          <a:spLocks noChangeShapeType="1"/>
        </xdr:cNvSpPr>
      </xdr:nvSpPr>
      <xdr:spPr bwMode="auto">
        <a:xfrm flipV="1">
          <a:off x="800100" y="11087100"/>
          <a:ext cx="0" cy="831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1D40D372-8148-44B4-AA7B-4BA685474C4B}"/>
            </a:ext>
          </a:extLst>
        </xdr:cNvPr>
        <xdr:cNvSpPr>
          <a:spLocks noChangeShapeType="1"/>
        </xdr:cNvSpPr>
      </xdr:nvSpPr>
      <xdr:spPr bwMode="auto">
        <a:xfrm>
          <a:off x="800100" y="84137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E9840CF1-14E1-412C-9AD2-557759FC6AF8}"/>
            </a:ext>
          </a:extLst>
        </xdr:cNvPr>
        <xdr:cNvSpPr>
          <a:spLocks noChangeShapeType="1"/>
        </xdr:cNvSpPr>
      </xdr:nvSpPr>
      <xdr:spPr bwMode="auto">
        <a:xfrm>
          <a:off x="2584450" y="11087100"/>
          <a:ext cx="0" cy="4889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E08065E3-0E06-47F9-B5F1-AE67F54A3333}"/>
            </a:ext>
          </a:extLst>
        </xdr:cNvPr>
        <xdr:cNvSpPr>
          <a:spLocks noChangeShapeType="1"/>
        </xdr:cNvSpPr>
      </xdr:nvSpPr>
      <xdr:spPr bwMode="auto">
        <a:xfrm flipH="1">
          <a:off x="2584450" y="9918700"/>
          <a:ext cx="0" cy="5016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C92AC011-F847-4E58-9D17-4C5886B734EA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91D4395D-9216-4A69-819A-FFFE6F05DA89}"/>
            </a:ext>
          </a:extLst>
        </xdr:cNvPr>
        <xdr:cNvSpPr>
          <a:spLocks noChangeShapeType="1"/>
        </xdr:cNvSpPr>
      </xdr:nvSpPr>
      <xdr:spPr bwMode="auto">
        <a:xfrm flipV="1">
          <a:off x="5283200" y="824230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84458481-75D4-48C2-AF36-CB44FB6EE8B3}"/>
            </a:ext>
          </a:extLst>
        </xdr:cNvPr>
        <xdr:cNvSpPr>
          <a:spLocks noChangeShapeType="1"/>
        </xdr:cNvSpPr>
      </xdr:nvSpPr>
      <xdr:spPr bwMode="auto">
        <a:xfrm>
          <a:off x="5283200" y="84137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80D53083-3CA4-4133-B67B-5760A8D95902}"/>
            </a:ext>
          </a:extLst>
        </xdr:cNvPr>
        <xdr:cNvSpPr>
          <a:spLocks noChangeShapeType="1"/>
        </xdr:cNvSpPr>
      </xdr:nvSpPr>
      <xdr:spPr bwMode="auto">
        <a:xfrm>
          <a:off x="2584450" y="12592050"/>
          <a:ext cx="3587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9F6B5473-23FF-4C6F-9DF4-C4960CEE875F}"/>
            </a:ext>
          </a:extLst>
        </xdr:cNvPr>
        <xdr:cNvSpPr>
          <a:spLocks noChangeShapeType="1"/>
        </xdr:cNvSpPr>
      </xdr:nvSpPr>
      <xdr:spPr bwMode="auto">
        <a:xfrm flipV="1">
          <a:off x="5283200" y="129222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1383D7B8-0711-4DB0-ADC7-5DE5C2093928}"/>
            </a:ext>
          </a:extLst>
        </xdr:cNvPr>
        <xdr:cNvSpPr>
          <a:spLocks noChangeShapeType="1"/>
        </xdr:cNvSpPr>
      </xdr:nvSpPr>
      <xdr:spPr bwMode="auto">
        <a:xfrm>
          <a:off x="5283200" y="127571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35497A9E-D51F-4FB2-8516-9E0399750A84}"/>
            </a:ext>
          </a:extLst>
        </xdr:cNvPr>
        <xdr:cNvSpPr>
          <a:spLocks noChangeShapeType="1"/>
        </xdr:cNvSpPr>
      </xdr:nvSpPr>
      <xdr:spPr bwMode="auto">
        <a:xfrm>
          <a:off x="3771900" y="10763250"/>
          <a:ext cx="2400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DC2F1604-E249-498B-8A48-837638018279}"/>
            </a:ext>
          </a:extLst>
        </xdr:cNvPr>
        <xdr:cNvSpPr>
          <a:spLocks noChangeShapeType="1"/>
        </xdr:cNvSpPr>
      </xdr:nvSpPr>
      <xdr:spPr bwMode="auto">
        <a:xfrm>
          <a:off x="3213100" y="12090400"/>
          <a:ext cx="2959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37" name="Line 36">
          <a:extLst>
            <a:ext uri="{FF2B5EF4-FFF2-40B4-BE49-F238E27FC236}">
              <a16:creationId xmlns:a16="http://schemas.microsoft.com/office/drawing/2014/main" id="{5143EBF9-FA49-4E6A-87B7-6214C681A284}"/>
            </a:ext>
          </a:extLst>
        </xdr:cNvPr>
        <xdr:cNvSpPr>
          <a:spLocks noChangeShapeType="1"/>
        </xdr:cNvSpPr>
      </xdr:nvSpPr>
      <xdr:spPr bwMode="auto">
        <a:xfrm flipV="1">
          <a:off x="11220450" y="4406900"/>
          <a:ext cx="6985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15C29B5C-7C0B-43F5-80C5-D9990737B432}"/>
            </a:ext>
          </a:extLst>
        </xdr:cNvPr>
        <xdr:cNvSpPr>
          <a:spLocks noChangeShapeType="1"/>
        </xdr:cNvSpPr>
      </xdr:nvSpPr>
      <xdr:spPr bwMode="auto">
        <a:xfrm>
          <a:off x="10420350" y="5562600"/>
          <a:ext cx="14986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39" name="Line 38">
          <a:extLst>
            <a:ext uri="{FF2B5EF4-FFF2-40B4-BE49-F238E27FC236}">
              <a16:creationId xmlns:a16="http://schemas.microsoft.com/office/drawing/2014/main" id="{41841A06-AB11-4214-A3CB-958813A003C5}"/>
            </a:ext>
          </a:extLst>
        </xdr:cNvPr>
        <xdr:cNvSpPr>
          <a:spLocks noChangeShapeType="1"/>
        </xdr:cNvSpPr>
      </xdr:nvSpPr>
      <xdr:spPr bwMode="auto">
        <a:xfrm>
          <a:off x="12687300" y="84137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40" name="Line 39">
          <a:extLst>
            <a:ext uri="{FF2B5EF4-FFF2-40B4-BE49-F238E27FC236}">
              <a16:creationId xmlns:a16="http://schemas.microsoft.com/office/drawing/2014/main" id="{B76B8466-7640-451D-BA24-1FFE73D15177}"/>
            </a:ext>
          </a:extLst>
        </xdr:cNvPr>
        <xdr:cNvSpPr>
          <a:spLocks noChangeShapeType="1"/>
        </xdr:cNvSpPr>
      </xdr:nvSpPr>
      <xdr:spPr bwMode="auto">
        <a:xfrm>
          <a:off x="12687300" y="958850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41" name="Line 40">
          <a:extLst>
            <a:ext uri="{FF2B5EF4-FFF2-40B4-BE49-F238E27FC236}">
              <a16:creationId xmlns:a16="http://schemas.microsoft.com/office/drawing/2014/main" id="{EF5130F4-640B-4392-A061-9C043C62D22A}"/>
            </a:ext>
          </a:extLst>
        </xdr:cNvPr>
        <xdr:cNvSpPr>
          <a:spLocks noChangeShapeType="1"/>
        </xdr:cNvSpPr>
      </xdr:nvSpPr>
      <xdr:spPr bwMode="auto">
        <a:xfrm>
          <a:off x="12687300" y="10763250"/>
          <a:ext cx="368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42" name="Line 41">
          <a:extLst>
            <a:ext uri="{FF2B5EF4-FFF2-40B4-BE49-F238E27FC236}">
              <a16:creationId xmlns:a16="http://schemas.microsoft.com/office/drawing/2014/main" id="{9B89DF16-1C79-45F3-8BAD-16BD8B37B23C}"/>
            </a:ext>
          </a:extLst>
        </xdr:cNvPr>
        <xdr:cNvSpPr>
          <a:spLocks noChangeShapeType="1"/>
        </xdr:cNvSpPr>
      </xdr:nvSpPr>
      <xdr:spPr bwMode="auto">
        <a:xfrm>
          <a:off x="11918950" y="8413750"/>
          <a:ext cx="0" cy="485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43" name="Line 42">
          <a:extLst>
            <a:ext uri="{FF2B5EF4-FFF2-40B4-BE49-F238E27FC236}">
              <a16:creationId xmlns:a16="http://schemas.microsoft.com/office/drawing/2014/main" id="{FD9D81AA-D002-4EBA-86D9-FC1240ACB371}"/>
            </a:ext>
          </a:extLst>
        </xdr:cNvPr>
        <xdr:cNvSpPr>
          <a:spLocks noChangeShapeType="1"/>
        </xdr:cNvSpPr>
      </xdr:nvSpPr>
      <xdr:spPr bwMode="auto">
        <a:xfrm>
          <a:off x="15373350" y="2552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44" name="Line 43">
          <a:extLst>
            <a:ext uri="{FF2B5EF4-FFF2-40B4-BE49-F238E27FC236}">
              <a16:creationId xmlns:a16="http://schemas.microsoft.com/office/drawing/2014/main" id="{6E192D0E-3E82-4AA4-9D87-235D3DC67094}"/>
            </a:ext>
          </a:extLst>
        </xdr:cNvPr>
        <xdr:cNvSpPr>
          <a:spLocks noChangeShapeType="1"/>
        </xdr:cNvSpPr>
      </xdr:nvSpPr>
      <xdr:spPr bwMode="auto">
        <a:xfrm>
          <a:off x="15373350" y="272415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45" name="Line 44">
          <a:extLst>
            <a:ext uri="{FF2B5EF4-FFF2-40B4-BE49-F238E27FC236}">
              <a16:creationId xmlns:a16="http://schemas.microsoft.com/office/drawing/2014/main" id="{D40CDBCA-4686-42FC-B342-9291D7251D36}"/>
            </a:ext>
          </a:extLst>
        </xdr:cNvPr>
        <xdr:cNvSpPr>
          <a:spLocks noChangeShapeType="1"/>
        </xdr:cNvSpPr>
      </xdr:nvSpPr>
      <xdr:spPr bwMode="auto">
        <a:xfrm>
          <a:off x="14935200" y="2895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46" name="Line 45">
          <a:extLst>
            <a:ext uri="{FF2B5EF4-FFF2-40B4-BE49-F238E27FC236}">
              <a16:creationId xmlns:a16="http://schemas.microsoft.com/office/drawing/2014/main" id="{3D6110EF-A108-4161-83F3-D822959DD7E0}"/>
            </a:ext>
          </a:extLst>
        </xdr:cNvPr>
        <xdr:cNvSpPr>
          <a:spLocks noChangeShapeType="1"/>
        </xdr:cNvSpPr>
      </xdr:nvSpPr>
      <xdr:spPr bwMode="auto">
        <a:xfrm>
          <a:off x="15373350" y="3060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47" name="Line 46">
          <a:extLst>
            <a:ext uri="{FF2B5EF4-FFF2-40B4-BE49-F238E27FC236}">
              <a16:creationId xmlns:a16="http://schemas.microsoft.com/office/drawing/2014/main" id="{50F8F40F-32F9-4DB5-897C-53A6E471DFC4}"/>
            </a:ext>
          </a:extLst>
        </xdr:cNvPr>
        <xdr:cNvSpPr>
          <a:spLocks noChangeShapeType="1"/>
        </xdr:cNvSpPr>
      </xdr:nvSpPr>
      <xdr:spPr bwMode="auto">
        <a:xfrm>
          <a:off x="15373350" y="40640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48" name="Line 47">
          <a:extLst>
            <a:ext uri="{FF2B5EF4-FFF2-40B4-BE49-F238E27FC236}">
              <a16:creationId xmlns:a16="http://schemas.microsoft.com/office/drawing/2014/main" id="{0DE3EA09-6823-4149-803A-FA03FF7CF24E}"/>
            </a:ext>
          </a:extLst>
        </xdr:cNvPr>
        <xdr:cNvSpPr>
          <a:spLocks noChangeShapeType="1"/>
        </xdr:cNvSpPr>
      </xdr:nvSpPr>
      <xdr:spPr bwMode="auto">
        <a:xfrm>
          <a:off x="14935200" y="4235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49" name="Line 48">
          <a:extLst>
            <a:ext uri="{FF2B5EF4-FFF2-40B4-BE49-F238E27FC236}">
              <a16:creationId xmlns:a16="http://schemas.microsoft.com/office/drawing/2014/main" id="{386F611E-3941-415E-B920-185DA9E8643B}"/>
            </a:ext>
          </a:extLst>
        </xdr:cNvPr>
        <xdr:cNvSpPr>
          <a:spLocks noChangeShapeType="1"/>
        </xdr:cNvSpPr>
      </xdr:nvSpPr>
      <xdr:spPr bwMode="auto">
        <a:xfrm>
          <a:off x="15373350" y="44069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0" name="Line 49">
          <a:extLst>
            <a:ext uri="{FF2B5EF4-FFF2-40B4-BE49-F238E27FC236}">
              <a16:creationId xmlns:a16="http://schemas.microsoft.com/office/drawing/2014/main" id="{C8428188-DD10-4F6A-989A-17BFA6683247}"/>
            </a:ext>
          </a:extLst>
        </xdr:cNvPr>
        <xdr:cNvSpPr>
          <a:spLocks noChangeShapeType="1"/>
        </xdr:cNvSpPr>
      </xdr:nvSpPr>
      <xdr:spPr bwMode="auto">
        <a:xfrm>
          <a:off x="14935200" y="556260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1" name="Line 50">
          <a:extLst>
            <a:ext uri="{FF2B5EF4-FFF2-40B4-BE49-F238E27FC236}">
              <a16:creationId xmlns:a16="http://schemas.microsoft.com/office/drawing/2014/main" id="{23A28CDE-2868-49A7-89DA-E45279BDCE07}"/>
            </a:ext>
          </a:extLst>
        </xdr:cNvPr>
        <xdr:cNvSpPr>
          <a:spLocks noChangeShapeType="1"/>
        </xdr:cNvSpPr>
      </xdr:nvSpPr>
      <xdr:spPr bwMode="auto">
        <a:xfrm flipV="1">
          <a:off x="15373350" y="5727700"/>
          <a:ext cx="546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" name="Line 51">
          <a:extLst>
            <a:ext uri="{FF2B5EF4-FFF2-40B4-BE49-F238E27FC236}">
              <a16:creationId xmlns:a16="http://schemas.microsoft.com/office/drawing/2014/main" id="{1AFC39A6-AAFC-431B-B125-1F5962620DA0}"/>
            </a:ext>
          </a:extLst>
        </xdr:cNvPr>
        <xdr:cNvSpPr>
          <a:spLocks noChangeShapeType="1"/>
        </xdr:cNvSpPr>
      </xdr:nvSpPr>
      <xdr:spPr bwMode="auto">
        <a:xfrm flipV="1">
          <a:off x="14935200" y="6902450"/>
          <a:ext cx="9842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" name="Line 52">
          <a:extLst>
            <a:ext uri="{FF2B5EF4-FFF2-40B4-BE49-F238E27FC236}">
              <a16:creationId xmlns:a16="http://schemas.microsoft.com/office/drawing/2014/main" id="{BEB29F79-D98E-42AD-91AD-56621E5773E6}"/>
            </a:ext>
          </a:extLst>
        </xdr:cNvPr>
        <xdr:cNvSpPr>
          <a:spLocks noChangeShapeType="1"/>
        </xdr:cNvSpPr>
      </xdr:nvSpPr>
      <xdr:spPr bwMode="auto">
        <a:xfrm>
          <a:off x="3213100" y="4235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" name="Line 53">
          <a:extLst>
            <a:ext uri="{FF2B5EF4-FFF2-40B4-BE49-F238E27FC236}">
              <a16:creationId xmlns:a16="http://schemas.microsoft.com/office/drawing/2014/main" id="{B5CB9F6E-F686-401A-9ED7-82920F8B1494}"/>
            </a:ext>
          </a:extLst>
        </xdr:cNvPr>
        <xdr:cNvSpPr>
          <a:spLocks noChangeShapeType="1"/>
        </xdr:cNvSpPr>
      </xdr:nvSpPr>
      <xdr:spPr bwMode="auto">
        <a:xfrm>
          <a:off x="3251200" y="9753600"/>
          <a:ext cx="14287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5" name="Line 54">
          <a:extLst>
            <a:ext uri="{FF2B5EF4-FFF2-40B4-BE49-F238E27FC236}">
              <a16:creationId xmlns:a16="http://schemas.microsoft.com/office/drawing/2014/main" id="{C7980251-AD4B-4896-84D2-AE0521146F6A}"/>
            </a:ext>
          </a:extLst>
        </xdr:cNvPr>
        <xdr:cNvSpPr>
          <a:spLocks noChangeShapeType="1"/>
        </xdr:cNvSpPr>
      </xdr:nvSpPr>
      <xdr:spPr bwMode="auto">
        <a:xfrm flipH="1" flipV="1">
          <a:off x="3213100" y="639445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ABCAD65D-A687-4EAD-AE1F-AB2F7F6D8FA1}"/>
            </a:ext>
          </a:extLst>
        </xdr:cNvPr>
        <xdr:cNvSpPr>
          <a:spLocks noChangeShapeType="1"/>
        </xdr:cNvSpPr>
      </xdr:nvSpPr>
      <xdr:spPr bwMode="auto">
        <a:xfrm>
          <a:off x="3771900" y="4406900"/>
          <a:ext cx="0" cy="1816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7" name="Line 56">
          <a:extLst>
            <a:ext uri="{FF2B5EF4-FFF2-40B4-BE49-F238E27FC236}">
              <a16:creationId xmlns:a16="http://schemas.microsoft.com/office/drawing/2014/main" id="{CBC3A701-380C-4791-B03D-7235385C35F7}"/>
            </a:ext>
          </a:extLst>
        </xdr:cNvPr>
        <xdr:cNvSpPr>
          <a:spLocks noChangeShapeType="1"/>
        </xdr:cNvSpPr>
      </xdr:nvSpPr>
      <xdr:spPr bwMode="auto">
        <a:xfrm>
          <a:off x="3213100" y="44069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8" name="Line 57">
          <a:extLst>
            <a:ext uri="{FF2B5EF4-FFF2-40B4-BE49-F238E27FC236}">
              <a16:creationId xmlns:a16="http://schemas.microsoft.com/office/drawing/2014/main" id="{B1B88479-8487-4891-894F-0C54B0EFEDE4}"/>
            </a:ext>
          </a:extLst>
        </xdr:cNvPr>
        <xdr:cNvSpPr>
          <a:spLocks noChangeShapeType="1"/>
        </xdr:cNvSpPr>
      </xdr:nvSpPr>
      <xdr:spPr bwMode="auto">
        <a:xfrm flipH="1">
          <a:off x="3213100" y="62230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9" name="Line 58">
          <a:extLst>
            <a:ext uri="{FF2B5EF4-FFF2-40B4-BE49-F238E27FC236}">
              <a16:creationId xmlns:a16="http://schemas.microsoft.com/office/drawing/2014/main" id="{74870FD6-FE31-4FC6-8621-B4E33784928E}"/>
            </a:ext>
          </a:extLst>
        </xdr:cNvPr>
        <xdr:cNvSpPr>
          <a:spLocks noChangeShapeType="1"/>
        </xdr:cNvSpPr>
      </xdr:nvSpPr>
      <xdr:spPr bwMode="auto">
        <a:xfrm flipH="1">
          <a:off x="2584450" y="6731000"/>
          <a:ext cx="0" cy="33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60" name="Line 59">
          <a:extLst>
            <a:ext uri="{FF2B5EF4-FFF2-40B4-BE49-F238E27FC236}">
              <a16:creationId xmlns:a16="http://schemas.microsoft.com/office/drawing/2014/main" id="{C1374D93-763A-4ED3-9DBA-9E93E6386250}"/>
            </a:ext>
          </a:extLst>
        </xdr:cNvPr>
        <xdr:cNvSpPr>
          <a:spLocks noChangeShapeType="1"/>
        </xdr:cNvSpPr>
      </xdr:nvSpPr>
      <xdr:spPr bwMode="auto">
        <a:xfrm>
          <a:off x="2584450" y="7067550"/>
          <a:ext cx="3587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61" name="Line 60">
          <a:extLst>
            <a:ext uri="{FF2B5EF4-FFF2-40B4-BE49-F238E27FC236}">
              <a16:creationId xmlns:a16="http://schemas.microsoft.com/office/drawing/2014/main" id="{A3C4F339-3F03-489B-8071-61F2F1A09D85}"/>
            </a:ext>
          </a:extLst>
        </xdr:cNvPr>
        <xdr:cNvSpPr>
          <a:spLocks noChangeShapeType="1"/>
        </xdr:cNvSpPr>
      </xdr:nvSpPr>
      <xdr:spPr bwMode="auto">
        <a:xfrm>
          <a:off x="5283200" y="75628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62" name="Line 61">
          <a:extLst>
            <a:ext uri="{FF2B5EF4-FFF2-40B4-BE49-F238E27FC236}">
              <a16:creationId xmlns:a16="http://schemas.microsoft.com/office/drawing/2014/main" id="{EA4A49CC-2C2F-4053-954B-FF0EABE0BCFD}"/>
            </a:ext>
          </a:extLst>
        </xdr:cNvPr>
        <xdr:cNvSpPr>
          <a:spLocks noChangeShapeType="1"/>
        </xdr:cNvSpPr>
      </xdr:nvSpPr>
      <xdr:spPr bwMode="auto">
        <a:xfrm>
          <a:off x="4679950" y="4235450"/>
          <a:ext cx="0" cy="21590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63" name="Line 62">
          <a:extLst>
            <a:ext uri="{FF2B5EF4-FFF2-40B4-BE49-F238E27FC236}">
              <a16:creationId xmlns:a16="http://schemas.microsoft.com/office/drawing/2014/main" id="{051E112B-DA2B-4ECC-9480-8AAE25D17FD2}"/>
            </a:ext>
          </a:extLst>
        </xdr:cNvPr>
        <xdr:cNvSpPr>
          <a:spLocks noChangeShapeType="1"/>
        </xdr:cNvSpPr>
      </xdr:nvSpPr>
      <xdr:spPr bwMode="auto">
        <a:xfrm>
          <a:off x="5283200" y="2552700"/>
          <a:ext cx="0" cy="679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64" name="Line 63">
          <a:extLst>
            <a:ext uri="{FF2B5EF4-FFF2-40B4-BE49-F238E27FC236}">
              <a16:creationId xmlns:a16="http://schemas.microsoft.com/office/drawing/2014/main" id="{C37273BD-B5DD-403C-AE38-593FA19338F1}"/>
            </a:ext>
          </a:extLst>
        </xdr:cNvPr>
        <xdr:cNvSpPr>
          <a:spLocks noChangeShapeType="1"/>
        </xdr:cNvSpPr>
      </xdr:nvSpPr>
      <xdr:spPr bwMode="auto">
        <a:xfrm>
          <a:off x="800100" y="2895600"/>
          <a:ext cx="0" cy="1993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65" name="Line 64">
          <a:extLst>
            <a:ext uri="{FF2B5EF4-FFF2-40B4-BE49-F238E27FC236}">
              <a16:creationId xmlns:a16="http://schemas.microsoft.com/office/drawing/2014/main" id="{5B1C57FB-7ACF-46C0-A76B-D4AD1D6EB74E}"/>
            </a:ext>
          </a:extLst>
        </xdr:cNvPr>
        <xdr:cNvSpPr>
          <a:spLocks noChangeShapeType="1"/>
        </xdr:cNvSpPr>
      </xdr:nvSpPr>
      <xdr:spPr bwMode="auto">
        <a:xfrm>
          <a:off x="800100" y="63944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66" name="Line 65">
          <a:extLst>
            <a:ext uri="{FF2B5EF4-FFF2-40B4-BE49-F238E27FC236}">
              <a16:creationId xmlns:a16="http://schemas.microsoft.com/office/drawing/2014/main" id="{BDCB72AD-E292-42B5-A338-02D92655D973}"/>
            </a:ext>
          </a:extLst>
        </xdr:cNvPr>
        <xdr:cNvSpPr>
          <a:spLocks noChangeShapeType="1"/>
        </xdr:cNvSpPr>
      </xdr:nvSpPr>
      <xdr:spPr bwMode="auto">
        <a:xfrm>
          <a:off x="1250950" y="67310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67" name="Line 66">
          <a:extLst>
            <a:ext uri="{FF2B5EF4-FFF2-40B4-BE49-F238E27FC236}">
              <a16:creationId xmlns:a16="http://schemas.microsoft.com/office/drawing/2014/main" id="{8EB5DF6E-96A7-4B61-8386-5C7D2FFFD739}"/>
            </a:ext>
          </a:extLst>
        </xdr:cNvPr>
        <xdr:cNvSpPr>
          <a:spLocks noChangeShapeType="1"/>
        </xdr:cNvSpPr>
      </xdr:nvSpPr>
      <xdr:spPr bwMode="auto">
        <a:xfrm flipH="1" flipV="1">
          <a:off x="1250950" y="65595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68" name="Line 67">
          <a:extLst>
            <a:ext uri="{FF2B5EF4-FFF2-40B4-BE49-F238E27FC236}">
              <a16:creationId xmlns:a16="http://schemas.microsoft.com/office/drawing/2014/main" id="{27C79F85-98EC-43D8-A06F-A9C64546E812}"/>
            </a:ext>
          </a:extLst>
        </xdr:cNvPr>
        <xdr:cNvSpPr>
          <a:spLocks noChangeShapeType="1"/>
        </xdr:cNvSpPr>
      </xdr:nvSpPr>
      <xdr:spPr bwMode="auto">
        <a:xfrm>
          <a:off x="5283200" y="6902450"/>
          <a:ext cx="0" cy="660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69" name="Line 68">
          <a:extLst>
            <a:ext uri="{FF2B5EF4-FFF2-40B4-BE49-F238E27FC236}">
              <a16:creationId xmlns:a16="http://schemas.microsoft.com/office/drawing/2014/main" id="{7C4993E8-35AD-43BF-A4EC-F5BEADF99730}"/>
            </a:ext>
          </a:extLst>
        </xdr:cNvPr>
        <xdr:cNvSpPr>
          <a:spLocks noChangeShapeType="1"/>
        </xdr:cNvSpPr>
      </xdr:nvSpPr>
      <xdr:spPr bwMode="auto">
        <a:xfrm flipV="1">
          <a:off x="3213100" y="8070850"/>
          <a:ext cx="2959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70" name="Line 69">
          <a:extLst>
            <a:ext uri="{FF2B5EF4-FFF2-40B4-BE49-F238E27FC236}">
              <a16:creationId xmlns:a16="http://schemas.microsoft.com/office/drawing/2014/main" id="{A518C9C8-979E-48DC-A928-E85A37809B06}"/>
            </a:ext>
          </a:extLst>
        </xdr:cNvPr>
        <xdr:cNvSpPr>
          <a:spLocks noChangeShapeType="1"/>
        </xdr:cNvSpPr>
      </xdr:nvSpPr>
      <xdr:spPr bwMode="auto">
        <a:xfrm>
          <a:off x="5283200" y="80708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71" name="Line 70">
          <a:extLst>
            <a:ext uri="{FF2B5EF4-FFF2-40B4-BE49-F238E27FC236}">
              <a16:creationId xmlns:a16="http://schemas.microsoft.com/office/drawing/2014/main" id="{3AA57683-54B1-469E-9C4C-B9B2B07F6E68}"/>
            </a:ext>
          </a:extLst>
        </xdr:cNvPr>
        <xdr:cNvSpPr>
          <a:spLocks noChangeShapeType="1"/>
        </xdr:cNvSpPr>
      </xdr:nvSpPr>
      <xdr:spPr bwMode="auto">
        <a:xfrm>
          <a:off x="4679950" y="9753600"/>
          <a:ext cx="0" cy="19939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72" name="Line 71">
          <a:extLst>
            <a:ext uri="{FF2B5EF4-FFF2-40B4-BE49-F238E27FC236}">
              <a16:creationId xmlns:a16="http://schemas.microsoft.com/office/drawing/2014/main" id="{75ABEB24-4033-41F6-AA49-B95CE01D9ADB}"/>
            </a:ext>
          </a:extLst>
        </xdr:cNvPr>
        <xdr:cNvSpPr>
          <a:spLocks noChangeShapeType="1"/>
        </xdr:cNvSpPr>
      </xdr:nvSpPr>
      <xdr:spPr bwMode="auto">
        <a:xfrm flipH="1">
          <a:off x="3213100" y="11747500"/>
          <a:ext cx="1466850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73" name="Line 72">
          <a:extLst>
            <a:ext uri="{FF2B5EF4-FFF2-40B4-BE49-F238E27FC236}">
              <a16:creationId xmlns:a16="http://schemas.microsoft.com/office/drawing/2014/main" id="{0C59C42A-79B4-4DBE-842E-043047744AA9}"/>
            </a:ext>
          </a:extLst>
        </xdr:cNvPr>
        <xdr:cNvSpPr>
          <a:spLocks noChangeShapeType="1"/>
        </xdr:cNvSpPr>
      </xdr:nvSpPr>
      <xdr:spPr bwMode="auto">
        <a:xfrm>
          <a:off x="3771900" y="9918700"/>
          <a:ext cx="0" cy="1657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74" name="Line 73">
          <a:extLst>
            <a:ext uri="{FF2B5EF4-FFF2-40B4-BE49-F238E27FC236}">
              <a16:creationId xmlns:a16="http://schemas.microsoft.com/office/drawing/2014/main" id="{5D85C583-8068-44D1-BFA5-3D5B9E638054}"/>
            </a:ext>
          </a:extLst>
        </xdr:cNvPr>
        <xdr:cNvSpPr>
          <a:spLocks noChangeShapeType="1"/>
        </xdr:cNvSpPr>
      </xdr:nvSpPr>
      <xdr:spPr bwMode="auto">
        <a:xfrm flipH="1">
          <a:off x="3213100" y="1157605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4E2B1B90-5858-4211-9C09-C879C62CCD15}"/>
            </a:ext>
          </a:extLst>
        </xdr:cNvPr>
        <xdr:cNvSpPr>
          <a:spLocks noChangeShapeType="1"/>
        </xdr:cNvSpPr>
      </xdr:nvSpPr>
      <xdr:spPr bwMode="auto">
        <a:xfrm>
          <a:off x="2584450" y="12265025"/>
          <a:ext cx="0" cy="3270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76" name="Line 75">
          <a:extLst>
            <a:ext uri="{FF2B5EF4-FFF2-40B4-BE49-F238E27FC236}">
              <a16:creationId xmlns:a16="http://schemas.microsoft.com/office/drawing/2014/main" id="{90BE0B35-F3B3-46A0-977A-8D8A630E9E35}"/>
            </a:ext>
          </a:extLst>
        </xdr:cNvPr>
        <xdr:cNvSpPr>
          <a:spLocks noChangeShapeType="1"/>
        </xdr:cNvSpPr>
      </xdr:nvSpPr>
      <xdr:spPr bwMode="auto">
        <a:xfrm flipH="1">
          <a:off x="5283200" y="12592050"/>
          <a:ext cx="0" cy="330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77" name="Line 76">
          <a:extLst>
            <a:ext uri="{FF2B5EF4-FFF2-40B4-BE49-F238E27FC236}">
              <a16:creationId xmlns:a16="http://schemas.microsoft.com/office/drawing/2014/main" id="{2BF048DA-D85C-4110-BCBE-9F165BF4C396}"/>
            </a:ext>
          </a:extLst>
        </xdr:cNvPr>
        <xdr:cNvSpPr>
          <a:spLocks noChangeShapeType="1"/>
        </xdr:cNvSpPr>
      </xdr:nvSpPr>
      <xdr:spPr bwMode="auto">
        <a:xfrm>
          <a:off x="800100" y="11918950"/>
          <a:ext cx="1143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78" name="Line 77">
          <a:extLst>
            <a:ext uri="{FF2B5EF4-FFF2-40B4-BE49-F238E27FC236}">
              <a16:creationId xmlns:a16="http://schemas.microsoft.com/office/drawing/2014/main" id="{9B09DD57-91B0-4F4A-986B-8D05BD06036C}"/>
            </a:ext>
          </a:extLst>
        </xdr:cNvPr>
        <xdr:cNvSpPr>
          <a:spLocks noChangeShapeType="1"/>
        </xdr:cNvSpPr>
      </xdr:nvSpPr>
      <xdr:spPr bwMode="auto">
        <a:xfrm>
          <a:off x="1250950" y="120904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79" name="Line 78">
          <a:extLst>
            <a:ext uri="{FF2B5EF4-FFF2-40B4-BE49-F238E27FC236}">
              <a16:creationId xmlns:a16="http://schemas.microsoft.com/office/drawing/2014/main" id="{EC3B1AE8-476C-4051-B788-C4BD145D1DDC}"/>
            </a:ext>
          </a:extLst>
        </xdr:cNvPr>
        <xdr:cNvSpPr>
          <a:spLocks noChangeShapeType="1"/>
        </xdr:cNvSpPr>
      </xdr:nvSpPr>
      <xdr:spPr bwMode="auto">
        <a:xfrm>
          <a:off x="1250950" y="12255500"/>
          <a:ext cx="692150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80" name="Line 79">
          <a:extLst>
            <a:ext uri="{FF2B5EF4-FFF2-40B4-BE49-F238E27FC236}">
              <a16:creationId xmlns:a16="http://schemas.microsoft.com/office/drawing/2014/main" id="{6D0461BC-DB0E-4C02-82F0-CD8983A2F119}"/>
            </a:ext>
          </a:extLst>
        </xdr:cNvPr>
        <xdr:cNvSpPr>
          <a:spLocks noChangeShapeType="1"/>
        </xdr:cNvSpPr>
      </xdr:nvSpPr>
      <xdr:spPr bwMode="auto">
        <a:xfrm>
          <a:off x="1122045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81" name="Line 80">
          <a:extLst>
            <a:ext uri="{FF2B5EF4-FFF2-40B4-BE49-F238E27FC236}">
              <a16:creationId xmlns:a16="http://schemas.microsoft.com/office/drawing/2014/main" id="{04217EC6-68DD-4960-B264-D80285B135E1}"/>
            </a:ext>
          </a:extLst>
        </xdr:cNvPr>
        <xdr:cNvSpPr>
          <a:spLocks noChangeShapeType="1"/>
        </xdr:cNvSpPr>
      </xdr:nvSpPr>
      <xdr:spPr bwMode="auto">
        <a:xfrm>
          <a:off x="11220450" y="272415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82" name="Line 81">
          <a:extLst>
            <a:ext uri="{FF2B5EF4-FFF2-40B4-BE49-F238E27FC236}">
              <a16:creationId xmlns:a16="http://schemas.microsoft.com/office/drawing/2014/main" id="{4C8C1089-AC37-4A35-A686-3F2100327F8A}"/>
            </a:ext>
          </a:extLst>
        </xdr:cNvPr>
        <xdr:cNvSpPr>
          <a:spLocks noChangeShapeType="1"/>
        </xdr:cNvSpPr>
      </xdr:nvSpPr>
      <xdr:spPr bwMode="auto">
        <a:xfrm>
          <a:off x="10420350" y="23812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83" name="Line 82">
          <a:extLst>
            <a:ext uri="{FF2B5EF4-FFF2-40B4-BE49-F238E27FC236}">
              <a16:creationId xmlns:a16="http://schemas.microsoft.com/office/drawing/2014/main" id="{B6A1B3FF-501B-4DAE-BB8F-2FAD7D0B079F}"/>
            </a:ext>
          </a:extLst>
        </xdr:cNvPr>
        <xdr:cNvSpPr>
          <a:spLocks noChangeShapeType="1"/>
        </xdr:cNvSpPr>
      </xdr:nvSpPr>
      <xdr:spPr bwMode="auto">
        <a:xfrm>
          <a:off x="10420350" y="3727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84" name="Line 83">
          <a:extLst>
            <a:ext uri="{FF2B5EF4-FFF2-40B4-BE49-F238E27FC236}">
              <a16:creationId xmlns:a16="http://schemas.microsoft.com/office/drawing/2014/main" id="{E9C21E40-B2B8-48B4-8624-18DB8EAC7A59}"/>
            </a:ext>
          </a:extLst>
        </xdr:cNvPr>
        <xdr:cNvSpPr>
          <a:spLocks noChangeShapeType="1"/>
        </xdr:cNvSpPr>
      </xdr:nvSpPr>
      <xdr:spPr bwMode="auto">
        <a:xfrm>
          <a:off x="15373350" y="25527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85" name="Line 84">
          <a:extLst>
            <a:ext uri="{FF2B5EF4-FFF2-40B4-BE49-F238E27FC236}">
              <a16:creationId xmlns:a16="http://schemas.microsoft.com/office/drawing/2014/main" id="{60525BDB-4353-45C1-8432-D3369222E69F}"/>
            </a:ext>
          </a:extLst>
        </xdr:cNvPr>
        <xdr:cNvSpPr>
          <a:spLocks noChangeShapeType="1"/>
        </xdr:cNvSpPr>
      </xdr:nvSpPr>
      <xdr:spPr bwMode="auto">
        <a:xfrm>
          <a:off x="15373350" y="406400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86" name="Line 85">
          <a:extLst>
            <a:ext uri="{FF2B5EF4-FFF2-40B4-BE49-F238E27FC236}">
              <a16:creationId xmlns:a16="http://schemas.microsoft.com/office/drawing/2014/main" id="{A2AEB411-0561-427E-9619-CAF4EB68C104}"/>
            </a:ext>
          </a:extLst>
        </xdr:cNvPr>
        <xdr:cNvSpPr>
          <a:spLocks noChangeShapeType="1"/>
        </xdr:cNvSpPr>
      </xdr:nvSpPr>
      <xdr:spPr bwMode="auto">
        <a:xfrm flipV="1">
          <a:off x="800100" y="8413750"/>
          <a:ext cx="0" cy="20066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87" name="Line 86">
          <a:extLst>
            <a:ext uri="{FF2B5EF4-FFF2-40B4-BE49-F238E27FC236}">
              <a16:creationId xmlns:a16="http://schemas.microsoft.com/office/drawing/2014/main" id="{7DD7CF28-02F1-46D2-955D-58BF939BB116}"/>
            </a:ext>
          </a:extLst>
        </xdr:cNvPr>
        <xdr:cNvSpPr>
          <a:spLocks noChangeShapeType="1"/>
        </xdr:cNvSpPr>
      </xdr:nvSpPr>
      <xdr:spPr bwMode="auto">
        <a:xfrm>
          <a:off x="10420350" y="908050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88" name="Line 87">
          <a:extLst>
            <a:ext uri="{FF2B5EF4-FFF2-40B4-BE49-F238E27FC236}">
              <a16:creationId xmlns:a16="http://schemas.microsoft.com/office/drawing/2014/main" id="{2167FCC2-9333-4D87-B307-FE9BCA816F50}"/>
            </a:ext>
          </a:extLst>
        </xdr:cNvPr>
        <xdr:cNvSpPr>
          <a:spLocks noChangeShapeType="1"/>
        </xdr:cNvSpPr>
      </xdr:nvSpPr>
      <xdr:spPr bwMode="auto">
        <a:xfrm flipV="1">
          <a:off x="10541000" y="8070850"/>
          <a:ext cx="0" cy="10096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89" name="Line 88">
          <a:extLst>
            <a:ext uri="{FF2B5EF4-FFF2-40B4-BE49-F238E27FC236}">
              <a16:creationId xmlns:a16="http://schemas.microsoft.com/office/drawing/2014/main" id="{F911E60F-E67A-4E96-AEF6-C5AF313DF78B}"/>
            </a:ext>
          </a:extLst>
        </xdr:cNvPr>
        <xdr:cNvSpPr>
          <a:spLocks noChangeShapeType="1"/>
        </xdr:cNvSpPr>
      </xdr:nvSpPr>
      <xdr:spPr bwMode="auto">
        <a:xfrm>
          <a:off x="10420350" y="9588500"/>
          <a:ext cx="0" cy="1663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90" name="Line 89">
          <a:extLst>
            <a:ext uri="{FF2B5EF4-FFF2-40B4-BE49-F238E27FC236}">
              <a16:creationId xmlns:a16="http://schemas.microsoft.com/office/drawing/2014/main" id="{CB4A897C-1424-450E-818C-D4036DC5E746}"/>
            </a:ext>
          </a:extLst>
        </xdr:cNvPr>
        <xdr:cNvSpPr>
          <a:spLocks noChangeShapeType="1"/>
        </xdr:cNvSpPr>
      </xdr:nvSpPr>
      <xdr:spPr bwMode="auto">
        <a:xfrm>
          <a:off x="10420350" y="11252200"/>
          <a:ext cx="3175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91" name="Line 90">
          <a:extLst>
            <a:ext uri="{FF2B5EF4-FFF2-40B4-BE49-F238E27FC236}">
              <a16:creationId xmlns:a16="http://schemas.microsoft.com/office/drawing/2014/main" id="{2B206FC1-5A07-4E1C-AC0E-5C03B167BA28}"/>
            </a:ext>
          </a:extLst>
        </xdr:cNvPr>
        <xdr:cNvSpPr>
          <a:spLocks noChangeShapeType="1"/>
        </xdr:cNvSpPr>
      </xdr:nvSpPr>
      <xdr:spPr bwMode="auto">
        <a:xfrm>
          <a:off x="10541000" y="1059180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92" name="Line 91">
          <a:extLst>
            <a:ext uri="{FF2B5EF4-FFF2-40B4-BE49-F238E27FC236}">
              <a16:creationId xmlns:a16="http://schemas.microsoft.com/office/drawing/2014/main" id="{95AE2189-08F6-47E2-9D20-FFACAA7B75E8}"/>
            </a:ext>
          </a:extLst>
        </xdr:cNvPr>
        <xdr:cNvSpPr>
          <a:spLocks noChangeShapeType="1"/>
        </xdr:cNvSpPr>
      </xdr:nvSpPr>
      <xdr:spPr bwMode="auto">
        <a:xfrm flipV="1">
          <a:off x="10541000" y="8070850"/>
          <a:ext cx="67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93" name="Line 92">
          <a:extLst>
            <a:ext uri="{FF2B5EF4-FFF2-40B4-BE49-F238E27FC236}">
              <a16:creationId xmlns:a16="http://schemas.microsoft.com/office/drawing/2014/main" id="{EEF7DF58-4CF5-4A9E-9D72-7C8D13A4CC05}"/>
            </a:ext>
          </a:extLst>
        </xdr:cNvPr>
        <xdr:cNvSpPr>
          <a:spLocks noChangeShapeType="1"/>
        </xdr:cNvSpPr>
      </xdr:nvSpPr>
      <xdr:spPr bwMode="auto">
        <a:xfrm flipV="1">
          <a:off x="10420350" y="9417050"/>
          <a:ext cx="120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94" name="Line 93">
          <a:extLst>
            <a:ext uri="{FF2B5EF4-FFF2-40B4-BE49-F238E27FC236}">
              <a16:creationId xmlns:a16="http://schemas.microsoft.com/office/drawing/2014/main" id="{A074AAF3-DE64-49D1-BF5E-8FDF668CE258}"/>
            </a:ext>
          </a:extLst>
        </xdr:cNvPr>
        <xdr:cNvSpPr>
          <a:spLocks noChangeShapeType="1"/>
        </xdr:cNvSpPr>
      </xdr:nvSpPr>
      <xdr:spPr bwMode="auto">
        <a:xfrm>
          <a:off x="10541000" y="9417050"/>
          <a:ext cx="0" cy="11747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95" name="Line 94">
          <a:extLst>
            <a:ext uri="{FF2B5EF4-FFF2-40B4-BE49-F238E27FC236}">
              <a16:creationId xmlns:a16="http://schemas.microsoft.com/office/drawing/2014/main" id="{78F4D355-70E0-4E62-8D62-25C34818A34F}"/>
            </a:ext>
          </a:extLst>
        </xdr:cNvPr>
        <xdr:cNvSpPr>
          <a:spLocks noChangeShapeType="1"/>
        </xdr:cNvSpPr>
      </xdr:nvSpPr>
      <xdr:spPr bwMode="auto">
        <a:xfrm>
          <a:off x="12687300" y="90805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96" name="Line 95">
          <a:extLst>
            <a:ext uri="{FF2B5EF4-FFF2-40B4-BE49-F238E27FC236}">
              <a16:creationId xmlns:a16="http://schemas.microsoft.com/office/drawing/2014/main" id="{2FBAB482-2B84-49D7-8727-C3EC3CD2B943}"/>
            </a:ext>
          </a:extLst>
        </xdr:cNvPr>
        <xdr:cNvSpPr>
          <a:spLocks noChangeShapeType="1"/>
        </xdr:cNvSpPr>
      </xdr:nvSpPr>
      <xdr:spPr bwMode="auto">
        <a:xfrm>
          <a:off x="12687300" y="789940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97" name="Line 96">
          <a:extLst>
            <a:ext uri="{FF2B5EF4-FFF2-40B4-BE49-F238E27FC236}">
              <a16:creationId xmlns:a16="http://schemas.microsoft.com/office/drawing/2014/main" id="{57BDFF8E-965E-4142-92F3-F4934691B2C4}"/>
            </a:ext>
          </a:extLst>
        </xdr:cNvPr>
        <xdr:cNvSpPr>
          <a:spLocks noChangeShapeType="1"/>
        </xdr:cNvSpPr>
      </xdr:nvSpPr>
      <xdr:spPr bwMode="auto">
        <a:xfrm>
          <a:off x="10420350" y="6394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98" name="Line 97">
          <a:extLst>
            <a:ext uri="{FF2B5EF4-FFF2-40B4-BE49-F238E27FC236}">
              <a16:creationId xmlns:a16="http://schemas.microsoft.com/office/drawing/2014/main" id="{054AFFD8-69FC-40CD-90EB-D633728D10BB}"/>
            </a:ext>
          </a:extLst>
        </xdr:cNvPr>
        <xdr:cNvSpPr>
          <a:spLocks noChangeShapeType="1"/>
        </xdr:cNvSpPr>
      </xdr:nvSpPr>
      <xdr:spPr bwMode="auto">
        <a:xfrm>
          <a:off x="12687300" y="10255250"/>
          <a:ext cx="9080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99" name="Line 98">
          <a:extLst>
            <a:ext uri="{FF2B5EF4-FFF2-40B4-BE49-F238E27FC236}">
              <a16:creationId xmlns:a16="http://schemas.microsoft.com/office/drawing/2014/main" id="{FB93D958-B1C3-4434-B0D7-16117F585EBF}"/>
            </a:ext>
          </a:extLst>
        </xdr:cNvPr>
        <xdr:cNvSpPr>
          <a:spLocks noChangeShapeType="1"/>
        </xdr:cNvSpPr>
      </xdr:nvSpPr>
      <xdr:spPr bwMode="auto">
        <a:xfrm flipV="1">
          <a:off x="10420350" y="50609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100" name="Line 99">
          <a:extLst>
            <a:ext uri="{FF2B5EF4-FFF2-40B4-BE49-F238E27FC236}">
              <a16:creationId xmlns:a16="http://schemas.microsoft.com/office/drawing/2014/main" id="{66DBE207-9D88-4D73-B6EF-DB924A43EAF7}"/>
            </a:ext>
          </a:extLst>
        </xdr:cNvPr>
        <xdr:cNvSpPr>
          <a:spLocks noChangeShapeType="1"/>
        </xdr:cNvSpPr>
      </xdr:nvSpPr>
      <xdr:spPr bwMode="auto">
        <a:xfrm>
          <a:off x="1122045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101" name="Line 100">
          <a:extLst>
            <a:ext uri="{FF2B5EF4-FFF2-40B4-BE49-F238E27FC236}">
              <a16:creationId xmlns:a16="http://schemas.microsoft.com/office/drawing/2014/main" id="{7D72EF13-B495-4867-94B2-4512A4305FB4}"/>
            </a:ext>
          </a:extLst>
        </xdr:cNvPr>
        <xdr:cNvSpPr>
          <a:spLocks noChangeShapeType="1"/>
        </xdr:cNvSpPr>
      </xdr:nvSpPr>
      <xdr:spPr bwMode="auto">
        <a:xfrm>
          <a:off x="15373350" y="5562600"/>
          <a:ext cx="0" cy="1651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102" name="Line 101">
          <a:extLst>
            <a:ext uri="{FF2B5EF4-FFF2-40B4-BE49-F238E27FC236}">
              <a16:creationId xmlns:a16="http://schemas.microsoft.com/office/drawing/2014/main" id="{293E1D66-59A7-4236-90B4-0741112C6784}"/>
            </a:ext>
          </a:extLst>
        </xdr:cNvPr>
        <xdr:cNvSpPr>
          <a:spLocks noChangeShapeType="1"/>
        </xdr:cNvSpPr>
      </xdr:nvSpPr>
      <xdr:spPr bwMode="auto">
        <a:xfrm>
          <a:off x="14935200" y="12592050"/>
          <a:ext cx="14541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103" name="Line 102">
          <a:extLst>
            <a:ext uri="{FF2B5EF4-FFF2-40B4-BE49-F238E27FC236}">
              <a16:creationId xmlns:a16="http://schemas.microsoft.com/office/drawing/2014/main" id="{85032291-CECC-41AE-BA16-106537822216}"/>
            </a:ext>
          </a:extLst>
        </xdr:cNvPr>
        <xdr:cNvSpPr>
          <a:spLocks noChangeShapeType="1"/>
        </xdr:cNvSpPr>
      </xdr:nvSpPr>
      <xdr:spPr bwMode="auto">
        <a:xfrm flipH="1">
          <a:off x="2584450" y="3232150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104" name="Line 103">
          <a:extLst>
            <a:ext uri="{FF2B5EF4-FFF2-40B4-BE49-F238E27FC236}">
              <a16:creationId xmlns:a16="http://schemas.microsoft.com/office/drawing/2014/main" id="{4D6F4D49-7CB5-43B9-9B3F-D9B915EDB83C}"/>
            </a:ext>
          </a:extLst>
        </xdr:cNvPr>
        <xdr:cNvSpPr>
          <a:spLocks noChangeShapeType="1"/>
        </xdr:cNvSpPr>
      </xdr:nvSpPr>
      <xdr:spPr bwMode="auto">
        <a:xfrm flipH="1">
          <a:off x="1581150" y="605155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105" name="Line 104">
          <a:extLst>
            <a:ext uri="{FF2B5EF4-FFF2-40B4-BE49-F238E27FC236}">
              <a16:creationId xmlns:a16="http://schemas.microsoft.com/office/drawing/2014/main" id="{21E29B72-8B33-4C85-9EA6-0D93D4425939}"/>
            </a:ext>
          </a:extLst>
        </xdr:cNvPr>
        <xdr:cNvSpPr>
          <a:spLocks noChangeShapeType="1"/>
        </xdr:cNvSpPr>
      </xdr:nvSpPr>
      <xdr:spPr bwMode="auto">
        <a:xfrm flipV="1">
          <a:off x="1581150" y="3232150"/>
          <a:ext cx="0" cy="28194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106" name="Line 105">
          <a:extLst>
            <a:ext uri="{FF2B5EF4-FFF2-40B4-BE49-F238E27FC236}">
              <a16:creationId xmlns:a16="http://schemas.microsoft.com/office/drawing/2014/main" id="{D52E7A15-AF6F-4C55-815E-439E95DB3CAE}"/>
            </a:ext>
          </a:extLst>
        </xdr:cNvPr>
        <xdr:cNvSpPr>
          <a:spLocks noChangeShapeType="1"/>
        </xdr:cNvSpPr>
      </xdr:nvSpPr>
      <xdr:spPr bwMode="auto">
        <a:xfrm>
          <a:off x="1581150" y="32321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107" name="Line 106">
          <a:extLst>
            <a:ext uri="{FF2B5EF4-FFF2-40B4-BE49-F238E27FC236}">
              <a16:creationId xmlns:a16="http://schemas.microsoft.com/office/drawing/2014/main" id="{5937DC6F-4400-4E78-A8DA-CA63A020628B}"/>
            </a:ext>
          </a:extLst>
        </xdr:cNvPr>
        <xdr:cNvSpPr>
          <a:spLocks noChangeShapeType="1"/>
        </xdr:cNvSpPr>
      </xdr:nvSpPr>
      <xdr:spPr bwMode="auto">
        <a:xfrm>
          <a:off x="3213100" y="9918700"/>
          <a:ext cx="5588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108" name="Line 107">
          <a:extLst>
            <a:ext uri="{FF2B5EF4-FFF2-40B4-BE49-F238E27FC236}">
              <a16:creationId xmlns:a16="http://schemas.microsoft.com/office/drawing/2014/main" id="{354D4206-162D-43E0-AA2E-B69B0F1E65B2}"/>
            </a:ext>
          </a:extLst>
        </xdr:cNvPr>
        <xdr:cNvSpPr>
          <a:spLocks noChangeShapeType="1"/>
        </xdr:cNvSpPr>
      </xdr:nvSpPr>
      <xdr:spPr bwMode="auto">
        <a:xfrm>
          <a:off x="3213100" y="9753600"/>
          <a:ext cx="1466850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109" name="Line 108">
          <a:extLst>
            <a:ext uri="{FF2B5EF4-FFF2-40B4-BE49-F238E27FC236}">
              <a16:creationId xmlns:a16="http://schemas.microsoft.com/office/drawing/2014/main" id="{7DB47602-A000-4FEA-8EBC-38085794FAAF}"/>
            </a:ext>
          </a:extLst>
        </xdr:cNvPr>
        <xdr:cNvSpPr>
          <a:spLocks noChangeShapeType="1"/>
        </xdr:cNvSpPr>
      </xdr:nvSpPr>
      <xdr:spPr bwMode="auto">
        <a:xfrm>
          <a:off x="2584450" y="8737600"/>
          <a:ext cx="0" cy="5080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110" name="Line 109">
          <a:extLst>
            <a:ext uri="{FF2B5EF4-FFF2-40B4-BE49-F238E27FC236}">
              <a16:creationId xmlns:a16="http://schemas.microsoft.com/office/drawing/2014/main" id="{CE82B1BC-14C3-4A29-BDC9-FCD28485B41C}"/>
            </a:ext>
          </a:extLst>
        </xdr:cNvPr>
        <xdr:cNvSpPr>
          <a:spLocks noChangeShapeType="1"/>
        </xdr:cNvSpPr>
      </xdr:nvSpPr>
      <xdr:spPr bwMode="auto">
        <a:xfrm flipH="1" flipV="1">
          <a:off x="1581150" y="1157605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111" name="Line 110">
          <a:extLst>
            <a:ext uri="{FF2B5EF4-FFF2-40B4-BE49-F238E27FC236}">
              <a16:creationId xmlns:a16="http://schemas.microsoft.com/office/drawing/2014/main" id="{380AE032-8750-435F-BA8B-A5CC7245F1A9}"/>
            </a:ext>
          </a:extLst>
        </xdr:cNvPr>
        <xdr:cNvSpPr>
          <a:spLocks noChangeShapeType="1"/>
        </xdr:cNvSpPr>
      </xdr:nvSpPr>
      <xdr:spPr bwMode="auto">
        <a:xfrm flipV="1">
          <a:off x="1581150" y="873760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12" name="Line 111">
          <a:extLst>
            <a:ext uri="{FF2B5EF4-FFF2-40B4-BE49-F238E27FC236}">
              <a16:creationId xmlns:a16="http://schemas.microsoft.com/office/drawing/2014/main" id="{19821704-003E-46A0-8B02-19D1F7BEB166}"/>
            </a:ext>
          </a:extLst>
        </xdr:cNvPr>
        <xdr:cNvSpPr>
          <a:spLocks noChangeShapeType="1"/>
        </xdr:cNvSpPr>
      </xdr:nvSpPr>
      <xdr:spPr bwMode="auto">
        <a:xfrm>
          <a:off x="1581150" y="8737600"/>
          <a:ext cx="3619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113" name="Line 112">
          <a:extLst>
            <a:ext uri="{FF2B5EF4-FFF2-40B4-BE49-F238E27FC236}">
              <a16:creationId xmlns:a16="http://schemas.microsoft.com/office/drawing/2014/main" id="{F791F77F-FFBB-4C65-BB82-0D04672C1D69}"/>
            </a:ext>
          </a:extLst>
        </xdr:cNvPr>
        <xdr:cNvSpPr>
          <a:spLocks noChangeShapeType="1"/>
        </xdr:cNvSpPr>
      </xdr:nvSpPr>
      <xdr:spPr bwMode="auto">
        <a:xfrm>
          <a:off x="5283200" y="289560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114" name="Line 113">
          <a:extLst>
            <a:ext uri="{FF2B5EF4-FFF2-40B4-BE49-F238E27FC236}">
              <a16:creationId xmlns:a16="http://schemas.microsoft.com/office/drawing/2014/main" id="{3B45B896-50E1-4C69-8D28-3D3C075803B7}"/>
            </a:ext>
          </a:extLst>
        </xdr:cNvPr>
        <xdr:cNvSpPr>
          <a:spLocks noChangeShapeType="1"/>
        </xdr:cNvSpPr>
      </xdr:nvSpPr>
      <xdr:spPr bwMode="auto">
        <a:xfrm>
          <a:off x="5283200" y="3232150"/>
          <a:ext cx="889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115" name="Line 114">
          <a:extLst>
            <a:ext uri="{FF2B5EF4-FFF2-40B4-BE49-F238E27FC236}">
              <a16:creationId xmlns:a16="http://schemas.microsoft.com/office/drawing/2014/main" id="{1949CCD9-BD14-4F40-AB7F-5DDA3D998243}"/>
            </a:ext>
          </a:extLst>
        </xdr:cNvPr>
        <xdr:cNvSpPr>
          <a:spLocks noChangeShapeType="1"/>
        </xdr:cNvSpPr>
      </xdr:nvSpPr>
      <xdr:spPr bwMode="auto">
        <a:xfrm flipV="1">
          <a:off x="10420350" y="6902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4188" name="Line 1">
          <a:extLst>
            <a:ext uri="{FF2B5EF4-FFF2-40B4-BE49-F238E27FC236}">
              <a16:creationId xmlns:a16="http://schemas.microsoft.com/office/drawing/2014/main" id="{CB8241E1-57E0-49FE-AA4C-0A88EBC0E8FD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4189" name="Line 2">
          <a:extLst>
            <a:ext uri="{FF2B5EF4-FFF2-40B4-BE49-F238E27FC236}">
              <a16:creationId xmlns:a16="http://schemas.microsoft.com/office/drawing/2014/main" id="{BDF7FE3C-1E8F-4E44-9768-7A8AFC803DBD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4190" name="Line 3">
          <a:extLst>
            <a:ext uri="{FF2B5EF4-FFF2-40B4-BE49-F238E27FC236}">
              <a16:creationId xmlns:a16="http://schemas.microsoft.com/office/drawing/2014/main" id="{B5A5952E-4BA7-4F31-8061-D07F185B12AD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4191" name="Line 4">
          <a:extLst>
            <a:ext uri="{FF2B5EF4-FFF2-40B4-BE49-F238E27FC236}">
              <a16:creationId xmlns:a16="http://schemas.microsoft.com/office/drawing/2014/main" id="{CAF13499-64BB-4160-9CFB-E263FF39449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4192" name="Line 5">
          <a:extLst>
            <a:ext uri="{FF2B5EF4-FFF2-40B4-BE49-F238E27FC236}">
              <a16:creationId xmlns:a16="http://schemas.microsoft.com/office/drawing/2014/main" id="{C880E164-8308-4E4C-9DEA-F4B51692FF08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4193" name="Line 6">
          <a:extLst>
            <a:ext uri="{FF2B5EF4-FFF2-40B4-BE49-F238E27FC236}">
              <a16:creationId xmlns:a16="http://schemas.microsoft.com/office/drawing/2014/main" id="{189A770D-CC71-407F-9DE3-EA1D87FA9F5B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4194" name="Line 7">
          <a:extLst>
            <a:ext uri="{FF2B5EF4-FFF2-40B4-BE49-F238E27FC236}">
              <a16:creationId xmlns:a16="http://schemas.microsoft.com/office/drawing/2014/main" id="{F6300B2C-33B4-4842-9949-FC5643A94B03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384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4195" name="Line 8">
          <a:extLst>
            <a:ext uri="{FF2B5EF4-FFF2-40B4-BE49-F238E27FC236}">
              <a16:creationId xmlns:a16="http://schemas.microsoft.com/office/drawing/2014/main" id="{0AF33B32-2FF9-476D-A3E4-4F968AB8FB22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4196" name="Line 9">
          <a:extLst>
            <a:ext uri="{FF2B5EF4-FFF2-40B4-BE49-F238E27FC236}">
              <a16:creationId xmlns:a16="http://schemas.microsoft.com/office/drawing/2014/main" id="{1AA262E7-C881-41D8-86EB-9056A34130D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4197" name="Line 10">
          <a:extLst>
            <a:ext uri="{FF2B5EF4-FFF2-40B4-BE49-F238E27FC236}">
              <a16:creationId xmlns:a16="http://schemas.microsoft.com/office/drawing/2014/main" id="{B9CE751D-9E87-4C8B-9A68-421148EC5E21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4198" name="Line 11">
          <a:extLst>
            <a:ext uri="{FF2B5EF4-FFF2-40B4-BE49-F238E27FC236}">
              <a16:creationId xmlns:a16="http://schemas.microsoft.com/office/drawing/2014/main" id="{7B5F13ED-320D-4136-9E89-2DC756C951F7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4199" name="Line 12">
          <a:extLst>
            <a:ext uri="{FF2B5EF4-FFF2-40B4-BE49-F238E27FC236}">
              <a16:creationId xmlns:a16="http://schemas.microsoft.com/office/drawing/2014/main" id="{E52522EA-A24A-42D0-94ED-57FE0A7AC3BE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4200" name="Line 13">
          <a:extLst>
            <a:ext uri="{FF2B5EF4-FFF2-40B4-BE49-F238E27FC236}">
              <a16:creationId xmlns:a16="http://schemas.microsoft.com/office/drawing/2014/main" id="{E5355990-59D8-41F3-B667-B60653D90ED7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85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4201" name="Line 14">
          <a:extLst>
            <a:ext uri="{FF2B5EF4-FFF2-40B4-BE49-F238E27FC236}">
              <a16:creationId xmlns:a16="http://schemas.microsoft.com/office/drawing/2014/main" id="{52D17B40-09C5-4CED-A7AF-A8F9332584F1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4202" name="Line 15">
          <a:extLst>
            <a:ext uri="{FF2B5EF4-FFF2-40B4-BE49-F238E27FC236}">
              <a16:creationId xmlns:a16="http://schemas.microsoft.com/office/drawing/2014/main" id="{769CFA26-6223-4602-A0A6-C1D434A6C42D}"/>
            </a:ext>
          </a:extLst>
        </xdr:cNvPr>
        <xdr:cNvSpPr>
          <a:spLocks noChangeShapeType="1"/>
        </xdr:cNvSpPr>
      </xdr:nvSpPr>
      <xdr:spPr bwMode="auto">
        <a:xfrm>
          <a:off x="104870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4203" name="Line 16">
          <a:extLst>
            <a:ext uri="{FF2B5EF4-FFF2-40B4-BE49-F238E27FC236}">
              <a16:creationId xmlns:a16="http://schemas.microsoft.com/office/drawing/2014/main" id="{3EFC71C5-E360-410D-BB5F-87C2B2246CB9}"/>
            </a:ext>
          </a:extLst>
        </xdr:cNvPr>
        <xdr:cNvSpPr>
          <a:spLocks noChangeShapeType="1"/>
        </xdr:cNvSpPr>
      </xdr:nvSpPr>
      <xdr:spPr bwMode="auto">
        <a:xfrm>
          <a:off x="104870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4204" name="Line 17">
          <a:extLst>
            <a:ext uri="{FF2B5EF4-FFF2-40B4-BE49-F238E27FC236}">
              <a16:creationId xmlns:a16="http://schemas.microsoft.com/office/drawing/2014/main" id="{55BB641A-F783-40F7-A38F-A68496C9A561}"/>
            </a:ext>
          </a:extLst>
        </xdr:cNvPr>
        <xdr:cNvSpPr>
          <a:spLocks noChangeShapeType="1"/>
        </xdr:cNvSpPr>
      </xdr:nvSpPr>
      <xdr:spPr bwMode="auto">
        <a:xfrm>
          <a:off x="97250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4205" name="Line 18">
          <a:extLst>
            <a:ext uri="{FF2B5EF4-FFF2-40B4-BE49-F238E27FC236}">
              <a16:creationId xmlns:a16="http://schemas.microsoft.com/office/drawing/2014/main" id="{815A0720-C172-4E58-A377-734F9A6FDCD5}"/>
            </a:ext>
          </a:extLst>
        </xdr:cNvPr>
        <xdr:cNvSpPr>
          <a:spLocks noChangeShapeType="1"/>
        </xdr:cNvSpPr>
      </xdr:nvSpPr>
      <xdr:spPr bwMode="auto">
        <a:xfrm>
          <a:off x="104870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4206" name="Line 19">
          <a:extLst>
            <a:ext uri="{FF2B5EF4-FFF2-40B4-BE49-F238E27FC236}">
              <a16:creationId xmlns:a16="http://schemas.microsoft.com/office/drawing/2014/main" id="{C77ED90E-E03A-42B7-AFE4-079BADC0D917}"/>
            </a:ext>
          </a:extLst>
        </xdr:cNvPr>
        <xdr:cNvSpPr>
          <a:spLocks noChangeShapeType="1"/>
        </xdr:cNvSpPr>
      </xdr:nvSpPr>
      <xdr:spPr bwMode="auto">
        <a:xfrm>
          <a:off x="104870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4207" name="Line 20">
          <a:extLst>
            <a:ext uri="{FF2B5EF4-FFF2-40B4-BE49-F238E27FC236}">
              <a16:creationId xmlns:a16="http://schemas.microsoft.com/office/drawing/2014/main" id="{E610EEAE-15FC-40FD-8B76-E774D717190F}"/>
            </a:ext>
          </a:extLst>
        </xdr:cNvPr>
        <xdr:cNvSpPr>
          <a:spLocks noChangeShapeType="1"/>
        </xdr:cNvSpPr>
      </xdr:nvSpPr>
      <xdr:spPr bwMode="auto">
        <a:xfrm>
          <a:off x="97250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4208" name="Line 21">
          <a:extLst>
            <a:ext uri="{FF2B5EF4-FFF2-40B4-BE49-F238E27FC236}">
              <a16:creationId xmlns:a16="http://schemas.microsoft.com/office/drawing/2014/main" id="{18116A95-A69E-4389-B76C-E518C74B93FC}"/>
            </a:ext>
          </a:extLst>
        </xdr:cNvPr>
        <xdr:cNvSpPr>
          <a:spLocks noChangeShapeType="1"/>
        </xdr:cNvSpPr>
      </xdr:nvSpPr>
      <xdr:spPr bwMode="auto">
        <a:xfrm>
          <a:off x="104870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4209" name="Line 22">
          <a:extLst>
            <a:ext uri="{FF2B5EF4-FFF2-40B4-BE49-F238E27FC236}">
              <a16:creationId xmlns:a16="http://schemas.microsoft.com/office/drawing/2014/main" id="{3F2529B0-6FF5-4C42-AD9B-568F96908FE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4210" name="Line 23">
          <a:extLst>
            <a:ext uri="{FF2B5EF4-FFF2-40B4-BE49-F238E27FC236}">
              <a16:creationId xmlns:a16="http://schemas.microsoft.com/office/drawing/2014/main" id="{B9DFE64E-F25A-402B-AC3D-68F424DA0A74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4211" name="Line 24">
          <a:extLst>
            <a:ext uri="{FF2B5EF4-FFF2-40B4-BE49-F238E27FC236}">
              <a16:creationId xmlns:a16="http://schemas.microsoft.com/office/drawing/2014/main" id="{1645C678-0CF0-45AE-9950-116BA0BD1DB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4212" name="Line 25">
          <a:extLst>
            <a:ext uri="{FF2B5EF4-FFF2-40B4-BE49-F238E27FC236}">
              <a16:creationId xmlns:a16="http://schemas.microsoft.com/office/drawing/2014/main" id="{627CBFE3-E255-414C-9114-6F140C54972F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4213" name="Line 26">
          <a:extLst>
            <a:ext uri="{FF2B5EF4-FFF2-40B4-BE49-F238E27FC236}">
              <a16:creationId xmlns:a16="http://schemas.microsoft.com/office/drawing/2014/main" id="{B1338722-457B-4C6A-8BCD-190DB3BA5B65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4214" name="Line 27">
          <a:extLst>
            <a:ext uri="{FF2B5EF4-FFF2-40B4-BE49-F238E27FC236}">
              <a16:creationId xmlns:a16="http://schemas.microsoft.com/office/drawing/2014/main" id="{2F540E56-1FB9-4FAB-949A-7CA7D6BC93AC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4215" name="Line 28">
          <a:extLst>
            <a:ext uri="{FF2B5EF4-FFF2-40B4-BE49-F238E27FC236}">
              <a16:creationId xmlns:a16="http://schemas.microsoft.com/office/drawing/2014/main" id="{BDAEA6EC-D332-49F4-A7A7-2190B837B18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4216" name="Line 29">
          <a:extLst>
            <a:ext uri="{FF2B5EF4-FFF2-40B4-BE49-F238E27FC236}">
              <a16:creationId xmlns:a16="http://schemas.microsoft.com/office/drawing/2014/main" id="{396F6890-1810-430C-B3DA-1EDC4076C5C1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4217" name="Line 30">
          <a:extLst>
            <a:ext uri="{FF2B5EF4-FFF2-40B4-BE49-F238E27FC236}">
              <a16:creationId xmlns:a16="http://schemas.microsoft.com/office/drawing/2014/main" id="{26D9BD00-F04B-447F-A63E-46294D8E167C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4218" name="Line 31">
          <a:extLst>
            <a:ext uri="{FF2B5EF4-FFF2-40B4-BE49-F238E27FC236}">
              <a16:creationId xmlns:a16="http://schemas.microsoft.com/office/drawing/2014/main" id="{007F0914-880C-47FB-835F-1E995A1059E1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21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4219" name="Line 32">
          <a:extLst>
            <a:ext uri="{FF2B5EF4-FFF2-40B4-BE49-F238E27FC236}">
              <a16:creationId xmlns:a16="http://schemas.microsoft.com/office/drawing/2014/main" id="{F96B0648-AEAB-4CAC-91E3-D283000F4BB9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4220" name="Line 33">
          <a:extLst>
            <a:ext uri="{FF2B5EF4-FFF2-40B4-BE49-F238E27FC236}">
              <a16:creationId xmlns:a16="http://schemas.microsoft.com/office/drawing/2014/main" id="{77EDDC66-61C2-487B-8730-C0B59D2FA86E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4221" name="Line 34">
          <a:extLst>
            <a:ext uri="{FF2B5EF4-FFF2-40B4-BE49-F238E27FC236}">
              <a16:creationId xmlns:a16="http://schemas.microsoft.com/office/drawing/2014/main" id="{E35B40B4-F04B-44AF-8219-B4B00C0DE522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85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4222" name="Line 35">
          <a:extLst>
            <a:ext uri="{FF2B5EF4-FFF2-40B4-BE49-F238E27FC236}">
              <a16:creationId xmlns:a16="http://schemas.microsoft.com/office/drawing/2014/main" id="{817A6694-7E20-4DAE-8938-4DC3ACA8224C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4223" name="Line 36">
          <a:extLst>
            <a:ext uri="{FF2B5EF4-FFF2-40B4-BE49-F238E27FC236}">
              <a16:creationId xmlns:a16="http://schemas.microsoft.com/office/drawing/2014/main" id="{157334CE-BF44-4916-B925-C9D55FC2F525}"/>
            </a:ext>
          </a:extLst>
        </xdr:cNvPr>
        <xdr:cNvSpPr>
          <a:spLocks noChangeShapeType="1"/>
        </xdr:cNvSpPr>
      </xdr:nvSpPr>
      <xdr:spPr bwMode="auto">
        <a:xfrm flipV="1">
          <a:off x="104870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4224" name="Line 37">
          <a:extLst>
            <a:ext uri="{FF2B5EF4-FFF2-40B4-BE49-F238E27FC236}">
              <a16:creationId xmlns:a16="http://schemas.microsoft.com/office/drawing/2014/main" id="{E1A185E1-FB10-4DF3-9653-A0E16EF67318}"/>
            </a:ext>
          </a:extLst>
        </xdr:cNvPr>
        <xdr:cNvSpPr>
          <a:spLocks noChangeShapeType="1"/>
        </xdr:cNvSpPr>
      </xdr:nvSpPr>
      <xdr:spPr bwMode="auto">
        <a:xfrm>
          <a:off x="97250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4225" name="Line 38">
          <a:extLst>
            <a:ext uri="{FF2B5EF4-FFF2-40B4-BE49-F238E27FC236}">
              <a16:creationId xmlns:a16="http://schemas.microsoft.com/office/drawing/2014/main" id="{DAEF52A2-FA0C-4ECC-9662-A96191AC6693}"/>
            </a:ext>
          </a:extLst>
        </xdr:cNvPr>
        <xdr:cNvSpPr>
          <a:spLocks noChangeShapeType="1"/>
        </xdr:cNvSpPr>
      </xdr:nvSpPr>
      <xdr:spPr bwMode="auto">
        <a:xfrm>
          <a:off x="1180147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4226" name="Line 39">
          <a:extLst>
            <a:ext uri="{FF2B5EF4-FFF2-40B4-BE49-F238E27FC236}">
              <a16:creationId xmlns:a16="http://schemas.microsoft.com/office/drawing/2014/main" id="{4551FAAB-915E-4B15-B6A0-E57B59113113}"/>
            </a:ext>
          </a:extLst>
        </xdr:cNvPr>
        <xdr:cNvSpPr>
          <a:spLocks noChangeShapeType="1"/>
        </xdr:cNvSpPr>
      </xdr:nvSpPr>
      <xdr:spPr bwMode="auto">
        <a:xfrm>
          <a:off x="1180147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4227" name="Line 40">
          <a:extLst>
            <a:ext uri="{FF2B5EF4-FFF2-40B4-BE49-F238E27FC236}">
              <a16:creationId xmlns:a16="http://schemas.microsoft.com/office/drawing/2014/main" id="{8BA5AF4C-2A21-468B-8261-4678536692FC}"/>
            </a:ext>
          </a:extLst>
        </xdr:cNvPr>
        <xdr:cNvSpPr>
          <a:spLocks noChangeShapeType="1"/>
        </xdr:cNvSpPr>
      </xdr:nvSpPr>
      <xdr:spPr bwMode="auto">
        <a:xfrm>
          <a:off x="1180147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4228" name="Line 41">
          <a:extLst>
            <a:ext uri="{FF2B5EF4-FFF2-40B4-BE49-F238E27FC236}">
              <a16:creationId xmlns:a16="http://schemas.microsoft.com/office/drawing/2014/main" id="{1922F902-8A7B-4656-A871-914A581100CA}"/>
            </a:ext>
          </a:extLst>
        </xdr:cNvPr>
        <xdr:cNvSpPr>
          <a:spLocks noChangeShapeType="1"/>
        </xdr:cNvSpPr>
      </xdr:nvSpPr>
      <xdr:spPr bwMode="auto">
        <a:xfrm>
          <a:off x="1115377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4229" name="Line 42">
          <a:extLst>
            <a:ext uri="{FF2B5EF4-FFF2-40B4-BE49-F238E27FC236}">
              <a16:creationId xmlns:a16="http://schemas.microsoft.com/office/drawing/2014/main" id="{C9DCF5F3-CA77-4D38-8C72-2EFFFF423FFA}"/>
            </a:ext>
          </a:extLst>
        </xdr:cNvPr>
        <xdr:cNvSpPr>
          <a:spLocks noChangeShapeType="1"/>
        </xdr:cNvSpPr>
      </xdr:nvSpPr>
      <xdr:spPr bwMode="auto">
        <a:xfrm>
          <a:off x="1436370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4230" name="Line 43">
          <a:extLst>
            <a:ext uri="{FF2B5EF4-FFF2-40B4-BE49-F238E27FC236}">
              <a16:creationId xmlns:a16="http://schemas.microsoft.com/office/drawing/2014/main" id="{8FD07FCB-C884-4CFE-A7F9-584750FB93BD}"/>
            </a:ext>
          </a:extLst>
        </xdr:cNvPr>
        <xdr:cNvSpPr>
          <a:spLocks noChangeShapeType="1"/>
        </xdr:cNvSpPr>
      </xdr:nvSpPr>
      <xdr:spPr bwMode="auto">
        <a:xfrm>
          <a:off x="1436370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4231" name="Line 44">
          <a:extLst>
            <a:ext uri="{FF2B5EF4-FFF2-40B4-BE49-F238E27FC236}">
              <a16:creationId xmlns:a16="http://schemas.microsoft.com/office/drawing/2014/main" id="{E4B0F6E9-3B15-4B5B-A1B8-7B5C008053BA}"/>
            </a:ext>
          </a:extLst>
        </xdr:cNvPr>
        <xdr:cNvSpPr>
          <a:spLocks noChangeShapeType="1"/>
        </xdr:cNvSpPr>
      </xdr:nvSpPr>
      <xdr:spPr bwMode="auto">
        <a:xfrm>
          <a:off x="1394460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4232" name="Line 45">
          <a:extLst>
            <a:ext uri="{FF2B5EF4-FFF2-40B4-BE49-F238E27FC236}">
              <a16:creationId xmlns:a16="http://schemas.microsoft.com/office/drawing/2014/main" id="{FB8E6B21-5EBA-49B2-899E-2A036F67317C}"/>
            </a:ext>
          </a:extLst>
        </xdr:cNvPr>
        <xdr:cNvSpPr>
          <a:spLocks noChangeShapeType="1"/>
        </xdr:cNvSpPr>
      </xdr:nvSpPr>
      <xdr:spPr bwMode="auto">
        <a:xfrm>
          <a:off x="1436370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4233" name="Line 46">
          <a:extLst>
            <a:ext uri="{FF2B5EF4-FFF2-40B4-BE49-F238E27FC236}">
              <a16:creationId xmlns:a16="http://schemas.microsoft.com/office/drawing/2014/main" id="{E96EF5B1-6088-46BE-A90A-C0AF2D9BE6D1}"/>
            </a:ext>
          </a:extLst>
        </xdr:cNvPr>
        <xdr:cNvSpPr>
          <a:spLocks noChangeShapeType="1"/>
        </xdr:cNvSpPr>
      </xdr:nvSpPr>
      <xdr:spPr bwMode="auto">
        <a:xfrm>
          <a:off x="1436370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4234" name="Line 47">
          <a:extLst>
            <a:ext uri="{FF2B5EF4-FFF2-40B4-BE49-F238E27FC236}">
              <a16:creationId xmlns:a16="http://schemas.microsoft.com/office/drawing/2014/main" id="{DCD1D1E1-2DEC-4B54-8C69-D4697ACAC8DB}"/>
            </a:ext>
          </a:extLst>
        </xdr:cNvPr>
        <xdr:cNvSpPr>
          <a:spLocks noChangeShapeType="1"/>
        </xdr:cNvSpPr>
      </xdr:nvSpPr>
      <xdr:spPr bwMode="auto">
        <a:xfrm>
          <a:off x="1394460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4235" name="Line 48">
          <a:extLst>
            <a:ext uri="{FF2B5EF4-FFF2-40B4-BE49-F238E27FC236}">
              <a16:creationId xmlns:a16="http://schemas.microsoft.com/office/drawing/2014/main" id="{588552BF-2A1A-4F2E-851E-041C22B3D608}"/>
            </a:ext>
          </a:extLst>
        </xdr:cNvPr>
        <xdr:cNvSpPr>
          <a:spLocks noChangeShapeType="1"/>
        </xdr:cNvSpPr>
      </xdr:nvSpPr>
      <xdr:spPr bwMode="auto">
        <a:xfrm>
          <a:off x="1436370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4236" name="Line 49">
          <a:extLst>
            <a:ext uri="{FF2B5EF4-FFF2-40B4-BE49-F238E27FC236}">
              <a16:creationId xmlns:a16="http://schemas.microsoft.com/office/drawing/2014/main" id="{05AECA7C-BE86-4CF3-AAFA-D5C4FF25E315}"/>
            </a:ext>
          </a:extLst>
        </xdr:cNvPr>
        <xdr:cNvSpPr>
          <a:spLocks noChangeShapeType="1"/>
        </xdr:cNvSpPr>
      </xdr:nvSpPr>
      <xdr:spPr bwMode="auto">
        <a:xfrm>
          <a:off x="1394460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4237" name="Line 50">
          <a:extLst>
            <a:ext uri="{FF2B5EF4-FFF2-40B4-BE49-F238E27FC236}">
              <a16:creationId xmlns:a16="http://schemas.microsoft.com/office/drawing/2014/main" id="{5D001BB8-1C46-45C8-B9A8-0E158498A81D}"/>
            </a:ext>
          </a:extLst>
        </xdr:cNvPr>
        <xdr:cNvSpPr>
          <a:spLocks noChangeShapeType="1"/>
        </xdr:cNvSpPr>
      </xdr:nvSpPr>
      <xdr:spPr bwMode="auto">
        <a:xfrm flipV="1">
          <a:off x="1436370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4238" name="Line 51">
          <a:extLst>
            <a:ext uri="{FF2B5EF4-FFF2-40B4-BE49-F238E27FC236}">
              <a16:creationId xmlns:a16="http://schemas.microsoft.com/office/drawing/2014/main" id="{36FC6539-A260-4972-8110-EA12BCE66AE4}"/>
            </a:ext>
          </a:extLst>
        </xdr:cNvPr>
        <xdr:cNvSpPr>
          <a:spLocks noChangeShapeType="1"/>
        </xdr:cNvSpPr>
      </xdr:nvSpPr>
      <xdr:spPr bwMode="auto">
        <a:xfrm flipV="1">
          <a:off x="1394460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4239" name="Line 52">
          <a:extLst>
            <a:ext uri="{FF2B5EF4-FFF2-40B4-BE49-F238E27FC236}">
              <a16:creationId xmlns:a16="http://schemas.microsoft.com/office/drawing/2014/main" id="{B5CF49D6-92DC-429B-BD5B-2A13E478EB49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4240" name="Line 53">
          <a:extLst>
            <a:ext uri="{FF2B5EF4-FFF2-40B4-BE49-F238E27FC236}">
              <a16:creationId xmlns:a16="http://schemas.microsoft.com/office/drawing/2014/main" id="{22DE60CA-092F-43F3-95FF-9D0D2A827C63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4241" name="Line 54">
          <a:extLst>
            <a:ext uri="{FF2B5EF4-FFF2-40B4-BE49-F238E27FC236}">
              <a16:creationId xmlns:a16="http://schemas.microsoft.com/office/drawing/2014/main" id="{234CD07E-1184-44B7-883C-CB0A46403D8F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4242" name="Line 55">
          <a:extLst>
            <a:ext uri="{FF2B5EF4-FFF2-40B4-BE49-F238E27FC236}">
              <a16:creationId xmlns:a16="http://schemas.microsoft.com/office/drawing/2014/main" id="{288326DE-71C2-41D7-8C8E-554634E6142D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4243" name="Line 56">
          <a:extLst>
            <a:ext uri="{FF2B5EF4-FFF2-40B4-BE49-F238E27FC236}">
              <a16:creationId xmlns:a16="http://schemas.microsoft.com/office/drawing/2014/main" id="{0257057D-02D1-44C9-9ECB-302AFEBC2B21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4244" name="Line 57">
          <a:extLst>
            <a:ext uri="{FF2B5EF4-FFF2-40B4-BE49-F238E27FC236}">
              <a16:creationId xmlns:a16="http://schemas.microsoft.com/office/drawing/2014/main" id="{F89AF874-FB4B-462A-B04B-833DAFFDD387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4245" name="Line 58">
          <a:extLst>
            <a:ext uri="{FF2B5EF4-FFF2-40B4-BE49-F238E27FC236}">
              <a16:creationId xmlns:a16="http://schemas.microsoft.com/office/drawing/2014/main" id="{CACAA050-208C-4EDC-A638-590A3FFABA29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4246" name="Line 59">
          <a:extLst>
            <a:ext uri="{FF2B5EF4-FFF2-40B4-BE49-F238E27FC236}">
              <a16:creationId xmlns:a16="http://schemas.microsoft.com/office/drawing/2014/main" id="{5345C533-E334-4343-B7DF-62B0135213AD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219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4247" name="Line 60">
          <a:extLst>
            <a:ext uri="{FF2B5EF4-FFF2-40B4-BE49-F238E27FC236}">
              <a16:creationId xmlns:a16="http://schemas.microsoft.com/office/drawing/2014/main" id="{04FD9084-8129-44A4-AD4B-DCD74C6EC6FE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4248" name="Line 61">
          <a:extLst>
            <a:ext uri="{FF2B5EF4-FFF2-40B4-BE49-F238E27FC236}">
              <a16:creationId xmlns:a16="http://schemas.microsoft.com/office/drawing/2014/main" id="{4D82DD1F-3853-4724-BC02-76215E2F6F53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4249" name="Line 62">
          <a:extLst>
            <a:ext uri="{FF2B5EF4-FFF2-40B4-BE49-F238E27FC236}">
              <a16:creationId xmlns:a16="http://schemas.microsoft.com/office/drawing/2014/main" id="{7E56F71B-D134-4042-9538-B73C9C4E1EE3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4250" name="Line 63">
          <a:extLst>
            <a:ext uri="{FF2B5EF4-FFF2-40B4-BE49-F238E27FC236}">
              <a16:creationId xmlns:a16="http://schemas.microsoft.com/office/drawing/2014/main" id="{7273E92F-E48D-4224-BCE4-A87B816B14C1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4251" name="Line 64">
          <a:extLst>
            <a:ext uri="{FF2B5EF4-FFF2-40B4-BE49-F238E27FC236}">
              <a16:creationId xmlns:a16="http://schemas.microsoft.com/office/drawing/2014/main" id="{C6931D5D-324F-4021-80DB-E3299C6CE9A9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4252" name="Line 65">
          <a:extLst>
            <a:ext uri="{FF2B5EF4-FFF2-40B4-BE49-F238E27FC236}">
              <a16:creationId xmlns:a16="http://schemas.microsoft.com/office/drawing/2014/main" id="{A743797A-85E8-4043-AC35-66A356B212AE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4253" name="Line 66">
          <a:extLst>
            <a:ext uri="{FF2B5EF4-FFF2-40B4-BE49-F238E27FC236}">
              <a16:creationId xmlns:a16="http://schemas.microsoft.com/office/drawing/2014/main" id="{1A7706CB-23A8-4C13-B566-8467AD477D0E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4254" name="Line 67">
          <a:extLst>
            <a:ext uri="{FF2B5EF4-FFF2-40B4-BE49-F238E27FC236}">
              <a16:creationId xmlns:a16="http://schemas.microsoft.com/office/drawing/2014/main" id="{1E01147D-C3C1-4B22-9D3A-F2BC3BCB374A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4255" name="Line 68">
          <a:extLst>
            <a:ext uri="{FF2B5EF4-FFF2-40B4-BE49-F238E27FC236}">
              <a16:creationId xmlns:a16="http://schemas.microsoft.com/office/drawing/2014/main" id="{B8071DAF-8EA4-40B0-B3A4-FBE1FA577902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4256" name="Line 69">
          <a:extLst>
            <a:ext uri="{FF2B5EF4-FFF2-40B4-BE49-F238E27FC236}">
              <a16:creationId xmlns:a16="http://schemas.microsoft.com/office/drawing/2014/main" id="{FC1DA895-F9E7-48ED-A3C7-BBEECA569C4E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4257" name="Line 70">
          <a:extLst>
            <a:ext uri="{FF2B5EF4-FFF2-40B4-BE49-F238E27FC236}">
              <a16:creationId xmlns:a16="http://schemas.microsoft.com/office/drawing/2014/main" id="{F22EE9E3-2E74-428B-97E1-798A9C5404A6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4258" name="Line 71">
          <a:extLst>
            <a:ext uri="{FF2B5EF4-FFF2-40B4-BE49-F238E27FC236}">
              <a16:creationId xmlns:a16="http://schemas.microsoft.com/office/drawing/2014/main" id="{8F0A00BD-9519-427D-876D-CEBD3B339960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4259" name="Line 72">
          <a:extLst>
            <a:ext uri="{FF2B5EF4-FFF2-40B4-BE49-F238E27FC236}">
              <a16:creationId xmlns:a16="http://schemas.microsoft.com/office/drawing/2014/main" id="{5A64BAC9-7C5A-43C5-8BE7-CD383425F406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4260" name="Line 73">
          <a:extLst>
            <a:ext uri="{FF2B5EF4-FFF2-40B4-BE49-F238E27FC236}">
              <a16:creationId xmlns:a16="http://schemas.microsoft.com/office/drawing/2014/main" id="{C851CD73-161A-4413-B632-30F836BFFFCF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4261" name="Line 74">
          <a:extLst>
            <a:ext uri="{FF2B5EF4-FFF2-40B4-BE49-F238E27FC236}">
              <a16:creationId xmlns:a16="http://schemas.microsoft.com/office/drawing/2014/main" id="{D7309FB9-577D-4F85-BD30-052D96E94C0C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4262" name="Line 75">
          <a:extLst>
            <a:ext uri="{FF2B5EF4-FFF2-40B4-BE49-F238E27FC236}">
              <a16:creationId xmlns:a16="http://schemas.microsoft.com/office/drawing/2014/main" id="{99AFB8D7-C367-4CB7-ABA5-27438F6A9A84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4263" name="Line 76">
          <a:extLst>
            <a:ext uri="{FF2B5EF4-FFF2-40B4-BE49-F238E27FC236}">
              <a16:creationId xmlns:a16="http://schemas.microsoft.com/office/drawing/2014/main" id="{0FD011CC-3D28-4FCA-A6A6-A8CC98C70C37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4264" name="Line 77">
          <a:extLst>
            <a:ext uri="{FF2B5EF4-FFF2-40B4-BE49-F238E27FC236}">
              <a16:creationId xmlns:a16="http://schemas.microsoft.com/office/drawing/2014/main" id="{0449269A-10B6-48E7-95D7-48CDABCCF714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4265" name="Line 78">
          <a:extLst>
            <a:ext uri="{FF2B5EF4-FFF2-40B4-BE49-F238E27FC236}">
              <a16:creationId xmlns:a16="http://schemas.microsoft.com/office/drawing/2014/main" id="{1BEA4941-6B16-49FA-A0FB-A80C0C6B08EA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4266" name="Line 79">
          <a:extLst>
            <a:ext uri="{FF2B5EF4-FFF2-40B4-BE49-F238E27FC236}">
              <a16:creationId xmlns:a16="http://schemas.microsoft.com/office/drawing/2014/main" id="{1D9CF217-1B54-4105-B728-FA103AC1497C}"/>
            </a:ext>
          </a:extLst>
        </xdr:cNvPr>
        <xdr:cNvSpPr>
          <a:spLocks noChangeShapeType="1"/>
        </xdr:cNvSpPr>
      </xdr:nvSpPr>
      <xdr:spPr bwMode="auto">
        <a:xfrm>
          <a:off x="104870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4267" name="Line 80">
          <a:extLst>
            <a:ext uri="{FF2B5EF4-FFF2-40B4-BE49-F238E27FC236}">
              <a16:creationId xmlns:a16="http://schemas.microsoft.com/office/drawing/2014/main" id="{3F6FBB94-45D2-4A54-BC8A-20C2967CD2EC}"/>
            </a:ext>
          </a:extLst>
        </xdr:cNvPr>
        <xdr:cNvSpPr>
          <a:spLocks noChangeShapeType="1"/>
        </xdr:cNvSpPr>
      </xdr:nvSpPr>
      <xdr:spPr bwMode="auto">
        <a:xfrm>
          <a:off x="104870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4268" name="Line 81">
          <a:extLst>
            <a:ext uri="{FF2B5EF4-FFF2-40B4-BE49-F238E27FC236}">
              <a16:creationId xmlns:a16="http://schemas.microsoft.com/office/drawing/2014/main" id="{4F0CE64B-2FAB-4D67-8024-3774FEFFC040}"/>
            </a:ext>
          </a:extLst>
        </xdr:cNvPr>
        <xdr:cNvSpPr>
          <a:spLocks noChangeShapeType="1"/>
        </xdr:cNvSpPr>
      </xdr:nvSpPr>
      <xdr:spPr bwMode="auto">
        <a:xfrm>
          <a:off x="97250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4269" name="Line 82">
          <a:extLst>
            <a:ext uri="{FF2B5EF4-FFF2-40B4-BE49-F238E27FC236}">
              <a16:creationId xmlns:a16="http://schemas.microsoft.com/office/drawing/2014/main" id="{B1534834-DCB9-4265-BF87-BC62BC2AD303}"/>
            </a:ext>
          </a:extLst>
        </xdr:cNvPr>
        <xdr:cNvSpPr>
          <a:spLocks noChangeShapeType="1"/>
        </xdr:cNvSpPr>
      </xdr:nvSpPr>
      <xdr:spPr bwMode="auto">
        <a:xfrm>
          <a:off x="97250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4270" name="Line 83">
          <a:extLst>
            <a:ext uri="{FF2B5EF4-FFF2-40B4-BE49-F238E27FC236}">
              <a16:creationId xmlns:a16="http://schemas.microsoft.com/office/drawing/2014/main" id="{2B680087-2B17-409C-8556-2012712BAE26}"/>
            </a:ext>
          </a:extLst>
        </xdr:cNvPr>
        <xdr:cNvSpPr>
          <a:spLocks noChangeShapeType="1"/>
        </xdr:cNvSpPr>
      </xdr:nvSpPr>
      <xdr:spPr bwMode="auto">
        <a:xfrm>
          <a:off x="1436370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4271" name="Line 84">
          <a:extLst>
            <a:ext uri="{FF2B5EF4-FFF2-40B4-BE49-F238E27FC236}">
              <a16:creationId xmlns:a16="http://schemas.microsoft.com/office/drawing/2014/main" id="{D548D433-90FF-4F58-9B15-FA4BA41A04D2}"/>
            </a:ext>
          </a:extLst>
        </xdr:cNvPr>
        <xdr:cNvSpPr>
          <a:spLocks noChangeShapeType="1"/>
        </xdr:cNvSpPr>
      </xdr:nvSpPr>
      <xdr:spPr bwMode="auto">
        <a:xfrm>
          <a:off x="1436370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4272" name="Line 85">
          <a:extLst>
            <a:ext uri="{FF2B5EF4-FFF2-40B4-BE49-F238E27FC236}">
              <a16:creationId xmlns:a16="http://schemas.microsoft.com/office/drawing/2014/main" id="{E6733FA7-8609-437B-A0CF-FC5D437EF1E8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4273" name="Line 86">
          <a:extLst>
            <a:ext uri="{FF2B5EF4-FFF2-40B4-BE49-F238E27FC236}">
              <a16:creationId xmlns:a16="http://schemas.microsoft.com/office/drawing/2014/main" id="{F70BFD6D-E1AB-4323-A612-A0B5E7D90ED5}"/>
            </a:ext>
          </a:extLst>
        </xdr:cNvPr>
        <xdr:cNvSpPr>
          <a:spLocks noChangeShapeType="1"/>
        </xdr:cNvSpPr>
      </xdr:nvSpPr>
      <xdr:spPr bwMode="auto">
        <a:xfrm>
          <a:off x="97250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4274" name="Line 87">
          <a:extLst>
            <a:ext uri="{FF2B5EF4-FFF2-40B4-BE49-F238E27FC236}">
              <a16:creationId xmlns:a16="http://schemas.microsoft.com/office/drawing/2014/main" id="{38F8263D-3716-437B-8981-483F60556115}"/>
            </a:ext>
          </a:extLst>
        </xdr:cNvPr>
        <xdr:cNvSpPr>
          <a:spLocks noChangeShapeType="1"/>
        </xdr:cNvSpPr>
      </xdr:nvSpPr>
      <xdr:spPr bwMode="auto">
        <a:xfrm flipV="1">
          <a:off x="98393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4275" name="Line 88">
          <a:extLst>
            <a:ext uri="{FF2B5EF4-FFF2-40B4-BE49-F238E27FC236}">
              <a16:creationId xmlns:a16="http://schemas.microsoft.com/office/drawing/2014/main" id="{BD4BA1DF-ABAA-4693-A132-C63A260D650B}"/>
            </a:ext>
          </a:extLst>
        </xdr:cNvPr>
        <xdr:cNvSpPr>
          <a:spLocks noChangeShapeType="1"/>
        </xdr:cNvSpPr>
      </xdr:nvSpPr>
      <xdr:spPr bwMode="auto">
        <a:xfrm>
          <a:off x="97250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4276" name="Line 89">
          <a:extLst>
            <a:ext uri="{FF2B5EF4-FFF2-40B4-BE49-F238E27FC236}">
              <a16:creationId xmlns:a16="http://schemas.microsoft.com/office/drawing/2014/main" id="{3E35E491-9978-4DA3-9D4D-D42C99E0C30D}"/>
            </a:ext>
          </a:extLst>
        </xdr:cNvPr>
        <xdr:cNvSpPr>
          <a:spLocks noChangeShapeType="1"/>
        </xdr:cNvSpPr>
      </xdr:nvSpPr>
      <xdr:spPr bwMode="auto">
        <a:xfrm>
          <a:off x="972502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4277" name="Line 90">
          <a:extLst>
            <a:ext uri="{FF2B5EF4-FFF2-40B4-BE49-F238E27FC236}">
              <a16:creationId xmlns:a16="http://schemas.microsoft.com/office/drawing/2014/main" id="{88A03865-E06D-4FE9-A713-BC887136B292}"/>
            </a:ext>
          </a:extLst>
        </xdr:cNvPr>
        <xdr:cNvSpPr>
          <a:spLocks noChangeShapeType="1"/>
        </xdr:cNvSpPr>
      </xdr:nvSpPr>
      <xdr:spPr bwMode="auto">
        <a:xfrm>
          <a:off x="98393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4278" name="Line 91">
          <a:extLst>
            <a:ext uri="{FF2B5EF4-FFF2-40B4-BE49-F238E27FC236}">
              <a16:creationId xmlns:a16="http://schemas.microsoft.com/office/drawing/2014/main" id="{2C5483BE-45F5-4717-8369-81C2501AD881}"/>
            </a:ext>
          </a:extLst>
        </xdr:cNvPr>
        <xdr:cNvSpPr>
          <a:spLocks noChangeShapeType="1"/>
        </xdr:cNvSpPr>
      </xdr:nvSpPr>
      <xdr:spPr bwMode="auto">
        <a:xfrm flipV="1">
          <a:off x="98393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4279" name="Line 92">
          <a:extLst>
            <a:ext uri="{FF2B5EF4-FFF2-40B4-BE49-F238E27FC236}">
              <a16:creationId xmlns:a16="http://schemas.microsoft.com/office/drawing/2014/main" id="{E5656E60-112B-434B-AC9E-763F432E4E94}"/>
            </a:ext>
          </a:extLst>
        </xdr:cNvPr>
        <xdr:cNvSpPr>
          <a:spLocks noChangeShapeType="1"/>
        </xdr:cNvSpPr>
      </xdr:nvSpPr>
      <xdr:spPr bwMode="auto">
        <a:xfrm flipV="1">
          <a:off x="97250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4280" name="Line 93">
          <a:extLst>
            <a:ext uri="{FF2B5EF4-FFF2-40B4-BE49-F238E27FC236}">
              <a16:creationId xmlns:a16="http://schemas.microsoft.com/office/drawing/2014/main" id="{48CE110F-E092-49FF-9EFC-92E15BA954AF}"/>
            </a:ext>
          </a:extLst>
        </xdr:cNvPr>
        <xdr:cNvSpPr>
          <a:spLocks noChangeShapeType="1"/>
        </xdr:cNvSpPr>
      </xdr:nvSpPr>
      <xdr:spPr bwMode="auto">
        <a:xfrm>
          <a:off x="98393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4281" name="Line 94">
          <a:extLst>
            <a:ext uri="{FF2B5EF4-FFF2-40B4-BE49-F238E27FC236}">
              <a16:creationId xmlns:a16="http://schemas.microsoft.com/office/drawing/2014/main" id="{CEE0E912-F64E-4FE4-A32E-45CDD14A194C}"/>
            </a:ext>
          </a:extLst>
        </xdr:cNvPr>
        <xdr:cNvSpPr>
          <a:spLocks noChangeShapeType="1"/>
        </xdr:cNvSpPr>
      </xdr:nvSpPr>
      <xdr:spPr bwMode="auto">
        <a:xfrm>
          <a:off x="1180147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4282" name="Line 95">
          <a:extLst>
            <a:ext uri="{FF2B5EF4-FFF2-40B4-BE49-F238E27FC236}">
              <a16:creationId xmlns:a16="http://schemas.microsoft.com/office/drawing/2014/main" id="{4D1F2F2A-07A3-409A-B73D-D2ECE4377E1C}"/>
            </a:ext>
          </a:extLst>
        </xdr:cNvPr>
        <xdr:cNvSpPr>
          <a:spLocks noChangeShapeType="1"/>
        </xdr:cNvSpPr>
      </xdr:nvSpPr>
      <xdr:spPr bwMode="auto">
        <a:xfrm>
          <a:off x="1180147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4283" name="Line 96">
          <a:extLst>
            <a:ext uri="{FF2B5EF4-FFF2-40B4-BE49-F238E27FC236}">
              <a16:creationId xmlns:a16="http://schemas.microsoft.com/office/drawing/2014/main" id="{56C32C9E-39F9-41AA-AD8F-B04C7CB64E81}"/>
            </a:ext>
          </a:extLst>
        </xdr:cNvPr>
        <xdr:cNvSpPr>
          <a:spLocks noChangeShapeType="1"/>
        </xdr:cNvSpPr>
      </xdr:nvSpPr>
      <xdr:spPr bwMode="auto">
        <a:xfrm>
          <a:off x="97250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4284" name="Line 97">
          <a:extLst>
            <a:ext uri="{FF2B5EF4-FFF2-40B4-BE49-F238E27FC236}">
              <a16:creationId xmlns:a16="http://schemas.microsoft.com/office/drawing/2014/main" id="{9FB32182-8BE9-47A6-9B60-E8A1DD0AAF77}"/>
            </a:ext>
          </a:extLst>
        </xdr:cNvPr>
        <xdr:cNvSpPr>
          <a:spLocks noChangeShapeType="1"/>
        </xdr:cNvSpPr>
      </xdr:nvSpPr>
      <xdr:spPr bwMode="auto">
        <a:xfrm>
          <a:off x="1180147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4285" name="Line 98">
          <a:extLst>
            <a:ext uri="{FF2B5EF4-FFF2-40B4-BE49-F238E27FC236}">
              <a16:creationId xmlns:a16="http://schemas.microsoft.com/office/drawing/2014/main" id="{A553E02E-5447-4615-9FFD-6749A2EEC37E}"/>
            </a:ext>
          </a:extLst>
        </xdr:cNvPr>
        <xdr:cNvSpPr>
          <a:spLocks noChangeShapeType="1"/>
        </xdr:cNvSpPr>
      </xdr:nvSpPr>
      <xdr:spPr bwMode="auto">
        <a:xfrm flipV="1">
          <a:off x="97250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4286" name="Line 99">
          <a:extLst>
            <a:ext uri="{FF2B5EF4-FFF2-40B4-BE49-F238E27FC236}">
              <a16:creationId xmlns:a16="http://schemas.microsoft.com/office/drawing/2014/main" id="{1D7A1EB1-3FEE-4BEF-92C9-E9158EA79ABC}"/>
            </a:ext>
          </a:extLst>
        </xdr:cNvPr>
        <xdr:cNvSpPr>
          <a:spLocks noChangeShapeType="1"/>
        </xdr:cNvSpPr>
      </xdr:nvSpPr>
      <xdr:spPr bwMode="auto">
        <a:xfrm>
          <a:off x="104870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4287" name="Line 100">
          <a:extLst>
            <a:ext uri="{FF2B5EF4-FFF2-40B4-BE49-F238E27FC236}">
              <a16:creationId xmlns:a16="http://schemas.microsoft.com/office/drawing/2014/main" id="{DC1F8C7E-B638-4D25-9399-CEDD323E2138}"/>
            </a:ext>
          </a:extLst>
        </xdr:cNvPr>
        <xdr:cNvSpPr>
          <a:spLocks noChangeShapeType="1"/>
        </xdr:cNvSpPr>
      </xdr:nvSpPr>
      <xdr:spPr bwMode="auto">
        <a:xfrm>
          <a:off x="1436370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38624" name="Line 101">
          <a:extLst>
            <a:ext uri="{FF2B5EF4-FFF2-40B4-BE49-F238E27FC236}">
              <a16:creationId xmlns:a16="http://schemas.microsoft.com/office/drawing/2014/main" id="{49D0311E-0EAC-407E-BE45-3EA4B8656008}"/>
            </a:ext>
          </a:extLst>
        </xdr:cNvPr>
        <xdr:cNvSpPr>
          <a:spLocks noChangeShapeType="1"/>
        </xdr:cNvSpPr>
      </xdr:nvSpPr>
      <xdr:spPr bwMode="auto">
        <a:xfrm>
          <a:off x="1394460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8625" name="Line 102">
          <a:extLst>
            <a:ext uri="{FF2B5EF4-FFF2-40B4-BE49-F238E27FC236}">
              <a16:creationId xmlns:a16="http://schemas.microsoft.com/office/drawing/2014/main" id="{595DE952-6029-4F02-B16C-91AEFE1F4F89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8626" name="Line 103">
          <a:extLst>
            <a:ext uri="{FF2B5EF4-FFF2-40B4-BE49-F238E27FC236}">
              <a16:creationId xmlns:a16="http://schemas.microsoft.com/office/drawing/2014/main" id="{04584170-6406-4743-9B6A-0B92D01216A1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8627" name="Line 104">
          <a:extLst>
            <a:ext uri="{FF2B5EF4-FFF2-40B4-BE49-F238E27FC236}">
              <a16:creationId xmlns:a16="http://schemas.microsoft.com/office/drawing/2014/main" id="{12ED0578-B435-448C-B139-EAB073934CE1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8628" name="Line 105">
          <a:extLst>
            <a:ext uri="{FF2B5EF4-FFF2-40B4-BE49-F238E27FC236}">
              <a16:creationId xmlns:a16="http://schemas.microsoft.com/office/drawing/2014/main" id="{DD1F7CA6-D3B9-43D9-AEFC-3B4E6E09A545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8629" name="Line 106">
          <a:extLst>
            <a:ext uri="{FF2B5EF4-FFF2-40B4-BE49-F238E27FC236}">
              <a16:creationId xmlns:a16="http://schemas.microsoft.com/office/drawing/2014/main" id="{6C945A20-83F6-4B05-91FD-545F4D9B4218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8630" name="Line 107">
          <a:extLst>
            <a:ext uri="{FF2B5EF4-FFF2-40B4-BE49-F238E27FC236}">
              <a16:creationId xmlns:a16="http://schemas.microsoft.com/office/drawing/2014/main" id="{B89F4866-0A5D-4641-BE33-7E8FB1EADB61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8631" name="Line 108">
          <a:extLst>
            <a:ext uri="{FF2B5EF4-FFF2-40B4-BE49-F238E27FC236}">
              <a16:creationId xmlns:a16="http://schemas.microsoft.com/office/drawing/2014/main" id="{9C8BB901-004C-458B-B41D-383C9CC0C763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8632" name="Line 109">
          <a:extLst>
            <a:ext uri="{FF2B5EF4-FFF2-40B4-BE49-F238E27FC236}">
              <a16:creationId xmlns:a16="http://schemas.microsoft.com/office/drawing/2014/main" id="{EF3E562B-09AF-4878-A328-20E6B67E3E31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8633" name="Line 110">
          <a:extLst>
            <a:ext uri="{FF2B5EF4-FFF2-40B4-BE49-F238E27FC236}">
              <a16:creationId xmlns:a16="http://schemas.microsoft.com/office/drawing/2014/main" id="{32D9F438-296C-4F61-99BA-6EE8D0C36C73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8634" name="Line 111">
          <a:extLst>
            <a:ext uri="{FF2B5EF4-FFF2-40B4-BE49-F238E27FC236}">
              <a16:creationId xmlns:a16="http://schemas.microsoft.com/office/drawing/2014/main" id="{EBFB2057-2AF8-42AF-B657-CB627FC903B7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8635" name="Line 112">
          <a:extLst>
            <a:ext uri="{FF2B5EF4-FFF2-40B4-BE49-F238E27FC236}">
              <a16:creationId xmlns:a16="http://schemas.microsoft.com/office/drawing/2014/main" id="{52DB5B1B-43D1-49C0-AB24-78827EBE3DB8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8636" name="Line 113">
          <a:extLst>
            <a:ext uri="{FF2B5EF4-FFF2-40B4-BE49-F238E27FC236}">
              <a16:creationId xmlns:a16="http://schemas.microsoft.com/office/drawing/2014/main" id="{1878802E-731E-4A35-AF52-268D610609CB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38637" name="Line 114">
          <a:extLst>
            <a:ext uri="{FF2B5EF4-FFF2-40B4-BE49-F238E27FC236}">
              <a16:creationId xmlns:a16="http://schemas.microsoft.com/office/drawing/2014/main" id="{ADD3A992-142E-4BF4-ABFC-8340C0297E2F}"/>
            </a:ext>
          </a:extLst>
        </xdr:cNvPr>
        <xdr:cNvSpPr>
          <a:spLocks noChangeShapeType="1"/>
        </xdr:cNvSpPr>
      </xdr:nvSpPr>
      <xdr:spPr bwMode="auto">
        <a:xfrm flipV="1">
          <a:off x="97250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5212" name="Line 1">
          <a:extLst>
            <a:ext uri="{FF2B5EF4-FFF2-40B4-BE49-F238E27FC236}">
              <a16:creationId xmlns:a16="http://schemas.microsoft.com/office/drawing/2014/main" id="{43BE108D-9268-4299-81CE-5B556D15773D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5213" name="Line 2">
          <a:extLst>
            <a:ext uri="{FF2B5EF4-FFF2-40B4-BE49-F238E27FC236}">
              <a16:creationId xmlns:a16="http://schemas.microsoft.com/office/drawing/2014/main" id="{3BF018FD-FCAC-42A3-97B1-56B95CF578F8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5214" name="Line 3">
          <a:extLst>
            <a:ext uri="{FF2B5EF4-FFF2-40B4-BE49-F238E27FC236}">
              <a16:creationId xmlns:a16="http://schemas.microsoft.com/office/drawing/2014/main" id="{D014DF0D-7854-4D69-93A4-CEBB22BDCB0C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5215" name="Line 4">
          <a:extLst>
            <a:ext uri="{FF2B5EF4-FFF2-40B4-BE49-F238E27FC236}">
              <a16:creationId xmlns:a16="http://schemas.microsoft.com/office/drawing/2014/main" id="{13352B23-611B-4087-88FA-E7016895EB3A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5216" name="Line 5">
          <a:extLst>
            <a:ext uri="{FF2B5EF4-FFF2-40B4-BE49-F238E27FC236}">
              <a16:creationId xmlns:a16="http://schemas.microsoft.com/office/drawing/2014/main" id="{BD3D9A85-2B47-4636-AFD5-4CBEF83426B2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5217" name="Line 6">
          <a:extLst>
            <a:ext uri="{FF2B5EF4-FFF2-40B4-BE49-F238E27FC236}">
              <a16:creationId xmlns:a16="http://schemas.microsoft.com/office/drawing/2014/main" id="{40BAB373-4E57-4119-833B-84684D8F9034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5218" name="Line 7">
          <a:extLst>
            <a:ext uri="{FF2B5EF4-FFF2-40B4-BE49-F238E27FC236}">
              <a16:creationId xmlns:a16="http://schemas.microsoft.com/office/drawing/2014/main" id="{A72DFD11-7ED6-4DCB-9733-B598CAA205F9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431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5219" name="Line 8">
          <a:extLst>
            <a:ext uri="{FF2B5EF4-FFF2-40B4-BE49-F238E27FC236}">
              <a16:creationId xmlns:a16="http://schemas.microsoft.com/office/drawing/2014/main" id="{45335F0C-F180-41DC-AEFC-E4EDB4FFC38E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5220" name="Line 9">
          <a:extLst>
            <a:ext uri="{FF2B5EF4-FFF2-40B4-BE49-F238E27FC236}">
              <a16:creationId xmlns:a16="http://schemas.microsoft.com/office/drawing/2014/main" id="{B1F8F4AD-4C5B-49CC-A3FF-233A3D20FAC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5221" name="Line 10">
          <a:extLst>
            <a:ext uri="{FF2B5EF4-FFF2-40B4-BE49-F238E27FC236}">
              <a16:creationId xmlns:a16="http://schemas.microsoft.com/office/drawing/2014/main" id="{6924A8F5-225A-4952-8EA7-AFB0D49117A4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5222" name="Line 11">
          <a:extLst>
            <a:ext uri="{FF2B5EF4-FFF2-40B4-BE49-F238E27FC236}">
              <a16:creationId xmlns:a16="http://schemas.microsoft.com/office/drawing/2014/main" id="{BE79D5C9-EAD7-4E66-9BF8-5503E9BC6147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5223" name="Line 12">
          <a:extLst>
            <a:ext uri="{FF2B5EF4-FFF2-40B4-BE49-F238E27FC236}">
              <a16:creationId xmlns:a16="http://schemas.microsoft.com/office/drawing/2014/main" id="{9802ADEB-9442-42B9-8FF7-6D42F1D2097A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5224" name="Line 13">
          <a:extLst>
            <a:ext uri="{FF2B5EF4-FFF2-40B4-BE49-F238E27FC236}">
              <a16:creationId xmlns:a16="http://schemas.microsoft.com/office/drawing/2014/main" id="{C5DCCC47-2EB6-4BF1-BA4D-EEC7A774C315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5225" name="Line 14">
          <a:extLst>
            <a:ext uri="{FF2B5EF4-FFF2-40B4-BE49-F238E27FC236}">
              <a16:creationId xmlns:a16="http://schemas.microsoft.com/office/drawing/2014/main" id="{4CC5EDAD-2910-485A-A75E-95977DA5F49A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5226" name="Line 15">
          <a:extLst>
            <a:ext uri="{FF2B5EF4-FFF2-40B4-BE49-F238E27FC236}">
              <a16:creationId xmlns:a16="http://schemas.microsoft.com/office/drawing/2014/main" id="{475F0F4A-4BDB-465E-B2E6-A8B2F7F680A7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5227" name="Line 16">
          <a:extLst>
            <a:ext uri="{FF2B5EF4-FFF2-40B4-BE49-F238E27FC236}">
              <a16:creationId xmlns:a16="http://schemas.microsoft.com/office/drawing/2014/main" id="{525EE21A-E974-4BDB-9B75-B24706E64D78}"/>
            </a:ext>
          </a:extLst>
        </xdr:cNvPr>
        <xdr:cNvSpPr>
          <a:spLocks noChangeShapeType="1"/>
        </xdr:cNvSpPr>
      </xdr:nvSpPr>
      <xdr:spPr bwMode="auto">
        <a:xfrm>
          <a:off x="103917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5228" name="Line 17">
          <a:extLst>
            <a:ext uri="{FF2B5EF4-FFF2-40B4-BE49-F238E27FC236}">
              <a16:creationId xmlns:a16="http://schemas.microsoft.com/office/drawing/2014/main" id="{A629E29D-78B1-42D1-890F-93EF20BCACE2}"/>
            </a:ext>
          </a:extLst>
        </xdr:cNvPr>
        <xdr:cNvSpPr>
          <a:spLocks noChangeShapeType="1"/>
        </xdr:cNvSpPr>
      </xdr:nvSpPr>
      <xdr:spPr bwMode="auto">
        <a:xfrm>
          <a:off x="96297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5229" name="Line 18">
          <a:extLst>
            <a:ext uri="{FF2B5EF4-FFF2-40B4-BE49-F238E27FC236}">
              <a16:creationId xmlns:a16="http://schemas.microsoft.com/office/drawing/2014/main" id="{CC28F5E9-F969-4708-98A1-B61D403EBB05}"/>
            </a:ext>
          </a:extLst>
        </xdr:cNvPr>
        <xdr:cNvSpPr>
          <a:spLocks noChangeShapeType="1"/>
        </xdr:cNvSpPr>
      </xdr:nvSpPr>
      <xdr:spPr bwMode="auto">
        <a:xfrm>
          <a:off x="103917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5230" name="Line 19">
          <a:extLst>
            <a:ext uri="{FF2B5EF4-FFF2-40B4-BE49-F238E27FC236}">
              <a16:creationId xmlns:a16="http://schemas.microsoft.com/office/drawing/2014/main" id="{257FA620-8F33-4F14-9B58-8D51BDC7A58F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5231" name="Line 20">
          <a:extLst>
            <a:ext uri="{FF2B5EF4-FFF2-40B4-BE49-F238E27FC236}">
              <a16:creationId xmlns:a16="http://schemas.microsoft.com/office/drawing/2014/main" id="{C9680D38-9B83-4C26-AF9A-51E5B787BE20}"/>
            </a:ext>
          </a:extLst>
        </xdr:cNvPr>
        <xdr:cNvSpPr>
          <a:spLocks noChangeShapeType="1"/>
        </xdr:cNvSpPr>
      </xdr:nvSpPr>
      <xdr:spPr bwMode="auto">
        <a:xfrm>
          <a:off x="96297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5232" name="Line 21">
          <a:extLst>
            <a:ext uri="{FF2B5EF4-FFF2-40B4-BE49-F238E27FC236}">
              <a16:creationId xmlns:a16="http://schemas.microsoft.com/office/drawing/2014/main" id="{98348CFC-723E-4A00-8128-5F76F958C7EB}"/>
            </a:ext>
          </a:extLst>
        </xdr:cNvPr>
        <xdr:cNvSpPr>
          <a:spLocks noChangeShapeType="1"/>
        </xdr:cNvSpPr>
      </xdr:nvSpPr>
      <xdr:spPr bwMode="auto">
        <a:xfrm>
          <a:off x="103917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5233" name="Line 22">
          <a:extLst>
            <a:ext uri="{FF2B5EF4-FFF2-40B4-BE49-F238E27FC236}">
              <a16:creationId xmlns:a16="http://schemas.microsoft.com/office/drawing/2014/main" id="{4E0E5906-918D-45BF-AA7E-F568AFC64FC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5234" name="Line 23">
          <a:extLst>
            <a:ext uri="{FF2B5EF4-FFF2-40B4-BE49-F238E27FC236}">
              <a16:creationId xmlns:a16="http://schemas.microsoft.com/office/drawing/2014/main" id="{81726513-2881-40B6-9DD5-BD48A172CE6A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5235" name="Line 24">
          <a:extLst>
            <a:ext uri="{FF2B5EF4-FFF2-40B4-BE49-F238E27FC236}">
              <a16:creationId xmlns:a16="http://schemas.microsoft.com/office/drawing/2014/main" id="{37678E3A-0A00-4487-8936-F97AB26E5B7E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5236" name="Line 25">
          <a:extLst>
            <a:ext uri="{FF2B5EF4-FFF2-40B4-BE49-F238E27FC236}">
              <a16:creationId xmlns:a16="http://schemas.microsoft.com/office/drawing/2014/main" id="{DBC916AC-1AA1-4984-84C8-026A7D5E815A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5237" name="Line 26">
          <a:extLst>
            <a:ext uri="{FF2B5EF4-FFF2-40B4-BE49-F238E27FC236}">
              <a16:creationId xmlns:a16="http://schemas.microsoft.com/office/drawing/2014/main" id="{9388338A-C1F0-4681-B40F-38CADB0A04CE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5238" name="Line 27">
          <a:extLst>
            <a:ext uri="{FF2B5EF4-FFF2-40B4-BE49-F238E27FC236}">
              <a16:creationId xmlns:a16="http://schemas.microsoft.com/office/drawing/2014/main" id="{1557F874-7E6C-467A-B4DC-52CD9158F4EF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5239" name="Line 28">
          <a:extLst>
            <a:ext uri="{FF2B5EF4-FFF2-40B4-BE49-F238E27FC236}">
              <a16:creationId xmlns:a16="http://schemas.microsoft.com/office/drawing/2014/main" id="{9D41889C-ACA0-43D1-81A8-6BF617A08F5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5240" name="Line 29">
          <a:extLst>
            <a:ext uri="{FF2B5EF4-FFF2-40B4-BE49-F238E27FC236}">
              <a16:creationId xmlns:a16="http://schemas.microsoft.com/office/drawing/2014/main" id="{B19631FD-0CD6-4108-9E9C-3BC50A4FCBBB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5241" name="Line 30">
          <a:extLst>
            <a:ext uri="{FF2B5EF4-FFF2-40B4-BE49-F238E27FC236}">
              <a16:creationId xmlns:a16="http://schemas.microsoft.com/office/drawing/2014/main" id="{548C9348-8BBE-4D35-8892-EE225D01EDE5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5242" name="Line 31">
          <a:extLst>
            <a:ext uri="{FF2B5EF4-FFF2-40B4-BE49-F238E27FC236}">
              <a16:creationId xmlns:a16="http://schemas.microsoft.com/office/drawing/2014/main" id="{96C6A074-6A9A-4313-A272-0FA5AE53F415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5243" name="Line 32">
          <a:extLst>
            <a:ext uri="{FF2B5EF4-FFF2-40B4-BE49-F238E27FC236}">
              <a16:creationId xmlns:a16="http://schemas.microsoft.com/office/drawing/2014/main" id="{C973E9AC-540B-42BE-BD0D-B0F9E61861ED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5244" name="Line 33">
          <a:extLst>
            <a:ext uri="{FF2B5EF4-FFF2-40B4-BE49-F238E27FC236}">
              <a16:creationId xmlns:a16="http://schemas.microsoft.com/office/drawing/2014/main" id="{5A7E4C56-C936-4B45-A350-086AC41F0F7C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5245" name="Line 34">
          <a:extLst>
            <a:ext uri="{FF2B5EF4-FFF2-40B4-BE49-F238E27FC236}">
              <a16:creationId xmlns:a16="http://schemas.microsoft.com/office/drawing/2014/main" id="{72F7A91F-ED64-47B5-946D-BFD27E0F343F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5246" name="Line 35">
          <a:extLst>
            <a:ext uri="{FF2B5EF4-FFF2-40B4-BE49-F238E27FC236}">
              <a16:creationId xmlns:a16="http://schemas.microsoft.com/office/drawing/2014/main" id="{8B3CBC72-0FC5-4D69-8BA2-BF6AD07F525B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5247" name="Line 36">
          <a:extLst>
            <a:ext uri="{FF2B5EF4-FFF2-40B4-BE49-F238E27FC236}">
              <a16:creationId xmlns:a16="http://schemas.microsoft.com/office/drawing/2014/main" id="{1EDBB3B2-4B06-4484-B359-A10C486F54E6}"/>
            </a:ext>
          </a:extLst>
        </xdr:cNvPr>
        <xdr:cNvSpPr>
          <a:spLocks noChangeShapeType="1"/>
        </xdr:cNvSpPr>
      </xdr:nvSpPr>
      <xdr:spPr bwMode="auto">
        <a:xfrm flipV="1">
          <a:off x="103917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5248" name="Line 37">
          <a:extLst>
            <a:ext uri="{FF2B5EF4-FFF2-40B4-BE49-F238E27FC236}">
              <a16:creationId xmlns:a16="http://schemas.microsoft.com/office/drawing/2014/main" id="{1EE57F9C-2653-4B83-9316-7341CAD37602}"/>
            </a:ext>
          </a:extLst>
        </xdr:cNvPr>
        <xdr:cNvSpPr>
          <a:spLocks noChangeShapeType="1"/>
        </xdr:cNvSpPr>
      </xdr:nvSpPr>
      <xdr:spPr bwMode="auto">
        <a:xfrm>
          <a:off x="96297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5249" name="Line 38">
          <a:extLst>
            <a:ext uri="{FF2B5EF4-FFF2-40B4-BE49-F238E27FC236}">
              <a16:creationId xmlns:a16="http://schemas.microsoft.com/office/drawing/2014/main" id="{7B94033A-FF58-4B1B-91C9-0623D7BCC93E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5250" name="Line 39">
          <a:extLst>
            <a:ext uri="{FF2B5EF4-FFF2-40B4-BE49-F238E27FC236}">
              <a16:creationId xmlns:a16="http://schemas.microsoft.com/office/drawing/2014/main" id="{7CF907D4-FDCF-4EBB-AC6C-9E8CCBB94956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5251" name="Line 40">
          <a:extLst>
            <a:ext uri="{FF2B5EF4-FFF2-40B4-BE49-F238E27FC236}">
              <a16:creationId xmlns:a16="http://schemas.microsoft.com/office/drawing/2014/main" id="{9C9D5D2B-044A-446A-84DF-B23047853D19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5252" name="Line 41">
          <a:extLst>
            <a:ext uri="{FF2B5EF4-FFF2-40B4-BE49-F238E27FC236}">
              <a16:creationId xmlns:a16="http://schemas.microsoft.com/office/drawing/2014/main" id="{5541631E-CB01-40F5-8AA4-49C11C863CC1}"/>
            </a:ext>
          </a:extLst>
        </xdr:cNvPr>
        <xdr:cNvSpPr>
          <a:spLocks noChangeShapeType="1"/>
        </xdr:cNvSpPr>
      </xdr:nvSpPr>
      <xdr:spPr bwMode="auto">
        <a:xfrm>
          <a:off x="110585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5253" name="Line 42">
          <a:extLst>
            <a:ext uri="{FF2B5EF4-FFF2-40B4-BE49-F238E27FC236}">
              <a16:creationId xmlns:a16="http://schemas.microsoft.com/office/drawing/2014/main" id="{2B1021D9-6523-488F-BA0C-6DA35D8C8DE2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5254" name="Line 43">
          <a:extLst>
            <a:ext uri="{FF2B5EF4-FFF2-40B4-BE49-F238E27FC236}">
              <a16:creationId xmlns:a16="http://schemas.microsoft.com/office/drawing/2014/main" id="{879E2BE9-F24F-45F6-A8EC-B56DB1EB93F7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5255" name="Line 44">
          <a:extLst>
            <a:ext uri="{FF2B5EF4-FFF2-40B4-BE49-F238E27FC236}">
              <a16:creationId xmlns:a16="http://schemas.microsoft.com/office/drawing/2014/main" id="{81AD7732-A002-4B1E-BC04-7AEE30058489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5256" name="Line 45">
          <a:extLst>
            <a:ext uri="{FF2B5EF4-FFF2-40B4-BE49-F238E27FC236}">
              <a16:creationId xmlns:a16="http://schemas.microsoft.com/office/drawing/2014/main" id="{3DA74836-E299-4670-8EF0-0BE24C9AEED2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5257" name="Line 46">
          <a:extLst>
            <a:ext uri="{FF2B5EF4-FFF2-40B4-BE49-F238E27FC236}">
              <a16:creationId xmlns:a16="http://schemas.microsoft.com/office/drawing/2014/main" id="{706E4749-D102-4C26-92D3-5AB516CFF77A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5258" name="Line 47">
          <a:extLst>
            <a:ext uri="{FF2B5EF4-FFF2-40B4-BE49-F238E27FC236}">
              <a16:creationId xmlns:a16="http://schemas.microsoft.com/office/drawing/2014/main" id="{2EE8D23B-1F3D-4D86-8748-A62C58CDB98B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5259" name="Line 48">
          <a:extLst>
            <a:ext uri="{FF2B5EF4-FFF2-40B4-BE49-F238E27FC236}">
              <a16:creationId xmlns:a16="http://schemas.microsoft.com/office/drawing/2014/main" id="{1487D1BB-957D-4AA0-A7A5-F9FA5F0F1029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5260" name="Line 49">
          <a:extLst>
            <a:ext uri="{FF2B5EF4-FFF2-40B4-BE49-F238E27FC236}">
              <a16:creationId xmlns:a16="http://schemas.microsoft.com/office/drawing/2014/main" id="{1B2E7EC5-1AFB-46A9-8D7D-06E69576A9A8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5261" name="Line 50">
          <a:extLst>
            <a:ext uri="{FF2B5EF4-FFF2-40B4-BE49-F238E27FC236}">
              <a16:creationId xmlns:a16="http://schemas.microsoft.com/office/drawing/2014/main" id="{F3BDFFC4-FA33-45E3-B2E2-DC41BA58FDA4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5262" name="Line 51">
          <a:extLst>
            <a:ext uri="{FF2B5EF4-FFF2-40B4-BE49-F238E27FC236}">
              <a16:creationId xmlns:a16="http://schemas.microsoft.com/office/drawing/2014/main" id="{072E1247-F8F3-43EF-B8C8-B653A3BA3D6B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5263" name="Line 52">
          <a:extLst>
            <a:ext uri="{FF2B5EF4-FFF2-40B4-BE49-F238E27FC236}">
              <a16:creationId xmlns:a16="http://schemas.microsoft.com/office/drawing/2014/main" id="{DB9813B9-E9BC-407D-A1AB-27EDAEE714DA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5264" name="Line 53">
          <a:extLst>
            <a:ext uri="{FF2B5EF4-FFF2-40B4-BE49-F238E27FC236}">
              <a16:creationId xmlns:a16="http://schemas.microsoft.com/office/drawing/2014/main" id="{C6E06D6E-9DF2-4068-B7C8-90F01731DD1B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5265" name="Line 54">
          <a:extLst>
            <a:ext uri="{FF2B5EF4-FFF2-40B4-BE49-F238E27FC236}">
              <a16:creationId xmlns:a16="http://schemas.microsoft.com/office/drawing/2014/main" id="{A46554F1-EFD6-453A-9658-3B40101F280B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5266" name="Line 55">
          <a:extLst>
            <a:ext uri="{FF2B5EF4-FFF2-40B4-BE49-F238E27FC236}">
              <a16:creationId xmlns:a16="http://schemas.microsoft.com/office/drawing/2014/main" id="{9B4B038F-2A8F-4431-99BD-55D9C7658A02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5267" name="Line 56">
          <a:extLst>
            <a:ext uri="{FF2B5EF4-FFF2-40B4-BE49-F238E27FC236}">
              <a16:creationId xmlns:a16="http://schemas.microsoft.com/office/drawing/2014/main" id="{4872E82A-FB93-4CCB-A7D2-316D98326EF3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5268" name="Line 57">
          <a:extLst>
            <a:ext uri="{FF2B5EF4-FFF2-40B4-BE49-F238E27FC236}">
              <a16:creationId xmlns:a16="http://schemas.microsoft.com/office/drawing/2014/main" id="{D2AAA6B3-D4D8-4396-BFF6-13144C506A84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5269" name="Line 58">
          <a:extLst>
            <a:ext uri="{FF2B5EF4-FFF2-40B4-BE49-F238E27FC236}">
              <a16:creationId xmlns:a16="http://schemas.microsoft.com/office/drawing/2014/main" id="{8E41679E-FAC2-456A-9B96-154733003479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5270" name="Line 59">
          <a:extLst>
            <a:ext uri="{FF2B5EF4-FFF2-40B4-BE49-F238E27FC236}">
              <a16:creationId xmlns:a16="http://schemas.microsoft.com/office/drawing/2014/main" id="{83C749D6-D77D-4114-BB29-87E107FCE9BF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5271" name="Line 60">
          <a:extLst>
            <a:ext uri="{FF2B5EF4-FFF2-40B4-BE49-F238E27FC236}">
              <a16:creationId xmlns:a16="http://schemas.microsoft.com/office/drawing/2014/main" id="{432F0D3D-E4FC-4EED-843A-CC9BBA8EF395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5272" name="Line 61">
          <a:extLst>
            <a:ext uri="{FF2B5EF4-FFF2-40B4-BE49-F238E27FC236}">
              <a16:creationId xmlns:a16="http://schemas.microsoft.com/office/drawing/2014/main" id="{5F99AF7F-8898-4C8D-9B7C-990CFB4D943D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5273" name="Line 62">
          <a:extLst>
            <a:ext uri="{FF2B5EF4-FFF2-40B4-BE49-F238E27FC236}">
              <a16:creationId xmlns:a16="http://schemas.microsoft.com/office/drawing/2014/main" id="{FBF425D3-8C19-4DEF-8C87-2330F2EAB28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5274" name="Line 63">
          <a:extLst>
            <a:ext uri="{FF2B5EF4-FFF2-40B4-BE49-F238E27FC236}">
              <a16:creationId xmlns:a16="http://schemas.microsoft.com/office/drawing/2014/main" id="{BB222710-4CCA-48E9-9A5F-BEBBE5248954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5275" name="Line 64">
          <a:extLst>
            <a:ext uri="{FF2B5EF4-FFF2-40B4-BE49-F238E27FC236}">
              <a16:creationId xmlns:a16="http://schemas.microsoft.com/office/drawing/2014/main" id="{693FB737-5403-4FB6-88B4-A61D54795FF0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5276" name="Line 65">
          <a:extLst>
            <a:ext uri="{FF2B5EF4-FFF2-40B4-BE49-F238E27FC236}">
              <a16:creationId xmlns:a16="http://schemas.microsoft.com/office/drawing/2014/main" id="{A8B47DA2-5799-4675-AE5E-9DB2C09A2DC8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5277" name="Line 66">
          <a:extLst>
            <a:ext uri="{FF2B5EF4-FFF2-40B4-BE49-F238E27FC236}">
              <a16:creationId xmlns:a16="http://schemas.microsoft.com/office/drawing/2014/main" id="{FEEE889A-2E14-4AF3-8D40-2F5565E6D40D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5278" name="Line 67">
          <a:extLst>
            <a:ext uri="{FF2B5EF4-FFF2-40B4-BE49-F238E27FC236}">
              <a16:creationId xmlns:a16="http://schemas.microsoft.com/office/drawing/2014/main" id="{26E50D09-A998-4CE6-B9D9-AEAC0C40A1D6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5279" name="Line 68">
          <a:extLst>
            <a:ext uri="{FF2B5EF4-FFF2-40B4-BE49-F238E27FC236}">
              <a16:creationId xmlns:a16="http://schemas.microsoft.com/office/drawing/2014/main" id="{822EEF97-6092-4F57-A0EE-9A4D816A7602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5280" name="Line 69">
          <a:extLst>
            <a:ext uri="{FF2B5EF4-FFF2-40B4-BE49-F238E27FC236}">
              <a16:creationId xmlns:a16="http://schemas.microsoft.com/office/drawing/2014/main" id="{2502CD00-D845-4D87-A1C8-69BB102B4010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5281" name="Line 70">
          <a:extLst>
            <a:ext uri="{FF2B5EF4-FFF2-40B4-BE49-F238E27FC236}">
              <a16:creationId xmlns:a16="http://schemas.microsoft.com/office/drawing/2014/main" id="{9F0B45D4-F599-42E8-8FFA-A47ADD369786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5282" name="Line 71">
          <a:extLst>
            <a:ext uri="{FF2B5EF4-FFF2-40B4-BE49-F238E27FC236}">
              <a16:creationId xmlns:a16="http://schemas.microsoft.com/office/drawing/2014/main" id="{BCECC843-6934-422F-8672-AF38258E089D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5283" name="Line 72">
          <a:extLst>
            <a:ext uri="{FF2B5EF4-FFF2-40B4-BE49-F238E27FC236}">
              <a16:creationId xmlns:a16="http://schemas.microsoft.com/office/drawing/2014/main" id="{C5E83E54-09FA-4015-AFEE-C30FD604135B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5284" name="Line 73">
          <a:extLst>
            <a:ext uri="{FF2B5EF4-FFF2-40B4-BE49-F238E27FC236}">
              <a16:creationId xmlns:a16="http://schemas.microsoft.com/office/drawing/2014/main" id="{EB732399-72D5-4902-A1A8-D536D47F096D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5285" name="Line 74">
          <a:extLst>
            <a:ext uri="{FF2B5EF4-FFF2-40B4-BE49-F238E27FC236}">
              <a16:creationId xmlns:a16="http://schemas.microsoft.com/office/drawing/2014/main" id="{1F7E9EEB-A129-4D70-BE1B-0E1F8A5770A1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5286" name="Line 75">
          <a:extLst>
            <a:ext uri="{FF2B5EF4-FFF2-40B4-BE49-F238E27FC236}">
              <a16:creationId xmlns:a16="http://schemas.microsoft.com/office/drawing/2014/main" id="{A5725A2C-2142-40B4-8DA5-B77DEAF04236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5287" name="Line 76">
          <a:extLst>
            <a:ext uri="{FF2B5EF4-FFF2-40B4-BE49-F238E27FC236}">
              <a16:creationId xmlns:a16="http://schemas.microsoft.com/office/drawing/2014/main" id="{3902EC49-D64A-4E7F-A275-9BC92F946E89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5288" name="Line 77">
          <a:extLst>
            <a:ext uri="{FF2B5EF4-FFF2-40B4-BE49-F238E27FC236}">
              <a16:creationId xmlns:a16="http://schemas.microsoft.com/office/drawing/2014/main" id="{05C0F902-7184-40AB-BBBF-10EA7587C017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5289" name="Line 78">
          <a:extLst>
            <a:ext uri="{FF2B5EF4-FFF2-40B4-BE49-F238E27FC236}">
              <a16:creationId xmlns:a16="http://schemas.microsoft.com/office/drawing/2014/main" id="{378C21F2-A987-44CC-B1FA-6F495904DB57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5290" name="Line 79">
          <a:extLst>
            <a:ext uri="{FF2B5EF4-FFF2-40B4-BE49-F238E27FC236}">
              <a16:creationId xmlns:a16="http://schemas.microsoft.com/office/drawing/2014/main" id="{E2DD73BA-F70B-41A9-AAD3-338C65A79935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5291" name="Line 80">
          <a:extLst>
            <a:ext uri="{FF2B5EF4-FFF2-40B4-BE49-F238E27FC236}">
              <a16:creationId xmlns:a16="http://schemas.microsoft.com/office/drawing/2014/main" id="{D27FDCA1-CCAC-40E0-BA48-360B2CDC3A1D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5292" name="Line 81">
          <a:extLst>
            <a:ext uri="{FF2B5EF4-FFF2-40B4-BE49-F238E27FC236}">
              <a16:creationId xmlns:a16="http://schemas.microsoft.com/office/drawing/2014/main" id="{13DCC40D-FAF2-4EA8-AB95-A1A24FEB73C5}"/>
            </a:ext>
          </a:extLst>
        </xdr:cNvPr>
        <xdr:cNvSpPr>
          <a:spLocks noChangeShapeType="1"/>
        </xdr:cNvSpPr>
      </xdr:nvSpPr>
      <xdr:spPr bwMode="auto">
        <a:xfrm>
          <a:off x="96297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5293" name="Line 82">
          <a:extLst>
            <a:ext uri="{FF2B5EF4-FFF2-40B4-BE49-F238E27FC236}">
              <a16:creationId xmlns:a16="http://schemas.microsoft.com/office/drawing/2014/main" id="{E663B2F8-2D15-4B1E-B3A6-6B5EEDD9C7A2}"/>
            </a:ext>
          </a:extLst>
        </xdr:cNvPr>
        <xdr:cNvSpPr>
          <a:spLocks noChangeShapeType="1"/>
        </xdr:cNvSpPr>
      </xdr:nvSpPr>
      <xdr:spPr bwMode="auto">
        <a:xfrm>
          <a:off x="96297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5294" name="Line 83">
          <a:extLst>
            <a:ext uri="{FF2B5EF4-FFF2-40B4-BE49-F238E27FC236}">
              <a16:creationId xmlns:a16="http://schemas.microsoft.com/office/drawing/2014/main" id="{1D21ABD2-E834-444A-8A42-782230DC122A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5295" name="Line 84">
          <a:extLst>
            <a:ext uri="{FF2B5EF4-FFF2-40B4-BE49-F238E27FC236}">
              <a16:creationId xmlns:a16="http://schemas.microsoft.com/office/drawing/2014/main" id="{D6C0D617-AFD6-42FA-B3A8-7D0C4D2E5CA4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5296" name="Line 85">
          <a:extLst>
            <a:ext uri="{FF2B5EF4-FFF2-40B4-BE49-F238E27FC236}">
              <a16:creationId xmlns:a16="http://schemas.microsoft.com/office/drawing/2014/main" id="{A5190739-A722-4900-9ED9-970AD9180C33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5297" name="Line 86">
          <a:extLst>
            <a:ext uri="{FF2B5EF4-FFF2-40B4-BE49-F238E27FC236}">
              <a16:creationId xmlns:a16="http://schemas.microsoft.com/office/drawing/2014/main" id="{3ADAFEE1-B4A5-4B80-8C1F-1E554067E2A7}"/>
            </a:ext>
          </a:extLst>
        </xdr:cNvPr>
        <xdr:cNvSpPr>
          <a:spLocks noChangeShapeType="1"/>
        </xdr:cNvSpPr>
      </xdr:nvSpPr>
      <xdr:spPr bwMode="auto">
        <a:xfrm>
          <a:off x="96297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5298" name="Line 87">
          <a:extLst>
            <a:ext uri="{FF2B5EF4-FFF2-40B4-BE49-F238E27FC236}">
              <a16:creationId xmlns:a16="http://schemas.microsoft.com/office/drawing/2014/main" id="{89335F09-56E6-4508-9E85-D65F8DAE1577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5299" name="Line 88">
          <a:extLst>
            <a:ext uri="{FF2B5EF4-FFF2-40B4-BE49-F238E27FC236}">
              <a16:creationId xmlns:a16="http://schemas.microsoft.com/office/drawing/2014/main" id="{D46AB2BF-07A1-4A7E-9955-89677D9C6183}"/>
            </a:ext>
          </a:extLst>
        </xdr:cNvPr>
        <xdr:cNvSpPr>
          <a:spLocks noChangeShapeType="1"/>
        </xdr:cNvSpPr>
      </xdr:nvSpPr>
      <xdr:spPr bwMode="auto">
        <a:xfrm>
          <a:off x="96297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5300" name="Line 89">
          <a:extLst>
            <a:ext uri="{FF2B5EF4-FFF2-40B4-BE49-F238E27FC236}">
              <a16:creationId xmlns:a16="http://schemas.microsoft.com/office/drawing/2014/main" id="{9B83D914-54B1-4029-8EA3-4560ACE1FC5F}"/>
            </a:ext>
          </a:extLst>
        </xdr:cNvPr>
        <xdr:cNvSpPr>
          <a:spLocks noChangeShapeType="1"/>
        </xdr:cNvSpPr>
      </xdr:nvSpPr>
      <xdr:spPr bwMode="auto">
        <a:xfrm>
          <a:off x="9629775" y="11287125"/>
          <a:ext cx="2981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5301" name="Line 90">
          <a:extLst>
            <a:ext uri="{FF2B5EF4-FFF2-40B4-BE49-F238E27FC236}">
              <a16:creationId xmlns:a16="http://schemas.microsoft.com/office/drawing/2014/main" id="{7140418D-90ED-4832-B318-235E86B63646}"/>
            </a:ext>
          </a:extLst>
        </xdr:cNvPr>
        <xdr:cNvSpPr>
          <a:spLocks noChangeShapeType="1"/>
        </xdr:cNvSpPr>
      </xdr:nvSpPr>
      <xdr:spPr bwMode="auto">
        <a:xfrm>
          <a:off x="97440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5302" name="Line 91">
          <a:extLst>
            <a:ext uri="{FF2B5EF4-FFF2-40B4-BE49-F238E27FC236}">
              <a16:creationId xmlns:a16="http://schemas.microsoft.com/office/drawing/2014/main" id="{48140A23-11BB-480D-80DD-BF0E7F43BE6A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5303" name="Line 92">
          <a:extLst>
            <a:ext uri="{FF2B5EF4-FFF2-40B4-BE49-F238E27FC236}">
              <a16:creationId xmlns:a16="http://schemas.microsoft.com/office/drawing/2014/main" id="{73FC6EB7-0701-4141-99A5-F4367C1F489D}"/>
            </a:ext>
          </a:extLst>
        </xdr:cNvPr>
        <xdr:cNvSpPr>
          <a:spLocks noChangeShapeType="1"/>
        </xdr:cNvSpPr>
      </xdr:nvSpPr>
      <xdr:spPr bwMode="auto">
        <a:xfrm flipV="1">
          <a:off x="96297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5304" name="Line 93">
          <a:extLst>
            <a:ext uri="{FF2B5EF4-FFF2-40B4-BE49-F238E27FC236}">
              <a16:creationId xmlns:a16="http://schemas.microsoft.com/office/drawing/2014/main" id="{DCFD2CFC-D966-4C8D-8CAE-0BE13AC526E8}"/>
            </a:ext>
          </a:extLst>
        </xdr:cNvPr>
        <xdr:cNvSpPr>
          <a:spLocks noChangeShapeType="1"/>
        </xdr:cNvSpPr>
      </xdr:nvSpPr>
      <xdr:spPr bwMode="auto">
        <a:xfrm>
          <a:off x="97440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5305" name="Line 94">
          <a:extLst>
            <a:ext uri="{FF2B5EF4-FFF2-40B4-BE49-F238E27FC236}">
              <a16:creationId xmlns:a16="http://schemas.microsoft.com/office/drawing/2014/main" id="{30EB787C-721F-47EA-8D2A-8BBD05D1BE10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5306" name="Line 95">
          <a:extLst>
            <a:ext uri="{FF2B5EF4-FFF2-40B4-BE49-F238E27FC236}">
              <a16:creationId xmlns:a16="http://schemas.microsoft.com/office/drawing/2014/main" id="{DFCD0AF5-FDB8-4724-A9CD-F024849F15CE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5307" name="Line 96">
          <a:extLst>
            <a:ext uri="{FF2B5EF4-FFF2-40B4-BE49-F238E27FC236}">
              <a16:creationId xmlns:a16="http://schemas.microsoft.com/office/drawing/2014/main" id="{EA3A3FEF-F74A-4D73-8428-77F9AFF6E18C}"/>
            </a:ext>
          </a:extLst>
        </xdr:cNvPr>
        <xdr:cNvSpPr>
          <a:spLocks noChangeShapeType="1"/>
        </xdr:cNvSpPr>
      </xdr:nvSpPr>
      <xdr:spPr bwMode="auto">
        <a:xfrm>
          <a:off x="96297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5308" name="Line 97">
          <a:extLst>
            <a:ext uri="{FF2B5EF4-FFF2-40B4-BE49-F238E27FC236}">
              <a16:creationId xmlns:a16="http://schemas.microsoft.com/office/drawing/2014/main" id="{CD7C05CA-8BDE-49D4-BA28-36022F8F2374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5309" name="Line 98">
          <a:extLst>
            <a:ext uri="{FF2B5EF4-FFF2-40B4-BE49-F238E27FC236}">
              <a16:creationId xmlns:a16="http://schemas.microsoft.com/office/drawing/2014/main" id="{5B0AD6EC-2F59-420E-AA56-E3EA5E5D79B8}"/>
            </a:ext>
          </a:extLst>
        </xdr:cNvPr>
        <xdr:cNvSpPr>
          <a:spLocks noChangeShapeType="1"/>
        </xdr:cNvSpPr>
      </xdr:nvSpPr>
      <xdr:spPr bwMode="auto">
        <a:xfrm flipV="1">
          <a:off x="96297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5310" name="Line 99">
          <a:extLst>
            <a:ext uri="{FF2B5EF4-FFF2-40B4-BE49-F238E27FC236}">
              <a16:creationId xmlns:a16="http://schemas.microsoft.com/office/drawing/2014/main" id="{F608A354-A48B-4285-B8B6-C35819CCB1E6}"/>
            </a:ext>
          </a:extLst>
        </xdr:cNvPr>
        <xdr:cNvSpPr>
          <a:spLocks noChangeShapeType="1"/>
        </xdr:cNvSpPr>
      </xdr:nvSpPr>
      <xdr:spPr bwMode="auto">
        <a:xfrm>
          <a:off x="103917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5311" name="Line 100">
          <a:extLst>
            <a:ext uri="{FF2B5EF4-FFF2-40B4-BE49-F238E27FC236}">
              <a16:creationId xmlns:a16="http://schemas.microsoft.com/office/drawing/2014/main" id="{35A8E927-CA87-4A2E-AB47-E11FA8490BD8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39648" name="Line 101">
          <a:extLst>
            <a:ext uri="{FF2B5EF4-FFF2-40B4-BE49-F238E27FC236}">
              <a16:creationId xmlns:a16="http://schemas.microsoft.com/office/drawing/2014/main" id="{D45EE722-FE8A-4010-BC6F-1156B0D8123E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9649" name="Line 102">
          <a:extLst>
            <a:ext uri="{FF2B5EF4-FFF2-40B4-BE49-F238E27FC236}">
              <a16:creationId xmlns:a16="http://schemas.microsoft.com/office/drawing/2014/main" id="{571DC70B-5237-49F5-B86E-D39325106F2A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9650" name="Line 103">
          <a:extLst>
            <a:ext uri="{FF2B5EF4-FFF2-40B4-BE49-F238E27FC236}">
              <a16:creationId xmlns:a16="http://schemas.microsoft.com/office/drawing/2014/main" id="{F3A3C743-2671-4C00-88B2-809F36C3357C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9651" name="Line 104">
          <a:extLst>
            <a:ext uri="{FF2B5EF4-FFF2-40B4-BE49-F238E27FC236}">
              <a16:creationId xmlns:a16="http://schemas.microsoft.com/office/drawing/2014/main" id="{C2B2E151-9125-44F3-B601-F084CA8DAC4C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9652" name="Line 105">
          <a:extLst>
            <a:ext uri="{FF2B5EF4-FFF2-40B4-BE49-F238E27FC236}">
              <a16:creationId xmlns:a16="http://schemas.microsoft.com/office/drawing/2014/main" id="{99DC1432-0452-4C87-A57A-A8B138698778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9653" name="Line 106">
          <a:extLst>
            <a:ext uri="{FF2B5EF4-FFF2-40B4-BE49-F238E27FC236}">
              <a16:creationId xmlns:a16="http://schemas.microsoft.com/office/drawing/2014/main" id="{8F0408A8-351F-485F-A849-725BA25492DA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9654" name="Line 107">
          <a:extLst>
            <a:ext uri="{FF2B5EF4-FFF2-40B4-BE49-F238E27FC236}">
              <a16:creationId xmlns:a16="http://schemas.microsoft.com/office/drawing/2014/main" id="{C1CB1BAC-4231-4B24-80DF-A3B49B1D409E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9655" name="Line 108">
          <a:extLst>
            <a:ext uri="{FF2B5EF4-FFF2-40B4-BE49-F238E27FC236}">
              <a16:creationId xmlns:a16="http://schemas.microsoft.com/office/drawing/2014/main" id="{CF122EA6-1A99-478B-BBB4-F782D0D2EE72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9656" name="Line 109">
          <a:extLst>
            <a:ext uri="{FF2B5EF4-FFF2-40B4-BE49-F238E27FC236}">
              <a16:creationId xmlns:a16="http://schemas.microsoft.com/office/drawing/2014/main" id="{9A5981F5-D536-4CB5-8FE4-422393523E56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9657" name="Line 110">
          <a:extLst>
            <a:ext uri="{FF2B5EF4-FFF2-40B4-BE49-F238E27FC236}">
              <a16:creationId xmlns:a16="http://schemas.microsoft.com/office/drawing/2014/main" id="{A369FB37-E663-40E4-9E32-389A50656941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9658" name="Line 111">
          <a:extLst>
            <a:ext uri="{FF2B5EF4-FFF2-40B4-BE49-F238E27FC236}">
              <a16:creationId xmlns:a16="http://schemas.microsoft.com/office/drawing/2014/main" id="{D5CAF3B0-F23D-4673-BA7C-6CD70A8C0D6A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9659" name="Line 112">
          <a:extLst>
            <a:ext uri="{FF2B5EF4-FFF2-40B4-BE49-F238E27FC236}">
              <a16:creationId xmlns:a16="http://schemas.microsoft.com/office/drawing/2014/main" id="{74B02C82-0CA7-47F6-AC85-AE26FDFDA650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9660" name="Line 113">
          <a:extLst>
            <a:ext uri="{FF2B5EF4-FFF2-40B4-BE49-F238E27FC236}">
              <a16:creationId xmlns:a16="http://schemas.microsoft.com/office/drawing/2014/main" id="{822D93B1-C4CB-4215-B662-CE126757DCC8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39661" name="Line 114">
          <a:extLst>
            <a:ext uri="{FF2B5EF4-FFF2-40B4-BE49-F238E27FC236}">
              <a16:creationId xmlns:a16="http://schemas.microsoft.com/office/drawing/2014/main" id="{CF275584-059C-4393-B2D6-4E2AC8A295CF}"/>
            </a:ext>
          </a:extLst>
        </xdr:cNvPr>
        <xdr:cNvSpPr>
          <a:spLocks noChangeShapeType="1"/>
        </xdr:cNvSpPr>
      </xdr:nvSpPr>
      <xdr:spPr bwMode="auto">
        <a:xfrm flipV="1">
          <a:off x="96297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6236" name="Line 1">
          <a:extLst>
            <a:ext uri="{FF2B5EF4-FFF2-40B4-BE49-F238E27FC236}">
              <a16:creationId xmlns:a16="http://schemas.microsoft.com/office/drawing/2014/main" id="{CE717BFE-F64B-4E45-97B5-448739937F23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6237" name="Line 2">
          <a:extLst>
            <a:ext uri="{FF2B5EF4-FFF2-40B4-BE49-F238E27FC236}">
              <a16:creationId xmlns:a16="http://schemas.microsoft.com/office/drawing/2014/main" id="{43894600-CF92-4A56-97EB-B6F0DB4E9DDD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6238" name="Line 3">
          <a:extLst>
            <a:ext uri="{FF2B5EF4-FFF2-40B4-BE49-F238E27FC236}">
              <a16:creationId xmlns:a16="http://schemas.microsoft.com/office/drawing/2014/main" id="{C5DAB838-08BD-417D-9148-0A69A065E38B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6239" name="Line 4">
          <a:extLst>
            <a:ext uri="{FF2B5EF4-FFF2-40B4-BE49-F238E27FC236}">
              <a16:creationId xmlns:a16="http://schemas.microsoft.com/office/drawing/2014/main" id="{2B74219C-F154-4B0E-AD2F-C794B737F22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6240" name="Line 5">
          <a:extLst>
            <a:ext uri="{FF2B5EF4-FFF2-40B4-BE49-F238E27FC236}">
              <a16:creationId xmlns:a16="http://schemas.microsoft.com/office/drawing/2014/main" id="{ACA0D302-A385-4A28-9EC9-7C9E526DD1E9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6241" name="Line 6">
          <a:extLst>
            <a:ext uri="{FF2B5EF4-FFF2-40B4-BE49-F238E27FC236}">
              <a16:creationId xmlns:a16="http://schemas.microsoft.com/office/drawing/2014/main" id="{39491B41-9DC3-4640-BB36-C8867B3815A9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6242" name="Line 7">
          <a:extLst>
            <a:ext uri="{FF2B5EF4-FFF2-40B4-BE49-F238E27FC236}">
              <a16:creationId xmlns:a16="http://schemas.microsoft.com/office/drawing/2014/main" id="{CF4F32A4-8D02-4C32-ABCA-6B393B6421D8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431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6243" name="Line 8">
          <a:extLst>
            <a:ext uri="{FF2B5EF4-FFF2-40B4-BE49-F238E27FC236}">
              <a16:creationId xmlns:a16="http://schemas.microsoft.com/office/drawing/2014/main" id="{3607302B-2A2B-42B6-946D-FECB561770D0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6244" name="Line 9">
          <a:extLst>
            <a:ext uri="{FF2B5EF4-FFF2-40B4-BE49-F238E27FC236}">
              <a16:creationId xmlns:a16="http://schemas.microsoft.com/office/drawing/2014/main" id="{F04352CF-9AD5-408E-852B-BD905ECE0F60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6245" name="Line 10">
          <a:extLst>
            <a:ext uri="{FF2B5EF4-FFF2-40B4-BE49-F238E27FC236}">
              <a16:creationId xmlns:a16="http://schemas.microsoft.com/office/drawing/2014/main" id="{B6FBB35D-466C-4499-B4B8-A0FDEB936B2A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6246" name="Line 11">
          <a:extLst>
            <a:ext uri="{FF2B5EF4-FFF2-40B4-BE49-F238E27FC236}">
              <a16:creationId xmlns:a16="http://schemas.microsoft.com/office/drawing/2014/main" id="{8D0E5925-AF46-4827-8BBB-F2BCBD471D79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6247" name="Line 12">
          <a:extLst>
            <a:ext uri="{FF2B5EF4-FFF2-40B4-BE49-F238E27FC236}">
              <a16:creationId xmlns:a16="http://schemas.microsoft.com/office/drawing/2014/main" id="{4ABA81B8-9CFA-4E94-A540-7E019C7F87CE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6248" name="Line 13">
          <a:extLst>
            <a:ext uri="{FF2B5EF4-FFF2-40B4-BE49-F238E27FC236}">
              <a16:creationId xmlns:a16="http://schemas.microsoft.com/office/drawing/2014/main" id="{F4F6C52B-4091-4964-A51E-6B1500A0F64A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6249" name="Line 14">
          <a:extLst>
            <a:ext uri="{FF2B5EF4-FFF2-40B4-BE49-F238E27FC236}">
              <a16:creationId xmlns:a16="http://schemas.microsoft.com/office/drawing/2014/main" id="{A54F87CF-B7DA-4C96-87D1-F6F1888B119C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6250" name="Line 15">
          <a:extLst>
            <a:ext uri="{FF2B5EF4-FFF2-40B4-BE49-F238E27FC236}">
              <a16:creationId xmlns:a16="http://schemas.microsoft.com/office/drawing/2014/main" id="{4AAB1AFB-0E8A-4C3C-B721-0C75C3631031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6251" name="Line 16">
          <a:extLst>
            <a:ext uri="{FF2B5EF4-FFF2-40B4-BE49-F238E27FC236}">
              <a16:creationId xmlns:a16="http://schemas.microsoft.com/office/drawing/2014/main" id="{7279114A-86A5-430D-A456-61850312ABF1}"/>
            </a:ext>
          </a:extLst>
        </xdr:cNvPr>
        <xdr:cNvSpPr>
          <a:spLocks noChangeShapeType="1"/>
        </xdr:cNvSpPr>
      </xdr:nvSpPr>
      <xdr:spPr bwMode="auto">
        <a:xfrm>
          <a:off x="103917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6252" name="Line 17">
          <a:extLst>
            <a:ext uri="{FF2B5EF4-FFF2-40B4-BE49-F238E27FC236}">
              <a16:creationId xmlns:a16="http://schemas.microsoft.com/office/drawing/2014/main" id="{4315E289-A3DB-4A4D-AE1C-6EA3ECA5ABEB}"/>
            </a:ext>
          </a:extLst>
        </xdr:cNvPr>
        <xdr:cNvSpPr>
          <a:spLocks noChangeShapeType="1"/>
        </xdr:cNvSpPr>
      </xdr:nvSpPr>
      <xdr:spPr bwMode="auto">
        <a:xfrm>
          <a:off x="96297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6253" name="Line 18">
          <a:extLst>
            <a:ext uri="{FF2B5EF4-FFF2-40B4-BE49-F238E27FC236}">
              <a16:creationId xmlns:a16="http://schemas.microsoft.com/office/drawing/2014/main" id="{06360314-DF0D-43B6-A830-10B89C16712E}"/>
            </a:ext>
          </a:extLst>
        </xdr:cNvPr>
        <xdr:cNvSpPr>
          <a:spLocks noChangeShapeType="1"/>
        </xdr:cNvSpPr>
      </xdr:nvSpPr>
      <xdr:spPr bwMode="auto">
        <a:xfrm>
          <a:off x="103917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6254" name="Line 19">
          <a:extLst>
            <a:ext uri="{FF2B5EF4-FFF2-40B4-BE49-F238E27FC236}">
              <a16:creationId xmlns:a16="http://schemas.microsoft.com/office/drawing/2014/main" id="{F759CE68-55A9-42DB-9386-A98F2A7C0565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6255" name="Line 20">
          <a:extLst>
            <a:ext uri="{FF2B5EF4-FFF2-40B4-BE49-F238E27FC236}">
              <a16:creationId xmlns:a16="http://schemas.microsoft.com/office/drawing/2014/main" id="{BEBB4772-DBF7-4236-8B7B-E9140B241D71}"/>
            </a:ext>
          </a:extLst>
        </xdr:cNvPr>
        <xdr:cNvSpPr>
          <a:spLocks noChangeShapeType="1"/>
        </xdr:cNvSpPr>
      </xdr:nvSpPr>
      <xdr:spPr bwMode="auto">
        <a:xfrm>
          <a:off x="96297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6256" name="Line 21">
          <a:extLst>
            <a:ext uri="{FF2B5EF4-FFF2-40B4-BE49-F238E27FC236}">
              <a16:creationId xmlns:a16="http://schemas.microsoft.com/office/drawing/2014/main" id="{6DA16B51-54A0-44C1-B5B9-CD353F9FB546}"/>
            </a:ext>
          </a:extLst>
        </xdr:cNvPr>
        <xdr:cNvSpPr>
          <a:spLocks noChangeShapeType="1"/>
        </xdr:cNvSpPr>
      </xdr:nvSpPr>
      <xdr:spPr bwMode="auto">
        <a:xfrm>
          <a:off x="103917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6257" name="Line 22">
          <a:extLst>
            <a:ext uri="{FF2B5EF4-FFF2-40B4-BE49-F238E27FC236}">
              <a16:creationId xmlns:a16="http://schemas.microsoft.com/office/drawing/2014/main" id="{7CD421DE-EE64-4C5F-BB11-9B45C57A3105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6258" name="Line 23">
          <a:extLst>
            <a:ext uri="{FF2B5EF4-FFF2-40B4-BE49-F238E27FC236}">
              <a16:creationId xmlns:a16="http://schemas.microsoft.com/office/drawing/2014/main" id="{B7846B4B-73D0-48C5-9161-9FB1CB10CA14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6259" name="Line 24">
          <a:extLst>
            <a:ext uri="{FF2B5EF4-FFF2-40B4-BE49-F238E27FC236}">
              <a16:creationId xmlns:a16="http://schemas.microsoft.com/office/drawing/2014/main" id="{1E9E77C4-6491-49D8-9BB6-CF89B6C0E932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6260" name="Line 25">
          <a:extLst>
            <a:ext uri="{FF2B5EF4-FFF2-40B4-BE49-F238E27FC236}">
              <a16:creationId xmlns:a16="http://schemas.microsoft.com/office/drawing/2014/main" id="{1BB4A5C3-FABC-4769-9B93-19A7B70B246C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6261" name="Line 26">
          <a:extLst>
            <a:ext uri="{FF2B5EF4-FFF2-40B4-BE49-F238E27FC236}">
              <a16:creationId xmlns:a16="http://schemas.microsoft.com/office/drawing/2014/main" id="{5A18C85D-58CF-443B-88CD-2DBE19A7996E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6262" name="Line 27">
          <a:extLst>
            <a:ext uri="{FF2B5EF4-FFF2-40B4-BE49-F238E27FC236}">
              <a16:creationId xmlns:a16="http://schemas.microsoft.com/office/drawing/2014/main" id="{486EF0B7-9F1E-40C6-B74B-B1235E9BD53B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6263" name="Line 28">
          <a:extLst>
            <a:ext uri="{FF2B5EF4-FFF2-40B4-BE49-F238E27FC236}">
              <a16:creationId xmlns:a16="http://schemas.microsoft.com/office/drawing/2014/main" id="{FC863380-BC31-4BAB-8867-D2F40D26EBC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6264" name="Line 29">
          <a:extLst>
            <a:ext uri="{FF2B5EF4-FFF2-40B4-BE49-F238E27FC236}">
              <a16:creationId xmlns:a16="http://schemas.microsoft.com/office/drawing/2014/main" id="{6B212B14-AEF3-4D61-A100-66C797EDB407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6265" name="Line 30">
          <a:extLst>
            <a:ext uri="{FF2B5EF4-FFF2-40B4-BE49-F238E27FC236}">
              <a16:creationId xmlns:a16="http://schemas.microsoft.com/office/drawing/2014/main" id="{D82056F5-6347-41FB-AFCB-0DEF6DC7EC46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6266" name="Line 31">
          <a:extLst>
            <a:ext uri="{FF2B5EF4-FFF2-40B4-BE49-F238E27FC236}">
              <a16:creationId xmlns:a16="http://schemas.microsoft.com/office/drawing/2014/main" id="{E85F9554-6F84-479F-95BE-77FEA9E70908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6267" name="Line 32">
          <a:extLst>
            <a:ext uri="{FF2B5EF4-FFF2-40B4-BE49-F238E27FC236}">
              <a16:creationId xmlns:a16="http://schemas.microsoft.com/office/drawing/2014/main" id="{A70CF727-372C-400D-B3B4-1A22266760DE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6268" name="Line 33">
          <a:extLst>
            <a:ext uri="{FF2B5EF4-FFF2-40B4-BE49-F238E27FC236}">
              <a16:creationId xmlns:a16="http://schemas.microsoft.com/office/drawing/2014/main" id="{8D249101-A8B9-4B6D-AA0D-727C95B937DE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6269" name="Line 34">
          <a:extLst>
            <a:ext uri="{FF2B5EF4-FFF2-40B4-BE49-F238E27FC236}">
              <a16:creationId xmlns:a16="http://schemas.microsoft.com/office/drawing/2014/main" id="{102225C2-8AE5-4A25-8BB5-C20FD4D22BAA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6270" name="Line 35">
          <a:extLst>
            <a:ext uri="{FF2B5EF4-FFF2-40B4-BE49-F238E27FC236}">
              <a16:creationId xmlns:a16="http://schemas.microsoft.com/office/drawing/2014/main" id="{4FDC8EFC-7540-4847-BCA9-EF252A6AC62E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6271" name="Line 36">
          <a:extLst>
            <a:ext uri="{FF2B5EF4-FFF2-40B4-BE49-F238E27FC236}">
              <a16:creationId xmlns:a16="http://schemas.microsoft.com/office/drawing/2014/main" id="{664A21EE-4758-43EF-AC38-5C385A79A429}"/>
            </a:ext>
          </a:extLst>
        </xdr:cNvPr>
        <xdr:cNvSpPr>
          <a:spLocks noChangeShapeType="1"/>
        </xdr:cNvSpPr>
      </xdr:nvSpPr>
      <xdr:spPr bwMode="auto">
        <a:xfrm flipV="1">
          <a:off x="103917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6272" name="Line 37">
          <a:extLst>
            <a:ext uri="{FF2B5EF4-FFF2-40B4-BE49-F238E27FC236}">
              <a16:creationId xmlns:a16="http://schemas.microsoft.com/office/drawing/2014/main" id="{C7DB5413-343D-4C04-AB9F-7816F030D345}"/>
            </a:ext>
          </a:extLst>
        </xdr:cNvPr>
        <xdr:cNvSpPr>
          <a:spLocks noChangeShapeType="1"/>
        </xdr:cNvSpPr>
      </xdr:nvSpPr>
      <xdr:spPr bwMode="auto">
        <a:xfrm>
          <a:off x="96297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6273" name="Line 38">
          <a:extLst>
            <a:ext uri="{FF2B5EF4-FFF2-40B4-BE49-F238E27FC236}">
              <a16:creationId xmlns:a16="http://schemas.microsoft.com/office/drawing/2014/main" id="{482767CD-F293-4A85-8F75-1D510ABE587E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6274" name="Line 39">
          <a:extLst>
            <a:ext uri="{FF2B5EF4-FFF2-40B4-BE49-F238E27FC236}">
              <a16:creationId xmlns:a16="http://schemas.microsoft.com/office/drawing/2014/main" id="{B6058E3E-DB64-4D9D-BDC1-35CFFD6BC6A8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6275" name="Line 40">
          <a:extLst>
            <a:ext uri="{FF2B5EF4-FFF2-40B4-BE49-F238E27FC236}">
              <a16:creationId xmlns:a16="http://schemas.microsoft.com/office/drawing/2014/main" id="{1BA37074-2CA2-4EC0-B50A-9786BDFEC607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6276" name="Line 41">
          <a:extLst>
            <a:ext uri="{FF2B5EF4-FFF2-40B4-BE49-F238E27FC236}">
              <a16:creationId xmlns:a16="http://schemas.microsoft.com/office/drawing/2014/main" id="{AFFF5CC4-EDA5-4D2C-B24B-C80858EDD8F7}"/>
            </a:ext>
          </a:extLst>
        </xdr:cNvPr>
        <xdr:cNvSpPr>
          <a:spLocks noChangeShapeType="1"/>
        </xdr:cNvSpPr>
      </xdr:nvSpPr>
      <xdr:spPr bwMode="auto">
        <a:xfrm>
          <a:off x="110585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6277" name="Line 42">
          <a:extLst>
            <a:ext uri="{FF2B5EF4-FFF2-40B4-BE49-F238E27FC236}">
              <a16:creationId xmlns:a16="http://schemas.microsoft.com/office/drawing/2014/main" id="{C4E8B5C2-41C3-47BD-9D67-221500FB0411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6278" name="Line 43">
          <a:extLst>
            <a:ext uri="{FF2B5EF4-FFF2-40B4-BE49-F238E27FC236}">
              <a16:creationId xmlns:a16="http://schemas.microsoft.com/office/drawing/2014/main" id="{7DCE9FF5-964A-4DCF-A275-1FA032E2AB59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6279" name="Line 44">
          <a:extLst>
            <a:ext uri="{FF2B5EF4-FFF2-40B4-BE49-F238E27FC236}">
              <a16:creationId xmlns:a16="http://schemas.microsoft.com/office/drawing/2014/main" id="{13010175-4028-4BFB-896C-CD43FA65E7C9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6280" name="Line 45">
          <a:extLst>
            <a:ext uri="{FF2B5EF4-FFF2-40B4-BE49-F238E27FC236}">
              <a16:creationId xmlns:a16="http://schemas.microsoft.com/office/drawing/2014/main" id="{3BD7F420-98A3-490E-9533-6F684D0EC15E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6281" name="Line 46">
          <a:extLst>
            <a:ext uri="{FF2B5EF4-FFF2-40B4-BE49-F238E27FC236}">
              <a16:creationId xmlns:a16="http://schemas.microsoft.com/office/drawing/2014/main" id="{4E027C66-F1D1-4246-8C9E-AABDA956659F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6282" name="Line 47">
          <a:extLst>
            <a:ext uri="{FF2B5EF4-FFF2-40B4-BE49-F238E27FC236}">
              <a16:creationId xmlns:a16="http://schemas.microsoft.com/office/drawing/2014/main" id="{0A7641D8-BF13-4C6D-9D68-60A5A92E1FE2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6283" name="Line 48">
          <a:extLst>
            <a:ext uri="{FF2B5EF4-FFF2-40B4-BE49-F238E27FC236}">
              <a16:creationId xmlns:a16="http://schemas.microsoft.com/office/drawing/2014/main" id="{449B9EEE-AD3A-4F22-A40A-2CCC998809FC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6284" name="Line 49">
          <a:extLst>
            <a:ext uri="{FF2B5EF4-FFF2-40B4-BE49-F238E27FC236}">
              <a16:creationId xmlns:a16="http://schemas.microsoft.com/office/drawing/2014/main" id="{BEB636CE-89D3-42A3-8A25-E19DD68CFB05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6285" name="Line 50">
          <a:extLst>
            <a:ext uri="{FF2B5EF4-FFF2-40B4-BE49-F238E27FC236}">
              <a16:creationId xmlns:a16="http://schemas.microsoft.com/office/drawing/2014/main" id="{E0F7DF8E-815F-4146-8B20-8F6DF3157D2C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6286" name="Line 51">
          <a:extLst>
            <a:ext uri="{FF2B5EF4-FFF2-40B4-BE49-F238E27FC236}">
              <a16:creationId xmlns:a16="http://schemas.microsoft.com/office/drawing/2014/main" id="{67DD94E2-E15B-4C62-9328-A03124BCEDBC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6287" name="Line 52">
          <a:extLst>
            <a:ext uri="{FF2B5EF4-FFF2-40B4-BE49-F238E27FC236}">
              <a16:creationId xmlns:a16="http://schemas.microsoft.com/office/drawing/2014/main" id="{32386B78-9BF3-4421-8AF1-3C6859A5CE92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6288" name="Line 53">
          <a:extLst>
            <a:ext uri="{FF2B5EF4-FFF2-40B4-BE49-F238E27FC236}">
              <a16:creationId xmlns:a16="http://schemas.microsoft.com/office/drawing/2014/main" id="{63CC0274-39CB-4F28-BE63-108CA14884C3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6289" name="Line 54">
          <a:extLst>
            <a:ext uri="{FF2B5EF4-FFF2-40B4-BE49-F238E27FC236}">
              <a16:creationId xmlns:a16="http://schemas.microsoft.com/office/drawing/2014/main" id="{7AB4A086-369C-4747-9147-43CDCED8E832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6290" name="Line 55">
          <a:extLst>
            <a:ext uri="{FF2B5EF4-FFF2-40B4-BE49-F238E27FC236}">
              <a16:creationId xmlns:a16="http://schemas.microsoft.com/office/drawing/2014/main" id="{DB4DDEBA-3AD1-49C1-BE38-454376702BF9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6291" name="Line 56">
          <a:extLst>
            <a:ext uri="{FF2B5EF4-FFF2-40B4-BE49-F238E27FC236}">
              <a16:creationId xmlns:a16="http://schemas.microsoft.com/office/drawing/2014/main" id="{CCBB53C2-5617-46A9-A39C-947EC26399B0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6292" name="Line 57">
          <a:extLst>
            <a:ext uri="{FF2B5EF4-FFF2-40B4-BE49-F238E27FC236}">
              <a16:creationId xmlns:a16="http://schemas.microsoft.com/office/drawing/2014/main" id="{DD14AA72-4E02-4669-8BBD-3056050710F3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6293" name="Line 58">
          <a:extLst>
            <a:ext uri="{FF2B5EF4-FFF2-40B4-BE49-F238E27FC236}">
              <a16:creationId xmlns:a16="http://schemas.microsoft.com/office/drawing/2014/main" id="{6741EE23-1E30-41A0-A36D-CE62FFDB2F47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6294" name="Line 59">
          <a:extLst>
            <a:ext uri="{FF2B5EF4-FFF2-40B4-BE49-F238E27FC236}">
              <a16:creationId xmlns:a16="http://schemas.microsoft.com/office/drawing/2014/main" id="{8BC5030F-72E6-410B-BFEE-4F4025942C89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6295" name="Line 60">
          <a:extLst>
            <a:ext uri="{FF2B5EF4-FFF2-40B4-BE49-F238E27FC236}">
              <a16:creationId xmlns:a16="http://schemas.microsoft.com/office/drawing/2014/main" id="{D742F122-C70F-479D-96A6-57F560C2BC8C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6296" name="Line 61">
          <a:extLst>
            <a:ext uri="{FF2B5EF4-FFF2-40B4-BE49-F238E27FC236}">
              <a16:creationId xmlns:a16="http://schemas.microsoft.com/office/drawing/2014/main" id="{0001A886-B17B-4883-9786-24C1A00178DE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6297" name="Line 62">
          <a:extLst>
            <a:ext uri="{FF2B5EF4-FFF2-40B4-BE49-F238E27FC236}">
              <a16:creationId xmlns:a16="http://schemas.microsoft.com/office/drawing/2014/main" id="{71CF3211-FDC5-4D6C-9F10-F2BABC5EA348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6298" name="Line 63">
          <a:extLst>
            <a:ext uri="{FF2B5EF4-FFF2-40B4-BE49-F238E27FC236}">
              <a16:creationId xmlns:a16="http://schemas.microsoft.com/office/drawing/2014/main" id="{57A1ADEF-1A36-4C11-BA3F-D927CE1113CD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6299" name="Line 64">
          <a:extLst>
            <a:ext uri="{FF2B5EF4-FFF2-40B4-BE49-F238E27FC236}">
              <a16:creationId xmlns:a16="http://schemas.microsoft.com/office/drawing/2014/main" id="{43A15450-425F-4842-B20A-4DE3FCF597A3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6300" name="Line 65">
          <a:extLst>
            <a:ext uri="{FF2B5EF4-FFF2-40B4-BE49-F238E27FC236}">
              <a16:creationId xmlns:a16="http://schemas.microsoft.com/office/drawing/2014/main" id="{D240809A-1A0E-49FA-94DF-582385FE4126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6301" name="Line 66">
          <a:extLst>
            <a:ext uri="{FF2B5EF4-FFF2-40B4-BE49-F238E27FC236}">
              <a16:creationId xmlns:a16="http://schemas.microsoft.com/office/drawing/2014/main" id="{5709C784-B1D4-4EB1-959B-90E1B6B2E55E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6302" name="Line 67">
          <a:extLst>
            <a:ext uri="{FF2B5EF4-FFF2-40B4-BE49-F238E27FC236}">
              <a16:creationId xmlns:a16="http://schemas.microsoft.com/office/drawing/2014/main" id="{7824BA6C-0470-4F4F-9658-7EC122271845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6303" name="Line 68">
          <a:extLst>
            <a:ext uri="{FF2B5EF4-FFF2-40B4-BE49-F238E27FC236}">
              <a16:creationId xmlns:a16="http://schemas.microsoft.com/office/drawing/2014/main" id="{1B4E59D9-08AE-4AB2-9DED-F7B2130B7842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6304" name="Line 69">
          <a:extLst>
            <a:ext uri="{FF2B5EF4-FFF2-40B4-BE49-F238E27FC236}">
              <a16:creationId xmlns:a16="http://schemas.microsoft.com/office/drawing/2014/main" id="{11290618-333E-4927-8B86-C777F122A9BC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6305" name="Line 70">
          <a:extLst>
            <a:ext uri="{FF2B5EF4-FFF2-40B4-BE49-F238E27FC236}">
              <a16:creationId xmlns:a16="http://schemas.microsoft.com/office/drawing/2014/main" id="{CF2C4B89-EC41-4BDA-A940-D69053A41385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6306" name="Line 71">
          <a:extLst>
            <a:ext uri="{FF2B5EF4-FFF2-40B4-BE49-F238E27FC236}">
              <a16:creationId xmlns:a16="http://schemas.microsoft.com/office/drawing/2014/main" id="{AB8DA61B-4EDF-42B5-A079-F7B8E1D424C1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6307" name="Line 72">
          <a:extLst>
            <a:ext uri="{FF2B5EF4-FFF2-40B4-BE49-F238E27FC236}">
              <a16:creationId xmlns:a16="http://schemas.microsoft.com/office/drawing/2014/main" id="{61F6D0A3-246B-4BC7-940A-DC2B9B90B37E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6308" name="Line 73">
          <a:extLst>
            <a:ext uri="{FF2B5EF4-FFF2-40B4-BE49-F238E27FC236}">
              <a16:creationId xmlns:a16="http://schemas.microsoft.com/office/drawing/2014/main" id="{14444CB5-2FA9-4A32-8AB0-78795BFE391F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6309" name="Line 74">
          <a:extLst>
            <a:ext uri="{FF2B5EF4-FFF2-40B4-BE49-F238E27FC236}">
              <a16:creationId xmlns:a16="http://schemas.microsoft.com/office/drawing/2014/main" id="{63624421-5040-46B4-A22C-57D27AB233A7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6310" name="Line 75">
          <a:extLst>
            <a:ext uri="{FF2B5EF4-FFF2-40B4-BE49-F238E27FC236}">
              <a16:creationId xmlns:a16="http://schemas.microsoft.com/office/drawing/2014/main" id="{8AA557E1-7B77-499F-B9B7-25BE483F55DB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6311" name="Line 76">
          <a:extLst>
            <a:ext uri="{FF2B5EF4-FFF2-40B4-BE49-F238E27FC236}">
              <a16:creationId xmlns:a16="http://schemas.microsoft.com/office/drawing/2014/main" id="{E12E9095-3817-44A7-BCEA-B9E39D7B55A0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6312" name="Line 77">
          <a:extLst>
            <a:ext uri="{FF2B5EF4-FFF2-40B4-BE49-F238E27FC236}">
              <a16:creationId xmlns:a16="http://schemas.microsoft.com/office/drawing/2014/main" id="{A1DD053C-A8DC-4845-8DAE-427E12019A3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6313" name="Line 78">
          <a:extLst>
            <a:ext uri="{FF2B5EF4-FFF2-40B4-BE49-F238E27FC236}">
              <a16:creationId xmlns:a16="http://schemas.microsoft.com/office/drawing/2014/main" id="{D1764793-B61A-420D-90D9-BF5F62896581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6314" name="Line 79">
          <a:extLst>
            <a:ext uri="{FF2B5EF4-FFF2-40B4-BE49-F238E27FC236}">
              <a16:creationId xmlns:a16="http://schemas.microsoft.com/office/drawing/2014/main" id="{D224C16A-242C-4BA9-9D6D-E3A82A6E712D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6315" name="Line 80">
          <a:extLst>
            <a:ext uri="{FF2B5EF4-FFF2-40B4-BE49-F238E27FC236}">
              <a16:creationId xmlns:a16="http://schemas.microsoft.com/office/drawing/2014/main" id="{0C79C672-3FDC-433C-90B5-E3D95585BC63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6316" name="Line 81">
          <a:extLst>
            <a:ext uri="{FF2B5EF4-FFF2-40B4-BE49-F238E27FC236}">
              <a16:creationId xmlns:a16="http://schemas.microsoft.com/office/drawing/2014/main" id="{4018F58A-34F4-4692-8241-8EA50FE096E6}"/>
            </a:ext>
          </a:extLst>
        </xdr:cNvPr>
        <xdr:cNvSpPr>
          <a:spLocks noChangeShapeType="1"/>
        </xdr:cNvSpPr>
      </xdr:nvSpPr>
      <xdr:spPr bwMode="auto">
        <a:xfrm>
          <a:off x="96297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6317" name="Line 82">
          <a:extLst>
            <a:ext uri="{FF2B5EF4-FFF2-40B4-BE49-F238E27FC236}">
              <a16:creationId xmlns:a16="http://schemas.microsoft.com/office/drawing/2014/main" id="{B80BA6F5-DC4B-4DCE-95A8-45A7A3452546}"/>
            </a:ext>
          </a:extLst>
        </xdr:cNvPr>
        <xdr:cNvSpPr>
          <a:spLocks noChangeShapeType="1"/>
        </xdr:cNvSpPr>
      </xdr:nvSpPr>
      <xdr:spPr bwMode="auto">
        <a:xfrm>
          <a:off x="96297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6318" name="Line 83">
          <a:extLst>
            <a:ext uri="{FF2B5EF4-FFF2-40B4-BE49-F238E27FC236}">
              <a16:creationId xmlns:a16="http://schemas.microsoft.com/office/drawing/2014/main" id="{C6514EE9-7CB6-4857-BB47-9106D64A3DEA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6319" name="Line 84">
          <a:extLst>
            <a:ext uri="{FF2B5EF4-FFF2-40B4-BE49-F238E27FC236}">
              <a16:creationId xmlns:a16="http://schemas.microsoft.com/office/drawing/2014/main" id="{8B0EDB52-9847-4E1A-961B-E36F008BB70B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6320" name="Line 85">
          <a:extLst>
            <a:ext uri="{FF2B5EF4-FFF2-40B4-BE49-F238E27FC236}">
              <a16:creationId xmlns:a16="http://schemas.microsoft.com/office/drawing/2014/main" id="{BBF6C2A8-B725-4A64-8D0C-0C550E5DDC19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6321" name="Line 86">
          <a:extLst>
            <a:ext uri="{FF2B5EF4-FFF2-40B4-BE49-F238E27FC236}">
              <a16:creationId xmlns:a16="http://schemas.microsoft.com/office/drawing/2014/main" id="{A5B1783A-4BF2-4475-BDF4-7A2735E625DA}"/>
            </a:ext>
          </a:extLst>
        </xdr:cNvPr>
        <xdr:cNvSpPr>
          <a:spLocks noChangeShapeType="1"/>
        </xdr:cNvSpPr>
      </xdr:nvSpPr>
      <xdr:spPr bwMode="auto">
        <a:xfrm>
          <a:off x="96297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6322" name="Line 87">
          <a:extLst>
            <a:ext uri="{FF2B5EF4-FFF2-40B4-BE49-F238E27FC236}">
              <a16:creationId xmlns:a16="http://schemas.microsoft.com/office/drawing/2014/main" id="{2DF9289F-D2E3-4073-BEA6-A431E80676A0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6323" name="Line 88">
          <a:extLst>
            <a:ext uri="{FF2B5EF4-FFF2-40B4-BE49-F238E27FC236}">
              <a16:creationId xmlns:a16="http://schemas.microsoft.com/office/drawing/2014/main" id="{00E54C82-98E2-4C9A-BC21-BA3F3A139BC7}"/>
            </a:ext>
          </a:extLst>
        </xdr:cNvPr>
        <xdr:cNvSpPr>
          <a:spLocks noChangeShapeType="1"/>
        </xdr:cNvSpPr>
      </xdr:nvSpPr>
      <xdr:spPr bwMode="auto">
        <a:xfrm>
          <a:off x="96297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6324" name="Line 89">
          <a:extLst>
            <a:ext uri="{FF2B5EF4-FFF2-40B4-BE49-F238E27FC236}">
              <a16:creationId xmlns:a16="http://schemas.microsoft.com/office/drawing/2014/main" id="{759B328C-8AF8-49D4-BAF1-166261DC6CBC}"/>
            </a:ext>
          </a:extLst>
        </xdr:cNvPr>
        <xdr:cNvSpPr>
          <a:spLocks noChangeShapeType="1"/>
        </xdr:cNvSpPr>
      </xdr:nvSpPr>
      <xdr:spPr bwMode="auto">
        <a:xfrm>
          <a:off x="9629775" y="11287125"/>
          <a:ext cx="2981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6325" name="Line 90">
          <a:extLst>
            <a:ext uri="{FF2B5EF4-FFF2-40B4-BE49-F238E27FC236}">
              <a16:creationId xmlns:a16="http://schemas.microsoft.com/office/drawing/2014/main" id="{E0A96A84-6C55-4466-AC70-2584E7DBDCA0}"/>
            </a:ext>
          </a:extLst>
        </xdr:cNvPr>
        <xdr:cNvSpPr>
          <a:spLocks noChangeShapeType="1"/>
        </xdr:cNvSpPr>
      </xdr:nvSpPr>
      <xdr:spPr bwMode="auto">
        <a:xfrm>
          <a:off x="97440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6326" name="Line 91">
          <a:extLst>
            <a:ext uri="{FF2B5EF4-FFF2-40B4-BE49-F238E27FC236}">
              <a16:creationId xmlns:a16="http://schemas.microsoft.com/office/drawing/2014/main" id="{F93B0975-2016-4F82-B70D-33B246EAC237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6327" name="Line 92">
          <a:extLst>
            <a:ext uri="{FF2B5EF4-FFF2-40B4-BE49-F238E27FC236}">
              <a16:creationId xmlns:a16="http://schemas.microsoft.com/office/drawing/2014/main" id="{D3FD8F59-C40D-465B-975B-5B373BF8908B}"/>
            </a:ext>
          </a:extLst>
        </xdr:cNvPr>
        <xdr:cNvSpPr>
          <a:spLocks noChangeShapeType="1"/>
        </xdr:cNvSpPr>
      </xdr:nvSpPr>
      <xdr:spPr bwMode="auto">
        <a:xfrm flipV="1">
          <a:off x="96297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6328" name="Line 93">
          <a:extLst>
            <a:ext uri="{FF2B5EF4-FFF2-40B4-BE49-F238E27FC236}">
              <a16:creationId xmlns:a16="http://schemas.microsoft.com/office/drawing/2014/main" id="{EFBAD356-BCC5-4A47-AA37-7F4D72CD84AA}"/>
            </a:ext>
          </a:extLst>
        </xdr:cNvPr>
        <xdr:cNvSpPr>
          <a:spLocks noChangeShapeType="1"/>
        </xdr:cNvSpPr>
      </xdr:nvSpPr>
      <xdr:spPr bwMode="auto">
        <a:xfrm>
          <a:off x="97440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6329" name="Line 94">
          <a:extLst>
            <a:ext uri="{FF2B5EF4-FFF2-40B4-BE49-F238E27FC236}">
              <a16:creationId xmlns:a16="http://schemas.microsoft.com/office/drawing/2014/main" id="{C5C8BD03-F39D-4B25-8311-801782DDB349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6330" name="Line 95">
          <a:extLst>
            <a:ext uri="{FF2B5EF4-FFF2-40B4-BE49-F238E27FC236}">
              <a16:creationId xmlns:a16="http://schemas.microsoft.com/office/drawing/2014/main" id="{0AE1C903-C7BB-4627-AC36-CC71C8E2019E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6331" name="Line 96">
          <a:extLst>
            <a:ext uri="{FF2B5EF4-FFF2-40B4-BE49-F238E27FC236}">
              <a16:creationId xmlns:a16="http://schemas.microsoft.com/office/drawing/2014/main" id="{5C521DC6-CD72-4C82-ADB7-DE86580B0961}"/>
            </a:ext>
          </a:extLst>
        </xdr:cNvPr>
        <xdr:cNvSpPr>
          <a:spLocks noChangeShapeType="1"/>
        </xdr:cNvSpPr>
      </xdr:nvSpPr>
      <xdr:spPr bwMode="auto">
        <a:xfrm>
          <a:off x="96297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6332" name="Line 97">
          <a:extLst>
            <a:ext uri="{FF2B5EF4-FFF2-40B4-BE49-F238E27FC236}">
              <a16:creationId xmlns:a16="http://schemas.microsoft.com/office/drawing/2014/main" id="{A8266B2D-D7E0-49E6-AC13-0DC716246B26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6333" name="Line 98">
          <a:extLst>
            <a:ext uri="{FF2B5EF4-FFF2-40B4-BE49-F238E27FC236}">
              <a16:creationId xmlns:a16="http://schemas.microsoft.com/office/drawing/2014/main" id="{39B71B05-17B7-4C47-A17C-3A0518A53E53}"/>
            </a:ext>
          </a:extLst>
        </xdr:cNvPr>
        <xdr:cNvSpPr>
          <a:spLocks noChangeShapeType="1"/>
        </xdr:cNvSpPr>
      </xdr:nvSpPr>
      <xdr:spPr bwMode="auto">
        <a:xfrm flipV="1">
          <a:off x="96297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6334" name="Line 99">
          <a:extLst>
            <a:ext uri="{FF2B5EF4-FFF2-40B4-BE49-F238E27FC236}">
              <a16:creationId xmlns:a16="http://schemas.microsoft.com/office/drawing/2014/main" id="{503C6DCC-D301-4F9F-889A-6DE0FA571B8F}"/>
            </a:ext>
          </a:extLst>
        </xdr:cNvPr>
        <xdr:cNvSpPr>
          <a:spLocks noChangeShapeType="1"/>
        </xdr:cNvSpPr>
      </xdr:nvSpPr>
      <xdr:spPr bwMode="auto">
        <a:xfrm>
          <a:off x="103917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6335" name="Line 100">
          <a:extLst>
            <a:ext uri="{FF2B5EF4-FFF2-40B4-BE49-F238E27FC236}">
              <a16:creationId xmlns:a16="http://schemas.microsoft.com/office/drawing/2014/main" id="{0326B30E-AED1-4BD2-830D-A37B01347909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0672" name="Line 101">
          <a:extLst>
            <a:ext uri="{FF2B5EF4-FFF2-40B4-BE49-F238E27FC236}">
              <a16:creationId xmlns:a16="http://schemas.microsoft.com/office/drawing/2014/main" id="{53575963-FF91-412B-A758-39778A27C8A2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0673" name="Line 102">
          <a:extLst>
            <a:ext uri="{FF2B5EF4-FFF2-40B4-BE49-F238E27FC236}">
              <a16:creationId xmlns:a16="http://schemas.microsoft.com/office/drawing/2014/main" id="{8A472503-AEED-43D4-A39F-AA66965D1985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0674" name="Line 103">
          <a:extLst>
            <a:ext uri="{FF2B5EF4-FFF2-40B4-BE49-F238E27FC236}">
              <a16:creationId xmlns:a16="http://schemas.microsoft.com/office/drawing/2014/main" id="{516B0A34-9D44-4025-9E91-55C64DE0952D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0675" name="Line 104">
          <a:extLst>
            <a:ext uri="{FF2B5EF4-FFF2-40B4-BE49-F238E27FC236}">
              <a16:creationId xmlns:a16="http://schemas.microsoft.com/office/drawing/2014/main" id="{4E3563BD-4014-4617-A43B-36E21ECADDA3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0676" name="Line 105">
          <a:extLst>
            <a:ext uri="{FF2B5EF4-FFF2-40B4-BE49-F238E27FC236}">
              <a16:creationId xmlns:a16="http://schemas.microsoft.com/office/drawing/2014/main" id="{A884569A-E8C3-4D67-AD05-1D027D596B97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0677" name="Line 106">
          <a:extLst>
            <a:ext uri="{FF2B5EF4-FFF2-40B4-BE49-F238E27FC236}">
              <a16:creationId xmlns:a16="http://schemas.microsoft.com/office/drawing/2014/main" id="{95567277-249E-488E-9D25-DD2EF3585756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0678" name="Line 107">
          <a:extLst>
            <a:ext uri="{FF2B5EF4-FFF2-40B4-BE49-F238E27FC236}">
              <a16:creationId xmlns:a16="http://schemas.microsoft.com/office/drawing/2014/main" id="{87A27BD5-3FE8-4492-AC46-2875FBD44948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0679" name="Line 108">
          <a:extLst>
            <a:ext uri="{FF2B5EF4-FFF2-40B4-BE49-F238E27FC236}">
              <a16:creationId xmlns:a16="http://schemas.microsoft.com/office/drawing/2014/main" id="{C7E489BE-DB9B-4AD2-B385-B04163B29926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0680" name="Line 109">
          <a:extLst>
            <a:ext uri="{FF2B5EF4-FFF2-40B4-BE49-F238E27FC236}">
              <a16:creationId xmlns:a16="http://schemas.microsoft.com/office/drawing/2014/main" id="{07C1E2E3-880D-46CC-9328-626F3CBC7A52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0681" name="Line 110">
          <a:extLst>
            <a:ext uri="{FF2B5EF4-FFF2-40B4-BE49-F238E27FC236}">
              <a16:creationId xmlns:a16="http://schemas.microsoft.com/office/drawing/2014/main" id="{1164E58D-6CB1-46C6-B981-DE3ED6685750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0682" name="Line 111">
          <a:extLst>
            <a:ext uri="{FF2B5EF4-FFF2-40B4-BE49-F238E27FC236}">
              <a16:creationId xmlns:a16="http://schemas.microsoft.com/office/drawing/2014/main" id="{2D18028C-00BE-44BA-9E07-13AF6F62EE3D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0683" name="Line 112">
          <a:extLst>
            <a:ext uri="{FF2B5EF4-FFF2-40B4-BE49-F238E27FC236}">
              <a16:creationId xmlns:a16="http://schemas.microsoft.com/office/drawing/2014/main" id="{433859A5-5573-4F3D-8CDD-13EC9B5751F2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0684" name="Line 113">
          <a:extLst>
            <a:ext uri="{FF2B5EF4-FFF2-40B4-BE49-F238E27FC236}">
              <a16:creationId xmlns:a16="http://schemas.microsoft.com/office/drawing/2014/main" id="{9A588540-6E02-4B0F-93F0-E11A903D2AFE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0685" name="Line 114">
          <a:extLst>
            <a:ext uri="{FF2B5EF4-FFF2-40B4-BE49-F238E27FC236}">
              <a16:creationId xmlns:a16="http://schemas.microsoft.com/office/drawing/2014/main" id="{56C65A27-26FE-4EA9-82A4-AD2682A7237F}"/>
            </a:ext>
          </a:extLst>
        </xdr:cNvPr>
        <xdr:cNvSpPr>
          <a:spLocks noChangeShapeType="1"/>
        </xdr:cNvSpPr>
      </xdr:nvSpPr>
      <xdr:spPr bwMode="auto">
        <a:xfrm flipV="1">
          <a:off x="96297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6098" name="Line 1">
          <a:extLst>
            <a:ext uri="{FF2B5EF4-FFF2-40B4-BE49-F238E27FC236}">
              <a16:creationId xmlns:a16="http://schemas.microsoft.com/office/drawing/2014/main" id="{0ADAB8CF-80F0-463D-A5F2-1A33C2D9301B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6099" name="Line 2">
          <a:extLst>
            <a:ext uri="{FF2B5EF4-FFF2-40B4-BE49-F238E27FC236}">
              <a16:creationId xmlns:a16="http://schemas.microsoft.com/office/drawing/2014/main" id="{49DB6E1A-3F98-4ADD-AE06-7FE7E1242C4F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6100" name="Line 3">
          <a:extLst>
            <a:ext uri="{FF2B5EF4-FFF2-40B4-BE49-F238E27FC236}">
              <a16:creationId xmlns:a16="http://schemas.microsoft.com/office/drawing/2014/main" id="{334F4D6A-7341-4A19-AF76-78DEE2762D2D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6101" name="Line 4">
          <a:extLst>
            <a:ext uri="{FF2B5EF4-FFF2-40B4-BE49-F238E27FC236}">
              <a16:creationId xmlns:a16="http://schemas.microsoft.com/office/drawing/2014/main" id="{B1834BB7-DD40-48B5-94D4-AD14F8CDA380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6102" name="Line 5">
          <a:extLst>
            <a:ext uri="{FF2B5EF4-FFF2-40B4-BE49-F238E27FC236}">
              <a16:creationId xmlns:a16="http://schemas.microsoft.com/office/drawing/2014/main" id="{5035FCB8-A535-4B53-8193-7596D9144164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6103" name="Line 6">
          <a:extLst>
            <a:ext uri="{FF2B5EF4-FFF2-40B4-BE49-F238E27FC236}">
              <a16:creationId xmlns:a16="http://schemas.microsoft.com/office/drawing/2014/main" id="{09B4EE77-1CA0-457B-8632-7004A219B80F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6104" name="Line 7">
          <a:extLst>
            <a:ext uri="{FF2B5EF4-FFF2-40B4-BE49-F238E27FC236}">
              <a16:creationId xmlns:a16="http://schemas.microsoft.com/office/drawing/2014/main" id="{A0EBD7D7-119F-4697-BE92-64B7FA6F8C64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6105" name="Line 8">
          <a:extLst>
            <a:ext uri="{FF2B5EF4-FFF2-40B4-BE49-F238E27FC236}">
              <a16:creationId xmlns:a16="http://schemas.microsoft.com/office/drawing/2014/main" id="{90D1E706-7B97-4574-AEC6-94FAB782DD17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6106" name="Line 9">
          <a:extLst>
            <a:ext uri="{FF2B5EF4-FFF2-40B4-BE49-F238E27FC236}">
              <a16:creationId xmlns:a16="http://schemas.microsoft.com/office/drawing/2014/main" id="{11F62CAF-9D5A-4FB9-B1D0-C3B567A4F4D8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6107" name="Line 10">
          <a:extLst>
            <a:ext uri="{FF2B5EF4-FFF2-40B4-BE49-F238E27FC236}">
              <a16:creationId xmlns:a16="http://schemas.microsoft.com/office/drawing/2014/main" id="{F6C7814F-10B1-43FA-8855-AE500632012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6108" name="Line 11">
          <a:extLst>
            <a:ext uri="{FF2B5EF4-FFF2-40B4-BE49-F238E27FC236}">
              <a16:creationId xmlns:a16="http://schemas.microsoft.com/office/drawing/2014/main" id="{A5F94A55-08E5-4AD7-9B85-60226C79ABFC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6109" name="Line 12">
          <a:extLst>
            <a:ext uri="{FF2B5EF4-FFF2-40B4-BE49-F238E27FC236}">
              <a16:creationId xmlns:a16="http://schemas.microsoft.com/office/drawing/2014/main" id="{6836C6F1-C0E4-4F67-AA14-5FC82E5516F8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6110" name="Line 13">
          <a:extLst>
            <a:ext uri="{FF2B5EF4-FFF2-40B4-BE49-F238E27FC236}">
              <a16:creationId xmlns:a16="http://schemas.microsoft.com/office/drawing/2014/main" id="{8E95E46D-28B5-4C9A-BAAA-8B32411E7181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6111" name="Line 14">
          <a:extLst>
            <a:ext uri="{FF2B5EF4-FFF2-40B4-BE49-F238E27FC236}">
              <a16:creationId xmlns:a16="http://schemas.microsoft.com/office/drawing/2014/main" id="{AB441975-27E8-426D-9829-8F440F765D92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6112" name="Line 15">
          <a:extLst>
            <a:ext uri="{FF2B5EF4-FFF2-40B4-BE49-F238E27FC236}">
              <a16:creationId xmlns:a16="http://schemas.microsoft.com/office/drawing/2014/main" id="{0326C1C6-7085-456F-BF4B-DAAD778E07F3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6113" name="Line 16">
          <a:extLst>
            <a:ext uri="{FF2B5EF4-FFF2-40B4-BE49-F238E27FC236}">
              <a16:creationId xmlns:a16="http://schemas.microsoft.com/office/drawing/2014/main" id="{38F871AD-3E07-405E-A701-93D1CE5DC25C}"/>
            </a:ext>
          </a:extLst>
        </xdr:cNvPr>
        <xdr:cNvSpPr>
          <a:spLocks noChangeShapeType="1"/>
        </xdr:cNvSpPr>
      </xdr:nvSpPr>
      <xdr:spPr bwMode="auto">
        <a:xfrm>
          <a:off x="10429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6114" name="Line 17">
          <a:extLst>
            <a:ext uri="{FF2B5EF4-FFF2-40B4-BE49-F238E27FC236}">
              <a16:creationId xmlns:a16="http://schemas.microsoft.com/office/drawing/2014/main" id="{0F1B0630-3E84-4525-94D2-DCB3DE9D9A1B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6115" name="Line 18">
          <a:extLst>
            <a:ext uri="{FF2B5EF4-FFF2-40B4-BE49-F238E27FC236}">
              <a16:creationId xmlns:a16="http://schemas.microsoft.com/office/drawing/2014/main" id="{A29F0E6C-5989-4896-891D-6481E3C9FA0E}"/>
            </a:ext>
          </a:extLst>
        </xdr:cNvPr>
        <xdr:cNvSpPr>
          <a:spLocks noChangeShapeType="1"/>
        </xdr:cNvSpPr>
      </xdr:nvSpPr>
      <xdr:spPr bwMode="auto">
        <a:xfrm>
          <a:off x="10429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6116" name="Line 19">
          <a:extLst>
            <a:ext uri="{FF2B5EF4-FFF2-40B4-BE49-F238E27FC236}">
              <a16:creationId xmlns:a16="http://schemas.microsoft.com/office/drawing/2014/main" id="{27C26BDB-74F7-43C7-B882-32CEBFB17C88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6117" name="Line 20">
          <a:extLst>
            <a:ext uri="{FF2B5EF4-FFF2-40B4-BE49-F238E27FC236}">
              <a16:creationId xmlns:a16="http://schemas.microsoft.com/office/drawing/2014/main" id="{51954DB8-9597-45B1-B2BD-AAF1E84B5C58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6118" name="Line 21">
          <a:extLst>
            <a:ext uri="{FF2B5EF4-FFF2-40B4-BE49-F238E27FC236}">
              <a16:creationId xmlns:a16="http://schemas.microsoft.com/office/drawing/2014/main" id="{0BF084F2-8647-4DD0-A4AF-309942FAFA79}"/>
            </a:ext>
          </a:extLst>
        </xdr:cNvPr>
        <xdr:cNvSpPr>
          <a:spLocks noChangeShapeType="1"/>
        </xdr:cNvSpPr>
      </xdr:nvSpPr>
      <xdr:spPr bwMode="auto">
        <a:xfrm>
          <a:off x="10429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6119" name="Line 22">
          <a:extLst>
            <a:ext uri="{FF2B5EF4-FFF2-40B4-BE49-F238E27FC236}">
              <a16:creationId xmlns:a16="http://schemas.microsoft.com/office/drawing/2014/main" id="{38B10C32-53D9-4B62-A27C-4AB1C41C2FD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6120" name="Line 23">
          <a:extLst>
            <a:ext uri="{FF2B5EF4-FFF2-40B4-BE49-F238E27FC236}">
              <a16:creationId xmlns:a16="http://schemas.microsoft.com/office/drawing/2014/main" id="{9DE6D97D-6399-4070-A659-A90E86B4A07E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6121" name="Line 24">
          <a:extLst>
            <a:ext uri="{FF2B5EF4-FFF2-40B4-BE49-F238E27FC236}">
              <a16:creationId xmlns:a16="http://schemas.microsoft.com/office/drawing/2014/main" id="{38D99B53-1A9A-4394-95D8-029DB752AB7C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6122" name="Line 25">
          <a:extLst>
            <a:ext uri="{FF2B5EF4-FFF2-40B4-BE49-F238E27FC236}">
              <a16:creationId xmlns:a16="http://schemas.microsoft.com/office/drawing/2014/main" id="{C4876638-BA8B-4928-BB4E-5C1416400DC9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6123" name="Line 26">
          <a:extLst>
            <a:ext uri="{FF2B5EF4-FFF2-40B4-BE49-F238E27FC236}">
              <a16:creationId xmlns:a16="http://schemas.microsoft.com/office/drawing/2014/main" id="{58A829BC-4C17-4DC4-8D4C-1C7BDB02122F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6124" name="Line 27">
          <a:extLst>
            <a:ext uri="{FF2B5EF4-FFF2-40B4-BE49-F238E27FC236}">
              <a16:creationId xmlns:a16="http://schemas.microsoft.com/office/drawing/2014/main" id="{627F30A6-F725-476F-A05D-4E335F1AE0C7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6125" name="Line 28">
          <a:extLst>
            <a:ext uri="{FF2B5EF4-FFF2-40B4-BE49-F238E27FC236}">
              <a16:creationId xmlns:a16="http://schemas.microsoft.com/office/drawing/2014/main" id="{C5617635-8EEC-440B-85DA-AF8BE3AD6ADB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6126" name="Line 29">
          <a:extLst>
            <a:ext uri="{FF2B5EF4-FFF2-40B4-BE49-F238E27FC236}">
              <a16:creationId xmlns:a16="http://schemas.microsoft.com/office/drawing/2014/main" id="{B2BB4DB6-F73C-4B23-9453-CF19EEB7245D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6127" name="Line 30">
          <a:extLst>
            <a:ext uri="{FF2B5EF4-FFF2-40B4-BE49-F238E27FC236}">
              <a16:creationId xmlns:a16="http://schemas.microsoft.com/office/drawing/2014/main" id="{54222BCB-8428-4D2F-B360-1E1825706E3E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6128" name="Line 31">
          <a:extLst>
            <a:ext uri="{FF2B5EF4-FFF2-40B4-BE49-F238E27FC236}">
              <a16:creationId xmlns:a16="http://schemas.microsoft.com/office/drawing/2014/main" id="{2B305118-46E0-4E18-932D-576AF576E1DB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6129" name="Line 32">
          <a:extLst>
            <a:ext uri="{FF2B5EF4-FFF2-40B4-BE49-F238E27FC236}">
              <a16:creationId xmlns:a16="http://schemas.microsoft.com/office/drawing/2014/main" id="{2E2AA4C0-6EF1-4AA4-9488-47548E9A5B3B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6130" name="Line 33">
          <a:extLst>
            <a:ext uri="{FF2B5EF4-FFF2-40B4-BE49-F238E27FC236}">
              <a16:creationId xmlns:a16="http://schemas.microsoft.com/office/drawing/2014/main" id="{A393072E-F8E2-49E4-B4AE-005958895C38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6131" name="Line 34">
          <a:extLst>
            <a:ext uri="{FF2B5EF4-FFF2-40B4-BE49-F238E27FC236}">
              <a16:creationId xmlns:a16="http://schemas.microsoft.com/office/drawing/2014/main" id="{ABC96FD2-A189-483B-9141-57EAA9BFC266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6132" name="Line 35">
          <a:extLst>
            <a:ext uri="{FF2B5EF4-FFF2-40B4-BE49-F238E27FC236}">
              <a16:creationId xmlns:a16="http://schemas.microsoft.com/office/drawing/2014/main" id="{BAC6C051-BD8C-454B-B6A0-F163B4D06486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6133" name="Line 36">
          <a:extLst>
            <a:ext uri="{FF2B5EF4-FFF2-40B4-BE49-F238E27FC236}">
              <a16:creationId xmlns:a16="http://schemas.microsoft.com/office/drawing/2014/main" id="{09AFA195-8A86-4656-942C-BD67F6FB9C00}"/>
            </a:ext>
          </a:extLst>
        </xdr:cNvPr>
        <xdr:cNvSpPr>
          <a:spLocks noChangeShapeType="1"/>
        </xdr:cNvSpPr>
      </xdr:nvSpPr>
      <xdr:spPr bwMode="auto">
        <a:xfrm flipV="1">
          <a:off x="10429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6134" name="Line 37">
          <a:extLst>
            <a:ext uri="{FF2B5EF4-FFF2-40B4-BE49-F238E27FC236}">
              <a16:creationId xmlns:a16="http://schemas.microsoft.com/office/drawing/2014/main" id="{DD381297-5BBB-43AB-81D8-57E14D6D27BA}"/>
            </a:ext>
          </a:extLst>
        </xdr:cNvPr>
        <xdr:cNvSpPr>
          <a:spLocks noChangeShapeType="1"/>
        </xdr:cNvSpPr>
      </xdr:nvSpPr>
      <xdr:spPr bwMode="auto">
        <a:xfrm flipV="1">
          <a:off x="9782175" y="5562600"/>
          <a:ext cx="1314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6135" name="Line 38">
          <a:extLst>
            <a:ext uri="{FF2B5EF4-FFF2-40B4-BE49-F238E27FC236}">
              <a16:creationId xmlns:a16="http://schemas.microsoft.com/office/drawing/2014/main" id="{18F3BC9D-F43F-41D7-B674-C7E7C067542C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6136" name="Line 39">
          <a:extLst>
            <a:ext uri="{FF2B5EF4-FFF2-40B4-BE49-F238E27FC236}">
              <a16:creationId xmlns:a16="http://schemas.microsoft.com/office/drawing/2014/main" id="{4E7B84C5-BC41-4AED-BA46-D8F8A5CB2366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6137" name="Line 40">
          <a:extLst>
            <a:ext uri="{FF2B5EF4-FFF2-40B4-BE49-F238E27FC236}">
              <a16:creationId xmlns:a16="http://schemas.microsoft.com/office/drawing/2014/main" id="{B8B979C2-37AF-4506-9ED7-0D64A064BFC7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6138" name="Line 41">
          <a:extLst>
            <a:ext uri="{FF2B5EF4-FFF2-40B4-BE49-F238E27FC236}">
              <a16:creationId xmlns:a16="http://schemas.microsoft.com/office/drawing/2014/main" id="{EEE6D169-1419-4337-A3D9-3DDD1C233CEE}"/>
            </a:ext>
          </a:extLst>
        </xdr:cNvPr>
        <xdr:cNvSpPr>
          <a:spLocks noChangeShapeType="1"/>
        </xdr:cNvSpPr>
      </xdr:nvSpPr>
      <xdr:spPr bwMode="auto">
        <a:xfrm>
          <a:off x="110966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6139" name="Line 42">
          <a:extLst>
            <a:ext uri="{FF2B5EF4-FFF2-40B4-BE49-F238E27FC236}">
              <a16:creationId xmlns:a16="http://schemas.microsoft.com/office/drawing/2014/main" id="{0DFFA665-ECA2-4930-AE05-95ECE91C3DBD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6140" name="Line 43">
          <a:extLst>
            <a:ext uri="{FF2B5EF4-FFF2-40B4-BE49-F238E27FC236}">
              <a16:creationId xmlns:a16="http://schemas.microsoft.com/office/drawing/2014/main" id="{7E696C44-503F-4688-993C-99019EC26CF2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6141" name="Line 44">
          <a:extLst>
            <a:ext uri="{FF2B5EF4-FFF2-40B4-BE49-F238E27FC236}">
              <a16:creationId xmlns:a16="http://schemas.microsoft.com/office/drawing/2014/main" id="{4EC1C568-4F57-47BF-83E6-56E60B4BEAC5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6142" name="Line 45">
          <a:extLst>
            <a:ext uri="{FF2B5EF4-FFF2-40B4-BE49-F238E27FC236}">
              <a16:creationId xmlns:a16="http://schemas.microsoft.com/office/drawing/2014/main" id="{19E49738-3462-4CF5-B3AC-48F9B5EA4C1F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6143" name="Line 46">
          <a:extLst>
            <a:ext uri="{FF2B5EF4-FFF2-40B4-BE49-F238E27FC236}">
              <a16:creationId xmlns:a16="http://schemas.microsoft.com/office/drawing/2014/main" id="{8925564D-6BE1-42E1-802A-A165951EAADD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6144" name="Line 47">
          <a:extLst>
            <a:ext uri="{FF2B5EF4-FFF2-40B4-BE49-F238E27FC236}">
              <a16:creationId xmlns:a16="http://schemas.microsoft.com/office/drawing/2014/main" id="{3283E4AF-CAE6-4FBF-9C7A-4DCB535C99FC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6145" name="Line 48">
          <a:extLst>
            <a:ext uri="{FF2B5EF4-FFF2-40B4-BE49-F238E27FC236}">
              <a16:creationId xmlns:a16="http://schemas.microsoft.com/office/drawing/2014/main" id="{4AD3FB08-06E8-488C-AF04-A916CCA438BA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6146" name="Line 49">
          <a:extLst>
            <a:ext uri="{FF2B5EF4-FFF2-40B4-BE49-F238E27FC236}">
              <a16:creationId xmlns:a16="http://schemas.microsoft.com/office/drawing/2014/main" id="{5A8D5DF5-B555-491D-8922-6A53EFE0E50A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6147" name="Line 50">
          <a:extLst>
            <a:ext uri="{FF2B5EF4-FFF2-40B4-BE49-F238E27FC236}">
              <a16:creationId xmlns:a16="http://schemas.microsoft.com/office/drawing/2014/main" id="{9E9CC1FE-79E7-4BD2-93CA-D575A675BB66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6148" name="Line 51">
          <a:extLst>
            <a:ext uri="{FF2B5EF4-FFF2-40B4-BE49-F238E27FC236}">
              <a16:creationId xmlns:a16="http://schemas.microsoft.com/office/drawing/2014/main" id="{86A87BD9-F54A-4B78-9F46-97E7CB3D5962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6149" name="Line 52">
          <a:extLst>
            <a:ext uri="{FF2B5EF4-FFF2-40B4-BE49-F238E27FC236}">
              <a16:creationId xmlns:a16="http://schemas.microsoft.com/office/drawing/2014/main" id="{6F2A3C85-E081-492B-8D29-DC1A4672698F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6150" name="Line 53">
          <a:extLst>
            <a:ext uri="{FF2B5EF4-FFF2-40B4-BE49-F238E27FC236}">
              <a16:creationId xmlns:a16="http://schemas.microsoft.com/office/drawing/2014/main" id="{03EB0CF4-7DF7-40F2-921B-51A3EF90DAC5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6151" name="Line 54">
          <a:extLst>
            <a:ext uri="{FF2B5EF4-FFF2-40B4-BE49-F238E27FC236}">
              <a16:creationId xmlns:a16="http://schemas.microsoft.com/office/drawing/2014/main" id="{98751E47-A986-4D24-B8B1-24BD93FB1C3E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6152" name="Line 55">
          <a:extLst>
            <a:ext uri="{FF2B5EF4-FFF2-40B4-BE49-F238E27FC236}">
              <a16:creationId xmlns:a16="http://schemas.microsoft.com/office/drawing/2014/main" id="{6DAE0140-FCA6-4692-99B2-698B0D289F7F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6153" name="Line 56">
          <a:extLst>
            <a:ext uri="{FF2B5EF4-FFF2-40B4-BE49-F238E27FC236}">
              <a16:creationId xmlns:a16="http://schemas.microsoft.com/office/drawing/2014/main" id="{5EB5DFE6-1CE2-4DE6-AE05-5A24CF5BEF25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6154" name="Line 57">
          <a:extLst>
            <a:ext uri="{FF2B5EF4-FFF2-40B4-BE49-F238E27FC236}">
              <a16:creationId xmlns:a16="http://schemas.microsoft.com/office/drawing/2014/main" id="{27CAA293-969D-4D4D-BA4A-8B1707427445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6155" name="Line 58">
          <a:extLst>
            <a:ext uri="{FF2B5EF4-FFF2-40B4-BE49-F238E27FC236}">
              <a16:creationId xmlns:a16="http://schemas.microsoft.com/office/drawing/2014/main" id="{4F309F07-20F1-4872-868D-56616E41E48F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6156" name="Line 59">
          <a:extLst>
            <a:ext uri="{FF2B5EF4-FFF2-40B4-BE49-F238E27FC236}">
              <a16:creationId xmlns:a16="http://schemas.microsoft.com/office/drawing/2014/main" id="{44158B95-0BE3-4638-96D5-A807A1734B94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6157" name="Line 60">
          <a:extLst>
            <a:ext uri="{FF2B5EF4-FFF2-40B4-BE49-F238E27FC236}">
              <a16:creationId xmlns:a16="http://schemas.microsoft.com/office/drawing/2014/main" id="{ADD8B02C-6BEE-4B01-848F-7D8152080EB7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6158" name="Line 61">
          <a:extLst>
            <a:ext uri="{FF2B5EF4-FFF2-40B4-BE49-F238E27FC236}">
              <a16:creationId xmlns:a16="http://schemas.microsoft.com/office/drawing/2014/main" id="{BAD8C782-B1BC-474C-B74F-FAA1684479A0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6159" name="Line 62">
          <a:extLst>
            <a:ext uri="{FF2B5EF4-FFF2-40B4-BE49-F238E27FC236}">
              <a16:creationId xmlns:a16="http://schemas.microsoft.com/office/drawing/2014/main" id="{EC97E846-FBC8-4505-A199-824AA03D6C0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6160" name="Line 63">
          <a:extLst>
            <a:ext uri="{FF2B5EF4-FFF2-40B4-BE49-F238E27FC236}">
              <a16:creationId xmlns:a16="http://schemas.microsoft.com/office/drawing/2014/main" id="{92ADCB91-4287-448A-95D4-96C0E1D8ABBD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6161" name="Line 64">
          <a:extLst>
            <a:ext uri="{FF2B5EF4-FFF2-40B4-BE49-F238E27FC236}">
              <a16:creationId xmlns:a16="http://schemas.microsoft.com/office/drawing/2014/main" id="{7F46FFEB-C0DD-466B-9981-2DF6ED85D503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6162" name="Line 65">
          <a:extLst>
            <a:ext uri="{FF2B5EF4-FFF2-40B4-BE49-F238E27FC236}">
              <a16:creationId xmlns:a16="http://schemas.microsoft.com/office/drawing/2014/main" id="{19EBADAC-B471-48EB-8DB0-80F8680C30BA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6163" name="Line 66">
          <a:extLst>
            <a:ext uri="{FF2B5EF4-FFF2-40B4-BE49-F238E27FC236}">
              <a16:creationId xmlns:a16="http://schemas.microsoft.com/office/drawing/2014/main" id="{69C71EC5-1CA3-4F8F-9F1C-F27BB6A5F97C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6164" name="Line 67">
          <a:extLst>
            <a:ext uri="{FF2B5EF4-FFF2-40B4-BE49-F238E27FC236}">
              <a16:creationId xmlns:a16="http://schemas.microsoft.com/office/drawing/2014/main" id="{AD15DC1C-98EE-4E66-9C78-536B6A60511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6165" name="Line 68">
          <a:extLst>
            <a:ext uri="{FF2B5EF4-FFF2-40B4-BE49-F238E27FC236}">
              <a16:creationId xmlns:a16="http://schemas.microsoft.com/office/drawing/2014/main" id="{2BF7F703-2B6F-4C32-952F-63587244C5CF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6166" name="Line 69">
          <a:extLst>
            <a:ext uri="{FF2B5EF4-FFF2-40B4-BE49-F238E27FC236}">
              <a16:creationId xmlns:a16="http://schemas.microsoft.com/office/drawing/2014/main" id="{B97A9BFC-A468-43DD-835D-ACA903DF68A1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6167" name="Line 70">
          <a:extLst>
            <a:ext uri="{FF2B5EF4-FFF2-40B4-BE49-F238E27FC236}">
              <a16:creationId xmlns:a16="http://schemas.microsoft.com/office/drawing/2014/main" id="{046E215E-5C75-4476-8C69-8C0B7AF90B7D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6168" name="Line 71">
          <a:extLst>
            <a:ext uri="{FF2B5EF4-FFF2-40B4-BE49-F238E27FC236}">
              <a16:creationId xmlns:a16="http://schemas.microsoft.com/office/drawing/2014/main" id="{8F67D358-BD26-4EA5-8ADD-403A4F9BFF32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6169" name="Line 72">
          <a:extLst>
            <a:ext uri="{FF2B5EF4-FFF2-40B4-BE49-F238E27FC236}">
              <a16:creationId xmlns:a16="http://schemas.microsoft.com/office/drawing/2014/main" id="{5D5AFC2D-9BF3-4F7B-BE58-E07C3A56C597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6170" name="Line 73">
          <a:extLst>
            <a:ext uri="{FF2B5EF4-FFF2-40B4-BE49-F238E27FC236}">
              <a16:creationId xmlns:a16="http://schemas.microsoft.com/office/drawing/2014/main" id="{E9B68A46-DA6B-479A-9DE4-F7774AB42689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6171" name="Line 74">
          <a:extLst>
            <a:ext uri="{FF2B5EF4-FFF2-40B4-BE49-F238E27FC236}">
              <a16:creationId xmlns:a16="http://schemas.microsoft.com/office/drawing/2014/main" id="{09C24266-8D77-4233-8E9C-72CB9BE771E8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6172" name="Line 75">
          <a:extLst>
            <a:ext uri="{FF2B5EF4-FFF2-40B4-BE49-F238E27FC236}">
              <a16:creationId xmlns:a16="http://schemas.microsoft.com/office/drawing/2014/main" id="{AF1A89CB-C639-4914-A9A4-C006217F419B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6173" name="Line 76">
          <a:extLst>
            <a:ext uri="{FF2B5EF4-FFF2-40B4-BE49-F238E27FC236}">
              <a16:creationId xmlns:a16="http://schemas.microsoft.com/office/drawing/2014/main" id="{C9E74D77-EDF3-4A19-9149-66D10FA1C52E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6174" name="Line 77">
          <a:extLst>
            <a:ext uri="{FF2B5EF4-FFF2-40B4-BE49-F238E27FC236}">
              <a16:creationId xmlns:a16="http://schemas.microsoft.com/office/drawing/2014/main" id="{748270C8-5931-40DF-8447-16E86F795E03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6175" name="Line 78">
          <a:extLst>
            <a:ext uri="{FF2B5EF4-FFF2-40B4-BE49-F238E27FC236}">
              <a16:creationId xmlns:a16="http://schemas.microsoft.com/office/drawing/2014/main" id="{91BFA78F-6C1A-4D02-AF68-EB031023D906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6176" name="Line 79">
          <a:extLst>
            <a:ext uri="{FF2B5EF4-FFF2-40B4-BE49-F238E27FC236}">
              <a16:creationId xmlns:a16="http://schemas.microsoft.com/office/drawing/2014/main" id="{8043194E-E6B9-4F7E-947C-63978C524E7D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6177" name="Line 80">
          <a:extLst>
            <a:ext uri="{FF2B5EF4-FFF2-40B4-BE49-F238E27FC236}">
              <a16:creationId xmlns:a16="http://schemas.microsoft.com/office/drawing/2014/main" id="{99EB1C28-CF64-457E-9DCC-687AF3E407D9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6178" name="Line 81">
          <a:extLst>
            <a:ext uri="{FF2B5EF4-FFF2-40B4-BE49-F238E27FC236}">
              <a16:creationId xmlns:a16="http://schemas.microsoft.com/office/drawing/2014/main" id="{00929658-850A-4101-8B4F-56413EAB1510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6179" name="Line 82">
          <a:extLst>
            <a:ext uri="{FF2B5EF4-FFF2-40B4-BE49-F238E27FC236}">
              <a16:creationId xmlns:a16="http://schemas.microsoft.com/office/drawing/2014/main" id="{1D2645F4-F184-446B-B525-03CDB997B66F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6180" name="Line 83">
          <a:extLst>
            <a:ext uri="{FF2B5EF4-FFF2-40B4-BE49-F238E27FC236}">
              <a16:creationId xmlns:a16="http://schemas.microsoft.com/office/drawing/2014/main" id="{D5E4B050-6D46-4846-AFE9-5053C9590CD9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6181" name="Line 84">
          <a:extLst>
            <a:ext uri="{FF2B5EF4-FFF2-40B4-BE49-F238E27FC236}">
              <a16:creationId xmlns:a16="http://schemas.microsoft.com/office/drawing/2014/main" id="{CCFF0876-DF77-44B7-8306-A1C9862AF1DB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6182" name="Line 85">
          <a:extLst>
            <a:ext uri="{FF2B5EF4-FFF2-40B4-BE49-F238E27FC236}">
              <a16:creationId xmlns:a16="http://schemas.microsoft.com/office/drawing/2014/main" id="{D843A072-A044-4544-AD23-97927405DF0B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6183" name="Line 86">
          <a:extLst>
            <a:ext uri="{FF2B5EF4-FFF2-40B4-BE49-F238E27FC236}">
              <a16:creationId xmlns:a16="http://schemas.microsoft.com/office/drawing/2014/main" id="{BB3E14B3-5274-432C-8294-FFBC7459E1DA}"/>
            </a:ext>
          </a:extLst>
        </xdr:cNvPr>
        <xdr:cNvSpPr>
          <a:spLocks noChangeShapeType="1"/>
        </xdr:cNvSpPr>
      </xdr:nvSpPr>
      <xdr:spPr bwMode="auto">
        <a:xfrm>
          <a:off x="9667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6184" name="Line 87">
          <a:extLst>
            <a:ext uri="{FF2B5EF4-FFF2-40B4-BE49-F238E27FC236}">
              <a16:creationId xmlns:a16="http://schemas.microsoft.com/office/drawing/2014/main" id="{BEE0595C-D078-458B-9494-CFEDC5205938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6185" name="Line 88">
          <a:extLst>
            <a:ext uri="{FF2B5EF4-FFF2-40B4-BE49-F238E27FC236}">
              <a16:creationId xmlns:a16="http://schemas.microsoft.com/office/drawing/2014/main" id="{D0DEB5F0-016D-41CD-BAE4-5BB11B1D056D}"/>
            </a:ext>
          </a:extLst>
        </xdr:cNvPr>
        <xdr:cNvSpPr>
          <a:spLocks noChangeShapeType="1"/>
        </xdr:cNvSpPr>
      </xdr:nvSpPr>
      <xdr:spPr bwMode="auto">
        <a:xfrm>
          <a:off x="9667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6186" name="Line 89">
          <a:extLst>
            <a:ext uri="{FF2B5EF4-FFF2-40B4-BE49-F238E27FC236}">
              <a16:creationId xmlns:a16="http://schemas.microsoft.com/office/drawing/2014/main" id="{927D58E8-B89A-4E69-A792-2F90A6DB9E90}"/>
            </a:ext>
          </a:extLst>
        </xdr:cNvPr>
        <xdr:cNvSpPr>
          <a:spLocks noChangeShapeType="1"/>
        </xdr:cNvSpPr>
      </xdr:nvSpPr>
      <xdr:spPr bwMode="auto">
        <a:xfrm>
          <a:off x="966787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6187" name="Line 90">
          <a:extLst>
            <a:ext uri="{FF2B5EF4-FFF2-40B4-BE49-F238E27FC236}">
              <a16:creationId xmlns:a16="http://schemas.microsoft.com/office/drawing/2014/main" id="{6583BAC0-44EE-4B59-BAE5-5B026772D295}"/>
            </a:ext>
          </a:extLst>
        </xdr:cNvPr>
        <xdr:cNvSpPr>
          <a:spLocks noChangeShapeType="1"/>
        </xdr:cNvSpPr>
      </xdr:nvSpPr>
      <xdr:spPr bwMode="auto">
        <a:xfrm>
          <a:off x="9782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6188" name="Line 91">
          <a:extLst>
            <a:ext uri="{FF2B5EF4-FFF2-40B4-BE49-F238E27FC236}">
              <a16:creationId xmlns:a16="http://schemas.microsoft.com/office/drawing/2014/main" id="{EACB8FD5-63D0-4D77-BE04-649CFABA9609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6189" name="Line 92">
          <a:extLst>
            <a:ext uri="{FF2B5EF4-FFF2-40B4-BE49-F238E27FC236}">
              <a16:creationId xmlns:a16="http://schemas.microsoft.com/office/drawing/2014/main" id="{661357D5-36B7-45C7-8BA8-A0667AD761C7}"/>
            </a:ext>
          </a:extLst>
        </xdr:cNvPr>
        <xdr:cNvSpPr>
          <a:spLocks noChangeShapeType="1"/>
        </xdr:cNvSpPr>
      </xdr:nvSpPr>
      <xdr:spPr bwMode="auto">
        <a:xfrm flipV="1">
          <a:off x="9667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6190" name="Line 93">
          <a:extLst>
            <a:ext uri="{FF2B5EF4-FFF2-40B4-BE49-F238E27FC236}">
              <a16:creationId xmlns:a16="http://schemas.microsoft.com/office/drawing/2014/main" id="{B9820776-43ED-4405-86F1-BDBD2B7CD8F7}"/>
            </a:ext>
          </a:extLst>
        </xdr:cNvPr>
        <xdr:cNvSpPr>
          <a:spLocks noChangeShapeType="1"/>
        </xdr:cNvSpPr>
      </xdr:nvSpPr>
      <xdr:spPr bwMode="auto">
        <a:xfrm>
          <a:off x="9782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6191" name="Line 94">
          <a:extLst>
            <a:ext uri="{FF2B5EF4-FFF2-40B4-BE49-F238E27FC236}">
              <a16:creationId xmlns:a16="http://schemas.microsoft.com/office/drawing/2014/main" id="{D60ACD6B-CE64-4AF7-A4FF-58B5E05732F5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6192" name="Line 95">
          <a:extLst>
            <a:ext uri="{FF2B5EF4-FFF2-40B4-BE49-F238E27FC236}">
              <a16:creationId xmlns:a16="http://schemas.microsoft.com/office/drawing/2014/main" id="{6059EAC4-8A35-4925-8DA3-935519CD98CC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6193" name="Line 96">
          <a:extLst>
            <a:ext uri="{FF2B5EF4-FFF2-40B4-BE49-F238E27FC236}">
              <a16:creationId xmlns:a16="http://schemas.microsoft.com/office/drawing/2014/main" id="{A9ED754E-200A-46DB-9C06-1657E8078974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6194" name="Line 97">
          <a:extLst>
            <a:ext uri="{FF2B5EF4-FFF2-40B4-BE49-F238E27FC236}">
              <a16:creationId xmlns:a16="http://schemas.microsoft.com/office/drawing/2014/main" id="{22338896-C0F5-4681-8CC9-E258376FF4B4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6195" name="Line 98">
          <a:extLst>
            <a:ext uri="{FF2B5EF4-FFF2-40B4-BE49-F238E27FC236}">
              <a16:creationId xmlns:a16="http://schemas.microsoft.com/office/drawing/2014/main" id="{BF2BDF73-0DFB-401C-BB36-A8E8081436AF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6196" name="Line 99">
          <a:extLst>
            <a:ext uri="{FF2B5EF4-FFF2-40B4-BE49-F238E27FC236}">
              <a16:creationId xmlns:a16="http://schemas.microsoft.com/office/drawing/2014/main" id="{37E42C14-3504-4570-919B-84DCC7E52E07}"/>
            </a:ext>
          </a:extLst>
        </xdr:cNvPr>
        <xdr:cNvSpPr>
          <a:spLocks noChangeShapeType="1"/>
        </xdr:cNvSpPr>
      </xdr:nvSpPr>
      <xdr:spPr bwMode="auto">
        <a:xfrm>
          <a:off x="10429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6197" name="Line 100">
          <a:extLst>
            <a:ext uri="{FF2B5EF4-FFF2-40B4-BE49-F238E27FC236}">
              <a16:creationId xmlns:a16="http://schemas.microsoft.com/office/drawing/2014/main" id="{FAC66F48-5269-4C00-A9A6-5D90BA22A8D7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36198" name="Line 101">
          <a:extLst>
            <a:ext uri="{FF2B5EF4-FFF2-40B4-BE49-F238E27FC236}">
              <a16:creationId xmlns:a16="http://schemas.microsoft.com/office/drawing/2014/main" id="{D599E94D-A7AB-457B-A72B-2FCAFB99A502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6199" name="Line 102">
          <a:extLst>
            <a:ext uri="{FF2B5EF4-FFF2-40B4-BE49-F238E27FC236}">
              <a16:creationId xmlns:a16="http://schemas.microsoft.com/office/drawing/2014/main" id="{2E67D3E0-250E-43E3-A542-2584ADED6170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6200" name="Line 103">
          <a:extLst>
            <a:ext uri="{FF2B5EF4-FFF2-40B4-BE49-F238E27FC236}">
              <a16:creationId xmlns:a16="http://schemas.microsoft.com/office/drawing/2014/main" id="{8B01653A-8272-4AE4-8037-F34E370DA6B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6201" name="Line 104">
          <a:extLst>
            <a:ext uri="{FF2B5EF4-FFF2-40B4-BE49-F238E27FC236}">
              <a16:creationId xmlns:a16="http://schemas.microsoft.com/office/drawing/2014/main" id="{EEC19637-F322-4115-99C4-AE98FE1B92FF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6202" name="Line 105">
          <a:extLst>
            <a:ext uri="{FF2B5EF4-FFF2-40B4-BE49-F238E27FC236}">
              <a16:creationId xmlns:a16="http://schemas.microsoft.com/office/drawing/2014/main" id="{3162790F-EC4B-4368-ADF0-3FB40290D61C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6203" name="Line 106">
          <a:extLst>
            <a:ext uri="{FF2B5EF4-FFF2-40B4-BE49-F238E27FC236}">
              <a16:creationId xmlns:a16="http://schemas.microsoft.com/office/drawing/2014/main" id="{EB809BA9-FBC4-44C4-BE0A-BF389F9101C3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6204" name="Line 107">
          <a:extLst>
            <a:ext uri="{FF2B5EF4-FFF2-40B4-BE49-F238E27FC236}">
              <a16:creationId xmlns:a16="http://schemas.microsoft.com/office/drawing/2014/main" id="{38CA2584-DADF-4F1B-AE17-1AA7F7557D39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6205" name="Line 108">
          <a:extLst>
            <a:ext uri="{FF2B5EF4-FFF2-40B4-BE49-F238E27FC236}">
              <a16:creationId xmlns:a16="http://schemas.microsoft.com/office/drawing/2014/main" id="{612CAF42-D105-4810-8441-417A1CB7346B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6206" name="Line 109">
          <a:extLst>
            <a:ext uri="{FF2B5EF4-FFF2-40B4-BE49-F238E27FC236}">
              <a16:creationId xmlns:a16="http://schemas.microsoft.com/office/drawing/2014/main" id="{63914EC2-D1DA-4014-9469-024394EF7CB7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6207" name="Line 110">
          <a:extLst>
            <a:ext uri="{FF2B5EF4-FFF2-40B4-BE49-F238E27FC236}">
              <a16:creationId xmlns:a16="http://schemas.microsoft.com/office/drawing/2014/main" id="{07FEB2B6-6D8E-40C8-BA78-9A1BF388D947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6208" name="Line 111">
          <a:extLst>
            <a:ext uri="{FF2B5EF4-FFF2-40B4-BE49-F238E27FC236}">
              <a16:creationId xmlns:a16="http://schemas.microsoft.com/office/drawing/2014/main" id="{588B22F2-78E7-4CF4-9580-1F022B42E7D9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6209" name="Line 112">
          <a:extLst>
            <a:ext uri="{FF2B5EF4-FFF2-40B4-BE49-F238E27FC236}">
              <a16:creationId xmlns:a16="http://schemas.microsoft.com/office/drawing/2014/main" id="{85F4AF55-1FCB-44D1-A41B-764A8742463C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6210" name="Line 113">
          <a:extLst>
            <a:ext uri="{FF2B5EF4-FFF2-40B4-BE49-F238E27FC236}">
              <a16:creationId xmlns:a16="http://schemas.microsoft.com/office/drawing/2014/main" id="{0CD808BB-F772-4FEF-8D5E-F0FD6044F95B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36211" name="Line 114">
          <a:extLst>
            <a:ext uri="{FF2B5EF4-FFF2-40B4-BE49-F238E27FC236}">
              <a16:creationId xmlns:a16="http://schemas.microsoft.com/office/drawing/2014/main" id="{79FD179B-7EBA-463D-B653-104CB43D6481}"/>
            </a:ext>
          </a:extLst>
        </xdr:cNvPr>
        <xdr:cNvSpPr>
          <a:spLocks noChangeShapeType="1"/>
        </xdr:cNvSpPr>
      </xdr:nvSpPr>
      <xdr:spPr bwMode="auto">
        <a:xfrm flipV="1">
          <a:off x="9667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6212" name="Line 115">
          <a:extLst>
            <a:ext uri="{FF2B5EF4-FFF2-40B4-BE49-F238E27FC236}">
              <a16:creationId xmlns:a16="http://schemas.microsoft.com/office/drawing/2014/main" id="{22767A31-9CBE-4E08-8DE5-7CD8915602F8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6213" name="Line 116">
          <a:extLst>
            <a:ext uri="{FF2B5EF4-FFF2-40B4-BE49-F238E27FC236}">
              <a16:creationId xmlns:a16="http://schemas.microsoft.com/office/drawing/2014/main" id="{2F52E7E2-6A21-4AEF-BB9D-55B14DC06ED5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6214" name="Line 117">
          <a:extLst>
            <a:ext uri="{FF2B5EF4-FFF2-40B4-BE49-F238E27FC236}">
              <a16:creationId xmlns:a16="http://schemas.microsoft.com/office/drawing/2014/main" id="{4954F6CE-6F98-4B3C-8477-1BA222E99731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6215" name="Line 118">
          <a:extLst>
            <a:ext uri="{FF2B5EF4-FFF2-40B4-BE49-F238E27FC236}">
              <a16:creationId xmlns:a16="http://schemas.microsoft.com/office/drawing/2014/main" id="{06E8AB35-4C81-4112-AD06-E725EB6045DA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6216" name="Line 119">
          <a:extLst>
            <a:ext uri="{FF2B5EF4-FFF2-40B4-BE49-F238E27FC236}">
              <a16:creationId xmlns:a16="http://schemas.microsoft.com/office/drawing/2014/main" id="{14CEC1FC-C831-436E-9A0E-9AA6EF530BFB}"/>
            </a:ext>
          </a:extLst>
        </xdr:cNvPr>
        <xdr:cNvSpPr>
          <a:spLocks noChangeShapeType="1"/>
        </xdr:cNvSpPr>
      </xdr:nvSpPr>
      <xdr:spPr bwMode="auto">
        <a:xfrm>
          <a:off x="10429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6217" name="Line 120">
          <a:extLst>
            <a:ext uri="{FF2B5EF4-FFF2-40B4-BE49-F238E27FC236}">
              <a16:creationId xmlns:a16="http://schemas.microsoft.com/office/drawing/2014/main" id="{23651C5D-DAC9-4F25-B946-D86871FAE312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6218" name="Line 121">
          <a:extLst>
            <a:ext uri="{FF2B5EF4-FFF2-40B4-BE49-F238E27FC236}">
              <a16:creationId xmlns:a16="http://schemas.microsoft.com/office/drawing/2014/main" id="{39829E73-4D52-4A20-B168-FE25ABCBAD28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6219" name="Line 122">
          <a:extLst>
            <a:ext uri="{FF2B5EF4-FFF2-40B4-BE49-F238E27FC236}">
              <a16:creationId xmlns:a16="http://schemas.microsoft.com/office/drawing/2014/main" id="{CA899821-A71B-4AE8-8F97-A9F4349ADD37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6220" name="Line 123">
          <a:extLst>
            <a:ext uri="{FF2B5EF4-FFF2-40B4-BE49-F238E27FC236}">
              <a16:creationId xmlns:a16="http://schemas.microsoft.com/office/drawing/2014/main" id="{BC14372A-38F2-4358-BAE1-DE4E44044FD8}"/>
            </a:ext>
          </a:extLst>
        </xdr:cNvPr>
        <xdr:cNvSpPr>
          <a:spLocks noChangeShapeType="1"/>
        </xdr:cNvSpPr>
      </xdr:nvSpPr>
      <xdr:spPr bwMode="auto">
        <a:xfrm>
          <a:off x="9667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6221" name="Line 124">
          <a:extLst>
            <a:ext uri="{FF2B5EF4-FFF2-40B4-BE49-F238E27FC236}">
              <a16:creationId xmlns:a16="http://schemas.microsoft.com/office/drawing/2014/main" id="{520B9848-38F6-4781-9192-51161A30B4D3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6222" name="Line 125">
          <a:extLst>
            <a:ext uri="{FF2B5EF4-FFF2-40B4-BE49-F238E27FC236}">
              <a16:creationId xmlns:a16="http://schemas.microsoft.com/office/drawing/2014/main" id="{DD0D8FEE-70C0-4752-87D6-4AD962306599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6223" name="Line 126">
          <a:extLst>
            <a:ext uri="{FF2B5EF4-FFF2-40B4-BE49-F238E27FC236}">
              <a16:creationId xmlns:a16="http://schemas.microsoft.com/office/drawing/2014/main" id="{D184EFC3-A911-478F-92F6-B0D0EC5CF320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6224" name="Line 127">
          <a:extLst>
            <a:ext uri="{FF2B5EF4-FFF2-40B4-BE49-F238E27FC236}">
              <a16:creationId xmlns:a16="http://schemas.microsoft.com/office/drawing/2014/main" id="{88CE3A88-4C94-4AB6-B869-6972B8FD8D07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6225" name="Line 128">
          <a:extLst>
            <a:ext uri="{FF2B5EF4-FFF2-40B4-BE49-F238E27FC236}">
              <a16:creationId xmlns:a16="http://schemas.microsoft.com/office/drawing/2014/main" id="{51A972EB-A67E-4741-A1B6-DD9DE61572FA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6226" name="Line 129">
          <a:extLst>
            <a:ext uri="{FF2B5EF4-FFF2-40B4-BE49-F238E27FC236}">
              <a16:creationId xmlns:a16="http://schemas.microsoft.com/office/drawing/2014/main" id="{0FEC9E30-8490-4AC8-AE7B-C23637A81923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6227" name="Line 130">
          <a:extLst>
            <a:ext uri="{FF2B5EF4-FFF2-40B4-BE49-F238E27FC236}">
              <a16:creationId xmlns:a16="http://schemas.microsoft.com/office/drawing/2014/main" id="{B4C66992-3DF2-4FBE-B48E-A882E6E79DF1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6228" name="Line 131">
          <a:extLst>
            <a:ext uri="{FF2B5EF4-FFF2-40B4-BE49-F238E27FC236}">
              <a16:creationId xmlns:a16="http://schemas.microsoft.com/office/drawing/2014/main" id="{B5E884C6-172F-4028-A68F-31F2DD0F68A7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6229" name="Line 132">
          <a:extLst>
            <a:ext uri="{FF2B5EF4-FFF2-40B4-BE49-F238E27FC236}">
              <a16:creationId xmlns:a16="http://schemas.microsoft.com/office/drawing/2014/main" id="{27A737A5-A770-4B18-8B50-D3797870F246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6230" name="Line 133">
          <a:extLst>
            <a:ext uri="{FF2B5EF4-FFF2-40B4-BE49-F238E27FC236}">
              <a16:creationId xmlns:a16="http://schemas.microsoft.com/office/drawing/2014/main" id="{A545A8C2-E363-40D7-B270-4DD62C4963CF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6231" name="Line 134">
          <a:extLst>
            <a:ext uri="{FF2B5EF4-FFF2-40B4-BE49-F238E27FC236}">
              <a16:creationId xmlns:a16="http://schemas.microsoft.com/office/drawing/2014/main" id="{C60A56C4-4D93-4FF0-BADA-8F86785052CE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6232" name="Line 135">
          <a:extLst>
            <a:ext uri="{FF2B5EF4-FFF2-40B4-BE49-F238E27FC236}">
              <a16:creationId xmlns:a16="http://schemas.microsoft.com/office/drawing/2014/main" id="{F17B944A-49C9-434A-B8C4-F8A49F4E4B1E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6233" name="Line 136">
          <a:extLst>
            <a:ext uri="{FF2B5EF4-FFF2-40B4-BE49-F238E27FC236}">
              <a16:creationId xmlns:a16="http://schemas.microsoft.com/office/drawing/2014/main" id="{B3ED9BB2-F0EA-48F0-84D8-CCF30D0E4B8F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6234" name="Line 137">
          <a:extLst>
            <a:ext uri="{FF2B5EF4-FFF2-40B4-BE49-F238E27FC236}">
              <a16:creationId xmlns:a16="http://schemas.microsoft.com/office/drawing/2014/main" id="{B8E45602-6EE6-4D2D-BB50-E087A328752A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6235" name="Line 138">
          <a:extLst>
            <a:ext uri="{FF2B5EF4-FFF2-40B4-BE49-F238E27FC236}">
              <a16:creationId xmlns:a16="http://schemas.microsoft.com/office/drawing/2014/main" id="{660855C2-6834-40BA-A6B1-E96C67528D85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6236" name="Line 139">
          <a:extLst>
            <a:ext uri="{FF2B5EF4-FFF2-40B4-BE49-F238E27FC236}">
              <a16:creationId xmlns:a16="http://schemas.microsoft.com/office/drawing/2014/main" id="{665EF006-4137-4478-B6FD-EA0A13BF75AA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6237" name="Line 140">
          <a:extLst>
            <a:ext uri="{FF2B5EF4-FFF2-40B4-BE49-F238E27FC236}">
              <a16:creationId xmlns:a16="http://schemas.microsoft.com/office/drawing/2014/main" id="{54C8FC75-6610-413A-B713-DBD2E8DB8C9C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6238" name="Line 141">
          <a:extLst>
            <a:ext uri="{FF2B5EF4-FFF2-40B4-BE49-F238E27FC236}">
              <a16:creationId xmlns:a16="http://schemas.microsoft.com/office/drawing/2014/main" id="{04DDA565-5673-422B-AAA6-74E51406E15C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6239" name="Line 142">
          <a:extLst>
            <a:ext uri="{FF2B5EF4-FFF2-40B4-BE49-F238E27FC236}">
              <a16:creationId xmlns:a16="http://schemas.microsoft.com/office/drawing/2014/main" id="{EC346D24-9A95-4A7A-BB11-4B1A3B6202C2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6240" name="Line 143">
          <a:extLst>
            <a:ext uri="{FF2B5EF4-FFF2-40B4-BE49-F238E27FC236}">
              <a16:creationId xmlns:a16="http://schemas.microsoft.com/office/drawing/2014/main" id="{CC8568B3-CE56-4477-8C90-63AC5948535D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6241" name="Line 144">
          <a:extLst>
            <a:ext uri="{FF2B5EF4-FFF2-40B4-BE49-F238E27FC236}">
              <a16:creationId xmlns:a16="http://schemas.microsoft.com/office/drawing/2014/main" id="{D75F2E4F-14A4-4536-8A05-069CB7AE7DAC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6242" name="Line 145">
          <a:extLst>
            <a:ext uri="{FF2B5EF4-FFF2-40B4-BE49-F238E27FC236}">
              <a16:creationId xmlns:a16="http://schemas.microsoft.com/office/drawing/2014/main" id="{DEBEA220-358A-49A1-B185-559BBE8A8180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6243" name="Line 146">
          <a:extLst>
            <a:ext uri="{FF2B5EF4-FFF2-40B4-BE49-F238E27FC236}">
              <a16:creationId xmlns:a16="http://schemas.microsoft.com/office/drawing/2014/main" id="{2CB5810D-8A1D-4DBC-A7CB-BE65149AE3C4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6244" name="Line 147">
          <a:extLst>
            <a:ext uri="{FF2B5EF4-FFF2-40B4-BE49-F238E27FC236}">
              <a16:creationId xmlns:a16="http://schemas.microsoft.com/office/drawing/2014/main" id="{C472DA7C-97B8-45B5-AAB9-05E55143E220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6245" name="Line 148">
          <a:extLst>
            <a:ext uri="{FF2B5EF4-FFF2-40B4-BE49-F238E27FC236}">
              <a16:creationId xmlns:a16="http://schemas.microsoft.com/office/drawing/2014/main" id="{00E7A7A3-01AA-44E7-A070-BE5134E0756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6246" name="Line 149">
          <a:extLst>
            <a:ext uri="{FF2B5EF4-FFF2-40B4-BE49-F238E27FC236}">
              <a16:creationId xmlns:a16="http://schemas.microsoft.com/office/drawing/2014/main" id="{D50F66D6-CA0A-461A-8762-49029AECAC41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6247" name="Line 150">
          <a:extLst>
            <a:ext uri="{FF2B5EF4-FFF2-40B4-BE49-F238E27FC236}">
              <a16:creationId xmlns:a16="http://schemas.microsoft.com/office/drawing/2014/main" id="{03E0EC90-E436-4DB3-9AE3-2CB417A1EFE2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6248" name="Line 151">
          <a:extLst>
            <a:ext uri="{FF2B5EF4-FFF2-40B4-BE49-F238E27FC236}">
              <a16:creationId xmlns:a16="http://schemas.microsoft.com/office/drawing/2014/main" id="{9F6F4709-8A5B-42DC-8999-083092627B9F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6249" name="Line 152">
          <a:extLst>
            <a:ext uri="{FF2B5EF4-FFF2-40B4-BE49-F238E27FC236}">
              <a16:creationId xmlns:a16="http://schemas.microsoft.com/office/drawing/2014/main" id="{9C1A4C4D-B809-445D-A6BA-5CD55614620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6250" name="Line 153">
          <a:extLst>
            <a:ext uri="{FF2B5EF4-FFF2-40B4-BE49-F238E27FC236}">
              <a16:creationId xmlns:a16="http://schemas.microsoft.com/office/drawing/2014/main" id="{4D580531-5920-43C9-A4C2-0600D44549AC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6251" name="Line 154">
          <a:extLst>
            <a:ext uri="{FF2B5EF4-FFF2-40B4-BE49-F238E27FC236}">
              <a16:creationId xmlns:a16="http://schemas.microsoft.com/office/drawing/2014/main" id="{A31A65E8-A488-47E9-9502-3B60668BFA93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6252" name="Line 155">
          <a:extLst>
            <a:ext uri="{FF2B5EF4-FFF2-40B4-BE49-F238E27FC236}">
              <a16:creationId xmlns:a16="http://schemas.microsoft.com/office/drawing/2014/main" id="{E8AAFD83-AA69-4C21-A265-F29FDAC33260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6253" name="Line 156">
          <a:extLst>
            <a:ext uri="{FF2B5EF4-FFF2-40B4-BE49-F238E27FC236}">
              <a16:creationId xmlns:a16="http://schemas.microsoft.com/office/drawing/2014/main" id="{0E9BD2DD-9D0A-4E30-AA6E-8987D055DED4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6254" name="Line 157">
          <a:extLst>
            <a:ext uri="{FF2B5EF4-FFF2-40B4-BE49-F238E27FC236}">
              <a16:creationId xmlns:a16="http://schemas.microsoft.com/office/drawing/2014/main" id="{C7D6EBBB-5ED4-4A65-9E07-21A12A1E5615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6255" name="Line 158">
          <a:extLst>
            <a:ext uri="{FF2B5EF4-FFF2-40B4-BE49-F238E27FC236}">
              <a16:creationId xmlns:a16="http://schemas.microsoft.com/office/drawing/2014/main" id="{EC443BAF-8358-4E57-9A8D-FD15359B716B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6256" name="Line 159">
          <a:extLst>
            <a:ext uri="{FF2B5EF4-FFF2-40B4-BE49-F238E27FC236}">
              <a16:creationId xmlns:a16="http://schemas.microsoft.com/office/drawing/2014/main" id="{2D58CD91-7348-46B1-B7C5-E30BBDBDDFD2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6257" name="Line 160">
          <a:extLst>
            <a:ext uri="{FF2B5EF4-FFF2-40B4-BE49-F238E27FC236}">
              <a16:creationId xmlns:a16="http://schemas.microsoft.com/office/drawing/2014/main" id="{8C819A0D-320D-45B0-86D3-7DA5BCEBE90B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6258" name="Line 161">
          <a:extLst>
            <a:ext uri="{FF2B5EF4-FFF2-40B4-BE49-F238E27FC236}">
              <a16:creationId xmlns:a16="http://schemas.microsoft.com/office/drawing/2014/main" id="{21374F4A-BFC0-4D91-871D-1EDEB038CA42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6259" name="Line 162">
          <a:extLst>
            <a:ext uri="{FF2B5EF4-FFF2-40B4-BE49-F238E27FC236}">
              <a16:creationId xmlns:a16="http://schemas.microsoft.com/office/drawing/2014/main" id="{BA2F71DD-C439-43EB-A6E7-5207A9A133C4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6260" name="Line 163">
          <a:extLst>
            <a:ext uri="{FF2B5EF4-FFF2-40B4-BE49-F238E27FC236}">
              <a16:creationId xmlns:a16="http://schemas.microsoft.com/office/drawing/2014/main" id="{2622F399-ECEF-43BF-B09D-FF7052D5A9D2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6261" name="Line 164">
          <a:extLst>
            <a:ext uri="{FF2B5EF4-FFF2-40B4-BE49-F238E27FC236}">
              <a16:creationId xmlns:a16="http://schemas.microsoft.com/office/drawing/2014/main" id="{EB7FBDB8-E775-4291-AF09-BEB25253D5CF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6262" name="Line 165">
          <a:extLst>
            <a:ext uri="{FF2B5EF4-FFF2-40B4-BE49-F238E27FC236}">
              <a16:creationId xmlns:a16="http://schemas.microsoft.com/office/drawing/2014/main" id="{B9DDFB71-0152-40D8-B49A-9E61CC381E88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6263" name="Line 166">
          <a:extLst>
            <a:ext uri="{FF2B5EF4-FFF2-40B4-BE49-F238E27FC236}">
              <a16:creationId xmlns:a16="http://schemas.microsoft.com/office/drawing/2014/main" id="{F122BEB1-4659-4B5C-8EF5-28EC5FBC2F21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6264" name="Line 167">
          <a:extLst>
            <a:ext uri="{FF2B5EF4-FFF2-40B4-BE49-F238E27FC236}">
              <a16:creationId xmlns:a16="http://schemas.microsoft.com/office/drawing/2014/main" id="{0F8EE689-122F-4616-82F7-A5F6E7EB684A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6265" name="Line 168">
          <a:extLst>
            <a:ext uri="{FF2B5EF4-FFF2-40B4-BE49-F238E27FC236}">
              <a16:creationId xmlns:a16="http://schemas.microsoft.com/office/drawing/2014/main" id="{6E026106-6298-4DCB-A9AF-3F74FC37EC1B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6266" name="Line 169">
          <a:extLst>
            <a:ext uri="{FF2B5EF4-FFF2-40B4-BE49-F238E27FC236}">
              <a16:creationId xmlns:a16="http://schemas.microsoft.com/office/drawing/2014/main" id="{39D83D72-AE97-48E2-A4FA-5B9F1742CB18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6267" name="Line 170">
          <a:extLst>
            <a:ext uri="{FF2B5EF4-FFF2-40B4-BE49-F238E27FC236}">
              <a16:creationId xmlns:a16="http://schemas.microsoft.com/office/drawing/2014/main" id="{8B951232-74A1-4167-96C2-A70BD91F0BEC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6268" name="Line 171">
          <a:extLst>
            <a:ext uri="{FF2B5EF4-FFF2-40B4-BE49-F238E27FC236}">
              <a16:creationId xmlns:a16="http://schemas.microsoft.com/office/drawing/2014/main" id="{8F62B0E5-DDF5-4E1E-85DF-AEE622B50612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6269" name="Line 172">
          <a:extLst>
            <a:ext uri="{FF2B5EF4-FFF2-40B4-BE49-F238E27FC236}">
              <a16:creationId xmlns:a16="http://schemas.microsoft.com/office/drawing/2014/main" id="{355088B1-C5D1-491D-851E-103BD52A3264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6270" name="Line 173">
          <a:extLst>
            <a:ext uri="{FF2B5EF4-FFF2-40B4-BE49-F238E27FC236}">
              <a16:creationId xmlns:a16="http://schemas.microsoft.com/office/drawing/2014/main" id="{9428D5DC-9DB6-46C6-8C70-25509C2F66F1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6271" name="Line 174">
          <a:extLst>
            <a:ext uri="{FF2B5EF4-FFF2-40B4-BE49-F238E27FC236}">
              <a16:creationId xmlns:a16="http://schemas.microsoft.com/office/drawing/2014/main" id="{709F4560-83FF-4028-A48B-8B1D9287E907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6272" name="Line 175">
          <a:extLst>
            <a:ext uri="{FF2B5EF4-FFF2-40B4-BE49-F238E27FC236}">
              <a16:creationId xmlns:a16="http://schemas.microsoft.com/office/drawing/2014/main" id="{5F2CC1AE-A288-46FB-B533-16ECE6725515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6273" name="Line 176">
          <a:extLst>
            <a:ext uri="{FF2B5EF4-FFF2-40B4-BE49-F238E27FC236}">
              <a16:creationId xmlns:a16="http://schemas.microsoft.com/office/drawing/2014/main" id="{40C3C269-3F7F-420C-AE54-DA816F29EB6B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6274" name="Line 177">
          <a:extLst>
            <a:ext uri="{FF2B5EF4-FFF2-40B4-BE49-F238E27FC236}">
              <a16:creationId xmlns:a16="http://schemas.microsoft.com/office/drawing/2014/main" id="{DA1ABF36-D7BD-4E88-A9EA-4F617A685157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6275" name="Line 178">
          <a:extLst>
            <a:ext uri="{FF2B5EF4-FFF2-40B4-BE49-F238E27FC236}">
              <a16:creationId xmlns:a16="http://schemas.microsoft.com/office/drawing/2014/main" id="{F88830B8-D464-4BC1-96FC-8E0167CCB16E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6276" name="Line 179">
          <a:extLst>
            <a:ext uri="{FF2B5EF4-FFF2-40B4-BE49-F238E27FC236}">
              <a16:creationId xmlns:a16="http://schemas.microsoft.com/office/drawing/2014/main" id="{F4EDAAD6-E7A2-4121-A212-57D23690C70F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6277" name="Line 180">
          <a:extLst>
            <a:ext uri="{FF2B5EF4-FFF2-40B4-BE49-F238E27FC236}">
              <a16:creationId xmlns:a16="http://schemas.microsoft.com/office/drawing/2014/main" id="{F04FF6EE-10AA-4190-A5AF-5AFEA88C1708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6278" name="Line 181">
          <a:extLst>
            <a:ext uri="{FF2B5EF4-FFF2-40B4-BE49-F238E27FC236}">
              <a16:creationId xmlns:a16="http://schemas.microsoft.com/office/drawing/2014/main" id="{22C8D396-1B7C-4A46-A43F-E6D4FBBFBA5D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6279" name="Line 182">
          <a:extLst>
            <a:ext uri="{FF2B5EF4-FFF2-40B4-BE49-F238E27FC236}">
              <a16:creationId xmlns:a16="http://schemas.microsoft.com/office/drawing/2014/main" id="{E3C07F9B-5D81-4EDA-9275-FA8BB37434DB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6280" name="Line 183">
          <a:extLst>
            <a:ext uri="{FF2B5EF4-FFF2-40B4-BE49-F238E27FC236}">
              <a16:creationId xmlns:a16="http://schemas.microsoft.com/office/drawing/2014/main" id="{75F672E7-4AFD-4D1D-94E0-88A83E456D98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6281" name="Line 184">
          <a:extLst>
            <a:ext uri="{FF2B5EF4-FFF2-40B4-BE49-F238E27FC236}">
              <a16:creationId xmlns:a16="http://schemas.microsoft.com/office/drawing/2014/main" id="{1969B1BC-7CD7-40D7-99AE-976805D69F8F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6282" name="Line 185">
          <a:extLst>
            <a:ext uri="{FF2B5EF4-FFF2-40B4-BE49-F238E27FC236}">
              <a16:creationId xmlns:a16="http://schemas.microsoft.com/office/drawing/2014/main" id="{F009FE7D-F655-4BA4-8924-EC0170DE7FD2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6283" name="Line 186">
          <a:extLst>
            <a:ext uri="{FF2B5EF4-FFF2-40B4-BE49-F238E27FC236}">
              <a16:creationId xmlns:a16="http://schemas.microsoft.com/office/drawing/2014/main" id="{95A82323-702A-47D8-96C4-9BA23F8DE699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6284" name="Line 187">
          <a:extLst>
            <a:ext uri="{FF2B5EF4-FFF2-40B4-BE49-F238E27FC236}">
              <a16:creationId xmlns:a16="http://schemas.microsoft.com/office/drawing/2014/main" id="{422921E8-CA5A-4732-B0AD-4507BC4FE20F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36285" name="Line 188">
          <a:extLst>
            <a:ext uri="{FF2B5EF4-FFF2-40B4-BE49-F238E27FC236}">
              <a16:creationId xmlns:a16="http://schemas.microsoft.com/office/drawing/2014/main" id="{A1E73D7C-FFB9-4F10-84D5-7DE5E7079F42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36286" name="Line 189">
          <a:extLst>
            <a:ext uri="{FF2B5EF4-FFF2-40B4-BE49-F238E27FC236}">
              <a16:creationId xmlns:a16="http://schemas.microsoft.com/office/drawing/2014/main" id="{C8687492-7AE3-404B-882F-9B4A752A9E5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36287" name="Line 190">
          <a:extLst>
            <a:ext uri="{FF2B5EF4-FFF2-40B4-BE49-F238E27FC236}">
              <a16:creationId xmlns:a16="http://schemas.microsoft.com/office/drawing/2014/main" id="{051BE23C-BFD9-4F42-8747-447CE6DD4133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36288" name="Line 191">
          <a:extLst>
            <a:ext uri="{FF2B5EF4-FFF2-40B4-BE49-F238E27FC236}">
              <a16:creationId xmlns:a16="http://schemas.microsoft.com/office/drawing/2014/main" id="{3E4D0CCE-F611-419D-B5CD-E61171EFA4D1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36289" name="Line 192">
          <a:extLst>
            <a:ext uri="{FF2B5EF4-FFF2-40B4-BE49-F238E27FC236}">
              <a16:creationId xmlns:a16="http://schemas.microsoft.com/office/drawing/2014/main" id="{381B3741-A284-4B8A-A8E5-ADFB8C2A8211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6290" name="Line 193">
          <a:extLst>
            <a:ext uri="{FF2B5EF4-FFF2-40B4-BE49-F238E27FC236}">
              <a16:creationId xmlns:a16="http://schemas.microsoft.com/office/drawing/2014/main" id="{493F0E27-533F-4ED6-B812-F511A9CC6515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36291" name="Line 194">
          <a:extLst>
            <a:ext uri="{FF2B5EF4-FFF2-40B4-BE49-F238E27FC236}">
              <a16:creationId xmlns:a16="http://schemas.microsoft.com/office/drawing/2014/main" id="{21B827E9-D3CD-4458-A610-9871CFF22273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36292" name="Line 195">
          <a:extLst>
            <a:ext uri="{FF2B5EF4-FFF2-40B4-BE49-F238E27FC236}">
              <a16:creationId xmlns:a16="http://schemas.microsoft.com/office/drawing/2014/main" id="{DC2A9DAD-8016-4AC3-9FB5-3594553533EE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36293" name="Line 196">
          <a:extLst>
            <a:ext uri="{FF2B5EF4-FFF2-40B4-BE49-F238E27FC236}">
              <a16:creationId xmlns:a16="http://schemas.microsoft.com/office/drawing/2014/main" id="{1431B245-68EC-41CE-8A13-47CC57474564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36294" name="Line 197">
          <a:extLst>
            <a:ext uri="{FF2B5EF4-FFF2-40B4-BE49-F238E27FC236}">
              <a16:creationId xmlns:a16="http://schemas.microsoft.com/office/drawing/2014/main" id="{40B09CBA-48E7-4FB1-A895-0036FF42487A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36295" name="Line 198">
          <a:extLst>
            <a:ext uri="{FF2B5EF4-FFF2-40B4-BE49-F238E27FC236}">
              <a16:creationId xmlns:a16="http://schemas.microsoft.com/office/drawing/2014/main" id="{B9E8DE9A-303E-45F8-A6EB-B3E0B9AF80A6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36296" name="Line 199">
          <a:extLst>
            <a:ext uri="{FF2B5EF4-FFF2-40B4-BE49-F238E27FC236}">
              <a16:creationId xmlns:a16="http://schemas.microsoft.com/office/drawing/2014/main" id="{C034F857-A358-4D9A-BB84-2C18A65F4CE6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6297" name="Line 200">
          <a:extLst>
            <a:ext uri="{FF2B5EF4-FFF2-40B4-BE49-F238E27FC236}">
              <a16:creationId xmlns:a16="http://schemas.microsoft.com/office/drawing/2014/main" id="{B2745FB8-9869-4E13-BC0D-DD7B61344C96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6298" name="Line 201">
          <a:extLst>
            <a:ext uri="{FF2B5EF4-FFF2-40B4-BE49-F238E27FC236}">
              <a16:creationId xmlns:a16="http://schemas.microsoft.com/office/drawing/2014/main" id="{1CB11A51-78BC-41F3-BF54-46A4516B9437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6299" name="Line 202">
          <a:extLst>
            <a:ext uri="{FF2B5EF4-FFF2-40B4-BE49-F238E27FC236}">
              <a16:creationId xmlns:a16="http://schemas.microsoft.com/office/drawing/2014/main" id="{25E35D3B-6767-45D5-B631-70777F605F22}"/>
            </a:ext>
          </a:extLst>
        </xdr:cNvPr>
        <xdr:cNvSpPr>
          <a:spLocks noChangeShapeType="1"/>
        </xdr:cNvSpPr>
      </xdr:nvSpPr>
      <xdr:spPr bwMode="auto">
        <a:xfrm>
          <a:off x="9667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6300" name="Line 203">
          <a:extLst>
            <a:ext uri="{FF2B5EF4-FFF2-40B4-BE49-F238E27FC236}">
              <a16:creationId xmlns:a16="http://schemas.microsoft.com/office/drawing/2014/main" id="{D47B93C0-7281-48A6-B93D-3351253B53AE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6301" name="Line 204">
          <a:extLst>
            <a:ext uri="{FF2B5EF4-FFF2-40B4-BE49-F238E27FC236}">
              <a16:creationId xmlns:a16="http://schemas.microsoft.com/office/drawing/2014/main" id="{D9404EB9-ECC6-4CC2-A6A6-71B35206385A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6302" name="Line 205">
          <a:extLst>
            <a:ext uri="{FF2B5EF4-FFF2-40B4-BE49-F238E27FC236}">
              <a16:creationId xmlns:a16="http://schemas.microsoft.com/office/drawing/2014/main" id="{B641D507-FE01-4696-8E47-58BC1376D0C6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6303" name="Line 206">
          <a:extLst>
            <a:ext uri="{FF2B5EF4-FFF2-40B4-BE49-F238E27FC236}">
              <a16:creationId xmlns:a16="http://schemas.microsoft.com/office/drawing/2014/main" id="{E28AC66C-208F-450A-838D-2593243E362F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6304" name="Line 207">
          <a:extLst>
            <a:ext uri="{FF2B5EF4-FFF2-40B4-BE49-F238E27FC236}">
              <a16:creationId xmlns:a16="http://schemas.microsoft.com/office/drawing/2014/main" id="{B5295CD2-1BDA-41FF-B448-FC3EF3BADAE0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7260" name="Line 1">
          <a:extLst>
            <a:ext uri="{FF2B5EF4-FFF2-40B4-BE49-F238E27FC236}">
              <a16:creationId xmlns:a16="http://schemas.microsoft.com/office/drawing/2014/main" id="{661A34AD-2FA8-4133-B5CB-A8063C5A5C32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7261" name="Line 2">
          <a:extLst>
            <a:ext uri="{FF2B5EF4-FFF2-40B4-BE49-F238E27FC236}">
              <a16:creationId xmlns:a16="http://schemas.microsoft.com/office/drawing/2014/main" id="{D7F262BE-41C2-4B41-9252-04AF36B56D75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7262" name="Line 3">
          <a:extLst>
            <a:ext uri="{FF2B5EF4-FFF2-40B4-BE49-F238E27FC236}">
              <a16:creationId xmlns:a16="http://schemas.microsoft.com/office/drawing/2014/main" id="{9BA3A8CF-732F-4F43-8D5E-BB6B42FE70FF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7263" name="Line 4">
          <a:extLst>
            <a:ext uri="{FF2B5EF4-FFF2-40B4-BE49-F238E27FC236}">
              <a16:creationId xmlns:a16="http://schemas.microsoft.com/office/drawing/2014/main" id="{E15C0A21-5168-4A28-9293-731BA54D7F9B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7264" name="Line 5">
          <a:extLst>
            <a:ext uri="{FF2B5EF4-FFF2-40B4-BE49-F238E27FC236}">
              <a16:creationId xmlns:a16="http://schemas.microsoft.com/office/drawing/2014/main" id="{6696C7FA-D6FA-45F4-AFB7-FCBFEDA3B7BF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7265" name="Line 6">
          <a:extLst>
            <a:ext uri="{FF2B5EF4-FFF2-40B4-BE49-F238E27FC236}">
              <a16:creationId xmlns:a16="http://schemas.microsoft.com/office/drawing/2014/main" id="{C86BA7AB-30EB-4C77-A7E3-1180E176CC8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7266" name="Line 7">
          <a:extLst>
            <a:ext uri="{FF2B5EF4-FFF2-40B4-BE49-F238E27FC236}">
              <a16:creationId xmlns:a16="http://schemas.microsoft.com/office/drawing/2014/main" id="{613188CE-D8BA-4C66-8711-F5C0C5EB8B92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431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7267" name="Line 8">
          <a:extLst>
            <a:ext uri="{FF2B5EF4-FFF2-40B4-BE49-F238E27FC236}">
              <a16:creationId xmlns:a16="http://schemas.microsoft.com/office/drawing/2014/main" id="{DD126089-5CE4-48CA-93EB-B39151084530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7268" name="Line 9">
          <a:extLst>
            <a:ext uri="{FF2B5EF4-FFF2-40B4-BE49-F238E27FC236}">
              <a16:creationId xmlns:a16="http://schemas.microsoft.com/office/drawing/2014/main" id="{EDCDF895-6117-4C10-B608-0BD1233103DE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7269" name="Line 10">
          <a:extLst>
            <a:ext uri="{FF2B5EF4-FFF2-40B4-BE49-F238E27FC236}">
              <a16:creationId xmlns:a16="http://schemas.microsoft.com/office/drawing/2014/main" id="{96472014-9174-45F0-915B-2D2BD67898E5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7270" name="Line 11">
          <a:extLst>
            <a:ext uri="{FF2B5EF4-FFF2-40B4-BE49-F238E27FC236}">
              <a16:creationId xmlns:a16="http://schemas.microsoft.com/office/drawing/2014/main" id="{74594057-A642-43F1-AD74-6F41BF696023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7271" name="Line 12">
          <a:extLst>
            <a:ext uri="{FF2B5EF4-FFF2-40B4-BE49-F238E27FC236}">
              <a16:creationId xmlns:a16="http://schemas.microsoft.com/office/drawing/2014/main" id="{1B424D07-812C-4FD8-9256-EFEDE1046730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7272" name="Line 13">
          <a:extLst>
            <a:ext uri="{FF2B5EF4-FFF2-40B4-BE49-F238E27FC236}">
              <a16:creationId xmlns:a16="http://schemas.microsoft.com/office/drawing/2014/main" id="{2C3ED58F-716B-4E07-B843-88EFDEB8E876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7273" name="Line 14">
          <a:extLst>
            <a:ext uri="{FF2B5EF4-FFF2-40B4-BE49-F238E27FC236}">
              <a16:creationId xmlns:a16="http://schemas.microsoft.com/office/drawing/2014/main" id="{2A2B97B4-A762-4FF5-9EF5-0D9573DD0289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7274" name="Line 15">
          <a:extLst>
            <a:ext uri="{FF2B5EF4-FFF2-40B4-BE49-F238E27FC236}">
              <a16:creationId xmlns:a16="http://schemas.microsoft.com/office/drawing/2014/main" id="{0DF4761E-FD2B-4B3A-A2B9-1292BA8FE4CC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7275" name="Line 16">
          <a:extLst>
            <a:ext uri="{FF2B5EF4-FFF2-40B4-BE49-F238E27FC236}">
              <a16:creationId xmlns:a16="http://schemas.microsoft.com/office/drawing/2014/main" id="{9BACA8F4-A939-488A-8FB0-A0877F8C780B}"/>
            </a:ext>
          </a:extLst>
        </xdr:cNvPr>
        <xdr:cNvSpPr>
          <a:spLocks noChangeShapeType="1"/>
        </xdr:cNvSpPr>
      </xdr:nvSpPr>
      <xdr:spPr bwMode="auto">
        <a:xfrm>
          <a:off x="103917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7276" name="Line 17">
          <a:extLst>
            <a:ext uri="{FF2B5EF4-FFF2-40B4-BE49-F238E27FC236}">
              <a16:creationId xmlns:a16="http://schemas.microsoft.com/office/drawing/2014/main" id="{229543A0-1238-4049-B651-FD4E025F4789}"/>
            </a:ext>
          </a:extLst>
        </xdr:cNvPr>
        <xdr:cNvSpPr>
          <a:spLocks noChangeShapeType="1"/>
        </xdr:cNvSpPr>
      </xdr:nvSpPr>
      <xdr:spPr bwMode="auto">
        <a:xfrm>
          <a:off x="96297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7277" name="Line 18">
          <a:extLst>
            <a:ext uri="{FF2B5EF4-FFF2-40B4-BE49-F238E27FC236}">
              <a16:creationId xmlns:a16="http://schemas.microsoft.com/office/drawing/2014/main" id="{9BBC8067-1491-400F-98B1-0D04366A8511}"/>
            </a:ext>
          </a:extLst>
        </xdr:cNvPr>
        <xdr:cNvSpPr>
          <a:spLocks noChangeShapeType="1"/>
        </xdr:cNvSpPr>
      </xdr:nvSpPr>
      <xdr:spPr bwMode="auto">
        <a:xfrm>
          <a:off x="103917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7278" name="Line 19">
          <a:extLst>
            <a:ext uri="{FF2B5EF4-FFF2-40B4-BE49-F238E27FC236}">
              <a16:creationId xmlns:a16="http://schemas.microsoft.com/office/drawing/2014/main" id="{71587FC8-93E1-4C51-B8C9-8FB59816CDB1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7279" name="Line 20">
          <a:extLst>
            <a:ext uri="{FF2B5EF4-FFF2-40B4-BE49-F238E27FC236}">
              <a16:creationId xmlns:a16="http://schemas.microsoft.com/office/drawing/2014/main" id="{39B9E58A-5896-4C80-A6A9-3B8261EF9C70}"/>
            </a:ext>
          </a:extLst>
        </xdr:cNvPr>
        <xdr:cNvSpPr>
          <a:spLocks noChangeShapeType="1"/>
        </xdr:cNvSpPr>
      </xdr:nvSpPr>
      <xdr:spPr bwMode="auto">
        <a:xfrm>
          <a:off x="96297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7280" name="Line 21">
          <a:extLst>
            <a:ext uri="{FF2B5EF4-FFF2-40B4-BE49-F238E27FC236}">
              <a16:creationId xmlns:a16="http://schemas.microsoft.com/office/drawing/2014/main" id="{774654C5-E7DA-4941-BDAC-DFD61C6F4F72}"/>
            </a:ext>
          </a:extLst>
        </xdr:cNvPr>
        <xdr:cNvSpPr>
          <a:spLocks noChangeShapeType="1"/>
        </xdr:cNvSpPr>
      </xdr:nvSpPr>
      <xdr:spPr bwMode="auto">
        <a:xfrm>
          <a:off x="103917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7281" name="Line 22">
          <a:extLst>
            <a:ext uri="{FF2B5EF4-FFF2-40B4-BE49-F238E27FC236}">
              <a16:creationId xmlns:a16="http://schemas.microsoft.com/office/drawing/2014/main" id="{659A912B-FC72-448B-AADF-23799B185DE8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7282" name="Line 23">
          <a:extLst>
            <a:ext uri="{FF2B5EF4-FFF2-40B4-BE49-F238E27FC236}">
              <a16:creationId xmlns:a16="http://schemas.microsoft.com/office/drawing/2014/main" id="{239BB1B0-D0E0-46D1-8915-7B1FCE3F242B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7283" name="Line 24">
          <a:extLst>
            <a:ext uri="{FF2B5EF4-FFF2-40B4-BE49-F238E27FC236}">
              <a16:creationId xmlns:a16="http://schemas.microsoft.com/office/drawing/2014/main" id="{601BBD28-9E16-4152-8627-92439B9742FC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7284" name="Line 25">
          <a:extLst>
            <a:ext uri="{FF2B5EF4-FFF2-40B4-BE49-F238E27FC236}">
              <a16:creationId xmlns:a16="http://schemas.microsoft.com/office/drawing/2014/main" id="{3EB1D502-BDCD-4EEF-BD33-A021D6D47C6D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7285" name="Line 26">
          <a:extLst>
            <a:ext uri="{FF2B5EF4-FFF2-40B4-BE49-F238E27FC236}">
              <a16:creationId xmlns:a16="http://schemas.microsoft.com/office/drawing/2014/main" id="{A26B45BF-63B4-4009-A751-DB680891B234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7286" name="Line 27">
          <a:extLst>
            <a:ext uri="{FF2B5EF4-FFF2-40B4-BE49-F238E27FC236}">
              <a16:creationId xmlns:a16="http://schemas.microsoft.com/office/drawing/2014/main" id="{2D2ED174-03BC-4A24-B64C-6B56EDC5A24D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7287" name="Line 28">
          <a:extLst>
            <a:ext uri="{FF2B5EF4-FFF2-40B4-BE49-F238E27FC236}">
              <a16:creationId xmlns:a16="http://schemas.microsoft.com/office/drawing/2014/main" id="{C80BA0BB-CE43-40D6-AD5A-0E95BDDA62CA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7288" name="Line 29">
          <a:extLst>
            <a:ext uri="{FF2B5EF4-FFF2-40B4-BE49-F238E27FC236}">
              <a16:creationId xmlns:a16="http://schemas.microsoft.com/office/drawing/2014/main" id="{B04B4FFD-A3E5-4D8F-AE36-E398FAB9DA2B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7289" name="Line 30">
          <a:extLst>
            <a:ext uri="{FF2B5EF4-FFF2-40B4-BE49-F238E27FC236}">
              <a16:creationId xmlns:a16="http://schemas.microsoft.com/office/drawing/2014/main" id="{7341B768-7F49-43F1-A48B-2E4AF0F0917D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7290" name="Line 31">
          <a:extLst>
            <a:ext uri="{FF2B5EF4-FFF2-40B4-BE49-F238E27FC236}">
              <a16:creationId xmlns:a16="http://schemas.microsoft.com/office/drawing/2014/main" id="{661765F6-4812-49C6-950A-C1EC890C6983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7291" name="Line 32">
          <a:extLst>
            <a:ext uri="{FF2B5EF4-FFF2-40B4-BE49-F238E27FC236}">
              <a16:creationId xmlns:a16="http://schemas.microsoft.com/office/drawing/2014/main" id="{1F3ADA72-DAF3-4D93-8D51-06DD38D2BDBF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7292" name="Line 33">
          <a:extLst>
            <a:ext uri="{FF2B5EF4-FFF2-40B4-BE49-F238E27FC236}">
              <a16:creationId xmlns:a16="http://schemas.microsoft.com/office/drawing/2014/main" id="{C8C82385-A8EA-4224-979D-96734D01FC37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7293" name="Line 34">
          <a:extLst>
            <a:ext uri="{FF2B5EF4-FFF2-40B4-BE49-F238E27FC236}">
              <a16:creationId xmlns:a16="http://schemas.microsoft.com/office/drawing/2014/main" id="{CD2EFDC5-BD88-44C7-8233-9BE15951494E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1990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7294" name="Line 35">
          <a:extLst>
            <a:ext uri="{FF2B5EF4-FFF2-40B4-BE49-F238E27FC236}">
              <a16:creationId xmlns:a16="http://schemas.microsoft.com/office/drawing/2014/main" id="{CB32A37E-FF6A-4E86-8AC8-8F58ECED8AD2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7295" name="Line 36">
          <a:extLst>
            <a:ext uri="{FF2B5EF4-FFF2-40B4-BE49-F238E27FC236}">
              <a16:creationId xmlns:a16="http://schemas.microsoft.com/office/drawing/2014/main" id="{0E68B2A9-B8B4-452F-8BA4-A7D9DEEA602F}"/>
            </a:ext>
          </a:extLst>
        </xdr:cNvPr>
        <xdr:cNvSpPr>
          <a:spLocks noChangeShapeType="1"/>
        </xdr:cNvSpPr>
      </xdr:nvSpPr>
      <xdr:spPr bwMode="auto">
        <a:xfrm flipV="1">
          <a:off x="103917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7296" name="Line 37">
          <a:extLst>
            <a:ext uri="{FF2B5EF4-FFF2-40B4-BE49-F238E27FC236}">
              <a16:creationId xmlns:a16="http://schemas.microsoft.com/office/drawing/2014/main" id="{AFBF7C5C-158F-441F-97D7-CBD9B03BC496}"/>
            </a:ext>
          </a:extLst>
        </xdr:cNvPr>
        <xdr:cNvSpPr>
          <a:spLocks noChangeShapeType="1"/>
        </xdr:cNvSpPr>
      </xdr:nvSpPr>
      <xdr:spPr bwMode="auto">
        <a:xfrm>
          <a:off x="96297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7297" name="Line 38">
          <a:extLst>
            <a:ext uri="{FF2B5EF4-FFF2-40B4-BE49-F238E27FC236}">
              <a16:creationId xmlns:a16="http://schemas.microsoft.com/office/drawing/2014/main" id="{2065CA10-943E-43D0-B750-09A711E826C1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7298" name="Line 39">
          <a:extLst>
            <a:ext uri="{FF2B5EF4-FFF2-40B4-BE49-F238E27FC236}">
              <a16:creationId xmlns:a16="http://schemas.microsoft.com/office/drawing/2014/main" id="{11725201-B389-49FC-962E-619B5295FBCA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7299" name="Line 40">
          <a:extLst>
            <a:ext uri="{FF2B5EF4-FFF2-40B4-BE49-F238E27FC236}">
              <a16:creationId xmlns:a16="http://schemas.microsoft.com/office/drawing/2014/main" id="{9675A0C0-2EC5-4B8F-B0B5-23FF189F7735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7300" name="Line 41">
          <a:extLst>
            <a:ext uri="{FF2B5EF4-FFF2-40B4-BE49-F238E27FC236}">
              <a16:creationId xmlns:a16="http://schemas.microsoft.com/office/drawing/2014/main" id="{7A2FF64B-3C43-457B-93AD-F90084986682}"/>
            </a:ext>
          </a:extLst>
        </xdr:cNvPr>
        <xdr:cNvSpPr>
          <a:spLocks noChangeShapeType="1"/>
        </xdr:cNvSpPr>
      </xdr:nvSpPr>
      <xdr:spPr bwMode="auto">
        <a:xfrm>
          <a:off x="110585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7301" name="Line 42">
          <a:extLst>
            <a:ext uri="{FF2B5EF4-FFF2-40B4-BE49-F238E27FC236}">
              <a16:creationId xmlns:a16="http://schemas.microsoft.com/office/drawing/2014/main" id="{9DB97036-6A0D-441C-AFA1-909FE3EE08F9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7302" name="Line 43">
          <a:extLst>
            <a:ext uri="{FF2B5EF4-FFF2-40B4-BE49-F238E27FC236}">
              <a16:creationId xmlns:a16="http://schemas.microsoft.com/office/drawing/2014/main" id="{44C78FDE-CA0B-4C27-959C-29F8AEFF0C1A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7303" name="Line 44">
          <a:extLst>
            <a:ext uri="{FF2B5EF4-FFF2-40B4-BE49-F238E27FC236}">
              <a16:creationId xmlns:a16="http://schemas.microsoft.com/office/drawing/2014/main" id="{B52DF589-F8BF-4D47-8BA5-55204E7582AC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7304" name="Line 45">
          <a:extLst>
            <a:ext uri="{FF2B5EF4-FFF2-40B4-BE49-F238E27FC236}">
              <a16:creationId xmlns:a16="http://schemas.microsoft.com/office/drawing/2014/main" id="{DACA2F0B-B2F8-44BD-98B7-1EAB48E2BB65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7305" name="Line 46">
          <a:extLst>
            <a:ext uri="{FF2B5EF4-FFF2-40B4-BE49-F238E27FC236}">
              <a16:creationId xmlns:a16="http://schemas.microsoft.com/office/drawing/2014/main" id="{ED400267-3BA3-4D52-AC2B-B8C1CE6C0088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7306" name="Line 47">
          <a:extLst>
            <a:ext uri="{FF2B5EF4-FFF2-40B4-BE49-F238E27FC236}">
              <a16:creationId xmlns:a16="http://schemas.microsoft.com/office/drawing/2014/main" id="{3513A50D-DFE3-4209-9AD1-040759524D09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7307" name="Line 48">
          <a:extLst>
            <a:ext uri="{FF2B5EF4-FFF2-40B4-BE49-F238E27FC236}">
              <a16:creationId xmlns:a16="http://schemas.microsoft.com/office/drawing/2014/main" id="{09ED6128-B075-4879-9D5A-8A33DA9EC53E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7308" name="Line 49">
          <a:extLst>
            <a:ext uri="{FF2B5EF4-FFF2-40B4-BE49-F238E27FC236}">
              <a16:creationId xmlns:a16="http://schemas.microsoft.com/office/drawing/2014/main" id="{A8AE0FCE-AE07-4DD3-ABC3-DDCD9FDAD51B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7309" name="Line 50">
          <a:extLst>
            <a:ext uri="{FF2B5EF4-FFF2-40B4-BE49-F238E27FC236}">
              <a16:creationId xmlns:a16="http://schemas.microsoft.com/office/drawing/2014/main" id="{0AD16F91-4045-486E-B8C6-C0CC842DBCEC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7310" name="Line 51">
          <a:extLst>
            <a:ext uri="{FF2B5EF4-FFF2-40B4-BE49-F238E27FC236}">
              <a16:creationId xmlns:a16="http://schemas.microsoft.com/office/drawing/2014/main" id="{2A7648B4-6ED9-4BC0-8D99-F15A71A9E913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7311" name="Line 52">
          <a:extLst>
            <a:ext uri="{FF2B5EF4-FFF2-40B4-BE49-F238E27FC236}">
              <a16:creationId xmlns:a16="http://schemas.microsoft.com/office/drawing/2014/main" id="{98F51D64-E8D6-48DB-A20F-1478C95E2E1F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7312" name="Line 53">
          <a:extLst>
            <a:ext uri="{FF2B5EF4-FFF2-40B4-BE49-F238E27FC236}">
              <a16:creationId xmlns:a16="http://schemas.microsoft.com/office/drawing/2014/main" id="{84C787F5-FE09-4C17-8910-C049905BA5FE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7313" name="Line 54">
          <a:extLst>
            <a:ext uri="{FF2B5EF4-FFF2-40B4-BE49-F238E27FC236}">
              <a16:creationId xmlns:a16="http://schemas.microsoft.com/office/drawing/2014/main" id="{43AEAFF4-4A8C-44F6-927F-567E8959300A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7314" name="Line 55">
          <a:extLst>
            <a:ext uri="{FF2B5EF4-FFF2-40B4-BE49-F238E27FC236}">
              <a16:creationId xmlns:a16="http://schemas.microsoft.com/office/drawing/2014/main" id="{BD2358FB-A1EA-4A51-961E-66BDEFC35B64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7315" name="Line 56">
          <a:extLst>
            <a:ext uri="{FF2B5EF4-FFF2-40B4-BE49-F238E27FC236}">
              <a16:creationId xmlns:a16="http://schemas.microsoft.com/office/drawing/2014/main" id="{ADE20688-0E12-4D22-B771-38CBAE8DF0E2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7316" name="Line 57">
          <a:extLst>
            <a:ext uri="{FF2B5EF4-FFF2-40B4-BE49-F238E27FC236}">
              <a16:creationId xmlns:a16="http://schemas.microsoft.com/office/drawing/2014/main" id="{BC809DF4-3977-4438-9AB6-C4CA136A8A94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7317" name="Line 58">
          <a:extLst>
            <a:ext uri="{FF2B5EF4-FFF2-40B4-BE49-F238E27FC236}">
              <a16:creationId xmlns:a16="http://schemas.microsoft.com/office/drawing/2014/main" id="{7E3786C8-3244-48B5-9DC0-334E24C3893D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7318" name="Line 59">
          <a:extLst>
            <a:ext uri="{FF2B5EF4-FFF2-40B4-BE49-F238E27FC236}">
              <a16:creationId xmlns:a16="http://schemas.microsoft.com/office/drawing/2014/main" id="{0BDB06B6-5203-499F-8F7A-2B4604F7A266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242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7319" name="Line 60">
          <a:extLst>
            <a:ext uri="{FF2B5EF4-FFF2-40B4-BE49-F238E27FC236}">
              <a16:creationId xmlns:a16="http://schemas.microsoft.com/office/drawing/2014/main" id="{FDFE3652-0EDD-4876-A983-CB8D4E4306F4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7320" name="Line 61">
          <a:extLst>
            <a:ext uri="{FF2B5EF4-FFF2-40B4-BE49-F238E27FC236}">
              <a16:creationId xmlns:a16="http://schemas.microsoft.com/office/drawing/2014/main" id="{53754226-1B48-44D7-82CE-F5D9A3F7BAC1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7321" name="Line 62">
          <a:extLst>
            <a:ext uri="{FF2B5EF4-FFF2-40B4-BE49-F238E27FC236}">
              <a16:creationId xmlns:a16="http://schemas.microsoft.com/office/drawing/2014/main" id="{24518E55-0922-4B55-8656-E8DC767A7B44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7322" name="Line 63">
          <a:extLst>
            <a:ext uri="{FF2B5EF4-FFF2-40B4-BE49-F238E27FC236}">
              <a16:creationId xmlns:a16="http://schemas.microsoft.com/office/drawing/2014/main" id="{BC555125-DD6D-4A3D-AD5B-85812BD096AD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7323" name="Line 64">
          <a:extLst>
            <a:ext uri="{FF2B5EF4-FFF2-40B4-BE49-F238E27FC236}">
              <a16:creationId xmlns:a16="http://schemas.microsoft.com/office/drawing/2014/main" id="{48772485-280F-48D8-ABA8-9FD9B843D7F3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7324" name="Line 65">
          <a:extLst>
            <a:ext uri="{FF2B5EF4-FFF2-40B4-BE49-F238E27FC236}">
              <a16:creationId xmlns:a16="http://schemas.microsoft.com/office/drawing/2014/main" id="{1349448A-E512-402A-A420-B14A9C3A0FD3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7325" name="Line 66">
          <a:extLst>
            <a:ext uri="{FF2B5EF4-FFF2-40B4-BE49-F238E27FC236}">
              <a16:creationId xmlns:a16="http://schemas.microsoft.com/office/drawing/2014/main" id="{2F4CB2C1-A038-426B-812B-A011A1771261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7326" name="Line 67">
          <a:extLst>
            <a:ext uri="{FF2B5EF4-FFF2-40B4-BE49-F238E27FC236}">
              <a16:creationId xmlns:a16="http://schemas.microsoft.com/office/drawing/2014/main" id="{6CAF1BB4-3F71-44CD-A7EF-95EEBB764B7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7327" name="Line 68">
          <a:extLst>
            <a:ext uri="{FF2B5EF4-FFF2-40B4-BE49-F238E27FC236}">
              <a16:creationId xmlns:a16="http://schemas.microsoft.com/office/drawing/2014/main" id="{721227C8-D837-4D18-AF16-2411FB861F2A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241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7328" name="Line 69">
          <a:extLst>
            <a:ext uri="{FF2B5EF4-FFF2-40B4-BE49-F238E27FC236}">
              <a16:creationId xmlns:a16="http://schemas.microsoft.com/office/drawing/2014/main" id="{2F415815-AA66-4B5F-BF5E-6367048037BC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7329" name="Line 70">
          <a:extLst>
            <a:ext uri="{FF2B5EF4-FFF2-40B4-BE49-F238E27FC236}">
              <a16:creationId xmlns:a16="http://schemas.microsoft.com/office/drawing/2014/main" id="{C02F352E-A456-4F64-B0FB-B297C3A3694A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7330" name="Line 71">
          <a:extLst>
            <a:ext uri="{FF2B5EF4-FFF2-40B4-BE49-F238E27FC236}">
              <a16:creationId xmlns:a16="http://schemas.microsoft.com/office/drawing/2014/main" id="{0D2926CA-0576-4BCF-8851-6C0437BC2381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7331" name="Line 72">
          <a:extLst>
            <a:ext uri="{FF2B5EF4-FFF2-40B4-BE49-F238E27FC236}">
              <a16:creationId xmlns:a16="http://schemas.microsoft.com/office/drawing/2014/main" id="{6F336C76-D6F3-4E60-98C9-477ACF8EE47B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7332" name="Line 73">
          <a:extLst>
            <a:ext uri="{FF2B5EF4-FFF2-40B4-BE49-F238E27FC236}">
              <a16:creationId xmlns:a16="http://schemas.microsoft.com/office/drawing/2014/main" id="{FC7E15DE-6A26-4559-A870-3B4B2FE9C7D1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7333" name="Line 74">
          <a:extLst>
            <a:ext uri="{FF2B5EF4-FFF2-40B4-BE49-F238E27FC236}">
              <a16:creationId xmlns:a16="http://schemas.microsoft.com/office/drawing/2014/main" id="{AF773255-9E93-492C-8C95-B9D2F33F00D0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7334" name="Line 75">
          <a:extLst>
            <a:ext uri="{FF2B5EF4-FFF2-40B4-BE49-F238E27FC236}">
              <a16:creationId xmlns:a16="http://schemas.microsoft.com/office/drawing/2014/main" id="{8B9E48BD-B531-4B7E-A82F-3B54A70A52AB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7335" name="Line 76">
          <a:extLst>
            <a:ext uri="{FF2B5EF4-FFF2-40B4-BE49-F238E27FC236}">
              <a16:creationId xmlns:a16="http://schemas.microsoft.com/office/drawing/2014/main" id="{9AB4A13C-A970-44D0-8C3B-9ED580003092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7336" name="Line 77">
          <a:extLst>
            <a:ext uri="{FF2B5EF4-FFF2-40B4-BE49-F238E27FC236}">
              <a16:creationId xmlns:a16="http://schemas.microsoft.com/office/drawing/2014/main" id="{36EB92DE-AD71-4AED-9B94-1B5A8960E1C4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7337" name="Line 78">
          <a:extLst>
            <a:ext uri="{FF2B5EF4-FFF2-40B4-BE49-F238E27FC236}">
              <a16:creationId xmlns:a16="http://schemas.microsoft.com/office/drawing/2014/main" id="{E7CB230C-19DE-448E-9881-E66318527D25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7338" name="Line 79">
          <a:extLst>
            <a:ext uri="{FF2B5EF4-FFF2-40B4-BE49-F238E27FC236}">
              <a16:creationId xmlns:a16="http://schemas.microsoft.com/office/drawing/2014/main" id="{0F292785-56B3-41D0-BA5E-C7A666EB478D}"/>
            </a:ext>
          </a:extLst>
        </xdr:cNvPr>
        <xdr:cNvSpPr>
          <a:spLocks noChangeShapeType="1"/>
        </xdr:cNvSpPr>
      </xdr:nvSpPr>
      <xdr:spPr bwMode="auto">
        <a:xfrm>
          <a:off x="103917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7339" name="Line 80">
          <a:extLst>
            <a:ext uri="{FF2B5EF4-FFF2-40B4-BE49-F238E27FC236}">
              <a16:creationId xmlns:a16="http://schemas.microsoft.com/office/drawing/2014/main" id="{7D208DAC-233D-4226-B172-563A8E997F07}"/>
            </a:ext>
          </a:extLst>
        </xdr:cNvPr>
        <xdr:cNvSpPr>
          <a:spLocks noChangeShapeType="1"/>
        </xdr:cNvSpPr>
      </xdr:nvSpPr>
      <xdr:spPr bwMode="auto">
        <a:xfrm>
          <a:off x="103917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7340" name="Line 81">
          <a:extLst>
            <a:ext uri="{FF2B5EF4-FFF2-40B4-BE49-F238E27FC236}">
              <a16:creationId xmlns:a16="http://schemas.microsoft.com/office/drawing/2014/main" id="{FF52203F-2472-48B2-8E17-7E5C7C32DF9E}"/>
            </a:ext>
          </a:extLst>
        </xdr:cNvPr>
        <xdr:cNvSpPr>
          <a:spLocks noChangeShapeType="1"/>
        </xdr:cNvSpPr>
      </xdr:nvSpPr>
      <xdr:spPr bwMode="auto">
        <a:xfrm>
          <a:off x="96297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7341" name="Line 82">
          <a:extLst>
            <a:ext uri="{FF2B5EF4-FFF2-40B4-BE49-F238E27FC236}">
              <a16:creationId xmlns:a16="http://schemas.microsoft.com/office/drawing/2014/main" id="{D3429853-53D5-4E18-B61D-B8AE08065226}"/>
            </a:ext>
          </a:extLst>
        </xdr:cNvPr>
        <xdr:cNvSpPr>
          <a:spLocks noChangeShapeType="1"/>
        </xdr:cNvSpPr>
      </xdr:nvSpPr>
      <xdr:spPr bwMode="auto">
        <a:xfrm>
          <a:off x="96297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7342" name="Line 83">
          <a:extLst>
            <a:ext uri="{FF2B5EF4-FFF2-40B4-BE49-F238E27FC236}">
              <a16:creationId xmlns:a16="http://schemas.microsoft.com/office/drawing/2014/main" id="{2053594A-B42C-4F6F-80FB-40B242523826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7343" name="Line 84">
          <a:extLst>
            <a:ext uri="{FF2B5EF4-FFF2-40B4-BE49-F238E27FC236}">
              <a16:creationId xmlns:a16="http://schemas.microsoft.com/office/drawing/2014/main" id="{CA329A90-7D78-478A-B668-C0AE1BDCBDC6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7344" name="Line 85">
          <a:extLst>
            <a:ext uri="{FF2B5EF4-FFF2-40B4-BE49-F238E27FC236}">
              <a16:creationId xmlns:a16="http://schemas.microsoft.com/office/drawing/2014/main" id="{2231300E-DAAB-4EFB-ADCA-1F1CA82C603B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7345" name="Line 86">
          <a:extLst>
            <a:ext uri="{FF2B5EF4-FFF2-40B4-BE49-F238E27FC236}">
              <a16:creationId xmlns:a16="http://schemas.microsoft.com/office/drawing/2014/main" id="{CB3F7CA6-57FE-4D5E-929A-23EEC9ED1133}"/>
            </a:ext>
          </a:extLst>
        </xdr:cNvPr>
        <xdr:cNvSpPr>
          <a:spLocks noChangeShapeType="1"/>
        </xdr:cNvSpPr>
      </xdr:nvSpPr>
      <xdr:spPr bwMode="auto">
        <a:xfrm>
          <a:off x="96297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7346" name="Line 87">
          <a:extLst>
            <a:ext uri="{FF2B5EF4-FFF2-40B4-BE49-F238E27FC236}">
              <a16:creationId xmlns:a16="http://schemas.microsoft.com/office/drawing/2014/main" id="{D9BA4124-6F64-4288-82D7-9929614C6A48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7347" name="Line 88">
          <a:extLst>
            <a:ext uri="{FF2B5EF4-FFF2-40B4-BE49-F238E27FC236}">
              <a16:creationId xmlns:a16="http://schemas.microsoft.com/office/drawing/2014/main" id="{21C84DA0-CF81-4DD4-90B4-35FE6731B6E8}"/>
            </a:ext>
          </a:extLst>
        </xdr:cNvPr>
        <xdr:cNvSpPr>
          <a:spLocks noChangeShapeType="1"/>
        </xdr:cNvSpPr>
      </xdr:nvSpPr>
      <xdr:spPr bwMode="auto">
        <a:xfrm>
          <a:off x="96297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7348" name="Line 89">
          <a:extLst>
            <a:ext uri="{FF2B5EF4-FFF2-40B4-BE49-F238E27FC236}">
              <a16:creationId xmlns:a16="http://schemas.microsoft.com/office/drawing/2014/main" id="{B783FEC3-81EC-43C9-B787-7F6CB296BC2F}"/>
            </a:ext>
          </a:extLst>
        </xdr:cNvPr>
        <xdr:cNvSpPr>
          <a:spLocks noChangeShapeType="1"/>
        </xdr:cNvSpPr>
      </xdr:nvSpPr>
      <xdr:spPr bwMode="auto">
        <a:xfrm>
          <a:off x="9629775" y="11287125"/>
          <a:ext cx="2981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7349" name="Line 90">
          <a:extLst>
            <a:ext uri="{FF2B5EF4-FFF2-40B4-BE49-F238E27FC236}">
              <a16:creationId xmlns:a16="http://schemas.microsoft.com/office/drawing/2014/main" id="{94BCE417-0157-4445-8638-AF6C1B504300}"/>
            </a:ext>
          </a:extLst>
        </xdr:cNvPr>
        <xdr:cNvSpPr>
          <a:spLocks noChangeShapeType="1"/>
        </xdr:cNvSpPr>
      </xdr:nvSpPr>
      <xdr:spPr bwMode="auto">
        <a:xfrm>
          <a:off x="97440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7350" name="Line 91">
          <a:extLst>
            <a:ext uri="{FF2B5EF4-FFF2-40B4-BE49-F238E27FC236}">
              <a16:creationId xmlns:a16="http://schemas.microsoft.com/office/drawing/2014/main" id="{F021DC6D-0DAF-4989-B73B-44B54D290CF5}"/>
            </a:ext>
          </a:extLst>
        </xdr:cNvPr>
        <xdr:cNvSpPr>
          <a:spLocks noChangeShapeType="1"/>
        </xdr:cNvSpPr>
      </xdr:nvSpPr>
      <xdr:spPr bwMode="auto">
        <a:xfrm flipV="1">
          <a:off x="97440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7351" name="Line 92">
          <a:extLst>
            <a:ext uri="{FF2B5EF4-FFF2-40B4-BE49-F238E27FC236}">
              <a16:creationId xmlns:a16="http://schemas.microsoft.com/office/drawing/2014/main" id="{BE2E31B8-D41C-4F8F-A244-25D1927C04B8}"/>
            </a:ext>
          </a:extLst>
        </xdr:cNvPr>
        <xdr:cNvSpPr>
          <a:spLocks noChangeShapeType="1"/>
        </xdr:cNvSpPr>
      </xdr:nvSpPr>
      <xdr:spPr bwMode="auto">
        <a:xfrm flipV="1">
          <a:off x="96297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7352" name="Line 93">
          <a:extLst>
            <a:ext uri="{FF2B5EF4-FFF2-40B4-BE49-F238E27FC236}">
              <a16:creationId xmlns:a16="http://schemas.microsoft.com/office/drawing/2014/main" id="{8CC62DA5-AC02-4FDA-9A16-D17F13D077C2}"/>
            </a:ext>
          </a:extLst>
        </xdr:cNvPr>
        <xdr:cNvSpPr>
          <a:spLocks noChangeShapeType="1"/>
        </xdr:cNvSpPr>
      </xdr:nvSpPr>
      <xdr:spPr bwMode="auto">
        <a:xfrm>
          <a:off x="97440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7353" name="Line 94">
          <a:extLst>
            <a:ext uri="{FF2B5EF4-FFF2-40B4-BE49-F238E27FC236}">
              <a16:creationId xmlns:a16="http://schemas.microsoft.com/office/drawing/2014/main" id="{B7B4B6CC-6DB7-4768-AEED-1C1CDEAA64D6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7354" name="Line 95">
          <a:extLst>
            <a:ext uri="{FF2B5EF4-FFF2-40B4-BE49-F238E27FC236}">
              <a16:creationId xmlns:a16="http://schemas.microsoft.com/office/drawing/2014/main" id="{2F61DB00-17BC-4F48-8E2F-E2F305A75735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7355" name="Line 96">
          <a:extLst>
            <a:ext uri="{FF2B5EF4-FFF2-40B4-BE49-F238E27FC236}">
              <a16:creationId xmlns:a16="http://schemas.microsoft.com/office/drawing/2014/main" id="{9BDBCAF4-9495-4346-B09E-00EB9D1D349C}"/>
            </a:ext>
          </a:extLst>
        </xdr:cNvPr>
        <xdr:cNvSpPr>
          <a:spLocks noChangeShapeType="1"/>
        </xdr:cNvSpPr>
      </xdr:nvSpPr>
      <xdr:spPr bwMode="auto">
        <a:xfrm>
          <a:off x="96297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7356" name="Line 97">
          <a:extLst>
            <a:ext uri="{FF2B5EF4-FFF2-40B4-BE49-F238E27FC236}">
              <a16:creationId xmlns:a16="http://schemas.microsoft.com/office/drawing/2014/main" id="{1FDC763F-3591-453A-8E52-D85D6073CEC7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7357" name="Line 98">
          <a:extLst>
            <a:ext uri="{FF2B5EF4-FFF2-40B4-BE49-F238E27FC236}">
              <a16:creationId xmlns:a16="http://schemas.microsoft.com/office/drawing/2014/main" id="{8FCBB4D8-3601-486C-A997-114B12070A3C}"/>
            </a:ext>
          </a:extLst>
        </xdr:cNvPr>
        <xdr:cNvSpPr>
          <a:spLocks noChangeShapeType="1"/>
        </xdr:cNvSpPr>
      </xdr:nvSpPr>
      <xdr:spPr bwMode="auto">
        <a:xfrm flipV="1">
          <a:off x="96297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7358" name="Line 99">
          <a:extLst>
            <a:ext uri="{FF2B5EF4-FFF2-40B4-BE49-F238E27FC236}">
              <a16:creationId xmlns:a16="http://schemas.microsoft.com/office/drawing/2014/main" id="{976D7D1F-DD31-41EE-8057-5616E2AA3582}"/>
            </a:ext>
          </a:extLst>
        </xdr:cNvPr>
        <xdr:cNvSpPr>
          <a:spLocks noChangeShapeType="1"/>
        </xdr:cNvSpPr>
      </xdr:nvSpPr>
      <xdr:spPr bwMode="auto">
        <a:xfrm>
          <a:off x="103917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7359" name="Line 100">
          <a:extLst>
            <a:ext uri="{FF2B5EF4-FFF2-40B4-BE49-F238E27FC236}">
              <a16:creationId xmlns:a16="http://schemas.microsoft.com/office/drawing/2014/main" id="{F6A51C8D-AD08-49F9-A745-F7F9F0EE17A4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1696" name="Line 101">
          <a:extLst>
            <a:ext uri="{FF2B5EF4-FFF2-40B4-BE49-F238E27FC236}">
              <a16:creationId xmlns:a16="http://schemas.microsoft.com/office/drawing/2014/main" id="{5398DFD3-F6F8-483F-B83C-AA2CDFA2413C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1697" name="Line 102">
          <a:extLst>
            <a:ext uri="{FF2B5EF4-FFF2-40B4-BE49-F238E27FC236}">
              <a16:creationId xmlns:a16="http://schemas.microsoft.com/office/drawing/2014/main" id="{A5B76843-1AC5-42B5-A033-8643DA704232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1698" name="Line 103">
          <a:extLst>
            <a:ext uri="{FF2B5EF4-FFF2-40B4-BE49-F238E27FC236}">
              <a16:creationId xmlns:a16="http://schemas.microsoft.com/office/drawing/2014/main" id="{6845DE6B-53A4-4912-9B3B-9F6DCAF89C1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1699" name="Line 104">
          <a:extLst>
            <a:ext uri="{FF2B5EF4-FFF2-40B4-BE49-F238E27FC236}">
              <a16:creationId xmlns:a16="http://schemas.microsoft.com/office/drawing/2014/main" id="{1892B75C-10A2-4AA2-872E-F68B52F24FC9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1700" name="Line 105">
          <a:extLst>
            <a:ext uri="{FF2B5EF4-FFF2-40B4-BE49-F238E27FC236}">
              <a16:creationId xmlns:a16="http://schemas.microsoft.com/office/drawing/2014/main" id="{8E13FDC4-4207-4468-ACCE-41F503D3207F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1701" name="Line 106">
          <a:extLst>
            <a:ext uri="{FF2B5EF4-FFF2-40B4-BE49-F238E27FC236}">
              <a16:creationId xmlns:a16="http://schemas.microsoft.com/office/drawing/2014/main" id="{538A7565-DCE3-4F76-B53E-91FCBA565AEC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1702" name="Line 107">
          <a:extLst>
            <a:ext uri="{FF2B5EF4-FFF2-40B4-BE49-F238E27FC236}">
              <a16:creationId xmlns:a16="http://schemas.microsoft.com/office/drawing/2014/main" id="{69573329-92C2-470E-8C8F-32CB0F0AF466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1703" name="Line 108">
          <a:extLst>
            <a:ext uri="{FF2B5EF4-FFF2-40B4-BE49-F238E27FC236}">
              <a16:creationId xmlns:a16="http://schemas.microsoft.com/office/drawing/2014/main" id="{8B1EFEAC-BB1D-476B-935E-062A20D1824B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1704" name="Line 109">
          <a:extLst>
            <a:ext uri="{FF2B5EF4-FFF2-40B4-BE49-F238E27FC236}">
              <a16:creationId xmlns:a16="http://schemas.microsoft.com/office/drawing/2014/main" id="{5340CC24-82EE-46BF-975C-4E74467583E4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1705" name="Line 110">
          <a:extLst>
            <a:ext uri="{FF2B5EF4-FFF2-40B4-BE49-F238E27FC236}">
              <a16:creationId xmlns:a16="http://schemas.microsoft.com/office/drawing/2014/main" id="{E79920C5-2CA7-4805-9541-AC72FACDA44A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1706" name="Line 111">
          <a:extLst>
            <a:ext uri="{FF2B5EF4-FFF2-40B4-BE49-F238E27FC236}">
              <a16:creationId xmlns:a16="http://schemas.microsoft.com/office/drawing/2014/main" id="{BE7E0C1A-6D77-421A-8F4F-75087AF3D3D2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1707" name="Line 112">
          <a:extLst>
            <a:ext uri="{FF2B5EF4-FFF2-40B4-BE49-F238E27FC236}">
              <a16:creationId xmlns:a16="http://schemas.microsoft.com/office/drawing/2014/main" id="{B924EB17-D766-48AC-9A26-EAE167EE2DBD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1708" name="Line 113">
          <a:extLst>
            <a:ext uri="{FF2B5EF4-FFF2-40B4-BE49-F238E27FC236}">
              <a16:creationId xmlns:a16="http://schemas.microsoft.com/office/drawing/2014/main" id="{9C3B628F-3C2C-496F-917D-3C31481772C4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524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1709" name="Line 114">
          <a:extLst>
            <a:ext uri="{FF2B5EF4-FFF2-40B4-BE49-F238E27FC236}">
              <a16:creationId xmlns:a16="http://schemas.microsoft.com/office/drawing/2014/main" id="{62319092-F260-4BF7-8167-210BF6FB2E9D}"/>
            </a:ext>
          </a:extLst>
        </xdr:cNvPr>
        <xdr:cNvSpPr>
          <a:spLocks noChangeShapeType="1"/>
        </xdr:cNvSpPr>
      </xdr:nvSpPr>
      <xdr:spPr bwMode="auto">
        <a:xfrm flipV="1">
          <a:off x="96297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29308" name="Line 1">
          <a:extLst>
            <a:ext uri="{FF2B5EF4-FFF2-40B4-BE49-F238E27FC236}">
              <a16:creationId xmlns:a16="http://schemas.microsoft.com/office/drawing/2014/main" id="{8E525682-392B-454C-B1BC-44714CDD5A58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29309" name="Line 2">
          <a:extLst>
            <a:ext uri="{FF2B5EF4-FFF2-40B4-BE49-F238E27FC236}">
              <a16:creationId xmlns:a16="http://schemas.microsoft.com/office/drawing/2014/main" id="{AF1F308D-644B-4B21-9628-4FACC5D2AD5A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29310" name="Line 3">
          <a:extLst>
            <a:ext uri="{FF2B5EF4-FFF2-40B4-BE49-F238E27FC236}">
              <a16:creationId xmlns:a16="http://schemas.microsoft.com/office/drawing/2014/main" id="{D8ECD5FE-5A89-4DF3-B5A2-83113758FD8F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29311" name="Line 4">
          <a:extLst>
            <a:ext uri="{FF2B5EF4-FFF2-40B4-BE49-F238E27FC236}">
              <a16:creationId xmlns:a16="http://schemas.microsoft.com/office/drawing/2014/main" id="{4CA1C667-8DE9-4639-91D3-1D2346929E04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29312" name="Line 5">
          <a:extLst>
            <a:ext uri="{FF2B5EF4-FFF2-40B4-BE49-F238E27FC236}">
              <a16:creationId xmlns:a16="http://schemas.microsoft.com/office/drawing/2014/main" id="{59263294-3BDB-47D7-A254-43FBD9E1BD65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29313" name="Line 6">
          <a:extLst>
            <a:ext uri="{FF2B5EF4-FFF2-40B4-BE49-F238E27FC236}">
              <a16:creationId xmlns:a16="http://schemas.microsoft.com/office/drawing/2014/main" id="{343C16D0-999C-4F7C-910F-71D599AE0ADA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29314" name="Line 7">
          <a:extLst>
            <a:ext uri="{FF2B5EF4-FFF2-40B4-BE49-F238E27FC236}">
              <a16:creationId xmlns:a16="http://schemas.microsoft.com/office/drawing/2014/main" id="{82FC3616-D3D2-477B-A123-E63377D4D4F6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29315" name="Line 8">
          <a:extLst>
            <a:ext uri="{FF2B5EF4-FFF2-40B4-BE49-F238E27FC236}">
              <a16:creationId xmlns:a16="http://schemas.microsoft.com/office/drawing/2014/main" id="{16E89688-3219-423A-ADDC-C91750D5BFF1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29316" name="Line 9">
          <a:extLst>
            <a:ext uri="{FF2B5EF4-FFF2-40B4-BE49-F238E27FC236}">
              <a16:creationId xmlns:a16="http://schemas.microsoft.com/office/drawing/2014/main" id="{954EA91A-4890-4556-BED9-FC0655F3010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29317" name="Line 10">
          <a:extLst>
            <a:ext uri="{FF2B5EF4-FFF2-40B4-BE49-F238E27FC236}">
              <a16:creationId xmlns:a16="http://schemas.microsoft.com/office/drawing/2014/main" id="{992EB623-6C0A-450E-B948-89AE43A524C0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29318" name="Line 11">
          <a:extLst>
            <a:ext uri="{FF2B5EF4-FFF2-40B4-BE49-F238E27FC236}">
              <a16:creationId xmlns:a16="http://schemas.microsoft.com/office/drawing/2014/main" id="{4E61DE29-B548-4F1C-9C24-DAB3D8E9BDDA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29319" name="Line 12">
          <a:extLst>
            <a:ext uri="{FF2B5EF4-FFF2-40B4-BE49-F238E27FC236}">
              <a16:creationId xmlns:a16="http://schemas.microsoft.com/office/drawing/2014/main" id="{E7479F0F-6663-4D59-BE90-E94987983564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29320" name="Line 13">
          <a:extLst>
            <a:ext uri="{FF2B5EF4-FFF2-40B4-BE49-F238E27FC236}">
              <a16:creationId xmlns:a16="http://schemas.microsoft.com/office/drawing/2014/main" id="{9F29250E-75DB-4FB2-8CB6-E79C666AD027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669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29321" name="Line 14">
          <a:extLst>
            <a:ext uri="{FF2B5EF4-FFF2-40B4-BE49-F238E27FC236}">
              <a16:creationId xmlns:a16="http://schemas.microsoft.com/office/drawing/2014/main" id="{C9E1AD6B-D700-43FE-BBCA-A8E421D19957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29322" name="Line 15">
          <a:extLst>
            <a:ext uri="{FF2B5EF4-FFF2-40B4-BE49-F238E27FC236}">
              <a16:creationId xmlns:a16="http://schemas.microsoft.com/office/drawing/2014/main" id="{891DF931-6E79-4C89-9B82-C6EE1A6C3726}"/>
            </a:ext>
          </a:extLst>
        </xdr:cNvPr>
        <xdr:cNvSpPr>
          <a:spLocks noChangeShapeType="1"/>
        </xdr:cNvSpPr>
      </xdr:nvSpPr>
      <xdr:spPr bwMode="auto">
        <a:xfrm>
          <a:off x="104679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29323" name="Line 16">
          <a:extLst>
            <a:ext uri="{FF2B5EF4-FFF2-40B4-BE49-F238E27FC236}">
              <a16:creationId xmlns:a16="http://schemas.microsoft.com/office/drawing/2014/main" id="{B242EEDE-8EDD-4CD6-AE28-AC355757C0ED}"/>
            </a:ext>
          </a:extLst>
        </xdr:cNvPr>
        <xdr:cNvSpPr>
          <a:spLocks noChangeShapeType="1"/>
        </xdr:cNvSpPr>
      </xdr:nvSpPr>
      <xdr:spPr bwMode="auto">
        <a:xfrm>
          <a:off x="104679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29324" name="Line 17">
          <a:extLst>
            <a:ext uri="{FF2B5EF4-FFF2-40B4-BE49-F238E27FC236}">
              <a16:creationId xmlns:a16="http://schemas.microsoft.com/office/drawing/2014/main" id="{E65939F6-1FAE-44D5-912C-A33B820DA919}"/>
            </a:ext>
          </a:extLst>
        </xdr:cNvPr>
        <xdr:cNvSpPr>
          <a:spLocks noChangeShapeType="1"/>
        </xdr:cNvSpPr>
      </xdr:nvSpPr>
      <xdr:spPr bwMode="auto">
        <a:xfrm>
          <a:off x="97059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29325" name="Line 18">
          <a:extLst>
            <a:ext uri="{FF2B5EF4-FFF2-40B4-BE49-F238E27FC236}">
              <a16:creationId xmlns:a16="http://schemas.microsoft.com/office/drawing/2014/main" id="{A8B30CEC-DBFD-46E3-8031-715D03FAB7F5}"/>
            </a:ext>
          </a:extLst>
        </xdr:cNvPr>
        <xdr:cNvSpPr>
          <a:spLocks noChangeShapeType="1"/>
        </xdr:cNvSpPr>
      </xdr:nvSpPr>
      <xdr:spPr bwMode="auto">
        <a:xfrm>
          <a:off x="104679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29326" name="Line 19">
          <a:extLst>
            <a:ext uri="{FF2B5EF4-FFF2-40B4-BE49-F238E27FC236}">
              <a16:creationId xmlns:a16="http://schemas.microsoft.com/office/drawing/2014/main" id="{A21954CD-9E5A-4496-B5C5-FC37FC7C4AF5}"/>
            </a:ext>
          </a:extLst>
        </xdr:cNvPr>
        <xdr:cNvSpPr>
          <a:spLocks noChangeShapeType="1"/>
        </xdr:cNvSpPr>
      </xdr:nvSpPr>
      <xdr:spPr bwMode="auto">
        <a:xfrm>
          <a:off x="104679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29327" name="Line 20">
          <a:extLst>
            <a:ext uri="{FF2B5EF4-FFF2-40B4-BE49-F238E27FC236}">
              <a16:creationId xmlns:a16="http://schemas.microsoft.com/office/drawing/2014/main" id="{748FB869-CD93-4DD6-920A-62EF22FCD616}"/>
            </a:ext>
          </a:extLst>
        </xdr:cNvPr>
        <xdr:cNvSpPr>
          <a:spLocks noChangeShapeType="1"/>
        </xdr:cNvSpPr>
      </xdr:nvSpPr>
      <xdr:spPr bwMode="auto">
        <a:xfrm>
          <a:off x="97059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9328" name="Line 21">
          <a:extLst>
            <a:ext uri="{FF2B5EF4-FFF2-40B4-BE49-F238E27FC236}">
              <a16:creationId xmlns:a16="http://schemas.microsoft.com/office/drawing/2014/main" id="{482BCB7C-5015-4246-A277-138184E15B50}"/>
            </a:ext>
          </a:extLst>
        </xdr:cNvPr>
        <xdr:cNvSpPr>
          <a:spLocks noChangeShapeType="1"/>
        </xdr:cNvSpPr>
      </xdr:nvSpPr>
      <xdr:spPr bwMode="auto">
        <a:xfrm>
          <a:off x="104679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29329" name="Line 22">
          <a:extLst>
            <a:ext uri="{FF2B5EF4-FFF2-40B4-BE49-F238E27FC236}">
              <a16:creationId xmlns:a16="http://schemas.microsoft.com/office/drawing/2014/main" id="{00FD55A5-038B-4A3B-A7C6-751CAC2B004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9330" name="Line 23">
          <a:extLst>
            <a:ext uri="{FF2B5EF4-FFF2-40B4-BE49-F238E27FC236}">
              <a16:creationId xmlns:a16="http://schemas.microsoft.com/office/drawing/2014/main" id="{0D7654D1-9135-4A82-93A9-F3AB6E2C953B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29331" name="Line 24">
          <a:extLst>
            <a:ext uri="{FF2B5EF4-FFF2-40B4-BE49-F238E27FC236}">
              <a16:creationId xmlns:a16="http://schemas.microsoft.com/office/drawing/2014/main" id="{3845A481-9B2C-4E64-A507-D01CC70B5E70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29332" name="Line 25">
          <a:extLst>
            <a:ext uri="{FF2B5EF4-FFF2-40B4-BE49-F238E27FC236}">
              <a16:creationId xmlns:a16="http://schemas.microsoft.com/office/drawing/2014/main" id="{69FC97E0-4F17-4A8E-9E53-E38B063EA388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29333" name="Line 26">
          <a:extLst>
            <a:ext uri="{FF2B5EF4-FFF2-40B4-BE49-F238E27FC236}">
              <a16:creationId xmlns:a16="http://schemas.microsoft.com/office/drawing/2014/main" id="{1567DFFD-2EEF-4163-988B-494EBC81F51F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29334" name="Line 27">
          <a:extLst>
            <a:ext uri="{FF2B5EF4-FFF2-40B4-BE49-F238E27FC236}">
              <a16:creationId xmlns:a16="http://schemas.microsoft.com/office/drawing/2014/main" id="{DD3042F8-44B2-4688-847E-6A1E0DEDA264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29335" name="Line 28">
          <a:extLst>
            <a:ext uri="{FF2B5EF4-FFF2-40B4-BE49-F238E27FC236}">
              <a16:creationId xmlns:a16="http://schemas.microsoft.com/office/drawing/2014/main" id="{F3DAC276-6B08-42CF-9D52-5BD223F87F5E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29336" name="Line 29">
          <a:extLst>
            <a:ext uri="{FF2B5EF4-FFF2-40B4-BE49-F238E27FC236}">
              <a16:creationId xmlns:a16="http://schemas.microsoft.com/office/drawing/2014/main" id="{13304ED6-FC28-442F-AFFA-2263BC9E5651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29337" name="Line 30">
          <a:extLst>
            <a:ext uri="{FF2B5EF4-FFF2-40B4-BE49-F238E27FC236}">
              <a16:creationId xmlns:a16="http://schemas.microsoft.com/office/drawing/2014/main" id="{ABF03985-7930-41F7-996B-8C325639A38A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9338" name="Line 31">
          <a:extLst>
            <a:ext uri="{FF2B5EF4-FFF2-40B4-BE49-F238E27FC236}">
              <a16:creationId xmlns:a16="http://schemas.microsoft.com/office/drawing/2014/main" id="{1B296628-3723-44F6-B011-B0EA2356F017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20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29339" name="Line 32">
          <a:extLst>
            <a:ext uri="{FF2B5EF4-FFF2-40B4-BE49-F238E27FC236}">
              <a16:creationId xmlns:a16="http://schemas.microsoft.com/office/drawing/2014/main" id="{AF47CEE8-E55B-4C42-AA64-AEBD3C4DC9CC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29340" name="Line 33">
          <a:extLst>
            <a:ext uri="{FF2B5EF4-FFF2-40B4-BE49-F238E27FC236}">
              <a16:creationId xmlns:a16="http://schemas.microsoft.com/office/drawing/2014/main" id="{92676887-86C5-429F-B47E-2DEBA92FD4D2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29341" name="Line 34">
          <a:extLst>
            <a:ext uri="{FF2B5EF4-FFF2-40B4-BE49-F238E27FC236}">
              <a16:creationId xmlns:a16="http://schemas.microsoft.com/office/drawing/2014/main" id="{DD8AD3C4-A941-4025-8E64-0F2B1FF688A9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669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29342" name="Line 35">
          <a:extLst>
            <a:ext uri="{FF2B5EF4-FFF2-40B4-BE49-F238E27FC236}">
              <a16:creationId xmlns:a16="http://schemas.microsoft.com/office/drawing/2014/main" id="{B32CAD50-0828-47B8-9702-1E5543F93A40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29343" name="Line 36">
          <a:extLst>
            <a:ext uri="{FF2B5EF4-FFF2-40B4-BE49-F238E27FC236}">
              <a16:creationId xmlns:a16="http://schemas.microsoft.com/office/drawing/2014/main" id="{15C93ED6-448F-4C8E-B63D-CC5556388890}"/>
            </a:ext>
          </a:extLst>
        </xdr:cNvPr>
        <xdr:cNvSpPr>
          <a:spLocks noChangeShapeType="1"/>
        </xdr:cNvSpPr>
      </xdr:nvSpPr>
      <xdr:spPr bwMode="auto">
        <a:xfrm flipV="1">
          <a:off x="104679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29344" name="Line 37">
          <a:extLst>
            <a:ext uri="{FF2B5EF4-FFF2-40B4-BE49-F238E27FC236}">
              <a16:creationId xmlns:a16="http://schemas.microsoft.com/office/drawing/2014/main" id="{68F30085-C895-4FB5-A8AB-43B9DE6BC68C}"/>
            </a:ext>
          </a:extLst>
        </xdr:cNvPr>
        <xdr:cNvSpPr>
          <a:spLocks noChangeShapeType="1"/>
        </xdr:cNvSpPr>
      </xdr:nvSpPr>
      <xdr:spPr bwMode="auto">
        <a:xfrm>
          <a:off x="97059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29345" name="Line 38">
          <a:extLst>
            <a:ext uri="{FF2B5EF4-FFF2-40B4-BE49-F238E27FC236}">
              <a16:creationId xmlns:a16="http://schemas.microsoft.com/office/drawing/2014/main" id="{30A0A006-F644-49E6-9D62-97B23CF454A2}"/>
            </a:ext>
          </a:extLst>
        </xdr:cNvPr>
        <xdr:cNvSpPr>
          <a:spLocks noChangeShapeType="1"/>
        </xdr:cNvSpPr>
      </xdr:nvSpPr>
      <xdr:spPr bwMode="auto">
        <a:xfrm>
          <a:off x="118967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29346" name="Line 39">
          <a:extLst>
            <a:ext uri="{FF2B5EF4-FFF2-40B4-BE49-F238E27FC236}">
              <a16:creationId xmlns:a16="http://schemas.microsoft.com/office/drawing/2014/main" id="{84A76F8E-3AB2-4156-9D6F-D82F9ECB5929}"/>
            </a:ext>
          </a:extLst>
        </xdr:cNvPr>
        <xdr:cNvSpPr>
          <a:spLocks noChangeShapeType="1"/>
        </xdr:cNvSpPr>
      </xdr:nvSpPr>
      <xdr:spPr bwMode="auto">
        <a:xfrm>
          <a:off x="118967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29347" name="Line 40">
          <a:extLst>
            <a:ext uri="{FF2B5EF4-FFF2-40B4-BE49-F238E27FC236}">
              <a16:creationId xmlns:a16="http://schemas.microsoft.com/office/drawing/2014/main" id="{2248E0B5-0C3F-4D36-B943-D14357929332}"/>
            </a:ext>
          </a:extLst>
        </xdr:cNvPr>
        <xdr:cNvSpPr>
          <a:spLocks noChangeShapeType="1"/>
        </xdr:cNvSpPr>
      </xdr:nvSpPr>
      <xdr:spPr bwMode="auto">
        <a:xfrm>
          <a:off x="118967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29348" name="Line 41">
          <a:extLst>
            <a:ext uri="{FF2B5EF4-FFF2-40B4-BE49-F238E27FC236}">
              <a16:creationId xmlns:a16="http://schemas.microsoft.com/office/drawing/2014/main" id="{9A632A3C-8076-4F0A-8FBB-2F7C967527AA}"/>
            </a:ext>
          </a:extLst>
        </xdr:cNvPr>
        <xdr:cNvSpPr>
          <a:spLocks noChangeShapeType="1"/>
        </xdr:cNvSpPr>
      </xdr:nvSpPr>
      <xdr:spPr bwMode="auto">
        <a:xfrm>
          <a:off x="111347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29349" name="Line 42">
          <a:extLst>
            <a:ext uri="{FF2B5EF4-FFF2-40B4-BE49-F238E27FC236}">
              <a16:creationId xmlns:a16="http://schemas.microsoft.com/office/drawing/2014/main" id="{2AE7E18D-2168-4FEB-90BB-5C56A90EFB1F}"/>
            </a:ext>
          </a:extLst>
        </xdr:cNvPr>
        <xdr:cNvSpPr>
          <a:spLocks noChangeShapeType="1"/>
        </xdr:cNvSpPr>
      </xdr:nvSpPr>
      <xdr:spPr bwMode="auto">
        <a:xfrm>
          <a:off x="144589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29350" name="Line 43">
          <a:extLst>
            <a:ext uri="{FF2B5EF4-FFF2-40B4-BE49-F238E27FC236}">
              <a16:creationId xmlns:a16="http://schemas.microsoft.com/office/drawing/2014/main" id="{514C106F-B0C7-4FE3-97AE-62F240C63D95}"/>
            </a:ext>
          </a:extLst>
        </xdr:cNvPr>
        <xdr:cNvSpPr>
          <a:spLocks noChangeShapeType="1"/>
        </xdr:cNvSpPr>
      </xdr:nvSpPr>
      <xdr:spPr bwMode="auto">
        <a:xfrm>
          <a:off x="144589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29351" name="Line 44">
          <a:extLst>
            <a:ext uri="{FF2B5EF4-FFF2-40B4-BE49-F238E27FC236}">
              <a16:creationId xmlns:a16="http://schemas.microsoft.com/office/drawing/2014/main" id="{C9704C8D-EBFD-4C45-B9E2-CF3F93C95A87}"/>
            </a:ext>
          </a:extLst>
        </xdr:cNvPr>
        <xdr:cNvSpPr>
          <a:spLocks noChangeShapeType="1"/>
        </xdr:cNvSpPr>
      </xdr:nvSpPr>
      <xdr:spPr bwMode="auto">
        <a:xfrm>
          <a:off x="140398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29352" name="Line 45">
          <a:extLst>
            <a:ext uri="{FF2B5EF4-FFF2-40B4-BE49-F238E27FC236}">
              <a16:creationId xmlns:a16="http://schemas.microsoft.com/office/drawing/2014/main" id="{45A7E7F8-7D10-4BB9-8974-E087E9C91FAF}"/>
            </a:ext>
          </a:extLst>
        </xdr:cNvPr>
        <xdr:cNvSpPr>
          <a:spLocks noChangeShapeType="1"/>
        </xdr:cNvSpPr>
      </xdr:nvSpPr>
      <xdr:spPr bwMode="auto">
        <a:xfrm>
          <a:off x="144589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29353" name="Line 46">
          <a:extLst>
            <a:ext uri="{FF2B5EF4-FFF2-40B4-BE49-F238E27FC236}">
              <a16:creationId xmlns:a16="http://schemas.microsoft.com/office/drawing/2014/main" id="{6379345F-B314-46C6-B35C-2FFB5EA316E1}"/>
            </a:ext>
          </a:extLst>
        </xdr:cNvPr>
        <xdr:cNvSpPr>
          <a:spLocks noChangeShapeType="1"/>
        </xdr:cNvSpPr>
      </xdr:nvSpPr>
      <xdr:spPr bwMode="auto">
        <a:xfrm>
          <a:off x="144589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29354" name="Line 47">
          <a:extLst>
            <a:ext uri="{FF2B5EF4-FFF2-40B4-BE49-F238E27FC236}">
              <a16:creationId xmlns:a16="http://schemas.microsoft.com/office/drawing/2014/main" id="{AB7D6120-A6E8-4A9B-BD61-207382F9C8FE}"/>
            </a:ext>
          </a:extLst>
        </xdr:cNvPr>
        <xdr:cNvSpPr>
          <a:spLocks noChangeShapeType="1"/>
        </xdr:cNvSpPr>
      </xdr:nvSpPr>
      <xdr:spPr bwMode="auto">
        <a:xfrm>
          <a:off x="140398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29355" name="Line 48">
          <a:extLst>
            <a:ext uri="{FF2B5EF4-FFF2-40B4-BE49-F238E27FC236}">
              <a16:creationId xmlns:a16="http://schemas.microsoft.com/office/drawing/2014/main" id="{68C7DD91-F9C1-4FB9-B1F7-40DBDDE0EF2B}"/>
            </a:ext>
          </a:extLst>
        </xdr:cNvPr>
        <xdr:cNvSpPr>
          <a:spLocks noChangeShapeType="1"/>
        </xdr:cNvSpPr>
      </xdr:nvSpPr>
      <xdr:spPr bwMode="auto">
        <a:xfrm>
          <a:off x="144589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29356" name="Line 49">
          <a:extLst>
            <a:ext uri="{FF2B5EF4-FFF2-40B4-BE49-F238E27FC236}">
              <a16:creationId xmlns:a16="http://schemas.microsoft.com/office/drawing/2014/main" id="{AEC05BC7-4230-4710-92CD-AE7E0A8059F8}"/>
            </a:ext>
          </a:extLst>
        </xdr:cNvPr>
        <xdr:cNvSpPr>
          <a:spLocks noChangeShapeType="1"/>
        </xdr:cNvSpPr>
      </xdr:nvSpPr>
      <xdr:spPr bwMode="auto">
        <a:xfrm>
          <a:off x="140398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29357" name="Line 50">
          <a:extLst>
            <a:ext uri="{FF2B5EF4-FFF2-40B4-BE49-F238E27FC236}">
              <a16:creationId xmlns:a16="http://schemas.microsoft.com/office/drawing/2014/main" id="{420E3350-7283-4770-ADF3-F3F0A64BC81D}"/>
            </a:ext>
          </a:extLst>
        </xdr:cNvPr>
        <xdr:cNvSpPr>
          <a:spLocks noChangeShapeType="1"/>
        </xdr:cNvSpPr>
      </xdr:nvSpPr>
      <xdr:spPr bwMode="auto">
        <a:xfrm flipV="1">
          <a:off x="144589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29358" name="Line 51">
          <a:extLst>
            <a:ext uri="{FF2B5EF4-FFF2-40B4-BE49-F238E27FC236}">
              <a16:creationId xmlns:a16="http://schemas.microsoft.com/office/drawing/2014/main" id="{BBEC5FA7-A4F9-45CD-A51D-4B8E6F00D6EF}"/>
            </a:ext>
          </a:extLst>
        </xdr:cNvPr>
        <xdr:cNvSpPr>
          <a:spLocks noChangeShapeType="1"/>
        </xdr:cNvSpPr>
      </xdr:nvSpPr>
      <xdr:spPr bwMode="auto">
        <a:xfrm flipV="1">
          <a:off x="140398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29359" name="Line 52">
          <a:extLst>
            <a:ext uri="{FF2B5EF4-FFF2-40B4-BE49-F238E27FC236}">
              <a16:creationId xmlns:a16="http://schemas.microsoft.com/office/drawing/2014/main" id="{FF6FD641-36C9-43F4-8E3C-F7EE8486FF60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29360" name="Line 53">
          <a:extLst>
            <a:ext uri="{FF2B5EF4-FFF2-40B4-BE49-F238E27FC236}">
              <a16:creationId xmlns:a16="http://schemas.microsoft.com/office/drawing/2014/main" id="{15EF57F2-B660-430D-B30C-9F8DADA1D70B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9361" name="Line 54">
          <a:extLst>
            <a:ext uri="{FF2B5EF4-FFF2-40B4-BE49-F238E27FC236}">
              <a16:creationId xmlns:a16="http://schemas.microsoft.com/office/drawing/2014/main" id="{81054600-A22C-4A10-83FD-CCFF1C74DFA9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9362" name="Line 55">
          <a:extLst>
            <a:ext uri="{FF2B5EF4-FFF2-40B4-BE49-F238E27FC236}">
              <a16:creationId xmlns:a16="http://schemas.microsoft.com/office/drawing/2014/main" id="{E03E285B-CD04-4213-BD3B-FAF5DE5BCFAB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29363" name="Line 56">
          <a:extLst>
            <a:ext uri="{FF2B5EF4-FFF2-40B4-BE49-F238E27FC236}">
              <a16:creationId xmlns:a16="http://schemas.microsoft.com/office/drawing/2014/main" id="{97B03E29-E213-4D7D-A81D-7ACC75ECD7ED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29364" name="Line 57">
          <a:extLst>
            <a:ext uri="{FF2B5EF4-FFF2-40B4-BE49-F238E27FC236}">
              <a16:creationId xmlns:a16="http://schemas.microsoft.com/office/drawing/2014/main" id="{B5B32076-1F3B-4773-9908-34969160909F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29365" name="Line 58">
          <a:extLst>
            <a:ext uri="{FF2B5EF4-FFF2-40B4-BE49-F238E27FC236}">
              <a16:creationId xmlns:a16="http://schemas.microsoft.com/office/drawing/2014/main" id="{D3655CC0-6832-44D1-A74A-8F41D279CBF7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29366" name="Line 59">
          <a:extLst>
            <a:ext uri="{FF2B5EF4-FFF2-40B4-BE49-F238E27FC236}">
              <a16:creationId xmlns:a16="http://schemas.microsoft.com/office/drawing/2014/main" id="{835B9477-3F3B-4343-AB0C-B17B0BBC89F9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20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29367" name="Line 60">
          <a:extLst>
            <a:ext uri="{FF2B5EF4-FFF2-40B4-BE49-F238E27FC236}">
              <a16:creationId xmlns:a16="http://schemas.microsoft.com/office/drawing/2014/main" id="{657CD8D2-F46A-462A-9247-E7CCB5819879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29368" name="Line 61">
          <a:extLst>
            <a:ext uri="{FF2B5EF4-FFF2-40B4-BE49-F238E27FC236}">
              <a16:creationId xmlns:a16="http://schemas.microsoft.com/office/drawing/2014/main" id="{30CC7AD8-141C-4F6C-894D-7F89A427B583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29369" name="Line 62">
          <a:extLst>
            <a:ext uri="{FF2B5EF4-FFF2-40B4-BE49-F238E27FC236}">
              <a16:creationId xmlns:a16="http://schemas.microsoft.com/office/drawing/2014/main" id="{891A1BDF-E441-4EAB-AE59-EEA1B196FF9B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29370" name="Line 63">
          <a:extLst>
            <a:ext uri="{FF2B5EF4-FFF2-40B4-BE49-F238E27FC236}">
              <a16:creationId xmlns:a16="http://schemas.microsoft.com/office/drawing/2014/main" id="{7C4DAE67-4495-4895-B097-23D10A80C585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29371" name="Line 64">
          <a:extLst>
            <a:ext uri="{FF2B5EF4-FFF2-40B4-BE49-F238E27FC236}">
              <a16:creationId xmlns:a16="http://schemas.microsoft.com/office/drawing/2014/main" id="{14F210A6-8BE5-4A2F-B467-D719D32A7FB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29372" name="Line 65">
          <a:extLst>
            <a:ext uri="{FF2B5EF4-FFF2-40B4-BE49-F238E27FC236}">
              <a16:creationId xmlns:a16="http://schemas.microsoft.com/office/drawing/2014/main" id="{63B07239-ED8C-4543-B604-29E5864C71CF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29373" name="Line 66">
          <a:extLst>
            <a:ext uri="{FF2B5EF4-FFF2-40B4-BE49-F238E27FC236}">
              <a16:creationId xmlns:a16="http://schemas.microsoft.com/office/drawing/2014/main" id="{45655E7A-AA75-459F-B2C5-7138399AAD10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29374" name="Line 67">
          <a:extLst>
            <a:ext uri="{FF2B5EF4-FFF2-40B4-BE49-F238E27FC236}">
              <a16:creationId xmlns:a16="http://schemas.microsoft.com/office/drawing/2014/main" id="{9673E68D-6010-4095-9FE7-308B61EBD7CE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29375" name="Line 68">
          <a:extLst>
            <a:ext uri="{FF2B5EF4-FFF2-40B4-BE49-F238E27FC236}">
              <a16:creationId xmlns:a16="http://schemas.microsoft.com/office/drawing/2014/main" id="{C013157A-B4E2-4FD0-B9CC-DCDAE6BE9D79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29376" name="Line 69">
          <a:extLst>
            <a:ext uri="{FF2B5EF4-FFF2-40B4-BE49-F238E27FC236}">
              <a16:creationId xmlns:a16="http://schemas.microsoft.com/office/drawing/2014/main" id="{69349F12-7635-4592-A60E-B30420647EFF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9377" name="Line 70">
          <a:extLst>
            <a:ext uri="{FF2B5EF4-FFF2-40B4-BE49-F238E27FC236}">
              <a16:creationId xmlns:a16="http://schemas.microsoft.com/office/drawing/2014/main" id="{B3E66C82-583C-4534-A576-9A45C695BABE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29378" name="Line 71">
          <a:extLst>
            <a:ext uri="{FF2B5EF4-FFF2-40B4-BE49-F238E27FC236}">
              <a16:creationId xmlns:a16="http://schemas.microsoft.com/office/drawing/2014/main" id="{E8C1AABE-6798-4177-B00A-AB0E2BB0503F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9379" name="Line 72">
          <a:extLst>
            <a:ext uri="{FF2B5EF4-FFF2-40B4-BE49-F238E27FC236}">
              <a16:creationId xmlns:a16="http://schemas.microsoft.com/office/drawing/2014/main" id="{D388D24D-41B1-4C6E-9209-4654F5291133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29380" name="Line 73">
          <a:extLst>
            <a:ext uri="{FF2B5EF4-FFF2-40B4-BE49-F238E27FC236}">
              <a16:creationId xmlns:a16="http://schemas.microsoft.com/office/drawing/2014/main" id="{E73A4D13-661D-4312-9290-788F34D9C0D7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29381" name="Line 74">
          <a:extLst>
            <a:ext uri="{FF2B5EF4-FFF2-40B4-BE49-F238E27FC236}">
              <a16:creationId xmlns:a16="http://schemas.microsoft.com/office/drawing/2014/main" id="{303805E6-BB0C-4524-99AC-39481677ACCC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29382" name="Line 75">
          <a:extLst>
            <a:ext uri="{FF2B5EF4-FFF2-40B4-BE49-F238E27FC236}">
              <a16:creationId xmlns:a16="http://schemas.microsoft.com/office/drawing/2014/main" id="{BED8A505-0F95-4064-9F34-692B4E5DC437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29383" name="Line 76">
          <a:extLst>
            <a:ext uri="{FF2B5EF4-FFF2-40B4-BE49-F238E27FC236}">
              <a16:creationId xmlns:a16="http://schemas.microsoft.com/office/drawing/2014/main" id="{84A3D7D2-1ABD-4B07-B3AB-3AF97CA93D2F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29384" name="Line 77">
          <a:extLst>
            <a:ext uri="{FF2B5EF4-FFF2-40B4-BE49-F238E27FC236}">
              <a16:creationId xmlns:a16="http://schemas.microsoft.com/office/drawing/2014/main" id="{8B5C08BE-21A0-4184-A0FF-D959561574F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29385" name="Line 78">
          <a:extLst>
            <a:ext uri="{FF2B5EF4-FFF2-40B4-BE49-F238E27FC236}">
              <a16:creationId xmlns:a16="http://schemas.microsoft.com/office/drawing/2014/main" id="{72CC85C2-E729-49FA-A20D-5FC4849C0A98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29386" name="Line 79">
          <a:extLst>
            <a:ext uri="{FF2B5EF4-FFF2-40B4-BE49-F238E27FC236}">
              <a16:creationId xmlns:a16="http://schemas.microsoft.com/office/drawing/2014/main" id="{0D6BF3C1-15CD-4355-A2FE-4D970DA50CB9}"/>
            </a:ext>
          </a:extLst>
        </xdr:cNvPr>
        <xdr:cNvSpPr>
          <a:spLocks noChangeShapeType="1"/>
        </xdr:cNvSpPr>
      </xdr:nvSpPr>
      <xdr:spPr bwMode="auto">
        <a:xfrm>
          <a:off x="104679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29387" name="Line 80">
          <a:extLst>
            <a:ext uri="{FF2B5EF4-FFF2-40B4-BE49-F238E27FC236}">
              <a16:creationId xmlns:a16="http://schemas.microsoft.com/office/drawing/2014/main" id="{AECD9C59-2B77-4F9E-B9E8-C4B23AB6D37C}"/>
            </a:ext>
          </a:extLst>
        </xdr:cNvPr>
        <xdr:cNvSpPr>
          <a:spLocks noChangeShapeType="1"/>
        </xdr:cNvSpPr>
      </xdr:nvSpPr>
      <xdr:spPr bwMode="auto">
        <a:xfrm>
          <a:off x="104679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29388" name="Line 81">
          <a:extLst>
            <a:ext uri="{FF2B5EF4-FFF2-40B4-BE49-F238E27FC236}">
              <a16:creationId xmlns:a16="http://schemas.microsoft.com/office/drawing/2014/main" id="{FE150B6B-D43D-448D-83E7-5615FE3CB99F}"/>
            </a:ext>
          </a:extLst>
        </xdr:cNvPr>
        <xdr:cNvSpPr>
          <a:spLocks noChangeShapeType="1"/>
        </xdr:cNvSpPr>
      </xdr:nvSpPr>
      <xdr:spPr bwMode="auto">
        <a:xfrm>
          <a:off x="97059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29389" name="Line 82">
          <a:extLst>
            <a:ext uri="{FF2B5EF4-FFF2-40B4-BE49-F238E27FC236}">
              <a16:creationId xmlns:a16="http://schemas.microsoft.com/office/drawing/2014/main" id="{30159DEB-CD36-4D0C-9899-9D7879943F99}"/>
            </a:ext>
          </a:extLst>
        </xdr:cNvPr>
        <xdr:cNvSpPr>
          <a:spLocks noChangeShapeType="1"/>
        </xdr:cNvSpPr>
      </xdr:nvSpPr>
      <xdr:spPr bwMode="auto">
        <a:xfrm>
          <a:off x="97059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29390" name="Line 83">
          <a:extLst>
            <a:ext uri="{FF2B5EF4-FFF2-40B4-BE49-F238E27FC236}">
              <a16:creationId xmlns:a16="http://schemas.microsoft.com/office/drawing/2014/main" id="{E63A5E9E-7F81-461C-B769-38D32D59E42F}"/>
            </a:ext>
          </a:extLst>
        </xdr:cNvPr>
        <xdr:cNvSpPr>
          <a:spLocks noChangeShapeType="1"/>
        </xdr:cNvSpPr>
      </xdr:nvSpPr>
      <xdr:spPr bwMode="auto">
        <a:xfrm>
          <a:off x="144589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29391" name="Line 84">
          <a:extLst>
            <a:ext uri="{FF2B5EF4-FFF2-40B4-BE49-F238E27FC236}">
              <a16:creationId xmlns:a16="http://schemas.microsoft.com/office/drawing/2014/main" id="{56E5179E-F0B2-48EE-80CC-AF206080C2E2}"/>
            </a:ext>
          </a:extLst>
        </xdr:cNvPr>
        <xdr:cNvSpPr>
          <a:spLocks noChangeShapeType="1"/>
        </xdr:cNvSpPr>
      </xdr:nvSpPr>
      <xdr:spPr bwMode="auto">
        <a:xfrm>
          <a:off x="144589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29392" name="Line 85">
          <a:extLst>
            <a:ext uri="{FF2B5EF4-FFF2-40B4-BE49-F238E27FC236}">
              <a16:creationId xmlns:a16="http://schemas.microsoft.com/office/drawing/2014/main" id="{C9B7A508-F450-46FC-8069-ADCEFB3D5C27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9393" name="Line 86">
          <a:extLst>
            <a:ext uri="{FF2B5EF4-FFF2-40B4-BE49-F238E27FC236}">
              <a16:creationId xmlns:a16="http://schemas.microsoft.com/office/drawing/2014/main" id="{697D0BD3-D2CB-4136-AE6E-2E3C792E52C9}"/>
            </a:ext>
          </a:extLst>
        </xdr:cNvPr>
        <xdr:cNvSpPr>
          <a:spLocks noChangeShapeType="1"/>
        </xdr:cNvSpPr>
      </xdr:nvSpPr>
      <xdr:spPr bwMode="auto">
        <a:xfrm>
          <a:off x="97059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29394" name="Line 87">
          <a:extLst>
            <a:ext uri="{FF2B5EF4-FFF2-40B4-BE49-F238E27FC236}">
              <a16:creationId xmlns:a16="http://schemas.microsoft.com/office/drawing/2014/main" id="{CC00C140-BE1F-4388-AF5E-8F52346AC61C}"/>
            </a:ext>
          </a:extLst>
        </xdr:cNvPr>
        <xdr:cNvSpPr>
          <a:spLocks noChangeShapeType="1"/>
        </xdr:cNvSpPr>
      </xdr:nvSpPr>
      <xdr:spPr bwMode="auto">
        <a:xfrm flipV="1">
          <a:off x="98202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29395" name="Line 88">
          <a:extLst>
            <a:ext uri="{FF2B5EF4-FFF2-40B4-BE49-F238E27FC236}">
              <a16:creationId xmlns:a16="http://schemas.microsoft.com/office/drawing/2014/main" id="{B5C583BE-56D6-4D39-84B5-89D1C72EA647}"/>
            </a:ext>
          </a:extLst>
        </xdr:cNvPr>
        <xdr:cNvSpPr>
          <a:spLocks noChangeShapeType="1"/>
        </xdr:cNvSpPr>
      </xdr:nvSpPr>
      <xdr:spPr bwMode="auto">
        <a:xfrm>
          <a:off x="97059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29396" name="Line 89">
          <a:extLst>
            <a:ext uri="{FF2B5EF4-FFF2-40B4-BE49-F238E27FC236}">
              <a16:creationId xmlns:a16="http://schemas.microsoft.com/office/drawing/2014/main" id="{71E710C3-E712-4E1C-84E1-8841E9288B4D}"/>
            </a:ext>
          </a:extLst>
        </xdr:cNvPr>
        <xdr:cNvSpPr>
          <a:spLocks noChangeShapeType="1"/>
        </xdr:cNvSpPr>
      </xdr:nvSpPr>
      <xdr:spPr bwMode="auto">
        <a:xfrm>
          <a:off x="9705975" y="11287125"/>
          <a:ext cx="30575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29397" name="Line 90">
          <a:extLst>
            <a:ext uri="{FF2B5EF4-FFF2-40B4-BE49-F238E27FC236}">
              <a16:creationId xmlns:a16="http://schemas.microsoft.com/office/drawing/2014/main" id="{5C9AE37A-9D51-44EF-8AA6-C31A5FE247DA}"/>
            </a:ext>
          </a:extLst>
        </xdr:cNvPr>
        <xdr:cNvSpPr>
          <a:spLocks noChangeShapeType="1"/>
        </xdr:cNvSpPr>
      </xdr:nvSpPr>
      <xdr:spPr bwMode="auto">
        <a:xfrm>
          <a:off x="98202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29398" name="Line 91">
          <a:extLst>
            <a:ext uri="{FF2B5EF4-FFF2-40B4-BE49-F238E27FC236}">
              <a16:creationId xmlns:a16="http://schemas.microsoft.com/office/drawing/2014/main" id="{71E86895-2896-423F-857E-FF61D74DE457}"/>
            </a:ext>
          </a:extLst>
        </xdr:cNvPr>
        <xdr:cNvSpPr>
          <a:spLocks noChangeShapeType="1"/>
        </xdr:cNvSpPr>
      </xdr:nvSpPr>
      <xdr:spPr bwMode="auto">
        <a:xfrm flipV="1">
          <a:off x="98202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29399" name="Line 92">
          <a:extLst>
            <a:ext uri="{FF2B5EF4-FFF2-40B4-BE49-F238E27FC236}">
              <a16:creationId xmlns:a16="http://schemas.microsoft.com/office/drawing/2014/main" id="{CEC2AD4F-583B-4A15-8297-B6A2BFA8177B}"/>
            </a:ext>
          </a:extLst>
        </xdr:cNvPr>
        <xdr:cNvSpPr>
          <a:spLocks noChangeShapeType="1"/>
        </xdr:cNvSpPr>
      </xdr:nvSpPr>
      <xdr:spPr bwMode="auto">
        <a:xfrm flipV="1">
          <a:off x="97059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29400" name="Line 93">
          <a:extLst>
            <a:ext uri="{FF2B5EF4-FFF2-40B4-BE49-F238E27FC236}">
              <a16:creationId xmlns:a16="http://schemas.microsoft.com/office/drawing/2014/main" id="{01C6BB6A-D343-4E21-A130-37C1DD569BE6}"/>
            </a:ext>
          </a:extLst>
        </xdr:cNvPr>
        <xdr:cNvSpPr>
          <a:spLocks noChangeShapeType="1"/>
        </xdr:cNvSpPr>
      </xdr:nvSpPr>
      <xdr:spPr bwMode="auto">
        <a:xfrm>
          <a:off x="98202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29401" name="Line 94">
          <a:extLst>
            <a:ext uri="{FF2B5EF4-FFF2-40B4-BE49-F238E27FC236}">
              <a16:creationId xmlns:a16="http://schemas.microsoft.com/office/drawing/2014/main" id="{B949D730-A63A-4233-97F4-7E523C201DCE}"/>
            </a:ext>
          </a:extLst>
        </xdr:cNvPr>
        <xdr:cNvSpPr>
          <a:spLocks noChangeShapeType="1"/>
        </xdr:cNvSpPr>
      </xdr:nvSpPr>
      <xdr:spPr bwMode="auto">
        <a:xfrm>
          <a:off x="118967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29402" name="Line 95">
          <a:extLst>
            <a:ext uri="{FF2B5EF4-FFF2-40B4-BE49-F238E27FC236}">
              <a16:creationId xmlns:a16="http://schemas.microsoft.com/office/drawing/2014/main" id="{1548580F-CEB4-4E21-829C-352F06C2D717}"/>
            </a:ext>
          </a:extLst>
        </xdr:cNvPr>
        <xdr:cNvSpPr>
          <a:spLocks noChangeShapeType="1"/>
        </xdr:cNvSpPr>
      </xdr:nvSpPr>
      <xdr:spPr bwMode="auto">
        <a:xfrm>
          <a:off x="118967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29403" name="Line 96">
          <a:extLst>
            <a:ext uri="{FF2B5EF4-FFF2-40B4-BE49-F238E27FC236}">
              <a16:creationId xmlns:a16="http://schemas.microsoft.com/office/drawing/2014/main" id="{92C85A30-BE8D-486A-A187-B70BDE971636}"/>
            </a:ext>
          </a:extLst>
        </xdr:cNvPr>
        <xdr:cNvSpPr>
          <a:spLocks noChangeShapeType="1"/>
        </xdr:cNvSpPr>
      </xdr:nvSpPr>
      <xdr:spPr bwMode="auto">
        <a:xfrm>
          <a:off x="97059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29404" name="Line 97">
          <a:extLst>
            <a:ext uri="{FF2B5EF4-FFF2-40B4-BE49-F238E27FC236}">
              <a16:creationId xmlns:a16="http://schemas.microsoft.com/office/drawing/2014/main" id="{DE530222-B773-481A-AB8A-5542BC03B528}"/>
            </a:ext>
          </a:extLst>
        </xdr:cNvPr>
        <xdr:cNvSpPr>
          <a:spLocks noChangeShapeType="1"/>
        </xdr:cNvSpPr>
      </xdr:nvSpPr>
      <xdr:spPr bwMode="auto">
        <a:xfrm>
          <a:off x="118967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29405" name="Line 98">
          <a:extLst>
            <a:ext uri="{FF2B5EF4-FFF2-40B4-BE49-F238E27FC236}">
              <a16:creationId xmlns:a16="http://schemas.microsoft.com/office/drawing/2014/main" id="{3B6F4156-7165-47E6-B631-1A45ADBD0352}"/>
            </a:ext>
          </a:extLst>
        </xdr:cNvPr>
        <xdr:cNvSpPr>
          <a:spLocks noChangeShapeType="1"/>
        </xdr:cNvSpPr>
      </xdr:nvSpPr>
      <xdr:spPr bwMode="auto">
        <a:xfrm flipV="1">
          <a:off x="97059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29406" name="Line 99">
          <a:extLst>
            <a:ext uri="{FF2B5EF4-FFF2-40B4-BE49-F238E27FC236}">
              <a16:creationId xmlns:a16="http://schemas.microsoft.com/office/drawing/2014/main" id="{55EFA11F-BB68-43F7-9019-6AA750A338BD}"/>
            </a:ext>
          </a:extLst>
        </xdr:cNvPr>
        <xdr:cNvSpPr>
          <a:spLocks noChangeShapeType="1"/>
        </xdr:cNvSpPr>
      </xdr:nvSpPr>
      <xdr:spPr bwMode="auto">
        <a:xfrm>
          <a:off x="104679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29407" name="Line 100">
          <a:extLst>
            <a:ext uri="{FF2B5EF4-FFF2-40B4-BE49-F238E27FC236}">
              <a16:creationId xmlns:a16="http://schemas.microsoft.com/office/drawing/2014/main" id="{5FF5F947-18E7-4FD9-AE52-69B4243FA186}"/>
            </a:ext>
          </a:extLst>
        </xdr:cNvPr>
        <xdr:cNvSpPr>
          <a:spLocks noChangeShapeType="1"/>
        </xdr:cNvSpPr>
      </xdr:nvSpPr>
      <xdr:spPr bwMode="auto">
        <a:xfrm>
          <a:off x="144589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3744" name="Line 101">
          <a:extLst>
            <a:ext uri="{FF2B5EF4-FFF2-40B4-BE49-F238E27FC236}">
              <a16:creationId xmlns:a16="http://schemas.microsoft.com/office/drawing/2014/main" id="{C289F960-3881-4332-BA73-5EBAE0764F62}"/>
            </a:ext>
          </a:extLst>
        </xdr:cNvPr>
        <xdr:cNvSpPr>
          <a:spLocks noChangeShapeType="1"/>
        </xdr:cNvSpPr>
      </xdr:nvSpPr>
      <xdr:spPr bwMode="auto">
        <a:xfrm>
          <a:off x="140398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3745" name="Line 102">
          <a:extLst>
            <a:ext uri="{FF2B5EF4-FFF2-40B4-BE49-F238E27FC236}">
              <a16:creationId xmlns:a16="http://schemas.microsoft.com/office/drawing/2014/main" id="{94E50CB4-999B-4E13-9E17-1560036BCB42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3746" name="Line 103">
          <a:extLst>
            <a:ext uri="{FF2B5EF4-FFF2-40B4-BE49-F238E27FC236}">
              <a16:creationId xmlns:a16="http://schemas.microsoft.com/office/drawing/2014/main" id="{54F3B61D-0F97-44C2-94A0-61F1B148A0E8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3747" name="Line 104">
          <a:extLst>
            <a:ext uri="{FF2B5EF4-FFF2-40B4-BE49-F238E27FC236}">
              <a16:creationId xmlns:a16="http://schemas.microsoft.com/office/drawing/2014/main" id="{499BA0ED-A110-4868-B788-0ADC3F1AC148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3748" name="Line 105">
          <a:extLst>
            <a:ext uri="{FF2B5EF4-FFF2-40B4-BE49-F238E27FC236}">
              <a16:creationId xmlns:a16="http://schemas.microsoft.com/office/drawing/2014/main" id="{5E02B159-8C2E-4DA7-8889-5F838A8BE48C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3749" name="Line 106">
          <a:extLst>
            <a:ext uri="{FF2B5EF4-FFF2-40B4-BE49-F238E27FC236}">
              <a16:creationId xmlns:a16="http://schemas.microsoft.com/office/drawing/2014/main" id="{53169E86-F86A-40BF-AB18-EF3E7E41B719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3750" name="Line 107">
          <a:extLst>
            <a:ext uri="{FF2B5EF4-FFF2-40B4-BE49-F238E27FC236}">
              <a16:creationId xmlns:a16="http://schemas.microsoft.com/office/drawing/2014/main" id="{AD62FBDE-5FD2-4D28-9ED2-32338D4014C1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3751" name="Line 108">
          <a:extLst>
            <a:ext uri="{FF2B5EF4-FFF2-40B4-BE49-F238E27FC236}">
              <a16:creationId xmlns:a16="http://schemas.microsoft.com/office/drawing/2014/main" id="{0E0A39A8-1050-4369-96DC-499654A6B57F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3752" name="Line 109">
          <a:extLst>
            <a:ext uri="{FF2B5EF4-FFF2-40B4-BE49-F238E27FC236}">
              <a16:creationId xmlns:a16="http://schemas.microsoft.com/office/drawing/2014/main" id="{B8D93ADD-29B1-4539-90CF-B86939EB44B3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3753" name="Line 110">
          <a:extLst>
            <a:ext uri="{FF2B5EF4-FFF2-40B4-BE49-F238E27FC236}">
              <a16:creationId xmlns:a16="http://schemas.microsoft.com/office/drawing/2014/main" id="{28847DCC-266C-4953-A5D7-C210ABFE27A2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3754" name="Line 111">
          <a:extLst>
            <a:ext uri="{FF2B5EF4-FFF2-40B4-BE49-F238E27FC236}">
              <a16:creationId xmlns:a16="http://schemas.microsoft.com/office/drawing/2014/main" id="{42E8C8AE-DC8E-44B7-9A8E-9361968211A2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3755" name="Line 112">
          <a:extLst>
            <a:ext uri="{FF2B5EF4-FFF2-40B4-BE49-F238E27FC236}">
              <a16:creationId xmlns:a16="http://schemas.microsoft.com/office/drawing/2014/main" id="{C0DA2380-9543-4AEA-AC0F-3F33274FF2EE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3756" name="Line 113">
          <a:extLst>
            <a:ext uri="{FF2B5EF4-FFF2-40B4-BE49-F238E27FC236}">
              <a16:creationId xmlns:a16="http://schemas.microsoft.com/office/drawing/2014/main" id="{498C0997-7CBF-4278-BC1B-18C2F9E2FA4B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3757" name="Line 114">
          <a:extLst>
            <a:ext uri="{FF2B5EF4-FFF2-40B4-BE49-F238E27FC236}">
              <a16:creationId xmlns:a16="http://schemas.microsoft.com/office/drawing/2014/main" id="{4489299F-85DF-4EFE-A6A4-A7AB851D99C8}"/>
            </a:ext>
          </a:extLst>
        </xdr:cNvPr>
        <xdr:cNvSpPr>
          <a:spLocks noChangeShapeType="1"/>
        </xdr:cNvSpPr>
      </xdr:nvSpPr>
      <xdr:spPr bwMode="auto">
        <a:xfrm flipV="1">
          <a:off x="97059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0332" name="Line 1">
          <a:extLst>
            <a:ext uri="{FF2B5EF4-FFF2-40B4-BE49-F238E27FC236}">
              <a16:creationId xmlns:a16="http://schemas.microsoft.com/office/drawing/2014/main" id="{B6B8FC28-1E20-48A7-AC4F-5309D8444A84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0333" name="Line 2">
          <a:extLst>
            <a:ext uri="{FF2B5EF4-FFF2-40B4-BE49-F238E27FC236}">
              <a16:creationId xmlns:a16="http://schemas.microsoft.com/office/drawing/2014/main" id="{EA0E7E07-B47B-4F35-B927-969886DA68A5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0334" name="Line 3">
          <a:extLst>
            <a:ext uri="{FF2B5EF4-FFF2-40B4-BE49-F238E27FC236}">
              <a16:creationId xmlns:a16="http://schemas.microsoft.com/office/drawing/2014/main" id="{B5903432-65D5-47A3-A3B1-54976893E08D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0335" name="Line 4">
          <a:extLst>
            <a:ext uri="{FF2B5EF4-FFF2-40B4-BE49-F238E27FC236}">
              <a16:creationId xmlns:a16="http://schemas.microsoft.com/office/drawing/2014/main" id="{24763660-56D5-46F1-8BEE-5A3140E63B9E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0336" name="Line 5">
          <a:extLst>
            <a:ext uri="{FF2B5EF4-FFF2-40B4-BE49-F238E27FC236}">
              <a16:creationId xmlns:a16="http://schemas.microsoft.com/office/drawing/2014/main" id="{DA249087-A6A3-4223-B787-5D310883ACA0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0337" name="Line 6">
          <a:extLst>
            <a:ext uri="{FF2B5EF4-FFF2-40B4-BE49-F238E27FC236}">
              <a16:creationId xmlns:a16="http://schemas.microsoft.com/office/drawing/2014/main" id="{CC9F99CE-01B5-40AF-97C1-D7823C60ADD9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0338" name="Line 7">
          <a:extLst>
            <a:ext uri="{FF2B5EF4-FFF2-40B4-BE49-F238E27FC236}">
              <a16:creationId xmlns:a16="http://schemas.microsoft.com/office/drawing/2014/main" id="{58F1C756-37B1-4F91-B8D8-2E36DE62BD51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619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0339" name="Line 8">
          <a:extLst>
            <a:ext uri="{FF2B5EF4-FFF2-40B4-BE49-F238E27FC236}">
              <a16:creationId xmlns:a16="http://schemas.microsoft.com/office/drawing/2014/main" id="{D85A44BC-7878-4548-BB5A-C4D9BC861BC6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0340" name="Line 9">
          <a:extLst>
            <a:ext uri="{FF2B5EF4-FFF2-40B4-BE49-F238E27FC236}">
              <a16:creationId xmlns:a16="http://schemas.microsoft.com/office/drawing/2014/main" id="{CFE459DE-3A4C-4726-AA26-4E7B52456019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0341" name="Line 10">
          <a:extLst>
            <a:ext uri="{FF2B5EF4-FFF2-40B4-BE49-F238E27FC236}">
              <a16:creationId xmlns:a16="http://schemas.microsoft.com/office/drawing/2014/main" id="{AD0A7B5A-E7A3-4251-9EBD-EA5F24499278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0342" name="Line 11">
          <a:extLst>
            <a:ext uri="{FF2B5EF4-FFF2-40B4-BE49-F238E27FC236}">
              <a16:creationId xmlns:a16="http://schemas.microsoft.com/office/drawing/2014/main" id="{9AD86D28-9DCA-49E6-BA89-CDB8B956A5BA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0343" name="Line 12">
          <a:extLst>
            <a:ext uri="{FF2B5EF4-FFF2-40B4-BE49-F238E27FC236}">
              <a16:creationId xmlns:a16="http://schemas.microsoft.com/office/drawing/2014/main" id="{CB3C45FB-6E9B-4060-A437-23A450A03F17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0344" name="Line 13">
          <a:extLst>
            <a:ext uri="{FF2B5EF4-FFF2-40B4-BE49-F238E27FC236}">
              <a16:creationId xmlns:a16="http://schemas.microsoft.com/office/drawing/2014/main" id="{86BFB92E-2F3C-4065-BB2D-8E48BD71A300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669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0345" name="Line 14">
          <a:extLst>
            <a:ext uri="{FF2B5EF4-FFF2-40B4-BE49-F238E27FC236}">
              <a16:creationId xmlns:a16="http://schemas.microsoft.com/office/drawing/2014/main" id="{A6B1B681-1F59-4240-8972-3D728B3AC822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0346" name="Line 15">
          <a:extLst>
            <a:ext uri="{FF2B5EF4-FFF2-40B4-BE49-F238E27FC236}">
              <a16:creationId xmlns:a16="http://schemas.microsoft.com/office/drawing/2014/main" id="{DDD176A7-CDA7-404B-97CE-A163B553165D}"/>
            </a:ext>
          </a:extLst>
        </xdr:cNvPr>
        <xdr:cNvSpPr>
          <a:spLocks noChangeShapeType="1"/>
        </xdr:cNvSpPr>
      </xdr:nvSpPr>
      <xdr:spPr bwMode="auto">
        <a:xfrm>
          <a:off x="104679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0347" name="Line 16">
          <a:extLst>
            <a:ext uri="{FF2B5EF4-FFF2-40B4-BE49-F238E27FC236}">
              <a16:creationId xmlns:a16="http://schemas.microsoft.com/office/drawing/2014/main" id="{5A14E1A5-4BF3-4A82-92D8-9597720E88B2}"/>
            </a:ext>
          </a:extLst>
        </xdr:cNvPr>
        <xdr:cNvSpPr>
          <a:spLocks noChangeShapeType="1"/>
        </xdr:cNvSpPr>
      </xdr:nvSpPr>
      <xdr:spPr bwMode="auto">
        <a:xfrm>
          <a:off x="104679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0348" name="Line 17">
          <a:extLst>
            <a:ext uri="{FF2B5EF4-FFF2-40B4-BE49-F238E27FC236}">
              <a16:creationId xmlns:a16="http://schemas.microsoft.com/office/drawing/2014/main" id="{AD7F7243-C43D-4BA6-820F-7455C3C7827B}"/>
            </a:ext>
          </a:extLst>
        </xdr:cNvPr>
        <xdr:cNvSpPr>
          <a:spLocks noChangeShapeType="1"/>
        </xdr:cNvSpPr>
      </xdr:nvSpPr>
      <xdr:spPr bwMode="auto">
        <a:xfrm>
          <a:off x="97059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0349" name="Line 18">
          <a:extLst>
            <a:ext uri="{FF2B5EF4-FFF2-40B4-BE49-F238E27FC236}">
              <a16:creationId xmlns:a16="http://schemas.microsoft.com/office/drawing/2014/main" id="{8929D5F4-D797-4F8B-A6C1-07A35A47E11A}"/>
            </a:ext>
          </a:extLst>
        </xdr:cNvPr>
        <xdr:cNvSpPr>
          <a:spLocks noChangeShapeType="1"/>
        </xdr:cNvSpPr>
      </xdr:nvSpPr>
      <xdr:spPr bwMode="auto">
        <a:xfrm>
          <a:off x="104679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0350" name="Line 19">
          <a:extLst>
            <a:ext uri="{FF2B5EF4-FFF2-40B4-BE49-F238E27FC236}">
              <a16:creationId xmlns:a16="http://schemas.microsoft.com/office/drawing/2014/main" id="{DAB9B864-67A6-4290-B5CF-3964887E2393}"/>
            </a:ext>
          </a:extLst>
        </xdr:cNvPr>
        <xdr:cNvSpPr>
          <a:spLocks noChangeShapeType="1"/>
        </xdr:cNvSpPr>
      </xdr:nvSpPr>
      <xdr:spPr bwMode="auto">
        <a:xfrm>
          <a:off x="104679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0351" name="Line 20">
          <a:extLst>
            <a:ext uri="{FF2B5EF4-FFF2-40B4-BE49-F238E27FC236}">
              <a16:creationId xmlns:a16="http://schemas.microsoft.com/office/drawing/2014/main" id="{1D5AD1BC-0AC0-4E78-BC63-922861852CCF}"/>
            </a:ext>
          </a:extLst>
        </xdr:cNvPr>
        <xdr:cNvSpPr>
          <a:spLocks noChangeShapeType="1"/>
        </xdr:cNvSpPr>
      </xdr:nvSpPr>
      <xdr:spPr bwMode="auto">
        <a:xfrm>
          <a:off x="97059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0352" name="Line 21">
          <a:extLst>
            <a:ext uri="{FF2B5EF4-FFF2-40B4-BE49-F238E27FC236}">
              <a16:creationId xmlns:a16="http://schemas.microsoft.com/office/drawing/2014/main" id="{9A1075C1-A941-406B-9BC2-853AD1FBDFFE}"/>
            </a:ext>
          </a:extLst>
        </xdr:cNvPr>
        <xdr:cNvSpPr>
          <a:spLocks noChangeShapeType="1"/>
        </xdr:cNvSpPr>
      </xdr:nvSpPr>
      <xdr:spPr bwMode="auto">
        <a:xfrm>
          <a:off x="104679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0353" name="Line 22">
          <a:extLst>
            <a:ext uri="{FF2B5EF4-FFF2-40B4-BE49-F238E27FC236}">
              <a16:creationId xmlns:a16="http://schemas.microsoft.com/office/drawing/2014/main" id="{B9EE3134-C998-4ADE-9417-803AE309DF3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0354" name="Line 23">
          <a:extLst>
            <a:ext uri="{FF2B5EF4-FFF2-40B4-BE49-F238E27FC236}">
              <a16:creationId xmlns:a16="http://schemas.microsoft.com/office/drawing/2014/main" id="{75778FD2-FF25-40F0-9110-BC336BEC0253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0355" name="Line 24">
          <a:extLst>
            <a:ext uri="{FF2B5EF4-FFF2-40B4-BE49-F238E27FC236}">
              <a16:creationId xmlns:a16="http://schemas.microsoft.com/office/drawing/2014/main" id="{157F46AB-AC16-482C-8876-01254DA2FBCA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0356" name="Line 25">
          <a:extLst>
            <a:ext uri="{FF2B5EF4-FFF2-40B4-BE49-F238E27FC236}">
              <a16:creationId xmlns:a16="http://schemas.microsoft.com/office/drawing/2014/main" id="{33F18CF6-B17E-479F-9BD4-C52B7E841CC7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0357" name="Line 26">
          <a:extLst>
            <a:ext uri="{FF2B5EF4-FFF2-40B4-BE49-F238E27FC236}">
              <a16:creationId xmlns:a16="http://schemas.microsoft.com/office/drawing/2014/main" id="{6EEE9904-AA05-4AC4-A0CD-A146C54B2F9B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0358" name="Line 27">
          <a:extLst>
            <a:ext uri="{FF2B5EF4-FFF2-40B4-BE49-F238E27FC236}">
              <a16:creationId xmlns:a16="http://schemas.microsoft.com/office/drawing/2014/main" id="{220128DF-8F99-4AE0-95DE-FEBF041270DF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0359" name="Line 28">
          <a:extLst>
            <a:ext uri="{FF2B5EF4-FFF2-40B4-BE49-F238E27FC236}">
              <a16:creationId xmlns:a16="http://schemas.microsoft.com/office/drawing/2014/main" id="{13C9E8E5-10F6-4C5C-A042-94EAD7E4F8AD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0360" name="Line 29">
          <a:extLst>
            <a:ext uri="{FF2B5EF4-FFF2-40B4-BE49-F238E27FC236}">
              <a16:creationId xmlns:a16="http://schemas.microsoft.com/office/drawing/2014/main" id="{6D35F4E7-71A0-4F1D-9ED5-BF5BC69A48A0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0361" name="Line 30">
          <a:extLst>
            <a:ext uri="{FF2B5EF4-FFF2-40B4-BE49-F238E27FC236}">
              <a16:creationId xmlns:a16="http://schemas.microsoft.com/office/drawing/2014/main" id="{9D068C63-84E5-44BE-B6FE-B44176F826C3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0362" name="Line 31">
          <a:extLst>
            <a:ext uri="{FF2B5EF4-FFF2-40B4-BE49-F238E27FC236}">
              <a16:creationId xmlns:a16="http://schemas.microsoft.com/office/drawing/2014/main" id="{23F94243-EB34-4AA2-A257-2C009530ECDF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20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0363" name="Line 32">
          <a:extLst>
            <a:ext uri="{FF2B5EF4-FFF2-40B4-BE49-F238E27FC236}">
              <a16:creationId xmlns:a16="http://schemas.microsoft.com/office/drawing/2014/main" id="{DE602CAF-4D1D-4E7E-A07B-037A13C41E9D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0364" name="Line 33">
          <a:extLst>
            <a:ext uri="{FF2B5EF4-FFF2-40B4-BE49-F238E27FC236}">
              <a16:creationId xmlns:a16="http://schemas.microsoft.com/office/drawing/2014/main" id="{F0577169-4FA2-425C-B24C-0AE5764B36C8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0365" name="Line 34">
          <a:extLst>
            <a:ext uri="{FF2B5EF4-FFF2-40B4-BE49-F238E27FC236}">
              <a16:creationId xmlns:a16="http://schemas.microsoft.com/office/drawing/2014/main" id="{8D8468B0-2DF8-4D61-8084-2F55EBE2B6F1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669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0366" name="Line 35">
          <a:extLst>
            <a:ext uri="{FF2B5EF4-FFF2-40B4-BE49-F238E27FC236}">
              <a16:creationId xmlns:a16="http://schemas.microsoft.com/office/drawing/2014/main" id="{BC6BFDC6-0177-4B18-AACC-7D08A640F4A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0367" name="Line 36">
          <a:extLst>
            <a:ext uri="{FF2B5EF4-FFF2-40B4-BE49-F238E27FC236}">
              <a16:creationId xmlns:a16="http://schemas.microsoft.com/office/drawing/2014/main" id="{84DF835D-3819-454E-A868-43CCCEFCF179}"/>
            </a:ext>
          </a:extLst>
        </xdr:cNvPr>
        <xdr:cNvSpPr>
          <a:spLocks noChangeShapeType="1"/>
        </xdr:cNvSpPr>
      </xdr:nvSpPr>
      <xdr:spPr bwMode="auto">
        <a:xfrm flipV="1">
          <a:off x="104679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0368" name="Line 37">
          <a:extLst>
            <a:ext uri="{FF2B5EF4-FFF2-40B4-BE49-F238E27FC236}">
              <a16:creationId xmlns:a16="http://schemas.microsoft.com/office/drawing/2014/main" id="{82026AA9-7363-43C9-A73C-EE76AEEEBE07}"/>
            </a:ext>
          </a:extLst>
        </xdr:cNvPr>
        <xdr:cNvSpPr>
          <a:spLocks noChangeShapeType="1"/>
        </xdr:cNvSpPr>
      </xdr:nvSpPr>
      <xdr:spPr bwMode="auto">
        <a:xfrm>
          <a:off x="97059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0369" name="Line 38">
          <a:extLst>
            <a:ext uri="{FF2B5EF4-FFF2-40B4-BE49-F238E27FC236}">
              <a16:creationId xmlns:a16="http://schemas.microsoft.com/office/drawing/2014/main" id="{902A5D7B-30BC-4B48-AE1A-398CDB98B475}"/>
            </a:ext>
          </a:extLst>
        </xdr:cNvPr>
        <xdr:cNvSpPr>
          <a:spLocks noChangeShapeType="1"/>
        </xdr:cNvSpPr>
      </xdr:nvSpPr>
      <xdr:spPr bwMode="auto">
        <a:xfrm>
          <a:off x="11849100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0370" name="Line 39">
          <a:extLst>
            <a:ext uri="{FF2B5EF4-FFF2-40B4-BE49-F238E27FC236}">
              <a16:creationId xmlns:a16="http://schemas.microsoft.com/office/drawing/2014/main" id="{02182151-2656-425C-8929-A4222B9CBBF1}"/>
            </a:ext>
          </a:extLst>
        </xdr:cNvPr>
        <xdr:cNvSpPr>
          <a:spLocks noChangeShapeType="1"/>
        </xdr:cNvSpPr>
      </xdr:nvSpPr>
      <xdr:spPr bwMode="auto">
        <a:xfrm>
          <a:off x="11849100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0371" name="Line 40">
          <a:extLst>
            <a:ext uri="{FF2B5EF4-FFF2-40B4-BE49-F238E27FC236}">
              <a16:creationId xmlns:a16="http://schemas.microsoft.com/office/drawing/2014/main" id="{4F068056-BE4F-470C-B40A-2970D4970B0B}"/>
            </a:ext>
          </a:extLst>
        </xdr:cNvPr>
        <xdr:cNvSpPr>
          <a:spLocks noChangeShapeType="1"/>
        </xdr:cNvSpPr>
      </xdr:nvSpPr>
      <xdr:spPr bwMode="auto">
        <a:xfrm>
          <a:off x="11849100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0372" name="Line 41">
          <a:extLst>
            <a:ext uri="{FF2B5EF4-FFF2-40B4-BE49-F238E27FC236}">
              <a16:creationId xmlns:a16="http://schemas.microsoft.com/office/drawing/2014/main" id="{EF52BFA9-7219-4643-AF30-3AA4790A1BF8}"/>
            </a:ext>
          </a:extLst>
        </xdr:cNvPr>
        <xdr:cNvSpPr>
          <a:spLocks noChangeShapeType="1"/>
        </xdr:cNvSpPr>
      </xdr:nvSpPr>
      <xdr:spPr bwMode="auto">
        <a:xfrm>
          <a:off x="111347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0373" name="Line 42">
          <a:extLst>
            <a:ext uri="{FF2B5EF4-FFF2-40B4-BE49-F238E27FC236}">
              <a16:creationId xmlns:a16="http://schemas.microsoft.com/office/drawing/2014/main" id="{3C2F39C5-CDB7-48BE-A285-839BF551FC34}"/>
            </a:ext>
          </a:extLst>
        </xdr:cNvPr>
        <xdr:cNvSpPr>
          <a:spLocks noChangeShapeType="1"/>
        </xdr:cNvSpPr>
      </xdr:nvSpPr>
      <xdr:spPr bwMode="auto">
        <a:xfrm>
          <a:off x="1441132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0374" name="Line 43">
          <a:extLst>
            <a:ext uri="{FF2B5EF4-FFF2-40B4-BE49-F238E27FC236}">
              <a16:creationId xmlns:a16="http://schemas.microsoft.com/office/drawing/2014/main" id="{4D287F12-7B39-4575-AD02-2BD0F3CEC684}"/>
            </a:ext>
          </a:extLst>
        </xdr:cNvPr>
        <xdr:cNvSpPr>
          <a:spLocks noChangeShapeType="1"/>
        </xdr:cNvSpPr>
      </xdr:nvSpPr>
      <xdr:spPr bwMode="auto">
        <a:xfrm>
          <a:off x="1441132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0375" name="Line 44">
          <a:extLst>
            <a:ext uri="{FF2B5EF4-FFF2-40B4-BE49-F238E27FC236}">
              <a16:creationId xmlns:a16="http://schemas.microsoft.com/office/drawing/2014/main" id="{C65F0959-E2AF-44A9-8B9C-8678F8BFD26C}"/>
            </a:ext>
          </a:extLst>
        </xdr:cNvPr>
        <xdr:cNvSpPr>
          <a:spLocks noChangeShapeType="1"/>
        </xdr:cNvSpPr>
      </xdr:nvSpPr>
      <xdr:spPr bwMode="auto">
        <a:xfrm>
          <a:off x="1399222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0376" name="Line 45">
          <a:extLst>
            <a:ext uri="{FF2B5EF4-FFF2-40B4-BE49-F238E27FC236}">
              <a16:creationId xmlns:a16="http://schemas.microsoft.com/office/drawing/2014/main" id="{2D697B59-1DF1-4488-B3B1-B4DA6E0A52B6}"/>
            </a:ext>
          </a:extLst>
        </xdr:cNvPr>
        <xdr:cNvSpPr>
          <a:spLocks noChangeShapeType="1"/>
        </xdr:cNvSpPr>
      </xdr:nvSpPr>
      <xdr:spPr bwMode="auto">
        <a:xfrm>
          <a:off x="1441132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0377" name="Line 46">
          <a:extLst>
            <a:ext uri="{FF2B5EF4-FFF2-40B4-BE49-F238E27FC236}">
              <a16:creationId xmlns:a16="http://schemas.microsoft.com/office/drawing/2014/main" id="{BD0DA265-2DB7-4B45-9ACC-7D0D7E5D1D6F}"/>
            </a:ext>
          </a:extLst>
        </xdr:cNvPr>
        <xdr:cNvSpPr>
          <a:spLocks noChangeShapeType="1"/>
        </xdr:cNvSpPr>
      </xdr:nvSpPr>
      <xdr:spPr bwMode="auto">
        <a:xfrm>
          <a:off x="1441132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0378" name="Line 47">
          <a:extLst>
            <a:ext uri="{FF2B5EF4-FFF2-40B4-BE49-F238E27FC236}">
              <a16:creationId xmlns:a16="http://schemas.microsoft.com/office/drawing/2014/main" id="{857F3ADC-3B89-4D52-A3A2-430FEB9A9DBF}"/>
            </a:ext>
          </a:extLst>
        </xdr:cNvPr>
        <xdr:cNvSpPr>
          <a:spLocks noChangeShapeType="1"/>
        </xdr:cNvSpPr>
      </xdr:nvSpPr>
      <xdr:spPr bwMode="auto">
        <a:xfrm>
          <a:off x="1399222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0379" name="Line 48">
          <a:extLst>
            <a:ext uri="{FF2B5EF4-FFF2-40B4-BE49-F238E27FC236}">
              <a16:creationId xmlns:a16="http://schemas.microsoft.com/office/drawing/2014/main" id="{1382BC24-6628-4FB9-8279-EAF506DCF1C6}"/>
            </a:ext>
          </a:extLst>
        </xdr:cNvPr>
        <xdr:cNvSpPr>
          <a:spLocks noChangeShapeType="1"/>
        </xdr:cNvSpPr>
      </xdr:nvSpPr>
      <xdr:spPr bwMode="auto">
        <a:xfrm>
          <a:off x="1441132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0380" name="Line 49">
          <a:extLst>
            <a:ext uri="{FF2B5EF4-FFF2-40B4-BE49-F238E27FC236}">
              <a16:creationId xmlns:a16="http://schemas.microsoft.com/office/drawing/2014/main" id="{3F28F853-2C46-45CA-A668-C1C5981BA7A1}"/>
            </a:ext>
          </a:extLst>
        </xdr:cNvPr>
        <xdr:cNvSpPr>
          <a:spLocks noChangeShapeType="1"/>
        </xdr:cNvSpPr>
      </xdr:nvSpPr>
      <xdr:spPr bwMode="auto">
        <a:xfrm>
          <a:off x="1399222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0381" name="Line 50">
          <a:extLst>
            <a:ext uri="{FF2B5EF4-FFF2-40B4-BE49-F238E27FC236}">
              <a16:creationId xmlns:a16="http://schemas.microsoft.com/office/drawing/2014/main" id="{AE2498AC-5A71-4643-A2EA-C5667332FA1A}"/>
            </a:ext>
          </a:extLst>
        </xdr:cNvPr>
        <xdr:cNvSpPr>
          <a:spLocks noChangeShapeType="1"/>
        </xdr:cNvSpPr>
      </xdr:nvSpPr>
      <xdr:spPr bwMode="auto">
        <a:xfrm flipV="1">
          <a:off x="1441132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0382" name="Line 51">
          <a:extLst>
            <a:ext uri="{FF2B5EF4-FFF2-40B4-BE49-F238E27FC236}">
              <a16:creationId xmlns:a16="http://schemas.microsoft.com/office/drawing/2014/main" id="{9CA097A1-1FBB-4064-BDAB-463A0B488270}"/>
            </a:ext>
          </a:extLst>
        </xdr:cNvPr>
        <xdr:cNvSpPr>
          <a:spLocks noChangeShapeType="1"/>
        </xdr:cNvSpPr>
      </xdr:nvSpPr>
      <xdr:spPr bwMode="auto">
        <a:xfrm flipV="1">
          <a:off x="1399222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0383" name="Line 52">
          <a:extLst>
            <a:ext uri="{FF2B5EF4-FFF2-40B4-BE49-F238E27FC236}">
              <a16:creationId xmlns:a16="http://schemas.microsoft.com/office/drawing/2014/main" id="{0DD7E775-4830-419C-B488-BD141DD5152E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0384" name="Line 53">
          <a:extLst>
            <a:ext uri="{FF2B5EF4-FFF2-40B4-BE49-F238E27FC236}">
              <a16:creationId xmlns:a16="http://schemas.microsoft.com/office/drawing/2014/main" id="{DA47F010-9B2D-426C-9813-017B4CED5830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0385" name="Line 54">
          <a:extLst>
            <a:ext uri="{FF2B5EF4-FFF2-40B4-BE49-F238E27FC236}">
              <a16:creationId xmlns:a16="http://schemas.microsoft.com/office/drawing/2014/main" id="{191A285A-CFA8-47F2-B6AA-216936B8DCBF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0386" name="Line 55">
          <a:extLst>
            <a:ext uri="{FF2B5EF4-FFF2-40B4-BE49-F238E27FC236}">
              <a16:creationId xmlns:a16="http://schemas.microsoft.com/office/drawing/2014/main" id="{B47A9B5E-DD99-41CE-9919-0F2F63C7F678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0387" name="Line 56">
          <a:extLst>
            <a:ext uri="{FF2B5EF4-FFF2-40B4-BE49-F238E27FC236}">
              <a16:creationId xmlns:a16="http://schemas.microsoft.com/office/drawing/2014/main" id="{0735642E-5A92-4A62-BB95-743191155146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0388" name="Line 57">
          <a:extLst>
            <a:ext uri="{FF2B5EF4-FFF2-40B4-BE49-F238E27FC236}">
              <a16:creationId xmlns:a16="http://schemas.microsoft.com/office/drawing/2014/main" id="{E0ACBDA9-597D-400C-8A77-244A3D7C474A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0389" name="Line 58">
          <a:extLst>
            <a:ext uri="{FF2B5EF4-FFF2-40B4-BE49-F238E27FC236}">
              <a16:creationId xmlns:a16="http://schemas.microsoft.com/office/drawing/2014/main" id="{59D87AFA-1C6E-445D-BFA3-F0D72967B8E6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0390" name="Line 59">
          <a:extLst>
            <a:ext uri="{FF2B5EF4-FFF2-40B4-BE49-F238E27FC236}">
              <a16:creationId xmlns:a16="http://schemas.microsoft.com/office/drawing/2014/main" id="{585FC42E-A103-49E8-9034-E60FD65FFE4A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200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0391" name="Line 60">
          <a:extLst>
            <a:ext uri="{FF2B5EF4-FFF2-40B4-BE49-F238E27FC236}">
              <a16:creationId xmlns:a16="http://schemas.microsoft.com/office/drawing/2014/main" id="{902455F7-6AE2-4908-A23E-C1C35AB102B3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0392" name="Line 61">
          <a:extLst>
            <a:ext uri="{FF2B5EF4-FFF2-40B4-BE49-F238E27FC236}">
              <a16:creationId xmlns:a16="http://schemas.microsoft.com/office/drawing/2014/main" id="{A9725DA7-73DA-459C-B184-50EFB31798F0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0393" name="Line 62">
          <a:extLst>
            <a:ext uri="{FF2B5EF4-FFF2-40B4-BE49-F238E27FC236}">
              <a16:creationId xmlns:a16="http://schemas.microsoft.com/office/drawing/2014/main" id="{E674EC9E-453B-4B75-8FB8-497B00B9417B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0394" name="Line 63">
          <a:extLst>
            <a:ext uri="{FF2B5EF4-FFF2-40B4-BE49-F238E27FC236}">
              <a16:creationId xmlns:a16="http://schemas.microsoft.com/office/drawing/2014/main" id="{ACA42CD1-D8C5-4B67-95FC-8A90636DD096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0395" name="Line 64">
          <a:extLst>
            <a:ext uri="{FF2B5EF4-FFF2-40B4-BE49-F238E27FC236}">
              <a16:creationId xmlns:a16="http://schemas.microsoft.com/office/drawing/2014/main" id="{C78AEEC0-B810-46DE-9490-FA9E2D14EA58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0396" name="Line 65">
          <a:extLst>
            <a:ext uri="{FF2B5EF4-FFF2-40B4-BE49-F238E27FC236}">
              <a16:creationId xmlns:a16="http://schemas.microsoft.com/office/drawing/2014/main" id="{AC7857A2-E884-4807-B74A-B6A3A857E108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0397" name="Line 66">
          <a:extLst>
            <a:ext uri="{FF2B5EF4-FFF2-40B4-BE49-F238E27FC236}">
              <a16:creationId xmlns:a16="http://schemas.microsoft.com/office/drawing/2014/main" id="{40F8D973-749C-4D92-9A0E-731726B485A1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0398" name="Line 67">
          <a:extLst>
            <a:ext uri="{FF2B5EF4-FFF2-40B4-BE49-F238E27FC236}">
              <a16:creationId xmlns:a16="http://schemas.microsoft.com/office/drawing/2014/main" id="{EF990BBA-7C4D-4FC6-93B6-3CCB9370D3DB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0399" name="Line 68">
          <a:extLst>
            <a:ext uri="{FF2B5EF4-FFF2-40B4-BE49-F238E27FC236}">
              <a16:creationId xmlns:a16="http://schemas.microsoft.com/office/drawing/2014/main" id="{82727BCE-4655-440C-A87A-C0F48C070E97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6003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0400" name="Line 69">
          <a:extLst>
            <a:ext uri="{FF2B5EF4-FFF2-40B4-BE49-F238E27FC236}">
              <a16:creationId xmlns:a16="http://schemas.microsoft.com/office/drawing/2014/main" id="{5B5F8614-CCE1-4AF5-BC15-C2B67BDAED01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0401" name="Line 70">
          <a:extLst>
            <a:ext uri="{FF2B5EF4-FFF2-40B4-BE49-F238E27FC236}">
              <a16:creationId xmlns:a16="http://schemas.microsoft.com/office/drawing/2014/main" id="{A0711A50-76CB-4832-8434-125B1ECA4A75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0402" name="Line 71">
          <a:extLst>
            <a:ext uri="{FF2B5EF4-FFF2-40B4-BE49-F238E27FC236}">
              <a16:creationId xmlns:a16="http://schemas.microsoft.com/office/drawing/2014/main" id="{D05974F6-B5D2-49A7-9F18-46140063B675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0403" name="Line 72">
          <a:extLst>
            <a:ext uri="{FF2B5EF4-FFF2-40B4-BE49-F238E27FC236}">
              <a16:creationId xmlns:a16="http://schemas.microsoft.com/office/drawing/2014/main" id="{70E5A746-3908-497D-BB90-DD16A8DA68E3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0404" name="Line 73">
          <a:extLst>
            <a:ext uri="{FF2B5EF4-FFF2-40B4-BE49-F238E27FC236}">
              <a16:creationId xmlns:a16="http://schemas.microsoft.com/office/drawing/2014/main" id="{B7843381-8717-4907-AABB-0A408FE91AA3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0405" name="Line 74">
          <a:extLst>
            <a:ext uri="{FF2B5EF4-FFF2-40B4-BE49-F238E27FC236}">
              <a16:creationId xmlns:a16="http://schemas.microsoft.com/office/drawing/2014/main" id="{3E9F16E3-93D0-4A97-A85F-A8BC4D764DB7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0406" name="Line 75">
          <a:extLst>
            <a:ext uri="{FF2B5EF4-FFF2-40B4-BE49-F238E27FC236}">
              <a16:creationId xmlns:a16="http://schemas.microsoft.com/office/drawing/2014/main" id="{9ADC3966-5A98-4672-AE24-B9FB3340EF3D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0407" name="Line 76">
          <a:extLst>
            <a:ext uri="{FF2B5EF4-FFF2-40B4-BE49-F238E27FC236}">
              <a16:creationId xmlns:a16="http://schemas.microsoft.com/office/drawing/2014/main" id="{08C20DC5-A253-4B6C-AB2C-0857FB118230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0408" name="Line 77">
          <a:extLst>
            <a:ext uri="{FF2B5EF4-FFF2-40B4-BE49-F238E27FC236}">
              <a16:creationId xmlns:a16="http://schemas.microsoft.com/office/drawing/2014/main" id="{1E930E51-2055-4A3A-8B99-90F5A7E5F83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0409" name="Line 78">
          <a:extLst>
            <a:ext uri="{FF2B5EF4-FFF2-40B4-BE49-F238E27FC236}">
              <a16:creationId xmlns:a16="http://schemas.microsoft.com/office/drawing/2014/main" id="{6BB2A1D5-779F-4E24-9BE7-68737D49D403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0410" name="Line 79">
          <a:extLst>
            <a:ext uri="{FF2B5EF4-FFF2-40B4-BE49-F238E27FC236}">
              <a16:creationId xmlns:a16="http://schemas.microsoft.com/office/drawing/2014/main" id="{20CFF45E-8473-44F0-8F4A-57275BE4FC77}"/>
            </a:ext>
          </a:extLst>
        </xdr:cNvPr>
        <xdr:cNvSpPr>
          <a:spLocks noChangeShapeType="1"/>
        </xdr:cNvSpPr>
      </xdr:nvSpPr>
      <xdr:spPr bwMode="auto">
        <a:xfrm>
          <a:off x="104679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0411" name="Line 80">
          <a:extLst>
            <a:ext uri="{FF2B5EF4-FFF2-40B4-BE49-F238E27FC236}">
              <a16:creationId xmlns:a16="http://schemas.microsoft.com/office/drawing/2014/main" id="{959A88EA-E92C-4C4A-AADD-329CACC8E63B}"/>
            </a:ext>
          </a:extLst>
        </xdr:cNvPr>
        <xdr:cNvSpPr>
          <a:spLocks noChangeShapeType="1"/>
        </xdr:cNvSpPr>
      </xdr:nvSpPr>
      <xdr:spPr bwMode="auto">
        <a:xfrm>
          <a:off x="104679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0412" name="Line 81">
          <a:extLst>
            <a:ext uri="{FF2B5EF4-FFF2-40B4-BE49-F238E27FC236}">
              <a16:creationId xmlns:a16="http://schemas.microsoft.com/office/drawing/2014/main" id="{AD14EB95-B439-4F18-9609-B01BCA669741}"/>
            </a:ext>
          </a:extLst>
        </xdr:cNvPr>
        <xdr:cNvSpPr>
          <a:spLocks noChangeShapeType="1"/>
        </xdr:cNvSpPr>
      </xdr:nvSpPr>
      <xdr:spPr bwMode="auto">
        <a:xfrm>
          <a:off x="97059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0413" name="Line 82">
          <a:extLst>
            <a:ext uri="{FF2B5EF4-FFF2-40B4-BE49-F238E27FC236}">
              <a16:creationId xmlns:a16="http://schemas.microsoft.com/office/drawing/2014/main" id="{2B93883B-2F6B-48BA-AE26-F54FE4184533}"/>
            </a:ext>
          </a:extLst>
        </xdr:cNvPr>
        <xdr:cNvSpPr>
          <a:spLocks noChangeShapeType="1"/>
        </xdr:cNvSpPr>
      </xdr:nvSpPr>
      <xdr:spPr bwMode="auto">
        <a:xfrm>
          <a:off x="97059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0414" name="Line 83">
          <a:extLst>
            <a:ext uri="{FF2B5EF4-FFF2-40B4-BE49-F238E27FC236}">
              <a16:creationId xmlns:a16="http://schemas.microsoft.com/office/drawing/2014/main" id="{0DE5E81A-C544-4AAD-81AA-9DA9A7334ED3}"/>
            </a:ext>
          </a:extLst>
        </xdr:cNvPr>
        <xdr:cNvSpPr>
          <a:spLocks noChangeShapeType="1"/>
        </xdr:cNvSpPr>
      </xdr:nvSpPr>
      <xdr:spPr bwMode="auto">
        <a:xfrm>
          <a:off x="1441132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0415" name="Line 84">
          <a:extLst>
            <a:ext uri="{FF2B5EF4-FFF2-40B4-BE49-F238E27FC236}">
              <a16:creationId xmlns:a16="http://schemas.microsoft.com/office/drawing/2014/main" id="{03483457-5CEA-4CB9-B2C8-902358BB8692}"/>
            </a:ext>
          </a:extLst>
        </xdr:cNvPr>
        <xdr:cNvSpPr>
          <a:spLocks noChangeShapeType="1"/>
        </xdr:cNvSpPr>
      </xdr:nvSpPr>
      <xdr:spPr bwMode="auto">
        <a:xfrm>
          <a:off x="144113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0416" name="Line 85">
          <a:extLst>
            <a:ext uri="{FF2B5EF4-FFF2-40B4-BE49-F238E27FC236}">
              <a16:creationId xmlns:a16="http://schemas.microsoft.com/office/drawing/2014/main" id="{2EB0F689-9162-4828-852B-995BE148C54A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0417" name="Line 86">
          <a:extLst>
            <a:ext uri="{FF2B5EF4-FFF2-40B4-BE49-F238E27FC236}">
              <a16:creationId xmlns:a16="http://schemas.microsoft.com/office/drawing/2014/main" id="{01EED702-EB5A-4AE8-B416-E008D19800A3}"/>
            </a:ext>
          </a:extLst>
        </xdr:cNvPr>
        <xdr:cNvSpPr>
          <a:spLocks noChangeShapeType="1"/>
        </xdr:cNvSpPr>
      </xdr:nvSpPr>
      <xdr:spPr bwMode="auto">
        <a:xfrm>
          <a:off x="97059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0418" name="Line 87">
          <a:extLst>
            <a:ext uri="{FF2B5EF4-FFF2-40B4-BE49-F238E27FC236}">
              <a16:creationId xmlns:a16="http://schemas.microsoft.com/office/drawing/2014/main" id="{7296EAFB-B659-4D5A-AA9E-8F4AB9195099}"/>
            </a:ext>
          </a:extLst>
        </xdr:cNvPr>
        <xdr:cNvSpPr>
          <a:spLocks noChangeShapeType="1"/>
        </xdr:cNvSpPr>
      </xdr:nvSpPr>
      <xdr:spPr bwMode="auto">
        <a:xfrm flipV="1">
          <a:off x="98202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0419" name="Line 88">
          <a:extLst>
            <a:ext uri="{FF2B5EF4-FFF2-40B4-BE49-F238E27FC236}">
              <a16:creationId xmlns:a16="http://schemas.microsoft.com/office/drawing/2014/main" id="{33877BB8-FFDF-4E9E-AF1A-A4B1A44C6DAB}"/>
            </a:ext>
          </a:extLst>
        </xdr:cNvPr>
        <xdr:cNvSpPr>
          <a:spLocks noChangeShapeType="1"/>
        </xdr:cNvSpPr>
      </xdr:nvSpPr>
      <xdr:spPr bwMode="auto">
        <a:xfrm>
          <a:off x="97059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0420" name="Line 89">
          <a:extLst>
            <a:ext uri="{FF2B5EF4-FFF2-40B4-BE49-F238E27FC236}">
              <a16:creationId xmlns:a16="http://schemas.microsoft.com/office/drawing/2014/main" id="{803B8243-2FAF-4523-B434-C6B853C676AD}"/>
            </a:ext>
          </a:extLst>
        </xdr:cNvPr>
        <xdr:cNvSpPr>
          <a:spLocks noChangeShapeType="1"/>
        </xdr:cNvSpPr>
      </xdr:nvSpPr>
      <xdr:spPr bwMode="auto">
        <a:xfrm>
          <a:off x="9705975" y="11287125"/>
          <a:ext cx="3009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0421" name="Line 90">
          <a:extLst>
            <a:ext uri="{FF2B5EF4-FFF2-40B4-BE49-F238E27FC236}">
              <a16:creationId xmlns:a16="http://schemas.microsoft.com/office/drawing/2014/main" id="{99DDBD8B-C7B4-473F-BB5C-1D14BDE26E99}"/>
            </a:ext>
          </a:extLst>
        </xdr:cNvPr>
        <xdr:cNvSpPr>
          <a:spLocks noChangeShapeType="1"/>
        </xdr:cNvSpPr>
      </xdr:nvSpPr>
      <xdr:spPr bwMode="auto">
        <a:xfrm>
          <a:off x="98202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0422" name="Line 91">
          <a:extLst>
            <a:ext uri="{FF2B5EF4-FFF2-40B4-BE49-F238E27FC236}">
              <a16:creationId xmlns:a16="http://schemas.microsoft.com/office/drawing/2014/main" id="{89FA6DCF-36D4-48CD-B2B6-05F8DE151712}"/>
            </a:ext>
          </a:extLst>
        </xdr:cNvPr>
        <xdr:cNvSpPr>
          <a:spLocks noChangeShapeType="1"/>
        </xdr:cNvSpPr>
      </xdr:nvSpPr>
      <xdr:spPr bwMode="auto">
        <a:xfrm flipV="1">
          <a:off x="98202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0423" name="Line 92">
          <a:extLst>
            <a:ext uri="{FF2B5EF4-FFF2-40B4-BE49-F238E27FC236}">
              <a16:creationId xmlns:a16="http://schemas.microsoft.com/office/drawing/2014/main" id="{8BB08FEF-EF19-4056-BCDE-92F51E4321E9}"/>
            </a:ext>
          </a:extLst>
        </xdr:cNvPr>
        <xdr:cNvSpPr>
          <a:spLocks noChangeShapeType="1"/>
        </xdr:cNvSpPr>
      </xdr:nvSpPr>
      <xdr:spPr bwMode="auto">
        <a:xfrm flipV="1">
          <a:off x="97059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0424" name="Line 93">
          <a:extLst>
            <a:ext uri="{FF2B5EF4-FFF2-40B4-BE49-F238E27FC236}">
              <a16:creationId xmlns:a16="http://schemas.microsoft.com/office/drawing/2014/main" id="{96E00931-8109-4FF6-A6CB-A12DFEE075BE}"/>
            </a:ext>
          </a:extLst>
        </xdr:cNvPr>
        <xdr:cNvSpPr>
          <a:spLocks noChangeShapeType="1"/>
        </xdr:cNvSpPr>
      </xdr:nvSpPr>
      <xdr:spPr bwMode="auto">
        <a:xfrm>
          <a:off x="98202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0425" name="Line 94">
          <a:extLst>
            <a:ext uri="{FF2B5EF4-FFF2-40B4-BE49-F238E27FC236}">
              <a16:creationId xmlns:a16="http://schemas.microsoft.com/office/drawing/2014/main" id="{6288E3E1-25A8-46F7-A672-6E7076427335}"/>
            </a:ext>
          </a:extLst>
        </xdr:cNvPr>
        <xdr:cNvSpPr>
          <a:spLocks noChangeShapeType="1"/>
        </xdr:cNvSpPr>
      </xdr:nvSpPr>
      <xdr:spPr bwMode="auto">
        <a:xfrm>
          <a:off x="1184910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0426" name="Line 95">
          <a:extLst>
            <a:ext uri="{FF2B5EF4-FFF2-40B4-BE49-F238E27FC236}">
              <a16:creationId xmlns:a16="http://schemas.microsoft.com/office/drawing/2014/main" id="{E3E7208B-861A-4721-B842-858B1DB64BE4}"/>
            </a:ext>
          </a:extLst>
        </xdr:cNvPr>
        <xdr:cNvSpPr>
          <a:spLocks noChangeShapeType="1"/>
        </xdr:cNvSpPr>
      </xdr:nvSpPr>
      <xdr:spPr bwMode="auto">
        <a:xfrm>
          <a:off x="1184910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0427" name="Line 96">
          <a:extLst>
            <a:ext uri="{FF2B5EF4-FFF2-40B4-BE49-F238E27FC236}">
              <a16:creationId xmlns:a16="http://schemas.microsoft.com/office/drawing/2014/main" id="{54E864C4-5A64-43A8-BDEA-D6D564319F54}"/>
            </a:ext>
          </a:extLst>
        </xdr:cNvPr>
        <xdr:cNvSpPr>
          <a:spLocks noChangeShapeType="1"/>
        </xdr:cNvSpPr>
      </xdr:nvSpPr>
      <xdr:spPr bwMode="auto">
        <a:xfrm>
          <a:off x="97059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0428" name="Line 97">
          <a:extLst>
            <a:ext uri="{FF2B5EF4-FFF2-40B4-BE49-F238E27FC236}">
              <a16:creationId xmlns:a16="http://schemas.microsoft.com/office/drawing/2014/main" id="{63104E03-D1B6-40EA-AE4F-E50338ADD3AF}"/>
            </a:ext>
          </a:extLst>
        </xdr:cNvPr>
        <xdr:cNvSpPr>
          <a:spLocks noChangeShapeType="1"/>
        </xdr:cNvSpPr>
      </xdr:nvSpPr>
      <xdr:spPr bwMode="auto">
        <a:xfrm>
          <a:off x="1184910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0429" name="Line 98">
          <a:extLst>
            <a:ext uri="{FF2B5EF4-FFF2-40B4-BE49-F238E27FC236}">
              <a16:creationId xmlns:a16="http://schemas.microsoft.com/office/drawing/2014/main" id="{6CDF3D63-EDB3-4E7F-AA92-FBA6ABA58EFE}"/>
            </a:ext>
          </a:extLst>
        </xdr:cNvPr>
        <xdr:cNvSpPr>
          <a:spLocks noChangeShapeType="1"/>
        </xdr:cNvSpPr>
      </xdr:nvSpPr>
      <xdr:spPr bwMode="auto">
        <a:xfrm flipV="1">
          <a:off x="97059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0430" name="Line 99">
          <a:extLst>
            <a:ext uri="{FF2B5EF4-FFF2-40B4-BE49-F238E27FC236}">
              <a16:creationId xmlns:a16="http://schemas.microsoft.com/office/drawing/2014/main" id="{39BD6D01-AE7B-4FFD-8D2C-0B95C6924DBF}"/>
            </a:ext>
          </a:extLst>
        </xdr:cNvPr>
        <xdr:cNvSpPr>
          <a:spLocks noChangeShapeType="1"/>
        </xdr:cNvSpPr>
      </xdr:nvSpPr>
      <xdr:spPr bwMode="auto">
        <a:xfrm>
          <a:off x="104679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0431" name="Line 100">
          <a:extLst>
            <a:ext uri="{FF2B5EF4-FFF2-40B4-BE49-F238E27FC236}">
              <a16:creationId xmlns:a16="http://schemas.microsoft.com/office/drawing/2014/main" id="{A2AF42E5-BB8E-4575-BDB7-8AFB5F73E381}"/>
            </a:ext>
          </a:extLst>
        </xdr:cNvPr>
        <xdr:cNvSpPr>
          <a:spLocks noChangeShapeType="1"/>
        </xdr:cNvSpPr>
      </xdr:nvSpPr>
      <xdr:spPr bwMode="auto">
        <a:xfrm>
          <a:off x="144113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4768" name="Line 101">
          <a:extLst>
            <a:ext uri="{FF2B5EF4-FFF2-40B4-BE49-F238E27FC236}">
              <a16:creationId xmlns:a16="http://schemas.microsoft.com/office/drawing/2014/main" id="{62056A14-1240-4FF9-8982-51EDF36252E9}"/>
            </a:ext>
          </a:extLst>
        </xdr:cNvPr>
        <xdr:cNvSpPr>
          <a:spLocks noChangeShapeType="1"/>
        </xdr:cNvSpPr>
      </xdr:nvSpPr>
      <xdr:spPr bwMode="auto">
        <a:xfrm>
          <a:off x="13992225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4769" name="Line 102">
          <a:extLst>
            <a:ext uri="{FF2B5EF4-FFF2-40B4-BE49-F238E27FC236}">
              <a16:creationId xmlns:a16="http://schemas.microsoft.com/office/drawing/2014/main" id="{0FCDFA59-EBD6-4267-8FE4-8A52AE9A5AAB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4770" name="Line 103">
          <a:extLst>
            <a:ext uri="{FF2B5EF4-FFF2-40B4-BE49-F238E27FC236}">
              <a16:creationId xmlns:a16="http://schemas.microsoft.com/office/drawing/2014/main" id="{79D6DC3F-7120-4DEB-A6B7-6D682CB448AC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4771" name="Line 104">
          <a:extLst>
            <a:ext uri="{FF2B5EF4-FFF2-40B4-BE49-F238E27FC236}">
              <a16:creationId xmlns:a16="http://schemas.microsoft.com/office/drawing/2014/main" id="{80C40EC2-BDAD-42EA-A22C-F9A8C1BA2228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4772" name="Line 105">
          <a:extLst>
            <a:ext uri="{FF2B5EF4-FFF2-40B4-BE49-F238E27FC236}">
              <a16:creationId xmlns:a16="http://schemas.microsoft.com/office/drawing/2014/main" id="{A34BA6B2-C2C7-45C9-9778-A546E512903B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4773" name="Line 106">
          <a:extLst>
            <a:ext uri="{FF2B5EF4-FFF2-40B4-BE49-F238E27FC236}">
              <a16:creationId xmlns:a16="http://schemas.microsoft.com/office/drawing/2014/main" id="{8AF07605-4BEC-440E-84A7-B523737A21A6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4774" name="Line 107">
          <a:extLst>
            <a:ext uri="{FF2B5EF4-FFF2-40B4-BE49-F238E27FC236}">
              <a16:creationId xmlns:a16="http://schemas.microsoft.com/office/drawing/2014/main" id="{122CE92B-3C4A-4464-99D2-76D3CCDD6852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4775" name="Line 108">
          <a:extLst>
            <a:ext uri="{FF2B5EF4-FFF2-40B4-BE49-F238E27FC236}">
              <a16:creationId xmlns:a16="http://schemas.microsoft.com/office/drawing/2014/main" id="{6CDD71B6-F9C7-492B-8F05-4327159B884A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4776" name="Line 109">
          <a:extLst>
            <a:ext uri="{FF2B5EF4-FFF2-40B4-BE49-F238E27FC236}">
              <a16:creationId xmlns:a16="http://schemas.microsoft.com/office/drawing/2014/main" id="{38CA64C3-DB07-4931-B4AF-E221E69430A8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4777" name="Line 110">
          <a:extLst>
            <a:ext uri="{FF2B5EF4-FFF2-40B4-BE49-F238E27FC236}">
              <a16:creationId xmlns:a16="http://schemas.microsoft.com/office/drawing/2014/main" id="{6EAC06C8-05A1-4DF9-B4AF-E2FD57EA9121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4778" name="Line 111">
          <a:extLst>
            <a:ext uri="{FF2B5EF4-FFF2-40B4-BE49-F238E27FC236}">
              <a16:creationId xmlns:a16="http://schemas.microsoft.com/office/drawing/2014/main" id="{A2F45F3F-E889-4030-BBC6-DDC35544E622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4779" name="Line 112">
          <a:extLst>
            <a:ext uri="{FF2B5EF4-FFF2-40B4-BE49-F238E27FC236}">
              <a16:creationId xmlns:a16="http://schemas.microsoft.com/office/drawing/2014/main" id="{48ED7523-EAF1-48D2-B43D-20F29D9354D0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4780" name="Line 113">
          <a:extLst>
            <a:ext uri="{FF2B5EF4-FFF2-40B4-BE49-F238E27FC236}">
              <a16:creationId xmlns:a16="http://schemas.microsoft.com/office/drawing/2014/main" id="{1CFEF15C-E5E5-4427-BE6C-3D2938737EC6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6286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4781" name="Line 114">
          <a:extLst>
            <a:ext uri="{FF2B5EF4-FFF2-40B4-BE49-F238E27FC236}">
              <a16:creationId xmlns:a16="http://schemas.microsoft.com/office/drawing/2014/main" id="{8923F8DB-C78B-4E1B-9608-EC4FD84439B4}"/>
            </a:ext>
          </a:extLst>
        </xdr:cNvPr>
        <xdr:cNvSpPr>
          <a:spLocks noChangeShapeType="1"/>
        </xdr:cNvSpPr>
      </xdr:nvSpPr>
      <xdr:spPr bwMode="auto">
        <a:xfrm flipV="1">
          <a:off x="97059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1356" name="Line 1">
          <a:extLst>
            <a:ext uri="{FF2B5EF4-FFF2-40B4-BE49-F238E27FC236}">
              <a16:creationId xmlns:a16="http://schemas.microsoft.com/office/drawing/2014/main" id="{301AB16A-DF69-4F06-897F-371BB99B5E62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1357" name="Line 2">
          <a:extLst>
            <a:ext uri="{FF2B5EF4-FFF2-40B4-BE49-F238E27FC236}">
              <a16:creationId xmlns:a16="http://schemas.microsoft.com/office/drawing/2014/main" id="{8B8EDB14-5B5A-4246-BE9B-0403FCED4615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1358" name="Line 3">
          <a:extLst>
            <a:ext uri="{FF2B5EF4-FFF2-40B4-BE49-F238E27FC236}">
              <a16:creationId xmlns:a16="http://schemas.microsoft.com/office/drawing/2014/main" id="{9653F280-EC5F-46FE-B5AE-AE853FBF01DC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1359" name="Line 4">
          <a:extLst>
            <a:ext uri="{FF2B5EF4-FFF2-40B4-BE49-F238E27FC236}">
              <a16:creationId xmlns:a16="http://schemas.microsoft.com/office/drawing/2014/main" id="{9CE63AEE-517F-4A5F-A600-2BF3B53DDD31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1360" name="Line 5">
          <a:extLst>
            <a:ext uri="{FF2B5EF4-FFF2-40B4-BE49-F238E27FC236}">
              <a16:creationId xmlns:a16="http://schemas.microsoft.com/office/drawing/2014/main" id="{D63329EA-1F7B-4BA4-B255-3BFD7D588791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1361" name="Line 6">
          <a:extLst>
            <a:ext uri="{FF2B5EF4-FFF2-40B4-BE49-F238E27FC236}">
              <a16:creationId xmlns:a16="http://schemas.microsoft.com/office/drawing/2014/main" id="{0A1839A0-C834-49B4-9C8A-96813A958C68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1362" name="Line 7">
          <a:extLst>
            <a:ext uri="{FF2B5EF4-FFF2-40B4-BE49-F238E27FC236}">
              <a16:creationId xmlns:a16="http://schemas.microsoft.com/office/drawing/2014/main" id="{BF6B3E59-931F-4858-9E9F-18C2E7E59A95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1363" name="Line 8">
          <a:extLst>
            <a:ext uri="{FF2B5EF4-FFF2-40B4-BE49-F238E27FC236}">
              <a16:creationId xmlns:a16="http://schemas.microsoft.com/office/drawing/2014/main" id="{F915D96F-0470-49B1-8C6C-782366FC1BD2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25400</xdr:colOff>
      <xdr:row>16</xdr:row>
      <xdr:rowOff>0</xdr:rowOff>
    </xdr:from>
    <xdr:to>
      <xdr:col>14</xdr:col>
      <xdr:colOff>25400</xdr:colOff>
      <xdr:row>16</xdr:row>
      <xdr:rowOff>0</xdr:rowOff>
    </xdr:to>
    <xdr:sp macro="" textlink="">
      <xdr:nvSpPr>
        <xdr:cNvPr id="531364" name="Line 9">
          <a:extLst>
            <a:ext uri="{FF2B5EF4-FFF2-40B4-BE49-F238E27FC236}">
              <a16:creationId xmlns:a16="http://schemas.microsoft.com/office/drawing/2014/main" id="{478EED33-C019-4DCD-A64B-EFCBCA718674}"/>
            </a:ext>
          </a:extLst>
        </xdr:cNvPr>
        <xdr:cNvSpPr>
          <a:spLocks noChangeShapeType="1"/>
        </xdr:cNvSpPr>
      </xdr:nvSpPr>
      <xdr:spPr bwMode="auto">
        <a:xfrm>
          <a:off x="5325533" y="2743200"/>
          <a:ext cx="618067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1365" name="Line 10">
          <a:extLst>
            <a:ext uri="{FF2B5EF4-FFF2-40B4-BE49-F238E27FC236}">
              <a16:creationId xmlns:a16="http://schemas.microsoft.com/office/drawing/2014/main" id="{1AEE7112-FE88-4A0F-9CA8-70C547FF5C12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1366" name="Line 11">
          <a:extLst>
            <a:ext uri="{FF2B5EF4-FFF2-40B4-BE49-F238E27FC236}">
              <a16:creationId xmlns:a16="http://schemas.microsoft.com/office/drawing/2014/main" id="{90B500E5-BFBE-4D35-815E-639BDE2AF785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1367" name="Line 12">
          <a:extLst>
            <a:ext uri="{FF2B5EF4-FFF2-40B4-BE49-F238E27FC236}">
              <a16:creationId xmlns:a16="http://schemas.microsoft.com/office/drawing/2014/main" id="{7AC3620D-8D8E-4FB8-A1D7-31576BC63C70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1368" name="Line 13">
          <a:extLst>
            <a:ext uri="{FF2B5EF4-FFF2-40B4-BE49-F238E27FC236}">
              <a16:creationId xmlns:a16="http://schemas.microsoft.com/office/drawing/2014/main" id="{55CE80A3-3A33-4DB6-B4DB-87A9EB036F51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1369" name="Line 14">
          <a:extLst>
            <a:ext uri="{FF2B5EF4-FFF2-40B4-BE49-F238E27FC236}">
              <a16:creationId xmlns:a16="http://schemas.microsoft.com/office/drawing/2014/main" id="{EC1BAE58-80E8-42A7-9EB0-D82983D25A56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1370" name="Line 15">
          <a:extLst>
            <a:ext uri="{FF2B5EF4-FFF2-40B4-BE49-F238E27FC236}">
              <a16:creationId xmlns:a16="http://schemas.microsoft.com/office/drawing/2014/main" id="{39A49A58-F88F-4D8F-B6F1-396D5EE34F06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1371" name="Line 16">
          <a:extLst>
            <a:ext uri="{FF2B5EF4-FFF2-40B4-BE49-F238E27FC236}">
              <a16:creationId xmlns:a16="http://schemas.microsoft.com/office/drawing/2014/main" id="{CFCF7C9D-F6C7-42BC-8149-3CD58203DE7D}"/>
            </a:ext>
          </a:extLst>
        </xdr:cNvPr>
        <xdr:cNvSpPr>
          <a:spLocks noChangeShapeType="1"/>
        </xdr:cNvSpPr>
      </xdr:nvSpPr>
      <xdr:spPr bwMode="auto">
        <a:xfrm>
          <a:off x="10429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1372" name="Line 17">
          <a:extLst>
            <a:ext uri="{FF2B5EF4-FFF2-40B4-BE49-F238E27FC236}">
              <a16:creationId xmlns:a16="http://schemas.microsoft.com/office/drawing/2014/main" id="{BC6C1B3A-89AB-424A-A28D-087A5B817903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1373" name="Line 18">
          <a:extLst>
            <a:ext uri="{FF2B5EF4-FFF2-40B4-BE49-F238E27FC236}">
              <a16:creationId xmlns:a16="http://schemas.microsoft.com/office/drawing/2014/main" id="{D32CE896-C621-4864-9242-1AD6DC098F45}"/>
            </a:ext>
          </a:extLst>
        </xdr:cNvPr>
        <xdr:cNvSpPr>
          <a:spLocks noChangeShapeType="1"/>
        </xdr:cNvSpPr>
      </xdr:nvSpPr>
      <xdr:spPr bwMode="auto">
        <a:xfrm>
          <a:off x="10429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1374" name="Line 19">
          <a:extLst>
            <a:ext uri="{FF2B5EF4-FFF2-40B4-BE49-F238E27FC236}">
              <a16:creationId xmlns:a16="http://schemas.microsoft.com/office/drawing/2014/main" id="{987559BE-A76A-40BD-A463-285CC4D5373E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1375" name="Line 20">
          <a:extLst>
            <a:ext uri="{FF2B5EF4-FFF2-40B4-BE49-F238E27FC236}">
              <a16:creationId xmlns:a16="http://schemas.microsoft.com/office/drawing/2014/main" id="{73856370-0049-47E9-837F-C241E10EDF13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1376" name="Line 21">
          <a:extLst>
            <a:ext uri="{FF2B5EF4-FFF2-40B4-BE49-F238E27FC236}">
              <a16:creationId xmlns:a16="http://schemas.microsoft.com/office/drawing/2014/main" id="{080236EE-4E3F-44EF-B117-916E2FF486BE}"/>
            </a:ext>
          </a:extLst>
        </xdr:cNvPr>
        <xdr:cNvSpPr>
          <a:spLocks noChangeShapeType="1"/>
        </xdr:cNvSpPr>
      </xdr:nvSpPr>
      <xdr:spPr bwMode="auto">
        <a:xfrm>
          <a:off x="10429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1377" name="Line 22">
          <a:extLst>
            <a:ext uri="{FF2B5EF4-FFF2-40B4-BE49-F238E27FC236}">
              <a16:creationId xmlns:a16="http://schemas.microsoft.com/office/drawing/2014/main" id="{E8185EE5-2504-4345-B647-8347E6AFC34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1378" name="Line 23">
          <a:extLst>
            <a:ext uri="{FF2B5EF4-FFF2-40B4-BE49-F238E27FC236}">
              <a16:creationId xmlns:a16="http://schemas.microsoft.com/office/drawing/2014/main" id="{240A0E71-A96C-4EB7-8365-2A1313AC203D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1379" name="Line 24">
          <a:extLst>
            <a:ext uri="{FF2B5EF4-FFF2-40B4-BE49-F238E27FC236}">
              <a16:creationId xmlns:a16="http://schemas.microsoft.com/office/drawing/2014/main" id="{0D764756-81D9-4FD8-95F9-1CDE778F1129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1380" name="Line 25">
          <a:extLst>
            <a:ext uri="{FF2B5EF4-FFF2-40B4-BE49-F238E27FC236}">
              <a16:creationId xmlns:a16="http://schemas.microsoft.com/office/drawing/2014/main" id="{C3AE3F84-3987-4BF3-A244-0D697CFA3673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1381" name="Line 26">
          <a:extLst>
            <a:ext uri="{FF2B5EF4-FFF2-40B4-BE49-F238E27FC236}">
              <a16:creationId xmlns:a16="http://schemas.microsoft.com/office/drawing/2014/main" id="{D5D15CCB-D0B3-455E-B966-80F6FDAF9CEB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1382" name="Line 27">
          <a:extLst>
            <a:ext uri="{FF2B5EF4-FFF2-40B4-BE49-F238E27FC236}">
              <a16:creationId xmlns:a16="http://schemas.microsoft.com/office/drawing/2014/main" id="{FD0030AE-DAEF-4245-9CD2-1E9E91D15197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1383" name="Line 28">
          <a:extLst>
            <a:ext uri="{FF2B5EF4-FFF2-40B4-BE49-F238E27FC236}">
              <a16:creationId xmlns:a16="http://schemas.microsoft.com/office/drawing/2014/main" id="{40416C34-6D67-45C9-8721-CEA84FC665CD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1384" name="Line 29">
          <a:extLst>
            <a:ext uri="{FF2B5EF4-FFF2-40B4-BE49-F238E27FC236}">
              <a16:creationId xmlns:a16="http://schemas.microsoft.com/office/drawing/2014/main" id="{BC0A91E6-BC35-4F88-B6DA-B96B8E4CED55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1385" name="Line 30">
          <a:extLst>
            <a:ext uri="{FF2B5EF4-FFF2-40B4-BE49-F238E27FC236}">
              <a16:creationId xmlns:a16="http://schemas.microsoft.com/office/drawing/2014/main" id="{6750C137-B077-46A7-9217-8EB32E7BFDC4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1386" name="Line 31">
          <a:extLst>
            <a:ext uri="{FF2B5EF4-FFF2-40B4-BE49-F238E27FC236}">
              <a16:creationId xmlns:a16="http://schemas.microsoft.com/office/drawing/2014/main" id="{09526FFA-84EE-4BAF-947D-46198F8B9457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1387" name="Line 32">
          <a:extLst>
            <a:ext uri="{FF2B5EF4-FFF2-40B4-BE49-F238E27FC236}">
              <a16:creationId xmlns:a16="http://schemas.microsoft.com/office/drawing/2014/main" id="{E3062316-D2C3-4D64-AAE7-E4BF11E955DC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1388" name="Line 33">
          <a:extLst>
            <a:ext uri="{FF2B5EF4-FFF2-40B4-BE49-F238E27FC236}">
              <a16:creationId xmlns:a16="http://schemas.microsoft.com/office/drawing/2014/main" id="{CFE0748A-D335-4C9D-A06E-E0AC24667A32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1389" name="Line 34">
          <a:extLst>
            <a:ext uri="{FF2B5EF4-FFF2-40B4-BE49-F238E27FC236}">
              <a16:creationId xmlns:a16="http://schemas.microsoft.com/office/drawing/2014/main" id="{07529852-CA7B-4708-962F-07CF7C2EECDF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1390" name="Line 35">
          <a:extLst>
            <a:ext uri="{FF2B5EF4-FFF2-40B4-BE49-F238E27FC236}">
              <a16:creationId xmlns:a16="http://schemas.microsoft.com/office/drawing/2014/main" id="{336994F4-B1D8-41F9-B133-646E066AEECF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1391" name="Line 36">
          <a:extLst>
            <a:ext uri="{FF2B5EF4-FFF2-40B4-BE49-F238E27FC236}">
              <a16:creationId xmlns:a16="http://schemas.microsoft.com/office/drawing/2014/main" id="{075C8955-FF25-4B78-9480-31F3BA436054}"/>
            </a:ext>
          </a:extLst>
        </xdr:cNvPr>
        <xdr:cNvSpPr>
          <a:spLocks noChangeShapeType="1"/>
        </xdr:cNvSpPr>
      </xdr:nvSpPr>
      <xdr:spPr bwMode="auto">
        <a:xfrm flipV="1">
          <a:off x="10429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1392" name="Line 37">
          <a:extLst>
            <a:ext uri="{FF2B5EF4-FFF2-40B4-BE49-F238E27FC236}">
              <a16:creationId xmlns:a16="http://schemas.microsoft.com/office/drawing/2014/main" id="{0F19098A-DF28-4CDB-8C79-9A8D9E541F4F}"/>
            </a:ext>
          </a:extLst>
        </xdr:cNvPr>
        <xdr:cNvSpPr>
          <a:spLocks noChangeShapeType="1"/>
        </xdr:cNvSpPr>
      </xdr:nvSpPr>
      <xdr:spPr bwMode="auto">
        <a:xfrm>
          <a:off x="9667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1393" name="Line 38">
          <a:extLst>
            <a:ext uri="{FF2B5EF4-FFF2-40B4-BE49-F238E27FC236}">
              <a16:creationId xmlns:a16="http://schemas.microsoft.com/office/drawing/2014/main" id="{9078FC0D-9FFE-4142-8904-6228DCB9DEC3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1394" name="Line 39">
          <a:extLst>
            <a:ext uri="{FF2B5EF4-FFF2-40B4-BE49-F238E27FC236}">
              <a16:creationId xmlns:a16="http://schemas.microsoft.com/office/drawing/2014/main" id="{EAAF4A93-6F03-45B7-B2E2-41C81DFB77DE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1395" name="Line 40">
          <a:extLst>
            <a:ext uri="{FF2B5EF4-FFF2-40B4-BE49-F238E27FC236}">
              <a16:creationId xmlns:a16="http://schemas.microsoft.com/office/drawing/2014/main" id="{50B62DDC-93A7-45C7-962C-1F993724A851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1396" name="Line 41">
          <a:extLst>
            <a:ext uri="{FF2B5EF4-FFF2-40B4-BE49-F238E27FC236}">
              <a16:creationId xmlns:a16="http://schemas.microsoft.com/office/drawing/2014/main" id="{77D19BED-4923-452A-A3A3-B32F2E03C2AE}"/>
            </a:ext>
          </a:extLst>
        </xdr:cNvPr>
        <xdr:cNvSpPr>
          <a:spLocks noChangeShapeType="1"/>
        </xdr:cNvSpPr>
      </xdr:nvSpPr>
      <xdr:spPr bwMode="auto">
        <a:xfrm>
          <a:off x="110966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1397" name="Line 42">
          <a:extLst>
            <a:ext uri="{FF2B5EF4-FFF2-40B4-BE49-F238E27FC236}">
              <a16:creationId xmlns:a16="http://schemas.microsoft.com/office/drawing/2014/main" id="{EA2F1375-B677-4861-9DE9-9AA511797D2C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1398" name="Line 43">
          <a:extLst>
            <a:ext uri="{FF2B5EF4-FFF2-40B4-BE49-F238E27FC236}">
              <a16:creationId xmlns:a16="http://schemas.microsoft.com/office/drawing/2014/main" id="{9B01A643-B0A2-4086-AA5C-C8087EBB24DC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1399" name="Line 44">
          <a:extLst>
            <a:ext uri="{FF2B5EF4-FFF2-40B4-BE49-F238E27FC236}">
              <a16:creationId xmlns:a16="http://schemas.microsoft.com/office/drawing/2014/main" id="{E7E00A04-C8F3-4790-9023-1316C8FF3254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1400" name="Line 45">
          <a:extLst>
            <a:ext uri="{FF2B5EF4-FFF2-40B4-BE49-F238E27FC236}">
              <a16:creationId xmlns:a16="http://schemas.microsoft.com/office/drawing/2014/main" id="{D9D4682E-5584-40D4-A650-5670F23AAF13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1401" name="Line 46">
          <a:extLst>
            <a:ext uri="{FF2B5EF4-FFF2-40B4-BE49-F238E27FC236}">
              <a16:creationId xmlns:a16="http://schemas.microsoft.com/office/drawing/2014/main" id="{0B15F217-A6BC-4272-A3DB-60C6C53EFBB4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1402" name="Line 47">
          <a:extLst>
            <a:ext uri="{FF2B5EF4-FFF2-40B4-BE49-F238E27FC236}">
              <a16:creationId xmlns:a16="http://schemas.microsoft.com/office/drawing/2014/main" id="{C1F3966B-54F5-4034-9DD2-C5ECB765FB82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1403" name="Line 48">
          <a:extLst>
            <a:ext uri="{FF2B5EF4-FFF2-40B4-BE49-F238E27FC236}">
              <a16:creationId xmlns:a16="http://schemas.microsoft.com/office/drawing/2014/main" id="{34F67F26-4A0E-4F43-8647-BFC894282F34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1404" name="Line 49">
          <a:extLst>
            <a:ext uri="{FF2B5EF4-FFF2-40B4-BE49-F238E27FC236}">
              <a16:creationId xmlns:a16="http://schemas.microsoft.com/office/drawing/2014/main" id="{D4C22354-0720-4501-A2A2-9E6A9E033628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1405" name="Line 50">
          <a:extLst>
            <a:ext uri="{FF2B5EF4-FFF2-40B4-BE49-F238E27FC236}">
              <a16:creationId xmlns:a16="http://schemas.microsoft.com/office/drawing/2014/main" id="{4CAB42E8-5913-4180-ABCE-7303F24BEB7A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1406" name="Line 51">
          <a:extLst>
            <a:ext uri="{FF2B5EF4-FFF2-40B4-BE49-F238E27FC236}">
              <a16:creationId xmlns:a16="http://schemas.microsoft.com/office/drawing/2014/main" id="{C6863371-D2A3-447C-BBD1-248C22234528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1407" name="Line 52">
          <a:extLst>
            <a:ext uri="{FF2B5EF4-FFF2-40B4-BE49-F238E27FC236}">
              <a16:creationId xmlns:a16="http://schemas.microsoft.com/office/drawing/2014/main" id="{EE0D0959-999F-4EB0-9E35-B414182AB1BC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1408" name="Line 53">
          <a:extLst>
            <a:ext uri="{FF2B5EF4-FFF2-40B4-BE49-F238E27FC236}">
              <a16:creationId xmlns:a16="http://schemas.microsoft.com/office/drawing/2014/main" id="{3C1822B4-A825-4531-8A7F-FA865FE0569F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1409" name="Line 54">
          <a:extLst>
            <a:ext uri="{FF2B5EF4-FFF2-40B4-BE49-F238E27FC236}">
              <a16:creationId xmlns:a16="http://schemas.microsoft.com/office/drawing/2014/main" id="{3E0387FA-052E-40CC-8C9F-B01390FC0C6A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1410" name="Line 55">
          <a:extLst>
            <a:ext uri="{FF2B5EF4-FFF2-40B4-BE49-F238E27FC236}">
              <a16:creationId xmlns:a16="http://schemas.microsoft.com/office/drawing/2014/main" id="{791B821A-1D71-443E-9EC8-DE5D278ACBBD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1411" name="Line 56">
          <a:extLst>
            <a:ext uri="{FF2B5EF4-FFF2-40B4-BE49-F238E27FC236}">
              <a16:creationId xmlns:a16="http://schemas.microsoft.com/office/drawing/2014/main" id="{7906C07A-1D9B-48D5-B9B7-0DB48D4F1C99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1412" name="Line 57">
          <a:extLst>
            <a:ext uri="{FF2B5EF4-FFF2-40B4-BE49-F238E27FC236}">
              <a16:creationId xmlns:a16="http://schemas.microsoft.com/office/drawing/2014/main" id="{5AACB449-D11D-40A3-8F27-0968D864B8DD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1413" name="Line 58">
          <a:extLst>
            <a:ext uri="{FF2B5EF4-FFF2-40B4-BE49-F238E27FC236}">
              <a16:creationId xmlns:a16="http://schemas.microsoft.com/office/drawing/2014/main" id="{CC28F5C4-64D7-44CB-91E6-7AAEC96162B8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1414" name="Line 59">
          <a:extLst>
            <a:ext uri="{FF2B5EF4-FFF2-40B4-BE49-F238E27FC236}">
              <a16:creationId xmlns:a16="http://schemas.microsoft.com/office/drawing/2014/main" id="{1C57C210-A124-4889-9151-4B7BDF6AFA22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1415" name="Line 60">
          <a:extLst>
            <a:ext uri="{FF2B5EF4-FFF2-40B4-BE49-F238E27FC236}">
              <a16:creationId xmlns:a16="http://schemas.microsoft.com/office/drawing/2014/main" id="{6950A8BF-3574-4D50-B13E-FA601403CB44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1416" name="Line 61">
          <a:extLst>
            <a:ext uri="{FF2B5EF4-FFF2-40B4-BE49-F238E27FC236}">
              <a16:creationId xmlns:a16="http://schemas.microsoft.com/office/drawing/2014/main" id="{A953E056-6D1D-41C9-A63E-BD75AC4DE666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1417" name="Line 62">
          <a:extLst>
            <a:ext uri="{FF2B5EF4-FFF2-40B4-BE49-F238E27FC236}">
              <a16:creationId xmlns:a16="http://schemas.microsoft.com/office/drawing/2014/main" id="{122864A6-3BA9-4BBE-A529-5679DE144FA5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1418" name="Line 63">
          <a:extLst>
            <a:ext uri="{FF2B5EF4-FFF2-40B4-BE49-F238E27FC236}">
              <a16:creationId xmlns:a16="http://schemas.microsoft.com/office/drawing/2014/main" id="{FEAD911C-C03A-4D49-B846-4AD536544BB2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1419" name="Line 64">
          <a:extLst>
            <a:ext uri="{FF2B5EF4-FFF2-40B4-BE49-F238E27FC236}">
              <a16:creationId xmlns:a16="http://schemas.microsoft.com/office/drawing/2014/main" id="{DBFF36AA-F669-45E4-9D2A-811D4B406ADC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1420" name="Line 65">
          <a:extLst>
            <a:ext uri="{FF2B5EF4-FFF2-40B4-BE49-F238E27FC236}">
              <a16:creationId xmlns:a16="http://schemas.microsoft.com/office/drawing/2014/main" id="{1E1CAE66-55FC-47AF-BD17-D00510D06A49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1421" name="Line 66">
          <a:extLst>
            <a:ext uri="{FF2B5EF4-FFF2-40B4-BE49-F238E27FC236}">
              <a16:creationId xmlns:a16="http://schemas.microsoft.com/office/drawing/2014/main" id="{8EA1F2AC-C99C-4519-96AF-784DFF8A1849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1422" name="Line 67">
          <a:extLst>
            <a:ext uri="{FF2B5EF4-FFF2-40B4-BE49-F238E27FC236}">
              <a16:creationId xmlns:a16="http://schemas.microsoft.com/office/drawing/2014/main" id="{68275882-722A-49E0-B1D6-08496385BB31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1423" name="Line 68">
          <a:extLst>
            <a:ext uri="{FF2B5EF4-FFF2-40B4-BE49-F238E27FC236}">
              <a16:creationId xmlns:a16="http://schemas.microsoft.com/office/drawing/2014/main" id="{E09493FA-262E-401F-A026-6CEF872AC9E2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1424" name="Line 69">
          <a:extLst>
            <a:ext uri="{FF2B5EF4-FFF2-40B4-BE49-F238E27FC236}">
              <a16:creationId xmlns:a16="http://schemas.microsoft.com/office/drawing/2014/main" id="{E145EA2F-1B1A-4C13-A5E9-F5A8F9109840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1425" name="Line 70">
          <a:extLst>
            <a:ext uri="{FF2B5EF4-FFF2-40B4-BE49-F238E27FC236}">
              <a16:creationId xmlns:a16="http://schemas.microsoft.com/office/drawing/2014/main" id="{F4410626-04D4-4F46-AC79-FA197A5BAA9C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1426" name="Line 71">
          <a:extLst>
            <a:ext uri="{FF2B5EF4-FFF2-40B4-BE49-F238E27FC236}">
              <a16:creationId xmlns:a16="http://schemas.microsoft.com/office/drawing/2014/main" id="{362548DC-48E0-43B7-A6CA-D30D76541319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1427" name="Line 72">
          <a:extLst>
            <a:ext uri="{FF2B5EF4-FFF2-40B4-BE49-F238E27FC236}">
              <a16:creationId xmlns:a16="http://schemas.microsoft.com/office/drawing/2014/main" id="{2B2259FB-D360-4773-8ACF-1DDA29E47968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1428" name="Line 73">
          <a:extLst>
            <a:ext uri="{FF2B5EF4-FFF2-40B4-BE49-F238E27FC236}">
              <a16:creationId xmlns:a16="http://schemas.microsoft.com/office/drawing/2014/main" id="{C0B627EC-0693-417C-9B33-A584DB5E2876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1429" name="Line 74">
          <a:extLst>
            <a:ext uri="{FF2B5EF4-FFF2-40B4-BE49-F238E27FC236}">
              <a16:creationId xmlns:a16="http://schemas.microsoft.com/office/drawing/2014/main" id="{30DDA11E-4EF8-418E-8461-672C55AA9636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1430" name="Line 75">
          <a:extLst>
            <a:ext uri="{FF2B5EF4-FFF2-40B4-BE49-F238E27FC236}">
              <a16:creationId xmlns:a16="http://schemas.microsoft.com/office/drawing/2014/main" id="{849BC01B-65B4-44C4-9FB9-2CBFF615DEB9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1431" name="Line 76">
          <a:extLst>
            <a:ext uri="{FF2B5EF4-FFF2-40B4-BE49-F238E27FC236}">
              <a16:creationId xmlns:a16="http://schemas.microsoft.com/office/drawing/2014/main" id="{1AB94C7E-0AF4-4984-8D03-39BAA31DFE09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1432" name="Line 77">
          <a:extLst>
            <a:ext uri="{FF2B5EF4-FFF2-40B4-BE49-F238E27FC236}">
              <a16:creationId xmlns:a16="http://schemas.microsoft.com/office/drawing/2014/main" id="{1668031A-0000-4CFD-92A6-0C1E3C5D58B3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1433" name="Line 78">
          <a:extLst>
            <a:ext uri="{FF2B5EF4-FFF2-40B4-BE49-F238E27FC236}">
              <a16:creationId xmlns:a16="http://schemas.microsoft.com/office/drawing/2014/main" id="{90737C41-C81A-44C3-8F86-B32CF2D68807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1434" name="Line 79">
          <a:extLst>
            <a:ext uri="{FF2B5EF4-FFF2-40B4-BE49-F238E27FC236}">
              <a16:creationId xmlns:a16="http://schemas.microsoft.com/office/drawing/2014/main" id="{9FDF49BE-1775-44D3-8913-D1EBB2706F65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1435" name="Line 80">
          <a:extLst>
            <a:ext uri="{FF2B5EF4-FFF2-40B4-BE49-F238E27FC236}">
              <a16:creationId xmlns:a16="http://schemas.microsoft.com/office/drawing/2014/main" id="{CE8E959B-389E-4DFE-BE3E-F135B9539B59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1436" name="Line 81">
          <a:extLst>
            <a:ext uri="{FF2B5EF4-FFF2-40B4-BE49-F238E27FC236}">
              <a16:creationId xmlns:a16="http://schemas.microsoft.com/office/drawing/2014/main" id="{995B9D47-7635-4973-AC7D-4CDD076723B9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1437" name="Line 82">
          <a:extLst>
            <a:ext uri="{FF2B5EF4-FFF2-40B4-BE49-F238E27FC236}">
              <a16:creationId xmlns:a16="http://schemas.microsoft.com/office/drawing/2014/main" id="{E14C9375-F715-431F-8A21-E30505B53C3F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1438" name="Line 83">
          <a:extLst>
            <a:ext uri="{FF2B5EF4-FFF2-40B4-BE49-F238E27FC236}">
              <a16:creationId xmlns:a16="http://schemas.microsoft.com/office/drawing/2014/main" id="{A507C539-1174-411F-9A6B-F11ED0863AF5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1439" name="Line 84">
          <a:extLst>
            <a:ext uri="{FF2B5EF4-FFF2-40B4-BE49-F238E27FC236}">
              <a16:creationId xmlns:a16="http://schemas.microsoft.com/office/drawing/2014/main" id="{848CE79A-637B-4BC6-A52E-96ABF8707FB5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1440" name="Line 85">
          <a:extLst>
            <a:ext uri="{FF2B5EF4-FFF2-40B4-BE49-F238E27FC236}">
              <a16:creationId xmlns:a16="http://schemas.microsoft.com/office/drawing/2014/main" id="{DC82D6C7-C8DA-455F-AD54-AC94B29840FA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1441" name="Line 86">
          <a:extLst>
            <a:ext uri="{FF2B5EF4-FFF2-40B4-BE49-F238E27FC236}">
              <a16:creationId xmlns:a16="http://schemas.microsoft.com/office/drawing/2014/main" id="{7EAF4E11-894E-486D-B05F-C0305043FF4C}"/>
            </a:ext>
          </a:extLst>
        </xdr:cNvPr>
        <xdr:cNvSpPr>
          <a:spLocks noChangeShapeType="1"/>
        </xdr:cNvSpPr>
      </xdr:nvSpPr>
      <xdr:spPr bwMode="auto">
        <a:xfrm>
          <a:off x="9667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1442" name="Line 87">
          <a:extLst>
            <a:ext uri="{FF2B5EF4-FFF2-40B4-BE49-F238E27FC236}">
              <a16:creationId xmlns:a16="http://schemas.microsoft.com/office/drawing/2014/main" id="{A4CABD66-81D5-4347-9136-7D2BD9A7CDD5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1443" name="Line 88">
          <a:extLst>
            <a:ext uri="{FF2B5EF4-FFF2-40B4-BE49-F238E27FC236}">
              <a16:creationId xmlns:a16="http://schemas.microsoft.com/office/drawing/2014/main" id="{A197F3D6-BA3A-4C11-A378-91A7755CCB6B}"/>
            </a:ext>
          </a:extLst>
        </xdr:cNvPr>
        <xdr:cNvSpPr>
          <a:spLocks noChangeShapeType="1"/>
        </xdr:cNvSpPr>
      </xdr:nvSpPr>
      <xdr:spPr bwMode="auto">
        <a:xfrm>
          <a:off x="9667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1444" name="Line 89">
          <a:extLst>
            <a:ext uri="{FF2B5EF4-FFF2-40B4-BE49-F238E27FC236}">
              <a16:creationId xmlns:a16="http://schemas.microsoft.com/office/drawing/2014/main" id="{BD2579B9-5224-47DF-BF6A-7610E137BD58}"/>
            </a:ext>
          </a:extLst>
        </xdr:cNvPr>
        <xdr:cNvSpPr>
          <a:spLocks noChangeShapeType="1"/>
        </xdr:cNvSpPr>
      </xdr:nvSpPr>
      <xdr:spPr bwMode="auto">
        <a:xfrm>
          <a:off x="966787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1445" name="Line 90">
          <a:extLst>
            <a:ext uri="{FF2B5EF4-FFF2-40B4-BE49-F238E27FC236}">
              <a16:creationId xmlns:a16="http://schemas.microsoft.com/office/drawing/2014/main" id="{0CF9E1F1-5301-4525-B365-0CCB8DB4F561}"/>
            </a:ext>
          </a:extLst>
        </xdr:cNvPr>
        <xdr:cNvSpPr>
          <a:spLocks noChangeShapeType="1"/>
        </xdr:cNvSpPr>
      </xdr:nvSpPr>
      <xdr:spPr bwMode="auto">
        <a:xfrm>
          <a:off x="9782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1446" name="Line 91">
          <a:extLst>
            <a:ext uri="{FF2B5EF4-FFF2-40B4-BE49-F238E27FC236}">
              <a16:creationId xmlns:a16="http://schemas.microsoft.com/office/drawing/2014/main" id="{DBEB2589-2E9E-4AA4-9392-0BD3C95288FB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1447" name="Line 92">
          <a:extLst>
            <a:ext uri="{FF2B5EF4-FFF2-40B4-BE49-F238E27FC236}">
              <a16:creationId xmlns:a16="http://schemas.microsoft.com/office/drawing/2014/main" id="{80565959-1BE6-487F-9FC6-2A657D442D42}"/>
            </a:ext>
          </a:extLst>
        </xdr:cNvPr>
        <xdr:cNvSpPr>
          <a:spLocks noChangeShapeType="1"/>
        </xdr:cNvSpPr>
      </xdr:nvSpPr>
      <xdr:spPr bwMode="auto">
        <a:xfrm flipV="1">
          <a:off x="9667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1448" name="Line 93">
          <a:extLst>
            <a:ext uri="{FF2B5EF4-FFF2-40B4-BE49-F238E27FC236}">
              <a16:creationId xmlns:a16="http://schemas.microsoft.com/office/drawing/2014/main" id="{30CF7828-C6D2-4EA3-BF10-B4B2545773C8}"/>
            </a:ext>
          </a:extLst>
        </xdr:cNvPr>
        <xdr:cNvSpPr>
          <a:spLocks noChangeShapeType="1"/>
        </xdr:cNvSpPr>
      </xdr:nvSpPr>
      <xdr:spPr bwMode="auto">
        <a:xfrm>
          <a:off x="9782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1449" name="Line 94">
          <a:extLst>
            <a:ext uri="{FF2B5EF4-FFF2-40B4-BE49-F238E27FC236}">
              <a16:creationId xmlns:a16="http://schemas.microsoft.com/office/drawing/2014/main" id="{1F9BAE2D-BB56-4217-A9B0-E88569F4BFAF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1450" name="Line 95">
          <a:extLst>
            <a:ext uri="{FF2B5EF4-FFF2-40B4-BE49-F238E27FC236}">
              <a16:creationId xmlns:a16="http://schemas.microsoft.com/office/drawing/2014/main" id="{6745EB91-BF7E-4EF3-A6AC-3EF4E3395132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1451" name="Line 96">
          <a:extLst>
            <a:ext uri="{FF2B5EF4-FFF2-40B4-BE49-F238E27FC236}">
              <a16:creationId xmlns:a16="http://schemas.microsoft.com/office/drawing/2014/main" id="{89DC943B-5344-4FCF-8167-10DFB4C52294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1452" name="Line 97">
          <a:extLst>
            <a:ext uri="{FF2B5EF4-FFF2-40B4-BE49-F238E27FC236}">
              <a16:creationId xmlns:a16="http://schemas.microsoft.com/office/drawing/2014/main" id="{DCAA71E8-9178-4F02-85B8-E1C8D2E539F5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1453" name="Line 98">
          <a:extLst>
            <a:ext uri="{FF2B5EF4-FFF2-40B4-BE49-F238E27FC236}">
              <a16:creationId xmlns:a16="http://schemas.microsoft.com/office/drawing/2014/main" id="{97B37D1F-8EB1-43AF-BCE2-FB33A5007846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1454" name="Line 99">
          <a:extLst>
            <a:ext uri="{FF2B5EF4-FFF2-40B4-BE49-F238E27FC236}">
              <a16:creationId xmlns:a16="http://schemas.microsoft.com/office/drawing/2014/main" id="{C525127F-A298-4E8A-9EE6-14F0D543F9EC}"/>
            </a:ext>
          </a:extLst>
        </xdr:cNvPr>
        <xdr:cNvSpPr>
          <a:spLocks noChangeShapeType="1"/>
        </xdr:cNvSpPr>
      </xdr:nvSpPr>
      <xdr:spPr bwMode="auto">
        <a:xfrm>
          <a:off x="10429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1455" name="Line 100">
          <a:extLst>
            <a:ext uri="{FF2B5EF4-FFF2-40B4-BE49-F238E27FC236}">
              <a16:creationId xmlns:a16="http://schemas.microsoft.com/office/drawing/2014/main" id="{64995F60-154F-4DD3-9ED8-202679404B0E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5792" name="Line 101">
          <a:extLst>
            <a:ext uri="{FF2B5EF4-FFF2-40B4-BE49-F238E27FC236}">
              <a16:creationId xmlns:a16="http://schemas.microsoft.com/office/drawing/2014/main" id="{F15A4BEB-6C13-438A-BBDC-C77BF4A89DB4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5793" name="Line 102">
          <a:extLst>
            <a:ext uri="{FF2B5EF4-FFF2-40B4-BE49-F238E27FC236}">
              <a16:creationId xmlns:a16="http://schemas.microsoft.com/office/drawing/2014/main" id="{B6CDF40C-7B3E-4449-8E21-E8354238A963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5794" name="Line 103">
          <a:extLst>
            <a:ext uri="{FF2B5EF4-FFF2-40B4-BE49-F238E27FC236}">
              <a16:creationId xmlns:a16="http://schemas.microsoft.com/office/drawing/2014/main" id="{DF732466-1C51-4959-8772-57690E944CE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5795" name="Line 104">
          <a:extLst>
            <a:ext uri="{FF2B5EF4-FFF2-40B4-BE49-F238E27FC236}">
              <a16:creationId xmlns:a16="http://schemas.microsoft.com/office/drawing/2014/main" id="{E997AFCF-2BC9-43C5-B6E9-66FE58EC538E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5796" name="Line 105">
          <a:extLst>
            <a:ext uri="{FF2B5EF4-FFF2-40B4-BE49-F238E27FC236}">
              <a16:creationId xmlns:a16="http://schemas.microsoft.com/office/drawing/2014/main" id="{ED48E880-52B9-4DF2-B405-4C5342B7508E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5797" name="Line 106">
          <a:extLst>
            <a:ext uri="{FF2B5EF4-FFF2-40B4-BE49-F238E27FC236}">
              <a16:creationId xmlns:a16="http://schemas.microsoft.com/office/drawing/2014/main" id="{F2F94ABB-1E73-4B98-BAE3-98C96383B72D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5798" name="Line 107">
          <a:extLst>
            <a:ext uri="{FF2B5EF4-FFF2-40B4-BE49-F238E27FC236}">
              <a16:creationId xmlns:a16="http://schemas.microsoft.com/office/drawing/2014/main" id="{53ABACB9-CEC1-477F-88D2-C8B39F45BBEC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5799" name="Line 108">
          <a:extLst>
            <a:ext uri="{FF2B5EF4-FFF2-40B4-BE49-F238E27FC236}">
              <a16:creationId xmlns:a16="http://schemas.microsoft.com/office/drawing/2014/main" id="{5EBA0064-F07B-4C9D-898B-1AA523757A68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5800" name="Line 109">
          <a:extLst>
            <a:ext uri="{FF2B5EF4-FFF2-40B4-BE49-F238E27FC236}">
              <a16:creationId xmlns:a16="http://schemas.microsoft.com/office/drawing/2014/main" id="{BC4D274D-06E3-44F2-9593-93DBD3D83DAB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5801" name="Line 110">
          <a:extLst>
            <a:ext uri="{FF2B5EF4-FFF2-40B4-BE49-F238E27FC236}">
              <a16:creationId xmlns:a16="http://schemas.microsoft.com/office/drawing/2014/main" id="{1641AFE7-E757-4992-891C-3C968CA54AC9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5802" name="Line 111">
          <a:extLst>
            <a:ext uri="{FF2B5EF4-FFF2-40B4-BE49-F238E27FC236}">
              <a16:creationId xmlns:a16="http://schemas.microsoft.com/office/drawing/2014/main" id="{8A2D3A76-9BDF-4E4B-B6E0-D6FA24A67E73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5803" name="Line 112">
          <a:extLst>
            <a:ext uri="{FF2B5EF4-FFF2-40B4-BE49-F238E27FC236}">
              <a16:creationId xmlns:a16="http://schemas.microsoft.com/office/drawing/2014/main" id="{6F909BAB-31B0-4EE0-A3C1-5B3C60225A9F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5804" name="Line 113">
          <a:extLst>
            <a:ext uri="{FF2B5EF4-FFF2-40B4-BE49-F238E27FC236}">
              <a16:creationId xmlns:a16="http://schemas.microsoft.com/office/drawing/2014/main" id="{0901CB6B-3C4F-4700-9B20-BB98696B2F84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5805" name="Line 114">
          <a:extLst>
            <a:ext uri="{FF2B5EF4-FFF2-40B4-BE49-F238E27FC236}">
              <a16:creationId xmlns:a16="http://schemas.microsoft.com/office/drawing/2014/main" id="{C577766E-F641-4BC2-8937-9D31775B39BC}"/>
            </a:ext>
          </a:extLst>
        </xdr:cNvPr>
        <xdr:cNvSpPr>
          <a:spLocks noChangeShapeType="1"/>
        </xdr:cNvSpPr>
      </xdr:nvSpPr>
      <xdr:spPr bwMode="auto">
        <a:xfrm flipV="1">
          <a:off x="9667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2380" name="Line 1">
          <a:extLst>
            <a:ext uri="{FF2B5EF4-FFF2-40B4-BE49-F238E27FC236}">
              <a16:creationId xmlns:a16="http://schemas.microsoft.com/office/drawing/2014/main" id="{69C1C254-53C8-41CB-A9A4-27B3F5021954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2381" name="Line 2">
          <a:extLst>
            <a:ext uri="{FF2B5EF4-FFF2-40B4-BE49-F238E27FC236}">
              <a16:creationId xmlns:a16="http://schemas.microsoft.com/office/drawing/2014/main" id="{8069A05B-E2BA-44C3-830C-7824E15648FE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2382" name="Line 3">
          <a:extLst>
            <a:ext uri="{FF2B5EF4-FFF2-40B4-BE49-F238E27FC236}">
              <a16:creationId xmlns:a16="http://schemas.microsoft.com/office/drawing/2014/main" id="{E4C02ABC-9728-43D9-A753-D2C759C60599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2383" name="Line 4">
          <a:extLst>
            <a:ext uri="{FF2B5EF4-FFF2-40B4-BE49-F238E27FC236}">
              <a16:creationId xmlns:a16="http://schemas.microsoft.com/office/drawing/2014/main" id="{2B704875-0DDB-422F-8176-516B424B1DA7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2384" name="Line 5">
          <a:extLst>
            <a:ext uri="{FF2B5EF4-FFF2-40B4-BE49-F238E27FC236}">
              <a16:creationId xmlns:a16="http://schemas.microsoft.com/office/drawing/2014/main" id="{EA32C14A-9465-4A61-8856-BDF3FA94EDC5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2385" name="Line 6">
          <a:extLst>
            <a:ext uri="{FF2B5EF4-FFF2-40B4-BE49-F238E27FC236}">
              <a16:creationId xmlns:a16="http://schemas.microsoft.com/office/drawing/2014/main" id="{F4FAE847-65A6-4BA9-A994-1CB420160375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2386" name="Line 7">
          <a:extLst>
            <a:ext uri="{FF2B5EF4-FFF2-40B4-BE49-F238E27FC236}">
              <a16:creationId xmlns:a16="http://schemas.microsoft.com/office/drawing/2014/main" id="{8A7E654A-45C4-457E-9492-9D9F5CCCFCD9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2387" name="Line 8">
          <a:extLst>
            <a:ext uri="{FF2B5EF4-FFF2-40B4-BE49-F238E27FC236}">
              <a16:creationId xmlns:a16="http://schemas.microsoft.com/office/drawing/2014/main" id="{99626291-6FD8-4F74-B9B4-6F26CCB36B4C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2388" name="Line 9">
          <a:extLst>
            <a:ext uri="{FF2B5EF4-FFF2-40B4-BE49-F238E27FC236}">
              <a16:creationId xmlns:a16="http://schemas.microsoft.com/office/drawing/2014/main" id="{EA59538E-2185-460B-9AC3-31C10A5FFECE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2389" name="Line 10">
          <a:extLst>
            <a:ext uri="{FF2B5EF4-FFF2-40B4-BE49-F238E27FC236}">
              <a16:creationId xmlns:a16="http://schemas.microsoft.com/office/drawing/2014/main" id="{9ED846AA-CD14-460B-B843-3C45D00E541D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2390" name="Line 11">
          <a:extLst>
            <a:ext uri="{FF2B5EF4-FFF2-40B4-BE49-F238E27FC236}">
              <a16:creationId xmlns:a16="http://schemas.microsoft.com/office/drawing/2014/main" id="{E60CFA12-85F6-48AE-8902-EB6A4708F100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2391" name="Line 12">
          <a:extLst>
            <a:ext uri="{FF2B5EF4-FFF2-40B4-BE49-F238E27FC236}">
              <a16:creationId xmlns:a16="http://schemas.microsoft.com/office/drawing/2014/main" id="{B08616A8-DD8D-4D87-A70E-3CE87D3A9E03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2392" name="Line 13">
          <a:extLst>
            <a:ext uri="{FF2B5EF4-FFF2-40B4-BE49-F238E27FC236}">
              <a16:creationId xmlns:a16="http://schemas.microsoft.com/office/drawing/2014/main" id="{3D26B142-2FC6-4604-B872-5A303C5BDB78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2393" name="Line 14">
          <a:extLst>
            <a:ext uri="{FF2B5EF4-FFF2-40B4-BE49-F238E27FC236}">
              <a16:creationId xmlns:a16="http://schemas.microsoft.com/office/drawing/2014/main" id="{076CEF9D-BE2C-458C-83E4-44F7E2B4A228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2394" name="Line 15">
          <a:extLst>
            <a:ext uri="{FF2B5EF4-FFF2-40B4-BE49-F238E27FC236}">
              <a16:creationId xmlns:a16="http://schemas.microsoft.com/office/drawing/2014/main" id="{CEE2D2F3-1F18-4640-84B7-F6F113E96868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2395" name="Line 16">
          <a:extLst>
            <a:ext uri="{FF2B5EF4-FFF2-40B4-BE49-F238E27FC236}">
              <a16:creationId xmlns:a16="http://schemas.microsoft.com/office/drawing/2014/main" id="{8F32E91B-9D73-4887-A374-F373372C57F4}"/>
            </a:ext>
          </a:extLst>
        </xdr:cNvPr>
        <xdr:cNvSpPr>
          <a:spLocks noChangeShapeType="1"/>
        </xdr:cNvSpPr>
      </xdr:nvSpPr>
      <xdr:spPr bwMode="auto">
        <a:xfrm>
          <a:off x="10429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2396" name="Line 17">
          <a:extLst>
            <a:ext uri="{FF2B5EF4-FFF2-40B4-BE49-F238E27FC236}">
              <a16:creationId xmlns:a16="http://schemas.microsoft.com/office/drawing/2014/main" id="{1927DAFB-8E1F-4FB6-A493-1934A5928CA8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2397" name="Line 18">
          <a:extLst>
            <a:ext uri="{FF2B5EF4-FFF2-40B4-BE49-F238E27FC236}">
              <a16:creationId xmlns:a16="http://schemas.microsoft.com/office/drawing/2014/main" id="{CE56FD5F-506F-49F0-A739-EBA8836FB348}"/>
            </a:ext>
          </a:extLst>
        </xdr:cNvPr>
        <xdr:cNvSpPr>
          <a:spLocks noChangeShapeType="1"/>
        </xdr:cNvSpPr>
      </xdr:nvSpPr>
      <xdr:spPr bwMode="auto">
        <a:xfrm>
          <a:off x="10429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2398" name="Line 19">
          <a:extLst>
            <a:ext uri="{FF2B5EF4-FFF2-40B4-BE49-F238E27FC236}">
              <a16:creationId xmlns:a16="http://schemas.microsoft.com/office/drawing/2014/main" id="{6B9AC9D4-E223-4681-8929-7FAC988C59FE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2399" name="Line 20">
          <a:extLst>
            <a:ext uri="{FF2B5EF4-FFF2-40B4-BE49-F238E27FC236}">
              <a16:creationId xmlns:a16="http://schemas.microsoft.com/office/drawing/2014/main" id="{163AE4E5-265C-44B1-B52A-8768D93DF54A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2400" name="Line 21">
          <a:extLst>
            <a:ext uri="{FF2B5EF4-FFF2-40B4-BE49-F238E27FC236}">
              <a16:creationId xmlns:a16="http://schemas.microsoft.com/office/drawing/2014/main" id="{D3E0BF27-4D7A-40E3-B0CB-A71789D62852}"/>
            </a:ext>
          </a:extLst>
        </xdr:cNvPr>
        <xdr:cNvSpPr>
          <a:spLocks noChangeShapeType="1"/>
        </xdr:cNvSpPr>
      </xdr:nvSpPr>
      <xdr:spPr bwMode="auto">
        <a:xfrm>
          <a:off x="10429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2401" name="Line 22">
          <a:extLst>
            <a:ext uri="{FF2B5EF4-FFF2-40B4-BE49-F238E27FC236}">
              <a16:creationId xmlns:a16="http://schemas.microsoft.com/office/drawing/2014/main" id="{33A92C18-A1BF-4483-A048-554EDFB49921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2402" name="Line 23">
          <a:extLst>
            <a:ext uri="{FF2B5EF4-FFF2-40B4-BE49-F238E27FC236}">
              <a16:creationId xmlns:a16="http://schemas.microsoft.com/office/drawing/2014/main" id="{E9C0921A-82A1-4A90-B489-BB0710E74060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2403" name="Line 24">
          <a:extLst>
            <a:ext uri="{FF2B5EF4-FFF2-40B4-BE49-F238E27FC236}">
              <a16:creationId xmlns:a16="http://schemas.microsoft.com/office/drawing/2014/main" id="{CA5EB32D-1B23-458E-8602-5D71F390D9C9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2404" name="Line 25">
          <a:extLst>
            <a:ext uri="{FF2B5EF4-FFF2-40B4-BE49-F238E27FC236}">
              <a16:creationId xmlns:a16="http://schemas.microsoft.com/office/drawing/2014/main" id="{514E0747-4EA4-42C9-B42D-E813B1689F04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2405" name="Line 26">
          <a:extLst>
            <a:ext uri="{FF2B5EF4-FFF2-40B4-BE49-F238E27FC236}">
              <a16:creationId xmlns:a16="http://schemas.microsoft.com/office/drawing/2014/main" id="{C941176B-EFCB-40B4-B99C-E0EAC95F3F94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2406" name="Line 27">
          <a:extLst>
            <a:ext uri="{FF2B5EF4-FFF2-40B4-BE49-F238E27FC236}">
              <a16:creationId xmlns:a16="http://schemas.microsoft.com/office/drawing/2014/main" id="{77D4A083-CBA0-4877-B6EB-F13CB2BDA09A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2407" name="Line 28">
          <a:extLst>
            <a:ext uri="{FF2B5EF4-FFF2-40B4-BE49-F238E27FC236}">
              <a16:creationId xmlns:a16="http://schemas.microsoft.com/office/drawing/2014/main" id="{C49A8E10-1C2D-4D8C-A47C-9139CCB7C24A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2408" name="Line 29">
          <a:extLst>
            <a:ext uri="{FF2B5EF4-FFF2-40B4-BE49-F238E27FC236}">
              <a16:creationId xmlns:a16="http://schemas.microsoft.com/office/drawing/2014/main" id="{97E0F2DA-F8FB-4754-8459-78E2E29A7CD1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2409" name="Line 30">
          <a:extLst>
            <a:ext uri="{FF2B5EF4-FFF2-40B4-BE49-F238E27FC236}">
              <a16:creationId xmlns:a16="http://schemas.microsoft.com/office/drawing/2014/main" id="{46137D16-A089-4AD8-98F3-1ABCC18C79AF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2410" name="Line 31">
          <a:extLst>
            <a:ext uri="{FF2B5EF4-FFF2-40B4-BE49-F238E27FC236}">
              <a16:creationId xmlns:a16="http://schemas.microsoft.com/office/drawing/2014/main" id="{040652AA-B523-4DF3-939F-21A1B1EC988B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2411" name="Line 32">
          <a:extLst>
            <a:ext uri="{FF2B5EF4-FFF2-40B4-BE49-F238E27FC236}">
              <a16:creationId xmlns:a16="http://schemas.microsoft.com/office/drawing/2014/main" id="{A106E07D-B9F6-4FEB-A98D-F9CA02BC3AF9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2412" name="Line 33">
          <a:extLst>
            <a:ext uri="{FF2B5EF4-FFF2-40B4-BE49-F238E27FC236}">
              <a16:creationId xmlns:a16="http://schemas.microsoft.com/office/drawing/2014/main" id="{8CE6448F-A8E0-4512-9A7B-D47B3AF5E219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2413" name="Line 34">
          <a:extLst>
            <a:ext uri="{FF2B5EF4-FFF2-40B4-BE49-F238E27FC236}">
              <a16:creationId xmlns:a16="http://schemas.microsoft.com/office/drawing/2014/main" id="{520AF101-35C5-4582-A7D6-5140786C353B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2414" name="Line 35">
          <a:extLst>
            <a:ext uri="{FF2B5EF4-FFF2-40B4-BE49-F238E27FC236}">
              <a16:creationId xmlns:a16="http://schemas.microsoft.com/office/drawing/2014/main" id="{A85A5FAC-9F5A-4233-92FC-93D6907DA93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2415" name="Line 36">
          <a:extLst>
            <a:ext uri="{FF2B5EF4-FFF2-40B4-BE49-F238E27FC236}">
              <a16:creationId xmlns:a16="http://schemas.microsoft.com/office/drawing/2014/main" id="{8581E73D-A480-4E25-B9EC-01660E419040}"/>
            </a:ext>
          </a:extLst>
        </xdr:cNvPr>
        <xdr:cNvSpPr>
          <a:spLocks noChangeShapeType="1"/>
        </xdr:cNvSpPr>
      </xdr:nvSpPr>
      <xdr:spPr bwMode="auto">
        <a:xfrm flipV="1">
          <a:off x="10429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2416" name="Line 37">
          <a:extLst>
            <a:ext uri="{FF2B5EF4-FFF2-40B4-BE49-F238E27FC236}">
              <a16:creationId xmlns:a16="http://schemas.microsoft.com/office/drawing/2014/main" id="{2DFDABC1-C35C-4CE6-B331-33B90CA0439F}"/>
            </a:ext>
          </a:extLst>
        </xdr:cNvPr>
        <xdr:cNvSpPr>
          <a:spLocks noChangeShapeType="1"/>
        </xdr:cNvSpPr>
      </xdr:nvSpPr>
      <xdr:spPr bwMode="auto">
        <a:xfrm>
          <a:off x="9667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2417" name="Line 38">
          <a:extLst>
            <a:ext uri="{FF2B5EF4-FFF2-40B4-BE49-F238E27FC236}">
              <a16:creationId xmlns:a16="http://schemas.microsoft.com/office/drawing/2014/main" id="{2317CC3A-BB1F-4E75-BCF6-52DA0D1320A8}"/>
            </a:ext>
          </a:extLst>
        </xdr:cNvPr>
        <xdr:cNvSpPr>
          <a:spLocks noChangeShapeType="1"/>
        </xdr:cNvSpPr>
      </xdr:nvSpPr>
      <xdr:spPr bwMode="auto">
        <a:xfrm>
          <a:off x="11744325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2418" name="Line 39">
          <a:extLst>
            <a:ext uri="{FF2B5EF4-FFF2-40B4-BE49-F238E27FC236}">
              <a16:creationId xmlns:a16="http://schemas.microsoft.com/office/drawing/2014/main" id="{09320376-44A6-42E8-82B9-AE8BCE8E994D}"/>
            </a:ext>
          </a:extLst>
        </xdr:cNvPr>
        <xdr:cNvSpPr>
          <a:spLocks noChangeShapeType="1"/>
        </xdr:cNvSpPr>
      </xdr:nvSpPr>
      <xdr:spPr bwMode="auto">
        <a:xfrm>
          <a:off x="11744325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2419" name="Line 40">
          <a:extLst>
            <a:ext uri="{FF2B5EF4-FFF2-40B4-BE49-F238E27FC236}">
              <a16:creationId xmlns:a16="http://schemas.microsoft.com/office/drawing/2014/main" id="{F78D993F-AC44-48BE-97DD-EF1A22D32DEE}"/>
            </a:ext>
          </a:extLst>
        </xdr:cNvPr>
        <xdr:cNvSpPr>
          <a:spLocks noChangeShapeType="1"/>
        </xdr:cNvSpPr>
      </xdr:nvSpPr>
      <xdr:spPr bwMode="auto">
        <a:xfrm>
          <a:off x="11744325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2420" name="Line 41">
          <a:extLst>
            <a:ext uri="{FF2B5EF4-FFF2-40B4-BE49-F238E27FC236}">
              <a16:creationId xmlns:a16="http://schemas.microsoft.com/office/drawing/2014/main" id="{236FD39B-330B-4BAD-ACAF-07AF33225E7B}"/>
            </a:ext>
          </a:extLst>
        </xdr:cNvPr>
        <xdr:cNvSpPr>
          <a:spLocks noChangeShapeType="1"/>
        </xdr:cNvSpPr>
      </xdr:nvSpPr>
      <xdr:spPr bwMode="auto">
        <a:xfrm>
          <a:off x="110966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2421" name="Line 42">
          <a:extLst>
            <a:ext uri="{FF2B5EF4-FFF2-40B4-BE49-F238E27FC236}">
              <a16:creationId xmlns:a16="http://schemas.microsoft.com/office/drawing/2014/main" id="{60028036-5710-45E6-B2E3-3B9F0EDD71B2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2422" name="Line 43">
          <a:extLst>
            <a:ext uri="{FF2B5EF4-FFF2-40B4-BE49-F238E27FC236}">
              <a16:creationId xmlns:a16="http://schemas.microsoft.com/office/drawing/2014/main" id="{EBE153EE-DEDB-437C-9690-407E5B79078C}"/>
            </a:ext>
          </a:extLst>
        </xdr:cNvPr>
        <xdr:cNvSpPr>
          <a:spLocks noChangeShapeType="1"/>
        </xdr:cNvSpPr>
      </xdr:nvSpPr>
      <xdr:spPr bwMode="auto">
        <a:xfrm>
          <a:off x="14306550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2423" name="Line 44">
          <a:extLst>
            <a:ext uri="{FF2B5EF4-FFF2-40B4-BE49-F238E27FC236}">
              <a16:creationId xmlns:a16="http://schemas.microsoft.com/office/drawing/2014/main" id="{6A980BD3-3714-494D-91AA-B5F5F3B3DC63}"/>
            </a:ext>
          </a:extLst>
        </xdr:cNvPr>
        <xdr:cNvSpPr>
          <a:spLocks noChangeShapeType="1"/>
        </xdr:cNvSpPr>
      </xdr:nvSpPr>
      <xdr:spPr bwMode="auto">
        <a:xfrm>
          <a:off x="13887450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2424" name="Line 45">
          <a:extLst>
            <a:ext uri="{FF2B5EF4-FFF2-40B4-BE49-F238E27FC236}">
              <a16:creationId xmlns:a16="http://schemas.microsoft.com/office/drawing/2014/main" id="{9D2D11D8-C136-4279-AA95-D5B8EEEE0D7B}"/>
            </a:ext>
          </a:extLst>
        </xdr:cNvPr>
        <xdr:cNvSpPr>
          <a:spLocks noChangeShapeType="1"/>
        </xdr:cNvSpPr>
      </xdr:nvSpPr>
      <xdr:spPr bwMode="auto">
        <a:xfrm>
          <a:off x="14306550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2425" name="Line 46">
          <a:extLst>
            <a:ext uri="{FF2B5EF4-FFF2-40B4-BE49-F238E27FC236}">
              <a16:creationId xmlns:a16="http://schemas.microsoft.com/office/drawing/2014/main" id="{FE73F5F2-6576-4D7A-B4C5-D2C4019917BD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2426" name="Line 47">
          <a:extLst>
            <a:ext uri="{FF2B5EF4-FFF2-40B4-BE49-F238E27FC236}">
              <a16:creationId xmlns:a16="http://schemas.microsoft.com/office/drawing/2014/main" id="{FCDBBDA1-90B0-4AD6-8F7F-7ECECB98D3C5}"/>
            </a:ext>
          </a:extLst>
        </xdr:cNvPr>
        <xdr:cNvSpPr>
          <a:spLocks noChangeShapeType="1"/>
        </xdr:cNvSpPr>
      </xdr:nvSpPr>
      <xdr:spPr bwMode="auto">
        <a:xfrm>
          <a:off x="13887450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2427" name="Line 48">
          <a:extLst>
            <a:ext uri="{FF2B5EF4-FFF2-40B4-BE49-F238E27FC236}">
              <a16:creationId xmlns:a16="http://schemas.microsoft.com/office/drawing/2014/main" id="{634A46BC-C787-440A-9878-74463D4B2B0F}"/>
            </a:ext>
          </a:extLst>
        </xdr:cNvPr>
        <xdr:cNvSpPr>
          <a:spLocks noChangeShapeType="1"/>
        </xdr:cNvSpPr>
      </xdr:nvSpPr>
      <xdr:spPr bwMode="auto">
        <a:xfrm>
          <a:off x="14306550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2428" name="Line 49">
          <a:extLst>
            <a:ext uri="{FF2B5EF4-FFF2-40B4-BE49-F238E27FC236}">
              <a16:creationId xmlns:a16="http://schemas.microsoft.com/office/drawing/2014/main" id="{366E80C4-8C3C-497F-B2BA-6B42D6854DC1}"/>
            </a:ext>
          </a:extLst>
        </xdr:cNvPr>
        <xdr:cNvSpPr>
          <a:spLocks noChangeShapeType="1"/>
        </xdr:cNvSpPr>
      </xdr:nvSpPr>
      <xdr:spPr bwMode="auto">
        <a:xfrm>
          <a:off x="13887450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2429" name="Line 50">
          <a:extLst>
            <a:ext uri="{FF2B5EF4-FFF2-40B4-BE49-F238E27FC236}">
              <a16:creationId xmlns:a16="http://schemas.microsoft.com/office/drawing/2014/main" id="{04BDF27D-B023-464F-AD53-9891B3A81152}"/>
            </a:ext>
          </a:extLst>
        </xdr:cNvPr>
        <xdr:cNvSpPr>
          <a:spLocks noChangeShapeType="1"/>
        </xdr:cNvSpPr>
      </xdr:nvSpPr>
      <xdr:spPr bwMode="auto">
        <a:xfrm flipV="1">
          <a:off x="14306550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2430" name="Line 51">
          <a:extLst>
            <a:ext uri="{FF2B5EF4-FFF2-40B4-BE49-F238E27FC236}">
              <a16:creationId xmlns:a16="http://schemas.microsoft.com/office/drawing/2014/main" id="{204980FA-4F08-4A42-AEED-4C6C740E05E9}"/>
            </a:ext>
          </a:extLst>
        </xdr:cNvPr>
        <xdr:cNvSpPr>
          <a:spLocks noChangeShapeType="1"/>
        </xdr:cNvSpPr>
      </xdr:nvSpPr>
      <xdr:spPr bwMode="auto">
        <a:xfrm flipV="1">
          <a:off x="13887450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2431" name="Line 52">
          <a:extLst>
            <a:ext uri="{FF2B5EF4-FFF2-40B4-BE49-F238E27FC236}">
              <a16:creationId xmlns:a16="http://schemas.microsoft.com/office/drawing/2014/main" id="{D2AE8CC4-4C65-468F-A436-C03521EA11FE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2432" name="Line 53">
          <a:extLst>
            <a:ext uri="{FF2B5EF4-FFF2-40B4-BE49-F238E27FC236}">
              <a16:creationId xmlns:a16="http://schemas.microsoft.com/office/drawing/2014/main" id="{8F2A58A5-2419-40CB-8100-1ED0DB29A4D7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2433" name="Line 54">
          <a:extLst>
            <a:ext uri="{FF2B5EF4-FFF2-40B4-BE49-F238E27FC236}">
              <a16:creationId xmlns:a16="http://schemas.microsoft.com/office/drawing/2014/main" id="{332AE48F-3092-463F-BEF5-6F943DE00FE6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2434" name="Line 55">
          <a:extLst>
            <a:ext uri="{FF2B5EF4-FFF2-40B4-BE49-F238E27FC236}">
              <a16:creationId xmlns:a16="http://schemas.microsoft.com/office/drawing/2014/main" id="{A510D33F-69F8-4C37-989D-DCDB98B6D69F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2435" name="Line 56">
          <a:extLst>
            <a:ext uri="{FF2B5EF4-FFF2-40B4-BE49-F238E27FC236}">
              <a16:creationId xmlns:a16="http://schemas.microsoft.com/office/drawing/2014/main" id="{CE40B791-7296-4055-8899-CF797D3C4A53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2436" name="Line 57">
          <a:extLst>
            <a:ext uri="{FF2B5EF4-FFF2-40B4-BE49-F238E27FC236}">
              <a16:creationId xmlns:a16="http://schemas.microsoft.com/office/drawing/2014/main" id="{A59FC2AC-E6F3-415A-BC52-0A4FD361A4C1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2437" name="Line 58">
          <a:extLst>
            <a:ext uri="{FF2B5EF4-FFF2-40B4-BE49-F238E27FC236}">
              <a16:creationId xmlns:a16="http://schemas.microsoft.com/office/drawing/2014/main" id="{7831447B-A962-4480-90DC-88C9D2BDBF50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2438" name="Line 59">
          <a:extLst>
            <a:ext uri="{FF2B5EF4-FFF2-40B4-BE49-F238E27FC236}">
              <a16:creationId xmlns:a16="http://schemas.microsoft.com/office/drawing/2014/main" id="{342BEE2F-2CE2-42DE-AE15-CF1139FD578E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2439" name="Line 60">
          <a:extLst>
            <a:ext uri="{FF2B5EF4-FFF2-40B4-BE49-F238E27FC236}">
              <a16:creationId xmlns:a16="http://schemas.microsoft.com/office/drawing/2014/main" id="{15C2D8A2-CB83-4FFD-858D-F8DB6C7762A2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2440" name="Line 61">
          <a:extLst>
            <a:ext uri="{FF2B5EF4-FFF2-40B4-BE49-F238E27FC236}">
              <a16:creationId xmlns:a16="http://schemas.microsoft.com/office/drawing/2014/main" id="{20670CB2-9E76-4572-9CA3-93912675D14F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2441" name="Line 62">
          <a:extLst>
            <a:ext uri="{FF2B5EF4-FFF2-40B4-BE49-F238E27FC236}">
              <a16:creationId xmlns:a16="http://schemas.microsoft.com/office/drawing/2014/main" id="{E169AFB1-51DE-4E3D-8113-46943350B4B7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2442" name="Line 63">
          <a:extLst>
            <a:ext uri="{FF2B5EF4-FFF2-40B4-BE49-F238E27FC236}">
              <a16:creationId xmlns:a16="http://schemas.microsoft.com/office/drawing/2014/main" id="{2D121DE3-07D5-465A-BBED-D3DDF8B745CE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2443" name="Line 64">
          <a:extLst>
            <a:ext uri="{FF2B5EF4-FFF2-40B4-BE49-F238E27FC236}">
              <a16:creationId xmlns:a16="http://schemas.microsoft.com/office/drawing/2014/main" id="{14699366-14BD-48B7-A3F2-96904547CF5C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2444" name="Line 65">
          <a:extLst>
            <a:ext uri="{FF2B5EF4-FFF2-40B4-BE49-F238E27FC236}">
              <a16:creationId xmlns:a16="http://schemas.microsoft.com/office/drawing/2014/main" id="{0A373AE0-2731-4657-83C2-922E3E87B067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2445" name="Line 66">
          <a:extLst>
            <a:ext uri="{FF2B5EF4-FFF2-40B4-BE49-F238E27FC236}">
              <a16:creationId xmlns:a16="http://schemas.microsoft.com/office/drawing/2014/main" id="{F192C043-8171-4499-B86C-C94F6B22412E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2446" name="Line 67">
          <a:extLst>
            <a:ext uri="{FF2B5EF4-FFF2-40B4-BE49-F238E27FC236}">
              <a16:creationId xmlns:a16="http://schemas.microsoft.com/office/drawing/2014/main" id="{DEB942AA-30C7-409F-9B07-33A17A977B62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2447" name="Line 68">
          <a:extLst>
            <a:ext uri="{FF2B5EF4-FFF2-40B4-BE49-F238E27FC236}">
              <a16:creationId xmlns:a16="http://schemas.microsoft.com/office/drawing/2014/main" id="{5A906A1C-8631-4B28-97CB-68FF075EE687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2448" name="Line 69">
          <a:extLst>
            <a:ext uri="{FF2B5EF4-FFF2-40B4-BE49-F238E27FC236}">
              <a16:creationId xmlns:a16="http://schemas.microsoft.com/office/drawing/2014/main" id="{D4D47DB5-7DD5-46B3-97FE-4B0ABD48BFF8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2449" name="Line 70">
          <a:extLst>
            <a:ext uri="{FF2B5EF4-FFF2-40B4-BE49-F238E27FC236}">
              <a16:creationId xmlns:a16="http://schemas.microsoft.com/office/drawing/2014/main" id="{524CCA70-DB05-4635-ACF7-143B723540CE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2450" name="Line 71">
          <a:extLst>
            <a:ext uri="{FF2B5EF4-FFF2-40B4-BE49-F238E27FC236}">
              <a16:creationId xmlns:a16="http://schemas.microsoft.com/office/drawing/2014/main" id="{B8381491-4061-490D-90C0-4A4D5844110E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2451" name="Line 72">
          <a:extLst>
            <a:ext uri="{FF2B5EF4-FFF2-40B4-BE49-F238E27FC236}">
              <a16:creationId xmlns:a16="http://schemas.microsoft.com/office/drawing/2014/main" id="{F320DB8D-D3C0-4F40-A44D-319078E3093E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2452" name="Line 73">
          <a:extLst>
            <a:ext uri="{FF2B5EF4-FFF2-40B4-BE49-F238E27FC236}">
              <a16:creationId xmlns:a16="http://schemas.microsoft.com/office/drawing/2014/main" id="{4AFAC3C5-72A6-4FE2-8E0F-7BDCA39B3593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2453" name="Line 74">
          <a:extLst>
            <a:ext uri="{FF2B5EF4-FFF2-40B4-BE49-F238E27FC236}">
              <a16:creationId xmlns:a16="http://schemas.microsoft.com/office/drawing/2014/main" id="{96298AF0-51E2-43E9-ACFB-188AADEAC85B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2454" name="Line 75">
          <a:extLst>
            <a:ext uri="{FF2B5EF4-FFF2-40B4-BE49-F238E27FC236}">
              <a16:creationId xmlns:a16="http://schemas.microsoft.com/office/drawing/2014/main" id="{58ABEB83-8768-48F1-81F5-2B773F2A32AD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2455" name="Line 76">
          <a:extLst>
            <a:ext uri="{FF2B5EF4-FFF2-40B4-BE49-F238E27FC236}">
              <a16:creationId xmlns:a16="http://schemas.microsoft.com/office/drawing/2014/main" id="{F3366274-61DD-422B-843A-314552EF5788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2456" name="Line 77">
          <a:extLst>
            <a:ext uri="{FF2B5EF4-FFF2-40B4-BE49-F238E27FC236}">
              <a16:creationId xmlns:a16="http://schemas.microsoft.com/office/drawing/2014/main" id="{AFAD3111-B88E-4EA9-9F21-3AC339FA7346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2457" name="Line 78">
          <a:extLst>
            <a:ext uri="{FF2B5EF4-FFF2-40B4-BE49-F238E27FC236}">
              <a16:creationId xmlns:a16="http://schemas.microsoft.com/office/drawing/2014/main" id="{201F3AC9-BC62-40D2-BBE5-689EBC38C97C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2458" name="Line 79">
          <a:extLst>
            <a:ext uri="{FF2B5EF4-FFF2-40B4-BE49-F238E27FC236}">
              <a16:creationId xmlns:a16="http://schemas.microsoft.com/office/drawing/2014/main" id="{7CD7A842-466E-4354-A023-D40267E7C1DB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2459" name="Line 80">
          <a:extLst>
            <a:ext uri="{FF2B5EF4-FFF2-40B4-BE49-F238E27FC236}">
              <a16:creationId xmlns:a16="http://schemas.microsoft.com/office/drawing/2014/main" id="{E06D9C49-C7B2-4EA8-9F59-6C23E3BAB3C6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2460" name="Line 81">
          <a:extLst>
            <a:ext uri="{FF2B5EF4-FFF2-40B4-BE49-F238E27FC236}">
              <a16:creationId xmlns:a16="http://schemas.microsoft.com/office/drawing/2014/main" id="{C18DD177-3AAE-4F10-8865-7796D37C1728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2461" name="Line 82">
          <a:extLst>
            <a:ext uri="{FF2B5EF4-FFF2-40B4-BE49-F238E27FC236}">
              <a16:creationId xmlns:a16="http://schemas.microsoft.com/office/drawing/2014/main" id="{3D5D30FA-D17B-4998-81FF-BBB59AD69AE2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2462" name="Line 83">
          <a:extLst>
            <a:ext uri="{FF2B5EF4-FFF2-40B4-BE49-F238E27FC236}">
              <a16:creationId xmlns:a16="http://schemas.microsoft.com/office/drawing/2014/main" id="{9CAE7295-77FE-4EFC-BC24-6A46AA62EDCC}"/>
            </a:ext>
          </a:extLst>
        </xdr:cNvPr>
        <xdr:cNvSpPr>
          <a:spLocks noChangeShapeType="1"/>
        </xdr:cNvSpPr>
      </xdr:nvSpPr>
      <xdr:spPr bwMode="auto">
        <a:xfrm>
          <a:off x="14306550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2463" name="Line 84">
          <a:extLst>
            <a:ext uri="{FF2B5EF4-FFF2-40B4-BE49-F238E27FC236}">
              <a16:creationId xmlns:a16="http://schemas.microsoft.com/office/drawing/2014/main" id="{AACF7729-81D6-4233-B5ED-9083C8E4181E}"/>
            </a:ext>
          </a:extLst>
        </xdr:cNvPr>
        <xdr:cNvSpPr>
          <a:spLocks noChangeShapeType="1"/>
        </xdr:cNvSpPr>
      </xdr:nvSpPr>
      <xdr:spPr bwMode="auto">
        <a:xfrm>
          <a:off x="14306550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2464" name="Line 85">
          <a:extLst>
            <a:ext uri="{FF2B5EF4-FFF2-40B4-BE49-F238E27FC236}">
              <a16:creationId xmlns:a16="http://schemas.microsoft.com/office/drawing/2014/main" id="{A94EBF99-E600-46FA-B65A-A90EBB849774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2465" name="Line 86">
          <a:extLst>
            <a:ext uri="{FF2B5EF4-FFF2-40B4-BE49-F238E27FC236}">
              <a16:creationId xmlns:a16="http://schemas.microsoft.com/office/drawing/2014/main" id="{CDBA6748-FBAA-4B71-958F-86D5DEED86DC}"/>
            </a:ext>
          </a:extLst>
        </xdr:cNvPr>
        <xdr:cNvSpPr>
          <a:spLocks noChangeShapeType="1"/>
        </xdr:cNvSpPr>
      </xdr:nvSpPr>
      <xdr:spPr bwMode="auto">
        <a:xfrm>
          <a:off x="9667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2466" name="Line 87">
          <a:extLst>
            <a:ext uri="{FF2B5EF4-FFF2-40B4-BE49-F238E27FC236}">
              <a16:creationId xmlns:a16="http://schemas.microsoft.com/office/drawing/2014/main" id="{05D57DDB-FD00-4580-ADC8-99908564AECC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2467" name="Line 88">
          <a:extLst>
            <a:ext uri="{FF2B5EF4-FFF2-40B4-BE49-F238E27FC236}">
              <a16:creationId xmlns:a16="http://schemas.microsoft.com/office/drawing/2014/main" id="{C94E370E-4A75-475C-94AA-5DB5AE580B5B}"/>
            </a:ext>
          </a:extLst>
        </xdr:cNvPr>
        <xdr:cNvSpPr>
          <a:spLocks noChangeShapeType="1"/>
        </xdr:cNvSpPr>
      </xdr:nvSpPr>
      <xdr:spPr bwMode="auto">
        <a:xfrm>
          <a:off x="9667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2468" name="Line 89">
          <a:extLst>
            <a:ext uri="{FF2B5EF4-FFF2-40B4-BE49-F238E27FC236}">
              <a16:creationId xmlns:a16="http://schemas.microsoft.com/office/drawing/2014/main" id="{2D1EDE29-AF9C-4F45-929D-3A72466ADAB4}"/>
            </a:ext>
          </a:extLst>
        </xdr:cNvPr>
        <xdr:cNvSpPr>
          <a:spLocks noChangeShapeType="1"/>
        </xdr:cNvSpPr>
      </xdr:nvSpPr>
      <xdr:spPr bwMode="auto">
        <a:xfrm>
          <a:off x="9667875" y="11287125"/>
          <a:ext cx="2943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2469" name="Line 90">
          <a:extLst>
            <a:ext uri="{FF2B5EF4-FFF2-40B4-BE49-F238E27FC236}">
              <a16:creationId xmlns:a16="http://schemas.microsoft.com/office/drawing/2014/main" id="{C64EDF8F-77F7-4328-B93A-34D700B11B61}"/>
            </a:ext>
          </a:extLst>
        </xdr:cNvPr>
        <xdr:cNvSpPr>
          <a:spLocks noChangeShapeType="1"/>
        </xdr:cNvSpPr>
      </xdr:nvSpPr>
      <xdr:spPr bwMode="auto">
        <a:xfrm>
          <a:off x="9782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2470" name="Line 91">
          <a:extLst>
            <a:ext uri="{FF2B5EF4-FFF2-40B4-BE49-F238E27FC236}">
              <a16:creationId xmlns:a16="http://schemas.microsoft.com/office/drawing/2014/main" id="{33507D06-1249-41D2-8297-69767EC2C4A3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2471" name="Line 92">
          <a:extLst>
            <a:ext uri="{FF2B5EF4-FFF2-40B4-BE49-F238E27FC236}">
              <a16:creationId xmlns:a16="http://schemas.microsoft.com/office/drawing/2014/main" id="{1B5FFD12-2A9C-4B7F-9774-2C4861C5EAA4}"/>
            </a:ext>
          </a:extLst>
        </xdr:cNvPr>
        <xdr:cNvSpPr>
          <a:spLocks noChangeShapeType="1"/>
        </xdr:cNvSpPr>
      </xdr:nvSpPr>
      <xdr:spPr bwMode="auto">
        <a:xfrm flipV="1">
          <a:off x="9667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2472" name="Line 93">
          <a:extLst>
            <a:ext uri="{FF2B5EF4-FFF2-40B4-BE49-F238E27FC236}">
              <a16:creationId xmlns:a16="http://schemas.microsoft.com/office/drawing/2014/main" id="{3FD2ACDD-9FC9-4F4F-BF03-2D91BE3D38EE}"/>
            </a:ext>
          </a:extLst>
        </xdr:cNvPr>
        <xdr:cNvSpPr>
          <a:spLocks noChangeShapeType="1"/>
        </xdr:cNvSpPr>
      </xdr:nvSpPr>
      <xdr:spPr bwMode="auto">
        <a:xfrm>
          <a:off x="9782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2473" name="Line 94">
          <a:extLst>
            <a:ext uri="{FF2B5EF4-FFF2-40B4-BE49-F238E27FC236}">
              <a16:creationId xmlns:a16="http://schemas.microsoft.com/office/drawing/2014/main" id="{9C20C47E-6B06-4D3E-92A6-BFC57D92BE86}"/>
            </a:ext>
          </a:extLst>
        </xdr:cNvPr>
        <xdr:cNvSpPr>
          <a:spLocks noChangeShapeType="1"/>
        </xdr:cNvSpPr>
      </xdr:nvSpPr>
      <xdr:spPr bwMode="auto">
        <a:xfrm>
          <a:off x="11744325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2474" name="Line 95">
          <a:extLst>
            <a:ext uri="{FF2B5EF4-FFF2-40B4-BE49-F238E27FC236}">
              <a16:creationId xmlns:a16="http://schemas.microsoft.com/office/drawing/2014/main" id="{4836DEDC-009C-47B9-8BF3-409D48D1E626}"/>
            </a:ext>
          </a:extLst>
        </xdr:cNvPr>
        <xdr:cNvSpPr>
          <a:spLocks noChangeShapeType="1"/>
        </xdr:cNvSpPr>
      </xdr:nvSpPr>
      <xdr:spPr bwMode="auto">
        <a:xfrm>
          <a:off x="11744325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2475" name="Line 96">
          <a:extLst>
            <a:ext uri="{FF2B5EF4-FFF2-40B4-BE49-F238E27FC236}">
              <a16:creationId xmlns:a16="http://schemas.microsoft.com/office/drawing/2014/main" id="{C1C5B45C-15E6-423C-BA8F-445820DCF6AF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2476" name="Line 97">
          <a:extLst>
            <a:ext uri="{FF2B5EF4-FFF2-40B4-BE49-F238E27FC236}">
              <a16:creationId xmlns:a16="http://schemas.microsoft.com/office/drawing/2014/main" id="{4A2F574E-6E0D-4213-A9C5-81C3899B5773}"/>
            </a:ext>
          </a:extLst>
        </xdr:cNvPr>
        <xdr:cNvSpPr>
          <a:spLocks noChangeShapeType="1"/>
        </xdr:cNvSpPr>
      </xdr:nvSpPr>
      <xdr:spPr bwMode="auto">
        <a:xfrm>
          <a:off x="11744325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2477" name="Line 98">
          <a:extLst>
            <a:ext uri="{FF2B5EF4-FFF2-40B4-BE49-F238E27FC236}">
              <a16:creationId xmlns:a16="http://schemas.microsoft.com/office/drawing/2014/main" id="{15A3D9AD-89E9-4230-860C-D7F63F0DDF4E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2478" name="Line 99">
          <a:extLst>
            <a:ext uri="{FF2B5EF4-FFF2-40B4-BE49-F238E27FC236}">
              <a16:creationId xmlns:a16="http://schemas.microsoft.com/office/drawing/2014/main" id="{6E45DC57-6BA1-4A54-B935-C4EF1DCB79D0}"/>
            </a:ext>
          </a:extLst>
        </xdr:cNvPr>
        <xdr:cNvSpPr>
          <a:spLocks noChangeShapeType="1"/>
        </xdr:cNvSpPr>
      </xdr:nvSpPr>
      <xdr:spPr bwMode="auto">
        <a:xfrm>
          <a:off x="10429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2479" name="Line 100">
          <a:extLst>
            <a:ext uri="{FF2B5EF4-FFF2-40B4-BE49-F238E27FC236}">
              <a16:creationId xmlns:a16="http://schemas.microsoft.com/office/drawing/2014/main" id="{B27E269C-FE4E-46AF-8B29-3FF1942552F7}"/>
            </a:ext>
          </a:extLst>
        </xdr:cNvPr>
        <xdr:cNvSpPr>
          <a:spLocks noChangeShapeType="1"/>
        </xdr:cNvSpPr>
      </xdr:nvSpPr>
      <xdr:spPr bwMode="auto">
        <a:xfrm>
          <a:off x="14306550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6816" name="Line 101">
          <a:extLst>
            <a:ext uri="{FF2B5EF4-FFF2-40B4-BE49-F238E27FC236}">
              <a16:creationId xmlns:a16="http://schemas.microsoft.com/office/drawing/2014/main" id="{2DB33504-2F80-4AFC-8484-360BB7B83F72}"/>
            </a:ext>
          </a:extLst>
        </xdr:cNvPr>
        <xdr:cNvSpPr>
          <a:spLocks noChangeShapeType="1"/>
        </xdr:cNvSpPr>
      </xdr:nvSpPr>
      <xdr:spPr bwMode="auto">
        <a:xfrm>
          <a:off x="13887450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6817" name="Line 102">
          <a:extLst>
            <a:ext uri="{FF2B5EF4-FFF2-40B4-BE49-F238E27FC236}">
              <a16:creationId xmlns:a16="http://schemas.microsoft.com/office/drawing/2014/main" id="{E15099F8-D1F7-4D52-BADC-C33623877DAD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6818" name="Line 103">
          <a:extLst>
            <a:ext uri="{FF2B5EF4-FFF2-40B4-BE49-F238E27FC236}">
              <a16:creationId xmlns:a16="http://schemas.microsoft.com/office/drawing/2014/main" id="{46743B9D-E045-4DEB-B421-9B5C79F933C6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6819" name="Line 104">
          <a:extLst>
            <a:ext uri="{FF2B5EF4-FFF2-40B4-BE49-F238E27FC236}">
              <a16:creationId xmlns:a16="http://schemas.microsoft.com/office/drawing/2014/main" id="{A48F688C-5FAF-44C9-B9CF-99FC4BFD2515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6820" name="Line 105">
          <a:extLst>
            <a:ext uri="{FF2B5EF4-FFF2-40B4-BE49-F238E27FC236}">
              <a16:creationId xmlns:a16="http://schemas.microsoft.com/office/drawing/2014/main" id="{7203AEA9-04BA-4730-BF4E-3BB5DB1D0F6F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6821" name="Line 106">
          <a:extLst>
            <a:ext uri="{FF2B5EF4-FFF2-40B4-BE49-F238E27FC236}">
              <a16:creationId xmlns:a16="http://schemas.microsoft.com/office/drawing/2014/main" id="{7C81EB80-406C-43E8-A318-EFFAA35AF7B9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6822" name="Line 107">
          <a:extLst>
            <a:ext uri="{FF2B5EF4-FFF2-40B4-BE49-F238E27FC236}">
              <a16:creationId xmlns:a16="http://schemas.microsoft.com/office/drawing/2014/main" id="{70E716E9-835B-416B-9974-5E1B6723E861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6823" name="Line 108">
          <a:extLst>
            <a:ext uri="{FF2B5EF4-FFF2-40B4-BE49-F238E27FC236}">
              <a16:creationId xmlns:a16="http://schemas.microsoft.com/office/drawing/2014/main" id="{E9BE42A9-3861-4FB4-8080-74CDD68917C3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6824" name="Line 109">
          <a:extLst>
            <a:ext uri="{FF2B5EF4-FFF2-40B4-BE49-F238E27FC236}">
              <a16:creationId xmlns:a16="http://schemas.microsoft.com/office/drawing/2014/main" id="{C6934A3E-136E-4B2E-AF67-412AA95167F1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6825" name="Line 110">
          <a:extLst>
            <a:ext uri="{FF2B5EF4-FFF2-40B4-BE49-F238E27FC236}">
              <a16:creationId xmlns:a16="http://schemas.microsoft.com/office/drawing/2014/main" id="{09BD9FC7-1D8C-4B81-8ECB-55B679F86367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6826" name="Line 111">
          <a:extLst>
            <a:ext uri="{FF2B5EF4-FFF2-40B4-BE49-F238E27FC236}">
              <a16:creationId xmlns:a16="http://schemas.microsoft.com/office/drawing/2014/main" id="{12885982-667B-42DF-8AB6-FE0D56B8A5FE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6827" name="Line 112">
          <a:extLst>
            <a:ext uri="{FF2B5EF4-FFF2-40B4-BE49-F238E27FC236}">
              <a16:creationId xmlns:a16="http://schemas.microsoft.com/office/drawing/2014/main" id="{A4666924-4807-4D3B-B7C9-B4209E1AC53E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6828" name="Line 113">
          <a:extLst>
            <a:ext uri="{FF2B5EF4-FFF2-40B4-BE49-F238E27FC236}">
              <a16:creationId xmlns:a16="http://schemas.microsoft.com/office/drawing/2014/main" id="{FF404825-B6BA-4ACF-97CA-A1839C080149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6829" name="Line 114">
          <a:extLst>
            <a:ext uri="{FF2B5EF4-FFF2-40B4-BE49-F238E27FC236}">
              <a16:creationId xmlns:a16="http://schemas.microsoft.com/office/drawing/2014/main" id="{3FECA67B-418E-4D52-9966-992AB0D130C5}"/>
            </a:ext>
          </a:extLst>
        </xdr:cNvPr>
        <xdr:cNvSpPr>
          <a:spLocks noChangeShapeType="1"/>
        </xdr:cNvSpPr>
      </xdr:nvSpPr>
      <xdr:spPr bwMode="auto">
        <a:xfrm flipV="1">
          <a:off x="9667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3404" name="Line 1">
          <a:extLst>
            <a:ext uri="{FF2B5EF4-FFF2-40B4-BE49-F238E27FC236}">
              <a16:creationId xmlns:a16="http://schemas.microsoft.com/office/drawing/2014/main" id="{2105F5D8-1D67-4706-A9ED-74208842FC84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3405" name="Line 2">
          <a:extLst>
            <a:ext uri="{FF2B5EF4-FFF2-40B4-BE49-F238E27FC236}">
              <a16:creationId xmlns:a16="http://schemas.microsoft.com/office/drawing/2014/main" id="{CE6649D8-4161-4CCB-8485-B22D64B1BEA6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3406" name="Line 3">
          <a:extLst>
            <a:ext uri="{FF2B5EF4-FFF2-40B4-BE49-F238E27FC236}">
              <a16:creationId xmlns:a16="http://schemas.microsoft.com/office/drawing/2014/main" id="{6E20D0A9-5264-4EA3-8A14-6CD6C3E2E4CA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3407" name="Line 4">
          <a:extLst>
            <a:ext uri="{FF2B5EF4-FFF2-40B4-BE49-F238E27FC236}">
              <a16:creationId xmlns:a16="http://schemas.microsoft.com/office/drawing/2014/main" id="{2BEB73C6-946D-4E78-99CA-2FE296FB0088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3408" name="Line 5">
          <a:extLst>
            <a:ext uri="{FF2B5EF4-FFF2-40B4-BE49-F238E27FC236}">
              <a16:creationId xmlns:a16="http://schemas.microsoft.com/office/drawing/2014/main" id="{06C96AB5-1064-4B35-90EB-34D0AE181BA0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3409" name="Line 6">
          <a:extLst>
            <a:ext uri="{FF2B5EF4-FFF2-40B4-BE49-F238E27FC236}">
              <a16:creationId xmlns:a16="http://schemas.microsoft.com/office/drawing/2014/main" id="{CB701803-E446-4DFC-A143-ED49D0D88A56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3410" name="Line 7">
          <a:extLst>
            <a:ext uri="{FF2B5EF4-FFF2-40B4-BE49-F238E27FC236}">
              <a16:creationId xmlns:a16="http://schemas.microsoft.com/office/drawing/2014/main" id="{8F2761A9-0F8F-44B9-8969-8E93DD51A05E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5812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3411" name="Line 8">
          <a:extLst>
            <a:ext uri="{FF2B5EF4-FFF2-40B4-BE49-F238E27FC236}">
              <a16:creationId xmlns:a16="http://schemas.microsoft.com/office/drawing/2014/main" id="{382CD807-A251-4B92-AA4F-6E269D6B5D42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3412" name="Line 9">
          <a:extLst>
            <a:ext uri="{FF2B5EF4-FFF2-40B4-BE49-F238E27FC236}">
              <a16:creationId xmlns:a16="http://schemas.microsoft.com/office/drawing/2014/main" id="{40BA56DB-8A47-437B-86CE-62BEFDFC28D6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3413" name="Line 10">
          <a:extLst>
            <a:ext uri="{FF2B5EF4-FFF2-40B4-BE49-F238E27FC236}">
              <a16:creationId xmlns:a16="http://schemas.microsoft.com/office/drawing/2014/main" id="{3D1E4A8C-E0C2-4B5A-908B-21EB61A7470A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3414" name="Line 11">
          <a:extLst>
            <a:ext uri="{FF2B5EF4-FFF2-40B4-BE49-F238E27FC236}">
              <a16:creationId xmlns:a16="http://schemas.microsoft.com/office/drawing/2014/main" id="{6315D53D-749C-4883-82C0-2D9B5552966D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3415" name="Line 12">
          <a:extLst>
            <a:ext uri="{FF2B5EF4-FFF2-40B4-BE49-F238E27FC236}">
              <a16:creationId xmlns:a16="http://schemas.microsoft.com/office/drawing/2014/main" id="{367E2394-04A6-413A-B030-919247462C42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3416" name="Line 13">
          <a:extLst>
            <a:ext uri="{FF2B5EF4-FFF2-40B4-BE49-F238E27FC236}">
              <a16:creationId xmlns:a16="http://schemas.microsoft.com/office/drawing/2014/main" id="{3CB4968B-FBC0-4D4A-8C02-439F7F2F5F66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3417" name="Line 14">
          <a:extLst>
            <a:ext uri="{FF2B5EF4-FFF2-40B4-BE49-F238E27FC236}">
              <a16:creationId xmlns:a16="http://schemas.microsoft.com/office/drawing/2014/main" id="{68395F56-FEDA-4C2C-9635-BFF7C2568E30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3418" name="Line 15">
          <a:extLst>
            <a:ext uri="{FF2B5EF4-FFF2-40B4-BE49-F238E27FC236}">
              <a16:creationId xmlns:a16="http://schemas.microsoft.com/office/drawing/2014/main" id="{1E4760A7-DCC2-4378-BC57-761A687524B7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3419" name="Line 16">
          <a:extLst>
            <a:ext uri="{FF2B5EF4-FFF2-40B4-BE49-F238E27FC236}">
              <a16:creationId xmlns:a16="http://schemas.microsoft.com/office/drawing/2014/main" id="{6CB47CA1-A26A-45C4-BDC1-014398055091}"/>
            </a:ext>
          </a:extLst>
        </xdr:cNvPr>
        <xdr:cNvSpPr>
          <a:spLocks noChangeShapeType="1"/>
        </xdr:cNvSpPr>
      </xdr:nvSpPr>
      <xdr:spPr bwMode="auto">
        <a:xfrm>
          <a:off x="1042987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3420" name="Line 17">
          <a:extLst>
            <a:ext uri="{FF2B5EF4-FFF2-40B4-BE49-F238E27FC236}">
              <a16:creationId xmlns:a16="http://schemas.microsoft.com/office/drawing/2014/main" id="{A884BDE3-8297-4E1C-9E68-30CD1FCFA510}"/>
            </a:ext>
          </a:extLst>
        </xdr:cNvPr>
        <xdr:cNvSpPr>
          <a:spLocks noChangeShapeType="1"/>
        </xdr:cNvSpPr>
      </xdr:nvSpPr>
      <xdr:spPr bwMode="auto">
        <a:xfrm>
          <a:off x="966787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3421" name="Line 18">
          <a:extLst>
            <a:ext uri="{FF2B5EF4-FFF2-40B4-BE49-F238E27FC236}">
              <a16:creationId xmlns:a16="http://schemas.microsoft.com/office/drawing/2014/main" id="{EFDDB874-8824-43F1-BB78-255C0CCC04BB}"/>
            </a:ext>
          </a:extLst>
        </xdr:cNvPr>
        <xdr:cNvSpPr>
          <a:spLocks noChangeShapeType="1"/>
        </xdr:cNvSpPr>
      </xdr:nvSpPr>
      <xdr:spPr bwMode="auto">
        <a:xfrm>
          <a:off x="1042987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3422" name="Line 19">
          <a:extLst>
            <a:ext uri="{FF2B5EF4-FFF2-40B4-BE49-F238E27FC236}">
              <a16:creationId xmlns:a16="http://schemas.microsoft.com/office/drawing/2014/main" id="{9D680367-38BC-4474-B6D1-5A122A88007D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3423" name="Line 20">
          <a:extLst>
            <a:ext uri="{FF2B5EF4-FFF2-40B4-BE49-F238E27FC236}">
              <a16:creationId xmlns:a16="http://schemas.microsoft.com/office/drawing/2014/main" id="{9F228AE0-027D-4A97-B8A3-973A6DD559F9}"/>
            </a:ext>
          </a:extLst>
        </xdr:cNvPr>
        <xdr:cNvSpPr>
          <a:spLocks noChangeShapeType="1"/>
        </xdr:cNvSpPr>
      </xdr:nvSpPr>
      <xdr:spPr bwMode="auto">
        <a:xfrm>
          <a:off x="966787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3424" name="Line 21">
          <a:extLst>
            <a:ext uri="{FF2B5EF4-FFF2-40B4-BE49-F238E27FC236}">
              <a16:creationId xmlns:a16="http://schemas.microsoft.com/office/drawing/2014/main" id="{93FC4D30-E729-4EE3-B412-FD76CC303ABA}"/>
            </a:ext>
          </a:extLst>
        </xdr:cNvPr>
        <xdr:cNvSpPr>
          <a:spLocks noChangeShapeType="1"/>
        </xdr:cNvSpPr>
      </xdr:nvSpPr>
      <xdr:spPr bwMode="auto">
        <a:xfrm>
          <a:off x="1042987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3425" name="Line 22">
          <a:extLst>
            <a:ext uri="{FF2B5EF4-FFF2-40B4-BE49-F238E27FC236}">
              <a16:creationId xmlns:a16="http://schemas.microsoft.com/office/drawing/2014/main" id="{395253DA-DF1E-4A29-9558-D1C32FFFBF06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3426" name="Line 23">
          <a:extLst>
            <a:ext uri="{FF2B5EF4-FFF2-40B4-BE49-F238E27FC236}">
              <a16:creationId xmlns:a16="http://schemas.microsoft.com/office/drawing/2014/main" id="{9C9B902A-E7D6-4BFB-9476-42672A4EE522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3427" name="Line 24">
          <a:extLst>
            <a:ext uri="{FF2B5EF4-FFF2-40B4-BE49-F238E27FC236}">
              <a16:creationId xmlns:a16="http://schemas.microsoft.com/office/drawing/2014/main" id="{86CEA039-67A7-4915-AD94-D19819B8D848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3428" name="Line 25">
          <a:extLst>
            <a:ext uri="{FF2B5EF4-FFF2-40B4-BE49-F238E27FC236}">
              <a16:creationId xmlns:a16="http://schemas.microsoft.com/office/drawing/2014/main" id="{1119D8A7-6306-4243-A9CB-177A24368F58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3429" name="Line 26">
          <a:extLst>
            <a:ext uri="{FF2B5EF4-FFF2-40B4-BE49-F238E27FC236}">
              <a16:creationId xmlns:a16="http://schemas.microsoft.com/office/drawing/2014/main" id="{49C1FA3F-379E-46EA-AB83-9AF928C98B2E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3430" name="Line 27">
          <a:extLst>
            <a:ext uri="{FF2B5EF4-FFF2-40B4-BE49-F238E27FC236}">
              <a16:creationId xmlns:a16="http://schemas.microsoft.com/office/drawing/2014/main" id="{5F8AF3C1-CEAE-4295-866F-35334F24DBA8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3431" name="Line 28">
          <a:extLst>
            <a:ext uri="{FF2B5EF4-FFF2-40B4-BE49-F238E27FC236}">
              <a16:creationId xmlns:a16="http://schemas.microsoft.com/office/drawing/2014/main" id="{DAE64B08-AEE2-4886-847D-4E62544E6A96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3432" name="Line 29">
          <a:extLst>
            <a:ext uri="{FF2B5EF4-FFF2-40B4-BE49-F238E27FC236}">
              <a16:creationId xmlns:a16="http://schemas.microsoft.com/office/drawing/2014/main" id="{3C1622C9-42A1-42A3-999B-00046198428A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3433" name="Line 30">
          <a:extLst>
            <a:ext uri="{FF2B5EF4-FFF2-40B4-BE49-F238E27FC236}">
              <a16:creationId xmlns:a16="http://schemas.microsoft.com/office/drawing/2014/main" id="{A83253C0-F3E4-4E6E-9970-1FD8A7F5376F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3434" name="Line 31">
          <a:extLst>
            <a:ext uri="{FF2B5EF4-FFF2-40B4-BE49-F238E27FC236}">
              <a16:creationId xmlns:a16="http://schemas.microsoft.com/office/drawing/2014/main" id="{BAF7CCF5-66AB-434C-8641-C6C5536D521D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3435" name="Line 32">
          <a:extLst>
            <a:ext uri="{FF2B5EF4-FFF2-40B4-BE49-F238E27FC236}">
              <a16:creationId xmlns:a16="http://schemas.microsoft.com/office/drawing/2014/main" id="{65ACE5DC-7431-4E34-BCBB-79439E92A100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3436" name="Line 33">
          <a:extLst>
            <a:ext uri="{FF2B5EF4-FFF2-40B4-BE49-F238E27FC236}">
              <a16:creationId xmlns:a16="http://schemas.microsoft.com/office/drawing/2014/main" id="{3EB7CE90-AE32-4821-97CD-1CBD132EFB91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3437" name="Line 34">
          <a:extLst>
            <a:ext uri="{FF2B5EF4-FFF2-40B4-BE49-F238E27FC236}">
              <a16:creationId xmlns:a16="http://schemas.microsoft.com/office/drawing/2014/main" id="{3A2C0C29-7C90-4420-8F5E-2E044829DEBC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028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3438" name="Line 35">
          <a:extLst>
            <a:ext uri="{FF2B5EF4-FFF2-40B4-BE49-F238E27FC236}">
              <a16:creationId xmlns:a16="http://schemas.microsoft.com/office/drawing/2014/main" id="{0343F6FE-D14A-4FDB-98DC-D3D812914794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3439" name="Line 36">
          <a:extLst>
            <a:ext uri="{FF2B5EF4-FFF2-40B4-BE49-F238E27FC236}">
              <a16:creationId xmlns:a16="http://schemas.microsoft.com/office/drawing/2014/main" id="{19AFCD41-9CF8-4B31-876F-47C75EFC67B4}"/>
            </a:ext>
          </a:extLst>
        </xdr:cNvPr>
        <xdr:cNvSpPr>
          <a:spLocks noChangeShapeType="1"/>
        </xdr:cNvSpPr>
      </xdr:nvSpPr>
      <xdr:spPr bwMode="auto">
        <a:xfrm flipV="1">
          <a:off x="1042987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3440" name="Line 37">
          <a:extLst>
            <a:ext uri="{FF2B5EF4-FFF2-40B4-BE49-F238E27FC236}">
              <a16:creationId xmlns:a16="http://schemas.microsoft.com/office/drawing/2014/main" id="{F0A0CB2F-0C7F-410D-9A11-E0E5D439C841}"/>
            </a:ext>
          </a:extLst>
        </xdr:cNvPr>
        <xdr:cNvSpPr>
          <a:spLocks noChangeShapeType="1"/>
        </xdr:cNvSpPr>
      </xdr:nvSpPr>
      <xdr:spPr bwMode="auto">
        <a:xfrm>
          <a:off x="966787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3441" name="Line 38">
          <a:extLst>
            <a:ext uri="{FF2B5EF4-FFF2-40B4-BE49-F238E27FC236}">
              <a16:creationId xmlns:a16="http://schemas.microsoft.com/office/drawing/2014/main" id="{89B4083E-0040-462C-BD42-29ABA5BE715D}"/>
            </a:ext>
          </a:extLst>
        </xdr:cNvPr>
        <xdr:cNvSpPr>
          <a:spLocks noChangeShapeType="1"/>
        </xdr:cNvSpPr>
      </xdr:nvSpPr>
      <xdr:spPr bwMode="auto">
        <a:xfrm>
          <a:off x="11811000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3442" name="Line 39">
          <a:extLst>
            <a:ext uri="{FF2B5EF4-FFF2-40B4-BE49-F238E27FC236}">
              <a16:creationId xmlns:a16="http://schemas.microsoft.com/office/drawing/2014/main" id="{B1F82991-D48B-4DD3-AB59-5AF5319EB1FA}"/>
            </a:ext>
          </a:extLst>
        </xdr:cNvPr>
        <xdr:cNvSpPr>
          <a:spLocks noChangeShapeType="1"/>
        </xdr:cNvSpPr>
      </xdr:nvSpPr>
      <xdr:spPr bwMode="auto">
        <a:xfrm>
          <a:off x="11811000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3443" name="Line 40">
          <a:extLst>
            <a:ext uri="{FF2B5EF4-FFF2-40B4-BE49-F238E27FC236}">
              <a16:creationId xmlns:a16="http://schemas.microsoft.com/office/drawing/2014/main" id="{339C1083-B33A-49EF-838B-44BD1929D615}"/>
            </a:ext>
          </a:extLst>
        </xdr:cNvPr>
        <xdr:cNvSpPr>
          <a:spLocks noChangeShapeType="1"/>
        </xdr:cNvSpPr>
      </xdr:nvSpPr>
      <xdr:spPr bwMode="auto">
        <a:xfrm>
          <a:off x="11811000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3444" name="Line 41">
          <a:extLst>
            <a:ext uri="{FF2B5EF4-FFF2-40B4-BE49-F238E27FC236}">
              <a16:creationId xmlns:a16="http://schemas.microsoft.com/office/drawing/2014/main" id="{1B2CABF4-690F-42D0-956C-41B30CB9E840}"/>
            </a:ext>
          </a:extLst>
        </xdr:cNvPr>
        <xdr:cNvSpPr>
          <a:spLocks noChangeShapeType="1"/>
        </xdr:cNvSpPr>
      </xdr:nvSpPr>
      <xdr:spPr bwMode="auto">
        <a:xfrm>
          <a:off x="1109662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3445" name="Line 42">
          <a:extLst>
            <a:ext uri="{FF2B5EF4-FFF2-40B4-BE49-F238E27FC236}">
              <a16:creationId xmlns:a16="http://schemas.microsoft.com/office/drawing/2014/main" id="{59BEA980-165D-4AEF-BBFC-912570099231}"/>
            </a:ext>
          </a:extLst>
        </xdr:cNvPr>
        <xdr:cNvSpPr>
          <a:spLocks noChangeShapeType="1"/>
        </xdr:cNvSpPr>
      </xdr:nvSpPr>
      <xdr:spPr bwMode="auto">
        <a:xfrm>
          <a:off x="1437322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3446" name="Line 43">
          <a:extLst>
            <a:ext uri="{FF2B5EF4-FFF2-40B4-BE49-F238E27FC236}">
              <a16:creationId xmlns:a16="http://schemas.microsoft.com/office/drawing/2014/main" id="{DB4E3675-B8E2-469E-B77F-EBC2202AA270}"/>
            </a:ext>
          </a:extLst>
        </xdr:cNvPr>
        <xdr:cNvSpPr>
          <a:spLocks noChangeShapeType="1"/>
        </xdr:cNvSpPr>
      </xdr:nvSpPr>
      <xdr:spPr bwMode="auto">
        <a:xfrm>
          <a:off x="1437322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3447" name="Line 44">
          <a:extLst>
            <a:ext uri="{FF2B5EF4-FFF2-40B4-BE49-F238E27FC236}">
              <a16:creationId xmlns:a16="http://schemas.microsoft.com/office/drawing/2014/main" id="{1993B218-8363-4117-88E3-8D15BE68EBDB}"/>
            </a:ext>
          </a:extLst>
        </xdr:cNvPr>
        <xdr:cNvSpPr>
          <a:spLocks noChangeShapeType="1"/>
        </xdr:cNvSpPr>
      </xdr:nvSpPr>
      <xdr:spPr bwMode="auto">
        <a:xfrm>
          <a:off x="1395412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3448" name="Line 45">
          <a:extLst>
            <a:ext uri="{FF2B5EF4-FFF2-40B4-BE49-F238E27FC236}">
              <a16:creationId xmlns:a16="http://schemas.microsoft.com/office/drawing/2014/main" id="{CB1ACEAE-7ACF-4198-84E2-E05C03CEFCD6}"/>
            </a:ext>
          </a:extLst>
        </xdr:cNvPr>
        <xdr:cNvSpPr>
          <a:spLocks noChangeShapeType="1"/>
        </xdr:cNvSpPr>
      </xdr:nvSpPr>
      <xdr:spPr bwMode="auto">
        <a:xfrm>
          <a:off x="1437322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3449" name="Line 46">
          <a:extLst>
            <a:ext uri="{FF2B5EF4-FFF2-40B4-BE49-F238E27FC236}">
              <a16:creationId xmlns:a16="http://schemas.microsoft.com/office/drawing/2014/main" id="{97C0151C-62E9-45BB-AE04-53472CF8D8B4}"/>
            </a:ext>
          </a:extLst>
        </xdr:cNvPr>
        <xdr:cNvSpPr>
          <a:spLocks noChangeShapeType="1"/>
        </xdr:cNvSpPr>
      </xdr:nvSpPr>
      <xdr:spPr bwMode="auto">
        <a:xfrm>
          <a:off x="1437322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3450" name="Line 47">
          <a:extLst>
            <a:ext uri="{FF2B5EF4-FFF2-40B4-BE49-F238E27FC236}">
              <a16:creationId xmlns:a16="http://schemas.microsoft.com/office/drawing/2014/main" id="{A99998D1-A1C3-454A-B97A-A748C4CAA5C7}"/>
            </a:ext>
          </a:extLst>
        </xdr:cNvPr>
        <xdr:cNvSpPr>
          <a:spLocks noChangeShapeType="1"/>
        </xdr:cNvSpPr>
      </xdr:nvSpPr>
      <xdr:spPr bwMode="auto">
        <a:xfrm>
          <a:off x="1395412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3451" name="Line 48">
          <a:extLst>
            <a:ext uri="{FF2B5EF4-FFF2-40B4-BE49-F238E27FC236}">
              <a16:creationId xmlns:a16="http://schemas.microsoft.com/office/drawing/2014/main" id="{04527302-A991-4EE1-BC9B-A0C4C3C6B12D}"/>
            </a:ext>
          </a:extLst>
        </xdr:cNvPr>
        <xdr:cNvSpPr>
          <a:spLocks noChangeShapeType="1"/>
        </xdr:cNvSpPr>
      </xdr:nvSpPr>
      <xdr:spPr bwMode="auto">
        <a:xfrm>
          <a:off x="1437322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3452" name="Line 49">
          <a:extLst>
            <a:ext uri="{FF2B5EF4-FFF2-40B4-BE49-F238E27FC236}">
              <a16:creationId xmlns:a16="http://schemas.microsoft.com/office/drawing/2014/main" id="{9AF0C9F2-339E-4D41-926F-49C05EB627FD}"/>
            </a:ext>
          </a:extLst>
        </xdr:cNvPr>
        <xdr:cNvSpPr>
          <a:spLocks noChangeShapeType="1"/>
        </xdr:cNvSpPr>
      </xdr:nvSpPr>
      <xdr:spPr bwMode="auto">
        <a:xfrm>
          <a:off x="1395412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3453" name="Line 50">
          <a:extLst>
            <a:ext uri="{FF2B5EF4-FFF2-40B4-BE49-F238E27FC236}">
              <a16:creationId xmlns:a16="http://schemas.microsoft.com/office/drawing/2014/main" id="{2850F6C4-7466-493A-BEBC-BFA2F44A2A30}"/>
            </a:ext>
          </a:extLst>
        </xdr:cNvPr>
        <xdr:cNvSpPr>
          <a:spLocks noChangeShapeType="1"/>
        </xdr:cNvSpPr>
      </xdr:nvSpPr>
      <xdr:spPr bwMode="auto">
        <a:xfrm flipV="1">
          <a:off x="1437322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3454" name="Line 51">
          <a:extLst>
            <a:ext uri="{FF2B5EF4-FFF2-40B4-BE49-F238E27FC236}">
              <a16:creationId xmlns:a16="http://schemas.microsoft.com/office/drawing/2014/main" id="{A821178E-8B57-436E-BAC3-527206E881CF}"/>
            </a:ext>
          </a:extLst>
        </xdr:cNvPr>
        <xdr:cNvSpPr>
          <a:spLocks noChangeShapeType="1"/>
        </xdr:cNvSpPr>
      </xdr:nvSpPr>
      <xdr:spPr bwMode="auto">
        <a:xfrm flipV="1">
          <a:off x="1395412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3455" name="Line 52">
          <a:extLst>
            <a:ext uri="{FF2B5EF4-FFF2-40B4-BE49-F238E27FC236}">
              <a16:creationId xmlns:a16="http://schemas.microsoft.com/office/drawing/2014/main" id="{696FD858-F828-4009-8B17-B11C44E2EF34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3456" name="Line 53">
          <a:extLst>
            <a:ext uri="{FF2B5EF4-FFF2-40B4-BE49-F238E27FC236}">
              <a16:creationId xmlns:a16="http://schemas.microsoft.com/office/drawing/2014/main" id="{95327886-1CE0-42C9-A6EA-F9DC066AE22B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3457" name="Line 54">
          <a:extLst>
            <a:ext uri="{FF2B5EF4-FFF2-40B4-BE49-F238E27FC236}">
              <a16:creationId xmlns:a16="http://schemas.microsoft.com/office/drawing/2014/main" id="{2E0E742A-3153-40D3-B8B9-0B83660F908F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3458" name="Line 55">
          <a:extLst>
            <a:ext uri="{FF2B5EF4-FFF2-40B4-BE49-F238E27FC236}">
              <a16:creationId xmlns:a16="http://schemas.microsoft.com/office/drawing/2014/main" id="{04AB0866-780E-4B50-928D-B7E1A8B1001E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3459" name="Line 56">
          <a:extLst>
            <a:ext uri="{FF2B5EF4-FFF2-40B4-BE49-F238E27FC236}">
              <a16:creationId xmlns:a16="http://schemas.microsoft.com/office/drawing/2014/main" id="{D0101432-B797-4B2C-918B-FF9F343FB901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3460" name="Line 57">
          <a:extLst>
            <a:ext uri="{FF2B5EF4-FFF2-40B4-BE49-F238E27FC236}">
              <a16:creationId xmlns:a16="http://schemas.microsoft.com/office/drawing/2014/main" id="{2BB1D17E-B489-4E4A-8C3B-42787A1FDEDB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3461" name="Line 58">
          <a:extLst>
            <a:ext uri="{FF2B5EF4-FFF2-40B4-BE49-F238E27FC236}">
              <a16:creationId xmlns:a16="http://schemas.microsoft.com/office/drawing/2014/main" id="{1CF8672C-32D1-4A21-B8D0-8F34C652F92F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3462" name="Line 59">
          <a:extLst>
            <a:ext uri="{FF2B5EF4-FFF2-40B4-BE49-F238E27FC236}">
              <a16:creationId xmlns:a16="http://schemas.microsoft.com/office/drawing/2014/main" id="{2876F2A6-AC6F-44C9-917E-F52786309247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162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3463" name="Line 60">
          <a:extLst>
            <a:ext uri="{FF2B5EF4-FFF2-40B4-BE49-F238E27FC236}">
              <a16:creationId xmlns:a16="http://schemas.microsoft.com/office/drawing/2014/main" id="{8DBDC4ED-2068-41CF-8A39-6687DE70538A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3464" name="Line 61">
          <a:extLst>
            <a:ext uri="{FF2B5EF4-FFF2-40B4-BE49-F238E27FC236}">
              <a16:creationId xmlns:a16="http://schemas.microsoft.com/office/drawing/2014/main" id="{06705004-592B-4A2A-A602-9D73B346A844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3465" name="Line 62">
          <a:extLst>
            <a:ext uri="{FF2B5EF4-FFF2-40B4-BE49-F238E27FC236}">
              <a16:creationId xmlns:a16="http://schemas.microsoft.com/office/drawing/2014/main" id="{2BA75C13-FA67-43E9-B865-AE34A7AFD269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3466" name="Line 63">
          <a:extLst>
            <a:ext uri="{FF2B5EF4-FFF2-40B4-BE49-F238E27FC236}">
              <a16:creationId xmlns:a16="http://schemas.microsoft.com/office/drawing/2014/main" id="{977DF91C-0534-44DB-A1E0-D3A06817E7BA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3467" name="Line 64">
          <a:extLst>
            <a:ext uri="{FF2B5EF4-FFF2-40B4-BE49-F238E27FC236}">
              <a16:creationId xmlns:a16="http://schemas.microsoft.com/office/drawing/2014/main" id="{45F53F61-75DC-4299-90AA-2FEBDB029659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3468" name="Line 65">
          <a:extLst>
            <a:ext uri="{FF2B5EF4-FFF2-40B4-BE49-F238E27FC236}">
              <a16:creationId xmlns:a16="http://schemas.microsoft.com/office/drawing/2014/main" id="{848E64D8-E827-4E12-86CA-A588A892628B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3469" name="Line 66">
          <a:extLst>
            <a:ext uri="{FF2B5EF4-FFF2-40B4-BE49-F238E27FC236}">
              <a16:creationId xmlns:a16="http://schemas.microsoft.com/office/drawing/2014/main" id="{EF29B99B-7347-4568-88ED-4DC94FCA5C54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3470" name="Line 67">
          <a:extLst>
            <a:ext uri="{FF2B5EF4-FFF2-40B4-BE49-F238E27FC236}">
              <a16:creationId xmlns:a16="http://schemas.microsoft.com/office/drawing/2014/main" id="{9A13FFB0-1DA6-4332-BED7-844B50BEFB8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3471" name="Line 68">
          <a:extLst>
            <a:ext uri="{FF2B5EF4-FFF2-40B4-BE49-F238E27FC236}">
              <a16:creationId xmlns:a16="http://schemas.microsoft.com/office/drawing/2014/main" id="{07A1346F-8D93-420B-BA70-38C0BBDB8862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562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3472" name="Line 69">
          <a:extLst>
            <a:ext uri="{FF2B5EF4-FFF2-40B4-BE49-F238E27FC236}">
              <a16:creationId xmlns:a16="http://schemas.microsoft.com/office/drawing/2014/main" id="{78209470-A9F8-4BF7-9E0D-B69B3E7BB1C3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3473" name="Line 70">
          <a:extLst>
            <a:ext uri="{FF2B5EF4-FFF2-40B4-BE49-F238E27FC236}">
              <a16:creationId xmlns:a16="http://schemas.microsoft.com/office/drawing/2014/main" id="{4C3EC1FA-1E4B-4CC9-B1B0-941EBC79DF91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3474" name="Line 71">
          <a:extLst>
            <a:ext uri="{FF2B5EF4-FFF2-40B4-BE49-F238E27FC236}">
              <a16:creationId xmlns:a16="http://schemas.microsoft.com/office/drawing/2014/main" id="{4B1F2110-C9EB-4327-87D6-ECC2FFF9B5B2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3475" name="Line 72">
          <a:extLst>
            <a:ext uri="{FF2B5EF4-FFF2-40B4-BE49-F238E27FC236}">
              <a16:creationId xmlns:a16="http://schemas.microsoft.com/office/drawing/2014/main" id="{8EDC8EF9-8271-409D-8163-B10E5C87A7D0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3476" name="Line 73">
          <a:extLst>
            <a:ext uri="{FF2B5EF4-FFF2-40B4-BE49-F238E27FC236}">
              <a16:creationId xmlns:a16="http://schemas.microsoft.com/office/drawing/2014/main" id="{0660CBC9-6426-42FC-A8B5-77C9C16CA50B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3477" name="Line 74">
          <a:extLst>
            <a:ext uri="{FF2B5EF4-FFF2-40B4-BE49-F238E27FC236}">
              <a16:creationId xmlns:a16="http://schemas.microsoft.com/office/drawing/2014/main" id="{A5876232-39BD-446D-A5A1-B76D7D39A642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3478" name="Line 75">
          <a:extLst>
            <a:ext uri="{FF2B5EF4-FFF2-40B4-BE49-F238E27FC236}">
              <a16:creationId xmlns:a16="http://schemas.microsoft.com/office/drawing/2014/main" id="{D3090452-EEA0-4590-A558-650B077997A5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3479" name="Line 76">
          <a:extLst>
            <a:ext uri="{FF2B5EF4-FFF2-40B4-BE49-F238E27FC236}">
              <a16:creationId xmlns:a16="http://schemas.microsoft.com/office/drawing/2014/main" id="{73DBA04F-8D29-4A63-86EE-5C96B166798C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3480" name="Line 77">
          <a:extLst>
            <a:ext uri="{FF2B5EF4-FFF2-40B4-BE49-F238E27FC236}">
              <a16:creationId xmlns:a16="http://schemas.microsoft.com/office/drawing/2014/main" id="{8478E92D-3DD0-49C8-BCF5-01D3E343BBBC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3481" name="Line 78">
          <a:extLst>
            <a:ext uri="{FF2B5EF4-FFF2-40B4-BE49-F238E27FC236}">
              <a16:creationId xmlns:a16="http://schemas.microsoft.com/office/drawing/2014/main" id="{E7976C3F-EA7F-42C0-B4CC-C237D8FF2E8D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3482" name="Line 79">
          <a:extLst>
            <a:ext uri="{FF2B5EF4-FFF2-40B4-BE49-F238E27FC236}">
              <a16:creationId xmlns:a16="http://schemas.microsoft.com/office/drawing/2014/main" id="{8531CA42-7D63-4806-A45C-7FDBD1AFCEC9}"/>
            </a:ext>
          </a:extLst>
        </xdr:cNvPr>
        <xdr:cNvSpPr>
          <a:spLocks noChangeShapeType="1"/>
        </xdr:cNvSpPr>
      </xdr:nvSpPr>
      <xdr:spPr bwMode="auto">
        <a:xfrm>
          <a:off x="104298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3483" name="Line 80">
          <a:extLst>
            <a:ext uri="{FF2B5EF4-FFF2-40B4-BE49-F238E27FC236}">
              <a16:creationId xmlns:a16="http://schemas.microsoft.com/office/drawing/2014/main" id="{932BA6E5-BA6E-4FFA-BC43-ADC19832DD89}"/>
            </a:ext>
          </a:extLst>
        </xdr:cNvPr>
        <xdr:cNvSpPr>
          <a:spLocks noChangeShapeType="1"/>
        </xdr:cNvSpPr>
      </xdr:nvSpPr>
      <xdr:spPr bwMode="auto">
        <a:xfrm>
          <a:off x="1042987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3484" name="Line 81">
          <a:extLst>
            <a:ext uri="{FF2B5EF4-FFF2-40B4-BE49-F238E27FC236}">
              <a16:creationId xmlns:a16="http://schemas.microsoft.com/office/drawing/2014/main" id="{8DDC50DC-2E82-486E-9934-72A1C2D9DB47}"/>
            </a:ext>
          </a:extLst>
        </xdr:cNvPr>
        <xdr:cNvSpPr>
          <a:spLocks noChangeShapeType="1"/>
        </xdr:cNvSpPr>
      </xdr:nvSpPr>
      <xdr:spPr bwMode="auto">
        <a:xfrm>
          <a:off x="966787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3485" name="Line 82">
          <a:extLst>
            <a:ext uri="{FF2B5EF4-FFF2-40B4-BE49-F238E27FC236}">
              <a16:creationId xmlns:a16="http://schemas.microsoft.com/office/drawing/2014/main" id="{BC7A23DD-1589-4C67-8415-156C8F8A7D7A}"/>
            </a:ext>
          </a:extLst>
        </xdr:cNvPr>
        <xdr:cNvSpPr>
          <a:spLocks noChangeShapeType="1"/>
        </xdr:cNvSpPr>
      </xdr:nvSpPr>
      <xdr:spPr bwMode="auto">
        <a:xfrm>
          <a:off x="966787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3486" name="Line 83">
          <a:extLst>
            <a:ext uri="{FF2B5EF4-FFF2-40B4-BE49-F238E27FC236}">
              <a16:creationId xmlns:a16="http://schemas.microsoft.com/office/drawing/2014/main" id="{58C5C3B2-A576-4E4A-9406-7987D24F539D}"/>
            </a:ext>
          </a:extLst>
        </xdr:cNvPr>
        <xdr:cNvSpPr>
          <a:spLocks noChangeShapeType="1"/>
        </xdr:cNvSpPr>
      </xdr:nvSpPr>
      <xdr:spPr bwMode="auto">
        <a:xfrm>
          <a:off x="1437322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3487" name="Line 84">
          <a:extLst>
            <a:ext uri="{FF2B5EF4-FFF2-40B4-BE49-F238E27FC236}">
              <a16:creationId xmlns:a16="http://schemas.microsoft.com/office/drawing/2014/main" id="{067518BC-1F2D-4A76-A676-780AEE2B7A52}"/>
            </a:ext>
          </a:extLst>
        </xdr:cNvPr>
        <xdr:cNvSpPr>
          <a:spLocks noChangeShapeType="1"/>
        </xdr:cNvSpPr>
      </xdr:nvSpPr>
      <xdr:spPr bwMode="auto">
        <a:xfrm>
          <a:off x="143732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3488" name="Line 85">
          <a:extLst>
            <a:ext uri="{FF2B5EF4-FFF2-40B4-BE49-F238E27FC236}">
              <a16:creationId xmlns:a16="http://schemas.microsoft.com/office/drawing/2014/main" id="{B4F17A84-23BC-4F76-86BB-A6D24537B319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3489" name="Line 86">
          <a:extLst>
            <a:ext uri="{FF2B5EF4-FFF2-40B4-BE49-F238E27FC236}">
              <a16:creationId xmlns:a16="http://schemas.microsoft.com/office/drawing/2014/main" id="{B3BCFD0F-184A-4EA4-BD52-4E32435D0F60}"/>
            </a:ext>
          </a:extLst>
        </xdr:cNvPr>
        <xdr:cNvSpPr>
          <a:spLocks noChangeShapeType="1"/>
        </xdr:cNvSpPr>
      </xdr:nvSpPr>
      <xdr:spPr bwMode="auto">
        <a:xfrm>
          <a:off x="966787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3490" name="Line 87">
          <a:extLst>
            <a:ext uri="{FF2B5EF4-FFF2-40B4-BE49-F238E27FC236}">
              <a16:creationId xmlns:a16="http://schemas.microsoft.com/office/drawing/2014/main" id="{70C97C36-3694-4BE9-B2F1-29D763330E44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3491" name="Line 88">
          <a:extLst>
            <a:ext uri="{FF2B5EF4-FFF2-40B4-BE49-F238E27FC236}">
              <a16:creationId xmlns:a16="http://schemas.microsoft.com/office/drawing/2014/main" id="{549800D1-9714-4D15-8384-C699255A8349}"/>
            </a:ext>
          </a:extLst>
        </xdr:cNvPr>
        <xdr:cNvSpPr>
          <a:spLocks noChangeShapeType="1"/>
        </xdr:cNvSpPr>
      </xdr:nvSpPr>
      <xdr:spPr bwMode="auto">
        <a:xfrm>
          <a:off x="966787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3492" name="Line 89">
          <a:extLst>
            <a:ext uri="{FF2B5EF4-FFF2-40B4-BE49-F238E27FC236}">
              <a16:creationId xmlns:a16="http://schemas.microsoft.com/office/drawing/2014/main" id="{A82E1107-01DB-4B5E-93D0-413168F4B089}"/>
            </a:ext>
          </a:extLst>
        </xdr:cNvPr>
        <xdr:cNvSpPr>
          <a:spLocks noChangeShapeType="1"/>
        </xdr:cNvSpPr>
      </xdr:nvSpPr>
      <xdr:spPr bwMode="auto">
        <a:xfrm>
          <a:off x="9667875" y="11287125"/>
          <a:ext cx="3009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3493" name="Line 90">
          <a:extLst>
            <a:ext uri="{FF2B5EF4-FFF2-40B4-BE49-F238E27FC236}">
              <a16:creationId xmlns:a16="http://schemas.microsoft.com/office/drawing/2014/main" id="{396B8C7B-F0A8-44A3-84BE-5CF673958695}"/>
            </a:ext>
          </a:extLst>
        </xdr:cNvPr>
        <xdr:cNvSpPr>
          <a:spLocks noChangeShapeType="1"/>
        </xdr:cNvSpPr>
      </xdr:nvSpPr>
      <xdr:spPr bwMode="auto">
        <a:xfrm>
          <a:off x="978217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3494" name="Line 91">
          <a:extLst>
            <a:ext uri="{FF2B5EF4-FFF2-40B4-BE49-F238E27FC236}">
              <a16:creationId xmlns:a16="http://schemas.microsoft.com/office/drawing/2014/main" id="{BA44FE53-5101-4AE8-9B75-B16F8CF5B2BE}"/>
            </a:ext>
          </a:extLst>
        </xdr:cNvPr>
        <xdr:cNvSpPr>
          <a:spLocks noChangeShapeType="1"/>
        </xdr:cNvSpPr>
      </xdr:nvSpPr>
      <xdr:spPr bwMode="auto">
        <a:xfrm flipV="1">
          <a:off x="978217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3495" name="Line 92">
          <a:extLst>
            <a:ext uri="{FF2B5EF4-FFF2-40B4-BE49-F238E27FC236}">
              <a16:creationId xmlns:a16="http://schemas.microsoft.com/office/drawing/2014/main" id="{5ACB316E-7628-42FA-AA5D-E623676F54B2}"/>
            </a:ext>
          </a:extLst>
        </xdr:cNvPr>
        <xdr:cNvSpPr>
          <a:spLocks noChangeShapeType="1"/>
        </xdr:cNvSpPr>
      </xdr:nvSpPr>
      <xdr:spPr bwMode="auto">
        <a:xfrm flipV="1">
          <a:off x="966787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3496" name="Line 93">
          <a:extLst>
            <a:ext uri="{FF2B5EF4-FFF2-40B4-BE49-F238E27FC236}">
              <a16:creationId xmlns:a16="http://schemas.microsoft.com/office/drawing/2014/main" id="{4F355208-5633-490C-AE0F-B735B24B3D7B}"/>
            </a:ext>
          </a:extLst>
        </xdr:cNvPr>
        <xdr:cNvSpPr>
          <a:spLocks noChangeShapeType="1"/>
        </xdr:cNvSpPr>
      </xdr:nvSpPr>
      <xdr:spPr bwMode="auto">
        <a:xfrm>
          <a:off x="978217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3497" name="Line 94">
          <a:extLst>
            <a:ext uri="{FF2B5EF4-FFF2-40B4-BE49-F238E27FC236}">
              <a16:creationId xmlns:a16="http://schemas.microsoft.com/office/drawing/2014/main" id="{E6CC16D0-774E-4581-9F5C-4A8DAD935ECC}"/>
            </a:ext>
          </a:extLst>
        </xdr:cNvPr>
        <xdr:cNvSpPr>
          <a:spLocks noChangeShapeType="1"/>
        </xdr:cNvSpPr>
      </xdr:nvSpPr>
      <xdr:spPr bwMode="auto">
        <a:xfrm>
          <a:off x="1181100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3498" name="Line 95">
          <a:extLst>
            <a:ext uri="{FF2B5EF4-FFF2-40B4-BE49-F238E27FC236}">
              <a16:creationId xmlns:a16="http://schemas.microsoft.com/office/drawing/2014/main" id="{4243761F-B674-4F96-92AC-9B24BB9F0FF7}"/>
            </a:ext>
          </a:extLst>
        </xdr:cNvPr>
        <xdr:cNvSpPr>
          <a:spLocks noChangeShapeType="1"/>
        </xdr:cNvSpPr>
      </xdr:nvSpPr>
      <xdr:spPr bwMode="auto">
        <a:xfrm>
          <a:off x="1181100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3499" name="Line 96">
          <a:extLst>
            <a:ext uri="{FF2B5EF4-FFF2-40B4-BE49-F238E27FC236}">
              <a16:creationId xmlns:a16="http://schemas.microsoft.com/office/drawing/2014/main" id="{ACFBCDDA-3B8F-472B-8FEF-13F664071BF6}"/>
            </a:ext>
          </a:extLst>
        </xdr:cNvPr>
        <xdr:cNvSpPr>
          <a:spLocks noChangeShapeType="1"/>
        </xdr:cNvSpPr>
      </xdr:nvSpPr>
      <xdr:spPr bwMode="auto">
        <a:xfrm>
          <a:off x="966787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3500" name="Line 97">
          <a:extLst>
            <a:ext uri="{FF2B5EF4-FFF2-40B4-BE49-F238E27FC236}">
              <a16:creationId xmlns:a16="http://schemas.microsoft.com/office/drawing/2014/main" id="{B6BC167D-B48D-447F-A8AE-FE3A9F9848F2}"/>
            </a:ext>
          </a:extLst>
        </xdr:cNvPr>
        <xdr:cNvSpPr>
          <a:spLocks noChangeShapeType="1"/>
        </xdr:cNvSpPr>
      </xdr:nvSpPr>
      <xdr:spPr bwMode="auto">
        <a:xfrm>
          <a:off x="1181100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3501" name="Line 98">
          <a:extLst>
            <a:ext uri="{FF2B5EF4-FFF2-40B4-BE49-F238E27FC236}">
              <a16:creationId xmlns:a16="http://schemas.microsoft.com/office/drawing/2014/main" id="{3446C495-F62B-461B-8BAC-16A29DCA32B1}"/>
            </a:ext>
          </a:extLst>
        </xdr:cNvPr>
        <xdr:cNvSpPr>
          <a:spLocks noChangeShapeType="1"/>
        </xdr:cNvSpPr>
      </xdr:nvSpPr>
      <xdr:spPr bwMode="auto">
        <a:xfrm flipV="1">
          <a:off x="966787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3502" name="Line 99">
          <a:extLst>
            <a:ext uri="{FF2B5EF4-FFF2-40B4-BE49-F238E27FC236}">
              <a16:creationId xmlns:a16="http://schemas.microsoft.com/office/drawing/2014/main" id="{95DFFE39-BA93-4596-9078-FEA325B38D33}"/>
            </a:ext>
          </a:extLst>
        </xdr:cNvPr>
        <xdr:cNvSpPr>
          <a:spLocks noChangeShapeType="1"/>
        </xdr:cNvSpPr>
      </xdr:nvSpPr>
      <xdr:spPr bwMode="auto">
        <a:xfrm>
          <a:off x="104298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3503" name="Line 100">
          <a:extLst>
            <a:ext uri="{FF2B5EF4-FFF2-40B4-BE49-F238E27FC236}">
              <a16:creationId xmlns:a16="http://schemas.microsoft.com/office/drawing/2014/main" id="{D72643F3-BB6F-4634-98AD-695FF7A6D7CD}"/>
            </a:ext>
          </a:extLst>
        </xdr:cNvPr>
        <xdr:cNvSpPr>
          <a:spLocks noChangeShapeType="1"/>
        </xdr:cNvSpPr>
      </xdr:nvSpPr>
      <xdr:spPr bwMode="auto">
        <a:xfrm>
          <a:off x="143732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7840" name="Line 101">
          <a:extLst>
            <a:ext uri="{FF2B5EF4-FFF2-40B4-BE49-F238E27FC236}">
              <a16:creationId xmlns:a16="http://schemas.microsoft.com/office/drawing/2014/main" id="{E834DB58-C334-48B8-8DBE-D19087BC4CDC}"/>
            </a:ext>
          </a:extLst>
        </xdr:cNvPr>
        <xdr:cNvSpPr>
          <a:spLocks noChangeShapeType="1"/>
        </xdr:cNvSpPr>
      </xdr:nvSpPr>
      <xdr:spPr bwMode="auto">
        <a:xfrm>
          <a:off x="13954125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7841" name="Line 102">
          <a:extLst>
            <a:ext uri="{FF2B5EF4-FFF2-40B4-BE49-F238E27FC236}">
              <a16:creationId xmlns:a16="http://schemas.microsoft.com/office/drawing/2014/main" id="{B7FE2BAE-1BC3-4FBB-A86A-1DC8135D26CF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7842" name="Line 103">
          <a:extLst>
            <a:ext uri="{FF2B5EF4-FFF2-40B4-BE49-F238E27FC236}">
              <a16:creationId xmlns:a16="http://schemas.microsoft.com/office/drawing/2014/main" id="{48152791-7B1C-49AB-BFBF-5B9A73CFDE2B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7843" name="Line 104">
          <a:extLst>
            <a:ext uri="{FF2B5EF4-FFF2-40B4-BE49-F238E27FC236}">
              <a16:creationId xmlns:a16="http://schemas.microsoft.com/office/drawing/2014/main" id="{9D1E2B27-C0C9-45F9-8366-19A67E25F949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7844" name="Line 105">
          <a:extLst>
            <a:ext uri="{FF2B5EF4-FFF2-40B4-BE49-F238E27FC236}">
              <a16:creationId xmlns:a16="http://schemas.microsoft.com/office/drawing/2014/main" id="{4EFB5946-2357-41CC-9EB3-37A78B2DF97E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7845" name="Line 106">
          <a:extLst>
            <a:ext uri="{FF2B5EF4-FFF2-40B4-BE49-F238E27FC236}">
              <a16:creationId xmlns:a16="http://schemas.microsoft.com/office/drawing/2014/main" id="{FC5CDD88-A9E5-4246-BAEA-A7321060150D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7846" name="Line 107">
          <a:extLst>
            <a:ext uri="{FF2B5EF4-FFF2-40B4-BE49-F238E27FC236}">
              <a16:creationId xmlns:a16="http://schemas.microsoft.com/office/drawing/2014/main" id="{889E32D6-E344-425E-92ED-0447734C1557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7847" name="Line 108">
          <a:extLst>
            <a:ext uri="{FF2B5EF4-FFF2-40B4-BE49-F238E27FC236}">
              <a16:creationId xmlns:a16="http://schemas.microsoft.com/office/drawing/2014/main" id="{C820D9A4-2E72-4546-A2A7-2510CDCB96E3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7848" name="Line 109">
          <a:extLst>
            <a:ext uri="{FF2B5EF4-FFF2-40B4-BE49-F238E27FC236}">
              <a16:creationId xmlns:a16="http://schemas.microsoft.com/office/drawing/2014/main" id="{30D6821E-F74A-4630-8F4F-8828C560C4EE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7849" name="Line 110">
          <a:extLst>
            <a:ext uri="{FF2B5EF4-FFF2-40B4-BE49-F238E27FC236}">
              <a16:creationId xmlns:a16="http://schemas.microsoft.com/office/drawing/2014/main" id="{1B26CC87-B8FF-485E-8969-F3F1476FF2A7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7850" name="Line 111">
          <a:extLst>
            <a:ext uri="{FF2B5EF4-FFF2-40B4-BE49-F238E27FC236}">
              <a16:creationId xmlns:a16="http://schemas.microsoft.com/office/drawing/2014/main" id="{46DB381A-1B82-423A-AB40-3A10D55A3D24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7851" name="Line 112">
          <a:extLst>
            <a:ext uri="{FF2B5EF4-FFF2-40B4-BE49-F238E27FC236}">
              <a16:creationId xmlns:a16="http://schemas.microsoft.com/office/drawing/2014/main" id="{C9DCA2BD-3C36-45CB-8B78-7AB282538D6D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7852" name="Line 113">
          <a:extLst>
            <a:ext uri="{FF2B5EF4-FFF2-40B4-BE49-F238E27FC236}">
              <a16:creationId xmlns:a16="http://schemas.microsoft.com/office/drawing/2014/main" id="{BA50C1E2-D052-4176-8E38-647CE0B1A146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5905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7853" name="Line 114">
          <a:extLst>
            <a:ext uri="{FF2B5EF4-FFF2-40B4-BE49-F238E27FC236}">
              <a16:creationId xmlns:a16="http://schemas.microsoft.com/office/drawing/2014/main" id="{F8C09379-88FF-4FE7-A8A9-C1AB8DB76A71}"/>
            </a:ext>
          </a:extLst>
        </xdr:cNvPr>
        <xdr:cNvSpPr>
          <a:spLocks noChangeShapeType="1"/>
        </xdr:cNvSpPr>
      </xdr:nvSpPr>
      <xdr:spPr bwMode="auto">
        <a:xfrm flipV="1">
          <a:off x="966787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33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534428" name="Line 1">
          <a:extLst>
            <a:ext uri="{FF2B5EF4-FFF2-40B4-BE49-F238E27FC236}">
              <a16:creationId xmlns:a16="http://schemas.microsoft.com/office/drawing/2014/main" id="{1D1A995F-DA24-4F3F-95C3-F4B3D7A8BE73}"/>
            </a:ext>
          </a:extLst>
        </xdr:cNvPr>
        <xdr:cNvSpPr>
          <a:spLocks noChangeShapeType="1"/>
        </xdr:cNvSpPr>
      </xdr:nvSpPr>
      <xdr:spPr bwMode="auto">
        <a:xfrm flipV="1">
          <a:off x="762000" y="55626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17</xdr:row>
      <xdr:rowOff>0</xdr:rowOff>
    </xdr:to>
    <xdr:sp macro="" textlink="">
      <xdr:nvSpPr>
        <xdr:cNvPr id="534429" name="Line 2">
          <a:extLst>
            <a:ext uri="{FF2B5EF4-FFF2-40B4-BE49-F238E27FC236}">
              <a16:creationId xmlns:a16="http://schemas.microsoft.com/office/drawing/2014/main" id="{24088167-DED3-41B5-BA1B-70AAA3078E46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534430" name="Line 3">
          <a:extLst>
            <a:ext uri="{FF2B5EF4-FFF2-40B4-BE49-F238E27FC236}">
              <a16:creationId xmlns:a16="http://schemas.microsoft.com/office/drawing/2014/main" id="{CFC008D4-A601-4248-8E10-1A67E6EA4B97}"/>
            </a:ext>
          </a:extLst>
        </xdr:cNvPr>
        <xdr:cNvSpPr>
          <a:spLocks noChangeShapeType="1"/>
        </xdr:cNvSpPr>
      </xdr:nvSpPr>
      <xdr:spPr bwMode="auto">
        <a:xfrm>
          <a:off x="2457450" y="4400550"/>
          <a:ext cx="0" cy="495300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33</xdr:row>
      <xdr:rowOff>9525</xdr:rowOff>
    </xdr:from>
    <xdr:to>
      <xdr:col>7</xdr:col>
      <xdr:colOff>0</xdr:colOff>
      <xdr:row>36</xdr:row>
      <xdr:rowOff>0</xdr:rowOff>
    </xdr:to>
    <xdr:sp macro="" textlink="">
      <xdr:nvSpPr>
        <xdr:cNvPr id="534431" name="Line 4">
          <a:extLst>
            <a:ext uri="{FF2B5EF4-FFF2-40B4-BE49-F238E27FC236}">
              <a16:creationId xmlns:a16="http://schemas.microsoft.com/office/drawing/2014/main" id="{3FF21F8A-3152-4CC5-BA32-C58847A360B7}"/>
            </a:ext>
          </a:extLst>
        </xdr:cNvPr>
        <xdr:cNvSpPr>
          <a:spLocks noChangeShapeType="1"/>
        </xdr:cNvSpPr>
      </xdr:nvSpPr>
      <xdr:spPr bwMode="auto">
        <a:xfrm>
          <a:off x="2457450" y="5572125"/>
          <a:ext cx="0" cy="485775"/>
        </a:xfrm>
        <a:prstGeom prst="line">
          <a:avLst/>
        </a:prstGeom>
        <a:noFill/>
        <a:ln w="9525">
          <a:solidFill>
            <a:srgbClr val="00808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534432" name="Line 5">
          <a:extLst>
            <a:ext uri="{FF2B5EF4-FFF2-40B4-BE49-F238E27FC236}">
              <a16:creationId xmlns:a16="http://schemas.microsoft.com/office/drawing/2014/main" id="{CB1223D7-3CFF-45C4-99B9-BC157D5E8D96}"/>
            </a:ext>
          </a:extLst>
        </xdr:cNvPr>
        <xdr:cNvSpPr>
          <a:spLocks noChangeShapeType="1"/>
        </xdr:cNvSpPr>
      </xdr:nvSpPr>
      <xdr:spPr bwMode="auto">
        <a:xfrm flipV="1">
          <a:off x="1190625" y="656272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15</xdr:row>
      <xdr:rowOff>0</xdr:rowOff>
    </xdr:to>
    <xdr:sp macro="" textlink="">
      <xdr:nvSpPr>
        <xdr:cNvPr id="534433" name="Line 6">
          <a:extLst>
            <a:ext uri="{FF2B5EF4-FFF2-40B4-BE49-F238E27FC236}">
              <a16:creationId xmlns:a16="http://schemas.microsoft.com/office/drawing/2014/main" id="{8DF4D84F-E7D2-48D4-AEE5-FB06A3964042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19050</xdr:colOff>
      <xdr:row>15</xdr:row>
      <xdr:rowOff>0</xdr:rowOff>
    </xdr:to>
    <xdr:sp macro="" textlink="">
      <xdr:nvSpPr>
        <xdr:cNvPr id="534434" name="Line 7">
          <a:extLst>
            <a:ext uri="{FF2B5EF4-FFF2-40B4-BE49-F238E27FC236}">
              <a16:creationId xmlns:a16="http://schemas.microsoft.com/office/drawing/2014/main" id="{77DAED9C-2E73-4468-ACA9-C2B94639A4E2}"/>
            </a:ext>
          </a:extLst>
        </xdr:cNvPr>
        <xdr:cNvSpPr>
          <a:spLocks noChangeShapeType="1"/>
        </xdr:cNvSpPr>
      </xdr:nvSpPr>
      <xdr:spPr bwMode="auto">
        <a:xfrm flipV="1">
          <a:off x="3057525" y="2543175"/>
          <a:ext cx="27908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18</xdr:row>
      <xdr:rowOff>0</xdr:rowOff>
    </xdr:from>
    <xdr:to>
      <xdr:col>14</xdr:col>
      <xdr:colOff>0</xdr:colOff>
      <xdr:row>18</xdr:row>
      <xdr:rowOff>0</xdr:rowOff>
    </xdr:to>
    <xdr:sp macro="" textlink="">
      <xdr:nvSpPr>
        <xdr:cNvPr id="534435" name="Line 8">
          <a:extLst>
            <a:ext uri="{FF2B5EF4-FFF2-40B4-BE49-F238E27FC236}">
              <a16:creationId xmlns:a16="http://schemas.microsoft.com/office/drawing/2014/main" id="{4B1FEE0B-FD4B-4E41-BF4C-47B357D49BD7}"/>
            </a:ext>
          </a:extLst>
        </xdr:cNvPr>
        <xdr:cNvSpPr>
          <a:spLocks noChangeShapeType="1"/>
        </xdr:cNvSpPr>
      </xdr:nvSpPr>
      <xdr:spPr bwMode="auto">
        <a:xfrm>
          <a:off x="5029200" y="304800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16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534436" name="Line 9">
          <a:extLst>
            <a:ext uri="{FF2B5EF4-FFF2-40B4-BE49-F238E27FC236}">
              <a16:creationId xmlns:a16="http://schemas.microsoft.com/office/drawing/2014/main" id="{42277BF3-322D-48D9-A00C-646C60A8D95E}"/>
            </a:ext>
          </a:extLst>
        </xdr:cNvPr>
        <xdr:cNvSpPr>
          <a:spLocks noChangeShapeType="1"/>
        </xdr:cNvSpPr>
      </xdr:nvSpPr>
      <xdr:spPr bwMode="auto">
        <a:xfrm>
          <a:off x="5029200" y="271462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14</xdr:col>
      <xdr:colOff>0</xdr:colOff>
      <xdr:row>41</xdr:row>
      <xdr:rowOff>0</xdr:rowOff>
    </xdr:to>
    <xdr:sp macro="" textlink="">
      <xdr:nvSpPr>
        <xdr:cNvPr id="534437" name="Line 10">
          <a:extLst>
            <a:ext uri="{FF2B5EF4-FFF2-40B4-BE49-F238E27FC236}">
              <a16:creationId xmlns:a16="http://schemas.microsoft.com/office/drawing/2014/main" id="{3FD990DE-83DB-4A2B-8763-91D0BBCB1C4F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0</xdr:colOff>
      <xdr:row>43</xdr:row>
      <xdr:rowOff>0</xdr:rowOff>
    </xdr:to>
    <xdr:sp macro="" textlink="">
      <xdr:nvSpPr>
        <xdr:cNvPr id="534438" name="Line 11">
          <a:extLst>
            <a:ext uri="{FF2B5EF4-FFF2-40B4-BE49-F238E27FC236}">
              <a16:creationId xmlns:a16="http://schemas.microsoft.com/office/drawing/2014/main" id="{F3AB74D2-C545-4BC1-93B1-C82705CD8A6F}"/>
            </a:ext>
          </a:extLst>
        </xdr:cNvPr>
        <xdr:cNvSpPr>
          <a:spLocks noChangeShapeType="1"/>
        </xdr:cNvSpPr>
      </xdr:nvSpPr>
      <xdr:spPr bwMode="auto">
        <a:xfrm>
          <a:off x="5029200" y="722947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0</xdr:rowOff>
    </xdr:from>
    <xdr:to>
      <xdr:col>14</xdr:col>
      <xdr:colOff>0</xdr:colOff>
      <xdr:row>44</xdr:row>
      <xdr:rowOff>0</xdr:rowOff>
    </xdr:to>
    <xdr:sp macro="" textlink="">
      <xdr:nvSpPr>
        <xdr:cNvPr id="534439" name="Line 12">
          <a:extLst>
            <a:ext uri="{FF2B5EF4-FFF2-40B4-BE49-F238E27FC236}">
              <a16:creationId xmlns:a16="http://schemas.microsoft.com/office/drawing/2014/main" id="{2C8AEDB1-AC38-495D-A8FA-ABEE37390704}"/>
            </a:ext>
          </a:extLst>
        </xdr:cNvPr>
        <xdr:cNvSpPr>
          <a:spLocks noChangeShapeType="1"/>
        </xdr:cNvSpPr>
      </xdr:nvSpPr>
      <xdr:spPr bwMode="auto">
        <a:xfrm>
          <a:off x="5029200" y="739140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31</xdr:row>
      <xdr:rowOff>0</xdr:rowOff>
    </xdr:from>
    <xdr:to>
      <xdr:col>14</xdr:col>
      <xdr:colOff>0</xdr:colOff>
      <xdr:row>31</xdr:row>
      <xdr:rowOff>0</xdr:rowOff>
    </xdr:to>
    <xdr:sp macro="" textlink="">
      <xdr:nvSpPr>
        <xdr:cNvPr id="534440" name="Line 13">
          <a:extLst>
            <a:ext uri="{FF2B5EF4-FFF2-40B4-BE49-F238E27FC236}">
              <a16:creationId xmlns:a16="http://schemas.microsoft.com/office/drawing/2014/main" id="{BF6391EF-4262-4B1A-AA48-1BA8D3314079}"/>
            </a:ext>
          </a:extLst>
        </xdr:cNvPr>
        <xdr:cNvSpPr>
          <a:spLocks noChangeShapeType="1"/>
        </xdr:cNvSpPr>
      </xdr:nvSpPr>
      <xdr:spPr bwMode="auto">
        <a:xfrm>
          <a:off x="3590925" y="5229225"/>
          <a:ext cx="2238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534441" name="Line 14">
          <a:extLst>
            <a:ext uri="{FF2B5EF4-FFF2-40B4-BE49-F238E27FC236}">
              <a16:creationId xmlns:a16="http://schemas.microsoft.com/office/drawing/2014/main" id="{06FA3D39-FA00-469D-B858-F69CB53D7183}"/>
            </a:ext>
          </a:extLst>
        </xdr:cNvPr>
        <xdr:cNvSpPr>
          <a:spLocks noChangeShapeType="1"/>
        </xdr:cNvSpPr>
      </xdr:nvSpPr>
      <xdr:spPr bwMode="auto">
        <a:xfrm>
          <a:off x="3057525" y="6562725"/>
          <a:ext cx="2771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23</xdr:col>
      <xdr:colOff>0</xdr:colOff>
      <xdr:row>16</xdr:row>
      <xdr:rowOff>0</xdr:rowOff>
    </xdr:to>
    <xdr:sp macro="" textlink="">
      <xdr:nvSpPr>
        <xdr:cNvPr id="534442" name="Line 15">
          <a:extLst>
            <a:ext uri="{FF2B5EF4-FFF2-40B4-BE49-F238E27FC236}">
              <a16:creationId xmlns:a16="http://schemas.microsoft.com/office/drawing/2014/main" id="{2D7869C9-B358-4AA4-941E-7BF231C419C3}"/>
            </a:ext>
          </a:extLst>
        </xdr:cNvPr>
        <xdr:cNvSpPr>
          <a:spLocks noChangeShapeType="1"/>
        </xdr:cNvSpPr>
      </xdr:nvSpPr>
      <xdr:spPr bwMode="auto">
        <a:xfrm>
          <a:off x="10639425" y="27146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23</xdr:col>
      <xdr:colOff>0</xdr:colOff>
      <xdr:row>18</xdr:row>
      <xdr:rowOff>0</xdr:rowOff>
    </xdr:to>
    <xdr:sp macro="" textlink="">
      <xdr:nvSpPr>
        <xdr:cNvPr id="534443" name="Line 16">
          <a:extLst>
            <a:ext uri="{FF2B5EF4-FFF2-40B4-BE49-F238E27FC236}">
              <a16:creationId xmlns:a16="http://schemas.microsoft.com/office/drawing/2014/main" id="{5DB558B9-E9DE-4A00-ABBE-A83F3ECC10C9}"/>
            </a:ext>
          </a:extLst>
        </xdr:cNvPr>
        <xdr:cNvSpPr>
          <a:spLocks noChangeShapeType="1"/>
        </xdr:cNvSpPr>
      </xdr:nvSpPr>
      <xdr:spPr bwMode="auto">
        <a:xfrm>
          <a:off x="10639425" y="304800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17</xdr:row>
      <xdr:rowOff>0</xdr:rowOff>
    </xdr:from>
    <xdr:to>
      <xdr:col>23</xdr:col>
      <xdr:colOff>0</xdr:colOff>
      <xdr:row>17</xdr:row>
      <xdr:rowOff>0</xdr:rowOff>
    </xdr:to>
    <xdr:sp macro="" textlink="">
      <xdr:nvSpPr>
        <xdr:cNvPr id="534444" name="Line 17">
          <a:extLst>
            <a:ext uri="{FF2B5EF4-FFF2-40B4-BE49-F238E27FC236}">
              <a16:creationId xmlns:a16="http://schemas.microsoft.com/office/drawing/2014/main" id="{1D527826-C528-4F96-81C9-0FEBEF314F54}"/>
            </a:ext>
          </a:extLst>
        </xdr:cNvPr>
        <xdr:cNvSpPr>
          <a:spLocks noChangeShapeType="1"/>
        </xdr:cNvSpPr>
      </xdr:nvSpPr>
      <xdr:spPr bwMode="auto">
        <a:xfrm>
          <a:off x="9877425" y="2886075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19</xdr:row>
      <xdr:rowOff>0</xdr:rowOff>
    </xdr:from>
    <xdr:to>
      <xdr:col>23</xdr:col>
      <xdr:colOff>0</xdr:colOff>
      <xdr:row>19</xdr:row>
      <xdr:rowOff>0</xdr:rowOff>
    </xdr:to>
    <xdr:sp macro="" textlink="">
      <xdr:nvSpPr>
        <xdr:cNvPr id="534445" name="Line 18">
          <a:extLst>
            <a:ext uri="{FF2B5EF4-FFF2-40B4-BE49-F238E27FC236}">
              <a16:creationId xmlns:a16="http://schemas.microsoft.com/office/drawing/2014/main" id="{990209A3-5D90-4C41-B602-AD383E9ACD33}"/>
            </a:ext>
          </a:extLst>
        </xdr:cNvPr>
        <xdr:cNvSpPr>
          <a:spLocks noChangeShapeType="1"/>
        </xdr:cNvSpPr>
      </xdr:nvSpPr>
      <xdr:spPr bwMode="auto">
        <a:xfrm>
          <a:off x="10639425" y="32194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534446" name="Line 19">
          <a:extLst>
            <a:ext uri="{FF2B5EF4-FFF2-40B4-BE49-F238E27FC236}">
              <a16:creationId xmlns:a16="http://schemas.microsoft.com/office/drawing/2014/main" id="{D144C70C-9456-4B8F-8D40-5503B4EF0E1D}"/>
            </a:ext>
          </a:extLst>
        </xdr:cNvPr>
        <xdr:cNvSpPr>
          <a:spLocks noChangeShapeType="1"/>
        </xdr:cNvSpPr>
      </xdr:nvSpPr>
      <xdr:spPr bwMode="auto">
        <a:xfrm>
          <a:off x="10639425" y="40576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25</xdr:row>
      <xdr:rowOff>0</xdr:rowOff>
    </xdr:from>
    <xdr:to>
      <xdr:col>23</xdr:col>
      <xdr:colOff>0</xdr:colOff>
      <xdr:row>25</xdr:row>
      <xdr:rowOff>0</xdr:rowOff>
    </xdr:to>
    <xdr:sp macro="" textlink="">
      <xdr:nvSpPr>
        <xdr:cNvPr id="534447" name="Line 20">
          <a:extLst>
            <a:ext uri="{FF2B5EF4-FFF2-40B4-BE49-F238E27FC236}">
              <a16:creationId xmlns:a16="http://schemas.microsoft.com/office/drawing/2014/main" id="{C6693131-DE75-4F41-AA2E-E20EE46AA9DB}"/>
            </a:ext>
          </a:extLst>
        </xdr:cNvPr>
        <xdr:cNvSpPr>
          <a:spLocks noChangeShapeType="1"/>
        </xdr:cNvSpPr>
      </xdr:nvSpPr>
      <xdr:spPr bwMode="auto">
        <a:xfrm>
          <a:off x="9877425" y="42291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34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34448" name="Line 21">
          <a:extLst>
            <a:ext uri="{FF2B5EF4-FFF2-40B4-BE49-F238E27FC236}">
              <a16:creationId xmlns:a16="http://schemas.microsoft.com/office/drawing/2014/main" id="{EDC10A40-109E-4D03-82C4-CFBEF8736EC8}"/>
            </a:ext>
          </a:extLst>
        </xdr:cNvPr>
        <xdr:cNvSpPr>
          <a:spLocks noChangeShapeType="1"/>
        </xdr:cNvSpPr>
      </xdr:nvSpPr>
      <xdr:spPr bwMode="auto">
        <a:xfrm>
          <a:off x="10639425" y="5724525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69</xdr:row>
      <xdr:rowOff>9525</xdr:rowOff>
    </xdr:to>
    <xdr:sp macro="" textlink="">
      <xdr:nvSpPr>
        <xdr:cNvPr id="534449" name="Line 22">
          <a:extLst>
            <a:ext uri="{FF2B5EF4-FFF2-40B4-BE49-F238E27FC236}">
              <a16:creationId xmlns:a16="http://schemas.microsoft.com/office/drawing/2014/main" id="{0529FBF8-4EC3-4363-BF7C-9DB62CA4255D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4450" name="Line 23">
          <a:extLst>
            <a:ext uri="{FF2B5EF4-FFF2-40B4-BE49-F238E27FC236}">
              <a16:creationId xmlns:a16="http://schemas.microsoft.com/office/drawing/2014/main" id="{D80D0045-9A9E-41F9-9F6A-86A6B631401C}"/>
            </a:ext>
          </a:extLst>
        </xdr:cNvPr>
        <xdr:cNvSpPr>
          <a:spLocks noChangeShapeType="1"/>
        </xdr:cNvSpPr>
      </xdr:nvSpPr>
      <xdr:spPr bwMode="auto">
        <a:xfrm>
          <a:off x="1504950" y="8410575"/>
          <a:ext cx="3429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0</xdr:colOff>
      <xdr:row>71</xdr:row>
      <xdr:rowOff>0</xdr:rowOff>
    </xdr:to>
    <xdr:sp macro="" textlink="">
      <xdr:nvSpPr>
        <xdr:cNvPr id="534451" name="Line 24">
          <a:extLst>
            <a:ext uri="{FF2B5EF4-FFF2-40B4-BE49-F238E27FC236}">
              <a16:creationId xmlns:a16="http://schemas.microsoft.com/office/drawing/2014/main" id="{CC9C19CB-1A21-4041-8D37-E4BAA55B95A3}"/>
            </a:ext>
          </a:extLst>
        </xdr:cNvPr>
        <xdr:cNvSpPr>
          <a:spLocks noChangeShapeType="1"/>
        </xdr:cNvSpPr>
      </xdr:nvSpPr>
      <xdr:spPr bwMode="auto">
        <a:xfrm flipV="1">
          <a:off x="762000" y="11125200"/>
          <a:ext cx="0" cy="8382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534452" name="Line 25">
          <a:extLst>
            <a:ext uri="{FF2B5EF4-FFF2-40B4-BE49-F238E27FC236}">
              <a16:creationId xmlns:a16="http://schemas.microsoft.com/office/drawing/2014/main" id="{1F0688F4-B7EA-4418-83FB-9BF518A1DEC7}"/>
            </a:ext>
          </a:extLst>
        </xdr:cNvPr>
        <xdr:cNvSpPr>
          <a:spLocks noChangeShapeType="1"/>
        </xdr:cNvSpPr>
      </xdr:nvSpPr>
      <xdr:spPr bwMode="auto">
        <a:xfrm>
          <a:off x="762000" y="8410575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0</xdr:colOff>
      <xdr:row>69</xdr:row>
      <xdr:rowOff>0</xdr:rowOff>
    </xdr:to>
    <xdr:sp macro="" textlink="">
      <xdr:nvSpPr>
        <xdr:cNvPr id="534453" name="Line 26">
          <a:extLst>
            <a:ext uri="{FF2B5EF4-FFF2-40B4-BE49-F238E27FC236}">
              <a16:creationId xmlns:a16="http://schemas.microsoft.com/office/drawing/2014/main" id="{7027714E-119F-43E7-88FB-142C1D702C26}"/>
            </a:ext>
          </a:extLst>
        </xdr:cNvPr>
        <xdr:cNvSpPr>
          <a:spLocks noChangeShapeType="1"/>
        </xdr:cNvSpPr>
      </xdr:nvSpPr>
      <xdr:spPr bwMode="auto">
        <a:xfrm>
          <a:off x="2457450" y="11125200"/>
          <a:ext cx="0" cy="49530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59</xdr:row>
      <xdr:rowOff>0</xdr:rowOff>
    </xdr:from>
    <xdr:to>
      <xdr:col>7</xdr:col>
      <xdr:colOff>0</xdr:colOff>
      <xdr:row>62</xdr:row>
      <xdr:rowOff>0</xdr:rowOff>
    </xdr:to>
    <xdr:sp macro="" textlink="">
      <xdr:nvSpPr>
        <xdr:cNvPr id="534454" name="Line 27">
          <a:extLst>
            <a:ext uri="{FF2B5EF4-FFF2-40B4-BE49-F238E27FC236}">
              <a16:creationId xmlns:a16="http://schemas.microsoft.com/office/drawing/2014/main" id="{DF0522B5-C519-435E-9603-7E1F447E2CF9}"/>
            </a:ext>
          </a:extLst>
        </xdr:cNvPr>
        <xdr:cNvSpPr>
          <a:spLocks noChangeShapeType="1"/>
        </xdr:cNvSpPr>
      </xdr:nvSpPr>
      <xdr:spPr bwMode="auto">
        <a:xfrm flipH="1">
          <a:off x="2457450" y="9934575"/>
          <a:ext cx="0" cy="514350"/>
        </a:xfrm>
        <a:prstGeom prst="line">
          <a:avLst/>
        </a:prstGeom>
        <a:noFill/>
        <a:ln w="9525">
          <a:solidFill>
            <a:srgbClr val="008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6</xdr:col>
      <xdr:colOff>0</xdr:colOff>
      <xdr:row>72</xdr:row>
      <xdr:rowOff>0</xdr:rowOff>
    </xdr:to>
    <xdr:sp macro="" textlink="">
      <xdr:nvSpPr>
        <xdr:cNvPr id="534455" name="Line 28">
          <a:extLst>
            <a:ext uri="{FF2B5EF4-FFF2-40B4-BE49-F238E27FC236}">
              <a16:creationId xmlns:a16="http://schemas.microsoft.com/office/drawing/2014/main" id="{1AEBF880-B615-499B-835C-45AF535103C5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534456" name="Line 29">
          <a:extLst>
            <a:ext uri="{FF2B5EF4-FFF2-40B4-BE49-F238E27FC236}">
              <a16:creationId xmlns:a16="http://schemas.microsoft.com/office/drawing/2014/main" id="{02469CB0-8F38-4431-9FD1-1B2966702B82}"/>
            </a:ext>
          </a:extLst>
        </xdr:cNvPr>
        <xdr:cNvSpPr>
          <a:spLocks noChangeShapeType="1"/>
        </xdr:cNvSpPr>
      </xdr:nvSpPr>
      <xdr:spPr bwMode="auto">
        <a:xfrm flipV="1">
          <a:off x="5029200" y="823912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0</xdr:colOff>
      <xdr:row>50</xdr:row>
      <xdr:rowOff>0</xdr:rowOff>
    </xdr:to>
    <xdr:sp macro="" textlink="">
      <xdr:nvSpPr>
        <xdr:cNvPr id="534457" name="Line 30">
          <a:extLst>
            <a:ext uri="{FF2B5EF4-FFF2-40B4-BE49-F238E27FC236}">
              <a16:creationId xmlns:a16="http://schemas.microsoft.com/office/drawing/2014/main" id="{7BB8182E-995F-4435-AC7A-9FD0C0EBFA9E}"/>
            </a:ext>
          </a:extLst>
        </xdr:cNvPr>
        <xdr:cNvSpPr>
          <a:spLocks noChangeShapeType="1"/>
        </xdr:cNvSpPr>
      </xdr:nvSpPr>
      <xdr:spPr bwMode="auto">
        <a:xfrm>
          <a:off x="5029200" y="841057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4458" name="Line 31">
          <a:extLst>
            <a:ext uri="{FF2B5EF4-FFF2-40B4-BE49-F238E27FC236}">
              <a16:creationId xmlns:a16="http://schemas.microsoft.com/office/drawing/2014/main" id="{217D6A2B-1529-4EE4-B3D3-A704CDDD49B6}"/>
            </a:ext>
          </a:extLst>
        </xdr:cNvPr>
        <xdr:cNvSpPr>
          <a:spLocks noChangeShapeType="1"/>
        </xdr:cNvSpPr>
      </xdr:nvSpPr>
      <xdr:spPr bwMode="auto">
        <a:xfrm>
          <a:off x="2457450" y="12639675"/>
          <a:ext cx="3371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77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534459" name="Line 32">
          <a:extLst>
            <a:ext uri="{FF2B5EF4-FFF2-40B4-BE49-F238E27FC236}">
              <a16:creationId xmlns:a16="http://schemas.microsoft.com/office/drawing/2014/main" id="{2ABEF7EE-5C56-48F4-A481-B177567CC1B4}"/>
            </a:ext>
          </a:extLst>
        </xdr:cNvPr>
        <xdr:cNvSpPr>
          <a:spLocks noChangeShapeType="1"/>
        </xdr:cNvSpPr>
      </xdr:nvSpPr>
      <xdr:spPr bwMode="auto">
        <a:xfrm flipV="1">
          <a:off x="5029200" y="1296352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76</xdr:row>
      <xdr:rowOff>0</xdr:rowOff>
    </xdr:from>
    <xdr:to>
      <xdr:col>14</xdr:col>
      <xdr:colOff>0</xdr:colOff>
      <xdr:row>76</xdr:row>
      <xdr:rowOff>0</xdr:rowOff>
    </xdr:to>
    <xdr:sp macro="" textlink="">
      <xdr:nvSpPr>
        <xdr:cNvPr id="534460" name="Line 33">
          <a:extLst>
            <a:ext uri="{FF2B5EF4-FFF2-40B4-BE49-F238E27FC236}">
              <a16:creationId xmlns:a16="http://schemas.microsoft.com/office/drawing/2014/main" id="{21FE0DD3-A243-4C06-A4E2-F95C2E47FCA2}"/>
            </a:ext>
          </a:extLst>
        </xdr:cNvPr>
        <xdr:cNvSpPr>
          <a:spLocks noChangeShapeType="1"/>
        </xdr:cNvSpPr>
      </xdr:nvSpPr>
      <xdr:spPr bwMode="auto">
        <a:xfrm>
          <a:off x="5029200" y="1280160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64</xdr:row>
      <xdr:rowOff>0</xdr:rowOff>
    </xdr:from>
    <xdr:to>
      <xdr:col>14</xdr:col>
      <xdr:colOff>0</xdr:colOff>
      <xdr:row>64</xdr:row>
      <xdr:rowOff>0</xdr:rowOff>
    </xdr:to>
    <xdr:sp macro="" textlink="">
      <xdr:nvSpPr>
        <xdr:cNvPr id="534461" name="Line 34">
          <a:extLst>
            <a:ext uri="{FF2B5EF4-FFF2-40B4-BE49-F238E27FC236}">
              <a16:creationId xmlns:a16="http://schemas.microsoft.com/office/drawing/2014/main" id="{827D1D24-76B3-4A71-9602-5627493EC1D6}"/>
            </a:ext>
          </a:extLst>
        </xdr:cNvPr>
        <xdr:cNvSpPr>
          <a:spLocks noChangeShapeType="1"/>
        </xdr:cNvSpPr>
      </xdr:nvSpPr>
      <xdr:spPr bwMode="auto">
        <a:xfrm>
          <a:off x="3590925" y="10791825"/>
          <a:ext cx="22383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72</xdr:row>
      <xdr:rowOff>0</xdr:rowOff>
    </xdr:from>
    <xdr:to>
      <xdr:col>14</xdr:col>
      <xdr:colOff>0</xdr:colOff>
      <xdr:row>72</xdr:row>
      <xdr:rowOff>0</xdr:rowOff>
    </xdr:to>
    <xdr:sp macro="" textlink="">
      <xdr:nvSpPr>
        <xdr:cNvPr id="534462" name="Line 35">
          <a:extLst>
            <a:ext uri="{FF2B5EF4-FFF2-40B4-BE49-F238E27FC236}">
              <a16:creationId xmlns:a16="http://schemas.microsoft.com/office/drawing/2014/main" id="{866903B3-6EA1-497A-8268-0A39C45C0C3F}"/>
            </a:ext>
          </a:extLst>
        </xdr:cNvPr>
        <xdr:cNvSpPr>
          <a:spLocks noChangeShapeType="1"/>
        </xdr:cNvSpPr>
      </xdr:nvSpPr>
      <xdr:spPr bwMode="auto">
        <a:xfrm>
          <a:off x="3057525" y="12134850"/>
          <a:ext cx="2771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26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534463" name="Line 36">
          <a:extLst>
            <a:ext uri="{FF2B5EF4-FFF2-40B4-BE49-F238E27FC236}">
              <a16:creationId xmlns:a16="http://schemas.microsoft.com/office/drawing/2014/main" id="{C0B4ABAC-2687-4493-9145-59B1077E66CA}"/>
            </a:ext>
          </a:extLst>
        </xdr:cNvPr>
        <xdr:cNvSpPr>
          <a:spLocks noChangeShapeType="1"/>
        </xdr:cNvSpPr>
      </xdr:nvSpPr>
      <xdr:spPr bwMode="auto">
        <a:xfrm flipV="1">
          <a:off x="10639425" y="4400550"/>
          <a:ext cx="666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33</xdr:row>
      <xdr:rowOff>0</xdr:rowOff>
    </xdr:from>
    <xdr:to>
      <xdr:col>23</xdr:col>
      <xdr:colOff>0</xdr:colOff>
      <xdr:row>33</xdr:row>
      <xdr:rowOff>0</xdr:rowOff>
    </xdr:to>
    <xdr:sp macro="" textlink="">
      <xdr:nvSpPr>
        <xdr:cNvPr id="534464" name="Line 37">
          <a:extLst>
            <a:ext uri="{FF2B5EF4-FFF2-40B4-BE49-F238E27FC236}">
              <a16:creationId xmlns:a16="http://schemas.microsoft.com/office/drawing/2014/main" id="{01071A5A-2335-4AF5-BB7E-B5E9ABC22EB6}"/>
            </a:ext>
          </a:extLst>
        </xdr:cNvPr>
        <xdr:cNvSpPr>
          <a:spLocks noChangeShapeType="1"/>
        </xdr:cNvSpPr>
      </xdr:nvSpPr>
      <xdr:spPr bwMode="auto">
        <a:xfrm>
          <a:off x="9877425" y="5562600"/>
          <a:ext cx="14287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50</xdr:row>
      <xdr:rowOff>0</xdr:rowOff>
    </xdr:from>
    <xdr:to>
      <xdr:col>31</xdr:col>
      <xdr:colOff>0</xdr:colOff>
      <xdr:row>50</xdr:row>
      <xdr:rowOff>0</xdr:rowOff>
    </xdr:to>
    <xdr:sp macro="" textlink="">
      <xdr:nvSpPr>
        <xdr:cNvPr id="534465" name="Line 38">
          <a:extLst>
            <a:ext uri="{FF2B5EF4-FFF2-40B4-BE49-F238E27FC236}">
              <a16:creationId xmlns:a16="http://schemas.microsoft.com/office/drawing/2014/main" id="{B35D20C0-6D67-4E3A-9901-FF3AF644125B}"/>
            </a:ext>
          </a:extLst>
        </xdr:cNvPr>
        <xdr:cNvSpPr>
          <a:spLocks noChangeShapeType="1"/>
        </xdr:cNvSpPr>
      </xdr:nvSpPr>
      <xdr:spPr bwMode="auto">
        <a:xfrm>
          <a:off x="12020550" y="841057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57</xdr:row>
      <xdr:rowOff>0</xdr:rowOff>
    </xdr:from>
    <xdr:to>
      <xdr:col>31</xdr:col>
      <xdr:colOff>0</xdr:colOff>
      <xdr:row>57</xdr:row>
      <xdr:rowOff>0</xdr:rowOff>
    </xdr:to>
    <xdr:sp macro="" textlink="">
      <xdr:nvSpPr>
        <xdr:cNvPr id="534466" name="Line 39">
          <a:extLst>
            <a:ext uri="{FF2B5EF4-FFF2-40B4-BE49-F238E27FC236}">
              <a16:creationId xmlns:a16="http://schemas.microsoft.com/office/drawing/2014/main" id="{FBE75E2A-EC80-4FD2-91AF-5B2284B0EAA7}"/>
            </a:ext>
          </a:extLst>
        </xdr:cNvPr>
        <xdr:cNvSpPr>
          <a:spLocks noChangeShapeType="1"/>
        </xdr:cNvSpPr>
      </xdr:nvSpPr>
      <xdr:spPr bwMode="auto">
        <a:xfrm>
          <a:off x="12020550" y="9601200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64</xdr:row>
      <xdr:rowOff>0</xdr:rowOff>
    </xdr:from>
    <xdr:to>
      <xdr:col>31</xdr:col>
      <xdr:colOff>0</xdr:colOff>
      <xdr:row>64</xdr:row>
      <xdr:rowOff>0</xdr:rowOff>
    </xdr:to>
    <xdr:sp macro="" textlink="">
      <xdr:nvSpPr>
        <xdr:cNvPr id="534467" name="Line 40">
          <a:extLst>
            <a:ext uri="{FF2B5EF4-FFF2-40B4-BE49-F238E27FC236}">
              <a16:creationId xmlns:a16="http://schemas.microsoft.com/office/drawing/2014/main" id="{2010011E-4080-4BE5-A41C-3116B492BC9E}"/>
            </a:ext>
          </a:extLst>
        </xdr:cNvPr>
        <xdr:cNvSpPr>
          <a:spLocks noChangeShapeType="1"/>
        </xdr:cNvSpPr>
      </xdr:nvSpPr>
      <xdr:spPr bwMode="auto">
        <a:xfrm>
          <a:off x="12020550" y="10791825"/>
          <a:ext cx="351472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50</xdr:row>
      <xdr:rowOff>0</xdr:rowOff>
    </xdr:from>
    <xdr:to>
      <xdr:col>23</xdr:col>
      <xdr:colOff>0</xdr:colOff>
      <xdr:row>52</xdr:row>
      <xdr:rowOff>161925</xdr:rowOff>
    </xdr:to>
    <xdr:sp macro="" textlink="">
      <xdr:nvSpPr>
        <xdr:cNvPr id="534468" name="Line 41">
          <a:extLst>
            <a:ext uri="{FF2B5EF4-FFF2-40B4-BE49-F238E27FC236}">
              <a16:creationId xmlns:a16="http://schemas.microsoft.com/office/drawing/2014/main" id="{CD2932A4-594E-410D-A4F4-BF2FD6E83CBE}"/>
            </a:ext>
          </a:extLst>
        </xdr:cNvPr>
        <xdr:cNvSpPr>
          <a:spLocks noChangeShapeType="1"/>
        </xdr:cNvSpPr>
      </xdr:nvSpPr>
      <xdr:spPr bwMode="auto">
        <a:xfrm>
          <a:off x="11306175" y="8410575"/>
          <a:ext cx="0" cy="4953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30</xdr:col>
      <xdr:colOff>0</xdr:colOff>
      <xdr:row>15</xdr:row>
      <xdr:rowOff>0</xdr:rowOff>
    </xdr:to>
    <xdr:sp macro="" textlink="">
      <xdr:nvSpPr>
        <xdr:cNvPr id="534469" name="Line 42">
          <a:extLst>
            <a:ext uri="{FF2B5EF4-FFF2-40B4-BE49-F238E27FC236}">
              <a16:creationId xmlns:a16="http://schemas.microsoft.com/office/drawing/2014/main" id="{30831253-1BFE-4378-8E9F-1B064EB81574}"/>
            </a:ext>
          </a:extLst>
        </xdr:cNvPr>
        <xdr:cNvSpPr>
          <a:spLocks noChangeShapeType="1"/>
        </xdr:cNvSpPr>
      </xdr:nvSpPr>
      <xdr:spPr bwMode="auto">
        <a:xfrm>
          <a:off x="14582775" y="254317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16</xdr:row>
      <xdr:rowOff>0</xdr:rowOff>
    </xdr:from>
    <xdr:to>
      <xdr:col>30</xdr:col>
      <xdr:colOff>0</xdr:colOff>
      <xdr:row>16</xdr:row>
      <xdr:rowOff>0</xdr:rowOff>
    </xdr:to>
    <xdr:sp macro="" textlink="">
      <xdr:nvSpPr>
        <xdr:cNvPr id="534470" name="Line 43">
          <a:extLst>
            <a:ext uri="{FF2B5EF4-FFF2-40B4-BE49-F238E27FC236}">
              <a16:creationId xmlns:a16="http://schemas.microsoft.com/office/drawing/2014/main" id="{42DAC244-BC8D-4145-AB4D-2E5AF85F0BD0}"/>
            </a:ext>
          </a:extLst>
        </xdr:cNvPr>
        <xdr:cNvSpPr>
          <a:spLocks noChangeShapeType="1"/>
        </xdr:cNvSpPr>
      </xdr:nvSpPr>
      <xdr:spPr bwMode="auto">
        <a:xfrm>
          <a:off x="14582775" y="27146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17</xdr:row>
      <xdr:rowOff>0</xdr:rowOff>
    </xdr:from>
    <xdr:to>
      <xdr:col>30</xdr:col>
      <xdr:colOff>0</xdr:colOff>
      <xdr:row>17</xdr:row>
      <xdr:rowOff>0</xdr:rowOff>
    </xdr:to>
    <xdr:sp macro="" textlink="">
      <xdr:nvSpPr>
        <xdr:cNvPr id="534471" name="Line 44">
          <a:extLst>
            <a:ext uri="{FF2B5EF4-FFF2-40B4-BE49-F238E27FC236}">
              <a16:creationId xmlns:a16="http://schemas.microsoft.com/office/drawing/2014/main" id="{C9334AF5-024B-484B-83FD-F646617E0D5F}"/>
            </a:ext>
          </a:extLst>
        </xdr:cNvPr>
        <xdr:cNvSpPr>
          <a:spLocks noChangeShapeType="1"/>
        </xdr:cNvSpPr>
      </xdr:nvSpPr>
      <xdr:spPr bwMode="auto">
        <a:xfrm>
          <a:off x="14163675" y="288607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18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34472" name="Line 45">
          <a:extLst>
            <a:ext uri="{FF2B5EF4-FFF2-40B4-BE49-F238E27FC236}">
              <a16:creationId xmlns:a16="http://schemas.microsoft.com/office/drawing/2014/main" id="{828BA761-3482-4C1E-872A-072DEE2D589B}"/>
            </a:ext>
          </a:extLst>
        </xdr:cNvPr>
        <xdr:cNvSpPr>
          <a:spLocks noChangeShapeType="1"/>
        </xdr:cNvSpPr>
      </xdr:nvSpPr>
      <xdr:spPr bwMode="auto">
        <a:xfrm>
          <a:off x="14582775" y="304800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30</xdr:col>
      <xdr:colOff>0</xdr:colOff>
      <xdr:row>24</xdr:row>
      <xdr:rowOff>0</xdr:rowOff>
    </xdr:to>
    <xdr:sp macro="" textlink="">
      <xdr:nvSpPr>
        <xdr:cNvPr id="534473" name="Line 46">
          <a:extLst>
            <a:ext uri="{FF2B5EF4-FFF2-40B4-BE49-F238E27FC236}">
              <a16:creationId xmlns:a16="http://schemas.microsoft.com/office/drawing/2014/main" id="{C14C1408-F82E-4A00-A987-F9E8E2363783}"/>
            </a:ext>
          </a:extLst>
        </xdr:cNvPr>
        <xdr:cNvSpPr>
          <a:spLocks noChangeShapeType="1"/>
        </xdr:cNvSpPr>
      </xdr:nvSpPr>
      <xdr:spPr bwMode="auto">
        <a:xfrm>
          <a:off x="14582775" y="40576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25</xdr:row>
      <xdr:rowOff>0</xdr:rowOff>
    </xdr:from>
    <xdr:to>
      <xdr:col>30</xdr:col>
      <xdr:colOff>0</xdr:colOff>
      <xdr:row>25</xdr:row>
      <xdr:rowOff>0</xdr:rowOff>
    </xdr:to>
    <xdr:sp macro="" textlink="">
      <xdr:nvSpPr>
        <xdr:cNvPr id="534474" name="Line 47">
          <a:extLst>
            <a:ext uri="{FF2B5EF4-FFF2-40B4-BE49-F238E27FC236}">
              <a16:creationId xmlns:a16="http://schemas.microsoft.com/office/drawing/2014/main" id="{AB64B667-FE7F-465F-9E68-08846CE2EEA9}"/>
            </a:ext>
          </a:extLst>
        </xdr:cNvPr>
        <xdr:cNvSpPr>
          <a:spLocks noChangeShapeType="1"/>
        </xdr:cNvSpPr>
      </xdr:nvSpPr>
      <xdr:spPr bwMode="auto">
        <a:xfrm>
          <a:off x="14163675" y="42291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30</xdr:col>
      <xdr:colOff>0</xdr:colOff>
      <xdr:row>26</xdr:row>
      <xdr:rowOff>0</xdr:rowOff>
    </xdr:to>
    <xdr:sp macro="" textlink="">
      <xdr:nvSpPr>
        <xdr:cNvPr id="534475" name="Line 48">
          <a:extLst>
            <a:ext uri="{FF2B5EF4-FFF2-40B4-BE49-F238E27FC236}">
              <a16:creationId xmlns:a16="http://schemas.microsoft.com/office/drawing/2014/main" id="{4A722631-8205-4EE0-B27B-9328CC6838C5}"/>
            </a:ext>
          </a:extLst>
        </xdr:cNvPr>
        <xdr:cNvSpPr>
          <a:spLocks noChangeShapeType="1"/>
        </xdr:cNvSpPr>
      </xdr:nvSpPr>
      <xdr:spPr bwMode="auto">
        <a:xfrm>
          <a:off x="14582775" y="4400550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33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534476" name="Line 49">
          <a:extLst>
            <a:ext uri="{FF2B5EF4-FFF2-40B4-BE49-F238E27FC236}">
              <a16:creationId xmlns:a16="http://schemas.microsoft.com/office/drawing/2014/main" id="{80EA6636-B2E7-4A63-96B2-0BF76B58E366}"/>
            </a:ext>
          </a:extLst>
        </xdr:cNvPr>
        <xdr:cNvSpPr>
          <a:spLocks noChangeShapeType="1"/>
        </xdr:cNvSpPr>
      </xdr:nvSpPr>
      <xdr:spPr bwMode="auto">
        <a:xfrm>
          <a:off x="14163675" y="5562600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34</xdr:row>
      <xdr:rowOff>0</xdr:rowOff>
    </xdr:from>
    <xdr:to>
      <xdr:col>30</xdr:col>
      <xdr:colOff>0</xdr:colOff>
      <xdr:row>34</xdr:row>
      <xdr:rowOff>0</xdr:rowOff>
    </xdr:to>
    <xdr:sp macro="" textlink="">
      <xdr:nvSpPr>
        <xdr:cNvPr id="534477" name="Line 50">
          <a:extLst>
            <a:ext uri="{FF2B5EF4-FFF2-40B4-BE49-F238E27FC236}">
              <a16:creationId xmlns:a16="http://schemas.microsoft.com/office/drawing/2014/main" id="{238381C5-ED2B-43C5-B0D3-6E19992A1579}"/>
            </a:ext>
          </a:extLst>
        </xdr:cNvPr>
        <xdr:cNvSpPr>
          <a:spLocks noChangeShapeType="1"/>
        </xdr:cNvSpPr>
      </xdr:nvSpPr>
      <xdr:spPr bwMode="auto">
        <a:xfrm flipV="1">
          <a:off x="14582775" y="5724525"/>
          <a:ext cx="5238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30</xdr:col>
      <xdr:colOff>0</xdr:colOff>
      <xdr:row>41</xdr:row>
      <xdr:rowOff>0</xdr:rowOff>
    </xdr:to>
    <xdr:sp macro="" textlink="">
      <xdr:nvSpPr>
        <xdr:cNvPr id="534478" name="Line 51">
          <a:extLst>
            <a:ext uri="{FF2B5EF4-FFF2-40B4-BE49-F238E27FC236}">
              <a16:creationId xmlns:a16="http://schemas.microsoft.com/office/drawing/2014/main" id="{57120E6F-C868-4F58-8233-16CFD15E3B58}"/>
            </a:ext>
          </a:extLst>
        </xdr:cNvPr>
        <xdr:cNvSpPr>
          <a:spLocks noChangeShapeType="1"/>
        </xdr:cNvSpPr>
      </xdr:nvSpPr>
      <xdr:spPr bwMode="auto">
        <a:xfrm flipV="1">
          <a:off x="14163675" y="6905625"/>
          <a:ext cx="9429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25</xdr:row>
      <xdr:rowOff>0</xdr:rowOff>
    </xdr:from>
    <xdr:to>
      <xdr:col>11</xdr:col>
      <xdr:colOff>0</xdr:colOff>
      <xdr:row>25</xdr:row>
      <xdr:rowOff>0</xdr:rowOff>
    </xdr:to>
    <xdr:sp macro="" textlink="">
      <xdr:nvSpPr>
        <xdr:cNvPr id="534479" name="Line 52">
          <a:extLst>
            <a:ext uri="{FF2B5EF4-FFF2-40B4-BE49-F238E27FC236}">
              <a16:creationId xmlns:a16="http://schemas.microsoft.com/office/drawing/2014/main" id="{9EA0E5E0-E601-424B-911B-476EC6D84AB4}"/>
            </a:ext>
          </a:extLst>
        </xdr:cNvPr>
        <xdr:cNvSpPr>
          <a:spLocks noChangeShapeType="1"/>
        </xdr:cNvSpPr>
      </xdr:nvSpPr>
      <xdr:spPr bwMode="auto">
        <a:xfrm>
          <a:off x="3057525" y="42291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34480" name="Line 53">
          <a:extLst>
            <a:ext uri="{FF2B5EF4-FFF2-40B4-BE49-F238E27FC236}">
              <a16:creationId xmlns:a16="http://schemas.microsoft.com/office/drawing/2014/main" id="{3213E687-357B-4B8D-B55E-346028CE720E}"/>
            </a:ext>
          </a:extLst>
        </xdr:cNvPr>
        <xdr:cNvSpPr>
          <a:spLocks noChangeShapeType="1"/>
        </xdr:cNvSpPr>
      </xdr:nvSpPr>
      <xdr:spPr bwMode="auto">
        <a:xfrm>
          <a:off x="3095625" y="9763125"/>
          <a:ext cx="13620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4481" name="Line 54">
          <a:extLst>
            <a:ext uri="{FF2B5EF4-FFF2-40B4-BE49-F238E27FC236}">
              <a16:creationId xmlns:a16="http://schemas.microsoft.com/office/drawing/2014/main" id="{4EA86F4D-C73F-424B-A02E-25F9AC81EDCF}"/>
            </a:ext>
          </a:extLst>
        </xdr:cNvPr>
        <xdr:cNvSpPr>
          <a:spLocks noChangeShapeType="1"/>
        </xdr:cNvSpPr>
      </xdr:nvSpPr>
      <xdr:spPr bwMode="auto">
        <a:xfrm flipH="1" flipV="1">
          <a:off x="3057525" y="640080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26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4482" name="Line 55">
          <a:extLst>
            <a:ext uri="{FF2B5EF4-FFF2-40B4-BE49-F238E27FC236}">
              <a16:creationId xmlns:a16="http://schemas.microsoft.com/office/drawing/2014/main" id="{7B88908A-C8E6-4F15-A3CD-0D3A6E9818B7}"/>
            </a:ext>
          </a:extLst>
        </xdr:cNvPr>
        <xdr:cNvSpPr>
          <a:spLocks noChangeShapeType="1"/>
        </xdr:cNvSpPr>
      </xdr:nvSpPr>
      <xdr:spPr bwMode="auto">
        <a:xfrm>
          <a:off x="3590925" y="4400550"/>
          <a:ext cx="0" cy="18288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26</xdr:row>
      <xdr:rowOff>0</xdr:rowOff>
    </xdr:from>
    <xdr:to>
      <xdr:col>9</xdr:col>
      <xdr:colOff>0</xdr:colOff>
      <xdr:row>26</xdr:row>
      <xdr:rowOff>0</xdr:rowOff>
    </xdr:to>
    <xdr:sp macro="" textlink="">
      <xdr:nvSpPr>
        <xdr:cNvPr id="534483" name="Line 56">
          <a:extLst>
            <a:ext uri="{FF2B5EF4-FFF2-40B4-BE49-F238E27FC236}">
              <a16:creationId xmlns:a16="http://schemas.microsoft.com/office/drawing/2014/main" id="{F0D49162-D5E4-45CF-B678-5F3B91FE18D2}"/>
            </a:ext>
          </a:extLst>
        </xdr:cNvPr>
        <xdr:cNvSpPr>
          <a:spLocks noChangeShapeType="1"/>
        </xdr:cNvSpPr>
      </xdr:nvSpPr>
      <xdr:spPr bwMode="auto">
        <a:xfrm>
          <a:off x="3057525" y="44005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37</xdr:row>
      <xdr:rowOff>0</xdr:rowOff>
    </xdr:from>
    <xdr:to>
      <xdr:col>9</xdr:col>
      <xdr:colOff>0</xdr:colOff>
      <xdr:row>37</xdr:row>
      <xdr:rowOff>0</xdr:rowOff>
    </xdr:to>
    <xdr:sp macro="" textlink="">
      <xdr:nvSpPr>
        <xdr:cNvPr id="534484" name="Line 57">
          <a:extLst>
            <a:ext uri="{FF2B5EF4-FFF2-40B4-BE49-F238E27FC236}">
              <a16:creationId xmlns:a16="http://schemas.microsoft.com/office/drawing/2014/main" id="{AAA8EA0A-ADFE-4994-B725-E6D8C9CF8B9B}"/>
            </a:ext>
          </a:extLst>
        </xdr:cNvPr>
        <xdr:cNvSpPr>
          <a:spLocks noChangeShapeType="1"/>
        </xdr:cNvSpPr>
      </xdr:nvSpPr>
      <xdr:spPr bwMode="auto">
        <a:xfrm flipH="1">
          <a:off x="3057525" y="622935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40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534485" name="Line 58">
          <a:extLst>
            <a:ext uri="{FF2B5EF4-FFF2-40B4-BE49-F238E27FC236}">
              <a16:creationId xmlns:a16="http://schemas.microsoft.com/office/drawing/2014/main" id="{FBD74FF7-199E-4F7F-942A-FBED4A98AF1D}"/>
            </a:ext>
          </a:extLst>
        </xdr:cNvPr>
        <xdr:cNvSpPr>
          <a:spLocks noChangeShapeType="1"/>
        </xdr:cNvSpPr>
      </xdr:nvSpPr>
      <xdr:spPr bwMode="auto">
        <a:xfrm flipH="1">
          <a:off x="2457450" y="6734175"/>
          <a:ext cx="0" cy="3333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42</xdr:row>
      <xdr:rowOff>0</xdr:rowOff>
    </xdr:from>
    <xdr:to>
      <xdr:col>14</xdr:col>
      <xdr:colOff>0</xdr:colOff>
      <xdr:row>42</xdr:row>
      <xdr:rowOff>0</xdr:rowOff>
    </xdr:to>
    <xdr:sp macro="" textlink="">
      <xdr:nvSpPr>
        <xdr:cNvPr id="534486" name="Line 59">
          <a:extLst>
            <a:ext uri="{FF2B5EF4-FFF2-40B4-BE49-F238E27FC236}">
              <a16:creationId xmlns:a16="http://schemas.microsoft.com/office/drawing/2014/main" id="{AE469209-E676-48F8-A93D-A4F2F90DD7E5}"/>
            </a:ext>
          </a:extLst>
        </xdr:cNvPr>
        <xdr:cNvSpPr>
          <a:spLocks noChangeShapeType="1"/>
        </xdr:cNvSpPr>
      </xdr:nvSpPr>
      <xdr:spPr bwMode="auto">
        <a:xfrm>
          <a:off x="2457450" y="7067550"/>
          <a:ext cx="3371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14</xdr:col>
      <xdr:colOff>0</xdr:colOff>
      <xdr:row>45</xdr:row>
      <xdr:rowOff>0</xdr:rowOff>
    </xdr:to>
    <xdr:sp macro="" textlink="">
      <xdr:nvSpPr>
        <xdr:cNvPr id="534487" name="Line 60">
          <a:extLst>
            <a:ext uri="{FF2B5EF4-FFF2-40B4-BE49-F238E27FC236}">
              <a16:creationId xmlns:a16="http://schemas.microsoft.com/office/drawing/2014/main" id="{AF795D6B-1F1A-4AD8-BFF7-C992E396EFF6}"/>
            </a:ext>
          </a:extLst>
        </xdr:cNvPr>
        <xdr:cNvSpPr>
          <a:spLocks noChangeShapeType="1"/>
        </xdr:cNvSpPr>
      </xdr:nvSpPr>
      <xdr:spPr bwMode="auto">
        <a:xfrm>
          <a:off x="5029200" y="755332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534488" name="Line 61">
          <a:extLst>
            <a:ext uri="{FF2B5EF4-FFF2-40B4-BE49-F238E27FC236}">
              <a16:creationId xmlns:a16="http://schemas.microsoft.com/office/drawing/2014/main" id="{A2C07B0E-AC85-406D-B78A-3ECD2A4CF3AD}"/>
            </a:ext>
          </a:extLst>
        </xdr:cNvPr>
        <xdr:cNvSpPr>
          <a:spLocks noChangeShapeType="1"/>
        </xdr:cNvSpPr>
      </xdr:nvSpPr>
      <xdr:spPr bwMode="auto">
        <a:xfrm>
          <a:off x="4457700" y="4229100"/>
          <a:ext cx="0" cy="217170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15</xdr:row>
      <xdr:rowOff>0</xdr:rowOff>
    </xdr:from>
    <xdr:to>
      <xdr:col>13</xdr:col>
      <xdr:colOff>0</xdr:colOff>
      <xdr:row>19</xdr:row>
      <xdr:rowOff>0</xdr:rowOff>
    </xdr:to>
    <xdr:sp macro="" textlink="">
      <xdr:nvSpPr>
        <xdr:cNvPr id="534489" name="Line 62">
          <a:extLst>
            <a:ext uri="{FF2B5EF4-FFF2-40B4-BE49-F238E27FC236}">
              <a16:creationId xmlns:a16="http://schemas.microsoft.com/office/drawing/2014/main" id="{F8BA976F-AC4F-4FF9-A286-2ADE8E29851B}"/>
            </a:ext>
          </a:extLst>
        </xdr:cNvPr>
        <xdr:cNvSpPr>
          <a:spLocks noChangeShapeType="1"/>
        </xdr:cNvSpPr>
      </xdr:nvSpPr>
      <xdr:spPr bwMode="auto">
        <a:xfrm>
          <a:off x="5029200" y="2543175"/>
          <a:ext cx="0" cy="6762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534490" name="Line 63">
          <a:extLst>
            <a:ext uri="{FF2B5EF4-FFF2-40B4-BE49-F238E27FC236}">
              <a16:creationId xmlns:a16="http://schemas.microsoft.com/office/drawing/2014/main" id="{228CA1D9-0D0E-429B-AB18-CFF188AB8897}"/>
            </a:ext>
          </a:extLst>
        </xdr:cNvPr>
        <xdr:cNvSpPr>
          <a:spLocks noChangeShapeType="1"/>
        </xdr:cNvSpPr>
      </xdr:nvSpPr>
      <xdr:spPr bwMode="auto">
        <a:xfrm>
          <a:off x="762000" y="2886075"/>
          <a:ext cx="0" cy="20097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38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534491" name="Line 64">
          <a:extLst>
            <a:ext uri="{FF2B5EF4-FFF2-40B4-BE49-F238E27FC236}">
              <a16:creationId xmlns:a16="http://schemas.microsoft.com/office/drawing/2014/main" id="{F98A8400-4B74-4981-844C-6CEAE12FD15D}"/>
            </a:ext>
          </a:extLst>
        </xdr:cNvPr>
        <xdr:cNvSpPr>
          <a:spLocks noChangeShapeType="1"/>
        </xdr:cNvSpPr>
      </xdr:nvSpPr>
      <xdr:spPr bwMode="auto">
        <a:xfrm>
          <a:off x="762000" y="64008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40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34492" name="Line 65">
          <a:extLst>
            <a:ext uri="{FF2B5EF4-FFF2-40B4-BE49-F238E27FC236}">
              <a16:creationId xmlns:a16="http://schemas.microsoft.com/office/drawing/2014/main" id="{95C38FCD-D0F5-4451-A51F-4B8BF4DBD1A4}"/>
            </a:ext>
          </a:extLst>
        </xdr:cNvPr>
        <xdr:cNvSpPr>
          <a:spLocks noChangeShapeType="1"/>
        </xdr:cNvSpPr>
      </xdr:nvSpPr>
      <xdr:spPr bwMode="auto">
        <a:xfrm>
          <a:off x="1190625" y="6734175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>
      <xdr:nvSpPr>
        <xdr:cNvPr id="534493" name="Line 66">
          <a:extLst>
            <a:ext uri="{FF2B5EF4-FFF2-40B4-BE49-F238E27FC236}">
              <a16:creationId xmlns:a16="http://schemas.microsoft.com/office/drawing/2014/main" id="{A66886BF-D691-4D90-94AC-500FC9ABF28A}"/>
            </a:ext>
          </a:extLst>
        </xdr:cNvPr>
        <xdr:cNvSpPr>
          <a:spLocks noChangeShapeType="1"/>
        </xdr:cNvSpPr>
      </xdr:nvSpPr>
      <xdr:spPr bwMode="auto">
        <a:xfrm flipH="1" flipV="1">
          <a:off x="1190625" y="6562725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0</xdr:rowOff>
    </xdr:from>
    <xdr:to>
      <xdr:col>13</xdr:col>
      <xdr:colOff>0</xdr:colOff>
      <xdr:row>45</xdr:row>
      <xdr:rowOff>0</xdr:rowOff>
    </xdr:to>
    <xdr:sp macro="" textlink="">
      <xdr:nvSpPr>
        <xdr:cNvPr id="534494" name="Line 67">
          <a:extLst>
            <a:ext uri="{FF2B5EF4-FFF2-40B4-BE49-F238E27FC236}">
              <a16:creationId xmlns:a16="http://schemas.microsoft.com/office/drawing/2014/main" id="{579320A8-C1E1-4F76-BCBD-FFC64A1595A0}"/>
            </a:ext>
          </a:extLst>
        </xdr:cNvPr>
        <xdr:cNvSpPr>
          <a:spLocks noChangeShapeType="1"/>
        </xdr:cNvSpPr>
      </xdr:nvSpPr>
      <xdr:spPr bwMode="auto">
        <a:xfrm>
          <a:off x="5029200" y="6905625"/>
          <a:ext cx="0" cy="6477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48</xdr:row>
      <xdr:rowOff>0</xdr:rowOff>
    </xdr:from>
    <xdr:to>
      <xdr:col>14</xdr:col>
      <xdr:colOff>0</xdr:colOff>
      <xdr:row>48</xdr:row>
      <xdr:rowOff>0</xdr:rowOff>
    </xdr:to>
    <xdr:sp macro="" textlink="">
      <xdr:nvSpPr>
        <xdr:cNvPr id="534495" name="Line 68">
          <a:extLst>
            <a:ext uri="{FF2B5EF4-FFF2-40B4-BE49-F238E27FC236}">
              <a16:creationId xmlns:a16="http://schemas.microsoft.com/office/drawing/2014/main" id="{9DBD4895-8CD3-4452-818A-2FBCB3CA7031}"/>
            </a:ext>
          </a:extLst>
        </xdr:cNvPr>
        <xdr:cNvSpPr>
          <a:spLocks noChangeShapeType="1"/>
        </xdr:cNvSpPr>
      </xdr:nvSpPr>
      <xdr:spPr bwMode="auto">
        <a:xfrm flipV="1">
          <a:off x="3057525" y="8067675"/>
          <a:ext cx="2771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534496" name="Line 69">
          <a:extLst>
            <a:ext uri="{FF2B5EF4-FFF2-40B4-BE49-F238E27FC236}">
              <a16:creationId xmlns:a16="http://schemas.microsoft.com/office/drawing/2014/main" id="{C1B178DB-93B6-41F9-8D9C-CD0850430FEA}"/>
            </a:ext>
          </a:extLst>
        </xdr:cNvPr>
        <xdr:cNvSpPr>
          <a:spLocks noChangeShapeType="1"/>
        </xdr:cNvSpPr>
      </xdr:nvSpPr>
      <xdr:spPr bwMode="auto">
        <a:xfrm>
          <a:off x="5029200" y="8067675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4497" name="Line 70">
          <a:extLst>
            <a:ext uri="{FF2B5EF4-FFF2-40B4-BE49-F238E27FC236}">
              <a16:creationId xmlns:a16="http://schemas.microsoft.com/office/drawing/2014/main" id="{78E4958F-2213-4BAD-9274-F8156CA7CA67}"/>
            </a:ext>
          </a:extLst>
        </xdr:cNvPr>
        <xdr:cNvSpPr>
          <a:spLocks noChangeShapeType="1"/>
        </xdr:cNvSpPr>
      </xdr:nvSpPr>
      <xdr:spPr bwMode="auto">
        <a:xfrm>
          <a:off x="4457700" y="9763125"/>
          <a:ext cx="0" cy="2028825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70</xdr:row>
      <xdr:rowOff>0</xdr:rowOff>
    </xdr:from>
    <xdr:to>
      <xdr:col>11</xdr:col>
      <xdr:colOff>0</xdr:colOff>
      <xdr:row>70</xdr:row>
      <xdr:rowOff>0</xdr:rowOff>
    </xdr:to>
    <xdr:sp macro="" textlink="">
      <xdr:nvSpPr>
        <xdr:cNvPr id="534498" name="Line 71">
          <a:extLst>
            <a:ext uri="{FF2B5EF4-FFF2-40B4-BE49-F238E27FC236}">
              <a16:creationId xmlns:a16="http://schemas.microsoft.com/office/drawing/2014/main" id="{C210C608-20D4-402F-8A47-ADDA40798DCD}"/>
            </a:ext>
          </a:extLst>
        </xdr:cNvPr>
        <xdr:cNvSpPr>
          <a:spLocks noChangeShapeType="1"/>
        </xdr:cNvSpPr>
      </xdr:nvSpPr>
      <xdr:spPr bwMode="auto">
        <a:xfrm flipH="1">
          <a:off x="3057525" y="11791950"/>
          <a:ext cx="1400175" cy="0"/>
        </a:xfrm>
        <a:prstGeom prst="line">
          <a:avLst/>
        </a:prstGeom>
        <a:noFill/>
        <a:ln w="15875">
          <a:solidFill>
            <a:srgbClr val="80008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4499" name="Line 72">
          <a:extLst>
            <a:ext uri="{FF2B5EF4-FFF2-40B4-BE49-F238E27FC236}">
              <a16:creationId xmlns:a16="http://schemas.microsoft.com/office/drawing/2014/main" id="{8936FD26-7619-4789-99F8-3DF9541123A6}"/>
            </a:ext>
          </a:extLst>
        </xdr:cNvPr>
        <xdr:cNvSpPr>
          <a:spLocks noChangeShapeType="1"/>
        </xdr:cNvSpPr>
      </xdr:nvSpPr>
      <xdr:spPr bwMode="auto">
        <a:xfrm>
          <a:off x="3590925" y="9934575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69</xdr:row>
      <xdr:rowOff>0</xdr:rowOff>
    </xdr:from>
    <xdr:to>
      <xdr:col>9</xdr:col>
      <xdr:colOff>0</xdr:colOff>
      <xdr:row>69</xdr:row>
      <xdr:rowOff>0</xdr:rowOff>
    </xdr:to>
    <xdr:sp macro="" textlink="">
      <xdr:nvSpPr>
        <xdr:cNvPr id="534500" name="Line 73">
          <a:extLst>
            <a:ext uri="{FF2B5EF4-FFF2-40B4-BE49-F238E27FC236}">
              <a16:creationId xmlns:a16="http://schemas.microsoft.com/office/drawing/2014/main" id="{8E9FD076-FDE8-4508-9253-1FA1F95C56A6}"/>
            </a:ext>
          </a:extLst>
        </xdr:cNvPr>
        <xdr:cNvSpPr>
          <a:spLocks noChangeShapeType="1"/>
        </xdr:cNvSpPr>
      </xdr:nvSpPr>
      <xdr:spPr bwMode="auto">
        <a:xfrm flipH="1">
          <a:off x="3057525" y="11620500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73</xdr:row>
      <xdr:rowOff>9525</xdr:rowOff>
    </xdr:from>
    <xdr:to>
      <xdr:col>7</xdr:col>
      <xdr:colOff>0</xdr:colOff>
      <xdr:row>75</xdr:row>
      <xdr:rowOff>0</xdr:rowOff>
    </xdr:to>
    <xdr:sp macro="" textlink="">
      <xdr:nvSpPr>
        <xdr:cNvPr id="534501" name="Line 74">
          <a:extLst>
            <a:ext uri="{FF2B5EF4-FFF2-40B4-BE49-F238E27FC236}">
              <a16:creationId xmlns:a16="http://schemas.microsoft.com/office/drawing/2014/main" id="{7EA69983-5E02-498B-A262-D245D4B1811C}"/>
            </a:ext>
          </a:extLst>
        </xdr:cNvPr>
        <xdr:cNvSpPr>
          <a:spLocks noChangeShapeType="1"/>
        </xdr:cNvSpPr>
      </xdr:nvSpPr>
      <xdr:spPr bwMode="auto">
        <a:xfrm>
          <a:off x="2457450" y="1231582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75</xdr:row>
      <xdr:rowOff>0</xdr:rowOff>
    </xdr:from>
    <xdr:to>
      <xdr:col>13</xdr:col>
      <xdr:colOff>0</xdr:colOff>
      <xdr:row>77</xdr:row>
      <xdr:rowOff>0</xdr:rowOff>
    </xdr:to>
    <xdr:sp macro="" textlink="">
      <xdr:nvSpPr>
        <xdr:cNvPr id="534502" name="Line 75">
          <a:extLst>
            <a:ext uri="{FF2B5EF4-FFF2-40B4-BE49-F238E27FC236}">
              <a16:creationId xmlns:a16="http://schemas.microsoft.com/office/drawing/2014/main" id="{83F81D30-C83A-4B22-B590-6D770A1B7D83}"/>
            </a:ext>
          </a:extLst>
        </xdr:cNvPr>
        <xdr:cNvSpPr>
          <a:spLocks noChangeShapeType="1"/>
        </xdr:cNvSpPr>
      </xdr:nvSpPr>
      <xdr:spPr bwMode="auto">
        <a:xfrm flipH="1">
          <a:off x="5029200" y="12639675"/>
          <a:ext cx="0" cy="3238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71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534503" name="Line 76">
          <a:extLst>
            <a:ext uri="{FF2B5EF4-FFF2-40B4-BE49-F238E27FC236}">
              <a16:creationId xmlns:a16="http://schemas.microsoft.com/office/drawing/2014/main" id="{A5228159-0AAB-48CF-8462-955A1E154515}"/>
            </a:ext>
          </a:extLst>
        </xdr:cNvPr>
        <xdr:cNvSpPr>
          <a:spLocks noChangeShapeType="1"/>
        </xdr:cNvSpPr>
      </xdr:nvSpPr>
      <xdr:spPr bwMode="auto">
        <a:xfrm>
          <a:off x="762000" y="11963400"/>
          <a:ext cx="1085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72</xdr:row>
      <xdr:rowOff>0</xdr:rowOff>
    </xdr:from>
    <xdr:to>
      <xdr:col>4</xdr:col>
      <xdr:colOff>0</xdr:colOff>
      <xdr:row>73</xdr:row>
      <xdr:rowOff>0</xdr:rowOff>
    </xdr:to>
    <xdr:sp macro="" textlink="">
      <xdr:nvSpPr>
        <xdr:cNvPr id="534504" name="Line 77">
          <a:extLst>
            <a:ext uri="{FF2B5EF4-FFF2-40B4-BE49-F238E27FC236}">
              <a16:creationId xmlns:a16="http://schemas.microsoft.com/office/drawing/2014/main" id="{8B73D957-4664-4661-800D-5C5AA6D26021}"/>
            </a:ext>
          </a:extLst>
        </xdr:cNvPr>
        <xdr:cNvSpPr>
          <a:spLocks noChangeShapeType="1"/>
        </xdr:cNvSpPr>
      </xdr:nvSpPr>
      <xdr:spPr bwMode="auto">
        <a:xfrm>
          <a:off x="1190625" y="12134850"/>
          <a:ext cx="0" cy="171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73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534505" name="Line 78">
          <a:extLst>
            <a:ext uri="{FF2B5EF4-FFF2-40B4-BE49-F238E27FC236}">
              <a16:creationId xmlns:a16="http://schemas.microsoft.com/office/drawing/2014/main" id="{F2DC1265-2693-4FCD-820F-049FD35D8251}"/>
            </a:ext>
          </a:extLst>
        </xdr:cNvPr>
        <xdr:cNvSpPr>
          <a:spLocks noChangeShapeType="1"/>
        </xdr:cNvSpPr>
      </xdr:nvSpPr>
      <xdr:spPr bwMode="auto">
        <a:xfrm>
          <a:off x="1190625" y="12306300"/>
          <a:ext cx="657225" cy="0"/>
        </a:xfrm>
        <a:prstGeom prst="line">
          <a:avLst/>
        </a:prstGeom>
        <a:noFill/>
        <a:ln w="9525">
          <a:solidFill>
            <a:srgbClr val="0000FF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24</xdr:row>
      <xdr:rowOff>0</xdr:rowOff>
    </xdr:from>
    <xdr:to>
      <xdr:col>22</xdr:col>
      <xdr:colOff>0</xdr:colOff>
      <xdr:row>26</xdr:row>
      <xdr:rowOff>0</xdr:rowOff>
    </xdr:to>
    <xdr:sp macro="" textlink="">
      <xdr:nvSpPr>
        <xdr:cNvPr id="534506" name="Line 79">
          <a:extLst>
            <a:ext uri="{FF2B5EF4-FFF2-40B4-BE49-F238E27FC236}">
              <a16:creationId xmlns:a16="http://schemas.microsoft.com/office/drawing/2014/main" id="{697F76EF-B59D-4AC5-B076-FE64D4080E55}"/>
            </a:ext>
          </a:extLst>
        </xdr:cNvPr>
        <xdr:cNvSpPr>
          <a:spLocks noChangeShapeType="1"/>
        </xdr:cNvSpPr>
      </xdr:nvSpPr>
      <xdr:spPr bwMode="auto">
        <a:xfrm>
          <a:off x="1063942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16</xdr:row>
      <xdr:rowOff>0</xdr:rowOff>
    </xdr:from>
    <xdr:to>
      <xdr:col>22</xdr:col>
      <xdr:colOff>0</xdr:colOff>
      <xdr:row>19</xdr:row>
      <xdr:rowOff>0</xdr:rowOff>
    </xdr:to>
    <xdr:sp macro="" textlink="">
      <xdr:nvSpPr>
        <xdr:cNvPr id="534507" name="Line 80">
          <a:extLst>
            <a:ext uri="{FF2B5EF4-FFF2-40B4-BE49-F238E27FC236}">
              <a16:creationId xmlns:a16="http://schemas.microsoft.com/office/drawing/2014/main" id="{E8CCE990-1DC4-4C29-B2B5-A6805BC386B8}"/>
            </a:ext>
          </a:extLst>
        </xdr:cNvPr>
        <xdr:cNvSpPr>
          <a:spLocks noChangeShapeType="1"/>
        </xdr:cNvSpPr>
      </xdr:nvSpPr>
      <xdr:spPr bwMode="auto">
        <a:xfrm>
          <a:off x="10639425" y="271462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14</xdr:row>
      <xdr:rowOff>0</xdr:rowOff>
    </xdr:from>
    <xdr:to>
      <xdr:col>22</xdr:col>
      <xdr:colOff>0</xdr:colOff>
      <xdr:row>14</xdr:row>
      <xdr:rowOff>0</xdr:rowOff>
    </xdr:to>
    <xdr:sp macro="" textlink="">
      <xdr:nvSpPr>
        <xdr:cNvPr id="534508" name="Line 81">
          <a:extLst>
            <a:ext uri="{FF2B5EF4-FFF2-40B4-BE49-F238E27FC236}">
              <a16:creationId xmlns:a16="http://schemas.microsoft.com/office/drawing/2014/main" id="{FBE0830D-4264-4A1C-A09C-809878232E6F}"/>
            </a:ext>
          </a:extLst>
        </xdr:cNvPr>
        <xdr:cNvSpPr>
          <a:spLocks noChangeShapeType="1"/>
        </xdr:cNvSpPr>
      </xdr:nvSpPr>
      <xdr:spPr bwMode="auto">
        <a:xfrm>
          <a:off x="9877425" y="23717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22</xdr:row>
      <xdr:rowOff>0</xdr:rowOff>
    </xdr:from>
    <xdr:to>
      <xdr:col>22</xdr:col>
      <xdr:colOff>0</xdr:colOff>
      <xdr:row>22</xdr:row>
      <xdr:rowOff>0</xdr:rowOff>
    </xdr:to>
    <xdr:sp macro="" textlink="">
      <xdr:nvSpPr>
        <xdr:cNvPr id="534509" name="Line 82">
          <a:extLst>
            <a:ext uri="{FF2B5EF4-FFF2-40B4-BE49-F238E27FC236}">
              <a16:creationId xmlns:a16="http://schemas.microsoft.com/office/drawing/2014/main" id="{BE30074A-6D72-4056-8EDA-939D4FEB92F6}"/>
            </a:ext>
          </a:extLst>
        </xdr:cNvPr>
        <xdr:cNvSpPr>
          <a:spLocks noChangeShapeType="1"/>
        </xdr:cNvSpPr>
      </xdr:nvSpPr>
      <xdr:spPr bwMode="auto">
        <a:xfrm>
          <a:off x="9877425" y="372427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15</xdr:row>
      <xdr:rowOff>0</xdr:rowOff>
    </xdr:from>
    <xdr:to>
      <xdr:col>29</xdr:col>
      <xdr:colOff>0</xdr:colOff>
      <xdr:row>18</xdr:row>
      <xdr:rowOff>0</xdr:rowOff>
    </xdr:to>
    <xdr:sp macro="" textlink="">
      <xdr:nvSpPr>
        <xdr:cNvPr id="534510" name="Line 83">
          <a:extLst>
            <a:ext uri="{FF2B5EF4-FFF2-40B4-BE49-F238E27FC236}">
              <a16:creationId xmlns:a16="http://schemas.microsoft.com/office/drawing/2014/main" id="{E6C21EF6-B165-4649-90C7-FBDA6EA55B07}"/>
            </a:ext>
          </a:extLst>
        </xdr:cNvPr>
        <xdr:cNvSpPr>
          <a:spLocks noChangeShapeType="1"/>
        </xdr:cNvSpPr>
      </xdr:nvSpPr>
      <xdr:spPr bwMode="auto">
        <a:xfrm>
          <a:off x="14582775" y="2543175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24</xdr:row>
      <xdr:rowOff>0</xdr:rowOff>
    </xdr:from>
    <xdr:to>
      <xdr:col>29</xdr:col>
      <xdr:colOff>0</xdr:colOff>
      <xdr:row>26</xdr:row>
      <xdr:rowOff>0</xdr:rowOff>
    </xdr:to>
    <xdr:sp macro="" textlink="">
      <xdr:nvSpPr>
        <xdr:cNvPr id="534511" name="Line 84">
          <a:extLst>
            <a:ext uri="{FF2B5EF4-FFF2-40B4-BE49-F238E27FC236}">
              <a16:creationId xmlns:a16="http://schemas.microsoft.com/office/drawing/2014/main" id="{DD7172CA-2EE5-47C7-9A16-BE6925017281}"/>
            </a:ext>
          </a:extLst>
        </xdr:cNvPr>
        <xdr:cNvSpPr>
          <a:spLocks noChangeShapeType="1"/>
        </xdr:cNvSpPr>
      </xdr:nvSpPr>
      <xdr:spPr bwMode="auto">
        <a:xfrm>
          <a:off x="14582775" y="4057650"/>
          <a:ext cx="0" cy="34290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0</xdr:colOff>
      <xdr:row>62</xdr:row>
      <xdr:rowOff>0</xdr:rowOff>
    </xdr:to>
    <xdr:sp macro="" textlink="">
      <xdr:nvSpPr>
        <xdr:cNvPr id="534512" name="Line 85">
          <a:extLst>
            <a:ext uri="{FF2B5EF4-FFF2-40B4-BE49-F238E27FC236}">
              <a16:creationId xmlns:a16="http://schemas.microsoft.com/office/drawing/2014/main" id="{55316257-C128-4A2D-9183-A5FB049517FF}"/>
            </a:ext>
          </a:extLst>
        </xdr:cNvPr>
        <xdr:cNvSpPr>
          <a:spLocks noChangeShapeType="1"/>
        </xdr:cNvSpPr>
      </xdr:nvSpPr>
      <xdr:spPr bwMode="auto">
        <a:xfrm flipV="1">
          <a:off x="762000" y="8410575"/>
          <a:ext cx="0" cy="2038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54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4513" name="Line 86">
          <a:extLst>
            <a:ext uri="{FF2B5EF4-FFF2-40B4-BE49-F238E27FC236}">
              <a16:creationId xmlns:a16="http://schemas.microsoft.com/office/drawing/2014/main" id="{DD7A24DD-785D-45CD-B53D-91A386CE992B}"/>
            </a:ext>
          </a:extLst>
        </xdr:cNvPr>
        <xdr:cNvSpPr>
          <a:spLocks noChangeShapeType="1"/>
        </xdr:cNvSpPr>
      </xdr:nvSpPr>
      <xdr:spPr bwMode="auto">
        <a:xfrm>
          <a:off x="9877425" y="90868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21</xdr:col>
      <xdr:colOff>0</xdr:colOff>
      <xdr:row>54</xdr:row>
      <xdr:rowOff>0</xdr:rowOff>
    </xdr:to>
    <xdr:sp macro="" textlink="">
      <xdr:nvSpPr>
        <xdr:cNvPr id="534514" name="Line 87">
          <a:extLst>
            <a:ext uri="{FF2B5EF4-FFF2-40B4-BE49-F238E27FC236}">
              <a16:creationId xmlns:a16="http://schemas.microsoft.com/office/drawing/2014/main" id="{FE3AA794-6EDC-48F1-A959-4AA5BB36252B}"/>
            </a:ext>
          </a:extLst>
        </xdr:cNvPr>
        <xdr:cNvSpPr>
          <a:spLocks noChangeShapeType="1"/>
        </xdr:cNvSpPr>
      </xdr:nvSpPr>
      <xdr:spPr bwMode="auto">
        <a:xfrm flipV="1">
          <a:off x="9991725" y="8067675"/>
          <a:ext cx="0" cy="101917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57</xdr:row>
      <xdr:rowOff>0</xdr:rowOff>
    </xdr:from>
    <xdr:to>
      <xdr:col>20</xdr:col>
      <xdr:colOff>0</xdr:colOff>
      <xdr:row>67</xdr:row>
      <xdr:rowOff>0</xdr:rowOff>
    </xdr:to>
    <xdr:sp macro="" textlink="">
      <xdr:nvSpPr>
        <xdr:cNvPr id="534515" name="Line 88">
          <a:extLst>
            <a:ext uri="{FF2B5EF4-FFF2-40B4-BE49-F238E27FC236}">
              <a16:creationId xmlns:a16="http://schemas.microsoft.com/office/drawing/2014/main" id="{869F8845-DD1D-4A2E-9FA7-5235BA5EF5EF}"/>
            </a:ext>
          </a:extLst>
        </xdr:cNvPr>
        <xdr:cNvSpPr>
          <a:spLocks noChangeShapeType="1"/>
        </xdr:cNvSpPr>
      </xdr:nvSpPr>
      <xdr:spPr bwMode="auto">
        <a:xfrm>
          <a:off x="9877425" y="9601200"/>
          <a:ext cx="0" cy="1685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67</xdr:row>
      <xdr:rowOff>0</xdr:rowOff>
    </xdr:from>
    <xdr:to>
      <xdr:col>26</xdr:col>
      <xdr:colOff>0</xdr:colOff>
      <xdr:row>67</xdr:row>
      <xdr:rowOff>0</xdr:rowOff>
    </xdr:to>
    <xdr:sp macro="" textlink="">
      <xdr:nvSpPr>
        <xdr:cNvPr id="534516" name="Line 89">
          <a:extLst>
            <a:ext uri="{FF2B5EF4-FFF2-40B4-BE49-F238E27FC236}">
              <a16:creationId xmlns:a16="http://schemas.microsoft.com/office/drawing/2014/main" id="{49943C91-AED4-4CDE-A20E-DF57D790ED32}"/>
            </a:ext>
          </a:extLst>
        </xdr:cNvPr>
        <xdr:cNvSpPr>
          <a:spLocks noChangeShapeType="1"/>
        </xdr:cNvSpPr>
      </xdr:nvSpPr>
      <xdr:spPr bwMode="auto">
        <a:xfrm>
          <a:off x="9877425" y="11287125"/>
          <a:ext cx="3009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63</xdr:row>
      <xdr:rowOff>0</xdr:rowOff>
    </xdr:from>
    <xdr:to>
      <xdr:col>22</xdr:col>
      <xdr:colOff>0</xdr:colOff>
      <xdr:row>63</xdr:row>
      <xdr:rowOff>0</xdr:rowOff>
    </xdr:to>
    <xdr:sp macro="" textlink="">
      <xdr:nvSpPr>
        <xdr:cNvPr id="534517" name="Line 90">
          <a:extLst>
            <a:ext uri="{FF2B5EF4-FFF2-40B4-BE49-F238E27FC236}">
              <a16:creationId xmlns:a16="http://schemas.microsoft.com/office/drawing/2014/main" id="{7B80920B-0A0F-47BF-99EE-E3F7CA055AA7}"/>
            </a:ext>
          </a:extLst>
        </xdr:cNvPr>
        <xdr:cNvSpPr>
          <a:spLocks noChangeShapeType="1"/>
        </xdr:cNvSpPr>
      </xdr:nvSpPr>
      <xdr:spPr bwMode="auto">
        <a:xfrm>
          <a:off x="9991725" y="106203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22</xdr:col>
      <xdr:colOff>0</xdr:colOff>
      <xdr:row>48</xdr:row>
      <xdr:rowOff>0</xdr:rowOff>
    </xdr:to>
    <xdr:sp macro="" textlink="">
      <xdr:nvSpPr>
        <xdr:cNvPr id="534518" name="Line 91">
          <a:extLst>
            <a:ext uri="{FF2B5EF4-FFF2-40B4-BE49-F238E27FC236}">
              <a16:creationId xmlns:a16="http://schemas.microsoft.com/office/drawing/2014/main" id="{D5A1EBB9-B894-4F15-A92A-80C46CC6B1F2}"/>
            </a:ext>
          </a:extLst>
        </xdr:cNvPr>
        <xdr:cNvSpPr>
          <a:spLocks noChangeShapeType="1"/>
        </xdr:cNvSpPr>
      </xdr:nvSpPr>
      <xdr:spPr bwMode="auto">
        <a:xfrm flipV="1">
          <a:off x="9991725" y="8067675"/>
          <a:ext cx="6477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56</xdr:row>
      <xdr:rowOff>0</xdr:rowOff>
    </xdr:from>
    <xdr:to>
      <xdr:col>21</xdr:col>
      <xdr:colOff>0</xdr:colOff>
      <xdr:row>56</xdr:row>
      <xdr:rowOff>0</xdr:rowOff>
    </xdr:to>
    <xdr:sp macro="" textlink="">
      <xdr:nvSpPr>
        <xdr:cNvPr id="534519" name="Line 92">
          <a:extLst>
            <a:ext uri="{FF2B5EF4-FFF2-40B4-BE49-F238E27FC236}">
              <a16:creationId xmlns:a16="http://schemas.microsoft.com/office/drawing/2014/main" id="{7FF028BD-B688-4D72-8287-42C9C57B0660}"/>
            </a:ext>
          </a:extLst>
        </xdr:cNvPr>
        <xdr:cNvSpPr>
          <a:spLocks noChangeShapeType="1"/>
        </xdr:cNvSpPr>
      </xdr:nvSpPr>
      <xdr:spPr bwMode="auto">
        <a:xfrm flipV="1">
          <a:off x="9877425" y="9429750"/>
          <a:ext cx="1143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21</xdr:col>
      <xdr:colOff>0</xdr:colOff>
      <xdr:row>63</xdr:row>
      <xdr:rowOff>0</xdr:rowOff>
    </xdr:to>
    <xdr:sp macro="" textlink="">
      <xdr:nvSpPr>
        <xdr:cNvPr id="534520" name="Line 93">
          <a:extLst>
            <a:ext uri="{FF2B5EF4-FFF2-40B4-BE49-F238E27FC236}">
              <a16:creationId xmlns:a16="http://schemas.microsoft.com/office/drawing/2014/main" id="{63E6D488-A211-40B7-BFA3-0AD74F3D96F2}"/>
            </a:ext>
          </a:extLst>
        </xdr:cNvPr>
        <xdr:cNvSpPr>
          <a:spLocks noChangeShapeType="1"/>
        </xdr:cNvSpPr>
      </xdr:nvSpPr>
      <xdr:spPr bwMode="auto">
        <a:xfrm>
          <a:off x="9991725" y="9429750"/>
          <a:ext cx="0" cy="11906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54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534521" name="Line 94">
          <a:extLst>
            <a:ext uri="{FF2B5EF4-FFF2-40B4-BE49-F238E27FC236}">
              <a16:creationId xmlns:a16="http://schemas.microsoft.com/office/drawing/2014/main" id="{0AFB83E3-176F-42DA-B2FC-952C9C893C65}"/>
            </a:ext>
          </a:extLst>
        </xdr:cNvPr>
        <xdr:cNvSpPr>
          <a:spLocks noChangeShapeType="1"/>
        </xdr:cNvSpPr>
      </xdr:nvSpPr>
      <xdr:spPr bwMode="auto">
        <a:xfrm>
          <a:off x="12020550" y="9086850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47</xdr:row>
      <xdr:rowOff>0</xdr:rowOff>
    </xdr:from>
    <xdr:to>
      <xdr:col>26</xdr:col>
      <xdr:colOff>0</xdr:colOff>
      <xdr:row>47</xdr:row>
      <xdr:rowOff>0</xdr:rowOff>
    </xdr:to>
    <xdr:sp macro="" textlink="">
      <xdr:nvSpPr>
        <xdr:cNvPr id="534522" name="Line 95">
          <a:extLst>
            <a:ext uri="{FF2B5EF4-FFF2-40B4-BE49-F238E27FC236}">
              <a16:creationId xmlns:a16="http://schemas.microsoft.com/office/drawing/2014/main" id="{13796182-2BA1-4C30-A67F-8EEC813A5E9F}"/>
            </a:ext>
          </a:extLst>
        </xdr:cNvPr>
        <xdr:cNvSpPr>
          <a:spLocks noChangeShapeType="1"/>
        </xdr:cNvSpPr>
      </xdr:nvSpPr>
      <xdr:spPr bwMode="auto">
        <a:xfrm>
          <a:off x="12020550" y="789622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38</xdr:row>
      <xdr:rowOff>0</xdr:rowOff>
    </xdr:from>
    <xdr:to>
      <xdr:col>22</xdr:col>
      <xdr:colOff>0</xdr:colOff>
      <xdr:row>38</xdr:row>
      <xdr:rowOff>0</xdr:rowOff>
    </xdr:to>
    <xdr:sp macro="" textlink="">
      <xdr:nvSpPr>
        <xdr:cNvPr id="534523" name="Line 96">
          <a:extLst>
            <a:ext uri="{FF2B5EF4-FFF2-40B4-BE49-F238E27FC236}">
              <a16:creationId xmlns:a16="http://schemas.microsoft.com/office/drawing/2014/main" id="{00FD8507-8E99-43DE-83A3-E30A6D05D1FD}"/>
            </a:ext>
          </a:extLst>
        </xdr:cNvPr>
        <xdr:cNvSpPr>
          <a:spLocks noChangeShapeType="1"/>
        </xdr:cNvSpPr>
      </xdr:nvSpPr>
      <xdr:spPr bwMode="auto">
        <a:xfrm>
          <a:off x="9877425" y="64008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61</xdr:row>
      <xdr:rowOff>0</xdr:rowOff>
    </xdr:from>
    <xdr:to>
      <xdr:col>26</xdr:col>
      <xdr:colOff>0</xdr:colOff>
      <xdr:row>61</xdr:row>
      <xdr:rowOff>0</xdr:rowOff>
    </xdr:to>
    <xdr:sp macro="" textlink="">
      <xdr:nvSpPr>
        <xdr:cNvPr id="534524" name="Line 97">
          <a:extLst>
            <a:ext uri="{FF2B5EF4-FFF2-40B4-BE49-F238E27FC236}">
              <a16:creationId xmlns:a16="http://schemas.microsoft.com/office/drawing/2014/main" id="{946D23BE-0A7F-4612-9D38-9BF18B2599FD}"/>
            </a:ext>
          </a:extLst>
        </xdr:cNvPr>
        <xdr:cNvSpPr>
          <a:spLocks noChangeShapeType="1"/>
        </xdr:cNvSpPr>
      </xdr:nvSpPr>
      <xdr:spPr bwMode="auto">
        <a:xfrm>
          <a:off x="12020550" y="10277475"/>
          <a:ext cx="866775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sp macro="" textlink="">
      <xdr:nvSpPr>
        <xdr:cNvPr id="534525" name="Line 98">
          <a:extLst>
            <a:ext uri="{FF2B5EF4-FFF2-40B4-BE49-F238E27FC236}">
              <a16:creationId xmlns:a16="http://schemas.microsoft.com/office/drawing/2014/main" id="{475CC58D-08EA-4E88-871B-8727D9050DF7}"/>
            </a:ext>
          </a:extLst>
        </xdr:cNvPr>
        <xdr:cNvSpPr>
          <a:spLocks noChangeShapeType="1"/>
        </xdr:cNvSpPr>
      </xdr:nvSpPr>
      <xdr:spPr bwMode="auto">
        <a:xfrm flipV="1">
          <a:off x="9877425" y="5067300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33</xdr:row>
      <xdr:rowOff>0</xdr:rowOff>
    </xdr:from>
    <xdr:to>
      <xdr:col>22</xdr:col>
      <xdr:colOff>0</xdr:colOff>
      <xdr:row>34</xdr:row>
      <xdr:rowOff>0</xdr:rowOff>
    </xdr:to>
    <xdr:sp macro="" textlink="">
      <xdr:nvSpPr>
        <xdr:cNvPr id="534526" name="Line 99">
          <a:extLst>
            <a:ext uri="{FF2B5EF4-FFF2-40B4-BE49-F238E27FC236}">
              <a16:creationId xmlns:a16="http://schemas.microsoft.com/office/drawing/2014/main" id="{D4D1D537-ACA8-4FB8-9B56-5976FB90D87C}"/>
            </a:ext>
          </a:extLst>
        </xdr:cNvPr>
        <xdr:cNvSpPr>
          <a:spLocks noChangeShapeType="1"/>
        </xdr:cNvSpPr>
      </xdr:nvSpPr>
      <xdr:spPr bwMode="auto">
        <a:xfrm>
          <a:off x="1063942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33</xdr:row>
      <xdr:rowOff>0</xdr:rowOff>
    </xdr:from>
    <xdr:to>
      <xdr:col>29</xdr:col>
      <xdr:colOff>0</xdr:colOff>
      <xdr:row>34</xdr:row>
      <xdr:rowOff>0</xdr:rowOff>
    </xdr:to>
    <xdr:sp macro="" textlink="">
      <xdr:nvSpPr>
        <xdr:cNvPr id="534527" name="Line 100">
          <a:extLst>
            <a:ext uri="{FF2B5EF4-FFF2-40B4-BE49-F238E27FC236}">
              <a16:creationId xmlns:a16="http://schemas.microsoft.com/office/drawing/2014/main" id="{9ACF8942-9EAF-4CCE-8C79-7EB40E20B94D}"/>
            </a:ext>
          </a:extLst>
        </xdr:cNvPr>
        <xdr:cNvSpPr>
          <a:spLocks noChangeShapeType="1"/>
        </xdr:cNvSpPr>
      </xdr:nvSpPr>
      <xdr:spPr bwMode="auto">
        <a:xfrm>
          <a:off x="14582775" y="5562600"/>
          <a:ext cx="0" cy="1619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28</xdr:col>
      <xdr:colOff>0</xdr:colOff>
      <xdr:row>75</xdr:row>
      <xdr:rowOff>0</xdr:rowOff>
    </xdr:from>
    <xdr:to>
      <xdr:col>31</xdr:col>
      <xdr:colOff>19050</xdr:colOff>
      <xdr:row>75</xdr:row>
      <xdr:rowOff>9525</xdr:rowOff>
    </xdr:to>
    <xdr:sp macro="" textlink="">
      <xdr:nvSpPr>
        <xdr:cNvPr id="548864" name="Line 101">
          <a:extLst>
            <a:ext uri="{FF2B5EF4-FFF2-40B4-BE49-F238E27FC236}">
              <a16:creationId xmlns:a16="http://schemas.microsoft.com/office/drawing/2014/main" id="{4BB4238F-EB86-4271-9FA5-AB90D9F53CF5}"/>
            </a:ext>
          </a:extLst>
        </xdr:cNvPr>
        <xdr:cNvSpPr>
          <a:spLocks noChangeShapeType="1"/>
        </xdr:cNvSpPr>
      </xdr:nvSpPr>
      <xdr:spPr bwMode="auto">
        <a:xfrm>
          <a:off x="14163675" y="12639675"/>
          <a:ext cx="1390650" cy="95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0</xdr:colOff>
      <xdr:row>22</xdr:row>
      <xdr:rowOff>0</xdr:rowOff>
    </xdr:to>
    <xdr:sp macro="" textlink="">
      <xdr:nvSpPr>
        <xdr:cNvPr id="548865" name="Line 102">
          <a:extLst>
            <a:ext uri="{FF2B5EF4-FFF2-40B4-BE49-F238E27FC236}">
              <a16:creationId xmlns:a16="http://schemas.microsoft.com/office/drawing/2014/main" id="{7C0FC5E6-ACC2-49C6-AE1D-AD790E29BE56}"/>
            </a:ext>
          </a:extLst>
        </xdr:cNvPr>
        <xdr:cNvSpPr>
          <a:spLocks noChangeShapeType="1"/>
        </xdr:cNvSpPr>
      </xdr:nvSpPr>
      <xdr:spPr bwMode="auto">
        <a:xfrm flipH="1">
          <a:off x="2457450" y="3219450"/>
          <a:ext cx="0" cy="504825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5</xdr:col>
      <xdr:colOff>323850</xdr:colOff>
      <xdr:row>36</xdr:row>
      <xdr:rowOff>0</xdr:rowOff>
    </xdr:to>
    <xdr:sp macro="" textlink="">
      <xdr:nvSpPr>
        <xdr:cNvPr id="548866" name="Line 103">
          <a:extLst>
            <a:ext uri="{FF2B5EF4-FFF2-40B4-BE49-F238E27FC236}">
              <a16:creationId xmlns:a16="http://schemas.microsoft.com/office/drawing/2014/main" id="{4055FF82-3522-4C25-86F1-0C19FE518989}"/>
            </a:ext>
          </a:extLst>
        </xdr:cNvPr>
        <xdr:cNvSpPr>
          <a:spLocks noChangeShapeType="1"/>
        </xdr:cNvSpPr>
      </xdr:nvSpPr>
      <xdr:spPr bwMode="auto">
        <a:xfrm flipH="1">
          <a:off x="1504950" y="6057900"/>
          <a:ext cx="32385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0</xdr:colOff>
      <xdr:row>36</xdr:row>
      <xdr:rowOff>0</xdr:rowOff>
    </xdr:to>
    <xdr:sp macro="" textlink="">
      <xdr:nvSpPr>
        <xdr:cNvPr id="548867" name="Line 104">
          <a:extLst>
            <a:ext uri="{FF2B5EF4-FFF2-40B4-BE49-F238E27FC236}">
              <a16:creationId xmlns:a16="http://schemas.microsoft.com/office/drawing/2014/main" id="{FF51D113-187B-4152-A306-E7B0C97E032A}"/>
            </a:ext>
          </a:extLst>
        </xdr:cNvPr>
        <xdr:cNvSpPr>
          <a:spLocks noChangeShapeType="1"/>
        </xdr:cNvSpPr>
      </xdr:nvSpPr>
      <xdr:spPr bwMode="auto">
        <a:xfrm flipV="1">
          <a:off x="1504950" y="3219450"/>
          <a:ext cx="0" cy="28384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0</xdr:colOff>
      <xdr:row>19</xdr:row>
      <xdr:rowOff>0</xdr:rowOff>
    </xdr:to>
    <xdr:sp macro="" textlink="">
      <xdr:nvSpPr>
        <xdr:cNvPr id="548868" name="Line 105">
          <a:extLst>
            <a:ext uri="{FF2B5EF4-FFF2-40B4-BE49-F238E27FC236}">
              <a16:creationId xmlns:a16="http://schemas.microsoft.com/office/drawing/2014/main" id="{5DDDCD0D-AB6D-4085-8EC5-2FD1A6AAB713}"/>
            </a:ext>
          </a:extLst>
        </xdr:cNvPr>
        <xdr:cNvSpPr>
          <a:spLocks noChangeShapeType="1"/>
        </xdr:cNvSpPr>
      </xdr:nvSpPr>
      <xdr:spPr bwMode="auto">
        <a:xfrm>
          <a:off x="1504950" y="32194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0</xdr:colOff>
      <xdr:row>59</xdr:row>
      <xdr:rowOff>0</xdr:rowOff>
    </xdr:to>
    <xdr:sp macro="" textlink="">
      <xdr:nvSpPr>
        <xdr:cNvPr id="548869" name="Line 106">
          <a:extLst>
            <a:ext uri="{FF2B5EF4-FFF2-40B4-BE49-F238E27FC236}">
              <a16:creationId xmlns:a16="http://schemas.microsoft.com/office/drawing/2014/main" id="{8BCCCBE1-148A-4975-B313-6E6C7CCA8FF1}"/>
            </a:ext>
          </a:extLst>
        </xdr:cNvPr>
        <xdr:cNvSpPr>
          <a:spLocks noChangeShapeType="1"/>
        </xdr:cNvSpPr>
      </xdr:nvSpPr>
      <xdr:spPr bwMode="auto">
        <a:xfrm>
          <a:off x="3057525" y="9934575"/>
          <a:ext cx="5334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58</xdr:row>
      <xdr:rowOff>0</xdr:rowOff>
    </xdr:from>
    <xdr:to>
      <xdr:col>11</xdr:col>
      <xdr:colOff>0</xdr:colOff>
      <xdr:row>58</xdr:row>
      <xdr:rowOff>0</xdr:rowOff>
    </xdr:to>
    <xdr:sp macro="" textlink="">
      <xdr:nvSpPr>
        <xdr:cNvPr id="548870" name="Line 107">
          <a:extLst>
            <a:ext uri="{FF2B5EF4-FFF2-40B4-BE49-F238E27FC236}">
              <a16:creationId xmlns:a16="http://schemas.microsoft.com/office/drawing/2014/main" id="{87ADFAB5-1B58-444F-A7DB-78707D6D1978}"/>
            </a:ext>
          </a:extLst>
        </xdr:cNvPr>
        <xdr:cNvSpPr>
          <a:spLocks noChangeShapeType="1"/>
        </xdr:cNvSpPr>
      </xdr:nvSpPr>
      <xdr:spPr bwMode="auto">
        <a:xfrm>
          <a:off x="3057525" y="9763125"/>
          <a:ext cx="1400175" cy="0"/>
        </a:xfrm>
        <a:prstGeom prst="line">
          <a:avLst/>
        </a:prstGeom>
        <a:noFill/>
        <a:ln w="9525">
          <a:solidFill>
            <a:srgbClr val="800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52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548871" name="Line 108">
          <a:extLst>
            <a:ext uri="{FF2B5EF4-FFF2-40B4-BE49-F238E27FC236}">
              <a16:creationId xmlns:a16="http://schemas.microsoft.com/office/drawing/2014/main" id="{0C35207F-FE9C-4090-B103-D79441E0C75A}"/>
            </a:ext>
          </a:extLst>
        </xdr:cNvPr>
        <xdr:cNvSpPr>
          <a:spLocks noChangeShapeType="1"/>
        </xdr:cNvSpPr>
      </xdr:nvSpPr>
      <xdr:spPr bwMode="auto">
        <a:xfrm>
          <a:off x="2457450" y="8743950"/>
          <a:ext cx="0" cy="5143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69</xdr:row>
      <xdr:rowOff>0</xdr:rowOff>
    </xdr:from>
    <xdr:to>
      <xdr:col>6</xdr:col>
      <xdr:colOff>0</xdr:colOff>
      <xdr:row>69</xdr:row>
      <xdr:rowOff>0</xdr:rowOff>
    </xdr:to>
    <xdr:sp macro="" textlink="">
      <xdr:nvSpPr>
        <xdr:cNvPr id="548872" name="Line 109">
          <a:extLst>
            <a:ext uri="{FF2B5EF4-FFF2-40B4-BE49-F238E27FC236}">
              <a16:creationId xmlns:a16="http://schemas.microsoft.com/office/drawing/2014/main" id="{044A5BA0-E22E-444F-8C8B-294A72295447}"/>
            </a:ext>
          </a:extLst>
        </xdr:cNvPr>
        <xdr:cNvSpPr>
          <a:spLocks noChangeShapeType="1"/>
        </xdr:cNvSpPr>
      </xdr:nvSpPr>
      <xdr:spPr bwMode="auto">
        <a:xfrm flipH="1" flipV="1">
          <a:off x="1504950" y="1162050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5</xdr:col>
      <xdr:colOff>0</xdr:colOff>
      <xdr:row>69</xdr:row>
      <xdr:rowOff>0</xdr:rowOff>
    </xdr:to>
    <xdr:sp macro="" textlink="">
      <xdr:nvSpPr>
        <xdr:cNvPr id="548873" name="Line 110">
          <a:extLst>
            <a:ext uri="{FF2B5EF4-FFF2-40B4-BE49-F238E27FC236}">
              <a16:creationId xmlns:a16="http://schemas.microsoft.com/office/drawing/2014/main" id="{9D56CAEE-5C39-4189-8C3A-F459EA82B4FF}"/>
            </a:ext>
          </a:extLst>
        </xdr:cNvPr>
        <xdr:cNvSpPr>
          <a:spLocks noChangeShapeType="1"/>
        </xdr:cNvSpPr>
      </xdr:nvSpPr>
      <xdr:spPr bwMode="auto">
        <a:xfrm flipV="1">
          <a:off x="1504950" y="8743950"/>
          <a:ext cx="0" cy="287655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52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548874" name="Line 111">
          <a:extLst>
            <a:ext uri="{FF2B5EF4-FFF2-40B4-BE49-F238E27FC236}">
              <a16:creationId xmlns:a16="http://schemas.microsoft.com/office/drawing/2014/main" id="{CB2F98F7-0AF5-45C8-A293-24BF03D6D030}"/>
            </a:ext>
          </a:extLst>
        </xdr:cNvPr>
        <xdr:cNvSpPr>
          <a:spLocks noChangeShapeType="1"/>
        </xdr:cNvSpPr>
      </xdr:nvSpPr>
      <xdr:spPr bwMode="auto">
        <a:xfrm>
          <a:off x="1504950" y="8743950"/>
          <a:ext cx="3429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0</xdr:colOff>
      <xdr:row>17</xdr:row>
      <xdr:rowOff>0</xdr:rowOff>
    </xdr:to>
    <xdr:sp macro="" textlink="">
      <xdr:nvSpPr>
        <xdr:cNvPr id="548875" name="Line 112">
          <a:extLst>
            <a:ext uri="{FF2B5EF4-FFF2-40B4-BE49-F238E27FC236}">
              <a16:creationId xmlns:a16="http://schemas.microsoft.com/office/drawing/2014/main" id="{DCBD5253-FD8E-4FEF-8DDA-7E7388F1033D}"/>
            </a:ext>
          </a:extLst>
        </xdr:cNvPr>
        <xdr:cNvSpPr>
          <a:spLocks noChangeShapeType="1"/>
        </xdr:cNvSpPr>
      </xdr:nvSpPr>
      <xdr:spPr bwMode="auto">
        <a:xfrm>
          <a:off x="5029200" y="2886075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0</xdr:colOff>
      <xdr:row>19</xdr:row>
      <xdr:rowOff>0</xdr:rowOff>
    </xdr:to>
    <xdr:sp macro="" textlink="">
      <xdr:nvSpPr>
        <xdr:cNvPr id="548876" name="Line 113">
          <a:extLst>
            <a:ext uri="{FF2B5EF4-FFF2-40B4-BE49-F238E27FC236}">
              <a16:creationId xmlns:a16="http://schemas.microsoft.com/office/drawing/2014/main" id="{845BA396-FB78-4D33-BA49-70609583B86E}"/>
            </a:ext>
          </a:extLst>
        </xdr:cNvPr>
        <xdr:cNvSpPr>
          <a:spLocks noChangeShapeType="1"/>
        </xdr:cNvSpPr>
      </xdr:nvSpPr>
      <xdr:spPr bwMode="auto">
        <a:xfrm>
          <a:off x="5029200" y="3219450"/>
          <a:ext cx="8001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41</xdr:row>
      <xdr:rowOff>0</xdr:rowOff>
    </xdr:from>
    <xdr:to>
      <xdr:col>22</xdr:col>
      <xdr:colOff>0</xdr:colOff>
      <xdr:row>41</xdr:row>
      <xdr:rowOff>0</xdr:rowOff>
    </xdr:to>
    <xdr:sp macro="" textlink="">
      <xdr:nvSpPr>
        <xdr:cNvPr id="548877" name="Line 114">
          <a:extLst>
            <a:ext uri="{FF2B5EF4-FFF2-40B4-BE49-F238E27FC236}">
              <a16:creationId xmlns:a16="http://schemas.microsoft.com/office/drawing/2014/main" id="{F19ED09D-E56E-490C-A1F1-026FD6CB77DF}"/>
            </a:ext>
          </a:extLst>
        </xdr:cNvPr>
        <xdr:cNvSpPr>
          <a:spLocks noChangeShapeType="1"/>
        </xdr:cNvSpPr>
      </xdr:nvSpPr>
      <xdr:spPr bwMode="auto">
        <a:xfrm flipV="1">
          <a:off x="9877425" y="6905625"/>
          <a:ext cx="762000" cy="0"/>
        </a:xfrm>
        <a:prstGeom prst="line">
          <a:avLst/>
        </a:prstGeom>
        <a:noFill/>
        <a:ln w="9525">
          <a:solidFill>
            <a:srgbClr val="0000FF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UDCModel25.xlsx" TargetMode="External"/><Relationship Id="rId1" Type="http://schemas.openxmlformats.org/officeDocument/2006/relationships/externalLinkPath" Target="/personal/kamaldeep_walia_usps_gov/Documents/Desktop/ACR2025%20Inputs/UDCModel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tbxqb\AppData\Local\Microsoft\Windows\INetCache\Content.Outlook\0GAEZK7L\MCS_MAILCHAR25v%20(002).xlsx" TargetMode="External"/><Relationship Id="rId1" Type="http://schemas.openxmlformats.org/officeDocument/2006/relationships/externalLinkPath" Target="file:///C:\Users\vtbxqb\AppData\Local\Microsoft\Windows\INetCache\Content.Outlook\0GAEZK7L\MCS_MAILCHAR25v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shp25prc.xlsx" TargetMode="External"/><Relationship Id="rId1" Type="http://schemas.openxmlformats.org/officeDocument/2006/relationships/externalLinkPath" Target="/personal/kamaldeep_walia_usps_gov/Documents/Desktop/ACR2025%20Inputs/shp25prc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Accept2025_v.xlsx" TargetMode="External"/><Relationship Id="rId1" Type="http://schemas.openxmlformats.org/officeDocument/2006/relationships/externalLinkPath" Target="/personal/kamaldeep_walia_usps_gov/Documents/Desktop/ACR2025%20Inputs/Accept2025_v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YRscrub2025_revised.xlsx" TargetMode="External"/><Relationship Id="rId1" Type="http://schemas.openxmlformats.org/officeDocument/2006/relationships/externalLinkPath" Target="/personal/kamaldeep_walia_usps_gov/Documents/ACR2025%20Inputs/YRscrub2025_revise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Y25%20ACR%20inputs%20to%20Special%20Cost%20Studies%20Public.xlsx" TargetMode="External"/><Relationship Id="rId1" Type="http://schemas.openxmlformats.org/officeDocument/2006/relationships/externalLinkPath" Target="/personal/kamaldeep_walia_usps_gov/Documents/Desktop/ACR2025%20Inputs/FY25%20ACR%20inputs%20to%20Special%20Cost%20Studies%20Public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Incoming%20ISS-OSS%20FY2025%20revised.xlsx" TargetMode="External"/><Relationship Id="rId1" Type="http://schemas.openxmlformats.org/officeDocument/2006/relationships/externalLinkPath" Target="/personal/kamaldeep_walia_usps_gov/Documents/ACR2025%20Inputs/Incoming%20ISS-OSS%20FY2025%20revise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RECprods2025_revised.xlsx" TargetMode="External"/><Relationship Id="rId1" Type="http://schemas.openxmlformats.org/officeDocument/2006/relationships/externalLinkPath" Target="/personal/kamaldeep_walia_usps_gov/Documents/ACR2025%20Inputs/RECprods2025_revised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tbxqb\AppData\Local\Microsoft\Windows\Temporary%20Internet%20Files\Content.Outlook\WA7MIROI\YRscrub2015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eFlash_Prod_RM2025-4_FY2025.xlsx" TargetMode="External"/><Relationship Id="rId1" Type="http://schemas.openxmlformats.org/officeDocument/2006/relationships/externalLinkPath" Target="/personal/kamaldeep_walia_usps_gov/Documents/Desktop/ACR2025%20Inputs/eFlash_Prod_RM2025-4_FY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MPPGBY25PRC.xlsx" TargetMode="External"/><Relationship Id="rId1" Type="http://schemas.openxmlformats.org/officeDocument/2006/relationships/externalLinkPath" Target="/personal/kamaldeep_walia_usps_gov/Documents/Desktop/ACR2025%20Inputs/MPPGBY25PRC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ocuments/RBCS%20FY%20report.xlsx" TargetMode="External"/><Relationship Id="rId1" Type="http://schemas.openxmlformats.org/officeDocument/2006/relationships/externalLinkPath" Target="/personal/kamaldeep_walia_usps_gov/Documents/Documents/RBCS%20FY%20report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PO%20Box%20Percent%202025.xlsx" TargetMode="External"/><Relationship Id="rId1" Type="http://schemas.openxmlformats.org/officeDocument/2006/relationships/externalLinkPath" Target="/personal/kamaldeep_walia_usps_gov/Documents/Desktop/ACR2025%20Inputs/PO%20Box%20Percent%202025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FAST2025_v.xlsx" TargetMode="External"/><Relationship Id="rId1" Type="http://schemas.openxmlformats.org/officeDocument/2006/relationships/externalLinkPath" Target="/personal/kamaldeep_walia_usps_gov/Documents/Desktop/ACR2025%20Inputs/FAST2025_v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ACR2025%20Inputs/MPPGBY25PRC.xlsx" TargetMode="External"/><Relationship Id="rId1" Type="http://schemas.openxmlformats.org/officeDocument/2006/relationships/externalLinkPath" Target="/personal/kamaldeep_walia_usps_gov/Documents/ACR2025%20Inputs/MPPGBY25PRC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st%20Attribution\ACR%20File%20Ref\ACR2024\Public\FY24-25%20MP%20Op%20Spec%20Piggyback%20Factors\MPPGBY24PRC.xlsx" TargetMode="External"/><Relationship Id="rId1" Type="http://schemas.openxmlformats.org/officeDocument/2006/relationships/externalLinkPath" Target="file:///Z:\Cost%20Attribution\ACR%20File%20Ref\ACR2024\Public\FY24-25%20MP%20Op%20Spec%20Piggyback%20Factors\MPPGBY24PRC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sps365-my.sharepoint.com/personal/kamaldeep_walia_usps_gov/Documents/Desktop/ACR2025%20Inputs/MCS_MAILCHAR25v.xlsx" TargetMode="External"/><Relationship Id="rId1" Type="http://schemas.openxmlformats.org/officeDocument/2006/relationships/externalLinkPath" Target="/personal/kamaldeep_walia_usps_gov/Documents/Desktop/ACR2025%20Inputs/MCS_MAILCHAR25v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COMMON\FCM%20MCS%20Proposal\Final%20Proposal%20Materials\MAILCHAR23_PROP.xlsx" TargetMode="External"/><Relationship Id="rId1" Type="http://schemas.openxmlformats.org/officeDocument/2006/relationships/externalLinkPath" Target="file:///Y:\COMMON\FCM%20MCS%20Proposal\Final%20Proposal%20Materials\MAILCHAR23_PRO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tbxqb\AppData\Local\Microsoft\Windows\INetCache\Content.Outlook\ZOOHLDJB\MAILCHAR24v%20(002).xlsx" TargetMode="External"/><Relationship Id="rId1" Type="http://schemas.openxmlformats.org/officeDocument/2006/relationships/externalLinkPath" Target="file:///C:\Users\vtbxqb\AppData\Local\Microsoft\Windows\INetCache\Content.Outlook\ZOOHLDJB\MAILCHAR24v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Changes"/>
      <sheetName val="1.Table 1"/>
      <sheetName val="1a.DAdjustment"/>
      <sheetName val="2.FCSP_Let_Col_Cost_By_Indicia"/>
      <sheetName val="3.SummaryBY"/>
      <sheetName val="4.Rural cost"/>
      <sheetName val="5.RuralCrosswalk"/>
      <sheetName val="6.DeliveryVols"/>
      <sheetName val="7.RuralDisagg"/>
      <sheetName val="8.CityCosts"/>
      <sheetName val="9.ByShape"/>
      <sheetName val="10.In-Office Detail"/>
    </sheetNames>
    <sheetDataSet>
      <sheetData sheetId="0"/>
      <sheetData sheetId="1"/>
      <sheetData sheetId="2">
        <row r="14">
          <cell r="C14">
            <v>28.420198113507585</v>
          </cell>
        </row>
        <row r="15">
          <cell r="C15">
            <v>0</v>
          </cell>
        </row>
        <row r="16">
          <cell r="C16">
            <v>7.2605038642061022</v>
          </cell>
        </row>
        <row r="17">
          <cell r="C17">
            <v>6.05941728412507</v>
          </cell>
        </row>
        <row r="18">
          <cell r="C18">
            <v>28.420198113507578</v>
          </cell>
        </row>
        <row r="19">
          <cell r="C19">
            <v>28.420198113507578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6.9939800954025255</v>
          </cell>
        </row>
        <row r="23">
          <cell r="C23">
            <v>6.2344184161535576</v>
          </cell>
        </row>
        <row r="27">
          <cell r="C27">
            <v>5.0866987893785547</v>
          </cell>
        </row>
        <row r="33">
          <cell r="C33">
            <v>6.4762572003040173</v>
          </cell>
        </row>
        <row r="34">
          <cell r="C34">
            <v>6.264368584601665</v>
          </cell>
        </row>
        <row r="35">
          <cell r="C35">
            <v>5.6605107242723998</v>
          </cell>
        </row>
        <row r="37">
          <cell r="C37">
            <v>4.7480640632355602</v>
          </cell>
        </row>
        <row r="77">
          <cell r="E77">
            <v>1.4767608588927152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FCM PCS PER TRAY"/>
      <sheetName val="DELIVERY"/>
      <sheetName val="Order 6658"/>
      <sheetName val="BPM_20_Sta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B10">
            <v>6370915649.6242037</v>
          </cell>
          <cell r="C10">
            <v>34237234.74083893</v>
          </cell>
        </row>
        <row r="11">
          <cell r="B11">
            <v>2188515.599461081</v>
          </cell>
          <cell r="C11">
            <v>16566.730275700116</v>
          </cell>
        </row>
        <row r="12">
          <cell r="B12">
            <v>21332845410.03569</v>
          </cell>
          <cell r="C12">
            <v>77759350.718593493</v>
          </cell>
        </row>
        <row r="18">
          <cell r="B18">
            <v>836121453.02696145</v>
          </cell>
          <cell r="C18">
            <v>1705469.142550207</v>
          </cell>
        </row>
        <row r="19">
          <cell r="B19">
            <v>4517432.9699312495</v>
          </cell>
          <cell r="C19">
            <v>33366.007878076554</v>
          </cell>
        </row>
        <row r="20">
          <cell r="B20">
            <v>1273137432.9194393</v>
          </cell>
          <cell r="C20">
            <v>2413081.0917971311</v>
          </cell>
        </row>
        <row r="30">
          <cell r="C30">
            <v>626047.72168930282</v>
          </cell>
          <cell r="D30">
            <v>18840.257298348632</v>
          </cell>
        </row>
        <row r="31">
          <cell r="C31">
            <v>18589922.758781977</v>
          </cell>
          <cell r="D31">
            <v>317064.32809246972</v>
          </cell>
        </row>
        <row r="32">
          <cell r="C32">
            <v>6376339.0526709454</v>
          </cell>
          <cell r="D32">
            <v>107775.30031054415</v>
          </cell>
        </row>
        <row r="33">
          <cell r="C33">
            <v>23394223.915570825</v>
          </cell>
          <cell r="D33">
            <v>554527.39705498016</v>
          </cell>
        </row>
        <row r="34">
          <cell r="C34">
            <v>10198361.702709874</v>
          </cell>
          <cell r="D34">
            <v>167659.76759077222</v>
          </cell>
        </row>
        <row r="35">
          <cell r="C35">
            <v>44360900.750273839</v>
          </cell>
          <cell r="D35">
            <v>690296.84858204634</v>
          </cell>
        </row>
        <row r="36">
          <cell r="C36">
            <v>114794161.52862188</v>
          </cell>
          <cell r="D36">
            <v>2491497.8372885953</v>
          </cell>
        </row>
        <row r="37">
          <cell r="C37">
            <v>17375282.471019551</v>
          </cell>
          <cell r="D37">
            <v>199068.21509505768</v>
          </cell>
        </row>
        <row r="38">
          <cell r="C38">
            <v>63537036.047945768</v>
          </cell>
          <cell r="D38">
            <v>1295420.3480253846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Products"/>
      <sheetName val="PB"/>
      <sheetName val="LTTR VVC"/>
      <sheetName val="LTTR VVC W Premium Pay"/>
      <sheetName val="LTTR Unit Costs W PB &amp; MP RF"/>
      <sheetName val="LTTR Unit Costs  Final Adj."/>
      <sheetName val="FLAT VVC"/>
      <sheetName val="FLAT VVC W Premium Pay"/>
      <sheetName val="FLAT Unit Costs W PB &amp; MP RF"/>
      <sheetName val="FLAT Unit Costs W Final Adj"/>
      <sheetName val="PARCEL VVC"/>
      <sheetName val="PARCEL VVC W Premium Pay"/>
      <sheetName val="PARCEL Unit Costs W PB &amp; MP RF"/>
      <sheetName val="PARCEL Unit Costs W  Final Adj."/>
      <sheetName val="VVC (All Shapes)  W Premium Pay"/>
      <sheetName val="Costs (All Shapes) W PB &amp; MP RF"/>
      <sheetName val="Costs (All Shapes) W Final RF"/>
      <sheetName val="Summary WO Cost Adj."/>
      <sheetName val="ECR Cost Adj."/>
      <sheetName val="Final Adj."/>
      <sheetName val="Final Summary"/>
      <sheetName val="Non-Letter Outside County Per.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>
            <v>3.5241512441823368</v>
          </cell>
          <cell r="G6">
            <v>1.5496603072353266</v>
          </cell>
          <cell r="O6">
            <v>6.7974750131136883</v>
          </cell>
        </row>
        <row r="7">
          <cell r="F7">
            <v>4.91496519577466E-2</v>
          </cell>
          <cell r="G7">
            <v>6.2576410447509759E-3</v>
          </cell>
          <cell r="O7">
            <v>0.30217283066289491</v>
          </cell>
        </row>
        <row r="8">
          <cell r="G8">
            <v>0</v>
          </cell>
        </row>
        <row r="9">
          <cell r="F9">
            <v>7.3973996410113749E-3</v>
          </cell>
          <cell r="G9">
            <v>5.6705811080576642E-4</v>
          </cell>
          <cell r="O9">
            <v>2.8966308375885028E-2</v>
          </cell>
        </row>
        <row r="10">
          <cell r="F10">
            <v>4.5725941856787883E-2</v>
          </cell>
          <cell r="G10">
            <v>4.1189701270536457E-2</v>
          </cell>
          <cell r="O10">
            <v>0.17373523564277762</v>
          </cell>
        </row>
        <row r="11">
          <cell r="F11">
            <v>1.1005714249514936E-2</v>
          </cell>
          <cell r="G11">
            <v>5.4875268912157352E-5</v>
          </cell>
          <cell r="O11">
            <v>9.0960556664128279E-4</v>
          </cell>
        </row>
        <row r="12">
          <cell r="F12">
            <v>0.55726082336709304</v>
          </cell>
          <cell r="G12">
            <v>0.19321075481780822</v>
          </cell>
          <cell r="O12">
            <v>1.0911942979615021</v>
          </cell>
        </row>
        <row r="13">
          <cell r="F13">
            <v>1.2106278287172785E-2</v>
          </cell>
          <cell r="G13">
            <v>6.7115203188876989E-5</v>
          </cell>
          <cell r="O13">
            <v>6.8643616489753465E-2</v>
          </cell>
        </row>
        <row r="14">
          <cell r="F14">
            <v>0.25835925421562445</v>
          </cell>
          <cell r="G14">
            <v>0.22018164869417925</v>
          </cell>
          <cell r="O14">
            <v>1.8518906599675196</v>
          </cell>
        </row>
        <row r="15">
          <cell r="F15">
            <v>4.9084534550322168E-6</v>
          </cell>
          <cell r="G15">
            <v>2.825546843975126E-6</v>
          </cell>
          <cell r="O15">
            <v>1.480218691482106E-5</v>
          </cell>
        </row>
        <row r="16">
          <cell r="F16">
            <v>1.7230257271323084E-2</v>
          </cell>
          <cell r="G16">
            <v>1.9030003106327235E-2</v>
          </cell>
          <cell r="O16">
            <v>0.10663651368704608</v>
          </cell>
        </row>
        <row r="17">
          <cell r="F17">
            <v>7.474383355513517E-2</v>
          </cell>
          <cell r="G17">
            <v>7.2981538968705767E-2</v>
          </cell>
          <cell r="O17">
            <v>0.1308300421058026</v>
          </cell>
        </row>
        <row r="18">
          <cell r="F18">
            <v>0.15578952710336508</v>
          </cell>
          <cell r="G18">
            <v>7.8156684578478353E-2</v>
          </cell>
          <cell r="O18">
            <v>1.5326428823152793</v>
          </cell>
        </row>
        <row r="19">
          <cell r="F19">
            <v>5.7662119593183229E-2</v>
          </cell>
          <cell r="G19">
            <v>6.4904020294414999E-2</v>
          </cell>
          <cell r="O19">
            <v>0.1735608942788803</v>
          </cell>
        </row>
        <row r="20">
          <cell r="F20">
            <v>4.387389763798287E-3</v>
          </cell>
          <cell r="G20">
            <v>0</v>
          </cell>
          <cell r="O20">
            <v>2.9613213240230755E-2</v>
          </cell>
        </row>
        <row r="21">
          <cell r="F21">
            <v>3.1929443104197285E-2</v>
          </cell>
          <cell r="G21">
            <v>3.1431898350001925E-3</v>
          </cell>
          <cell r="O21">
            <v>4.1993343686731431E-2</v>
          </cell>
        </row>
        <row r="22">
          <cell r="F22">
            <v>0.13747892494073005</v>
          </cell>
          <cell r="G22">
            <v>5.6512806597726853E-2</v>
          </cell>
          <cell r="O22">
            <v>0.28832888756266167</v>
          </cell>
        </row>
        <row r="23">
          <cell r="F23">
            <v>1.1535496692753482E-2</v>
          </cell>
          <cell r="G23">
            <v>3.4838671821828481E-3</v>
          </cell>
          <cell r="O23">
            <v>7.1737894953877862E-2</v>
          </cell>
        </row>
        <row r="24">
          <cell r="F24">
            <v>0.84964044459204935</v>
          </cell>
          <cell r="G24">
            <v>0.42175528144740088</v>
          </cell>
          <cell r="O24">
            <v>2.4241710785277597</v>
          </cell>
        </row>
        <row r="25">
          <cell r="F25">
            <v>3.3723760588002241E-3</v>
          </cell>
          <cell r="G25">
            <v>5.8451866863077392E-4</v>
          </cell>
          <cell r="O25">
            <v>1.239182796141446E-2</v>
          </cell>
        </row>
        <row r="26">
          <cell r="F26">
            <v>7.6336596806141962E-3</v>
          </cell>
          <cell r="G26">
            <v>1.3024636342253352E-3</v>
          </cell>
          <cell r="O26">
            <v>7.5394889339859212E-3</v>
          </cell>
        </row>
        <row r="27">
          <cell r="F27">
            <v>4.5746013640035072E-3</v>
          </cell>
          <cell r="G27">
            <v>1.5793367815545552E-3</v>
          </cell>
          <cell r="O27">
            <v>1.6650880700074144E-2</v>
          </cell>
        </row>
        <row r="28">
          <cell r="F28">
            <v>3.415482470251309E-2</v>
          </cell>
          <cell r="G28">
            <v>2.5995889211927185E-2</v>
          </cell>
          <cell r="O28">
            <v>5.5837770201737372E-2</v>
          </cell>
        </row>
        <row r="29">
          <cell r="F29">
            <v>4.262149463165955E-3</v>
          </cell>
          <cell r="G29">
            <v>0</v>
          </cell>
          <cell r="O29">
            <v>7.2868961842314679E-3</v>
          </cell>
        </row>
        <row r="30">
          <cell r="F30">
            <v>4.208868011068052E-3</v>
          </cell>
          <cell r="G30">
            <v>2.1010163383818837E-4</v>
          </cell>
          <cell r="O30">
            <v>9.9795638003985342E-3</v>
          </cell>
        </row>
        <row r="31">
          <cell r="F31">
            <v>4.8605358864676077E-3</v>
          </cell>
          <cell r="G31">
            <v>1.6359639909665068E-4</v>
          </cell>
          <cell r="O31">
            <v>3.7512332180465062E-2</v>
          </cell>
        </row>
        <row r="32">
          <cell r="F32">
            <v>4.9290546749819059E-3</v>
          </cell>
          <cell r="G32">
            <v>3.2738107920735526E-4</v>
          </cell>
          <cell r="O32">
            <v>1.5667246616821544E-2</v>
          </cell>
        </row>
        <row r="33">
          <cell r="F33">
            <v>6.0033784982176909E-2</v>
          </cell>
          <cell r="G33">
            <v>1.7471678427629013E-2</v>
          </cell>
          <cell r="O33">
            <v>0.17963507105048857</v>
          </cell>
        </row>
        <row r="34">
          <cell r="F34">
            <v>3.0776402420203533E-2</v>
          </cell>
          <cell r="G34">
            <v>6.8145061055447367E-3</v>
          </cell>
          <cell r="O34">
            <v>0.10912528509169631</v>
          </cell>
        </row>
        <row r="35">
          <cell r="F35">
            <v>2.2841584399931537E-2</v>
          </cell>
          <cell r="G35">
            <v>1.0507040534406143E-2</v>
          </cell>
          <cell r="O35">
            <v>6.6518677536991769E-2</v>
          </cell>
        </row>
        <row r="36">
          <cell r="F36">
            <v>4.6988134291890216E-3</v>
          </cell>
          <cell r="G36">
            <v>0</v>
          </cell>
          <cell r="O36">
            <v>2.6627927856394538E-2</v>
          </cell>
        </row>
        <row r="37">
          <cell r="G37">
            <v>0</v>
          </cell>
        </row>
        <row r="38">
          <cell r="F38">
            <v>9.8832341104737272E-4</v>
          </cell>
          <cell r="G38">
            <v>1.0882769744357592E-5</v>
          </cell>
          <cell r="O38">
            <v>8.1967150305175627E-3</v>
          </cell>
        </row>
        <row r="39">
          <cell r="F39">
            <v>2.4044638630964748E-3</v>
          </cell>
          <cell r="G39">
            <v>1.2277943363339485E-3</v>
          </cell>
          <cell r="O39">
            <v>1.6030971119295283E-2</v>
          </cell>
        </row>
        <row r="40">
          <cell r="F40">
            <v>3.1936062717125159E-2</v>
          </cell>
          <cell r="G40">
            <v>3.2706400485178498E-2</v>
          </cell>
          <cell r="O40">
            <v>3.8826602404567916E-2</v>
          </cell>
        </row>
        <row r="41">
          <cell r="F41">
            <v>0</v>
          </cell>
          <cell r="G41">
            <v>0</v>
          </cell>
          <cell r="O41">
            <v>0</v>
          </cell>
        </row>
        <row r="42">
          <cell r="F42">
            <v>2.6962093457776866E-3</v>
          </cell>
          <cell r="G42">
            <v>2.7861175802557359E-2</v>
          </cell>
          <cell r="O42">
            <v>0</v>
          </cell>
        </row>
        <row r="43">
          <cell r="F43">
            <v>0</v>
          </cell>
          <cell r="G43">
            <v>0</v>
          </cell>
          <cell r="O43">
            <v>0</v>
          </cell>
        </row>
        <row r="44">
          <cell r="F44">
            <v>9.6387013069937598E-3</v>
          </cell>
          <cell r="G44">
            <v>0</v>
          </cell>
          <cell r="O44">
            <v>3.7956154957236796E-2</v>
          </cell>
        </row>
        <row r="45">
          <cell r="F45">
            <v>0.32649115672304757</v>
          </cell>
          <cell r="G45">
            <v>0.12645879085118003</v>
          </cell>
          <cell r="O45">
            <v>0.86905939364971663</v>
          </cell>
        </row>
        <row r="46">
          <cell r="F46">
            <v>1.1278137261683661E-2</v>
          </cell>
          <cell r="G46">
            <v>7.2952125235180142E-3</v>
          </cell>
          <cell r="O46">
            <v>2.714623225979345E-2</v>
          </cell>
        </row>
        <row r="47">
          <cell r="F47">
            <v>3.7405135105714027E-2</v>
          </cell>
          <cell r="G47">
            <v>4.8518092153226704E-6</v>
          </cell>
          <cell r="O47">
            <v>2.6457857416464222E-2</v>
          </cell>
        </row>
        <row r="48">
          <cell r="F48">
            <v>1.0790213157850883E-2</v>
          </cell>
          <cell r="G48">
            <v>4.4862341748489661E-5</v>
          </cell>
          <cell r="O48">
            <v>3.0316846151580136E-4</v>
          </cell>
        </row>
        <row r="49">
          <cell r="F49">
            <v>9.1540745312893954E-2</v>
          </cell>
          <cell r="G49">
            <v>5.5106511462981463E-2</v>
          </cell>
          <cell r="O49">
            <v>0.24083389279443357</v>
          </cell>
        </row>
        <row r="50">
          <cell r="F50">
            <v>0.60179432380832665</v>
          </cell>
          <cell r="G50">
            <v>0.15450030977311277</v>
          </cell>
          <cell r="O50">
            <v>1.1965322504646341</v>
          </cell>
        </row>
        <row r="51">
          <cell r="F51">
            <v>0</v>
          </cell>
          <cell r="G51">
            <v>0</v>
          </cell>
          <cell r="O51">
            <v>0</v>
          </cell>
        </row>
        <row r="52">
          <cell r="F52">
            <v>1.8680566582577211E-2</v>
          </cell>
          <cell r="G52">
            <v>1.661038674984144E-2</v>
          </cell>
          <cell r="O52">
            <v>7.4272737657697832E-2</v>
          </cell>
        </row>
        <row r="53">
          <cell r="F53">
            <v>0.54829401314279502</v>
          </cell>
          <cell r="G53">
            <v>0.23017958669144009</v>
          </cell>
          <cell r="O53">
            <v>1.3715413828670102</v>
          </cell>
        </row>
        <row r="54">
          <cell r="F54">
            <v>1.2925128088430077E-2</v>
          </cell>
          <cell r="G54">
            <v>2.5811014016924923E-2</v>
          </cell>
          <cell r="O54">
            <v>5.2544701814831313E-2</v>
          </cell>
        </row>
        <row r="55">
          <cell r="F55">
            <v>0.21958993377986327</v>
          </cell>
          <cell r="G55">
            <v>6.6195478524713622E-2</v>
          </cell>
          <cell r="O55">
            <v>0.58898248027401778</v>
          </cell>
        </row>
        <row r="56">
          <cell r="F56">
            <v>3.1507708090132169E-3</v>
          </cell>
          <cell r="G56">
            <v>1.8043113865807154E-5</v>
          </cell>
          <cell r="O56">
            <v>4.0961437538836347E-2</v>
          </cell>
        </row>
        <row r="57">
          <cell r="F57">
            <v>1.7291101319325515E-3</v>
          </cell>
          <cell r="G57">
            <v>4.8770327239969544E-4</v>
          </cell>
          <cell r="O57">
            <v>3.0087927651773006E-3</v>
          </cell>
        </row>
        <row r="59">
          <cell r="D59">
            <v>22.499009902081827</v>
          </cell>
          <cell r="E59">
            <v>20.272835322846376</v>
          </cell>
        </row>
      </sheetData>
      <sheetData sheetId="7"/>
      <sheetData sheetId="8"/>
      <sheetData sheetId="9"/>
      <sheetData sheetId="10">
        <row r="6">
          <cell r="E6">
            <v>1.1272591951197184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tters"/>
      <sheetName val="Flats"/>
      <sheetName val="Parcels"/>
      <sheetName val="ppgar"/>
      <sheetName val="afsmrefeed"/>
      <sheetName val="ufsmkey"/>
      <sheetName val="appsspbsgar"/>
      <sheetName val="flatgar"/>
      <sheetName val="mlissgar"/>
      <sheetName val="lettergar"/>
      <sheetName val="diossgar"/>
      <sheetName val="WebROADS"/>
    </sheetNames>
    <sheetDataSet>
      <sheetData sheetId="0">
        <row r="6">
          <cell r="C6">
            <v>0.90245715339016008</v>
          </cell>
        </row>
        <row r="9">
          <cell r="C9">
            <v>0.92692924831704915</v>
          </cell>
        </row>
        <row r="10">
          <cell r="C10">
            <v>2.5509608137740784E-2</v>
          </cell>
        </row>
        <row r="11">
          <cell r="C11">
            <v>1.4130932874979785E-2</v>
          </cell>
        </row>
        <row r="12">
          <cell r="C12">
            <v>2.0846133969331096E-3</v>
          </cell>
        </row>
        <row r="13">
          <cell r="C13">
            <v>3.1345597273297068E-2</v>
          </cell>
        </row>
        <row r="15">
          <cell r="C15">
            <v>0.9725090126152891</v>
          </cell>
        </row>
        <row r="16">
          <cell r="C16">
            <v>0.97423570514703772</v>
          </cell>
        </row>
        <row r="17">
          <cell r="C17">
            <v>0.95590648900471231</v>
          </cell>
        </row>
        <row r="18">
          <cell r="C18">
            <v>0.93837868872245755</v>
          </cell>
        </row>
        <row r="19">
          <cell r="C19">
            <v>0.94237909446185353</v>
          </cell>
        </row>
        <row r="20">
          <cell r="C20">
            <v>0.98552409339367097</v>
          </cell>
        </row>
        <row r="21">
          <cell r="C21">
            <v>0.99019294977333217</v>
          </cell>
        </row>
      </sheetData>
      <sheetData sheetId="1">
        <row r="8">
          <cell r="H8">
            <v>0.84905640284582573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Table"/>
    </sheetNames>
    <sheetDataSet>
      <sheetData sheetId="0">
        <row r="10">
          <cell r="E10">
            <v>1447</v>
          </cell>
          <cell r="I10">
            <v>1731.3470699022496</v>
          </cell>
        </row>
        <row r="11">
          <cell r="I11">
            <v>85.837148173784783</v>
          </cell>
        </row>
        <row r="13">
          <cell r="I13">
            <v>6758.7504883831289</v>
          </cell>
        </row>
        <row r="14">
          <cell r="I14">
            <v>5382.1298908617546</v>
          </cell>
        </row>
        <row r="15">
          <cell r="I15">
            <v>5213.6847407717551</v>
          </cell>
        </row>
        <row r="16">
          <cell r="I16">
            <v>10064.860722147192</v>
          </cell>
        </row>
        <row r="17">
          <cell r="I17">
            <v>12951.571425542645</v>
          </cell>
        </row>
        <row r="18">
          <cell r="I18">
            <v>6834.7504399952659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olume-variability factors"/>
      <sheetName val="Disaggregated wage rates"/>
      <sheetName val="Premium Pay Fctrs"/>
      <sheetName val=" Overhead factors"/>
      <sheetName val=" MODS ovh factors"/>
      <sheetName val=" NDCs OVH Factors"/>
      <sheetName val=" nonmods OVH Factors"/>
      <sheetName val="crosswalk, % of direct"/>
    </sheetNames>
    <sheetDataSet>
      <sheetData sheetId="0">
        <row r="11">
          <cell r="G11">
            <v>0.98909999999999998</v>
          </cell>
        </row>
        <row r="18">
          <cell r="G18">
            <v>0.96399999999999997</v>
          </cell>
        </row>
        <row r="23">
          <cell r="G23">
            <v>0.97240000000000004</v>
          </cell>
        </row>
        <row r="27">
          <cell r="G27">
            <v>0.873</v>
          </cell>
        </row>
        <row r="31">
          <cell r="G31">
            <v>0.94969999999999999</v>
          </cell>
        </row>
        <row r="86">
          <cell r="G86">
            <v>0.98199999999999998</v>
          </cell>
        </row>
      </sheetData>
      <sheetData sheetId="1">
        <row r="6">
          <cell r="C6">
            <v>54.142360316355024</v>
          </cell>
        </row>
        <row r="8">
          <cell r="C8">
            <v>50.10717457546064</v>
          </cell>
        </row>
      </sheetData>
      <sheetData sheetId="2">
        <row r="7">
          <cell r="D7">
            <v>1.0126008477139226</v>
          </cell>
        </row>
        <row r="9">
          <cell r="C9">
            <v>1.0210631968009072</v>
          </cell>
          <cell r="D9">
            <v>1.0209228242204351</v>
          </cell>
        </row>
        <row r="10">
          <cell r="C10">
            <v>1.0126974442214889</v>
          </cell>
        </row>
        <row r="12">
          <cell r="C12">
            <v>1.0289187345367075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9">
          <cell r="E9">
            <v>5752.4748872811142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 Calc"/>
    </sheetNames>
    <sheetDataSet>
      <sheetData sheetId="0">
        <row r="10">
          <cell r="E10">
            <v>775.23422288961956</v>
          </cell>
        </row>
        <row r="13">
          <cell r="E13">
            <v>739.31456751386031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</sheetNames>
    <sheetDataSet>
      <sheetData sheetId="0">
        <row r="10">
          <cell r="I10">
            <v>2229.4892578125</v>
          </cell>
        </row>
        <row r="19">
          <cell r="I19">
            <v>613.89764404296875</v>
          </cell>
        </row>
        <row r="20">
          <cell r="I20">
            <v>1057.969970703125</v>
          </cell>
        </row>
        <row r="21">
          <cell r="I21">
            <v>1180.437255859375</v>
          </cell>
        </row>
        <row r="22">
          <cell r="I22">
            <v>1076.494873046875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25 F4 Manual Productivity"/>
      <sheetName val="FY25 Est Hours"/>
      <sheetName val="FY25 Costs"/>
    </sheetNames>
    <sheetDataSet>
      <sheetData sheetId="0">
        <row r="4">
          <cell r="D4">
            <v>658.18475684439443</v>
          </cell>
        </row>
        <row r="5">
          <cell r="D5">
            <v>787.9458663233512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13">
          <cell r="J13">
            <v>1.5358044573278811</v>
          </cell>
        </row>
        <row r="75">
          <cell r="B75">
            <v>50188.015295144804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BCS"/>
      <sheetName val="Notes"/>
    </sheetNames>
    <sheetDataSet>
      <sheetData sheetId="0">
        <row r="5">
          <cell r="S5">
            <v>17902119278</v>
          </cell>
        </row>
        <row r="8">
          <cell r="S8">
            <v>93162615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</sheetNames>
    <sheetDataSet>
      <sheetData sheetId="0">
        <row r="25">
          <cell r="F25">
            <v>4.5834500459791531E-2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"/>
      <sheetName val="Incoming Secondary"/>
      <sheetName val="pivot table"/>
      <sheetName val="fast"/>
    </sheetNames>
    <sheetDataSet>
      <sheetData sheetId="0">
        <row r="5">
          <cell r="C5">
            <v>3.516613492307899E-2</v>
          </cell>
        </row>
        <row r="7">
          <cell r="C7">
            <v>0.96483386507692093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/>
      <sheetData sheetId="1">
        <row r="7">
          <cell r="J7">
            <v>1.754359816131257</v>
          </cell>
        </row>
        <row r="13">
          <cell r="J13">
            <v>1.5358044573278811</v>
          </cell>
        </row>
        <row r="15">
          <cell r="J15">
            <v>1.2988119246888874</v>
          </cell>
        </row>
        <row r="23">
          <cell r="J23">
            <v>1.329782450145587</v>
          </cell>
        </row>
        <row r="68">
          <cell r="J68">
            <v>1.6888485071959758</v>
          </cell>
        </row>
        <row r="71">
          <cell r="J71">
            <v>3.4396834863913082</v>
          </cell>
        </row>
        <row r="77">
          <cell r="J77">
            <v>1.2615773174013249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MP Piggybacks"/>
      <sheetName val="Cost Ratios"/>
      <sheetName val="MP Labor Cost Splits"/>
      <sheetName val="MP Labor Costs"/>
      <sheetName val="CR &amp; OP"/>
      <sheetName val="Facility Related Costs"/>
      <sheetName val="Facility Space Data "/>
      <sheetName val="Space Summary Costs"/>
      <sheetName val="IOCS Tallies – Select Equipment"/>
      <sheetName val="All Equip. Related Costs"/>
      <sheetName val="Capital Costs"/>
      <sheetName val="Maint. Costs"/>
      <sheetName val="Parts Costs"/>
      <sheetName val="Equip. Var."/>
      <sheetName val="Supv_Admin_Benefit Costs"/>
      <sheetName val="PB by Cost Type  "/>
      <sheetName val="PSM &amp; FSM &amp; LMLM Data"/>
    </sheetNames>
    <sheetDataSet>
      <sheetData sheetId="0" refreshError="1"/>
      <sheetData sheetId="1">
        <row r="13">
          <cell r="A13" t="str">
            <v>Mechanized Tray Sorter &amp; Robotics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FCM PCS PER TRAY"/>
      <sheetName val="DELIVERY"/>
      <sheetName val="Order 6658"/>
      <sheetName val="BPM_20_Stats"/>
    </sheetNames>
    <sheetDataSet>
      <sheetData sheetId="0">
        <row r="1">
          <cell r="A1" t="str">
            <v>Table MCS - 1</v>
          </cell>
        </row>
        <row r="2">
          <cell r="A2" t="str">
            <v>FIRST-CLASS MAIL PRESORT LETTERS MAIL CHARACTERISTICS DATA</v>
          </cell>
        </row>
        <row r="3">
          <cell r="A3" t="str">
            <v>USPS-FY25-14</v>
          </cell>
        </row>
        <row r="7">
          <cell r="E7">
            <v>165173782.99999994</v>
          </cell>
        </row>
        <row r="8">
          <cell r="E8">
            <v>330701462.00000077</v>
          </cell>
        </row>
        <row r="9">
          <cell r="E9">
            <v>0</v>
          </cell>
        </row>
        <row r="10">
          <cell r="E10">
            <v>0</v>
          </cell>
        </row>
        <row r="16">
          <cell r="E16">
            <v>1053828.9655094033</v>
          </cell>
          <cell r="F16">
            <v>59.724117858215628</v>
          </cell>
        </row>
        <row r="17">
          <cell r="E17">
            <v>219195.91001437433</v>
          </cell>
          <cell r="F17">
            <v>15.420156760066224</v>
          </cell>
        </row>
        <row r="18">
          <cell r="E18">
            <v>846502.53908307641</v>
          </cell>
          <cell r="F18">
            <v>18.411634490555045</v>
          </cell>
        </row>
        <row r="19">
          <cell r="E19">
            <v>105101.11722150625</v>
          </cell>
          <cell r="F19">
            <v>15.287967440537521</v>
          </cell>
        </row>
        <row r="20">
          <cell r="E20">
            <v>1523.4681716396935</v>
          </cell>
          <cell r="F20" t="str">
            <v>N/A</v>
          </cell>
        </row>
        <row r="21">
          <cell r="E21">
            <v>0</v>
          </cell>
          <cell r="F21" t="str">
            <v>N/A</v>
          </cell>
        </row>
        <row r="22">
          <cell r="E22">
            <v>0</v>
          </cell>
          <cell r="F22" t="str">
            <v>N/A</v>
          </cell>
        </row>
        <row r="23">
          <cell r="E23">
            <v>0</v>
          </cell>
          <cell r="F23" t="str">
            <v>N/A</v>
          </cell>
        </row>
        <row r="24">
          <cell r="E24">
            <v>0</v>
          </cell>
          <cell r="F24" t="str">
            <v>N/A</v>
          </cell>
        </row>
        <row r="25">
          <cell r="E25">
            <v>451201.973766868</v>
          </cell>
          <cell r="F25">
            <v>29.951115785442664</v>
          </cell>
        </row>
        <row r="26">
          <cell r="E26">
            <v>1246303.4098061696</v>
          </cell>
          <cell r="F26">
            <v>22.50738241901556</v>
          </cell>
        </row>
        <row r="27">
          <cell r="E27">
            <v>3309.6164269628548</v>
          </cell>
          <cell r="F27" t="str">
            <v>N/A</v>
          </cell>
        </row>
        <row r="28">
          <cell r="E28">
            <v>1295104.9999999993</v>
          </cell>
          <cell r="F28" t="str">
            <v>N/A</v>
          </cell>
        </row>
        <row r="33">
          <cell r="E33">
            <v>501097317.00000072</v>
          </cell>
        </row>
        <row r="34">
          <cell r="E34">
            <v>1271821555.0000012</v>
          </cell>
        </row>
        <row r="35">
          <cell r="E35">
            <v>6018234188.9999781</v>
          </cell>
        </row>
        <row r="36">
          <cell r="E36">
            <v>0</v>
          </cell>
        </row>
        <row r="37">
          <cell r="E37">
            <v>21338306502.999996</v>
          </cell>
        </row>
      </sheetData>
      <sheetData sheetId="1">
        <row r="2">
          <cell r="A2" t="str">
            <v>FIRST-CLASS MAIL PRESORT CARDS MAIL CHARACTERISTICS DATA</v>
          </cell>
        </row>
        <row r="3">
          <cell r="A3" t="str">
            <v>USPS-FY25-14</v>
          </cell>
        </row>
        <row r="7">
          <cell r="E7">
            <v>34885679.486573234</v>
          </cell>
          <cell r="F7" t="str">
            <v>N/A</v>
          </cell>
          <cell r="G7">
            <v>0.43143028140298312</v>
          </cell>
        </row>
        <row r="8">
          <cell r="E8">
            <v>41457413.543495506</v>
          </cell>
          <cell r="F8" t="str">
            <v>N/A</v>
          </cell>
          <cell r="G8">
            <v>0.51270274377754488</v>
          </cell>
        </row>
        <row r="9">
          <cell r="E9">
            <v>4517432.9699312523</v>
          </cell>
          <cell r="F9" t="str">
            <v>N/A</v>
          </cell>
          <cell r="G9">
            <v>5.5866974819471893E-2</v>
          </cell>
        </row>
        <row r="10">
          <cell r="E10">
            <v>0</v>
          </cell>
          <cell r="F10" t="str">
            <v>N/A</v>
          </cell>
          <cell r="G10">
            <v>0</v>
          </cell>
        </row>
        <row r="33">
          <cell r="E33">
            <v>80860526</v>
          </cell>
        </row>
        <row r="34">
          <cell r="E34">
            <v>191474636.99999979</v>
          </cell>
        </row>
        <row r="35">
          <cell r="E35">
            <v>794622973.99999881</v>
          </cell>
        </row>
        <row r="36">
          <cell r="E36">
            <v>0</v>
          </cell>
        </row>
        <row r="37">
          <cell r="E37">
            <v>1273341232.9999986</v>
          </cell>
        </row>
      </sheetData>
      <sheetData sheetId="2">
        <row r="1">
          <cell r="A1" t="str">
            <v>USPS-FY25-14</v>
          </cell>
        </row>
      </sheetData>
      <sheetData sheetId="3">
        <row r="7">
          <cell r="D7">
            <v>0</v>
          </cell>
        </row>
      </sheetData>
      <sheetData sheetId="4">
        <row r="1">
          <cell r="C1" t="str">
            <v>USPS-FY25-14</v>
          </cell>
        </row>
      </sheetData>
      <sheetData sheetId="5">
        <row r="8">
          <cell r="F8">
            <v>1326261.8809508262</v>
          </cell>
        </row>
      </sheetData>
      <sheetData sheetId="6">
        <row r="1">
          <cell r="B1" t="str">
            <v>USPS-FY25-14</v>
          </cell>
        </row>
      </sheetData>
      <sheetData sheetId="7"/>
      <sheetData sheetId="8"/>
      <sheetData sheetId="9"/>
      <sheetData sheetId="10"/>
      <sheetData sheetId="11">
        <row r="8">
          <cell r="D8">
            <v>1</v>
          </cell>
        </row>
      </sheetData>
      <sheetData sheetId="12">
        <row r="1">
          <cell r="A1" t="str">
            <v>USPS-FY25-14</v>
          </cell>
        </row>
      </sheetData>
      <sheetData sheetId="13">
        <row r="31">
          <cell r="E31">
            <v>25.091147345874898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M PRESORT LETTERS PROP"/>
      <sheetName val="FCM PRESORT CARDS PROP "/>
      <sheetName val="FCM PRESORT FLATS PROP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DELIVERY"/>
      <sheetName val="Order 6658"/>
    </sheetNames>
    <sheetDataSet>
      <sheetData sheetId="0">
        <row r="7">
          <cell r="E7">
            <v>179734264</v>
          </cell>
          <cell r="F7" t="str">
            <v>N/A</v>
          </cell>
        </row>
        <row r="8">
          <cell r="F8" t="str">
            <v>N/A</v>
          </cell>
        </row>
        <row r="9">
          <cell r="F9" t="str">
            <v>N/A</v>
          </cell>
        </row>
        <row r="10">
          <cell r="F10" t="str">
            <v>N/A</v>
          </cell>
        </row>
      </sheetData>
      <sheetData sheetId="1">
        <row r="7">
          <cell r="E7">
            <v>50520821.151141696</v>
          </cell>
        </row>
        <row r="29">
          <cell r="G29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M PRESORT LETTERS"/>
      <sheetName val="FCM PRESORT CARDS"/>
      <sheetName val="FCM PRESORT FLATS"/>
      <sheetName val="PERIODICALS FLATS"/>
      <sheetName val="USPS MM LETTERS"/>
      <sheetName val="USPS MM FLATS"/>
      <sheetName val="USPS MM CARRIER ROUTE FLATS"/>
      <sheetName val="USPS MM CR FLATS"/>
      <sheetName val="USPS MM ENTRY PROFILE"/>
      <sheetName val="CONTAINER STATISTICS"/>
      <sheetName val="USPS MM FLATS BY CON RATE"/>
      <sheetName val="PERIODICAL BUNDLE DENSITIES"/>
      <sheetName val="USPS MM BUNDLE DENSITIES"/>
      <sheetName val="NON 5D-CONTAINER AVE BUN SIZE"/>
      <sheetName val="DELIVERY"/>
      <sheetName val="Order 6658"/>
      <sheetName val="BPM_20_Stats"/>
      <sheetName val="FCM PCS PER TRAY"/>
    </sheetNames>
    <sheetDataSet>
      <sheetData sheetId="0" refreshError="1"/>
      <sheetData sheetId="1" refreshError="1">
        <row r="1">
          <cell r="A1" t="str">
            <v>Table MCS - 2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</sheetData>
      <sheetData sheetId="2" refreshError="1"/>
      <sheetData sheetId="3">
        <row r="7">
          <cell r="D7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1</v>
          </cell>
        </row>
      </sheetData>
      <sheetData sheetId="12" refreshError="1"/>
      <sheetData sheetId="13">
        <row r="31">
          <cell r="E31">
            <v>24.210340951140079</v>
          </cell>
        </row>
      </sheetData>
      <sheetData sheetId="14" refreshError="1"/>
      <sheetData sheetId="15" refreshError="1"/>
      <sheetData sheetId="16" refreshError="1"/>
      <sheetData sheetId="1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\Post\MCB\Volume%20Estimates\USPS-FY25-14\FCM_MM_WGTI_FY25_EO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Henningfield" refreshedDate="45977.647760069442" createdVersion="8" refreshedVersion="8" minRefreshableVersion="3" recordCount="2934" xr:uid="{712E5C24-75FE-4563-9873-CAEFA97C631F}">
  <cacheSource type="worksheet">
    <worksheetSource ref="B2:M2936" sheet="FCM_Data" r:id="rId2"/>
  </cacheSource>
  <cacheFields count="12">
    <cacheField name="Quarter" numFmtId="0">
      <sharedItems count="4">
        <s v="Q1"/>
        <s v="Q2"/>
        <s v="Q3"/>
        <s v="Q4"/>
      </sharedItems>
    </cacheField>
    <cacheField name="RPW Cat" numFmtId="0">
      <sharedItems containsMixedTypes="1" containsNumber="1" containsInteger="1" minValue="25021" maxValue="122022" count="99">
        <n v="101101"/>
        <n v="101105"/>
        <n v="101106"/>
        <n v="101107"/>
        <n v="101117"/>
        <n v="101123"/>
        <n v="101124"/>
        <n v="101135"/>
        <n v="101136"/>
        <n v="101137"/>
        <n v="101138"/>
        <n v="101139"/>
        <n v="101141"/>
        <n v="101143"/>
        <n v="101144"/>
        <n v="101180"/>
        <n v="101220"/>
        <n v="101230"/>
        <n v="101280"/>
        <n v="101303"/>
        <n v="101304"/>
        <n v="101403"/>
        <n v="101404"/>
        <n v="101420"/>
        <n v="101440"/>
        <n v="101453"/>
        <n v="101454"/>
        <n v="109101"/>
        <n v="109102"/>
        <n v="121001"/>
        <n v="121002"/>
        <n v="121003"/>
        <n v="121004"/>
        <n v="121005"/>
        <n v="121006"/>
        <n v="121007"/>
        <n v="121008"/>
        <n v="121009"/>
        <n v="121010"/>
        <n v="121011"/>
        <n v="121012"/>
        <n v="121013"/>
        <n v="122003"/>
        <n v="122021"/>
        <n v="122022"/>
        <s v="10010IAAM"/>
        <s v="10010IFAM"/>
        <s v="10012IAAM"/>
        <s v="10012IFAM"/>
        <s v="DFXF0XXXXR00010D"/>
        <s v="DFXF0XXXXR00010R"/>
        <s v="DFXF0XXXXR00020D"/>
        <s v="DFXF0XXXXR00020R"/>
        <s v="DFXF0XXXXR00030D"/>
        <s v="DFXF0XXXXR00030R"/>
        <s v="DFXF0XXXXR00040D"/>
        <s v="DFXF0XXXXR00040R"/>
        <s v="DFXF0XXXXR00050D"/>
        <s v="DFXF0XXXXR00050R"/>
        <s v="DFXF0XXXXR00060D"/>
        <s v="DFXF0XXXXR00060R"/>
        <s v="DFXF0XXXXR00070D"/>
        <s v="DFXF0XXXXR00070R"/>
        <s v="DFXF0XXXXR00080D"/>
        <s v="DFXF0XXXXR00080R"/>
        <s v="DFXF0XXXXR00090D"/>
        <s v="DFXF0XXXXR00090R"/>
        <s v="DFXF0XXXXR00100D"/>
        <s v="DFXF0XXXXR00100R"/>
        <s v="DFXF0XXXXR00110D"/>
        <s v="DFXF0XXXXR00110R"/>
        <s v="DFXF0XXXXR00120D"/>
        <s v="DFXF0XXXXR00120R"/>
        <s v="DFXF0XXXXR00130D"/>
        <s v="DFXF0XXXXR00130R"/>
        <s v="DFXF0XXXXR00010N"/>
        <s v="DFXF0XXXXR00020N"/>
        <s v="DFXF0XXXXR00030N"/>
        <s v="DFXF0XXXXR00040N"/>
        <s v="DFXF0XXXXR00050N"/>
        <s v="DFXF0XXXXR00060N"/>
        <s v="DFXF0XXXXR00070N"/>
        <s v="DFXF0XXXXR00080N"/>
        <s v="DFXF0XXXXR00090N"/>
        <s v="DFXF0XXXXR00100N"/>
        <s v="DFXF0XXXXR00110N"/>
        <s v="DFXF0XXXXR00120N"/>
        <s v="DFXF0XXXXR00130N"/>
        <s v="10010DAAM"/>
        <s v="10010EAAM"/>
        <n v="25022"/>
        <n v="25021"/>
        <n v="101131"/>
        <n v="101133"/>
        <n v="101134"/>
        <n v="122004"/>
        <s v="106B0JAAM"/>
        <n v="101167"/>
        <n v="122001"/>
      </sharedItems>
    </cacheField>
    <cacheField name="Indicia" numFmtId="0">
      <sharedItems count="6">
        <s v="Metered"/>
        <s v="Stamped"/>
        <s v="Permit Imprint"/>
        <s v="PVI"/>
        <s v="Other"/>
        <s v="PermitImprint" u="1"/>
      </sharedItems>
    </cacheField>
    <cacheField name="Shape" numFmtId="0">
      <sharedItems count="8">
        <s v="Letters"/>
        <s v="Flats"/>
        <s v="Letter" u="1"/>
        <s v="XXXX" u="1"/>
        <s v="   Flats" u="1"/>
        <s v="Flat" u="1"/>
        <e v="#REF!" u="1"/>
        <s v="Parcel" u="1"/>
      </sharedItems>
    </cacheField>
    <cacheField name="WGTI" numFmtId="0">
      <sharedItems count="13">
        <s v="0 to 1 oz"/>
        <s v="1 to 2 oz"/>
        <s v="2 to 3 oz"/>
        <s v="3 to 4 oz"/>
        <s v="4 to 5 oz"/>
        <s v="5 to 6 oz"/>
        <s v="6 to 7 oz"/>
        <s v="7 to 8 oz"/>
        <s v="8 to 9 oz"/>
        <s v="9 to 10 oz"/>
        <s v="10 to 11 oz"/>
        <s v="11 to 12 oz"/>
        <s v="12 to 13 oz"/>
      </sharedItems>
    </cacheField>
    <cacheField name="Sum Code" numFmtId="0">
      <sharedItems containsSemiMixedTypes="0" containsString="0" containsNumber="1" containsInteger="1" minValue="50" maxValue="700" count="7">
        <n v="50"/>
        <n v="250"/>
        <n v="150"/>
        <n v="100"/>
        <n v="200"/>
        <n v="650" u="1"/>
        <n v="700" u="1"/>
      </sharedItems>
    </cacheField>
    <cacheField name="Sum Label" numFmtId="0">
      <sharedItems count="6">
        <s v="   Single-Piece Letters"/>
        <s v="   Flats"/>
        <s v="   Presort Letters"/>
        <s v="   Single-Piece Cards"/>
        <s v="   Presort Cards"/>
        <s v="   Letters" u="1"/>
      </sharedItems>
    </cacheField>
    <cacheField name="Cat Label" numFmtId="0">
      <sharedItems count="79">
        <s v="FCM RESIDUAL NONPRSRT LETTERS 2 OZ"/>
        <s v="FCM SP LETTERS PERMIT"/>
        <s v="FCM SP NONMACH LETTERS PERMIT"/>
        <s v="FCM SP FLATS"/>
        <s v="FCM NONAUTO PRSRT FLATS"/>
        <s v="FCM MACH AADC LETTERS ROUNDTRIP DVD"/>
        <s v="FCM MACH MIXED ADC LETTERS ROUNDTRIP DVD"/>
        <s v="FCM MACH AADC LETTERS"/>
        <s v="FCM MACH MIXED AADC LETTERS"/>
        <s v="FCM NONMACH MIXED ADC LETTERS"/>
        <s v="FCM NONMACH 3-DIGIT LETTERS"/>
        <s v="FCM NONMACH 5-DIGIT LETTERS"/>
        <s v="FCM 5-DIGIT FLATS ROUNDTRIP DVD"/>
        <s v="FCM AADC FLATS ROUNDTRIP DVD"/>
        <s v="FCM MIXED ADC FLATS ROUNDTRIP DVD"/>
        <s v="FCM 5-DIGIT AUTO LETTERS"/>
        <s v="FCM SP CARDS PERMIT"/>
        <s v="FCM NONAUTO PRSRT CARDS"/>
        <s v="FCM 5-DIGIT AUTO CARDS"/>
        <s v="FCM MIXED AADC AUTO LETTERS"/>
        <s v="FCM AADC AUTO LETTERS"/>
        <s v="FCM MIXED AADC AUTO CARDS"/>
        <s v="FCM AADC AUTO CARDS"/>
        <s v="FCM 3-DIGIT AUTO FLATS"/>
        <s v="FCM 5-DIGIT AUTO FLATS"/>
        <s v="FCM MIXED ADC AUTO FLATS"/>
        <s v="FCM ADC AUTO FLATS"/>
        <s v="IMBA STATIC INCENTIVE LETTERS"/>
        <s v="IMBA SERIAL INCENTIVE LETTERS"/>
        <s v="BRM LETTERS"/>
        <s v="BRM HIGH VOLUME LETTERS"/>
        <s v="QBRM BASIC LETTERS"/>
        <s v="QBRM HIGH VOLUME LETTERS"/>
        <s v="BRM NONMACH SURCHARGE"/>
        <s v="BRM HIGH VOLUME NONMACH SURCHARGE"/>
        <s v="BRM CARDS"/>
        <s v="BRM HIGH VOLUME CARDS"/>
        <s v="QBRM BASIC CARDS"/>
        <s v="QBRM HIGH VOLUME CARDS"/>
        <s v="BRM FLATS"/>
        <s v="BRM HIGH VOLUME FLATS"/>
        <s v="BRM WEIGHT AVG NON-LETTERS"/>
        <s v="IMB ACCOUNTING BASIC QBRM LETTERS"/>
        <s v="IMB ACCOUNTING QBRM LETTERS"/>
        <s v="IMB ACCOUNTING QBRM CARDS"/>
        <s v="FCM SP LETTERS NON-PERMIT (OTHER THAN METER)"/>
        <s v="FCM SP LETTERS NON-PERMIT (METER)"/>
        <s v="FCM SP NONMACH LETTERS NON-PERMIT (OTHER THAN METER)"/>
        <s v="FCM SP NONMACH LETTERS NON-PERMIT (METER)"/>
        <s v="DOMESTIC, FCM, FLATS, RETAIL, WEIGHT: 01 OZ"/>
        <s v="DOMESTIC, FCM, FLATS, RETAIL, WEIGHT: 02 OZ"/>
        <s v="DOMESTIC, FCM, FLATS, RETAIL, WEIGHT: 03 OZ"/>
        <s v="DOMESTIC, FCM, FLATS, RETAIL, WEIGHT: 04 OZ"/>
        <s v="DOMESTIC, FCM, FLATS, RETAIL, WEIGHT: 05 OZ"/>
        <s v="DOMESTIC, FCM, FLATS, RETAIL, WEIGHT: 06 OZ"/>
        <s v="DOMESTIC, FCM, FLATS, RETAIL, WEIGHT: 07 OZ"/>
        <s v="DOMESTIC, FCM, FLATS, RETAIL, WEIGHT: 08 OZ"/>
        <s v="DOMESTIC, FCM, FLATS, RETAIL, WEIGHT: 09 OZ"/>
        <s v="DOMESTIC, FCM, FLATS, RETAIL, WEIGHT: 10 OZ"/>
        <s v="DOMESTIC, FCM, FLATS, RETAIL, WEIGHT: 11 OZ"/>
        <s v="DOMESTIC, FCM, FLATS, RETAIL, WEIGHT: 12 OZ"/>
        <s v="DOMESTIC, FCM, FLATS, RETAIL, WEIGHT: 13 OZ"/>
        <s v="FCM SP CARDS NON-PERMIT"/>
        <s v="FCM SP RETAIL KEYS/ID DEVICES NON-PERMIT"/>
        <s v="ALTERNATE POSTAGE LETTERS"/>
        <s v="ALTERNATE POSTAGE POSTCARDS"/>
        <s v="FCM 5-DIGIT LETTERS ROUNDTRIP DVD"/>
        <s v="FCM AADC LETTERS ROUNDTRIP DVD"/>
        <s v="FCM MIXED ADC LETTERS ROUNDTRIP DVD"/>
        <s v="IMB ACCOUNTING HV QBRM LETTERS"/>
        <s v="FIRST-CLASS MAIL CONNECT FLATS"/>
        <s v="IMB ACCOUNTING BASIC BRM LETTERS"/>
        <s v="FCM SP FLATS NON-PERMIT" u="1"/>
        <s v="FCM MACH ADC FLATS ROUNDTRIP DVD" u="1"/>
        <s v="FCM MACH MIXED ADC FLATS ROUNDTRIP DVD" u="1"/>
        <s v="MKT LETTERS PAID AT FCM RATES" u="1"/>
        <s v="MKT FLATS PAID AT FCM RATES" u="1"/>
        <s v="IMB ACCOUNTING BASIC QBRM CARDS" u="1"/>
        <s v="IMB ACCOUNTING HV QBRM CARDS" u="1"/>
      </sharedItems>
    </cacheField>
    <cacheField name="Regime" numFmtId="0">
      <sharedItems count="9">
        <s v="R2024-2"/>
        <s v="R2025-1"/>
        <s v="R2025-2"/>
        <s v="R2023-2" u="1"/>
        <s v="R2024-1" u="1"/>
        <s v="2024-1" u="1"/>
        <s v="2024-2" u="1"/>
        <s v="RR2024-2" u="1"/>
        <s v="2023-2" u="1"/>
      </sharedItems>
    </cacheField>
    <cacheField name="Revenue" numFmtId="3">
      <sharedItems containsSemiMixedTypes="0" containsString="0" containsNumber="1" minValue="-185599.00000000003" maxValue="2600641790.2091498"/>
    </cacheField>
    <cacheField name="Pieces" numFmtId="3">
      <sharedItems containsSemiMixedTypes="0" containsString="0" containsNumber="1" minValue="-89511.873196826171" maxValue="4771131848.2047281"/>
    </cacheField>
    <cacheField name="Weight" numFmtId="3">
      <sharedItems containsSemiMixedTypes="0" containsString="0" containsNumber="1" minValue="-2477.725034654055" maxValue="245463214.865656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4">
  <r>
    <x v="0"/>
    <x v="0"/>
    <x v="0"/>
    <x v="0"/>
    <x v="0"/>
    <x v="0"/>
    <x v="0"/>
    <x v="0"/>
    <x v="0"/>
    <n v="1032907.8262446382"/>
    <n v="1414942.907957454"/>
    <n v="67759.898671188552"/>
  </r>
  <r>
    <x v="0"/>
    <x v="0"/>
    <x v="1"/>
    <x v="0"/>
    <x v="0"/>
    <x v="0"/>
    <x v="0"/>
    <x v="0"/>
    <x v="0"/>
    <n v="81924.702650145831"/>
    <n v="112225.70859441762"/>
    <n v="4573.6614654243422"/>
  </r>
  <r>
    <x v="0"/>
    <x v="0"/>
    <x v="2"/>
    <x v="0"/>
    <x v="0"/>
    <x v="0"/>
    <x v="0"/>
    <x v="0"/>
    <x v="0"/>
    <n v="9769570.5750732776"/>
    <n v="13382896.703331206"/>
    <n v="697589.65176901012"/>
  </r>
  <r>
    <x v="0"/>
    <x v="0"/>
    <x v="0"/>
    <x v="0"/>
    <x v="1"/>
    <x v="0"/>
    <x v="0"/>
    <x v="0"/>
    <x v="0"/>
    <n v="80329.472754196075"/>
    <n v="110040.39609666754"/>
    <n v="10345.910298041368"/>
  </r>
  <r>
    <x v="0"/>
    <x v="0"/>
    <x v="1"/>
    <x v="0"/>
    <x v="1"/>
    <x v="0"/>
    <x v="0"/>
    <x v="0"/>
    <x v="0"/>
    <n v="20695.807845641797"/>
    <n v="28350.437623155714"/>
    <n v="2397.141663713262"/>
  </r>
  <r>
    <x v="0"/>
    <x v="0"/>
    <x v="2"/>
    <x v="0"/>
    <x v="1"/>
    <x v="0"/>
    <x v="0"/>
    <x v="0"/>
    <x v="0"/>
    <n v="732294.1410198228"/>
    <n v="1003190.6519503866"/>
    <n v="107657.99901289516"/>
  </r>
  <r>
    <x v="0"/>
    <x v="0"/>
    <x v="0"/>
    <x v="0"/>
    <x v="2"/>
    <x v="0"/>
    <x v="0"/>
    <x v="0"/>
    <x v="0"/>
    <n v="581.46908459097006"/>
    <n v="796.53377411466136"/>
    <n v="120.20677235696768"/>
  </r>
  <r>
    <x v="0"/>
    <x v="0"/>
    <x v="1"/>
    <x v="0"/>
    <x v="2"/>
    <x v="0"/>
    <x v="0"/>
    <x v="0"/>
    <x v="0"/>
    <n v="101.35258234677818"/>
    <n v="138.83924299158855"/>
    <n v="20.252642640662863"/>
  </r>
  <r>
    <x v="0"/>
    <x v="0"/>
    <x v="2"/>
    <x v="0"/>
    <x v="2"/>
    <x v="0"/>
    <x v="0"/>
    <x v="0"/>
    <x v="0"/>
    <n v="192707.6106558067"/>
    <n v="263981.74168032565"/>
    <n v="46899.319440878062"/>
  </r>
  <r>
    <x v="0"/>
    <x v="0"/>
    <x v="0"/>
    <x v="0"/>
    <x v="3"/>
    <x v="0"/>
    <x v="0"/>
    <x v="0"/>
    <x v="0"/>
    <n v="71660.396363635286"/>
    <n v="98165.008900605841"/>
    <n v="19010.737670691473"/>
  </r>
  <r>
    <x v="0"/>
    <x v="0"/>
    <x v="1"/>
    <x v="0"/>
    <x v="3"/>
    <x v="0"/>
    <x v="0"/>
    <x v="0"/>
    <x v="0"/>
    <n v="32.972474806055523"/>
    <n v="45.167810594627653"/>
    <n v="8.1908159434126944"/>
  </r>
  <r>
    <x v="0"/>
    <x v="0"/>
    <x v="2"/>
    <x v="0"/>
    <x v="3"/>
    <x v="0"/>
    <x v="0"/>
    <x v="0"/>
    <x v="0"/>
    <n v="50655.673251127737"/>
    <n v="69390.903038140328"/>
    <n v="17270.029777219337"/>
  </r>
  <r>
    <x v="0"/>
    <x v="1"/>
    <x v="0"/>
    <x v="0"/>
    <x v="0"/>
    <x v="0"/>
    <x v="0"/>
    <x v="1"/>
    <x v="0"/>
    <n v="0"/>
    <n v="0"/>
    <n v="0"/>
  </r>
  <r>
    <x v="0"/>
    <x v="1"/>
    <x v="1"/>
    <x v="0"/>
    <x v="0"/>
    <x v="0"/>
    <x v="0"/>
    <x v="1"/>
    <x v="0"/>
    <n v="0"/>
    <n v="0"/>
    <n v="0"/>
  </r>
  <r>
    <x v="0"/>
    <x v="1"/>
    <x v="2"/>
    <x v="0"/>
    <x v="0"/>
    <x v="0"/>
    <x v="0"/>
    <x v="1"/>
    <x v="0"/>
    <n v="49670492.427500516"/>
    <n v="72792423.341021284"/>
    <n v="2896231.8348073834"/>
  </r>
  <r>
    <x v="0"/>
    <x v="1"/>
    <x v="0"/>
    <x v="0"/>
    <x v="1"/>
    <x v="0"/>
    <x v="0"/>
    <x v="1"/>
    <x v="0"/>
    <n v="0"/>
    <n v="0"/>
    <n v="0"/>
  </r>
  <r>
    <x v="0"/>
    <x v="1"/>
    <x v="1"/>
    <x v="0"/>
    <x v="1"/>
    <x v="0"/>
    <x v="0"/>
    <x v="1"/>
    <x v="0"/>
    <n v="0"/>
    <n v="0"/>
    <n v="0"/>
  </r>
  <r>
    <x v="0"/>
    <x v="1"/>
    <x v="2"/>
    <x v="0"/>
    <x v="1"/>
    <x v="0"/>
    <x v="0"/>
    <x v="1"/>
    <x v="0"/>
    <n v="7679375.7508808756"/>
    <n v="7123176.9317201721"/>
    <n v="580522.13746163249"/>
  </r>
  <r>
    <x v="0"/>
    <x v="1"/>
    <x v="0"/>
    <x v="0"/>
    <x v="2"/>
    <x v="0"/>
    <x v="0"/>
    <x v="1"/>
    <x v="0"/>
    <n v="0"/>
    <n v="0"/>
    <n v="0"/>
  </r>
  <r>
    <x v="0"/>
    <x v="1"/>
    <x v="1"/>
    <x v="0"/>
    <x v="2"/>
    <x v="0"/>
    <x v="0"/>
    <x v="1"/>
    <x v="0"/>
    <n v="0"/>
    <n v="0"/>
    <n v="0"/>
  </r>
  <r>
    <x v="0"/>
    <x v="1"/>
    <x v="2"/>
    <x v="0"/>
    <x v="2"/>
    <x v="0"/>
    <x v="0"/>
    <x v="1"/>
    <x v="0"/>
    <n v="983694.46170315135"/>
    <n v="714377.97976644395"/>
    <n v="97412.64280259762"/>
  </r>
  <r>
    <x v="0"/>
    <x v="1"/>
    <x v="0"/>
    <x v="0"/>
    <x v="3"/>
    <x v="0"/>
    <x v="0"/>
    <x v="1"/>
    <x v="0"/>
    <n v="0"/>
    <n v="0"/>
    <n v="0"/>
  </r>
  <r>
    <x v="0"/>
    <x v="1"/>
    <x v="1"/>
    <x v="0"/>
    <x v="3"/>
    <x v="0"/>
    <x v="0"/>
    <x v="1"/>
    <x v="0"/>
    <n v="0"/>
    <n v="0"/>
    <n v="0"/>
  </r>
  <r>
    <x v="0"/>
    <x v="1"/>
    <x v="2"/>
    <x v="0"/>
    <x v="3"/>
    <x v="0"/>
    <x v="0"/>
    <x v="1"/>
    <x v="0"/>
    <n v="105289.81432670301"/>
    <n v="62158.490181725661"/>
    <n v="11849.007999819029"/>
  </r>
  <r>
    <x v="0"/>
    <x v="1"/>
    <x v="0"/>
    <x v="0"/>
    <x v="0"/>
    <x v="0"/>
    <x v="0"/>
    <x v="1"/>
    <x v="0"/>
    <n v="0"/>
    <n v="0"/>
    <n v="0"/>
  </r>
  <r>
    <x v="0"/>
    <x v="1"/>
    <x v="2"/>
    <x v="0"/>
    <x v="0"/>
    <x v="0"/>
    <x v="0"/>
    <x v="1"/>
    <x v="0"/>
    <n v="84478.737557345768"/>
    <n v="121321.54163919884"/>
    <n v="4816.5625617635023"/>
  </r>
  <r>
    <x v="0"/>
    <x v="1"/>
    <x v="1"/>
    <x v="0"/>
    <x v="1"/>
    <x v="0"/>
    <x v="0"/>
    <x v="1"/>
    <x v="0"/>
    <n v="0"/>
    <n v="0"/>
    <n v="0"/>
  </r>
  <r>
    <x v="0"/>
    <x v="1"/>
    <x v="2"/>
    <x v="0"/>
    <x v="1"/>
    <x v="0"/>
    <x v="0"/>
    <x v="1"/>
    <x v="0"/>
    <n v="122016.18405712815"/>
    <n v="125538.96537288176"/>
    <n v="10278.990983521588"/>
  </r>
  <r>
    <x v="0"/>
    <x v="1"/>
    <x v="1"/>
    <x v="0"/>
    <x v="2"/>
    <x v="0"/>
    <x v="0"/>
    <x v="1"/>
    <x v="0"/>
    <n v="0"/>
    <n v="0"/>
    <n v="0"/>
  </r>
  <r>
    <x v="0"/>
    <x v="1"/>
    <x v="2"/>
    <x v="0"/>
    <x v="2"/>
    <x v="0"/>
    <x v="0"/>
    <x v="1"/>
    <x v="0"/>
    <n v="19398.383496300507"/>
    <n v="18380.178745077192"/>
    <n v="2502.976445127083"/>
  </r>
  <r>
    <x v="0"/>
    <x v="1"/>
    <x v="2"/>
    <x v="0"/>
    <x v="3"/>
    <x v="0"/>
    <x v="0"/>
    <x v="1"/>
    <x v="0"/>
    <n v="1538.4154598906161"/>
    <n v="999.37873320694177"/>
    <n v="187.54890919082419"/>
  </r>
  <r>
    <x v="0"/>
    <x v="1"/>
    <x v="2"/>
    <x v="0"/>
    <x v="0"/>
    <x v="0"/>
    <x v="0"/>
    <x v="1"/>
    <x v="0"/>
    <n v="216.82501795611975"/>
    <n v="314.19282063887505"/>
    <n v="12.29802897818958"/>
  </r>
  <r>
    <x v="0"/>
    <x v="2"/>
    <x v="0"/>
    <x v="0"/>
    <x v="3"/>
    <x v="0"/>
    <x v="0"/>
    <x v="2"/>
    <x v="0"/>
    <n v="0"/>
    <n v="0"/>
    <n v="0"/>
  </r>
  <r>
    <x v="0"/>
    <x v="2"/>
    <x v="1"/>
    <x v="0"/>
    <x v="3"/>
    <x v="0"/>
    <x v="0"/>
    <x v="2"/>
    <x v="0"/>
    <n v="0"/>
    <n v="0"/>
    <n v="0"/>
  </r>
  <r>
    <x v="0"/>
    <x v="2"/>
    <x v="2"/>
    <x v="0"/>
    <x v="3"/>
    <x v="0"/>
    <x v="0"/>
    <x v="2"/>
    <x v="0"/>
    <n v="136926.99999999991"/>
    <n v="0"/>
    <n v="0"/>
  </r>
  <r>
    <x v="0"/>
    <x v="3"/>
    <x v="0"/>
    <x v="1"/>
    <x v="0"/>
    <x v="1"/>
    <x v="1"/>
    <x v="3"/>
    <x v="0"/>
    <n v="0"/>
    <n v="0"/>
    <n v="0"/>
  </r>
  <r>
    <x v="0"/>
    <x v="3"/>
    <x v="1"/>
    <x v="1"/>
    <x v="0"/>
    <x v="1"/>
    <x v="1"/>
    <x v="3"/>
    <x v="0"/>
    <n v="0"/>
    <n v="0"/>
    <n v="0"/>
  </r>
  <r>
    <x v="0"/>
    <x v="3"/>
    <x v="2"/>
    <x v="1"/>
    <x v="0"/>
    <x v="1"/>
    <x v="1"/>
    <x v="3"/>
    <x v="0"/>
    <n v="961853.16946740041"/>
    <n v="620483.45719060674"/>
    <n v="29496.624911598974"/>
  </r>
  <r>
    <x v="0"/>
    <x v="3"/>
    <x v="0"/>
    <x v="1"/>
    <x v="1"/>
    <x v="1"/>
    <x v="1"/>
    <x v="3"/>
    <x v="0"/>
    <n v="0"/>
    <n v="0"/>
    <n v="0"/>
  </r>
  <r>
    <x v="0"/>
    <x v="3"/>
    <x v="1"/>
    <x v="1"/>
    <x v="1"/>
    <x v="1"/>
    <x v="1"/>
    <x v="3"/>
    <x v="0"/>
    <n v="0"/>
    <n v="0"/>
    <n v="0"/>
  </r>
  <r>
    <x v="0"/>
    <x v="3"/>
    <x v="2"/>
    <x v="1"/>
    <x v="1"/>
    <x v="1"/>
    <x v="1"/>
    <x v="3"/>
    <x v="0"/>
    <n v="3335492.1663404698"/>
    <n v="1861471.9338753049"/>
    <n v="181212.66108015866"/>
  </r>
  <r>
    <x v="0"/>
    <x v="3"/>
    <x v="0"/>
    <x v="1"/>
    <x v="2"/>
    <x v="1"/>
    <x v="1"/>
    <x v="3"/>
    <x v="0"/>
    <n v="0"/>
    <n v="0"/>
    <n v="0"/>
  </r>
  <r>
    <x v="0"/>
    <x v="3"/>
    <x v="1"/>
    <x v="1"/>
    <x v="2"/>
    <x v="1"/>
    <x v="1"/>
    <x v="3"/>
    <x v="0"/>
    <n v="0"/>
    <n v="0"/>
    <n v="0"/>
  </r>
  <r>
    <x v="0"/>
    <x v="3"/>
    <x v="2"/>
    <x v="1"/>
    <x v="2"/>
    <x v="1"/>
    <x v="1"/>
    <x v="3"/>
    <x v="0"/>
    <n v="2693857.3343810397"/>
    <n v="1287534.5184143104"/>
    <n v="207956.46906272718"/>
  </r>
  <r>
    <x v="0"/>
    <x v="3"/>
    <x v="0"/>
    <x v="1"/>
    <x v="3"/>
    <x v="1"/>
    <x v="1"/>
    <x v="3"/>
    <x v="0"/>
    <n v="0"/>
    <n v="0"/>
    <n v="0"/>
  </r>
  <r>
    <x v="0"/>
    <x v="3"/>
    <x v="1"/>
    <x v="1"/>
    <x v="3"/>
    <x v="1"/>
    <x v="1"/>
    <x v="3"/>
    <x v="0"/>
    <n v="0"/>
    <n v="0"/>
    <n v="0"/>
  </r>
  <r>
    <x v="0"/>
    <x v="3"/>
    <x v="2"/>
    <x v="1"/>
    <x v="3"/>
    <x v="1"/>
    <x v="1"/>
    <x v="3"/>
    <x v="0"/>
    <n v="3346133.8448864566"/>
    <n v="1452827.752318396"/>
    <n v="329739.93572110188"/>
  </r>
  <r>
    <x v="0"/>
    <x v="3"/>
    <x v="0"/>
    <x v="1"/>
    <x v="4"/>
    <x v="1"/>
    <x v="1"/>
    <x v="3"/>
    <x v="0"/>
    <n v="0"/>
    <n v="0"/>
    <n v="0"/>
  </r>
  <r>
    <x v="0"/>
    <x v="3"/>
    <x v="1"/>
    <x v="1"/>
    <x v="4"/>
    <x v="1"/>
    <x v="1"/>
    <x v="3"/>
    <x v="0"/>
    <n v="0"/>
    <n v="0"/>
    <n v="0"/>
  </r>
  <r>
    <x v="0"/>
    <x v="3"/>
    <x v="2"/>
    <x v="1"/>
    <x v="4"/>
    <x v="1"/>
    <x v="1"/>
    <x v="3"/>
    <x v="0"/>
    <n v="2543702.9646936487"/>
    <n v="983802.56316945388"/>
    <n v="286421.7463191853"/>
  </r>
  <r>
    <x v="0"/>
    <x v="3"/>
    <x v="0"/>
    <x v="1"/>
    <x v="5"/>
    <x v="1"/>
    <x v="1"/>
    <x v="3"/>
    <x v="0"/>
    <n v="0"/>
    <n v="0"/>
    <n v="0"/>
  </r>
  <r>
    <x v="0"/>
    <x v="3"/>
    <x v="1"/>
    <x v="1"/>
    <x v="5"/>
    <x v="1"/>
    <x v="1"/>
    <x v="3"/>
    <x v="0"/>
    <n v="0"/>
    <n v="0"/>
    <n v="0"/>
  </r>
  <r>
    <x v="0"/>
    <x v="3"/>
    <x v="2"/>
    <x v="1"/>
    <x v="5"/>
    <x v="1"/>
    <x v="1"/>
    <x v="3"/>
    <x v="0"/>
    <n v="1676460.6537751222"/>
    <n v="584649.5378119722"/>
    <n v="208316.67783033958"/>
  </r>
  <r>
    <x v="0"/>
    <x v="3"/>
    <x v="0"/>
    <x v="1"/>
    <x v="6"/>
    <x v="1"/>
    <x v="1"/>
    <x v="3"/>
    <x v="0"/>
    <n v="0"/>
    <n v="0"/>
    <n v="0"/>
  </r>
  <r>
    <x v="0"/>
    <x v="3"/>
    <x v="1"/>
    <x v="1"/>
    <x v="6"/>
    <x v="1"/>
    <x v="1"/>
    <x v="3"/>
    <x v="0"/>
    <n v="0"/>
    <n v="0"/>
    <n v="0"/>
  </r>
  <r>
    <x v="0"/>
    <x v="3"/>
    <x v="2"/>
    <x v="1"/>
    <x v="6"/>
    <x v="1"/>
    <x v="1"/>
    <x v="3"/>
    <x v="0"/>
    <n v="929082.92439558555"/>
    <n v="294718.14923211135"/>
    <n v="124399.91505393067"/>
  </r>
  <r>
    <x v="0"/>
    <x v="3"/>
    <x v="0"/>
    <x v="1"/>
    <x v="7"/>
    <x v="1"/>
    <x v="1"/>
    <x v="3"/>
    <x v="0"/>
    <n v="0"/>
    <n v="0"/>
    <n v="0"/>
  </r>
  <r>
    <x v="0"/>
    <x v="3"/>
    <x v="1"/>
    <x v="1"/>
    <x v="7"/>
    <x v="1"/>
    <x v="1"/>
    <x v="3"/>
    <x v="0"/>
    <n v="0"/>
    <n v="0"/>
    <n v="0"/>
  </r>
  <r>
    <x v="0"/>
    <x v="3"/>
    <x v="2"/>
    <x v="1"/>
    <x v="7"/>
    <x v="1"/>
    <x v="1"/>
    <x v="3"/>
    <x v="0"/>
    <n v="637531.83886372217"/>
    <n v="185541.58773738332"/>
    <n v="89671.786949457994"/>
  </r>
  <r>
    <x v="0"/>
    <x v="3"/>
    <x v="0"/>
    <x v="1"/>
    <x v="8"/>
    <x v="1"/>
    <x v="1"/>
    <x v="3"/>
    <x v="0"/>
    <n v="0"/>
    <n v="0"/>
    <n v="0"/>
  </r>
  <r>
    <x v="0"/>
    <x v="3"/>
    <x v="1"/>
    <x v="1"/>
    <x v="8"/>
    <x v="1"/>
    <x v="1"/>
    <x v="3"/>
    <x v="0"/>
    <n v="0"/>
    <n v="0"/>
    <n v="0"/>
  </r>
  <r>
    <x v="0"/>
    <x v="3"/>
    <x v="2"/>
    <x v="1"/>
    <x v="8"/>
    <x v="1"/>
    <x v="1"/>
    <x v="3"/>
    <x v="0"/>
    <n v="708503.58115422365"/>
    <n v="191205.16420954661"/>
    <n v="105249.04679643517"/>
  </r>
  <r>
    <x v="0"/>
    <x v="3"/>
    <x v="0"/>
    <x v="1"/>
    <x v="9"/>
    <x v="1"/>
    <x v="1"/>
    <x v="3"/>
    <x v="0"/>
    <n v="0"/>
    <n v="0"/>
    <n v="0"/>
  </r>
  <r>
    <x v="0"/>
    <x v="3"/>
    <x v="1"/>
    <x v="1"/>
    <x v="9"/>
    <x v="1"/>
    <x v="1"/>
    <x v="3"/>
    <x v="0"/>
    <n v="0"/>
    <n v="0"/>
    <n v="0"/>
  </r>
  <r>
    <x v="0"/>
    <x v="3"/>
    <x v="2"/>
    <x v="1"/>
    <x v="9"/>
    <x v="1"/>
    <x v="1"/>
    <x v="3"/>
    <x v="0"/>
    <n v="549092.81354935258"/>
    <n v="137186.9004541309"/>
    <n v="84165.318276643273"/>
  </r>
  <r>
    <x v="0"/>
    <x v="3"/>
    <x v="0"/>
    <x v="1"/>
    <x v="10"/>
    <x v="1"/>
    <x v="1"/>
    <x v="3"/>
    <x v="0"/>
    <n v="0"/>
    <n v="0"/>
    <n v="0"/>
  </r>
  <r>
    <x v="0"/>
    <x v="3"/>
    <x v="1"/>
    <x v="1"/>
    <x v="10"/>
    <x v="1"/>
    <x v="1"/>
    <x v="3"/>
    <x v="0"/>
    <n v="0"/>
    <n v="0"/>
    <n v="0"/>
  </r>
  <r>
    <x v="0"/>
    <x v="3"/>
    <x v="2"/>
    <x v="1"/>
    <x v="10"/>
    <x v="1"/>
    <x v="1"/>
    <x v="3"/>
    <x v="0"/>
    <n v="519951.96070009918"/>
    <n v="120658.94589634078"/>
    <n v="82253.246939590317"/>
  </r>
  <r>
    <x v="0"/>
    <x v="3"/>
    <x v="0"/>
    <x v="1"/>
    <x v="11"/>
    <x v="1"/>
    <x v="1"/>
    <x v="3"/>
    <x v="0"/>
    <n v="0"/>
    <n v="0"/>
    <n v="0"/>
  </r>
  <r>
    <x v="0"/>
    <x v="3"/>
    <x v="2"/>
    <x v="1"/>
    <x v="11"/>
    <x v="1"/>
    <x v="1"/>
    <x v="3"/>
    <x v="0"/>
    <n v="450047.01738129539"/>
    <n v="98343.83588068989"/>
    <n v="73070.648620356136"/>
  </r>
  <r>
    <x v="0"/>
    <x v="3"/>
    <x v="0"/>
    <x v="1"/>
    <x v="12"/>
    <x v="1"/>
    <x v="1"/>
    <x v="3"/>
    <x v="0"/>
    <n v="0"/>
    <n v="0"/>
    <n v="0"/>
  </r>
  <r>
    <x v="0"/>
    <x v="3"/>
    <x v="2"/>
    <x v="1"/>
    <x v="12"/>
    <x v="1"/>
    <x v="1"/>
    <x v="3"/>
    <x v="0"/>
    <n v="263569.28206004045"/>
    <n v="54140.183124862713"/>
    <n v="44032.705804479912"/>
  </r>
  <r>
    <x v="0"/>
    <x v="3"/>
    <x v="2"/>
    <x v="1"/>
    <x v="1"/>
    <x v="1"/>
    <x v="1"/>
    <x v="3"/>
    <x v="0"/>
    <n v="2931.4483515432112"/>
    <n v="4235.4706849004342"/>
    <n v="413.21663399275468"/>
  </r>
  <r>
    <x v="0"/>
    <x v="4"/>
    <x v="0"/>
    <x v="1"/>
    <x v="0"/>
    <x v="1"/>
    <x v="1"/>
    <x v="4"/>
    <x v="0"/>
    <n v="529101.89919240982"/>
    <n v="323209.18203155702"/>
    <n v="20589.212296667069"/>
  </r>
  <r>
    <x v="0"/>
    <x v="4"/>
    <x v="1"/>
    <x v="1"/>
    <x v="0"/>
    <x v="1"/>
    <x v="1"/>
    <x v="4"/>
    <x v="0"/>
    <n v="11028.034077281856"/>
    <n v="8367.0187030918751"/>
    <n v="460.21076387023044"/>
  </r>
  <r>
    <x v="0"/>
    <x v="4"/>
    <x v="2"/>
    <x v="1"/>
    <x v="0"/>
    <x v="1"/>
    <x v="1"/>
    <x v="4"/>
    <x v="0"/>
    <n v="454867.80240673333"/>
    <n v="317633.66499730153"/>
    <n v="16400.414082853971"/>
  </r>
  <r>
    <x v="0"/>
    <x v="4"/>
    <x v="0"/>
    <x v="1"/>
    <x v="1"/>
    <x v="1"/>
    <x v="1"/>
    <x v="4"/>
    <x v="0"/>
    <n v="32336.171814211259"/>
    <n v="20119.333200901427"/>
    <n v="1933.5779800590203"/>
  </r>
  <r>
    <x v="0"/>
    <x v="4"/>
    <x v="1"/>
    <x v="1"/>
    <x v="1"/>
    <x v="1"/>
    <x v="1"/>
    <x v="4"/>
    <x v="0"/>
    <n v="23128.890092651029"/>
    <n v="14545.805304012021"/>
    <n v="1731.3096073787312"/>
  </r>
  <r>
    <x v="0"/>
    <x v="4"/>
    <x v="2"/>
    <x v="1"/>
    <x v="1"/>
    <x v="1"/>
    <x v="1"/>
    <x v="4"/>
    <x v="0"/>
    <n v="243658.19541216211"/>
    <n v="142764.68951216814"/>
    <n v="14804.949030602187"/>
  </r>
  <r>
    <x v="0"/>
    <x v="4"/>
    <x v="0"/>
    <x v="1"/>
    <x v="2"/>
    <x v="1"/>
    <x v="1"/>
    <x v="4"/>
    <x v="0"/>
    <n v="163652.17394351229"/>
    <n v="87712.028358075739"/>
    <n v="13537.213064901498"/>
  </r>
  <r>
    <x v="0"/>
    <x v="4"/>
    <x v="1"/>
    <x v="1"/>
    <x v="2"/>
    <x v="1"/>
    <x v="1"/>
    <x v="4"/>
    <x v="0"/>
    <n v="4052.7248536053394"/>
    <n v="2317.2667377689363"/>
    <n v="373.03886055811017"/>
  </r>
  <r>
    <x v="0"/>
    <x v="4"/>
    <x v="2"/>
    <x v="1"/>
    <x v="2"/>
    <x v="1"/>
    <x v="1"/>
    <x v="4"/>
    <x v="0"/>
    <n v="399375.04279322602"/>
    <n v="206542.07702944218"/>
    <n v="35947.125229316822"/>
  </r>
  <r>
    <x v="0"/>
    <x v="4"/>
    <x v="0"/>
    <x v="1"/>
    <x v="3"/>
    <x v="1"/>
    <x v="1"/>
    <x v="4"/>
    <x v="0"/>
    <n v="431510.54872898478"/>
    <n v="191865.29284214019"/>
    <n v="63355.65587278676"/>
  </r>
  <r>
    <x v="0"/>
    <x v="4"/>
    <x v="1"/>
    <x v="1"/>
    <x v="3"/>
    <x v="1"/>
    <x v="1"/>
    <x v="4"/>
    <x v="0"/>
    <n v="5116.3437480542234"/>
    <n v="2627.4669327180645"/>
    <n v="511.87423398507138"/>
  </r>
  <r>
    <x v="0"/>
    <x v="4"/>
    <x v="2"/>
    <x v="1"/>
    <x v="3"/>
    <x v="1"/>
    <x v="1"/>
    <x v="4"/>
    <x v="0"/>
    <n v="406349.71927347902"/>
    <n v="183035.98015206319"/>
    <n v="45714.060350274107"/>
  </r>
  <r>
    <x v="0"/>
    <x v="4"/>
    <x v="0"/>
    <x v="1"/>
    <x v="4"/>
    <x v="1"/>
    <x v="1"/>
    <x v="4"/>
    <x v="0"/>
    <n v="182896.30657365097"/>
    <n v="76696.874008366751"/>
    <n v="22807.562668017828"/>
  </r>
  <r>
    <x v="0"/>
    <x v="4"/>
    <x v="2"/>
    <x v="1"/>
    <x v="4"/>
    <x v="1"/>
    <x v="1"/>
    <x v="4"/>
    <x v="0"/>
    <n v="388639.16523370397"/>
    <n v="156279.12667743224"/>
    <n v="49465.331387655468"/>
  </r>
  <r>
    <x v="0"/>
    <x v="4"/>
    <x v="0"/>
    <x v="1"/>
    <x v="5"/>
    <x v="1"/>
    <x v="1"/>
    <x v="4"/>
    <x v="0"/>
    <n v="29651.813536910126"/>
    <n v="10908.837765421722"/>
    <n v="4383.9603104405769"/>
  </r>
  <r>
    <x v="0"/>
    <x v="4"/>
    <x v="2"/>
    <x v="1"/>
    <x v="5"/>
    <x v="1"/>
    <x v="1"/>
    <x v="4"/>
    <x v="0"/>
    <n v="97139.860690497459"/>
    <n v="35008.345420279111"/>
    <n v="13362.063892109918"/>
  </r>
  <r>
    <x v="0"/>
    <x v="4"/>
    <x v="0"/>
    <x v="1"/>
    <x v="6"/>
    <x v="1"/>
    <x v="1"/>
    <x v="4"/>
    <x v="0"/>
    <n v="280993.78780464065"/>
    <n v="93419.467983138224"/>
    <n v="41889.459439774117"/>
  </r>
  <r>
    <x v="0"/>
    <x v="4"/>
    <x v="2"/>
    <x v="1"/>
    <x v="6"/>
    <x v="1"/>
    <x v="1"/>
    <x v="4"/>
    <x v="0"/>
    <n v="326748.35910516343"/>
    <n v="107131.15830759754"/>
    <n v="49423.981942562954"/>
  </r>
  <r>
    <x v="0"/>
    <x v="4"/>
    <x v="0"/>
    <x v="1"/>
    <x v="7"/>
    <x v="1"/>
    <x v="1"/>
    <x v="4"/>
    <x v="0"/>
    <n v="6794.8824199366018"/>
    <n v="2044.3358333918277"/>
    <n v="1088.6143484853485"/>
  </r>
  <r>
    <x v="0"/>
    <x v="4"/>
    <x v="2"/>
    <x v="1"/>
    <x v="7"/>
    <x v="1"/>
    <x v="1"/>
    <x v="4"/>
    <x v="0"/>
    <n v="39482.080331031888"/>
    <n v="11853.898847614581"/>
    <n v="5821.2401799458376"/>
  </r>
  <r>
    <x v="0"/>
    <x v="4"/>
    <x v="0"/>
    <x v="1"/>
    <x v="8"/>
    <x v="1"/>
    <x v="1"/>
    <x v="4"/>
    <x v="0"/>
    <n v="8334.0078199052678"/>
    <n v="2346.3134849657936"/>
    <n v="1756.9952201443839"/>
  </r>
  <r>
    <x v="0"/>
    <x v="4"/>
    <x v="2"/>
    <x v="1"/>
    <x v="8"/>
    <x v="1"/>
    <x v="1"/>
    <x v="4"/>
    <x v="0"/>
    <n v="22638.154578359499"/>
    <n v="6222.4960291162179"/>
    <n v="3943.3226582618709"/>
  </r>
  <r>
    <x v="0"/>
    <x v="4"/>
    <x v="0"/>
    <x v="1"/>
    <x v="9"/>
    <x v="1"/>
    <x v="1"/>
    <x v="4"/>
    <x v="0"/>
    <n v="2117.4423790346887"/>
    <n v="543.92187757450381"/>
    <n v="530.41830179204214"/>
  </r>
  <r>
    <x v="0"/>
    <x v="4"/>
    <x v="2"/>
    <x v="1"/>
    <x v="9"/>
    <x v="1"/>
    <x v="1"/>
    <x v="4"/>
    <x v="0"/>
    <n v="8736.5827126034274"/>
    <n v="2218.76430989545"/>
    <n v="1503.9208966463757"/>
  </r>
  <r>
    <x v="0"/>
    <x v="4"/>
    <x v="0"/>
    <x v="1"/>
    <x v="10"/>
    <x v="1"/>
    <x v="1"/>
    <x v="4"/>
    <x v="0"/>
    <n v="3377.3642895867179"/>
    <n v="802.23880411603352"/>
    <n v="960.14303328728283"/>
  </r>
  <r>
    <x v="0"/>
    <x v="4"/>
    <x v="2"/>
    <x v="1"/>
    <x v="10"/>
    <x v="1"/>
    <x v="1"/>
    <x v="4"/>
    <x v="0"/>
    <n v="27238.737146854801"/>
    <n v="6393.843815022984"/>
    <n v="5015.4215423021951"/>
  </r>
  <r>
    <x v="0"/>
    <x v="4"/>
    <x v="0"/>
    <x v="1"/>
    <x v="11"/>
    <x v="1"/>
    <x v="1"/>
    <x v="4"/>
    <x v="0"/>
    <n v="11098.192286009134"/>
    <n v="2542.9020297851566"/>
    <n v="1631.7828352719391"/>
  </r>
  <r>
    <x v="0"/>
    <x v="4"/>
    <x v="2"/>
    <x v="1"/>
    <x v="11"/>
    <x v="1"/>
    <x v="1"/>
    <x v="4"/>
    <x v="0"/>
    <n v="17390.369895379474"/>
    <n v="3880.4490521275134"/>
    <n v="3095.9726943666155"/>
  </r>
  <r>
    <x v="0"/>
    <x v="4"/>
    <x v="0"/>
    <x v="1"/>
    <x v="12"/>
    <x v="1"/>
    <x v="1"/>
    <x v="4"/>
    <x v="0"/>
    <n v="37388.416439614637"/>
    <n v="8028.7141029751911"/>
    <n v="5616.9711625800483"/>
  </r>
  <r>
    <x v="0"/>
    <x v="4"/>
    <x v="2"/>
    <x v="1"/>
    <x v="12"/>
    <x v="1"/>
    <x v="1"/>
    <x v="4"/>
    <x v="0"/>
    <n v="54808.930420800825"/>
    <n v="11471.505849938263"/>
    <n v="9941.1961131018888"/>
  </r>
  <r>
    <x v="0"/>
    <x v="5"/>
    <x v="0"/>
    <x v="0"/>
    <x v="0"/>
    <x v="2"/>
    <x v="2"/>
    <x v="5"/>
    <x v="0"/>
    <n v="377"/>
    <n v="633"/>
    <n v="28"/>
  </r>
  <r>
    <x v="0"/>
    <x v="6"/>
    <x v="0"/>
    <x v="0"/>
    <x v="0"/>
    <x v="2"/>
    <x v="2"/>
    <x v="6"/>
    <x v="0"/>
    <n v="28"/>
    <n v="44"/>
    <n v="2"/>
  </r>
  <r>
    <x v="0"/>
    <x v="7"/>
    <x v="0"/>
    <x v="0"/>
    <x v="0"/>
    <x v="2"/>
    <x v="2"/>
    <x v="7"/>
    <x v="0"/>
    <n v="10253452.597225947"/>
    <n v="17204028.929845985"/>
    <n v="885878.29837505857"/>
  </r>
  <r>
    <x v="0"/>
    <x v="7"/>
    <x v="1"/>
    <x v="0"/>
    <x v="0"/>
    <x v="2"/>
    <x v="2"/>
    <x v="7"/>
    <x v="0"/>
    <n v="1013693.7617798627"/>
    <n v="1700832.3711169355"/>
    <n v="87686.998167455255"/>
  </r>
  <r>
    <x v="0"/>
    <x v="7"/>
    <x v="2"/>
    <x v="0"/>
    <x v="0"/>
    <x v="2"/>
    <x v="2"/>
    <x v="7"/>
    <x v="0"/>
    <n v="40961842.144434199"/>
    <n v="68727926.013167828"/>
    <n v="3600801.0604765783"/>
  </r>
  <r>
    <x v="0"/>
    <x v="7"/>
    <x v="0"/>
    <x v="0"/>
    <x v="1"/>
    <x v="2"/>
    <x v="2"/>
    <x v="7"/>
    <x v="0"/>
    <n v="62282.444371588579"/>
    <n v="104501.06707320135"/>
    <n v="11054.900003066941"/>
  </r>
  <r>
    <x v="0"/>
    <x v="7"/>
    <x v="1"/>
    <x v="0"/>
    <x v="1"/>
    <x v="2"/>
    <x v="2"/>
    <x v="7"/>
    <x v="0"/>
    <n v="143997.75965964186"/>
    <n v="241608.03016123222"/>
    <n v="25561.370958596191"/>
  </r>
  <r>
    <x v="0"/>
    <x v="7"/>
    <x v="2"/>
    <x v="0"/>
    <x v="1"/>
    <x v="2"/>
    <x v="2"/>
    <x v="7"/>
    <x v="0"/>
    <n v="1584881.2584125849"/>
    <n v="2659196.6799911531"/>
    <n v="284620.93172034284"/>
  </r>
  <r>
    <x v="0"/>
    <x v="7"/>
    <x v="0"/>
    <x v="0"/>
    <x v="2"/>
    <x v="2"/>
    <x v="2"/>
    <x v="7"/>
    <x v="0"/>
    <n v="4356.8967374362846"/>
    <n v="7310.2465515052154"/>
    <n v="1289.7764543123876"/>
  </r>
  <r>
    <x v="0"/>
    <x v="7"/>
    <x v="1"/>
    <x v="0"/>
    <x v="2"/>
    <x v="2"/>
    <x v="2"/>
    <x v="7"/>
    <x v="0"/>
    <n v="2260.3120188027879"/>
    <n v="3792.4940677871141"/>
    <n v="667.84061447115209"/>
  </r>
  <r>
    <x v="0"/>
    <x v="7"/>
    <x v="2"/>
    <x v="0"/>
    <x v="2"/>
    <x v="2"/>
    <x v="2"/>
    <x v="7"/>
    <x v="0"/>
    <n v="102025.9933624158"/>
    <n v="171184.54598735349"/>
    <n v="31022.190283502714"/>
  </r>
  <r>
    <x v="0"/>
    <x v="7"/>
    <x v="0"/>
    <x v="0"/>
    <x v="3"/>
    <x v="2"/>
    <x v="2"/>
    <x v="7"/>
    <x v="0"/>
    <n v="19198.228206735479"/>
    <n v="32211.861183334851"/>
    <n v="7957.8154270410778"/>
  </r>
  <r>
    <x v="0"/>
    <x v="7"/>
    <x v="2"/>
    <x v="0"/>
    <x v="3"/>
    <x v="2"/>
    <x v="2"/>
    <x v="7"/>
    <x v="0"/>
    <n v="86666.603790653389"/>
    <n v="145413.76085360529"/>
    <n v="36522.817519556462"/>
  </r>
  <r>
    <x v="0"/>
    <x v="8"/>
    <x v="0"/>
    <x v="0"/>
    <x v="0"/>
    <x v="2"/>
    <x v="2"/>
    <x v="8"/>
    <x v="0"/>
    <n v="5542606.9841380501"/>
    <n v="8714790.5501326881"/>
    <n v="446406.21224063961"/>
  </r>
  <r>
    <x v="0"/>
    <x v="8"/>
    <x v="1"/>
    <x v="0"/>
    <x v="0"/>
    <x v="2"/>
    <x v="2"/>
    <x v="8"/>
    <x v="0"/>
    <n v="541996.53908565536"/>
    <n v="852195.79608684522"/>
    <n v="43610.944439946725"/>
  </r>
  <r>
    <x v="0"/>
    <x v="8"/>
    <x v="2"/>
    <x v="0"/>
    <x v="0"/>
    <x v="2"/>
    <x v="2"/>
    <x v="8"/>
    <x v="0"/>
    <n v="17744726.84163608"/>
    <n v="27900465.985785715"/>
    <n v="1366158.3731170264"/>
  </r>
  <r>
    <x v="0"/>
    <x v="8"/>
    <x v="0"/>
    <x v="0"/>
    <x v="1"/>
    <x v="2"/>
    <x v="2"/>
    <x v="8"/>
    <x v="0"/>
    <n v="56192.184829681319"/>
    <n v="88352.49001352799"/>
    <n v="9336.8682885072394"/>
  </r>
  <r>
    <x v="0"/>
    <x v="8"/>
    <x v="1"/>
    <x v="0"/>
    <x v="1"/>
    <x v="2"/>
    <x v="2"/>
    <x v="8"/>
    <x v="0"/>
    <n v="63174.25296424226"/>
    <n v="99330.581276935642"/>
    <n v="10429.190113432871"/>
  </r>
  <r>
    <x v="0"/>
    <x v="8"/>
    <x v="2"/>
    <x v="0"/>
    <x v="1"/>
    <x v="2"/>
    <x v="2"/>
    <x v="8"/>
    <x v="0"/>
    <n v="737922.62776694319"/>
    <n v="1160253.5077083176"/>
    <n v="116675.14565478671"/>
  </r>
  <r>
    <x v="0"/>
    <x v="8"/>
    <x v="0"/>
    <x v="0"/>
    <x v="2"/>
    <x v="2"/>
    <x v="2"/>
    <x v="8"/>
    <x v="0"/>
    <n v="724.02593336466566"/>
    <n v="1138.4055686936135"/>
    <n v="199.83964907646478"/>
  </r>
  <r>
    <x v="0"/>
    <x v="8"/>
    <x v="1"/>
    <x v="0"/>
    <x v="2"/>
    <x v="2"/>
    <x v="2"/>
    <x v="8"/>
    <x v="0"/>
    <n v="638.88787980532834"/>
    <n v="1004.5405922748249"/>
    <n v="175.43706475930048"/>
  </r>
  <r>
    <x v="0"/>
    <x v="8"/>
    <x v="2"/>
    <x v="0"/>
    <x v="2"/>
    <x v="2"/>
    <x v="2"/>
    <x v="8"/>
    <x v="0"/>
    <n v="230295.9539786622"/>
    <n v="362099.93950253964"/>
    <n v="60768.02511968543"/>
  </r>
  <r>
    <x v="0"/>
    <x v="8"/>
    <x v="0"/>
    <x v="0"/>
    <x v="3"/>
    <x v="2"/>
    <x v="2"/>
    <x v="8"/>
    <x v="0"/>
    <n v="28474.125169195409"/>
    <n v="44770.63632903681"/>
    <n v="11009.50820363718"/>
  </r>
  <r>
    <x v="0"/>
    <x v="8"/>
    <x v="2"/>
    <x v="0"/>
    <x v="3"/>
    <x v="2"/>
    <x v="2"/>
    <x v="8"/>
    <x v="0"/>
    <n v="33290.576618302191"/>
    <n v="52343.567003352269"/>
    <n v="12265.456108500552"/>
  </r>
  <r>
    <x v="0"/>
    <x v="9"/>
    <x v="0"/>
    <x v="0"/>
    <x v="0"/>
    <x v="2"/>
    <x v="2"/>
    <x v="9"/>
    <x v="0"/>
    <n v="8826.5284127759005"/>
    <n v="11060.447009371179"/>
    <n v="462.00973998550541"/>
  </r>
  <r>
    <x v="0"/>
    <x v="9"/>
    <x v="1"/>
    <x v="0"/>
    <x v="0"/>
    <x v="2"/>
    <x v="2"/>
    <x v="9"/>
    <x v="0"/>
    <n v="12660.524994538073"/>
    <n v="15864.739028152999"/>
    <n v="723.72586679920801"/>
  </r>
  <r>
    <x v="0"/>
    <x v="9"/>
    <x v="2"/>
    <x v="0"/>
    <x v="0"/>
    <x v="2"/>
    <x v="2"/>
    <x v="9"/>
    <x v="0"/>
    <n v="93833.931864362821"/>
    <n v="117586.41180670605"/>
    <n v="7247.9168650365664"/>
  </r>
  <r>
    <x v="0"/>
    <x v="9"/>
    <x v="1"/>
    <x v="0"/>
    <x v="1"/>
    <x v="2"/>
    <x v="2"/>
    <x v="9"/>
    <x v="0"/>
    <n v="283.94659268602578"/>
    <n v="355.81396247582728"/>
    <n v="24.264393215286749"/>
  </r>
  <r>
    <x v="0"/>
    <x v="9"/>
    <x v="2"/>
    <x v="0"/>
    <x v="1"/>
    <x v="2"/>
    <x v="2"/>
    <x v="9"/>
    <x v="0"/>
    <n v="155650.30461161063"/>
    <n v="195049.85476361719"/>
    <n v="19281.162587048195"/>
  </r>
  <r>
    <x v="0"/>
    <x v="9"/>
    <x v="2"/>
    <x v="0"/>
    <x v="2"/>
    <x v="2"/>
    <x v="2"/>
    <x v="9"/>
    <x v="0"/>
    <n v="1405.6296658099457"/>
    <n v="1761.4345974595647"/>
    <n v="248.69792140171145"/>
  </r>
  <r>
    <x v="0"/>
    <x v="9"/>
    <x v="2"/>
    <x v="0"/>
    <x v="3"/>
    <x v="2"/>
    <x v="2"/>
    <x v="9"/>
    <x v="0"/>
    <n v="19338.133858216464"/>
    <n v="24233.29883221714"/>
    <n v="8706.2226265135305"/>
  </r>
  <r>
    <x v="0"/>
    <x v="10"/>
    <x v="0"/>
    <x v="0"/>
    <x v="0"/>
    <x v="2"/>
    <x v="2"/>
    <x v="10"/>
    <x v="0"/>
    <n v="2127.4740420032726"/>
    <n v="2343.0933023793032"/>
    <n v="102.56499168776081"/>
  </r>
  <r>
    <x v="0"/>
    <x v="10"/>
    <x v="1"/>
    <x v="0"/>
    <x v="0"/>
    <x v="2"/>
    <x v="2"/>
    <x v="10"/>
    <x v="0"/>
    <n v="15985.997460054117"/>
    <n v="17605.524387310881"/>
    <n v="835.17812225303953"/>
  </r>
  <r>
    <x v="0"/>
    <x v="10"/>
    <x v="2"/>
    <x v="0"/>
    <x v="0"/>
    <x v="2"/>
    <x v="2"/>
    <x v="10"/>
    <x v="0"/>
    <n v="146709.24341989198"/>
    <n v="161573.72421600015"/>
    <n v="7202.3851031979366"/>
  </r>
  <r>
    <x v="0"/>
    <x v="10"/>
    <x v="1"/>
    <x v="0"/>
    <x v="1"/>
    <x v="2"/>
    <x v="2"/>
    <x v="10"/>
    <x v="0"/>
    <n v="10262.528497942611"/>
    <n v="11302.382310309817"/>
    <n v="1034.2568860591996"/>
  </r>
  <r>
    <x v="0"/>
    <x v="10"/>
    <x v="2"/>
    <x v="0"/>
    <x v="1"/>
    <x v="2"/>
    <x v="2"/>
    <x v="10"/>
    <x v="0"/>
    <n v="99650.571123672722"/>
    <n v="109747.57556178929"/>
    <n v="10753.508968293956"/>
  </r>
  <r>
    <x v="0"/>
    <x v="10"/>
    <x v="2"/>
    <x v="0"/>
    <x v="2"/>
    <x v="2"/>
    <x v="2"/>
    <x v="10"/>
    <x v="0"/>
    <n v="3453.4526732452778"/>
    <n v="3803.354273054978"/>
    <n v="611.0990576566403"/>
  </r>
  <r>
    <x v="0"/>
    <x v="10"/>
    <x v="2"/>
    <x v="0"/>
    <x v="3"/>
    <x v="2"/>
    <x v="2"/>
    <x v="10"/>
    <x v="0"/>
    <n v="2828.7327831899511"/>
    <n v="3115.3459491555823"/>
    <n v="857.00687085147047"/>
  </r>
  <r>
    <x v="0"/>
    <x v="11"/>
    <x v="0"/>
    <x v="0"/>
    <x v="0"/>
    <x v="2"/>
    <x v="2"/>
    <x v="11"/>
    <x v="0"/>
    <n v="495.92617159861283"/>
    <n v="480.55592132900932"/>
    <n v="26.729153639631015"/>
  </r>
  <r>
    <x v="0"/>
    <x v="11"/>
    <x v="1"/>
    <x v="0"/>
    <x v="0"/>
    <x v="2"/>
    <x v="2"/>
    <x v="11"/>
    <x v="0"/>
    <n v="3604.884731809454"/>
    <n v="3493.2389043850717"/>
    <n v="184.14228481313344"/>
  </r>
  <r>
    <x v="0"/>
    <x v="11"/>
    <x v="2"/>
    <x v="0"/>
    <x v="0"/>
    <x v="2"/>
    <x v="2"/>
    <x v="11"/>
    <x v="0"/>
    <n v="364566.76724603813"/>
    <n v="353262.2511316461"/>
    <n v="9850.3892590635314"/>
  </r>
  <r>
    <x v="0"/>
    <x v="11"/>
    <x v="1"/>
    <x v="0"/>
    <x v="1"/>
    <x v="2"/>
    <x v="2"/>
    <x v="11"/>
    <x v="0"/>
    <n v="6707.1890965919347"/>
    <n v="6499.2051742859203"/>
    <n v="642.12856154723556"/>
  </r>
  <r>
    <x v="0"/>
    <x v="11"/>
    <x v="2"/>
    <x v="0"/>
    <x v="1"/>
    <x v="2"/>
    <x v="2"/>
    <x v="11"/>
    <x v="0"/>
    <n v="157185.04307533347"/>
    <n v="152311.02894415168"/>
    <n v="11759.999041875497"/>
  </r>
  <r>
    <x v="0"/>
    <x v="11"/>
    <x v="2"/>
    <x v="0"/>
    <x v="2"/>
    <x v="2"/>
    <x v="2"/>
    <x v="11"/>
    <x v="0"/>
    <n v="5889.0186226600845"/>
    <n v="5706.4115273591096"/>
    <n v="615.13899667636701"/>
  </r>
  <r>
    <x v="0"/>
    <x v="11"/>
    <x v="2"/>
    <x v="0"/>
    <x v="3"/>
    <x v="2"/>
    <x v="2"/>
    <x v="11"/>
    <x v="0"/>
    <n v="4349.1710559679286"/>
    <n v="4214.3083968431602"/>
    <n v="808.47270238460578"/>
  </r>
  <r>
    <x v="0"/>
    <x v="12"/>
    <x v="2"/>
    <x v="1"/>
    <x v="1"/>
    <x v="1"/>
    <x v="1"/>
    <x v="12"/>
    <x v="0"/>
    <n v="2156"/>
    <n v="3956"/>
    <n v="495"/>
  </r>
  <r>
    <x v="0"/>
    <x v="13"/>
    <x v="2"/>
    <x v="1"/>
    <x v="1"/>
    <x v="1"/>
    <x v="1"/>
    <x v="13"/>
    <x v="0"/>
    <n v="2540"/>
    <n v="4284"/>
    <n v="364"/>
  </r>
  <r>
    <x v="0"/>
    <x v="14"/>
    <x v="2"/>
    <x v="1"/>
    <x v="1"/>
    <x v="1"/>
    <x v="1"/>
    <x v="14"/>
    <x v="0"/>
    <n v="100067"/>
    <n v="160878"/>
    <n v="13773.000000000002"/>
  </r>
  <r>
    <x v="0"/>
    <x v="15"/>
    <x v="0"/>
    <x v="0"/>
    <x v="0"/>
    <x v="2"/>
    <x v="2"/>
    <x v="15"/>
    <x v="0"/>
    <n v="355843942.97749144"/>
    <n v="659478789.39133418"/>
    <n v="40127823.217057884"/>
  </r>
  <r>
    <x v="0"/>
    <x v="15"/>
    <x v="1"/>
    <x v="0"/>
    <x v="0"/>
    <x v="2"/>
    <x v="2"/>
    <x v="15"/>
    <x v="0"/>
    <n v="16248236.455838967"/>
    <n v="30275908.253999118"/>
    <n v="1840122.6999335845"/>
  </r>
  <r>
    <x v="0"/>
    <x v="15"/>
    <x v="2"/>
    <x v="0"/>
    <x v="0"/>
    <x v="2"/>
    <x v="2"/>
    <x v="15"/>
    <x v="0"/>
    <n v="2600641790.2091498"/>
    <n v="4771131848.2047281"/>
    <n v="237799600.30956054"/>
  </r>
  <r>
    <x v="0"/>
    <x v="15"/>
    <x v="0"/>
    <x v="0"/>
    <x v="1"/>
    <x v="2"/>
    <x v="2"/>
    <x v="15"/>
    <x v="0"/>
    <n v="1060422.7617241952"/>
    <n v="1961285.3484577455"/>
    <n v="245163.64013299439"/>
  </r>
  <r>
    <x v="0"/>
    <x v="15"/>
    <x v="1"/>
    <x v="0"/>
    <x v="1"/>
    <x v="2"/>
    <x v="2"/>
    <x v="15"/>
    <x v="0"/>
    <n v="431480.30944385903"/>
    <n v="800662.25112825073"/>
    <n v="99977.937419052876"/>
  </r>
  <r>
    <x v="0"/>
    <x v="15"/>
    <x v="2"/>
    <x v="0"/>
    <x v="1"/>
    <x v="2"/>
    <x v="2"/>
    <x v="15"/>
    <x v="0"/>
    <n v="86854007.411762536"/>
    <n v="160140049.17532742"/>
    <n v="16834887.737311698"/>
  </r>
  <r>
    <x v="0"/>
    <x v="15"/>
    <x v="0"/>
    <x v="0"/>
    <x v="2"/>
    <x v="2"/>
    <x v="2"/>
    <x v="15"/>
    <x v="0"/>
    <n v="291.6361279176715"/>
    <n v="535.06104634637995"/>
    <n v="111.35188264464911"/>
  </r>
  <r>
    <x v="0"/>
    <x v="15"/>
    <x v="1"/>
    <x v="0"/>
    <x v="2"/>
    <x v="2"/>
    <x v="2"/>
    <x v="15"/>
    <x v="0"/>
    <n v="9446.4058876882646"/>
    <n v="17494.781368955246"/>
    <n v="3647.2008468841536"/>
  </r>
  <r>
    <x v="0"/>
    <x v="15"/>
    <x v="2"/>
    <x v="0"/>
    <x v="2"/>
    <x v="2"/>
    <x v="2"/>
    <x v="15"/>
    <x v="0"/>
    <n v="4809526.272928834"/>
    <n v="8758514.3637501765"/>
    <n v="1439376.6092837648"/>
  </r>
  <r>
    <x v="0"/>
    <x v="15"/>
    <x v="0"/>
    <x v="0"/>
    <x v="3"/>
    <x v="2"/>
    <x v="2"/>
    <x v="15"/>
    <x v="0"/>
    <n v="861647.72532630153"/>
    <n v="1595833.7626597402"/>
    <n v="464836.04397907743"/>
  </r>
  <r>
    <x v="0"/>
    <x v="15"/>
    <x v="1"/>
    <x v="0"/>
    <x v="3"/>
    <x v="2"/>
    <x v="2"/>
    <x v="15"/>
    <x v="0"/>
    <n v="233.72816050079555"/>
    <n v="433.1500052560599"/>
    <n v="125.90874797153862"/>
  </r>
  <r>
    <x v="0"/>
    <x v="15"/>
    <x v="2"/>
    <x v="0"/>
    <x v="3"/>
    <x v="2"/>
    <x v="2"/>
    <x v="15"/>
    <x v="0"/>
    <n v="1415341.4235581022"/>
    <n v="2575918.7700548554"/>
    <n v="657133.67298976146"/>
  </r>
  <r>
    <x v="0"/>
    <x v="15"/>
    <x v="2"/>
    <x v="0"/>
    <x v="3"/>
    <x v="2"/>
    <x v="2"/>
    <x v="15"/>
    <x v="0"/>
    <n v="431.6825975407022"/>
    <n v="786.48612196965348"/>
    <n v="36739997.670854777"/>
  </r>
  <r>
    <x v="0"/>
    <x v="16"/>
    <x v="0"/>
    <x v="0"/>
    <x v="0"/>
    <x v="3"/>
    <x v="3"/>
    <x v="16"/>
    <x v="0"/>
    <n v="0"/>
    <n v="0"/>
    <n v="0"/>
  </r>
  <r>
    <x v="0"/>
    <x v="16"/>
    <x v="1"/>
    <x v="0"/>
    <x v="0"/>
    <x v="3"/>
    <x v="3"/>
    <x v="16"/>
    <x v="0"/>
    <n v="0"/>
    <n v="0"/>
    <n v="0"/>
  </r>
  <r>
    <x v="0"/>
    <x v="16"/>
    <x v="2"/>
    <x v="0"/>
    <x v="0"/>
    <x v="3"/>
    <x v="3"/>
    <x v="16"/>
    <x v="0"/>
    <n v="8552350.0000000149"/>
    <n v="15271981.999999944"/>
    <n v="114540.99999999996"/>
  </r>
  <r>
    <x v="0"/>
    <x v="17"/>
    <x v="0"/>
    <x v="0"/>
    <x v="0"/>
    <x v="4"/>
    <x v="4"/>
    <x v="17"/>
    <x v="0"/>
    <n v="186421.66231553268"/>
    <n v="428555.2261928402"/>
    <n v="3299.912843578456"/>
  </r>
  <r>
    <x v="0"/>
    <x v="17"/>
    <x v="1"/>
    <x v="0"/>
    <x v="0"/>
    <x v="4"/>
    <x v="4"/>
    <x v="17"/>
    <x v="0"/>
    <n v="48704.337684467326"/>
    <n v="111963.77380715965"/>
    <n v="862.08715642154652"/>
  </r>
  <r>
    <x v="0"/>
    <x v="17"/>
    <x v="2"/>
    <x v="0"/>
    <x v="0"/>
    <x v="4"/>
    <x v="4"/>
    <x v="17"/>
    <x v="0"/>
    <n v="8864876"/>
    <n v="20379168.999999702"/>
    <n v="156920.00000000064"/>
  </r>
  <r>
    <x v="0"/>
    <x v="18"/>
    <x v="0"/>
    <x v="0"/>
    <x v="0"/>
    <x v="4"/>
    <x v="4"/>
    <x v="18"/>
    <x v="0"/>
    <n v="550641.69627735764"/>
    <n v="1452340.3751917458"/>
    <n v="11909.085811414665"/>
  </r>
  <r>
    <x v="0"/>
    <x v="18"/>
    <x v="1"/>
    <x v="0"/>
    <x v="0"/>
    <x v="4"/>
    <x v="4"/>
    <x v="18"/>
    <x v="0"/>
    <n v="489809.30372264289"/>
    <n v="1292079.6248082535"/>
    <n v="10594.914188585331"/>
  </r>
  <r>
    <x v="0"/>
    <x v="18"/>
    <x v="2"/>
    <x v="0"/>
    <x v="0"/>
    <x v="4"/>
    <x v="4"/>
    <x v="18"/>
    <x v="0"/>
    <n v="132200576.99999981"/>
    <n v="344272195.00000107"/>
    <n v="2823031.9999999898"/>
  </r>
  <r>
    <x v="0"/>
    <x v="19"/>
    <x v="0"/>
    <x v="0"/>
    <x v="0"/>
    <x v="2"/>
    <x v="2"/>
    <x v="19"/>
    <x v="0"/>
    <n v="25534215.608925026"/>
    <n v="41351358.126410231"/>
    <n v="2096630.5372426501"/>
  </r>
  <r>
    <x v="0"/>
    <x v="19"/>
    <x v="1"/>
    <x v="0"/>
    <x v="0"/>
    <x v="2"/>
    <x v="2"/>
    <x v="19"/>
    <x v="0"/>
    <n v="8752693.7303064372"/>
    <n v="14284379.048790062"/>
    <n v="724047.80656012741"/>
  </r>
  <r>
    <x v="0"/>
    <x v="19"/>
    <x v="2"/>
    <x v="0"/>
    <x v="0"/>
    <x v="2"/>
    <x v="2"/>
    <x v="19"/>
    <x v="0"/>
    <n v="151497772.20251286"/>
    <n v="243587659.67151636"/>
    <n v="9335110.4573613424"/>
  </r>
  <r>
    <x v="0"/>
    <x v="19"/>
    <x v="0"/>
    <x v="0"/>
    <x v="1"/>
    <x v="2"/>
    <x v="2"/>
    <x v="19"/>
    <x v="0"/>
    <n v="393444.23780792236"/>
    <n v="638523.18155332806"/>
    <n v="66458.893880680771"/>
  </r>
  <r>
    <x v="0"/>
    <x v="19"/>
    <x v="1"/>
    <x v="0"/>
    <x v="1"/>
    <x v="2"/>
    <x v="2"/>
    <x v="19"/>
    <x v="0"/>
    <n v="2235117.6516391439"/>
    <n v="3640230.5429150523"/>
    <n v="378745.34443922184"/>
  </r>
  <r>
    <x v="0"/>
    <x v="19"/>
    <x v="2"/>
    <x v="0"/>
    <x v="1"/>
    <x v="2"/>
    <x v="2"/>
    <x v="19"/>
    <x v="0"/>
    <n v="11729181.133520773"/>
    <n v="18843451.453799121"/>
    <n v="1488975.6955971282"/>
  </r>
  <r>
    <x v="0"/>
    <x v="19"/>
    <x v="0"/>
    <x v="0"/>
    <x v="2"/>
    <x v="2"/>
    <x v="2"/>
    <x v="19"/>
    <x v="0"/>
    <n v="32505.560591018279"/>
    <n v="52429.737218959381"/>
    <n v="9132.2962560167562"/>
  </r>
  <r>
    <x v="0"/>
    <x v="19"/>
    <x v="1"/>
    <x v="0"/>
    <x v="2"/>
    <x v="2"/>
    <x v="2"/>
    <x v="19"/>
    <x v="0"/>
    <n v="138421.76162998407"/>
    <n v="225731.96963862923"/>
    <n v="39396.852653520451"/>
  </r>
  <r>
    <x v="0"/>
    <x v="19"/>
    <x v="2"/>
    <x v="0"/>
    <x v="2"/>
    <x v="2"/>
    <x v="2"/>
    <x v="19"/>
    <x v="0"/>
    <n v="1985276.7559011073"/>
    <n v="3184829.7322170814"/>
    <n v="417253.98046976625"/>
  </r>
  <r>
    <x v="0"/>
    <x v="19"/>
    <x v="0"/>
    <x v="0"/>
    <x v="3"/>
    <x v="2"/>
    <x v="2"/>
    <x v="19"/>
    <x v="0"/>
    <n v="286014.81786299596"/>
    <n v="463297.65954438865"/>
    <n v="112539.86267195902"/>
  </r>
  <r>
    <x v="0"/>
    <x v="19"/>
    <x v="1"/>
    <x v="0"/>
    <x v="3"/>
    <x v="2"/>
    <x v="2"/>
    <x v="19"/>
    <x v="0"/>
    <n v="7491.631237468785"/>
    <n v="12101.733929357597"/>
    <n v="2957.4062958225327"/>
  </r>
  <r>
    <x v="0"/>
    <x v="19"/>
    <x v="2"/>
    <x v="0"/>
    <x v="3"/>
    <x v="2"/>
    <x v="2"/>
    <x v="19"/>
    <x v="0"/>
    <n v="353867.4243714214"/>
    <n v="567594.06399371231"/>
    <n v="105365.20716997347"/>
  </r>
  <r>
    <x v="0"/>
    <x v="19"/>
    <x v="2"/>
    <x v="0"/>
    <x v="3"/>
    <x v="2"/>
    <x v="2"/>
    <x v="19"/>
    <x v="0"/>
    <n v="689.48369239843817"/>
    <n v="1106.0784756475889"/>
    <n v="1232779.6594016328"/>
  </r>
  <r>
    <x v="0"/>
    <x v="20"/>
    <x v="0"/>
    <x v="0"/>
    <x v="0"/>
    <x v="2"/>
    <x v="2"/>
    <x v="20"/>
    <x v="0"/>
    <n v="178617631.42153612"/>
    <n v="304042510.39684308"/>
    <n v="17589848.631041028"/>
  </r>
  <r>
    <x v="0"/>
    <x v="20"/>
    <x v="1"/>
    <x v="0"/>
    <x v="0"/>
    <x v="2"/>
    <x v="2"/>
    <x v="20"/>
    <x v="0"/>
    <n v="19305562.909368642"/>
    <n v="33244874.832349028"/>
    <n v="1921101.4949409566"/>
  </r>
  <r>
    <x v="0"/>
    <x v="20"/>
    <x v="2"/>
    <x v="0"/>
    <x v="0"/>
    <x v="2"/>
    <x v="2"/>
    <x v="20"/>
    <x v="0"/>
    <n v="667986957.78071105"/>
    <n v="1126406529.6181896"/>
    <n v="51279904.368051387"/>
  </r>
  <r>
    <x v="0"/>
    <x v="20"/>
    <x v="0"/>
    <x v="0"/>
    <x v="1"/>
    <x v="2"/>
    <x v="2"/>
    <x v="20"/>
    <x v="0"/>
    <n v="725509.56981848483"/>
    <n v="1237668.3420376226"/>
    <n v="147038.4857111614"/>
  </r>
  <r>
    <x v="0"/>
    <x v="20"/>
    <x v="1"/>
    <x v="0"/>
    <x v="1"/>
    <x v="2"/>
    <x v="2"/>
    <x v="20"/>
    <x v="0"/>
    <n v="2913603.90432542"/>
    <n v="4999124.9045622358"/>
    <n v="593794.53637297684"/>
  </r>
  <r>
    <x v="0"/>
    <x v="20"/>
    <x v="2"/>
    <x v="0"/>
    <x v="1"/>
    <x v="2"/>
    <x v="2"/>
    <x v="20"/>
    <x v="0"/>
    <n v="30740282.508765355"/>
    <n v="51898723.861356206"/>
    <n v="4939972.2328780852"/>
  </r>
  <r>
    <x v="0"/>
    <x v="20"/>
    <x v="0"/>
    <x v="0"/>
    <x v="2"/>
    <x v="2"/>
    <x v="2"/>
    <x v="20"/>
    <x v="0"/>
    <n v="34395.162511104514"/>
    <n v="58044.071566452803"/>
    <n v="11539.969662983151"/>
  </r>
  <r>
    <x v="0"/>
    <x v="20"/>
    <x v="1"/>
    <x v="0"/>
    <x v="2"/>
    <x v="2"/>
    <x v="2"/>
    <x v="20"/>
    <x v="0"/>
    <n v="142148.25583052475"/>
    <n v="242022.41089914471"/>
    <n v="47941.930480431147"/>
  </r>
  <r>
    <x v="0"/>
    <x v="20"/>
    <x v="2"/>
    <x v="0"/>
    <x v="2"/>
    <x v="2"/>
    <x v="2"/>
    <x v="20"/>
    <x v="0"/>
    <n v="3797982.987343872"/>
    <n v="6396320.0057870047"/>
    <n v="997622.09840844059"/>
  </r>
  <r>
    <x v="0"/>
    <x v="20"/>
    <x v="0"/>
    <x v="0"/>
    <x v="3"/>
    <x v="2"/>
    <x v="2"/>
    <x v="20"/>
    <x v="0"/>
    <n v="1231126.5315042841"/>
    <n v="2093573.1645184492"/>
    <n v="580091.70074533869"/>
  </r>
  <r>
    <x v="0"/>
    <x v="20"/>
    <x v="1"/>
    <x v="0"/>
    <x v="3"/>
    <x v="2"/>
    <x v="2"/>
    <x v="20"/>
    <x v="0"/>
    <n v="1300.2451052836457"/>
    <n v="2210.8772242496793"/>
    <n v="612.25104516445322"/>
  </r>
  <r>
    <x v="0"/>
    <x v="20"/>
    <x v="2"/>
    <x v="0"/>
    <x v="3"/>
    <x v="2"/>
    <x v="2"/>
    <x v="20"/>
    <x v="0"/>
    <n v="674925.71177946834"/>
    <n v="1133858.9424657384"/>
    <n v="258888.99497219952"/>
  </r>
  <r>
    <x v="0"/>
    <x v="20"/>
    <x v="2"/>
    <x v="0"/>
    <x v="3"/>
    <x v="2"/>
    <x v="2"/>
    <x v="20"/>
    <x v="0"/>
    <n v="1293.0114028507817"/>
    <n v="2171.5721964754171"/>
    <n v="5379440.3056898229"/>
  </r>
  <r>
    <x v="0"/>
    <x v="21"/>
    <x v="0"/>
    <x v="0"/>
    <x v="0"/>
    <x v="4"/>
    <x v="4"/>
    <x v="21"/>
    <x v="0"/>
    <n v="13891.231582075266"/>
    <n v="33460.280163566793"/>
    <n v="274.38750245114193"/>
  </r>
  <r>
    <x v="0"/>
    <x v="21"/>
    <x v="1"/>
    <x v="0"/>
    <x v="0"/>
    <x v="4"/>
    <x v="4"/>
    <x v="21"/>
    <x v="0"/>
    <n v="185549.76841792479"/>
    <n v="448344.71983643353"/>
    <n v="3676.6124975488578"/>
  </r>
  <r>
    <x v="0"/>
    <x v="21"/>
    <x v="2"/>
    <x v="0"/>
    <x v="0"/>
    <x v="4"/>
    <x v="4"/>
    <x v="21"/>
    <x v="0"/>
    <n v="21367571.000000034"/>
    <n v="50996584.999999642"/>
    <n v="418172.99999999977"/>
  </r>
  <r>
    <x v="0"/>
    <x v="22"/>
    <x v="0"/>
    <x v="0"/>
    <x v="0"/>
    <x v="4"/>
    <x v="4"/>
    <x v="22"/>
    <x v="0"/>
    <n v="67295.699571005389"/>
    <n v="167796.0852101724"/>
    <n v="1375.8594547215184"/>
  </r>
  <r>
    <x v="0"/>
    <x v="22"/>
    <x v="1"/>
    <x v="0"/>
    <x v="0"/>
    <x v="4"/>
    <x v="4"/>
    <x v="22"/>
    <x v="0"/>
    <n v="770180.3004289947"/>
    <n v="1922431.9147898271"/>
    <n v="15763.14054527848"/>
  </r>
  <r>
    <x v="0"/>
    <x v="22"/>
    <x v="2"/>
    <x v="0"/>
    <x v="0"/>
    <x v="4"/>
    <x v="4"/>
    <x v="22"/>
    <x v="0"/>
    <n v="88267875.00000003"/>
    <n v="217408554.00000194"/>
    <n v="1782750.999999997"/>
  </r>
  <r>
    <x v="0"/>
    <x v="23"/>
    <x v="0"/>
    <x v="1"/>
    <x v="0"/>
    <x v="1"/>
    <x v="1"/>
    <x v="23"/>
    <x v="0"/>
    <n v="1389632.35337482"/>
    <n v="1194954.1018462104"/>
    <n v="61771.061501952434"/>
  </r>
  <r>
    <x v="0"/>
    <x v="23"/>
    <x v="1"/>
    <x v="1"/>
    <x v="0"/>
    <x v="1"/>
    <x v="1"/>
    <x v="23"/>
    <x v="0"/>
    <n v="56158.070324575594"/>
    <n v="50689.311449207882"/>
    <n v="2648.7677807772388"/>
  </r>
  <r>
    <x v="0"/>
    <x v="23"/>
    <x v="2"/>
    <x v="1"/>
    <x v="0"/>
    <x v="1"/>
    <x v="1"/>
    <x v="23"/>
    <x v="0"/>
    <n v="2074522.7975006422"/>
    <n v="1823258.8847864906"/>
    <n v="88334.742333546674"/>
  </r>
  <r>
    <x v="0"/>
    <x v="23"/>
    <x v="0"/>
    <x v="1"/>
    <x v="1"/>
    <x v="1"/>
    <x v="1"/>
    <x v="23"/>
    <x v="0"/>
    <n v="2273925.7254605931"/>
    <n v="1621779.2529617334"/>
    <n v="171955.61353325626"/>
  </r>
  <r>
    <x v="0"/>
    <x v="23"/>
    <x v="1"/>
    <x v="1"/>
    <x v="1"/>
    <x v="1"/>
    <x v="1"/>
    <x v="23"/>
    <x v="0"/>
    <n v="260420.46082699113"/>
    <n v="191332.25803097931"/>
    <n v="20310.252567743963"/>
  </r>
  <r>
    <x v="0"/>
    <x v="23"/>
    <x v="2"/>
    <x v="1"/>
    <x v="1"/>
    <x v="1"/>
    <x v="1"/>
    <x v="23"/>
    <x v="0"/>
    <n v="7474980.2172163306"/>
    <n v="5301037.2505152738"/>
    <n v="532320.94676511176"/>
  </r>
  <r>
    <x v="0"/>
    <x v="23"/>
    <x v="0"/>
    <x v="1"/>
    <x v="2"/>
    <x v="1"/>
    <x v="1"/>
    <x v="23"/>
    <x v="0"/>
    <n v="5304325.398887923"/>
    <n v="3170668.6573282164"/>
    <n v="560439.303540878"/>
  </r>
  <r>
    <x v="0"/>
    <x v="23"/>
    <x v="1"/>
    <x v="1"/>
    <x v="2"/>
    <x v="1"/>
    <x v="1"/>
    <x v="23"/>
    <x v="0"/>
    <n v="337081.04963317979"/>
    <n v="196508.60724061995"/>
    <n v="34725.782319104175"/>
  </r>
  <r>
    <x v="0"/>
    <x v="23"/>
    <x v="2"/>
    <x v="1"/>
    <x v="2"/>
    <x v="1"/>
    <x v="1"/>
    <x v="23"/>
    <x v="0"/>
    <n v="8472128.121723311"/>
    <n v="5037313.8067801641"/>
    <n v="851524.7017020284"/>
  </r>
  <r>
    <x v="0"/>
    <x v="23"/>
    <x v="0"/>
    <x v="1"/>
    <x v="3"/>
    <x v="1"/>
    <x v="1"/>
    <x v="23"/>
    <x v="0"/>
    <n v="4893015.3558626473"/>
    <n v="2519375.7597381976"/>
    <n v="623288.14376923989"/>
  </r>
  <r>
    <x v="0"/>
    <x v="23"/>
    <x v="1"/>
    <x v="1"/>
    <x v="3"/>
    <x v="1"/>
    <x v="1"/>
    <x v="23"/>
    <x v="0"/>
    <n v="238781.58386136056"/>
    <n v="128297.90046103756"/>
    <n v="31986.781134965138"/>
  </r>
  <r>
    <x v="0"/>
    <x v="23"/>
    <x v="2"/>
    <x v="1"/>
    <x v="3"/>
    <x v="1"/>
    <x v="1"/>
    <x v="23"/>
    <x v="0"/>
    <n v="11618304.907596588"/>
    <n v="5970407.7310485197"/>
    <n v="1395805.8580847008"/>
  </r>
  <r>
    <x v="0"/>
    <x v="23"/>
    <x v="0"/>
    <x v="1"/>
    <x v="4"/>
    <x v="1"/>
    <x v="1"/>
    <x v="23"/>
    <x v="0"/>
    <n v="3946925.4572313884"/>
    <n v="1776152.5146577898"/>
    <n v="566996.49706031289"/>
  </r>
  <r>
    <x v="0"/>
    <x v="23"/>
    <x v="1"/>
    <x v="1"/>
    <x v="4"/>
    <x v="1"/>
    <x v="1"/>
    <x v="23"/>
    <x v="0"/>
    <n v="98978.967284073384"/>
    <n v="38578.054116653126"/>
    <n v="12435.259048026146"/>
  </r>
  <r>
    <x v="0"/>
    <x v="23"/>
    <x v="2"/>
    <x v="1"/>
    <x v="4"/>
    <x v="1"/>
    <x v="1"/>
    <x v="23"/>
    <x v="0"/>
    <n v="10040339.085456576"/>
    <n v="4531677.5865278076"/>
    <n v="1375388.0728814721"/>
  </r>
  <r>
    <x v="0"/>
    <x v="23"/>
    <x v="0"/>
    <x v="1"/>
    <x v="5"/>
    <x v="1"/>
    <x v="1"/>
    <x v="23"/>
    <x v="0"/>
    <n v="2402830.1486413064"/>
    <n v="960340.96078447858"/>
    <n v="373166.30762239912"/>
  </r>
  <r>
    <x v="0"/>
    <x v="23"/>
    <x v="1"/>
    <x v="1"/>
    <x v="5"/>
    <x v="1"/>
    <x v="1"/>
    <x v="23"/>
    <x v="0"/>
    <n v="17574.257003971223"/>
    <n v="6960.2533130158454"/>
    <n v="2720.8140393001368"/>
  </r>
  <r>
    <x v="0"/>
    <x v="23"/>
    <x v="2"/>
    <x v="1"/>
    <x v="5"/>
    <x v="1"/>
    <x v="1"/>
    <x v="23"/>
    <x v="0"/>
    <n v="6073073.4184540333"/>
    <n v="2427577.4284904301"/>
    <n v="890313.50405120023"/>
  </r>
  <r>
    <x v="0"/>
    <x v="23"/>
    <x v="0"/>
    <x v="1"/>
    <x v="6"/>
    <x v="1"/>
    <x v="1"/>
    <x v="23"/>
    <x v="0"/>
    <n v="2224078.1864400944"/>
    <n v="799453.56449064624"/>
    <n v="367603.82840110181"/>
  </r>
  <r>
    <x v="0"/>
    <x v="23"/>
    <x v="1"/>
    <x v="1"/>
    <x v="6"/>
    <x v="1"/>
    <x v="1"/>
    <x v="23"/>
    <x v="0"/>
    <n v="4709.9665048681736"/>
    <n v="1795.3697434740891"/>
    <n v="834.04837771967209"/>
  </r>
  <r>
    <x v="0"/>
    <x v="23"/>
    <x v="2"/>
    <x v="1"/>
    <x v="6"/>
    <x v="1"/>
    <x v="1"/>
    <x v="23"/>
    <x v="0"/>
    <n v="5644428.2196063027"/>
    <n v="2028162.4561689862"/>
    <n v="881690.36754993582"/>
  </r>
  <r>
    <x v="0"/>
    <x v="23"/>
    <x v="0"/>
    <x v="1"/>
    <x v="7"/>
    <x v="1"/>
    <x v="1"/>
    <x v="23"/>
    <x v="0"/>
    <n v="1188105.5209324572"/>
    <n v="387994.30924116308"/>
    <n v="205656.04242888998"/>
  </r>
  <r>
    <x v="0"/>
    <x v="23"/>
    <x v="1"/>
    <x v="1"/>
    <x v="7"/>
    <x v="1"/>
    <x v="1"/>
    <x v="23"/>
    <x v="0"/>
    <n v="8274.3067763480831"/>
    <n v="2780.7674532885535"/>
    <n v="1465.9727681365096"/>
  </r>
  <r>
    <x v="0"/>
    <x v="23"/>
    <x v="2"/>
    <x v="1"/>
    <x v="7"/>
    <x v="1"/>
    <x v="1"/>
    <x v="23"/>
    <x v="0"/>
    <n v="3121949.3879843079"/>
    <n v="1020436.1815614728"/>
    <n v="509627.21919166314"/>
  </r>
  <r>
    <x v="0"/>
    <x v="23"/>
    <x v="0"/>
    <x v="1"/>
    <x v="8"/>
    <x v="1"/>
    <x v="1"/>
    <x v="23"/>
    <x v="0"/>
    <n v="662223.95950115006"/>
    <n v="198152.13789018715"/>
    <n v="118919.99402810456"/>
  </r>
  <r>
    <x v="0"/>
    <x v="23"/>
    <x v="2"/>
    <x v="1"/>
    <x v="8"/>
    <x v="1"/>
    <x v="1"/>
    <x v="23"/>
    <x v="0"/>
    <n v="1461288.301508202"/>
    <n v="438392.23987125698"/>
    <n v="247820.67284946353"/>
  </r>
  <r>
    <x v="0"/>
    <x v="23"/>
    <x v="0"/>
    <x v="1"/>
    <x v="9"/>
    <x v="1"/>
    <x v="1"/>
    <x v="23"/>
    <x v="0"/>
    <n v="607963.98878833768"/>
    <n v="166931.47565908259"/>
    <n v="112398.88113360907"/>
  </r>
  <r>
    <x v="0"/>
    <x v="23"/>
    <x v="1"/>
    <x v="1"/>
    <x v="9"/>
    <x v="1"/>
    <x v="1"/>
    <x v="23"/>
    <x v="0"/>
    <n v="1146.4751102381786"/>
    <n v="316.01356119381154"/>
    <n v="209.02878171123854"/>
  </r>
  <r>
    <x v="0"/>
    <x v="23"/>
    <x v="2"/>
    <x v="1"/>
    <x v="9"/>
    <x v="1"/>
    <x v="1"/>
    <x v="23"/>
    <x v="0"/>
    <n v="1506949.1644869293"/>
    <n v="413877.91304731107"/>
    <n v="265242.70334494411"/>
  </r>
  <r>
    <x v="0"/>
    <x v="23"/>
    <x v="0"/>
    <x v="1"/>
    <x v="10"/>
    <x v="1"/>
    <x v="1"/>
    <x v="23"/>
    <x v="0"/>
    <n v="717685.0874906563"/>
    <n v="182061.2921016301"/>
    <n v="134906.72103819976"/>
  </r>
  <r>
    <x v="0"/>
    <x v="23"/>
    <x v="1"/>
    <x v="1"/>
    <x v="10"/>
    <x v="1"/>
    <x v="1"/>
    <x v="23"/>
    <x v="0"/>
    <n v="13124.930601017813"/>
    <n v="3288.1273481452254"/>
    <n v="2486.5676073495683"/>
  </r>
  <r>
    <x v="0"/>
    <x v="23"/>
    <x v="2"/>
    <x v="1"/>
    <x v="10"/>
    <x v="1"/>
    <x v="1"/>
    <x v="23"/>
    <x v="0"/>
    <n v="1877418.8452721506"/>
    <n v="476797.60708661855"/>
    <n v="333333.61059032474"/>
  </r>
  <r>
    <x v="0"/>
    <x v="23"/>
    <x v="0"/>
    <x v="1"/>
    <x v="11"/>
    <x v="1"/>
    <x v="1"/>
    <x v="23"/>
    <x v="0"/>
    <n v="202043.49898443962"/>
    <n v="47629.336882888456"/>
    <n v="38452.766417964478"/>
  </r>
  <r>
    <x v="0"/>
    <x v="23"/>
    <x v="2"/>
    <x v="1"/>
    <x v="11"/>
    <x v="1"/>
    <x v="1"/>
    <x v="23"/>
    <x v="0"/>
    <n v="502350.23820654559"/>
    <n v="117984.95897625401"/>
    <n v="88871.017691118672"/>
  </r>
  <r>
    <x v="0"/>
    <x v="23"/>
    <x v="0"/>
    <x v="1"/>
    <x v="12"/>
    <x v="1"/>
    <x v="1"/>
    <x v="23"/>
    <x v="0"/>
    <n v="336373.04553916241"/>
    <n v="74058.408643504517"/>
    <n v="64744.261703671473"/>
  </r>
  <r>
    <x v="0"/>
    <x v="23"/>
    <x v="1"/>
    <x v="1"/>
    <x v="12"/>
    <x v="1"/>
    <x v="1"/>
    <x v="23"/>
    <x v="0"/>
    <n v="5063.2049384083275"/>
    <n v="1095.5650566519118"/>
    <n v="986.30339558422088"/>
  </r>
  <r>
    <x v="0"/>
    <x v="23"/>
    <x v="2"/>
    <x v="1"/>
    <x v="12"/>
    <x v="1"/>
    <x v="1"/>
    <x v="23"/>
    <x v="0"/>
    <n v="967747.29498792614"/>
    <n v="213241.95513951458"/>
    <n v="173044.58296450396"/>
  </r>
  <r>
    <x v="0"/>
    <x v="24"/>
    <x v="0"/>
    <x v="1"/>
    <x v="0"/>
    <x v="1"/>
    <x v="1"/>
    <x v="24"/>
    <x v="0"/>
    <n v="1400123.4392724216"/>
    <n v="1594285.8097842087"/>
    <n v="84010.263868689304"/>
  </r>
  <r>
    <x v="0"/>
    <x v="24"/>
    <x v="1"/>
    <x v="1"/>
    <x v="0"/>
    <x v="1"/>
    <x v="1"/>
    <x v="24"/>
    <x v="0"/>
    <n v="59772.858132989939"/>
    <n v="64603.217665132077"/>
    <n v="3497.4097223939734"/>
  </r>
  <r>
    <x v="0"/>
    <x v="24"/>
    <x v="2"/>
    <x v="1"/>
    <x v="0"/>
    <x v="1"/>
    <x v="1"/>
    <x v="24"/>
    <x v="0"/>
    <n v="4830912.5939750159"/>
    <n v="5517792.118058227"/>
    <n v="279599.50112780003"/>
  </r>
  <r>
    <x v="0"/>
    <x v="24"/>
    <x v="0"/>
    <x v="1"/>
    <x v="1"/>
    <x v="1"/>
    <x v="1"/>
    <x v="24"/>
    <x v="0"/>
    <n v="1994476.7053399449"/>
    <n v="1742977.6014587914"/>
    <n v="185736.78343845689"/>
  </r>
  <r>
    <x v="0"/>
    <x v="24"/>
    <x v="1"/>
    <x v="1"/>
    <x v="1"/>
    <x v="1"/>
    <x v="1"/>
    <x v="24"/>
    <x v="0"/>
    <n v="195932.146083884"/>
    <n v="162427.61376872426"/>
    <n v="17702.596459309876"/>
  </r>
  <r>
    <x v="0"/>
    <x v="24"/>
    <x v="2"/>
    <x v="1"/>
    <x v="1"/>
    <x v="1"/>
    <x v="1"/>
    <x v="24"/>
    <x v="0"/>
    <n v="7984150.4716351079"/>
    <n v="6974455.1286264295"/>
    <n v="707874.31291103654"/>
  </r>
  <r>
    <x v="0"/>
    <x v="24"/>
    <x v="0"/>
    <x v="1"/>
    <x v="2"/>
    <x v="1"/>
    <x v="1"/>
    <x v="24"/>
    <x v="0"/>
    <n v="5070595.8110733787"/>
    <n v="3572347.4582116734"/>
    <n v="644584.1833632671"/>
  </r>
  <r>
    <x v="0"/>
    <x v="24"/>
    <x v="1"/>
    <x v="1"/>
    <x v="2"/>
    <x v="1"/>
    <x v="1"/>
    <x v="24"/>
    <x v="0"/>
    <n v="69574.229149758292"/>
    <n v="46506.153256134501"/>
    <n v="8611.0001079061894"/>
  </r>
  <r>
    <x v="0"/>
    <x v="24"/>
    <x v="2"/>
    <x v="1"/>
    <x v="2"/>
    <x v="1"/>
    <x v="1"/>
    <x v="24"/>
    <x v="0"/>
    <n v="12426101.709139591"/>
    <n v="8755463.2445685044"/>
    <n v="1519912.9665334804"/>
  </r>
  <r>
    <x v="0"/>
    <x v="24"/>
    <x v="0"/>
    <x v="1"/>
    <x v="3"/>
    <x v="1"/>
    <x v="1"/>
    <x v="24"/>
    <x v="0"/>
    <n v="4617649.0240914477"/>
    <n v="2741235.8411291335"/>
    <n v="677413.25615566957"/>
  </r>
  <r>
    <x v="0"/>
    <x v="24"/>
    <x v="1"/>
    <x v="1"/>
    <x v="3"/>
    <x v="1"/>
    <x v="1"/>
    <x v="24"/>
    <x v="0"/>
    <n v="126700.56706154117"/>
    <n v="72739.734847358719"/>
    <n v="18179.858245899763"/>
  </r>
  <r>
    <x v="0"/>
    <x v="24"/>
    <x v="2"/>
    <x v="1"/>
    <x v="3"/>
    <x v="1"/>
    <x v="1"/>
    <x v="24"/>
    <x v="0"/>
    <n v="12911601.631738154"/>
    <n v="7632924.9211896844"/>
    <n v="1796201.9123816001"/>
  </r>
  <r>
    <x v="0"/>
    <x v="24"/>
    <x v="0"/>
    <x v="1"/>
    <x v="4"/>
    <x v="1"/>
    <x v="1"/>
    <x v="24"/>
    <x v="0"/>
    <n v="3059249.8938591196"/>
    <n v="1557441.5850206553"/>
    <n v="497725.74325676746"/>
  </r>
  <r>
    <x v="0"/>
    <x v="24"/>
    <x v="1"/>
    <x v="1"/>
    <x v="4"/>
    <x v="1"/>
    <x v="1"/>
    <x v="24"/>
    <x v="0"/>
    <n v="47714.521840012836"/>
    <n v="21720.120341612575"/>
    <n v="6940.4551896756266"/>
  </r>
  <r>
    <x v="0"/>
    <x v="24"/>
    <x v="2"/>
    <x v="1"/>
    <x v="4"/>
    <x v="1"/>
    <x v="1"/>
    <x v="24"/>
    <x v="0"/>
    <n v="10414889.01753301"/>
    <n v="5300806.4218142647"/>
    <n v="1614628.6518572867"/>
  </r>
  <r>
    <x v="0"/>
    <x v="24"/>
    <x v="0"/>
    <x v="1"/>
    <x v="5"/>
    <x v="1"/>
    <x v="1"/>
    <x v="24"/>
    <x v="0"/>
    <n v="2122754.8003976042"/>
    <n v="945929.00506779528"/>
    <n v="374471.94620764948"/>
  </r>
  <r>
    <x v="0"/>
    <x v="24"/>
    <x v="1"/>
    <x v="1"/>
    <x v="5"/>
    <x v="1"/>
    <x v="1"/>
    <x v="24"/>
    <x v="0"/>
    <n v="30059.286015748792"/>
    <n v="12436.440594495194"/>
    <n v="5093.6246721255948"/>
  </r>
  <r>
    <x v="0"/>
    <x v="24"/>
    <x v="2"/>
    <x v="1"/>
    <x v="5"/>
    <x v="1"/>
    <x v="1"/>
    <x v="24"/>
    <x v="0"/>
    <n v="7731048.7729641162"/>
    <n v="3426034.9032123238"/>
    <n v="1294853.7677880733"/>
  </r>
  <r>
    <x v="0"/>
    <x v="24"/>
    <x v="0"/>
    <x v="1"/>
    <x v="6"/>
    <x v="1"/>
    <x v="1"/>
    <x v="24"/>
    <x v="0"/>
    <n v="1725675.7410782659"/>
    <n v="683703.71074791579"/>
    <n v="315527.64062202739"/>
  </r>
  <r>
    <x v="0"/>
    <x v="24"/>
    <x v="1"/>
    <x v="1"/>
    <x v="6"/>
    <x v="1"/>
    <x v="1"/>
    <x v="24"/>
    <x v="0"/>
    <n v="10470.528669651107"/>
    <n v="4175.6684830384802"/>
    <n v="1793.1066809896856"/>
  </r>
  <r>
    <x v="0"/>
    <x v="24"/>
    <x v="2"/>
    <x v="1"/>
    <x v="6"/>
    <x v="1"/>
    <x v="1"/>
    <x v="24"/>
    <x v="0"/>
    <n v="5459476.0232517449"/>
    <n v="2153033.747766024"/>
    <n v="945276.34274112945"/>
  </r>
  <r>
    <x v="0"/>
    <x v="24"/>
    <x v="0"/>
    <x v="1"/>
    <x v="7"/>
    <x v="1"/>
    <x v="1"/>
    <x v="24"/>
    <x v="0"/>
    <n v="1013330.6213787579"/>
    <n v="361347.38985069148"/>
    <n v="198318.79184783192"/>
  </r>
  <r>
    <x v="0"/>
    <x v="24"/>
    <x v="1"/>
    <x v="1"/>
    <x v="7"/>
    <x v="1"/>
    <x v="1"/>
    <x v="24"/>
    <x v="0"/>
    <n v="919.48387829385342"/>
    <n v="322.12054932121578"/>
    <n v="167.79937823836562"/>
  </r>
  <r>
    <x v="0"/>
    <x v="24"/>
    <x v="2"/>
    <x v="1"/>
    <x v="7"/>
    <x v="1"/>
    <x v="1"/>
    <x v="24"/>
    <x v="0"/>
    <n v="3735767.7384962616"/>
    <n v="1326979.2167429233"/>
    <n v="692092.83119497367"/>
  </r>
  <r>
    <x v="0"/>
    <x v="24"/>
    <x v="0"/>
    <x v="1"/>
    <x v="8"/>
    <x v="1"/>
    <x v="1"/>
    <x v="24"/>
    <x v="0"/>
    <n v="1170672.3955456931"/>
    <n v="379593.79269708996"/>
    <n v="217835.84601665099"/>
  </r>
  <r>
    <x v="0"/>
    <x v="24"/>
    <x v="2"/>
    <x v="1"/>
    <x v="8"/>
    <x v="1"/>
    <x v="1"/>
    <x v="24"/>
    <x v="0"/>
    <n v="3686943.9255266311"/>
    <n v="1192190.3447317556"/>
    <n v="654582.52532248921"/>
  </r>
  <r>
    <x v="0"/>
    <x v="24"/>
    <x v="0"/>
    <x v="1"/>
    <x v="9"/>
    <x v="1"/>
    <x v="1"/>
    <x v="24"/>
    <x v="0"/>
    <n v="715892.65856750961"/>
    <n v="211551.27542362057"/>
    <n v="147872.94831386593"/>
  </r>
  <r>
    <x v="0"/>
    <x v="24"/>
    <x v="1"/>
    <x v="1"/>
    <x v="9"/>
    <x v="1"/>
    <x v="1"/>
    <x v="24"/>
    <x v="0"/>
    <n v="1090.691596779136"/>
    <n v="320.8041595714127"/>
    <n v="197.24405860253808"/>
  </r>
  <r>
    <x v="0"/>
    <x v="24"/>
    <x v="2"/>
    <x v="1"/>
    <x v="9"/>
    <x v="1"/>
    <x v="1"/>
    <x v="24"/>
    <x v="0"/>
    <n v="1935928.7576401788"/>
    <n v="568981.87793878291"/>
    <n v="379459.9420482936"/>
  </r>
  <r>
    <x v="0"/>
    <x v="24"/>
    <x v="0"/>
    <x v="1"/>
    <x v="10"/>
    <x v="1"/>
    <x v="1"/>
    <x v="24"/>
    <x v="0"/>
    <n v="621693.06556655292"/>
    <n v="168754.16301245769"/>
    <n v="117440.83414193477"/>
  </r>
  <r>
    <x v="0"/>
    <x v="24"/>
    <x v="1"/>
    <x v="1"/>
    <x v="10"/>
    <x v="1"/>
    <x v="1"/>
    <x v="24"/>
    <x v="0"/>
    <n v="13743.078693484857"/>
    <n v="3451.0194966865402"/>
    <n v="2706.9297130206719"/>
  </r>
  <r>
    <x v="0"/>
    <x v="24"/>
    <x v="2"/>
    <x v="1"/>
    <x v="10"/>
    <x v="1"/>
    <x v="1"/>
    <x v="24"/>
    <x v="0"/>
    <n v="2043939.601593235"/>
    <n v="553408.49892320822"/>
    <n v="368756.80822996079"/>
  </r>
  <r>
    <x v="0"/>
    <x v="24"/>
    <x v="0"/>
    <x v="1"/>
    <x v="11"/>
    <x v="1"/>
    <x v="1"/>
    <x v="24"/>
    <x v="0"/>
    <n v="67392.461087904769"/>
    <n v="16915.704130799069"/>
    <n v="13622.000238334116"/>
  </r>
  <r>
    <x v="0"/>
    <x v="24"/>
    <x v="2"/>
    <x v="1"/>
    <x v="11"/>
    <x v="1"/>
    <x v="1"/>
    <x v="24"/>
    <x v="0"/>
    <n v="207055.76604470803"/>
    <n v="51599.67335895147"/>
    <n v="39724.521390011432"/>
  </r>
  <r>
    <x v="0"/>
    <x v="24"/>
    <x v="0"/>
    <x v="1"/>
    <x v="12"/>
    <x v="1"/>
    <x v="1"/>
    <x v="24"/>
    <x v="0"/>
    <n v="72877.635996184443"/>
    <n v="17011.511691705022"/>
    <n v="15531.180731689217"/>
  </r>
  <r>
    <x v="0"/>
    <x v="24"/>
    <x v="1"/>
    <x v="1"/>
    <x v="12"/>
    <x v="1"/>
    <x v="1"/>
    <x v="24"/>
    <x v="0"/>
    <n v="6588.3556230416843"/>
    <n v="1415.2586113833186"/>
    <n v="1321.5575690024991"/>
  </r>
  <r>
    <x v="0"/>
    <x v="24"/>
    <x v="2"/>
    <x v="1"/>
    <x v="12"/>
    <x v="1"/>
    <x v="1"/>
    <x v="24"/>
    <x v="0"/>
    <n v="307805.99046239594"/>
    <n v="71593.903068864543"/>
    <n v="62089.916473866426"/>
  </r>
  <r>
    <x v="0"/>
    <x v="25"/>
    <x v="0"/>
    <x v="1"/>
    <x v="0"/>
    <x v="1"/>
    <x v="1"/>
    <x v="25"/>
    <x v="0"/>
    <n v="256531.03664567205"/>
    <n v="176012.6614257633"/>
    <n v="9212.1433855447303"/>
  </r>
  <r>
    <x v="0"/>
    <x v="25"/>
    <x v="1"/>
    <x v="1"/>
    <x v="0"/>
    <x v="1"/>
    <x v="1"/>
    <x v="25"/>
    <x v="0"/>
    <n v="6943.7483977443635"/>
    <n v="5107.3706098811926"/>
    <n v="265.11539032212369"/>
  </r>
  <r>
    <x v="0"/>
    <x v="25"/>
    <x v="2"/>
    <x v="1"/>
    <x v="0"/>
    <x v="1"/>
    <x v="1"/>
    <x v="25"/>
    <x v="0"/>
    <n v="651080.30017369217"/>
    <n v="482764.14725357975"/>
    <n v="22908.416364701399"/>
  </r>
  <r>
    <x v="0"/>
    <x v="25"/>
    <x v="0"/>
    <x v="1"/>
    <x v="1"/>
    <x v="1"/>
    <x v="1"/>
    <x v="25"/>
    <x v="0"/>
    <n v="432613.07575830229"/>
    <n v="260986.91953530078"/>
    <n v="28498.299511447716"/>
  </r>
  <r>
    <x v="0"/>
    <x v="25"/>
    <x v="1"/>
    <x v="1"/>
    <x v="1"/>
    <x v="1"/>
    <x v="1"/>
    <x v="25"/>
    <x v="0"/>
    <n v="92551.524792957483"/>
    <n v="55005.392860473687"/>
    <n v="5969.470109383954"/>
  </r>
  <r>
    <x v="0"/>
    <x v="25"/>
    <x v="2"/>
    <x v="1"/>
    <x v="1"/>
    <x v="1"/>
    <x v="1"/>
    <x v="25"/>
    <x v="0"/>
    <n v="2185291.6080808742"/>
    <n v="1351733.1969080113"/>
    <n v="131958.69446169108"/>
  </r>
  <r>
    <x v="0"/>
    <x v="25"/>
    <x v="0"/>
    <x v="1"/>
    <x v="2"/>
    <x v="1"/>
    <x v="1"/>
    <x v="25"/>
    <x v="0"/>
    <n v="666196.54263122042"/>
    <n v="347365.21600913245"/>
    <n v="61157.743972961602"/>
  </r>
  <r>
    <x v="0"/>
    <x v="25"/>
    <x v="1"/>
    <x v="1"/>
    <x v="2"/>
    <x v="1"/>
    <x v="1"/>
    <x v="25"/>
    <x v="0"/>
    <n v="60440.472029790348"/>
    <n v="29285.938790840552"/>
    <n v="5272.0452429223615"/>
  </r>
  <r>
    <x v="0"/>
    <x v="25"/>
    <x v="2"/>
    <x v="1"/>
    <x v="2"/>
    <x v="1"/>
    <x v="1"/>
    <x v="25"/>
    <x v="0"/>
    <n v="2305512.7787571652"/>
    <n v="1223020.7992700883"/>
    <n v="199030.91039374348"/>
  </r>
  <r>
    <x v="0"/>
    <x v="25"/>
    <x v="0"/>
    <x v="1"/>
    <x v="3"/>
    <x v="1"/>
    <x v="1"/>
    <x v="25"/>
    <x v="0"/>
    <n v="626416.1749574159"/>
    <n v="289256.39647806622"/>
    <n v="72325.77591355631"/>
  </r>
  <r>
    <x v="0"/>
    <x v="25"/>
    <x v="1"/>
    <x v="1"/>
    <x v="3"/>
    <x v="1"/>
    <x v="1"/>
    <x v="25"/>
    <x v="0"/>
    <n v="31082.727059756697"/>
    <n v="13976.185718065077"/>
    <n v="3529.6120609078125"/>
  </r>
  <r>
    <x v="0"/>
    <x v="25"/>
    <x v="2"/>
    <x v="1"/>
    <x v="3"/>
    <x v="1"/>
    <x v="1"/>
    <x v="25"/>
    <x v="0"/>
    <n v="2805097.6337038521"/>
    <n v="1294408.9514121979"/>
    <n v="295097.5285897862"/>
  </r>
  <r>
    <x v="0"/>
    <x v="25"/>
    <x v="0"/>
    <x v="1"/>
    <x v="4"/>
    <x v="1"/>
    <x v="1"/>
    <x v="25"/>
    <x v="0"/>
    <n v="466947.37048506847"/>
    <n v="190777.98212629106"/>
    <n v="61885.298162482926"/>
  </r>
  <r>
    <x v="0"/>
    <x v="25"/>
    <x v="1"/>
    <x v="1"/>
    <x v="4"/>
    <x v="1"/>
    <x v="1"/>
    <x v="25"/>
    <x v="0"/>
    <n v="43329.648260152979"/>
    <n v="16492.166421163922"/>
    <n v="5183.9698589847239"/>
  </r>
  <r>
    <x v="0"/>
    <x v="25"/>
    <x v="2"/>
    <x v="1"/>
    <x v="4"/>
    <x v="1"/>
    <x v="1"/>
    <x v="25"/>
    <x v="0"/>
    <n v="2177343.8830666426"/>
    <n v="889122.92076058988"/>
    <n v="260623.65714713742"/>
  </r>
  <r>
    <x v="0"/>
    <x v="25"/>
    <x v="0"/>
    <x v="1"/>
    <x v="5"/>
    <x v="1"/>
    <x v="1"/>
    <x v="25"/>
    <x v="0"/>
    <n v="268163.95952709339"/>
    <n v="98407.045721271672"/>
    <n v="38773.821270954992"/>
  </r>
  <r>
    <x v="0"/>
    <x v="25"/>
    <x v="1"/>
    <x v="1"/>
    <x v="5"/>
    <x v="1"/>
    <x v="1"/>
    <x v="25"/>
    <x v="0"/>
    <n v="5669.8426950269404"/>
    <n v="1965.5813753853211"/>
    <n v="772.21547421388777"/>
  </r>
  <r>
    <x v="0"/>
    <x v="25"/>
    <x v="2"/>
    <x v="1"/>
    <x v="5"/>
    <x v="1"/>
    <x v="1"/>
    <x v="25"/>
    <x v="0"/>
    <n v="1323041.368256612"/>
    <n v="485242.84963365906"/>
    <n v="173739.1894000532"/>
  </r>
  <r>
    <x v="0"/>
    <x v="25"/>
    <x v="0"/>
    <x v="1"/>
    <x v="6"/>
    <x v="1"/>
    <x v="1"/>
    <x v="25"/>
    <x v="0"/>
    <n v="397655.47239736008"/>
    <n v="132330.89653577682"/>
    <n v="61431.935617942996"/>
  </r>
  <r>
    <x v="0"/>
    <x v="25"/>
    <x v="1"/>
    <x v="1"/>
    <x v="6"/>
    <x v="1"/>
    <x v="1"/>
    <x v="25"/>
    <x v="0"/>
    <n v="1831.1239568780529"/>
    <n v="651.78799687312051"/>
    <n v="301.80606713812784"/>
  </r>
  <r>
    <x v="0"/>
    <x v="25"/>
    <x v="2"/>
    <x v="1"/>
    <x v="6"/>
    <x v="1"/>
    <x v="1"/>
    <x v="25"/>
    <x v="0"/>
    <n v="2312424.2599488972"/>
    <n v="768553.93188162451"/>
    <n v="325606.03533289436"/>
  </r>
  <r>
    <x v="0"/>
    <x v="25"/>
    <x v="0"/>
    <x v="1"/>
    <x v="7"/>
    <x v="1"/>
    <x v="1"/>
    <x v="25"/>
    <x v="0"/>
    <n v="191949.37250091843"/>
    <n v="58384.78247097737"/>
    <n v="31576.823220495051"/>
  </r>
  <r>
    <x v="0"/>
    <x v="25"/>
    <x v="1"/>
    <x v="1"/>
    <x v="7"/>
    <x v="1"/>
    <x v="1"/>
    <x v="25"/>
    <x v="0"/>
    <n v="3488.3840956716972"/>
    <n v="1029.5922553622167"/>
    <n v="566.41764505985316"/>
  </r>
  <r>
    <x v="0"/>
    <x v="25"/>
    <x v="2"/>
    <x v="1"/>
    <x v="7"/>
    <x v="1"/>
    <x v="1"/>
    <x v="25"/>
    <x v="0"/>
    <n v="1058856.775563038"/>
    <n v="321808.47687863436"/>
    <n v="157061.67148497203"/>
  </r>
  <r>
    <x v="0"/>
    <x v="25"/>
    <x v="0"/>
    <x v="1"/>
    <x v="8"/>
    <x v="1"/>
    <x v="1"/>
    <x v="25"/>
    <x v="0"/>
    <n v="78442.552461353989"/>
    <n v="22003.458594253076"/>
    <n v="13450.171898908202"/>
  </r>
  <r>
    <x v="0"/>
    <x v="25"/>
    <x v="2"/>
    <x v="1"/>
    <x v="8"/>
    <x v="1"/>
    <x v="1"/>
    <x v="25"/>
    <x v="0"/>
    <n v="440337.23065997422"/>
    <n v="123545.56505546795"/>
    <n v="68254.027980826737"/>
  </r>
  <r>
    <x v="0"/>
    <x v="25"/>
    <x v="0"/>
    <x v="1"/>
    <x v="9"/>
    <x v="1"/>
    <x v="1"/>
    <x v="25"/>
    <x v="0"/>
    <n v="92233.600506586605"/>
    <n v="23863.735783450196"/>
    <n v="15982.807099608284"/>
  </r>
  <r>
    <x v="0"/>
    <x v="25"/>
    <x v="1"/>
    <x v="1"/>
    <x v="9"/>
    <x v="1"/>
    <x v="1"/>
    <x v="25"/>
    <x v="0"/>
    <n v="1660.4191393248766"/>
    <n v="424.08878100688156"/>
    <n v="265.98791580131808"/>
  </r>
  <r>
    <x v="0"/>
    <x v="25"/>
    <x v="2"/>
    <x v="1"/>
    <x v="9"/>
    <x v="1"/>
    <x v="1"/>
    <x v="25"/>
    <x v="0"/>
    <n v="517506.80125247082"/>
    <n v="133419.69613960403"/>
    <n v="82335.161284844784"/>
  </r>
  <r>
    <x v="0"/>
    <x v="25"/>
    <x v="0"/>
    <x v="1"/>
    <x v="10"/>
    <x v="1"/>
    <x v="1"/>
    <x v="25"/>
    <x v="0"/>
    <n v="210905.27471145039"/>
    <n v="50637.37726025837"/>
    <n v="37635.279007677906"/>
  </r>
  <r>
    <x v="0"/>
    <x v="25"/>
    <x v="1"/>
    <x v="1"/>
    <x v="10"/>
    <x v="1"/>
    <x v="1"/>
    <x v="25"/>
    <x v="0"/>
    <n v="2222.9912222491621"/>
    <n v="499.82729511995319"/>
    <n v="381.90570949339156"/>
  </r>
  <r>
    <x v="0"/>
    <x v="25"/>
    <x v="2"/>
    <x v="1"/>
    <x v="10"/>
    <x v="1"/>
    <x v="1"/>
    <x v="25"/>
    <x v="0"/>
    <n v="1164912.578968928"/>
    <n v="279296.38277102238"/>
    <n v="191032.19428831592"/>
  </r>
  <r>
    <x v="0"/>
    <x v="25"/>
    <x v="0"/>
    <x v="1"/>
    <x v="11"/>
    <x v="1"/>
    <x v="1"/>
    <x v="25"/>
    <x v="0"/>
    <n v="63522.363509474024"/>
    <n v="14226.692781895988"/>
    <n v="11554.335470798511"/>
  </r>
  <r>
    <x v="0"/>
    <x v="25"/>
    <x v="2"/>
    <x v="1"/>
    <x v="11"/>
    <x v="1"/>
    <x v="1"/>
    <x v="25"/>
    <x v="0"/>
    <n v="369803.92504932563"/>
    <n v="82552.043583544801"/>
    <n v="61571.918431505204"/>
  </r>
  <r>
    <x v="0"/>
    <x v="25"/>
    <x v="0"/>
    <x v="1"/>
    <x v="12"/>
    <x v="1"/>
    <x v="1"/>
    <x v="25"/>
    <x v="0"/>
    <n v="35526.779194265277"/>
    <n v="7455.7562204842779"/>
    <n v="6541.0441021500301"/>
  </r>
  <r>
    <x v="0"/>
    <x v="25"/>
    <x v="1"/>
    <x v="1"/>
    <x v="12"/>
    <x v="1"/>
    <x v="1"/>
    <x v="25"/>
    <x v="0"/>
    <n v="240.54306427100235"/>
    <n v="46.146952908670848"/>
    <n v="41.97589124334327"/>
  </r>
  <r>
    <x v="0"/>
    <x v="25"/>
    <x v="2"/>
    <x v="1"/>
    <x v="12"/>
    <x v="1"/>
    <x v="1"/>
    <x v="25"/>
    <x v="0"/>
    <n v="220486.85651861597"/>
    <n v="46219.038451962973"/>
    <n v="37212.594839520949"/>
  </r>
  <r>
    <x v="0"/>
    <x v="26"/>
    <x v="0"/>
    <x v="1"/>
    <x v="0"/>
    <x v="1"/>
    <x v="1"/>
    <x v="26"/>
    <x v="0"/>
    <n v="175314.99070162125"/>
    <n v="138326.42010634899"/>
    <n v="7164.6767832845708"/>
  </r>
  <r>
    <x v="0"/>
    <x v="26"/>
    <x v="1"/>
    <x v="1"/>
    <x v="0"/>
    <x v="1"/>
    <x v="1"/>
    <x v="26"/>
    <x v="0"/>
    <n v="3790.2864088776664"/>
    <n v="3198.2287939268285"/>
    <n v="165.53731594157827"/>
  </r>
  <r>
    <x v="0"/>
    <x v="26"/>
    <x v="2"/>
    <x v="1"/>
    <x v="0"/>
    <x v="1"/>
    <x v="1"/>
    <x v="26"/>
    <x v="0"/>
    <n v="519676.8080532882"/>
    <n v="430244.81251109083"/>
    <n v="20620.722469771576"/>
  </r>
  <r>
    <x v="0"/>
    <x v="26"/>
    <x v="0"/>
    <x v="1"/>
    <x v="1"/>
    <x v="1"/>
    <x v="1"/>
    <x v="26"/>
    <x v="0"/>
    <n v="489294.35275019909"/>
    <n v="327310.9064451938"/>
    <n v="34897.232485693909"/>
  </r>
  <r>
    <x v="0"/>
    <x v="26"/>
    <x v="1"/>
    <x v="1"/>
    <x v="1"/>
    <x v="1"/>
    <x v="1"/>
    <x v="26"/>
    <x v="0"/>
    <n v="104916.73038249911"/>
    <n v="70070.11587730961"/>
    <n v="7479.7292634289661"/>
  </r>
  <r>
    <x v="0"/>
    <x v="26"/>
    <x v="2"/>
    <x v="1"/>
    <x v="1"/>
    <x v="1"/>
    <x v="1"/>
    <x v="26"/>
    <x v="0"/>
    <n v="1646945.1668506723"/>
    <n v="1116653.0156670129"/>
    <n v="110009.42044291306"/>
  </r>
  <r>
    <x v="0"/>
    <x v="26"/>
    <x v="0"/>
    <x v="1"/>
    <x v="2"/>
    <x v="1"/>
    <x v="1"/>
    <x v="26"/>
    <x v="0"/>
    <n v="810527.06188629917"/>
    <n v="459430.14316672791"/>
    <n v="80867.839328684975"/>
  </r>
  <r>
    <x v="0"/>
    <x v="26"/>
    <x v="1"/>
    <x v="1"/>
    <x v="2"/>
    <x v="1"/>
    <x v="1"/>
    <x v="26"/>
    <x v="0"/>
    <n v="84389.359638807917"/>
    <n v="44376.577601342775"/>
    <n v="7833.0939332947692"/>
  </r>
  <r>
    <x v="0"/>
    <x v="26"/>
    <x v="2"/>
    <x v="1"/>
    <x v="2"/>
    <x v="1"/>
    <x v="1"/>
    <x v="26"/>
    <x v="0"/>
    <n v="1974272.1634014242"/>
    <n v="1132250.0864143816"/>
    <n v="185957.68595119103"/>
  </r>
  <r>
    <x v="0"/>
    <x v="26"/>
    <x v="0"/>
    <x v="1"/>
    <x v="3"/>
    <x v="1"/>
    <x v="1"/>
    <x v="26"/>
    <x v="0"/>
    <n v="612319.89075155323"/>
    <n v="302770.02529365249"/>
    <n v="74927.952050586115"/>
  </r>
  <r>
    <x v="0"/>
    <x v="26"/>
    <x v="1"/>
    <x v="1"/>
    <x v="3"/>
    <x v="1"/>
    <x v="1"/>
    <x v="26"/>
    <x v="0"/>
    <n v="54364.045296524338"/>
    <n v="26470.686600487643"/>
    <n v="6575.447476376964"/>
  </r>
  <r>
    <x v="0"/>
    <x v="26"/>
    <x v="2"/>
    <x v="1"/>
    <x v="3"/>
    <x v="1"/>
    <x v="1"/>
    <x v="26"/>
    <x v="0"/>
    <n v="1901340.6601889986"/>
    <n v="940416.24468400271"/>
    <n v="216233.68157550978"/>
  </r>
  <r>
    <x v="0"/>
    <x v="26"/>
    <x v="0"/>
    <x v="1"/>
    <x v="4"/>
    <x v="1"/>
    <x v="1"/>
    <x v="26"/>
    <x v="0"/>
    <n v="493529.52593243116"/>
    <n v="214293.78422099212"/>
    <n v="68639.110513569321"/>
  </r>
  <r>
    <x v="0"/>
    <x v="26"/>
    <x v="1"/>
    <x v="1"/>
    <x v="4"/>
    <x v="1"/>
    <x v="1"/>
    <x v="26"/>
    <x v="0"/>
    <n v="35065.160871812441"/>
    <n v="13756.961474590378"/>
    <n v="4412.7599985555444"/>
  </r>
  <r>
    <x v="0"/>
    <x v="26"/>
    <x v="2"/>
    <x v="1"/>
    <x v="4"/>
    <x v="1"/>
    <x v="1"/>
    <x v="26"/>
    <x v="0"/>
    <n v="1602581.0037176381"/>
    <n v="693700.50875911326"/>
    <n v="205187.25714324182"/>
  </r>
  <r>
    <x v="0"/>
    <x v="26"/>
    <x v="0"/>
    <x v="1"/>
    <x v="5"/>
    <x v="1"/>
    <x v="1"/>
    <x v="26"/>
    <x v="0"/>
    <n v="233483.19673755069"/>
    <n v="90416.704256842117"/>
    <n v="35246.94896493289"/>
  </r>
  <r>
    <x v="0"/>
    <x v="26"/>
    <x v="1"/>
    <x v="1"/>
    <x v="5"/>
    <x v="1"/>
    <x v="1"/>
    <x v="26"/>
    <x v="0"/>
    <n v="2663.594035451456"/>
    <n v="984.25210988887113"/>
    <n v="383.6439568825528"/>
  </r>
  <r>
    <x v="0"/>
    <x v="26"/>
    <x v="2"/>
    <x v="1"/>
    <x v="5"/>
    <x v="1"/>
    <x v="1"/>
    <x v="26"/>
    <x v="0"/>
    <n v="754819.8495716959"/>
    <n v="292245.62562071282"/>
    <n v="105590.14998526892"/>
  </r>
  <r>
    <x v="0"/>
    <x v="26"/>
    <x v="0"/>
    <x v="1"/>
    <x v="6"/>
    <x v="1"/>
    <x v="1"/>
    <x v="26"/>
    <x v="0"/>
    <n v="432035.0317861014"/>
    <n v="150956.30462039314"/>
    <n v="69352.48603435258"/>
  </r>
  <r>
    <x v="0"/>
    <x v="26"/>
    <x v="1"/>
    <x v="1"/>
    <x v="6"/>
    <x v="1"/>
    <x v="1"/>
    <x v="26"/>
    <x v="0"/>
    <n v="1047.7154581344544"/>
    <n v="368.09875746712459"/>
    <n v="169.94682161486159"/>
  </r>
  <r>
    <x v="0"/>
    <x v="26"/>
    <x v="2"/>
    <x v="1"/>
    <x v="6"/>
    <x v="1"/>
    <x v="1"/>
    <x v="26"/>
    <x v="0"/>
    <n v="1507797.7791739157"/>
    <n v="525933.04281948623"/>
    <n v="224646.8415479706"/>
  </r>
  <r>
    <x v="0"/>
    <x v="26"/>
    <x v="0"/>
    <x v="1"/>
    <x v="7"/>
    <x v="1"/>
    <x v="1"/>
    <x v="26"/>
    <x v="0"/>
    <n v="186945.47948268207"/>
    <n v="59451.693030643197"/>
    <n v="31719.9378285034"/>
  </r>
  <r>
    <x v="0"/>
    <x v="26"/>
    <x v="1"/>
    <x v="1"/>
    <x v="7"/>
    <x v="1"/>
    <x v="1"/>
    <x v="26"/>
    <x v="0"/>
    <n v="3163.3314229588077"/>
    <n v="990.52831971466185"/>
    <n v="537.56117714103402"/>
  </r>
  <r>
    <x v="0"/>
    <x v="26"/>
    <x v="2"/>
    <x v="1"/>
    <x v="7"/>
    <x v="1"/>
    <x v="1"/>
    <x v="26"/>
    <x v="0"/>
    <n v="629843.56248555647"/>
    <n v="200009.47688363597"/>
    <n v="98549.105033857646"/>
  </r>
  <r>
    <x v="0"/>
    <x v="26"/>
    <x v="0"/>
    <x v="1"/>
    <x v="8"/>
    <x v="1"/>
    <x v="1"/>
    <x v="26"/>
    <x v="0"/>
    <n v="83034.979504585732"/>
    <n v="24265.151077923754"/>
    <n v="14675.565344122933"/>
  </r>
  <r>
    <x v="0"/>
    <x v="26"/>
    <x v="2"/>
    <x v="1"/>
    <x v="8"/>
    <x v="1"/>
    <x v="1"/>
    <x v="26"/>
    <x v="0"/>
    <n v="257926.75882926109"/>
    <n v="75888.36657036109"/>
    <n v="42389.341453123496"/>
  </r>
  <r>
    <x v="0"/>
    <x v="26"/>
    <x v="0"/>
    <x v="1"/>
    <x v="9"/>
    <x v="1"/>
    <x v="1"/>
    <x v="26"/>
    <x v="0"/>
    <n v="116504.27587948015"/>
    <n v="31301.663483897621"/>
    <n v="20812.570385051891"/>
  </r>
  <r>
    <x v="0"/>
    <x v="26"/>
    <x v="1"/>
    <x v="1"/>
    <x v="9"/>
    <x v="1"/>
    <x v="1"/>
    <x v="26"/>
    <x v="0"/>
    <n v="412.06632485781586"/>
    <n v="108.58818132782835"/>
    <n v="69.561816867198445"/>
  </r>
  <r>
    <x v="0"/>
    <x v="26"/>
    <x v="2"/>
    <x v="1"/>
    <x v="9"/>
    <x v="1"/>
    <x v="1"/>
    <x v="26"/>
    <x v="0"/>
    <n v="387144.74087776488"/>
    <n v="103524.35844489408"/>
    <n v="64546.227652327259"/>
  </r>
  <r>
    <x v="0"/>
    <x v="26"/>
    <x v="0"/>
    <x v="1"/>
    <x v="10"/>
    <x v="1"/>
    <x v="1"/>
    <x v="26"/>
    <x v="0"/>
    <n v="331197.80698541214"/>
    <n v="82346.910182056788"/>
    <n v="60819.40344540956"/>
  </r>
  <r>
    <x v="0"/>
    <x v="26"/>
    <x v="1"/>
    <x v="1"/>
    <x v="10"/>
    <x v="1"/>
    <x v="1"/>
    <x v="26"/>
    <x v="0"/>
    <n v="2932.1906510979607"/>
    <n v="693.77102125250804"/>
    <n v="519.38543700780679"/>
  </r>
  <r>
    <x v="0"/>
    <x v="26"/>
    <x v="2"/>
    <x v="1"/>
    <x v="10"/>
    <x v="1"/>
    <x v="1"/>
    <x v="26"/>
    <x v="0"/>
    <n v="1117109.3804419299"/>
    <n v="277374.80557673163"/>
    <n v="191299.46974034185"/>
  </r>
  <r>
    <x v="0"/>
    <x v="26"/>
    <x v="0"/>
    <x v="1"/>
    <x v="11"/>
    <x v="1"/>
    <x v="1"/>
    <x v="26"/>
    <x v="0"/>
    <n v="51214.639556281109"/>
    <n v="11849.807083420475"/>
    <n v="9643.9492551657258"/>
  </r>
  <r>
    <x v="0"/>
    <x v="26"/>
    <x v="2"/>
    <x v="1"/>
    <x v="11"/>
    <x v="1"/>
    <x v="1"/>
    <x v="26"/>
    <x v="0"/>
    <n v="172825.59715199732"/>
    <n v="39477.200110203034"/>
    <n v="29799.14257876523"/>
  </r>
  <r>
    <x v="0"/>
    <x v="26"/>
    <x v="0"/>
    <x v="1"/>
    <x v="12"/>
    <x v="1"/>
    <x v="1"/>
    <x v="26"/>
    <x v="0"/>
    <n v="48990.320136876973"/>
    <n v="10599.423831906437"/>
    <n v="9250.5030421532338"/>
  </r>
  <r>
    <x v="0"/>
    <x v="26"/>
    <x v="1"/>
    <x v="1"/>
    <x v="12"/>
    <x v="1"/>
    <x v="1"/>
    <x v="26"/>
    <x v="0"/>
    <n v="320.96741790531399"/>
    <n v="65.254462690523169"/>
    <n v="58.15734137708116"/>
  </r>
  <r>
    <x v="0"/>
    <x v="26"/>
    <x v="2"/>
    <x v="1"/>
    <x v="12"/>
    <x v="1"/>
    <x v="1"/>
    <x v="26"/>
    <x v="0"/>
    <n v="179859.52925588185"/>
    <n v="38836.455938333966"/>
    <n v="31815.95442571953"/>
  </r>
  <r>
    <x v="0"/>
    <x v="27"/>
    <x v="2"/>
    <x v="0"/>
    <x v="0"/>
    <x v="0"/>
    <x v="0"/>
    <x v="27"/>
    <x v="0"/>
    <n v="-185599.00000000003"/>
    <n v="0"/>
    <n v="0"/>
  </r>
  <r>
    <x v="0"/>
    <x v="28"/>
    <x v="2"/>
    <x v="0"/>
    <x v="0"/>
    <x v="0"/>
    <x v="0"/>
    <x v="28"/>
    <x v="0"/>
    <n v="-607"/>
    <n v="0"/>
    <n v="0"/>
  </r>
  <r>
    <x v="0"/>
    <x v="29"/>
    <x v="2"/>
    <x v="0"/>
    <x v="0"/>
    <x v="0"/>
    <x v="0"/>
    <x v="29"/>
    <x v="0"/>
    <n v="3911521.9818950142"/>
    <n v="5359490.9300701441"/>
    <n v="110157.39703334529"/>
  </r>
  <r>
    <x v="0"/>
    <x v="29"/>
    <x v="2"/>
    <x v="0"/>
    <x v="1"/>
    <x v="0"/>
    <x v="0"/>
    <x v="29"/>
    <x v="0"/>
    <n v="438529.51033867575"/>
    <n v="434242.49712052598"/>
    <n v="36679.283450707437"/>
  </r>
  <r>
    <x v="0"/>
    <x v="29"/>
    <x v="2"/>
    <x v="0"/>
    <x v="2"/>
    <x v="0"/>
    <x v="0"/>
    <x v="29"/>
    <x v="0"/>
    <n v="143796.2980116712"/>
    <n v="103377.31486284976"/>
    <n v="14553.334674256852"/>
  </r>
  <r>
    <x v="0"/>
    <x v="29"/>
    <x v="2"/>
    <x v="0"/>
    <x v="3"/>
    <x v="0"/>
    <x v="0"/>
    <x v="29"/>
    <x v="0"/>
    <n v="17085.209753895269"/>
    <n v="10883.257947290884"/>
    <n v="2144.9848416805903"/>
  </r>
  <r>
    <x v="0"/>
    <x v="30"/>
    <x v="2"/>
    <x v="0"/>
    <x v="0"/>
    <x v="0"/>
    <x v="0"/>
    <x v="30"/>
    <x v="0"/>
    <n v="13776463.752332598"/>
    <n v="18872416.118407369"/>
    <n v="382895.79552087374"/>
  </r>
  <r>
    <x v="0"/>
    <x v="30"/>
    <x v="2"/>
    <x v="0"/>
    <x v="1"/>
    <x v="0"/>
    <x v="0"/>
    <x v="30"/>
    <x v="0"/>
    <n v="2100452.9284744766"/>
    <n v="2079729.1379996336"/>
    <n v="173403.66202264524"/>
  </r>
  <r>
    <x v="0"/>
    <x v="30"/>
    <x v="2"/>
    <x v="0"/>
    <x v="2"/>
    <x v="0"/>
    <x v="0"/>
    <x v="30"/>
    <x v="0"/>
    <n v="245358.03911169432"/>
    <n v="190211.72453309494"/>
    <n v="26432.456187864835"/>
  </r>
  <r>
    <x v="0"/>
    <x v="30"/>
    <x v="2"/>
    <x v="0"/>
    <x v="3"/>
    <x v="0"/>
    <x v="0"/>
    <x v="30"/>
    <x v="0"/>
    <n v="23418.280081577886"/>
    <n v="14917.019060895262"/>
    <n v="2902.0862685928214"/>
  </r>
  <r>
    <x v="0"/>
    <x v="31"/>
    <x v="2"/>
    <x v="0"/>
    <x v="0"/>
    <x v="0"/>
    <x v="0"/>
    <x v="31"/>
    <x v="0"/>
    <n v="8377297.9999995427"/>
    <n v="11847086.000000775"/>
    <n v="327927.99999999331"/>
  </r>
  <r>
    <x v="0"/>
    <x v="32"/>
    <x v="2"/>
    <x v="0"/>
    <x v="0"/>
    <x v="0"/>
    <x v="0"/>
    <x v="32"/>
    <x v="0"/>
    <n v="6241184.000000013"/>
    <n v="8502331.0000000205"/>
    <n v="235343.99999999817"/>
  </r>
  <r>
    <x v="0"/>
    <x v="33"/>
    <x v="2"/>
    <x v="0"/>
    <x v="0"/>
    <x v="0"/>
    <x v="0"/>
    <x v="33"/>
    <x v="0"/>
    <n v="13248.999999999951"/>
    <n v="0"/>
    <n v="0"/>
  </r>
  <r>
    <x v="0"/>
    <x v="34"/>
    <x v="2"/>
    <x v="0"/>
    <x v="0"/>
    <x v="0"/>
    <x v="0"/>
    <x v="34"/>
    <x v="0"/>
    <n v="206783.00000000189"/>
    <n v="0"/>
    <n v="0"/>
  </r>
  <r>
    <x v="0"/>
    <x v="35"/>
    <x v="2"/>
    <x v="0"/>
    <x v="0"/>
    <x v="3"/>
    <x v="3"/>
    <x v="35"/>
    <x v="0"/>
    <n v="282907.99999999406"/>
    <n v="505453.00000001775"/>
    <n v="3160.0000000001405"/>
  </r>
  <r>
    <x v="0"/>
    <x v="36"/>
    <x v="2"/>
    <x v="0"/>
    <x v="0"/>
    <x v="3"/>
    <x v="3"/>
    <x v="36"/>
    <x v="0"/>
    <n v="282773.00000000384"/>
    <n v="504914.99999998417"/>
    <n v="3156.0000000000687"/>
  </r>
  <r>
    <x v="0"/>
    <x v="37"/>
    <x v="2"/>
    <x v="0"/>
    <x v="0"/>
    <x v="3"/>
    <x v="3"/>
    <x v="37"/>
    <x v="0"/>
    <n v="267099.99999999849"/>
    <n v="497328.00000000215"/>
    <n v="3108.9999999999864"/>
  </r>
  <r>
    <x v="0"/>
    <x v="38"/>
    <x v="2"/>
    <x v="0"/>
    <x v="0"/>
    <x v="3"/>
    <x v="3"/>
    <x v="38"/>
    <x v="0"/>
    <n v="179993.00000000012"/>
    <n v="319134.99999999988"/>
    <n v="1995.000000000003"/>
  </r>
  <r>
    <x v="0"/>
    <x v="39"/>
    <x v="2"/>
    <x v="1"/>
    <x v="0"/>
    <x v="1"/>
    <x v="1"/>
    <x v="39"/>
    <x v="0"/>
    <n v="124479.37888608204"/>
    <n v="82819.939637199364"/>
    <n v="3549.5719855288571"/>
  </r>
  <r>
    <x v="0"/>
    <x v="39"/>
    <x v="2"/>
    <x v="1"/>
    <x v="1"/>
    <x v="1"/>
    <x v="1"/>
    <x v="39"/>
    <x v="0"/>
    <n v="262719.21670849388"/>
    <n v="148132.43816006157"/>
    <n v="13045.467539904077"/>
  </r>
  <r>
    <x v="0"/>
    <x v="39"/>
    <x v="2"/>
    <x v="1"/>
    <x v="2"/>
    <x v="1"/>
    <x v="1"/>
    <x v="39"/>
    <x v="0"/>
    <n v="152951.87075355087"/>
    <n v="74827.719140014407"/>
    <n v="10982.993700894636"/>
  </r>
  <r>
    <x v="0"/>
    <x v="39"/>
    <x v="2"/>
    <x v="1"/>
    <x v="3"/>
    <x v="1"/>
    <x v="1"/>
    <x v="39"/>
    <x v="0"/>
    <n v="110991.49414357184"/>
    <n v="47952.314373741297"/>
    <n v="9853.6205816269503"/>
  </r>
  <r>
    <x v="0"/>
    <x v="39"/>
    <x v="2"/>
    <x v="1"/>
    <x v="4"/>
    <x v="1"/>
    <x v="1"/>
    <x v="39"/>
    <x v="0"/>
    <n v="77111.289955175249"/>
    <n v="29715.648698634763"/>
    <n v="7850.8367648632357"/>
  </r>
  <r>
    <x v="0"/>
    <x v="39"/>
    <x v="2"/>
    <x v="1"/>
    <x v="5"/>
    <x v="1"/>
    <x v="1"/>
    <x v="39"/>
    <x v="0"/>
    <n v="53004.017709748077"/>
    <n v="18431.32727984705"/>
    <n v="5951.6518507909905"/>
  </r>
  <r>
    <x v="0"/>
    <x v="39"/>
    <x v="2"/>
    <x v="1"/>
    <x v="6"/>
    <x v="1"/>
    <x v="1"/>
    <x v="39"/>
    <x v="0"/>
    <n v="40176.324441493052"/>
    <n v="12728.650009394241"/>
    <n v="4857.5124252081496"/>
  </r>
  <r>
    <x v="0"/>
    <x v="39"/>
    <x v="2"/>
    <x v="1"/>
    <x v="7"/>
    <x v="1"/>
    <x v="1"/>
    <x v="39"/>
    <x v="0"/>
    <n v="30273.411901340613"/>
    <n v="8808.1854621268849"/>
    <n v="3878.5190792401636"/>
  </r>
  <r>
    <x v="0"/>
    <x v="39"/>
    <x v="2"/>
    <x v="1"/>
    <x v="8"/>
    <x v="1"/>
    <x v="1"/>
    <x v="39"/>
    <x v="0"/>
    <n v="24351.62889568981"/>
    <n v="6550.917734628968"/>
    <n v="3269.183435507473"/>
  </r>
  <r>
    <x v="0"/>
    <x v="39"/>
    <x v="2"/>
    <x v="1"/>
    <x v="9"/>
    <x v="1"/>
    <x v="1"/>
    <x v="39"/>
    <x v="0"/>
    <n v="20985.059671745275"/>
    <n v="5222.5792193855859"/>
    <n v="2912.9086152434484"/>
  </r>
  <r>
    <x v="0"/>
    <x v="39"/>
    <x v="2"/>
    <x v="1"/>
    <x v="10"/>
    <x v="1"/>
    <x v="1"/>
    <x v="39"/>
    <x v="0"/>
    <n v="16961.997978174539"/>
    <n v="3927.5248127245563"/>
    <n v="2421.1765272398934"/>
  </r>
  <r>
    <x v="0"/>
    <x v="39"/>
    <x v="2"/>
    <x v="1"/>
    <x v="11"/>
    <x v="1"/>
    <x v="1"/>
    <x v="39"/>
    <x v="0"/>
    <n v="15588.858734086176"/>
    <n v="3374.8068883863284"/>
    <n v="2278.583696325597"/>
  </r>
  <r>
    <x v="0"/>
    <x v="39"/>
    <x v="2"/>
    <x v="1"/>
    <x v="12"/>
    <x v="1"/>
    <x v="1"/>
    <x v="39"/>
    <x v="0"/>
    <n v="14956.450220848266"/>
    <n v="3039.9485838602495"/>
    <n v="2230.9737976316151"/>
  </r>
  <r>
    <x v="0"/>
    <x v="40"/>
    <x v="2"/>
    <x v="1"/>
    <x v="0"/>
    <x v="1"/>
    <x v="1"/>
    <x v="40"/>
    <x v="0"/>
    <n v="881038.09249029309"/>
    <n v="586939.70116490126"/>
    <n v="30552.849955489703"/>
  </r>
  <r>
    <x v="0"/>
    <x v="40"/>
    <x v="2"/>
    <x v="1"/>
    <x v="1"/>
    <x v="1"/>
    <x v="1"/>
    <x v="40"/>
    <x v="0"/>
    <n v="1042152.63093542"/>
    <n v="588366.67158282455"/>
    <n v="62932.459274996334"/>
  </r>
  <r>
    <x v="0"/>
    <x v="40"/>
    <x v="2"/>
    <x v="1"/>
    <x v="2"/>
    <x v="1"/>
    <x v="1"/>
    <x v="40"/>
    <x v="0"/>
    <n v="818019.66204402782"/>
    <n v="400703.96040865948"/>
    <n v="71433.022092346204"/>
  </r>
  <r>
    <x v="0"/>
    <x v="40"/>
    <x v="2"/>
    <x v="1"/>
    <x v="3"/>
    <x v="1"/>
    <x v="1"/>
    <x v="40"/>
    <x v="0"/>
    <n v="343588.17941358627"/>
    <n v="148633.35948967529"/>
    <n v="37095.371000981795"/>
  </r>
  <r>
    <x v="0"/>
    <x v="40"/>
    <x v="2"/>
    <x v="1"/>
    <x v="4"/>
    <x v="1"/>
    <x v="1"/>
    <x v="40"/>
    <x v="0"/>
    <n v="476056.94315307488"/>
    <n v="183674.64081717748"/>
    <n v="58938.230586615631"/>
  </r>
  <r>
    <x v="0"/>
    <x v="40"/>
    <x v="2"/>
    <x v="1"/>
    <x v="5"/>
    <x v="1"/>
    <x v="1"/>
    <x v="40"/>
    <x v="0"/>
    <n v="118371.76151223046"/>
    <n v="41215.09198612818"/>
    <n v="16164.204769620228"/>
  </r>
  <r>
    <x v="0"/>
    <x v="40"/>
    <x v="2"/>
    <x v="1"/>
    <x v="6"/>
    <x v="1"/>
    <x v="1"/>
    <x v="40"/>
    <x v="0"/>
    <n v="89807.879668464215"/>
    <n v="28490.098379217856"/>
    <n v="13205.130153036485"/>
  </r>
  <r>
    <x v="0"/>
    <x v="40"/>
    <x v="2"/>
    <x v="1"/>
    <x v="7"/>
    <x v="1"/>
    <x v="1"/>
    <x v="40"/>
    <x v="0"/>
    <n v="56872.790080278843"/>
    <n v="16569.159330784103"/>
    <n v="8861.2934345887916"/>
  </r>
  <r>
    <x v="0"/>
    <x v="40"/>
    <x v="2"/>
    <x v="1"/>
    <x v="8"/>
    <x v="1"/>
    <x v="1"/>
    <x v="40"/>
    <x v="0"/>
    <n v="47306.94448188044"/>
    <n v="12742.101150706962"/>
    <n v="7723.1657332481409"/>
  </r>
  <r>
    <x v="0"/>
    <x v="40"/>
    <x v="2"/>
    <x v="1"/>
    <x v="9"/>
    <x v="1"/>
    <x v="1"/>
    <x v="40"/>
    <x v="0"/>
    <n v="39102.361270843205"/>
    <n v="9744.2556817482509"/>
    <n v="6600.968447070778"/>
  </r>
  <r>
    <x v="0"/>
    <x v="40"/>
    <x v="2"/>
    <x v="1"/>
    <x v="10"/>
    <x v="1"/>
    <x v="1"/>
    <x v="40"/>
    <x v="0"/>
    <n v="34167.32942900381"/>
    <n v="7921.7991042778767"/>
    <n v="5931.2810618835829"/>
  </r>
  <r>
    <x v="0"/>
    <x v="40"/>
    <x v="2"/>
    <x v="1"/>
    <x v="11"/>
    <x v="1"/>
    <x v="1"/>
    <x v="40"/>
    <x v="0"/>
    <n v="30143.592332878034"/>
    <n v="6534.0754044812202"/>
    <n v="5358.1807884524906"/>
  </r>
  <r>
    <x v="0"/>
    <x v="40"/>
    <x v="2"/>
    <x v="1"/>
    <x v="12"/>
    <x v="1"/>
    <x v="1"/>
    <x v="40"/>
    <x v="0"/>
    <n v="57124.833187908684"/>
    <n v="11626.085499456474"/>
    <n v="10362.842701670268"/>
  </r>
  <r>
    <x v="0"/>
    <x v="41"/>
    <x v="2"/>
    <x v="1"/>
    <x v="7"/>
    <x v="1"/>
    <x v="1"/>
    <x v="41"/>
    <x v="0"/>
    <n v="874382"/>
    <n v="526833"/>
    <n v="69661"/>
  </r>
  <r>
    <x v="0"/>
    <x v="42"/>
    <x v="2"/>
    <x v="0"/>
    <x v="0"/>
    <x v="0"/>
    <x v="0"/>
    <x v="42"/>
    <x v="0"/>
    <n v="52.000000000000007"/>
    <n v="74"/>
    <n v="6.9999999999999991"/>
  </r>
  <r>
    <x v="0"/>
    <x v="43"/>
    <x v="2"/>
    <x v="0"/>
    <x v="0"/>
    <x v="0"/>
    <x v="0"/>
    <x v="43"/>
    <x v="0"/>
    <n v="11841830.99999995"/>
    <n v="16749375.000000034"/>
    <n v="2159919.999999993"/>
  </r>
  <r>
    <x v="0"/>
    <x v="44"/>
    <x v="2"/>
    <x v="0"/>
    <x v="0"/>
    <x v="3"/>
    <x v="3"/>
    <x v="44"/>
    <x v="0"/>
    <n v="176211.00000000003"/>
    <n v="328136.00000000012"/>
    <n v="19775"/>
  </r>
  <r>
    <x v="0"/>
    <x v="45"/>
    <x v="3"/>
    <x v="0"/>
    <x v="0"/>
    <x v="0"/>
    <x v="0"/>
    <x v="45"/>
    <x v="0"/>
    <n v="2772199.7916433509"/>
    <n v="3797534.147492283"/>
    <n v="70256.330643963665"/>
  </r>
  <r>
    <x v="0"/>
    <x v="45"/>
    <x v="3"/>
    <x v="0"/>
    <x v="0"/>
    <x v="0"/>
    <x v="0"/>
    <x v="45"/>
    <x v="0"/>
    <n v="1305437.960048334"/>
    <n v="1788271.265895108"/>
    <n v="79912.196611452295"/>
  </r>
  <r>
    <x v="0"/>
    <x v="45"/>
    <x v="3"/>
    <x v="0"/>
    <x v="1"/>
    <x v="0"/>
    <x v="0"/>
    <x v="45"/>
    <x v="0"/>
    <n v="70370.008353440877"/>
    <n v="69673.279016187342"/>
    <n v="5383.8481578363908"/>
  </r>
  <r>
    <x v="0"/>
    <x v="45"/>
    <x v="3"/>
    <x v="0"/>
    <x v="1"/>
    <x v="0"/>
    <x v="0"/>
    <x v="45"/>
    <x v="0"/>
    <n v="1139735.639655544"/>
    <n v="1128451.18374255"/>
    <n v="123400.157690501"/>
  </r>
  <r>
    <x v="0"/>
    <x v="45"/>
    <x v="3"/>
    <x v="0"/>
    <x v="2"/>
    <x v="0"/>
    <x v="0"/>
    <x v="45"/>
    <x v="0"/>
    <n v="34012.19006916738"/>
    <n v="26366.040107034129"/>
    <n v="3666.368699631123"/>
  </r>
  <r>
    <x v="0"/>
    <x v="45"/>
    <x v="3"/>
    <x v="0"/>
    <x v="2"/>
    <x v="0"/>
    <x v="0"/>
    <x v="45"/>
    <x v="0"/>
    <n v="479433.53754159849"/>
    <n v="371653.92330728221"/>
    <n v="63453.877089013171"/>
  </r>
  <r>
    <x v="0"/>
    <x v="45"/>
    <x v="3"/>
    <x v="0"/>
    <x v="3"/>
    <x v="0"/>
    <x v="0"/>
    <x v="45"/>
    <x v="0"/>
    <n v="391325.87268856418"/>
    <n v="249252.16043955539"/>
    <n v="50700.221107602432"/>
  </r>
  <r>
    <x v="0"/>
    <x v="46"/>
    <x v="3"/>
    <x v="0"/>
    <x v="0"/>
    <x v="0"/>
    <x v="0"/>
    <x v="46"/>
    <x v="0"/>
    <n v="-24514.000000013399"/>
    <n v="-35035.000000014406"/>
    <n v="-700.00000000113357"/>
  </r>
  <r>
    <x v="0"/>
    <x v="46"/>
    <x v="3"/>
    <x v="0"/>
    <x v="0"/>
    <x v="0"/>
    <x v="0"/>
    <x v="46"/>
    <x v="0"/>
    <n v="5.5418594713259884E-9"/>
    <n v="7.9203331393440379E-9"/>
    <n v="3.1356347059129031E-10"/>
  </r>
  <r>
    <x v="0"/>
    <x v="46"/>
    <x v="3"/>
    <x v="0"/>
    <x v="1"/>
    <x v="0"/>
    <x v="0"/>
    <x v="46"/>
    <x v="0"/>
    <n v="1.2152269102421241E-9"/>
    <n v="1.2354428907119621E-9"/>
    <n v="8.5518511863336398E-11"/>
  </r>
  <r>
    <x v="0"/>
    <x v="46"/>
    <x v="3"/>
    <x v="0"/>
    <x v="1"/>
    <x v="0"/>
    <x v="0"/>
    <x v="46"/>
    <x v="0"/>
    <n v="1.465554429244218E-9"/>
    <n v="1.4899347482359891E-9"/>
    <n v="1.4432737446284199E-10"/>
  </r>
  <r>
    <x v="0"/>
    <x v="46"/>
    <x v="3"/>
    <x v="0"/>
    <x v="2"/>
    <x v="0"/>
    <x v="0"/>
    <x v="46"/>
    <x v="0"/>
    <n v="7.2637257805929817E-10"/>
    <n v="5.7304200564215732E-10"/>
    <n v="7.1167219158551526E-11"/>
  </r>
  <r>
    <x v="0"/>
    <x v="46"/>
    <x v="3"/>
    <x v="0"/>
    <x v="2"/>
    <x v="0"/>
    <x v="0"/>
    <x v="46"/>
    <x v="0"/>
    <n v="2.210695341550216E-9"/>
    <n v="1.7440378817305671E-9"/>
    <n v="2.6148034991840082E-10"/>
  </r>
  <r>
    <x v="0"/>
    <x v="46"/>
    <x v="3"/>
    <x v="0"/>
    <x v="3"/>
    <x v="0"/>
    <x v="0"/>
    <x v="46"/>
    <x v="0"/>
    <n v="2.2356731530874299E-9"/>
    <n v="1.440966590618384E-9"/>
    <n v="2.5743781883654038E-10"/>
  </r>
  <r>
    <x v="0"/>
    <x v="47"/>
    <x v="3"/>
    <x v="0"/>
    <x v="0"/>
    <x v="0"/>
    <x v="0"/>
    <x v="47"/>
    <x v="0"/>
    <n v="113698.6007196693"/>
    <n v="95544.153885621301"/>
    <n v="2581.0730957550072"/>
  </r>
  <r>
    <x v="0"/>
    <x v="47"/>
    <x v="3"/>
    <x v="0"/>
    <x v="0"/>
    <x v="0"/>
    <x v="0"/>
    <x v="47"/>
    <x v="0"/>
    <n v="330895.09735969908"/>
    <n v="278060.5205518899"/>
    <n v="13852.14155233519"/>
  </r>
  <r>
    <x v="0"/>
    <x v="47"/>
    <x v="3"/>
    <x v="0"/>
    <x v="1"/>
    <x v="0"/>
    <x v="0"/>
    <x v="47"/>
    <x v="0"/>
    <n v="234195.40626985609"/>
    <n v="159315.12098170421"/>
    <n v="12329.10061306084"/>
  </r>
  <r>
    <x v="0"/>
    <x v="47"/>
    <x v="3"/>
    <x v="0"/>
    <x v="1"/>
    <x v="0"/>
    <x v="0"/>
    <x v="47"/>
    <x v="0"/>
    <n v="119502.8880109194"/>
    <n v="81293.725459264824"/>
    <n v="8629.061820388737"/>
  </r>
  <r>
    <x v="0"/>
    <x v="47"/>
    <x v="3"/>
    <x v="0"/>
    <x v="2"/>
    <x v="0"/>
    <x v="0"/>
    <x v="47"/>
    <x v="0"/>
    <n v="63507.746903048668"/>
    <n v="36289.803525693736"/>
    <n v="4987.8318916967046"/>
  </r>
  <r>
    <x v="0"/>
    <x v="47"/>
    <x v="3"/>
    <x v="0"/>
    <x v="2"/>
    <x v="0"/>
    <x v="0"/>
    <x v="47"/>
    <x v="0"/>
    <n v="15045.89020992621"/>
    <n v="8597.5715753375298"/>
    <n v="1441.5907074861341"/>
  </r>
  <r>
    <x v="0"/>
    <x v="47"/>
    <x v="3"/>
    <x v="0"/>
    <x v="3"/>
    <x v="0"/>
    <x v="0"/>
    <x v="47"/>
    <x v="0"/>
    <n v="186993.37052688119"/>
    <n v="92114.10402048855"/>
    <n v="19231.200319277381"/>
  </r>
  <r>
    <x v="0"/>
    <x v="48"/>
    <x v="3"/>
    <x v="0"/>
    <x v="0"/>
    <x v="0"/>
    <x v="0"/>
    <x v="48"/>
    <x v="0"/>
    <n v="8.4016697124347761"/>
    <n v="7.3057997275468134"/>
    <n v="0.17863826175728251"/>
  </r>
  <r>
    <x v="0"/>
    <x v="48"/>
    <x v="3"/>
    <x v="0"/>
    <x v="0"/>
    <x v="0"/>
    <x v="0"/>
    <x v="48"/>
    <x v="0"/>
    <n v="38.809836278112051"/>
    <n v="33.747683616641403"/>
    <n v="1.606770552640171"/>
  </r>
  <r>
    <x v="0"/>
    <x v="48"/>
    <x v="3"/>
    <x v="0"/>
    <x v="1"/>
    <x v="0"/>
    <x v="0"/>
    <x v="48"/>
    <x v="0"/>
    <n v="0.2014873782275933"/>
    <n v="0.1409002640628802"/>
    <n v="1.139836830669105E-2"/>
  </r>
  <r>
    <x v="0"/>
    <x v="48"/>
    <x v="3"/>
    <x v="0"/>
    <x v="1"/>
    <x v="0"/>
    <x v="0"/>
    <x v="48"/>
    <x v="0"/>
    <n v="2.5625089914085271"/>
    <n v="1.791964324162912"/>
    <n v="0.20097756491864471"/>
  </r>
  <r>
    <x v="0"/>
    <x v="48"/>
    <x v="3"/>
    <x v="0"/>
    <x v="2"/>
    <x v="0"/>
    <x v="0"/>
    <x v="48"/>
    <x v="0"/>
    <n v="1.630591729861389E-2"/>
    <n v="9.5356241220040244E-3"/>
    <n v="1.373103061885656E-3"/>
  </r>
  <r>
    <x v="0"/>
    <x v="48"/>
    <x v="3"/>
    <x v="0"/>
    <x v="2"/>
    <x v="0"/>
    <x v="0"/>
    <x v="48"/>
    <x v="0"/>
    <n v="1.575569352696051E-17"/>
    <n v="9.2138558354738367E-18"/>
    <n v="1.592059935302841E-18"/>
  </r>
  <r>
    <x v="0"/>
    <x v="48"/>
    <x v="3"/>
    <x v="0"/>
    <x v="3"/>
    <x v="0"/>
    <x v="0"/>
    <x v="48"/>
    <x v="0"/>
    <n v="8.1917225184427941E-3"/>
    <n v="4.116443463985155E-3"/>
    <n v="8.4214931532443425E-4"/>
  </r>
  <r>
    <x v="0"/>
    <x v="49"/>
    <x v="0"/>
    <x v="1"/>
    <x v="0"/>
    <x v="1"/>
    <x v="1"/>
    <x v="49"/>
    <x v="0"/>
    <n v="4025975"/>
    <n v="2793790"/>
    <n v="141013"/>
  </r>
  <r>
    <x v="0"/>
    <x v="50"/>
    <x v="3"/>
    <x v="1"/>
    <x v="0"/>
    <x v="1"/>
    <x v="1"/>
    <x v="49"/>
    <x v="0"/>
    <n v="1054151"/>
    <n v="753439"/>
    <n v="38321"/>
  </r>
  <r>
    <x v="0"/>
    <x v="51"/>
    <x v="0"/>
    <x v="1"/>
    <x v="1"/>
    <x v="1"/>
    <x v="1"/>
    <x v="50"/>
    <x v="0"/>
    <n v="17276754"/>
    <n v="9619663"/>
    <n v="923919"/>
  </r>
  <r>
    <x v="0"/>
    <x v="52"/>
    <x v="3"/>
    <x v="1"/>
    <x v="1"/>
    <x v="1"/>
    <x v="1"/>
    <x v="50"/>
    <x v="0"/>
    <n v="4416814"/>
    <n v="2582080"/>
    <n v="251340"/>
  </r>
  <r>
    <x v="0"/>
    <x v="53"/>
    <x v="0"/>
    <x v="1"/>
    <x v="2"/>
    <x v="1"/>
    <x v="1"/>
    <x v="51"/>
    <x v="0"/>
    <n v="18622574"/>
    <n v="9306036"/>
    <n v="1458041"/>
  </r>
  <r>
    <x v="0"/>
    <x v="54"/>
    <x v="3"/>
    <x v="1"/>
    <x v="2"/>
    <x v="1"/>
    <x v="1"/>
    <x v="51"/>
    <x v="0"/>
    <n v="4321219"/>
    <n v="2176012"/>
    <n v="343030"/>
  </r>
  <r>
    <x v="0"/>
    <x v="55"/>
    <x v="0"/>
    <x v="1"/>
    <x v="3"/>
    <x v="1"/>
    <x v="1"/>
    <x v="52"/>
    <x v="0"/>
    <n v="16240843"/>
    <n v="7088045"/>
    <n v="1562986"/>
  </r>
  <r>
    <x v="0"/>
    <x v="56"/>
    <x v="3"/>
    <x v="1"/>
    <x v="3"/>
    <x v="1"/>
    <x v="1"/>
    <x v="52"/>
    <x v="0"/>
    <n v="3650958"/>
    <n v="1619984"/>
    <n v="358051"/>
  </r>
  <r>
    <x v="0"/>
    <x v="57"/>
    <x v="0"/>
    <x v="1"/>
    <x v="4"/>
    <x v="1"/>
    <x v="1"/>
    <x v="53"/>
    <x v="0"/>
    <n v="11889869"/>
    <n v="4455816"/>
    <n v="1258355"/>
  </r>
  <r>
    <x v="0"/>
    <x v="58"/>
    <x v="3"/>
    <x v="1"/>
    <x v="4"/>
    <x v="1"/>
    <x v="1"/>
    <x v="53"/>
    <x v="0"/>
    <n v="2838174"/>
    <n v="1120602"/>
    <n v="316318"/>
  </r>
  <r>
    <x v="0"/>
    <x v="59"/>
    <x v="0"/>
    <x v="1"/>
    <x v="5"/>
    <x v="1"/>
    <x v="1"/>
    <x v="54"/>
    <x v="0"/>
    <n v="6920910"/>
    <n v="2430013"/>
    <n v="839031"/>
  </r>
  <r>
    <x v="0"/>
    <x v="60"/>
    <x v="3"/>
    <x v="1"/>
    <x v="5"/>
    <x v="1"/>
    <x v="1"/>
    <x v="54"/>
    <x v="0"/>
    <n v="2153857"/>
    <n v="764907"/>
    <n v="263770"/>
  </r>
  <r>
    <x v="0"/>
    <x v="61"/>
    <x v="0"/>
    <x v="1"/>
    <x v="6"/>
    <x v="1"/>
    <x v="1"/>
    <x v="55"/>
    <x v="0"/>
    <n v="4830360"/>
    <n v="1573716"/>
    <n v="641119"/>
  </r>
  <r>
    <x v="0"/>
    <x v="62"/>
    <x v="3"/>
    <x v="1"/>
    <x v="6"/>
    <x v="1"/>
    <x v="1"/>
    <x v="55"/>
    <x v="0"/>
    <n v="1594674"/>
    <n v="518281"/>
    <n v="211501"/>
  </r>
  <r>
    <x v="0"/>
    <x v="63"/>
    <x v="0"/>
    <x v="1"/>
    <x v="7"/>
    <x v="1"/>
    <x v="1"/>
    <x v="56"/>
    <x v="0"/>
    <n v="4486495"/>
    <n v="1339528"/>
    <n v="630196"/>
  </r>
  <r>
    <x v="0"/>
    <x v="64"/>
    <x v="3"/>
    <x v="1"/>
    <x v="7"/>
    <x v="1"/>
    <x v="1"/>
    <x v="56"/>
    <x v="0"/>
    <n v="1288498"/>
    <n v="383284"/>
    <n v="180361"/>
  </r>
  <r>
    <x v="0"/>
    <x v="65"/>
    <x v="0"/>
    <x v="1"/>
    <x v="8"/>
    <x v="1"/>
    <x v="1"/>
    <x v="57"/>
    <x v="0"/>
    <n v="2394111"/>
    <n v="664951"/>
    <n v="353456"/>
  </r>
  <r>
    <x v="0"/>
    <x v="66"/>
    <x v="3"/>
    <x v="1"/>
    <x v="8"/>
    <x v="1"/>
    <x v="1"/>
    <x v="57"/>
    <x v="0"/>
    <n v="1102390"/>
    <n v="302827"/>
    <n v="161328"/>
  </r>
  <r>
    <x v="0"/>
    <x v="67"/>
    <x v="0"/>
    <x v="1"/>
    <x v="9"/>
    <x v="1"/>
    <x v="1"/>
    <x v="58"/>
    <x v="0"/>
    <n v="1684862"/>
    <n v="428278"/>
    <n v="254603"/>
  </r>
  <r>
    <x v="0"/>
    <x v="68"/>
    <x v="3"/>
    <x v="1"/>
    <x v="9"/>
    <x v="1"/>
    <x v="1"/>
    <x v="58"/>
    <x v="0"/>
    <n v="857158"/>
    <n v="218356"/>
    <n v="130014"/>
  </r>
  <r>
    <x v="0"/>
    <x v="69"/>
    <x v="0"/>
    <x v="1"/>
    <x v="10"/>
    <x v="1"/>
    <x v="1"/>
    <x v="59"/>
    <x v="0"/>
    <n v="1415524"/>
    <n v="337546"/>
    <n v="221845"/>
  </r>
  <r>
    <x v="0"/>
    <x v="70"/>
    <x v="3"/>
    <x v="1"/>
    <x v="10"/>
    <x v="1"/>
    <x v="1"/>
    <x v="59"/>
    <x v="0"/>
    <n v="664958"/>
    <n v="158012"/>
    <n v="103913"/>
  </r>
  <r>
    <x v="0"/>
    <x v="71"/>
    <x v="0"/>
    <x v="1"/>
    <x v="11"/>
    <x v="1"/>
    <x v="1"/>
    <x v="60"/>
    <x v="0"/>
    <n v="1347561"/>
    <n v="292798"/>
    <n v="210461"/>
  </r>
  <r>
    <x v="0"/>
    <x v="72"/>
    <x v="3"/>
    <x v="1"/>
    <x v="11"/>
    <x v="1"/>
    <x v="1"/>
    <x v="60"/>
    <x v="0"/>
    <n v="517838"/>
    <n v="115335"/>
    <n v="83092"/>
  </r>
  <r>
    <x v="0"/>
    <x v="73"/>
    <x v="0"/>
    <x v="1"/>
    <x v="12"/>
    <x v="1"/>
    <x v="1"/>
    <x v="61"/>
    <x v="0"/>
    <n v="822525"/>
    <n v="158444"/>
    <n v="124082"/>
  </r>
  <r>
    <x v="0"/>
    <x v="74"/>
    <x v="3"/>
    <x v="1"/>
    <x v="12"/>
    <x v="1"/>
    <x v="1"/>
    <x v="61"/>
    <x v="0"/>
    <n v="421135"/>
    <n v="88250"/>
    <n v="69068"/>
  </r>
  <r>
    <x v="0"/>
    <x v="75"/>
    <x v="4"/>
    <x v="1"/>
    <x v="0"/>
    <x v="1"/>
    <x v="1"/>
    <x v="49"/>
    <x v="0"/>
    <n v="5658926"/>
    <n v="3785071"/>
    <n v="205749"/>
  </r>
  <r>
    <x v="0"/>
    <x v="76"/>
    <x v="4"/>
    <x v="1"/>
    <x v="1"/>
    <x v="1"/>
    <x v="1"/>
    <x v="50"/>
    <x v="0"/>
    <n v="17491956"/>
    <n v="9913950"/>
    <n v="968059"/>
  </r>
  <r>
    <x v="0"/>
    <x v="77"/>
    <x v="4"/>
    <x v="1"/>
    <x v="2"/>
    <x v="1"/>
    <x v="1"/>
    <x v="51"/>
    <x v="0"/>
    <n v="19470039"/>
    <n v="9574414"/>
    <n v="1495200"/>
  </r>
  <r>
    <x v="0"/>
    <x v="78"/>
    <x v="4"/>
    <x v="1"/>
    <x v="3"/>
    <x v="1"/>
    <x v="1"/>
    <x v="52"/>
    <x v="0"/>
    <n v="16801390"/>
    <n v="7296427"/>
    <n v="1604175"/>
  </r>
  <r>
    <x v="0"/>
    <x v="79"/>
    <x v="4"/>
    <x v="1"/>
    <x v="4"/>
    <x v="1"/>
    <x v="1"/>
    <x v="53"/>
    <x v="0"/>
    <n v="12203515"/>
    <n v="4727058"/>
    <n v="1321802"/>
  </r>
  <r>
    <x v="0"/>
    <x v="80"/>
    <x v="4"/>
    <x v="1"/>
    <x v="5"/>
    <x v="1"/>
    <x v="1"/>
    <x v="54"/>
    <x v="0"/>
    <n v="8878715"/>
    <n v="3103432"/>
    <n v="1063367"/>
  </r>
  <r>
    <x v="0"/>
    <x v="81"/>
    <x v="4"/>
    <x v="1"/>
    <x v="6"/>
    <x v="1"/>
    <x v="1"/>
    <x v="55"/>
    <x v="0"/>
    <n v="6864816"/>
    <n v="2186235"/>
    <n v="884521"/>
  </r>
  <r>
    <x v="0"/>
    <x v="82"/>
    <x v="4"/>
    <x v="1"/>
    <x v="7"/>
    <x v="1"/>
    <x v="1"/>
    <x v="56"/>
    <x v="0"/>
    <n v="4601657"/>
    <n v="1345933"/>
    <n v="627861"/>
  </r>
  <r>
    <x v="0"/>
    <x v="83"/>
    <x v="4"/>
    <x v="1"/>
    <x v="8"/>
    <x v="1"/>
    <x v="1"/>
    <x v="57"/>
    <x v="0"/>
    <n v="3771330"/>
    <n v="1019801"/>
    <n v="539564"/>
  </r>
  <r>
    <x v="0"/>
    <x v="84"/>
    <x v="4"/>
    <x v="1"/>
    <x v="9"/>
    <x v="1"/>
    <x v="1"/>
    <x v="58"/>
    <x v="0"/>
    <n v="3043197"/>
    <n v="761306"/>
    <n v="449707"/>
  </r>
  <r>
    <x v="0"/>
    <x v="85"/>
    <x v="4"/>
    <x v="1"/>
    <x v="10"/>
    <x v="1"/>
    <x v="1"/>
    <x v="59"/>
    <x v="0"/>
    <n v="2506256"/>
    <n v="583341"/>
    <n v="380909"/>
  </r>
  <r>
    <x v="0"/>
    <x v="86"/>
    <x v="4"/>
    <x v="1"/>
    <x v="11"/>
    <x v="1"/>
    <x v="1"/>
    <x v="60"/>
    <x v="0"/>
    <n v="2173604"/>
    <n v="472987"/>
    <n v="338676"/>
  </r>
  <r>
    <x v="0"/>
    <x v="87"/>
    <x v="4"/>
    <x v="1"/>
    <x v="12"/>
    <x v="1"/>
    <x v="1"/>
    <x v="61"/>
    <x v="0"/>
    <n v="1835955"/>
    <n v="375120"/>
    <n v="291509"/>
  </r>
  <r>
    <x v="0"/>
    <x v="88"/>
    <x v="0"/>
    <x v="0"/>
    <x v="0"/>
    <x v="3"/>
    <x v="3"/>
    <x v="62"/>
    <x v="0"/>
    <n v="4079782.3943364066"/>
    <n v="7029428.4957237933"/>
    <n v="79935.593560766327"/>
  </r>
  <r>
    <x v="0"/>
    <x v="88"/>
    <x v="1"/>
    <x v="0"/>
    <x v="0"/>
    <x v="3"/>
    <x v="3"/>
    <x v="62"/>
    <x v="0"/>
    <n v="0"/>
    <n v="0"/>
    <n v="0"/>
  </r>
  <r>
    <x v="0"/>
    <x v="88"/>
    <x v="1"/>
    <x v="0"/>
    <x v="0"/>
    <x v="3"/>
    <x v="3"/>
    <x v="62"/>
    <x v="0"/>
    <n v="43961312.809375294"/>
    <n v="76424110.781236142"/>
    <n v="869061.34665183153"/>
  </r>
  <r>
    <x v="0"/>
    <x v="88"/>
    <x v="4"/>
    <x v="0"/>
    <x v="0"/>
    <x v="3"/>
    <x v="3"/>
    <x v="62"/>
    <x v="0"/>
    <n v="244017.796288299"/>
    <n v="430816.72304006678"/>
    <n v="4899.0597874023842"/>
  </r>
  <r>
    <x v="0"/>
    <x v="45"/>
    <x v="1"/>
    <x v="0"/>
    <x v="0"/>
    <x v="0"/>
    <x v="0"/>
    <x v="45"/>
    <x v="0"/>
    <n v="1076905400.3822513"/>
    <n v="1573391773.218879"/>
    <n v="31803093.40231508"/>
  </r>
  <r>
    <x v="0"/>
    <x v="45"/>
    <x v="1"/>
    <x v="0"/>
    <x v="0"/>
    <x v="0"/>
    <x v="0"/>
    <x v="45"/>
    <x v="0"/>
    <n v="182511086.23735189"/>
    <n v="256057040.13192719"/>
    <n v="12503885.718974907"/>
  </r>
  <r>
    <x v="0"/>
    <x v="45"/>
    <x v="1"/>
    <x v="0"/>
    <x v="1"/>
    <x v="0"/>
    <x v="0"/>
    <x v="45"/>
    <x v="0"/>
    <n v="29161912.98668151"/>
    <n v="29414118.230011303"/>
    <n v="2484859.269098206"/>
  </r>
  <r>
    <x v="0"/>
    <x v="45"/>
    <x v="1"/>
    <x v="0"/>
    <x v="1"/>
    <x v="0"/>
    <x v="0"/>
    <x v="45"/>
    <x v="0"/>
    <n v="9611024.7040008716"/>
    <n v="8487119.9212051872"/>
    <n v="1014160.4856748082"/>
  </r>
  <r>
    <x v="0"/>
    <x v="45"/>
    <x v="1"/>
    <x v="0"/>
    <x v="2"/>
    <x v="0"/>
    <x v="0"/>
    <x v="45"/>
    <x v="0"/>
    <n v="4379973.0632515475"/>
    <n v="3167811.5769772204"/>
    <n v="485805.16422425839"/>
  </r>
  <r>
    <x v="0"/>
    <x v="45"/>
    <x v="1"/>
    <x v="0"/>
    <x v="2"/>
    <x v="0"/>
    <x v="0"/>
    <x v="45"/>
    <x v="0"/>
    <n v="2300351.3508081022"/>
    <n v="1682329.963587529"/>
    <n v="313980.69431729621"/>
  </r>
  <r>
    <x v="0"/>
    <x v="45"/>
    <x v="1"/>
    <x v="0"/>
    <x v="3"/>
    <x v="0"/>
    <x v="0"/>
    <x v="45"/>
    <x v="0"/>
    <n v="1119092.6533925445"/>
    <n v="598528.64150801662"/>
    <n v="133517.04763455439"/>
  </r>
  <r>
    <x v="0"/>
    <x v="45"/>
    <x v="4"/>
    <x v="0"/>
    <x v="0"/>
    <x v="0"/>
    <x v="0"/>
    <x v="45"/>
    <x v="0"/>
    <n v="1590346.9659264248"/>
    <n v="1991154.250320931"/>
    <n v="48612.048822542827"/>
  </r>
  <r>
    <x v="0"/>
    <x v="45"/>
    <x v="4"/>
    <x v="0"/>
    <x v="0"/>
    <x v="0"/>
    <x v="0"/>
    <x v="45"/>
    <x v="0"/>
    <n v="802809.77866472467"/>
    <n v="1022932.6557702679"/>
    <n v="50940.21722704015"/>
  </r>
  <r>
    <x v="0"/>
    <x v="45"/>
    <x v="4"/>
    <x v="0"/>
    <x v="1"/>
    <x v="0"/>
    <x v="0"/>
    <x v="45"/>
    <x v="0"/>
    <n v="410743.19167263084"/>
    <n v="469838.01369437063"/>
    <n v="38780.861688136712"/>
  </r>
  <r>
    <x v="0"/>
    <x v="45"/>
    <x v="4"/>
    <x v="0"/>
    <x v="1"/>
    <x v="0"/>
    <x v="0"/>
    <x v="45"/>
    <x v="0"/>
    <n v="212449.15983420922"/>
    <n v="204226.058742875"/>
    <n v="24521.876516065891"/>
  </r>
  <r>
    <x v="0"/>
    <x v="45"/>
    <x v="4"/>
    <x v="0"/>
    <x v="2"/>
    <x v="0"/>
    <x v="0"/>
    <x v="45"/>
    <x v="0"/>
    <n v="278477.20896296226"/>
    <n v="320383.24110642279"/>
    <n v="44291.096989117461"/>
  </r>
  <r>
    <x v="0"/>
    <x v="45"/>
    <x v="4"/>
    <x v="0"/>
    <x v="2"/>
    <x v="0"/>
    <x v="0"/>
    <x v="45"/>
    <x v="0"/>
    <n v="7005.6208409730052"/>
    <n v="8791.1732571959947"/>
    <n v="1561.1352496164759"/>
  </r>
  <r>
    <x v="0"/>
    <x v="45"/>
    <x v="4"/>
    <x v="0"/>
    <x v="3"/>
    <x v="0"/>
    <x v="0"/>
    <x v="45"/>
    <x v="0"/>
    <n v="20167.696360376831"/>
    <n v="25307.923013139982"/>
    <n v="5159.9812683732007"/>
  </r>
  <r>
    <x v="0"/>
    <x v="46"/>
    <x v="0"/>
    <x v="0"/>
    <x v="0"/>
    <x v="0"/>
    <x v="0"/>
    <x v="46"/>
    <x v="0"/>
    <n v="419603452.65126699"/>
    <n v="607142315.46955407"/>
    <n v="16788900.925939195"/>
  </r>
  <r>
    <x v="0"/>
    <x v="46"/>
    <x v="0"/>
    <x v="0"/>
    <x v="0"/>
    <x v="0"/>
    <x v="0"/>
    <x v="46"/>
    <x v="0"/>
    <n v="136039611.56363472"/>
    <n v="191811768.0804401"/>
    <n v="10509767.482318787"/>
  </r>
  <r>
    <x v="0"/>
    <x v="46"/>
    <x v="0"/>
    <x v="0"/>
    <x v="1"/>
    <x v="0"/>
    <x v="0"/>
    <x v="46"/>
    <x v="0"/>
    <n v="38306642.784448549"/>
    <n v="40379896.735285759"/>
    <n v="3868463.5562560097"/>
  </r>
  <r>
    <x v="0"/>
    <x v="46"/>
    <x v="0"/>
    <x v="0"/>
    <x v="1"/>
    <x v="0"/>
    <x v="0"/>
    <x v="46"/>
    <x v="0"/>
    <n v="17735423.793874368"/>
    <n v="16237330.074298361"/>
    <n v="2176867.1565485466"/>
  </r>
  <r>
    <x v="0"/>
    <x v="46"/>
    <x v="0"/>
    <x v="0"/>
    <x v="2"/>
    <x v="0"/>
    <x v="0"/>
    <x v="46"/>
    <x v="0"/>
    <n v="10310672.089617789"/>
    <n v="7923911.4137897445"/>
    <n v="1361974.5588352999"/>
  </r>
  <r>
    <x v="0"/>
    <x v="46"/>
    <x v="0"/>
    <x v="0"/>
    <x v="2"/>
    <x v="0"/>
    <x v="0"/>
    <x v="46"/>
    <x v="0"/>
    <n v="5511606.5699696066"/>
    <n v="3917691.9488182473"/>
    <n v="812922.74167599564"/>
  </r>
  <r>
    <x v="0"/>
    <x v="46"/>
    <x v="0"/>
    <x v="0"/>
    <x v="3"/>
    <x v="0"/>
    <x v="0"/>
    <x v="46"/>
    <x v="0"/>
    <n v="3207452.5471879775"/>
    <n v="1844864.2778136814"/>
    <n v="456161.57842617034"/>
  </r>
  <r>
    <x v="0"/>
    <x v="46"/>
    <x v="1"/>
    <x v="0"/>
    <x v="0"/>
    <x v="0"/>
    <x v="0"/>
    <x v="46"/>
    <x v="0"/>
    <n v="0"/>
    <n v="0"/>
    <n v="0"/>
  </r>
  <r>
    <x v="0"/>
    <x v="47"/>
    <x v="1"/>
    <x v="0"/>
    <x v="0"/>
    <x v="0"/>
    <x v="0"/>
    <x v="47"/>
    <x v="0"/>
    <n v="828075.39954792918"/>
    <n v="951058.73761758965"/>
    <n v="21839.987396702501"/>
  </r>
  <r>
    <x v="0"/>
    <x v="47"/>
    <x v="1"/>
    <x v="0"/>
    <x v="0"/>
    <x v="0"/>
    <x v="0"/>
    <x v="47"/>
    <x v="0"/>
    <n v="2861635.9608629337"/>
    <n v="3050156.1013473179"/>
    <n v="129893.17682965907"/>
  </r>
  <r>
    <x v="0"/>
    <x v="47"/>
    <x v="1"/>
    <x v="0"/>
    <x v="1"/>
    <x v="0"/>
    <x v="0"/>
    <x v="47"/>
    <x v="0"/>
    <n v="1742047.2249765645"/>
    <n v="1658314.3215861432"/>
    <n v="109439.93520115667"/>
  </r>
  <r>
    <x v="0"/>
    <x v="47"/>
    <x v="1"/>
    <x v="0"/>
    <x v="1"/>
    <x v="0"/>
    <x v="0"/>
    <x v="47"/>
    <x v="0"/>
    <n v="1002005.8985238575"/>
    <n v="943175.33031160536"/>
    <n v="85375.559640887994"/>
  </r>
  <r>
    <x v="0"/>
    <x v="47"/>
    <x v="1"/>
    <x v="0"/>
    <x v="2"/>
    <x v="0"/>
    <x v="0"/>
    <x v="47"/>
    <x v="0"/>
    <n v="462462.71884044638"/>
    <n v="354389.24375516444"/>
    <n v="41537.686050776414"/>
  </r>
  <r>
    <x v="0"/>
    <x v="47"/>
    <x v="1"/>
    <x v="0"/>
    <x v="2"/>
    <x v="0"/>
    <x v="0"/>
    <x v="47"/>
    <x v="0"/>
    <n v="149765.87410022196"/>
    <n v="111548.32427199824"/>
    <n v="15950.114367628958"/>
  </r>
  <r>
    <x v="0"/>
    <x v="47"/>
    <x v="1"/>
    <x v="0"/>
    <x v="3"/>
    <x v="0"/>
    <x v="0"/>
    <x v="47"/>
    <x v="0"/>
    <n v="119256.27673598433"/>
    <n v="75131.502722587247"/>
    <n v="13376.328065832462"/>
  </r>
  <r>
    <x v="0"/>
    <x v="47"/>
    <x v="4"/>
    <x v="0"/>
    <x v="0"/>
    <x v="0"/>
    <x v="0"/>
    <x v="47"/>
    <x v="0"/>
    <n v="29813.010509912114"/>
    <n v="31557.402786364917"/>
    <n v="796.79288369676613"/>
  </r>
  <r>
    <x v="0"/>
    <x v="47"/>
    <x v="4"/>
    <x v="0"/>
    <x v="0"/>
    <x v="0"/>
    <x v="0"/>
    <x v="47"/>
    <x v="0"/>
    <n v="18671.635902150996"/>
    <n v="31559.035601229356"/>
    <n v="1026.4195636592162"/>
  </r>
  <r>
    <x v="0"/>
    <x v="48"/>
    <x v="0"/>
    <x v="0"/>
    <x v="0"/>
    <x v="0"/>
    <x v="0"/>
    <x v="48"/>
    <x v="0"/>
    <n v="256872.60672539176"/>
    <n v="316533.71329302539"/>
    <n v="7256.1860529553041"/>
  </r>
  <r>
    <x v="0"/>
    <x v="48"/>
    <x v="0"/>
    <x v="0"/>
    <x v="0"/>
    <x v="0"/>
    <x v="0"/>
    <x v="48"/>
    <x v="0"/>
    <n v="352176.37425734609"/>
    <n v="368068.14335013094"/>
    <n v="16429.32955413116"/>
  </r>
  <r>
    <x v="0"/>
    <x v="48"/>
    <x v="0"/>
    <x v="0"/>
    <x v="1"/>
    <x v="0"/>
    <x v="0"/>
    <x v="48"/>
    <x v="0"/>
    <n v="612434.72282149794"/>
    <n v="518695.04800280009"/>
    <n v="39339.125055039935"/>
  </r>
  <r>
    <x v="0"/>
    <x v="48"/>
    <x v="0"/>
    <x v="0"/>
    <x v="1"/>
    <x v="0"/>
    <x v="0"/>
    <x v="48"/>
    <x v="0"/>
    <n v="487159.20799298043"/>
    <n v="398615.20186487882"/>
    <n v="41913.487032960591"/>
  </r>
  <r>
    <x v="0"/>
    <x v="48"/>
    <x v="0"/>
    <x v="0"/>
    <x v="2"/>
    <x v="0"/>
    <x v="0"/>
    <x v="48"/>
    <x v="0"/>
    <n v="304715.9585054401"/>
    <n v="187623.71708695957"/>
    <n v="25329.316081848436"/>
  </r>
  <r>
    <x v="0"/>
    <x v="48"/>
    <x v="0"/>
    <x v="0"/>
    <x v="2"/>
    <x v="0"/>
    <x v="0"/>
    <x v="48"/>
    <x v="0"/>
    <n v="268327.05200915923"/>
    <n v="200119.26589004582"/>
    <n v="32418.179114768991"/>
  </r>
  <r>
    <x v="0"/>
    <x v="48"/>
    <x v="0"/>
    <x v="0"/>
    <x v="3"/>
    <x v="0"/>
    <x v="0"/>
    <x v="48"/>
    <x v="0"/>
    <n v="118689.07768818451"/>
    <n v="73317.910512159215"/>
    <n v="14062.37710829555"/>
  </r>
  <r>
    <x v="0"/>
    <x v="48"/>
    <x v="1"/>
    <x v="0"/>
    <x v="0"/>
    <x v="0"/>
    <x v="0"/>
    <x v="48"/>
    <x v="0"/>
    <n v="0"/>
    <n v="0"/>
    <n v="0"/>
  </r>
  <r>
    <x v="0"/>
    <x v="89"/>
    <x v="4"/>
    <x v="1"/>
    <x v="0"/>
    <x v="1"/>
    <x v="1"/>
    <x v="63"/>
    <x v="0"/>
    <n v="2538.1907724209436"/>
    <n v="611.53846153846155"/>
    <n v="34.344000000000001"/>
  </r>
  <r>
    <x v="0"/>
    <x v="89"/>
    <x v="4"/>
    <x v="1"/>
    <x v="2"/>
    <x v="1"/>
    <x v="1"/>
    <x v="63"/>
    <x v="0"/>
    <n v="3360.8092275790568"/>
    <n v="713.46153846153845"/>
    <n v="124.65600000000001"/>
  </r>
  <r>
    <x v="0"/>
    <x v="90"/>
    <x v="2"/>
    <x v="0"/>
    <x v="0"/>
    <x v="0"/>
    <x v="0"/>
    <x v="64"/>
    <x v="0"/>
    <n v="560169"/>
    <n v="728719"/>
    <n v="31881"/>
  </r>
  <r>
    <x v="0"/>
    <x v="91"/>
    <x v="2"/>
    <x v="0"/>
    <x v="0"/>
    <x v="3"/>
    <x v="3"/>
    <x v="65"/>
    <x v="0"/>
    <n v="2597169"/>
    <n v="4328615"/>
    <n v="27054"/>
  </r>
  <r>
    <x v="1"/>
    <x v="0"/>
    <x v="0"/>
    <x v="0"/>
    <x v="0"/>
    <x v="0"/>
    <x v="0"/>
    <x v="0"/>
    <x v="1"/>
    <n v="868143.82984291425"/>
    <n v="1203899.4095441152"/>
    <n v="64626.547047222986"/>
  </r>
  <r>
    <x v="1"/>
    <x v="0"/>
    <x v="0"/>
    <x v="0"/>
    <x v="0"/>
    <x v="0"/>
    <x v="0"/>
    <x v="0"/>
    <x v="0"/>
    <n v="255977.7740715484"/>
    <n v="350656.9870841293"/>
    <n v="18947.934953964417"/>
  </r>
  <r>
    <x v="1"/>
    <x v="0"/>
    <x v="1"/>
    <x v="0"/>
    <x v="0"/>
    <x v="0"/>
    <x v="0"/>
    <x v="0"/>
    <x v="1"/>
    <n v="14801.15006883201"/>
    <n v="20366.46339617579"/>
    <n v="1093.8241518825675"/>
  </r>
  <r>
    <x v="1"/>
    <x v="0"/>
    <x v="1"/>
    <x v="0"/>
    <x v="0"/>
    <x v="0"/>
    <x v="0"/>
    <x v="0"/>
    <x v="0"/>
    <n v="3137.8756825483301"/>
    <n v="4298.4905102714229"/>
    <n v="232.27119831870161"/>
  </r>
  <r>
    <x v="1"/>
    <x v="0"/>
    <x v="2"/>
    <x v="0"/>
    <x v="0"/>
    <x v="0"/>
    <x v="0"/>
    <x v="0"/>
    <x v="1"/>
    <n v="7085584.5246129632"/>
    <n v="9654217.7806877736"/>
    <n v="485477.6811196768"/>
  </r>
  <r>
    <x v="1"/>
    <x v="0"/>
    <x v="2"/>
    <x v="0"/>
    <x v="0"/>
    <x v="0"/>
    <x v="0"/>
    <x v="0"/>
    <x v="0"/>
    <n v="2140849.7391556618"/>
    <n v="2923811.077429106"/>
    <n v="167003.27698451822"/>
  </r>
  <r>
    <x v="1"/>
    <x v="0"/>
    <x v="0"/>
    <x v="0"/>
    <x v="1"/>
    <x v="0"/>
    <x v="0"/>
    <x v="0"/>
    <x v="1"/>
    <n v="18982.208724386874"/>
    <n v="25910.754137530665"/>
    <n v="2852.5217209221955"/>
  </r>
  <r>
    <x v="1"/>
    <x v="0"/>
    <x v="0"/>
    <x v="0"/>
    <x v="1"/>
    <x v="0"/>
    <x v="0"/>
    <x v="0"/>
    <x v="0"/>
    <n v="4828.579549723403"/>
    <n v="6614.5397308158044"/>
    <n v="734.42494024994858"/>
  </r>
  <r>
    <x v="1"/>
    <x v="0"/>
    <x v="1"/>
    <x v="0"/>
    <x v="1"/>
    <x v="0"/>
    <x v="0"/>
    <x v="0"/>
    <x v="1"/>
    <n v="4651.6356316800902"/>
    <n v="6489.450672521305"/>
    <n v="712.51941623115897"/>
  </r>
  <r>
    <x v="1"/>
    <x v="0"/>
    <x v="1"/>
    <x v="0"/>
    <x v="1"/>
    <x v="0"/>
    <x v="0"/>
    <x v="0"/>
    <x v="0"/>
    <n v="1234.3824426688891"/>
    <n v="1690.9469184415825"/>
    <n v="187.74905588013269"/>
  </r>
  <r>
    <x v="1"/>
    <x v="0"/>
    <x v="2"/>
    <x v="0"/>
    <x v="1"/>
    <x v="0"/>
    <x v="0"/>
    <x v="0"/>
    <x v="1"/>
    <n v="1605667.059001423"/>
    <n v="2261899.09591508"/>
    <n v="225243.10119211071"/>
  </r>
  <r>
    <x v="1"/>
    <x v="0"/>
    <x v="2"/>
    <x v="0"/>
    <x v="1"/>
    <x v="0"/>
    <x v="0"/>
    <x v="0"/>
    <x v="0"/>
    <n v="96057.904643714603"/>
    <n v="131187.54433068252"/>
    <n v="15397.020482726819"/>
  </r>
  <r>
    <x v="1"/>
    <x v="0"/>
    <x v="0"/>
    <x v="0"/>
    <x v="2"/>
    <x v="0"/>
    <x v="0"/>
    <x v="0"/>
    <x v="1"/>
    <n v="303.94417979296975"/>
    <n v="414.94768185404615"/>
    <n v="76.375522324693321"/>
  </r>
  <r>
    <x v="1"/>
    <x v="0"/>
    <x v="0"/>
    <x v="0"/>
    <x v="2"/>
    <x v="0"/>
    <x v="0"/>
    <x v="0"/>
    <x v="0"/>
    <n v="100.97794785187409"/>
    <n v="138.32694297036667"/>
    <n v="25.597839749070456"/>
  </r>
  <r>
    <x v="1"/>
    <x v="0"/>
    <x v="1"/>
    <x v="0"/>
    <x v="2"/>
    <x v="0"/>
    <x v="0"/>
    <x v="0"/>
    <x v="1"/>
    <n v="31.085133122102469"/>
    <n v="42.477556274117802"/>
    <n v="7.8936234220395098"/>
  </r>
  <r>
    <x v="1"/>
    <x v="0"/>
    <x v="2"/>
    <x v="0"/>
    <x v="2"/>
    <x v="0"/>
    <x v="0"/>
    <x v="0"/>
    <x v="1"/>
    <n v="88177.883777002775"/>
    <n v="120107.79544495381"/>
    <n v="19990.543480355765"/>
  </r>
  <r>
    <x v="1"/>
    <x v="0"/>
    <x v="2"/>
    <x v="0"/>
    <x v="2"/>
    <x v="0"/>
    <x v="0"/>
    <x v="0"/>
    <x v="0"/>
    <n v="13443.899766927467"/>
    <n v="18360.52606662588"/>
    <n v="3591.5172354179062"/>
  </r>
  <r>
    <x v="1"/>
    <x v="0"/>
    <x v="0"/>
    <x v="0"/>
    <x v="3"/>
    <x v="0"/>
    <x v="0"/>
    <x v="0"/>
    <x v="1"/>
    <n v="22160.822442402874"/>
    <n v="30230.766570591502"/>
    <n v="7762.1819936807478"/>
  </r>
  <r>
    <x v="1"/>
    <x v="0"/>
    <x v="0"/>
    <x v="0"/>
    <x v="3"/>
    <x v="0"/>
    <x v="0"/>
    <x v="0"/>
    <x v="0"/>
    <n v="2964.6046765607566"/>
    <n v="4061.1312741853362"/>
    <n v="1052.1353212463218"/>
  </r>
  <r>
    <x v="1"/>
    <x v="0"/>
    <x v="1"/>
    <x v="0"/>
    <x v="3"/>
    <x v="0"/>
    <x v="0"/>
    <x v="0"/>
    <x v="1"/>
    <n v="14.12960596459204"/>
    <n v="19.307980124598998"/>
    <n v="5.0232149049342336"/>
  </r>
  <r>
    <x v="1"/>
    <x v="0"/>
    <x v="2"/>
    <x v="0"/>
    <x v="3"/>
    <x v="0"/>
    <x v="0"/>
    <x v="0"/>
    <x v="1"/>
    <n v="25954.183849225377"/>
    <n v="35357.09740876461"/>
    <n v="8237.430596475424"/>
  </r>
  <r>
    <x v="1"/>
    <x v="0"/>
    <x v="2"/>
    <x v="0"/>
    <x v="3"/>
    <x v="0"/>
    <x v="0"/>
    <x v="0"/>
    <x v="0"/>
    <n v="3273.8051930233019"/>
    <n v="4471.0827171120218"/>
    <n v="1224.4289087198865"/>
  </r>
  <r>
    <x v="1"/>
    <x v="1"/>
    <x v="0"/>
    <x v="0"/>
    <x v="0"/>
    <x v="0"/>
    <x v="0"/>
    <x v="1"/>
    <x v="1"/>
    <n v="0"/>
    <n v="0"/>
    <n v="0"/>
  </r>
  <r>
    <x v="1"/>
    <x v="1"/>
    <x v="0"/>
    <x v="0"/>
    <x v="0"/>
    <x v="0"/>
    <x v="0"/>
    <x v="1"/>
    <x v="0"/>
    <n v="0"/>
    <n v="0"/>
    <n v="0"/>
  </r>
  <r>
    <x v="1"/>
    <x v="1"/>
    <x v="1"/>
    <x v="0"/>
    <x v="0"/>
    <x v="0"/>
    <x v="0"/>
    <x v="1"/>
    <x v="1"/>
    <n v="0"/>
    <n v="0"/>
    <n v="0"/>
  </r>
  <r>
    <x v="1"/>
    <x v="1"/>
    <x v="1"/>
    <x v="0"/>
    <x v="0"/>
    <x v="0"/>
    <x v="0"/>
    <x v="1"/>
    <x v="0"/>
    <n v="0"/>
    <n v="0"/>
    <n v="0"/>
  </r>
  <r>
    <x v="1"/>
    <x v="1"/>
    <x v="2"/>
    <x v="0"/>
    <x v="0"/>
    <x v="0"/>
    <x v="0"/>
    <x v="1"/>
    <x v="1"/>
    <n v="44220506.178365231"/>
    <n v="64563319.635848247"/>
    <n v="2512680.9486876656"/>
  </r>
  <r>
    <x v="1"/>
    <x v="1"/>
    <x v="2"/>
    <x v="0"/>
    <x v="0"/>
    <x v="0"/>
    <x v="0"/>
    <x v="1"/>
    <x v="0"/>
    <n v="10635525.996707918"/>
    <n v="15028295.85729645"/>
    <n v="575693.84774420923"/>
  </r>
  <r>
    <x v="1"/>
    <x v="1"/>
    <x v="0"/>
    <x v="0"/>
    <x v="1"/>
    <x v="0"/>
    <x v="0"/>
    <x v="1"/>
    <x v="1"/>
    <n v="0"/>
    <n v="0"/>
    <n v="0"/>
  </r>
  <r>
    <x v="1"/>
    <x v="1"/>
    <x v="0"/>
    <x v="0"/>
    <x v="1"/>
    <x v="0"/>
    <x v="0"/>
    <x v="1"/>
    <x v="0"/>
    <n v="0"/>
    <n v="0"/>
    <n v="0"/>
  </r>
  <r>
    <x v="1"/>
    <x v="1"/>
    <x v="1"/>
    <x v="0"/>
    <x v="1"/>
    <x v="0"/>
    <x v="0"/>
    <x v="1"/>
    <x v="1"/>
    <n v="0"/>
    <n v="0"/>
    <n v="0"/>
  </r>
  <r>
    <x v="1"/>
    <x v="1"/>
    <x v="1"/>
    <x v="0"/>
    <x v="1"/>
    <x v="0"/>
    <x v="0"/>
    <x v="1"/>
    <x v="0"/>
    <n v="0"/>
    <n v="0"/>
    <n v="0"/>
  </r>
  <r>
    <x v="1"/>
    <x v="1"/>
    <x v="2"/>
    <x v="0"/>
    <x v="1"/>
    <x v="0"/>
    <x v="0"/>
    <x v="1"/>
    <x v="1"/>
    <n v="4466784.9453157736"/>
    <n v="4360345.4169101063"/>
    <n v="349409.78186547663"/>
  </r>
  <r>
    <x v="1"/>
    <x v="1"/>
    <x v="2"/>
    <x v="0"/>
    <x v="1"/>
    <x v="0"/>
    <x v="0"/>
    <x v="1"/>
    <x v="0"/>
    <n v="1071120.2786207779"/>
    <n v="1081038.7635245358"/>
    <n v="85092.545975201181"/>
  </r>
  <r>
    <x v="1"/>
    <x v="1"/>
    <x v="0"/>
    <x v="0"/>
    <x v="2"/>
    <x v="0"/>
    <x v="0"/>
    <x v="1"/>
    <x v="1"/>
    <n v="0"/>
    <n v="0"/>
    <n v="0"/>
  </r>
  <r>
    <x v="1"/>
    <x v="1"/>
    <x v="0"/>
    <x v="0"/>
    <x v="2"/>
    <x v="0"/>
    <x v="0"/>
    <x v="1"/>
    <x v="0"/>
    <n v="0"/>
    <n v="0"/>
    <n v="0"/>
  </r>
  <r>
    <x v="1"/>
    <x v="1"/>
    <x v="1"/>
    <x v="0"/>
    <x v="2"/>
    <x v="0"/>
    <x v="0"/>
    <x v="1"/>
    <x v="1"/>
    <n v="0"/>
    <n v="0"/>
    <n v="0"/>
  </r>
  <r>
    <x v="1"/>
    <x v="1"/>
    <x v="1"/>
    <x v="0"/>
    <x v="2"/>
    <x v="0"/>
    <x v="0"/>
    <x v="1"/>
    <x v="0"/>
    <n v="0"/>
    <n v="0"/>
    <n v="0"/>
  </r>
  <r>
    <x v="1"/>
    <x v="1"/>
    <x v="2"/>
    <x v="0"/>
    <x v="2"/>
    <x v="0"/>
    <x v="0"/>
    <x v="1"/>
    <x v="1"/>
    <n v="511718.13643744926"/>
    <n v="392801.66229640163"/>
    <n v="52488.682002799251"/>
  </r>
  <r>
    <x v="1"/>
    <x v="1"/>
    <x v="2"/>
    <x v="0"/>
    <x v="2"/>
    <x v="0"/>
    <x v="0"/>
    <x v="1"/>
    <x v="0"/>
    <n v="118638.51687899727"/>
    <n v="93338.969788377071"/>
    <n v="12245.09062638425"/>
  </r>
  <r>
    <x v="1"/>
    <x v="1"/>
    <x v="0"/>
    <x v="0"/>
    <x v="3"/>
    <x v="0"/>
    <x v="0"/>
    <x v="1"/>
    <x v="1"/>
    <n v="0"/>
    <n v="0"/>
    <n v="0"/>
  </r>
  <r>
    <x v="1"/>
    <x v="1"/>
    <x v="0"/>
    <x v="0"/>
    <x v="3"/>
    <x v="0"/>
    <x v="0"/>
    <x v="1"/>
    <x v="0"/>
    <n v="0"/>
    <n v="0"/>
    <n v="0"/>
  </r>
  <r>
    <x v="1"/>
    <x v="1"/>
    <x v="1"/>
    <x v="0"/>
    <x v="3"/>
    <x v="0"/>
    <x v="0"/>
    <x v="1"/>
    <x v="1"/>
    <n v="0"/>
    <n v="0"/>
    <n v="0"/>
  </r>
  <r>
    <x v="1"/>
    <x v="1"/>
    <x v="1"/>
    <x v="0"/>
    <x v="3"/>
    <x v="0"/>
    <x v="0"/>
    <x v="1"/>
    <x v="0"/>
    <n v="0"/>
    <n v="0"/>
    <n v="0"/>
  </r>
  <r>
    <x v="1"/>
    <x v="1"/>
    <x v="2"/>
    <x v="0"/>
    <x v="3"/>
    <x v="0"/>
    <x v="0"/>
    <x v="1"/>
    <x v="1"/>
    <n v="159664.92088144622"/>
    <n v="97395.702725319425"/>
    <n v="18314.587121467743"/>
  </r>
  <r>
    <x v="1"/>
    <x v="1"/>
    <x v="2"/>
    <x v="0"/>
    <x v="3"/>
    <x v="0"/>
    <x v="0"/>
    <x v="1"/>
    <x v="0"/>
    <n v="17743.827533825632"/>
    <n v="11557.29145299819"/>
    <n v="2122.673029086402"/>
  </r>
  <r>
    <x v="1"/>
    <x v="1"/>
    <x v="0"/>
    <x v="0"/>
    <x v="0"/>
    <x v="0"/>
    <x v="0"/>
    <x v="1"/>
    <x v="1"/>
    <n v="0"/>
    <n v="0"/>
    <n v="0"/>
  </r>
  <r>
    <x v="1"/>
    <x v="1"/>
    <x v="2"/>
    <x v="0"/>
    <x v="0"/>
    <x v="0"/>
    <x v="0"/>
    <x v="1"/>
    <x v="1"/>
    <n v="49318.776966519363"/>
    <n v="69933.410648660385"/>
    <n v="2725.3229873315145"/>
  </r>
  <r>
    <x v="1"/>
    <x v="1"/>
    <x v="2"/>
    <x v="0"/>
    <x v="0"/>
    <x v="0"/>
    <x v="0"/>
    <x v="1"/>
    <x v="0"/>
    <n v="27752.165698430203"/>
    <n v="40243.41064454666"/>
    <n v="1541.6175020976189"/>
  </r>
  <r>
    <x v="1"/>
    <x v="1"/>
    <x v="0"/>
    <x v="0"/>
    <x v="1"/>
    <x v="0"/>
    <x v="0"/>
    <x v="1"/>
    <x v="1"/>
    <n v="0"/>
    <n v="0"/>
    <n v="0"/>
  </r>
  <r>
    <x v="1"/>
    <x v="1"/>
    <x v="1"/>
    <x v="0"/>
    <x v="1"/>
    <x v="0"/>
    <x v="0"/>
    <x v="1"/>
    <x v="1"/>
    <n v="0"/>
    <n v="0"/>
    <n v="0"/>
  </r>
  <r>
    <x v="1"/>
    <x v="1"/>
    <x v="1"/>
    <x v="0"/>
    <x v="1"/>
    <x v="0"/>
    <x v="0"/>
    <x v="1"/>
    <x v="0"/>
    <n v="0"/>
    <n v="0"/>
    <n v="0"/>
  </r>
  <r>
    <x v="1"/>
    <x v="1"/>
    <x v="2"/>
    <x v="0"/>
    <x v="1"/>
    <x v="0"/>
    <x v="0"/>
    <x v="1"/>
    <x v="1"/>
    <n v="44729.054404159782"/>
    <n v="45835.488444778151"/>
    <n v="3666.7910899674666"/>
  </r>
  <r>
    <x v="1"/>
    <x v="1"/>
    <x v="2"/>
    <x v="0"/>
    <x v="1"/>
    <x v="0"/>
    <x v="0"/>
    <x v="1"/>
    <x v="0"/>
    <n v="26216.619152360468"/>
    <n v="26994.397576605796"/>
    <n v="2124.8285393311467"/>
  </r>
  <r>
    <x v="1"/>
    <x v="1"/>
    <x v="2"/>
    <x v="0"/>
    <x v="2"/>
    <x v="0"/>
    <x v="0"/>
    <x v="1"/>
    <x v="1"/>
    <n v="10070.01860253658"/>
    <n v="8077.5618002594565"/>
    <n v="1078.5477561033124"/>
  </r>
  <r>
    <x v="1"/>
    <x v="1"/>
    <x v="2"/>
    <x v="0"/>
    <x v="2"/>
    <x v="0"/>
    <x v="0"/>
    <x v="1"/>
    <x v="0"/>
    <n v="2121.8582164733821"/>
    <n v="1738.3108872794346"/>
    <n v="228.04809609348931"/>
  </r>
  <r>
    <x v="1"/>
    <x v="1"/>
    <x v="2"/>
    <x v="0"/>
    <x v="3"/>
    <x v="0"/>
    <x v="0"/>
    <x v="1"/>
    <x v="1"/>
    <n v="922.70621766949671"/>
    <n v="600.12015532043176"/>
    <n v="112.68697678620289"/>
  </r>
  <r>
    <x v="1"/>
    <x v="2"/>
    <x v="0"/>
    <x v="0"/>
    <x v="3"/>
    <x v="0"/>
    <x v="0"/>
    <x v="2"/>
    <x v="1"/>
    <n v="0"/>
    <n v="0"/>
    <n v="0"/>
  </r>
  <r>
    <x v="1"/>
    <x v="2"/>
    <x v="1"/>
    <x v="0"/>
    <x v="3"/>
    <x v="0"/>
    <x v="0"/>
    <x v="2"/>
    <x v="1"/>
    <n v="0"/>
    <n v="0"/>
    <n v="0"/>
  </r>
  <r>
    <x v="1"/>
    <x v="2"/>
    <x v="1"/>
    <x v="0"/>
    <x v="3"/>
    <x v="0"/>
    <x v="0"/>
    <x v="2"/>
    <x v="0"/>
    <n v="0"/>
    <n v="0"/>
    <n v="0"/>
  </r>
  <r>
    <x v="1"/>
    <x v="2"/>
    <x v="2"/>
    <x v="0"/>
    <x v="3"/>
    <x v="0"/>
    <x v="0"/>
    <x v="2"/>
    <x v="1"/>
    <n v="70690.905456395849"/>
    <n v="0"/>
    <n v="0"/>
  </r>
  <r>
    <x v="1"/>
    <x v="2"/>
    <x v="2"/>
    <x v="0"/>
    <x v="3"/>
    <x v="0"/>
    <x v="0"/>
    <x v="2"/>
    <x v="0"/>
    <n v="55280.094543604202"/>
    <n v="0"/>
    <n v="0"/>
  </r>
  <r>
    <x v="1"/>
    <x v="3"/>
    <x v="0"/>
    <x v="1"/>
    <x v="0"/>
    <x v="1"/>
    <x v="1"/>
    <x v="3"/>
    <x v="1"/>
    <n v="0"/>
    <n v="0"/>
    <n v="0"/>
  </r>
  <r>
    <x v="1"/>
    <x v="3"/>
    <x v="0"/>
    <x v="1"/>
    <x v="0"/>
    <x v="1"/>
    <x v="1"/>
    <x v="3"/>
    <x v="0"/>
    <n v="0"/>
    <n v="0"/>
    <n v="0"/>
  </r>
  <r>
    <x v="1"/>
    <x v="3"/>
    <x v="1"/>
    <x v="1"/>
    <x v="0"/>
    <x v="1"/>
    <x v="1"/>
    <x v="3"/>
    <x v="1"/>
    <n v="0"/>
    <n v="0"/>
    <n v="0"/>
  </r>
  <r>
    <x v="1"/>
    <x v="3"/>
    <x v="1"/>
    <x v="1"/>
    <x v="0"/>
    <x v="1"/>
    <x v="1"/>
    <x v="3"/>
    <x v="0"/>
    <n v="0"/>
    <n v="0"/>
    <n v="0"/>
  </r>
  <r>
    <x v="1"/>
    <x v="3"/>
    <x v="2"/>
    <x v="1"/>
    <x v="0"/>
    <x v="1"/>
    <x v="1"/>
    <x v="3"/>
    <x v="1"/>
    <n v="1090993.7575639754"/>
    <n v="683489.20269766171"/>
    <n v="32810.795962974516"/>
  </r>
  <r>
    <x v="1"/>
    <x v="3"/>
    <x v="2"/>
    <x v="1"/>
    <x v="0"/>
    <x v="1"/>
    <x v="1"/>
    <x v="3"/>
    <x v="0"/>
    <n v="260885.19846646488"/>
    <n v="165540.55843563419"/>
    <n v="7820.538301062189"/>
  </r>
  <r>
    <x v="1"/>
    <x v="3"/>
    <x v="0"/>
    <x v="1"/>
    <x v="1"/>
    <x v="1"/>
    <x v="1"/>
    <x v="3"/>
    <x v="1"/>
    <n v="0"/>
    <n v="0"/>
    <n v="0"/>
  </r>
  <r>
    <x v="1"/>
    <x v="3"/>
    <x v="0"/>
    <x v="1"/>
    <x v="1"/>
    <x v="1"/>
    <x v="1"/>
    <x v="3"/>
    <x v="0"/>
    <n v="0"/>
    <n v="0"/>
    <n v="0"/>
  </r>
  <r>
    <x v="1"/>
    <x v="3"/>
    <x v="1"/>
    <x v="1"/>
    <x v="1"/>
    <x v="1"/>
    <x v="1"/>
    <x v="3"/>
    <x v="1"/>
    <n v="0"/>
    <n v="0"/>
    <n v="0"/>
  </r>
  <r>
    <x v="1"/>
    <x v="3"/>
    <x v="1"/>
    <x v="1"/>
    <x v="1"/>
    <x v="1"/>
    <x v="1"/>
    <x v="3"/>
    <x v="0"/>
    <n v="0"/>
    <n v="0"/>
    <n v="0"/>
  </r>
  <r>
    <x v="1"/>
    <x v="3"/>
    <x v="2"/>
    <x v="1"/>
    <x v="1"/>
    <x v="1"/>
    <x v="1"/>
    <x v="3"/>
    <x v="1"/>
    <n v="1940242.7538997999"/>
    <n v="1068749.7124599207"/>
    <n v="105331.25951402127"/>
  </r>
  <r>
    <x v="1"/>
    <x v="3"/>
    <x v="2"/>
    <x v="1"/>
    <x v="1"/>
    <x v="1"/>
    <x v="1"/>
    <x v="3"/>
    <x v="0"/>
    <n v="386296.91412351275"/>
    <n v="205069.98159362722"/>
    <n v="19906.85819415711"/>
  </r>
  <r>
    <x v="1"/>
    <x v="3"/>
    <x v="0"/>
    <x v="1"/>
    <x v="2"/>
    <x v="1"/>
    <x v="1"/>
    <x v="3"/>
    <x v="1"/>
    <n v="0"/>
    <n v="0"/>
    <n v="0"/>
  </r>
  <r>
    <x v="1"/>
    <x v="3"/>
    <x v="0"/>
    <x v="1"/>
    <x v="2"/>
    <x v="1"/>
    <x v="1"/>
    <x v="3"/>
    <x v="0"/>
    <n v="0"/>
    <n v="0"/>
    <n v="0"/>
  </r>
  <r>
    <x v="1"/>
    <x v="3"/>
    <x v="1"/>
    <x v="1"/>
    <x v="2"/>
    <x v="1"/>
    <x v="1"/>
    <x v="3"/>
    <x v="1"/>
    <n v="0"/>
    <n v="0"/>
    <n v="0"/>
  </r>
  <r>
    <x v="1"/>
    <x v="3"/>
    <x v="1"/>
    <x v="1"/>
    <x v="2"/>
    <x v="1"/>
    <x v="1"/>
    <x v="3"/>
    <x v="0"/>
    <n v="0"/>
    <n v="0"/>
    <n v="0"/>
  </r>
  <r>
    <x v="1"/>
    <x v="3"/>
    <x v="2"/>
    <x v="1"/>
    <x v="2"/>
    <x v="1"/>
    <x v="1"/>
    <x v="3"/>
    <x v="1"/>
    <n v="2002051.6649338473"/>
    <n v="904955.07215346256"/>
    <n v="148618.67504087638"/>
  </r>
  <r>
    <x v="1"/>
    <x v="3"/>
    <x v="2"/>
    <x v="1"/>
    <x v="2"/>
    <x v="1"/>
    <x v="1"/>
    <x v="3"/>
    <x v="0"/>
    <n v="681548.72544100252"/>
    <n v="316677.88555158558"/>
    <n v="51235.044348529256"/>
  </r>
  <r>
    <x v="1"/>
    <x v="3"/>
    <x v="0"/>
    <x v="1"/>
    <x v="3"/>
    <x v="1"/>
    <x v="1"/>
    <x v="3"/>
    <x v="1"/>
    <n v="0"/>
    <n v="0"/>
    <n v="0"/>
  </r>
  <r>
    <x v="1"/>
    <x v="3"/>
    <x v="0"/>
    <x v="1"/>
    <x v="3"/>
    <x v="1"/>
    <x v="1"/>
    <x v="3"/>
    <x v="0"/>
    <n v="0"/>
    <n v="0"/>
    <n v="0"/>
  </r>
  <r>
    <x v="1"/>
    <x v="3"/>
    <x v="1"/>
    <x v="1"/>
    <x v="3"/>
    <x v="1"/>
    <x v="1"/>
    <x v="3"/>
    <x v="1"/>
    <n v="0"/>
    <n v="0"/>
    <n v="0"/>
  </r>
  <r>
    <x v="1"/>
    <x v="3"/>
    <x v="1"/>
    <x v="1"/>
    <x v="3"/>
    <x v="1"/>
    <x v="1"/>
    <x v="3"/>
    <x v="0"/>
    <n v="0"/>
    <n v="0"/>
    <n v="0"/>
  </r>
  <r>
    <x v="1"/>
    <x v="3"/>
    <x v="2"/>
    <x v="1"/>
    <x v="3"/>
    <x v="1"/>
    <x v="1"/>
    <x v="3"/>
    <x v="1"/>
    <n v="2059021.3618269579"/>
    <n v="907158.43710734253"/>
    <n v="208757.40194703205"/>
  </r>
  <r>
    <x v="1"/>
    <x v="3"/>
    <x v="2"/>
    <x v="1"/>
    <x v="3"/>
    <x v="1"/>
    <x v="1"/>
    <x v="3"/>
    <x v="0"/>
    <n v="437414.63788053329"/>
    <n v="191850.44840803757"/>
    <n v="43455.048026136203"/>
  </r>
  <r>
    <x v="1"/>
    <x v="3"/>
    <x v="0"/>
    <x v="1"/>
    <x v="4"/>
    <x v="1"/>
    <x v="1"/>
    <x v="3"/>
    <x v="1"/>
    <n v="0"/>
    <n v="0"/>
    <n v="0"/>
  </r>
  <r>
    <x v="1"/>
    <x v="3"/>
    <x v="0"/>
    <x v="1"/>
    <x v="4"/>
    <x v="1"/>
    <x v="1"/>
    <x v="3"/>
    <x v="0"/>
    <n v="0"/>
    <n v="0"/>
    <n v="0"/>
  </r>
  <r>
    <x v="1"/>
    <x v="3"/>
    <x v="1"/>
    <x v="1"/>
    <x v="4"/>
    <x v="1"/>
    <x v="1"/>
    <x v="3"/>
    <x v="1"/>
    <n v="0"/>
    <n v="0"/>
    <n v="0"/>
  </r>
  <r>
    <x v="1"/>
    <x v="3"/>
    <x v="1"/>
    <x v="1"/>
    <x v="4"/>
    <x v="1"/>
    <x v="1"/>
    <x v="3"/>
    <x v="0"/>
    <n v="0"/>
    <n v="0"/>
    <n v="0"/>
  </r>
  <r>
    <x v="1"/>
    <x v="3"/>
    <x v="2"/>
    <x v="1"/>
    <x v="4"/>
    <x v="1"/>
    <x v="1"/>
    <x v="3"/>
    <x v="1"/>
    <n v="1814106.026535654"/>
    <n v="712921.72247873794"/>
    <n v="210867.12800485353"/>
  </r>
  <r>
    <x v="1"/>
    <x v="3"/>
    <x v="2"/>
    <x v="1"/>
    <x v="4"/>
    <x v="1"/>
    <x v="1"/>
    <x v="3"/>
    <x v="0"/>
    <n v="379254.0893046424"/>
    <n v="148496.59351142682"/>
    <n v="43245.246423319928"/>
  </r>
  <r>
    <x v="1"/>
    <x v="3"/>
    <x v="0"/>
    <x v="1"/>
    <x v="5"/>
    <x v="1"/>
    <x v="1"/>
    <x v="3"/>
    <x v="1"/>
    <n v="0"/>
    <n v="0"/>
    <n v="0"/>
  </r>
  <r>
    <x v="1"/>
    <x v="3"/>
    <x v="0"/>
    <x v="1"/>
    <x v="5"/>
    <x v="1"/>
    <x v="1"/>
    <x v="3"/>
    <x v="0"/>
    <n v="0"/>
    <n v="0"/>
    <n v="0"/>
  </r>
  <r>
    <x v="1"/>
    <x v="3"/>
    <x v="1"/>
    <x v="1"/>
    <x v="5"/>
    <x v="1"/>
    <x v="1"/>
    <x v="3"/>
    <x v="1"/>
    <n v="0"/>
    <n v="0"/>
    <n v="0"/>
  </r>
  <r>
    <x v="1"/>
    <x v="3"/>
    <x v="2"/>
    <x v="1"/>
    <x v="5"/>
    <x v="1"/>
    <x v="1"/>
    <x v="3"/>
    <x v="1"/>
    <n v="1278687.0541926057"/>
    <n v="452930.12991423236"/>
    <n v="163771.09227868755"/>
  </r>
  <r>
    <x v="1"/>
    <x v="3"/>
    <x v="2"/>
    <x v="1"/>
    <x v="5"/>
    <x v="1"/>
    <x v="1"/>
    <x v="3"/>
    <x v="0"/>
    <n v="381677.95911796187"/>
    <n v="133934.17237447895"/>
    <n v="47672.00952085037"/>
  </r>
  <r>
    <x v="1"/>
    <x v="3"/>
    <x v="0"/>
    <x v="1"/>
    <x v="6"/>
    <x v="1"/>
    <x v="1"/>
    <x v="3"/>
    <x v="1"/>
    <n v="0"/>
    <n v="0"/>
    <n v="0"/>
  </r>
  <r>
    <x v="1"/>
    <x v="3"/>
    <x v="0"/>
    <x v="1"/>
    <x v="6"/>
    <x v="1"/>
    <x v="1"/>
    <x v="3"/>
    <x v="0"/>
    <n v="0"/>
    <n v="0"/>
    <n v="0"/>
  </r>
  <r>
    <x v="1"/>
    <x v="3"/>
    <x v="1"/>
    <x v="1"/>
    <x v="6"/>
    <x v="1"/>
    <x v="1"/>
    <x v="3"/>
    <x v="1"/>
    <n v="0"/>
    <n v="0"/>
    <n v="0"/>
  </r>
  <r>
    <x v="1"/>
    <x v="3"/>
    <x v="2"/>
    <x v="1"/>
    <x v="6"/>
    <x v="1"/>
    <x v="1"/>
    <x v="3"/>
    <x v="1"/>
    <n v="769789.44875193236"/>
    <n v="248828.92301538284"/>
    <n v="106144.31791753079"/>
  </r>
  <r>
    <x v="1"/>
    <x v="3"/>
    <x v="2"/>
    <x v="1"/>
    <x v="6"/>
    <x v="1"/>
    <x v="1"/>
    <x v="3"/>
    <x v="0"/>
    <n v="113366.93758661039"/>
    <n v="36363.942444347646"/>
    <n v="15296.557009352817"/>
  </r>
  <r>
    <x v="1"/>
    <x v="3"/>
    <x v="0"/>
    <x v="1"/>
    <x v="7"/>
    <x v="1"/>
    <x v="1"/>
    <x v="3"/>
    <x v="1"/>
    <n v="0"/>
    <n v="0"/>
    <n v="0"/>
  </r>
  <r>
    <x v="1"/>
    <x v="3"/>
    <x v="0"/>
    <x v="1"/>
    <x v="7"/>
    <x v="1"/>
    <x v="1"/>
    <x v="3"/>
    <x v="0"/>
    <n v="0"/>
    <n v="0"/>
    <n v="0"/>
  </r>
  <r>
    <x v="1"/>
    <x v="3"/>
    <x v="1"/>
    <x v="1"/>
    <x v="7"/>
    <x v="1"/>
    <x v="1"/>
    <x v="3"/>
    <x v="1"/>
    <n v="0"/>
    <n v="0"/>
    <n v="0"/>
  </r>
  <r>
    <x v="1"/>
    <x v="3"/>
    <x v="2"/>
    <x v="1"/>
    <x v="7"/>
    <x v="1"/>
    <x v="1"/>
    <x v="3"/>
    <x v="1"/>
    <n v="460554.94805299165"/>
    <n v="137177.57656454251"/>
    <n v="67581.975453302555"/>
  </r>
  <r>
    <x v="1"/>
    <x v="3"/>
    <x v="2"/>
    <x v="1"/>
    <x v="7"/>
    <x v="1"/>
    <x v="1"/>
    <x v="3"/>
    <x v="0"/>
    <n v="114047.8393086654"/>
    <n v="33537.029188981178"/>
    <n v="16277.781836478789"/>
  </r>
  <r>
    <x v="1"/>
    <x v="3"/>
    <x v="0"/>
    <x v="1"/>
    <x v="8"/>
    <x v="1"/>
    <x v="1"/>
    <x v="3"/>
    <x v="1"/>
    <n v="0"/>
    <n v="0"/>
    <n v="0"/>
  </r>
  <r>
    <x v="1"/>
    <x v="3"/>
    <x v="0"/>
    <x v="1"/>
    <x v="8"/>
    <x v="1"/>
    <x v="1"/>
    <x v="3"/>
    <x v="0"/>
    <n v="0"/>
    <n v="0"/>
    <n v="0"/>
  </r>
  <r>
    <x v="1"/>
    <x v="3"/>
    <x v="2"/>
    <x v="1"/>
    <x v="8"/>
    <x v="1"/>
    <x v="1"/>
    <x v="3"/>
    <x v="1"/>
    <n v="385255.00735302182"/>
    <n v="105749.99355997206"/>
    <n v="59151.604375241826"/>
  </r>
  <r>
    <x v="1"/>
    <x v="3"/>
    <x v="2"/>
    <x v="1"/>
    <x v="8"/>
    <x v="1"/>
    <x v="1"/>
    <x v="3"/>
    <x v="0"/>
    <n v="105726.82065837549"/>
    <n v="28745.764143691129"/>
    <n v="15812.558852270051"/>
  </r>
  <r>
    <x v="1"/>
    <x v="3"/>
    <x v="0"/>
    <x v="1"/>
    <x v="9"/>
    <x v="1"/>
    <x v="1"/>
    <x v="3"/>
    <x v="1"/>
    <n v="0"/>
    <n v="0"/>
    <n v="0"/>
  </r>
  <r>
    <x v="1"/>
    <x v="3"/>
    <x v="0"/>
    <x v="1"/>
    <x v="9"/>
    <x v="1"/>
    <x v="1"/>
    <x v="3"/>
    <x v="0"/>
    <n v="0"/>
    <n v="0"/>
    <n v="0"/>
  </r>
  <r>
    <x v="1"/>
    <x v="3"/>
    <x v="1"/>
    <x v="1"/>
    <x v="9"/>
    <x v="1"/>
    <x v="1"/>
    <x v="3"/>
    <x v="1"/>
    <n v="0"/>
    <n v="0"/>
    <n v="0"/>
  </r>
  <r>
    <x v="1"/>
    <x v="3"/>
    <x v="1"/>
    <x v="1"/>
    <x v="9"/>
    <x v="1"/>
    <x v="1"/>
    <x v="3"/>
    <x v="0"/>
    <n v="0"/>
    <n v="0"/>
    <n v="0"/>
  </r>
  <r>
    <x v="1"/>
    <x v="3"/>
    <x v="2"/>
    <x v="1"/>
    <x v="9"/>
    <x v="1"/>
    <x v="1"/>
    <x v="3"/>
    <x v="1"/>
    <n v="165104.37024533865"/>
    <n v="41860.946578558185"/>
    <n v="26065.238111863553"/>
  </r>
  <r>
    <x v="1"/>
    <x v="3"/>
    <x v="2"/>
    <x v="1"/>
    <x v="9"/>
    <x v="1"/>
    <x v="1"/>
    <x v="3"/>
    <x v="0"/>
    <n v="51268.151190779681"/>
    <n v="12926.534206829274"/>
    <n v="7947.2170858511417"/>
  </r>
  <r>
    <x v="1"/>
    <x v="3"/>
    <x v="2"/>
    <x v="1"/>
    <x v="10"/>
    <x v="1"/>
    <x v="1"/>
    <x v="3"/>
    <x v="1"/>
    <n v="382548.94905129779"/>
    <n v="90738.22175824811"/>
    <n v="62590.934470984299"/>
  </r>
  <r>
    <x v="1"/>
    <x v="3"/>
    <x v="2"/>
    <x v="1"/>
    <x v="10"/>
    <x v="1"/>
    <x v="1"/>
    <x v="3"/>
    <x v="0"/>
    <n v="112064.27883083737"/>
    <n v="26279.336941359867"/>
    <n v="17857.188112268683"/>
  </r>
  <r>
    <x v="1"/>
    <x v="3"/>
    <x v="0"/>
    <x v="1"/>
    <x v="11"/>
    <x v="1"/>
    <x v="1"/>
    <x v="3"/>
    <x v="1"/>
    <n v="0"/>
    <n v="0"/>
    <n v="0"/>
  </r>
  <r>
    <x v="1"/>
    <x v="3"/>
    <x v="2"/>
    <x v="1"/>
    <x v="11"/>
    <x v="1"/>
    <x v="1"/>
    <x v="3"/>
    <x v="1"/>
    <n v="274732.52008690726"/>
    <n v="61354.243580887538"/>
    <n v="46365.100255929588"/>
  </r>
  <r>
    <x v="1"/>
    <x v="3"/>
    <x v="2"/>
    <x v="1"/>
    <x v="11"/>
    <x v="1"/>
    <x v="1"/>
    <x v="3"/>
    <x v="0"/>
    <n v="97572.803124593673"/>
    <n v="21457.264867264017"/>
    <n v="15969.141671274996"/>
  </r>
  <r>
    <x v="1"/>
    <x v="3"/>
    <x v="0"/>
    <x v="1"/>
    <x v="12"/>
    <x v="1"/>
    <x v="1"/>
    <x v="3"/>
    <x v="1"/>
    <n v="0"/>
    <n v="0"/>
    <n v="0"/>
  </r>
  <r>
    <x v="1"/>
    <x v="3"/>
    <x v="2"/>
    <x v="1"/>
    <x v="12"/>
    <x v="1"/>
    <x v="1"/>
    <x v="3"/>
    <x v="1"/>
    <n v="154279.62674889903"/>
    <n v="32051.92966636581"/>
    <n v="26140.390195138385"/>
  </r>
  <r>
    <x v="1"/>
    <x v="3"/>
    <x v="2"/>
    <x v="1"/>
    <x v="12"/>
    <x v="1"/>
    <x v="1"/>
    <x v="3"/>
    <x v="0"/>
    <n v="47808.156739594342"/>
    <n v="9955.8502873290909"/>
    <n v="8053.7425294184504"/>
  </r>
  <r>
    <x v="1"/>
    <x v="3"/>
    <x v="2"/>
    <x v="1"/>
    <x v="1"/>
    <x v="1"/>
    <x v="1"/>
    <x v="3"/>
    <x v="1"/>
    <n v="2126.0755186431534"/>
    <n v="3080.165567579108"/>
    <n v="303.36079787835718"/>
  </r>
  <r>
    <x v="1"/>
    <x v="3"/>
    <x v="2"/>
    <x v="1"/>
    <x v="1"/>
    <x v="1"/>
    <x v="1"/>
    <x v="3"/>
    <x v="0"/>
    <n v="410.92346456460956"/>
    <n v="595.36094250601514"/>
    <n v="57.793762718001233"/>
  </r>
  <r>
    <x v="1"/>
    <x v="4"/>
    <x v="0"/>
    <x v="1"/>
    <x v="0"/>
    <x v="1"/>
    <x v="1"/>
    <x v="4"/>
    <x v="1"/>
    <n v="301980.51656073268"/>
    <n v="203596.00381595429"/>
    <n v="11887.195267835834"/>
  </r>
  <r>
    <x v="1"/>
    <x v="4"/>
    <x v="0"/>
    <x v="1"/>
    <x v="0"/>
    <x v="1"/>
    <x v="1"/>
    <x v="4"/>
    <x v="0"/>
    <n v="127099.62577486275"/>
    <n v="73849.555509346785"/>
    <n v="3884.0722281047983"/>
  </r>
  <r>
    <x v="1"/>
    <x v="4"/>
    <x v="1"/>
    <x v="1"/>
    <x v="0"/>
    <x v="1"/>
    <x v="1"/>
    <x v="4"/>
    <x v="1"/>
    <n v="1105.7147468973378"/>
    <n v="762.15984655283739"/>
    <n v="38.868818048323348"/>
  </r>
  <r>
    <x v="1"/>
    <x v="4"/>
    <x v="2"/>
    <x v="1"/>
    <x v="0"/>
    <x v="1"/>
    <x v="1"/>
    <x v="4"/>
    <x v="1"/>
    <n v="407105.54679543077"/>
    <n v="286698.82686008653"/>
    <n v="15002.06055876253"/>
  </r>
  <r>
    <x v="1"/>
    <x v="4"/>
    <x v="2"/>
    <x v="1"/>
    <x v="0"/>
    <x v="1"/>
    <x v="1"/>
    <x v="4"/>
    <x v="0"/>
    <n v="74957.597003512463"/>
    <n v="52037.176058360361"/>
    <n v="2323.2081620545578"/>
  </r>
  <r>
    <x v="1"/>
    <x v="4"/>
    <x v="0"/>
    <x v="1"/>
    <x v="1"/>
    <x v="1"/>
    <x v="1"/>
    <x v="4"/>
    <x v="1"/>
    <n v="61199.716846205578"/>
    <n v="36664.526735079402"/>
    <n v="4631.8197795829874"/>
  </r>
  <r>
    <x v="1"/>
    <x v="4"/>
    <x v="0"/>
    <x v="1"/>
    <x v="1"/>
    <x v="1"/>
    <x v="1"/>
    <x v="4"/>
    <x v="0"/>
    <n v="352.70877386183162"/>
    <n v="211.21209125170992"/>
    <n v="22.825830465121076"/>
  </r>
  <r>
    <x v="1"/>
    <x v="4"/>
    <x v="1"/>
    <x v="1"/>
    <x v="1"/>
    <x v="1"/>
    <x v="1"/>
    <x v="4"/>
    <x v="1"/>
    <n v="10717.741292738825"/>
    <n v="6157.8846230126728"/>
    <n v="656.22690881993219"/>
  </r>
  <r>
    <x v="1"/>
    <x v="4"/>
    <x v="1"/>
    <x v="1"/>
    <x v="1"/>
    <x v="1"/>
    <x v="1"/>
    <x v="4"/>
    <x v="0"/>
    <n v="5296.0634882796185"/>
    <n v="3226.5724052996293"/>
    <n v="348.69781493255755"/>
  </r>
  <r>
    <x v="1"/>
    <x v="4"/>
    <x v="2"/>
    <x v="1"/>
    <x v="1"/>
    <x v="1"/>
    <x v="1"/>
    <x v="4"/>
    <x v="1"/>
    <n v="151971.59026277644"/>
    <n v="91586.863737481573"/>
    <n v="10093.175835684146"/>
  </r>
  <r>
    <x v="1"/>
    <x v="4"/>
    <x v="2"/>
    <x v="1"/>
    <x v="1"/>
    <x v="1"/>
    <x v="1"/>
    <x v="4"/>
    <x v="0"/>
    <n v="6678.0232252816186"/>
    <n v="3998.6651231500573"/>
    <n v="366.82408096746525"/>
  </r>
  <r>
    <x v="1"/>
    <x v="4"/>
    <x v="0"/>
    <x v="1"/>
    <x v="2"/>
    <x v="1"/>
    <x v="1"/>
    <x v="4"/>
    <x v="1"/>
    <n v="132402.07397621905"/>
    <n v="68036.153606109598"/>
    <n v="13760.426390204449"/>
  </r>
  <r>
    <x v="1"/>
    <x v="4"/>
    <x v="0"/>
    <x v="1"/>
    <x v="2"/>
    <x v="1"/>
    <x v="1"/>
    <x v="4"/>
    <x v="0"/>
    <n v="8819.3698848124313"/>
    <n v="4398.5384638981413"/>
    <n v="792.25493733375572"/>
  </r>
  <r>
    <x v="1"/>
    <x v="4"/>
    <x v="1"/>
    <x v="1"/>
    <x v="2"/>
    <x v="1"/>
    <x v="1"/>
    <x v="4"/>
    <x v="1"/>
    <n v="3185.6397652737251"/>
    <n v="1574.2251406719197"/>
    <n v="281.08111370292494"/>
  </r>
  <r>
    <x v="1"/>
    <x v="4"/>
    <x v="2"/>
    <x v="1"/>
    <x v="2"/>
    <x v="1"/>
    <x v="1"/>
    <x v="4"/>
    <x v="1"/>
    <n v="275754.6195379119"/>
    <n v="141597.16676882337"/>
    <n v="25793.321700545577"/>
  </r>
  <r>
    <x v="1"/>
    <x v="4"/>
    <x v="2"/>
    <x v="1"/>
    <x v="2"/>
    <x v="1"/>
    <x v="1"/>
    <x v="4"/>
    <x v="0"/>
    <n v="91775.685211572301"/>
    <n v="47046.028456476764"/>
    <n v="7193.0738634935369"/>
  </r>
  <r>
    <x v="1"/>
    <x v="4"/>
    <x v="0"/>
    <x v="1"/>
    <x v="3"/>
    <x v="1"/>
    <x v="1"/>
    <x v="4"/>
    <x v="1"/>
    <n v="270885.35511538456"/>
    <n v="121119.25766128484"/>
    <n v="33678.166301401317"/>
  </r>
  <r>
    <x v="1"/>
    <x v="4"/>
    <x v="0"/>
    <x v="1"/>
    <x v="3"/>
    <x v="1"/>
    <x v="1"/>
    <x v="4"/>
    <x v="0"/>
    <n v="93668.933236308643"/>
    <n v="40970.732991440498"/>
    <n v="10331.37985971805"/>
  </r>
  <r>
    <x v="1"/>
    <x v="4"/>
    <x v="1"/>
    <x v="1"/>
    <x v="3"/>
    <x v="1"/>
    <x v="1"/>
    <x v="4"/>
    <x v="1"/>
    <n v="3583.373571898614"/>
    <n v="1564.6990227243678"/>
    <n v="382.5879305309885"/>
  </r>
  <r>
    <x v="1"/>
    <x v="4"/>
    <x v="2"/>
    <x v="1"/>
    <x v="3"/>
    <x v="1"/>
    <x v="1"/>
    <x v="4"/>
    <x v="1"/>
    <n v="386223.45359207114"/>
    <n v="174775.26754453444"/>
    <n v="46234.744562381449"/>
  </r>
  <r>
    <x v="1"/>
    <x v="4"/>
    <x v="2"/>
    <x v="1"/>
    <x v="3"/>
    <x v="1"/>
    <x v="1"/>
    <x v="4"/>
    <x v="0"/>
    <n v="77520.231759554648"/>
    <n v="34760.244069513523"/>
    <n v="7440.5048806816603"/>
  </r>
  <r>
    <x v="1"/>
    <x v="4"/>
    <x v="0"/>
    <x v="1"/>
    <x v="4"/>
    <x v="1"/>
    <x v="1"/>
    <x v="4"/>
    <x v="1"/>
    <n v="359948.83824659145"/>
    <n v="145085.77036544579"/>
    <n v="52873.398020597575"/>
  </r>
  <r>
    <x v="1"/>
    <x v="4"/>
    <x v="0"/>
    <x v="1"/>
    <x v="4"/>
    <x v="1"/>
    <x v="1"/>
    <x v="4"/>
    <x v="0"/>
    <n v="76833.512187027649"/>
    <n v="30977.403794514936"/>
    <n v="10043.245579447448"/>
  </r>
  <r>
    <x v="1"/>
    <x v="4"/>
    <x v="1"/>
    <x v="1"/>
    <x v="4"/>
    <x v="1"/>
    <x v="1"/>
    <x v="4"/>
    <x v="1"/>
    <n v="15.62855091641082"/>
    <n v="6.0568994428040055"/>
    <n v="1.9041242625505415"/>
  </r>
  <r>
    <x v="1"/>
    <x v="4"/>
    <x v="2"/>
    <x v="1"/>
    <x v="4"/>
    <x v="1"/>
    <x v="1"/>
    <x v="4"/>
    <x v="1"/>
    <n v="762858.76751280308"/>
    <n v="306393.23233440303"/>
    <n v="99585.241174922368"/>
  </r>
  <r>
    <x v="1"/>
    <x v="4"/>
    <x v="2"/>
    <x v="1"/>
    <x v="4"/>
    <x v="1"/>
    <x v="1"/>
    <x v="4"/>
    <x v="0"/>
    <n v="231149.31499761215"/>
    <n v="92832.788017967061"/>
    <n v="25548.502637434074"/>
  </r>
  <r>
    <x v="1"/>
    <x v="4"/>
    <x v="0"/>
    <x v="1"/>
    <x v="5"/>
    <x v="1"/>
    <x v="1"/>
    <x v="4"/>
    <x v="1"/>
    <n v="57260.250258239663"/>
    <n v="20682.22864405072"/>
    <n v="9524.1368156190201"/>
  </r>
  <r>
    <x v="1"/>
    <x v="4"/>
    <x v="0"/>
    <x v="1"/>
    <x v="5"/>
    <x v="1"/>
    <x v="1"/>
    <x v="4"/>
    <x v="0"/>
    <n v="6706.0680977614056"/>
    <n v="2421.0690436648192"/>
    <n v="959.37062328036268"/>
  </r>
  <r>
    <x v="1"/>
    <x v="4"/>
    <x v="2"/>
    <x v="1"/>
    <x v="5"/>
    <x v="1"/>
    <x v="1"/>
    <x v="4"/>
    <x v="1"/>
    <n v="134851.43743007816"/>
    <n v="48688.576750098771"/>
    <n v="20038.194416840328"/>
  </r>
  <r>
    <x v="1"/>
    <x v="4"/>
    <x v="2"/>
    <x v="1"/>
    <x v="5"/>
    <x v="1"/>
    <x v="1"/>
    <x v="4"/>
    <x v="0"/>
    <n v="36282.298603928124"/>
    <n v="13532.077264367061"/>
    <n v="4551.7531630563326"/>
  </r>
  <r>
    <x v="1"/>
    <x v="4"/>
    <x v="0"/>
    <x v="1"/>
    <x v="6"/>
    <x v="1"/>
    <x v="1"/>
    <x v="4"/>
    <x v="1"/>
    <n v="28143.082482806833"/>
    <n v="9221.8625920439608"/>
    <n v="4778.2877094778987"/>
  </r>
  <r>
    <x v="1"/>
    <x v="4"/>
    <x v="0"/>
    <x v="1"/>
    <x v="6"/>
    <x v="1"/>
    <x v="1"/>
    <x v="4"/>
    <x v="0"/>
    <n v="4558.9532082700534"/>
    <n v="1494.804098740266"/>
    <n v="700.026028410094"/>
  </r>
  <r>
    <x v="1"/>
    <x v="4"/>
    <x v="1"/>
    <x v="1"/>
    <x v="6"/>
    <x v="1"/>
    <x v="1"/>
    <x v="4"/>
    <x v="1"/>
    <n v="1847.3386540050662"/>
    <n v="584.49079617756752"/>
    <n v="265.41376523921929"/>
  </r>
  <r>
    <x v="1"/>
    <x v="4"/>
    <x v="2"/>
    <x v="1"/>
    <x v="6"/>
    <x v="1"/>
    <x v="1"/>
    <x v="4"/>
    <x v="1"/>
    <n v="81440.477485961383"/>
    <n v="26698.299299756258"/>
    <n v="12476.366529209596"/>
  </r>
  <r>
    <x v="1"/>
    <x v="4"/>
    <x v="2"/>
    <x v="1"/>
    <x v="6"/>
    <x v="1"/>
    <x v="1"/>
    <x v="4"/>
    <x v="0"/>
    <n v="24026.017649916466"/>
    <n v="7877.4587379980403"/>
    <n v="3131.4900638170334"/>
  </r>
  <r>
    <x v="1"/>
    <x v="4"/>
    <x v="0"/>
    <x v="1"/>
    <x v="7"/>
    <x v="1"/>
    <x v="1"/>
    <x v="4"/>
    <x v="1"/>
    <n v="1051.5065551392136"/>
    <n v="315.84227960853968"/>
    <n v="167.56901138449876"/>
  </r>
  <r>
    <x v="1"/>
    <x v="4"/>
    <x v="0"/>
    <x v="1"/>
    <x v="7"/>
    <x v="1"/>
    <x v="1"/>
    <x v="4"/>
    <x v="0"/>
    <n v="324.69437021118182"/>
    <n v="97.510079309553888"/>
    <n v="52.689893977420844"/>
  </r>
  <r>
    <x v="1"/>
    <x v="4"/>
    <x v="2"/>
    <x v="1"/>
    <x v="7"/>
    <x v="1"/>
    <x v="1"/>
    <x v="4"/>
    <x v="1"/>
    <n v="3918.4342222395894"/>
    <n v="1176.1453852213215"/>
    <n v="602.09229165997579"/>
  </r>
  <r>
    <x v="1"/>
    <x v="4"/>
    <x v="2"/>
    <x v="1"/>
    <x v="7"/>
    <x v="1"/>
    <x v="1"/>
    <x v="4"/>
    <x v="0"/>
    <n v="381.61937454909616"/>
    <n v="114.61791203360974"/>
    <n v="52.573307527959329"/>
  </r>
  <r>
    <x v="1"/>
    <x v="4"/>
    <x v="0"/>
    <x v="1"/>
    <x v="8"/>
    <x v="1"/>
    <x v="1"/>
    <x v="4"/>
    <x v="1"/>
    <n v="946.16484958743342"/>
    <n v="262.14262116643897"/>
    <n v="165.86953381306793"/>
  </r>
  <r>
    <x v="1"/>
    <x v="4"/>
    <x v="2"/>
    <x v="1"/>
    <x v="8"/>
    <x v="1"/>
    <x v="1"/>
    <x v="4"/>
    <x v="1"/>
    <n v="4371.6630451978017"/>
    <n v="1210.3932429573074"/>
    <n v="727.66744560096686"/>
  </r>
  <r>
    <x v="1"/>
    <x v="4"/>
    <x v="0"/>
    <x v="1"/>
    <x v="9"/>
    <x v="1"/>
    <x v="1"/>
    <x v="4"/>
    <x v="1"/>
    <n v="7619.4477139742066"/>
    <n v="1949.7230801331648"/>
    <n v="1334.3630670622133"/>
  </r>
  <r>
    <x v="1"/>
    <x v="4"/>
    <x v="0"/>
    <x v="1"/>
    <x v="9"/>
    <x v="1"/>
    <x v="1"/>
    <x v="4"/>
    <x v="0"/>
    <n v="5837.4236307696056"/>
    <n v="1493.0124837597557"/>
    <n v="1021.8886981615742"/>
  </r>
  <r>
    <x v="1"/>
    <x v="4"/>
    <x v="2"/>
    <x v="1"/>
    <x v="9"/>
    <x v="1"/>
    <x v="1"/>
    <x v="4"/>
    <x v="1"/>
    <n v="17107.481786891436"/>
    <n v="4376.4513609803935"/>
    <n v="2543.0131045515805"/>
  </r>
  <r>
    <x v="1"/>
    <x v="4"/>
    <x v="2"/>
    <x v="1"/>
    <x v="9"/>
    <x v="1"/>
    <x v="1"/>
    <x v="4"/>
    <x v="0"/>
    <n v="28528.346344198686"/>
    <n v="7296.3430668995752"/>
    <n v="4239.1657292851623"/>
  </r>
  <r>
    <x v="1"/>
    <x v="4"/>
    <x v="0"/>
    <x v="1"/>
    <x v="10"/>
    <x v="1"/>
    <x v="1"/>
    <x v="4"/>
    <x v="1"/>
    <n v="11784.585284564564"/>
    <n v="2800.4249429054653"/>
    <n v="2448.1665498420857"/>
  </r>
  <r>
    <x v="1"/>
    <x v="4"/>
    <x v="2"/>
    <x v="1"/>
    <x v="10"/>
    <x v="1"/>
    <x v="1"/>
    <x v="4"/>
    <x v="1"/>
    <n v="33637.034298841834"/>
    <n v="7988.6775115908276"/>
    <n v="6300.2118239130195"/>
  </r>
  <r>
    <x v="1"/>
    <x v="4"/>
    <x v="0"/>
    <x v="1"/>
    <x v="11"/>
    <x v="1"/>
    <x v="1"/>
    <x v="4"/>
    <x v="1"/>
    <n v="3574.7006505471663"/>
    <n v="793.02991258119664"/>
    <n v="657.02176176458795"/>
  </r>
  <r>
    <x v="1"/>
    <x v="4"/>
    <x v="0"/>
    <x v="1"/>
    <x v="11"/>
    <x v="1"/>
    <x v="1"/>
    <x v="4"/>
    <x v="0"/>
    <n v="2741.7557672753755"/>
    <n v="607.95468338697242"/>
    <n v="503.71583113168617"/>
  </r>
  <r>
    <x v="1"/>
    <x v="4"/>
    <x v="2"/>
    <x v="1"/>
    <x v="11"/>
    <x v="1"/>
    <x v="1"/>
    <x v="4"/>
    <x v="1"/>
    <n v="8032.4943191413822"/>
    <n v="1781.5034912272756"/>
    <n v="1253.0481495416855"/>
  </r>
  <r>
    <x v="1"/>
    <x v="4"/>
    <x v="2"/>
    <x v="1"/>
    <x v="11"/>
    <x v="1"/>
    <x v="1"/>
    <x v="4"/>
    <x v="0"/>
    <n v="14287.465044926366"/>
    <n v="3167.9841490964782"/>
    <n v="2228.0882310391189"/>
  </r>
  <r>
    <x v="1"/>
    <x v="4"/>
    <x v="0"/>
    <x v="1"/>
    <x v="12"/>
    <x v="1"/>
    <x v="1"/>
    <x v="4"/>
    <x v="1"/>
    <n v="5603.3156423976861"/>
    <n v="1165.5386901722918"/>
    <n v="1049.6512427707171"/>
  </r>
  <r>
    <x v="1"/>
    <x v="4"/>
    <x v="0"/>
    <x v="1"/>
    <x v="12"/>
    <x v="1"/>
    <x v="1"/>
    <x v="4"/>
    <x v="0"/>
    <n v="4302.900816437309"/>
    <n v="894.61308026884547"/>
    <n v="805.67856307686213"/>
  </r>
  <r>
    <x v="1"/>
    <x v="4"/>
    <x v="2"/>
    <x v="1"/>
    <x v="12"/>
    <x v="1"/>
    <x v="1"/>
    <x v="4"/>
    <x v="1"/>
    <n v="12601.740462033102"/>
    <n v="2620.5850760220951"/>
    <n v="2003.4134958568584"/>
  </r>
  <r>
    <x v="1"/>
    <x v="4"/>
    <x v="2"/>
    <x v="1"/>
    <x v="12"/>
    <x v="1"/>
    <x v="1"/>
    <x v="4"/>
    <x v="0"/>
    <n v="23778.660033566797"/>
    <n v="4943.6277809535668"/>
    <n v="3779.2647911730505"/>
  </r>
  <r>
    <x v="1"/>
    <x v="5"/>
    <x v="0"/>
    <x v="0"/>
    <x v="0"/>
    <x v="2"/>
    <x v="2"/>
    <x v="5"/>
    <x v="0"/>
    <n v="1312"/>
    <n v="2202"/>
    <n v="138"/>
  </r>
  <r>
    <x v="1"/>
    <x v="5"/>
    <x v="2"/>
    <x v="0"/>
    <x v="0"/>
    <x v="2"/>
    <x v="2"/>
    <x v="5"/>
    <x v="1"/>
    <n v="2717.113740959895"/>
    <n v="4558.3545543584723"/>
    <n v="285.07118644067799"/>
  </r>
  <r>
    <x v="1"/>
    <x v="5"/>
    <x v="2"/>
    <x v="0"/>
    <x v="0"/>
    <x v="2"/>
    <x v="2"/>
    <x v="5"/>
    <x v="0"/>
    <n v="292.88625904010507"/>
    <n v="491.64544564152789"/>
    <n v="6.9288135593220339"/>
  </r>
  <r>
    <x v="1"/>
    <x v="6"/>
    <x v="0"/>
    <x v="0"/>
    <x v="0"/>
    <x v="2"/>
    <x v="2"/>
    <x v="6"/>
    <x v="0"/>
    <n v="448"/>
    <n v="705"/>
    <n v="44"/>
  </r>
  <r>
    <x v="1"/>
    <x v="6"/>
    <x v="2"/>
    <x v="0"/>
    <x v="0"/>
    <x v="2"/>
    <x v="2"/>
    <x v="6"/>
    <x v="1"/>
    <n v="13867.118208360038"/>
    <n v="21803.17798913044"/>
    <n v="1344"/>
  </r>
  <r>
    <x v="1"/>
    <x v="6"/>
    <x v="2"/>
    <x v="0"/>
    <x v="0"/>
    <x v="2"/>
    <x v="2"/>
    <x v="6"/>
    <x v="0"/>
    <n v="9.8817916399629695"/>
    <n v="14.822010869565228"/>
    <n v="0"/>
  </r>
  <r>
    <x v="1"/>
    <x v="92"/>
    <x v="2"/>
    <x v="0"/>
    <x v="0"/>
    <x v="2"/>
    <x v="2"/>
    <x v="66"/>
    <x v="1"/>
    <n v="3023"/>
    <n v="5547"/>
    <n v="212"/>
  </r>
  <r>
    <x v="1"/>
    <x v="93"/>
    <x v="2"/>
    <x v="0"/>
    <x v="0"/>
    <x v="2"/>
    <x v="2"/>
    <x v="67"/>
    <x v="1"/>
    <n v="11047"/>
    <n v="18630"/>
    <n v="800"/>
  </r>
  <r>
    <x v="1"/>
    <x v="94"/>
    <x v="2"/>
    <x v="0"/>
    <x v="0"/>
    <x v="2"/>
    <x v="2"/>
    <x v="68"/>
    <x v="1"/>
    <n v="765"/>
    <n v="1230"/>
    <n v="75"/>
  </r>
  <r>
    <x v="1"/>
    <x v="7"/>
    <x v="0"/>
    <x v="0"/>
    <x v="0"/>
    <x v="2"/>
    <x v="2"/>
    <x v="7"/>
    <x v="1"/>
    <n v="7873184.4117611647"/>
    <n v="13216448.328028271"/>
    <n v="674190.00370138953"/>
  </r>
  <r>
    <x v="1"/>
    <x v="7"/>
    <x v="0"/>
    <x v="0"/>
    <x v="0"/>
    <x v="2"/>
    <x v="2"/>
    <x v="7"/>
    <x v="0"/>
    <n v="2055296.606808299"/>
    <n v="3448515.74624673"/>
    <n v="172724.14615790691"/>
  </r>
  <r>
    <x v="1"/>
    <x v="7"/>
    <x v="1"/>
    <x v="0"/>
    <x v="0"/>
    <x v="2"/>
    <x v="2"/>
    <x v="7"/>
    <x v="1"/>
    <n v="345129.32285479072"/>
    <n v="579233.30302090594"/>
    <n v="29392.17769491018"/>
  </r>
  <r>
    <x v="1"/>
    <x v="7"/>
    <x v="1"/>
    <x v="0"/>
    <x v="0"/>
    <x v="2"/>
    <x v="2"/>
    <x v="7"/>
    <x v="0"/>
    <n v="96184.979449344508"/>
    <n v="161385.66817301232"/>
    <n v="8083.2461813884711"/>
  </r>
  <r>
    <x v="1"/>
    <x v="7"/>
    <x v="2"/>
    <x v="0"/>
    <x v="0"/>
    <x v="2"/>
    <x v="2"/>
    <x v="7"/>
    <x v="1"/>
    <n v="31774732.668059312"/>
    <n v="53390692.32126864"/>
    <n v="2873486.8053960642"/>
  </r>
  <r>
    <x v="1"/>
    <x v="7"/>
    <x v="2"/>
    <x v="0"/>
    <x v="0"/>
    <x v="2"/>
    <x v="2"/>
    <x v="7"/>
    <x v="0"/>
    <n v="9452492.7421682999"/>
    <n v="15797560.997338971"/>
    <n v="802762.62069322425"/>
  </r>
  <r>
    <x v="1"/>
    <x v="7"/>
    <x v="0"/>
    <x v="0"/>
    <x v="1"/>
    <x v="2"/>
    <x v="2"/>
    <x v="7"/>
    <x v="1"/>
    <n v="60212.668391138875"/>
    <n v="101019.97039850875"/>
    <n v="10584.395035225058"/>
  </r>
  <r>
    <x v="1"/>
    <x v="7"/>
    <x v="0"/>
    <x v="0"/>
    <x v="1"/>
    <x v="2"/>
    <x v="2"/>
    <x v="7"/>
    <x v="0"/>
    <n v="21470.384161891168"/>
    <n v="36024.463629717829"/>
    <n v="3707.5478377481522"/>
  </r>
  <r>
    <x v="1"/>
    <x v="7"/>
    <x v="1"/>
    <x v="0"/>
    <x v="1"/>
    <x v="2"/>
    <x v="2"/>
    <x v="7"/>
    <x v="1"/>
    <n v="98858.613477275969"/>
    <n v="165871.28108838596"/>
    <n v="17448.288324551679"/>
  </r>
  <r>
    <x v="1"/>
    <x v="7"/>
    <x v="1"/>
    <x v="0"/>
    <x v="1"/>
    <x v="2"/>
    <x v="2"/>
    <x v="7"/>
    <x v="0"/>
    <n v="44955.356602425047"/>
    <n v="75429.139817608477"/>
    <n v="7762.9787110356465"/>
  </r>
  <r>
    <x v="1"/>
    <x v="7"/>
    <x v="2"/>
    <x v="0"/>
    <x v="1"/>
    <x v="2"/>
    <x v="2"/>
    <x v="7"/>
    <x v="1"/>
    <n v="1121514.7030741456"/>
    <n v="1869588.9004895866"/>
    <n v="206263.94517788946"/>
  </r>
  <r>
    <x v="1"/>
    <x v="7"/>
    <x v="2"/>
    <x v="0"/>
    <x v="1"/>
    <x v="2"/>
    <x v="2"/>
    <x v="7"/>
    <x v="0"/>
    <n v="260559.39412273222"/>
    <n v="435462.16160747322"/>
    <n v="45469.054575433707"/>
  </r>
  <r>
    <x v="1"/>
    <x v="7"/>
    <x v="0"/>
    <x v="0"/>
    <x v="2"/>
    <x v="2"/>
    <x v="2"/>
    <x v="7"/>
    <x v="1"/>
    <n v="17472.454234007193"/>
    <n v="29313.576095366403"/>
    <n v="5138.5259012135984"/>
  </r>
  <r>
    <x v="1"/>
    <x v="7"/>
    <x v="0"/>
    <x v="0"/>
    <x v="2"/>
    <x v="2"/>
    <x v="2"/>
    <x v="7"/>
    <x v="0"/>
    <n v="2165.8560908787545"/>
    <n v="3634.0199311176166"/>
    <n v="623.3404276066359"/>
  </r>
  <r>
    <x v="1"/>
    <x v="7"/>
    <x v="1"/>
    <x v="0"/>
    <x v="2"/>
    <x v="2"/>
    <x v="2"/>
    <x v="7"/>
    <x v="1"/>
    <n v="2591.5654461107392"/>
    <n v="4348.3202311406749"/>
    <n v="763.16366810583145"/>
  </r>
  <r>
    <x v="1"/>
    <x v="7"/>
    <x v="2"/>
    <x v="0"/>
    <x v="2"/>
    <x v="2"/>
    <x v="2"/>
    <x v="7"/>
    <x v="1"/>
    <n v="30574.546132371845"/>
    <n v="50987.121332892508"/>
    <n v="9297.5307050549654"/>
  </r>
  <r>
    <x v="1"/>
    <x v="7"/>
    <x v="2"/>
    <x v="0"/>
    <x v="2"/>
    <x v="2"/>
    <x v="2"/>
    <x v="7"/>
    <x v="0"/>
    <n v="23011.076780167881"/>
    <n v="38457.462911076138"/>
    <n v="6692.6001617895336"/>
  </r>
  <r>
    <x v="1"/>
    <x v="7"/>
    <x v="0"/>
    <x v="0"/>
    <x v="3"/>
    <x v="2"/>
    <x v="2"/>
    <x v="7"/>
    <x v="1"/>
    <n v="14722.826637042996"/>
    <n v="24700.810220379037"/>
    <n v="6041.828470842458"/>
  </r>
  <r>
    <x v="1"/>
    <x v="7"/>
    <x v="0"/>
    <x v="0"/>
    <x v="3"/>
    <x v="2"/>
    <x v="2"/>
    <x v="7"/>
    <x v="0"/>
    <n v="2658.9540856162484"/>
    <n v="4461.3731188093898"/>
    <n v="1071.3578880759155"/>
  </r>
  <r>
    <x v="1"/>
    <x v="7"/>
    <x v="2"/>
    <x v="0"/>
    <x v="3"/>
    <x v="2"/>
    <x v="2"/>
    <x v="7"/>
    <x v="1"/>
    <n v="65846.391482995605"/>
    <n v="109698.01320552676"/>
    <n v="28607.803815195944"/>
  </r>
  <r>
    <x v="1"/>
    <x v="7"/>
    <x v="2"/>
    <x v="0"/>
    <x v="3"/>
    <x v="2"/>
    <x v="2"/>
    <x v="7"/>
    <x v="0"/>
    <n v="8614.4781798693548"/>
    <n v="14397.021845849633"/>
    <n v="3507.6394753512996"/>
  </r>
  <r>
    <x v="1"/>
    <x v="8"/>
    <x v="0"/>
    <x v="0"/>
    <x v="0"/>
    <x v="2"/>
    <x v="2"/>
    <x v="8"/>
    <x v="1"/>
    <n v="4357945.6995427515"/>
    <n v="6864353.7469735472"/>
    <n v="363675.37051417556"/>
  </r>
  <r>
    <x v="1"/>
    <x v="8"/>
    <x v="0"/>
    <x v="0"/>
    <x v="0"/>
    <x v="2"/>
    <x v="2"/>
    <x v="8"/>
    <x v="0"/>
    <n v="1187802.1501297755"/>
    <n v="1867666.4190252521"/>
    <n v="96368.87419927743"/>
  </r>
  <r>
    <x v="1"/>
    <x v="8"/>
    <x v="1"/>
    <x v="0"/>
    <x v="0"/>
    <x v="2"/>
    <x v="2"/>
    <x v="8"/>
    <x v="1"/>
    <n v="230312.85402291021"/>
    <n v="363474.12497352704"/>
    <n v="19200.772212544987"/>
  </r>
  <r>
    <x v="1"/>
    <x v="8"/>
    <x v="1"/>
    <x v="0"/>
    <x v="0"/>
    <x v="2"/>
    <x v="2"/>
    <x v="8"/>
    <x v="0"/>
    <n v="35663.627803247473"/>
    <n v="56102.080619747678"/>
    <n v="2894.7858645891815"/>
  </r>
  <r>
    <x v="1"/>
    <x v="8"/>
    <x v="2"/>
    <x v="0"/>
    <x v="0"/>
    <x v="2"/>
    <x v="2"/>
    <x v="8"/>
    <x v="1"/>
    <n v="15372269.531198496"/>
    <n v="24209990.811164021"/>
    <n v="1192304.8265897701"/>
  </r>
  <r>
    <x v="1"/>
    <x v="8"/>
    <x v="2"/>
    <x v="0"/>
    <x v="0"/>
    <x v="2"/>
    <x v="2"/>
    <x v="8"/>
    <x v="0"/>
    <n v="4120979.0723634479"/>
    <n v="6451431.8894239618"/>
    <n v="310399.41745814419"/>
  </r>
  <r>
    <x v="1"/>
    <x v="8"/>
    <x v="0"/>
    <x v="0"/>
    <x v="1"/>
    <x v="2"/>
    <x v="2"/>
    <x v="8"/>
    <x v="1"/>
    <n v="41611.61164467506"/>
    <n v="65403.589782194271"/>
    <n v="7124.9834714074368"/>
  </r>
  <r>
    <x v="1"/>
    <x v="8"/>
    <x v="0"/>
    <x v="0"/>
    <x v="1"/>
    <x v="2"/>
    <x v="2"/>
    <x v="8"/>
    <x v="0"/>
    <n v="24254.387815204558"/>
    <n v="38136.91163256736"/>
    <n v="4043.4436469956472"/>
  </r>
  <r>
    <x v="1"/>
    <x v="8"/>
    <x v="1"/>
    <x v="0"/>
    <x v="1"/>
    <x v="2"/>
    <x v="2"/>
    <x v="8"/>
    <x v="1"/>
    <n v="14834.244537487715"/>
    <n v="23457.858526804641"/>
    <n v="2569.2779704822806"/>
  </r>
  <r>
    <x v="1"/>
    <x v="8"/>
    <x v="1"/>
    <x v="0"/>
    <x v="1"/>
    <x v="2"/>
    <x v="2"/>
    <x v="8"/>
    <x v="0"/>
    <n v="8076.3121444340659"/>
    <n v="12698.96420045822"/>
    <n v="1346.4002175760666"/>
  </r>
  <r>
    <x v="1"/>
    <x v="8"/>
    <x v="2"/>
    <x v="0"/>
    <x v="1"/>
    <x v="2"/>
    <x v="2"/>
    <x v="8"/>
    <x v="1"/>
    <n v="1947094.470169436"/>
    <n v="3053003.0249919817"/>
    <n v="310644.22433422878"/>
  </r>
  <r>
    <x v="1"/>
    <x v="8"/>
    <x v="2"/>
    <x v="0"/>
    <x v="1"/>
    <x v="2"/>
    <x v="2"/>
    <x v="8"/>
    <x v="0"/>
    <n v="293396.8665584402"/>
    <n v="459315.58203391277"/>
    <n v="45409.253114109517"/>
  </r>
  <r>
    <x v="1"/>
    <x v="8"/>
    <x v="0"/>
    <x v="0"/>
    <x v="2"/>
    <x v="2"/>
    <x v="2"/>
    <x v="8"/>
    <x v="1"/>
    <n v="352.20983823524227"/>
    <n v="553.80411124692625"/>
    <n v="97.867658763806389"/>
  </r>
  <r>
    <x v="1"/>
    <x v="8"/>
    <x v="0"/>
    <x v="0"/>
    <x v="2"/>
    <x v="2"/>
    <x v="2"/>
    <x v="8"/>
    <x v="0"/>
    <n v="40.530559551908127"/>
    <n v="63.729102537094619"/>
    <n v="11.261401083244195"/>
  </r>
  <r>
    <x v="1"/>
    <x v="8"/>
    <x v="1"/>
    <x v="0"/>
    <x v="2"/>
    <x v="2"/>
    <x v="2"/>
    <x v="8"/>
    <x v="1"/>
    <n v="2039.6722927825613"/>
    <n v="3207.0256419218554"/>
    <n v="584.14358507124598"/>
  </r>
  <r>
    <x v="1"/>
    <x v="8"/>
    <x v="2"/>
    <x v="0"/>
    <x v="2"/>
    <x v="2"/>
    <x v="2"/>
    <x v="8"/>
    <x v="1"/>
    <n v="159291.18880926989"/>
    <n v="249704.23879383525"/>
    <n v="42139.32930003864"/>
  </r>
  <r>
    <x v="1"/>
    <x v="8"/>
    <x v="2"/>
    <x v="0"/>
    <x v="2"/>
    <x v="2"/>
    <x v="2"/>
    <x v="8"/>
    <x v="0"/>
    <n v="38156.362801101328"/>
    <n v="59734.148472216642"/>
    <n v="9842.4814863288339"/>
  </r>
  <r>
    <x v="1"/>
    <x v="8"/>
    <x v="0"/>
    <x v="0"/>
    <x v="3"/>
    <x v="2"/>
    <x v="2"/>
    <x v="8"/>
    <x v="1"/>
    <n v="5331.7986856817924"/>
    <n v="8379.8590431685261"/>
    <n v="2140.8882069429901"/>
  </r>
  <r>
    <x v="1"/>
    <x v="8"/>
    <x v="0"/>
    <x v="0"/>
    <x v="3"/>
    <x v="2"/>
    <x v="2"/>
    <x v="8"/>
    <x v="0"/>
    <n v="801.90098326366478"/>
    <n v="1260.8863670277444"/>
    <n v="311.93105108801342"/>
  </r>
  <r>
    <x v="1"/>
    <x v="8"/>
    <x v="2"/>
    <x v="0"/>
    <x v="3"/>
    <x v="2"/>
    <x v="2"/>
    <x v="8"/>
    <x v="1"/>
    <n v="29142.501730934935"/>
    <n v="45690.083636344825"/>
    <n v="10818.145567129946"/>
  </r>
  <r>
    <x v="1"/>
    <x v="8"/>
    <x v="2"/>
    <x v="0"/>
    <x v="3"/>
    <x v="2"/>
    <x v="2"/>
    <x v="8"/>
    <x v="0"/>
    <n v="7422.0063689226263"/>
    <n v="11619.221483819334"/>
    <n v="2680.3221502443084"/>
  </r>
  <r>
    <x v="1"/>
    <x v="9"/>
    <x v="0"/>
    <x v="0"/>
    <x v="0"/>
    <x v="2"/>
    <x v="2"/>
    <x v="9"/>
    <x v="1"/>
    <n v="1674.6808613597871"/>
    <n v="2098.409345433482"/>
    <n v="129.25901639344261"/>
  </r>
  <r>
    <x v="1"/>
    <x v="9"/>
    <x v="0"/>
    <x v="0"/>
    <x v="0"/>
    <x v="2"/>
    <x v="2"/>
    <x v="9"/>
    <x v="0"/>
    <n v="1000.664982539821"/>
    <n v="1253.92272087477"/>
    <n v="58.081608499250599"/>
  </r>
  <r>
    <x v="1"/>
    <x v="9"/>
    <x v="1"/>
    <x v="0"/>
    <x v="0"/>
    <x v="2"/>
    <x v="2"/>
    <x v="9"/>
    <x v="1"/>
    <n v="369.50670267822102"/>
    <n v="463.02494649881629"/>
    <n v="21.447281575031401"/>
  </r>
  <r>
    <x v="1"/>
    <x v="9"/>
    <x v="1"/>
    <x v="0"/>
    <x v="0"/>
    <x v="2"/>
    <x v="2"/>
    <x v="9"/>
    <x v="0"/>
    <n v="148.62380707723989"/>
    <n v="186.23892292507941"/>
    <n v="8.6265732557348507"/>
  </r>
  <r>
    <x v="1"/>
    <x v="9"/>
    <x v="2"/>
    <x v="0"/>
    <x v="0"/>
    <x v="2"/>
    <x v="2"/>
    <x v="9"/>
    <x v="1"/>
    <n v="41810.192868965292"/>
    <n v="52393.950663366173"/>
    <n v="1525.9590348298154"/>
  </r>
  <r>
    <x v="1"/>
    <x v="9"/>
    <x v="2"/>
    <x v="0"/>
    <x v="0"/>
    <x v="2"/>
    <x v="2"/>
    <x v="9"/>
    <x v="0"/>
    <n v="14231.327813391566"/>
    <n v="17833.92648624946"/>
    <n v="597.84969334671121"/>
  </r>
  <r>
    <x v="1"/>
    <x v="9"/>
    <x v="1"/>
    <x v="0"/>
    <x v="1"/>
    <x v="2"/>
    <x v="2"/>
    <x v="9"/>
    <x v="1"/>
    <n v="323.52364634493119"/>
    <n v="405.4040642678525"/>
    <n v="38.585520276540521"/>
  </r>
  <r>
    <x v="1"/>
    <x v="9"/>
    <x v="2"/>
    <x v="0"/>
    <x v="1"/>
    <x v="2"/>
    <x v="2"/>
    <x v="9"/>
    <x v="1"/>
    <n v="26181.261976794049"/>
    <n v="32809.139219070261"/>
    <n v="2320.4308064673592"/>
  </r>
  <r>
    <x v="1"/>
    <x v="9"/>
    <x v="2"/>
    <x v="0"/>
    <x v="1"/>
    <x v="2"/>
    <x v="2"/>
    <x v="9"/>
    <x v="0"/>
    <n v="538.3099262010137"/>
    <n v="674.58074022113067"/>
    <n v="46.467293248332325"/>
  </r>
  <r>
    <x v="1"/>
    <x v="9"/>
    <x v="2"/>
    <x v="0"/>
    <x v="2"/>
    <x v="2"/>
    <x v="2"/>
    <x v="9"/>
    <x v="1"/>
    <n v="390.84588952255928"/>
    <n v="489.79582865522872"/>
    <n v="62.354846602935581"/>
  </r>
  <r>
    <x v="1"/>
    <x v="9"/>
    <x v="2"/>
    <x v="0"/>
    <x v="3"/>
    <x v="2"/>
    <x v="2"/>
    <x v="9"/>
    <x v="0"/>
    <n v="89.061525125497141"/>
    <n v="111.60706243775654"/>
    <n v="17.938325504846684"/>
  </r>
  <r>
    <x v="1"/>
    <x v="10"/>
    <x v="1"/>
    <x v="0"/>
    <x v="0"/>
    <x v="2"/>
    <x v="2"/>
    <x v="10"/>
    <x v="1"/>
    <n v="6861.5160056128652"/>
    <n v="7556.929835854522"/>
    <n v="383.06386645692317"/>
  </r>
  <r>
    <x v="1"/>
    <x v="10"/>
    <x v="1"/>
    <x v="0"/>
    <x v="0"/>
    <x v="2"/>
    <x v="2"/>
    <x v="10"/>
    <x v="0"/>
    <n v="3550.5039303761923"/>
    <n v="3910"/>
    <n v="151.42057281538288"/>
  </r>
  <r>
    <x v="1"/>
    <x v="10"/>
    <x v="2"/>
    <x v="0"/>
    <x v="0"/>
    <x v="2"/>
    <x v="2"/>
    <x v="10"/>
    <x v="1"/>
    <n v="41512.629605403199"/>
    <n v="45718.380494266763"/>
    <n v="1914.9240460379942"/>
  </r>
  <r>
    <x v="1"/>
    <x v="10"/>
    <x v="2"/>
    <x v="0"/>
    <x v="0"/>
    <x v="2"/>
    <x v="2"/>
    <x v="10"/>
    <x v="0"/>
    <n v="4036.3186292456007"/>
    <n v="4445.207482565047"/>
    <n v="208.78421875023977"/>
  </r>
  <r>
    <x v="1"/>
    <x v="10"/>
    <x v="1"/>
    <x v="0"/>
    <x v="1"/>
    <x v="2"/>
    <x v="2"/>
    <x v="10"/>
    <x v="1"/>
    <n v="2152.9800640109406"/>
    <n v="2371.070164145478"/>
    <n v="210.51556072769401"/>
  </r>
  <r>
    <x v="1"/>
    <x v="10"/>
    <x v="2"/>
    <x v="0"/>
    <x v="1"/>
    <x v="2"/>
    <x v="2"/>
    <x v="10"/>
    <x v="1"/>
    <n v="83729.556503618631"/>
    <n v="92212.459535927483"/>
    <n v="8391.2099029498386"/>
  </r>
  <r>
    <x v="1"/>
    <x v="10"/>
    <x v="2"/>
    <x v="0"/>
    <x v="1"/>
    <x v="2"/>
    <x v="2"/>
    <x v="10"/>
    <x v="0"/>
    <n v="3566.2205213267271"/>
    <n v="3927.4872977115533"/>
    <n v="379.04329626863267"/>
  </r>
  <r>
    <x v="1"/>
    <x v="10"/>
    <x v="2"/>
    <x v="0"/>
    <x v="2"/>
    <x v="2"/>
    <x v="2"/>
    <x v="10"/>
    <x v="1"/>
    <n v="34.449393376664844"/>
    <n v="37.939481609217069"/>
    <n v="5.8713531357690378"/>
  </r>
  <r>
    <x v="1"/>
    <x v="10"/>
    <x v="2"/>
    <x v="0"/>
    <x v="3"/>
    <x v="2"/>
    <x v="2"/>
    <x v="10"/>
    <x v="1"/>
    <n v="12.870586648938586"/>
    <n v="14.174670928602829"/>
    <n v="2.8896465994225693"/>
  </r>
  <r>
    <x v="1"/>
    <x v="10"/>
    <x v="2"/>
    <x v="0"/>
    <x v="3"/>
    <x v="2"/>
    <x v="2"/>
    <x v="10"/>
    <x v="0"/>
    <n v="230.95476038019845"/>
    <n v="254.3510369913383"/>
    <n v="57.277536258107702"/>
  </r>
  <r>
    <x v="1"/>
    <x v="11"/>
    <x v="0"/>
    <x v="0"/>
    <x v="0"/>
    <x v="2"/>
    <x v="2"/>
    <x v="11"/>
    <x v="1"/>
    <n v="2953.590767164902"/>
    <n v="2862.1630988786951"/>
    <n v="138.33289780721881"/>
  </r>
  <r>
    <x v="1"/>
    <x v="11"/>
    <x v="0"/>
    <x v="0"/>
    <x v="0"/>
    <x v="2"/>
    <x v="2"/>
    <x v="11"/>
    <x v="0"/>
    <n v="202.25873362445421"/>
    <n v="196"/>
    <n v="4.7438608630469723"/>
  </r>
  <r>
    <x v="1"/>
    <x v="11"/>
    <x v="1"/>
    <x v="0"/>
    <x v="0"/>
    <x v="2"/>
    <x v="2"/>
    <x v="11"/>
    <x v="1"/>
    <n v="5446.1985453789393"/>
    <n v="5277.5158002038734"/>
    <n v="138.76360814342965"/>
  </r>
  <r>
    <x v="1"/>
    <x v="11"/>
    <x v="1"/>
    <x v="0"/>
    <x v="0"/>
    <x v="2"/>
    <x v="2"/>
    <x v="11"/>
    <x v="0"/>
    <n v="2020.5234716157211"/>
    <n v="1958"/>
    <n v="47.39020188696923"/>
  </r>
  <r>
    <x v="1"/>
    <x v="11"/>
    <x v="2"/>
    <x v="0"/>
    <x v="0"/>
    <x v="2"/>
    <x v="2"/>
    <x v="11"/>
    <x v="1"/>
    <n v="137304.35687493178"/>
    <n v="133046.94147718453"/>
    <n v="5770.7478610692115"/>
  </r>
  <r>
    <x v="1"/>
    <x v="11"/>
    <x v="2"/>
    <x v="0"/>
    <x v="0"/>
    <x v="2"/>
    <x v="2"/>
    <x v="11"/>
    <x v="0"/>
    <n v="22489.855554113663"/>
    <n v="21792.627192451651"/>
    <n v="1026.4101989850324"/>
  </r>
  <r>
    <x v="1"/>
    <x v="11"/>
    <x v="1"/>
    <x v="0"/>
    <x v="1"/>
    <x v="2"/>
    <x v="2"/>
    <x v="11"/>
    <x v="1"/>
    <n v="3180.4284822159816"/>
    <n v="3081.3211009174311"/>
    <n v="283.76943129933528"/>
  </r>
  <r>
    <x v="1"/>
    <x v="11"/>
    <x v="2"/>
    <x v="0"/>
    <x v="1"/>
    <x v="2"/>
    <x v="2"/>
    <x v="11"/>
    <x v="1"/>
    <n v="124904.50510062298"/>
    <n v="121031.71466590874"/>
    <n v="10981.373805533329"/>
  </r>
  <r>
    <x v="1"/>
    <x v="11"/>
    <x v="2"/>
    <x v="0"/>
    <x v="1"/>
    <x v="2"/>
    <x v="2"/>
    <x v="11"/>
    <x v="0"/>
    <n v="9564.7164107655044"/>
    <n v="9268.1919828164828"/>
    <n v="896.96353888668989"/>
  </r>
  <r>
    <x v="1"/>
    <x v="11"/>
    <x v="2"/>
    <x v="0"/>
    <x v="2"/>
    <x v="2"/>
    <x v="2"/>
    <x v="11"/>
    <x v="1"/>
    <n v="5920.5634378476379"/>
    <n v="5736.9700827726338"/>
    <n v="820.70035201286851"/>
  </r>
  <r>
    <x v="1"/>
    <x v="11"/>
    <x v="2"/>
    <x v="0"/>
    <x v="3"/>
    <x v="2"/>
    <x v="2"/>
    <x v="11"/>
    <x v="1"/>
    <n v="3129.4025120387587"/>
    <n v="3032.3674251709845"/>
    <n v="625.59891053706042"/>
  </r>
  <r>
    <x v="1"/>
    <x v="11"/>
    <x v="2"/>
    <x v="0"/>
    <x v="3"/>
    <x v="2"/>
    <x v="2"/>
    <x v="11"/>
    <x v="0"/>
    <n v="174.60010967954605"/>
    <n v="169.18717369492128"/>
    <n v="38.205332975800168"/>
  </r>
  <r>
    <x v="1"/>
    <x v="12"/>
    <x v="2"/>
    <x v="1"/>
    <x v="1"/>
    <x v="1"/>
    <x v="1"/>
    <x v="12"/>
    <x v="1"/>
    <n v="1642.9709889001008"/>
    <n v="3015.277548777136"/>
    <n v="376.65934065934067"/>
  </r>
  <r>
    <x v="1"/>
    <x v="12"/>
    <x v="2"/>
    <x v="1"/>
    <x v="1"/>
    <x v="1"/>
    <x v="1"/>
    <x v="12"/>
    <x v="0"/>
    <n v="324.02901109989904"/>
    <n v="594.72245122286336"/>
    <n v="74.340659340659343"/>
  </r>
  <r>
    <x v="1"/>
    <x v="13"/>
    <x v="2"/>
    <x v="1"/>
    <x v="1"/>
    <x v="1"/>
    <x v="1"/>
    <x v="13"/>
    <x v="1"/>
    <n v="903.69281745942499"/>
    <n v="1523.5844427209463"/>
    <n v="130.24708721109272"/>
  </r>
  <r>
    <x v="1"/>
    <x v="13"/>
    <x v="2"/>
    <x v="1"/>
    <x v="1"/>
    <x v="1"/>
    <x v="1"/>
    <x v="13"/>
    <x v="0"/>
    <n v="350.30718254057501"/>
    <n v="590.41555727905381"/>
    <n v="49.752912788907281"/>
  </r>
  <r>
    <x v="1"/>
    <x v="14"/>
    <x v="2"/>
    <x v="1"/>
    <x v="1"/>
    <x v="1"/>
    <x v="1"/>
    <x v="14"/>
    <x v="1"/>
    <n v="55634.77020306843"/>
    <n v="89446.268423661721"/>
    <n v="7614.4867378813087"/>
  </r>
  <r>
    <x v="1"/>
    <x v="14"/>
    <x v="2"/>
    <x v="1"/>
    <x v="1"/>
    <x v="1"/>
    <x v="1"/>
    <x v="14"/>
    <x v="0"/>
    <n v="15628.22979693157"/>
    <n v="25125.731576338294"/>
    <n v="2117.5132621186904"/>
  </r>
  <r>
    <x v="1"/>
    <x v="15"/>
    <x v="0"/>
    <x v="0"/>
    <x v="0"/>
    <x v="2"/>
    <x v="2"/>
    <x v="15"/>
    <x v="1"/>
    <n v="274343477.88697767"/>
    <n v="508437591.11361527"/>
    <n v="31022022.282202806"/>
  </r>
  <r>
    <x v="1"/>
    <x v="15"/>
    <x v="0"/>
    <x v="0"/>
    <x v="0"/>
    <x v="2"/>
    <x v="2"/>
    <x v="15"/>
    <x v="0"/>
    <n v="77394860.60630092"/>
    <n v="143287557.94882637"/>
    <n v="8763146.7410356775"/>
  </r>
  <r>
    <x v="1"/>
    <x v="15"/>
    <x v="1"/>
    <x v="0"/>
    <x v="0"/>
    <x v="2"/>
    <x v="2"/>
    <x v="15"/>
    <x v="1"/>
    <n v="8718340.4654034488"/>
    <n v="16219763.890030308"/>
    <n v="989594.56360396813"/>
  </r>
  <r>
    <x v="1"/>
    <x v="15"/>
    <x v="1"/>
    <x v="0"/>
    <x v="0"/>
    <x v="2"/>
    <x v="2"/>
    <x v="15"/>
    <x v="0"/>
    <n v="2647720.6322810096"/>
    <n v="4909463.5109304367"/>
    <n v="300251.8137786155"/>
  </r>
  <r>
    <x v="1"/>
    <x v="15"/>
    <x v="2"/>
    <x v="0"/>
    <x v="0"/>
    <x v="2"/>
    <x v="2"/>
    <x v="15"/>
    <x v="1"/>
    <n v="2048865367.399399"/>
    <n v="3773005588.3567767"/>
    <n v="219157083.6534442"/>
  </r>
  <r>
    <x v="1"/>
    <x v="15"/>
    <x v="2"/>
    <x v="0"/>
    <x v="0"/>
    <x v="2"/>
    <x v="2"/>
    <x v="15"/>
    <x v="0"/>
    <n v="618100203.62319767"/>
    <n v="1120699045.3355615"/>
    <n v="64001885.963800333"/>
  </r>
  <r>
    <x v="1"/>
    <x v="15"/>
    <x v="0"/>
    <x v="0"/>
    <x v="1"/>
    <x v="2"/>
    <x v="2"/>
    <x v="15"/>
    <x v="1"/>
    <n v="701209.77195163106"/>
    <n v="1296178.0336867226"/>
    <n v="162486.40618210725"/>
  </r>
  <r>
    <x v="1"/>
    <x v="15"/>
    <x v="0"/>
    <x v="0"/>
    <x v="1"/>
    <x v="2"/>
    <x v="2"/>
    <x v="15"/>
    <x v="0"/>
    <n v="210058.49414385864"/>
    <n v="388345.75000999973"/>
    <n v="48802.105412981786"/>
  </r>
  <r>
    <x v="1"/>
    <x v="15"/>
    <x v="1"/>
    <x v="0"/>
    <x v="1"/>
    <x v="2"/>
    <x v="2"/>
    <x v="15"/>
    <x v="1"/>
    <n v="128472.73763217589"/>
    <n v="238048.05875134113"/>
    <n v="29846.581408941747"/>
  </r>
  <r>
    <x v="1"/>
    <x v="15"/>
    <x v="1"/>
    <x v="0"/>
    <x v="1"/>
    <x v="2"/>
    <x v="2"/>
    <x v="15"/>
    <x v="0"/>
    <n v="47530.204409100144"/>
    <n v="88011.296163365798"/>
    <n v="11060.083837114571"/>
  </r>
  <r>
    <x v="1"/>
    <x v="15"/>
    <x v="2"/>
    <x v="0"/>
    <x v="1"/>
    <x v="2"/>
    <x v="2"/>
    <x v="15"/>
    <x v="1"/>
    <n v="50700788.755291998"/>
    <n v="93162734.793541491"/>
    <n v="11128038.48704817"/>
  </r>
  <r>
    <x v="1"/>
    <x v="15"/>
    <x v="2"/>
    <x v="0"/>
    <x v="1"/>
    <x v="2"/>
    <x v="2"/>
    <x v="15"/>
    <x v="0"/>
    <n v="7937368.6145903813"/>
    <n v="14383492.755999016"/>
    <n v="1687860.4137755446"/>
  </r>
  <r>
    <x v="1"/>
    <x v="15"/>
    <x v="0"/>
    <x v="0"/>
    <x v="2"/>
    <x v="2"/>
    <x v="2"/>
    <x v="15"/>
    <x v="1"/>
    <n v="5485.5887594724727"/>
    <n v="10158.57564512231"/>
    <n v="2120.1966953604797"/>
  </r>
  <r>
    <x v="1"/>
    <x v="15"/>
    <x v="0"/>
    <x v="0"/>
    <x v="2"/>
    <x v="2"/>
    <x v="2"/>
    <x v="15"/>
    <x v="0"/>
    <n v="88.019696553793693"/>
    <n v="161.50156006211895"/>
    <n v="33.825597242961969"/>
  </r>
  <r>
    <x v="1"/>
    <x v="15"/>
    <x v="1"/>
    <x v="0"/>
    <x v="2"/>
    <x v="2"/>
    <x v="2"/>
    <x v="15"/>
    <x v="1"/>
    <n v="6068.8965406343086"/>
    <n v="11238.682714259356"/>
    <n v="2348.930754824054"/>
  </r>
  <r>
    <x v="1"/>
    <x v="15"/>
    <x v="1"/>
    <x v="0"/>
    <x v="2"/>
    <x v="2"/>
    <x v="2"/>
    <x v="15"/>
    <x v="0"/>
    <n v="261.31223026823028"/>
    <n v="483.91108438718834"/>
    <n v="101.35246641326607"/>
  </r>
  <r>
    <x v="1"/>
    <x v="15"/>
    <x v="2"/>
    <x v="0"/>
    <x v="2"/>
    <x v="2"/>
    <x v="2"/>
    <x v="15"/>
    <x v="1"/>
    <n v="1921388.2517693858"/>
    <n v="3473581.8667306793"/>
    <n v="690597.5632308108"/>
  </r>
  <r>
    <x v="1"/>
    <x v="15"/>
    <x v="2"/>
    <x v="0"/>
    <x v="2"/>
    <x v="2"/>
    <x v="2"/>
    <x v="15"/>
    <x v="0"/>
    <n v="1081959.1279561101"/>
    <n v="1961626.1733056889"/>
    <n v="383651.73428497912"/>
  </r>
  <r>
    <x v="1"/>
    <x v="15"/>
    <x v="0"/>
    <x v="0"/>
    <x v="3"/>
    <x v="2"/>
    <x v="2"/>
    <x v="15"/>
    <x v="1"/>
    <n v="598957.96853082418"/>
    <n v="1109030.7633645833"/>
    <n v="324358.84472811589"/>
  </r>
  <r>
    <x v="1"/>
    <x v="15"/>
    <x v="0"/>
    <x v="0"/>
    <x v="3"/>
    <x v="2"/>
    <x v="2"/>
    <x v="15"/>
    <x v="0"/>
    <n v="147004.61636717519"/>
    <n v="272220.48219369352"/>
    <n v="79821.07754128096"/>
  </r>
  <r>
    <x v="1"/>
    <x v="15"/>
    <x v="1"/>
    <x v="0"/>
    <x v="3"/>
    <x v="2"/>
    <x v="2"/>
    <x v="15"/>
    <x v="1"/>
    <n v="237.79877572288447"/>
    <n v="438.48142439253036"/>
    <n v="128.19475465946891"/>
  </r>
  <r>
    <x v="1"/>
    <x v="15"/>
    <x v="2"/>
    <x v="0"/>
    <x v="3"/>
    <x v="2"/>
    <x v="2"/>
    <x v="15"/>
    <x v="1"/>
    <n v="1762268.6156364835"/>
    <n v="3175244.2469241312"/>
    <n v="887692.3009711568"/>
  </r>
  <r>
    <x v="1"/>
    <x v="15"/>
    <x v="2"/>
    <x v="0"/>
    <x v="3"/>
    <x v="2"/>
    <x v="2"/>
    <x v="15"/>
    <x v="0"/>
    <n v="215866.61218143886"/>
    <n v="391373.47114554676"/>
    <n v="107161.88344241245"/>
  </r>
  <r>
    <x v="1"/>
    <x v="16"/>
    <x v="0"/>
    <x v="0"/>
    <x v="0"/>
    <x v="3"/>
    <x v="3"/>
    <x v="16"/>
    <x v="1"/>
    <n v="0"/>
    <n v="0"/>
    <n v="0"/>
  </r>
  <r>
    <x v="1"/>
    <x v="16"/>
    <x v="0"/>
    <x v="0"/>
    <x v="0"/>
    <x v="3"/>
    <x v="3"/>
    <x v="16"/>
    <x v="0"/>
    <n v="0"/>
    <n v="0"/>
    <n v="0"/>
  </r>
  <r>
    <x v="1"/>
    <x v="16"/>
    <x v="1"/>
    <x v="0"/>
    <x v="0"/>
    <x v="3"/>
    <x v="3"/>
    <x v="16"/>
    <x v="1"/>
    <n v="0"/>
    <n v="0"/>
    <n v="0"/>
  </r>
  <r>
    <x v="1"/>
    <x v="16"/>
    <x v="1"/>
    <x v="0"/>
    <x v="0"/>
    <x v="3"/>
    <x v="3"/>
    <x v="16"/>
    <x v="0"/>
    <n v="0"/>
    <n v="0"/>
    <n v="0"/>
  </r>
  <r>
    <x v="1"/>
    <x v="16"/>
    <x v="2"/>
    <x v="0"/>
    <x v="0"/>
    <x v="3"/>
    <x v="3"/>
    <x v="16"/>
    <x v="1"/>
    <n v="6422294.9779209718"/>
    <n v="11468868.743102409"/>
    <n v="86019.211459793572"/>
  </r>
  <r>
    <x v="1"/>
    <x v="16"/>
    <x v="2"/>
    <x v="0"/>
    <x v="0"/>
    <x v="3"/>
    <x v="3"/>
    <x v="16"/>
    <x v="0"/>
    <n v="1534217.0220790606"/>
    <n v="2739124.2568975808"/>
    <n v="20543.788540205831"/>
  </r>
  <r>
    <x v="1"/>
    <x v="17"/>
    <x v="0"/>
    <x v="0"/>
    <x v="0"/>
    <x v="4"/>
    <x v="4"/>
    <x v="17"/>
    <x v="1"/>
    <n v="113227.26257855284"/>
    <n v="260292.65077632575"/>
    <n v="2004.9384175682694"/>
  </r>
  <r>
    <x v="1"/>
    <x v="17"/>
    <x v="0"/>
    <x v="0"/>
    <x v="0"/>
    <x v="4"/>
    <x v="4"/>
    <x v="17"/>
    <x v="0"/>
    <n v="22607.094551776212"/>
    <n v="51970.044951947551"/>
    <n v="400.17719465847841"/>
  </r>
  <r>
    <x v="1"/>
    <x v="17"/>
    <x v="1"/>
    <x v="0"/>
    <x v="0"/>
    <x v="4"/>
    <x v="4"/>
    <x v="17"/>
    <x v="1"/>
    <n v="7710.0055042758386"/>
    <n v="17724.141749754621"/>
    <n v="136.52108975928209"/>
  </r>
  <r>
    <x v="1"/>
    <x v="17"/>
    <x v="1"/>
    <x v="0"/>
    <x v="0"/>
    <x v="4"/>
    <x v="4"/>
    <x v="17"/>
    <x v="0"/>
    <n v="3014.6373653950759"/>
    <n v="6930.1625219722682"/>
    <n v="53.363298013969867"/>
  </r>
  <r>
    <x v="1"/>
    <x v="17"/>
    <x v="2"/>
    <x v="0"/>
    <x v="0"/>
    <x v="4"/>
    <x v="4"/>
    <x v="17"/>
    <x v="1"/>
    <n v="7142798.0292423088"/>
    <n v="16422105.496661382"/>
    <n v="126449.57823991471"/>
  </r>
  <r>
    <x v="1"/>
    <x v="17"/>
    <x v="2"/>
    <x v="0"/>
    <x v="0"/>
    <x v="4"/>
    <x v="4"/>
    <x v="17"/>
    <x v="0"/>
    <n v="1444753.9707577215"/>
    <n v="3319389.5033386662"/>
    <n v="25559.421760085239"/>
  </r>
  <r>
    <x v="1"/>
    <x v="18"/>
    <x v="0"/>
    <x v="0"/>
    <x v="0"/>
    <x v="4"/>
    <x v="4"/>
    <x v="18"/>
    <x v="1"/>
    <n v="298430.49781789107"/>
    <n v="787197.13575053366"/>
    <n v="6454.9193016841818"/>
  </r>
  <r>
    <x v="1"/>
    <x v="18"/>
    <x v="0"/>
    <x v="0"/>
    <x v="0"/>
    <x v="4"/>
    <x v="4"/>
    <x v="18"/>
    <x v="0"/>
    <n v="87903.452333331501"/>
    <n v="231858.97565729791"/>
    <n v="1901.0185000782196"/>
  </r>
  <r>
    <x v="1"/>
    <x v="18"/>
    <x v="1"/>
    <x v="0"/>
    <x v="0"/>
    <x v="4"/>
    <x v="4"/>
    <x v="18"/>
    <x v="1"/>
    <n v="197516.83668555995"/>
    <n v="523734.75738629367"/>
    <n v="4294.5580125371998"/>
  </r>
  <r>
    <x v="1"/>
    <x v="18"/>
    <x v="1"/>
    <x v="0"/>
    <x v="0"/>
    <x v="4"/>
    <x v="4"/>
    <x v="18"/>
    <x v="0"/>
    <n v="50452.213163216984"/>
    <n v="132760.13120587484"/>
    <n v="1088.5041857004171"/>
  </r>
  <r>
    <x v="1"/>
    <x v="18"/>
    <x v="2"/>
    <x v="0"/>
    <x v="0"/>
    <x v="4"/>
    <x v="4"/>
    <x v="18"/>
    <x v="1"/>
    <n v="97696909.140345201"/>
    <n v="254803577.0769102"/>
    <n v="2089389.2463431547"/>
  </r>
  <r>
    <x v="1"/>
    <x v="18"/>
    <x v="2"/>
    <x v="0"/>
    <x v="0"/>
    <x v="4"/>
    <x v="4"/>
    <x v="18"/>
    <x v="0"/>
    <n v="19318432.85965484"/>
    <n v="49923836.923088424"/>
    <n v="409375.75365685479"/>
  </r>
  <r>
    <x v="1"/>
    <x v="19"/>
    <x v="0"/>
    <x v="0"/>
    <x v="0"/>
    <x v="2"/>
    <x v="2"/>
    <x v="19"/>
    <x v="1"/>
    <n v="20544733.233896792"/>
    <n v="33283344.998669162"/>
    <n v="1725052.2171787848"/>
  </r>
  <r>
    <x v="1"/>
    <x v="19"/>
    <x v="0"/>
    <x v="0"/>
    <x v="0"/>
    <x v="2"/>
    <x v="2"/>
    <x v="19"/>
    <x v="0"/>
    <n v="5145271.5680172099"/>
    <n v="8330293.5915157478"/>
    <n v="433964.59972133697"/>
  </r>
  <r>
    <x v="1"/>
    <x v="19"/>
    <x v="1"/>
    <x v="0"/>
    <x v="0"/>
    <x v="2"/>
    <x v="2"/>
    <x v="19"/>
    <x v="1"/>
    <n v="5740285.3470696192"/>
    <n v="9340720.1754922997"/>
    <n v="484020.79191448848"/>
  </r>
  <r>
    <x v="1"/>
    <x v="19"/>
    <x v="1"/>
    <x v="0"/>
    <x v="0"/>
    <x v="2"/>
    <x v="2"/>
    <x v="19"/>
    <x v="0"/>
    <n v="1355206.0429968869"/>
    <n v="2196311.3767303121"/>
    <n v="114416.30201808561"/>
  </r>
  <r>
    <x v="1"/>
    <x v="19"/>
    <x v="2"/>
    <x v="0"/>
    <x v="0"/>
    <x v="2"/>
    <x v="2"/>
    <x v="19"/>
    <x v="1"/>
    <n v="126946590.97548001"/>
    <n v="204360103.40207922"/>
    <n v="8765239.7426374294"/>
  </r>
  <r>
    <x v="1"/>
    <x v="19"/>
    <x v="2"/>
    <x v="0"/>
    <x v="0"/>
    <x v="2"/>
    <x v="2"/>
    <x v="19"/>
    <x v="0"/>
    <n v="30845632.303167485"/>
    <n v="49347883.983967103"/>
    <n v="2102108.6379722818"/>
  </r>
  <r>
    <x v="1"/>
    <x v="19"/>
    <x v="0"/>
    <x v="0"/>
    <x v="1"/>
    <x v="2"/>
    <x v="2"/>
    <x v="19"/>
    <x v="1"/>
    <n v="264131.82358773419"/>
    <n v="427247.436445884"/>
    <n v="45453.375752577915"/>
  </r>
  <r>
    <x v="1"/>
    <x v="19"/>
    <x v="0"/>
    <x v="0"/>
    <x v="1"/>
    <x v="2"/>
    <x v="2"/>
    <x v="19"/>
    <x v="0"/>
    <n v="69319.923371367957"/>
    <n v="112175.07480069951"/>
    <n v="12007.670516906684"/>
  </r>
  <r>
    <x v="1"/>
    <x v="19"/>
    <x v="1"/>
    <x v="0"/>
    <x v="1"/>
    <x v="2"/>
    <x v="2"/>
    <x v="19"/>
    <x v="1"/>
    <n v="1458684.6326462789"/>
    <n v="2378251.8225505571"/>
    <n v="253246.60916745415"/>
  </r>
  <r>
    <x v="1"/>
    <x v="19"/>
    <x v="1"/>
    <x v="0"/>
    <x v="1"/>
    <x v="2"/>
    <x v="2"/>
    <x v="19"/>
    <x v="0"/>
    <n v="281727.97018960939"/>
    <n v="456183.87946316099"/>
    <n v="48831.754553764309"/>
  </r>
  <r>
    <x v="1"/>
    <x v="19"/>
    <x v="2"/>
    <x v="0"/>
    <x v="1"/>
    <x v="2"/>
    <x v="2"/>
    <x v="19"/>
    <x v="1"/>
    <n v="9639550.8882331997"/>
    <n v="15508028.407892825"/>
    <n v="1367724.5704121892"/>
  </r>
  <r>
    <x v="1"/>
    <x v="19"/>
    <x v="2"/>
    <x v="0"/>
    <x v="1"/>
    <x v="2"/>
    <x v="2"/>
    <x v="19"/>
    <x v="0"/>
    <n v="2076468.3706172477"/>
    <n v="3322083.4953971254"/>
    <n v="290780.69101414998"/>
  </r>
  <r>
    <x v="1"/>
    <x v="19"/>
    <x v="0"/>
    <x v="0"/>
    <x v="2"/>
    <x v="2"/>
    <x v="2"/>
    <x v="19"/>
    <x v="1"/>
    <n v="30142.094105834003"/>
    <n v="48508.306131004028"/>
    <n v="8589.9776947248611"/>
  </r>
  <r>
    <x v="1"/>
    <x v="19"/>
    <x v="0"/>
    <x v="0"/>
    <x v="2"/>
    <x v="2"/>
    <x v="2"/>
    <x v="19"/>
    <x v="0"/>
    <n v="10206.729660903799"/>
    <n v="16418.415079686321"/>
    <n v="2929.1551478340893"/>
  </r>
  <r>
    <x v="1"/>
    <x v="19"/>
    <x v="1"/>
    <x v="0"/>
    <x v="2"/>
    <x v="2"/>
    <x v="2"/>
    <x v="19"/>
    <x v="1"/>
    <n v="47609.419021851558"/>
    <n v="77135.734624156656"/>
    <n v="13693.486104896147"/>
  </r>
  <r>
    <x v="1"/>
    <x v="19"/>
    <x v="1"/>
    <x v="0"/>
    <x v="2"/>
    <x v="2"/>
    <x v="2"/>
    <x v="19"/>
    <x v="0"/>
    <n v="1257.197228763039"/>
    <n v="2037.6320533145633"/>
    <n v="363.52719732020097"/>
  </r>
  <r>
    <x v="1"/>
    <x v="19"/>
    <x v="2"/>
    <x v="0"/>
    <x v="2"/>
    <x v="2"/>
    <x v="2"/>
    <x v="19"/>
    <x v="1"/>
    <n v="1637473.3412062321"/>
    <n v="2622933.5220654896"/>
    <n v="385622.43382648972"/>
  </r>
  <r>
    <x v="1"/>
    <x v="19"/>
    <x v="2"/>
    <x v="0"/>
    <x v="2"/>
    <x v="2"/>
    <x v="2"/>
    <x v="19"/>
    <x v="0"/>
    <n v="226470.00800896512"/>
    <n v="362427.46369081753"/>
    <n v="52871.894239734043"/>
  </r>
  <r>
    <x v="1"/>
    <x v="19"/>
    <x v="0"/>
    <x v="0"/>
    <x v="3"/>
    <x v="2"/>
    <x v="2"/>
    <x v="19"/>
    <x v="1"/>
    <n v="220219.25770953868"/>
    <n v="356842.41315360554"/>
    <n v="88631.580142914827"/>
  </r>
  <r>
    <x v="1"/>
    <x v="19"/>
    <x v="0"/>
    <x v="0"/>
    <x v="3"/>
    <x v="2"/>
    <x v="2"/>
    <x v="19"/>
    <x v="0"/>
    <n v="65278.677905229611"/>
    <n v="105780.01409615559"/>
    <n v="26420.607583219306"/>
  </r>
  <r>
    <x v="1"/>
    <x v="19"/>
    <x v="1"/>
    <x v="0"/>
    <x v="3"/>
    <x v="2"/>
    <x v="2"/>
    <x v="19"/>
    <x v="1"/>
    <n v="3370.9678014023739"/>
    <n v="5419.6861519202312"/>
    <n v="1353.4871842281152"/>
  </r>
  <r>
    <x v="1"/>
    <x v="19"/>
    <x v="1"/>
    <x v="0"/>
    <x v="3"/>
    <x v="2"/>
    <x v="2"/>
    <x v="19"/>
    <x v="0"/>
    <n v="7.1147910770971432"/>
    <n v="11.443042273169237"/>
    <n v="2.858121470685095"/>
  </r>
  <r>
    <x v="1"/>
    <x v="19"/>
    <x v="2"/>
    <x v="0"/>
    <x v="3"/>
    <x v="2"/>
    <x v="2"/>
    <x v="19"/>
    <x v="1"/>
    <n v="332987.429136516"/>
    <n v="533160.93185543804"/>
    <n v="109584.9157738909"/>
  </r>
  <r>
    <x v="1"/>
    <x v="19"/>
    <x v="2"/>
    <x v="0"/>
    <x v="3"/>
    <x v="2"/>
    <x v="2"/>
    <x v="19"/>
    <x v="0"/>
    <n v="126371.68414972414"/>
    <n v="202266.7930528578"/>
    <n v="41310.114123894266"/>
  </r>
  <r>
    <x v="1"/>
    <x v="20"/>
    <x v="0"/>
    <x v="0"/>
    <x v="0"/>
    <x v="2"/>
    <x v="2"/>
    <x v="20"/>
    <x v="1"/>
    <n v="150313483.20613271"/>
    <n v="256427909.44796893"/>
    <n v="15169393.045320101"/>
  </r>
  <r>
    <x v="1"/>
    <x v="20"/>
    <x v="0"/>
    <x v="0"/>
    <x v="0"/>
    <x v="2"/>
    <x v="2"/>
    <x v="20"/>
    <x v="0"/>
    <n v="41042458.24925895"/>
    <n v="69781464.718612522"/>
    <n v="4118019.3897116757"/>
  </r>
  <r>
    <x v="1"/>
    <x v="20"/>
    <x v="1"/>
    <x v="0"/>
    <x v="0"/>
    <x v="2"/>
    <x v="2"/>
    <x v="20"/>
    <x v="1"/>
    <n v="12940875.188191317"/>
    <n v="22254005.291828495"/>
    <n v="1315583.9714412813"/>
  </r>
  <r>
    <x v="1"/>
    <x v="20"/>
    <x v="1"/>
    <x v="0"/>
    <x v="0"/>
    <x v="2"/>
    <x v="2"/>
    <x v="20"/>
    <x v="0"/>
    <n v="2805659.96815946"/>
    <n v="4773452.8009168487"/>
    <n v="281696.16773329198"/>
  </r>
  <r>
    <x v="1"/>
    <x v="20"/>
    <x v="2"/>
    <x v="0"/>
    <x v="0"/>
    <x v="2"/>
    <x v="2"/>
    <x v="20"/>
    <x v="1"/>
    <n v="563228829.06516266"/>
    <n v="951606568.40263343"/>
    <n v="48012450.658600219"/>
  </r>
  <r>
    <x v="1"/>
    <x v="20"/>
    <x v="2"/>
    <x v="0"/>
    <x v="0"/>
    <x v="2"/>
    <x v="2"/>
    <x v="20"/>
    <x v="0"/>
    <n v="149747404.52482241"/>
    <n v="250808936.4999508"/>
    <n v="12522552.013467755"/>
  </r>
  <r>
    <x v="1"/>
    <x v="20"/>
    <x v="0"/>
    <x v="0"/>
    <x v="1"/>
    <x v="2"/>
    <x v="2"/>
    <x v="20"/>
    <x v="1"/>
    <n v="359190.45933698548"/>
    <n v="609748.34547995718"/>
    <n v="74124.205274238368"/>
  </r>
  <r>
    <x v="1"/>
    <x v="20"/>
    <x v="0"/>
    <x v="0"/>
    <x v="1"/>
    <x v="2"/>
    <x v="2"/>
    <x v="20"/>
    <x v="0"/>
    <n v="147321.05406778137"/>
    <n v="250205.77058608862"/>
    <n v="30339.891739437062"/>
  </r>
  <r>
    <x v="1"/>
    <x v="20"/>
    <x v="1"/>
    <x v="0"/>
    <x v="1"/>
    <x v="2"/>
    <x v="2"/>
    <x v="20"/>
    <x v="1"/>
    <n v="1246050.4520761857"/>
    <n v="2132161.2037154189"/>
    <n v="259197.51247332324"/>
  </r>
  <r>
    <x v="1"/>
    <x v="20"/>
    <x v="1"/>
    <x v="0"/>
    <x v="1"/>
    <x v="2"/>
    <x v="2"/>
    <x v="20"/>
    <x v="0"/>
    <n v="408575.80059924861"/>
    <n v="695288.77286891092"/>
    <n v="84310.549860921848"/>
  </r>
  <r>
    <x v="1"/>
    <x v="20"/>
    <x v="2"/>
    <x v="0"/>
    <x v="1"/>
    <x v="2"/>
    <x v="2"/>
    <x v="20"/>
    <x v="1"/>
    <n v="17119521.320783224"/>
    <n v="28882470.245156609"/>
    <n v="2995102.5503658345"/>
  </r>
  <r>
    <x v="1"/>
    <x v="20"/>
    <x v="2"/>
    <x v="0"/>
    <x v="1"/>
    <x v="2"/>
    <x v="2"/>
    <x v="20"/>
    <x v="0"/>
    <n v="5421849.6371082934"/>
    <n v="9079032.9428974427"/>
    <n v="931446.31406389875"/>
  </r>
  <r>
    <x v="1"/>
    <x v="20"/>
    <x v="0"/>
    <x v="0"/>
    <x v="2"/>
    <x v="2"/>
    <x v="2"/>
    <x v="20"/>
    <x v="1"/>
    <n v="13556.688208087304"/>
    <n v="22878.02159061766"/>
    <n v="4615.2182156972713"/>
  </r>
  <r>
    <x v="1"/>
    <x v="20"/>
    <x v="0"/>
    <x v="0"/>
    <x v="2"/>
    <x v="2"/>
    <x v="2"/>
    <x v="20"/>
    <x v="0"/>
    <n v="12675.492676555057"/>
    <n v="21381.084119152863"/>
    <n v="4321.108554819788"/>
  </r>
  <r>
    <x v="1"/>
    <x v="20"/>
    <x v="1"/>
    <x v="0"/>
    <x v="2"/>
    <x v="2"/>
    <x v="2"/>
    <x v="20"/>
    <x v="1"/>
    <n v="24601.695782914154"/>
    <n v="41831.302154081459"/>
    <n v="8460.9670499993499"/>
  </r>
  <r>
    <x v="1"/>
    <x v="20"/>
    <x v="1"/>
    <x v="0"/>
    <x v="2"/>
    <x v="2"/>
    <x v="2"/>
    <x v="20"/>
    <x v="0"/>
    <n v="135.62057779274684"/>
    <n v="230.64136496610797"/>
    <n v="46.61252767616201"/>
  </r>
  <r>
    <x v="1"/>
    <x v="20"/>
    <x v="2"/>
    <x v="0"/>
    <x v="2"/>
    <x v="2"/>
    <x v="2"/>
    <x v="20"/>
    <x v="1"/>
    <n v="2237089.8509721505"/>
    <n v="3749215.7651849119"/>
    <n v="648127.97206039343"/>
  </r>
  <r>
    <x v="1"/>
    <x v="20"/>
    <x v="2"/>
    <x v="0"/>
    <x v="2"/>
    <x v="2"/>
    <x v="2"/>
    <x v="20"/>
    <x v="0"/>
    <n v="379976.46455620875"/>
    <n v="636522.0962265539"/>
    <n v="108837.97941906501"/>
  </r>
  <r>
    <x v="1"/>
    <x v="20"/>
    <x v="0"/>
    <x v="0"/>
    <x v="3"/>
    <x v="2"/>
    <x v="2"/>
    <x v="20"/>
    <x v="1"/>
    <n v="979157.15084537608"/>
    <n v="1664967.6553200632"/>
    <n v="471942.8611747463"/>
  </r>
  <r>
    <x v="1"/>
    <x v="20"/>
    <x v="0"/>
    <x v="0"/>
    <x v="3"/>
    <x v="2"/>
    <x v="2"/>
    <x v="20"/>
    <x v="0"/>
    <n v="328721.26472745743"/>
    <n v="558996.07056666887"/>
    <n v="158162.03541622718"/>
  </r>
  <r>
    <x v="1"/>
    <x v="20"/>
    <x v="1"/>
    <x v="0"/>
    <x v="3"/>
    <x v="2"/>
    <x v="2"/>
    <x v="20"/>
    <x v="1"/>
    <n v="408.68690446207734"/>
    <n v="689.83504610187583"/>
    <n v="196.45279423485871"/>
  </r>
  <r>
    <x v="1"/>
    <x v="20"/>
    <x v="1"/>
    <x v="0"/>
    <x v="3"/>
    <x v="2"/>
    <x v="2"/>
    <x v="20"/>
    <x v="0"/>
    <n v="2.2454005248424079E-2"/>
    <n v="3.7860734049515635E-2"/>
    <n v="1.0712294906748675E-2"/>
  </r>
  <r>
    <x v="1"/>
    <x v="20"/>
    <x v="2"/>
    <x v="0"/>
    <x v="3"/>
    <x v="2"/>
    <x v="2"/>
    <x v="20"/>
    <x v="1"/>
    <n v="935953.17566924507"/>
    <n v="1568828.0250815568"/>
    <n v="380495.22089736507"/>
  </r>
  <r>
    <x v="1"/>
    <x v="20"/>
    <x v="2"/>
    <x v="0"/>
    <x v="3"/>
    <x v="2"/>
    <x v="2"/>
    <x v="20"/>
    <x v="0"/>
    <n v="157956.9609221167"/>
    <n v="264643.02286133275"/>
    <n v="63351.291125423333"/>
  </r>
  <r>
    <x v="1"/>
    <x v="21"/>
    <x v="0"/>
    <x v="0"/>
    <x v="0"/>
    <x v="4"/>
    <x v="4"/>
    <x v="21"/>
    <x v="1"/>
    <n v="8730.9309530755363"/>
    <n v="21070.229605938952"/>
    <n v="172.74441462713557"/>
  </r>
  <r>
    <x v="1"/>
    <x v="21"/>
    <x v="0"/>
    <x v="0"/>
    <x v="0"/>
    <x v="4"/>
    <x v="4"/>
    <x v="21"/>
    <x v="0"/>
    <n v="1689.4367141985895"/>
    <n v="4066.1510129001299"/>
    <n v="33.330959386031637"/>
  </r>
  <r>
    <x v="1"/>
    <x v="21"/>
    <x v="1"/>
    <x v="0"/>
    <x v="0"/>
    <x v="4"/>
    <x v="4"/>
    <x v="21"/>
    <x v="1"/>
    <n v="112629.55833283326"/>
    <n v="271986.31572428317"/>
    <n v="2229.8470750776351"/>
  </r>
  <r>
    <x v="1"/>
    <x v="21"/>
    <x v="1"/>
    <x v="0"/>
    <x v="0"/>
    <x v="4"/>
    <x v="4"/>
    <x v="21"/>
    <x v="0"/>
    <n v="31010.073999892389"/>
    <n v="74791.303656878023"/>
    <n v="613.07755090919659"/>
  </r>
  <r>
    <x v="1"/>
    <x v="21"/>
    <x v="2"/>
    <x v="0"/>
    <x v="0"/>
    <x v="4"/>
    <x v="4"/>
    <x v="21"/>
    <x v="1"/>
    <n v="16192062.356835112"/>
    <n v="38676956.811981969"/>
    <n v="317149.99607256503"/>
  </r>
  <r>
    <x v="1"/>
    <x v="21"/>
    <x v="2"/>
    <x v="0"/>
    <x v="0"/>
    <x v="4"/>
    <x v="4"/>
    <x v="21"/>
    <x v="0"/>
    <n v="3757698.6431648233"/>
    <n v="8935837.1880180519"/>
    <n v="73274.003927435973"/>
  </r>
  <r>
    <x v="1"/>
    <x v="22"/>
    <x v="0"/>
    <x v="0"/>
    <x v="0"/>
    <x v="4"/>
    <x v="4"/>
    <x v="22"/>
    <x v="1"/>
    <n v="56277.568897611607"/>
    <n v="140304.92098260424"/>
    <n v="1150.6071494668483"/>
  </r>
  <r>
    <x v="1"/>
    <x v="22"/>
    <x v="0"/>
    <x v="0"/>
    <x v="0"/>
    <x v="4"/>
    <x v="4"/>
    <x v="22"/>
    <x v="0"/>
    <n v="9719.5554169754705"/>
    <n v="24209.907226030558"/>
    <n v="198.54364860538863"/>
  </r>
  <r>
    <x v="1"/>
    <x v="22"/>
    <x v="1"/>
    <x v="0"/>
    <x v="0"/>
    <x v="4"/>
    <x v="4"/>
    <x v="22"/>
    <x v="1"/>
    <n v="124431.93670578879"/>
    <n v="310165.86039569613"/>
    <n v="2543.6326457502018"/>
  </r>
  <r>
    <x v="1"/>
    <x v="22"/>
    <x v="1"/>
    <x v="0"/>
    <x v="0"/>
    <x v="4"/>
    <x v="4"/>
    <x v="22"/>
    <x v="0"/>
    <n v="35270.938979624087"/>
    <n v="87943.31139566908"/>
    <n v="721.21655617756039"/>
  </r>
  <r>
    <x v="1"/>
    <x v="22"/>
    <x v="2"/>
    <x v="0"/>
    <x v="0"/>
    <x v="4"/>
    <x v="4"/>
    <x v="22"/>
    <x v="1"/>
    <n v="60814361.794533812"/>
    <n v="150060070.74587366"/>
    <n v="1230493.1420234612"/>
  </r>
  <r>
    <x v="1"/>
    <x v="22"/>
    <x v="2"/>
    <x v="0"/>
    <x v="0"/>
    <x v="4"/>
    <x v="4"/>
    <x v="22"/>
    <x v="0"/>
    <n v="13903259.205466414"/>
    <n v="33973239.254127465"/>
    <n v="278580.8579765404"/>
  </r>
  <r>
    <x v="1"/>
    <x v="23"/>
    <x v="0"/>
    <x v="1"/>
    <x v="0"/>
    <x v="1"/>
    <x v="1"/>
    <x v="23"/>
    <x v="1"/>
    <n v="1093863.2513406242"/>
    <n v="924842.42119825818"/>
    <n v="47859.209592155566"/>
  </r>
  <r>
    <x v="1"/>
    <x v="23"/>
    <x v="0"/>
    <x v="1"/>
    <x v="0"/>
    <x v="1"/>
    <x v="1"/>
    <x v="23"/>
    <x v="0"/>
    <n v="198702.14569859346"/>
    <n v="156902.35477194979"/>
    <n v="8152.1568945121116"/>
  </r>
  <r>
    <x v="1"/>
    <x v="23"/>
    <x v="1"/>
    <x v="1"/>
    <x v="0"/>
    <x v="1"/>
    <x v="1"/>
    <x v="23"/>
    <x v="1"/>
    <n v="19054.376875784936"/>
    <n v="16345.986444667158"/>
    <n v="847.34381809088404"/>
  </r>
  <r>
    <x v="1"/>
    <x v="23"/>
    <x v="1"/>
    <x v="1"/>
    <x v="0"/>
    <x v="1"/>
    <x v="1"/>
    <x v="23"/>
    <x v="0"/>
    <n v="9403.5372605258344"/>
    <n v="8258.4951305358154"/>
    <n v="429.08564447324778"/>
  </r>
  <r>
    <x v="1"/>
    <x v="23"/>
    <x v="2"/>
    <x v="1"/>
    <x v="0"/>
    <x v="1"/>
    <x v="1"/>
    <x v="23"/>
    <x v="1"/>
    <n v="1687470.4161250857"/>
    <n v="1470808.1674055161"/>
    <n v="72238.565005820958"/>
  </r>
  <r>
    <x v="1"/>
    <x v="23"/>
    <x v="2"/>
    <x v="1"/>
    <x v="0"/>
    <x v="1"/>
    <x v="1"/>
    <x v="23"/>
    <x v="0"/>
    <n v="383585.7697980025"/>
    <n v="335087.83022492833"/>
    <n v="17052.077337674978"/>
  </r>
  <r>
    <x v="1"/>
    <x v="23"/>
    <x v="0"/>
    <x v="1"/>
    <x v="1"/>
    <x v="1"/>
    <x v="1"/>
    <x v="23"/>
    <x v="1"/>
    <n v="1717950.9146658373"/>
    <n v="1223414.2082955174"/>
    <n v="130082.38622325714"/>
  </r>
  <r>
    <x v="1"/>
    <x v="23"/>
    <x v="0"/>
    <x v="1"/>
    <x v="1"/>
    <x v="1"/>
    <x v="1"/>
    <x v="23"/>
    <x v="0"/>
    <n v="378476.97415080498"/>
    <n v="269603.45625514124"/>
    <n v="28783.057304108785"/>
  </r>
  <r>
    <x v="1"/>
    <x v="23"/>
    <x v="1"/>
    <x v="1"/>
    <x v="1"/>
    <x v="1"/>
    <x v="1"/>
    <x v="23"/>
    <x v="1"/>
    <n v="235288.93085228308"/>
    <n v="166078.6657215319"/>
    <n v="17681.556183776032"/>
  </r>
  <r>
    <x v="1"/>
    <x v="23"/>
    <x v="1"/>
    <x v="1"/>
    <x v="1"/>
    <x v="1"/>
    <x v="1"/>
    <x v="23"/>
    <x v="0"/>
    <n v="18430.981726776838"/>
    <n v="13058.270051288335"/>
    <n v="1394.1102254381517"/>
  </r>
  <r>
    <x v="1"/>
    <x v="23"/>
    <x v="2"/>
    <x v="1"/>
    <x v="1"/>
    <x v="1"/>
    <x v="1"/>
    <x v="23"/>
    <x v="1"/>
    <n v="6162793.194843675"/>
    <n v="4352479.0061280308"/>
    <n v="437705.38742357818"/>
  </r>
  <r>
    <x v="1"/>
    <x v="23"/>
    <x v="2"/>
    <x v="1"/>
    <x v="1"/>
    <x v="1"/>
    <x v="1"/>
    <x v="23"/>
    <x v="0"/>
    <n v="1599603.7284294921"/>
    <n v="1128252.8251267676"/>
    <n v="117975.94558359066"/>
  </r>
  <r>
    <x v="1"/>
    <x v="23"/>
    <x v="0"/>
    <x v="1"/>
    <x v="2"/>
    <x v="1"/>
    <x v="1"/>
    <x v="23"/>
    <x v="1"/>
    <n v="3293395.587791713"/>
    <n v="1966259.950843588"/>
    <n v="348045.38581063988"/>
  </r>
  <r>
    <x v="1"/>
    <x v="23"/>
    <x v="0"/>
    <x v="1"/>
    <x v="2"/>
    <x v="1"/>
    <x v="1"/>
    <x v="23"/>
    <x v="0"/>
    <n v="1335222.2633743391"/>
    <n v="795873.07556416467"/>
    <n v="141613.29543615488"/>
  </r>
  <r>
    <x v="1"/>
    <x v="23"/>
    <x v="1"/>
    <x v="1"/>
    <x v="2"/>
    <x v="1"/>
    <x v="1"/>
    <x v="23"/>
    <x v="1"/>
    <n v="185973.95004087224"/>
    <n v="109375.92933113709"/>
    <n v="19490.47744429476"/>
  </r>
  <r>
    <x v="1"/>
    <x v="23"/>
    <x v="1"/>
    <x v="1"/>
    <x v="2"/>
    <x v="1"/>
    <x v="1"/>
    <x v="23"/>
    <x v="0"/>
    <n v="7093.2691309592501"/>
    <n v="4210.6415291295607"/>
    <n v="749.21848866125379"/>
  </r>
  <r>
    <x v="1"/>
    <x v="23"/>
    <x v="2"/>
    <x v="1"/>
    <x v="2"/>
    <x v="1"/>
    <x v="1"/>
    <x v="23"/>
    <x v="1"/>
    <n v="3418098.0227867174"/>
    <n v="2011666.8743632613"/>
    <n v="337651.03329573816"/>
  </r>
  <r>
    <x v="1"/>
    <x v="23"/>
    <x v="2"/>
    <x v="1"/>
    <x v="2"/>
    <x v="1"/>
    <x v="1"/>
    <x v="23"/>
    <x v="0"/>
    <n v="1883783.0582717934"/>
    <n v="1115909.4446893902"/>
    <n v="194475.42990212687"/>
  </r>
  <r>
    <x v="1"/>
    <x v="23"/>
    <x v="0"/>
    <x v="1"/>
    <x v="3"/>
    <x v="1"/>
    <x v="1"/>
    <x v="23"/>
    <x v="1"/>
    <n v="3532790.2531957328"/>
    <n v="1819137.368628195"/>
    <n v="452280.14671157353"/>
  </r>
  <r>
    <x v="1"/>
    <x v="23"/>
    <x v="0"/>
    <x v="1"/>
    <x v="3"/>
    <x v="1"/>
    <x v="1"/>
    <x v="23"/>
    <x v="0"/>
    <n v="880550.36582978489"/>
    <n v="453421.99496729393"/>
    <n v="112951.19644429823"/>
  </r>
  <r>
    <x v="1"/>
    <x v="23"/>
    <x v="1"/>
    <x v="1"/>
    <x v="3"/>
    <x v="1"/>
    <x v="1"/>
    <x v="23"/>
    <x v="1"/>
    <n v="93241.318496552325"/>
    <n v="46064.078384690132"/>
    <n v="11447.904363711767"/>
  </r>
  <r>
    <x v="1"/>
    <x v="23"/>
    <x v="1"/>
    <x v="1"/>
    <x v="3"/>
    <x v="1"/>
    <x v="1"/>
    <x v="23"/>
    <x v="0"/>
    <n v="1739.2047020830346"/>
    <n v="888.69894279154198"/>
    <n v="221.38231047730301"/>
  </r>
  <r>
    <x v="1"/>
    <x v="23"/>
    <x v="2"/>
    <x v="1"/>
    <x v="3"/>
    <x v="1"/>
    <x v="1"/>
    <x v="23"/>
    <x v="1"/>
    <n v="9179329.5453188308"/>
    <n v="4709567.9611760741"/>
    <n v="1103335.0529102173"/>
  </r>
  <r>
    <x v="1"/>
    <x v="23"/>
    <x v="2"/>
    <x v="1"/>
    <x v="3"/>
    <x v="1"/>
    <x v="1"/>
    <x v="23"/>
    <x v="0"/>
    <n v="2229904.5784442276"/>
    <n v="1151661.4442992725"/>
    <n v="280988.56745656912"/>
  </r>
  <r>
    <x v="1"/>
    <x v="23"/>
    <x v="0"/>
    <x v="1"/>
    <x v="4"/>
    <x v="1"/>
    <x v="1"/>
    <x v="23"/>
    <x v="1"/>
    <n v="3898416.7242775396"/>
    <n v="1760618.2491610351"/>
    <n v="561998.41255743639"/>
  </r>
  <r>
    <x v="1"/>
    <x v="23"/>
    <x v="0"/>
    <x v="1"/>
    <x v="4"/>
    <x v="1"/>
    <x v="1"/>
    <x v="23"/>
    <x v="0"/>
    <n v="1286783.8649557163"/>
    <n v="582651.1516780036"/>
    <n v="186612.75771459797"/>
  </r>
  <r>
    <x v="1"/>
    <x v="23"/>
    <x v="1"/>
    <x v="1"/>
    <x v="4"/>
    <x v="1"/>
    <x v="1"/>
    <x v="23"/>
    <x v="1"/>
    <n v="42733.875352466472"/>
    <n v="18758.45549603321"/>
    <n v="6007.4043188077758"/>
  </r>
  <r>
    <x v="1"/>
    <x v="23"/>
    <x v="1"/>
    <x v="1"/>
    <x v="4"/>
    <x v="1"/>
    <x v="1"/>
    <x v="23"/>
    <x v="0"/>
    <n v="1152.2240251493536"/>
    <n v="514.4045682374466"/>
    <n v="164.75459592471114"/>
  </r>
  <r>
    <x v="1"/>
    <x v="23"/>
    <x v="2"/>
    <x v="1"/>
    <x v="4"/>
    <x v="1"/>
    <x v="1"/>
    <x v="23"/>
    <x v="1"/>
    <n v="8988554.1724282652"/>
    <n v="4061404.5283194035"/>
    <n v="1226358.5135271598"/>
  </r>
  <r>
    <x v="1"/>
    <x v="23"/>
    <x v="2"/>
    <x v="1"/>
    <x v="4"/>
    <x v="1"/>
    <x v="1"/>
    <x v="23"/>
    <x v="0"/>
    <n v="3564664.1797103183"/>
    <n v="1611513.9893816791"/>
    <n v="505524.69043574465"/>
  </r>
  <r>
    <x v="1"/>
    <x v="23"/>
    <x v="0"/>
    <x v="1"/>
    <x v="5"/>
    <x v="1"/>
    <x v="1"/>
    <x v="23"/>
    <x v="1"/>
    <n v="1677380.4475726362"/>
    <n v="670407.96680375014"/>
    <n v="261305.0577934169"/>
  </r>
  <r>
    <x v="1"/>
    <x v="23"/>
    <x v="0"/>
    <x v="1"/>
    <x v="5"/>
    <x v="1"/>
    <x v="1"/>
    <x v="23"/>
    <x v="0"/>
    <n v="278308.71514311468"/>
    <n v="111233.88558534803"/>
    <n v="43543.166226141046"/>
  </r>
  <r>
    <x v="1"/>
    <x v="23"/>
    <x v="1"/>
    <x v="1"/>
    <x v="5"/>
    <x v="1"/>
    <x v="1"/>
    <x v="23"/>
    <x v="1"/>
    <n v="32421.989195780403"/>
    <n v="12845.82852050056"/>
    <n v="5056.4025193372408"/>
  </r>
  <r>
    <x v="1"/>
    <x v="23"/>
    <x v="2"/>
    <x v="1"/>
    <x v="5"/>
    <x v="1"/>
    <x v="1"/>
    <x v="23"/>
    <x v="1"/>
    <n v="4389367.6681984179"/>
    <n v="1758529.8833442803"/>
    <n v="647230.68430217297"/>
  </r>
  <r>
    <x v="1"/>
    <x v="23"/>
    <x v="2"/>
    <x v="1"/>
    <x v="5"/>
    <x v="1"/>
    <x v="1"/>
    <x v="23"/>
    <x v="0"/>
    <n v="692420.54727598059"/>
    <n v="278582.38607869647"/>
    <n v="106810.05077788245"/>
  </r>
  <r>
    <x v="1"/>
    <x v="23"/>
    <x v="0"/>
    <x v="1"/>
    <x v="6"/>
    <x v="1"/>
    <x v="1"/>
    <x v="23"/>
    <x v="1"/>
    <n v="1213232.9306921004"/>
    <n v="436098.57875430194"/>
    <n v="200778.27343285386"/>
  </r>
  <r>
    <x v="1"/>
    <x v="23"/>
    <x v="0"/>
    <x v="1"/>
    <x v="6"/>
    <x v="1"/>
    <x v="1"/>
    <x v="23"/>
    <x v="0"/>
    <n v="379558.84111900948"/>
    <n v="136433.05170690067"/>
    <n v="63117.989657857681"/>
  </r>
  <r>
    <x v="1"/>
    <x v="23"/>
    <x v="2"/>
    <x v="1"/>
    <x v="6"/>
    <x v="1"/>
    <x v="1"/>
    <x v="23"/>
    <x v="1"/>
    <n v="3408480.4671753417"/>
    <n v="1227236.437232798"/>
    <n v="537125.49675214652"/>
  </r>
  <r>
    <x v="1"/>
    <x v="23"/>
    <x v="2"/>
    <x v="1"/>
    <x v="6"/>
    <x v="1"/>
    <x v="1"/>
    <x v="23"/>
    <x v="0"/>
    <n v="845437.69916458463"/>
    <n v="305624.11674975418"/>
    <n v="138483.09342499243"/>
  </r>
  <r>
    <x v="1"/>
    <x v="23"/>
    <x v="0"/>
    <x v="1"/>
    <x v="7"/>
    <x v="1"/>
    <x v="1"/>
    <x v="23"/>
    <x v="1"/>
    <n v="908582.19226422079"/>
    <n v="296726.71006298321"/>
    <n v="157511.16813606166"/>
  </r>
  <r>
    <x v="1"/>
    <x v="23"/>
    <x v="0"/>
    <x v="1"/>
    <x v="7"/>
    <x v="1"/>
    <x v="1"/>
    <x v="23"/>
    <x v="0"/>
    <n v="194710.20976415672"/>
    <n v="63588.875558976419"/>
    <n v="33943.968570376186"/>
  </r>
  <r>
    <x v="1"/>
    <x v="23"/>
    <x v="2"/>
    <x v="1"/>
    <x v="7"/>
    <x v="1"/>
    <x v="1"/>
    <x v="23"/>
    <x v="1"/>
    <n v="2761947.6620113458"/>
    <n v="903665.70103759179"/>
    <n v="454442.84157453169"/>
  </r>
  <r>
    <x v="1"/>
    <x v="23"/>
    <x v="2"/>
    <x v="1"/>
    <x v="7"/>
    <x v="1"/>
    <x v="1"/>
    <x v="23"/>
    <x v="0"/>
    <n v="456224.14670196909"/>
    <n v="149872.89472327079"/>
    <n v="78357.421663629138"/>
  </r>
  <r>
    <x v="1"/>
    <x v="23"/>
    <x v="0"/>
    <x v="1"/>
    <x v="8"/>
    <x v="1"/>
    <x v="1"/>
    <x v="23"/>
    <x v="1"/>
    <n v="421045.27460409352"/>
    <n v="125985.32458235568"/>
    <n v="75704.962593408767"/>
  </r>
  <r>
    <x v="1"/>
    <x v="23"/>
    <x v="0"/>
    <x v="1"/>
    <x v="8"/>
    <x v="1"/>
    <x v="1"/>
    <x v="23"/>
    <x v="0"/>
    <n v="88449.40274422818"/>
    <n v="26465.863378528818"/>
    <n v="16011.248566984324"/>
  </r>
  <r>
    <x v="1"/>
    <x v="23"/>
    <x v="2"/>
    <x v="1"/>
    <x v="8"/>
    <x v="1"/>
    <x v="1"/>
    <x v="23"/>
    <x v="1"/>
    <n v="1084955.0930103695"/>
    <n v="325050.67683711875"/>
    <n v="185292.27087801576"/>
  </r>
  <r>
    <x v="1"/>
    <x v="23"/>
    <x v="2"/>
    <x v="1"/>
    <x v="8"/>
    <x v="1"/>
    <x v="1"/>
    <x v="23"/>
    <x v="0"/>
    <n v="225190.51975328999"/>
    <n v="67816.747354343883"/>
    <n v="40183.860743199737"/>
  </r>
  <r>
    <x v="1"/>
    <x v="23"/>
    <x v="0"/>
    <x v="1"/>
    <x v="9"/>
    <x v="1"/>
    <x v="1"/>
    <x v="23"/>
    <x v="1"/>
    <n v="358736.96172437712"/>
    <n v="98499.446781191757"/>
    <n v="66549.725707627309"/>
  </r>
  <r>
    <x v="1"/>
    <x v="23"/>
    <x v="0"/>
    <x v="1"/>
    <x v="9"/>
    <x v="1"/>
    <x v="1"/>
    <x v="23"/>
    <x v="0"/>
    <n v="104607.10346809225"/>
    <n v="28722.275428386147"/>
    <n v="19420.600548938641"/>
  </r>
  <r>
    <x v="1"/>
    <x v="23"/>
    <x v="1"/>
    <x v="1"/>
    <x v="9"/>
    <x v="1"/>
    <x v="1"/>
    <x v="23"/>
    <x v="1"/>
    <n v="210.10603229493975"/>
    <n v="47.424296579667498"/>
    <n v="32.065994300642672"/>
  </r>
  <r>
    <x v="1"/>
    <x v="23"/>
    <x v="1"/>
    <x v="1"/>
    <x v="9"/>
    <x v="1"/>
    <x v="1"/>
    <x v="23"/>
    <x v="0"/>
    <n v="768.59525957787605"/>
    <n v="207.83350738469363"/>
    <n v="140.52687217162492"/>
  </r>
  <r>
    <x v="1"/>
    <x v="23"/>
    <x v="2"/>
    <x v="1"/>
    <x v="9"/>
    <x v="1"/>
    <x v="1"/>
    <x v="23"/>
    <x v="1"/>
    <n v="845520.51745626633"/>
    <n v="232949.27228259892"/>
    <n v="148014.29931708382"/>
  </r>
  <r>
    <x v="1"/>
    <x v="23"/>
    <x v="2"/>
    <x v="1"/>
    <x v="9"/>
    <x v="1"/>
    <x v="1"/>
    <x v="23"/>
    <x v="0"/>
    <n v="319762.96540756046"/>
    <n v="87936.976442079307"/>
    <n v="58235.916221662235"/>
  </r>
  <r>
    <x v="1"/>
    <x v="23"/>
    <x v="0"/>
    <x v="1"/>
    <x v="10"/>
    <x v="1"/>
    <x v="1"/>
    <x v="23"/>
    <x v="1"/>
    <n v="726403.75250765786"/>
    <n v="184271.87981026678"/>
    <n v="137181.82670007573"/>
  </r>
  <r>
    <x v="1"/>
    <x v="23"/>
    <x v="0"/>
    <x v="1"/>
    <x v="10"/>
    <x v="1"/>
    <x v="1"/>
    <x v="23"/>
    <x v="0"/>
    <n v="210107.15137861713"/>
    <n v="53299.338849037522"/>
    <n v="39831.928046122492"/>
  </r>
  <r>
    <x v="1"/>
    <x v="23"/>
    <x v="1"/>
    <x v="1"/>
    <x v="10"/>
    <x v="1"/>
    <x v="1"/>
    <x v="23"/>
    <x v="1"/>
    <n v="111.51894957102516"/>
    <n v="27.009347369153264"/>
    <n v="20.184760340611017"/>
  </r>
  <r>
    <x v="1"/>
    <x v="23"/>
    <x v="2"/>
    <x v="1"/>
    <x v="10"/>
    <x v="1"/>
    <x v="1"/>
    <x v="23"/>
    <x v="1"/>
    <n v="2065088.6821493669"/>
    <n v="525242.54010300222"/>
    <n v="370063.47408162331"/>
  </r>
  <r>
    <x v="1"/>
    <x v="23"/>
    <x v="2"/>
    <x v="1"/>
    <x v="10"/>
    <x v="1"/>
    <x v="1"/>
    <x v="23"/>
    <x v="0"/>
    <n v="528266.61904857762"/>
    <n v="134782.16010421902"/>
    <n v="98654.633982549683"/>
  </r>
  <r>
    <x v="1"/>
    <x v="23"/>
    <x v="0"/>
    <x v="1"/>
    <x v="11"/>
    <x v="1"/>
    <x v="1"/>
    <x v="23"/>
    <x v="1"/>
    <n v="154089.61378347306"/>
    <n v="36324.5555845856"/>
    <n v="29686.680024779031"/>
  </r>
  <r>
    <x v="1"/>
    <x v="23"/>
    <x v="0"/>
    <x v="1"/>
    <x v="11"/>
    <x v="1"/>
    <x v="1"/>
    <x v="23"/>
    <x v="0"/>
    <n v="92842.433663244839"/>
    <n v="21886.355993777259"/>
    <n v="17913.956164159354"/>
  </r>
  <r>
    <x v="1"/>
    <x v="23"/>
    <x v="2"/>
    <x v="1"/>
    <x v="11"/>
    <x v="1"/>
    <x v="1"/>
    <x v="23"/>
    <x v="1"/>
    <n v="345427.94063182472"/>
    <n v="82106.430761118856"/>
    <n v="63814.22603103779"/>
  </r>
  <r>
    <x v="1"/>
    <x v="23"/>
    <x v="2"/>
    <x v="1"/>
    <x v="11"/>
    <x v="1"/>
    <x v="1"/>
    <x v="23"/>
    <x v="0"/>
    <n v="273665.39569859172"/>
    <n v="64760.406140021041"/>
    <n v="51916.234125810726"/>
  </r>
  <r>
    <x v="1"/>
    <x v="23"/>
    <x v="0"/>
    <x v="1"/>
    <x v="12"/>
    <x v="1"/>
    <x v="1"/>
    <x v="23"/>
    <x v="1"/>
    <n v="96082.528668106985"/>
    <n v="21154.116970142051"/>
    <n v="18841.576598733103"/>
  </r>
  <r>
    <x v="1"/>
    <x v="23"/>
    <x v="0"/>
    <x v="1"/>
    <x v="12"/>
    <x v="1"/>
    <x v="1"/>
    <x v="23"/>
    <x v="0"/>
    <n v="50529.217721443085"/>
    <n v="11124.821514444453"/>
    <n v="9897.4490039303964"/>
  </r>
  <r>
    <x v="1"/>
    <x v="23"/>
    <x v="2"/>
    <x v="1"/>
    <x v="12"/>
    <x v="1"/>
    <x v="1"/>
    <x v="23"/>
    <x v="1"/>
    <n v="244349.82950176566"/>
    <n v="54009.970258142603"/>
    <n v="45405.982546108171"/>
  </r>
  <r>
    <x v="1"/>
    <x v="23"/>
    <x v="2"/>
    <x v="1"/>
    <x v="12"/>
    <x v="1"/>
    <x v="1"/>
    <x v="23"/>
    <x v="0"/>
    <n v="119354.58065822502"/>
    <n v="26434.329436592234"/>
    <n v="23034.25069937755"/>
  </r>
  <r>
    <x v="1"/>
    <x v="24"/>
    <x v="0"/>
    <x v="1"/>
    <x v="0"/>
    <x v="1"/>
    <x v="1"/>
    <x v="24"/>
    <x v="1"/>
    <n v="534094.35583427106"/>
    <n v="601058.09549917735"/>
    <n v="29797.455250737527"/>
  </r>
  <r>
    <x v="1"/>
    <x v="24"/>
    <x v="0"/>
    <x v="1"/>
    <x v="0"/>
    <x v="1"/>
    <x v="1"/>
    <x v="24"/>
    <x v="0"/>
    <n v="65361.748070649577"/>
    <n v="68851.117260298954"/>
    <n v="3937.6454487295869"/>
  </r>
  <r>
    <x v="1"/>
    <x v="24"/>
    <x v="1"/>
    <x v="1"/>
    <x v="0"/>
    <x v="1"/>
    <x v="1"/>
    <x v="24"/>
    <x v="1"/>
    <n v="22187.274575200452"/>
    <n v="22581.701397163743"/>
    <n v="1101.8081578071337"/>
  </r>
  <r>
    <x v="1"/>
    <x v="24"/>
    <x v="1"/>
    <x v="1"/>
    <x v="0"/>
    <x v="1"/>
    <x v="1"/>
    <x v="24"/>
    <x v="0"/>
    <n v="2875.3528945558464"/>
    <n v="2677.1688061770692"/>
    <n v="153.10923024342202"/>
  </r>
  <r>
    <x v="1"/>
    <x v="24"/>
    <x v="2"/>
    <x v="1"/>
    <x v="0"/>
    <x v="1"/>
    <x v="1"/>
    <x v="24"/>
    <x v="1"/>
    <n v="1364847.9748182148"/>
    <n v="1539780.2625645862"/>
    <n v="74118.663234887281"/>
  </r>
  <r>
    <x v="1"/>
    <x v="24"/>
    <x v="2"/>
    <x v="1"/>
    <x v="0"/>
    <x v="1"/>
    <x v="1"/>
    <x v="24"/>
    <x v="0"/>
    <n v="57852.15087243983"/>
    <n v="65665.337653891009"/>
    <n v="3509.3989357145033"/>
  </r>
  <r>
    <x v="1"/>
    <x v="24"/>
    <x v="0"/>
    <x v="1"/>
    <x v="1"/>
    <x v="1"/>
    <x v="1"/>
    <x v="24"/>
    <x v="1"/>
    <n v="944500.68022197136"/>
    <n v="825291.8441154476"/>
    <n v="81758.305075313823"/>
  </r>
  <r>
    <x v="1"/>
    <x v="24"/>
    <x v="0"/>
    <x v="1"/>
    <x v="1"/>
    <x v="1"/>
    <x v="1"/>
    <x v="24"/>
    <x v="0"/>
    <n v="55335.018866707214"/>
    <n v="46970.383545608704"/>
    <n v="5519.7336595398074"/>
  </r>
  <r>
    <x v="1"/>
    <x v="24"/>
    <x v="1"/>
    <x v="1"/>
    <x v="1"/>
    <x v="1"/>
    <x v="1"/>
    <x v="24"/>
    <x v="1"/>
    <n v="106193.91815803947"/>
    <n v="82271.763912101524"/>
    <n v="8347.9233161241664"/>
  </r>
  <r>
    <x v="1"/>
    <x v="24"/>
    <x v="1"/>
    <x v="1"/>
    <x v="1"/>
    <x v="1"/>
    <x v="1"/>
    <x v="24"/>
    <x v="0"/>
    <n v="19505.575371650604"/>
    <n v="14070.86530855809"/>
    <n v="1653.540443992398"/>
  </r>
  <r>
    <x v="1"/>
    <x v="24"/>
    <x v="2"/>
    <x v="1"/>
    <x v="1"/>
    <x v="1"/>
    <x v="1"/>
    <x v="24"/>
    <x v="1"/>
    <n v="4540982.259964033"/>
    <n v="3927717.947373766"/>
    <n v="390794.02621735143"/>
  </r>
  <r>
    <x v="1"/>
    <x v="24"/>
    <x v="2"/>
    <x v="1"/>
    <x v="1"/>
    <x v="1"/>
    <x v="1"/>
    <x v="24"/>
    <x v="0"/>
    <n v="116987.7228215027"/>
    <n v="96654.120245551414"/>
    <n v="10614.152653808027"/>
  </r>
  <r>
    <x v="1"/>
    <x v="24"/>
    <x v="0"/>
    <x v="1"/>
    <x v="2"/>
    <x v="1"/>
    <x v="1"/>
    <x v="24"/>
    <x v="1"/>
    <n v="2647371.9635176817"/>
    <n v="1847968.632104408"/>
    <n v="311484.33586401516"/>
  </r>
  <r>
    <x v="1"/>
    <x v="24"/>
    <x v="0"/>
    <x v="1"/>
    <x v="2"/>
    <x v="1"/>
    <x v="1"/>
    <x v="24"/>
    <x v="0"/>
    <n v="145998.98116782325"/>
    <n v="97706.598466591575"/>
    <n v="19136.682862847902"/>
  </r>
  <r>
    <x v="1"/>
    <x v="24"/>
    <x v="1"/>
    <x v="1"/>
    <x v="2"/>
    <x v="1"/>
    <x v="1"/>
    <x v="24"/>
    <x v="1"/>
    <n v="115825.29797078873"/>
    <n v="72435.700805927074"/>
    <n v="11861.298503291438"/>
  </r>
  <r>
    <x v="1"/>
    <x v="24"/>
    <x v="1"/>
    <x v="1"/>
    <x v="2"/>
    <x v="1"/>
    <x v="1"/>
    <x v="24"/>
    <x v="0"/>
    <n v="9045.465988432461"/>
    <n v="4979.4517345001195"/>
    <n v="975.26871439055276"/>
  </r>
  <r>
    <x v="1"/>
    <x v="24"/>
    <x v="2"/>
    <x v="1"/>
    <x v="2"/>
    <x v="1"/>
    <x v="1"/>
    <x v="24"/>
    <x v="1"/>
    <n v="5445979.4941606382"/>
    <n v="3793520.3744548215"/>
    <n v="624771.14737716562"/>
  </r>
  <r>
    <x v="1"/>
    <x v="24"/>
    <x v="2"/>
    <x v="1"/>
    <x v="2"/>
    <x v="1"/>
    <x v="1"/>
    <x v="24"/>
    <x v="0"/>
    <n v="530932.65021724266"/>
    <n v="369921.80575279635"/>
    <n v="67705.451601673063"/>
  </r>
  <r>
    <x v="1"/>
    <x v="24"/>
    <x v="0"/>
    <x v="1"/>
    <x v="3"/>
    <x v="1"/>
    <x v="1"/>
    <x v="24"/>
    <x v="1"/>
    <n v="5917699.8065158166"/>
    <n v="3514083.0516395583"/>
    <n v="845311.62283923302"/>
  </r>
  <r>
    <x v="1"/>
    <x v="24"/>
    <x v="0"/>
    <x v="1"/>
    <x v="3"/>
    <x v="1"/>
    <x v="1"/>
    <x v="24"/>
    <x v="0"/>
    <n v="2899138.156966181"/>
    <n v="1721583.1479891674"/>
    <n v="472061.74136642081"/>
  </r>
  <r>
    <x v="1"/>
    <x v="24"/>
    <x v="1"/>
    <x v="1"/>
    <x v="3"/>
    <x v="1"/>
    <x v="1"/>
    <x v="24"/>
    <x v="1"/>
    <n v="5186.5637675947219"/>
    <n v="2463.5008692563415"/>
    <n v="628.75416370440041"/>
  </r>
  <r>
    <x v="1"/>
    <x v="24"/>
    <x v="1"/>
    <x v="1"/>
    <x v="3"/>
    <x v="1"/>
    <x v="1"/>
    <x v="24"/>
    <x v="0"/>
    <n v="1775.0152104351562"/>
    <n v="855.37344143549853"/>
    <n v="234.54520727288752"/>
  </r>
  <r>
    <x v="1"/>
    <x v="24"/>
    <x v="2"/>
    <x v="1"/>
    <x v="3"/>
    <x v="1"/>
    <x v="1"/>
    <x v="24"/>
    <x v="1"/>
    <n v="14656023.156599076"/>
    <n v="8679156.6736747157"/>
    <n v="2027725.5103783784"/>
  </r>
  <r>
    <x v="1"/>
    <x v="24"/>
    <x v="2"/>
    <x v="1"/>
    <x v="3"/>
    <x v="1"/>
    <x v="1"/>
    <x v="24"/>
    <x v="0"/>
    <n v="8160984.7157850023"/>
    <n v="4838464.4437969429"/>
    <n v="1239793.3324935057"/>
  </r>
  <r>
    <x v="1"/>
    <x v="24"/>
    <x v="0"/>
    <x v="1"/>
    <x v="4"/>
    <x v="1"/>
    <x v="1"/>
    <x v="24"/>
    <x v="1"/>
    <n v="3802095.5651641795"/>
    <n v="1935899.12361923"/>
    <n v="591569.66551310662"/>
  </r>
  <r>
    <x v="1"/>
    <x v="24"/>
    <x v="0"/>
    <x v="1"/>
    <x v="4"/>
    <x v="1"/>
    <x v="1"/>
    <x v="24"/>
    <x v="0"/>
    <n v="1385992.6556019334"/>
    <n v="705700.82243753655"/>
    <n v="248791.70378017274"/>
  </r>
  <r>
    <x v="1"/>
    <x v="24"/>
    <x v="1"/>
    <x v="1"/>
    <x v="4"/>
    <x v="1"/>
    <x v="1"/>
    <x v="24"/>
    <x v="1"/>
    <n v="25338.419511409702"/>
    <n v="11195.784858663084"/>
    <n v="3340.0526026227112"/>
  </r>
  <r>
    <x v="1"/>
    <x v="24"/>
    <x v="1"/>
    <x v="1"/>
    <x v="4"/>
    <x v="1"/>
    <x v="1"/>
    <x v="24"/>
    <x v="0"/>
    <n v="10333.336095375891"/>
    <n v="4267.8632762150137"/>
    <n v="1504.6163221445688"/>
  </r>
  <r>
    <x v="1"/>
    <x v="24"/>
    <x v="2"/>
    <x v="1"/>
    <x v="4"/>
    <x v="1"/>
    <x v="1"/>
    <x v="24"/>
    <x v="1"/>
    <n v="9674199.3323792648"/>
    <n v="4918717.4290210232"/>
    <n v="1462696.4057410827"/>
  </r>
  <r>
    <x v="1"/>
    <x v="24"/>
    <x v="2"/>
    <x v="1"/>
    <x v="4"/>
    <x v="1"/>
    <x v="1"/>
    <x v="24"/>
    <x v="0"/>
    <n v="4353687.6632113811"/>
    <n v="2213883.8561806572"/>
    <n v="729358.49442127033"/>
  </r>
  <r>
    <x v="1"/>
    <x v="24"/>
    <x v="0"/>
    <x v="1"/>
    <x v="5"/>
    <x v="1"/>
    <x v="1"/>
    <x v="24"/>
    <x v="1"/>
    <n v="1401452.1007830116"/>
    <n v="624460.23337950977"/>
    <n v="233886.50221801022"/>
  </r>
  <r>
    <x v="1"/>
    <x v="24"/>
    <x v="0"/>
    <x v="1"/>
    <x v="5"/>
    <x v="1"/>
    <x v="1"/>
    <x v="24"/>
    <x v="0"/>
    <n v="505132.99735173385"/>
    <n v="225104.44188209219"/>
    <n v="96995.036593517259"/>
  </r>
  <r>
    <x v="1"/>
    <x v="24"/>
    <x v="1"/>
    <x v="1"/>
    <x v="5"/>
    <x v="1"/>
    <x v="1"/>
    <x v="24"/>
    <x v="1"/>
    <n v="16372.267115183313"/>
    <n v="6692.5732204900269"/>
    <n v="2353.1663253195193"/>
  </r>
  <r>
    <x v="1"/>
    <x v="24"/>
    <x v="2"/>
    <x v="1"/>
    <x v="5"/>
    <x v="1"/>
    <x v="1"/>
    <x v="24"/>
    <x v="1"/>
    <n v="3679958.4765168652"/>
    <n v="1634494.9800077775"/>
    <n v="602754.23510161869"/>
  </r>
  <r>
    <x v="1"/>
    <x v="24"/>
    <x v="2"/>
    <x v="1"/>
    <x v="5"/>
    <x v="1"/>
    <x v="1"/>
    <x v="24"/>
    <x v="0"/>
    <n v="1175625.0285979311"/>
    <n v="523188.04510274448"/>
    <n v="210665.87882599354"/>
  </r>
  <r>
    <x v="1"/>
    <x v="24"/>
    <x v="0"/>
    <x v="1"/>
    <x v="6"/>
    <x v="1"/>
    <x v="1"/>
    <x v="24"/>
    <x v="1"/>
    <n v="938238.56853269471"/>
    <n v="371727.85800845199"/>
    <n v="168846.09233274529"/>
  </r>
  <r>
    <x v="1"/>
    <x v="24"/>
    <x v="0"/>
    <x v="1"/>
    <x v="6"/>
    <x v="1"/>
    <x v="1"/>
    <x v="24"/>
    <x v="0"/>
    <n v="544717.78273102106"/>
    <n v="215815.87176743709"/>
    <n v="109900.45600764712"/>
  </r>
  <r>
    <x v="1"/>
    <x v="24"/>
    <x v="2"/>
    <x v="1"/>
    <x v="6"/>
    <x v="1"/>
    <x v="1"/>
    <x v="24"/>
    <x v="1"/>
    <n v="3277182.6327558965"/>
    <n v="1292409.0311513918"/>
    <n v="575858.22194825683"/>
  </r>
  <r>
    <x v="1"/>
    <x v="24"/>
    <x v="2"/>
    <x v="1"/>
    <x v="6"/>
    <x v="1"/>
    <x v="1"/>
    <x v="24"/>
    <x v="0"/>
    <n v="954242.08698566118"/>
    <n v="377244.53398514644"/>
    <n v="179518.83064300366"/>
  </r>
  <r>
    <x v="1"/>
    <x v="24"/>
    <x v="0"/>
    <x v="1"/>
    <x v="7"/>
    <x v="1"/>
    <x v="1"/>
    <x v="24"/>
    <x v="1"/>
    <n v="605453.63732584915"/>
    <n v="215925.56336978235"/>
    <n v="109017.73554731729"/>
  </r>
  <r>
    <x v="1"/>
    <x v="24"/>
    <x v="0"/>
    <x v="1"/>
    <x v="7"/>
    <x v="1"/>
    <x v="1"/>
    <x v="24"/>
    <x v="0"/>
    <n v="124942.68204180864"/>
    <n v="44558.851984053152"/>
    <n v="26181.710320505212"/>
  </r>
  <r>
    <x v="1"/>
    <x v="24"/>
    <x v="2"/>
    <x v="1"/>
    <x v="7"/>
    <x v="1"/>
    <x v="1"/>
    <x v="24"/>
    <x v="1"/>
    <n v="1796789.7366113365"/>
    <n v="637532.1788229337"/>
    <n v="314609.54400026565"/>
  </r>
  <r>
    <x v="1"/>
    <x v="24"/>
    <x v="2"/>
    <x v="1"/>
    <x v="7"/>
    <x v="1"/>
    <x v="1"/>
    <x v="24"/>
    <x v="0"/>
    <n v="265750.89109172649"/>
    <n v="94663.631493024732"/>
    <n v="51977.827374463952"/>
  </r>
  <r>
    <x v="1"/>
    <x v="24"/>
    <x v="0"/>
    <x v="1"/>
    <x v="8"/>
    <x v="1"/>
    <x v="1"/>
    <x v="24"/>
    <x v="1"/>
    <n v="439571.51271953079"/>
    <n v="142533.30256423532"/>
    <n v="81885.547601836195"/>
  </r>
  <r>
    <x v="1"/>
    <x v="24"/>
    <x v="0"/>
    <x v="1"/>
    <x v="8"/>
    <x v="1"/>
    <x v="1"/>
    <x v="24"/>
    <x v="0"/>
    <n v="72714.751843817474"/>
    <n v="23578.12875842812"/>
    <n v="15701.133912594678"/>
  </r>
  <r>
    <x v="1"/>
    <x v="24"/>
    <x v="2"/>
    <x v="1"/>
    <x v="8"/>
    <x v="1"/>
    <x v="1"/>
    <x v="24"/>
    <x v="1"/>
    <n v="1437312.4392128158"/>
    <n v="464483.80071900709"/>
    <n v="260529.56654859034"/>
  </r>
  <r>
    <x v="1"/>
    <x v="24"/>
    <x v="2"/>
    <x v="1"/>
    <x v="8"/>
    <x v="1"/>
    <x v="1"/>
    <x v="24"/>
    <x v="0"/>
    <n v="161649.23594889394"/>
    <n v="52216.09543322432"/>
    <n v="32493.539197992239"/>
  </r>
  <r>
    <x v="1"/>
    <x v="24"/>
    <x v="0"/>
    <x v="1"/>
    <x v="9"/>
    <x v="1"/>
    <x v="1"/>
    <x v="24"/>
    <x v="1"/>
    <n v="216788.19964002591"/>
    <n v="64062.880526918445"/>
    <n v="40968.866067776617"/>
  </r>
  <r>
    <x v="1"/>
    <x v="24"/>
    <x v="0"/>
    <x v="1"/>
    <x v="9"/>
    <x v="1"/>
    <x v="1"/>
    <x v="24"/>
    <x v="0"/>
    <n v="52941.396022339286"/>
    <n v="15644.663011820172"/>
    <n v="11643.742031318912"/>
  </r>
  <r>
    <x v="1"/>
    <x v="24"/>
    <x v="1"/>
    <x v="1"/>
    <x v="9"/>
    <x v="1"/>
    <x v="1"/>
    <x v="24"/>
    <x v="1"/>
    <n v="987.91460920658369"/>
    <n v="187.51213662149101"/>
    <n v="139.55832381384405"/>
  </r>
  <r>
    <x v="1"/>
    <x v="24"/>
    <x v="1"/>
    <x v="1"/>
    <x v="9"/>
    <x v="1"/>
    <x v="1"/>
    <x v="24"/>
    <x v="0"/>
    <n v="2682.3070306195714"/>
    <n v="642.28040865683056"/>
    <n v="478.02547006093278"/>
  </r>
  <r>
    <x v="1"/>
    <x v="24"/>
    <x v="2"/>
    <x v="1"/>
    <x v="9"/>
    <x v="1"/>
    <x v="1"/>
    <x v="24"/>
    <x v="1"/>
    <n v="433526.49791755783"/>
    <n v="127694.22596410612"/>
    <n v="80170.01036104653"/>
  </r>
  <r>
    <x v="1"/>
    <x v="24"/>
    <x v="2"/>
    <x v="1"/>
    <x v="9"/>
    <x v="1"/>
    <x v="1"/>
    <x v="24"/>
    <x v="0"/>
    <n v="160101.22291697151"/>
    <n v="47087.461005342586"/>
    <n v="32749.341881832075"/>
  </r>
  <r>
    <x v="1"/>
    <x v="24"/>
    <x v="0"/>
    <x v="1"/>
    <x v="10"/>
    <x v="1"/>
    <x v="1"/>
    <x v="24"/>
    <x v="1"/>
    <n v="329377.93561223568"/>
    <n v="89407.934062970424"/>
    <n v="62237.91574966567"/>
  </r>
  <r>
    <x v="1"/>
    <x v="24"/>
    <x v="0"/>
    <x v="1"/>
    <x v="10"/>
    <x v="1"/>
    <x v="1"/>
    <x v="24"/>
    <x v="0"/>
    <n v="52896.101718141421"/>
    <n v="14358.37274835383"/>
    <n v="11811.288552678234"/>
  </r>
  <r>
    <x v="1"/>
    <x v="24"/>
    <x v="2"/>
    <x v="1"/>
    <x v="10"/>
    <x v="1"/>
    <x v="1"/>
    <x v="24"/>
    <x v="1"/>
    <n v="829364.60358770308"/>
    <n v="224360.62673579002"/>
    <n v="153146.25243003873"/>
  </r>
  <r>
    <x v="1"/>
    <x v="24"/>
    <x v="2"/>
    <x v="1"/>
    <x v="10"/>
    <x v="1"/>
    <x v="1"/>
    <x v="24"/>
    <x v="0"/>
    <n v="179040.40673288552"/>
    <n v="48557.949403913713"/>
    <n v="37327.02137826581"/>
  </r>
  <r>
    <x v="1"/>
    <x v="24"/>
    <x v="0"/>
    <x v="1"/>
    <x v="11"/>
    <x v="1"/>
    <x v="1"/>
    <x v="24"/>
    <x v="1"/>
    <n v="166145.79769606958"/>
    <n v="41703.375598836043"/>
    <n v="33808.656858936098"/>
  </r>
  <r>
    <x v="1"/>
    <x v="24"/>
    <x v="0"/>
    <x v="1"/>
    <x v="11"/>
    <x v="1"/>
    <x v="1"/>
    <x v="24"/>
    <x v="0"/>
    <n v="124691.35728454261"/>
    <n v="31298.116346453702"/>
    <n v="28198.031926005631"/>
  </r>
  <r>
    <x v="1"/>
    <x v="24"/>
    <x v="2"/>
    <x v="1"/>
    <x v="11"/>
    <x v="1"/>
    <x v="1"/>
    <x v="24"/>
    <x v="1"/>
    <n v="346989.0258974575"/>
    <n v="87039.183366783865"/>
    <n v="67606.946026431615"/>
  </r>
  <r>
    <x v="1"/>
    <x v="24"/>
    <x v="2"/>
    <x v="1"/>
    <x v="11"/>
    <x v="1"/>
    <x v="1"/>
    <x v="24"/>
    <x v="0"/>
    <n v="415229.15416124102"/>
    <n v="103974.81270972376"/>
    <n v="87538.617851340096"/>
  </r>
  <r>
    <x v="1"/>
    <x v="24"/>
    <x v="0"/>
    <x v="1"/>
    <x v="12"/>
    <x v="1"/>
    <x v="1"/>
    <x v="24"/>
    <x v="1"/>
    <n v="115133.40000726028"/>
    <n v="26875.282987844221"/>
    <n v="23769.750261449746"/>
  </r>
  <r>
    <x v="1"/>
    <x v="24"/>
    <x v="0"/>
    <x v="1"/>
    <x v="12"/>
    <x v="1"/>
    <x v="1"/>
    <x v="24"/>
    <x v="0"/>
    <n v="95746.138464214702"/>
    <n v="22349.766150020932"/>
    <n v="21886.975577089903"/>
  </r>
  <r>
    <x v="1"/>
    <x v="24"/>
    <x v="2"/>
    <x v="1"/>
    <x v="12"/>
    <x v="1"/>
    <x v="1"/>
    <x v="24"/>
    <x v="1"/>
    <n v="328113.07041256397"/>
    <n v="76414.728650947101"/>
    <n v="65577.734057036752"/>
  </r>
  <r>
    <x v="1"/>
    <x v="24"/>
    <x v="2"/>
    <x v="1"/>
    <x v="12"/>
    <x v="1"/>
    <x v="1"/>
    <x v="24"/>
    <x v="0"/>
    <n v="249722.36982341344"/>
    <n v="58203.464729425003"/>
    <n v="53263.849319025787"/>
  </r>
  <r>
    <x v="1"/>
    <x v="25"/>
    <x v="0"/>
    <x v="1"/>
    <x v="0"/>
    <x v="1"/>
    <x v="1"/>
    <x v="25"/>
    <x v="1"/>
    <n v="305350.71037207084"/>
    <n v="211435.21670121548"/>
    <n v="11309.258172070464"/>
  </r>
  <r>
    <x v="1"/>
    <x v="25"/>
    <x v="0"/>
    <x v="1"/>
    <x v="0"/>
    <x v="1"/>
    <x v="1"/>
    <x v="25"/>
    <x v="0"/>
    <n v="88320.132373853965"/>
    <n v="55020.004563616865"/>
    <n v="2829.4739687732199"/>
  </r>
  <r>
    <x v="1"/>
    <x v="25"/>
    <x v="1"/>
    <x v="1"/>
    <x v="0"/>
    <x v="1"/>
    <x v="1"/>
    <x v="25"/>
    <x v="1"/>
    <n v="9011.1639674644521"/>
    <n v="6308.561256755971"/>
    <n v="336.66350924403122"/>
  </r>
  <r>
    <x v="1"/>
    <x v="25"/>
    <x v="1"/>
    <x v="1"/>
    <x v="0"/>
    <x v="1"/>
    <x v="1"/>
    <x v="25"/>
    <x v="0"/>
    <n v="786.92643730134387"/>
    <n v="565.24579968381806"/>
    <n v="29.06848679582566"/>
  </r>
  <r>
    <x v="1"/>
    <x v="25"/>
    <x v="2"/>
    <x v="1"/>
    <x v="0"/>
    <x v="1"/>
    <x v="1"/>
    <x v="25"/>
    <x v="1"/>
    <n v="531606.70798797393"/>
    <n v="395625.97066268331"/>
    <n v="18787.088462840646"/>
  </r>
  <r>
    <x v="1"/>
    <x v="25"/>
    <x v="2"/>
    <x v="1"/>
    <x v="0"/>
    <x v="1"/>
    <x v="1"/>
    <x v="25"/>
    <x v="0"/>
    <n v="126644.39440938916"/>
    <n v="94528.159855145321"/>
    <n v="4464.8288296849323"/>
  </r>
  <r>
    <x v="1"/>
    <x v="25"/>
    <x v="0"/>
    <x v="1"/>
    <x v="1"/>
    <x v="1"/>
    <x v="1"/>
    <x v="25"/>
    <x v="1"/>
    <n v="369958.13060288102"/>
    <n v="216640.1254339669"/>
    <n v="23893.632141629318"/>
  </r>
  <r>
    <x v="1"/>
    <x v="25"/>
    <x v="0"/>
    <x v="1"/>
    <x v="1"/>
    <x v="1"/>
    <x v="1"/>
    <x v="25"/>
    <x v="0"/>
    <n v="124002.00581893191"/>
    <n v="74380.691374279995"/>
    <n v="7859.8397307512814"/>
  </r>
  <r>
    <x v="1"/>
    <x v="25"/>
    <x v="1"/>
    <x v="1"/>
    <x v="1"/>
    <x v="1"/>
    <x v="1"/>
    <x v="25"/>
    <x v="1"/>
    <n v="54431.624617813286"/>
    <n v="30948.689186642696"/>
    <n v="3408.5663378649219"/>
  </r>
  <r>
    <x v="1"/>
    <x v="25"/>
    <x v="1"/>
    <x v="1"/>
    <x v="1"/>
    <x v="1"/>
    <x v="1"/>
    <x v="25"/>
    <x v="0"/>
    <n v="7609.7460798608663"/>
    <n v="4555.2805625359442"/>
    <n v="481.35846129711604"/>
  </r>
  <r>
    <x v="1"/>
    <x v="25"/>
    <x v="2"/>
    <x v="1"/>
    <x v="1"/>
    <x v="1"/>
    <x v="1"/>
    <x v="25"/>
    <x v="1"/>
    <n v="1724893.7100855235"/>
    <n v="1070231.8028738052"/>
    <n v="104425.98644329986"/>
  </r>
  <r>
    <x v="1"/>
    <x v="25"/>
    <x v="2"/>
    <x v="1"/>
    <x v="1"/>
    <x v="1"/>
    <x v="1"/>
    <x v="25"/>
    <x v="0"/>
    <n v="380820.67476714123"/>
    <n v="237528.28812715207"/>
    <n v="23052.994559438732"/>
  </r>
  <r>
    <x v="1"/>
    <x v="25"/>
    <x v="0"/>
    <x v="1"/>
    <x v="2"/>
    <x v="1"/>
    <x v="1"/>
    <x v="25"/>
    <x v="1"/>
    <n v="453459.89092308964"/>
    <n v="234771.43907563086"/>
    <n v="43156.849614208506"/>
  </r>
  <r>
    <x v="1"/>
    <x v="25"/>
    <x v="0"/>
    <x v="1"/>
    <x v="2"/>
    <x v="1"/>
    <x v="1"/>
    <x v="25"/>
    <x v="0"/>
    <n v="114503.69761265113"/>
    <n v="59419.347848033227"/>
    <n v="10464.780181576238"/>
  </r>
  <r>
    <x v="1"/>
    <x v="25"/>
    <x v="1"/>
    <x v="1"/>
    <x v="2"/>
    <x v="1"/>
    <x v="1"/>
    <x v="25"/>
    <x v="1"/>
    <n v="31259.605552258261"/>
    <n v="16017.737219689514"/>
    <n v="2944.2367908694937"/>
  </r>
  <r>
    <x v="1"/>
    <x v="25"/>
    <x v="1"/>
    <x v="1"/>
    <x v="2"/>
    <x v="1"/>
    <x v="1"/>
    <x v="25"/>
    <x v="0"/>
    <n v="7125.0742217410034"/>
    <n v="3655.7149189047486"/>
    <n v="643.83495306425289"/>
  </r>
  <r>
    <x v="1"/>
    <x v="25"/>
    <x v="2"/>
    <x v="1"/>
    <x v="2"/>
    <x v="1"/>
    <x v="1"/>
    <x v="25"/>
    <x v="1"/>
    <n v="1639884.7716326527"/>
    <n v="874798.46345597703"/>
    <n v="142197.94829314781"/>
  </r>
  <r>
    <x v="1"/>
    <x v="25"/>
    <x v="2"/>
    <x v="1"/>
    <x v="2"/>
    <x v="1"/>
    <x v="1"/>
    <x v="25"/>
    <x v="0"/>
    <n v="503871.71584326134"/>
    <n v="268440.41357208759"/>
    <n v="43421.883504236961"/>
  </r>
  <r>
    <x v="1"/>
    <x v="25"/>
    <x v="0"/>
    <x v="1"/>
    <x v="3"/>
    <x v="1"/>
    <x v="1"/>
    <x v="25"/>
    <x v="1"/>
    <n v="404966.07493822818"/>
    <n v="186597.18326335039"/>
    <n v="48198.632267422254"/>
  </r>
  <r>
    <x v="1"/>
    <x v="25"/>
    <x v="0"/>
    <x v="1"/>
    <x v="3"/>
    <x v="1"/>
    <x v="1"/>
    <x v="25"/>
    <x v="0"/>
    <n v="87366.922917835647"/>
    <n v="40304.184653254175"/>
    <n v="9937.5746671224006"/>
  </r>
  <r>
    <x v="1"/>
    <x v="25"/>
    <x v="1"/>
    <x v="1"/>
    <x v="3"/>
    <x v="1"/>
    <x v="1"/>
    <x v="25"/>
    <x v="1"/>
    <n v="27198.450890465589"/>
    <n v="12354.510134834576"/>
    <n v="3128.5258641974729"/>
  </r>
  <r>
    <x v="1"/>
    <x v="25"/>
    <x v="1"/>
    <x v="1"/>
    <x v="3"/>
    <x v="1"/>
    <x v="1"/>
    <x v="25"/>
    <x v="0"/>
    <n v="66.972462749050536"/>
    <n v="30.066265940628618"/>
    <n v="7.4132690021414911"/>
  </r>
  <r>
    <x v="1"/>
    <x v="25"/>
    <x v="2"/>
    <x v="1"/>
    <x v="3"/>
    <x v="1"/>
    <x v="1"/>
    <x v="25"/>
    <x v="1"/>
    <n v="1978892.1379478064"/>
    <n v="912155.32957361953"/>
    <n v="207757.69757427805"/>
  </r>
  <r>
    <x v="1"/>
    <x v="25"/>
    <x v="2"/>
    <x v="1"/>
    <x v="3"/>
    <x v="1"/>
    <x v="1"/>
    <x v="25"/>
    <x v="0"/>
    <n v="462025.07163891091"/>
    <n v="211592.20381889754"/>
    <n v="47916.871618983307"/>
  </r>
  <r>
    <x v="1"/>
    <x v="25"/>
    <x v="0"/>
    <x v="1"/>
    <x v="4"/>
    <x v="1"/>
    <x v="1"/>
    <x v="25"/>
    <x v="1"/>
    <n v="357987.83325646562"/>
    <n v="148046.58847935079"/>
    <n v="48826.12893172849"/>
  </r>
  <r>
    <x v="1"/>
    <x v="25"/>
    <x v="0"/>
    <x v="1"/>
    <x v="4"/>
    <x v="1"/>
    <x v="1"/>
    <x v="25"/>
    <x v="0"/>
    <n v="117813.82211814869"/>
    <n v="48598.626563986363"/>
    <n v="15406.313474775594"/>
  </r>
  <r>
    <x v="1"/>
    <x v="25"/>
    <x v="1"/>
    <x v="1"/>
    <x v="4"/>
    <x v="1"/>
    <x v="1"/>
    <x v="25"/>
    <x v="1"/>
    <n v="11052.623827596228"/>
    <n v="4328.0375781332823"/>
    <n v="1432.3360876118052"/>
  </r>
  <r>
    <x v="1"/>
    <x v="25"/>
    <x v="1"/>
    <x v="1"/>
    <x v="4"/>
    <x v="1"/>
    <x v="1"/>
    <x v="25"/>
    <x v="0"/>
    <n v="1540.8213945184336"/>
    <n v="612.34961632413615"/>
    <n v="194.12174401321937"/>
  </r>
  <r>
    <x v="1"/>
    <x v="25"/>
    <x v="2"/>
    <x v="1"/>
    <x v="4"/>
    <x v="1"/>
    <x v="1"/>
    <x v="25"/>
    <x v="1"/>
    <n v="1803436.6157433367"/>
    <n v="735660.59145291429"/>
    <n v="215341.58813018003"/>
  </r>
  <r>
    <x v="1"/>
    <x v="25"/>
    <x v="2"/>
    <x v="1"/>
    <x v="4"/>
    <x v="1"/>
    <x v="1"/>
    <x v="25"/>
    <x v="0"/>
    <n v="552073.30951744399"/>
    <n v="223512.01917864638"/>
    <n v="65077.992217957217"/>
  </r>
  <r>
    <x v="1"/>
    <x v="25"/>
    <x v="0"/>
    <x v="1"/>
    <x v="5"/>
    <x v="1"/>
    <x v="1"/>
    <x v="25"/>
    <x v="1"/>
    <n v="203775.99362449694"/>
    <n v="74771.4083628636"/>
    <n v="30243.479110163513"/>
  </r>
  <r>
    <x v="1"/>
    <x v="25"/>
    <x v="0"/>
    <x v="1"/>
    <x v="5"/>
    <x v="1"/>
    <x v="1"/>
    <x v="25"/>
    <x v="0"/>
    <n v="49915.904887238721"/>
    <n v="18317.737925068399"/>
    <n v="7097.3586391355493"/>
  </r>
  <r>
    <x v="1"/>
    <x v="25"/>
    <x v="1"/>
    <x v="1"/>
    <x v="5"/>
    <x v="1"/>
    <x v="1"/>
    <x v="25"/>
    <x v="1"/>
    <n v="10787.344744288932"/>
    <n v="3723.5289780489993"/>
    <n v="1542.5058727384244"/>
  </r>
  <r>
    <x v="1"/>
    <x v="25"/>
    <x v="2"/>
    <x v="1"/>
    <x v="5"/>
    <x v="1"/>
    <x v="1"/>
    <x v="25"/>
    <x v="1"/>
    <n v="1176216.4836934085"/>
    <n v="430273.75522246934"/>
    <n v="153997.0451829964"/>
  </r>
  <r>
    <x v="1"/>
    <x v="25"/>
    <x v="2"/>
    <x v="1"/>
    <x v="5"/>
    <x v="1"/>
    <x v="1"/>
    <x v="25"/>
    <x v="0"/>
    <n v="302509.76447537245"/>
    <n v="110229.12967248655"/>
    <n v="39226.523309907534"/>
  </r>
  <r>
    <x v="1"/>
    <x v="25"/>
    <x v="0"/>
    <x v="1"/>
    <x v="6"/>
    <x v="1"/>
    <x v="1"/>
    <x v="25"/>
    <x v="1"/>
    <n v="238216.90627877196"/>
    <n v="79275.155415157889"/>
    <n v="37811.710705890007"/>
  </r>
  <r>
    <x v="1"/>
    <x v="25"/>
    <x v="0"/>
    <x v="1"/>
    <x v="6"/>
    <x v="1"/>
    <x v="1"/>
    <x v="25"/>
    <x v="0"/>
    <n v="61155.156187718487"/>
    <n v="20351.105357958695"/>
    <n v="9318.8770074742897"/>
  </r>
  <r>
    <x v="1"/>
    <x v="25"/>
    <x v="2"/>
    <x v="1"/>
    <x v="6"/>
    <x v="1"/>
    <x v="1"/>
    <x v="25"/>
    <x v="1"/>
    <n v="1357683.2759075186"/>
    <n v="450255.06914513523"/>
    <n v="190434.45013285129"/>
  </r>
  <r>
    <x v="1"/>
    <x v="25"/>
    <x v="2"/>
    <x v="1"/>
    <x v="6"/>
    <x v="1"/>
    <x v="1"/>
    <x v="25"/>
    <x v="0"/>
    <n v="364333.0623254099"/>
    <n v="120362.41254567444"/>
    <n v="50620.332178685108"/>
  </r>
  <r>
    <x v="1"/>
    <x v="25"/>
    <x v="0"/>
    <x v="1"/>
    <x v="7"/>
    <x v="1"/>
    <x v="1"/>
    <x v="25"/>
    <x v="1"/>
    <n v="120564.28502797465"/>
    <n v="36701.405865721666"/>
    <n v="20284.79478636045"/>
  </r>
  <r>
    <x v="1"/>
    <x v="25"/>
    <x v="0"/>
    <x v="1"/>
    <x v="7"/>
    <x v="1"/>
    <x v="1"/>
    <x v="25"/>
    <x v="0"/>
    <n v="26012.865838137786"/>
    <n v="7918.6696676759511"/>
    <n v="4183.846191715842"/>
  </r>
  <r>
    <x v="1"/>
    <x v="25"/>
    <x v="2"/>
    <x v="1"/>
    <x v="7"/>
    <x v="1"/>
    <x v="1"/>
    <x v="25"/>
    <x v="1"/>
    <n v="723284.77111339907"/>
    <n v="219521.0272432346"/>
    <n v="107139.73860413504"/>
  </r>
  <r>
    <x v="1"/>
    <x v="25"/>
    <x v="2"/>
    <x v="1"/>
    <x v="7"/>
    <x v="1"/>
    <x v="1"/>
    <x v="25"/>
    <x v="0"/>
    <n v="135084.21480904042"/>
    <n v="40788.917731876223"/>
    <n v="19793.572924985197"/>
  </r>
  <r>
    <x v="1"/>
    <x v="25"/>
    <x v="0"/>
    <x v="1"/>
    <x v="8"/>
    <x v="1"/>
    <x v="1"/>
    <x v="25"/>
    <x v="1"/>
    <n v="71129.27222967743"/>
    <n v="19952.082425491612"/>
    <n v="12406.913315452302"/>
  </r>
  <r>
    <x v="1"/>
    <x v="25"/>
    <x v="0"/>
    <x v="1"/>
    <x v="8"/>
    <x v="1"/>
    <x v="1"/>
    <x v="25"/>
    <x v="0"/>
    <n v="20482.446177455695"/>
    <n v="5745.4187509285684"/>
    <n v="3440.3516355206398"/>
  </r>
  <r>
    <x v="1"/>
    <x v="25"/>
    <x v="2"/>
    <x v="1"/>
    <x v="8"/>
    <x v="1"/>
    <x v="1"/>
    <x v="25"/>
    <x v="1"/>
    <n v="415313.5191266833"/>
    <n v="116019.50654024231"/>
    <n v="64156.283713457226"/>
  </r>
  <r>
    <x v="1"/>
    <x v="25"/>
    <x v="2"/>
    <x v="1"/>
    <x v="8"/>
    <x v="1"/>
    <x v="1"/>
    <x v="25"/>
    <x v="0"/>
    <n v="107025.34342376492"/>
    <n v="29766.978512630303"/>
    <n v="16370.970639504518"/>
  </r>
  <r>
    <x v="1"/>
    <x v="25"/>
    <x v="0"/>
    <x v="1"/>
    <x v="9"/>
    <x v="1"/>
    <x v="1"/>
    <x v="25"/>
    <x v="1"/>
    <n v="99411.491543407523"/>
    <n v="25720.919545127555"/>
    <n v="18032.744933611444"/>
  </r>
  <r>
    <x v="1"/>
    <x v="25"/>
    <x v="0"/>
    <x v="1"/>
    <x v="9"/>
    <x v="1"/>
    <x v="1"/>
    <x v="25"/>
    <x v="0"/>
    <n v="30217.847934545953"/>
    <n v="7818.3198288699004"/>
    <n v="5232.3797748336228"/>
  </r>
  <r>
    <x v="1"/>
    <x v="25"/>
    <x v="1"/>
    <x v="1"/>
    <x v="9"/>
    <x v="1"/>
    <x v="1"/>
    <x v="25"/>
    <x v="1"/>
    <n v="275.39767004356929"/>
    <n v="110.38612306594302"/>
    <n v="73.875478414141838"/>
  </r>
  <r>
    <x v="1"/>
    <x v="25"/>
    <x v="1"/>
    <x v="1"/>
    <x v="9"/>
    <x v="1"/>
    <x v="1"/>
    <x v="25"/>
    <x v="0"/>
    <n v="3151.6331467122641"/>
    <n v="789.84233231882718"/>
    <n v="528.59887231420862"/>
  </r>
  <r>
    <x v="1"/>
    <x v="25"/>
    <x v="2"/>
    <x v="1"/>
    <x v="9"/>
    <x v="1"/>
    <x v="1"/>
    <x v="25"/>
    <x v="1"/>
    <n v="565276.21221562591"/>
    <n v="145762.81267808637"/>
    <n v="90101.467567792104"/>
  </r>
  <r>
    <x v="1"/>
    <x v="25"/>
    <x v="2"/>
    <x v="1"/>
    <x v="9"/>
    <x v="1"/>
    <x v="1"/>
    <x v="25"/>
    <x v="0"/>
    <n v="195001.16569119852"/>
    <n v="50126.384249037808"/>
    <n v="30811.350481361726"/>
  </r>
  <r>
    <x v="1"/>
    <x v="25"/>
    <x v="0"/>
    <x v="1"/>
    <x v="10"/>
    <x v="1"/>
    <x v="1"/>
    <x v="25"/>
    <x v="1"/>
    <n v="177061.16794804827"/>
    <n v="42511.626181279717"/>
    <n v="32730.818000760562"/>
  </r>
  <r>
    <x v="1"/>
    <x v="25"/>
    <x v="0"/>
    <x v="1"/>
    <x v="10"/>
    <x v="1"/>
    <x v="1"/>
    <x v="25"/>
    <x v="0"/>
    <n v="50978.062322522659"/>
    <n v="12239.613880424267"/>
    <n v="9053.5569355806256"/>
  </r>
  <r>
    <x v="1"/>
    <x v="25"/>
    <x v="1"/>
    <x v="1"/>
    <x v="10"/>
    <x v="1"/>
    <x v="1"/>
    <x v="25"/>
    <x v="1"/>
    <n v="2159.9262370759407"/>
    <n v="527.57541808880194"/>
    <n v="390.24385345350072"/>
  </r>
  <r>
    <x v="1"/>
    <x v="25"/>
    <x v="2"/>
    <x v="1"/>
    <x v="10"/>
    <x v="1"/>
    <x v="1"/>
    <x v="25"/>
    <x v="1"/>
    <n v="1020532.1491898396"/>
    <n v="244099.98065763488"/>
    <n v="166774.37441766204"/>
  </r>
  <r>
    <x v="1"/>
    <x v="25"/>
    <x v="2"/>
    <x v="1"/>
    <x v="10"/>
    <x v="1"/>
    <x v="1"/>
    <x v="25"/>
    <x v="0"/>
    <n v="297066.08511033765"/>
    <n v="70804.925005768833"/>
    <n v="48103.149930755935"/>
  </r>
  <r>
    <x v="1"/>
    <x v="25"/>
    <x v="0"/>
    <x v="1"/>
    <x v="11"/>
    <x v="1"/>
    <x v="1"/>
    <x v="25"/>
    <x v="1"/>
    <n v="22210.131028635817"/>
    <n v="4974.266586469148"/>
    <n v="4191.1112937930193"/>
  </r>
  <r>
    <x v="1"/>
    <x v="25"/>
    <x v="0"/>
    <x v="1"/>
    <x v="11"/>
    <x v="1"/>
    <x v="1"/>
    <x v="25"/>
    <x v="0"/>
    <n v="10926.606415158541"/>
    <n v="2447.1649052563439"/>
    <n v="1982.5461091987804"/>
  </r>
  <r>
    <x v="1"/>
    <x v="25"/>
    <x v="2"/>
    <x v="1"/>
    <x v="11"/>
    <x v="1"/>
    <x v="1"/>
    <x v="25"/>
    <x v="1"/>
    <n v="111667.33945935513"/>
    <n v="24806.096336359162"/>
    <n v="18552.792045675687"/>
  </r>
  <r>
    <x v="1"/>
    <x v="25"/>
    <x v="2"/>
    <x v="1"/>
    <x v="11"/>
    <x v="1"/>
    <x v="1"/>
    <x v="25"/>
    <x v="0"/>
    <n v="76671.086213645438"/>
    <n v="17062.649385520443"/>
    <n v="12695.945720507685"/>
  </r>
  <r>
    <x v="1"/>
    <x v="25"/>
    <x v="0"/>
    <x v="1"/>
    <x v="12"/>
    <x v="1"/>
    <x v="1"/>
    <x v="25"/>
    <x v="1"/>
    <n v="19961.450400770682"/>
    <n v="4189.175821824384"/>
    <n v="3828.083536140894"/>
  </r>
  <r>
    <x v="1"/>
    <x v="25"/>
    <x v="0"/>
    <x v="1"/>
    <x v="12"/>
    <x v="1"/>
    <x v="1"/>
    <x v="25"/>
    <x v="0"/>
    <n v="13303.879971393148"/>
    <n v="2791.9961322280501"/>
    <n v="2458.5952934305656"/>
  </r>
  <r>
    <x v="1"/>
    <x v="25"/>
    <x v="2"/>
    <x v="1"/>
    <x v="12"/>
    <x v="1"/>
    <x v="1"/>
    <x v="25"/>
    <x v="1"/>
    <n v="107241.05192102071"/>
    <n v="22294.874156413189"/>
    <n v="18109.84201968605"/>
  </r>
  <r>
    <x v="1"/>
    <x v="25"/>
    <x v="2"/>
    <x v="1"/>
    <x v="12"/>
    <x v="1"/>
    <x v="1"/>
    <x v="25"/>
    <x v="0"/>
    <n v="75745.365751035002"/>
    <n v="15772.238346560876"/>
    <n v="12756.281495995965"/>
  </r>
  <r>
    <x v="1"/>
    <x v="26"/>
    <x v="0"/>
    <x v="1"/>
    <x v="0"/>
    <x v="1"/>
    <x v="1"/>
    <x v="26"/>
    <x v="1"/>
    <n v="241042.74484714921"/>
    <n v="198562.11902487261"/>
    <n v="10333.168282141556"/>
  </r>
  <r>
    <x v="1"/>
    <x v="26"/>
    <x v="0"/>
    <x v="1"/>
    <x v="0"/>
    <x v="1"/>
    <x v="1"/>
    <x v="26"/>
    <x v="0"/>
    <n v="59740.14496355383"/>
    <n v="46236.786852076264"/>
    <n v="2381.1532922434435"/>
  </r>
  <r>
    <x v="1"/>
    <x v="26"/>
    <x v="1"/>
    <x v="1"/>
    <x v="0"/>
    <x v="1"/>
    <x v="1"/>
    <x v="26"/>
    <x v="1"/>
    <n v="7377.5242105033012"/>
    <n v="5931.1425190137998"/>
    <n v="307.25709682670805"/>
  </r>
  <r>
    <x v="1"/>
    <x v="26"/>
    <x v="1"/>
    <x v="1"/>
    <x v="0"/>
    <x v="1"/>
    <x v="1"/>
    <x v="26"/>
    <x v="0"/>
    <n v="1560.6984919844795"/>
    <n v="1251.0164937677378"/>
    <n v="64.426233862574975"/>
  </r>
  <r>
    <x v="1"/>
    <x v="26"/>
    <x v="2"/>
    <x v="1"/>
    <x v="0"/>
    <x v="1"/>
    <x v="1"/>
    <x v="26"/>
    <x v="1"/>
    <n v="550015.77706000907"/>
    <n v="456688.05556027958"/>
    <n v="21896.092558955777"/>
  </r>
  <r>
    <x v="1"/>
    <x v="26"/>
    <x v="2"/>
    <x v="1"/>
    <x v="0"/>
    <x v="1"/>
    <x v="1"/>
    <x v="26"/>
    <x v="0"/>
    <n v="150421.07221843229"/>
    <n v="123329.75158483327"/>
    <n v="5903.7001587346922"/>
  </r>
  <r>
    <x v="1"/>
    <x v="26"/>
    <x v="0"/>
    <x v="1"/>
    <x v="1"/>
    <x v="1"/>
    <x v="1"/>
    <x v="26"/>
    <x v="1"/>
    <n v="427178.9632475386"/>
    <n v="282006.71669595758"/>
    <n v="30111.327793236818"/>
  </r>
  <r>
    <x v="1"/>
    <x v="26"/>
    <x v="0"/>
    <x v="1"/>
    <x v="1"/>
    <x v="1"/>
    <x v="1"/>
    <x v="26"/>
    <x v="0"/>
    <n v="162553.68637732093"/>
    <n v="108707.76692546753"/>
    <n v="11503.465189519724"/>
  </r>
  <r>
    <x v="1"/>
    <x v="26"/>
    <x v="1"/>
    <x v="1"/>
    <x v="1"/>
    <x v="1"/>
    <x v="1"/>
    <x v="26"/>
    <x v="1"/>
    <n v="67046.966933854783"/>
    <n v="43455.586263790079"/>
    <n v="4638.3279896158447"/>
  </r>
  <r>
    <x v="1"/>
    <x v="26"/>
    <x v="1"/>
    <x v="1"/>
    <x v="1"/>
    <x v="1"/>
    <x v="1"/>
    <x v="26"/>
    <x v="0"/>
    <n v="11509.374286584136"/>
    <n v="7539.1522406643426"/>
    <n v="797.79373463198283"/>
  </r>
  <r>
    <x v="1"/>
    <x v="26"/>
    <x v="2"/>
    <x v="1"/>
    <x v="1"/>
    <x v="1"/>
    <x v="1"/>
    <x v="26"/>
    <x v="1"/>
    <n v="1434806.0527894015"/>
    <n v="972483.65055506839"/>
    <n v="95840.758872280872"/>
  </r>
  <r>
    <x v="1"/>
    <x v="26"/>
    <x v="2"/>
    <x v="1"/>
    <x v="1"/>
    <x v="1"/>
    <x v="1"/>
    <x v="26"/>
    <x v="0"/>
    <n v="329004.71788570541"/>
    <n v="221958.76036206054"/>
    <n v="21832.181087691682"/>
  </r>
  <r>
    <x v="1"/>
    <x v="26"/>
    <x v="0"/>
    <x v="1"/>
    <x v="2"/>
    <x v="1"/>
    <x v="1"/>
    <x v="26"/>
    <x v="1"/>
    <n v="555539.04545011267"/>
    <n v="314756.55020948377"/>
    <n v="56059.199940638086"/>
  </r>
  <r>
    <x v="1"/>
    <x v="26"/>
    <x v="0"/>
    <x v="1"/>
    <x v="2"/>
    <x v="1"/>
    <x v="1"/>
    <x v="26"/>
    <x v="0"/>
    <n v="146091.23337987755"/>
    <n v="82836.660233802453"/>
    <n v="14609.637446128923"/>
  </r>
  <r>
    <x v="1"/>
    <x v="26"/>
    <x v="1"/>
    <x v="1"/>
    <x v="2"/>
    <x v="1"/>
    <x v="1"/>
    <x v="26"/>
    <x v="1"/>
    <n v="45102.180312962242"/>
    <n v="24773.607889409741"/>
    <n v="4408.6196194949807"/>
  </r>
  <r>
    <x v="1"/>
    <x v="26"/>
    <x v="1"/>
    <x v="1"/>
    <x v="2"/>
    <x v="1"/>
    <x v="1"/>
    <x v="26"/>
    <x v="0"/>
    <n v="5163.6692943542384"/>
    <n v="2858.6179134443273"/>
    <n v="504.16531997494917"/>
  </r>
  <r>
    <x v="1"/>
    <x v="26"/>
    <x v="2"/>
    <x v="1"/>
    <x v="2"/>
    <x v="1"/>
    <x v="1"/>
    <x v="26"/>
    <x v="1"/>
    <n v="1429090.4808638159"/>
    <n v="818117.48800118826"/>
    <n v="134345.50438281632"/>
  </r>
  <r>
    <x v="1"/>
    <x v="26"/>
    <x v="2"/>
    <x v="1"/>
    <x v="2"/>
    <x v="1"/>
    <x v="1"/>
    <x v="26"/>
    <x v="0"/>
    <n v="415680.91410351219"/>
    <n v="236912.29851497227"/>
    <n v="38838.387475245574"/>
  </r>
  <r>
    <x v="1"/>
    <x v="26"/>
    <x v="0"/>
    <x v="1"/>
    <x v="3"/>
    <x v="1"/>
    <x v="1"/>
    <x v="26"/>
    <x v="1"/>
    <n v="345236.50974226004"/>
    <n v="170682.86563068946"/>
    <n v="42567.709451872055"/>
  </r>
  <r>
    <x v="1"/>
    <x v="26"/>
    <x v="0"/>
    <x v="1"/>
    <x v="3"/>
    <x v="1"/>
    <x v="1"/>
    <x v="26"/>
    <x v="0"/>
    <n v="86960.168765880284"/>
    <n v="43000.561651657146"/>
    <n v="10617.420590261565"/>
  </r>
  <r>
    <x v="1"/>
    <x v="26"/>
    <x v="1"/>
    <x v="1"/>
    <x v="3"/>
    <x v="1"/>
    <x v="1"/>
    <x v="26"/>
    <x v="1"/>
    <n v="37429.225683976052"/>
    <n v="17675.511986992227"/>
    <n v="4390.0818120854192"/>
  </r>
  <r>
    <x v="1"/>
    <x v="26"/>
    <x v="2"/>
    <x v="1"/>
    <x v="3"/>
    <x v="1"/>
    <x v="1"/>
    <x v="26"/>
    <x v="1"/>
    <n v="1097079.3314608992"/>
    <n v="544523.18640182703"/>
    <n v="125251.16008020147"/>
  </r>
  <r>
    <x v="1"/>
    <x v="26"/>
    <x v="2"/>
    <x v="1"/>
    <x v="3"/>
    <x v="1"/>
    <x v="1"/>
    <x v="26"/>
    <x v="0"/>
    <n v="262185.74375047931"/>
    <n v="128574.56829601753"/>
    <n v="29509.14962178974"/>
  </r>
  <r>
    <x v="1"/>
    <x v="26"/>
    <x v="0"/>
    <x v="1"/>
    <x v="4"/>
    <x v="1"/>
    <x v="1"/>
    <x v="26"/>
    <x v="1"/>
    <n v="358589.66816738795"/>
    <n v="155996.40365987926"/>
    <n v="49978.467990907913"/>
  </r>
  <r>
    <x v="1"/>
    <x v="26"/>
    <x v="0"/>
    <x v="1"/>
    <x v="4"/>
    <x v="1"/>
    <x v="1"/>
    <x v="26"/>
    <x v="0"/>
    <n v="132774.93815982307"/>
    <n v="57742.287257154538"/>
    <n v="18330.881321884037"/>
  </r>
  <r>
    <x v="1"/>
    <x v="26"/>
    <x v="1"/>
    <x v="1"/>
    <x v="4"/>
    <x v="1"/>
    <x v="1"/>
    <x v="26"/>
    <x v="1"/>
    <n v="13489.802139920386"/>
    <n v="5588.0567027625357"/>
    <n v="1790.4486934250267"/>
  </r>
  <r>
    <x v="1"/>
    <x v="26"/>
    <x v="1"/>
    <x v="1"/>
    <x v="4"/>
    <x v="1"/>
    <x v="1"/>
    <x v="26"/>
    <x v="0"/>
    <n v="413.77052056184948"/>
    <n v="174.28092066900439"/>
    <n v="55.32726577360102"/>
  </r>
  <r>
    <x v="1"/>
    <x v="26"/>
    <x v="2"/>
    <x v="1"/>
    <x v="4"/>
    <x v="1"/>
    <x v="1"/>
    <x v="26"/>
    <x v="1"/>
    <n v="1163025.3056075999"/>
    <n v="506716.81934927526"/>
    <n v="149782.07322374696"/>
  </r>
  <r>
    <x v="1"/>
    <x v="26"/>
    <x v="2"/>
    <x v="1"/>
    <x v="4"/>
    <x v="1"/>
    <x v="1"/>
    <x v="26"/>
    <x v="0"/>
    <n v="386455.03609064058"/>
    <n v="166846.32987476012"/>
    <n v="49233.730829555556"/>
  </r>
  <r>
    <x v="1"/>
    <x v="26"/>
    <x v="0"/>
    <x v="1"/>
    <x v="5"/>
    <x v="1"/>
    <x v="1"/>
    <x v="26"/>
    <x v="1"/>
    <n v="195487.78993209233"/>
    <n v="75705.275130669965"/>
    <n v="29676.132057692888"/>
  </r>
  <r>
    <x v="1"/>
    <x v="26"/>
    <x v="0"/>
    <x v="1"/>
    <x v="5"/>
    <x v="1"/>
    <x v="1"/>
    <x v="26"/>
    <x v="0"/>
    <n v="52078.40410489824"/>
    <n v="20169.730376373507"/>
    <n v="7825.9961734000572"/>
  </r>
  <r>
    <x v="1"/>
    <x v="26"/>
    <x v="1"/>
    <x v="1"/>
    <x v="5"/>
    <x v="1"/>
    <x v="1"/>
    <x v="26"/>
    <x v="1"/>
    <n v="9524.613908490086"/>
    <n v="3557.1020894428343"/>
    <n v="1395.9566427169409"/>
  </r>
  <r>
    <x v="1"/>
    <x v="26"/>
    <x v="2"/>
    <x v="1"/>
    <x v="5"/>
    <x v="1"/>
    <x v="1"/>
    <x v="26"/>
    <x v="1"/>
    <n v="639041.02229908179"/>
    <n v="247554.66358313564"/>
    <n v="89444.902647377356"/>
  </r>
  <r>
    <x v="1"/>
    <x v="26"/>
    <x v="2"/>
    <x v="1"/>
    <x v="5"/>
    <x v="1"/>
    <x v="1"/>
    <x v="26"/>
    <x v="0"/>
    <n v="190915.87817572581"/>
    <n v="74042.386654871632"/>
    <n v="26704.021805295521"/>
  </r>
  <r>
    <x v="1"/>
    <x v="26"/>
    <x v="0"/>
    <x v="1"/>
    <x v="6"/>
    <x v="1"/>
    <x v="1"/>
    <x v="26"/>
    <x v="1"/>
    <n v="215881.24583357151"/>
    <n v="75429.97255468939"/>
    <n v="34927.957232096727"/>
  </r>
  <r>
    <x v="1"/>
    <x v="26"/>
    <x v="0"/>
    <x v="1"/>
    <x v="6"/>
    <x v="1"/>
    <x v="1"/>
    <x v="26"/>
    <x v="0"/>
    <n v="75350.545459404224"/>
    <n v="26327.852398838953"/>
    <n v="12072.734230365755"/>
  </r>
  <r>
    <x v="1"/>
    <x v="26"/>
    <x v="2"/>
    <x v="1"/>
    <x v="6"/>
    <x v="1"/>
    <x v="1"/>
    <x v="26"/>
    <x v="1"/>
    <n v="739991.61808483233"/>
    <n v="259014.57651889214"/>
    <n v="110573.34188960634"/>
  </r>
  <r>
    <x v="1"/>
    <x v="26"/>
    <x v="2"/>
    <x v="1"/>
    <x v="6"/>
    <x v="1"/>
    <x v="1"/>
    <x v="26"/>
    <x v="0"/>
    <n v="232769.97030118731"/>
    <n v="81436.996506182681"/>
    <n v="34711.124229844085"/>
  </r>
  <r>
    <x v="1"/>
    <x v="26"/>
    <x v="0"/>
    <x v="1"/>
    <x v="7"/>
    <x v="1"/>
    <x v="1"/>
    <x v="26"/>
    <x v="1"/>
    <n v="112025.42966172012"/>
    <n v="35654.069032323328"/>
    <n v="19064.140353060371"/>
  </r>
  <r>
    <x v="1"/>
    <x v="26"/>
    <x v="0"/>
    <x v="1"/>
    <x v="7"/>
    <x v="1"/>
    <x v="1"/>
    <x v="26"/>
    <x v="0"/>
    <n v="26181.793328342104"/>
    <n v="8332.8175534568945"/>
    <n v="4408.8973294121424"/>
  </r>
  <r>
    <x v="1"/>
    <x v="26"/>
    <x v="2"/>
    <x v="1"/>
    <x v="7"/>
    <x v="1"/>
    <x v="1"/>
    <x v="26"/>
    <x v="1"/>
    <n v="390391.84999237454"/>
    <n v="124220.50513592095"/>
    <n v="61190.438961368549"/>
  </r>
  <r>
    <x v="1"/>
    <x v="26"/>
    <x v="2"/>
    <x v="1"/>
    <x v="7"/>
    <x v="1"/>
    <x v="1"/>
    <x v="26"/>
    <x v="0"/>
    <n v="70410.620474683645"/>
    <n v="22439.856392593825"/>
    <n v="11036.081827672813"/>
  </r>
  <r>
    <x v="1"/>
    <x v="26"/>
    <x v="0"/>
    <x v="1"/>
    <x v="8"/>
    <x v="1"/>
    <x v="1"/>
    <x v="26"/>
    <x v="1"/>
    <n v="71293.558079537077"/>
    <n v="20833.821937793655"/>
    <n v="12625.866670585006"/>
  </r>
  <r>
    <x v="1"/>
    <x v="26"/>
    <x v="0"/>
    <x v="1"/>
    <x v="8"/>
    <x v="1"/>
    <x v="1"/>
    <x v="26"/>
    <x v="0"/>
    <n v="19114.788980469952"/>
    <n v="5585.8358135714052"/>
    <n v="3349.5305321878764"/>
  </r>
  <r>
    <x v="1"/>
    <x v="26"/>
    <x v="2"/>
    <x v="1"/>
    <x v="8"/>
    <x v="1"/>
    <x v="1"/>
    <x v="26"/>
    <x v="1"/>
    <n v="229768.97637213476"/>
    <n v="67182.64243853261"/>
    <n v="37496.06173184661"/>
  </r>
  <r>
    <x v="1"/>
    <x v="26"/>
    <x v="2"/>
    <x v="1"/>
    <x v="8"/>
    <x v="1"/>
    <x v="1"/>
    <x v="26"/>
    <x v="0"/>
    <n v="52387.343753843554"/>
    <n v="15335.260955755157"/>
    <n v="8547.5897900097734"/>
  </r>
  <r>
    <x v="1"/>
    <x v="26"/>
    <x v="0"/>
    <x v="1"/>
    <x v="9"/>
    <x v="1"/>
    <x v="1"/>
    <x v="26"/>
    <x v="1"/>
    <n v="87540.68729151439"/>
    <n v="23519.725384739748"/>
    <n v="15913.303782783789"/>
  </r>
  <r>
    <x v="1"/>
    <x v="26"/>
    <x v="0"/>
    <x v="1"/>
    <x v="9"/>
    <x v="1"/>
    <x v="1"/>
    <x v="26"/>
    <x v="0"/>
    <n v="26150.68536110927"/>
    <n v="7025.9550998024124"/>
    <n v="4708.7520723128928"/>
  </r>
  <r>
    <x v="1"/>
    <x v="26"/>
    <x v="1"/>
    <x v="1"/>
    <x v="9"/>
    <x v="1"/>
    <x v="1"/>
    <x v="26"/>
    <x v="1"/>
    <n v="171.92917800242355"/>
    <n v="37.153044795301689"/>
    <n v="24.899743050952672"/>
  </r>
  <r>
    <x v="1"/>
    <x v="26"/>
    <x v="1"/>
    <x v="1"/>
    <x v="9"/>
    <x v="1"/>
    <x v="1"/>
    <x v="26"/>
    <x v="0"/>
    <n v="1593.0969438406796"/>
    <n v="413.65661428921874"/>
    <n v="277.23012915568887"/>
  </r>
  <r>
    <x v="1"/>
    <x v="26"/>
    <x v="2"/>
    <x v="1"/>
    <x v="9"/>
    <x v="1"/>
    <x v="1"/>
    <x v="26"/>
    <x v="1"/>
    <n v="278336.4561770602"/>
    <n v="74854.914523739091"/>
    <n v="46752.842007420564"/>
  </r>
  <r>
    <x v="1"/>
    <x v="26"/>
    <x v="2"/>
    <x v="1"/>
    <x v="9"/>
    <x v="1"/>
    <x v="1"/>
    <x v="26"/>
    <x v="0"/>
    <n v="104508.73586543847"/>
    <n v="28095.936067352541"/>
    <n v="17502.524189555752"/>
  </r>
  <r>
    <x v="1"/>
    <x v="26"/>
    <x v="0"/>
    <x v="1"/>
    <x v="10"/>
    <x v="1"/>
    <x v="1"/>
    <x v="26"/>
    <x v="1"/>
    <n v="407263.49350775889"/>
    <n v="101258.63752863694"/>
    <n v="75754.544296333683"/>
  </r>
  <r>
    <x v="1"/>
    <x v="26"/>
    <x v="0"/>
    <x v="1"/>
    <x v="10"/>
    <x v="1"/>
    <x v="1"/>
    <x v="26"/>
    <x v="0"/>
    <n v="125082.93966489016"/>
    <n v="31099.590929335725"/>
    <n v="23036.729596003948"/>
  </r>
  <r>
    <x v="1"/>
    <x v="26"/>
    <x v="1"/>
    <x v="1"/>
    <x v="10"/>
    <x v="1"/>
    <x v="1"/>
    <x v="26"/>
    <x v="1"/>
    <n v="525.24861758325915"/>
    <n v="124.41460003961812"/>
    <n v="92.158945287094298"/>
  </r>
  <r>
    <x v="1"/>
    <x v="26"/>
    <x v="2"/>
    <x v="1"/>
    <x v="10"/>
    <x v="1"/>
    <x v="1"/>
    <x v="26"/>
    <x v="1"/>
    <n v="1409885.9056686445"/>
    <n v="351033.91081230057"/>
    <n v="242129.74537134386"/>
  </r>
  <r>
    <x v="1"/>
    <x v="26"/>
    <x v="2"/>
    <x v="1"/>
    <x v="10"/>
    <x v="1"/>
    <x v="1"/>
    <x v="26"/>
    <x v="0"/>
    <n v="391932.06780578516"/>
    <n v="97564.797015564938"/>
    <n v="67176.290718473872"/>
  </r>
  <r>
    <x v="1"/>
    <x v="26"/>
    <x v="0"/>
    <x v="1"/>
    <x v="11"/>
    <x v="1"/>
    <x v="1"/>
    <x v="26"/>
    <x v="1"/>
    <n v="19665.291903490132"/>
    <n v="4550.0303986278577"/>
    <n v="3725.6253135102916"/>
  </r>
  <r>
    <x v="1"/>
    <x v="26"/>
    <x v="0"/>
    <x v="1"/>
    <x v="11"/>
    <x v="1"/>
    <x v="1"/>
    <x v="26"/>
    <x v="0"/>
    <n v="7826.7177514197992"/>
    <n v="1810.8962666412342"/>
    <n v="1469.1571827512221"/>
  </r>
  <r>
    <x v="1"/>
    <x v="26"/>
    <x v="2"/>
    <x v="1"/>
    <x v="11"/>
    <x v="1"/>
    <x v="1"/>
    <x v="26"/>
    <x v="1"/>
    <n v="51165.527086128779"/>
    <n v="11815.492355861978"/>
    <n v="8925.3195691449273"/>
  </r>
  <r>
    <x v="1"/>
    <x v="26"/>
    <x v="2"/>
    <x v="1"/>
    <x v="11"/>
    <x v="1"/>
    <x v="1"/>
    <x v="26"/>
    <x v="0"/>
    <n v="29010.507622660283"/>
    <n v="6713.8930176223603"/>
    <n v="5062.9755759965628"/>
  </r>
  <r>
    <x v="1"/>
    <x v="26"/>
    <x v="0"/>
    <x v="1"/>
    <x v="12"/>
    <x v="1"/>
    <x v="1"/>
    <x v="26"/>
    <x v="1"/>
    <n v="19811.506700485912"/>
    <n v="4286.3361596460973"/>
    <n v="3805.2869124906142"/>
  </r>
  <r>
    <x v="1"/>
    <x v="26"/>
    <x v="0"/>
    <x v="1"/>
    <x v="12"/>
    <x v="1"/>
    <x v="1"/>
    <x v="26"/>
    <x v="0"/>
    <n v="13502.91881578404"/>
    <n v="2921.4360147298239"/>
    <n v="2576.2217402778606"/>
  </r>
  <r>
    <x v="1"/>
    <x v="26"/>
    <x v="2"/>
    <x v="1"/>
    <x v="12"/>
    <x v="1"/>
    <x v="1"/>
    <x v="26"/>
    <x v="1"/>
    <n v="63170.984768748167"/>
    <n v="13726.845439664485"/>
    <n v="11280.775453344335"/>
  </r>
  <r>
    <x v="1"/>
    <x v="26"/>
    <x v="2"/>
    <x v="1"/>
    <x v="12"/>
    <x v="1"/>
    <x v="1"/>
    <x v="26"/>
    <x v="0"/>
    <n v="36107.103721188803"/>
    <n v="7820.4140816833533"/>
    <n v="6410.2259406784278"/>
  </r>
  <r>
    <x v="1"/>
    <x v="27"/>
    <x v="2"/>
    <x v="0"/>
    <x v="0"/>
    <x v="0"/>
    <x v="0"/>
    <x v="27"/>
    <x v="0"/>
    <n v="-8"/>
    <n v="0"/>
    <n v="0"/>
  </r>
  <r>
    <x v="1"/>
    <x v="29"/>
    <x v="2"/>
    <x v="0"/>
    <x v="0"/>
    <x v="0"/>
    <x v="0"/>
    <x v="29"/>
    <x v="0"/>
    <n v="598293.89007103432"/>
    <n v="819568.43511837209"/>
    <n v="17333.431393314666"/>
  </r>
  <r>
    <x v="1"/>
    <x v="29"/>
    <x v="2"/>
    <x v="0"/>
    <x v="0"/>
    <x v="0"/>
    <x v="0"/>
    <x v="29"/>
    <x v="1"/>
    <n v="2813489.3206837578"/>
    <n v="3853810.6593221333"/>
    <n v="81506.021710737594"/>
  </r>
  <r>
    <x v="1"/>
    <x v="29"/>
    <x v="2"/>
    <x v="0"/>
    <x v="1"/>
    <x v="0"/>
    <x v="0"/>
    <x v="29"/>
    <x v="0"/>
    <n v="54174.475766525124"/>
    <n v="53642.124904745651"/>
    <n v="4662.3373024514758"/>
  </r>
  <r>
    <x v="1"/>
    <x v="29"/>
    <x v="2"/>
    <x v="0"/>
    <x v="1"/>
    <x v="0"/>
    <x v="0"/>
    <x v="29"/>
    <x v="1"/>
    <n v="250881.86723484474"/>
    <n v="248427.53411306674"/>
    <n v="21592.227401652566"/>
  </r>
  <r>
    <x v="1"/>
    <x v="29"/>
    <x v="2"/>
    <x v="0"/>
    <x v="2"/>
    <x v="0"/>
    <x v="0"/>
    <x v="29"/>
    <x v="0"/>
    <n v="27373.349065926112"/>
    <n v="19410.358199219885"/>
    <n v="2811.771446627894"/>
  </r>
  <r>
    <x v="1"/>
    <x v="29"/>
    <x v="2"/>
    <x v="0"/>
    <x v="2"/>
    <x v="0"/>
    <x v="0"/>
    <x v="29"/>
    <x v="1"/>
    <n v="106783.97585069262"/>
    <n v="76961.625809575344"/>
    <n v="11148.609403103297"/>
  </r>
  <r>
    <x v="1"/>
    <x v="29"/>
    <x v="2"/>
    <x v="0"/>
    <x v="3"/>
    <x v="0"/>
    <x v="0"/>
    <x v="29"/>
    <x v="0"/>
    <n v="2326.989122998265"/>
    <n v="1481.8378163122136"/>
    <n v="300.52124256268013"/>
  </r>
  <r>
    <x v="1"/>
    <x v="29"/>
    <x v="2"/>
    <x v="0"/>
    <x v="3"/>
    <x v="0"/>
    <x v="0"/>
    <x v="29"/>
    <x v="1"/>
    <n v="9633.1322044773369"/>
    <n v="6134.4247160627501"/>
    <n v="1244.0800995795278"/>
  </r>
  <r>
    <x v="1"/>
    <x v="30"/>
    <x v="2"/>
    <x v="0"/>
    <x v="0"/>
    <x v="0"/>
    <x v="0"/>
    <x v="30"/>
    <x v="0"/>
    <n v="1840040.692752576"/>
    <n v="2519214.7838662649"/>
    <n v="51695.640382175792"/>
  </r>
  <r>
    <x v="1"/>
    <x v="30"/>
    <x v="2"/>
    <x v="0"/>
    <x v="0"/>
    <x v="0"/>
    <x v="0"/>
    <x v="30"/>
    <x v="1"/>
    <n v="8898674.5998928193"/>
    <n v="12183250.088452945"/>
    <n v="250006.83518223828"/>
  </r>
  <r>
    <x v="1"/>
    <x v="30"/>
    <x v="2"/>
    <x v="0"/>
    <x v="1"/>
    <x v="0"/>
    <x v="0"/>
    <x v="30"/>
    <x v="0"/>
    <n v="289484.96431310201"/>
    <n v="286460.8436656819"/>
    <n v="24157.522044286939"/>
  </r>
  <r>
    <x v="1"/>
    <x v="30"/>
    <x v="2"/>
    <x v="0"/>
    <x v="1"/>
    <x v="0"/>
    <x v="0"/>
    <x v="30"/>
    <x v="1"/>
    <n v="1148753.1125995938"/>
    <n v="1136752.599844743"/>
    <n v="95863.454279627418"/>
  </r>
  <r>
    <x v="1"/>
    <x v="30"/>
    <x v="2"/>
    <x v="0"/>
    <x v="2"/>
    <x v="0"/>
    <x v="0"/>
    <x v="30"/>
    <x v="0"/>
    <n v="48244.826482489807"/>
    <n v="37378.482623190757"/>
    <n v="5253.6064289327005"/>
  </r>
  <r>
    <x v="1"/>
    <x v="30"/>
    <x v="2"/>
    <x v="0"/>
    <x v="2"/>
    <x v="0"/>
    <x v="0"/>
    <x v="30"/>
    <x v="1"/>
    <n v="202168.98372529368"/>
    <n v="156633.78637845439"/>
    <n v="22015.133021889676"/>
  </r>
  <r>
    <x v="1"/>
    <x v="30"/>
    <x v="2"/>
    <x v="0"/>
    <x v="3"/>
    <x v="0"/>
    <x v="0"/>
    <x v="30"/>
    <x v="0"/>
    <n v="4788.2791434057808"/>
    <n v="3048.1787913562575"/>
    <n v="599.79707038236381"/>
  </r>
  <r>
    <x v="1"/>
    <x v="30"/>
    <x v="2"/>
    <x v="0"/>
    <x v="3"/>
    <x v="0"/>
    <x v="0"/>
    <x v="30"/>
    <x v="1"/>
    <n v="20652.541090742881"/>
    <n v="13147.23637762697"/>
    <n v="2587.0115904245467"/>
  </r>
  <r>
    <x v="1"/>
    <x v="31"/>
    <x v="2"/>
    <x v="0"/>
    <x v="0"/>
    <x v="0"/>
    <x v="0"/>
    <x v="31"/>
    <x v="0"/>
    <n v="1033257.802544649"/>
    <n v="1461256.8526305184"/>
    <n v="40447.727340227371"/>
  </r>
  <r>
    <x v="1"/>
    <x v="31"/>
    <x v="2"/>
    <x v="0"/>
    <x v="0"/>
    <x v="0"/>
    <x v="0"/>
    <x v="31"/>
    <x v="1"/>
    <n v="4799727.1974553401"/>
    <n v="6787884.1473693643"/>
    <n v="187889.27265976855"/>
  </r>
  <r>
    <x v="1"/>
    <x v="32"/>
    <x v="2"/>
    <x v="0"/>
    <x v="0"/>
    <x v="0"/>
    <x v="0"/>
    <x v="32"/>
    <x v="0"/>
    <n v="-35268.128349475308"/>
    <n v="-89511.873196826171"/>
    <n v="-2477.725034654055"/>
  </r>
  <r>
    <x v="1"/>
    <x v="32"/>
    <x v="2"/>
    <x v="0"/>
    <x v="0"/>
    <x v="0"/>
    <x v="0"/>
    <x v="32"/>
    <x v="1"/>
    <n v="2176114.1283494807"/>
    <n v="2958255.8731968193"/>
    <n v="81885.72503465414"/>
  </r>
  <r>
    <x v="1"/>
    <x v="33"/>
    <x v="2"/>
    <x v="0"/>
    <x v="0"/>
    <x v="0"/>
    <x v="0"/>
    <x v="33"/>
    <x v="0"/>
    <n v="1935.150295552781"/>
    <n v="0"/>
    <n v="0"/>
  </r>
  <r>
    <x v="1"/>
    <x v="33"/>
    <x v="2"/>
    <x v="0"/>
    <x v="0"/>
    <x v="0"/>
    <x v="0"/>
    <x v="33"/>
    <x v="1"/>
    <n v="8577.8497044472097"/>
    <n v="0"/>
    <n v="0"/>
  </r>
  <r>
    <x v="1"/>
    <x v="34"/>
    <x v="2"/>
    <x v="0"/>
    <x v="0"/>
    <x v="0"/>
    <x v="0"/>
    <x v="34"/>
    <x v="0"/>
    <n v="33261.788977674783"/>
    <n v="0"/>
    <n v="0"/>
  </r>
  <r>
    <x v="1"/>
    <x v="34"/>
    <x v="2"/>
    <x v="0"/>
    <x v="0"/>
    <x v="0"/>
    <x v="0"/>
    <x v="34"/>
    <x v="1"/>
    <n v="149141.21102232559"/>
    <n v="0"/>
    <n v="0"/>
  </r>
  <r>
    <x v="1"/>
    <x v="35"/>
    <x v="2"/>
    <x v="0"/>
    <x v="0"/>
    <x v="3"/>
    <x v="3"/>
    <x v="35"/>
    <x v="0"/>
    <n v="35412.189848723378"/>
    <n v="63223.175539316449"/>
    <n v="395.33511256916285"/>
  </r>
  <r>
    <x v="1"/>
    <x v="35"/>
    <x v="2"/>
    <x v="0"/>
    <x v="0"/>
    <x v="3"/>
    <x v="3"/>
    <x v="35"/>
    <x v="1"/>
    <n v="134404.81015127496"/>
    <n v="239990.82446068636"/>
    <n v="1500.6648874308235"/>
  </r>
  <r>
    <x v="1"/>
    <x v="36"/>
    <x v="2"/>
    <x v="0"/>
    <x v="0"/>
    <x v="3"/>
    <x v="3"/>
    <x v="36"/>
    <x v="0"/>
    <n v="45326.423883482916"/>
    <n v="80935.899083026539"/>
    <n v="505.99883010226841"/>
  </r>
  <r>
    <x v="1"/>
    <x v="36"/>
    <x v="2"/>
    <x v="0"/>
    <x v="0"/>
    <x v="3"/>
    <x v="3"/>
    <x v="36"/>
    <x v="1"/>
    <n v="299615.57611651474"/>
    <n v="535042.10091697949"/>
    <n v="3345.0011698977478"/>
  </r>
  <r>
    <x v="1"/>
    <x v="37"/>
    <x v="2"/>
    <x v="0"/>
    <x v="0"/>
    <x v="3"/>
    <x v="3"/>
    <x v="37"/>
    <x v="0"/>
    <n v="41676.540427756408"/>
    <n v="77606.876002235833"/>
    <n v="485.05150864361281"/>
  </r>
  <r>
    <x v="1"/>
    <x v="37"/>
    <x v="2"/>
    <x v="0"/>
    <x v="0"/>
    <x v="3"/>
    <x v="3"/>
    <x v="37"/>
    <x v="1"/>
    <n v="202513.45957224371"/>
    <n v="377105.12399776682"/>
    <n v="2356.9484913563838"/>
  </r>
  <r>
    <x v="1"/>
    <x v="38"/>
    <x v="2"/>
    <x v="0"/>
    <x v="0"/>
    <x v="3"/>
    <x v="3"/>
    <x v="38"/>
    <x v="0"/>
    <n v="31089.037368398276"/>
    <n v="55122.891606746874"/>
    <n v="344.65089711712932"/>
  </r>
  <r>
    <x v="1"/>
    <x v="38"/>
    <x v="2"/>
    <x v="0"/>
    <x v="0"/>
    <x v="3"/>
    <x v="3"/>
    <x v="38"/>
    <x v="1"/>
    <n v="137141.96263160167"/>
    <n v="243162.10839325315"/>
    <n v="1520.3491028828707"/>
  </r>
  <r>
    <x v="1"/>
    <x v="39"/>
    <x v="2"/>
    <x v="1"/>
    <x v="0"/>
    <x v="1"/>
    <x v="1"/>
    <x v="39"/>
    <x v="0"/>
    <n v="16696.107089366462"/>
    <n v="11104.994496492298"/>
    <n v="444.35274961457202"/>
  </r>
  <r>
    <x v="1"/>
    <x v="39"/>
    <x v="2"/>
    <x v="1"/>
    <x v="0"/>
    <x v="1"/>
    <x v="1"/>
    <x v="39"/>
    <x v="1"/>
    <n v="89749.1223543284"/>
    <n v="59699.175970338983"/>
    <n v="2388.789386660439"/>
  </r>
  <r>
    <x v="1"/>
    <x v="39"/>
    <x v="2"/>
    <x v="1"/>
    <x v="1"/>
    <x v="1"/>
    <x v="1"/>
    <x v="39"/>
    <x v="0"/>
    <n v="33578.631763962178"/>
    <n v="18927.088858557687"/>
    <n v="1556.1868610121746"/>
  </r>
  <r>
    <x v="1"/>
    <x v="39"/>
    <x v="2"/>
    <x v="1"/>
    <x v="1"/>
    <x v="1"/>
    <x v="1"/>
    <x v="39"/>
    <x v="1"/>
    <n v="158701.56721789198"/>
    <n v="89466.086495122508"/>
    <n v="7355.9092658310965"/>
  </r>
  <r>
    <x v="1"/>
    <x v="39"/>
    <x v="2"/>
    <x v="1"/>
    <x v="2"/>
    <x v="1"/>
    <x v="1"/>
    <x v="39"/>
    <x v="0"/>
    <n v="25504.322832262718"/>
    <n v="12473.205639741009"/>
    <n v="1709.2467200779245"/>
  </r>
  <r>
    <x v="1"/>
    <x v="39"/>
    <x v="2"/>
    <x v="1"/>
    <x v="2"/>
    <x v="1"/>
    <x v="1"/>
    <x v="39"/>
    <x v="1"/>
    <n v="118327.48592196683"/>
    <n v="57905.478384606642"/>
    <n v="7934.9889564943196"/>
  </r>
  <r>
    <x v="1"/>
    <x v="39"/>
    <x v="2"/>
    <x v="1"/>
    <x v="3"/>
    <x v="1"/>
    <x v="1"/>
    <x v="39"/>
    <x v="0"/>
    <n v="17786.669164595769"/>
    <n v="7681.9459840906729"/>
    <n v="1473.7572600746"/>
  </r>
  <r>
    <x v="1"/>
    <x v="39"/>
    <x v="2"/>
    <x v="1"/>
    <x v="3"/>
    <x v="1"/>
    <x v="1"/>
    <x v="39"/>
    <x v="1"/>
    <n v="97127.846901544821"/>
    <n v="41992.083783357913"/>
    <n v="8056.0496610565651"/>
  </r>
  <r>
    <x v="1"/>
    <x v="39"/>
    <x v="2"/>
    <x v="1"/>
    <x v="4"/>
    <x v="1"/>
    <x v="1"/>
    <x v="39"/>
    <x v="0"/>
    <n v="11718.244172584502"/>
    <n v="4513.9876848370959"/>
    <n v="1113.421357886966"/>
  </r>
  <r>
    <x v="1"/>
    <x v="39"/>
    <x v="2"/>
    <x v="1"/>
    <x v="4"/>
    <x v="1"/>
    <x v="1"/>
    <x v="39"/>
    <x v="1"/>
    <n v="66336.393509473477"/>
    <n v="25582.624419783304"/>
    <n v="6310.2166883326345"/>
  </r>
  <r>
    <x v="1"/>
    <x v="39"/>
    <x v="2"/>
    <x v="1"/>
    <x v="5"/>
    <x v="1"/>
    <x v="1"/>
    <x v="39"/>
    <x v="0"/>
    <n v="7790.6299976543987"/>
    <n v="2708.1909585598473"/>
    <n v="816.44820291684607"/>
  </r>
  <r>
    <x v="1"/>
    <x v="39"/>
    <x v="2"/>
    <x v="1"/>
    <x v="5"/>
    <x v="1"/>
    <x v="1"/>
    <x v="39"/>
    <x v="1"/>
    <n v="43172.972666907757"/>
    <n v="15019.066462661522"/>
    <n v="4527.8527292066392"/>
  </r>
  <r>
    <x v="1"/>
    <x v="39"/>
    <x v="2"/>
    <x v="1"/>
    <x v="6"/>
    <x v="1"/>
    <x v="1"/>
    <x v="39"/>
    <x v="0"/>
    <n v="5459.8139209020455"/>
    <n v="1730.1770978736781"/>
    <n v="616.43967070564872"/>
  </r>
  <r>
    <x v="1"/>
    <x v="39"/>
    <x v="2"/>
    <x v="1"/>
    <x v="6"/>
    <x v="1"/>
    <x v="1"/>
    <x v="39"/>
    <x v="1"/>
    <n v="35361.6352187394"/>
    <n v="11209.853714545425"/>
    <n v="3993.9255588025239"/>
  </r>
  <r>
    <x v="1"/>
    <x v="39"/>
    <x v="2"/>
    <x v="1"/>
    <x v="7"/>
    <x v="1"/>
    <x v="1"/>
    <x v="39"/>
    <x v="0"/>
    <n v="4603.3804479175524"/>
    <n v="1338.9715535992141"/>
    <n v="550.45177696146959"/>
  </r>
  <r>
    <x v="1"/>
    <x v="39"/>
    <x v="2"/>
    <x v="1"/>
    <x v="7"/>
    <x v="1"/>
    <x v="1"/>
    <x v="39"/>
    <x v="1"/>
    <n v="24413.346405901091"/>
    <n v="7104.2120230874452"/>
    <n v="2920.544593727856"/>
  </r>
  <r>
    <x v="1"/>
    <x v="39"/>
    <x v="2"/>
    <x v="1"/>
    <x v="8"/>
    <x v="1"/>
    <x v="1"/>
    <x v="39"/>
    <x v="0"/>
    <n v="4329.6762594341253"/>
    <n v="1164.5422774149799"/>
    <n v="542.57633738144807"/>
  </r>
  <r>
    <x v="1"/>
    <x v="39"/>
    <x v="2"/>
    <x v="1"/>
    <x v="8"/>
    <x v="1"/>
    <x v="1"/>
    <x v="39"/>
    <x v="1"/>
    <n v="20997.405349270673"/>
    <n v="5647.2738491785958"/>
    <n v="2631.14291400299"/>
  </r>
  <r>
    <x v="1"/>
    <x v="39"/>
    <x v="2"/>
    <x v="1"/>
    <x v="9"/>
    <x v="1"/>
    <x v="1"/>
    <x v="39"/>
    <x v="0"/>
    <n v="3168.6340671394228"/>
    <n v="788.46065882122321"/>
    <n v="410.57291677176215"/>
  </r>
  <r>
    <x v="1"/>
    <x v="39"/>
    <x v="2"/>
    <x v="1"/>
    <x v="9"/>
    <x v="1"/>
    <x v="1"/>
    <x v="39"/>
    <x v="1"/>
    <n v="17954.976573486791"/>
    <n v="4467.6076460828863"/>
    <n v="2326.4048519382336"/>
  </r>
  <r>
    <x v="1"/>
    <x v="39"/>
    <x v="2"/>
    <x v="1"/>
    <x v="10"/>
    <x v="1"/>
    <x v="1"/>
    <x v="39"/>
    <x v="0"/>
    <n v="2513.2619547825498"/>
    <n v="581.76700785146534"/>
    <n v="334.8305311968943"/>
  </r>
  <r>
    <x v="1"/>
    <x v="39"/>
    <x v="2"/>
    <x v="1"/>
    <x v="10"/>
    <x v="1"/>
    <x v="1"/>
    <x v="39"/>
    <x v="1"/>
    <n v="13984.178925626115"/>
    <n v="3237.5283573848228"/>
    <n v="1863.3290046329605"/>
  </r>
  <r>
    <x v="1"/>
    <x v="39"/>
    <x v="2"/>
    <x v="1"/>
    <x v="11"/>
    <x v="1"/>
    <x v="1"/>
    <x v="39"/>
    <x v="0"/>
    <n v="2795.3542271725314"/>
    <n v="604.95702722856004"/>
    <n v="381.33707440101773"/>
  </r>
  <r>
    <x v="1"/>
    <x v="39"/>
    <x v="2"/>
    <x v="1"/>
    <x v="11"/>
    <x v="1"/>
    <x v="1"/>
    <x v="39"/>
    <x v="1"/>
    <n v="12559.286016906506"/>
    <n v="2718.2735756803236"/>
    <n v="1713.4745876419054"/>
  </r>
  <r>
    <x v="1"/>
    <x v="39"/>
    <x v="2"/>
    <x v="1"/>
    <x v="12"/>
    <x v="1"/>
    <x v="1"/>
    <x v="39"/>
    <x v="0"/>
    <n v="2326.5816102983499"/>
    <n v="472.87474295032541"/>
    <n v="323.9983476341979"/>
  </r>
  <r>
    <x v="1"/>
    <x v="39"/>
    <x v="2"/>
    <x v="1"/>
    <x v="12"/>
    <x v="1"/>
    <x v="1"/>
    <x v="39"/>
    <x v="1"/>
    <n v="12953.475429888678"/>
    <n v="2632.5713301562769"/>
    <n v="1803.75199503816"/>
  </r>
  <r>
    <x v="1"/>
    <x v="40"/>
    <x v="2"/>
    <x v="1"/>
    <x v="0"/>
    <x v="1"/>
    <x v="1"/>
    <x v="40"/>
    <x v="0"/>
    <n v="128455.13906997402"/>
    <n v="85553.291041541539"/>
    <n v="4150.8233714476637"/>
  </r>
  <r>
    <x v="1"/>
    <x v="40"/>
    <x v="2"/>
    <x v="1"/>
    <x v="0"/>
    <x v="1"/>
    <x v="1"/>
    <x v="40"/>
    <x v="1"/>
    <n v="510725.50688360014"/>
    <n v="340151.80902142427"/>
    <n v="16503.281890590551"/>
  </r>
  <r>
    <x v="1"/>
    <x v="40"/>
    <x v="2"/>
    <x v="1"/>
    <x v="1"/>
    <x v="1"/>
    <x v="1"/>
    <x v="40"/>
    <x v="0"/>
    <n v="180935.34726822641"/>
    <n v="102123.72509119338"/>
    <n v="10181.050219170278"/>
  </r>
  <r>
    <x v="1"/>
    <x v="40"/>
    <x v="2"/>
    <x v="1"/>
    <x v="1"/>
    <x v="1"/>
    <x v="1"/>
    <x v="40"/>
    <x v="1"/>
    <n v="648797.17318492383"/>
    <n v="366194.80468928651"/>
    <n v="36507.16513926394"/>
  </r>
  <r>
    <x v="1"/>
    <x v="40"/>
    <x v="2"/>
    <x v="1"/>
    <x v="2"/>
    <x v="1"/>
    <x v="1"/>
    <x v="40"/>
    <x v="0"/>
    <n v="95294.846398097143"/>
    <n v="46667.629669840913"/>
    <n v="7754.0826230472439"/>
  </r>
  <r>
    <x v="1"/>
    <x v="40"/>
    <x v="2"/>
    <x v="1"/>
    <x v="2"/>
    <x v="1"/>
    <x v="1"/>
    <x v="40"/>
    <x v="1"/>
    <n v="468827.01944087486"/>
    <n v="229593.25241909365"/>
    <n v="38148.178117183343"/>
  </r>
  <r>
    <x v="1"/>
    <x v="40"/>
    <x v="2"/>
    <x v="1"/>
    <x v="3"/>
    <x v="1"/>
    <x v="1"/>
    <x v="40"/>
    <x v="0"/>
    <n v="53725.398305818831"/>
    <n v="23235.079349004227"/>
    <n v="5404.8902166192129"/>
  </r>
  <r>
    <x v="1"/>
    <x v="40"/>
    <x v="2"/>
    <x v="1"/>
    <x v="3"/>
    <x v="1"/>
    <x v="1"/>
    <x v="40"/>
    <x v="1"/>
    <n v="255159.33134542356"/>
    <n v="110351.01058091181"/>
    <n v="25669.595895244016"/>
  </r>
  <r>
    <x v="1"/>
    <x v="40"/>
    <x v="2"/>
    <x v="1"/>
    <x v="4"/>
    <x v="1"/>
    <x v="1"/>
    <x v="40"/>
    <x v="0"/>
    <n v="60399.510786048399"/>
    <n v="23297.544656420363"/>
    <n v="6967.8266803891165"/>
  </r>
  <r>
    <x v="1"/>
    <x v="40"/>
    <x v="2"/>
    <x v="1"/>
    <x v="4"/>
    <x v="1"/>
    <x v="1"/>
    <x v="40"/>
    <x v="1"/>
    <n v="358769.01937455591"/>
    <n v="138385.84355139939"/>
    <n v="41388.420415361616"/>
  </r>
  <r>
    <x v="1"/>
    <x v="40"/>
    <x v="2"/>
    <x v="1"/>
    <x v="5"/>
    <x v="1"/>
    <x v="1"/>
    <x v="40"/>
    <x v="0"/>
    <n v="21206.977934127503"/>
    <n v="7381.9888296831778"/>
    <n v="2698.4274489194613"/>
  </r>
  <r>
    <x v="1"/>
    <x v="40"/>
    <x v="2"/>
    <x v="1"/>
    <x v="5"/>
    <x v="1"/>
    <x v="1"/>
    <x v="40"/>
    <x v="1"/>
    <n v="92848.184133874936"/>
    <n v="32319.751558264223"/>
    <n v="11814.228761278067"/>
  </r>
  <r>
    <x v="1"/>
    <x v="40"/>
    <x v="2"/>
    <x v="1"/>
    <x v="6"/>
    <x v="1"/>
    <x v="1"/>
    <x v="40"/>
    <x v="0"/>
    <n v="17840.554526068809"/>
    <n v="5658.1478459806949"/>
    <n v="2444.3439729854663"/>
  </r>
  <r>
    <x v="1"/>
    <x v="40"/>
    <x v="2"/>
    <x v="1"/>
    <x v="6"/>
    <x v="1"/>
    <x v="1"/>
    <x v="40"/>
    <x v="1"/>
    <n v="67118.097583114853"/>
    <n v="21286.564759594054"/>
    <n v="9195.8866562033327"/>
  </r>
  <r>
    <x v="1"/>
    <x v="40"/>
    <x v="2"/>
    <x v="1"/>
    <x v="7"/>
    <x v="1"/>
    <x v="1"/>
    <x v="40"/>
    <x v="0"/>
    <n v="12234.884562268659"/>
    <n v="3563.5450376128506"/>
    <n v="1776.3076578833031"/>
  </r>
  <r>
    <x v="1"/>
    <x v="40"/>
    <x v="2"/>
    <x v="1"/>
    <x v="7"/>
    <x v="1"/>
    <x v="1"/>
    <x v="40"/>
    <x v="1"/>
    <n v="53470.976975842255"/>
    <n v="15574.011645863813"/>
    <n v="7763.1223566751887"/>
  </r>
  <r>
    <x v="1"/>
    <x v="40"/>
    <x v="2"/>
    <x v="1"/>
    <x v="8"/>
    <x v="1"/>
    <x v="1"/>
    <x v="40"/>
    <x v="0"/>
    <n v="9406.106228879582"/>
    <n v="2532.8674652413742"/>
    <n v="1430.8893918125909"/>
  </r>
  <r>
    <x v="1"/>
    <x v="40"/>
    <x v="2"/>
    <x v="1"/>
    <x v="8"/>
    <x v="1"/>
    <x v="1"/>
    <x v="40"/>
    <x v="1"/>
    <n v="42675.436613604106"/>
    <n v="11491.601554710936"/>
    <n v="6491.9349256222604"/>
  </r>
  <r>
    <x v="1"/>
    <x v="40"/>
    <x v="2"/>
    <x v="1"/>
    <x v="9"/>
    <x v="1"/>
    <x v="1"/>
    <x v="40"/>
    <x v="0"/>
    <n v="7675.5813145445127"/>
    <n v="1912.2444109101555"/>
    <n v="1207.3736077389076"/>
  </r>
  <r>
    <x v="1"/>
    <x v="40"/>
    <x v="2"/>
    <x v="1"/>
    <x v="9"/>
    <x v="1"/>
    <x v="1"/>
    <x v="40"/>
    <x v="1"/>
    <n v="35842.295674820343"/>
    <n v="8929.5164456779221"/>
    <n v="5638.0149027343714"/>
  </r>
  <r>
    <x v="1"/>
    <x v="40"/>
    <x v="2"/>
    <x v="1"/>
    <x v="10"/>
    <x v="1"/>
    <x v="1"/>
    <x v="40"/>
    <x v="0"/>
    <n v="6354.7041893204514"/>
    <n v="1472.9722490783172"/>
    <n v="1027.918154977541"/>
  </r>
  <r>
    <x v="1"/>
    <x v="40"/>
    <x v="2"/>
    <x v="1"/>
    <x v="10"/>
    <x v="1"/>
    <x v="1"/>
    <x v="40"/>
    <x v="1"/>
    <n v="30182.671607825778"/>
    <n v="6996.1144306428459"/>
    <n v="4882.259690946642"/>
  </r>
  <r>
    <x v="1"/>
    <x v="40"/>
    <x v="2"/>
    <x v="1"/>
    <x v="11"/>
    <x v="1"/>
    <x v="1"/>
    <x v="40"/>
    <x v="0"/>
    <n v="5276.7617167772087"/>
    <n v="1143.5181277044385"/>
    <n v="874.00831983872865"/>
  </r>
  <r>
    <x v="1"/>
    <x v="40"/>
    <x v="2"/>
    <x v="1"/>
    <x v="11"/>
    <x v="1"/>
    <x v="1"/>
    <x v="40"/>
    <x v="1"/>
    <n v="25119.245423565771"/>
    <n v="5443.5492898564416"/>
    <n v="4160.5876229855658"/>
  </r>
  <r>
    <x v="1"/>
    <x v="40"/>
    <x v="2"/>
    <x v="1"/>
    <x v="12"/>
    <x v="1"/>
    <x v="1"/>
    <x v="40"/>
    <x v="0"/>
    <n v="9987.5297637298027"/>
    <n v="2032.1375009514131"/>
    <n v="1688.2539562485351"/>
  </r>
  <r>
    <x v="1"/>
    <x v="40"/>
    <x v="2"/>
    <x v="1"/>
    <x v="12"/>
    <x v="1"/>
    <x v="1"/>
    <x v="40"/>
    <x v="1"/>
    <n v="41222.699694125782"/>
    <n v="8387.4787780964325"/>
    <n v="6968.1280048432454"/>
  </r>
  <r>
    <x v="1"/>
    <x v="41"/>
    <x v="2"/>
    <x v="1"/>
    <x v="7"/>
    <x v="1"/>
    <x v="1"/>
    <x v="41"/>
    <x v="0"/>
    <n v="112238.13110691409"/>
    <n v="70704"/>
    <n v="9506.7513002582909"/>
  </r>
  <r>
    <x v="1"/>
    <x v="41"/>
    <x v="2"/>
    <x v="1"/>
    <x v="7"/>
    <x v="1"/>
    <x v="1"/>
    <x v="41"/>
    <x v="1"/>
    <n v="816105.86889308586"/>
    <n v="469381"/>
    <n v="63112.2486997417"/>
  </r>
  <r>
    <x v="1"/>
    <x v="42"/>
    <x v="2"/>
    <x v="0"/>
    <x v="0"/>
    <x v="0"/>
    <x v="0"/>
    <x v="42"/>
    <x v="1"/>
    <n v="3550"/>
    <n v="5071"/>
    <n v="489.00000000000006"/>
  </r>
  <r>
    <x v="1"/>
    <x v="95"/>
    <x v="2"/>
    <x v="0"/>
    <x v="0"/>
    <x v="0"/>
    <x v="0"/>
    <x v="69"/>
    <x v="0"/>
    <n v="-22"/>
    <n v="-34"/>
    <n v="-3"/>
  </r>
  <r>
    <x v="1"/>
    <x v="43"/>
    <x v="2"/>
    <x v="0"/>
    <x v="0"/>
    <x v="0"/>
    <x v="0"/>
    <x v="43"/>
    <x v="0"/>
    <n v="1530395.2879086758"/>
    <n v="2164626.7063546083"/>
    <n v="282497.62849719258"/>
  </r>
  <r>
    <x v="1"/>
    <x v="43"/>
    <x v="2"/>
    <x v="0"/>
    <x v="0"/>
    <x v="0"/>
    <x v="0"/>
    <x v="43"/>
    <x v="1"/>
    <n v="8270077.7120913416"/>
    <n v="11697391.293645415"/>
    <n v="1526584.3715027911"/>
  </r>
  <r>
    <x v="1"/>
    <x v="44"/>
    <x v="2"/>
    <x v="0"/>
    <x v="0"/>
    <x v="3"/>
    <x v="3"/>
    <x v="44"/>
    <x v="0"/>
    <n v="52589.176219192406"/>
    <n v="97931.341820425107"/>
    <n v="5671.1884358701163"/>
  </r>
  <r>
    <x v="1"/>
    <x v="44"/>
    <x v="2"/>
    <x v="0"/>
    <x v="0"/>
    <x v="3"/>
    <x v="3"/>
    <x v="44"/>
    <x v="1"/>
    <n v="178319.82378080775"/>
    <n v="332064.65817957476"/>
    <n v="19229.811564129875"/>
  </r>
  <r>
    <x v="1"/>
    <x v="45"/>
    <x v="3"/>
    <x v="0"/>
    <x v="0"/>
    <x v="0"/>
    <x v="0"/>
    <x v="45"/>
    <x v="0"/>
    <n v="745885.60614335292"/>
    <n v="1021761.427695491"/>
    <n v="18396.8741537563"/>
  </r>
  <r>
    <x v="1"/>
    <x v="45"/>
    <x v="3"/>
    <x v="0"/>
    <x v="0"/>
    <x v="0"/>
    <x v="0"/>
    <x v="45"/>
    <x v="0"/>
    <n v="369294.56910178502"/>
    <n v="505883.13148532761"/>
    <n v="22628.907860488482"/>
  </r>
  <r>
    <x v="1"/>
    <x v="45"/>
    <x v="3"/>
    <x v="0"/>
    <x v="1"/>
    <x v="0"/>
    <x v="0"/>
    <x v="45"/>
    <x v="0"/>
    <n v="13745.53550175083"/>
    <n v="13609.445398259"/>
    <n v="1044.712357602185"/>
  </r>
  <r>
    <x v="1"/>
    <x v="45"/>
    <x v="3"/>
    <x v="0"/>
    <x v="1"/>
    <x v="0"/>
    <x v="0"/>
    <x v="45"/>
    <x v="0"/>
    <n v="271499.19590269198"/>
    <n v="268811.1701314415"/>
    <n v="29251.70339919304"/>
  </r>
  <r>
    <x v="1"/>
    <x v="45"/>
    <x v="3"/>
    <x v="0"/>
    <x v="2"/>
    <x v="0"/>
    <x v="0"/>
    <x v="45"/>
    <x v="0"/>
    <n v="10653.88241067661"/>
    <n v="8258.8261881028648"/>
    <n v="1146.2536073855049"/>
  </r>
  <r>
    <x v="1"/>
    <x v="45"/>
    <x v="3"/>
    <x v="0"/>
    <x v="2"/>
    <x v="0"/>
    <x v="0"/>
    <x v="45"/>
    <x v="0"/>
    <n v="174132.68676809259"/>
    <n v="134986.6216135291"/>
    <n v="23297.921556228819"/>
  </r>
  <r>
    <x v="1"/>
    <x v="45"/>
    <x v="3"/>
    <x v="0"/>
    <x v="3"/>
    <x v="0"/>
    <x v="0"/>
    <x v="45"/>
    <x v="0"/>
    <n v="79910.483029760042"/>
    <n v="50898.412943691212"/>
    <n v="9884.5411942733626"/>
  </r>
  <r>
    <x v="1"/>
    <x v="45"/>
    <x v="3"/>
    <x v="0"/>
    <x v="0"/>
    <x v="0"/>
    <x v="0"/>
    <x v="45"/>
    <x v="1"/>
    <n v="2387965.9357161908"/>
    <n v="3271187.2486471352"/>
    <n v="57250.81114940792"/>
  </r>
  <r>
    <x v="1"/>
    <x v="45"/>
    <x v="3"/>
    <x v="0"/>
    <x v="0"/>
    <x v="0"/>
    <x v="0"/>
    <x v="45"/>
    <x v="1"/>
    <n v="1390717.164846645"/>
    <n v="1905092.6096048481"/>
    <n v="86367.295797028666"/>
  </r>
  <r>
    <x v="1"/>
    <x v="45"/>
    <x v="3"/>
    <x v="0"/>
    <x v="1"/>
    <x v="0"/>
    <x v="0"/>
    <x v="45"/>
    <x v="1"/>
    <n v="26452.731075772401"/>
    <n v="26190.831136749672"/>
    <n v="2023.380005265939"/>
  </r>
  <r>
    <x v="1"/>
    <x v="45"/>
    <x v="3"/>
    <x v="0"/>
    <x v="1"/>
    <x v="0"/>
    <x v="0"/>
    <x v="45"/>
    <x v="1"/>
    <n v="1037228.879189519"/>
    <n v="1026959.6113610209"/>
    <n v="111479.4785370559"/>
  </r>
  <r>
    <x v="1"/>
    <x v="45"/>
    <x v="3"/>
    <x v="0"/>
    <x v="2"/>
    <x v="0"/>
    <x v="0"/>
    <x v="45"/>
    <x v="1"/>
    <n v="22871.644412014521"/>
    <n v="17729.962520106859"/>
    <n v="2484.3582403644568"/>
  </r>
  <r>
    <x v="1"/>
    <x v="45"/>
    <x v="3"/>
    <x v="0"/>
    <x v="2"/>
    <x v="0"/>
    <x v="0"/>
    <x v="45"/>
    <x v="1"/>
    <n v="233570.86713495239"/>
    <n v="181062.74500823321"/>
    <n v="30568.40270400541"/>
  </r>
  <r>
    <x v="1"/>
    <x v="45"/>
    <x v="3"/>
    <x v="0"/>
    <x v="3"/>
    <x v="0"/>
    <x v="0"/>
    <x v="45"/>
    <x v="1"/>
    <n v="513648.81876679568"/>
    <n v="327164.95626606501"/>
    <n v="65934.359437943946"/>
  </r>
  <r>
    <x v="1"/>
    <x v="46"/>
    <x v="3"/>
    <x v="0"/>
    <x v="0"/>
    <x v="0"/>
    <x v="0"/>
    <x v="46"/>
    <x v="0"/>
    <n v="257.04485541161239"/>
    <n v="372.52935524000088"/>
    <n v="8.3741447945847973"/>
  </r>
  <r>
    <x v="1"/>
    <x v="46"/>
    <x v="3"/>
    <x v="0"/>
    <x v="0"/>
    <x v="0"/>
    <x v="0"/>
    <x v="46"/>
    <x v="0"/>
    <n v="78.765050239757031"/>
    <n v="114.1524242306909"/>
    <n v="5.1815982162033576"/>
  </r>
  <r>
    <x v="1"/>
    <x v="46"/>
    <x v="3"/>
    <x v="0"/>
    <x v="1"/>
    <x v="0"/>
    <x v="0"/>
    <x v="46"/>
    <x v="0"/>
    <n v="8.0865080195223893"/>
    <n v="8.336619169091124"/>
    <n v="0.65836348520090027"/>
  </r>
  <r>
    <x v="1"/>
    <x v="46"/>
    <x v="3"/>
    <x v="0"/>
    <x v="1"/>
    <x v="0"/>
    <x v="0"/>
    <x v="46"/>
    <x v="0"/>
    <n v="14.638239194051311"/>
    <n v="15.090991707700899"/>
    <n v="1.665236197083436"/>
  </r>
  <r>
    <x v="1"/>
    <x v="46"/>
    <x v="3"/>
    <x v="0"/>
    <x v="2"/>
    <x v="0"/>
    <x v="0"/>
    <x v="46"/>
    <x v="0"/>
    <n v="3.5429613299775511"/>
    <n v="2.8343734714175342"/>
    <n v="0.40666059528454152"/>
  </r>
  <r>
    <x v="1"/>
    <x v="46"/>
    <x v="3"/>
    <x v="0"/>
    <x v="2"/>
    <x v="0"/>
    <x v="0"/>
    <x v="46"/>
    <x v="0"/>
    <n v="10.56165185517059"/>
    <n v="8.4493346228063348"/>
    <n v="1.4717794844913239"/>
  </r>
  <r>
    <x v="1"/>
    <x v="46"/>
    <x v="3"/>
    <x v="0"/>
    <x v="3"/>
    <x v="0"/>
    <x v="0"/>
    <x v="46"/>
    <x v="0"/>
    <n v="34.612705059076873"/>
    <n v="22.62271822335336"/>
    <n v="4.6777085938928353"/>
  </r>
  <r>
    <x v="1"/>
    <x v="46"/>
    <x v="3"/>
    <x v="0"/>
    <x v="0"/>
    <x v="0"/>
    <x v="0"/>
    <x v="46"/>
    <x v="1"/>
    <n v="1177.8690957178301"/>
    <n v="1707.059314928671"/>
    <n v="38.729266589762616"/>
  </r>
  <r>
    <x v="1"/>
    <x v="46"/>
    <x v="3"/>
    <x v="0"/>
    <x v="0"/>
    <x v="0"/>
    <x v="0"/>
    <x v="46"/>
    <x v="1"/>
    <n v="334.2105738313968"/>
    <n v="484.36390366354863"/>
    <n v="22.096299225615841"/>
  </r>
  <r>
    <x v="1"/>
    <x v="46"/>
    <x v="3"/>
    <x v="0"/>
    <x v="1"/>
    <x v="0"/>
    <x v="0"/>
    <x v="46"/>
    <x v="1"/>
    <n v="67.143041038116607"/>
    <n v="69.21973757252205"/>
    <n v="5.4966477729786636"/>
  </r>
  <r>
    <x v="1"/>
    <x v="46"/>
    <x v="3"/>
    <x v="0"/>
    <x v="1"/>
    <x v="0"/>
    <x v="0"/>
    <x v="46"/>
    <x v="1"/>
    <n v="76.981946901489138"/>
    <n v="79.3629552661736"/>
    <n v="8.7524608932345487"/>
  </r>
  <r>
    <x v="1"/>
    <x v="46"/>
    <x v="3"/>
    <x v="0"/>
    <x v="2"/>
    <x v="0"/>
    <x v="0"/>
    <x v="46"/>
    <x v="1"/>
    <n v="8.5161744475549153"/>
    <n v="6.8129501521447509"/>
    <n v="0.96149188071296532"/>
  </r>
  <r>
    <x v="1"/>
    <x v="46"/>
    <x v="3"/>
    <x v="0"/>
    <x v="2"/>
    <x v="0"/>
    <x v="0"/>
    <x v="46"/>
    <x v="1"/>
    <n v="77.792017199820663"/>
    <n v="62.233710532941451"/>
    <n v="10.730873989873521"/>
  </r>
  <r>
    <x v="1"/>
    <x v="46"/>
    <x v="3"/>
    <x v="0"/>
    <x v="3"/>
    <x v="0"/>
    <x v="0"/>
    <x v="46"/>
    <x v="1"/>
    <n v="119.2351797546236"/>
    <n v="77.931611218937732"/>
    <n v="15.797468281080659"/>
  </r>
  <r>
    <x v="1"/>
    <x v="47"/>
    <x v="3"/>
    <x v="0"/>
    <x v="0"/>
    <x v="0"/>
    <x v="0"/>
    <x v="47"/>
    <x v="0"/>
    <n v="20066.807615059191"/>
    <n v="16862.867344628481"/>
    <n v="444.62889232956991"/>
  </r>
  <r>
    <x v="1"/>
    <x v="47"/>
    <x v="3"/>
    <x v="0"/>
    <x v="0"/>
    <x v="0"/>
    <x v="0"/>
    <x v="47"/>
    <x v="0"/>
    <n v="25882.029868172151"/>
    <n v="21749.609835755229"/>
    <n v="1047.231424424624"/>
  </r>
  <r>
    <x v="1"/>
    <x v="47"/>
    <x v="3"/>
    <x v="0"/>
    <x v="1"/>
    <x v="0"/>
    <x v="0"/>
    <x v="47"/>
    <x v="0"/>
    <n v="20973.05469502051"/>
    <n v="14267.387363555919"/>
    <n v="1203.4940023035399"/>
  </r>
  <r>
    <x v="1"/>
    <x v="47"/>
    <x v="3"/>
    <x v="0"/>
    <x v="1"/>
    <x v="0"/>
    <x v="0"/>
    <x v="47"/>
    <x v="0"/>
    <n v="17577.176000605981"/>
    <n v="11957.26528179918"/>
    <n v="1305.8170490434061"/>
  </r>
  <r>
    <x v="1"/>
    <x v="47"/>
    <x v="3"/>
    <x v="0"/>
    <x v="2"/>
    <x v="0"/>
    <x v="0"/>
    <x v="47"/>
    <x v="0"/>
    <n v="4355.808441043293"/>
    <n v="2489.0339561568771"/>
    <n v="345.71307601278221"/>
  </r>
  <r>
    <x v="1"/>
    <x v="47"/>
    <x v="3"/>
    <x v="0"/>
    <x v="2"/>
    <x v="0"/>
    <x v="0"/>
    <x v="47"/>
    <x v="0"/>
    <n v="6655.643061169073"/>
    <n v="3803.225464006367"/>
    <n v="682.4581548178777"/>
  </r>
  <r>
    <x v="1"/>
    <x v="47"/>
    <x v="3"/>
    <x v="0"/>
    <x v="3"/>
    <x v="0"/>
    <x v="0"/>
    <x v="47"/>
    <x v="0"/>
    <n v="20457.71841191121"/>
    <n v="10077.696071482749"/>
    <n v="1995.433193949897"/>
  </r>
  <r>
    <x v="1"/>
    <x v="47"/>
    <x v="3"/>
    <x v="0"/>
    <x v="0"/>
    <x v="0"/>
    <x v="0"/>
    <x v="47"/>
    <x v="1"/>
    <n v="68601.576081750507"/>
    <n v="57648.396261638518"/>
    <n v="1419.9280650562509"/>
  </r>
  <r>
    <x v="1"/>
    <x v="47"/>
    <x v="3"/>
    <x v="0"/>
    <x v="0"/>
    <x v="0"/>
    <x v="0"/>
    <x v="47"/>
    <x v="1"/>
    <n v="187198.51105753539"/>
    <n v="157309.7086307955"/>
    <n v="7732.3740481585064"/>
  </r>
  <r>
    <x v="1"/>
    <x v="47"/>
    <x v="3"/>
    <x v="0"/>
    <x v="1"/>
    <x v="0"/>
    <x v="0"/>
    <x v="47"/>
    <x v="1"/>
    <n v="157683.62498223389"/>
    <n v="107267.7962855527"/>
    <n v="8505.3759166153559"/>
  </r>
  <r>
    <x v="1"/>
    <x v="47"/>
    <x v="3"/>
    <x v="0"/>
    <x v="1"/>
    <x v="0"/>
    <x v="0"/>
    <x v="47"/>
    <x v="1"/>
    <n v="107724.79322521039"/>
    <n v="73282.188787117848"/>
    <n v="7962.6790918798433"/>
  </r>
  <r>
    <x v="1"/>
    <x v="47"/>
    <x v="3"/>
    <x v="0"/>
    <x v="2"/>
    <x v="0"/>
    <x v="0"/>
    <x v="47"/>
    <x v="1"/>
    <n v="17557.16502462409"/>
    <n v="10032.667990714541"/>
    <n v="1401.989317874571"/>
  </r>
  <r>
    <x v="1"/>
    <x v="47"/>
    <x v="3"/>
    <x v="0"/>
    <x v="2"/>
    <x v="0"/>
    <x v="0"/>
    <x v="47"/>
    <x v="1"/>
    <n v="50176.561341127999"/>
    <n v="28672.327231943749"/>
    <n v="4937.4824609259786"/>
  </r>
  <r>
    <x v="1"/>
    <x v="47"/>
    <x v="3"/>
    <x v="0"/>
    <x v="3"/>
    <x v="0"/>
    <x v="0"/>
    <x v="47"/>
    <x v="1"/>
    <n v="105011.5301945361"/>
    <n v="51729.829494852384"/>
    <n v="10076.39530660779"/>
  </r>
  <r>
    <x v="1"/>
    <x v="48"/>
    <x v="3"/>
    <x v="0"/>
    <x v="0"/>
    <x v="0"/>
    <x v="0"/>
    <x v="48"/>
    <x v="0"/>
    <n v="0.48835088565416052"/>
    <n v="0.42465267735972378"/>
    <n v="0"/>
  </r>
  <r>
    <x v="1"/>
    <x v="48"/>
    <x v="3"/>
    <x v="0"/>
    <x v="0"/>
    <x v="0"/>
    <x v="0"/>
    <x v="48"/>
    <x v="0"/>
    <n v="0.25111868870476711"/>
    <n v="0.2183639399992022"/>
    <n v="0"/>
  </r>
  <r>
    <x v="1"/>
    <x v="48"/>
    <x v="3"/>
    <x v="0"/>
    <x v="1"/>
    <x v="0"/>
    <x v="0"/>
    <x v="48"/>
    <x v="0"/>
    <n v="0.29417763122619239"/>
    <n v="0.2057184940412253"/>
    <n v="0"/>
  </r>
  <r>
    <x v="1"/>
    <x v="48"/>
    <x v="3"/>
    <x v="0"/>
    <x v="1"/>
    <x v="0"/>
    <x v="0"/>
    <x v="48"/>
    <x v="0"/>
    <n v="0.25027537143722561"/>
    <n v="0.175017632350458"/>
    <n v="0"/>
  </r>
  <r>
    <x v="1"/>
    <x v="48"/>
    <x v="3"/>
    <x v="0"/>
    <x v="2"/>
    <x v="0"/>
    <x v="0"/>
    <x v="48"/>
    <x v="0"/>
    <n v="0.51352516004463744"/>
    <n v="0.30030692254058439"/>
    <n v="0"/>
  </r>
  <r>
    <x v="1"/>
    <x v="48"/>
    <x v="3"/>
    <x v="0"/>
    <x v="2"/>
    <x v="0"/>
    <x v="0"/>
    <x v="48"/>
    <x v="0"/>
    <n v="0.2219563842814854"/>
    <n v="0.12979897361993781"/>
    <n v="0"/>
  </r>
  <r>
    <x v="1"/>
    <x v="48"/>
    <x v="3"/>
    <x v="0"/>
    <x v="3"/>
    <x v="0"/>
    <x v="0"/>
    <x v="48"/>
    <x v="0"/>
    <n v="0.65542218094976523"/>
    <n v="0.32935767303337649"/>
    <n v="0"/>
  </r>
  <r>
    <x v="1"/>
    <x v="48"/>
    <x v="3"/>
    <x v="0"/>
    <x v="0"/>
    <x v="0"/>
    <x v="0"/>
    <x v="48"/>
    <x v="1"/>
    <n v="1.067833491598928"/>
    <n v="0.92855027911835597"/>
    <n v="0"/>
  </r>
  <r>
    <x v="1"/>
    <x v="48"/>
    <x v="3"/>
    <x v="0"/>
    <x v="0"/>
    <x v="0"/>
    <x v="0"/>
    <x v="48"/>
    <x v="1"/>
    <n v="1.2926083432355611"/>
    <n v="1.1240065490967981"/>
    <n v="0"/>
  </r>
  <r>
    <x v="1"/>
    <x v="48"/>
    <x v="3"/>
    <x v="0"/>
    <x v="1"/>
    <x v="0"/>
    <x v="0"/>
    <x v="48"/>
    <x v="1"/>
    <n v="1.795916089822188"/>
    <n v="1.2558845887862731"/>
    <n v="0"/>
  </r>
  <r>
    <x v="1"/>
    <x v="48"/>
    <x v="3"/>
    <x v="0"/>
    <x v="1"/>
    <x v="0"/>
    <x v="0"/>
    <x v="48"/>
    <x v="1"/>
    <n v="2.688823283332348"/>
    <n v="1.880294821480853"/>
    <n v="0"/>
  </r>
  <r>
    <x v="1"/>
    <x v="48"/>
    <x v="3"/>
    <x v="0"/>
    <x v="2"/>
    <x v="0"/>
    <x v="0"/>
    <x v="48"/>
    <x v="1"/>
    <n v="2.2894676767893829"/>
    <n v="1.338869145599404"/>
    <n v="0"/>
  </r>
  <r>
    <x v="1"/>
    <x v="48"/>
    <x v="3"/>
    <x v="0"/>
    <x v="2"/>
    <x v="0"/>
    <x v="0"/>
    <x v="48"/>
    <x v="1"/>
    <n v="1.043967953481441"/>
    <n v="0.61050719172893542"/>
    <n v="0"/>
  </r>
  <r>
    <x v="1"/>
    <x v="48"/>
    <x v="3"/>
    <x v="0"/>
    <x v="3"/>
    <x v="0"/>
    <x v="0"/>
    <x v="48"/>
    <x v="1"/>
    <n v="2.1465568594419162"/>
    <n v="1.0786711112448739"/>
    <n v="0"/>
  </r>
  <r>
    <x v="1"/>
    <x v="96"/>
    <x v="3"/>
    <x v="1"/>
    <x v="4"/>
    <x v="1"/>
    <x v="1"/>
    <x v="70"/>
    <x v="0"/>
    <n v="2818.2"/>
    <n v="955.2"/>
    <n v="247.6"/>
  </r>
  <r>
    <x v="1"/>
    <x v="96"/>
    <x v="3"/>
    <x v="1"/>
    <x v="4"/>
    <x v="1"/>
    <x v="1"/>
    <x v="70"/>
    <x v="1"/>
    <n v="11266.8"/>
    <n v="3818.8"/>
    <n v="990.40000000000009"/>
  </r>
  <r>
    <x v="1"/>
    <x v="49"/>
    <x v="0"/>
    <x v="1"/>
    <x v="0"/>
    <x v="1"/>
    <x v="1"/>
    <x v="49"/>
    <x v="0"/>
    <n v="1023954"/>
    <n v="672777.4"/>
    <n v="33214.400000000001"/>
  </r>
  <r>
    <x v="1"/>
    <x v="50"/>
    <x v="3"/>
    <x v="1"/>
    <x v="0"/>
    <x v="1"/>
    <x v="1"/>
    <x v="49"/>
    <x v="0"/>
    <n v="304989.60000000003"/>
    <n v="215484.2"/>
    <n v="11267.2"/>
  </r>
  <r>
    <x v="1"/>
    <x v="51"/>
    <x v="0"/>
    <x v="1"/>
    <x v="1"/>
    <x v="1"/>
    <x v="1"/>
    <x v="50"/>
    <x v="0"/>
    <n v="3645276.8000000003"/>
    <n v="2040048.4000000001"/>
    <n v="199363"/>
  </r>
  <r>
    <x v="1"/>
    <x v="52"/>
    <x v="3"/>
    <x v="1"/>
    <x v="1"/>
    <x v="1"/>
    <x v="1"/>
    <x v="50"/>
    <x v="0"/>
    <n v="1060801.6000000001"/>
    <n v="619540.80000000005"/>
    <n v="60071.4"/>
  </r>
  <r>
    <x v="1"/>
    <x v="53"/>
    <x v="0"/>
    <x v="1"/>
    <x v="2"/>
    <x v="1"/>
    <x v="1"/>
    <x v="51"/>
    <x v="0"/>
    <n v="3674701.2"/>
    <n v="1818316.6"/>
    <n v="286099.60000000003"/>
  </r>
  <r>
    <x v="1"/>
    <x v="54"/>
    <x v="3"/>
    <x v="1"/>
    <x v="2"/>
    <x v="1"/>
    <x v="1"/>
    <x v="51"/>
    <x v="0"/>
    <n v="1059318.2"/>
    <n v="532499.6"/>
    <n v="83976.6"/>
  </r>
  <r>
    <x v="1"/>
    <x v="55"/>
    <x v="0"/>
    <x v="1"/>
    <x v="3"/>
    <x v="1"/>
    <x v="1"/>
    <x v="52"/>
    <x v="0"/>
    <n v="3130445.2"/>
    <n v="1361271"/>
    <n v="299938.40000000002"/>
  </r>
  <r>
    <x v="1"/>
    <x v="56"/>
    <x v="3"/>
    <x v="1"/>
    <x v="3"/>
    <x v="1"/>
    <x v="1"/>
    <x v="52"/>
    <x v="0"/>
    <n v="887014.60000000009"/>
    <n v="393053.60000000003"/>
    <n v="86828.800000000003"/>
  </r>
  <r>
    <x v="1"/>
    <x v="57"/>
    <x v="0"/>
    <x v="1"/>
    <x v="4"/>
    <x v="1"/>
    <x v="1"/>
    <x v="53"/>
    <x v="0"/>
    <n v="2263496.6"/>
    <n v="878570.4"/>
    <n v="248739.40000000002"/>
  </r>
  <r>
    <x v="1"/>
    <x v="58"/>
    <x v="3"/>
    <x v="1"/>
    <x v="4"/>
    <x v="1"/>
    <x v="1"/>
    <x v="53"/>
    <x v="0"/>
    <n v="690684.4"/>
    <n v="272278.40000000002"/>
    <n v="76878.400000000009"/>
  </r>
  <r>
    <x v="1"/>
    <x v="59"/>
    <x v="0"/>
    <x v="1"/>
    <x v="5"/>
    <x v="1"/>
    <x v="1"/>
    <x v="54"/>
    <x v="0"/>
    <n v="1650028"/>
    <n v="585470.6"/>
    <n v="201729.6"/>
  </r>
  <r>
    <x v="1"/>
    <x v="60"/>
    <x v="3"/>
    <x v="1"/>
    <x v="5"/>
    <x v="1"/>
    <x v="1"/>
    <x v="54"/>
    <x v="0"/>
    <n v="519057.60000000003"/>
    <n v="184040"/>
    <n v="63455.4"/>
  </r>
  <r>
    <x v="1"/>
    <x v="61"/>
    <x v="0"/>
    <x v="1"/>
    <x v="6"/>
    <x v="1"/>
    <x v="1"/>
    <x v="55"/>
    <x v="0"/>
    <n v="1212280"/>
    <n v="392711.80000000005"/>
    <n v="159571.80000000002"/>
  </r>
  <r>
    <x v="1"/>
    <x v="62"/>
    <x v="3"/>
    <x v="1"/>
    <x v="6"/>
    <x v="1"/>
    <x v="1"/>
    <x v="55"/>
    <x v="0"/>
    <n v="384868.2"/>
    <n v="124662.20000000001"/>
    <n v="50842.8"/>
  </r>
  <r>
    <x v="1"/>
    <x v="63"/>
    <x v="0"/>
    <x v="1"/>
    <x v="7"/>
    <x v="1"/>
    <x v="1"/>
    <x v="56"/>
    <x v="0"/>
    <n v="844531"/>
    <n v="263104.8"/>
    <n v="123483.8"/>
  </r>
  <r>
    <x v="1"/>
    <x v="64"/>
    <x v="3"/>
    <x v="1"/>
    <x v="7"/>
    <x v="1"/>
    <x v="1"/>
    <x v="56"/>
    <x v="0"/>
    <n v="312096.60000000003"/>
    <n v="92578.8"/>
    <n v="43564.600000000006"/>
  </r>
  <r>
    <x v="1"/>
    <x v="65"/>
    <x v="0"/>
    <x v="1"/>
    <x v="8"/>
    <x v="1"/>
    <x v="1"/>
    <x v="57"/>
    <x v="0"/>
    <n v="515908.80000000005"/>
    <n v="141131.4"/>
    <n v="74957.8"/>
  </r>
  <r>
    <x v="1"/>
    <x v="66"/>
    <x v="3"/>
    <x v="1"/>
    <x v="8"/>
    <x v="1"/>
    <x v="1"/>
    <x v="57"/>
    <x v="0"/>
    <n v="266123.60000000003"/>
    <n v="72986.600000000006"/>
    <n v="38887.599999999999"/>
  </r>
  <r>
    <x v="1"/>
    <x v="67"/>
    <x v="0"/>
    <x v="1"/>
    <x v="9"/>
    <x v="1"/>
    <x v="1"/>
    <x v="58"/>
    <x v="0"/>
    <n v="476700"/>
    <n v="122642.20000000001"/>
    <n v="72810"/>
  </r>
  <r>
    <x v="1"/>
    <x v="68"/>
    <x v="3"/>
    <x v="1"/>
    <x v="9"/>
    <x v="1"/>
    <x v="1"/>
    <x v="58"/>
    <x v="0"/>
    <n v="205987.6"/>
    <n v="52384"/>
    <n v="31197"/>
  </r>
  <r>
    <x v="1"/>
    <x v="69"/>
    <x v="0"/>
    <x v="1"/>
    <x v="10"/>
    <x v="1"/>
    <x v="1"/>
    <x v="59"/>
    <x v="0"/>
    <n v="343091.60000000003"/>
    <n v="81285.400000000009"/>
    <n v="53412.600000000006"/>
  </r>
  <r>
    <x v="1"/>
    <x v="70"/>
    <x v="3"/>
    <x v="1"/>
    <x v="10"/>
    <x v="1"/>
    <x v="1"/>
    <x v="59"/>
    <x v="0"/>
    <n v="160860.20000000001"/>
    <n v="38133.4"/>
    <n v="25078"/>
  </r>
  <r>
    <x v="1"/>
    <x v="71"/>
    <x v="0"/>
    <x v="1"/>
    <x v="11"/>
    <x v="1"/>
    <x v="1"/>
    <x v="60"/>
    <x v="0"/>
    <n v="314386"/>
    <n v="70941.2"/>
    <n v="51164.600000000006"/>
  </r>
  <r>
    <x v="1"/>
    <x v="72"/>
    <x v="3"/>
    <x v="1"/>
    <x v="11"/>
    <x v="1"/>
    <x v="1"/>
    <x v="60"/>
    <x v="0"/>
    <n v="127249.60000000001"/>
    <n v="28260.800000000003"/>
    <n v="20360.600000000002"/>
  </r>
  <r>
    <x v="1"/>
    <x v="73"/>
    <x v="0"/>
    <x v="1"/>
    <x v="12"/>
    <x v="1"/>
    <x v="1"/>
    <x v="61"/>
    <x v="0"/>
    <n v="199047.40000000002"/>
    <n v="42013.600000000006"/>
    <n v="33133.4"/>
  </r>
  <r>
    <x v="1"/>
    <x v="74"/>
    <x v="3"/>
    <x v="1"/>
    <x v="12"/>
    <x v="1"/>
    <x v="1"/>
    <x v="61"/>
    <x v="0"/>
    <n v="101825.8"/>
    <n v="21250.400000000001"/>
    <n v="16638"/>
  </r>
  <r>
    <x v="1"/>
    <x v="75"/>
    <x v="4"/>
    <x v="1"/>
    <x v="0"/>
    <x v="1"/>
    <x v="1"/>
    <x v="49"/>
    <x v="0"/>
    <n v="1283361.8"/>
    <n v="858192.8"/>
    <n v="46551.4"/>
  </r>
  <r>
    <x v="1"/>
    <x v="76"/>
    <x v="4"/>
    <x v="1"/>
    <x v="1"/>
    <x v="1"/>
    <x v="1"/>
    <x v="50"/>
    <x v="0"/>
    <n v="3716241.2"/>
    <n v="2106000.2000000002"/>
    <n v="204449.40000000002"/>
  </r>
  <r>
    <x v="1"/>
    <x v="77"/>
    <x v="4"/>
    <x v="1"/>
    <x v="2"/>
    <x v="1"/>
    <x v="1"/>
    <x v="51"/>
    <x v="0"/>
    <n v="3790948.2"/>
    <n v="1863962.2000000002"/>
    <n v="290635.8"/>
  </r>
  <r>
    <x v="1"/>
    <x v="78"/>
    <x v="4"/>
    <x v="1"/>
    <x v="3"/>
    <x v="1"/>
    <x v="1"/>
    <x v="52"/>
    <x v="0"/>
    <n v="3345219.8000000003"/>
    <n v="1452571.6"/>
    <n v="319254.80000000005"/>
  </r>
  <r>
    <x v="1"/>
    <x v="79"/>
    <x v="4"/>
    <x v="1"/>
    <x v="4"/>
    <x v="1"/>
    <x v="1"/>
    <x v="53"/>
    <x v="0"/>
    <n v="2449491.6"/>
    <n v="948631.8"/>
    <n v="265541.2"/>
  </r>
  <r>
    <x v="1"/>
    <x v="80"/>
    <x v="4"/>
    <x v="1"/>
    <x v="5"/>
    <x v="1"/>
    <x v="1"/>
    <x v="54"/>
    <x v="0"/>
    <n v="1867397.2000000002"/>
    <n v="652659.80000000005"/>
    <n v="223723.80000000002"/>
  </r>
  <r>
    <x v="1"/>
    <x v="81"/>
    <x v="4"/>
    <x v="1"/>
    <x v="6"/>
    <x v="1"/>
    <x v="1"/>
    <x v="55"/>
    <x v="0"/>
    <n v="1512299"/>
    <n v="481568.2"/>
    <n v="194943.2"/>
  </r>
  <r>
    <x v="1"/>
    <x v="82"/>
    <x v="4"/>
    <x v="1"/>
    <x v="7"/>
    <x v="1"/>
    <x v="1"/>
    <x v="56"/>
    <x v="0"/>
    <n v="1066690"/>
    <n v="311955.20000000001"/>
    <n v="145610.20000000001"/>
  </r>
  <r>
    <x v="1"/>
    <x v="83"/>
    <x v="4"/>
    <x v="1"/>
    <x v="8"/>
    <x v="1"/>
    <x v="1"/>
    <x v="57"/>
    <x v="0"/>
    <n v="842980.4"/>
    <n v="227920.80000000002"/>
    <n v="120571.20000000001"/>
  </r>
  <r>
    <x v="1"/>
    <x v="84"/>
    <x v="4"/>
    <x v="1"/>
    <x v="9"/>
    <x v="1"/>
    <x v="1"/>
    <x v="58"/>
    <x v="0"/>
    <n v="670468.80000000005"/>
    <n v="167715.40000000002"/>
    <n v="99082.6"/>
  </r>
  <r>
    <x v="1"/>
    <x v="85"/>
    <x v="4"/>
    <x v="1"/>
    <x v="10"/>
    <x v="1"/>
    <x v="1"/>
    <x v="59"/>
    <x v="0"/>
    <n v="550729.80000000005"/>
    <n v="128173"/>
    <n v="83715.200000000012"/>
  </r>
  <r>
    <x v="1"/>
    <x v="86"/>
    <x v="4"/>
    <x v="1"/>
    <x v="11"/>
    <x v="1"/>
    <x v="1"/>
    <x v="60"/>
    <x v="0"/>
    <n v="483393.2"/>
    <n v="105181.40000000001"/>
    <n v="75259"/>
  </r>
  <r>
    <x v="1"/>
    <x v="87"/>
    <x v="4"/>
    <x v="1"/>
    <x v="12"/>
    <x v="1"/>
    <x v="1"/>
    <x v="61"/>
    <x v="0"/>
    <n v="420312.4"/>
    <n v="85868"/>
    <n v="66738.2"/>
  </r>
  <r>
    <x v="1"/>
    <x v="49"/>
    <x v="0"/>
    <x v="1"/>
    <x v="0"/>
    <x v="1"/>
    <x v="1"/>
    <x v="49"/>
    <x v="1"/>
    <n v="4095816"/>
    <n v="2691109.6"/>
    <n v="132857.60000000001"/>
  </r>
  <r>
    <x v="1"/>
    <x v="50"/>
    <x v="3"/>
    <x v="1"/>
    <x v="0"/>
    <x v="1"/>
    <x v="1"/>
    <x v="49"/>
    <x v="1"/>
    <n v="1219958.3999999999"/>
    <n v="861936.8"/>
    <n v="45068.800000000003"/>
  </r>
  <r>
    <x v="1"/>
    <x v="51"/>
    <x v="0"/>
    <x v="1"/>
    <x v="1"/>
    <x v="1"/>
    <x v="1"/>
    <x v="50"/>
    <x v="1"/>
    <n v="14581107.199999999"/>
    <n v="8160193.5999999996"/>
    <n v="797452"/>
  </r>
  <r>
    <x v="1"/>
    <x v="52"/>
    <x v="3"/>
    <x v="1"/>
    <x v="1"/>
    <x v="1"/>
    <x v="1"/>
    <x v="50"/>
    <x v="1"/>
    <n v="4243206.4000000004"/>
    <n v="2478163.2000000002"/>
    <n v="240285.6"/>
  </r>
  <r>
    <x v="1"/>
    <x v="53"/>
    <x v="0"/>
    <x v="1"/>
    <x v="2"/>
    <x v="1"/>
    <x v="1"/>
    <x v="51"/>
    <x v="1"/>
    <n v="14698804.800000001"/>
    <n v="7273266.4000000004"/>
    <n v="1144398.3999999999"/>
  </r>
  <r>
    <x v="1"/>
    <x v="54"/>
    <x v="3"/>
    <x v="1"/>
    <x v="2"/>
    <x v="1"/>
    <x v="1"/>
    <x v="51"/>
    <x v="1"/>
    <n v="4237272.8"/>
    <n v="2129998.4"/>
    <n v="335906.4"/>
  </r>
  <r>
    <x v="1"/>
    <x v="55"/>
    <x v="0"/>
    <x v="1"/>
    <x v="3"/>
    <x v="1"/>
    <x v="1"/>
    <x v="52"/>
    <x v="1"/>
    <n v="12521780.800000001"/>
    <n v="5445084"/>
    <n v="1199753.6000000001"/>
  </r>
  <r>
    <x v="1"/>
    <x v="56"/>
    <x v="3"/>
    <x v="1"/>
    <x v="3"/>
    <x v="1"/>
    <x v="1"/>
    <x v="52"/>
    <x v="1"/>
    <n v="3548058.4"/>
    <n v="1572214.4"/>
    <n v="347315.20000000001"/>
  </r>
  <r>
    <x v="1"/>
    <x v="57"/>
    <x v="0"/>
    <x v="1"/>
    <x v="4"/>
    <x v="1"/>
    <x v="1"/>
    <x v="53"/>
    <x v="1"/>
    <n v="9053986.4000000004"/>
    <n v="3514281.6"/>
    <n v="994957.6"/>
  </r>
  <r>
    <x v="1"/>
    <x v="58"/>
    <x v="3"/>
    <x v="1"/>
    <x v="4"/>
    <x v="1"/>
    <x v="1"/>
    <x v="53"/>
    <x v="1"/>
    <n v="2762737.6"/>
    <n v="1089113.6000000001"/>
    <n v="307513.59999999998"/>
  </r>
  <r>
    <x v="1"/>
    <x v="59"/>
    <x v="0"/>
    <x v="1"/>
    <x v="5"/>
    <x v="1"/>
    <x v="1"/>
    <x v="54"/>
    <x v="1"/>
    <n v="6600112"/>
    <n v="2341882.4"/>
    <n v="806918.4"/>
  </r>
  <r>
    <x v="1"/>
    <x v="60"/>
    <x v="3"/>
    <x v="1"/>
    <x v="5"/>
    <x v="1"/>
    <x v="1"/>
    <x v="54"/>
    <x v="1"/>
    <n v="2076230.4"/>
    <n v="736160"/>
    <n v="253821.6"/>
  </r>
  <r>
    <x v="1"/>
    <x v="61"/>
    <x v="0"/>
    <x v="1"/>
    <x v="6"/>
    <x v="1"/>
    <x v="1"/>
    <x v="55"/>
    <x v="1"/>
    <n v="4849120"/>
    <n v="1570847.2"/>
    <n v="638287.19999999995"/>
  </r>
  <r>
    <x v="1"/>
    <x v="62"/>
    <x v="3"/>
    <x v="1"/>
    <x v="6"/>
    <x v="1"/>
    <x v="1"/>
    <x v="55"/>
    <x v="1"/>
    <n v="1539472.8"/>
    <n v="498648.8"/>
    <n v="203371.2"/>
  </r>
  <r>
    <x v="1"/>
    <x v="63"/>
    <x v="0"/>
    <x v="1"/>
    <x v="7"/>
    <x v="1"/>
    <x v="1"/>
    <x v="56"/>
    <x v="1"/>
    <n v="3378124"/>
    <n v="1052419.2"/>
    <n v="493935.2"/>
  </r>
  <r>
    <x v="1"/>
    <x v="64"/>
    <x v="3"/>
    <x v="1"/>
    <x v="7"/>
    <x v="1"/>
    <x v="1"/>
    <x v="56"/>
    <x v="1"/>
    <n v="1248386.3999999999"/>
    <n v="370315.2"/>
    <n v="174258.4"/>
  </r>
  <r>
    <x v="1"/>
    <x v="65"/>
    <x v="0"/>
    <x v="1"/>
    <x v="8"/>
    <x v="1"/>
    <x v="1"/>
    <x v="57"/>
    <x v="1"/>
    <n v="2063635.2"/>
    <n v="564525.6"/>
    <n v="299831.2"/>
  </r>
  <r>
    <x v="1"/>
    <x v="66"/>
    <x v="3"/>
    <x v="1"/>
    <x v="8"/>
    <x v="1"/>
    <x v="1"/>
    <x v="57"/>
    <x v="1"/>
    <n v="1064494.3999999999"/>
    <n v="291946.40000000002"/>
    <n v="155550.39999999999"/>
  </r>
  <r>
    <x v="1"/>
    <x v="67"/>
    <x v="0"/>
    <x v="1"/>
    <x v="9"/>
    <x v="1"/>
    <x v="1"/>
    <x v="58"/>
    <x v="1"/>
    <n v="1906800"/>
    <n v="490568.8"/>
    <n v="291240"/>
  </r>
  <r>
    <x v="1"/>
    <x v="68"/>
    <x v="3"/>
    <x v="1"/>
    <x v="9"/>
    <x v="1"/>
    <x v="1"/>
    <x v="58"/>
    <x v="1"/>
    <n v="823950.4"/>
    <n v="209536"/>
    <n v="124788"/>
  </r>
  <r>
    <x v="1"/>
    <x v="69"/>
    <x v="0"/>
    <x v="1"/>
    <x v="10"/>
    <x v="1"/>
    <x v="1"/>
    <x v="59"/>
    <x v="1"/>
    <n v="1372366.4"/>
    <n v="325141.59999999998"/>
    <n v="213650.4"/>
  </r>
  <r>
    <x v="1"/>
    <x v="70"/>
    <x v="3"/>
    <x v="1"/>
    <x v="10"/>
    <x v="1"/>
    <x v="1"/>
    <x v="59"/>
    <x v="1"/>
    <n v="643440.80000000005"/>
    <n v="152533.6"/>
    <n v="100312"/>
  </r>
  <r>
    <x v="1"/>
    <x v="71"/>
    <x v="0"/>
    <x v="1"/>
    <x v="11"/>
    <x v="1"/>
    <x v="1"/>
    <x v="60"/>
    <x v="1"/>
    <n v="1257544"/>
    <n v="283764.8"/>
    <n v="204658.4"/>
  </r>
  <r>
    <x v="1"/>
    <x v="72"/>
    <x v="3"/>
    <x v="1"/>
    <x v="11"/>
    <x v="1"/>
    <x v="1"/>
    <x v="60"/>
    <x v="1"/>
    <n v="508998.40000000002"/>
    <n v="113043.2"/>
    <n v="81442.399999999994"/>
  </r>
  <r>
    <x v="1"/>
    <x v="73"/>
    <x v="0"/>
    <x v="1"/>
    <x v="12"/>
    <x v="1"/>
    <x v="1"/>
    <x v="61"/>
    <x v="1"/>
    <n v="796189.6"/>
    <n v="168054.39999999999"/>
    <n v="132533.6"/>
  </r>
  <r>
    <x v="1"/>
    <x v="74"/>
    <x v="3"/>
    <x v="1"/>
    <x v="12"/>
    <x v="1"/>
    <x v="1"/>
    <x v="61"/>
    <x v="1"/>
    <n v="407303.2"/>
    <n v="85001.600000000006"/>
    <n v="66552"/>
  </r>
  <r>
    <x v="1"/>
    <x v="75"/>
    <x v="4"/>
    <x v="1"/>
    <x v="0"/>
    <x v="1"/>
    <x v="1"/>
    <x v="49"/>
    <x v="1"/>
    <n v="5133447.2"/>
    <n v="3432771.2"/>
    <n v="186205.6"/>
  </r>
  <r>
    <x v="1"/>
    <x v="76"/>
    <x v="4"/>
    <x v="1"/>
    <x v="1"/>
    <x v="1"/>
    <x v="1"/>
    <x v="50"/>
    <x v="1"/>
    <n v="14864964.800000001"/>
    <n v="8424000.8000000007"/>
    <n v="817797.6"/>
  </r>
  <r>
    <x v="1"/>
    <x v="77"/>
    <x v="4"/>
    <x v="1"/>
    <x v="2"/>
    <x v="1"/>
    <x v="1"/>
    <x v="51"/>
    <x v="1"/>
    <n v="15163792.800000001"/>
    <n v="7455848.7999999998"/>
    <n v="1162543.2"/>
  </r>
  <r>
    <x v="1"/>
    <x v="78"/>
    <x v="4"/>
    <x v="1"/>
    <x v="3"/>
    <x v="1"/>
    <x v="1"/>
    <x v="52"/>
    <x v="1"/>
    <n v="13380879.199999999"/>
    <n v="5810286.4000000004"/>
    <n v="1277019.2"/>
  </r>
  <r>
    <x v="1"/>
    <x v="79"/>
    <x v="4"/>
    <x v="1"/>
    <x v="4"/>
    <x v="1"/>
    <x v="1"/>
    <x v="53"/>
    <x v="1"/>
    <n v="9797966.4000000004"/>
    <n v="3794527.2"/>
    <n v="1062164.8"/>
  </r>
  <r>
    <x v="1"/>
    <x v="80"/>
    <x v="4"/>
    <x v="1"/>
    <x v="5"/>
    <x v="1"/>
    <x v="1"/>
    <x v="54"/>
    <x v="1"/>
    <n v="7469588.7999999998"/>
    <n v="2610639.2000000002"/>
    <n v="894895.2"/>
  </r>
  <r>
    <x v="1"/>
    <x v="81"/>
    <x v="4"/>
    <x v="1"/>
    <x v="6"/>
    <x v="1"/>
    <x v="1"/>
    <x v="55"/>
    <x v="1"/>
    <n v="6049196"/>
    <n v="1926272.8"/>
    <n v="779772.8"/>
  </r>
  <r>
    <x v="1"/>
    <x v="82"/>
    <x v="4"/>
    <x v="1"/>
    <x v="7"/>
    <x v="1"/>
    <x v="1"/>
    <x v="56"/>
    <x v="1"/>
    <n v="4266760"/>
    <n v="1247820.8"/>
    <n v="582440.80000000005"/>
  </r>
  <r>
    <x v="1"/>
    <x v="83"/>
    <x v="4"/>
    <x v="1"/>
    <x v="8"/>
    <x v="1"/>
    <x v="1"/>
    <x v="57"/>
    <x v="1"/>
    <n v="3371921.6"/>
    <n v="911683.2"/>
    <n v="482284.79999999999"/>
  </r>
  <r>
    <x v="1"/>
    <x v="84"/>
    <x v="4"/>
    <x v="1"/>
    <x v="9"/>
    <x v="1"/>
    <x v="1"/>
    <x v="58"/>
    <x v="1"/>
    <n v="2681875.2000000002"/>
    <n v="670861.6"/>
    <n v="396330.4"/>
  </r>
  <r>
    <x v="1"/>
    <x v="85"/>
    <x v="4"/>
    <x v="1"/>
    <x v="10"/>
    <x v="1"/>
    <x v="1"/>
    <x v="59"/>
    <x v="1"/>
    <n v="2202919.2000000002"/>
    <n v="512692"/>
    <n v="334860.79999999999"/>
  </r>
  <r>
    <x v="1"/>
    <x v="86"/>
    <x v="4"/>
    <x v="1"/>
    <x v="11"/>
    <x v="1"/>
    <x v="1"/>
    <x v="60"/>
    <x v="1"/>
    <n v="1933572.8"/>
    <n v="420725.6"/>
    <n v="301036"/>
  </r>
  <r>
    <x v="1"/>
    <x v="87"/>
    <x v="4"/>
    <x v="1"/>
    <x v="12"/>
    <x v="1"/>
    <x v="1"/>
    <x v="61"/>
    <x v="1"/>
    <n v="1681249.6"/>
    <n v="343472"/>
    <n v="266952.8"/>
  </r>
  <r>
    <x v="1"/>
    <x v="88"/>
    <x v="0"/>
    <x v="0"/>
    <x v="0"/>
    <x v="3"/>
    <x v="3"/>
    <x v="62"/>
    <x v="0"/>
    <n v="892483.76110026496"/>
    <n v="1569093.4628365976"/>
    <n v="20532.044106733654"/>
  </r>
  <r>
    <x v="1"/>
    <x v="88"/>
    <x v="0"/>
    <x v="0"/>
    <x v="0"/>
    <x v="3"/>
    <x v="3"/>
    <x v="62"/>
    <x v="1"/>
    <n v="3465129.9791983021"/>
    <n v="6106894.5992426621"/>
    <n v="79910.491143053994"/>
  </r>
  <r>
    <x v="1"/>
    <x v="88"/>
    <x v="1"/>
    <x v="0"/>
    <x v="0"/>
    <x v="3"/>
    <x v="3"/>
    <x v="62"/>
    <x v="0"/>
    <n v="0"/>
    <n v="0"/>
    <n v="0"/>
  </r>
  <r>
    <x v="1"/>
    <x v="88"/>
    <x v="1"/>
    <x v="0"/>
    <x v="0"/>
    <x v="3"/>
    <x v="3"/>
    <x v="62"/>
    <x v="0"/>
    <n v="4815364.427881958"/>
    <n v="8329714.1633402677"/>
    <n v="108996.58947054946"/>
  </r>
  <r>
    <x v="1"/>
    <x v="88"/>
    <x v="1"/>
    <x v="0"/>
    <x v="0"/>
    <x v="3"/>
    <x v="3"/>
    <x v="62"/>
    <x v="1"/>
    <n v="23319530.259572364"/>
    <n v="40158439.401686452"/>
    <n v="525484.13464705634"/>
  </r>
  <r>
    <x v="1"/>
    <x v="88"/>
    <x v="4"/>
    <x v="0"/>
    <x v="0"/>
    <x v="3"/>
    <x v="3"/>
    <x v="62"/>
    <x v="0"/>
    <n v="27248.509778617248"/>
    <n v="48102.428001783563"/>
    <n v="629.43425409174517"/>
  </r>
  <r>
    <x v="1"/>
    <x v="88"/>
    <x v="4"/>
    <x v="0"/>
    <x v="0"/>
    <x v="3"/>
    <x v="3"/>
    <x v="62"/>
    <x v="1"/>
    <n v="41804.062468493423"/>
    <n v="63911.944892228486"/>
    <n v="836.30637851477434"/>
  </r>
  <r>
    <x v="1"/>
    <x v="45"/>
    <x v="1"/>
    <x v="0"/>
    <x v="0"/>
    <x v="0"/>
    <x v="0"/>
    <x v="45"/>
    <x v="0"/>
    <n v="176013672.20246464"/>
    <n v="255628690.00803587"/>
    <n v="4935589.8051920934"/>
  </r>
  <r>
    <x v="1"/>
    <x v="45"/>
    <x v="1"/>
    <x v="0"/>
    <x v="0"/>
    <x v="0"/>
    <x v="0"/>
    <x v="45"/>
    <x v="1"/>
    <n v="592750879.11492431"/>
    <n v="851945280.32198715"/>
    <n v="15983077.325136498"/>
  </r>
  <r>
    <x v="1"/>
    <x v="45"/>
    <x v="1"/>
    <x v="0"/>
    <x v="0"/>
    <x v="0"/>
    <x v="0"/>
    <x v="45"/>
    <x v="0"/>
    <n v="21522719.135987714"/>
    <n v="29822479.717415899"/>
    <n v="1430819.017206003"/>
  </r>
  <r>
    <x v="1"/>
    <x v="45"/>
    <x v="1"/>
    <x v="0"/>
    <x v="0"/>
    <x v="0"/>
    <x v="0"/>
    <x v="45"/>
    <x v="1"/>
    <n v="74449247.951355308"/>
    <n v="100751448.35057393"/>
    <n v="4903217.7965297382"/>
  </r>
  <r>
    <x v="1"/>
    <x v="45"/>
    <x v="1"/>
    <x v="0"/>
    <x v="1"/>
    <x v="0"/>
    <x v="0"/>
    <x v="45"/>
    <x v="0"/>
    <n v="3838159.8429701342"/>
    <n v="4130699.7298110267"/>
    <n v="340215.7263450168"/>
  </r>
  <r>
    <x v="1"/>
    <x v="45"/>
    <x v="1"/>
    <x v="0"/>
    <x v="1"/>
    <x v="0"/>
    <x v="0"/>
    <x v="45"/>
    <x v="1"/>
    <n v="18016950.842221782"/>
    <n v="17615098.178581774"/>
    <n v="1460492.3783142595"/>
  </r>
  <r>
    <x v="1"/>
    <x v="45"/>
    <x v="1"/>
    <x v="0"/>
    <x v="1"/>
    <x v="0"/>
    <x v="0"/>
    <x v="45"/>
    <x v="0"/>
    <n v="1130156.8804858588"/>
    <n v="928162.79693317157"/>
    <n v="108385.84804647806"/>
  </r>
  <r>
    <x v="1"/>
    <x v="45"/>
    <x v="1"/>
    <x v="0"/>
    <x v="1"/>
    <x v="0"/>
    <x v="0"/>
    <x v="45"/>
    <x v="1"/>
    <n v="6483446.9628137536"/>
    <n v="5157054.1327492706"/>
    <n v="601411.88327751914"/>
  </r>
  <r>
    <x v="1"/>
    <x v="45"/>
    <x v="1"/>
    <x v="0"/>
    <x v="2"/>
    <x v="0"/>
    <x v="0"/>
    <x v="45"/>
    <x v="0"/>
    <n v="493502.11418408883"/>
    <n v="336460.51613220113"/>
    <n v="50096.367507802373"/>
  </r>
  <r>
    <x v="1"/>
    <x v="45"/>
    <x v="1"/>
    <x v="0"/>
    <x v="2"/>
    <x v="0"/>
    <x v="0"/>
    <x v="45"/>
    <x v="1"/>
    <n v="2507578.5646838304"/>
    <n v="1834846.7133571741"/>
    <n v="275761.06736881752"/>
  </r>
  <r>
    <x v="1"/>
    <x v="45"/>
    <x v="1"/>
    <x v="0"/>
    <x v="2"/>
    <x v="0"/>
    <x v="0"/>
    <x v="45"/>
    <x v="0"/>
    <n v="189422.38196746178"/>
    <n v="109703.97559973736"/>
    <n v="20308.393836065788"/>
  </r>
  <r>
    <x v="1"/>
    <x v="45"/>
    <x v="1"/>
    <x v="0"/>
    <x v="2"/>
    <x v="0"/>
    <x v="0"/>
    <x v="45"/>
    <x v="1"/>
    <n v="1409556.815703505"/>
    <n v="1036075.2039652345"/>
    <n v="187612.46340418866"/>
  </r>
  <r>
    <x v="1"/>
    <x v="45"/>
    <x v="1"/>
    <x v="0"/>
    <x v="3"/>
    <x v="0"/>
    <x v="0"/>
    <x v="45"/>
    <x v="0"/>
    <n v="132716.67628650714"/>
    <n v="57992.597649963864"/>
    <n v="12079.573406372341"/>
  </r>
  <r>
    <x v="1"/>
    <x v="45"/>
    <x v="1"/>
    <x v="0"/>
    <x v="3"/>
    <x v="0"/>
    <x v="0"/>
    <x v="45"/>
    <x v="1"/>
    <n v="434707.58266516472"/>
    <n v="293129.3950309747"/>
    <n v="63362.33077039168"/>
  </r>
  <r>
    <x v="1"/>
    <x v="45"/>
    <x v="4"/>
    <x v="0"/>
    <x v="0"/>
    <x v="0"/>
    <x v="0"/>
    <x v="45"/>
    <x v="0"/>
    <n v="149124.72097409648"/>
    <n v="188765.46001228332"/>
    <n v="4689.1096886961259"/>
  </r>
  <r>
    <x v="1"/>
    <x v="45"/>
    <x v="4"/>
    <x v="0"/>
    <x v="0"/>
    <x v="0"/>
    <x v="0"/>
    <x v="45"/>
    <x v="1"/>
    <n v="1398000.8947606988"/>
    <n v="1605493.3591304275"/>
    <n v="39499.405226620976"/>
  </r>
  <r>
    <x v="1"/>
    <x v="45"/>
    <x v="4"/>
    <x v="0"/>
    <x v="0"/>
    <x v="0"/>
    <x v="0"/>
    <x v="45"/>
    <x v="0"/>
    <n v="50240.88136980206"/>
    <n v="63569.727354202019"/>
    <n v="3047.3120389155652"/>
  </r>
  <r>
    <x v="1"/>
    <x v="45"/>
    <x v="4"/>
    <x v="0"/>
    <x v="0"/>
    <x v="0"/>
    <x v="0"/>
    <x v="45"/>
    <x v="1"/>
    <n v="860039.32578374003"/>
    <n v="1090129.7367775121"/>
    <n v="48833.217144427523"/>
  </r>
  <r>
    <x v="1"/>
    <x v="45"/>
    <x v="4"/>
    <x v="0"/>
    <x v="1"/>
    <x v="0"/>
    <x v="0"/>
    <x v="45"/>
    <x v="0"/>
    <n v="11035.015170063662"/>
    <n v="10091.77409087048"/>
    <n v="715.22313648296847"/>
  </r>
  <r>
    <x v="1"/>
    <x v="45"/>
    <x v="4"/>
    <x v="0"/>
    <x v="1"/>
    <x v="0"/>
    <x v="0"/>
    <x v="45"/>
    <x v="1"/>
    <n v="189622.94655131607"/>
    <n v="197719.8078344829"/>
    <n v="15511.721700491322"/>
  </r>
  <r>
    <x v="1"/>
    <x v="45"/>
    <x v="4"/>
    <x v="0"/>
    <x v="1"/>
    <x v="0"/>
    <x v="0"/>
    <x v="45"/>
    <x v="0"/>
    <n v="23706.492713651529"/>
    <n v="6099.4239010154661"/>
    <n v="657.55519432374797"/>
  </r>
  <r>
    <x v="1"/>
    <x v="45"/>
    <x v="4"/>
    <x v="0"/>
    <x v="1"/>
    <x v="0"/>
    <x v="0"/>
    <x v="45"/>
    <x v="1"/>
    <n v="240589.59993221733"/>
    <n v="273446.13068550621"/>
    <n v="30866.252122445821"/>
  </r>
  <r>
    <x v="1"/>
    <x v="45"/>
    <x v="4"/>
    <x v="0"/>
    <x v="2"/>
    <x v="0"/>
    <x v="0"/>
    <x v="45"/>
    <x v="0"/>
    <n v="482.05403010547377"/>
    <n v="609.94239010154649"/>
    <n v="81.227406355735368"/>
  </r>
  <r>
    <x v="1"/>
    <x v="46"/>
    <x v="0"/>
    <x v="0"/>
    <x v="0"/>
    <x v="0"/>
    <x v="0"/>
    <x v="46"/>
    <x v="0"/>
    <n v="78905033.93336609"/>
    <n v="114662153.9747996"/>
    <n v="3139574.9362152903"/>
  </r>
  <r>
    <x v="1"/>
    <x v="46"/>
    <x v="0"/>
    <x v="0"/>
    <x v="0"/>
    <x v="0"/>
    <x v="0"/>
    <x v="46"/>
    <x v="1"/>
    <n v="361102245.11543262"/>
    <n v="523867435.65079987"/>
    <n v="14477142.740037808"/>
  </r>
  <r>
    <x v="1"/>
    <x v="46"/>
    <x v="0"/>
    <x v="0"/>
    <x v="0"/>
    <x v="0"/>
    <x v="0"/>
    <x v="46"/>
    <x v="0"/>
    <n v="22932056.306710854"/>
    <n v="32261006.218446236"/>
    <n v="1783722.5256804845"/>
  </r>
  <r>
    <x v="1"/>
    <x v="46"/>
    <x v="0"/>
    <x v="0"/>
    <x v="0"/>
    <x v="0"/>
    <x v="0"/>
    <x v="46"/>
    <x v="1"/>
    <n v="106075990.27486044"/>
    <n v="148561341.1909917"/>
    <n v="8255138.7207895694"/>
  </r>
  <r>
    <x v="1"/>
    <x v="46"/>
    <x v="0"/>
    <x v="0"/>
    <x v="1"/>
    <x v="0"/>
    <x v="0"/>
    <x v="46"/>
    <x v="0"/>
    <n v="6822829.1272964114"/>
    <n v="6793326.0741314655"/>
    <n v="653475.07337644906"/>
  </r>
  <r>
    <x v="1"/>
    <x v="46"/>
    <x v="0"/>
    <x v="0"/>
    <x v="1"/>
    <x v="0"/>
    <x v="0"/>
    <x v="46"/>
    <x v="1"/>
    <n v="33056558.104568202"/>
    <n v="33990298.243858881"/>
    <n v="3287711.700798166"/>
  </r>
  <r>
    <x v="1"/>
    <x v="46"/>
    <x v="0"/>
    <x v="0"/>
    <x v="1"/>
    <x v="0"/>
    <x v="0"/>
    <x v="46"/>
    <x v="0"/>
    <n v="3261126.5380434003"/>
    <n v="3393310.3094865126"/>
    <n v="456091.97516380006"/>
  </r>
  <r>
    <x v="1"/>
    <x v="46"/>
    <x v="0"/>
    <x v="0"/>
    <x v="1"/>
    <x v="0"/>
    <x v="0"/>
    <x v="46"/>
    <x v="1"/>
    <n v="14026768.87013741"/>
    <n v="12982282.005660599"/>
    <n v="1743950.5998640419"/>
  </r>
  <r>
    <x v="1"/>
    <x v="46"/>
    <x v="0"/>
    <x v="0"/>
    <x v="2"/>
    <x v="0"/>
    <x v="0"/>
    <x v="46"/>
    <x v="0"/>
    <n v="1892322.9231856074"/>
    <n v="1392837.2101492574"/>
    <n v="243414.34600774208"/>
  </r>
  <r>
    <x v="1"/>
    <x v="46"/>
    <x v="0"/>
    <x v="0"/>
    <x v="2"/>
    <x v="0"/>
    <x v="0"/>
    <x v="46"/>
    <x v="1"/>
    <n v="7555504.8128412319"/>
    <n v="5940997.1942873662"/>
    <n v="1021269.9408394099"/>
  </r>
  <r>
    <x v="1"/>
    <x v="46"/>
    <x v="0"/>
    <x v="0"/>
    <x v="2"/>
    <x v="0"/>
    <x v="0"/>
    <x v="46"/>
    <x v="0"/>
    <n v="862915.66578679066"/>
    <n v="650999.65989987133"/>
    <n v="138124.84030435485"/>
  </r>
  <r>
    <x v="1"/>
    <x v="46"/>
    <x v="0"/>
    <x v="0"/>
    <x v="2"/>
    <x v="0"/>
    <x v="0"/>
    <x v="46"/>
    <x v="1"/>
    <n v="4009107.5636440795"/>
    <n v="2823523.3857455435"/>
    <n v="593023.05944765802"/>
  </r>
  <r>
    <x v="1"/>
    <x v="46"/>
    <x v="0"/>
    <x v="0"/>
    <x v="3"/>
    <x v="0"/>
    <x v="0"/>
    <x v="46"/>
    <x v="0"/>
    <n v="937394.95598600456"/>
    <n v="516343.7458265624"/>
    <n v="130046.32693189035"/>
  </r>
  <r>
    <x v="1"/>
    <x v="46"/>
    <x v="0"/>
    <x v="0"/>
    <x v="3"/>
    <x v="0"/>
    <x v="0"/>
    <x v="46"/>
    <x v="1"/>
    <n v="3189678.8081409093"/>
    <n v="1770083.1359165497"/>
    <n v="437057.21454333118"/>
  </r>
  <r>
    <x v="1"/>
    <x v="46"/>
    <x v="1"/>
    <x v="0"/>
    <x v="0"/>
    <x v="0"/>
    <x v="0"/>
    <x v="46"/>
    <x v="0"/>
    <n v="0"/>
    <n v="0"/>
    <n v="0"/>
  </r>
  <r>
    <x v="1"/>
    <x v="47"/>
    <x v="1"/>
    <x v="0"/>
    <x v="0"/>
    <x v="0"/>
    <x v="0"/>
    <x v="47"/>
    <x v="0"/>
    <n v="190197.81865575712"/>
    <n v="205092.87643014427"/>
    <n v="4603.0710486416474"/>
  </r>
  <r>
    <x v="1"/>
    <x v="47"/>
    <x v="1"/>
    <x v="0"/>
    <x v="0"/>
    <x v="0"/>
    <x v="0"/>
    <x v="47"/>
    <x v="1"/>
    <n v="774459.75168112654"/>
    <n v="871405.50634366297"/>
    <n v="17967.953247998608"/>
  </r>
  <r>
    <x v="1"/>
    <x v="47"/>
    <x v="1"/>
    <x v="0"/>
    <x v="0"/>
    <x v="0"/>
    <x v="0"/>
    <x v="47"/>
    <x v="0"/>
    <n v="331409.09613962087"/>
    <n v="323798.6858667382"/>
    <n v="13053.449007442514"/>
  </r>
  <r>
    <x v="1"/>
    <x v="47"/>
    <x v="1"/>
    <x v="0"/>
    <x v="0"/>
    <x v="0"/>
    <x v="0"/>
    <x v="47"/>
    <x v="1"/>
    <n v="2104805.1991408817"/>
    <n v="2177744.2284649266"/>
    <n v="89989.169033302009"/>
  </r>
  <r>
    <x v="1"/>
    <x v="47"/>
    <x v="1"/>
    <x v="0"/>
    <x v="1"/>
    <x v="0"/>
    <x v="0"/>
    <x v="47"/>
    <x v="0"/>
    <n v="223227.74046231539"/>
    <n v="220559.53907634009"/>
    <n v="15577.018052315969"/>
  </r>
  <r>
    <x v="1"/>
    <x v="47"/>
    <x v="1"/>
    <x v="0"/>
    <x v="1"/>
    <x v="0"/>
    <x v="0"/>
    <x v="47"/>
    <x v="1"/>
    <n v="1762412.0509068067"/>
    <n v="1605788.5563893719"/>
    <n v="106599.12238556103"/>
  </r>
  <r>
    <x v="1"/>
    <x v="47"/>
    <x v="1"/>
    <x v="0"/>
    <x v="1"/>
    <x v="0"/>
    <x v="0"/>
    <x v="47"/>
    <x v="0"/>
    <n v="183511.3544959077"/>
    <n v="174728.42069372404"/>
    <n v="15976.182816678465"/>
  </r>
  <r>
    <x v="1"/>
    <x v="47"/>
    <x v="1"/>
    <x v="0"/>
    <x v="1"/>
    <x v="0"/>
    <x v="0"/>
    <x v="47"/>
    <x v="1"/>
    <n v="965952.42726809147"/>
    <n v="998277.90352732292"/>
    <n v="90817.85481812933"/>
  </r>
  <r>
    <x v="1"/>
    <x v="47"/>
    <x v="1"/>
    <x v="0"/>
    <x v="2"/>
    <x v="0"/>
    <x v="0"/>
    <x v="47"/>
    <x v="0"/>
    <n v="121615.92244645383"/>
    <n v="44548.46942544746"/>
    <n v="5180.5607670956442"/>
  </r>
  <r>
    <x v="1"/>
    <x v="47"/>
    <x v="1"/>
    <x v="0"/>
    <x v="2"/>
    <x v="0"/>
    <x v="0"/>
    <x v="47"/>
    <x v="1"/>
    <n v="272832.65533802344"/>
    <n v="176276.82151147595"/>
    <n v="20624.454719634981"/>
  </r>
  <r>
    <x v="1"/>
    <x v="47"/>
    <x v="1"/>
    <x v="0"/>
    <x v="2"/>
    <x v="0"/>
    <x v="0"/>
    <x v="47"/>
    <x v="0"/>
    <n v="1979.1293206782982"/>
    <n v="1020.9875066626869"/>
    <n v="153.39223781356708"/>
  </r>
  <r>
    <x v="1"/>
    <x v="47"/>
    <x v="1"/>
    <x v="0"/>
    <x v="2"/>
    <x v="0"/>
    <x v="0"/>
    <x v="47"/>
    <x v="1"/>
    <n v="191234.24737733536"/>
    <n v="143490.2180400186"/>
    <n v="20688.257683760243"/>
  </r>
  <r>
    <x v="1"/>
    <x v="47"/>
    <x v="1"/>
    <x v="0"/>
    <x v="3"/>
    <x v="0"/>
    <x v="0"/>
    <x v="47"/>
    <x v="0"/>
    <n v="184.95434723312428"/>
    <n v="136.13166754943046"/>
    <n v="22.568053379499325"/>
  </r>
  <r>
    <x v="1"/>
    <x v="47"/>
    <x v="1"/>
    <x v="0"/>
    <x v="3"/>
    <x v="0"/>
    <x v="0"/>
    <x v="47"/>
    <x v="1"/>
    <n v="57470.678926989742"/>
    <n v="80016.044739173769"/>
    <n v="13049.691054351157"/>
  </r>
  <r>
    <x v="1"/>
    <x v="47"/>
    <x v="4"/>
    <x v="0"/>
    <x v="0"/>
    <x v="0"/>
    <x v="0"/>
    <x v="47"/>
    <x v="0"/>
    <n v="49529.317686805131"/>
    <n v="54984.818084556835"/>
    <n v="1138.4685336954753"/>
  </r>
  <r>
    <x v="1"/>
    <x v="47"/>
    <x v="4"/>
    <x v="0"/>
    <x v="0"/>
    <x v="0"/>
    <x v="0"/>
    <x v="47"/>
    <x v="1"/>
    <n v="23106.040305829283"/>
    <n v="24673.86474385875"/>
    <n v="511.30745938319421"/>
  </r>
  <r>
    <x v="1"/>
    <x v="47"/>
    <x v="4"/>
    <x v="0"/>
    <x v="0"/>
    <x v="0"/>
    <x v="0"/>
    <x v="47"/>
    <x v="1"/>
    <n v="54899.452968447986"/>
    <n v="54430.236234379874"/>
    <n v="1874.6430832102676"/>
  </r>
  <r>
    <x v="1"/>
    <x v="47"/>
    <x v="4"/>
    <x v="0"/>
    <x v="1"/>
    <x v="0"/>
    <x v="0"/>
    <x v="47"/>
    <x v="1"/>
    <n v="909.16253169771301"/>
    <n v="714.69125464709748"/>
    <n v="51.835997606515733"/>
  </r>
  <r>
    <x v="1"/>
    <x v="48"/>
    <x v="0"/>
    <x v="0"/>
    <x v="0"/>
    <x v="0"/>
    <x v="0"/>
    <x v="48"/>
    <x v="0"/>
    <n v="110899.12162937518"/>
    <n v="135338.13465730418"/>
    <n v="2594.2724923284809"/>
  </r>
  <r>
    <x v="1"/>
    <x v="48"/>
    <x v="0"/>
    <x v="0"/>
    <x v="0"/>
    <x v="0"/>
    <x v="0"/>
    <x v="48"/>
    <x v="1"/>
    <n v="210172.30086987253"/>
    <n v="281085.40693775262"/>
    <n v="6067.1500056408013"/>
  </r>
  <r>
    <x v="1"/>
    <x v="48"/>
    <x v="0"/>
    <x v="0"/>
    <x v="0"/>
    <x v="0"/>
    <x v="0"/>
    <x v="48"/>
    <x v="0"/>
    <n v="65709.117799361367"/>
    <n v="72776.604603858024"/>
    <n v="3247.4533802102419"/>
  </r>
  <r>
    <x v="1"/>
    <x v="48"/>
    <x v="0"/>
    <x v="0"/>
    <x v="0"/>
    <x v="0"/>
    <x v="0"/>
    <x v="48"/>
    <x v="1"/>
    <n v="307111.02742616221"/>
    <n v="340252.806130888"/>
    <n v="15730.990409485765"/>
  </r>
  <r>
    <x v="1"/>
    <x v="48"/>
    <x v="0"/>
    <x v="0"/>
    <x v="1"/>
    <x v="0"/>
    <x v="0"/>
    <x v="48"/>
    <x v="0"/>
    <n v="63584.288977836331"/>
    <n v="56615.337274506506"/>
    <n v="4554.7302508312332"/>
  </r>
  <r>
    <x v="1"/>
    <x v="48"/>
    <x v="0"/>
    <x v="0"/>
    <x v="1"/>
    <x v="0"/>
    <x v="0"/>
    <x v="48"/>
    <x v="1"/>
    <n v="386210.47885944304"/>
    <n v="326857.20489228173"/>
    <n v="25327.144840607139"/>
  </r>
  <r>
    <x v="1"/>
    <x v="48"/>
    <x v="0"/>
    <x v="0"/>
    <x v="1"/>
    <x v="0"/>
    <x v="0"/>
    <x v="48"/>
    <x v="0"/>
    <n v="67723.795324612976"/>
    <n v="49835.837912159841"/>
    <n v="5053.3663878895877"/>
  </r>
  <r>
    <x v="1"/>
    <x v="48"/>
    <x v="0"/>
    <x v="0"/>
    <x v="1"/>
    <x v="0"/>
    <x v="0"/>
    <x v="48"/>
    <x v="1"/>
    <n v="578378.3653915613"/>
    <n v="464742.22664021468"/>
    <n v="48901.060687883837"/>
  </r>
  <r>
    <x v="1"/>
    <x v="48"/>
    <x v="0"/>
    <x v="0"/>
    <x v="2"/>
    <x v="0"/>
    <x v="0"/>
    <x v="48"/>
    <x v="0"/>
    <n v="71683.92081138186"/>
    <n v="47093.793483189598"/>
    <n v="6254.8862503330747"/>
  </r>
  <r>
    <x v="1"/>
    <x v="48"/>
    <x v="0"/>
    <x v="0"/>
    <x v="2"/>
    <x v="0"/>
    <x v="0"/>
    <x v="48"/>
    <x v="1"/>
    <n v="363857.6654346764"/>
    <n v="241252.24578513511"/>
    <n v="32603.932852212529"/>
  </r>
  <r>
    <x v="1"/>
    <x v="48"/>
    <x v="0"/>
    <x v="0"/>
    <x v="2"/>
    <x v="0"/>
    <x v="0"/>
    <x v="48"/>
    <x v="0"/>
    <n v="17817.265169712442"/>
    <n v="9291.1085231376601"/>
    <n v="1497.4559127697253"/>
  </r>
  <r>
    <x v="1"/>
    <x v="48"/>
    <x v="0"/>
    <x v="0"/>
    <x v="2"/>
    <x v="0"/>
    <x v="0"/>
    <x v="48"/>
    <x v="1"/>
    <n v="115107.75638560519"/>
    <n v="80412.18827771346"/>
    <n v="13068.185372071117"/>
  </r>
  <r>
    <x v="1"/>
    <x v="48"/>
    <x v="0"/>
    <x v="0"/>
    <x v="3"/>
    <x v="0"/>
    <x v="0"/>
    <x v="48"/>
    <x v="0"/>
    <n v="36195.814950410582"/>
    <n v="22826.855922027298"/>
    <n v="4272.4716145099037"/>
  </r>
  <r>
    <x v="1"/>
    <x v="48"/>
    <x v="0"/>
    <x v="0"/>
    <x v="3"/>
    <x v="0"/>
    <x v="0"/>
    <x v="48"/>
    <x v="1"/>
    <n v="149969.08096998848"/>
    <n v="79864.248959830977"/>
    <n v="15427.899543226582"/>
  </r>
  <r>
    <x v="1"/>
    <x v="48"/>
    <x v="1"/>
    <x v="0"/>
    <x v="0"/>
    <x v="0"/>
    <x v="0"/>
    <x v="48"/>
    <x v="0"/>
    <n v="0"/>
    <n v="0"/>
    <n v="0"/>
  </r>
  <r>
    <x v="1"/>
    <x v="89"/>
    <x v="4"/>
    <x v="1"/>
    <x v="0"/>
    <x v="1"/>
    <x v="1"/>
    <x v="63"/>
    <x v="1"/>
    <n v="409.85127783211294"/>
    <n v="98.754716979658042"/>
    <n v="2.467236467183604"/>
  </r>
  <r>
    <x v="1"/>
    <x v="89"/>
    <x v="4"/>
    <x v="1"/>
    <x v="2"/>
    <x v="1"/>
    <x v="1"/>
    <x v="63"/>
    <x v="1"/>
    <n v="8954.2628272649999"/>
    <n v="1901.0283018987477"/>
    <n v="249.34508546815866"/>
  </r>
  <r>
    <x v="1"/>
    <x v="89"/>
    <x v="4"/>
    <x v="1"/>
    <x v="4"/>
    <x v="1"/>
    <x v="1"/>
    <x v="63"/>
    <x v="0"/>
    <n v="3252.8858949028868"/>
    <n v="617.21698112159447"/>
    <n v="181.18767806465775"/>
  </r>
  <r>
    <x v="1"/>
    <x v="97"/>
    <x v="2"/>
    <x v="1"/>
    <x v="1"/>
    <x v="1"/>
    <x v="1"/>
    <x v="70"/>
    <x v="1"/>
    <n v="3"/>
    <n v="1"/>
    <n v="0"/>
  </r>
  <r>
    <x v="1"/>
    <x v="90"/>
    <x v="2"/>
    <x v="0"/>
    <x v="0"/>
    <x v="0"/>
    <x v="0"/>
    <x v="64"/>
    <x v="0"/>
    <n v="43145.200000000004"/>
    <n v="56185.200000000004"/>
    <n v="2458.2000000000003"/>
  </r>
  <r>
    <x v="1"/>
    <x v="91"/>
    <x v="2"/>
    <x v="0"/>
    <x v="0"/>
    <x v="3"/>
    <x v="3"/>
    <x v="65"/>
    <x v="0"/>
    <n v="7999.4000000000005"/>
    <n v="13332.400000000001"/>
    <n v="83.4"/>
  </r>
  <r>
    <x v="1"/>
    <x v="90"/>
    <x v="2"/>
    <x v="0"/>
    <x v="0"/>
    <x v="0"/>
    <x v="0"/>
    <x v="64"/>
    <x v="1"/>
    <n v="172580.8"/>
    <n v="224740.8"/>
    <n v="9832.7999999999993"/>
  </r>
  <r>
    <x v="1"/>
    <x v="91"/>
    <x v="2"/>
    <x v="0"/>
    <x v="0"/>
    <x v="3"/>
    <x v="3"/>
    <x v="65"/>
    <x v="1"/>
    <n v="31997.599999999999"/>
    <n v="53329.599999999999"/>
    <n v="333.6"/>
  </r>
  <r>
    <x v="2"/>
    <x v="0"/>
    <x v="0"/>
    <x v="0"/>
    <x v="0"/>
    <x v="0"/>
    <x v="0"/>
    <x v="0"/>
    <x v="1"/>
    <n v="993018.46228763496"/>
    <n v="1385136.8494683276"/>
    <n v="71512.579241016021"/>
  </r>
  <r>
    <x v="2"/>
    <x v="0"/>
    <x v="1"/>
    <x v="0"/>
    <x v="0"/>
    <x v="0"/>
    <x v="0"/>
    <x v="0"/>
    <x v="1"/>
    <n v="15562.842130305384"/>
    <n v="21448.792487927094"/>
    <n v="1107.8737528686647"/>
  </r>
  <r>
    <x v="2"/>
    <x v="0"/>
    <x v="2"/>
    <x v="0"/>
    <x v="0"/>
    <x v="0"/>
    <x v="0"/>
    <x v="0"/>
    <x v="1"/>
    <n v="8601272.6884198058"/>
    <n v="11713609.342061194"/>
    <n v="554694.33101169439"/>
  </r>
  <r>
    <x v="2"/>
    <x v="0"/>
    <x v="0"/>
    <x v="0"/>
    <x v="1"/>
    <x v="0"/>
    <x v="0"/>
    <x v="0"/>
    <x v="1"/>
    <n v="20335.000308788665"/>
    <n v="27745.824351857038"/>
    <n v="2941.5005630004734"/>
  </r>
  <r>
    <x v="2"/>
    <x v="0"/>
    <x v="1"/>
    <x v="0"/>
    <x v="1"/>
    <x v="0"/>
    <x v="0"/>
    <x v="0"/>
    <x v="1"/>
    <n v="4329.1388738529986"/>
    <n v="5966.5944294620313"/>
    <n v="634.01127202195221"/>
  </r>
  <r>
    <x v="2"/>
    <x v="0"/>
    <x v="2"/>
    <x v="0"/>
    <x v="1"/>
    <x v="0"/>
    <x v="0"/>
    <x v="0"/>
    <x v="1"/>
    <n v="1463551.3763103785"/>
    <n v="2075235.4193692431"/>
    <n v="201684.16159087489"/>
  </r>
  <r>
    <x v="2"/>
    <x v="0"/>
    <x v="0"/>
    <x v="0"/>
    <x v="2"/>
    <x v="0"/>
    <x v="0"/>
    <x v="0"/>
    <x v="1"/>
    <n v="9.1069661904931358"/>
    <n v="12.428858667068633"/>
    <n v="2.2124458227241295"/>
  </r>
  <r>
    <x v="2"/>
    <x v="0"/>
    <x v="1"/>
    <x v="0"/>
    <x v="2"/>
    <x v="0"/>
    <x v="0"/>
    <x v="0"/>
    <x v="1"/>
    <n v="23.658798239970189"/>
    <n v="32.353775915597822"/>
    <n v="5.6908714726924341"/>
  </r>
  <r>
    <x v="2"/>
    <x v="0"/>
    <x v="2"/>
    <x v="0"/>
    <x v="2"/>
    <x v="0"/>
    <x v="0"/>
    <x v="0"/>
    <x v="1"/>
    <n v="64771.02687049879"/>
    <n v="88191.896413935567"/>
    <n v="14333.351976756354"/>
  </r>
  <r>
    <x v="2"/>
    <x v="0"/>
    <x v="0"/>
    <x v="0"/>
    <x v="3"/>
    <x v="0"/>
    <x v="0"/>
    <x v="0"/>
    <x v="1"/>
    <n v="81743.738596814364"/>
    <n v="111531.51692438858"/>
    <n v="27579.77447334498"/>
  </r>
  <r>
    <x v="2"/>
    <x v="0"/>
    <x v="1"/>
    <x v="0"/>
    <x v="3"/>
    <x v="0"/>
    <x v="0"/>
    <x v="0"/>
    <x v="1"/>
    <n v="75.052038173450455"/>
    <n v="102.63970345428021"/>
    <n v="25.35738045241186"/>
  </r>
  <r>
    <x v="2"/>
    <x v="0"/>
    <x v="2"/>
    <x v="0"/>
    <x v="3"/>
    <x v="0"/>
    <x v="0"/>
    <x v="0"/>
    <x v="1"/>
    <n v="104627.90839928189"/>
    <n v="142443.34215558055"/>
    <n v="32182.155420676983"/>
  </r>
  <r>
    <x v="2"/>
    <x v="1"/>
    <x v="0"/>
    <x v="0"/>
    <x v="0"/>
    <x v="0"/>
    <x v="0"/>
    <x v="1"/>
    <x v="1"/>
    <n v="0"/>
    <n v="0"/>
    <n v="0"/>
  </r>
  <r>
    <x v="2"/>
    <x v="1"/>
    <x v="1"/>
    <x v="0"/>
    <x v="0"/>
    <x v="0"/>
    <x v="0"/>
    <x v="1"/>
    <x v="1"/>
    <n v="0"/>
    <n v="0"/>
    <n v="0"/>
  </r>
  <r>
    <x v="2"/>
    <x v="1"/>
    <x v="2"/>
    <x v="0"/>
    <x v="0"/>
    <x v="0"/>
    <x v="0"/>
    <x v="1"/>
    <x v="1"/>
    <n v="47886956.385457538"/>
    <n v="69943593.438806489"/>
    <n v="2751811.5734270699"/>
  </r>
  <r>
    <x v="2"/>
    <x v="1"/>
    <x v="0"/>
    <x v="0"/>
    <x v="1"/>
    <x v="0"/>
    <x v="0"/>
    <x v="1"/>
    <x v="1"/>
    <n v="0"/>
    <n v="0"/>
    <n v="0"/>
  </r>
  <r>
    <x v="2"/>
    <x v="1"/>
    <x v="1"/>
    <x v="0"/>
    <x v="1"/>
    <x v="0"/>
    <x v="0"/>
    <x v="1"/>
    <x v="1"/>
    <n v="0"/>
    <n v="0"/>
    <n v="0"/>
  </r>
  <r>
    <x v="2"/>
    <x v="1"/>
    <x v="2"/>
    <x v="0"/>
    <x v="1"/>
    <x v="0"/>
    <x v="0"/>
    <x v="1"/>
    <x v="1"/>
    <n v="6244398.3975543417"/>
    <n v="5885639.4331730567"/>
    <n v="475786.14829863713"/>
  </r>
  <r>
    <x v="2"/>
    <x v="1"/>
    <x v="0"/>
    <x v="0"/>
    <x v="2"/>
    <x v="0"/>
    <x v="0"/>
    <x v="1"/>
    <x v="1"/>
    <n v="0"/>
    <n v="0"/>
    <n v="0"/>
  </r>
  <r>
    <x v="2"/>
    <x v="1"/>
    <x v="1"/>
    <x v="0"/>
    <x v="2"/>
    <x v="0"/>
    <x v="0"/>
    <x v="1"/>
    <x v="1"/>
    <n v="0"/>
    <n v="0"/>
    <n v="0"/>
  </r>
  <r>
    <x v="2"/>
    <x v="1"/>
    <x v="2"/>
    <x v="0"/>
    <x v="2"/>
    <x v="0"/>
    <x v="0"/>
    <x v="1"/>
    <x v="1"/>
    <n v="757292.87742969627"/>
    <n v="566145.43901805696"/>
    <n v="76290.81238293137"/>
  </r>
  <r>
    <x v="2"/>
    <x v="1"/>
    <x v="0"/>
    <x v="0"/>
    <x v="3"/>
    <x v="0"/>
    <x v="0"/>
    <x v="1"/>
    <x v="1"/>
    <n v="0"/>
    <n v="0"/>
    <n v="0"/>
  </r>
  <r>
    <x v="2"/>
    <x v="1"/>
    <x v="1"/>
    <x v="0"/>
    <x v="3"/>
    <x v="0"/>
    <x v="0"/>
    <x v="1"/>
    <x v="1"/>
    <n v="0"/>
    <n v="0"/>
    <n v="0"/>
  </r>
  <r>
    <x v="2"/>
    <x v="1"/>
    <x v="2"/>
    <x v="0"/>
    <x v="3"/>
    <x v="0"/>
    <x v="0"/>
    <x v="1"/>
    <x v="1"/>
    <n v="141752.35094343196"/>
    <n v="85004.191194232626"/>
    <n v="16057.650008286264"/>
  </r>
  <r>
    <x v="2"/>
    <x v="1"/>
    <x v="0"/>
    <x v="0"/>
    <x v="0"/>
    <x v="0"/>
    <x v="0"/>
    <x v="1"/>
    <x v="1"/>
    <n v="0"/>
    <n v="0"/>
    <n v="0"/>
  </r>
  <r>
    <x v="2"/>
    <x v="1"/>
    <x v="1"/>
    <x v="0"/>
    <x v="0"/>
    <x v="0"/>
    <x v="0"/>
    <x v="1"/>
    <x v="1"/>
    <n v="0"/>
    <n v="0"/>
    <n v="0"/>
  </r>
  <r>
    <x v="2"/>
    <x v="1"/>
    <x v="2"/>
    <x v="0"/>
    <x v="0"/>
    <x v="0"/>
    <x v="0"/>
    <x v="1"/>
    <x v="1"/>
    <n v="42050.776986732868"/>
    <n v="60169.181677564855"/>
    <n v="2363.7212901752"/>
  </r>
  <r>
    <x v="2"/>
    <x v="1"/>
    <x v="1"/>
    <x v="0"/>
    <x v="1"/>
    <x v="0"/>
    <x v="0"/>
    <x v="1"/>
    <x v="1"/>
    <n v="0"/>
    <n v="0"/>
    <n v="0"/>
  </r>
  <r>
    <x v="2"/>
    <x v="1"/>
    <x v="2"/>
    <x v="0"/>
    <x v="1"/>
    <x v="0"/>
    <x v="0"/>
    <x v="1"/>
    <x v="1"/>
    <n v="36851.646442469202"/>
    <n v="37702.60195417166"/>
    <n v="3036.7760501625894"/>
  </r>
  <r>
    <x v="2"/>
    <x v="1"/>
    <x v="2"/>
    <x v="0"/>
    <x v="2"/>
    <x v="0"/>
    <x v="0"/>
    <x v="1"/>
    <x v="1"/>
    <n v="9322.9053915814275"/>
    <n v="7386.9665252507848"/>
    <n v="997.53433638307479"/>
  </r>
  <r>
    <x v="2"/>
    <x v="1"/>
    <x v="2"/>
    <x v="0"/>
    <x v="3"/>
    <x v="0"/>
    <x v="0"/>
    <x v="1"/>
    <x v="1"/>
    <n v="137.6597943175716"/>
    <n v="88.747651277401445"/>
    <n v="16.784206337366477"/>
  </r>
  <r>
    <x v="2"/>
    <x v="2"/>
    <x v="0"/>
    <x v="0"/>
    <x v="3"/>
    <x v="0"/>
    <x v="0"/>
    <x v="2"/>
    <x v="1"/>
    <n v="0"/>
    <n v="0"/>
    <n v="0"/>
  </r>
  <r>
    <x v="2"/>
    <x v="2"/>
    <x v="1"/>
    <x v="0"/>
    <x v="3"/>
    <x v="0"/>
    <x v="0"/>
    <x v="2"/>
    <x v="1"/>
    <n v="0"/>
    <n v="0"/>
    <n v="0"/>
  </r>
  <r>
    <x v="2"/>
    <x v="2"/>
    <x v="2"/>
    <x v="0"/>
    <x v="3"/>
    <x v="0"/>
    <x v="0"/>
    <x v="2"/>
    <x v="1"/>
    <n v="50543.000000000007"/>
    <n v="0"/>
    <n v="0"/>
  </r>
  <r>
    <x v="2"/>
    <x v="3"/>
    <x v="0"/>
    <x v="1"/>
    <x v="0"/>
    <x v="1"/>
    <x v="1"/>
    <x v="3"/>
    <x v="1"/>
    <n v="0"/>
    <n v="0"/>
    <n v="0"/>
  </r>
  <r>
    <x v="2"/>
    <x v="3"/>
    <x v="1"/>
    <x v="1"/>
    <x v="0"/>
    <x v="1"/>
    <x v="1"/>
    <x v="3"/>
    <x v="1"/>
    <n v="0"/>
    <n v="0"/>
    <n v="0"/>
  </r>
  <r>
    <x v="2"/>
    <x v="3"/>
    <x v="2"/>
    <x v="1"/>
    <x v="0"/>
    <x v="1"/>
    <x v="1"/>
    <x v="3"/>
    <x v="1"/>
    <n v="1262677.8012176994"/>
    <n v="793090.98029369605"/>
    <n v="38135.671721457424"/>
  </r>
  <r>
    <x v="2"/>
    <x v="3"/>
    <x v="0"/>
    <x v="1"/>
    <x v="1"/>
    <x v="1"/>
    <x v="1"/>
    <x v="3"/>
    <x v="1"/>
    <n v="0"/>
    <n v="0"/>
    <n v="0"/>
  </r>
  <r>
    <x v="2"/>
    <x v="3"/>
    <x v="1"/>
    <x v="1"/>
    <x v="1"/>
    <x v="1"/>
    <x v="1"/>
    <x v="3"/>
    <x v="1"/>
    <n v="0"/>
    <n v="0"/>
    <n v="0"/>
  </r>
  <r>
    <x v="2"/>
    <x v="3"/>
    <x v="2"/>
    <x v="1"/>
    <x v="1"/>
    <x v="1"/>
    <x v="1"/>
    <x v="3"/>
    <x v="1"/>
    <n v="2547107.9137747698"/>
    <n v="1373944.2971193525"/>
    <n v="135716.8098013009"/>
  </r>
  <r>
    <x v="2"/>
    <x v="3"/>
    <x v="0"/>
    <x v="1"/>
    <x v="2"/>
    <x v="1"/>
    <x v="1"/>
    <x v="3"/>
    <x v="1"/>
    <n v="0"/>
    <n v="0"/>
    <n v="0"/>
  </r>
  <r>
    <x v="2"/>
    <x v="3"/>
    <x v="1"/>
    <x v="1"/>
    <x v="2"/>
    <x v="1"/>
    <x v="1"/>
    <x v="3"/>
    <x v="1"/>
    <n v="0"/>
    <n v="0"/>
    <n v="0"/>
  </r>
  <r>
    <x v="2"/>
    <x v="3"/>
    <x v="2"/>
    <x v="1"/>
    <x v="2"/>
    <x v="1"/>
    <x v="1"/>
    <x v="3"/>
    <x v="1"/>
    <n v="2558636.3873391757"/>
    <n v="1177089.80559394"/>
    <n v="193743.35632235324"/>
  </r>
  <r>
    <x v="2"/>
    <x v="3"/>
    <x v="0"/>
    <x v="1"/>
    <x v="3"/>
    <x v="1"/>
    <x v="1"/>
    <x v="3"/>
    <x v="1"/>
    <n v="0"/>
    <n v="0"/>
    <n v="0"/>
  </r>
  <r>
    <x v="2"/>
    <x v="3"/>
    <x v="1"/>
    <x v="1"/>
    <x v="3"/>
    <x v="1"/>
    <x v="1"/>
    <x v="3"/>
    <x v="1"/>
    <n v="0"/>
    <n v="0"/>
    <n v="0"/>
  </r>
  <r>
    <x v="2"/>
    <x v="3"/>
    <x v="2"/>
    <x v="1"/>
    <x v="3"/>
    <x v="1"/>
    <x v="1"/>
    <x v="3"/>
    <x v="1"/>
    <n v="1930416.8575224101"/>
    <n v="854228.96145706449"/>
    <n v="196864.2205453408"/>
  </r>
  <r>
    <x v="2"/>
    <x v="3"/>
    <x v="0"/>
    <x v="1"/>
    <x v="4"/>
    <x v="1"/>
    <x v="1"/>
    <x v="3"/>
    <x v="1"/>
    <n v="0"/>
    <n v="0"/>
    <n v="0"/>
  </r>
  <r>
    <x v="2"/>
    <x v="3"/>
    <x v="1"/>
    <x v="1"/>
    <x v="4"/>
    <x v="1"/>
    <x v="1"/>
    <x v="3"/>
    <x v="1"/>
    <n v="0"/>
    <n v="0"/>
    <n v="0"/>
  </r>
  <r>
    <x v="2"/>
    <x v="3"/>
    <x v="2"/>
    <x v="1"/>
    <x v="4"/>
    <x v="1"/>
    <x v="1"/>
    <x v="3"/>
    <x v="1"/>
    <n v="1673128.3094756622"/>
    <n v="658366.73423727741"/>
    <n v="195067.32311619539"/>
  </r>
  <r>
    <x v="2"/>
    <x v="3"/>
    <x v="0"/>
    <x v="1"/>
    <x v="5"/>
    <x v="1"/>
    <x v="1"/>
    <x v="3"/>
    <x v="1"/>
    <n v="0"/>
    <n v="0"/>
    <n v="0"/>
  </r>
  <r>
    <x v="2"/>
    <x v="3"/>
    <x v="1"/>
    <x v="1"/>
    <x v="5"/>
    <x v="1"/>
    <x v="1"/>
    <x v="3"/>
    <x v="1"/>
    <n v="0"/>
    <n v="0"/>
    <n v="0"/>
  </r>
  <r>
    <x v="2"/>
    <x v="3"/>
    <x v="2"/>
    <x v="1"/>
    <x v="5"/>
    <x v="1"/>
    <x v="1"/>
    <x v="3"/>
    <x v="1"/>
    <n v="1444027.9934711193"/>
    <n v="514008.89740518236"/>
    <n v="186189.03551258976"/>
  </r>
  <r>
    <x v="2"/>
    <x v="3"/>
    <x v="0"/>
    <x v="1"/>
    <x v="6"/>
    <x v="1"/>
    <x v="1"/>
    <x v="3"/>
    <x v="1"/>
    <n v="0"/>
    <n v="0"/>
    <n v="0"/>
  </r>
  <r>
    <x v="2"/>
    <x v="3"/>
    <x v="1"/>
    <x v="1"/>
    <x v="6"/>
    <x v="1"/>
    <x v="1"/>
    <x v="3"/>
    <x v="1"/>
    <n v="0"/>
    <n v="0"/>
    <n v="0"/>
  </r>
  <r>
    <x v="2"/>
    <x v="3"/>
    <x v="2"/>
    <x v="1"/>
    <x v="6"/>
    <x v="1"/>
    <x v="1"/>
    <x v="3"/>
    <x v="1"/>
    <n v="739256.2797483597"/>
    <n v="239934.10956039888"/>
    <n v="102675.2878526163"/>
  </r>
  <r>
    <x v="2"/>
    <x v="3"/>
    <x v="0"/>
    <x v="1"/>
    <x v="7"/>
    <x v="1"/>
    <x v="1"/>
    <x v="3"/>
    <x v="1"/>
    <n v="0"/>
    <n v="0"/>
    <n v="0"/>
  </r>
  <r>
    <x v="2"/>
    <x v="3"/>
    <x v="2"/>
    <x v="1"/>
    <x v="7"/>
    <x v="1"/>
    <x v="1"/>
    <x v="3"/>
    <x v="1"/>
    <n v="554366.70145817532"/>
    <n v="164973.62144165201"/>
    <n v="81464.416789769326"/>
  </r>
  <r>
    <x v="2"/>
    <x v="3"/>
    <x v="0"/>
    <x v="1"/>
    <x v="8"/>
    <x v="1"/>
    <x v="1"/>
    <x v="3"/>
    <x v="1"/>
    <n v="0"/>
    <n v="0"/>
    <n v="0"/>
  </r>
  <r>
    <x v="2"/>
    <x v="3"/>
    <x v="1"/>
    <x v="1"/>
    <x v="8"/>
    <x v="1"/>
    <x v="1"/>
    <x v="3"/>
    <x v="1"/>
    <n v="0"/>
    <n v="0"/>
    <n v="0"/>
  </r>
  <r>
    <x v="2"/>
    <x v="3"/>
    <x v="2"/>
    <x v="1"/>
    <x v="8"/>
    <x v="1"/>
    <x v="1"/>
    <x v="3"/>
    <x v="1"/>
    <n v="434543.18120313919"/>
    <n v="119311.98469094954"/>
    <n v="66767.914720346482"/>
  </r>
  <r>
    <x v="2"/>
    <x v="3"/>
    <x v="0"/>
    <x v="1"/>
    <x v="9"/>
    <x v="1"/>
    <x v="1"/>
    <x v="3"/>
    <x v="1"/>
    <n v="0"/>
    <n v="0"/>
    <n v="0"/>
  </r>
  <r>
    <x v="2"/>
    <x v="3"/>
    <x v="1"/>
    <x v="1"/>
    <x v="9"/>
    <x v="1"/>
    <x v="1"/>
    <x v="3"/>
    <x v="1"/>
    <n v="0"/>
    <n v="0"/>
    <n v="0"/>
  </r>
  <r>
    <x v="2"/>
    <x v="3"/>
    <x v="2"/>
    <x v="1"/>
    <x v="9"/>
    <x v="1"/>
    <x v="1"/>
    <x v="3"/>
    <x v="1"/>
    <n v="243128.1106565482"/>
    <n v="62374.707846146615"/>
    <n v="39025.774172754405"/>
  </r>
  <r>
    <x v="2"/>
    <x v="3"/>
    <x v="0"/>
    <x v="1"/>
    <x v="10"/>
    <x v="1"/>
    <x v="1"/>
    <x v="3"/>
    <x v="1"/>
    <n v="0"/>
    <n v="0"/>
    <n v="0"/>
  </r>
  <r>
    <x v="2"/>
    <x v="3"/>
    <x v="2"/>
    <x v="1"/>
    <x v="10"/>
    <x v="1"/>
    <x v="1"/>
    <x v="3"/>
    <x v="1"/>
    <n v="539307.97574790055"/>
    <n v="128076.29906149546"/>
    <n v="88563.485039918087"/>
  </r>
  <r>
    <x v="2"/>
    <x v="3"/>
    <x v="2"/>
    <x v="1"/>
    <x v="11"/>
    <x v="1"/>
    <x v="1"/>
    <x v="3"/>
    <x v="1"/>
    <n v="487830.81118354242"/>
    <n v="110848.71473127397"/>
    <n v="83955.003935860514"/>
  </r>
  <r>
    <x v="2"/>
    <x v="3"/>
    <x v="0"/>
    <x v="1"/>
    <x v="12"/>
    <x v="1"/>
    <x v="1"/>
    <x v="3"/>
    <x v="1"/>
    <n v="0"/>
    <n v="0"/>
    <n v="0"/>
  </r>
  <r>
    <x v="2"/>
    <x v="3"/>
    <x v="1"/>
    <x v="1"/>
    <x v="12"/>
    <x v="1"/>
    <x v="1"/>
    <x v="3"/>
    <x v="1"/>
    <n v="0"/>
    <n v="0"/>
    <n v="0"/>
  </r>
  <r>
    <x v="2"/>
    <x v="3"/>
    <x v="2"/>
    <x v="1"/>
    <x v="12"/>
    <x v="1"/>
    <x v="1"/>
    <x v="3"/>
    <x v="1"/>
    <n v="204293.14716165091"/>
    <n v="42385.967466091795"/>
    <n v="34867.300594756853"/>
  </r>
  <r>
    <x v="2"/>
    <x v="3"/>
    <x v="2"/>
    <x v="1"/>
    <x v="1"/>
    <x v="1"/>
    <x v="1"/>
    <x v="3"/>
    <x v="1"/>
    <n v="2658.5300398520785"/>
    <n v="3847.9190954406836"/>
    <n v="359.3998747408416"/>
  </r>
  <r>
    <x v="2"/>
    <x v="4"/>
    <x v="0"/>
    <x v="1"/>
    <x v="0"/>
    <x v="1"/>
    <x v="1"/>
    <x v="4"/>
    <x v="1"/>
    <n v="363782.97434659075"/>
    <n v="235993.63971786521"/>
    <n v="14983.051031246765"/>
  </r>
  <r>
    <x v="2"/>
    <x v="4"/>
    <x v="1"/>
    <x v="1"/>
    <x v="0"/>
    <x v="1"/>
    <x v="1"/>
    <x v="4"/>
    <x v="1"/>
    <n v="910.81032950717997"/>
    <n v="631.26606435236306"/>
    <n v="34.195355772392247"/>
  </r>
  <r>
    <x v="2"/>
    <x v="4"/>
    <x v="2"/>
    <x v="1"/>
    <x v="0"/>
    <x v="1"/>
    <x v="1"/>
    <x v="4"/>
    <x v="1"/>
    <n v="416892.86647669983"/>
    <n v="297315.02654535807"/>
    <n v="15448.017713244513"/>
  </r>
  <r>
    <x v="2"/>
    <x v="4"/>
    <x v="0"/>
    <x v="1"/>
    <x v="1"/>
    <x v="1"/>
    <x v="1"/>
    <x v="4"/>
    <x v="1"/>
    <n v="83094.772458441177"/>
    <n v="49764.079000720842"/>
    <n v="5510.8900880463416"/>
  </r>
  <r>
    <x v="2"/>
    <x v="4"/>
    <x v="1"/>
    <x v="1"/>
    <x v="1"/>
    <x v="1"/>
    <x v="1"/>
    <x v="4"/>
    <x v="1"/>
    <n v="17056.647793502405"/>
    <n v="9935.9666950558803"/>
    <n v="1150.485928022151"/>
  </r>
  <r>
    <x v="2"/>
    <x v="4"/>
    <x v="2"/>
    <x v="1"/>
    <x v="1"/>
    <x v="1"/>
    <x v="1"/>
    <x v="4"/>
    <x v="1"/>
    <n v="244469.68200491657"/>
    <n v="146272.55017076305"/>
    <n v="15399.846687664029"/>
  </r>
  <r>
    <x v="2"/>
    <x v="4"/>
    <x v="0"/>
    <x v="1"/>
    <x v="2"/>
    <x v="1"/>
    <x v="1"/>
    <x v="4"/>
    <x v="1"/>
    <n v="139041.55220376072"/>
    <n v="71395.065615061452"/>
    <n v="13284.135938974418"/>
  </r>
  <r>
    <x v="2"/>
    <x v="4"/>
    <x v="1"/>
    <x v="1"/>
    <x v="2"/>
    <x v="1"/>
    <x v="1"/>
    <x v="4"/>
    <x v="1"/>
    <n v="19790.636655988943"/>
    <n v="9736.1278081687087"/>
    <n v="2254.4181293372117"/>
  </r>
  <r>
    <x v="2"/>
    <x v="4"/>
    <x v="2"/>
    <x v="1"/>
    <x v="2"/>
    <x v="1"/>
    <x v="1"/>
    <x v="4"/>
    <x v="1"/>
    <n v="260382.72119405802"/>
    <n v="133715.4888266343"/>
    <n v="23602.435638619605"/>
  </r>
  <r>
    <x v="2"/>
    <x v="4"/>
    <x v="0"/>
    <x v="1"/>
    <x v="3"/>
    <x v="1"/>
    <x v="1"/>
    <x v="4"/>
    <x v="1"/>
    <n v="364595.89422198228"/>
    <n v="161745.68487129462"/>
    <n v="45258.732309371007"/>
  </r>
  <r>
    <x v="2"/>
    <x v="4"/>
    <x v="1"/>
    <x v="1"/>
    <x v="3"/>
    <x v="1"/>
    <x v="1"/>
    <x v="4"/>
    <x v="1"/>
    <n v="1497.9695551540813"/>
    <n v="654.59204417063836"/>
    <n v="172.0154576969274"/>
  </r>
  <r>
    <x v="2"/>
    <x v="4"/>
    <x v="2"/>
    <x v="1"/>
    <x v="3"/>
    <x v="1"/>
    <x v="1"/>
    <x v="4"/>
    <x v="1"/>
    <n v="293089.070764184"/>
    <n v="132544.65323252225"/>
    <n v="32650.370597038356"/>
  </r>
  <r>
    <x v="2"/>
    <x v="4"/>
    <x v="0"/>
    <x v="1"/>
    <x v="4"/>
    <x v="1"/>
    <x v="1"/>
    <x v="4"/>
    <x v="1"/>
    <n v="257031.33774702344"/>
    <n v="102355.82116010574"/>
    <n v="37587.289135204453"/>
  </r>
  <r>
    <x v="2"/>
    <x v="4"/>
    <x v="1"/>
    <x v="1"/>
    <x v="4"/>
    <x v="1"/>
    <x v="1"/>
    <x v="4"/>
    <x v="1"/>
    <n v="58.894843059050487"/>
    <n v="22.990647681127967"/>
    <n v="8.3323478716246591"/>
  </r>
  <r>
    <x v="2"/>
    <x v="4"/>
    <x v="2"/>
    <x v="1"/>
    <x v="4"/>
    <x v="1"/>
    <x v="1"/>
    <x v="4"/>
    <x v="1"/>
    <n v="579107.68972708134"/>
    <n v="232419.42766858949"/>
    <n v="73855.104502402668"/>
  </r>
  <r>
    <x v="2"/>
    <x v="4"/>
    <x v="0"/>
    <x v="1"/>
    <x v="5"/>
    <x v="1"/>
    <x v="1"/>
    <x v="4"/>
    <x v="1"/>
    <n v="34252.614015497769"/>
    <n v="12365.66130754139"/>
    <n v="5101.0350161301803"/>
  </r>
  <r>
    <x v="2"/>
    <x v="4"/>
    <x v="2"/>
    <x v="1"/>
    <x v="5"/>
    <x v="1"/>
    <x v="1"/>
    <x v="4"/>
    <x v="1"/>
    <n v="51583.860359210499"/>
    <n v="18616.04810185188"/>
    <n v="7154.891227001267"/>
  </r>
  <r>
    <x v="2"/>
    <x v="4"/>
    <x v="0"/>
    <x v="1"/>
    <x v="6"/>
    <x v="1"/>
    <x v="1"/>
    <x v="4"/>
    <x v="1"/>
    <n v="35471.15837215395"/>
    <n v="11629.97891994024"/>
    <n v="5689.3579552946785"/>
  </r>
  <r>
    <x v="2"/>
    <x v="4"/>
    <x v="2"/>
    <x v="1"/>
    <x v="6"/>
    <x v="1"/>
    <x v="1"/>
    <x v="4"/>
    <x v="1"/>
    <n v="109950.41581291895"/>
    <n v="36029.934884135626"/>
    <n v="16433.276847219866"/>
  </r>
  <r>
    <x v="2"/>
    <x v="4"/>
    <x v="0"/>
    <x v="1"/>
    <x v="7"/>
    <x v="1"/>
    <x v="1"/>
    <x v="4"/>
    <x v="1"/>
    <n v="16360.331484176282"/>
    <n v="4913.0508704325848"/>
    <n v="3012.8514098715186"/>
  </r>
  <r>
    <x v="2"/>
    <x v="4"/>
    <x v="2"/>
    <x v="1"/>
    <x v="7"/>
    <x v="1"/>
    <x v="1"/>
    <x v="4"/>
    <x v="1"/>
    <n v="70350.754829388432"/>
    <n v="20609.976882989184"/>
    <n v="11243.037791045579"/>
  </r>
  <r>
    <x v="2"/>
    <x v="4"/>
    <x v="0"/>
    <x v="1"/>
    <x v="8"/>
    <x v="1"/>
    <x v="1"/>
    <x v="4"/>
    <x v="1"/>
    <n v="3093.2669823327624"/>
    <n v="856.86735934930948"/>
    <n v="550.09441085517096"/>
  </r>
  <r>
    <x v="2"/>
    <x v="4"/>
    <x v="2"/>
    <x v="1"/>
    <x v="8"/>
    <x v="1"/>
    <x v="1"/>
    <x v="4"/>
    <x v="1"/>
    <n v="3265.413127825143"/>
    <n v="904.54512525312646"/>
    <n v="543.17873464427407"/>
  </r>
  <r>
    <x v="2"/>
    <x v="4"/>
    <x v="0"/>
    <x v="1"/>
    <x v="9"/>
    <x v="1"/>
    <x v="1"/>
    <x v="4"/>
    <x v="1"/>
    <n v="22976.523192255707"/>
    <n v="5876.3945871520955"/>
    <n v="4069.9281758816878"/>
  </r>
  <r>
    <x v="2"/>
    <x v="4"/>
    <x v="2"/>
    <x v="1"/>
    <x v="9"/>
    <x v="1"/>
    <x v="1"/>
    <x v="4"/>
    <x v="1"/>
    <n v="78296.457854091976"/>
    <n v="20011.693462341005"/>
    <n v="13171.686864172931"/>
  </r>
  <r>
    <x v="2"/>
    <x v="4"/>
    <x v="0"/>
    <x v="1"/>
    <x v="10"/>
    <x v="1"/>
    <x v="1"/>
    <x v="4"/>
    <x v="1"/>
    <n v="26168.008480648587"/>
    <n v="6215.727571734521"/>
    <n v="4876.9545174546056"/>
  </r>
  <r>
    <x v="2"/>
    <x v="4"/>
    <x v="2"/>
    <x v="1"/>
    <x v="10"/>
    <x v="1"/>
    <x v="1"/>
    <x v="4"/>
    <x v="1"/>
    <n v="98571.365760756205"/>
    <n v="23399.04446186962"/>
    <n v="17237.555143552639"/>
  </r>
  <r>
    <x v="2"/>
    <x v="4"/>
    <x v="0"/>
    <x v="1"/>
    <x v="11"/>
    <x v="1"/>
    <x v="1"/>
    <x v="4"/>
    <x v="1"/>
    <n v="1766.09038145979"/>
    <n v="391.59738132096061"/>
    <n v="331.39861271804659"/>
  </r>
  <r>
    <x v="2"/>
    <x v="4"/>
    <x v="2"/>
    <x v="1"/>
    <x v="11"/>
    <x v="1"/>
    <x v="1"/>
    <x v="4"/>
    <x v="1"/>
    <n v="1818.1118042476994"/>
    <n v="403.1283580292324"/>
    <n v="324.30057504272355"/>
  </r>
  <r>
    <x v="2"/>
    <x v="4"/>
    <x v="0"/>
    <x v="1"/>
    <x v="12"/>
    <x v="1"/>
    <x v="1"/>
    <x v="4"/>
    <x v="1"/>
    <n v="276.51693646487774"/>
    <n v="57.488378052255499"/>
    <n v="55.834180250959697"/>
  </r>
  <r>
    <x v="2"/>
    <x v="4"/>
    <x v="2"/>
    <x v="1"/>
    <x v="12"/>
    <x v="1"/>
    <x v="1"/>
    <x v="4"/>
    <x v="1"/>
    <n v="324.59028462010804"/>
    <n v="67.482279662414811"/>
    <n v="60.297678351481153"/>
  </r>
  <r>
    <x v="2"/>
    <x v="5"/>
    <x v="2"/>
    <x v="0"/>
    <x v="0"/>
    <x v="2"/>
    <x v="2"/>
    <x v="5"/>
    <x v="1"/>
    <n v="247249"/>
    <n v="414847"/>
    <n v="22251"/>
  </r>
  <r>
    <x v="2"/>
    <x v="6"/>
    <x v="2"/>
    <x v="0"/>
    <x v="0"/>
    <x v="2"/>
    <x v="2"/>
    <x v="6"/>
    <x v="1"/>
    <n v="709185"/>
    <n v="1115070"/>
    <n v="51809"/>
  </r>
  <r>
    <x v="2"/>
    <x v="93"/>
    <x v="2"/>
    <x v="0"/>
    <x v="0"/>
    <x v="2"/>
    <x v="2"/>
    <x v="67"/>
    <x v="1"/>
    <n v="1136"/>
    <n v="1916"/>
    <n v="96"/>
  </r>
  <r>
    <x v="2"/>
    <x v="94"/>
    <x v="2"/>
    <x v="0"/>
    <x v="0"/>
    <x v="2"/>
    <x v="2"/>
    <x v="68"/>
    <x v="1"/>
    <n v="34518"/>
    <n v="55494.000000000007"/>
    <n v="2678"/>
  </r>
  <r>
    <x v="2"/>
    <x v="7"/>
    <x v="0"/>
    <x v="0"/>
    <x v="0"/>
    <x v="2"/>
    <x v="2"/>
    <x v="7"/>
    <x v="1"/>
    <n v="8716645.0934790168"/>
    <n v="14634179.509849621"/>
    <n v="741657.899600951"/>
  </r>
  <r>
    <x v="2"/>
    <x v="7"/>
    <x v="1"/>
    <x v="0"/>
    <x v="0"/>
    <x v="2"/>
    <x v="2"/>
    <x v="7"/>
    <x v="1"/>
    <n v="345878.94871870929"/>
    <n v="580588.11596122442"/>
    <n v="29418.87474330837"/>
  </r>
  <r>
    <x v="2"/>
    <x v="7"/>
    <x v="2"/>
    <x v="0"/>
    <x v="0"/>
    <x v="2"/>
    <x v="2"/>
    <x v="7"/>
    <x v="1"/>
    <n v="34075062.370580435"/>
    <n v="57189377.548549846"/>
    <n v="3063220.5017314334"/>
  </r>
  <r>
    <x v="2"/>
    <x v="7"/>
    <x v="0"/>
    <x v="0"/>
    <x v="1"/>
    <x v="2"/>
    <x v="2"/>
    <x v="7"/>
    <x v="1"/>
    <n v="79556.281965906528"/>
    <n v="133465.91337097003"/>
    <n v="13925.379883810547"/>
  </r>
  <r>
    <x v="2"/>
    <x v="7"/>
    <x v="1"/>
    <x v="0"/>
    <x v="1"/>
    <x v="2"/>
    <x v="2"/>
    <x v="7"/>
    <x v="1"/>
    <n v="122633.50412194498"/>
    <n v="205762.79388233589"/>
    <n v="21431.800176396118"/>
  </r>
  <r>
    <x v="2"/>
    <x v="7"/>
    <x v="2"/>
    <x v="0"/>
    <x v="1"/>
    <x v="2"/>
    <x v="2"/>
    <x v="7"/>
    <x v="1"/>
    <n v="911017.02338028222"/>
    <n v="1513541.8805224299"/>
    <n v="166839.59826185723"/>
  </r>
  <r>
    <x v="2"/>
    <x v="7"/>
    <x v="0"/>
    <x v="0"/>
    <x v="2"/>
    <x v="2"/>
    <x v="2"/>
    <x v="7"/>
    <x v="1"/>
    <n v="17002.76932422051"/>
    <n v="28524.10831018064"/>
    <n v="4927.4397318171686"/>
  </r>
  <r>
    <x v="2"/>
    <x v="7"/>
    <x v="1"/>
    <x v="0"/>
    <x v="2"/>
    <x v="2"/>
    <x v="2"/>
    <x v="7"/>
    <x v="1"/>
    <n v="3816.2530888113383"/>
    <n v="6403.2537067830908"/>
    <n v="1119.2986104205106"/>
  </r>
  <r>
    <x v="2"/>
    <x v="7"/>
    <x v="2"/>
    <x v="0"/>
    <x v="2"/>
    <x v="2"/>
    <x v="2"/>
    <x v="7"/>
    <x v="1"/>
    <n v="43167.979302444634"/>
    <n v="71682.627302503155"/>
    <n v="13155.129913121373"/>
  </r>
  <r>
    <x v="2"/>
    <x v="7"/>
    <x v="0"/>
    <x v="0"/>
    <x v="3"/>
    <x v="2"/>
    <x v="2"/>
    <x v="7"/>
    <x v="1"/>
    <n v="42157.109688755401"/>
    <n v="70722.835048535067"/>
    <n v="17171.939375468686"/>
  </r>
  <r>
    <x v="2"/>
    <x v="7"/>
    <x v="1"/>
    <x v="0"/>
    <x v="3"/>
    <x v="2"/>
    <x v="2"/>
    <x v="7"/>
    <x v="1"/>
    <n v="334.03961261697884"/>
    <n v="560.46987034489302"/>
    <n v="135.36787782493028"/>
  </r>
  <r>
    <x v="2"/>
    <x v="7"/>
    <x v="2"/>
    <x v="0"/>
    <x v="3"/>
    <x v="2"/>
    <x v="2"/>
    <x v="7"/>
    <x v="1"/>
    <n v="105415.62673689943"/>
    <n v="176175.94362533197"/>
    <n v="45090.770093582709"/>
  </r>
  <r>
    <x v="2"/>
    <x v="8"/>
    <x v="0"/>
    <x v="0"/>
    <x v="0"/>
    <x v="2"/>
    <x v="2"/>
    <x v="8"/>
    <x v="1"/>
    <n v="5144145.1871354161"/>
    <n v="8104050.0841531958"/>
    <n v="435546.23888389132"/>
  </r>
  <r>
    <x v="2"/>
    <x v="8"/>
    <x v="1"/>
    <x v="0"/>
    <x v="0"/>
    <x v="2"/>
    <x v="2"/>
    <x v="8"/>
    <x v="1"/>
    <n v="280964.90905784932"/>
    <n v="443704.68033327791"/>
    <n v="23856.390836595474"/>
  </r>
  <r>
    <x v="2"/>
    <x v="8"/>
    <x v="2"/>
    <x v="0"/>
    <x v="0"/>
    <x v="2"/>
    <x v="2"/>
    <x v="8"/>
    <x v="1"/>
    <n v="18909759.610506624"/>
    <n v="29737389.076338176"/>
    <n v="1501926.9272379084"/>
  </r>
  <r>
    <x v="2"/>
    <x v="8"/>
    <x v="0"/>
    <x v="0"/>
    <x v="1"/>
    <x v="2"/>
    <x v="2"/>
    <x v="8"/>
    <x v="1"/>
    <n v="51892.846083286015"/>
    <n v="81561.674441041003"/>
    <n v="8984.2919595901549"/>
  </r>
  <r>
    <x v="2"/>
    <x v="8"/>
    <x v="1"/>
    <x v="0"/>
    <x v="1"/>
    <x v="2"/>
    <x v="2"/>
    <x v="8"/>
    <x v="1"/>
    <n v="25599.531384250575"/>
    <n v="40261.505761430635"/>
    <n v="4451.9658502931743"/>
  </r>
  <r>
    <x v="2"/>
    <x v="8"/>
    <x v="2"/>
    <x v="0"/>
    <x v="1"/>
    <x v="2"/>
    <x v="2"/>
    <x v="8"/>
    <x v="1"/>
    <n v="407057.65787372307"/>
    <n v="639148.29565784673"/>
    <n v="66301.553271442506"/>
  </r>
  <r>
    <x v="2"/>
    <x v="8"/>
    <x v="0"/>
    <x v="0"/>
    <x v="2"/>
    <x v="2"/>
    <x v="2"/>
    <x v="8"/>
    <x v="1"/>
    <n v="267.8999995621773"/>
    <n v="421.06998871368609"/>
    <n v="77.177358807588547"/>
  </r>
  <r>
    <x v="2"/>
    <x v="8"/>
    <x v="1"/>
    <x v="0"/>
    <x v="2"/>
    <x v="2"/>
    <x v="2"/>
    <x v="8"/>
    <x v="1"/>
    <n v="422.76261760233103"/>
    <n v="667.11814352368901"/>
    <n v="122.49755547309553"/>
  </r>
  <r>
    <x v="2"/>
    <x v="8"/>
    <x v="2"/>
    <x v="0"/>
    <x v="2"/>
    <x v="2"/>
    <x v="2"/>
    <x v="8"/>
    <x v="1"/>
    <n v="176806.34733424263"/>
    <n v="275598.88245335419"/>
    <n v="47669.143590445143"/>
  </r>
  <r>
    <x v="2"/>
    <x v="8"/>
    <x v="0"/>
    <x v="0"/>
    <x v="3"/>
    <x v="2"/>
    <x v="2"/>
    <x v="8"/>
    <x v="1"/>
    <n v="17247.157977181214"/>
    <n v="27107.816155679364"/>
    <n v="6984.8191719457909"/>
  </r>
  <r>
    <x v="2"/>
    <x v="8"/>
    <x v="1"/>
    <x v="0"/>
    <x v="3"/>
    <x v="2"/>
    <x v="2"/>
    <x v="8"/>
    <x v="1"/>
    <n v="842.70574486346879"/>
    <n v="1325.0510231418054"/>
    <n v="340.61838340317348"/>
  </r>
  <r>
    <x v="2"/>
    <x v="8"/>
    <x v="2"/>
    <x v="0"/>
    <x v="3"/>
    <x v="2"/>
    <x v="2"/>
    <x v="8"/>
    <x v="1"/>
    <n v="132965.38428535851"/>
    <n v="207281.74555061889"/>
    <n v="50210.375900204221"/>
  </r>
  <r>
    <x v="2"/>
    <x v="9"/>
    <x v="0"/>
    <x v="0"/>
    <x v="0"/>
    <x v="2"/>
    <x v="2"/>
    <x v="9"/>
    <x v="1"/>
    <n v="2686.5536469761828"/>
    <n v="3379.8290250135651"/>
    <n v="193.33003320501589"/>
  </r>
  <r>
    <x v="2"/>
    <x v="9"/>
    <x v="1"/>
    <x v="0"/>
    <x v="0"/>
    <x v="2"/>
    <x v="2"/>
    <x v="9"/>
    <x v="1"/>
    <n v="2574.4463530238172"/>
    <n v="3409.1709749864349"/>
    <n v="181.66996679498408"/>
  </r>
  <r>
    <x v="2"/>
    <x v="9"/>
    <x v="2"/>
    <x v="0"/>
    <x v="0"/>
    <x v="2"/>
    <x v="2"/>
    <x v="9"/>
    <x v="1"/>
    <n v="30797.87541850339"/>
    <n v="38593.429995120845"/>
    <n v="1278.7376152098379"/>
  </r>
  <r>
    <x v="2"/>
    <x v="9"/>
    <x v="2"/>
    <x v="0"/>
    <x v="1"/>
    <x v="2"/>
    <x v="2"/>
    <x v="9"/>
    <x v="1"/>
    <n v="13842.725183848861"/>
    <n v="17346.70746056534"/>
    <n v="1249.0236541324784"/>
  </r>
  <r>
    <x v="2"/>
    <x v="9"/>
    <x v="2"/>
    <x v="0"/>
    <x v="2"/>
    <x v="2"/>
    <x v="2"/>
    <x v="9"/>
    <x v="1"/>
    <n v="760.39939764776193"/>
    <n v="952.8625443138194"/>
    <n v="121.23873065768333"/>
  </r>
  <r>
    <x v="2"/>
    <x v="10"/>
    <x v="1"/>
    <x v="0"/>
    <x v="0"/>
    <x v="2"/>
    <x v="2"/>
    <x v="10"/>
    <x v="1"/>
    <n v="10922.803173074029"/>
    <n v="12109"/>
    <n v="699.7035726646925"/>
  </r>
  <r>
    <x v="2"/>
    <x v="10"/>
    <x v="2"/>
    <x v="0"/>
    <x v="0"/>
    <x v="2"/>
    <x v="2"/>
    <x v="10"/>
    <x v="1"/>
    <n v="27442.320552422221"/>
    <n v="30223.317803646729"/>
    <n v="1239.6286873399097"/>
  </r>
  <r>
    <x v="2"/>
    <x v="10"/>
    <x v="1"/>
    <x v="0"/>
    <x v="1"/>
    <x v="2"/>
    <x v="2"/>
    <x v="10"/>
    <x v="1"/>
    <n v="1606.196826925971"/>
    <n v="1769"/>
    <n v="214.29642733530747"/>
  </r>
  <r>
    <x v="2"/>
    <x v="10"/>
    <x v="2"/>
    <x v="0"/>
    <x v="1"/>
    <x v="2"/>
    <x v="2"/>
    <x v="10"/>
    <x v="1"/>
    <n v="27548.173003446071"/>
    <n v="30339.880094474873"/>
    <n v="2564.1421632091187"/>
  </r>
  <r>
    <x v="2"/>
    <x v="10"/>
    <x v="2"/>
    <x v="0"/>
    <x v="2"/>
    <x v="2"/>
    <x v="2"/>
    <x v="10"/>
    <x v="1"/>
    <n v="782.50644413170687"/>
    <n v="861.80210187839873"/>
    <n v="124.22914945097209"/>
  </r>
  <r>
    <x v="2"/>
    <x v="11"/>
    <x v="0"/>
    <x v="0"/>
    <x v="0"/>
    <x v="2"/>
    <x v="2"/>
    <x v="11"/>
    <x v="1"/>
    <n v="282.73306772908359"/>
    <n v="274"/>
    <n v="9.0622568093385212"/>
  </r>
  <r>
    <x v="2"/>
    <x v="11"/>
    <x v="1"/>
    <x v="0"/>
    <x v="0"/>
    <x v="2"/>
    <x v="2"/>
    <x v="11"/>
    <x v="1"/>
    <n v="609.20762341854618"/>
    <n v="616"/>
    <n v="29.83131208515897"/>
  </r>
  <r>
    <x v="2"/>
    <x v="11"/>
    <x v="2"/>
    <x v="0"/>
    <x v="0"/>
    <x v="2"/>
    <x v="2"/>
    <x v="11"/>
    <x v="1"/>
    <n v="80573.082013245716"/>
    <n v="78074.669582195842"/>
    <n v="3246.0280173133465"/>
  </r>
  <r>
    <x v="2"/>
    <x v="11"/>
    <x v="1"/>
    <x v="0"/>
    <x v="1"/>
    <x v="2"/>
    <x v="2"/>
    <x v="11"/>
    <x v="1"/>
    <n v="389.05930885237041"/>
    <n v="377"/>
    <n v="45.106431105502509"/>
  </r>
  <r>
    <x v="2"/>
    <x v="11"/>
    <x v="2"/>
    <x v="0"/>
    <x v="1"/>
    <x v="2"/>
    <x v="2"/>
    <x v="11"/>
    <x v="1"/>
    <n v="86800.549055753247"/>
    <n v="84108.921653630619"/>
    <n v="7175.5053985435998"/>
  </r>
  <r>
    <x v="2"/>
    <x v="11"/>
    <x v="2"/>
    <x v="0"/>
    <x v="2"/>
    <x v="2"/>
    <x v="2"/>
    <x v="11"/>
    <x v="1"/>
    <n v="4126.3689310009358"/>
    <n v="3998.4087641735373"/>
    <n v="563.46658414305102"/>
  </r>
  <r>
    <x v="2"/>
    <x v="12"/>
    <x v="2"/>
    <x v="1"/>
    <x v="0"/>
    <x v="1"/>
    <x v="1"/>
    <x v="12"/>
    <x v="1"/>
    <n v="219.19586963536631"/>
    <n v="401.95199155895551"/>
    <n v="29.418502053144199"/>
  </r>
  <r>
    <x v="2"/>
    <x v="12"/>
    <x v="2"/>
    <x v="1"/>
    <x v="1"/>
    <x v="1"/>
    <x v="1"/>
    <x v="12"/>
    <x v="1"/>
    <n v="1851.8041303646337"/>
    <n v="3398.0480084410447"/>
    <n v="445.58149794685579"/>
  </r>
  <r>
    <x v="2"/>
    <x v="13"/>
    <x v="2"/>
    <x v="1"/>
    <x v="1"/>
    <x v="1"/>
    <x v="1"/>
    <x v="13"/>
    <x v="1"/>
    <n v="998"/>
    <n v="1683"/>
    <n v="143"/>
  </r>
  <r>
    <x v="2"/>
    <x v="14"/>
    <x v="2"/>
    <x v="1"/>
    <x v="1"/>
    <x v="1"/>
    <x v="1"/>
    <x v="14"/>
    <x v="1"/>
    <n v="76123"/>
    <n v="122384"/>
    <n v="10389"/>
  </r>
  <r>
    <x v="2"/>
    <x v="15"/>
    <x v="0"/>
    <x v="0"/>
    <x v="0"/>
    <x v="2"/>
    <x v="2"/>
    <x v="15"/>
    <x v="1"/>
    <n v="306627638.35909659"/>
    <n v="568692213.6249162"/>
    <n v="34424101.12835826"/>
  </r>
  <r>
    <x v="2"/>
    <x v="15"/>
    <x v="1"/>
    <x v="0"/>
    <x v="0"/>
    <x v="2"/>
    <x v="2"/>
    <x v="15"/>
    <x v="1"/>
    <n v="10047051.607126446"/>
    <n v="18704418.987851609"/>
    <n v="1131919.6355849253"/>
  </r>
  <r>
    <x v="2"/>
    <x v="15"/>
    <x v="2"/>
    <x v="0"/>
    <x v="0"/>
    <x v="2"/>
    <x v="2"/>
    <x v="15"/>
    <x v="1"/>
    <n v="2293141315.7491293"/>
    <n v="4207813234.5912213"/>
    <n v="245463214.86565605"/>
  </r>
  <r>
    <x v="2"/>
    <x v="15"/>
    <x v="0"/>
    <x v="0"/>
    <x v="1"/>
    <x v="2"/>
    <x v="2"/>
    <x v="15"/>
    <x v="1"/>
    <n v="884044.04869990598"/>
    <n v="1633991.5779244045"/>
    <n v="203156.25377954321"/>
  </r>
  <r>
    <x v="2"/>
    <x v="15"/>
    <x v="1"/>
    <x v="0"/>
    <x v="1"/>
    <x v="2"/>
    <x v="2"/>
    <x v="15"/>
    <x v="1"/>
    <n v="240393.64561173218"/>
    <n v="445244.12029237731"/>
    <n v="55293.134696326095"/>
  </r>
  <r>
    <x v="2"/>
    <x v="15"/>
    <x v="2"/>
    <x v="0"/>
    <x v="1"/>
    <x v="2"/>
    <x v="2"/>
    <x v="15"/>
    <x v="1"/>
    <n v="57310585.396516196"/>
    <n v="105140451.00135045"/>
    <n v="12602592.56012591"/>
  </r>
  <r>
    <x v="2"/>
    <x v="15"/>
    <x v="0"/>
    <x v="0"/>
    <x v="2"/>
    <x v="2"/>
    <x v="2"/>
    <x v="15"/>
    <x v="1"/>
    <n v="533.11850421916142"/>
    <n v="978.04403736383119"/>
    <n v="201.83467727684553"/>
  </r>
  <r>
    <x v="2"/>
    <x v="15"/>
    <x v="1"/>
    <x v="0"/>
    <x v="2"/>
    <x v="2"/>
    <x v="2"/>
    <x v="15"/>
    <x v="1"/>
    <n v="7027.0478177706918"/>
    <n v="12986.260030106987"/>
    <n v="2684.9652547271103"/>
  </r>
  <r>
    <x v="2"/>
    <x v="15"/>
    <x v="2"/>
    <x v="0"/>
    <x v="2"/>
    <x v="2"/>
    <x v="2"/>
    <x v="15"/>
    <x v="1"/>
    <n v="1239988.1305657327"/>
    <n v="2215472.84091934"/>
    <n v="442810.31529475324"/>
  </r>
  <r>
    <x v="2"/>
    <x v="15"/>
    <x v="0"/>
    <x v="0"/>
    <x v="3"/>
    <x v="2"/>
    <x v="2"/>
    <x v="15"/>
    <x v="1"/>
    <n v="3086017.072996283"/>
    <n v="5713703.1905053752"/>
    <n v="1657868.2533691472"/>
  </r>
  <r>
    <x v="2"/>
    <x v="15"/>
    <x v="1"/>
    <x v="0"/>
    <x v="3"/>
    <x v="2"/>
    <x v="2"/>
    <x v="15"/>
    <x v="1"/>
    <n v="2303.1001471284976"/>
    <n v="4257.1944402855515"/>
    <n v="1238.7942797322107"/>
  </r>
  <r>
    <x v="2"/>
    <x v="15"/>
    <x v="2"/>
    <x v="0"/>
    <x v="3"/>
    <x v="2"/>
    <x v="2"/>
    <x v="15"/>
    <x v="1"/>
    <n v="4887690.7237859154"/>
    <n v="8829894.5664972812"/>
    <n v="2463218.258924176"/>
  </r>
  <r>
    <x v="2"/>
    <x v="16"/>
    <x v="0"/>
    <x v="0"/>
    <x v="0"/>
    <x v="3"/>
    <x v="3"/>
    <x v="16"/>
    <x v="1"/>
    <n v="0"/>
    <n v="0"/>
    <n v="0"/>
  </r>
  <r>
    <x v="2"/>
    <x v="16"/>
    <x v="1"/>
    <x v="0"/>
    <x v="0"/>
    <x v="3"/>
    <x v="3"/>
    <x v="16"/>
    <x v="1"/>
    <n v="0"/>
    <n v="0"/>
    <n v="0"/>
  </r>
  <r>
    <x v="2"/>
    <x v="16"/>
    <x v="2"/>
    <x v="0"/>
    <x v="0"/>
    <x v="3"/>
    <x v="3"/>
    <x v="16"/>
    <x v="1"/>
    <n v="7646800.9999999981"/>
    <n v="13654999.999999996"/>
    <n v="102415"/>
  </r>
  <r>
    <x v="2"/>
    <x v="17"/>
    <x v="0"/>
    <x v="0"/>
    <x v="0"/>
    <x v="4"/>
    <x v="4"/>
    <x v="17"/>
    <x v="1"/>
    <n v="157926.92100821936"/>
    <n v="363048.52136181819"/>
    <n v="2795.8603000031853"/>
  </r>
  <r>
    <x v="2"/>
    <x v="17"/>
    <x v="1"/>
    <x v="0"/>
    <x v="0"/>
    <x v="4"/>
    <x v="4"/>
    <x v="17"/>
    <x v="1"/>
    <n v="18874.078991780538"/>
    <n v="43388.478638181499"/>
    <n v="334.13969999681609"/>
  </r>
  <r>
    <x v="2"/>
    <x v="17"/>
    <x v="2"/>
    <x v="0"/>
    <x v="0"/>
    <x v="4"/>
    <x v="4"/>
    <x v="17"/>
    <x v="1"/>
    <n v="8330729"/>
    <n v="19151061.000000004"/>
    <n v="147463.99999999991"/>
  </r>
  <r>
    <x v="2"/>
    <x v="18"/>
    <x v="0"/>
    <x v="0"/>
    <x v="0"/>
    <x v="4"/>
    <x v="4"/>
    <x v="18"/>
    <x v="1"/>
    <n v="404010.83704965503"/>
    <n v="1065342.1402922957"/>
    <n v="8735.5253701161837"/>
  </r>
  <r>
    <x v="2"/>
    <x v="18"/>
    <x v="1"/>
    <x v="0"/>
    <x v="0"/>
    <x v="4"/>
    <x v="4"/>
    <x v="18"/>
    <x v="1"/>
    <n v="400554.16295034438"/>
    <n v="1069332.8597077029"/>
    <n v="8768.4746298838163"/>
  </r>
  <r>
    <x v="2"/>
    <x v="18"/>
    <x v="2"/>
    <x v="0"/>
    <x v="0"/>
    <x v="4"/>
    <x v="4"/>
    <x v="18"/>
    <x v="1"/>
    <n v="114225995"/>
    <n v="297463527"/>
    <n v="2439201.0000000009"/>
  </r>
  <r>
    <x v="2"/>
    <x v="19"/>
    <x v="0"/>
    <x v="0"/>
    <x v="0"/>
    <x v="2"/>
    <x v="2"/>
    <x v="19"/>
    <x v="1"/>
    <n v="24937774.787411593"/>
    <n v="40425729.804658048"/>
    <n v="2127578.5513440939"/>
  </r>
  <r>
    <x v="2"/>
    <x v="19"/>
    <x v="1"/>
    <x v="0"/>
    <x v="0"/>
    <x v="2"/>
    <x v="2"/>
    <x v="19"/>
    <x v="1"/>
    <n v="6350876.6680095382"/>
    <n v="10341748.283898633"/>
    <n v="544139.46106178756"/>
  </r>
  <r>
    <x v="2"/>
    <x v="19"/>
    <x v="2"/>
    <x v="0"/>
    <x v="0"/>
    <x v="2"/>
    <x v="2"/>
    <x v="19"/>
    <x v="1"/>
    <n v="143437519.26136622"/>
    <n v="230674404.98559168"/>
    <n v="9759517.7119054366"/>
  </r>
  <r>
    <x v="2"/>
    <x v="19"/>
    <x v="0"/>
    <x v="0"/>
    <x v="1"/>
    <x v="2"/>
    <x v="2"/>
    <x v="19"/>
    <x v="1"/>
    <n v="304656.44207544043"/>
    <n v="493393.73783280281"/>
    <n v="53365.969378302936"/>
  </r>
  <r>
    <x v="2"/>
    <x v="19"/>
    <x v="1"/>
    <x v="0"/>
    <x v="1"/>
    <x v="2"/>
    <x v="2"/>
    <x v="19"/>
    <x v="1"/>
    <n v="1220189.467364857"/>
    <n v="1989475.9192471083"/>
    <n v="215114.78997287358"/>
  </r>
  <r>
    <x v="2"/>
    <x v="19"/>
    <x v="2"/>
    <x v="0"/>
    <x v="1"/>
    <x v="2"/>
    <x v="2"/>
    <x v="19"/>
    <x v="1"/>
    <n v="11286161.527947577"/>
    <n v="18083237.596300267"/>
    <n v="1572003.4732063543"/>
  </r>
  <r>
    <x v="2"/>
    <x v="19"/>
    <x v="0"/>
    <x v="0"/>
    <x v="2"/>
    <x v="2"/>
    <x v="2"/>
    <x v="19"/>
    <x v="1"/>
    <n v="15161.799039653788"/>
    <n v="24529.304655196862"/>
    <n v="4400.3426320351055"/>
  </r>
  <r>
    <x v="2"/>
    <x v="19"/>
    <x v="1"/>
    <x v="0"/>
    <x v="2"/>
    <x v="2"/>
    <x v="2"/>
    <x v="19"/>
    <x v="1"/>
    <n v="55411.919980082494"/>
    <n v="91456.549404819132"/>
    <n v="16468.581202769252"/>
  </r>
  <r>
    <x v="2"/>
    <x v="19"/>
    <x v="2"/>
    <x v="0"/>
    <x v="2"/>
    <x v="2"/>
    <x v="2"/>
    <x v="19"/>
    <x v="1"/>
    <n v="1869489.482683223"/>
    <n v="3008989.0194297186"/>
    <n v="435585.01192875154"/>
  </r>
  <r>
    <x v="2"/>
    <x v="19"/>
    <x v="0"/>
    <x v="0"/>
    <x v="3"/>
    <x v="2"/>
    <x v="2"/>
    <x v="19"/>
    <x v="1"/>
    <n v="296362.26139047329"/>
    <n v="480158.83200721646"/>
    <n v="121200.9329157279"/>
  </r>
  <r>
    <x v="2"/>
    <x v="19"/>
    <x v="1"/>
    <x v="0"/>
    <x v="3"/>
    <x v="2"/>
    <x v="2"/>
    <x v="19"/>
    <x v="1"/>
    <n v="7834.6547282377296"/>
    <n v="12653.568296105979"/>
    <n v="3200.3714924132555"/>
  </r>
  <r>
    <x v="2"/>
    <x v="19"/>
    <x v="2"/>
    <x v="0"/>
    <x v="3"/>
    <x v="2"/>
    <x v="2"/>
    <x v="19"/>
    <x v="1"/>
    <n v="773760.72800231783"/>
    <n v="1234904.3986785305"/>
    <n v="250620.80295942762"/>
  </r>
  <r>
    <x v="2"/>
    <x v="20"/>
    <x v="0"/>
    <x v="0"/>
    <x v="0"/>
    <x v="2"/>
    <x v="2"/>
    <x v="20"/>
    <x v="1"/>
    <n v="218150220.48217201"/>
    <n v="373730257.20724899"/>
    <n v="22349336.75598279"/>
  </r>
  <r>
    <x v="2"/>
    <x v="20"/>
    <x v="1"/>
    <x v="0"/>
    <x v="0"/>
    <x v="2"/>
    <x v="2"/>
    <x v="20"/>
    <x v="1"/>
    <n v="13939851.265657512"/>
    <n v="24027276.794118971"/>
    <n v="1436783.6704544972"/>
  </r>
  <r>
    <x v="2"/>
    <x v="20"/>
    <x v="2"/>
    <x v="0"/>
    <x v="0"/>
    <x v="2"/>
    <x v="2"/>
    <x v="20"/>
    <x v="1"/>
    <n v="649969390.50601518"/>
    <n v="1096130007.1093676"/>
    <n v="55542572.102125145"/>
  </r>
  <r>
    <x v="2"/>
    <x v="20"/>
    <x v="0"/>
    <x v="0"/>
    <x v="1"/>
    <x v="2"/>
    <x v="2"/>
    <x v="20"/>
    <x v="1"/>
    <n v="478119.025295306"/>
    <n v="813392.81255055498"/>
    <n v="99951.649798342885"/>
  </r>
  <r>
    <x v="2"/>
    <x v="20"/>
    <x v="1"/>
    <x v="0"/>
    <x v="1"/>
    <x v="2"/>
    <x v="2"/>
    <x v="20"/>
    <x v="1"/>
    <n v="1424927.5592587905"/>
    <n v="2432230.8342487789"/>
    <n v="298837.42533029953"/>
  </r>
  <r>
    <x v="2"/>
    <x v="20"/>
    <x v="2"/>
    <x v="0"/>
    <x v="1"/>
    <x v="2"/>
    <x v="2"/>
    <x v="20"/>
    <x v="1"/>
    <n v="23979555.397025391"/>
    <n v="40496270.030202046"/>
    <n v="4212611.0082292287"/>
  </r>
  <r>
    <x v="2"/>
    <x v="20"/>
    <x v="0"/>
    <x v="0"/>
    <x v="2"/>
    <x v="2"/>
    <x v="2"/>
    <x v="20"/>
    <x v="1"/>
    <n v="11592.834234150871"/>
    <n v="19697.236577737549"/>
    <n v="4032.9407762939177"/>
  </r>
  <r>
    <x v="2"/>
    <x v="20"/>
    <x v="1"/>
    <x v="0"/>
    <x v="2"/>
    <x v="2"/>
    <x v="2"/>
    <x v="20"/>
    <x v="1"/>
    <n v="33621.233645267574"/>
    <n v="57546.199157379167"/>
    <n v="11781.970381068491"/>
  </r>
  <r>
    <x v="2"/>
    <x v="20"/>
    <x v="2"/>
    <x v="0"/>
    <x v="2"/>
    <x v="2"/>
    <x v="2"/>
    <x v="20"/>
    <x v="1"/>
    <n v="2120649.6222850722"/>
    <n v="3529615.6386667076"/>
    <n v="611973.23342476727"/>
  </r>
  <r>
    <x v="2"/>
    <x v="20"/>
    <x v="0"/>
    <x v="0"/>
    <x v="3"/>
    <x v="2"/>
    <x v="2"/>
    <x v="20"/>
    <x v="1"/>
    <n v="1228459.2862190451"/>
    <n v="2088780.310374226"/>
    <n v="598863.09537429467"/>
  </r>
  <r>
    <x v="2"/>
    <x v="20"/>
    <x v="1"/>
    <x v="0"/>
    <x v="3"/>
    <x v="2"/>
    <x v="2"/>
    <x v="20"/>
    <x v="1"/>
    <n v="939.313518626872"/>
    <n v="1593.6057236588651"/>
    <n v="457.49190241759914"/>
  </r>
  <r>
    <x v="2"/>
    <x v="20"/>
    <x v="2"/>
    <x v="0"/>
    <x v="3"/>
    <x v="2"/>
    <x v="2"/>
    <x v="20"/>
    <x v="1"/>
    <n v="3666770.4746752237"/>
    <n v="6111659.2217605803"/>
    <n v="1484266.6562207495"/>
  </r>
  <r>
    <x v="2"/>
    <x v="21"/>
    <x v="0"/>
    <x v="0"/>
    <x v="0"/>
    <x v="4"/>
    <x v="4"/>
    <x v="21"/>
    <x v="1"/>
    <n v="10357.847015324411"/>
    <n v="25004.019040669209"/>
    <n v="205.02263766222069"/>
  </r>
  <r>
    <x v="2"/>
    <x v="21"/>
    <x v="1"/>
    <x v="0"/>
    <x v="0"/>
    <x v="4"/>
    <x v="4"/>
    <x v="21"/>
    <x v="1"/>
    <n v="174673.15298467551"/>
    <n v="423229.98095933092"/>
    <n v="3469.9773623377814"/>
  </r>
  <r>
    <x v="2"/>
    <x v="21"/>
    <x v="2"/>
    <x v="0"/>
    <x v="0"/>
    <x v="4"/>
    <x v="4"/>
    <x v="21"/>
    <x v="1"/>
    <n v="19618882.000000011"/>
    <n v="46823107.99999997"/>
    <n v="383950"/>
  </r>
  <r>
    <x v="2"/>
    <x v="22"/>
    <x v="0"/>
    <x v="0"/>
    <x v="0"/>
    <x v="4"/>
    <x v="4"/>
    <x v="22"/>
    <x v="1"/>
    <n v="85294.868612724953"/>
    <n v="212409.16835375282"/>
    <n v="1741.7289219859645"/>
  </r>
  <r>
    <x v="2"/>
    <x v="22"/>
    <x v="1"/>
    <x v="0"/>
    <x v="0"/>
    <x v="4"/>
    <x v="4"/>
    <x v="22"/>
    <x v="1"/>
    <n v="233297.13138727463"/>
    <n v="581516.83164624753"/>
    <n v="4768.2710780140405"/>
  </r>
  <r>
    <x v="2"/>
    <x v="22"/>
    <x v="2"/>
    <x v="0"/>
    <x v="0"/>
    <x v="4"/>
    <x v="4"/>
    <x v="22"/>
    <x v="1"/>
    <n v="79503028.99999997"/>
    <n v="195820266.99999997"/>
    <n v="1605725.9999999981"/>
  </r>
  <r>
    <x v="2"/>
    <x v="23"/>
    <x v="0"/>
    <x v="1"/>
    <x v="0"/>
    <x v="1"/>
    <x v="1"/>
    <x v="23"/>
    <x v="1"/>
    <n v="1157769.1232218058"/>
    <n v="1012021.6254768603"/>
    <n v="52034.200236105193"/>
  </r>
  <r>
    <x v="2"/>
    <x v="23"/>
    <x v="1"/>
    <x v="1"/>
    <x v="0"/>
    <x v="1"/>
    <x v="1"/>
    <x v="23"/>
    <x v="1"/>
    <n v="16701.782462898715"/>
    <n v="15022.17545541901"/>
    <n v="769.23640380090069"/>
  </r>
  <r>
    <x v="2"/>
    <x v="23"/>
    <x v="2"/>
    <x v="1"/>
    <x v="0"/>
    <x v="1"/>
    <x v="1"/>
    <x v="23"/>
    <x v="1"/>
    <n v="1667906.6697165335"/>
    <n v="1453578.5620868669"/>
    <n v="71369.586193469993"/>
  </r>
  <r>
    <x v="2"/>
    <x v="23"/>
    <x v="0"/>
    <x v="1"/>
    <x v="1"/>
    <x v="1"/>
    <x v="1"/>
    <x v="23"/>
    <x v="1"/>
    <n v="1845440.3253078386"/>
    <n v="1311909.3892240585"/>
    <n v="138649.47851262175"/>
  </r>
  <r>
    <x v="2"/>
    <x v="23"/>
    <x v="1"/>
    <x v="1"/>
    <x v="1"/>
    <x v="1"/>
    <x v="1"/>
    <x v="23"/>
    <x v="1"/>
    <n v="175036.78802209403"/>
    <n v="125465.88421081282"/>
    <n v="13232.062401400053"/>
  </r>
  <r>
    <x v="2"/>
    <x v="23"/>
    <x v="2"/>
    <x v="1"/>
    <x v="1"/>
    <x v="1"/>
    <x v="1"/>
    <x v="23"/>
    <x v="1"/>
    <n v="8069469.708024445"/>
    <n v="5655088.4966808623"/>
    <n v="576015.95923923003"/>
  </r>
  <r>
    <x v="2"/>
    <x v="23"/>
    <x v="0"/>
    <x v="1"/>
    <x v="2"/>
    <x v="1"/>
    <x v="1"/>
    <x v="23"/>
    <x v="1"/>
    <n v="3645640.0871036542"/>
    <n v="2179860.1378683182"/>
    <n v="383641.73986186046"/>
  </r>
  <r>
    <x v="2"/>
    <x v="23"/>
    <x v="1"/>
    <x v="1"/>
    <x v="2"/>
    <x v="1"/>
    <x v="1"/>
    <x v="23"/>
    <x v="1"/>
    <n v="49130.558327290077"/>
    <n v="29167.558341109478"/>
    <n v="5139.2467427717265"/>
  </r>
  <r>
    <x v="2"/>
    <x v="23"/>
    <x v="2"/>
    <x v="1"/>
    <x v="2"/>
    <x v="1"/>
    <x v="1"/>
    <x v="23"/>
    <x v="1"/>
    <n v="5126768.3286822643"/>
    <n v="3003880.2399091953"/>
    <n v="506290.87140431721"/>
  </r>
  <r>
    <x v="2"/>
    <x v="23"/>
    <x v="0"/>
    <x v="1"/>
    <x v="3"/>
    <x v="1"/>
    <x v="1"/>
    <x v="23"/>
    <x v="1"/>
    <n v="4708219.9796123337"/>
    <n v="2424420.052433359"/>
    <n v="597603.62275383901"/>
  </r>
  <r>
    <x v="2"/>
    <x v="23"/>
    <x v="1"/>
    <x v="1"/>
    <x v="3"/>
    <x v="1"/>
    <x v="1"/>
    <x v="23"/>
    <x v="1"/>
    <n v="12542.013779408373"/>
    <n v="7575.8589523397031"/>
    <n v="1888.7283638363472"/>
  </r>
  <r>
    <x v="2"/>
    <x v="23"/>
    <x v="2"/>
    <x v="1"/>
    <x v="3"/>
    <x v="1"/>
    <x v="1"/>
    <x v="23"/>
    <x v="1"/>
    <n v="10781206.237101668"/>
    <n v="5565362.9047203837"/>
    <n v="1311032.9766815272"/>
  </r>
  <r>
    <x v="2"/>
    <x v="23"/>
    <x v="0"/>
    <x v="1"/>
    <x v="4"/>
    <x v="1"/>
    <x v="1"/>
    <x v="23"/>
    <x v="1"/>
    <n v="4798481.567407554"/>
    <n v="2167585.5783479623"/>
    <n v="687970.2706796428"/>
  </r>
  <r>
    <x v="2"/>
    <x v="23"/>
    <x v="1"/>
    <x v="1"/>
    <x v="4"/>
    <x v="1"/>
    <x v="1"/>
    <x v="23"/>
    <x v="1"/>
    <n v="6968.5917105418057"/>
    <n v="3169.0269076250333"/>
    <n v="991.83461406021456"/>
  </r>
  <r>
    <x v="2"/>
    <x v="23"/>
    <x v="2"/>
    <x v="1"/>
    <x v="4"/>
    <x v="1"/>
    <x v="1"/>
    <x v="23"/>
    <x v="1"/>
    <n v="10285872.761326335"/>
    <n v="4649959.4549445137"/>
    <n v="1417700.0029302477"/>
  </r>
  <r>
    <x v="2"/>
    <x v="23"/>
    <x v="0"/>
    <x v="1"/>
    <x v="5"/>
    <x v="1"/>
    <x v="1"/>
    <x v="23"/>
    <x v="1"/>
    <n v="2179657.2799369209"/>
    <n v="871320.29945475876"/>
    <n v="337405.01939886715"/>
  </r>
  <r>
    <x v="2"/>
    <x v="23"/>
    <x v="1"/>
    <x v="1"/>
    <x v="5"/>
    <x v="1"/>
    <x v="1"/>
    <x v="23"/>
    <x v="1"/>
    <n v="9692.8222660034626"/>
    <n v="2971.8216924498356"/>
    <n v="1130.8488854597358"/>
  </r>
  <r>
    <x v="2"/>
    <x v="23"/>
    <x v="2"/>
    <x v="1"/>
    <x v="5"/>
    <x v="1"/>
    <x v="1"/>
    <x v="23"/>
    <x v="1"/>
    <n v="4626296.2328520371"/>
    <n v="1859092.5752995068"/>
    <n v="693382.53056983161"/>
  </r>
  <r>
    <x v="2"/>
    <x v="23"/>
    <x v="0"/>
    <x v="1"/>
    <x v="6"/>
    <x v="1"/>
    <x v="1"/>
    <x v="23"/>
    <x v="1"/>
    <n v="1772779.8596500971"/>
    <n v="637231.22495209763"/>
    <n v="292783.12369332794"/>
  </r>
  <r>
    <x v="2"/>
    <x v="23"/>
    <x v="2"/>
    <x v="1"/>
    <x v="6"/>
    <x v="1"/>
    <x v="1"/>
    <x v="23"/>
    <x v="1"/>
    <n v="4710775.1615948845"/>
    <n v="1703134.1403147292"/>
    <n v="748700.23131721944"/>
  </r>
  <r>
    <x v="2"/>
    <x v="23"/>
    <x v="0"/>
    <x v="1"/>
    <x v="7"/>
    <x v="1"/>
    <x v="1"/>
    <x v="23"/>
    <x v="1"/>
    <n v="1003532.5866393446"/>
    <n v="327737.13894780201"/>
    <n v="173477.05881707257"/>
  </r>
  <r>
    <x v="2"/>
    <x v="23"/>
    <x v="2"/>
    <x v="1"/>
    <x v="7"/>
    <x v="1"/>
    <x v="1"/>
    <x v="23"/>
    <x v="1"/>
    <n v="3041554.7010395192"/>
    <n v="997648.72622575227"/>
    <n v="508133.20485706872"/>
  </r>
  <r>
    <x v="2"/>
    <x v="23"/>
    <x v="0"/>
    <x v="1"/>
    <x v="8"/>
    <x v="1"/>
    <x v="1"/>
    <x v="23"/>
    <x v="1"/>
    <n v="564803.98846801918"/>
    <n v="169001.54479810983"/>
    <n v="101152.75345657703"/>
  </r>
  <r>
    <x v="2"/>
    <x v="23"/>
    <x v="2"/>
    <x v="1"/>
    <x v="8"/>
    <x v="1"/>
    <x v="1"/>
    <x v="23"/>
    <x v="1"/>
    <n v="1328643.6690646957"/>
    <n v="399672.26066274359"/>
    <n v="230635.52524959578"/>
  </r>
  <r>
    <x v="2"/>
    <x v="23"/>
    <x v="0"/>
    <x v="1"/>
    <x v="9"/>
    <x v="1"/>
    <x v="1"/>
    <x v="23"/>
    <x v="1"/>
    <n v="629932.60887940659"/>
    <n v="172962.38340381964"/>
    <n v="114328.78979417497"/>
  </r>
  <r>
    <x v="2"/>
    <x v="23"/>
    <x v="1"/>
    <x v="1"/>
    <x v="9"/>
    <x v="1"/>
    <x v="1"/>
    <x v="23"/>
    <x v="1"/>
    <n v="287.57139762231566"/>
    <n v="77.979322238246098"/>
    <n v="53.053130453204346"/>
  </r>
  <r>
    <x v="2"/>
    <x v="23"/>
    <x v="2"/>
    <x v="1"/>
    <x v="9"/>
    <x v="1"/>
    <x v="1"/>
    <x v="23"/>
    <x v="1"/>
    <n v="1939858.0318146236"/>
    <n v="535023.26333600725"/>
    <n v="339462.44518802757"/>
  </r>
  <r>
    <x v="2"/>
    <x v="23"/>
    <x v="0"/>
    <x v="1"/>
    <x v="10"/>
    <x v="1"/>
    <x v="1"/>
    <x v="23"/>
    <x v="1"/>
    <n v="883732.47089838132"/>
    <n v="224183.45481150408"/>
    <n v="165607.91991381301"/>
  </r>
  <r>
    <x v="2"/>
    <x v="23"/>
    <x v="2"/>
    <x v="1"/>
    <x v="10"/>
    <x v="1"/>
    <x v="1"/>
    <x v="23"/>
    <x v="1"/>
    <n v="3000831.29001769"/>
    <n v="764741.36049035972"/>
    <n v="543018.28661032114"/>
  </r>
  <r>
    <x v="2"/>
    <x v="23"/>
    <x v="0"/>
    <x v="1"/>
    <x v="11"/>
    <x v="1"/>
    <x v="1"/>
    <x v="23"/>
    <x v="1"/>
    <n v="186135.77021020849"/>
    <n v="43879.183893598783"/>
    <n v="35366.600696013862"/>
  </r>
  <r>
    <x v="2"/>
    <x v="23"/>
    <x v="2"/>
    <x v="1"/>
    <x v="11"/>
    <x v="1"/>
    <x v="1"/>
    <x v="23"/>
    <x v="1"/>
    <n v="500950.07549192995"/>
    <n v="118665.2669791974"/>
    <n v="91743.246332662398"/>
  </r>
  <r>
    <x v="2"/>
    <x v="23"/>
    <x v="0"/>
    <x v="1"/>
    <x v="12"/>
    <x v="1"/>
    <x v="1"/>
    <x v="23"/>
    <x v="1"/>
    <n v="85858.165289384633"/>
    <n v="18901.405869612518"/>
    <n v="16586.751227703557"/>
  </r>
  <r>
    <x v="2"/>
    <x v="23"/>
    <x v="1"/>
    <x v="1"/>
    <x v="12"/>
    <x v="1"/>
    <x v="1"/>
    <x v="23"/>
    <x v="1"/>
    <n v="3319.0594091627022"/>
    <n v="726.27563613963116"/>
    <n v="646.66041659908456"/>
  </r>
  <r>
    <x v="2"/>
    <x v="23"/>
    <x v="2"/>
    <x v="1"/>
    <x v="12"/>
    <x v="1"/>
    <x v="1"/>
    <x v="23"/>
    <x v="1"/>
    <n v="210230.13327362752"/>
    <n v="46490.74834990556"/>
    <n v="38948.133426448614"/>
  </r>
  <r>
    <x v="2"/>
    <x v="24"/>
    <x v="0"/>
    <x v="1"/>
    <x v="0"/>
    <x v="1"/>
    <x v="1"/>
    <x v="24"/>
    <x v="1"/>
    <n v="943013.85211554193"/>
    <n v="1081549.0428874849"/>
    <n v="55575.134532776392"/>
  </r>
  <r>
    <x v="2"/>
    <x v="24"/>
    <x v="1"/>
    <x v="1"/>
    <x v="0"/>
    <x v="1"/>
    <x v="1"/>
    <x v="24"/>
    <x v="1"/>
    <n v="4944.711570847172"/>
    <n v="5796.1922130832909"/>
    <n v="295.97106996067009"/>
  </r>
  <r>
    <x v="2"/>
    <x v="24"/>
    <x v="2"/>
    <x v="1"/>
    <x v="0"/>
    <x v="1"/>
    <x v="1"/>
    <x v="24"/>
    <x v="1"/>
    <n v="2537631.0036654007"/>
    <n v="2864617.4584251889"/>
    <n v="144308.35121001597"/>
  </r>
  <r>
    <x v="2"/>
    <x v="24"/>
    <x v="0"/>
    <x v="1"/>
    <x v="1"/>
    <x v="1"/>
    <x v="1"/>
    <x v="24"/>
    <x v="1"/>
    <n v="1385096.8822295936"/>
    <n v="1210554.8897560472"/>
    <n v="127378.4029051695"/>
  </r>
  <r>
    <x v="2"/>
    <x v="24"/>
    <x v="1"/>
    <x v="1"/>
    <x v="1"/>
    <x v="1"/>
    <x v="1"/>
    <x v="24"/>
    <x v="1"/>
    <n v="89872.610266047675"/>
    <n v="79935.63916659214"/>
    <n v="8429.0245993130611"/>
  </r>
  <r>
    <x v="2"/>
    <x v="24"/>
    <x v="2"/>
    <x v="1"/>
    <x v="1"/>
    <x v="1"/>
    <x v="1"/>
    <x v="24"/>
    <x v="1"/>
    <n v="6845994.6087282235"/>
    <n v="5906444.8896230385"/>
    <n v="609242.52949153271"/>
  </r>
  <r>
    <x v="2"/>
    <x v="24"/>
    <x v="0"/>
    <x v="1"/>
    <x v="2"/>
    <x v="1"/>
    <x v="1"/>
    <x v="24"/>
    <x v="1"/>
    <n v="2457346.3023874201"/>
    <n v="1740418.4139741543"/>
    <n v="305046.11302197975"/>
  </r>
  <r>
    <x v="2"/>
    <x v="24"/>
    <x v="1"/>
    <x v="1"/>
    <x v="2"/>
    <x v="1"/>
    <x v="1"/>
    <x v="24"/>
    <x v="1"/>
    <n v="35905.161956215154"/>
    <n v="25911.604755500968"/>
    <n v="4563.8439861973502"/>
  </r>
  <r>
    <x v="2"/>
    <x v="24"/>
    <x v="2"/>
    <x v="1"/>
    <x v="2"/>
    <x v="1"/>
    <x v="1"/>
    <x v="24"/>
    <x v="1"/>
    <n v="3963845.7112289388"/>
    <n v="2789021.0681254393"/>
    <n v="476883.7562511533"/>
  </r>
  <r>
    <x v="2"/>
    <x v="24"/>
    <x v="0"/>
    <x v="1"/>
    <x v="3"/>
    <x v="1"/>
    <x v="1"/>
    <x v="24"/>
    <x v="1"/>
    <n v="5156738.1401301743"/>
    <n v="3062228.0174437128"/>
    <n v="756115.5965543621"/>
  </r>
  <r>
    <x v="2"/>
    <x v="24"/>
    <x v="1"/>
    <x v="1"/>
    <x v="3"/>
    <x v="1"/>
    <x v="1"/>
    <x v="24"/>
    <x v="1"/>
    <n v="10910.907139467088"/>
    <n v="6616.1380606887315"/>
    <n v="1688.7582730517779"/>
  </r>
  <r>
    <x v="2"/>
    <x v="24"/>
    <x v="2"/>
    <x v="1"/>
    <x v="3"/>
    <x v="1"/>
    <x v="1"/>
    <x v="24"/>
    <x v="1"/>
    <n v="12995375.455474364"/>
    <n v="7707466.4749433007"/>
    <n v="1858704.2205969384"/>
  </r>
  <r>
    <x v="2"/>
    <x v="24"/>
    <x v="0"/>
    <x v="1"/>
    <x v="4"/>
    <x v="1"/>
    <x v="1"/>
    <x v="24"/>
    <x v="1"/>
    <n v="4589705.7729819724"/>
    <n v="2336936.4309832533"/>
    <n v="739770.09335339442"/>
  </r>
  <r>
    <x v="2"/>
    <x v="24"/>
    <x v="1"/>
    <x v="1"/>
    <x v="4"/>
    <x v="1"/>
    <x v="1"/>
    <x v="24"/>
    <x v="1"/>
    <n v="21634.532977507548"/>
    <n v="11372.347350367498"/>
    <n v="3495.8613096457634"/>
  </r>
  <r>
    <x v="2"/>
    <x v="24"/>
    <x v="2"/>
    <x v="1"/>
    <x v="4"/>
    <x v="1"/>
    <x v="1"/>
    <x v="24"/>
    <x v="1"/>
    <n v="12576087.840268059"/>
    <n v="6385504.126180673"/>
    <n v="1976480.9072982012"/>
  </r>
  <r>
    <x v="2"/>
    <x v="24"/>
    <x v="0"/>
    <x v="1"/>
    <x v="5"/>
    <x v="1"/>
    <x v="1"/>
    <x v="24"/>
    <x v="1"/>
    <n v="2123467.2518596803"/>
    <n v="946295.41376722499"/>
    <n v="365230.28753526468"/>
  </r>
  <r>
    <x v="2"/>
    <x v="24"/>
    <x v="1"/>
    <x v="1"/>
    <x v="5"/>
    <x v="1"/>
    <x v="1"/>
    <x v="24"/>
    <x v="1"/>
    <n v="15252.189045446828"/>
    <n v="7029.3664879564249"/>
    <n v="2628.4776847148341"/>
  </r>
  <r>
    <x v="2"/>
    <x v="24"/>
    <x v="2"/>
    <x v="1"/>
    <x v="5"/>
    <x v="1"/>
    <x v="1"/>
    <x v="24"/>
    <x v="1"/>
    <n v="4875560.2656140234"/>
    <n v="2169017.4003115199"/>
    <n v="817577.32716449082"/>
  </r>
  <r>
    <x v="2"/>
    <x v="24"/>
    <x v="0"/>
    <x v="1"/>
    <x v="6"/>
    <x v="1"/>
    <x v="1"/>
    <x v="24"/>
    <x v="1"/>
    <n v="1537089.6303549833"/>
    <n v="608994.51190425025"/>
    <n v="281476.00155037834"/>
  </r>
  <r>
    <x v="2"/>
    <x v="24"/>
    <x v="2"/>
    <x v="1"/>
    <x v="6"/>
    <x v="1"/>
    <x v="1"/>
    <x v="24"/>
    <x v="1"/>
    <n v="4416710.8225389728"/>
    <n v="1742507.8750460213"/>
    <n v="784730.30249181401"/>
  </r>
  <r>
    <x v="2"/>
    <x v="24"/>
    <x v="0"/>
    <x v="1"/>
    <x v="7"/>
    <x v="1"/>
    <x v="1"/>
    <x v="24"/>
    <x v="1"/>
    <n v="675458.96479461133"/>
    <n v="240893.17602400822"/>
    <n v="127140.45994261996"/>
  </r>
  <r>
    <x v="2"/>
    <x v="24"/>
    <x v="2"/>
    <x v="1"/>
    <x v="7"/>
    <x v="1"/>
    <x v="1"/>
    <x v="24"/>
    <x v="1"/>
    <n v="1891936.8134237493"/>
    <n v="674322.68282186135"/>
    <n v="347627.00228411745"/>
  </r>
  <r>
    <x v="2"/>
    <x v="24"/>
    <x v="0"/>
    <x v="1"/>
    <x v="8"/>
    <x v="1"/>
    <x v="1"/>
    <x v="24"/>
    <x v="1"/>
    <n v="514905.71746611543"/>
    <n v="166961.70905819393"/>
    <n v="100824.62659548163"/>
  </r>
  <r>
    <x v="2"/>
    <x v="24"/>
    <x v="2"/>
    <x v="1"/>
    <x v="8"/>
    <x v="1"/>
    <x v="1"/>
    <x v="24"/>
    <x v="1"/>
    <n v="1077917.6781700307"/>
    <n v="348794.44517938414"/>
    <n v="204907.43786143017"/>
  </r>
  <r>
    <x v="2"/>
    <x v="24"/>
    <x v="0"/>
    <x v="1"/>
    <x v="9"/>
    <x v="1"/>
    <x v="1"/>
    <x v="24"/>
    <x v="1"/>
    <n v="815831.44814051269"/>
    <n v="241096.40289137105"/>
    <n v="157989.25588857289"/>
  </r>
  <r>
    <x v="2"/>
    <x v="24"/>
    <x v="1"/>
    <x v="1"/>
    <x v="9"/>
    <x v="1"/>
    <x v="1"/>
    <x v="24"/>
    <x v="1"/>
    <n v="1366.4665357885008"/>
    <n v="412.86632179113064"/>
    <n v="270.44997095717656"/>
  </r>
  <r>
    <x v="2"/>
    <x v="24"/>
    <x v="2"/>
    <x v="1"/>
    <x v="9"/>
    <x v="1"/>
    <x v="1"/>
    <x v="24"/>
    <x v="1"/>
    <n v="3049410.3407775359"/>
    <n v="900397.97310140077"/>
    <n v="569772.35191792017"/>
  </r>
  <r>
    <x v="2"/>
    <x v="24"/>
    <x v="0"/>
    <x v="1"/>
    <x v="10"/>
    <x v="1"/>
    <x v="1"/>
    <x v="24"/>
    <x v="1"/>
    <n v="221266.38948508876"/>
    <n v="60061.941212212645"/>
    <n v="44399.600845425011"/>
  </r>
  <r>
    <x v="2"/>
    <x v="24"/>
    <x v="2"/>
    <x v="1"/>
    <x v="10"/>
    <x v="1"/>
    <x v="1"/>
    <x v="24"/>
    <x v="1"/>
    <n v="470036.31066059647"/>
    <n v="127316.00145702831"/>
    <n v="91643.217900513991"/>
  </r>
  <r>
    <x v="2"/>
    <x v="24"/>
    <x v="0"/>
    <x v="1"/>
    <x v="11"/>
    <x v="1"/>
    <x v="1"/>
    <x v="24"/>
    <x v="1"/>
    <n v="191243.17902128308"/>
    <n v="48003.196902640622"/>
    <n v="38414.426318969337"/>
  </r>
  <r>
    <x v="2"/>
    <x v="24"/>
    <x v="2"/>
    <x v="1"/>
    <x v="11"/>
    <x v="1"/>
    <x v="1"/>
    <x v="24"/>
    <x v="1"/>
    <n v="567678.60332592635"/>
    <n v="141107.23558895171"/>
    <n v="108802.85492000679"/>
  </r>
  <r>
    <x v="2"/>
    <x v="24"/>
    <x v="0"/>
    <x v="1"/>
    <x v="12"/>
    <x v="1"/>
    <x v="1"/>
    <x v="24"/>
    <x v="1"/>
    <n v="68336.889541695185"/>
    <n v="15953.698839464918"/>
    <n v="14031.614061769875"/>
  </r>
  <r>
    <x v="2"/>
    <x v="24"/>
    <x v="2"/>
    <x v="1"/>
    <x v="12"/>
    <x v="1"/>
    <x v="1"/>
    <x v="24"/>
    <x v="1"/>
    <n v="101271.5461241085"/>
    <n v="23644.36919622232"/>
    <n v="20230.740611864476"/>
  </r>
  <r>
    <x v="2"/>
    <x v="25"/>
    <x v="0"/>
    <x v="1"/>
    <x v="0"/>
    <x v="1"/>
    <x v="1"/>
    <x v="25"/>
    <x v="1"/>
    <n v="277334.12031816668"/>
    <n v="195880.35995463788"/>
    <n v="10273.925014100214"/>
  </r>
  <r>
    <x v="2"/>
    <x v="25"/>
    <x v="1"/>
    <x v="1"/>
    <x v="0"/>
    <x v="1"/>
    <x v="1"/>
    <x v="25"/>
    <x v="1"/>
    <n v="9074.9322783602438"/>
    <n v="6589.18967145651"/>
    <n v="350.73974596824564"/>
  </r>
  <r>
    <x v="2"/>
    <x v="25"/>
    <x v="2"/>
    <x v="1"/>
    <x v="0"/>
    <x v="1"/>
    <x v="1"/>
    <x v="25"/>
    <x v="1"/>
    <n v="630479.30988470488"/>
    <n v="465955.7590880185"/>
    <n v="22160.504537411711"/>
  </r>
  <r>
    <x v="2"/>
    <x v="25"/>
    <x v="0"/>
    <x v="1"/>
    <x v="1"/>
    <x v="1"/>
    <x v="1"/>
    <x v="25"/>
    <x v="1"/>
    <n v="372803.3970400283"/>
    <n v="222338.38932010185"/>
    <n v="23795.725023526498"/>
  </r>
  <r>
    <x v="2"/>
    <x v="25"/>
    <x v="1"/>
    <x v="1"/>
    <x v="1"/>
    <x v="1"/>
    <x v="1"/>
    <x v="25"/>
    <x v="1"/>
    <n v="36593.931289272019"/>
    <n v="21766.549982862336"/>
    <n v="2344.7194845981676"/>
  </r>
  <r>
    <x v="2"/>
    <x v="25"/>
    <x v="2"/>
    <x v="1"/>
    <x v="1"/>
    <x v="1"/>
    <x v="1"/>
    <x v="25"/>
    <x v="1"/>
    <n v="1804903.9954689019"/>
    <n v="1110358.4608913239"/>
    <n v="108650.39119862032"/>
  </r>
  <r>
    <x v="2"/>
    <x v="25"/>
    <x v="0"/>
    <x v="1"/>
    <x v="2"/>
    <x v="1"/>
    <x v="1"/>
    <x v="25"/>
    <x v="1"/>
    <n v="484357.25035601255"/>
    <n v="251854.46383591686"/>
    <n v="45110.819450525662"/>
  </r>
  <r>
    <x v="2"/>
    <x v="25"/>
    <x v="1"/>
    <x v="1"/>
    <x v="2"/>
    <x v="1"/>
    <x v="1"/>
    <x v="25"/>
    <x v="1"/>
    <n v="22602.696588732924"/>
    <n v="11360.283657561878"/>
    <n v="2028.7785464747769"/>
  </r>
  <r>
    <x v="2"/>
    <x v="25"/>
    <x v="2"/>
    <x v="1"/>
    <x v="2"/>
    <x v="1"/>
    <x v="1"/>
    <x v="25"/>
    <x v="1"/>
    <n v="2078487.7166352104"/>
    <n v="1095617.4316552025"/>
    <n v="178653.01407062341"/>
  </r>
  <r>
    <x v="2"/>
    <x v="25"/>
    <x v="0"/>
    <x v="1"/>
    <x v="3"/>
    <x v="1"/>
    <x v="1"/>
    <x v="25"/>
    <x v="1"/>
    <n v="505412.06518713426"/>
    <n v="232955.22273376919"/>
    <n v="58439.470783885961"/>
  </r>
  <r>
    <x v="2"/>
    <x v="25"/>
    <x v="1"/>
    <x v="1"/>
    <x v="3"/>
    <x v="1"/>
    <x v="1"/>
    <x v="25"/>
    <x v="1"/>
    <n v="6795.1807154356939"/>
    <n v="3194.8699560497407"/>
    <n v="813.94725680712725"/>
  </r>
  <r>
    <x v="2"/>
    <x v="25"/>
    <x v="2"/>
    <x v="1"/>
    <x v="3"/>
    <x v="1"/>
    <x v="1"/>
    <x v="25"/>
    <x v="1"/>
    <n v="2325034.79097617"/>
    <n v="1076288.3167471567"/>
    <n v="245664.57577676274"/>
  </r>
  <r>
    <x v="2"/>
    <x v="25"/>
    <x v="0"/>
    <x v="1"/>
    <x v="4"/>
    <x v="1"/>
    <x v="1"/>
    <x v="25"/>
    <x v="1"/>
    <n v="430568.39549042709"/>
    <n v="175023.0082035941"/>
    <n v="56572.741166515778"/>
  </r>
  <r>
    <x v="2"/>
    <x v="25"/>
    <x v="1"/>
    <x v="1"/>
    <x v="4"/>
    <x v="1"/>
    <x v="1"/>
    <x v="25"/>
    <x v="1"/>
    <n v="7964.0598048902057"/>
    <n v="3126.3673780531603"/>
    <n v="1003.7302790530639"/>
  </r>
  <r>
    <x v="2"/>
    <x v="25"/>
    <x v="2"/>
    <x v="1"/>
    <x v="4"/>
    <x v="1"/>
    <x v="1"/>
    <x v="25"/>
    <x v="1"/>
    <n v="2116295.8779537492"/>
    <n v="866573.65302673716"/>
    <n v="254923.47737116303"/>
  </r>
  <r>
    <x v="2"/>
    <x v="25"/>
    <x v="0"/>
    <x v="1"/>
    <x v="5"/>
    <x v="1"/>
    <x v="1"/>
    <x v="25"/>
    <x v="1"/>
    <n v="406682.64459032274"/>
    <n v="149204.46028867137"/>
    <n v="59523.257862330152"/>
  </r>
  <r>
    <x v="2"/>
    <x v="25"/>
    <x v="1"/>
    <x v="1"/>
    <x v="5"/>
    <x v="1"/>
    <x v="1"/>
    <x v="25"/>
    <x v="1"/>
    <n v="5435.4521595506649"/>
    <n v="1731.7887446232942"/>
    <n v="674.85831433793908"/>
  </r>
  <r>
    <x v="2"/>
    <x v="25"/>
    <x v="2"/>
    <x v="1"/>
    <x v="5"/>
    <x v="1"/>
    <x v="1"/>
    <x v="25"/>
    <x v="1"/>
    <n v="2049464.2326181512"/>
    <n v="751520.14771175536"/>
    <n v="268130.3747847777"/>
  </r>
  <r>
    <x v="2"/>
    <x v="25"/>
    <x v="0"/>
    <x v="1"/>
    <x v="6"/>
    <x v="1"/>
    <x v="1"/>
    <x v="25"/>
    <x v="1"/>
    <n v="234689.73625758753"/>
    <n v="78099.047461620692"/>
    <n v="36206.459767890345"/>
  </r>
  <r>
    <x v="2"/>
    <x v="25"/>
    <x v="2"/>
    <x v="1"/>
    <x v="6"/>
    <x v="1"/>
    <x v="1"/>
    <x v="25"/>
    <x v="1"/>
    <n v="1358579.0345635547"/>
    <n v="452593.57397941296"/>
    <n v="192019.04226559901"/>
  </r>
  <r>
    <x v="2"/>
    <x v="25"/>
    <x v="0"/>
    <x v="1"/>
    <x v="7"/>
    <x v="1"/>
    <x v="1"/>
    <x v="25"/>
    <x v="1"/>
    <n v="116955.97979268922"/>
    <n v="35602.71962023923"/>
    <n v="19034.812359024862"/>
  </r>
  <r>
    <x v="2"/>
    <x v="25"/>
    <x v="2"/>
    <x v="1"/>
    <x v="7"/>
    <x v="1"/>
    <x v="1"/>
    <x v="25"/>
    <x v="1"/>
    <n v="682204.76533455751"/>
    <n v="207887.09493288831"/>
    <n v="102020.54030680159"/>
  </r>
  <r>
    <x v="2"/>
    <x v="25"/>
    <x v="0"/>
    <x v="1"/>
    <x v="8"/>
    <x v="1"/>
    <x v="1"/>
    <x v="25"/>
    <x v="1"/>
    <n v="123628.10450196758"/>
    <n v="34677.980083728951"/>
    <n v="21068.72563657938"/>
  </r>
  <r>
    <x v="2"/>
    <x v="25"/>
    <x v="2"/>
    <x v="1"/>
    <x v="8"/>
    <x v="1"/>
    <x v="1"/>
    <x v="25"/>
    <x v="1"/>
    <n v="720843.19257674192"/>
    <n v="202419.22646352847"/>
    <n v="112068.81976103349"/>
  </r>
  <r>
    <x v="2"/>
    <x v="25"/>
    <x v="0"/>
    <x v="1"/>
    <x v="9"/>
    <x v="1"/>
    <x v="1"/>
    <x v="25"/>
    <x v="1"/>
    <n v="78420.180146146202"/>
    <n v="20287.916509705341"/>
    <n v="13696.321015170273"/>
  </r>
  <r>
    <x v="2"/>
    <x v="25"/>
    <x v="1"/>
    <x v="1"/>
    <x v="9"/>
    <x v="1"/>
    <x v="1"/>
    <x v="25"/>
    <x v="1"/>
    <n v="318.4133321323506"/>
    <n v="78.552152532029709"/>
    <n v="53.156954457706"/>
  </r>
  <r>
    <x v="2"/>
    <x v="25"/>
    <x v="2"/>
    <x v="1"/>
    <x v="9"/>
    <x v="1"/>
    <x v="1"/>
    <x v="25"/>
    <x v="1"/>
    <n v="428926.08873020706"/>
    <n v="111096.06526105081"/>
    <n v="68937.10960787574"/>
  </r>
  <r>
    <x v="2"/>
    <x v="25"/>
    <x v="0"/>
    <x v="1"/>
    <x v="10"/>
    <x v="1"/>
    <x v="1"/>
    <x v="25"/>
    <x v="1"/>
    <n v="217267.69201414427"/>
    <n v="52164.645658967747"/>
    <n v="39112.518047653582"/>
  </r>
  <r>
    <x v="2"/>
    <x v="25"/>
    <x v="2"/>
    <x v="1"/>
    <x v="10"/>
    <x v="1"/>
    <x v="1"/>
    <x v="25"/>
    <x v="1"/>
    <n v="1298909.7230093393"/>
    <n v="312164.89539562177"/>
    <n v="213947.47638754966"/>
  </r>
  <r>
    <x v="2"/>
    <x v="25"/>
    <x v="0"/>
    <x v="1"/>
    <x v="11"/>
    <x v="1"/>
    <x v="1"/>
    <x v="25"/>
    <x v="1"/>
    <n v="37931.226666858558"/>
    <n v="8495.1595698539259"/>
    <n v="6951.8911777344529"/>
  </r>
  <r>
    <x v="2"/>
    <x v="25"/>
    <x v="2"/>
    <x v="1"/>
    <x v="11"/>
    <x v="1"/>
    <x v="1"/>
    <x v="25"/>
    <x v="1"/>
    <n v="224072.29700295773"/>
    <n v="50230.25462380705"/>
    <n v="37731.927041287621"/>
  </r>
  <r>
    <x v="2"/>
    <x v="25"/>
    <x v="0"/>
    <x v="1"/>
    <x v="12"/>
    <x v="1"/>
    <x v="1"/>
    <x v="25"/>
    <x v="1"/>
    <n v="28811.350970613123"/>
    <n v="6034.0991636304498"/>
    <n v="5367.8924161222358"/>
  </r>
  <r>
    <x v="2"/>
    <x v="25"/>
    <x v="1"/>
    <x v="1"/>
    <x v="12"/>
    <x v="1"/>
    <x v="1"/>
    <x v="25"/>
    <x v="1"/>
    <n v="13888.190499524932"/>
    <n v="2774.9260524207748"/>
    <n v="2560.5096972434053"/>
  </r>
  <r>
    <x v="2"/>
    <x v="25"/>
    <x v="2"/>
    <x v="1"/>
    <x v="12"/>
    <x v="1"/>
    <x v="1"/>
    <x v="25"/>
    <x v="1"/>
    <n v="124111.9752457983"/>
    <n v="26072.120223495"/>
    <n v="21217.746890502011"/>
  </r>
  <r>
    <x v="2"/>
    <x v="26"/>
    <x v="0"/>
    <x v="1"/>
    <x v="0"/>
    <x v="1"/>
    <x v="1"/>
    <x v="26"/>
    <x v="1"/>
    <n v="197091.88084919233"/>
    <n v="163440.26314114075"/>
    <n v="8390.1802296672813"/>
  </r>
  <r>
    <x v="2"/>
    <x v="26"/>
    <x v="1"/>
    <x v="1"/>
    <x v="0"/>
    <x v="1"/>
    <x v="1"/>
    <x v="26"/>
    <x v="1"/>
    <n v="9552.5572061957319"/>
    <n v="7819.2022977094866"/>
    <n v="405.34418548782764"/>
  </r>
  <r>
    <x v="2"/>
    <x v="26"/>
    <x v="2"/>
    <x v="1"/>
    <x v="0"/>
    <x v="1"/>
    <x v="1"/>
    <x v="26"/>
    <x v="1"/>
    <n v="542755.11754568445"/>
    <n v="452394.10942251299"/>
    <n v="21799.592938341139"/>
  </r>
  <r>
    <x v="2"/>
    <x v="26"/>
    <x v="0"/>
    <x v="1"/>
    <x v="1"/>
    <x v="1"/>
    <x v="1"/>
    <x v="26"/>
    <x v="1"/>
    <n v="502053.11747399037"/>
    <n v="336050.28229874076"/>
    <n v="35514.306328393599"/>
  </r>
  <r>
    <x v="2"/>
    <x v="26"/>
    <x v="1"/>
    <x v="1"/>
    <x v="1"/>
    <x v="1"/>
    <x v="1"/>
    <x v="26"/>
    <x v="1"/>
    <n v="43470.210769648431"/>
    <n v="28491.923572419772"/>
    <n v="3026.5841859527595"/>
  </r>
  <r>
    <x v="2"/>
    <x v="26"/>
    <x v="2"/>
    <x v="1"/>
    <x v="1"/>
    <x v="1"/>
    <x v="1"/>
    <x v="26"/>
    <x v="1"/>
    <n v="1494427.8180879087"/>
    <n v="1016931.5490979706"/>
    <n v="100803.7786538233"/>
  </r>
  <r>
    <x v="2"/>
    <x v="26"/>
    <x v="0"/>
    <x v="1"/>
    <x v="2"/>
    <x v="1"/>
    <x v="1"/>
    <x v="26"/>
    <x v="1"/>
    <n v="680263.12569099141"/>
    <n v="386360.46348173224"/>
    <n v="68064.932605185371"/>
  </r>
  <r>
    <x v="2"/>
    <x v="26"/>
    <x v="1"/>
    <x v="1"/>
    <x v="2"/>
    <x v="1"/>
    <x v="1"/>
    <x v="26"/>
    <x v="1"/>
    <n v="26212.629507195474"/>
    <n v="14498.91616801606"/>
    <n v="2537.6209032459456"/>
  </r>
  <r>
    <x v="2"/>
    <x v="26"/>
    <x v="2"/>
    <x v="1"/>
    <x v="2"/>
    <x v="1"/>
    <x v="1"/>
    <x v="26"/>
    <x v="1"/>
    <n v="1694982.9420615875"/>
    <n v="975089.64245226351"/>
    <n v="161065.75603977015"/>
  </r>
  <r>
    <x v="2"/>
    <x v="26"/>
    <x v="0"/>
    <x v="1"/>
    <x v="3"/>
    <x v="1"/>
    <x v="1"/>
    <x v="26"/>
    <x v="1"/>
    <n v="559299.75365259475"/>
    <n v="276563.37934358098"/>
    <n v="68370.394459034229"/>
  </r>
  <r>
    <x v="2"/>
    <x v="26"/>
    <x v="1"/>
    <x v="1"/>
    <x v="3"/>
    <x v="1"/>
    <x v="1"/>
    <x v="26"/>
    <x v="1"/>
    <n v="5804.7623788688907"/>
    <n v="3167.9699235178819"/>
    <n v="784.88462904114249"/>
  </r>
  <r>
    <x v="2"/>
    <x v="26"/>
    <x v="2"/>
    <x v="1"/>
    <x v="3"/>
    <x v="1"/>
    <x v="1"/>
    <x v="26"/>
    <x v="1"/>
    <n v="1436919.2225026542"/>
    <n v="713431.20285050839"/>
    <n v="164872.51551126008"/>
  </r>
  <r>
    <x v="2"/>
    <x v="26"/>
    <x v="0"/>
    <x v="1"/>
    <x v="4"/>
    <x v="1"/>
    <x v="1"/>
    <x v="26"/>
    <x v="1"/>
    <n v="515151.63075385359"/>
    <n v="224310.62734936454"/>
    <n v="71130.430647998277"/>
  </r>
  <r>
    <x v="2"/>
    <x v="26"/>
    <x v="1"/>
    <x v="1"/>
    <x v="4"/>
    <x v="1"/>
    <x v="1"/>
    <x v="26"/>
    <x v="1"/>
    <n v="2720.6209690220212"/>
    <n v="1156.4205725017623"/>
    <n v="367.85424689338419"/>
  </r>
  <r>
    <x v="2"/>
    <x v="26"/>
    <x v="2"/>
    <x v="1"/>
    <x v="4"/>
    <x v="1"/>
    <x v="1"/>
    <x v="26"/>
    <x v="1"/>
    <n v="1460706.8669220374"/>
    <n v="631422.54458002397"/>
    <n v="187905.21530260408"/>
  </r>
  <r>
    <x v="2"/>
    <x v="26"/>
    <x v="0"/>
    <x v="1"/>
    <x v="5"/>
    <x v="1"/>
    <x v="1"/>
    <x v="26"/>
    <x v="1"/>
    <n v="380053.06236853782"/>
    <n v="147110.22293193353"/>
    <n v="57291.816953242"/>
  </r>
  <r>
    <x v="2"/>
    <x v="26"/>
    <x v="1"/>
    <x v="1"/>
    <x v="5"/>
    <x v="1"/>
    <x v="1"/>
    <x v="26"/>
    <x v="1"/>
    <n v="5495.806645547892"/>
    <n v="1761.3288895606911"/>
    <n v="688.60521788899837"/>
  </r>
  <r>
    <x v="2"/>
    <x v="26"/>
    <x v="2"/>
    <x v="1"/>
    <x v="5"/>
    <x v="1"/>
    <x v="1"/>
    <x v="26"/>
    <x v="1"/>
    <n v="924926.69400663325"/>
    <n v="356248.32650548534"/>
    <n v="129373.19994406027"/>
  </r>
  <r>
    <x v="2"/>
    <x v="26"/>
    <x v="0"/>
    <x v="1"/>
    <x v="6"/>
    <x v="1"/>
    <x v="1"/>
    <x v="26"/>
    <x v="1"/>
    <n v="189891.31163883602"/>
    <n v="66349.33724540213"/>
    <n v="30362.828770633398"/>
  </r>
  <r>
    <x v="2"/>
    <x v="26"/>
    <x v="2"/>
    <x v="1"/>
    <x v="6"/>
    <x v="1"/>
    <x v="1"/>
    <x v="26"/>
    <x v="1"/>
    <n v="576913.36833107925"/>
    <n v="200657.54215157568"/>
    <n v="86173.751193195028"/>
  </r>
  <r>
    <x v="2"/>
    <x v="26"/>
    <x v="0"/>
    <x v="1"/>
    <x v="7"/>
    <x v="1"/>
    <x v="1"/>
    <x v="26"/>
    <x v="1"/>
    <n v="130441.15156369911"/>
    <n v="41515.432599299638"/>
    <n v="21899.572727385839"/>
  </r>
  <r>
    <x v="2"/>
    <x v="26"/>
    <x v="2"/>
    <x v="1"/>
    <x v="7"/>
    <x v="1"/>
    <x v="1"/>
    <x v="26"/>
    <x v="1"/>
    <n v="415429.04106190882"/>
    <n v="131423.37534717866"/>
    <n v="65188.288839756715"/>
  </r>
  <r>
    <x v="2"/>
    <x v="26"/>
    <x v="0"/>
    <x v="1"/>
    <x v="8"/>
    <x v="1"/>
    <x v="1"/>
    <x v="26"/>
    <x v="1"/>
    <n v="93043.126690838646"/>
    <n v="27189.76257880055"/>
    <n v="16249.340747862847"/>
  </r>
  <r>
    <x v="2"/>
    <x v="26"/>
    <x v="2"/>
    <x v="1"/>
    <x v="8"/>
    <x v="1"/>
    <x v="1"/>
    <x v="26"/>
    <x v="1"/>
    <n v="289309.40905592119"/>
    <n v="84047.539692505481"/>
    <n v="47240.199456258772"/>
  </r>
  <r>
    <x v="2"/>
    <x v="26"/>
    <x v="0"/>
    <x v="1"/>
    <x v="9"/>
    <x v="1"/>
    <x v="1"/>
    <x v="26"/>
    <x v="1"/>
    <n v="79882.581538293496"/>
    <n v="21461.876590969459"/>
    <n v="14334.305058687829"/>
  </r>
  <r>
    <x v="2"/>
    <x v="26"/>
    <x v="1"/>
    <x v="1"/>
    <x v="9"/>
    <x v="1"/>
    <x v="1"/>
    <x v="26"/>
    <x v="1"/>
    <n v="87.794482189759449"/>
    <n v="22.940261348221096"/>
    <n v="15.160489949747085"/>
  </r>
  <r>
    <x v="2"/>
    <x v="26"/>
    <x v="2"/>
    <x v="1"/>
    <x v="9"/>
    <x v="1"/>
    <x v="1"/>
    <x v="26"/>
    <x v="1"/>
    <n v="239150.99542449345"/>
    <n v="63736.826296383369"/>
    <n v="40022.671037243796"/>
  </r>
  <r>
    <x v="2"/>
    <x v="26"/>
    <x v="0"/>
    <x v="1"/>
    <x v="10"/>
    <x v="1"/>
    <x v="1"/>
    <x v="26"/>
    <x v="1"/>
    <n v="506294.23776423605"/>
    <n v="125881.53863014567"/>
    <n v="93053.783256938405"/>
  </r>
  <r>
    <x v="2"/>
    <x v="26"/>
    <x v="2"/>
    <x v="1"/>
    <x v="10"/>
    <x v="1"/>
    <x v="1"/>
    <x v="26"/>
    <x v="1"/>
    <n v="1753508.0291411669"/>
    <n v="433445.90481784428"/>
    <n v="300778.99329170975"/>
  </r>
  <r>
    <x v="2"/>
    <x v="26"/>
    <x v="0"/>
    <x v="1"/>
    <x v="11"/>
    <x v="1"/>
    <x v="1"/>
    <x v="26"/>
    <x v="1"/>
    <n v="55164.889351830112"/>
    <n v="12763.774214038236"/>
    <n v="10331.402992850723"/>
  </r>
  <r>
    <x v="2"/>
    <x v="26"/>
    <x v="2"/>
    <x v="1"/>
    <x v="11"/>
    <x v="1"/>
    <x v="1"/>
    <x v="26"/>
    <x v="1"/>
    <n v="187160.10341584761"/>
    <n v="42984.324576611296"/>
    <n v="32625.146920230214"/>
  </r>
  <r>
    <x v="2"/>
    <x v="26"/>
    <x v="0"/>
    <x v="1"/>
    <x v="12"/>
    <x v="1"/>
    <x v="1"/>
    <x v="26"/>
    <x v="1"/>
    <n v="27573.503127343127"/>
    <n v="5962.9545144381136"/>
    <n v="5254.3208789647451"/>
  </r>
  <r>
    <x v="2"/>
    <x v="26"/>
    <x v="1"/>
    <x v="1"/>
    <x v="12"/>
    <x v="1"/>
    <x v="1"/>
    <x v="26"/>
    <x v="1"/>
    <n v="3479.2455771008695"/>
    <n v="727.38339534251929"/>
    <n v="650.33048469593825"/>
  </r>
  <r>
    <x v="2"/>
    <x v="26"/>
    <x v="2"/>
    <x v="1"/>
    <x v="12"/>
    <x v="1"/>
    <x v="1"/>
    <x v="26"/>
    <x v="1"/>
    <n v="84232.392443083139"/>
    <n v="18092.112209137118"/>
    <n v="14921.890871733334"/>
  </r>
  <r>
    <x v="2"/>
    <x v="27"/>
    <x v="2"/>
    <x v="0"/>
    <x v="0"/>
    <x v="0"/>
    <x v="0"/>
    <x v="27"/>
    <x v="1"/>
    <n v="-1146"/>
    <n v="0"/>
    <n v="0"/>
  </r>
  <r>
    <x v="2"/>
    <x v="28"/>
    <x v="2"/>
    <x v="0"/>
    <x v="0"/>
    <x v="0"/>
    <x v="0"/>
    <x v="28"/>
    <x v="1"/>
    <n v="0"/>
    <n v="0"/>
    <n v="0"/>
  </r>
  <r>
    <x v="2"/>
    <x v="29"/>
    <x v="2"/>
    <x v="0"/>
    <x v="0"/>
    <x v="0"/>
    <x v="0"/>
    <x v="29"/>
    <x v="1"/>
    <n v="3360539.7445299812"/>
    <n v="4611174.3603062388"/>
    <n v="96059.854258603242"/>
  </r>
  <r>
    <x v="2"/>
    <x v="29"/>
    <x v="2"/>
    <x v="0"/>
    <x v="1"/>
    <x v="0"/>
    <x v="0"/>
    <x v="29"/>
    <x v="1"/>
    <n v="332977.37712873949"/>
    <n v="330073.94032517727"/>
    <n v="28257.908293900058"/>
  </r>
  <r>
    <x v="2"/>
    <x v="29"/>
    <x v="2"/>
    <x v="0"/>
    <x v="2"/>
    <x v="0"/>
    <x v="0"/>
    <x v="29"/>
    <x v="1"/>
    <n v="125195.70947230828"/>
    <n v="91273.267922853629"/>
    <n v="13023.302355166634"/>
  </r>
  <r>
    <x v="2"/>
    <x v="29"/>
    <x v="2"/>
    <x v="0"/>
    <x v="3"/>
    <x v="0"/>
    <x v="0"/>
    <x v="29"/>
    <x v="1"/>
    <n v="17879.168869412595"/>
    <n v="11398.431445706683"/>
    <n v="2276.9350923708048"/>
  </r>
  <r>
    <x v="2"/>
    <x v="30"/>
    <x v="2"/>
    <x v="0"/>
    <x v="0"/>
    <x v="0"/>
    <x v="0"/>
    <x v="30"/>
    <x v="1"/>
    <n v="10200331.142452972"/>
    <n v="13972047.116681313"/>
    <n v="289834.64374685986"/>
  </r>
  <r>
    <x v="2"/>
    <x v="30"/>
    <x v="2"/>
    <x v="0"/>
    <x v="1"/>
    <x v="0"/>
    <x v="0"/>
    <x v="30"/>
    <x v="1"/>
    <n v="1256402.2635655124"/>
    <n v="1243872.6589911217"/>
    <n v="106038.74282165797"/>
  </r>
  <r>
    <x v="2"/>
    <x v="30"/>
    <x v="2"/>
    <x v="0"/>
    <x v="2"/>
    <x v="0"/>
    <x v="0"/>
    <x v="30"/>
    <x v="1"/>
    <n v="248669.96745019592"/>
    <n v="192753.47339126276"/>
    <n v="27386.694081549496"/>
  </r>
  <r>
    <x v="2"/>
    <x v="30"/>
    <x v="2"/>
    <x v="0"/>
    <x v="3"/>
    <x v="0"/>
    <x v="0"/>
    <x v="30"/>
    <x v="1"/>
    <n v="29828.626531053105"/>
    <n v="18997.750935867047"/>
    <n v="3778.9193499341573"/>
  </r>
  <r>
    <x v="2"/>
    <x v="31"/>
    <x v="2"/>
    <x v="0"/>
    <x v="0"/>
    <x v="0"/>
    <x v="0"/>
    <x v="31"/>
    <x v="1"/>
    <n v="4863903.9999999646"/>
    <n v="6879497.0000001667"/>
    <n v="190424.99999999983"/>
  </r>
  <r>
    <x v="2"/>
    <x v="32"/>
    <x v="2"/>
    <x v="0"/>
    <x v="0"/>
    <x v="0"/>
    <x v="0"/>
    <x v="32"/>
    <x v="1"/>
    <n v="2324272.9999999916"/>
    <n v="3166527.0000000014"/>
    <n v="87650.000000000393"/>
  </r>
  <r>
    <x v="2"/>
    <x v="33"/>
    <x v="2"/>
    <x v="0"/>
    <x v="0"/>
    <x v="0"/>
    <x v="0"/>
    <x v="33"/>
    <x v="1"/>
    <n v="11656.000000000013"/>
    <n v="0"/>
    <n v="0"/>
  </r>
  <r>
    <x v="2"/>
    <x v="34"/>
    <x v="2"/>
    <x v="0"/>
    <x v="0"/>
    <x v="0"/>
    <x v="0"/>
    <x v="34"/>
    <x v="1"/>
    <n v="164902.00000000003"/>
    <n v="0"/>
    <n v="0"/>
  </r>
  <r>
    <x v="2"/>
    <x v="35"/>
    <x v="2"/>
    <x v="0"/>
    <x v="0"/>
    <x v="3"/>
    <x v="3"/>
    <x v="35"/>
    <x v="1"/>
    <n v="218113.0000000009"/>
    <n v="389424.99999999162"/>
    <n v="2434.0000000000314"/>
  </r>
  <r>
    <x v="2"/>
    <x v="36"/>
    <x v="2"/>
    <x v="0"/>
    <x v="0"/>
    <x v="3"/>
    <x v="3"/>
    <x v="36"/>
    <x v="1"/>
    <n v="349040.00000000169"/>
    <n v="623259.99999999034"/>
    <n v="3896.000000000065"/>
  </r>
  <r>
    <x v="2"/>
    <x v="37"/>
    <x v="2"/>
    <x v="0"/>
    <x v="0"/>
    <x v="3"/>
    <x v="3"/>
    <x v="37"/>
    <x v="1"/>
    <n v="283553.99999999988"/>
    <n v="527932.99999999907"/>
    <n v="3300.0000000000082"/>
  </r>
  <r>
    <x v="2"/>
    <x v="38"/>
    <x v="2"/>
    <x v="0"/>
    <x v="0"/>
    <x v="3"/>
    <x v="3"/>
    <x v="38"/>
    <x v="1"/>
    <n v="137194.00000000003"/>
    <n v="243250.99999999994"/>
    <n v="1520.0000000000016"/>
  </r>
  <r>
    <x v="2"/>
    <x v="39"/>
    <x v="2"/>
    <x v="1"/>
    <x v="0"/>
    <x v="1"/>
    <x v="1"/>
    <x v="39"/>
    <x v="1"/>
    <n v="139239.24909336187"/>
    <n v="92638.655122582728"/>
    <n v="3930.7232309593855"/>
  </r>
  <r>
    <x v="2"/>
    <x v="39"/>
    <x v="2"/>
    <x v="1"/>
    <x v="1"/>
    <x v="1"/>
    <x v="1"/>
    <x v="39"/>
    <x v="1"/>
    <n v="210036.61978067554"/>
    <n v="118422.64982418314"/>
    <n v="10324.841596655888"/>
  </r>
  <r>
    <x v="2"/>
    <x v="39"/>
    <x v="2"/>
    <x v="1"/>
    <x v="2"/>
    <x v="1"/>
    <x v="1"/>
    <x v="39"/>
    <x v="1"/>
    <n v="136033.6040710141"/>
    <n v="66550.79846828166"/>
    <n v="9670.5381576928212"/>
  </r>
  <r>
    <x v="2"/>
    <x v="39"/>
    <x v="2"/>
    <x v="1"/>
    <x v="3"/>
    <x v="1"/>
    <x v="1"/>
    <x v="39"/>
    <x v="1"/>
    <n v="113365.95980633213"/>
    <n v="48978.119647415973"/>
    <n v="9963.8576873780003"/>
  </r>
  <r>
    <x v="2"/>
    <x v="39"/>
    <x v="2"/>
    <x v="1"/>
    <x v="4"/>
    <x v="1"/>
    <x v="1"/>
    <x v="39"/>
    <x v="1"/>
    <n v="78192.80718445919"/>
    <n v="30129.623091374546"/>
    <n v="7880.6778833407107"/>
  </r>
  <r>
    <x v="2"/>
    <x v="39"/>
    <x v="2"/>
    <x v="1"/>
    <x v="5"/>
    <x v="1"/>
    <x v="1"/>
    <x v="39"/>
    <x v="1"/>
    <n v="58626.045005754662"/>
    <n v="20386.92346226138"/>
    <n v="6517.3605239039234"/>
  </r>
  <r>
    <x v="2"/>
    <x v="39"/>
    <x v="2"/>
    <x v="1"/>
    <x v="6"/>
    <x v="1"/>
    <x v="1"/>
    <x v="39"/>
    <x v="1"/>
    <n v="37149.653133222513"/>
    <n v="11769.116757381804"/>
    <n v="4446.4620679346199"/>
  </r>
  <r>
    <x v="2"/>
    <x v="39"/>
    <x v="2"/>
    <x v="1"/>
    <x v="7"/>
    <x v="1"/>
    <x v="1"/>
    <x v="39"/>
    <x v="1"/>
    <n v="27514.679481688338"/>
    <n v="8006.0581378548504"/>
    <n v="3490.095949114801"/>
  </r>
  <r>
    <x v="2"/>
    <x v="39"/>
    <x v="2"/>
    <x v="1"/>
    <x v="8"/>
    <x v="1"/>
    <x v="1"/>
    <x v="39"/>
    <x v="1"/>
    <n v="23352.374413460679"/>
    <n v="6281.4906314726195"/>
    <n v="3103.408932809632"/>
  </r>
  <r>
    <x v="2"/>
    <x v="39"/>
    <x v="2"/>
    <x v="1"/>
    <x v="9"/>
    <x v="1"/>
    <x v="1"/>
    <x v="39"/>
    <x v="1"/>
    <n v="19112.702067970036"/>
    <n v="4756.1438755358513"/>
    <n v="2626.2493190719783"/>
  </r>
  <r>
    <x v="2"/>
    <x v="39"/>
    <x v="2"/>
    <x v="1"/>
    <x v="10"/>
    <x v="1"/>
    <x v="1"/>
    <x v="39"/>
    <x v="1"/>
    <n v="15308.920168988219"/>
    <n v="3544.7207263619034"/>
    <n v="2163.3594621369366"/>
  </r>
  <r>
    <x v="2"/>
    <x v="39"/>
    <x v="2"/>
    <x v="1"/>
    <x v="11"/>
    <x v="1"/>
    <x v="1"/>
    <x v="39"/>
    <x v="1"/>
    <n v="14009.940422452259"/>
    <n v="3032.5825345599724"/>
    <n v="2027.065739889608"/>
  </r>
  <r>
    <x v="2"/>
    <x v="39"/>
    <x v="2"/>
    <x v="1"/>
    <x v="12"/>
    <x v="1"/>
    <x v="1"/>
    <x v="39"/>
    <x v="1"/>
    <n v="16148.44537062434"/>
    <n v="3283.1177207263386"/>
    <n v="2385.3594491142485"/>
  </r>
  <r>
    <x v="2"/>
    <x v="40"/>
    <x v="2"/>
    <x v="1"/>
    <x v="0"/>
    <x v="1"/>
    <x v="1"/>
    <x v="40"/>
    <x v="1"/>
    <n v="554965.50337151636"/>
    <n v="369727.57962687779"/>
    <n v="17236.118397387781"/>
  </r>
  <r>
    <x v="2"/>
    <x v="40"/>
    <x v="2"/>
    <x v="1"/>
    <x v="1"/>
    <x v="1"/>
    <x v="1"/>
    <x v="40"/>
    <x v="1"/>
    <n v="820271.29073282867"/>
    <n v="463117.68306376634"/>
    <n v="44362.64007885912"/>
  </r>
  <r>
    <x v="2"/>
    <x v="40"/>
    <x v="2"/>
    <x v="1"/>
    <x v="2"/>
    <x v="1"/>
    <x v="1"/>
    <x v="40"/>
    <x v="1"/>
    <n v="531381.66013947595"/>
    <n v="260305.60069779903"/>
    <n v="41558.348617686905"/>
  </r>
  <r>
    <x v="2"/>
    <x v="40"/>
    <x v="2"/>
    <x v="1"/>
    <x v="3"/>
    <x v="1"/>
    <x v="1"/>
    <x v="40"/>
    <x v="1"/>
    <n v="362554.61889364425"/>
    <n v="156844.24247845568"/>
    <n v="35056.728576613372"/>
  </r>
  <r>
    <x v="2"/>
    <x v="40"/>
    <x v="2"/>
    <x v="1"/>
    <x v="4"/>
    <x v="1"/>
    <x v="1"/>
    <x v="40"/>
    <x v="1"/>
    <n v="410700.55898990302"/>
    <n v="158464.74219859845"/>
    <n v="45538.626015133654"/>
  </r>
  <r>
    <x v="2"/>
    <x v="40"/>
    <x v="2"/>
    <x v="1"/>
    <x v="5"/>
    <x v="1"/>
    <x v="1"/>
    <x v="40"/>
    <x v="1"/>
    <n v="113230.26437929353"/>
    <n v="39426.456234588637"/>
    <n v="13847.940646848399"/>
  </r>
  <r>
    <x v="2"/>
    <x v="40"/>
    <x v="2"/>
    <x v="1"/>
    <x v="6"/>
    <x v="1"/>
    <x v="1"/>
    <x v="40"/>
    <x v="1"/>
    <n v="88460.714412328118"/>
    <n v="28063.834283852357"/>
    <n v="11649.173796247187"/>
  </r>
  <r>
    <x v="2"/>
    <x v="40"/>
    <x v="2"/>
    <x v="1"/>
    <x v="7"/>
    <x v="1"/>
    <x v="1"/>
    <x v="40"/>
    <x v="1"/>
    <n v="61960.008238108894"/>
    <n v="18051.964273757039"/>
    <n v="8646.1046843987897"/>
  </r>
  <r>
    <x v="2"/>
    <x v="40"/>
    <x v="2"/>
    <x v="1"/>
    <x v="8"/>
    <x v="1"/>
    <x v="1"/>
    <x v="40"/>
    <x v="1"/>
    <n v="52474.676662838167"/>
    <n v="14134.582341587586"/>
    <n v="7672.4959294164328"/>
  </r>
  <r>
    <x v="2"/>
    <x v="40"/>
    <x v="2"/>
    <x v="1"/>
    <x v="9"/>
    <x v="1"/>
    <x v="1"/>
    <x v="40"/>
    <x v="1"/>
    <n v="44851.699241943556"/>
    <n v="11177.421982719596"/>
    <n v="6781.0978826678829"/>
  </r>
  <r>
    <x v="2"/>
    <x v="40"/>
    <x v="2"/>
    <x v="1"/>
    <x v="10"/>
    <x v="1"/>
    <x v="1"/>
    <x v="40"/>
    <x v="1"/>
    <n v="36238.955886313779"/>
    <n v="8402.4420271719682"/>
    <n v="5634.1653006694951"/>
  </r>
  <r>
    <x v="2"/>
    <x v="40"/>
    <x v="2"/>
    <x v="1"/>
    <x v="11"/>
    <x v="1"/>
    <x v="1"/>
    <x v="40"/>
    <x v="1"/>
    <n v="31912.676889099519"/>
    <n v="6917.8227183460558"/>
    <n v="5080.4482200728025"/>
  </r>
  <r>
    <x v="2"/>
    <x v="40"/>
    <x v="2"/>
    <x v="1"/>
    <x v="12"/>
    <x v="1"/>
    <x v="1"/>
    <x v="40"/>
    <x v="1"/>
    <n v="67207.37216273362"/>
    <n v="13678.628072504187"/>
    <n v="10919.111854007937"/>
  </r>
  <r>
    <x v="2"/>
    <x v="41"/>
    <x v="2"/>
    <x v="1"/>
    <x v="7"/>
    <x v="1"/>
    <x v="1"/>
    <x v="41"/>
    <x v="1"/>
    <n v="989942"/>
    <n v="597833"/>
    <n v="77703"/>
  </r>
  <r>
    <x v="2"/>
    <x v="98"/>
    <x v="2"/>
    <x v="0"/>
    <x v="0"/>
    <x v="0"/>
    <x v="0"/>
    <x v="71"/>
    <x v="1"/>
    <n v="2.9999999999999996"/>
    <n v="2"/>
    <n v="0"/>
  </r>
  <r>
    <x v="2"/>
    <x v="42"/>
    <x v="2"/>
    <x v="0"/>
    <x v="0"/>
    <x v="0"/>
    <x v="0"/>
    <x v="42"/>
    <x v="1"/>
    <n v="146"/>
    <n v="209"/>
    <n v="21"/>
  </r>
  <r>
    <x v="2"/>
    <x v="43"/>
    <x v="2"/>
    <x v="0"/>
    <x v="0"/>
    <x v="0"/>
    <x v="0"/>
    <x v="43"/>
    <x v="1"/>
    <n v="11355400.999999985"/>
    <n v="16061052.999999918"/>
    <n v="2004430.999999987"/>
  </r>
  <r>
    <x v="2"/>
    <x v="44"/>
    <x v="2"/>
    <x v="0"/>
    <x v="0"/>
    <x v="3"/>
    <x v="3"/>
    <x v="44"/>
    <x v="1"/>
    <n v="175032.99999999983"/>
    <n v="325939.00000000017"/>
    <n v="19156.000000000025"/>
  </r>
  <r>
    <x v="2"/>
    <x v="45"/>
    <x v="3"/>
    <x v="0"/>
    <x v="0"/>
    <x v="0"/>
    <x v="0"/>
    <x v="45"/>
    <x v="1"/>
    <n v="4031795.6572635821"/>
    <n v="5523012.5858363137"/>
    <n v="97378.631128127454"/>
  </r>
  <r>
    <x v="2"/>
    <x v="45"/>
    <x v="3"/>
    <x v="0"/>
    <x v="0"/>
    <x v="0"/>
    <x v="0"/>
    <x v="45"/>
    <x v="1"/>
    <n v="1974507.6585845719"/>
    <n v="2704807.380192047"/>
    <n v="122774.70267250011"/>
  </r>
  <r>
    <x v="2"/>
    <x v="45"/>
    <x v="3"/>
    <x v="0"/>
    <x v="1"/>
    <x v="0"/>
    <x v="0"/>
    <x v="45"/>
    <x v="1"/>
    <n v="70003.932218382979"/>
    <n v="69310.884669847437"/>
    <n v="5370.9800560031063"/>
  </r>
  <r>
    <x v="2"/>
    <x v="45"/>
    <x v="3"/>
    <x v="0"/>
    <x v="1"/>
    <x v="0"/>
    <x v="0"/>
    <x v="45"/>
    <x v="1"/>
    <n v="1385397.1386289629"/>
    <n v="1371681.5363727971"/>
    <n v="150612.51452711751"/>
  </r>
  <r>
    <x v="2"/>
    <x v="45"/>
    <x v="3"/>
    <x v="0"/>
    <x v="2"/>
    <x v="0"/>
    <x v="0"/>
    <x v="45"/>
    <x v="1"/>
    <n v="44480.069750162307"/>
    <n v="34480.704417550063"/>
    <n v="4899.7392449251611"/>
  </r>
  <r>
    <x v="2"/>
    <x v="45"/>
    <x v="3"/>
    <x v="0"/>
    <x v="2"/>
    <x v="0"/>
    <x v="0"/>
    <x v="45"/>
    <x v="1"/>
    <n v="392417.34395593981"/>
    <n v="304199.75780760689"/>
    <n v="51887.193503734699"/>
  </r>
  <r>
    <x v="2"/>
    <x v="45"/>
    <x v="3"/>
    <x v="0"/>
    <x v="3"/>
    <x v="0"/>
    <x v="0"/>
    <x v="45"/>
    <x v="1"/>
    <n v="716056.19959839806"/>
    <n v="456087.15070383932"/>
    <n v="91806.238867591994"/>
  </r>
  <r>
    <x v="2"/>
    <x v="46"/>
    <x v="3"/>
    <x v="0"/>
    <x v="0"/>
    <x v="0"/>
    <x v="0"/>
    <x v="46"/>
    <x v="1"/>
    <n v="1042.738361444543"/>
    <n v="1511.2112360589949"/>
    <n v="34.467695470854153"/>
  </r>
  <r>
    <x v="2"/>
    <x v="46"/>
    <x v="3"/>
    <x v="0"/>
    <x v="0"/>
    <x v="0"/>
    <x v="0"/>
    <x v="46"/>
    <x v="1"/>
    <n v="322.99671335183791"/>
    <n v="468.11000772160992"/>
    <n v="21.50186382089856"/>
  </r>
  <r>
    <x v="2"/>
    <x v="46"/>
    <x v="3"/>
    <x v="0"/>
    <x v="1"/>
    <x v="0"/>
    <x v="0"/>
    <x v="46"/>
    <x v="1"/>
    <n v="83.791175291652777"/>
    <n v="86.382438840893684"/>
    <n v="6.8463606729528701"/>
  </r>
  <r>
    <x v="2"/>
    <x v="46"/>
    <x v="3"/>
    <x v="0"/>
    <x v="1"/>
    <x v="0"/>
    <x v="0"/>
    <x v="46"/>
    <x v="1"/>
    <n v="51.060387616589807"/>
    <n v="52.639443176801791"/>
    <n v="5.8452364823434646"/>
  </r>
  <r>
    <x v="2"/>
    <x v="46"/>
    <x v="3"/>
    <x v="0"/>
    <x v="2"/>
    <x v="0"/>
    <x v="0"/>
    <x v="46"/>
    <x v="1"/>
    <n v="29.289871392409029"/>
    <n v="23.43183849557991"/>
    <n v="3.3113900838152399"/>
  </r>
  <r>
    <x v="2"/>
    <x v="46"/>
    <x v="3"/>
    <x v="0"/>
    <x v="2"/>
    <x v="0"/>
    <x v="0"/>
    <x v="46"/>
    <x v="1"/>
    <n v="42.327491509045743"/>
    <n v="33.86190849646524"/>
    <n v="5.8734734327095204"/>
  </r>
  <r>
    <x v="2"/>
    <x v="46"/>
    <x v="3"/>
    <x v="0"/>
    <x v="3"/>
    <x v="0"/>
    <x v="0"/>
    <x v="46"/>
    <x v="1"/>
    <n v="165.7959993939219"/>
    <n v="108.36312720965429"/>
    <n v="22.153980036426201"/>
  </r>
  <r>
    <x v="2"/>
    <x v="47"/>
    <x v="3"/>
    <x v="0"/>
    <x v="0"/>
    <x v="0"/>
    <x v="0"/>
    <x v="47"/>
    <x v="1"/>
    <n v="38416.205680039347"/>
    <n v="32282.556223883948"/>
    <n v="707.87209057342295"/>
  </r>
  <r>
    <x v="2"/>
    <x v="47"/>
    <x v="3"/>
    <x v="0"/>
    <x v="0"/>
    <x v="0"/>
    <x v="0"/>
    <x v="47"/>
    <x v="1"/>
    <n v="273736.51520317589"/>
    <n v="230030.90196302641"/>
    <n v="10672.41103581491"/>
  </r>
  <r>
    <x v="2"/>
    <x v="47"/>
    <x v="3"/>
    <x v="0"/>
    <x v="1"/>
    <x v="0"/>
    <x v="0"/>
    <x v="47"/>
    <x v="1"/>
    <n v="174136.22228461591"/>
    <n v="118460.1268670904"/>
    <n v="8787.1772333177141"/>
  </r>
  <r>
    <x v="2"/>
    <x v="47"/>
    <x v="3"/>
    <x v="0"/>
    <x v="1"/>
    <x v="0"/>
    <x v="0"/>
    <x v="47"/>
    <x v="1"/>
    <n v="136438.60728838629"/>
    <n v="92815.46663240809"/>
    <n v="9502.333661864066"/>
  </r>
  <r>
    <x v="2"/>
    <x v="47"/>
    <x v="3"/>
    <x v="0"/>
    <x v="2"/>
    <x v="0"/>
    <x v="0"/>
    <x v="47"/>
    <x v="1"/>
    <n v="28910.07677779458"/>
    <n v="16520.059451384099"/>
    <n v="2146.4597178486729"/>
  </r>
  <r>
    <x v="2"/>
    <x v="47"/>
    <x v="3"/>
    <x v="0"/>
    <x v="2"/>
    <x v="0"/>
    <x v="0"/>
    <x v="47"/>
    <x v="1"/>
    <n v="122350.46634779959"/>
    <n v="69914.61812798446"/>
    <n v="11583.562535235809"/>
  </r>
  <r>
    <x v="2"/>
    <x v="47"/>
    <x v="3"/>
    <x v="0"/>
    <x v="3"/>
    <x v="0"/>
    <x v="0"/>
    <x v="47"/>
    <x v="1"/>
    <n v="88199.906418188373"/>
    <n v="43448.270734222613"/>
    <n v="8643.1837253453959"/>
  </r>
  <r>
    <x v="2"/>
    <x v="48"/>
    <x v="3"/>
    <x v="0"/>
    <x v="0"/>
    <x v="0"/>
    <x v="0"/>
    <x v="48"/>
    <x v="1"/>
    <n v="38.498380049889853"/>
    <n v="33.476849223421389"/>
    <n v="0.73082558812461529"/>
  </r>
  <r>
    <x v="2"/>
    <x v="48"/>
    <x v="3"/>
    <x v="0"/>
    <x v="0"/>
    <x v="0"/>
    <x v="0"/>
    <x v="48"/>
    <x v="1"/>
    <n v="1.3172840770485541"/>
    <n v="1.1454643123846051"/>
    <n v="5.7718786557947203E-2"/>
  </r>
  <r>
    <x v="2"/>
    <x v="48"/>
    <x v="3"/>
    <x v="0"/>
    <x v="1"/>
    <x v="0"/>
    <x v="0"/>
    <x v="48"/>
    <x v="1"/>
    <n v="0.80748234902829874"/>
    <n v="0.56467292084909504"/>
    <n v="4.5409178953172973E-2"/>
  </r>
  <r>
    <x v="2"/>
    <x v="48"/>
    <x v="3"/>
    <x v="0"/>
    <x v="1"/>
    <x v="0"/>
    <x v="0"/>
    <x v="48"/>
    <x v="1"/>
    <n v="0.28959767789830038"/>
    <n v="0.2025158405589095"/>
    <n v="2.2558716971709351E-2"/>
  </r>
  <r>
    <x v="2"/>
    <x v="48"/>
    <x v="3"/>
    <x v="0"/>
    <x v="2"/>
    <x v="0"/>
    <x v="0"/>
    <x v="48"/>
    <x v="1"/>
    <n v="0.47408399666527617"/>
    <n v="0.27724207851894078"/>
    <n v="3.9636674672144677E-2"/>
  </r>
  <r>
    <x v="2"/>
    <x v="48"/>
    <x v="3"/>
    <x v="0"/>
    <x v="2"/>
    <x v="0"/>
    <x v="0"/>
    <x v="48"/>
    <x v="1"/>
    <n v="4.7586678901887082E-5"/>
    <n v="2.7828464705353579E-5"/>
    <n v="4.8496487397341387E-6"/>
  </r>
  <r>
    <x v="2"/>
    <x v="48"/>
    <x v="3"/>
    <x v="0"/>
    <x v="3"/>
    <x v="0"/>
    <x v="0"/>
    <x v="48"/>
    <x v="1"/>
    <n v="10.61312426279083"/>
    <n v="5.3332277958023546"/>
    <n v="1.1038462050716711"/>
  </r>
  <r>
    <x v="2"/>
    <x v="96"/>
    <x v="3"/>
    <x v="1"/>
    <x v="4"/>
    <x v="1"/>
    <x v="1"/>
    <x v="70"/>
    <x v="1"/>
    <n v="13655"/>
    <n v="4628"/>
    <n v="1404"/>
  </r>
  <r>
    <x v="2"/>
    <x v="49"/>
    <x v="0"/>
    <x v="1"/>
    <x v="0"/>
    <x v="1"/>
    <x v="1"/>
    <x v="49"/>
    <x v="1"/>
    <n v="4170825"/>
    <n v="2724213"/>
    <n v="135664"/>
  </r>
  <r>
    <x v="2"/>
    <x v="50"/>
    <x v="3"/>
    <x v="1"/>
    <x v="0"/>
    <x v="1"/>
    <x v="1"/>
    <x v="49"/>
    <x v="1"/>
    <n v="1138815"/>
    <n v="791858"/>
    <n v="40996"/>
  </r>
  <r>
    <x v="2"/>
    <x v="51"/>
    <x v="0"/>
    <x v="1"/>
    <x v="1"/>
    <x v="1"/>
    <x v="1"/>
    <x v="50"/>
    <x v="1"/>
    <n v="14659199"/>
    <n v="8251139"/>
    <n v="794119"/>
  </r>
  <r>
    <x v="2"/>
    <x v="52"/>
    <x v="3"/>
    <x v="1"/>
    <x v="1"/>
    <x v="1"/>
    <x v="1"/>
    <x v="50"/>
    <x v="1"/>
    <n v="4909461"/>
    <n v="2866058"/>
    <n v="280240"/>
  </r>
  <r>
    <x v="2"/>
    <x v="53"/>
    <x v="0"/>
    <x v="1"/>
    <x v="2"/>
    <x v="1"/>
    <x v="1"/>
    <x v="51"/>
    <x v="1"/>
    <n v="13507630"/>
    <n v="6680075"/>
    <n v="1043618"/>
  </r>
  <r>
    <x v="2"/>
    <x v="54"/>
    <x v="3"/>
    <x v="1"/>
    <x v="2"/>
    <x v="1"/>
    <x v="1"/>
    <x v="51"/>
    <x v="1"/>
    <n v="5198844"/>
    <n v="2614289"/>
    <n v="412286"/>
  </r>
  <r>
    <x v="2"/>
    <x v="55"/>
    <x v="0"/>
    <x v="1"/>
    <x v="3"/>
    <x v="1"/>
    <x v="1"/>
    <x v="52"/>
    <x v="1"/>
    <n v="10246353"/>
    <n v="4464798"/>
    <n v="984591"/>
  </r>
  <r>
    <x v="2"/>
    <x v="56"/>
    <x v="3"/>
    <x v="1"/>
    <x v="3"/>
    <x v="1"/>
    <x v="1"/>
    <x v="52"/>
    <x v="1"/>
    <n v="4089682"/>
    <n v="1814779"/>
    <n v="399669"/>
  </r>
  <r>
    <x v="2"/>
    <x v="57"/>
    <x v="0"/>
    <x v="1"/>
    <x v="4"/>
    <x v="1"/>
    <x v="1"/>
    <x v="53"/>
    <x v="1"/>
    <n v="8217700"/>
    <n v="3141850"/>
    <n v="883454"/>
  </r>
  <r>
    <x v="2"/>
    <x v="58"/>
    <x v="3"/>
    <x v="1"/>
    <x v="4"/>
    <x v="1"/>
    <x v="1"/>
    <x v="53"/>
    <x v="1"/>
    <n v="2973495"/>
    <n v="1174444"/>
    <n v="331117"/>
  </r>
  <r>
    <x v="2"/>
    <x v="59"/>
    <x v="0"/>
    <x v="1"/>
    <x v="5"/>
    <x v="1"/>
    <x v="1"/>
    <x v="54"/>
    <x v="1"/>
    <n v="4919462"/>
    <n v="1717662"/>
    <n v="591219"/>
  </r>
  <r>
    <x v="2"/>
    <x v="60"/>
    <x v="3"/>
    <x v="1"/>
    <x v="5"/>
    <x v="1"/>
    <x v="1"/>
    <x v="54"/>
    <x v="1"/>
    <n v="2118867"/>
    <n v="753231"/>
    <n v="259760"/>
  </r>
  <r>
    <x v="2"/>
    <x v="61"/>
    <x v="0"/>
    <x v="1"/>
    <x v="6"/>
    <x v="1"/>
    <x v="1"/>
    <x v="55"/>
    <x v="1"/>
    <n v="4058782"/>
    <n v="1296205"/>
    <n v="529438"/>
  </r>
  <r>
    <x v="2"/>
    <x v="62"/>
    <x v="3"/>
    <x v="1"/>
    <x v="6"/>
    <x v="1"/>
    <x v="1"/>
    <x v="55"/>
    <x v="1"/>
    <n v="1575426"/>
    <n v="511333"/>
    <n v="208445"/>
  </r>
  <r>
    <x v="2"/>
    <x v="63"/>
    <x v="0"/>
    <x v="1"/>
    <x v="7"/>
    <x v="1"/>
    <x v="1"/>
    <x v="56"/>
    <x v="1"/>
    <n v="3152398"/>
    <n v="917370"/>
    <n v="429872"/>
  </r>
  <r>
    <x v="2"/>
    <x v="64"/>
    <x v="3"/>
    <x v="1"/>
    <x v="7"/>
    <x v="1"/>
    <x v="1"/>
    <x v="56"/>
    <x v="1"/>
    <n v="1229373"/>
    <n v="365670"/>
    <n v="171960"/>
  </r>
  <r>
    <x v="2"/>
    <x v="65"/>
    <x v="0"/>
    <x v="1"/>
    <x v="8"/>
    <x v="1"/>
    <x v="1"/>
    <x v="57"/>
    <x v="1"/>
    <n v="2804373"/>
    <n v="794931"/>
    <n v="424072"/>
  </r>
  <r>
    <x v="2"/>
    <x v="66"/>
    <x v="3"/>
    <x v="1"/>
    <x v="8"/>
    <x v="1"/>
    <x v="1"/>
    <x v="57"/>
    <x v="1"/>
    <n v="964843"/>
    <n v="265606"/>
    <n v="141548"/>
  </r>
  <r>
    <x v="2"/>
    <x v="67"/>
    <x v="0"/>
    <x v="1"/>
    <x v="9"/>
    <x v="1"/>
    <x v="1"/>
    <x v="58"/>
    <x v="1"/>
    <n v="1919575"/>
    <n v="529416"/>
    <n v="314416"/>
  </r>
  <r>
    <x v="2"/>
    <x v="68"/>
    <x v="3"/>
    <x v="1"/>
    <x v="9"/>
    <x v="1"/>
    <x v="1"/>
    <x v="58"/>
    <x v="1"/>
    <n v="780310"/>
    <n v="198689"/>
    <n v="118360"/>
  </r>
  <r>
    <x v="2"/>
    <x v="69"/>
    <x v="0"/>
    <x v="1"/>
    <x v="10"/>
    <x v="1"/>
    <x v="1"/>
    <x v="59"/>
    <x v="1"/>
    <n v="1517753"/>
    <n v="357380"/>
    <n v="234812"/>
  </r>
  <r>
    <x v="2"/>
    <x v="70"/>
    <x v="3"/>
    <x v="1"/>
    <x v="10"/>
    <x v="1"/>
    <x v="1"/>
    <x v="59"/>
    <x v="1"/>
    <n v="649189"/>
    <n v="154048"/>
    <n v="101361"/>
  </r>
  <r>
    <x v="2"/>
    <x v="71"/>
    <x v="0"/>
    <x v="1"/>
    <x v="11"/>
    <x v="1"/>
    <x v="1"/>
    <x v="60"/>
    <x v="1"/>
    <n v="1293026"/>
    <n v="285375"/>
    <n v="205501"/>
  </r>
  <r>
    <x v="2"/>
    <x v="72"/>
    <x v="3"/>
    <x v="1"/>
    <x v="11"/>
    <x v="1"/>
    <x v="1"/>
    <x v="60"/>
    <x v="1"/>
    <n v="520773"/>
    <n v="115802"/>
    <n v="83454"/>
  </r>
  <r>
    <x v="2"/>
    <x v="73"/>
    <x v="0"/>
    <x v="1"/>
    <x v="12"/>
    <x v="1"/>
    <x v="1"/>
    <x v="61"/>
    <x v="1"/>
    <n v="848794"/>
    <n v="180598"/>
    <n v="141473"/>
  </r>
  <r>
    <x v="2"/>
    <x v="74"/>
    <x v="3"/>
    <x v="1"/>
    <x v="12"/>
    <x v="1"/>
    <x v="1"/>
    <x v="61"/>
    <x v="1"/>
    <n v="425855"/>
    <n v="89219"/>
    <n v="69862"/>
  </r>
  <r>
    <x v="2"/>
    <x v="75"/>
    <x v="4"/>
    <x v="1"/>
    <x v="0"/>
    <x v="1"/>
    <x v="1"/>
    <x v="49"/>
    <x v="1"/>
    <n v="6055270"/>
    <n v="4048330"/>
    <n v="222059"/>
  </r>
  <r>
    <x v="2"/>
    <x v="76"/>
    <x v="4"/>
    <x v="1"/>
    <x v="1"/>
    <x v="1"/>
    <x v="1"/>
    <x v="50"/>
    <x v="1"/>
    <n v="18002034"/>
    <n v="10199965"/>
    <n v="994614"/>
  </r>
  <r>
    <x v="2"/>
    <x v="77"/>
    <x v="4"/>
    <x v="1"/>
    <x v="2"/>
    <x v="1"/>
    <x v="1"/>
    <x v="51"/>
    <x v="1"/>
    <n v="17741813"/>
    <n v="8721709"/>
    <n v="1357874"/>
  </r>
  <r>
    <x v="2"/>
    <x v="78"/>
    <x v="4"/>
    <x v="1"/>
    <x v="3"/>
    <x v="1"/>
    <x v="1"/>
    <x v="52"/>
    <x v="1"/>
    <n v="15694573"/>
    <n v="6813638"/>
    <n v="1502748"/>
  </r>
  <r>
    <x v="2"/>
    <x v="79"/>
    <x v="4"/>
    <x v="1"/>
    <x v="4"/>
    <x v="1"/>
    <x v="1"/>
    <x v="53"/>
    <x v="1"/>
    <n v="10877999"/>
    <n v="4211992"/>
    <n v="1179291"/>
  </r>
  <r>
    <x v="2"/>
    <x v="80"/>
    <x v="4"/>
    <x v="1"/>
    <x v="5"/>
    <x v="1"/>
    <x v="1"/>
    <x v="54"/>
    <x v="1"/>
    <n v="7915637"/>
    <n v="2765947"/>
    <n v="948433"/>
  </r>
  <r>
    <x v="2"/>
    <x v="81"/>
    <x v="4"/>
    <x v="1"/>
    <x v="6"/>
    <x v="1"/>
    <x v="1"/>
    <x v="55"/>
    <x v="1"/>
    <n v="6482778"/>
    <n v="2063903"/>
    <n v="836093"/>
  </r>
  <r>
    <x v="2"/>
    <x v="82"/>
    <x v="4"/>
    <x v="1"/>
    <x v="7"/>
    <x v="1"/>
    <x v="1"/>
    <x v="56"/>
    <x v="1"/>
    <n v="4730596"/>
    <n v="1383157"/>
    <n v="646146"/>
  </r>
  <r>
    <x v="2"/>
    <x v="83"/>
    <x v="4"/>
    <x v="1"/>
    <x v="8"/>
    <x v="1"/>
    <x v="1"/>
    <x v="57"/>
    <x v="1"/>
    <n v="3684372"/>
    <n v="995935"/>
    <n v="527234"/>
  </r>
  <r>
    <x v="2"/>
    <x v="84"/>
    <x v="4"/>
    <x v="1"/>
    <x v="9"/>
    <x v="1"/>
    <x v="1"/>
    <x v="58"/>
    <x v="1"/>
    <n v="3089486"/>
    <n v="772645"/>
    <n v="456752"/>
  </r>
  <r>
    <x v="2"/>
    <x v="85"/>
    <x v="4"/>
    <x v="1"/>
    <x v="10"/>
    <x v="1"/>
    <x v="1"/>
    <x v="59"/>
    <x v="1"/>
    <n v="2484249"/>
    <n v="578038"/>
    <n v="377596"/>
  </r>
  <r>
    <x v="2"/>
    <x v="86"/>
    <x v="4"/>
    <x v="1"/>
    <x v="11"/>
    <x v="1"/>
    <x v="1"/>
    <x v="60"/>
    <x v="1"/>
    <n v="2179268"/>
    <n v="474074"/>
    <n v="339343"/>
  </r>
  <r>
    <x v="2"/>
    <x v="87"/>
    <x v="4"/>
    <x v="1"/>
    <x v="12"/>
    <x v="1"/>
    <x v="1"/>
    <x v="61"/>
    <x v="1"/>
    <n v="1889283"/>
    <n v="385887"/>
    <n v="300162"/>
  </r>
  <r>
    <x v="2"/>
    <x v="88"/>
    <x v="0"/>
    <x v="0"/>
    <x v="0"/>
    <x v="3"/>
    <x v="3"/>
    <x v="62"/>
    <x v="1"/>
    <n v="4319908.7928261058"/>
    <n v="7461521.0925099542"/>
    <n v="95578.666131113074"/>
  </r>
  <r>
    <x v="2"/>
    <x v="88"/>
    <x v="1"/>
    <x v="0"/>
    <x v="0"/>
    <x v="3"/>
    <x v="3"/>
    <x v="62"/>
    <x v="1"/>
    <n v="0"/>
    <n v="0"/>
    <n v="0"/>
  </r>
  <r>
    <x v="2"/>
    <x v="88"/>
    <x v="1"/>
    <x v="0"/>
    <x v="0"/>
    <x v="3"/>
    <x v="3"/>
    <x v="62"/>
    <x v="1"/>
    <n v="29787620.88965277"/>
    <n v="50812378.814475551"/>
    <n v="650883.58994401095"/>
  </r>
  <r>
    <x v="2"/>
    <x v="88"/>
    <x v="4"/>
    <x v="0"/>
    <x v="0"/>
    <x v="3"/>
    <x v="3"/>
    <x v="62"/>
    <x v="1"/>
    <n v="196853.31752112616"/>
    <n v="348314.0930144898"/>
    <n v="4461.743924876112"/>
  </r>
  <r>
    <x v="2"/>
    <x v="45"/>
    <x v="1"/>
    <x v="0"/>
    <x v="0"/>
    <x v="0"/>
    <x v="0"/>
    <x v="45"/>
    <x v="1"/>
    <n v="713631864.73213053"/>
    <n v="1016862270.2316093"/>
    <n v="19695378.931482516"/>
  </r>
  <r>
    <x v="2"/>
    <x v="45"/>
    <x v="1"/>
    <x v="0"/>
    <x v="0"/>
    <x v="0"/>
    <x v="0"/>
    <x v="45"/>
    <x v="1"/>
    <n v="87786871.697292432"/>
    <n v="118854944.48256639"/>
    <n v="5926716.2073278734"/>
  </r>
  <r>
    <x v="2"/>
    <x v="45"/>
    <x v="1"/>
    <x v="0"/>
    <x v="1"/>
    <x v="0"/>
    <x v="0"/>
    <x v="45"/>
    <x v="1"/>
    <n v="19133913.99176991"/>
    <n v="18421296.334329892"/>
    <n v="1568922.0696198712"/>
  </r>
  <r>
    <x v="2"/>
    <x v="45"/>
    <x v="1"/>
    <x v="0"/>
    <x v="1"/>
    <x v="0"/>
    <x v="0"/>
    <x v="45"/>
    <x v="1"/>
    <n v="6512094.2233069343"/>
    <n v="5283731.5002772445"/>
    <n v="637778.95150008879"/>
  </r>
  <r>
    <x v="2"/>
    <x v="45"/>
    <x v="1"/>
    <x v="0"/>
    <x v="2"/>
    <x v="0"/>
    <x v="0"/>
    <x v="45"/>
    <x v="1"/>
    <n v="3041344.9022058938"/>
    <n v="2081327.6968187445"/>
    <n v="325009.04525969515"/>
  </r>
  <r>
    <x v="2"/>
    <x v="45"/>
    <x v="1"/>
    <x v="0"/>
    <x v="2"/>
    <x v="0"/>
    <x v="0"/>
    <x v="45"/>
    <x v="1"/>
    <n v="1666291.2470108885"/>
    <n v="1075420.6377934548"/>
    <n v="201558.12791296572"/>
  </r>
  <r>
    <x v="2"/>
    <x v="45"/>
    <x v="1"/>
    <x v="0"/>
    <x v="3"/>
    <x v="0"/>
    <x v="0"/>
    <x v="45"/>
    <x v="1"/>
    <n v="461347.99892577063"/>
    <n v="308725.2032752313"/>
    <n v="68283.704778989893"/>
  </r>
  <r>
    <x v="2"/>
    <x v="45"/>
    <x v="4"/>
    <x v="0"/>
    <x v="0"/>
    <x v="0"/>
    <x v="0"/>
    <x v="45"/>
    <x v="1"/>
    <n v="1108908.475078729"/>
    <n v="1403041.9176958655"/>
    <n v="31992.16306254228"/>
  </r>
  <r>
    <x v="2"/>
    <x v="45"/>
    <x v="4"/>
    <x v="0"/>
    <x v="0"/>
    <x v="0"/>
    <x v="0"/>
    <x v="45"/>
    <x v="1"/>
    <n v="712256.63118901371"/>
    <n v="896914.7660996815"/>
    <n v="46049.039148656746"/>
  </r>
  <r>
    <x v="2"/>
    <x v="45"/>
    <x v="4"/>
    <x v="0"/>
    <x v="1"/>
    <x v="0"/>
    <x v="0"/>
    <x v="45"/>
    <x v="1"/>
    <n v="105467.98900457531"/>
    <n v="101560.97099962569"/>
    <n v="8255.9322220082322"/>
  </r>
  <r>
    <x v="2"/>
    <x v="45"/>
    <x v="4"/>
    <x v="0"/>
    <x v="1"/>
    <x v="0"/>
    <x v="0"/>
    <x v="45"/>
    <x v="1"/>
    <n v="25908.753161996254"/>
    <n v="27607.592539641431"/>
    <n v="3035.6926277587399"/>
  </r>
  <r>
    <x v="2"/>
    <x v="45"/>
    <x v="4"/>
    <x v="0"/>
    <x v="2"/>
    <x v="0"/>
    <x v="0"/>
    <x v="45"/>
    <x v="1"/>
    <n v="2284.3589231582605"/>
    <n v="1922.6659949020811"/>
    <n v="272.13505703547173"/>
  </r>
  <r>
    <x v="2"/>
    <x v="46"/>
    <x v="0"/>
    <x v="0"/>
    <x v="0"/>
    <x v="0"/>
    <x v="0"/>
    <x v="46"/>
    <x v="1"/>
    <n v="362992025.07661438"/>
    <n v="528359509.0229668"/>
    <n v="14959725.186366754"/>
  </r>
  <r>
    <x v="2"/>
    <x v="46"/>
    <x v="0"/>
    <x v="0"/>
    <x v="0"/>
    <x v="0"/>
    <x v="0"/>
    <x v="46"/>
    <x v="1"/>
    <n v="116868561.3268847"/>
    <n v="160656451.31118044"/>
    <n v="9160799.2277086396"/>
  </r>
  <r>
    <x v="2"/>
    <x v="46"/>
    <x v="0"/>
    <x v="0"/>
    <x v="1"/>
    <x v="0"/>
    <x v="0"/>
    <x v="46"/>
    <x v="1"/>
    <n v="33886012.973617971"/>
    <n v="35815500.567417763"/>
    <n v="3523808.9379748199"/>
  </r>
  <r>
    <x v="2"/>
    <x v="46"/>
    <x v="0"/>
    <x v="0"/>
    <x v="1"/>
    <x v="0"/>
    <x v="0"/>
    <x v="46"/>
    <x v="1"/>
    <n v="15162155.971162042"/>
    <n v="14453794.110316021"/>
    <n v="1992414.4277811039"/>
  </r>
  <r>
    <x v="2"/>
    <x v="46"/>
    <x v="0"/>
    <x v="0"/>
    <x v="2"/>
    <x v="0"/>
    <x v="0"/>
    <x v="46"/>
    <x v="1"/>
    <n v="10055564.712683206"/>
    <n v="7184829.9540943448"/>
    <n v="1260455.4108818285"/>
  </r>
  <r>
    <x v="2"/>
    <x v="46"/>
    <x v="0"/>
    <x v="0"/>
    <x v="2"/>
    <x v="0"/>
    <x v="0"/>
    <x v="46"/>
    <x v="1"/>
    <n v="5388375.2875606744"/>
    <n v="3785804.1648121234"/>
    <n v="815171.0277034851"/>
  </r>
  <r>
    <x v="2"/>
    <x v="46"/>
    <x v="0"/>
    <x v="0"/>
    <x v="3"/>
    <x v="0"/>
    <x v="0"/>
    <x v="46"/>
    <x v="1"/>
    <n v="2549633.6514771334"/>
    <n v="1589846.8692124856"/>
    <n v="403489.78158336721"/>
  </r>
  <r>
    <x v="2"/>
    <x v="46"/>
    <x v="1"/>
    <x v="0"/>
    <x v="0"/>
    <x v="0"/>
    <x v="0"/>
    <x v="46"/>
    <x v="1"/>
    <n v="0"/>
    <n v="0"/>
    <n v="0"/>
  </r>
  <r>
    <x v="2"/>
    <x v="47"/>
    <x v="1"/>
    <x v="0"/>
    <x v="0"/>
    <x v="0"/>
    <x v="0"/>
    <x v="47"/>
    <x v="1"/>
    <n v="553660.22031960974"/>
    <n v="642560.02814262372"/>
    <n v="12022.708482439766"/>
  </r>
  <r>
    <x v="2"/>
    <x v="47"/>
    <x v="1"/>
    <x v="0"/>
    <x v="0"/>
    <x v="0"/>
    <x v="0"/>
    <x v="47"/>
    <x v="1"/>
    <n v="2201155.1633659885"/>
    <n v="2243091.733160479"/>
    <n v="88596.976108570612"/>
  </r>
  <r>
    <x v="2"/>
    <x v="47"/>
    <x v="1"/>
    <x v="0"/>
    <x v="1"/>
    <x v="0"/>
    <x v="0"/>
    <x v="47"/>
    <x v="1"/>
    <n v="1817825.8031965531"/>
    <n v="1695116.7665681127"/>
    <n v="106943.3816712158"/>
  </r>
  <r>
    <x v="2"/>
    <x v="47"/>
    <x v="1"/>
    <x v="0"/>
    <x v="1"/>
    <x v="0"/>
    <x v="0"/>
    <x v="47"/>
    <x v="1"/>
    <n v="921087.20456317288"/>
    <n v="743784.57721379469"/>
    <n v="64572.147050785148"/>
  </r>
  <r>
    <x v="2"/>
    <x v="47"/>
    <x v="1"/>
    <x v="0"/>
    <x v="2"/>
    <x v="0"/>
    <x v="0"/>
    <x v="47"/>
    <x v="1"/>
    <n v="339780.23701103532"/>
    <n v="268069.03791768372"/>
    <n v="29672.304667371984"/>
  </r>
  <r>
    <x v="2"/>
    <x v="47"/>
    <x v="1"/>
    <x v="0"/>
    <x v="2"/>
    <x v="0"/>
    <x v="0"/>
    <x v="47"/>
    <x v="1"/>
    <n v="331139.78732459655"/>
    <n v="272826.30565890699"/>
    <n v="38424.857621002513"/>
  </r>
  <r>
    <x v="2"/>
    <x v="47"/>
    <x v="1"/>
    <x v="0"/>
    <x v="3"/>
    <x v="0"/>
    <x v="0"/>
    <x v="47"/>
    <x v="1"/>
    <n v="99394.41934989125"/>
    <n v="56385.521814714477"/>
    <n v="9580.6760122072083"/>
  </r>
  <r>
    <x v="2"/>
    <x v="47"/>
    <x v="4"/>
    <x v="0"/>
    <x v="0"/>
    <x v="0"/>
    <x v="0"/>
    <x v="47"/>
    <x v="1"/>
    <n v="28785.19978905005"/>
    <n v="34580.530410221116"/>
    <n v="605.3853700821353"/>
  </r>
  <r>
    <x v="2"/>
    <x v="47"/>
    <x v="4"/>
    <x v="0"/>
    <x v="0"/>
    <x v="0"/>
    <x v="0"/>
    <x v="47"/>
    <x v="1"/>
    <n v="38596.987510425919"/>
    <n v="48765.317564568191"/>
    <n v="1837.9081065225644"/>
  </r>
  <r>
    <x v="2"/>
    <x v="47"/>
    <x v="4"/>
    <x v="0"/>
    <x v="1"/>
    <x v="0"/>
    <x v="0"/>
    <x v="47"/>
    <x v="1"/>
    <n v="402.56916996018657"/>
    <n v="335.12940157509945"/>
    <n v="19.911346059068453"/>
  </r>
  <r>
    <x v="2"/>
    <x v="47"/>
    <x v="4"/>
    <x v="0"/>
    <x v="1"/>
    <x v="0"/>
    <x v="0"/>
    <x v="47"/>
    <x v="1"/>
    <n v="35503.435879560566"/>
    <n v="29630.389874414654"/>
    <n v="2771.1842142909377"/>
  </r>
  <r>
    <x v="2"/>
    <x v="47"/>
    <x v="4"/>
    <x v="0"/>
    <x v="2"/>
    <x v="0"/>
    <x v="0"/>
    <x v="47"/>
    <x v="1"/>
    <n v="10783.102766790711"/>
    <n v="7540.4115353901298"/>
    <n v="784.00925107582032"/>
  </r>
  <r>
    <x v="2"/>
    <x v="47"/>
    <x v="4"/>
    <x v="0"/>
    <x v="2"/>
    <x v="0"/>
    <x v="0"/>
    <x v="47"/>
    <x v="1"/>
    <n v="6983.3427442073162"/>
    <n v="4189.1175197052789"/>
    <n v="609.78497305897145"/>
  </r>
  <r>
    <x v="2"/>
    <x v="47"/>
    <x v="4"/>
    <x v="0"/>
    <x v="3"/>
    <x v="0"/>
    <x v="0"/>
    <x v="47"/>
    <x v="1"/>
    <n v="6300.5270091581006"/>
    <n v="3798.1332178114408"/>
    <n v="601.76512531744743"/>
  </r>
  <r>
    <x v="2"/>
    <x v="48"/>
    <x v="0"/>
    <x v="0"/>
    <x v="0"/>
    <x v="0"/>
    <x v="0"/>
    <x v="48"/>
    <x v="1"/>
    <n v="327871.84499027114"/>
    <n v="427105.70967093564"/>
    <n v="8931.8675817398398"/>
  </r>
  <r>
    <x v="2"/>
    <x v="48"/>
    <x v="0"/>
    <x v="0"/>
    <x v="0"/>
    <x v="0"/>
    <x v="0"/>
    <x v="48"/>
    <x v="1"/>
    <n v="409173.77763949806"/>
    <n v="434123.02948658692"/>
    <n v="20954.928550441098"/>
  </r>
  <r>
    <x v="2"/>
    <x v="48"/>
    <x v="0"/>
    <x v="0"/>
    <x v="1"/>
    <x v="0"/>
    <x v="0"/>
    <x v="48"/>
    <x v="1"/>
    <n v="331333.13605532731"/>
    <n v="294466.67894473794"/>
    <n v="22684.048987873262"/>
  </r>
  <r>
    <x v="2"/>
    <x v="48"/>
    <x v="0"/>
    <x v="0"/>
    <x v="1"/>
    <x v="0"/>
    <x v="0"/>
    <x v="48"/>
    <x v="1"/>
    <n v="473849.75861049688"/>
    <n v="333241.07543589477"/>
    <n v="35559.173171893694"/>
  </r>
  <r>
    <x v="2"/>
    <x v="48"/>
    <x v="0"/>
    <x v="0"/>
    <x v="2"/>
    <x v="0"/>
    <x v="0"/>
    <x v="48"/>
    <x v="1"/>
    <n v="302860.08809336059"/>
    <n v="222521.39064836124"/>
    <n v="30475.269967601394"/>
  </r>
  <r>
    <x v="2"/>
    <x v="48"/>
    <x v="0"/>
    <x v="0"/>
    <x v="2"/>
    <x v="0"/>
    <x v="0"/>
    <x v="48"/>
    <x v="1"/>
    <n v="207418.03884304815"/>
    <n v="118050.93206743011"/>
    <n v="19707.348079274419"/>
  </r>
  <r>
    <x v="2"/>
    <x v="48"/>
    <x v="0"/>
    <x v="0"/>
    <x v="3"/>
    <x v="0"/>
    <x v="0"/>
    <x v="48"/>
    <x v="1"/>
    <n v="130679.35576799803"/>
    <n v="73205.183746053503"/>
    <n v="14514.363661176312"/>
  </r>
  <r>
    <x v="2"/>
    <x v="48"/>
    <x v="1"/>
    <x v="0"/>
    <x v="0"/>
    <x v="0"/>
    <x v="0"/>
    <x v="48"/>
    <x v="1"/>
    <n v="0"/>
    <n v="0"/>
    <n v="0"/>
  </r>
  <r>
    <x v="2"/>
    <x v="89"/>
    <x v="4"/>
    <x v="1"/>
    <x v="0"/>
    <x v="1"/>
    <x v="1"/>
    <x v="63"/>
    <x v="1"/>
    <n v="3709"/>
    <n v="894"/>
    <n v="34"/>
  </r>
  <r>
    <x v="2"/>
    <x v="90"/>
    <x v="2"/>
    <x v="0"/>
    <x v="0"/>
    <x v="0"/>
    <x v="0"/>
    <x v="64"/>
    <x v="1"/>
    <n v="272199"/>
    <n v="354546"/>
    <n v="15511"/>
  </r>
  <r>
    <x v="2"/>
    <x v="91"/>
    <x v="2"/>
    <x v="0"/>
    <x v="0"/>
    <x v="3"/>
    <x v="3"/>
    <x v="65"/>
    <x v="1"/>
    <n v="22200"/>
    <n v="37000"/>
    <n v="231"/>
  </r>
  <r>
    <x v="3"/>
    <x v="0"/>
    <x v="0"/>
    <x v="0"/>
    <x v="0"/>
    <x v="0"/>
    <x v="0"/>
    <x v="0"/>
    <x v="1"/>
    <n v="146902.41639925889"/>
    <n v="204631.91535718212"/>
    <n v="10101.578094513638"/>
  </r>
  <r>
    <x v="3"/>
    <x v="0"/>
    <x v="0"/>
    <x v="0"/>
    <x v="0"/>
    <x v="0"/>
    <x v="0"/>
    <x v="0"/>
    <x v="2"/>
    <n v="896703.93866158032"/>
    <n v="1154639.6331002291"/>
    <n v="57546.491772152898"/>
  </r>
  <r>
    <x v="3"/>
    <x v="0"/>
    <x v="1"/>
    <x v="0"/>
    <x v="0"/>
    <x v="0"/>
    <x v="0"/>
    <x v="0"/>
    <x v="1"/>
    <n v="2358.2489894558325"/>
    <n v="3450.9458305119779"/>
    <n v="170.35465238159631"/>
  </r>
  <r>
    <x v="3"/>
    <x v="0"/>
    <x v="1"/>
    <x v="0"/>
    <x v="0"/>
    <x v="0"/>
    <x v="0"/>
    <x v="0"/>
    <x v="2"/>
    <n v="10763.689717586625"/>
    <n v="13637.704234915003"/>
    <n v="679.70157330037682"/>
  </r>
  <r>
    <x v="3"/>
    <x v="0"/>
    <x v="2"/>
    <x v="0"/>
    <x v="0"/>
    <x v="0"/>
    <x v="0"/>
    <x v="0"/>
    <x v="1"/>
    <n v="1248554.7039174589"/>
    <n v="1738582.5042962164"/>
    <n v="85067.125134642818"/>
  </r>
  <r>
    <x v="3"/>
    <x v="0"/>
    <x v="2"/>
    <x v="0"/>
    <x v="0"/>
    <x v="0"/>
    <x v="0"/>
    <x v="0"/>
    <x v="2"/>
    <n v="8183115.0506499549"/>
    <n v="10448018.776525866"/>
    <n v="529507.15429803939"/>
  </r>
  <r>
    <x v="3"/>
    <x v="0"/>
    <x v="0"/>
    <x v="0"/>
    <x v="1"/>
    <x v="0"/>
    <x v="0"/>
    <x v="0"/>
    <x v="1"/>
    <n v="3581.5380133942172"/>
    <n v="5281.916917573044"/>
    <n v="535.76682828453067"/>
  </r>
  <r>
    <x v="3"/>
    <x v="0"/>
    <x v="0"/>
    <x v="0"/>
    <x v="1"/>
    <x v="0"/>
    <x v="0"/>
    <x v="0"/>
    <x v="2"/>
    <n v="21526.162606344624"/>
    <n v="27194.105468063914"/>
    <n v="2785.1129865816929"/>
  </r>
  <r>
    <x v="3"/>
    <x v="0"/>
    <x v="1"/>
    <x v="0"/>
    <x v="1"/>
    <x v="0"/>
    <x v="0"/>
    <x v="0"/>
    <x v="1"/>
    <n v="103.57278019831691"/>
    <n v="118.80421156468802"/>
    <n v="12.050805911976369"/>
  </r>
  <r>
    <x v="3"/>
    <x v="0"/>
    <x v="1"/>
    <x v="0"/>
    <x v="1"/>
    <x v="0"/>
    <x v="0"/>
    <x v="0"/>
    <x v="2"/>
    <n v="1663.4336108656587"/>
    <n v="2125.8696806469152"/>
    <n v="218.19645400492317"/>
  </r>
  <r>
    <x v="3"/>
    <x v="0"/>
    <x v="2"/>
    <x v="0"/>
    <x v="1"/>
    <x v="0"/>
    <x v="0"/>
    <x v="0"/>
    <x v="1"/>
    <n v="201122.63105607792"/>
    <n v="281950.19844613428"/>
    <n v="28347.009846987501"/>
  </r>
  <r>
    <x v="3"/>
    <x v="0"/>
    <x v="2"/>
    <x v="0"/>
    <x v="1"/>
    <x v="0"/>
    <x v="0"/>
    <x v="0"/>
    <x v="2"/>
    <n v="595167.79367753747"/>
    <n v="775163.15344836866"/>
    <n v="79684.294241548967"/>
  </r>
  <r>
    <x v="3"/>
    <x v="0"/>
    <x v="0"/>
    <x v="0"/>
    <x v="2"/>
    <x v="0"/>
    <x v="0"/>
    <x v="0"/>
    <x v="1"/>
    <n v="28.188686555548131"/>
    <n v="38.659783788464019"/>
    <n v="6.5357047658208289"/>
  </r>
  <r>
    <x v="3"/>
    <x v="0"/>
    <x v="0"/>
    <x v="0"/>
    <x v="2"/>
    <x v="0"/>
    <x v="0"/>
    <x v="0"/>
    <x v="2"/>
    <n v="85.868466420887628"/>
    <n v="110.13253193526531"/>
    <n v="18.841925840617964"/>
  </r>
  <r>
    <x v="3"/>
    <x v="0"/>
    <x v="1"/>
    <x v="0"/>
    <x v="2"/>
    <x v="0"/>
    <x v="0"/>
    <x v="0"/>
    <x v="1"/>
    <n v="78.461789363776049"/>
    <n v="99.994653234536401"/>
    <n v="16.904790137408224"/>
  </r>
  <r>
    <x v="3"/>
    <x v="0"/>
    <x v="1"/>
    <x v="0"/>
    <x v="2"/>
    <x v="0"/>
    <x v="0"/>
    <x v="0"/>
    <x v="2"/>
    <n v="104.54465759830649"/>
    <n v="129.51278101436341"/>
    <n v="22.012237266349551"/>
  </r>
  <r>
    <x v="3"/>
    <x v="0"/>
    <x v="2"/>
    <x v="0"/>
    <x v="2"/>
    <x v="0"/>
    <x v="0"/>
    <x v="0"/>
    <x v="1"/>
    <n v="10079.351259175575"/>
    <n v="13408.138115194433"/>
    <n v="2246.7361569280702"/>
  </r>
  <r>
    <x v="3"/>
    <x v="0"/>
    <x v="2"/>
    <x v="0"/>
    <x v="2"/>
    <x v="0"/>
    <x v="0"/>
    <x v="0"/>
    <x v="2"/>
    <n v="86474.14390733272"/>
    <n v="110236.23569795962"/>
    <n v="19082.170773365589"/>
  </r>
  <r>
    <x v="3"/>
    <x v="0"/>
    <x v="0"/>
    <x v="0"/>
    <x v="3"/>
    <x v="0"/>
    <x v="0"/>
    <x v="0"/>
    <x v="1"/>
    <n v="13279.499160560343"/>
    <n v="18083.072102609047"/>
    <n v="4279.8963811007634"/>
  </r>
  <r>
    <x v="3"/>
    <x v="0"/>
    <x v="0"/>
    <x v="0"/>
    <x v="3"/>
    <x v="0"/>
    <x v="0"/>
    <x v="0"/>
    <x v="2"/>
    <n v="82588.334252236134"/>
    <n v="105776.57661061658"/>
    <n v="25283.065786739455"/>
  </r>
  <r>
    <x v="3"/>
    <x v="0"/>
    <x v="1"/>
    <x v="0"/>
    <x v="3"/>
    <x v="0"/>
    <x v="0"/>
    <x v="0"/>
    <x v="1"/>
    <n v="1.6096320982380039"/>
    <n v="2.1251645224040749"/>
    <n v="0.50298333696123576"/>
  </r>
  <r>
    <x v="3"/>
    <x v="0"/>
    <x v="1"/>
    <x v="0"/>
    <x v="3"/>
    <x v="0"/>
    <x v="0"/>
    <x v="0"/>
    <x v="2"/>
    <n v="55.492576481294826"/>
    <n v="71.031571591023322"/>
    <n v="16.987023680875335"/>
  </r>
  <r>
    <x v="3"/>
    <x v="0"/>
    <x v="2"/>
    <x v="0"/>
    <x v="3"/>
    <x v="0"/>
    <x v="0"/>
    <x v="0"/>
    <x v="1"/>
    <n v="15234.719661008503"/>
    <n v="20563.599515262296"/>
    <n v="4824.0385809600994"/>
  </r>
  <r>
    <x v="3"/>
    <x v="0"/>
    <x v="2"/>
    <x v="0"/>
    <x v="3"/>
    <x v="0"/>
    <x v="0"/>
    <x v="0"/>
    <x v="2"/>
    <n v="153857.60587143819"/>
    <n v="196592.39395499561"/>
    <n v="47816.470967530309"/>
  </r>
  <r>
    <x v="3"/>
    <x v="1"/>
    <x v="0"/>
    <x v="0"/>
    <x v="0"/>
    <x v="0"/>
    <x v="0"/>
    <x v="1"/>
    <x v="1"/>
    <n v="0"/>
    <n v="0"/>
    <n v="0"/>
  </r>
  <r>
    <x v="3"/>
    <x v="1"/>
    <x v="0"/>
    <x v="0"/>
    <x v="0"/>
    <x v="0"/>
    <x v="0"/>
    <x v="1"/>
    <x v="2"/>
    <n v="0"/>
    <n v="0"/>
    <n v="0"/>
  </r>
  <r>
    <x v="3"/>
    <x v="1"/>
    <x v="1"/>
    <x v="0"/>
    <x v="0"/>
    <x v="0"/>
    <x v="0"/>
    <x v="1"/>
    <x v="1"/>
    <n v="0"/>
    <n v="0"/>
    <n v="0"/>
  </r>
  <r>
    <x v="3"/>
    <x v="1"/>
    <x v="1"/>
    <x v="0"/>
    <x v="0"/>
    <x v="0"/>
    <x v="0"/>
    <x v="1"/>
    <x v="2"/>
    <n v="0"/>
    <n v="0"/>
    <n v="0"/>
  </r>
  <r>
    <x v="3"/>
    <x v="1"/>
    <x v="2"/>
    <x v="0"/>
    <x v="0"/>
    <x v="0"/>
    <x v="0"/>
    <x v="1"/>
    <x v="1"/>
    <n v="6869029.4494090816"/>
    <n v="10850572.116169702"/>
    <n v="432981.46312721487"/>
  </r>
  <r>
    <x v="3"/>
    <x v="1"/>
    <x v="2"/>
    <x v="0"/>
    <x v="0"/>
    <x v="0"/>
    <x v="0"/>
    <x v="1"/>
    <x v="2"/>
    <n v="41947279.179980248"/>
    <n v="56354882.173799574"/>
    <n v="2229359.7851112555"/>
  </r>
  <r>
    <x v="3"/>
    <x v="1"/>
    <x v="0"/>
    <x v="0"/>
    <x v="1"/>
    <x v="0"/>
    <x v="0"/>
    <x v="1"/>
    <x v="1"/>
    <n v="0"/>
    <n v="0"/>
    <n v="0"/>
  </r>
  <r>
    <x v="3"/>
    <x v="1"/>
    <x v="0"/>
    <x v="0"/>
    <x v="1"/>
    <x v="0"/>
    <x v="0"/>
    <x v="1"/>
    <x v="2"/>
    <n v="0"/>
    <n v="0"/>
    <n v="0"/>
  </r>
  <r>
    <x v="3"/>
    <x v="1"/>
    <x v="1"/>
    <x v="0"/>
    <x v="1"/>
    <x v="0"/>
    <x v="0"/>
    <x v="1"/>
    <x v="1"/>
    <n v="0"/>
    <n v="0"/>
    <n v="0"/>
  </r>
  <r>
    <x v="3"/>
    <x v="1"/>
    <x v="1"/>
    <x v="0"/>
    <x v="1"/>
    <x v="0"/>
    <x v="0"/>
    <x v="1"/>
    <x v="2"/>
    <n v="0"/>
    <n v="0"/>
    <n v="0"/>
  </r>
  <r>
    <x v="3"/>
    <x v="1"/>
    <x v="2"/>
    <x v="0"/>
    <x v="1"/>
    <x v="0"/>
    <x v="0"/>
    <x v="1"/>
    <x v="1"/>
    <n v="714192.56054654974"/>
    <n v="696356.6938882299"/>
    <n v="57097.46402475467"/>
  </r>
  <r>
    <x v="3"/>
    <x v="1"/>
    <x v="2"/>
    <x v="0"/>
    <x v="1"/>
    <x v="0"/>
    <x v="0"/>
    <x v="1"/>
    <x v="2"/>
    <n v="5465609.9119809335"/>
    <n v="4824186.175080494"/>
    <n v="391400.77223558794"/>
  </r>
  <r>
    <x v="3"/>
    <x v="1"/>
    <x v="0"/>
    <x v="0"/>
    <x v="2"/>
    <x v="0"/>
    <x v="0"/>
    <x v="1"/>
    <x v="1"/>
    <n v="0"/>
    <n v="0"/>
    <n v="0"/>
  </r>
  <r>
    <x v="3"/>
    <x v="1"/>
    <x v="0"/>
    <x v="0"/>
    <x v="2"/>
    <x v="0"/>
    <x v="0"/>
    <x v="1"/>
    <x v="2"/>
    <n v="0"/>
    <n v="0"/>
    <n v="0"/>
  </r>
  <r>
    <x v="3"/>
    <x v="1"/>
    <x v="1"/>
    <x v="0"/>
    <x v="2"/>
    <x v="0"/>
    <x v="0"/>
    <x v="1"/>
    <x v="1"/>
    <n v="0"/>
    <n v="0"/>
    <n v="0"/>
  </r>
  <r>
    <x v="3"/>
    <x v="1"/>
    <x v="1"/>
    <x v="0"/>
    <x v="2"/>
    <x v="0"/>
    <x v="0"/>
    <x v="1"/>
    <x v="2"/>
    <n v="0"/>
    <n v="0"/>
    <n v="0"/>
  </r>
  <r>
    <x v="3"/>
    <x v="1"/>
    <x v="2"/>
    <x v="0"/>
    <x v="2"/>
    <x v="0"/>
    <x v="0"/>
    <x v="1"/>
    <x v="1"/>
    <n v="75088.230074325096"/>
    <n v="55375.260434413663"/>
    <n v="7567.4506285491761"/>
  </r>
  <r>
    <x v="3"/>
    <x v="1"/>
    <x v="2"/>
    <x v="0"/>
    <x v="2"/>
    <x v="0"/>
    <x v="0"/>
    <x v="1"/>
    <x v="2"/>
    <n v="660429.67698179628"/>
    <n v="467982.31453886087"/>
    <n v="63396.682803836171"/>
  </r>
  <r>
    <x v="3"/>
    <x v="1"/>
    <x v="1"/>
    <x v="0"/>
    <x v="3"/>
    <x v="0"/>
    <x v="0"/>
    <x v="1"/>
    <x v="1"/>
    <n v="0"/>
    <n v="0"/>
    <n v="0"/>
  </r>
  <r>
    <x v="3"/>
    <x v="1"/>
    <x v="1"/>
    <x v="0"/>
    <x v="3"/>
    <x v="0"/>
    <x v="0"/>
    <x v="1"/>
    <x v="2"/>
    <n v="0"/>
    <n v="0"/>
    <n v="0"/>
  </r>
  <r>
    <x v="3"/>
    <x v="1"/>
    <x v="2"/>
    <x v="0"/>
    <x v="3"/>
    <x v="0"/>
    <x v="0"/>
    <x v="1"/>
    <x v="1"/>
    <n v="19416.923579142505"/>
    <n v="12383.580199216407"/>
    <n v="2369.2346264003322"/>
  </r>
  <r>
    <x v="3"/>
    <x v="1"/>
    <x v="2"/>
    <x v="0"/>
    <x v="3"/>
    <x v="0"/>
    <x v="0"/>
    <x v="1"/>
    <x v="2"/>
    <n v="121958.80066972251"/>
    <n v="68650.900908183583"/>
    <n v="12918.838309308905"/>
  </r>
  <r>
    <x v="3"/>
    <x v="1"/>
    <x v="0"/>
    <x v="0"/>
    <x v="0"/>
    <x v="0"/>
    <x v="0"/>
    <x v="1"/>
    <x v="2"/>
    <n v="0"/>
    <n v="0"/>
    <n v="0"/>
  </r>
  <r>
    <x v="3"/>
    <x v="1"/>
    <x v="1"/>
    <x v="0"/>
    <x v="0"/>
    <x v="0"/>
    <x v="0"/>
    <x v="1"/>
    <x v="2"/>
    <n v="0"/>
    <n v="0"/>
    <n v="0"/>
  </r>
  <r>
    <x v="3"/>
    <x v="1"/>
    <x v="2"/>
    <x v="0"/>
    <x v="0"/>
    <x v="0"/>
    <x v="0"/>
    <x v="1"/>
    <x v="1"/>
    <n v="2474.4046946469225"/>
    <n v="3551.3579253453886"/>
    <n v="141.7134630452353"/>
  </r>
  <r>
    <x v="3"/>
    <x v="1"/>
    <x v="2"/>
    <x v="0"/>
    <x v="0"/>
    <x v="0"/>
    <x v="0"/>
    <x v="1"/>
    <x v="2"/>
    <n v="39758.485211843348"/>
    <n v="52262.413493255444"/>
    <n v="2069.686652593417"/>
  </r>
  <r>
    <x v="3"/>
    <x v="1"/>
    <x v="1"/>
    <x v="0"/>
    <x v="1"/>
    <x v="0"/>
    <x v="0"/>
    <x v="1"/>
    <x v="1"/>
    <n v="0"/>
    <n v="0"/>
    <n v="0"/>
  </r>
  <r>
    <x v="3"/>
    <x v="1"/>
    <x v="1"/>
    <x v="0"/>
    <x v="1"/>
    <x v="0"/>
    <x v="0"/>
    <x v="1"/>
    <x v="2"/>
    <n v="0"/>
    <n v="0"/>
    <n v="0"/>
  </r>
  <r>
    <x v="3"/>
    <x v="1"/>
    <x v="2"/>
    <x v="0"/>
    <x v="1"/>
    <x v="0"/>
    <x v="0"/>
    <x v="1"/>
    <x v="1"/>
    <n v="2685.8943197676067"/>
    <n v="2748.685401539014"/>
    <n v="225.37726312850299"/>
  </r>
  <r>
    <x v="3"/>
    <x v="1"/>
    <x v="2"/>
    <x v="0"/>
    <x v="1"/>
    <x v="0"/>
    <x v="0"/>
    <x v="1"/>
    <x v="2"/>
    <n v="9827.5283571962882"/>
    <n v="9452.6206089321495"/>
    <n v="769.24601715633253"/>
  </r>
  <r>
    <x v="3"/>
    <x v="1"/>
    <x v="2"/>
    <x v="0"/>
    <x v="2"/>
    <x v="0"/>
    <x v="0"/>
    <x v="1"/>
    <x v="1"/>
    <n v="1493.2801141121322"/>
    <n v="1188.946230578123"/>
    <n v="162.47854780847445"/>
  </r>
  <r>
    <x v="3"/>
    <x v="1"/>
    <x v="2"/>
    <x v="0"/>
    <x v="2"/>
    <x v="0"/>
    <x v="0"/>
    <x v="1"/>
    <x v="2"/>
    <n v="13672.85348874038"/>
    <n v="10247.59416422257"/>
    <n v="1384.9192794881596"/>
  </r>
  <r>
    <x v="3"/>
    <x v="1"/>
    <x v="2"/>
    <x v="0"/>
    <x v="3"/>
    <x v="0"/>
    <x v="0"/>
    <x v="1"/>
    <x v="1"/>
    <n v="0.59061086392432971"/>
    <n v="0.23393907884150769"/>
    <n v="4.4757376876726589E-2"/>
  </r>
  <r>
    <x v="3"/>
    <x v="1"/>
    <x v="2"/>
    <x v="0"/>
    <x v="3"/>
    <x v="0"/>
    <x v="0"/>
    <x v="1"/>
    <x v="2"/>
    <n v="4767.2299812185429"/>
    <n v="2924.9332183746137"/>
    <n v="551.84315248084317"/>
  </r>
  <r>
    <x v="3"/>
    <x v="2"/>
    <x v="0"/>
    <x v="0"/>
    <x v="3"/>
    <x v="0"/>
    <x v="0"/>
    <x v="2"/>
    <x v="2"/>
    <n v="0"/>
    <n v="0"/>
    <n v="0"/>
  </r>
  <r>
    <x v="3"/>
    <x v="2"/>
    <x v="1"/>
    <x v="0"/>
    <x v="3"/>
    <x v="0"/>
    <x v="0"/>
    <x v="2"/>
    <x v="1"/>
    <n v="0"/>
    <n v="0"/>
    <n v="0"/>
  </r>
  <r>
    <x v="3"/>
    <x v="2"/>
    <x v="1"/>
    <x v="0"/>
    <x v="3"/>
    <x v="0"/>
    <x v="0"/>
    <x v="2"/>
    <x v="2"/>
    <n v="0"/>
    <n v="0"/>
    <n v="0"/>
  </r>
  <r>
    <x v="3"/>
    <x v="2"/>
    <x v="2"/>
    <x v="0"/>
    <x v="3"/>
    <x v="0"/>
    <x v="0"/>
    <x v="2"/>
    <x v="1"/>
    <n v="3410.9594632820649"/>
    <n v="0"/>
    <n v="0"/>
  </r>
  <r>
    <x v="3"/>
    <x v="2"/>
    <x v="2"/>
    <x v="0"/>
    <x v="3"/>
    <x v="0"/>
    <x v="0"/>
    <x v="2"/>
    <x v="2"/>
    <n v="38858.040536717919"/>
    <n v="0"/>
    <n v="0"/>
  </r>
  <r>
    <x v="3"/>
    <x v="3"/>
    <x v="0"/>
    <x v="1"/>
    <x v="0"/>
    <x v="1"/>
    <x v="1"/>
    <x v="3"/>
    <x v="1"/>
    <n v="0"/>
    <n v="0"/>
    <n v="0"/>
  </r>
  <r>
    <x v="3"/>
    <x v="3"/>
    <x v="0"/>
    <x v="1"/>
    <x v="0"/>
    <x v="1"/>
    <x v="1"/>
    <x v="3"/>
    <x v="2"/>
    <n v="0"/>
    <n v="0"/>
    <n v="0"/>
  </r>
  <r>
    <x v="3"/>
    <x v="3"/>
    <x v="1"/>
    <x v="1"/>
    <x v="0"/>
    <x v="1"/>
    <x v="1"/>
    <x v="3"/>
    <x v="1"/>
    <n v="0"/>
    <n v="0"/>
    <n v="0"/>
  </r>
  <r>
    <x v="3"/>
    <x v="3"/>
    <x v="1"/>
    <x v="1"/>
    <x v="0"/>
    <x v="1"/>
    <x v="1"/>
    <x v="3"/>
    <x v="2"/>
    <n v="0"/>
    <n v="0"/>
    <n v="0"/>
  </r>
  <r>
    <x v="3"/>
    <x v="3"/>
    <x v="2"/>
    <x v="1"/>
    <x v="0"/>
    <x v="1"/>
    <x v="1"/>
    <x v="3"/>
    <x v="1"/>
    <n v="160719.80563664212"/>
    <n v="104198.66860675999"/>
    <n v="4998.7950840997373"/>
  </r>
  <r>
    <x v="3"/>
    <x v="3"/>
    <x v="2"/>
    <x v="1"/>
    <x v="0"/>
    <x v="1"/>
    <x v="1"/>
    <x v="3"/>
    <x v="2"/>
    <n v="1109566.0630346846"/>
    <n v="666008.39019433793"/>
    <n v="31577.366976058944"/>
  </r>
  <r>
    <x v="3"/>
    <x v="3"/>
    <x v="0"/>
    <x v="1"/>
    <x v="1"/>
    <x v="1"/>
    <x v="1"/>
    <x v="3"/>
    <x v="1"/>
    <n v="0"/>
    <n v="0"/>
    <n v="0"/>
  </r>
  <r>
    <x v="3"/>
    <x v="3"/>
    <x v="0"/>
    <x v="1"/>
    <x v="1"/>
    <x v="1"/>
    <x v="1"/>
    <x v="3"/>
    <x v="2"/>
    <n v="0"/>
    <n v="0"/>
    <n v="0"/>
  </r>
  <r>
    <x v="3"/>
    <x v="3"/>
    <x v="1"/>
    <x v="1"/>
    <x v="1"/>
    <x v="1"/>
    <x v="1"/>
    <x v="3"/>
    <x v="1"/>
    <n v="0"/>
    <n v="0"/>
    <n v="0"/>
  </r>
  <r>
    <x v="3"/>
    <x v="3"/>
    <x v="1"/>
    <x v="1"/>
    <x v="1"/>
    <x v="1"/>
    <x v="1"/>
    <x v="3"/>
    <x v="2"/>
    <n v="0"/>
    <n v="0"/>
    <n v="0"/>
  </r>
  <r>
    <x v="3"/>
    <x v="3"/>
    <x v="2"/>
    <x v="1"/>
    <x v="1"/>
    <x v="1"/>
    <x v="1"/>
    <x v="3"/>
    <x v="1"/>
    <n v="332103.16643322702"/>
    <n v="184408.07651411832"/>
    <n v="18178.226109546518"/>
  </r>
  <r>
    <x v="3"/>
    <x v="3"/>
    <x v="2"/>
    <x v="1"/>
    <x v="1"/>
    <x v="1"/>
    <x v="1"/>
    <x v="3"/>
    <x v="2"/>
    <n v="2091456.9375508982"/>
    <n v="1092912.2672276257"/>
    <n v="106535.66793394373"/>
  </r>
  <r>
    <x v="3"/>
    <x v="3"/>
    <x v="0"/>
    <x v="1"/>
    <x v="2"/>
    <x v="1"/>
    <x v="1"/>
    <x v="3"/>
    <x v="1"/>
    <n v="0"/>
    <n v="0"/>
    <n v="0"/>
  </r>
  <r>
    <x v="3"/>
    <x v="3"/>
    <x v="0"/>
    <x v="1"/>
    <x v="2"/>
    <x v="1"/>
    <x v="1"/>
    <x v="3"/>
    <x v="2"/>
    <n v="0"/>
    <n v="0"/>
    <n v="0"/>
  </r>
  <r>
    <x v="3"/>
    <x v="3"/>
    <x v="1"/>
    <x v="1"/>
    <x v="2"/>
    <x v="1"/>
    <x v="1"/>
    <x v="3"/>
    <x v="1"/>
    <n v="0"/>
    <n v="0"/>
    <n v="0"/>
  </r>
  <r>
    <x v="3"/>
    <x v="3"/>
    <x v="1"/>
    <x v="1"/>
    <x v="2"/>
    <x v="1"/>
    <x v="1"/>
    <x v="3"/>
    <x v="2"/>
    <n v="0"/>
    <n v="0"/>
    <n v="0"/>
  </r>
  <r>
    <x v="3"/>
    <x v="3"/>
    <x v="2"/>
    <x v="1"/>
    <x v="2"/>
    <x v="1"/>
    <x v="1"/>
    <x v="3"/>
    <x v="1"/>
    <n v="225255.72245310864"/>
    <n v="106106.49319389681"/>
    <n v="17432.604376034855"/>
  </r>
  <r>
    <x v="3"/>
    <x v="3"/>
    <x v="2"/>
    <x v="1"/>
    <x v="2"/>
    <x v="1"/>
    <x v="1"/>
    <x v="3"/>
    <x v="2"/>
    <n v="2371620.4978230293"/>
    <n v="1050598.5389749827"/>
    <n v="170446.65207629581"/>
  </r>
  <r>
    <x v="3"/>
    <x v="3"/>
    <x v="0"/>
    <x v="1"/>
    <x v="3"/>
    <x v="1"/>
    <x v="1"/>
    <x v="3"/>
    <x v="1"/>
    <n v="0"/>
    <n v="0"/>
    <n v="0"/>
  </r>
  <r>
    <x v="3"/>
    <x v="3"/>
    <x v="0"/>
    <x v="1"/>
    <x v="3"/>
    <x v="1"/>
    <x v="1"/>
    <x v="3"/>
    <x v="2"/>
    <n v="0"/>
    <n v="0"/>
    <n v="0"/>
  </r>
  <r>
    <x v="3"/>
    <x v="3"/>
    <x v="1"/>
    <x v="1"/>
    <x v="3"/>
    <x v="1"/>
    <x v="1"/>
    <x v="3"/>
    <x v="1"/>
    <n v="0"/>
    <n v="0"/>
    <n v="0"/>
  </r>
  <r>
    <x v="3"/>
    <x v="3"/>
    <x v="1"/>
    <x v="1"/>
    <x v="3"/>
    <x v="1"/>
    <x v="1"/>
    <x v="3"/>
    <x v="2"/>
    <n v="0"/>
    <n v="0"/>
    <n v="0"/>
  </r>
  <r>
    <x v="3"/>
    <x v="3"/>
    <x v="2"/>
    <x v="1"/>
    <x v="3"/>
    <x v="1"/>
    <x v="1"/>
    <x v="3"/>
    <x v="1"/>
    <n v="311767.70254003792"/>
    <n v="133529.68894849939"/>
    <n v="30713.279062918915"/>
  </r>
  <r>
    <x v="3"/>
    <x v="3"/>
    <x v="2"/>
    <x v="1"/>
    <x v="3"/>
    <x v="1"/>
    <x v="1"/>
    <x v="3"/>
    <x v="2"/>
    <n v="2066536.1527167193"/>
    <n v="845435.67173278856"/>
    <n v="191809.53071084802"/>
  </r>
  <r>
    <x v="3"/>
    <x v="3"/>
    <x v="0"/>
    <x v="1"/>
    <x v="4"/>
    <x v="1"/>
    <x v="1"/>
    <x v="3"/>
    <x v="1"/>
    <n v="0"/>
    <n v="0"/>
    <n v="0"/>
  </r>
  <r>
    <x v="3"/>
    <x v="3"/>
    <x v="0"/>
    <x v="1"/>
    <x v="4"/>
    <x v="1"/>
    <x v="1"/>
    <x v="3"/>
    <x v="2"/>
    <n v="0"/>
    <n v="0"/>
    <n v="0"/>
  </r>
  <r>
    <x v="3"/>
    <x v="3"/>
    <x v="1"/>
    <x v="1"/>
    <x v="4"/>
    <x v="1"/>
    <x v="1"/>
    <x v="3"/>
    <x v="1"/>
    <n v="0"/>
    <n v="0"/>
    <n v="0"/>
  </r>
  <r>
    <x v="3"/>
    <x v="3"/>
    <x v="1"/>
    <x v="1"/>
    <x v="4"/>
    <x v="1"/>
    <x v="1"/>
    <x v="3"/>
    <x v="2"/>
    <n v="0"/>
    <n v="0"/>
    <n v="0"/>
  </r>
  <r>
    <x v="3"/>
    <x v="3"/>
    <x v="2"/>
    <x v="1"/>
    <x v="4"/>
    <x v="1"/>
    <x v="1"/>
    <x v="3"/>
    <x v="1"/>
    <n v="303379.72543835681"/>
    <n v="118053.00567165496"/>
    <n v="34911.609142779977"/>
  </r>
  <r>
    <x v="3"/>
    <x v="3"/>
    <x v="2"/>
    <x v="1"/>
    <x v="4"/>
    <x v="1"/>
    <x v="1"/>
    <x v="3"/>
    <x v="2"/>
    <n v="1570235.0587107495"/>
    <n v="583686.48369565222"/>
    <n v="170766.19049909766"/>
  </r>
  <r>
    <x v="3"/>
    <x v="3"/>
    <x v="0"/>
    <x v="1"/>
    <x v="5"/>
    <x v="1"/>
    <x v="1"/>
    <x v="3"/>
    <x v="1"/>
    <n v="0"/>
    <n v="0"/>
    <n v="0"/>
  </r>
  <r>
    <x v="3"/>
    <x v="3"/>
    <x v="0"/>
    <x v="1"/>
    <x v="5"/>
    <x v="1"/>
    <x v="1"/>
    <x v="3"/>
    <x v="2"/>
    <n v="0"/>
    <n v="0"/>
    <n v="0"/>
  </r>
  <r>
    <x v="3"/>
    <x v="3"/>
    <x v="1"/>
    <x v="1"/>
    <x v="5"/>
    <x v="1"/>
    <x v="1"/>
    <x v="3"/>
    <x v="1"/>
    <n v="0"/>
    <n v="0"/>
    <n v="0"/>
  </r>
  <r>
    <x v="3"/>
    <x v="3"/>
    <x v="1"/>
    <x v="1"/>
    <x v="5"/>
    <x v="1"/>
    <x v="1"/>
    <x v="3"/>
    <x v="2"/>
    <n v="0"/>
    <n v="0"/>
    <n v="0"/>
  </r>
  <r>
    <x v="3"/>
    <x v="3"/>
    <x v="2"/>
    <x v="1"/>
    <x v="5"/>
    <x v="1"/>
    <x v="1"/>
    <x v="3"/>
    <x v="1"/>
    <n v="184747.26144729363"/>
    <n v="65133.151642374309"/>
    <n v="23542.093856556141"/>
  </r>
  <r>
    <x v="3"/>
    <x v="3"/>
    <x v="2"/>
    <x v="1"/>
    <x v="5"/>
    <x v="1"/>
    <x v="1"/>
    <x v="3"/>
    <x v="2"/>
    <n v="1333934.3382227956"/>
    <n v="449073.75403720228"/>
    <n v="160608.6680078952"/>
  </r>
  <r>
    <x v="3"/>
    <x v="3"/>
    <x v="0"/>
    <x v="1"/>
    <x v="6"/>
    <x v="1"/>
    <x v="1"/>
    <x v="3"/>
    <x v="1"/>
    <n v="0"/>
    <n v="0"/>
    <n v="0"/>
  </r>
  <r>
    <x v="3"/>
    <x v="3"/>
    <x v="0"/>
    <x v="1"/>
    <x v="6"/>
    <x v="1"/>
    <x v="1"/>
    <x v="3"/>
    <x v="2"/>
    <n v="0"/>
    <n v="0"/>
    <n v="0"/>
  </r>
  <r>
    <x v="3"/>
    <x v="3"/>
    <x v="1"/>
    <x v="1"/>
    <x v="6"/>
    <x v="1"/>
    <x v="1"/>
    <x v="3"/>
    <x v="1"/>
    <n v="0"/>
    <n v="0"/>
    <n v="0"/>
  </r>
  <r>
    <x v="3"/>
    <x v="3"/>
    <x v="1"/>
    <x v="1"/>
    <x v="6"/>
    <x v="1"/>
    <x v="1"/>
    <x v="3"/>
    <x v="2"/>
    <n v="0"/>
    <n v="0"/>
    <n v="0"/>
  </r>
  <r>
    <x v="3"/>
    <x v="3"/>
    <x v="2"/>
    <x v="1"/>
    <x v="6"/>
    <x v="1"/>
    <x v="1"/>
    <x v="3"/>
    <x v="1"/>
    <n v="133744.74473723557"/>
    <n v="42942.12119969623"/>
    <n v="18343.286704354763"/>
  </r>
  <r>
    <x v="3"/>
    <x v="3"/>
    <x v="2"/>
    <x v="1"/>
    <x v="6"/>
    <x v="1"/>
    <x v="1"/>
    <x v="3"/>
    <x v="2"/>
    <n v="1043420.1871246415"/>
    <n v="320031.36640646023"/>
    <n v="135768.54664375851"/>
  </r>
  <r>
    <x v="3"/>
    <x v="3"/>
    <x v="0"/>
    <x v="1"/>
    <x v="7"/>
    <x v="1"/>
    <x v="1"/>
    <x v="3"/>
    <x v="1"/>
    <n v="0"/>
    <n v="0"/>
    <n v="0"/>
  </r>
  <r>
    <x v="3"/>
    <x v="3"/>
    <x v="0"/>
    <x v="1"/>
    <x v="7"/>
    <x v="1"/>
    <x v="1"/>
    <x v="3"/>
    <x v="2"/>
    <n v="0"/>
    <n v="0"/>
    <n v="0"/>
  </r>
  <r>
    <x v="3"/>
    <x v="3"/>
    <x v="1"/>
    <x v="1"/>
    <x v="7"/>
    <x v="1"/>
    <x v="1"/>
    <x v="3"/>
    <x v="1"/>
    <n v="0"/>
    <n v="0"/>
    <n v="0"/>
  </r>
  <r>
    <x v="3"/>
    <x v="3"/>
    <x v="1"/>
    <x v="1"/>
    <x v="7"/>
    <x v="1"/>
    <x v="1"/>
    <x v="3"/>
    <x v="2"/>
    <n v="0"/>
    <n v="0"/>
    <n v="0"/>
  </r>
  <r>
    <x v="3"/>
    <x v="3"/>
    <x v="2"/>
    <x v="1"/>
    <x v="7"/>
    <x v="1"/>
    <x v="1"/>
    <x v="3"/>
    <x v="1"/>
    <n v="71394.351467862798"/>
    <n v="21112.835546178932"/>
    <n v="10406.103290783156"/>
  </r>
  <r>
    <x v="3"/>
    <x v="3"/>
    <x v="2"/>
    <x v="1"/>
    <x v="7"/>
    <x v="1"/>
    <x v="1"/>
    <x v="3"/>
    <x v="2"/>
    <n v="671993.74574535247"/>
    <n v="189949.46072936064"/>
    <n v="92474.993213021589"/>
  </r>
  <r>
    <x v="3"/>
    <x v="3"/>
    <x v="0"/>
    <x v="1"/>
    <x v="8"/>
    <x v="1"/>
    <x v="1"/>
    <x v="3"/>
    <x v="1"/>
    <n v="0"/>
    <n v="0"/>
    <n v="0"/>
  </r>
  <r>
    <x v="3"/>
    <x v="3"/>
    <x v="0"/>
    <x v="1"/>
    <x v="8"/>
    <x v="1"/>
    <x v="1"/>
    <x v="3"/>
    <x v="2"/>
    <n v="0"/>
    <n v="0"/>
    <n v="0"/>
  </r>
  <r>
    <x v="3"/>
    <x v="3"/>
    <x v="1"/>
    <x v="1"/>
    <x v="8"/>
    <x v="1"/>
    <x v="1"/>
    <x v="3"/>
    <x v="2"/>
    <n v="0"/>
    <n v="0"/>
    <n v="0"/>
  </r>
  <r>
    <x v="3"/>
    <x v="3"/>
    <x v="2"/>
    <x v="1"/>
    <x v="8"/>
    <x v="1"/>
    <x v="1"/>
    <x v="3"/>
    <x v="1"/>
    <n v="31298.386034894454"/>
    <n v="8554.7974387053273"/>
    <n v="4778.6911266405968"/>
  </r>
  <r>
    <x v="3"/>
    <x v="3"/>
    <x v="2"/>
    <x v="1"/>
    <x v="8"/>
    <x v="1"/>
    <x v="1"/>
    <x v="3"/>
    <x v="2"/>
    <n v="402871.22659007349"/>
    <n v="105497.99847777259"/>
    <n v="57951.895273405273"/>
  </r>
  <r>
    <x v="3"/>
    <x v="3"/>
    <x v="0"/>
    <x v="1"/>
    <x v="9"/>
    <x v="1"/>
    <x v="1"/>
    <x v="3"/>
    <x v="2"/>
    <n v="0"/>
    <n v="0"/>
    <n v="0"/>
  </r>
  <r>
    <x v="3"/>
    <x v="3"/>
    <x v="1"/>
    <x v="1"/>
    <x v="9"/>
    <x v="1"/>
    <x v="1"/>
    <x v="3"/>
    <x v="2"/>
    <n v="0"/>
    <n v="0"/>
    <n v="0"/>
  </r>
  <r>
    <x v="3"/>
    <x v="3"/>
    <x v="2"/>
    <x v="1"/>
    <x v="9"/>
    <x v="1"/>
    <x v="1"/>
    <x v="3"/>
    <x v="1"/>
    <n v="50940.424074568349"/>
    <n v="12908.054886435764"/>
    <n v="8058.6948813309864"/>
  </r>
  <r>
    <x v="3"/>
    <x v="3"/>
    <x v="2"/>
    <x v="1"/>
    <x v="9"/>
    <x v="1"/>
    <x v="1"/>
    <x v="3"/>
    <x v="2"/>
    <n v="223077.72129490829"/>
    <n v="54147.362438227901"/>
    <n v="33286.302860293195"/>
  </r>
  <r>
    <x v="3"/>
    <x v="3"/>
    <x v="2"/>
    <x v="1"/>
    <x v="10"/>
    <x v="1"/>
    <x v="1"/>
    <x v="3"/>
    <x v="1"/>
    <n v="97178.534771387203"/>
    <n v="22946.711745896486"/>
    <n v="15833.978952049354"/>
  </r>
  <r>
    <x v="3"/>
    <x v="3"/>
    <x v="2"/>
    <x v="1"/>
    <x v="10"/>
    <x v="1"/>
    <x v="1"/>
    <x v="3"/>
    <x v="2"/>
    <n v="328044.88692097832"/>
    <n v="74484.621083502832"/>
    <n v="50845.063703662752"/>
  </r>
  <r>
    <x v="3"/>
    <x v="3"/>
    <x v="0"/>
    <x v="1"/>
    <x v="11"/>
    <x v="1"/>
    <x v="1"/>
    <x v="3"/>
    <x v="1"/>
    <n v="0"/>
    <n v="0"/>
    <n v="0"/>
  </r>
  <r>
    <x v="3"/>
    <x v="3"/>
    <x v="0"/>
    <x v="1"/>
    <x v="11"/>
    <x v="1"/>
    <x v="1"/>
    <x v="3"/>
    <x v="2"/>
    <n v="0"/>
    <n v="0"/>
    <n v="0"/>
  </r>
  <r>
    <x v="3"/>
    <x v="3"/>
    <x v="2"/>
    <x v="1"/>
    <x v="11"/>
    <x v="1"/>
    <x v="1"/>
    <x v="3"/>
    <x v="1"/>
    <n v="86281.108950254536"/>
    <n v="18737.775989367063"/>
    <n v="14161.073832846962"/>
  </r>
  <r>
    <x v="3"/>
    <x v="3"/>
    <x v="2"/>
    <x v="1"/>
    <x v="11"/>
    <x v="1"/>
    <x v="1"/>
    <x v="3"/>
    <x v="2"/>
    <n v="790953.03075375897"/>
    <n v="169100.68643380489"/>
    <n v="125688.57151025013"/>
  </r>
  <r>
    <x v="3"/>
    <x v="3"/>
    <x v="0"/>
    <x v="1"/>
    <x v="12"/>
    <x v="1"/>
    <x v="1"/>
    <x v="3"/>
    <x v="1"/>
    <n v="0"/>
    <n v="0"/>
    <n v="0"/>
  </r>
  <r>
    <x v="3"/>
    <x v="3"/>
    <x v="0"/>
    <x v="1"/>
    <x v="12"/>
    <x v="1"/>
    <x v="1"/>
    <x v="3"/>
    <x v="2"/>
    <n v="0"/>
    <n v="0"/>
    <n v="0"/>
  </r>
  <r>
    <x v="3"/>
    <x v="3"/>
    <x v="1"/>
    <x v="1"/>
    <x v="12"/>
    <x v="1"/>
    <x v="1"/>
    <x v="3"/>
    <x v="2"/>
    <n v="0"/>
    <n v="0"/>
    <n v="0"/>
  </r>
  <r>
    <x v="3"/>
    <x v="3"/>
    <x v="2"/>
    <x v="1"/>
    <x v="12"/>
    <x v="1"/>
    <x v="1"/>
    <x v="3"/>
    <x v="1"/>
    <n v="11065.423978151386"/>
    <n v="2334.1864677966264"/>
    <n v="1917.4580182682623"/>
  </r>
  <r>
    <x v="3"/>
    <x v="3"/>
    <x v="2"/>
    <x v="1"/>
    <x v="12"/>
    <x v="1"/>
    <x v="1"/>
    <x v="3"/>
    <x v="2"/>
    <n v="194277.55520629205"/>
    <n v="38483.087556499253"/>
    <n v="30992.423757301964"/>
  </r>
  <r>
    <x v="3"/>
    <x v="3"/>
    <x v="2"/>
    <x v="1"/>
    <x v="1"/>
    <x v="1"/>
    <x v="1"/>
    <x v="3"/>
    <x v="1"/>
    <n v="283.19246701672307"/>
    <n v="615.65147199956652"/>
    <n v="60.68851144828492"/>
  </r>
  <r>
    <x v="3"/>
    <x v="3"/>
    <x v="2"/>
    <x v="1"/>
    <x v="1"/>
    <x v="1"/>
    <x v="1"/>
    <x v="3"/>
    <x v="2"/>
    <n v="2839.0478750138354"/>
    <n v="3643.0916884245144"/>
    <n v="355.54388451719058"/>
  </r>
  <r>
    <x v="3"/>
    <x v="4"/>
    <x v="0"/>
    <x v="1"/>
    <x v="0"/>
    <x v="1"/>
    <x v="1"/>
    <x v="4"/>
    <x v="1"/>
    <n v="39101.796724504493"/>
    <n v="27433.599034959614"/>
    <n v="1348.4592086015637"/>
  </r>
  <r>
    <x v="3"/>
    <x v="4"/>
    <x v="0"/>
    <x v="1"/>
    <x v="0"/>
    <x v="1"/>
    <x v="1"/>
    <x v="4"/>
    <x v="2"/>
    <n v="310011.27233342652"/>
    <n v="179025.05332957403"/>
    <n v="12041.487396530703"/>
  </r>
  <r>
    <x v="3"/>
    <x v="4"/>
    <x v="2"/>
    <x v="1"/>
    <x v="0"/>
    <x v="1"/>
    <x v="1"/>
    <x v="4"/>
    <x v="1"/>
    <n v="54516.244047880515"/>
    <n v="38912.193186777578"/>
    <n v="2413.7711180132706"/>
  </r>
  <r>
    <x v="3"/>
    <x v="4"/>
    <x v="2"/>
    <x v="1"/>
    <x v="0"/>
    <x v="1"/>
    <x v="1"/>
    <x v="4"/>
    <x v="2"/>
    <n v="402492.30716431391"/>
    <n v="264420.10054219415"/>
    <n v="13141.426691197938"/>
  </r>
  <r>
    <x v="3"/>
    <x v="4"/>
    <x v="0"/>
    <x v="1"/>
    <x v="1"/>
    <x v="1"/>
    <x v="1"/>
    <x v="4"/>
    <x v="1"/>
    <n v="13411.340352378342"/>
    <n v="8031.123061854868"/>
    <n v="811.14726145702684"/>
  </r>
  <r>
    <x v="3"/>
    <x v="4"/>
    <x v="0"/>
    <x v="1"/>
    <x v="1"/>
    <x v="1"/>
    <x v="1"/>
    <x v="4"/>
    <x v="2"/>
    <n v="41798.099025508855"/>
    <n v="23463.308302895835"/>
    <n v="2336.1410017284243"/>
  </r>
  <r>
    <x v="3"/>
    <x v="4"/>
    <x v="1"/>
    <x v="1"/>
    <x v="1"/>
    <x v="1"/>
    <x v="1"/>
    <x v="4"/>
    <x v="2"/>
    <n v="6886.077665055017"/>
    <n v="4123.9328647493649"/>
    <n v="440.88105061171359"/>
  </r>
  <r>
    <x v="3"/>
    <x v="4"/>
    <x v="2"/>
    <x v="1"/>
    <x v="1"/>
    <x v="1"/>
    <x v="1"/>
    <x v="4"/>
    <x v="1"/>
    <n v="16507.446168834325"/>
    <n v="9878.362259235184"/>
    <n v="1259.1101489351361"/>
  </r>
  <r>
    <x v="3"/>
    <x v="4"/>
    <x v="2"/>
    <x v="1"/>
    <x v="1"/>
    <x v="1"/>
    <x v="1"/>
    <x v="4"/>
    <x v="2"/>
    <n v="194385.63878163783"/>
    <n v="108554.52992816303"/>
    <n v="10772.48096223074"/>
  </r>
  <r>
    <x v="3"/>
    <x v="4"/>
    <x v="0"/>
    <x v="1"/>
    <x v="2"/>
    <x v="1"/>
    <x v="1"/>
    <x v="4"/>
    <x v="1"/>
    <n v="46039.96084114362"/>
    <n v="23733.141389736462"/>
    <n v="3995.0976751710018"/>
  </r>
  <r>
    <x v="3"/>
    <x v="4"/>
    <x v="0"/>
    <x v="1"/>
    <x v="2"/>
    <x v="1"/>
    <x v="1"/>
    <x v="4"/>
    <x v="2"/>
    <n v="193630.99231864704"/>
    <n v="94085.584343526702"/>
    <n v="21115.209396117527"/>
  </r>
  <r>
    <x v="3"/>
    <x v="4"/>
    <x v="2"/>
    <x v="1"/>
    <x v="2"/>
    <x v="1"/>
    <x v="1"/>
    <x v="4"/>
    <x v="1"/>
    <n v="101827.13580216675"/>
    <n v="52549.996931773319"/>
    <n v="11163.49598697359"/>
  </r>
  <r>
    <x v="3"/>
    <x v="4"/>
    <x v="2"/>
    <x v="1"/>
    <x v="2"/>
    <x v="1"/>
    <x v="1"/>
    <x v="4"/>
    <x v="2"/>
    <n v="460637.1497924428"/>
    <n v="223736.36920429682"/>
    <n v="40495.284015451383"/>
  </r>
  <r>
    <x v="3"/>
    <x v="4"/>
    <x v="0"/>
    <x v="1"/>
    <x v="3"/>
    <x v="1"/>
    <x v="1"/>
    <x v="4"/>
    <x v="1"/>
    <n v="46817.466021147273"/>
    <n v="21177.750945181993"/>
    <n v="4990.9135519771662"/>
  </r>
  <r>
    <x v="3"/>
    <x v="4"/>
    <x v="0"/>
    <x v="1"/>
    <x v="3"/>
    <x v="1"/>
    <x v="1"/>
    <x v="4"/>
    <x v="2"/>
    <n v="364845.92712949793"/>
    <n v="157646.99562143194"/>
    <n v="46487.04452428707"/>
  </r>
  <r>
    <x v="3"/>
    <x v="4"/>
    <x v="2"/>
    <x v="1"/>
    <x v="3"/>
    <x v="1"/>
    <x v="1"/>
    <x v="4"/>
    <x v="1"/>
    <n v="29209.570728808681"/>
    <n v="13215.0460591909"/>
    <n v="3930.2867967314805"/>
  </r>
  <r>
    <x v="3"/>
    <x v="4"/>
    <x v="2"/>
    <x v="1"/>
    <x v="3"/>
    <x v="1"/>
    <x v="1"/>
    <x v="4"/>
    <x v="2"/>
    <n v="235425.81894549323"/>
    <n v="100949.80701748095"/>
    <n v="25213.408160761257"/>
  </r>
  <r>
    <x v="3"/>
    <x v="4"/>
    <x v="0"/>
    <x v="1"/>
    <x v="4"/>
    <x v="1"/>
    <x v="1"/>
    <x v="4"/>
    <x v="1"/>
    <n v="39861.869451867075"/>
    <n v="16412.673751356819"/>
    <n v="4973.0636415597137"/>
  </r>
  <r>
    <x v="3"/>
    <x v="4"/>
    <x v="0"/>
    <x v="1"/>
    <x v="4"/>
    <x v="1"/>
    <x v="1"/>
    <x v="4"/>
    <x v="2"/>
    <n v="143378.56962671873"/>
    <n v="55207.156401002634"/>
    <n v="18107.913844811206"/>
  </r>
  <r>
    <x v="3"/>
    <x v="4"/>
    <x v="1"/>
    <x v="1"/>
    <x v="4"/>
    <x v="1"/>
    <x v="1"/>
    <x v="4"/>
    <x v="1"/>
    <n v="29.916543796566526"/>
    <n v="8.0454801404337921"/>
    <n v="4.5297215139877274"/>
  </r>
  <r>
    <x v="3"/>
    <x v="4"/>
    <x v="1"/>
    <x v="1"/>
    <x v="4"/>
    <x v="1"/>
    <x v="1"/>
    <x v="4"/>
    <x v="2"/>
    <n v="193.76002759597068"/>
    <n v="73.305730123052086"/>
    <n v="31.939444118676715"/>
  </r>
  <r>
    <x v="3"/>
    <x v="4"/>
    <x v="2"/>
    <x v="1"/>
    <x v="4"/>
    <x v="1"/>
    <x v="1"/>
    <x v="4"/>
    <x v="1"/>
    <n v="49796.647515027966"/>
    <n v="19995.544983450254"/>
    <n v="7645.9820853240881"/>
  </r>
  <r>
    <x v="3"/>
    <x v="4"/>
    <x v="2"/>
    <x v="1"/>
    <x v="4"/>
    <x v="1"/>
    <x v="1"/>
    <x v="4"/>
    <x v="2"/>
    <n v="672272.97802504478"/>
    <n v="256967.90337488748"/>
    <n v="76549.541034318521"/>
  </r>
  <r>
    <x v="3"/>
    <x v="4"/>
    <x v="0"/>
    <x v="1"/>
    <x v="5"/>
    <x v="1"/>
    <x v="1"/>
    <x v="4"/>
    <x v="1"/>
    <n v="6968.605056217978"/>
    <n v="2515.861043057907"/>
    <n v="931.71160808679599"/>
  </r>
  <r>
    <x v="3"/>
    <x v="4"/>
    <x v="0"/>
    <x v="1"/>
    <x v="5"/>
    <x v="1"/>
    <x v="1"/>
    <x v="4"/>
    <x v="2"/>
    <n v="20076.266757448782"/>
    <n v="6947.1341069907203"/>
    <n v="2746.1937865889377"/>
  </r>
  <r>
    <x v="3"/>
    <x v="4"/>
    <x v="2"/>
    <x v="1"/>
    <x v="5"/>
    <x v="1"/>
    <x v="1"/>
    <x v="4"/>
    <x v="1"/>
    <n v="9687.8193962279147"/>
    <n v="3497.3071685652649"/>
    <n v="1634.4964606334693"/>
  </r>
  <r>
    <x v="3"/>
    <x v="4"/>
    <x v="2"/>
    <x v="1"/>
    <x v="5"/>
    <x v="1"/>
    <x v="1"/>
    <x v="4"/>
    <x v="2"/>
    <n v="58535.155669041269"/>
    <n v="20282.62332754771"/>
    <n v="7676.1517709866939"/>
  </r>
  <r>
    <x v="3"/>
    <x v="4"/>
    <x v="0"/>
    <x v="1"/>
    <x v="6"/>
    <x v="1"/>
    <x v="1"/>
    <x v="4"/>
    <x v="1"/>
    <n v="16693.853386971168"/>
    <n v="5473.6537730061145"/>
    <n v="2395.6471193897601"/>
  </r>
  <r>
    <x v="3"/>
    <x v="4"/>
    <x v="0"/>
    <x v="1"/>
    <x v="6"/>
    <x v="1"/>
    <x v="1"/>
    <x v="4"/>
    <x v="2"/>
    <n v="29051.167917942981"/>
    <n v="9164.8403094351434"/>
    <n v="4229.6568824568058"/>
  </r>
  <r>
    <x v="3"/>
    <x v="4"/>
    <x v="2"/>
    <x v="1"/>
    <x v="6"/>
    <x v="1"/>
    <x v="1"/>
    <x v="4"/>
    <x v="1"/>
    <n v="39475.097065401802"/>
    <n v="13102.266620214657"/>
    <n v="7236.8122621359453"/>
  </r>
  <r>
    <x v="3"/>
    <x v="4"/>
    <x v="2"/>
    <x v="1"/>
    <x v="6"/>
    <x v="1"/>
    <x v="1"/>
    <x v="4"/>
    <x v="2"/>
    <n v="98147.934237651163"/>
    <n v="30724.118518985189"/>
    <n v="14825.637712689151"/>
  </r>
  <r>
    <x v="3"/>
    <x v="4"/>
    <x v="0"/>
    <x v="1"/>
    <x v="7"/>
    <x v="1"/>
    <x v="1"/>
    <x v="4"/>
    <x v="1"/>
    <n v="681.67582221092232"/>
    <n v="204.71714905998184"/>
    <n v="103.3826486995345"/>
  </r>
  <r>
    <x v="3"/>
    <x v="4"/>
    <x v="0"/>
    <x v="1"/>
    <x v="7"/>
    <x v="1"/>
    <x v="1"/>
    <x v="4"/>
    <x v="2"/>
    <n v="4123.6988239185785"/>
    <n v="1195.3316296364469"/>
    <n v="570.72517023622061"/>
  </r>
  <r>
    <x v="3"/>
    <x v="4"/>
    <x v="2"/>
    <x v="1"/>
    <x v="7"/>
    <x v="1"/>
    <x v="1"/>
    <x v="4"/>
    <x v="1"/>
    <n v="882.94980322711547"/>
    <n v="265.15578093173389"/>
    <n v="168.98567093338008"/>
  </r>
  <r>
    <x v="3"/>
    <x v="4"/>
    <x v="2"/>
    <x v="1"/>
    <x v="7"/>
    <x v="1"/>
    <x v="1"/>
    <x v="4"/>
    <x v="2"/>
    <n v="22051.827744394825"/>
    <n v="6390.4970304803282"/>
    <n v="2818.308261518122"/>
  </r>
  <r>
    <x v="3"/>
    <x v="4"/>
    <x v="0"/>
    <x v="1"/>
    <x v="8"/>
    <x v="1"/>
    <x v="1"/>
    <x v="4"/>
    <x v="1"/>
    <n v="5939.067530296702"/>
    <n v="1645.2489763058638"/>
    <n v="941.63527946377974"/>
  </r>
  <r>
    <x v="3"/>
    <x v="4"/>
    <x v="0"/>
    <x v="1"/>
    <x v="8"/>
    <x v="1"/>
    <x v="1"/>
    <x v="4"/>
    <x v="2"/>
    <n v="81937.099073658625"/>
    <n v="21968.091049247836"/>
    <n v="11850.857382126384"/>
  </r>
  <r>
    <x v="3"/>
    <x v="4"/>
    <x v="2"/>
    <x v="1"/>
    <x v="8"/>
    <x v="1"/>
    <x v="1"/>
    <x v="4"/>
    <x v="1"/>
    <n v="7452.8945052585204"/>
    <n v="2064.5580158980952"/>
    <n v="1491.1918934636249"/>
  </r>
  <r>
    <x v="3"/>
    <x v="4"/>
    <x v="2"/>
    <x v="1"/>
    <x v="8"/>
    <x v="1"/>
    <x v="1"/>
    <x v="4"/>
    <x v="2"/>
    <n v="558081.29454147746"/>
    <n v="149603.0494779454"/>
    <n v="75799.866154911608"/>
  </r>
  <r>
    <x v="3"/>
    <x v="4"/>
    <x v="0"/>
    <x v="1"/>
    <x v="9"/>
    <x v="1"/>
    <x v="1"/>
    <x v="4"/>
    <x v="1"/>
    <n v="114.45651366435898"/>
    <n v="29.274152000890613"/>
    <n v="18.725787698604588"/>
  </r>
  <r>
    <x v="3"/>
    <x v="4"/>
    <x v="0"/>
    <x v="1"/>
    <x v="9"/>
    <x v="1"/>
    <x v="1"/>
    <x v="4"/>
    <x v="2"/>
    <n v="20072.394217076253"/>
    <n v="4980.9788698330503"/>
    <n v="4066.7355952259641"/>
  </r>
  <r>
    <x v="3"/>
    <x v="4"/>
    <x v="2"/>
    <x v="1"/>
    <x v="9"/>
    <x v="1"/>
    <x v="1"/>
    <x v="4"/>
    <x v="1"/>
    <n v="146.41449343198224"/>
    <n v="37.446965562618487"/>
    <n v="30.229276535190603"/>
  </r>
  <r>
    <x v="3"/>
    <x v="4"/>
    <x v="2"/>
    <x v="1"/>
    <x v="9"/>
    <x v="1"/>
    <x v="1"/>
    <x v="4"/>
    <x v="2"/>
    <n v="37458.548819159339"/>
    <n v="9301.2303234374012"/>
    <n v="6343.2745547850473"/>
  </r>
  <r>
    <x v="3"/>
    <x v="4"/>
    <x v="0"/>
    <x v="1"/>
    <x v="10"/>
    <x v="1"/>
    <x v="1"/>
    <x v="4"/>
    <x v="1"/>
    <n v="4769.2213961600992"/>
    <n v="1132.885336443846"/>
    <n v="800.95371691678179"/>
  </r>
  <r>
    <x v="3"/>
    <x v="4"/>
    <x v="0"/>
    <x v="1"/>
    <x v="10"/>
    <x v="1"/>
    <x v="1"/>
    <x v="4"/>
    <x v="2"/>
    <n v="8736.5407958711075"/>
    <n v="2017.7724153208073"/>
    <n v="1551.6492570768235"/>
  </r>
  <r>
    <x v="3"/>
    <x v="4"/>
    <x v="2"/>
    <x v="1"/>
    <x v="10"/>
    <x v="1"/>
    <x v="1"/>
    <x v="4"/>
    <x v="1"/>
    <n v="26002.56190621178"/>
    <n v="6173.3279145872066"/>
    <n v="5508.0282927326052"/>
  </r>
  <r>
    <x v="3"/>
    <x v="4"/>
    <x v="2"/>
    <x v="1"/>
    <x v="10"/>
    <x v="1"/>
    <x v="1"/>
    <x v="4"/>
    <x v="2"/>
    <n v="23270.238819872629"/>
    <n v="5367.6407470028753"/>
    <n v="3927.3373581047581"/>
  </r>
  <r>
    <x v="3"/>
    <x v="4"/>
    <x v="0"/>
    <x v="1"/>
    <x v="11"/>
    <x v="1"/>
    <x v="1"/>
    <x v="4"/>
    <x v="1"/>
    <n v="190.80224240580813"/>
    <n v="42.308487538300419"/>
    <n v="32.761026961052202"/>
  </r>
  <r>
    <x v="3"/>
    <x v="4"/>
    <x v="0"/>
    <x v="1"/>
    <x v="11"/>
    <x v="1"/>
    <x v="1"/>
    <x v="4"/>
    <x v="2"/>
    <n v="3390.8839298274502"/>
    <n v="732.40702420085586"/>
    <n v="814.33520662019339"/>
  </r>
  <r>
    <x v="3"/>
    <x v="4"/>
    <x v="2"/>
    <x v="1"/>
    <x v="11"/>
    <x v="1"/>
    <x v="1"/>
    <x v="4"/>
    <x v="1"/>
    <n v="199.34258346218201"/>
    <n v="44.201077864138071"/>
    <n v="43.193482153491388"/>
  </r>
  <r>
    <x v="3"/>
    <x v="4"/>
    <x v="2"/>
    <x v="1"/>
    <x v="11"/>
    <x v="1"/>
    <x v="1"/>
    <x v="4"/>
    <x v="2"/>
    <n v="12725.888980066673"/>
    <n v="2747.1170573431896"/>
    <n v="2457.1264241590288"/>
  </r>
  <r>
    <x v="3"/>
    <x v="4"/>
    <x v="0"/>
    <x v="1"/>
    <x v="12"/>
    <x v="1"/>
    <x v="1"/>
    <x v="4"/>
    <x v="1"/>
    <n v="440.16320568861568"/>
    <n v="91.514355886235364"/>
    <n v="77.024946770000767"/>
  </r>
  <r>
    <x v="3"/>
    <x v="4"/>
    <x v="0"/>
    <x v="1"/>
    <x v="12"/>
    <x v="1"/>
    <x v="1"/>
    <x v="4"/>
    <x v="2"/>
    <n v="386.05526935305716"/>
    <n v="78.311065502233959"/>
    <n v="64.176867196553829"/>
  </r>
  <r>
    <x v="3"/>
    <x v="4"/>
    <x v="2"/>
    <x v="1"/>
    <x v="12"/>
    <x v="1"/>
    <x v="1"/>
    <x v="4"/>
    <x v="1"/>
    <n v="2288.1878311728383"/>
    <n v="475.48316108363804"/>
    <n v="505.04801813045447"/>
  </r>
  <r>
    <x v="3"/>
    <x v="4"/>
    <x v="2"/>
    <x v="1"/>
    <x v="12"/>
    <x v="1"/>
    <x v="1"/>
    <x v="4"/>
    <x v="2"/>
    <n v="414.90663229815601"/>
    <n v="84.123325100325559"/>
    <n v="70.525406189903293"/>
  </r>
  <r>
    <x v="3"/>
    <x v="5"/>
    <x v="2"/>
    <x v="0"/>
    <x v="0"/>
    <x v="2"/>
    <x v="2"/>
    <x v="5"/>
    <x v="2"/>
    <n v="213298"/>
    <n v="331208"/>
    <n v="20149"/>
  </r>
  <r>
    <x v="3"/>
    <x v="6"/>
    <x v="2"/>
    <x v="0"/>
    <x v="0"/>
    <x v="2"/>
    <x v="2"/>
    <x v="6"/>
    <x v="1"/>
    <n v="13929.197033265518"/>
    <n v="21900.800691359611"/>
    <n v="1019.1268557837927"/>
  </r>
  <r>
    <x v="3"/>
    <x v="6"/>
    <x v="2"/>
    <x v="0"/>
    <x v="0"/>
    <x v="2"/>
    <x v="2"/>
    <x v="6"/>
    <x v="2"/>
    <n v="773441.80296673439"/>
    <n v="1127445.1993086403"/>
    <n v="60187.87314421621"/>
  </r>
  <r>
    <x v="3"/>
    <x v="93"/>
    <x v="2"/>
    <x v="0"/>
    <x v="0"/>
    <x v="2"/>
    <x v="2"/>
    <x v="67"/>
    <x v="2"/>
    <n v="2823"/>
    <n v="4404"/>
    <n v="275"/>
  </r>
  <r>
    <x v="3"/>
    <x v="94"/>
    <x v="2"/>
    <x v="0"/>
    <x v="0"/>
    <x v="2"/>
    <x v="2"/>
    <x v="68"/>
    <x v="1"/>
    <n v="545.98744368419295"/>
    <n v="877.76116578731148"/>
    <n v="41.319836002824566"/>
  </r>
  <r>
    <x v="3"/>
    <x v="94"/>
    <x v="2"/>
    <x v="0"/>
    <x v="0"/>
    <x v="2"/>
    <x v="2"/>
    <x v="68"/>
    <x v="2"/>
    <n v="38220.012556315807"/>
    <n v="56874.238834212687"/>
    <n v="3041.6801639971754"/>
  </r>
  <r>
    <x v="3"/>
    <x v="7"/>
    <x v="0"/>
    <x v="0"/>
    <x v="0"/>
    <x v="2"/>
    <x v="2"/>
    <x v="7"/>
    <x v="1"/>
    <n v="1277323.8093098348"/>
    <n v="2350001.8528082813"/>
    <n v="117914.69282349326"/>
  </r>
  <r>
    <x v="3"/>
    <x v="7"/>
    <x v="0"/>
    <x v="0"/>
    <x v="0"/>
    <x v="2"/>
    <x v="2"/>
    <x v="7"/>
    <x v="2"/>
    <n v="8485901.7745685987"/>
    <n v="13009383.784077749"/>
    <n v="662594.22424464917"/>
  </r>
  <r>
    <x v="3"/>
    <x v="7"/>
    <x v="1"/>
    <x v="0"/>
    <x v="0"/>
    <x v="2"/>
    <x v="2"/>
    <x v="7"/>
    <x v="1"/>
    <n v="54243.008641768567"/>
    <n v="93526.170091864828"/>
    <n v="4692.8089031765221"/>
  </r>
  <r>
    <x v="3"/>
    <x v="7"/>
    <x v="1"/>
    <x v="0"/>
    <x v="0"/>
    <x v="2"/>
    <x v="2"/>
    <x v="7"/>
    <x v="2"/>
    <n v="266967.52379476413"/>
    <n v="412657.25566135824"/>
    <n v="21017.218207966922"/>
  </r>
  <r>
    <x v="3"/>
    <x v="7"/>
    <x v="2"/>
    <x v="0"/>
    <x v="0"/>
    <x v="2"/>
    <x v="2"/>
    <x v="7"/>
    <x v="1"/>
    <n v="4409424.7355586244"/>
    <n v="9568033.1440936346"/>
    <n v="523202.88567236369"/>
  </r>
  <r>
    <x v="3"/>
    <x v="7"/>
    <x v="2"/>
    <x v="0"/>
    <x v="0"/>
    <x v="2"/>
    <x v="2"/>
    <x v="7"/>
    <x v="2"/>
    <n v="31995133.368160401"/>
    <n v="47601708.799029939"/>
    <n v="2573098.436417595"/>
  </r>
  <r>
    <x v="3"/>
    <x v="7"/>
    <x v="0"/>
    <x v="0"/>
    <x v="1"/>
    <x v="2"/>
    <x v="2"/>
    <x v="7"/>
    <x v="1"/>
    <n v="9758.838471268411"/>
    <n v="16334.177553096291"/>
    <n v="1684.0903615448128"/>
  </r>
  <r>
    <x v="3"/>
    <x v="7"/>
    <x v="0"/>
    <x v="0"/>
    <x v="1"/>
    <x v="2"/>
    <x v="2"/>
    <x v="7"/>
    <x v="2"/>
    <n v="44056.48585016725"/>
    <n v="68338.54112667148"/>
    <n v="7165.7269560185923"/>
  </r>
  <r>
    <x v="3"/>
    <x v="7"/>
    <x v="1"/>
    <x v="0"/>
    <x v="1"/>
    <x v="2"/>
    <x v="2"/>
    <x v="7"/>
    <x v="1"/>
    <n v="10999.318687661505"/>
    <n v="18456.130571162139"/>
    <n v="1902.8684796201987"/>
  </r>
  <r>
    <x v="3"/>
    <x v="7"/>
    <x v="1"/>
    <x v="0"/>
    <x v="1"/>
    <x v="2"/>
    <x v="2"/>
    <x v="7"/>
    <x v="2"/>
    <n v="114323.16166166657"/>
    <n v="177531.12081047238"/>
    <n v="18492.28203766598"/>
  </r>
  <r>
    <x v="3"/>
    <x v="7"/>
    <x v="2"/>
    <x v="0"/>
    <x v="1"/>
    <x v="2"/>
    <x v="2"/>
    <x v="7"/>
    <x v="1"/>
    <n v="92842.509262266598"/>
    <n v="143419.97576776939"/>
    <n v="16114.821648072235"/>
  </r>
  <r>
    <x v="3"/>
    <x v="7"/>
    <x v="2"/>
    <x v="0"/>
    <x v="1"/>
    <x v="2"/>
    <x v="2"/>
    <x v="7"/>
    <x v="2"/>
    <n v="648636.25254637841"/>
    <n v="976571.20008347102"/>
    <n v="108301.11692322692"/>
  </r>
  <r>
    <x v="3"/>
    <x v="7"/>
    <x v="0"/>
    <x v="0"/>
    <x v="2"/>
    <x v="2"/>
    <x v="2"/>
    <x v="7"/>
    <x v="1"/>
    <n v="1633.9333821784978"/>
    <n v="2696.4002964028841"/>
    <n v="463.34153599894512"/>
  </r>
  <r>
    <x v="3"/>
    <x v="7"/>
    <x v="0"/>
    <x v="0"/>
    <x v="2"/>
    <x v="2"/>
    <x v="2"/>
    <x v="7"/>
    <x v="2"/>
    <n v="8036.9572594715801"/>
    <n v="12434.881820509641"/>
    <n v="2153.38494612559"/>
  </r>
  <r>
    <x v="3"/>
    <x v="7"/>
    <x v="1"/>
    <x v="0"/>
    <x v="2"/>
    <x v="2"/>
    <x v="2"/>
    <x v="7"/>
    <x v="2"/>
    <n v="5447.2631942441276"/>
    <n v="8469.5751793085947"/>
    <n v="1472.9493787023032"/>
  </r>
  <r>
    <x v="3"/>
    <x v="7"/>
    <x v="2"/>
    <x v="0"/>
    <x v="2"/>
    <x v="2"/>
    <x v="2"/>
    <x v="7"/>
    <x v="1"/>
    <n v="4654.3737397819368"/>
    <n v="7085.823725638812"/>
    <n v="1326.9512023118659"/>
  </r>
  <r>
    <x v="3"/>
    <x v="7"/>
    <x v="2"/>
    <x v="0"/>
    <x v="2"/>
    <x v="2"/>
    <x v="2"/>
    <x v="7"/>
    <x v="2"/>
    <n v="39970.644683093538"/>
    <n v="60860.051052310104"/>
    <n v="11254.429459193265"/>
  </r>
  <r>
    <x v="3"/>
    <x v="7"/>
    <x v="0"/>
    <x v="0"/>
    <x v="3"/>
    <x v="2"/>
    <x v="2"/>
    <x v="7"/>
    <x v="1"/>
    <n v="11291.028646790466"/>
    <n v="19737.362614492224"/>
    <n v="4748.2548832210796"/>
  </r>
  <r>
    <x v="3"/>
    <x v="7"/>
    <x v="0"/>
    <x v="0"/>
    <x v="3"/>
    <x v="2"/>
    <x v="2"/>
    <x v="7"/>
    <x v="2"/>
    <n v="42120.59775166733"/>
    <n v="64581.71809208089"/>
    <n v="15725.656072557869"/>
  </r>
  <r>
    <x v="3"/>
    <x v="7"/>
    <x v="1"/>
    <x v="0"/>
    <x v="3"/>
    <x v="2"/>
    <x v="2"/>
    <x v="7"/>
    <x v="2"/>
    <n v="1.2987799295933391"/>
    <n v="2.0292965812370536"/>
    <n v="0.50116925825463732"/>
  </r>
  <r>
    <x v="3"/>
    <x v="7"/>
    <x v="2"/>
    <x v="0"/>
    <x v="3"/>
    <x v="2"/>
    <x v="2"/>
    <x v="7"/>
    <x v="1"/>
    <n v="11484.935587804337"/>
    <n v="17917.071711545155"/>
    <n v="4697.4230630270313"/>
  </r>
  <r>
    <x v="3"/>
    <x v="7"/>
    <x v="2"/>
    <x v="0"/>
    <x v="3"/>
    <x v="2"/>
    <x v="2"/>
    <x v="7"/>
    <x v="2"/>
    <n v="99553.180461645024"/>
    <n v="151553.93453557798"/>
    <n v="39416.93561420904"/>
  </r>
  <r>
    <x v="3"/>
    <x v="8"/>
    <x v="0"/>
    <x v="0"/>
    <x v="0"/>
    <x v="2"/>
    <x v="2"/>
    <x v="8"/>
    <x v="1"/>
    <n v="730775.5817076423"/>
    <n v="1193476.3854463995"/>
    <n v="63399.470828663041"/>
  </r>
  <r>
    <x v="3"/>
    <x v="8"/>
    <x v="0"/>
    <x v="0"/>
    <x v="0"/>
    <x v="2"/>
    <x v="2"/>
    <x v="8"/>
    <x v="2"/>
    <n v="4715099.2673209906"/>
    <n v="6836093.4187572645"/>
    <n v="350986.64957133192"/>
  </r>
  <r>
    <x v="3"/>
    <x v="8"/>
    <x v="1"/>
    <x v="0"/>
    <x v="0"/>
    <x v="2"/>
    <x v="2"/>
    <x v="8"/>
    <x v="1"/>
    <n v="27979.400104203971"/>
    <n v="44900.937123252821"/>
    <n v="2385.2132208385015"/>
  </r>
  <r>
    <x v="3"/>
    <x v="8"/>
    <x v="1"/>
    <x v="0"/>
    <x v="0"/>
    <x v="2"/>
    <x v="2"/>
    <x v="8"/>
    <x v="2"/>
    <n v="174009.17905587642"/>
    <n v="254440.31825791628"/>
    <n v="13063.791912570487"/>
  </r>
  <r>
    <x v="3"/>
    <x v="8"/>
    <x v="2"/>
    <x v="0"/>
    <x v="0"/>
    <x v="2"/>
    <x v="2"/>
    <x v="8"/>
    <x v="1"/>
    <n v="3031561.1916777929"/>
    <n v="5462457.412610542"/>
    <n v="288630.66861676809"/>
  </r>
  <r>
    <x v="3"/>
    <x v="8"/>
    <x v="2"/>
    <x v="0"/>
    <x v="0"/>
    <x v="2"/>
    <x v="2"/>
    <x v="8"/>
    <x v="2"/>
    <n v="17337366.523477286"/>
    <n v="24588919.570085119"/>
    <n v="1272812.9558032011"/>
  </r>
  <r>
    <x v="3"/>
    <x v="8"/>
    <x v="0"/>
    <x v="0"/>
    <x v="1"/>
    <x v="2"/>
    <x v="2"/>
    <x v="8"/>
    <x v="1"/>
    <n v="20620.804599119929"/>
    <n v="32473.170228826973"/>
    <n v="3544.5808823508733"/>
  </r>
  <r>
    <x v="3"/>
    <x v="8"/>
    <x v="0"/>
    <x v="0"/>
    <x v="1"/>
    <x v="2"/>
    <x v="2"/>
    <x v="8"/>
    <x v="2"/>
    <n v="176254.99528266609"/>
    <n v="256815.56358404108"/>
    <n v="26663.85572723416"/>
  </r>
  <r>
    <x v="3"/>
    <x v="8"/>
    <x v="1"/>
    <x v="0"/>
    <x v="1"/>
    <x v="2"/>
    <x v="2"/>
    <x v="8"/>
    <x v="1"/>
    <n v="4292.5276585294487"/>
    <n v="6749.971044414262"/>
    <n v="736.78726628339518"/>
  </r>
  <r>
    <x v="3"/>
    <x v="8"/>
    <x v="1"/>
    <x v="0"/>
    <x v="1"/>
    <x v="2"/>
    <x v="2"/>
    <x v="8"/>
    <x v="2"/>
    <n v="45366.051071536414"/>
    <n v="66176.308873174377"/>
    <n v="6908.2394242259952"/>
  </r>
  <r>
    <x v="3"/>
    <x v="8"/>
    <x v="2"/>
    <x v="0"/>
    <x v="1"/>
    <x v="2"/>
    <x v="2"/>
    <x v="8"/>
    <x v="1"/>
    <n v="52532.590845116458"/>
    <n v="81449.820906419147"/>
    <n v="8843.271202042064"/>
  </r>
  <r>
    <x v="3"/>
    <x v="8"/>
    <x v="2"/>
    <x v="0"/>
    <x v="1"/>
    <x v="2"/>
    <x v="2"/>
    <x v="8"/>
    <x v="2"/>
    <n v="620981.77531536052"/>
    <n v="900498.26788265153"/>
    <n v="95260.365336115268"/>
  </r>
  <r>
    <x v="3"/>
    <x v="8"/>
    <x v="0"/>
    <x v="0"/>
    <x v="2"/>
    <x v="2"/>
    <x v="2"/>
    <x v="8"/>
    <x v="1"/>
    <n v="536.84513799931744"/>
    <n v="835.18890866379149"/>
    <n v="151.94054137309402"/>
  </r>
  <r>
    <x v="3"/>
    <x v="8"/>
    <x v="0"/>
    <x v="0"/>
    <x v="2"/>
    <x v="2"/>
    <x v="2"/>
    <x v="8"/>
    <x v="2"/>
    <n v="2274.1067313685603"/>
    <n v="3304.2715078500773"/>
    <n v="600.50564298058998"/>
  </r>
  <r>
    <x v="3"/>
    <x v="8"/>
    <x v="1"/>
    <x v="0"/>
    <x v="2"/>
    <x v="2"/>
    <x v="2"/>
    <x v="8"/>
    <x v="2"/>
    <n v="283.19588060980152"/>
    <n v="412.82007198014844"/>
    <n v="70.564994156125351"/>
  </r>
  <r>
    <x v="3"/>
    <x v="8"/>
    <x v="2"/>
    <x v="0"/>
    <x v="2"/>
    <x v="2"/>
    <x v="2"/>
    <x v="8"/>
    <x v="1"/>
    <n v="18996.700374177497"/>
    <n v="29366.535960683155"/>
    <n v="5314.0334108943225"/>
  </r>
  <r>
    <x v="3"/>
    <x v="8"/>
    <x v="2"/>
    <x v="0"/>
    <x v="2"/>
    <x v="2"/>
    <x v="2"/>
    <x v="8"/>
    <x v="2"/>
    <n v="128606.92061232812"/>
    <n v="186020.94940271362"/>
    <n v="33016.181346569902"/>
  </r>
  <r>
    <x v="3"/>
    <x v="8"/>
    <x v="0"/>
    <x v="0"/>
    <x v="3"/>
    <x v="2"/>
    <x v="2"/>
    <x v="8"/>
    <x v="1"/>
    <n v="2193.8399429558544"/>
    <n v="3439.6681106929332"/>
    <n v="876.05934567070551"/>
  </r>
  <r>
    <x v="3"/>
    <x v="8"/>
    <x v="0"/>
    <x v="0"/>
    <x v="3"/>
    <x v="2"/>
    <x v="2"/>
    <x v="8"/>
    <x v="2"/>
    <n v="13941.277163153443"/>
    <n v="20314.3160014684"/>
    <n v="5017.5693555414555"/>
  </r>
  <r>
    <x v="3"/>
    <x v="8"/>
    <x v="1"/>
    <x v="0"/>
    <x v="3"/>
    <x v="2"/>
    <x v="2"/>
    <x v="8"/>
    <x v="2"/>
    <n v="40.928343348063187"/>
    <n v="59.662084045071296"/>
    <n v="14.7712867803313"/>
  </r>
  <r>
    <x v="3"/>
    <x v="8"/>
    <x v="2"/>
    <x v="0"/>
    <x v="3"/>
    <x v="2"/>
    <x v="2"/>
    <x v="8"/>
    <x v="1"/>
    <n v="17936.160557256982"/>
    <n v="27828.263167796486"/>
    <n v="7049.9444883231827"/>
  </r>
  <r>
    <x v="3"/>
    <x v="8"/>
    <x v="2"/>
    <x v="0"/>
    <x v="3"/>
    <x v="2"/>
    <x v="2"/>
    <x v="8"/>
    <x v="2"/>
    <n v="145289.13714067047"/>
    <n v="210256.17998405706"/>
    <n v="52078.57979608688"/>
  </r>
  <r>
    <x v="3"/>
    <x v="9"/>
    <x v="0"/>
    <x v="0"/>
    <x v="0"/>
    <x v="2"/>
    <x v="2"/>
    <x v="9"/>
    <x v="1"/>
    <n v="607.71064625538611"/>
    <n v="761.47137663343256"/>
    <n v="46.394701110221277"/>
  </r>
  <r>
    <x v="3"/>
    <x v="9"/>
    <x v="0"/>
    <x v="0"/>
    <x v="0"/>
    <x v="2"/>
    <x v="2"/>
    <x v="9"/>
    <x v="2"/>
    <n v="1444.9292035398228"/>
    <n v="1776.5998568360776"/>
    <n v="98.818750000000009"/>
  </r>
  <r>
    <x v="3"/>
    <x v="9"/>
    <x v="1"/>
    <x v="0"/>
    <x v="0"/>
    <x v="2"/>
    <x v="2"/>
    <x v="9"/>
    <x v="2"/>
    <n v="237.36015020479095"/>
    <n v="291.92876653049001"/>
    <n v="17.786548889778722"/>
  </r>
  <r>
    <x v="3"/>
    <x v="9"/>
    <x v="2"/>
    <x v="0"/>
    <x v="0"/>
    <x v="2"/>
    <x v="2"/>
    <x v="9"/>
    <x v="1"/>
    <n v="3723.244436695556"/>
    <n v="4747.1358455914869"/>
    <n v="207.69314918583029"/>
  </r>
  <r>
    <x v="3"/>
    <x v="9"/>
    <x v="2"/>
    <x v="0"/>
    <x v="0"/>
    <x v="2"/>
    <x v="2"/>
    <x v="9"/>
    <x v="2"/>
    <n v="23627.152742954353"/>
    <n v="28897.474579371221"/>
    <n v="1239.3483353455433"/>
  </r>
  <r>
    <x v="3"/>
    <x v="9"/>
    <x v="2"/>
    <x v="0"/>
    <x v="1"/>
    <x v="2"/>
    <x v="2"/>
    <x v="9"/>
    <x v="1"/>
    <n v="3184.8378327953642"/>
    <n v="4801.8561415076547"/>
    <n v="431.68609065693136"/>
  </r>
  <r>
    <x v="3"/>
    <x v="9"/>
    <x v="2"/>
    <x v="0"/>
    <x v="1"/>
    <x v="2"/>
    <x v="2"/>
    <x v="9"/>
    <x v="2"/>
    <n v="5332.7202130518881"/>
    <n v="5618.05583859332"/>
    <n v="502.67501260333768"/>
  </r>
  <r>
    <x v="3"/>
    <x v="9"/>
    <x v="2"/>
    <x v="0"/>
    <x v="2"/>
    <x v="2"/>
    <x v="2"/>
    <x v="9"/>
    <x v="2"/>
    <n v="1333903.0447745027"/>
    <n v="1640943.4775949367"/>
    <n v="243440.59741220844"/>
  </r>
  <r>
    <x v="3"/>
    <x v="10"/>
    <x v="0"/>
    <x v="0"/>
    <x v="0"/>
    <x v="2"/>
    <x v="2"/>
    <x v="10"/>
    <x v="2"/>
    <n v="106.10299081590998"/>
    <n v="113.0060392291156"/>
    <n v="6.4349491523704838"/>
  </r>
  <r>
    <x v="3"/>
    <x v="10"/>
    <x v="1"/>
    <x v="0"/>
    <x v="0"/>
    <x v="2"/>
    <x v="2"/>
    <x v="10"/>
    <x v="2"/>
    <n v="9755.4409422384815"/>
    <n v="10389.993960770884"/>
    <n v="576.54058957797315"/>
  </r>
  <r>
    <x v="3"/>
    <x v="10"/>
    <x v="2"/>
    <x v="0"/>
    <x v="0"/>
    <x v="2"/>
    <x v="2"/>
    <x v="10"/>
    <x v="1"/>
    <n v="3420.134263897728"/>
    <n v="3761.5126820141745"/>
    <n v="165.03032897857321"/>
  </r>
  <r>
    <x v="3"/>
    <x v="10"/>
    <x v="2"/>
    <x v="0"/>
    <x v="0"/>
    <x v="2"/>
    <x v="2"/>
    <x v="10"/>
    <x v="2"/>
    <n v="68281.089114069197"/>
    <n v="72589.391725764595"/>
    <n v="3108.9562550822075"/>
  </r>
  <r>
    <x v="3"/>
    <x v="10"/>
    <x v="1"/>
    <x v="0"/>
    <x v="1"/>
    <x v="2"/>
    <x v="2"/>
    <x v="10"/>
    <x v="2"/>
    <n v="654.45606694560649"/>
    <n v="697"/>
    <n v="74.024461269656371"/>
  </r>
  <r>
    <x v="3"/>
    <x v="10"/>
    <x v="2"/>
    <x v="0"/>
    <x v="1"/>
    <x v="2"/>
    <x v="2"/>
    <x v="10"/>
    <x v="1"/>
    <n v="3327.5831361651867"/>
    <n v="3872.0293842819838"/>
    <n v="349.06658595501335"/>
  </r>
  <r>
    <x v="3"/>
    <x v="10"/>
    <x v="2"/>
    <x v="0"/>
    <x v="1"/>
    <x v="2"/>
    <x v="2"/>
    <x v="10"/>
    <x v="2"/>
    <n v="9040.8718127536813"/>
    <n v="9393.0839513591127"/>
    <n v="827.4882796275067"/>
  </r>
  <r>
    <x v="3"/>
    <x v="10"/>
    <x v="2"/>
    <x v="0"/>
    <x v="2"/>
    <x v="2"/>
    <x v="2"/>
    <x v="10"/>
    <x v="2"/>
    <n v="990262.32167311467"/>
    <n v="1054756.9822565799"/>
    <n v="154153.45855035677"/>
  </r>
  <r>
    <x v="3"/>
    <x v="11"/>
    <x v="0"/>
    <x v="0"/>
    <x v="0"/>
    <x v="2"/>
    <x v="2"/>
    <x v="11"/>
    <x v="1"/>
    <n v="56.828732438528988"/>
    <n v="55.060054020766103"/>
    <n v="2.917871391690583"/>
  </r>
  <r>
    <x v="3"/>
    <x v="11"/>
    <x v="0"/>
    <x v="0"/>
    <x v="0"/>
    <x v="2"/>
    <x v="2"/>
    <x v="11"/>
    <x v="2"/>
    <n v="1525.8493978730451"/>
    <n v="1402.3635432709216"/>
    <n v="49.901755125166964"/>
  </r>
  <r>
    <x v="3"/>
    <x v="11"/>
    <x v="1"/>
    <x v="0"/>
    <x v="0"/>
    <x v="2"/>
    <x v="2"/>
    <x v="11"/>
    <x v="2"/>
    <n v="4913.9112101631817"/>
    <n v="4515.9255686988145"/>
    <n v="239.31850882203258"/>
  </r>
  <r>
    <x v="3"/>
    <x v="11"/>
    <x v="2"/>
    <x v="0"/>
    <x v="0"/>
    <x v="2"/>
    <x v="2"/>
    <x v="11"/>
    <x v="1"/>
    <n v="6522.6231514490446"/>
    <n v="6320.0451465060978"/>
    <n v="271.48095847993301"/>
  </r>
  <r>
    <x v="3"/>
    <x v="11"/>
    <x v="2"/>
    <x v="0"/>
    <x v="0"/>
    <x v="2"/>
    <x v="2"/>
    <x v="11"/>
    <x v="2"/>
    <n v="71700.727308373229"/>
    <n v="65899.218530184735"/>
    <n v="2806.6938312780635"/>
  </r>
  <r>
    <x v="3"/>
    <x v="11"/>
    <x v="1"/>
    <x v="0"/>
    <x v="1"/>
    <x v="2"/>
    <x v="2"/>
    <x v="11"/>
    <x v="2"/>
    <n v="14561.410659525241"/>
    <n v="13383.650834009497"/>
    <n v="1031.8618646611098"/>
  </r>
  <r>
    <x v="3"/>
    <x v="11"/>
    <x v="2"/>
    <x v="0"/>
    <x v="1"/>
    <x v="2"/>
    <x v="2"/>
    <x v="11"/>
    <x v="1"/>
    <n v="8137.798212892616"/>
    <n v="8087.0444431715214"/>
    <n v="713.80144363077306"/>
  </r>
  <r>
    <x v="3"/>
    <x v="11"/>
    <x v="2"/>
    <x v="0"/>
    <x v="1"/>
    <x v="2"/>
    <x v="2"/>
    <x v="11"/>
    <x v="2"/>
    <n v="42045.558882589219"/>
    <n v="38451.758660489701"/>
    <n v="3368.2881479252405"/>
  </r>
  <r>
    <x v="3"/>
    <x v="11"/>
    <x v="2"/>
    <x v="0"/>
    <x v="2"/>
    <x v="2"/>
    <x v="2"/>
    <x v="11"/>
    <x v="2"/>
    <n v="169866.29244469589"/>
    <n v="156120.933219648"/>
    <n v="22503.735618685987"/>
  </r>
  <r>
    <x v="3"/>
    <x v="12"/>
    <x v="2"/>
    <x v="1"/>
    <x v="0"/>
    <x v="1"/>
    <x v="1"/>
    <x v="12"/>
    <x v="1"/>
    <n v="110.61310135573611"/>
    <n v="203.0380704658312"/>
    <n v="16.625140929242921"/>
  </r>
  <r>
    <x v="3"/>
    <x v="12"/>
    <x v="2"/>
    <x v="1"/>
    <x v="0"/>
    <x v="1"/>
    <x v="1"/>
    <x v="12"/>
    <x v="2"/>
    <n v="473.05559675184588"/>
    <n v="814.58437770946659"/>
    <n v="63.523466851702381"/>
  </r>
  <r>
    <x v="3"/>
    <x v="12"/>
    <x v="2"/>
    <x v="1"/>
    <x v="1"/>
    <x v="1"/>
    <x v="1"/>
    <x v="12"/>
    <x v="1"/>
    <n v="110.61310135573611"/>
    <n v="203.0380704658312"/>
    <n v="34.161248484745727"/>
  </r>
  <r>
    <x v="3"/>
    <x v="12"/>
    <x v="2"/>
    <x v="1"/>
    <x v="1"/>
    <x v="1"/>
    <x v="1"/>
    <x v="12"/>
    <x v="2"/>
    <n v="1799.7182005366817"/>
    <n v="3035.3394813588716"/>
    <n v="417.69014373430889"/>
  </r>
  <r>
    <x v="3"/>
    <x v="13"/>
    <x v="2"/>
    <x v="1"/>
    <x v="1"/>
    <x v="1"/>
    <x v="1"/>
    <x v="13"/>
    <x v="1"/>
    <n v="119.0647817165985"/>
    <n v="200.94710508321111"/>
    <n v="16.96153845727914"/>
  </r>
  <r>
    <x v="3"/>
    <x v="13"/>
    <x v="2"/>
    <x v="1"/>
    <x v="1"/>
    <x v="1"/>
    <x v="1"/>
    <x v="13"/>
    <x v="2"/>
    <n v="1067.9352182834016"/>
    <n v="1667.052894916789"/>
    <n v="144.03846154272085"/>
  </r>
  <r>
    <x v="3"/>
    <x v="14"/>
    <x v="2"/>
    <x v="1"/>
    <x v="1"/>
    <x v="1"/>
    <x v="1"/>
    <x v="14"/>
    <x v="1"/>
    <n v="9731.7291453221897"/>
    <n v="15644.29687338656"/>
    <n v="1320.892107748622"/>
  </r>
  <r>
    <x v="3"/>
    <x v="14"/>
    <x v="2"/>
    <x v="1"/>
    <x v="1"/>
    <x v="1"/>
    <x v="1"/>
    <x v="14"/>
    <x v="2"/>
    <n v="82490.270854677816"/>
    <n v="122742.70312661343"/>
    <n v="10607.107892251377"/>
  </r>
  <r>
    <x v="3"/>
    <x v="15"/>
    <x v="0"/>
    <x v="0"/>
    <x v="0"/>
    <x v="2"/>
    <x v="2"/>
    <x v="15"/>
    <x v="1"/>
    <n v="44184808.251819"/>
    <n v="106865273.88165441"/>
    <n v="6435340.9691144871"/>
  </r>
  <r>
    <x v="3"/>
    <x v="15"/>
    <x v="0"/>
    <x v="0"/>
    <x v="0"/>
    <x v="2"/>
    <x v="2"/>
    <x v="15"/>
    <x v="2"/>
    <n v="320709873.2169531"/>
    <n v="523271758.91438758"/>
    <n v="31674479.536786072"/>
  </r>
  <r>
    <x v="3"/>
    <x v="15"/>
    <x v="1"/>
    <x v="0"/>
    <x v="0"/>
    <x v="2"/>
    <x v="2"/>
    <x v="15"/>
    <x v="1"/>
    <n v="1307556.9958950863"/>
    <n v="2897531.7822440416"/>
    <n v="174487.03690439402"/>
  </r>
  <r>
    <x v="3"/>
    <x v="15"/>
    <x v="1"/>
    <x v="0"/>
    <x v="0"/>
    <x v="2"/>
    <x v="2"/>
    <x v="15"/>
    <x v="2"/>
    <n v="7682829.6198433712"/>
    <n v="12650761.8076945"/>
    <n v="765753.23928889923"/>
  </r>
  <r>
    <x v="3"/>
    <x v="15"/>
    <x v="2"/>
    <x v="0"/>
    <x v="0"/>
    <x v="2"/>
    <x v="2"/>
    <x v="15"/>
    <x v="1"/>
    <n v="338331062.36536062"/>
    <n v="770098240.92397606"/>
    <n v="45833986.050285198"/>
  </r>
  <r>
    <x v="3"/>
    <x v="15"/>
    <x v="2"/>
    <x v="0"/>
    <x v="0"/>
    <x v="2"/>
    <x v="2"/>
    <x v="15"/>
    <x v="2"/>
    <n v="2210922878.2394743"/>
    <n v="3584983250.5637636"/>
    <n v="211136366.22196275"/>
  </r>
  <r>
    <x v="3"/>
    <x v="15"/>
    <x v="0"/>
    <x v="0"/>
    <x v="1"/>
    <x v="2"/>
    <x v="2"/>
    <x v="15"/>
    <x v="1"/>
    <n v="163234.8122690146"/>
    <n v="355971.97912664013"/>
    <n v="44047.287739972853"/>
  </r>
  <r>
    <x v="3"/>
    <x v="15"/>
    <x v="0"/>
    <x v="0"/>
    <x v="1"/>
    <x v="2"/>
    <x v="2"/>
    <x v="15"/>
    <x v="2"/>
    <n v="968007.50200952508"/>
    <n v="1574946.1337310839"/>
    <n v="195889.3259746806"/>
  </r>
  <r>
    <x v="3"/>
    <x v="15"/>
    <x v="1"/>
    <x v="0"/>
    <x v="1"/>
    <x v="2"/>
    <x v="2"/>
    <x v="15"/>
    <x v="1"/>
    <n v="2809.1916340196476"/>
    <n v="5380.1130480427109"/>
    <n v="665.72483621361687"/>
  </r>
  <r>
    <x v="3"/>
    <x v="15"/>
    <x v="1"/>
    <x v="0"/>
    <x v="1"/>
    <x v="2"/>
    <x v="2"/>
    <x v="15"/>
    <x v="2"/>
    <n v="90849.542013011625"/>
    <n v="152418.21688079371"/>
    <n v="18959.431190616815"/>
  </r>
  <r>
    <x v="3"/>
    <x v="15"/>
    <x v="2"/>
    <x v="0"/>
    <x v="1"/>
    <x v="2"/>
    <x v="2"/>
    <x v="15"/>
    <x v="1"/>
    <n v="5017152.7860025922"/>
    <n v="8278979.5930270068"/>
    <n v="1012480.5939065715"/>
  </r>
  <r>
    <x v="3"/>
    <x v="15"/>
    <x v="2"/>
    <x v="0"/>
    <x v="1"/>
    <x v="2"/>
    <x v="2"/>
    <x v="15"/>
    <x v="2"/>
    <n v="39169340.173497237"/>
    <n v="64960964.753121108"/>
    <n v="7861613.3701017937"/>
  </r>
  <r>
    <x v="3"/>
    <x v="15"/>
    <x v="0"/>
    <x v="0"/>
    <x v="2"/>
    <x v="2"/>
    <x v="2"/>
    <x v="15"/>
    <x v="1"/>
    <n v="1764.798906756095"/>
    <n v="3210.9342591538048"/>
    <n v="662.19137797532528"/>
  </r>
  <r>
    <x v="3"/>
    <x v="15"/>
    <x v="0"/>
    <x v="0"/>
    <x v="2"/>
    <x v="2"/>
    <x v="2"/>
    <x v="15"/>
    <x v="2"/>
    <n v="639.60352870184715"/>
    <n v="1055.3938748493454"/>
    <n v="218.77122971556076"/>
  </r>
  <r>
    <x v="3"/>
    <x v="15"/>
    <x v="1"/>
    <x v="0"/>
    <x v="2"/>
    <x v="2"/>
    <x v="2"/>
    <x v="15"/>
    <x v="1"/>
    <n v="0.24752630345466362"/>
    <n v="0.39357939640288347"/>
    <n v="8.1167928649964388E-2"/>
  </r>
  <r>
    <x v="3"/>
    <x v="15"/>
    <x v="1"/>
    <x v="0"/>
    <x v="2"/>
    <x v="2"/>
    <x v="2"/>
    <x v="15"/>
    <x v="2"/>
    <n v="3013.0330145139142"/>
    <n v="5150.6456270591179"/>
    <n v="1065.3986076713325"/>
  </r>
  <r>
    <x v="3"/>
    <x v="15"/>
    <x v="2"/>
    <x v="0"/>
    <x v="2"/>
    <x v="2"/>
    <x v="2"/>
    <x v="15"/>
    <x v="1"/>
    <n v="259639.76307719175"/>
    <n v="450228.99274407042"/>
    <n v="91768.176831722565"/>
  </r>
  <r>
    <x v="3"/>
    <x v="15"/>
    <x v="2"/>
    <x v="0"/>
    <x v="2"/>
    <x v="2"/>
    <x v="2"/>
    <x v="15"/>
    <x v="2"/>
    <n v="3470742.2539800517"/>
    <n v="5791369.0821948992"/>
    <n v="1160598.00944879"/>
  </r>
  <r>
    <x v="3"/>
    <x v="15"/>
    <x v="0"/>
    <x v="0"/>
    <x v="3"/>
    <x v="2"/>
    <x v="2"/>
    <x v="15"/>
    <x v="1"/>
    <n v="720596.11729147984"/>
    <n v="1497152.3157835742"/>
    <n v="432261.07575448207"/>
  </r>
  <r>
    <x v="3"/>
    <x v="15"/>
    <x v="0"/>
    <x v="0"/>
    <x v="3"/>
    <x v="2"/>
    <x v="2"/>
    <x v="15"/>
    <x v="2"/>
    <n v="3123530.5650441693"/>
    <n v="5109445.1652182192"/>
    <n v="1482464.056313938"/>
  </r>
  <r>
    <x v="3"/>
    <x v="15"/>
    <x v="1"/>
    <x v="0"/>
    <x v="3"/>
    <x v="2"/>
    <x v="2"/>
    <x v="15"/>
    <x v="1"/>
    <n v="19.688028902481847"/>
    <n v="36.458554082824186"/>
    <n v="10.526393101189795"/>
  </r>
  <r>
    <x v="3"/>
    <x v="15"/>
    <x v="1"/>
    <x v="0"/>
    <x v="3"/>
    <x v="2"/>
    <x v="2"/>
    <x v="15"/>
    <x v="2"/>
    <n v="132.81422319340308"/>
    <n v="224.86433593069725"/>
    <n v="65.347319732595039"/>
  </r>
  <r>
    <x v="3"/>
    <x v="15"/>
    <x v="2"/>
    <x v="0"/>
    <x v="3"/>
    <x v="2"/>
    <x v="2"/>
    <x v="15"/>
    <x v="1"/>
    <n v="505234.63942606008"/>
    <n v="937467.22691944207"/>
    <n v="267511.69626232225"/>
  </r>
  <r>
    <x v="3"/>
    <x v="15"/>
    <x v="2"/>
    <x v="0"/>
    <x v="3"/>
    <x v="2"/>
    <x v="2"/>
    <x v="15"/>
    <x v="2"/>
    <n v="3666219.779190239"/>
    <n v="5943851.8642593715"/>
    <n v="1674960.8812005997"/>
  </r>
  <r>
    <x v="3"/>
    <x v="16"/>
    <x v="0"/>
    <x v="0"/>
    <x v="0"/>
    <x v="3"/>
    <x v="3"/>
    <x v="16"/>
    <x v="1"/>
    <n v="0"/>
    <n v="0"/>
    <n v="0"/>
  </r>
  <r>
    <x v="3"/>
    <x v="16"/>
    <x v="0"/>
    <x v="0"/>
    <x v="0"/>
    <x v="3"/>
    <x v="3"/>
    <x v="16"/>
    <x v="2"/>
    <n v="0"/>
    <n v="0"/>
    <n v="0"/>
  </r>
  <r>
    <x v="3"/>
    <x v="16"/>
    <x v="1"/>
    <x v="0"/>
    <x v="0"/>
    <x v="3"/>
    <x v="3"/>
    <x v="16"/>
    <x v="1"/>
    <n v="0"/>
    <n v="0"/>
    <n v="0"/>
  </r>
  <r>
    <x v="3"/>
    <x v="16"/>
    <x v="1"/>
    <x v="0"/>
    <x v="0"/>
    <x v="3"/>
    <x v="3"/>
    <x v="16"/>
    <x v="2"/>
    <n v="0"/>
    <n v="0"/>
    <n v="0"/>
  </r>
  <r>
    <x v="3"/>
    <x v="16"/>
    <x v="2"/>
    <x v="0"/>
    <x v="0"/>
    <x v="3"/>
    <x v="3"/>
    <x v="16"/>
    <x v="1"/>
    <n v="901310.51503839542"/>
    <n v="1618571.4350776107"/>
    <n v="12139.62196419419"/>
  </r>
  <r>
    <x v="3"/>
    <x v="16"/>
    <x v="2"/>
    <x v="0"/>
    <x v="0"/>
    <x v="3"/>
    <x v="3"/>
    <x v="16"/>
    <x v="2"/>
    <n v="7484165.484961614"/>
    <n v="12261053.564922392"/>
    <n v="91960.378035805494"/>
  </r>
  <r>
    <x v="3"/>
    <x v="17"/>
    <x v="0"/>
    <x v="0"/>
    <x v="0"/>
    <x v="4"/>
    <x v="4"/>
    <x v="17"/>
    <x v="1"/>
    <n v="16180.207082210072"/>
    <n v="37257.241649803706"/>
    <n v="286.87599397773351"/>
  </r>
  <r>
    <x v="3"/>
    <x v="17"/>
    <x v="0"/>
    <x v="0"/>
    <x v="0"/>
    <x v="4"/>
    <x v="4"/>
    <x v="17"/>
    <x v="2"/>
    <n v="123848.98453212739"/>
    <n v="264610.96164403955"/>
    <n v="2037.6732566978656"/>
  </r>
  <r>
    <x v="3"/>
    <x v="17"/>
    <x v="1"/>
    <x v="0"/>
    <x v="0"/>
    <x v="4"/>
    <x v="4"/>
    <x v="17"/>
    <x v="1"/>
    <n v="1494.6956686500419"/>
    <n v="3435.088305424089"/>
    <n v="26.449740463409086"/>
  </r>
  <r>
    <x v="3"/>
    <x v="17"/>
    <x v="1"/>
    <x v="0"/>
    <x v="0"/>
    <x v="4"/>
    <x v="4"/>
    <x v="17"/>
    <x v="2"/>
    <n v="15558.112717012576"/>
    <n v="33243.70840073275"/>
    <n v="256.00100886099199"/>
  </r>
  <r>
    <x v="3"/>
    <x v="17"/>
    <x v="2"/>
    <x v="0"/>
    <x v="0"/>
    <x v="4"/>
    <x v="4"/>
    <x v="17"/>
    <x v="1"/>
    <n v="992331.90432369674"/>
    <n v="2304726.0198704368"/>
    <n v="17746.642250612738"/>
  </r>
  <r>
    <x v="3"/>
    <x v="17"/>
    <x v="2"/>
    <x v="0"/>
    <x v="0"/>
    <x v="4"/>
    <x v="4"/>
    <x v="17"/>
    <x v="2"/>
    <n v="8276370.0956762983"/>
    <n v="17661654.980129588"/>
    <n v="135996.35774938774"/>
  </r>
  <r>
    <x v="3"/>
    <x v="18"/>
    <x v="0"/>
    <x v="0"/>
    <x v="0"/>
    <x v="4"/>
    <x v="4"/>
    <x v="18"/>
    <x v="1"/>
    <n v="48046.377435269002"/>
    <n v="152884.22591178631"/>
    <n v="1253.5030146842996"/>
  </r>
  <r>
    <x v="3"/>
    <x v="18"/>
    <x v="0"/>
    <x v="0"/>
    <x v="0"/>
    <x v="4"/>
    <x v="4"/>
    <x v="18"/>
    <x v="2"/>
    <n v="557541.40750718256"/>
    <n v="1319370.6801775831"/>
    <n v="10818.798641987676"/>
  </r>
  <r>
    <x v="3"/>
    <x v="18"/>
    <x v="1"/>
    <x v="0"/>
    <x v="0"/>
    <x v="4"/>
    <x v="4"/>
    <x v="18"/>
    <x v="1"/>
    <n v="25641.597952094256"/>
    <n v="72737.960320234502"/>
    <n v="596.38103276926597"/>
  </r>
  <r>
    <x v="3"/>
    <x v="18"/>
    <x v="1"/>
    <x v="0"/>
    <x v="0"/>
    <x v="4"/>
    <x v="4"/>
    <x v="18"/>
    <x v="2"/>
    <n v="149591.6171054545"/>
    <n v="353337.13359039504"/>
    <n v="2897.3173105587566"/>
  </r>
  <r>
    <x v="3"/>
    <x v="18"/>
    <x v="2"/>
    <x v="0"/>
    <x v="0"/>
    <x v="4"/>
    <x v="4"/>
    <x v="18"/>
    <x v="1"/>
    <n v="12417520.765164362"/>
    <n v="36601905.863826819"/>
    <n v="300135.48979173624"/>
  </r>
  <r>
    <x v="3"/>
    <x v="18"/>
    <x v="2"/>
    <x v="0"/>
    <x v="0"/>
    <x v="4"/>
    <x v="4"/>
    <x v="18"/>
    <x v="2"/>
    <n v="120125008.23483551"/>
    <n v="281823215.13617343"/>
    <n v="2310949.510208251"/>
  </r>
  <r>
    <x v="3"/>
    <x v="19"/>
    <x v="0"/>
    <x v="0"/>
    <x v="0"/>
    <x v="2"/>
    <x v="2"/>
    <x v="19"/>
    <x v="1"/>
    <n v="3374278.1291391016"/>
    <n v="6438832.0488753933"/>
    <n v="340812.83071579214"/>
  </r>
  <r>
    <x v="3"/>
    <x v="19"/>
    <x v="0"/>
    <x v="0"/>
    <x v="0"/>
    <x v="2"/>
    <x v="2"/>
    <x v="19"/>
    <x v="2"/>
    <n v="22809167.492528919"/>
    <n v="33211296.21220113"/>
    <n v="1741250.1109189501"/>
  </r>
  <r>
    <x v="3"/>
    <x v="19"/>
    <x v="1"/>
    <x v="0"/>
    <x v="0"/>
    <x v="2"/>
    <x v="2"/>
    <x v="19"/>
    <x v="1"/>
    <n v="927470.22669141379"/>
    <n v="1704800.5241391142"/>
    <n v="90236.534829185053"/>
  </r>
  <r>
    <x v="3"/>
    <x v="19"/>
    <x v="1"/>
    <x v="0"/>
    <x v="0"/>
    <x v="2"/>
    <x v="2"/>
    <x v="19"/>
    <x v="2"/>
    <n v="5242361.4023001119"/>
    <n v="7740996.8753562281"/>
    <n v="405366.33660887089"/>
  </r>
  <r>
    <x v="3"/>
    <x v="19"/>
    <x v="2"/>
    <x v="0"/>
    <x v="0"/>
    <x v="2"/>
    <x v="2"/>
    <x v="19"/>
    <x v="1"/>
    <n v="20039557.198088791"/>
    <n v="37582743.480920024"/>
    <n v="1618441.836801277"/>
  </r>
  <r>
    <x v="3"/>
    <x v="19"/>
    <x v="2"/>
    <x v="0"/>
    <x v="0"/>
    <x v="2"/>
    <x v="2"/>
    <x v="19"/>
    <x v="2"/>
    <n v="132884824.86403899"/>
    <n v="192917363.61440352"/>
    <n v="8180418.4854120156"/>
  </r>
  <r>
    <x v="3"/>
    <x v="19"/>
    <x v="0"/>
    <x v="0"/>
    <x v="1"/>
    <x v="2"/>
    <x v="2"/>
    <x v="19"/>
    <x v="1"/>
    <n v="42858.70484625941"/>
    <n v="73422.376771335999"/>
    <n v="7985.5655206434349"/>
  </r>
  <r>
    <x v="3"/>
    <x v="19"/>
    <x v="0"/>
    <x v="0"/>
    <x v="1"/>
    <x v="2"/>
    <x v="2"/>
    <x v="19"/>
    <x v="2"/>
    <n v="336059.87655341602"/>
    <n v="497696.17117860913"/>
    <n v="53555.955092541823"/>
  </r>
  <r>
    <x v="3"/>
    <x v="19"/>
    <x v="1"/>
    <x v="0"/>
    <x v="1"/>
    <x v="2"/>
    <x v="2"/>
    <x v="19"/>
    <x v="1"/>
    <n v="159857.64421534995"/>
    <n v="283496.89383922348"/>
    <n v="30833.692944898394"/>
  </r>
  <r>
    <x v="3"/>
    <x v="19"/>
    <x v="1"/>
    <x v="0"/>
    <x v="1"/>
    <x v="2"/>
    <x v="2"/>
    <x v="19"/>
    <x v="2"/>
    <n v="900208.67923366628"/>
    <n v="1304794.8934042281"/>
    <n v="140300.62576390244"/>
  </r>
  <r>
    <x v="3"/>
    <x v="19"/>
    <x v="2"/>
    <x v="0"/>
    <x v="1"/>
    <x v="2"/>
    <x v="2"/>
    <x v="19"/>
    <x v="1"/>
    <n v="1367297.685169454"/>
    <n v="2154804.4078327948"/>
    <n v="190671.09949180519"/>
  </r>
  <r>
    <x v="3"/>
    <x v="19"/>
    <x v="2"/>
    <x v="0"/>
    <x v="1"/>
    <x v="2"/>
    <x v="2"/>
    <x v="19"/>
    <x v="2"/>
    <n v="11066778.130833799"/>
    <n v="16098443.387624899"/>
    <n v="1402276.1151067736"/>
  </r>
  <r>
    <x v="3"/>
    <x v="19"/>
    <x v="0"/>
    <x v="0"/>
    <x v="2"/>
    <x v="2"/>
    <x v="2"/>
    <x v="19"/>
    <x v="1"/>
    <n v="3428.233231133052"/>
    <n v="5401.9474697284786"/>
    <n v="979.21113779197765"/>
  </r>
  <r>
    <x v="3"/>
    <x v="19"/>
    <x v="0"/>
    <x v="0"/>
    <x v="2"/>
    <x v="2"/>
    <x v="2"/>
    <x v="19"/>
    <x v="2"/>
    <n v="20568.836124218549"/>
    <n v="30492.385894928499"/>
    <n v="5481.040989152375"/>
  </r>
  <r>
    <x v="3"/>
    <x v="19"/>
    <x v="1"/>
    <x v="0"/>
    <x v="2"/>
    <x v="2"/>
    <x v="2"/>
    <x v="19"/>
    <x v="1"/>
    <n v="7041.9634050065133"/>
    <n v="5376.3051874136991"/>
    <n v="974.56296070737278"/>
  </r>
  <r>
    <x v="3"/>
    <x v="19"/>
    <x v="1"/>
    <x v="0"/>
    <x v="2"/>
    <x v="2"/>
    <x v="2"/>
    <x v="19"/>
    <x v="2"/>
    <n v="36298.573067577425"/>
    <n v="48547.569039175956"/>
    <n v="8710.7311061770124"/>
  </r>
  <r>
    <x v="3"/>
    <x v="19"/>
    <x v="2"/>
    <x v="0"/>
    <x v="2"/>
    <x v="2"/>
    <x v="2"/>
    <x v="19"/>
    <x v="1"/>
    <n v="179265.82938099367"/>
    <n v="286509.6426399753"/>
    <n v="42253.725658029871"/>
  </r>
  <r>
    <x v="3"/>
    <x v="19"/>
    <x v="2"/>
    <x v="0"/>
    <x v="2"/>
    <x v="2"/>
    <x v="2"/>
    <x v="19"/>
    <x v="2"/>
    <n v="1547926.6242282335"/>
    <n v="2245702.5945224073"/>
    <n v="325928.76696501189"/>
  </r>
  <r>
    <x v="3"/>
    <x v="19"/>
    <x v="0"/>
    <x v="0"/>
    <x v="3"/>
    <x v="2"/>
    <x v="2"/>
    <x v="19"/>
    <x v="1"/>
    <n v="67190.971881182675"/>
    <n v="128443.57099768642"/>
    <n v="32596.156553711109"/>
  </r>
  <r>
    <x v="3"/>
    <x v="19"/>
    <x v="0"/>
    <x v="0"/>
    <x v="3"/>
    <x v="2"/>
    <x v="2"/>
    <x v="19"/>
    <x v="2"/>
    <n v="338743.31415854563"/>
    <n v="483358.99322587566"/>
    <n v="121714.46375832548"/>
  </r>
  <r>
    <x v="3"/>
    <x v="19"/>
    <x v="1"/>
    <x v="0"/>
    <x v="3"/>
    <x v="2"/>
    <x v="2"/>
    <x v="19"/>
    <x v="1"/>
    <n v="1279.4616978369581"/>
    <n v="2128.5505950505089"/>
    <n v="540.1793790832171"/>
  </r>
  <r>
    <x v="3"/>
    <x v="19"/>
    <x v="1"/>
    <x v="0"/>
    <x v="3"/>
    <x v="2"/>
    <x v="2"/>
    <x v="19"/>
    <x v="2"/>
    <n v="4435.4909261919538"/>
    <n v="6597.6818249323715"/>
    <n v="1674.0017202696804"/>
  </r>
  <r>
    <x v="3"/>
    <x v="19"/>
    <x v="2"/>
    <x v="0"/>
    <x v="3"/>
    <x v="2"/>
    <x v="2"/>
    <x v="19"/>
    <x v="1"/>
    <n v="111535.8696817063"/>
    <n v="194733.41476668682"/>
    <n v="40206.315890314996"/>
  </r>
  <r>
    <x v="3"/>
    <x v="19"/>
    <x v="2"/>
    <x v="0"/>
    <x v="3"/>
    <x v="2"/>
    <x v="2"/>
    <x v="19"/>
    <x v="2"/>
    <n v="864052.79857858876"/>
    <n v="1241676.4572873558"/>
    <n v="252305.65467458544"/>
  </r>
  <r>
    <x v="3"/>
    <x v="20"/>
    <x v="0"/>
    <x v="0"/>
    <x v="0"/>
    <x v="2"/>
    <x v="2"/>
    <x v="20"/>
    <x v="1"/>
    <n v="31305204.96228192"/>
    <n v="61877449.553509355"/>
    <n v="3678128.6166364299"/>
  </r>
  <r>
    <x v="3"/>
    <x v="20"/>
    <x v="0"/>
    <x v="0"/>
    <x v="0"/>
    <x v="2"/>
    <x v="2"/>
    <x v="20"/>
    <x v="2"/>
    <n v="119230141.9191321"/>
    <n v="179820103.92612091"/>
    <n v="10492906.714425081"/>
  </r>
  <r>
    <x v="3"/>
    <x v="20"/>
    <x v="1"/>
    <x v="0"/>
    <x v="0"/>
    <x v="2"/>
    <x v="2"/>
    <x v="20"/>
    <x v="1"/>
    <n v="2331527.8231788981"/>
    <n v="4390323.8589660535"/>
    <n v="260970.2878590748"/>
  </r>
  <r>
    <x v="3"/>
    <x v="20"/>
    <x v="1"/>
    <x v="0"/>
    <x v="0"/>
    <x v="2"/>
    <x v="2"/>
    <x v="20"/>
    <x v="2"/>
    <n v="10787092.825739842"/>
    <n v="16842857.583571736"/>
    <n v="981311.80619469553"/>
  </r>
  <r>
    <x v="3"/>
    <x v="20"/>
    <x v="2"/>
    <x v="0"/>
    <x v="0"/>
    <x v="2"/>
    <x v="2"/>
    <x v="20"/>
    <x v="1"/>
    <n v="95933213.688122004"/>
    <n v="190394617.48115057"/>
    <n v="9810215.6410958599"/>
  </r>
  <r>
    <x v="3"/>
    <x v="20"/>
    <x v="2"/>
    <x v="0"/>
    <x v="0"/>
    <x v="2"/>
    <x v="2"/>
    <x v="20"/>
    <x v="2"/>
    <n v="546575065.66044104"/>
    <n v="825367594.53795493"/>
    <n v="41142062.011834465"/>
  </r>
  <r>
    <x v="3"/>
    <x v="20"/>
    <x v="0"/>
    <x v="0"/>
    <x v="1"/>
    <x v="2"/>
    <x v="2"/>
    <x v="20"/>
    <x v="1"/>
    <n v="104993.65516234188"/>
    <n v="186619.68435212021"/>
    <n v="22793.990149004287"/>
  </r>
  <r>
    <x v="3"/>
    <x v="20"/>
    <x v="0"/>
    <x v="0"/>
    <x v="1"/>
    <x v="2"/>
    <x v="2"/>
    <x v="20"/>
    <x v="2"/>
    <n v="484724.20799634617"/>
    <n v="728410.34510354639"/>
    <n v="87084.399635436363"/>
  </r>
  <r>
    <x v="3"/>
    <x v="20"/>
    <x v="1"/>
    <x v="0"/>
    <x v="1"/>
    <x v="2"/>
    <x v="2"/>
    <x v="20"/>
    <x v="1"/>
    <n v="158953.73051976142"/>
    <n v="285194.70987808169"/>
    <n v="34834.082107026516"/>
  </r>
  <r>
    <x v="3"/>
    <x v="20"/>
    <x v="1"/>
    <x v="0"/>
    <x v="1"/>
    <x v="2"/>
    <x v="2"/>
    <x v="20"/>
    <x v="2"/>
    <n v="914845.74737663975"/>
    <n v="1370781.1137304893"/>
    <n v="164039.47599460601"/>
  </r>
  <r>
    <x v="3"/>
    <x v="20"/>
    <x v="2"/>
    <x v="0"/>
    <x v="1"/>
    <x v="2"/>
    <x v="2"/>
    <x v="20"/>
    <x v="1"/>
    <n v="2048048.7664850187"/>
    <n v="3333000.3654136714"/>
    <n v="352880.48971550103"/>
  </r>
  <r>
    <x v="3"/>
    <x v="20"/>
    <x v="2"/>
    <x v="0"/>
    <x v="1"/>
    <x v="2"/>
    <x v="2"/>
    <x v="20"/>
    <x v="2"/>
    <n v="21027363.967641287"/>
    <n v="32127329.976120368"/>
    <n v="3287415.725768364"/>
  </r>
  <r>
    <x v="3"/>
    <x v="20"/>
    <x v="0"/>
    <x v="0"/>
    <x v="2"/>
    <x v="2"/>
    <x v="2"/>
    <x v="20"/>
    <x v="1"/>
    <n v="45024.196483416665"/>
    <n v="75763.733636722696"/>
    <n v="15423.147922137727"/>
  </r>
  <r>
    <x v="3"/>
    <x v="20"/>
    <x v="0"/>
    <x v="0"/>
    <x v="2"/>
    <x v="2"/>
    <x v="2"/>
    <x v="20"/>
    <x v="2"/>
    <n v="35511.643954472915"/>
    <n v="55567.480620915674"/>
    <n v="11260.229344180791"/>
  </r>
  <r>
    <x v="3"/>
    <x v="20"/>
    <x v="1"/>
    <x v="0"/>
    <x v="2"/>
    <x v="2"/>
    <x v="2"/>
    <x v="20"/>
    <x v="1"/>
    <n v="7220.6992245537567"/>
    <n v="3005.4516578944904"/>
    <n v="611.81680558141386"/>
  </r>
  <r>
    <x v="3"/>
    <x v="20"/>
    <x v="1"/>
    <x v="0"/>
    <x v="2"/>
    <x v="2"/>
    <x v="2"/>
    <x v="20"/>
    <x v="2"/>
    <n v="15828.845849921763"/>
    <n v="23584.809236031117"/>
    <n v="4717.2475727549408"/>
  </r>
  <r>
    <x v="3"/>
    <x v="20"/>
    <x v="2"/>
    <x v="0"/>
    <x v="2"/>
    <x v="2"/>
    <x v="2"/>
    <x v="20"/>
    <x v="1"/>
    <n v="271982.36697022105"/>
    <n v="431790.26128371945"/>
    <n v="76192.790354560653"/>
  </r>
  <r>
    <x v="3"/>
    <x v="20"/>
    <x v="2"/>
    <x v="0"/>
    <x v="2"/>
    <x v="2"/>
    <x v="2"/>
    <x v="20"/>
    <x v="2"/>
    <n v="2581575.4759884342"/>
    <n v="3978097.9493800853"/>
    <n v="675162.81557099032"/>
  </r>
  <r>
    <x v="3"/>
    <x v="20"/>
    <x v="0"/>
    <x v="0"/>
    <x v="3"/>
    <x v="2"/>
    <x v="2"/>
    <x v="20"/>
    <x v="1"/>
    <n v="298379.19832573831"/>
    <n v="601582.52571734879"/>
    <n v="171448.97922269988"/>
  </r>
  <r>
    <x v="3"/>
    <x v="20"/>
    <x v="0"/>
    <x v="0"/>
    <x v="3"/>
    <x v="2"/>
    <x v="2"/>
    <x v="20"/>
    <x v="2"/>
    <n v="1466371.1864500586"/>
    <n v="2198767.8251712951"/>
    <n v="614051.5687956278"/>
  </r>
  <r>
    <x v="3"/>
    <x v="20"/>
    <x v="1"/>
    <x v="0"/>
    <x v="3"/>
    <x v="2"/>
    <x v="2"/>
    <x v="20"/>
    <x v="1"/>
    <n v="30.631700912791867"/>
    <n v="52.210565284039291"/>
    <n v="14.87983400434487"/>
  </r>
  <r>
    <x v="3"/>
    <x v="20"/>
    <x v="1"/>
    <x v="0"/>
    <x v="3"/>
    <x v="2"/>
    <x v="2"/>
    <x v="20"/>
    <x v="2"/>
    <n v="138.72662258823826"/>
    <n v="217.18816265620518"/>
    <n v="60.75750166075423"/>
  </r>
  <r>
    <x v="3"/>
    <x v="20"/>
    <x v="2"/>
    <x v="0"/>
    <x v="3"/>
    <x v="2"/>
    <x v="2"/>
    <x v="20"/>
    <x v="1"/>
    <n v="540482.1999279306"/>
    <n v="936767.81679425633"/>
    <n v="231420.07679651637"/>
  </r>
  <r>
    <x v="3"/>
    <x v="20"/>
    <x v="2"/>
    <x v="0"/>
    <x v="3"/>
    <x v="2"/>
    <x v="2"/>
    <x v="20"/>
    <x v="2"/>
    <n v="4019139.8744259831"/>
    <n v="6062844.6119052442"/>
    <n v="1446927.4488639019"/>
  </r>
  <r>
    <x v="3"/>
    <x v="21"/>
    <x v="0"/>
    <x v="0"/>
    <x v="0"/>
    <x v="4"/>
    <x v="4"/>
    <x v="21"/>
    <x v="1"/>
    <n v="899.90698071893132"/>
    <n v="2397.2269201875597"/>
    <n v="19.662115219895821"/>
  </r>
  <r>
    <x v="3"/>
    <x v="21"/>
    <x v="0"/>
    <x v="0"/>
    <x v="0"/>
    <x v="4"/>
    <x v="4"/>
    <x v="21"/>
    <x v="2"/>
    <n v="13413.111909552195"/>
    <n v="29069.177207210338"/>
    <n v="238.38371344447091"/>
  </r>
  <r>
    <x v="3"/>
    <x v="21"/>
    <x v="1"/>
    <x v="0"/>
    <x v="0"/>
    <x v="4"/>
    <x v="4"/>
    <x v="21"/>
    <x v="1"/>
    <n v="15123.296138225865"/>
    <n v="42186.285518802681"/>
    <n v="346.012970063436"/>
  </r>
  <r>
    <x v="3"/>
    <x v="21"/>
    <x v="1"/>
    <x v="0"/>
    <x v="0"/>
    <x v="4"/>
    <x v="4"/>
    <x v="21"/>
    <x v="2"/>
    <n v="136346.68497150287"/>
    <n v="292297.31035379932"/>
    <n v="2396.9412012721959"/>
  </r>
  <r>
    <x v="3"/>
    <x v="21"/>
    <x v="2"/>
    <x v="0"/>
    <x v="0"/>
    <x v="4"/>
    <x v="4"/>
    <x v="21"/>
    <x v="1"/>
    <n v="2477798.0406899936"/>
    <n v="6852073.1600689013"/>
    <n v="56186.821372147009"/>
  </r>
  <r>
    <x v="3"/>
    <x v="21"/>
    <x v="2"/>
    <x v="0"/>
    <x v="0"/>
    <x v="4"/>
    <x v="4"/>
    <x v="21"/>
    <x v="2"/>
    <n v="17768913.95930998"/>
    <n v="37522173.839931123"/>
    <n v="307682.17862785311"/>
  </r>
  <r>
    <x v="3"/>
    <x v="22"/>
    <x v="0"/>
    <x v="0"/>
    <x v="0"/>
    <x v="4"/>
    <x v="4"/>
    <x v="22"/>
    <x v="1"/>
    <n v="8548.2589822405735"/>
    <n v="24746.338506223627"/>
    <n v="202.95928175827288"/>
  </r>
  <r>
    <x v="3"/>
    <x v="22"/>
    <x v="0"/>
    <x v="0"/>
    <x v="0"/>
    <x v="4"/>
    <x v="4"/>
    <x v="22"/>
    <x v="2"/>
    <n v="180139.63623772433"/>
    <n v="406034.90145060659"/>
    <n v="3329.5622991104951"/>
  </r>
  <r>
    <x v="3"/>
    <x v="22"/>
    <x v="1"/>
    <x v="0"/>
    <x v="0"/>
    <x v="4"/>
    <x v="4"/>
    <x v="22"/>
    <x v="1"/>
    <n v="22829.597815580899"/>
    <n v="69159.917965471541"/>
    <n v="567.22117792104893"/>
  </r>
  <r>
    <x v="3"/>
    <x v="22"/>
    <x v="1"/>
    <x v="0"/>
    <x v="0"/>
    <x v="4"/>
    <x v="4"/>
    <x v="22"/>
    <x v="2"/>
    <n v="206587.50696445419"/>
    <n v="456842.84207769862"/>
    <n v="3746.2572412101849"/>
  </r>
  <r>
    <x v="3"/>
    <x v="22"/>
    <x v="2"/>
    <x v="0"/>
    <x v="0"/>
    <x v="4"/>
    <x v="4"/>
    <x v="22"/>
    <x v="1"/>
    <n v="10949713.659665478"/>
    <n v="30358268.596450403"/>
    <n v="248937.60387860023"/>
  </r>
  <r>
    <x v="3"/>
    <x v="22"/>
    <x v="2"/>
    <x v="0"/>
    <x v="0"/>
    <x v="4"/>
    <x v="4"/>
    <x v="22"/>
    <x v="2"/>
    <n v="73856632.34033455"/>
    <n v="162599012.40354934"/>
    <n v="1333311.3961214016"/>
  </r>
  <r>
    <x v="3"/>
    <x v="23"/>
    <x v="0"/>
    <x v="1"/>
    <x v="0"/>
    <x v="1"/>
    <x v="1"/>
    <x v="23"/>
    <x v="1"/>
    <n v="223019.71298529438"/>
    <n v="201300.5820573238"/>
    <n v="9691.7790714467865"/>
  </r>
  <r>
    <x v="3"/>
    <x v="23"/>
    <x v="0"/>
    <x v="1"/>
    <x v="0"/>
    <x v="1"/>
    <x v="1"/>
    <x v="23"/>
    <x v="2"/>
    <n v="1689937.8121482988"/>
    <n v="1357350.5539083595"/>
    <n v="70622.877112196729"/>
  </r>
  <r>
    <x v="3"/>
    <x v="23"/>
    <x v="1"/>
    <x v="1"/>
    <x v="0"/>
    <x v="1"/>
    <x v="1"/>
    <x v="23"/>
    <x v="2"/>
    <n v="14405.49236541119"/>
    <n v="9158.1392826929095"/>
    <n v="684.54633131065623"/>
  </r>
  <r>
    <x v="3"/>
    <x v="23"/>
    <x v="2"/>
    <x v="1"/>
    <x v="0"/>
    <x v="1"/>
    <x v="1"/>
    <x v="23"/>
    <x v="1"/>
    <n v="203717.80025147213"/>
    <n v="176717.05175379256"/>
    <n v="8868.5403336769832"/>
  </r>
  <r>
    <x v="3"/>
    <x v="23"/>
    <x v="2"/>
    <x v="1"/>
    <x v="0"/>
    <x v="1"/>
    <x v="1"/>
    <x v="23"/>
    <x v="2"/>
    <n v="1371479.5093028536"/>
    <n v="1093285.2337248111"/>
    <n v="54318.129771581196"/>
  </r>
  <r>
    <x v="3"/>
    <x v="23"/>
    <x v="0"/>
    <x v="1"/>
    <x v="1"/>
    <x v="1"/>
    <x v="1"/>
    <x v="23"/>
    <x v="1"/>
    <n v="325786.73493570293"/>
    <n v="232373.15341475431"/>
    <n v="22988.615979975631"/>
  </r>
  <r>
    <x v="3"/>
    <x v="23"/>
    <x v="0"/>
    <x v="1"/>
    <x v="1"/>
    <x v="1"/>
    <x v="1"/>
    <x v="23"/>
    <x v="2"/>
    <n v="1669753.9204512315"/>
    <n v="1109924.1809643216"/>
    <n v="118162.2149773188"/>
  </r>
  <r>
    <x v="3"/>
    <x v="23"/>
    <x v="1"/>
    <x v="1"/>
    <x v="1"/>
    <x v="1"/>
    <x v="1"/>
    <x v="23"/>
    <x v="1"/>
    <n v="38379.031452810566"/>
    <n v="14587.589191376435"/>
    <n v="3159.1319498940429"/>
  </r>
  <r>
    <x v="3"/>
    <x v="23"/>
    <x v="1"/>
    <x v="1"/>
    <x v="1"/>
    <x v="1"/>
    <x v="1"/>
    <x v="23"/>
    <x v="2"/>
    <n v="180057.41367305018"/>
    <n v="117191.20391751487"/>
    <n v="13282.352835232288"/>
  </r>
  <r>
    <x v="3"/>
    <x v="23"/>
    <x v="2"/>
    <x v="1"/>
    <x v="1"/>
    <x v="1"/>
    <x v="1"/>
    <x v="23"/>
    <x v="1"/>
    <n v="1005311.5632861144"/>
    <n v="712285.23205769551"/>
    <n v="73450.714902741471"/>
  </r>
  <r>
    <x v="3"/>
    <x v="23"/>
    <x v="2"/>
    <x v="1"/>
    <x v="1"/>
    <x v="1"/>
    <x v="1"/>
    <x v="23"/>
    <x v="2"/>
    <n v="8960422.9324154593"/>
    <n v="5869930.4479614459"/>
    <n v="598754.43890526111"/>
  </r>
  <r>
    <x v="3"/>
    <x v="23"/>
    <x v="0"/>
    <x v="1"/>
    <x v="2"/>
    <x v="1"/>
    <x v="1"/>
    <x v="23"/>
    <x v="1"/>
    <n v="600880.40022488928"/>
    <n v="365270.81314287172"/>
    <n v="60226.911820053567"/>
  </r>
  <r>
    <x v="3"/>
    <x v="23"/>
    <x v="0"/>
    <x v="1"/>
    <x v="2"/>
    <x v="1"/>
    <x v="1"/>
    <x v="23"/>
    <x v="2"/>
    <n v="3352206.3028177773"/>
    <n v="1885643.5409319589"/>
    <n v="335825.69916017028"/>
  </r>
  <r>
    <x v="3"/>
    <x v="23"/>
    <x v="1"/>
    <x v="1"/>
    <x v="2"/>
    <x v="1"/>
    <x v="1"/>
    <x v="23"/>
    <x v="1"/>
    <n v="5077.6186440960155"/>
    <n v="1824.122601908942"/>
    <n v="658.39574501922289"/>
  </r>
  <r>
    <x v="3"/>
    <x v="23"/>
    <x v="1"/>
    <x v="1"/>
    <x v="2"/>
    <x v="1"/>
    <x v="1"/>
    <x v="23"/>
    <x v="2"/>
    <n v="50586.374434890997"/>
    <n v="22099.672691387001"/>
    <n v="5263.417655204963"/>
  </r>
  <r>
    <x v="3"/>
    <x v="23"/>
    <x v="2"/>
    <x v="1"/>
    <x v="2"/>
    <x v="1"/>
    <x v="1"/>
    <x v="23"/>
    <x v="1"/>
    <n v="1107529.7159177586"/>
    <n v="648186.54400322214"/>
    <n v="111401.4510494058"/>
  </r>
  <r>
    <x v="3"/>
    <x v="23"/>
    <x v="2"/>
    <x v="1"/>
    <x v="2"/>
    <x v="1"/>
    <x v="1"/>
    <x v="23"/>
    <x v="2"/>
    <n v="6438919.9302435899"/>
    <n v="3598228.1894719456"/>
    <n v="607340.99651656521"/>
  </r>
  <r>
    <x v="3"/>
    <x v="23"/>
    <x v="0"/>
    <x v="1"/>
    <x v="3"/>
    <x v="1"/>
    <x v="1"/>
    <x v="23"/>
    <x v="1"/>
    <n v="776858.13248184638"/>
    <n v="400030.18062092405"/>
    <n v="92341.392099866818"/>
  </r>
  <r>
    <x v="3"/>
    <x v="23"/>
    <x v="0"/>
    <x v="1"/>
    <x v="3"/>
    <x v="1"/>
    <x v="1"/>
    <x v="23"/>
    <x v="2"/>
    <n v="5468429.1154430304"/>
    <n v="2674075.3408640004"/>
    <n v="670218.24040947843"/>
  </r>
  <r>
    <x v="3"/>
    <x v="23"/>
    <x v="1"/>
    <x v="1"/>
    <x v="3"/>
    <x v="1"/>
    <x v="1"/>
    <x v="23"/>
    <x v="1"/>
    <n v="3614.7926544055413"/>
    <n v="1884.5924955100786"/>
    <n v="952.31030544585531"/>
  </r>
  <r>
    <x v="3"/>
    <x v="23"/>
    <x v="1"/>
    <x v="1"/>
    <x v="3"/>
    <x v="1"/>
    <x v="1"/>
    <x v="23"/>
    <x v="2"/>
    <n v="37487.916225346984"/>
    <n v="15861.872417770091"/>
    <n v="4786.417359492204"/>
  </r>
  <r>
    <x v="3"/>
    <x v="23"/>
    <x v="2"/>
    <x v="1"/>
    <x v="3"/>
    <x v="1"/>
    <x v="1"/>
    <x v="23"/>
    <x v="1"/>
    <n v="1616254.8920412618"/>
    <n v="842932.29455028905"/>
    <n v="202820.367478003"/>
  </r>
  <r>
    <x v="3"/>
    <x v="23"/>
    <x v="2"/>
    <x v="1"/>
    <x v="3"/>
    <x v="1"/>
    <x v="1"/>
    <x v="23"/>
    <x v="2"/>
    <n v="14030400.832720295"/>
    <n v="6854289.7955780094"/>
    <n v="1622185.1872659016"/>
  </r>
  <r>
    <x v="3"/>
    <x v="23"/>
    <x v="0"/>
    <x v="1"/>
    <x v="4"/>
    <x v="1"/>
    <x v="1"/>
    <x v="23"/>
    <x v="1"/>
    <n v="959844.6035388977"/>
    <n v="431966.33532847563"/>
    <n v="128202.95356692249"/>
  </r>
  <r>
    <x v="3"/>
    <x v="23"/>
    <x v="0"/>
    <x v="1"/>
    <x v="4"/>
    <x v="1"/>
    <x v="1"/>
    <x v="23"/>
    <x v="2"/>
    <n v="5676040.5835694624"/>
    <n v="2441304.1469564647"/>
    <n v="782491.14449163282"/>
  </r>
  <r>
    <x v="3"/>
    <x v="23"/>
    <x v="1"/>
    <x v="1"/>
    <x v="4"/>
    <x v="1"/>
    <x v="1"/>
    <x v="23"/>
    <x v="1"/>
    <n v="2770.0614990558774"/>
    <n v="689.96893678185916"/>
    <n v="448.26521038388069"/>
  </r>
  <r>
    <x v="3"/>
    <x v="23"/>
    <x v="1"/>
    <x v="1"/>
    <x v="4"/>
    <x v="1"/>
    <x v="1"/>
    <x v="23"/>
    <x v="2"/>
    <n v="43225.824592095189"/>
    <n v="18205.067878094764"/>
    <n v="6139.4132314457192"/>
  </r>
  <r>
    <x v="3"/>
    <x v="23"/>
    <x v="2"/>
    <x v="1"/>
    <x v="4"/>
    <x v="1"/>
    <x v="1"/>
    <x v="23"/>
    <x v="1"/>
    <n v="1680344.5144633395"/>
    <n v="765649.32138446148"/>
    <n v="236860.8283146281"/>
  </r>
  <r>
    <x v="3"/>
    <x v="23"/>
    <x v="2"/>
    <x v="1"/>
    <x v="4"/>
    <x v="1"/>
    <x v="1"/>
    <x v="23"/>
    <x v="2"/>
    <n v="15350393.621684194"/>
    <n v="6610334.7434602221"/>
    <n v="2024918.5405131958"/>
  </r>
  <r>
    <x v="3"/>
    <x v="23"/>
    <x v="0"/>
    <x v="1"/>
    <x v="5"/>
    <x v="1"/>
    <x v="1"/>
    <x v="23"/>
    <x v="1"/>
    <n v="486004.76044125453"/>
    <n v="194246.62712497119"/>
    <n v="70461.484840754754"/>
  </r>
  <r>
    <x v="3"/>
    <x v="23"/>
    <x v="0"/>
    <x v="1"/>
    <x v="5"/>
    <x v="1"/>
    <x v="1"/>
    <x v="23"/>
    <x v="2"/>
    <n v="2306623.8686491335"/>
    <n v="885460.76600591047"/>
    <n v="345536.19134576857"/>
  </r>
  <r>
    <x v="3"/>
    <x v="23"/>
    <x v="1"/>
    <x v="1"/>
    <x v="5"/>
    <x v="1"/>
    <x v="1"/>
    <x v="23"/>
    <x v="1"/>
    <n v="16872.668348120842"/>
    <n v="2886.0523485809467"/>
    <n v="2291.7111411720912"/>
  </r>
  <r>
    <x v="3"/>
    <x v="23"/>
    <x v="1"/>
    <x v="1"/>
    <x v="5"/>
    <x v="1"/>
    <x v="1"/>
    <x v="23"/>
    <x v="2"/>
    <n v="8146.6155387732606"/>
    <n v="2941.3675467635212"/>
    <n v="1267.1444593531482"/>
  </r>
  <r>
    <x v="3"/>
    <x v="23"/>
    <x v="2"/>
    <x v="1"/>
    <x v="5"/>
    <x v="1"/>
    <x v="1"/>
    <x v="23"/>
    <x v="1"/>
    <n v="1095990.3950536558"/>
    <n v="441793.50086194806"/>
    <n v="167044.75360405052"/>
  </r>
  <r>
    <x v="3"/>
    <x v="23"/>
    <x v="2"/>
    <x v="1"/>
    <x v="5"/>
    <x v="1"/>
    <x v="1"/>
    <x v="23"/>
    <x v="2"/>
    <n v="6023567.1967054028"/>
    <n v="2319528.2081087497"/>
    <n v="866941.36529013328"/>
  </r>
  <r>
    <x v="3"/>
    <x v="23"/>
    <x v="0"/>
    <x v="1"/>
    <x v="6"/>
    <x v="1"/>
    <x v="1"/>
    <x v="23"/>
    <x v="1"/>
    <n v="230720.43104045364"/>
    <n v="82933.347863401941"/>
    <n v="35553.156856167683"/>
  </r>
  <r>
    <x v="3"/>
    <x v="23"/>
    <x v="0"/>
    <x v="1"/>
    <x v="6"/>
    <x v="1"/>
    <x v="1"/>
    <x v="23"/>
    <x v="2"/>
    <n v="1438227.36839677"/>
    <n v="498519.32687471475"/>
    <n v="231372.66392874671"/>
  </r>
  <r>
    <x v="3"/>
    <x v="23"/>
    <x v="1"/>
    <x v="1"/>
    <x v="6"/>
    <x v="1"/>
    <x v="1"/>
    <x v="23"/>
    <x v="1"/>
    <n v="410.39840004203586"/>
    <n v="30.938247366786879"/>
    <n v="29.033677368315313"/>
  </r>
  <r>
    <x v="3"/>
    <x v="23"/>
    <x v="1"/>
    <x v="1"/>
    <x v="6"/>
    <x v="1"/>
    <x v="1"/>
    <x v="23"/>
    <x v="2"/>
    <n v="112.00115712003185"/>
    <n v="150.8953211499805"/>
    <n v="58.59603040114979"/>
  </r>
  <r>
    <x v="3"/>
    <x v="23"/>
    <x v="2"/>
    <x v="1"/>
    <x v="6"/>
    <x v="1"/>
    <x v="1"/>
    <x v="23"/>
    <x v="1"/>
    <n v="619055.54396880011"/>
    <n v="224738.00185020678"/>
    <n v="100424.73626392476"/>
  </r>
  <r>
    <x v="3"/>
    <x v="23"/>
    <x v="2"/>
    <x v="1"/>
    <x v="6"/>
    <x v="1"/>
    <x v="1"/>
    <x v="23"/>
    <x v="2"/>
    <n v="3892382.6134362617"/>
    <n v="1352248.6678902435"/>
    <n v="595188.31838173734"/>
  </r>
  <r>
    <x v="3"/>
    <x v="23"/>
    <x v="0"/>
    <x v="1"/>
    <x v="7"/>
    <x v="1"/>
    <x v="1"/>
    <x v="23"/>
    <x v="1"/>
    <n v="183209.96452116274"/>
    <n v="59833.4676186781"/>
    <n v="29596.547398507751"/>
  </r>
  <r>
    <x v="3"/>
    <x v="23"/>
    <x v="0"/>
    <x v="1"/>
    <x v="7"/>
    <x v="1"/>
    <x v="1"/>
    <x v="23"/>
    <x v="2"/>
    <n v="1089741.8610252016"/>
    <n v="344310.43763068749"/>
    <n v="184667.94791056632"/>
  </r>
  <r>
    <x v="3"/>
    <x v="23"/>
    <x v="1"/>
    <x v="1"/>
    <x v="7"/>
    <x v="1"/>
    <x v="1"/>
    <x v="23"/>
    <x v="1"/>
    <n v="980.45364974632571"/>
    <n v="170.05673458160373"/>
    <n v="184.13997558588508"/>
  </r>
  <r>
    <x v="3"/>
    <x v="23"/>
    <x v="1"/>
    <x v="1"/>
    <x v="7"/>
    <x v="1"/>
    <x v="1"/>
    <x v="23"/>
    <x v="2"/>
    <n v="4170.6581588254312"/>
    <n v="1323.0652471634401"/>
    <n v="735.70967997695845"/>
  </r>
  <r>
    <x v="3"/>
    <x v="23"/>
    <x v="2"/>
    <x v="1"/>
    <x v="7"/>
    <x v="1"/>
    <x v="1"/>
    <x v="23"/>
    <x v="1"/>
    <n v="632196.46958069678"/>
    <n v="207468.65018612149"/>
    <n v="106970.63472771175"/>
  </r>
  <r>
    <x v="3"/>
    <x v="23"/>
    <x v="2"/>
    <x v="1"/>
    <x v="7"/>
    <x v="1"/>
    <x v="1"/>
    <x v="23"/>
    <x v="2"/>
    <n v="3398340.0972908572"/>
    <n v="1074932.6569584524"/>
    <n v="544812.33384879411"/>
  </r>
  <r>
    <x v="3"/>
    <x v="23"/>
    <x v="0"/>
    <x v="1"/>
    <x v="8"/>
    <x v="1"/>
    <x v="1"/>
    <x v="23"/>
    <x v="1"/>
    <n v="210833.18789974827"/>
    <n v="63085.971967005004"/>
    <n v="35366.113731787271"/>
  </r>
  <r>
    <x v="3"/>
    <x v="23"/>
    <x v="0"/>
    <x v="1"/>
    <x v="8"/>
    <x v="1"/>
    <x v="1"/>
    <x v="23"/>
    <x v="2"/>
    <n v="1188646.5024127187"/>
    <n v="345035.48263209569"/>
    <n v="208627.04586786556"/>
  </r>
  <r>
    <x v="3"/>
    <x v="23"/>
    <x v="1"/>
    <x v="1"/>
    <x v="8"/>
    <x v="1"/>
    <x v="1"/>
    <x v="23"/>
    <x v="2"/>
    <n v="213.21315042476502"/>
    <n v="63.296275159922217"/>
    <n v="38.398728249628363"/>
  </r>
  <r>
    <x v="3"/>
    <x v="23"/>
    <x v="2"/>
    <x v="1"/>
    <x v="8"/>
    <x v="1"/>
    <x v="1"/>
    <x v="23"/>
    <x v="1"/>
    <n v="415577.60435650626"/>
    <n v="125657.97923284945"/>
    <n v="73427.683121080321"/>
  </r>
  <r>
    <x v="3"/>
    <x v="23"/>
    <x v="2"/>
    <x v="1"/>
    <x v="8"/>
    <x v="1"/>
    <x v="1"/>
    <x v="23"/>
    <x v="2"/>
    <n v="4231970.6109957611"/>
    <n v="1231253.4440519901"/>
    <n v="711656.19151977543"/>
  </r>
  <r>
    <x v="3"/>
    <x v="23"/>
    <x v="0"/>
    <x v="1"/>
    <x v="9"/>
    <x v="1"/>
    <x v="1"/>
    <x v="23"/>
    <x v="1"/>
    <n v="75300.831008393856"/>
    <n v="20675.694010663126"/>
    <n v="12954.46006014152"/>
  </r>
  <r>
    <x v="3"/>
    <x v="23"/>
    <x v="0"/>
    <x v="1"/>
    <x v="9"/>
    <x v="1"/>
    <x v="1"/>
    <x v="23"/>
    <x v="2"/>
    <n v="331739.3140379418"/>
    <n v="88581.981105525905"/>
    <n v="59474.706086822305"/>
  </r>
  <r>
    <x v="3"/>
    <x v="23"/>
    <x v="1"/>
    <x v="1"/>
    <x v="9"/>
    <x v="1"/>
    <x v="1"/>
    <x v="23"/>
    <x v="2"/>
    <n v="221.13391322011552"/>
    <n v="59.271715704360638"/>
    <n v="41.747939825571784"/>
  </r>
  <r>
    <x v="3"/>
    <x v="23"/>
    <x v="2"/>
    <x v="1"/>
    <x v="9"/>
    <x v="1"/>
    <x v="1"/>
    <x v="23"/>
    <x v="1"/>
    <n v="196694.09101290905"/>
    <n v="54479.815852742788"/>
    <n v="35580.337575945174"/>
  </r>
  <r>
    <x v="3"/>
    <x v="23"/>
    <x v="2"/>
    <x v="1"/>
    <x v="9"/>
    <x v="1"/>
    <x v="1"/>
    <x v="23"/>
    <x v="2"/>
    <n v="795228.33736727643"/>
    <n v="212883.92957137144"/>
    <n v="137816.82258278813"/>
  </r>
  <r>
    <x v="3"/>
    <x v="23"/>
    <x v="0"/>
    <x v="1"/>
    <x v="10"/>
    <x v="1"/>
    <x v="1"/>
    <x v="23"/>
    <x v="1"/>
    <n v="108872.63232179944"/>
    <n v="27618.645273103572"/>
    <n v="19126.138046425614"/>
  </r>
  <r>
    <x v="3"/>
    <x v="23"/>
    <x v="0"/>
    <x v="1"/>
    <x v="10"/>
    <x v="1"/>
    <x v="1"/>
    <x v="23"/>
    <x v="2"/>
    <n v="566874.75875552127"/>
    <n v="140142.17785025371"/>
    <n v="104332.06211390709"/>
  </r>
  <r>
    <x v="3"/>
    <x v="23"/>
    <x v="2"/>
    <x v="1"/>
    <x v="10"/>
    <x v="1"/>
    <x v="1"/>
    <x v="23"/>
    <x v="1"/>
    <n v="349689.72971661313"/>
    <n v="89270.504702485181"/>
    <n v="64438.89984674671"/>
  </r>
  <r>
    <x v="3"/>
    <x v="23"/>
    <x v="2"/>
    <x v="1"/>
    <x v="10"/>
    <x v="1"/>
    <x v="1"/>
    <x v="23"/>
    <x v="2"/>
    <n v="2057458.6358945812"/>
    <n v="510413.80337963038"/>
    <n v="365139.57825570402"/>
  </r>
  <r>
    <x v="3"/>
    <x v="23"/>
    <x v="0"/>
    <x v="1"/>
    <x v="11"/>
    <x v="1"/>
    <x v="1"/>
    <x v="23"/>
    <x v="1"/>
    <n v="35937.757270723094"/>
    <n v="8471.8952146519714"/>
    <n v="6425.6050889924809"/>
  </r>
  <r>
    <x v="3"/>
    <x v="23"/>
    <x v="0"/>
    <x v="1"/>
    <x v="11"/>
    <x v="1"/>
    <x v="1"/>
    <x v="23"/>
    <x v="2"/>
    <n v="173492.99654218493"/>
    <n v="39929.367976718211"/>
    <n v="32568.216294586236"/>
  </r>
  <r>
    <x v="3"/>
    <x v="23"/>
    <x v="2"/>
    <x v="1"/>
    <x v="11"/>
    <x v="1"/>
    <x v="1"/>
    <x v="23"/>
    <x v="1"/>
    <n v="95441.579460115754"/>
    <n v="22679.943840661312"/>
    <n v="17930.427457868129"/>
  </r>
  <r>
    <x v="3"/>
    <x v="23"/>
    <x v="2"/>
    <x v="1"/>
    <x v="11"/>
    <x v="1"/>
    <x v="1"/>
    <x v="23"/>
    <x v="2"/>
    <n v="516752.63893748046"/>
    <n v="118490.64210687517"/>
    <n v="92607.334647589247"/>
  </r>
  <r>
    <x v="3"/>
    <x v="23"/>
    <x v="0"/>
    <x v="1"/>
    <x v="12"/>
    <x v="1"/>
    <x v="1"/>
    <x v="23"/>
    <x v="1"/>
    <n v="12668.234846074965"/>
    <n v="2789.1331312634848"/>
    <n v="2299.4018288191546"/>
  </r>
  <r>
    <x v="3"/>
    <x v="23"/>
    <x v="0"/>
    <x v="1"/>
    <x v="12"/>
    <x v="1"/>
    <x v="1"/>
    <x v="23"/>
    <x v="2"/>
    <n v="72182.091598719737"/>
    <n v="15539.749461360319"/>
    <n v="13784.261725963092"/>
  </r>
  <r>
    <x v="3"/>
    <x v="23"/>
    <x v="1"/>
    <x v="1"/>
    <x v="12"/>
    <x v="1"/>
    <x v="1"/>
    <x v="23"/>
    <x v="2"/>
    <n v="13052.452778288463"/>
    <n v="2819.9272200362757"/>
    <n v="2613.4359297586966"/>
  </r>
  <r>
    <x v="3"/>
    <x v="23"/>
    <x v="2"/>
    <x v="1"/>
    <x v="12"/>
    <x v="1"/>
    <x v="1"/>
    <x v="23"/>
    <x v="1"/>
    <n v="30444.50553178677"/>
    <n v="6747.9979099019492"/>
    <n v="5798.7686245280738"/>
  </r>
  <r>
    <x v="3"/>
    <x v="23"/>
    <x v="2"/>
    <x v="1"/>
    <x v="12"/>
    <x v="1"/>
    <x v="1"/>
    <x v="23"/>
    <x v="2"/>
    <n v="206511.63836523864"/>
    <n v="44605.399549949769"/>
    <n v="37985.619200676796"/>
  </r>
  <r>
    <x v="3"/>
    <x v="24"/>
    <x v="0"/>
    <x v="1"/>
    <x v="0"/>
    <x v="1"/>
    <x v="1"/>
    <x v="24"/>
    <x v="1"/>
    <n v="107649.04077260775"/>
    <n v="126423.06479093777"/>
    <n v="5685.9276026508023"/>
  </r>
  <r>
    <x v="3"/>
    <x v="24"/>
    <x v="0"/>
    <x v="1"/>
    <x v="0"/>
    <x v="1"/>
    <x v="1"/>
    <x v="24"/>
    <x v="2"/>
    <n v="209850.29702452247"/>
    <n v="203998.16363307991"/>
    <n v="12150.048220366625"/>
  </r>
  <r>
    <x v="3"/>
    <x v="24"/>
    <x v="1"/>
    <x v="1"/>
    <x v="0"/>
    <x v="1"/>
    <x v="1"/>
    <x v="24"/>
    <x v="2"/>
    <n v="4653.9054303485209"/>
    <n v="3971.4360354050727"/>
    <n v="271.18139398007304"/>
  </r>
  <r>
    <x v="3"/>
    <x v="24"/>
    <x v="2"/>
    <x v="1"/>
    <x v="0"/>
    <x v="1"/>
    <x v="1"/>
    <x v="24"/>
    <x v="1"/>
    <n v="92148.298134275537"/>
    <n v="102714.58774774658"/>
    <n v="5358.4443310301967"/>
  </r>
  <r>
    <x v="3"/>
    <x v="24"/>
    <x v="2"/>
    <x v="1"/>
    <x v="0"/>
    <x v="1"/>
    <x v="1"/>
    <x v="24"/>
    <x v="2"/>
    <n v="1291778.1347416735"/>
    <n v="1292652.822099023"/>
    <n v="68984.43075990022"/>
  </r>
  <r>
    <x v="3"/>
    <x v="24"/>
    <x v="0"/>
    <x v="1"/>
    <x v="1"/>
    <x v="1"/>
    <x v="1"/>
    <x v="24"/>
    <x v="1"/>
    <n v="183404.48593959768"/>
    <n v="160123.8776529223"/>
    <n v="14797.880260260363"/>
  </r>
  <r>
    <x v="3"/>
    <x v="24"/>
    <x v="0"/>
    <x v="1"/>
    <x v="1"/>
    <x v="1"/>
    <x v="1"/>
    <x v="24"/>
    <x v="2"/>
    <n v="78167.221006028107"/>
    <n v="62754.753255725838"/>
    <n v="7283.5877756574655"/>
  </r>
  <r>
    <x v="3"/>
    <x v="24"/>
    <x v="1"/>
    <x v="1"/>
    <x v="1"/>
    <x v="1"/>
    <x v="1"/>
    <x v="24"/>
    <x v="1"/>
    <n v="65077.800879623683"/>
    <n v="25553.91062901523"/>
    <n v="5972.5737959454164"/>
  </r>
  <r>
    <x v="3"/>
    <x v="24"/>
    <x v="1"/>
    <x v="1"/>
    <x v="1"/>
    <x v="1"/>
    <x v="1"/>
    <x v="24"/>
    <x v="2"/>
    <n v="29207.003627423743"/>
    <n v="17816.368097484297"/>
    <n v="2498.3986203932336"/>
  </r>
  <r>
    <x v="3"/>
    <x v="24"/>
    <x v="2"/>
    <x v="1"/>
    <x v="1"/>
    <x v="1"/>
    <x v="1"/>
    <x v="24"/>
    <x v="1"/>
    <n v="286113.9949533586"/>
    <n v="249044.52367036368"/>
    <n v="26696.356365305292"/>
  </r>
  <r>
    <x v="3"/>
    <x v="24"/>
    <x v="2"/>
    <x v="1"/>
    <x v="1"/>
    <x v="1"/>
    <x v="1"/>
    <x v="24"/>
    <x v="2"/>
    <n v="2277599.2480045017"/>
    <n v="1808670.6328816607"/>
    <n v="184852.05865616325"/>
  </r>
  <r>
    <x v="3"/>
    <x v="24"/>
    <x v="0"/>
    <x v="1"/>
    <x v="2"/>
    <x v="1"/>
    <x v="1"/>
    <x v="24"/>
    <x v="1"/>
    <n v="674232.43946738902"/>
    <n v="478517.08630735491"/>
    <n v="73703.754133549272"/>
  </r>
  <r>
    <x v="3"/>
    <x v="24"/>
    <x v="0"/>
    <x v="1"/>
    <x v="2"/>
    <x v="1"/>
    <x v="1"/>
    <x v="24"/>
    <x v="2"/>
    <n v="632788.60326341446"/>
    <n v="400260.0983591929"/>
    <n v="76925.82522073244"/>
  </r>
  <r>
    <x v="3"/>
    <x v="24"/>
    <x v="1"/>
    <x v="1"/>
    <x v="2"/>
    <x v="1"/>
    <x v="1"/>
    <x v="24"/>
    <x v="2"/>
    <n v="10867.289696133943"/>
    <n v="6193.5216764395782"/>
    <n v="1338.097225904052"/>
  </r>
  <r>
    <x v="3"/>
    <x v="24"/>
    <x v="2"/>
    <x v="1"/>
    <x v="2"/>
    <x v="1"/>
    <x v="1"/>
    <x v="24"/>
    <x v="1"/>
    <n v="1046821.8219514887"/>
    <n v="713721.68229935574"/>
    <n v="127512.46306951148"/>
  </r>
  <r>
    <x v="3"/>
    <x v="24"/>
    <x v="2"/>
    <x v="1"/>
    <x v="2"/>
    <x v="1"/>
    <x v="1"/>
    <x v="24"/>
    <x v="2"/>
    <n v="2096474.7554567179"/>
    <n v="1382527.3968954673"/>
    <n v="223233.68325313539"/>
  </r>
  <r>
    <x v="3"/>
    <x v="24"/>
    <x v="0"/>
    <x v="1"/>
    <x v="3"/>
    <x v="1"/>
    <x v="1"/>
    <x v="24"/>
    <x v="1"/>
    <n v="881932.30840410909"/>
    <n v="523713.45747073618"/>
    <n v="112931.19642855528"/>
  </r>
  <r>
    <x v="3"/>
    <x v="24"/>
    <x v="0"/>
    <x v="1"/>
    <x v="3"/>
    <x v="1"/>
    <x v="1"/>
    <x v="24"/>
    <x v="2"/>
    <n v="1495303.1481627992"/>
    <n v="839641.40849248797"/>
    <n v="238279.69910507946"/>
  </r>
  <r>
    <x v="3"/>
    <x v="24"/>
    <x v="1"/>
    <x v="1"/>
    <x v="3"/>
    <x v="1"/>
    <x v="1"/>
    <x v="24"/>
    <x v="2"/>
    <n v="29381.97161370379"/>
    <n v="12614.969884442986"/>
    <n v="3961.7609103529453"/>
  </r>
  <r>
    <x v="3"/>
    <x v="24"/>
    <x v="2"/>
    <x v="1"/>
    <x v="3"/>
    <x v="1"/>
    <x v="1"/>
    <x v="24"/>
    <x v="1"/>
    <n v="2542284.8317785114"/>
    <n v="1511532.2976672198"/>
    <n v="378067.38325395942"/>
  </r>
  <r>
    <x v="3"/>
    <x v="24"/>
    <x v="2"/>
    <x v="1"/>
    <x v="3"/>
    <x v="1"/>
    <x v="1"/>
    <x v="24"/>
    <x v="2"/>
    <n v="10367028.898147419"/>
    <n v="5800014.8348917477"/>
    <n v="1347797.3500910394"/>
  </r>
  <r>
    <x v="3"/>
    <x v="24"/>
    <x v="0"/>
    <x v="1"/>
    <x v="4"/>
    <x v="1"/>
    <x v="1"/>
    <x v="24"/>
    <x v="1"/>
    <n v="535089.39019179402"/>
    <n v="272449.12949946959"/>
    <n v="75535.322797094559"/>
  </r>
  <r>
    <x v="3"/>
    <x v="24"/>
    <x v="0"/>
    <x v="1"/>
    <x v="4"/>
    <x v="1"/>
    <x v="1"/>
    <x v="24"/>
    <x v="2"/>
    <n v="532799.76229705638"/>
    <n v="258640.99973122575"/>
    <n v="91868.616635791492"/>
  </r>
  <r>
    <x v="3"/>
    <x v="24"/>
    <x v="1"/>
    <x v="1"/>
    <x v="4"/>
    <x v="1"/>
    <x v="1"/>
    <x v="24"/>
    <x v="1"/>
    <n v="845.25671921995195"/>
    <n v="199.01470889072982"/>
    <n v="139.54381220761334"/>
  </r>
  <r>
    <x v="3"/>
    <x v="24"/>
    <x v="1"/>
    <x v="1"/>
    <x v="4"/>
    <x v="1"/>
    <x v="1"/>
    <x v="24"/>
    <x v="2"/>
    <n v="2632.3593117461651"/>
    <n v="1149.025759740618"/>
    <n v="389.61100566878127"/>
  </r>
  <r>
    <x v="3"/>
    <x v="24"/>
    <x v="2"/>
    <x v="1"/>
    <x v="4"/>
    <x v="1"/>
    <x v="1"/>
    <x v="24"/>
    <x v="1"/>
    <n v="1348618.1621088854"/>
    <n v="684314.49819113791"/>
    <n v="220065.51407453805"/>
  </r>
  <r>
    <x v="3"/>
    <x v="24"/>
    <x v="2"/>
    <x v="1"/>
    <x v="4"/>
    <x v="1"/>
    <x v="1"/>
    <x v="24"/>
    <x v="2"/>
    <n v="2906446.148293349"/>
    <n v="1402226.2761449688"/>
    <n v="439266.48730162182"/>
  </r>
  <r>
    <x v="3"/>
    <x v="24"/>
    <x v="0"/>
    <x v="1"/>
    <x v="5"/>
    <x v="1"/>
    <x v="1"/>
    <x v="24"/>
    <x v="1"/>
    <n v="454853.23608346022"/>
    <n v="202697.78575869475"/>
    <n v="68685.307219795592"/>
  </r>
  <r>
    <x v="3"/>
    <x v="24"/>
    <x v="0"/>
    <x v="1"/>
    <x v="5"/>
    <x v="1"/>
    <x v="1"/>
    <x v="24"/>
    <x v="2"/>
    <n v="422525.69966791343"/>
    <n v="180566.77458442267"/>
    <n v="78111.342016992741"/>
  </r>
  <r>
    <x v="3"/>
    <x v="24"/>
    <x v="1"/>
    <x v="1"/>
    <x v="5"/>
    <x v="1"/>
    <x v="1"/>
    <x v="24"/>
    <x v="1"/>
    <n v="2835.4134488865448"/>
    <n v="592.56322743272256"/>
    <n v="507.82056043321955"/>
  </r>
  <r>
    <x v="3"/>
    <x v="24"/>
    <x v="1"/>
    <x v="1"/>
    <x v="5"/>
    <x v="1"/>
    <x v="1"/>
    <x v="24"/>
    <x v="2"/>
    <n v="2617.1719016137795"/>
    <n v="797.22208036035317"/>
    <n v="435.57219151362796"/>
  </r>
  <r>
    <x v="3"/>
    <x v="24"/>
    <x v="2"/>
    <x v="1"/>
    <x v="5"/>
    <x v="1"/>
    <x v="1"/>
    <x v="24"/>
    <x v="1"/>
    <n v="1296207.5799375868"/>
    <n v="575146.49890030769"/>
    <n v="226060.6154229361"/>
  </r>
  <r>
    <x v="3"/>
    <x v="24"/>
    <x v="2"/>
    <x v="1"/>
    <x v="5"/>
    <x v="1"/>
    <x v="1"/>
    <x v="24"/>
    <x v="2"/>
    <n v="2859364.3970163916"/>
    <n v="1219275.8199028766"/>
    <n v="459699.06978559954"/>
  </r>
  <r>
    <x v="3"/>
    <x v="24"/>
    <x v="0"/>
    <x v="1"/>
    <x v="6"/>
    <x v="1"/>
    <x v="1"/>
    <x v="24"/>
    <x v="1"/>
    <n v="155653.56789999543"/>
    <n v="61669.481603436587"/>
    <n v="24696.522534373089"/>
  </r>
  <r>
    <x v="3"/>
    <x v="24"/>
    <x v="0"/>
    <x v="1"/>
    <x v="6"/>
    <x v="1"/>
    <x v="1"/>
    <x v="24"/>
    <x v="2"/>
    <n v="180634.11733949199"/>
    <n v="68944.409806380965"/>
    <n v="36712.009359833966"/>
  </r>
  <r>
    <x v="3"/>
    <x v="24"/>
    <x v="2"/>
    <x v="1"/>
    <x v="6"/>
    <x v="1"/>
    <x v="1"/>
    <x v="24"/>
    <x v="1"/>
    <n v="425976.92939262022"/>
    <n v="168218.69400768503"/>
    <n v="78139.629777248556"/>
  </r>
  <r>
    <x v="3"/>
    <x v="24"/>
    <x v="2"/>
    <x v="1"/>
    <x v="6"/>
    <x v="1"/>
    <x v="1"/>
    <x v="24"/>
    <x v="2"/>
    <n v="1216840.2585442867"/>
    <n v="466248.03240227711"/>
    <n v="209526.92402893823"/>
  </r>
  <r>
    <x v="3"/>
    <x v="24"/>
    <x v="0"/>
    <x v="1"/>
    <x v="7"/>
    <x v="1"/>
    <x v="1"/>
    <x v="24"/>
    <x v="1"/>
    <n v="104661.15134708276"/>
    <n v="37325.709091449273"/>
    <n v="17247.314449935118"/>
  </r>
  <r>
    <x v="3"/>
    <x v="24"/>
    <x v="0"/>
    <x v="1"/>
    <x v="7"/>
    <x v="1"/>
    <x v="1"/>
    <x v="24"/>
    <x v="2"/>
    <n v="263089.23686997889"/>
    <n v="90720.545211294666"/>
    <n v="49337.079555108285"/>
  </r>
  <r>
    <x v="3"/>
    <x v="24"/>
    <x v="1"/>
    <x v="1"/>
    <x v="7"/>
    <x v="1"/>
    <x v="1"/>
    <x v="24"/>
    <x v="1"/>
    <n v="1984.9132471345251"/>
    <n v="317.98537758314751"/>
    <n v="371.60479294517012"/>
  </r>
  <r>
    <x v="3"/>
    <x v="24"/>
    <x v="1"/>
    <x v="1"/>
    <x v="7"/>
    <x v="1"/>
    <x v="1"/>
    <x v="24"/>
    <x v="2"/>
    <n v="607.67955528499863"/>
    <n v="200.17843667264702"/>
    <n v="105.8532456203982"/>
  </r>
  <r>
    <x v="3"/>
    <x v="24"/>
    <x v="2"/>
    <x v="1"/>
    <x v="7"/>
    <x v="1"/>
    <x v="1"/>
    <x v="24"/>
    <x v="1"/>
    <n v="308373.72182779276"/>
    <n v="109434.63686504732"/>
    <n v="58654.292441378799"/>
  </r>
  <r>
    <x v="3"/>
    <x v="24"/>
    <x v="2"/>
    <x v="1"/>
    <x v="7"/>
    <x v="1"/>
    <x v="1"/>
    <x v="24"/>
    <x v="2"/>
    <n v="2680916.1102644335"/>
    <n v="921910.25305944192"/>
    <n v="414513.51255905686"/>
  </r>
  <r>
    <x v="3"/>
    <x v="24"/>
    <x v="0"/>
    <x v="1"/>
    <x v="8"/>
    <x v="1"/>
    <x v="1"/>
    <x v="24"/>
    <x v="1"/>
    <n v="98591.366882000439"/>
    <n v="31968.708133997196"/>
    <n v="16741.569243340484"/>
  </r>
  <r>
    <x v="3"/>
    <x v="24"/>
    <x v="0"/>
    <x v="1"/>
    <x v="8"/>
    <x v="1"/>
    <x v="1"/>
    <x v="24"/>
    <x v="2"/>
    <n v="133305.59784435207"/>
    <n v="41920.054172930191"/>
    <n v="27206.432086091514"/>
  </r>
  <r>
    <x v="3"/>
    <x v="24"/>
    <x v="2"/>
    <x v="1"/>
    <x v="8"/>
    <x v="1"/>
    <x v="1"/>
    <x v="24"/>
    <x v="1"/>
    <n v="234425.76102566384"/>
    <n v="75679.15037928801"/>
    <n v="45970.466309863048"/>
  </r>
  <r>
    <x v="3"/>
    <x v="24"/>
    <x v="2"/>
    <x v="1"/>
    <x v="8"/>
    <x v="1"/>
    <x v="1"/>
    <x v="24"/>
    <x v="2"/>
    <n v="1186511.501010241"/>
    <n v="372022.07997454342"/>
    <n v="201158.35363714513"/>
  </r>
  <r>
    <x v="3"/>
    <x v="24"/>
    <x v="0"/>
    <x v="1"/>
    <x v="9"/>
    <x v="1"/>
    <x v="1"/>
    <x v="24"/>
    <x v="1"/>
    <n v="96764.551142702388"/>
    <n v="28594.762930149787"/>
    <n v="16736.408082192003"/>
  </r>
  <r>
    <x v="3"/>
    <x v="24"/>
    <x v="0"/>
    <x v="1"/>
    <x v="9"/>
    <x v="1"/>
    <x v="1"/>
    <x v="24"/>
    <x v="2"/>
    <n v="51216.659783999596"/>
    <n v="14717.450229641192"/>
    <n v="10388.692007568729"/>
  </r>
  <r>
    <x v="3"/>
    <x v="24"/>
    <x v="2"/>
    <x v="1"/>
    <x v="9"/>
    <x v="1"/>
    <x v="1"/>
    <x v="24"/>
    <x v="1"/>
    <n v="300140.29162216315"/>
    <n v="88331.200574945644"/>
    <n v="59968.263646783809"/>
  </r>
  <r>
    <x v="3"/>
    <x v="24"/>
    <x v="2"/>
    <x v="1"/>
    <x v="9"/>
    <x v="1"/>
    <x v="1"/>
    <x v="24"/>
    <x v="2"/>
    <n v="386428.75441017532"/>
    <n v="110732.50433583814"/>
    <n v="70749.198945748547"/>
  </r>
  <r>
    <x v="3"/>
    <x v="24"/>
    <x v="0"/>
    <x v="1"/>
    <x v="10"/>
    <x v="1"/>
    <x v="1"/>
    <x v="24"/>
    <x v="1"/>
    <n v="38236.164471156473"/>
    <n v="10378.994164440377"/>
    <n v="6714.2377878311809"/>
  </r>
  <r>
    <x v="3"/>
    <x v="24"/>
    <x v="0"/>
    <x v="1"/>
    <x v="10"/>
    <x v="1"/>
    <x v="1"/>
    <x v="24"/>
    <x v="2"/>
    <n v="91740.164926849859"/>
    <n v="24269.916657551916"/>
    <n v="23155.032299892762"/>
  </r>
  <r>
    <x v="3"/>
    <x v="24"/>
    <x v="2"/>
    <x v="1"/>
    <x v="10"/>
    <x v="1"/>
    <x v="1"/>
    <x v="24"/>
    <x v="1"/>
    <n v="97900.091991839596"/>
    <n v="26481.610133663595"/>
    <n v="19870.894713339319"/>
  </r>
  <r>
    <x v="3"/>
    <x v="24"/>
    <x v="2"/>
    <x v="1"/>
    <x v="10"/>
    <x v="1"/>
    <x v="1"/>
    <x v="24"/>
    <x v="2"/>
    <n v="546071.69722068624"/>
    <n v="143771.22779699686"/>
    <n v="118353.19399108765"/>
  </r>
  <r>
    <x v="3"/>
    <x v="24"/>
    <x v="0"/>
    <x v="1"/>
    <x v="11"/>
    <x v="1"/>
    <x v="1"/>
    <x v="24"/>
    <x v="1"/>
    <n v="39907.823231219474"/>
    <n v="10017.037010332964"/>
    <n v="7097.2363762521027"/>
  </r>
  <r>
    <x v="3"/>
    <x v="24"/>
    <x v="0"/>
    <x v="1"/>
    <x v="11"/>
    <x v="1"/>
    <x v="1"/>
    <x v="24"/>
    <x v="2"/>
    <n v="32363.112457138479"/>
    <n v="7932.1457850744255"/>
    <n v="7682.5530071146277"/>
  </r>
  <r>
    <x v="3"/>
    <x v="24"/>
    <x v="2"/>
    <x v="1"/>
    <x v="11"/>
    <x v="1"/>
    <x v="1"/>
    <x v="24"/>
    <x v="1"/>
    <n v="162002.98973272502"/>
    <n v="40412.668597886957"/>
    <n v="33212.311722720864"/>
  </r>
  <r>
    <x v="3"/>
    <x v="24"/>
    <x v="2"/>
    <x v="1"/>
    <x v="11"/>
    <x v="1"/>
    <x v="1"/>
    <x v="24"/>
    <x v="2"/>
    <n v="192854.56550436886"/>
    <n v="46860.761366802944"/>
    <n v="40595.536041210202"/>
  </r>
  <r>
    <x v="3"/>
    <x v="24"/>
    <x v="0"/>
    <x v="1"/>
    <x v="12"/>
    <x v="1"/>
    <x v="1"/>
    <x v="24"/>
    <x v="1"/>
    <n v="28191.834993010652"/>
    <n v="6580.7357331955527"/>
    <n v="5068.0001025686706"/>
  </r>
  <r>
    <x v="3"/>
    <x v="24"/>
    <x v="0"/>
    <x v="1"/>
    <x v="12"/>
    <x v="1"/>
    <x v="1"/>
    <x v="24"/>
    <x v="2"/>
    <n v="42375.122910010046"/>
    <n v="9674.6982548698015"/>
    <n v="11089.265207302995"/>
  </r>
  <r>
    <x v="3"/>
    <x v="24"/>
    <x v="1"/>
    <x v="1"/>
    <x v="12"/>
    <x v="1"/>
    <x v="1"/>
    <x v="24"/>
    <x v="2"/>
    <n v="11343.130189194766"/>
    <n v="2472.5557655345042"/>
    <n v="2179.1229291033387"/>
  </r>
  <r>
    <x v="3"/>
    <x v="24"/>
    <x v="2"/>
    <x v="1"/>
    <x v="12"/>
    <x v="1"/>
    <x v="1"/>
    <x v="24"/>
    <x v="1"/>
    <n v="110730.01136917846"/>
    <n v="25729.782993991088"/>
    <n v="22984.225400285257"/>
  </r>
  <r>
    <x v="3"/>
    <x v="24"/>
    <x v="2"/>
    <x v="1"/>
    <x v="12"/>
    <x v="1"/>
    <x v="1"/>
    <x v="24"/>
    <x v="2"/>
    <n v="229319.0455598555"/>
    <n v="52066.526219668121"/>
    <n v="53717.340420477063"/>
  </r>
  <r>
    <x v="3"/>
    <x v="25"/>
    <x v="0"/>
    <x v="1"/>
    <x v="0"/>
    <x v="1"/>
    <x v="1"/>
    <x v="25"/>
    <x v="1"/>
    <n v="41732.15880092825"/>
    <n v="29769.266390008037"/>
    <n v="1362.1008186645108"/>
  </r>
  <r>
    <x v="3"/>
    <x v="25"/>
    <x v="0"/>
    <x v="1"/>
    <x v="0"/>
    <x v="1"/>
    <x v="1"/>
    <x v="25"/>
    <x v="2"/>
    <n v="375192.79858766362"/>
    <n v="247329.11625108676"/>
    <n v="12826.161751550741"/>
  </r>
  <r>
    <x v="3"/>
    <x v="25"/>
    <x v="1"/>
    <x v="1"/>
    <x v="0"/>
    <x v="1"/>
    <x v="1"/>
    <x v="25"/>
    <x v="2"/>
    <n v="21781.065498001673"/>
    <n v="13967.395285154411"/>
    <n v="783.68492727771036"/>
  </r>
  <r>
    <x v="3"/>
    <x v="25"/>
    <x v="2"/>
    <x v="1"/>
    <x v="0"/>
    <x v="1"/>
    <x v="1"/>
    <x v="25"/>
    <x v="1"/>
    <n v="145301.13911929037"/>
    <n v="107611.64644200786"/>
    <n v="4991.6690975563024"/>
  </r>
  <r>
    <x v="3"/>
    <x v="25"/>
    <x v="2"/>
    <x v="1"/>
    <x v="0"/>
    <x v="1"/>
    <x v="1"/>
    <x v="25"/>
    <x v="2"/>
    <n v="1364067.4424475338"/>
    <n v="926901.60085471743"/>
    <n v="43957.877987345273"/>
  </r>
  <r>
    <x v="3"/>
    <x v="25"/>
    <x v="0"/>
    <x v="1"/>
    <x v="1"/>
    <x v="1"/>
    <x v="1"/>
    <x v="25"/>
    <x v="1"/>
    <n v="94924.651653130291"/>
    <n v="58754.801259229622"/>
    <n v="5523.9899795739711"/>
  </r>
  <r>
    <x v="3"/>
    <x v="25"/>
    <x v="0"/>
    <x v="1"/>
    <x v="1"/>
    <x v="1"/>
    <x v="1"/>
    <x v="25"/>
    <x v="2"/>
    <n v="1031717.3323656557"/>
    <n v="585774.18287627853"/>
    <n v="62385.663986995511"/>
  </r>
  <r>
    <x v="3"/>
    <x v="25"/>
    <x v="1"/>
    <x v="1"/>
    <x v="1"/>
    <x v="1"/>
    <x v="1"/>
    <x v="25"/>
    <x v="1"/>
    <n v="10443.990118097783"/>
    <n v="3587.2208163900336"/>
    <n v="737.39248131600652"/>
  </r>
  <r>
    <x v="3"/>
    <x v="25"/>
    <x v="1"/>
    <x v="1"/>
    <x v="1"/>
    <x v="1"/>
    <x v="1"/>
    <x v="25"/>
    <x v="2"/>
    <n v="188666.83070914002"/>
    <n v="101016.7473695527"/>
    <n v="11788.497793480956"/>
  </r>
  <r>
    <x v="3"/>
    <x v="25"/>
    <x v="2"/>
    <x v="1"/>
    <x v="1"/>
    <x v="1"/>
    <x v="1"/>
    <x v="25"/>
    <x v="1"/>
    <n v="373747.47646043199"/>
    <n v="230800.62159326486"/>
    <n v="21998.440025970493"/>
  </r>
  <r>
    <x v="3"/>
    <x v="25"/>
    <x v="2"/>
    <x v="1"/>
    <x v="1"/>
    <x v="1"/>
    <x v="1"/>
    <x v="25"/>
    <x v="2"/>
    <n v="3209621.4586069663"/>
    <n v="1840722.551841022"/>
    <n v="179904.09529926689"/>
  </r>
  <r>
    <x v="3"/>
    <x v="25"/>
    <x v="0"/>
    <x v="1"/>
    <x v="2"/>
    <x v="1"/>
    <x v="1"/>
    <x v="25"/>
    <x v="1"/>
    <n v="97446.245185669497"/>
    <n v="51456.88323722389"/>
    <n v="8063.094456128405"/>
  </r>
  <r>
    <x v="3"/>
    <x v="25"/>
    <x v="0"/>
    <x v="1"/>
    <x v="2"/>
    <x v="1"/>
    <x v="1"/>
    <x v="25"/>
    <x v="2"/>
    <n v="848692.08119945729"/>
    <n v="417240.69996462885"/>
    <n v="74388.585104184764"/>
  </r>
  <r>
    <x v="3"/>
    <x v="25"/>
    <x v="1"/>
    <x v="1"/>
    <x v="2"/>
    <x v="1"/>
    <x v="1"/>
    <x v="25"/>
    <x v="1"/>
    <n v="5790.5816932765747"/>
    <n v="1709.4256818119366"/>
    <n v="585.65191534780809"/>
  </r>
  <r>
    <x v="3"/>
    <x v="25"/>
    <x v="1"/>
    <x v="1"/>
    <x v="2"/>
    <x v="1"/>
    <x v="1"/>
    <x v="25"/>
    <x v="2"/>
    <n v="116838.85258320431"/>
    <n v="48986.579492625577"/>
    <n v="10516.262757612434"/>
  </r>
  <r>
    <x v="3"/>
    <x v="25"/>
    <x v="2"/>
    <x v="1"/>
    <x v="2"/>
    <x v="1"/>
    <x v="1"/>
    <x v="25"/>
    <x v="1"/>
    <n v="347104.33728134038"/>
    <n v="183633.70384413659"/>
    <n v="29171.318176957833"/>
  </r>
  <r>
    <x v="3"/>
    <x v="25"/>
    <x v="2"/>
    <x v="1"/>
    <x v="2"/>
    <x v="1"/>
    <x v="1"/>
    <x v="25"/>
    <x v="2"/>
    <n v="3584280.5912574739"/>
    <n v="1775264.5267242915"/>
    <n v="290112.76116019749"/>
  </r>
  <r>
    <x v="3"/>
    <x v="25"/>
    <x v="0"/>
    <x v="1"/>
    <x v="3"/>
    <x v="1"/>
    <x v="1"/>
    <x v="25"/>
    <x v="1"/>
    <n v="69112.845253990454"/>
    <n v="31920.875457879327"/>
    <n v="7002.6287028244251"/>
  </r>
  <r>
    <x v="3"/>
    <x v="25"/>
    <x v="0"/>
    <x v="1"/>
    <x v="3"/>
    <x v="1"/>
    <x v="1"/>
    <x v="25"/>
    <x v="2"/>
    <n v="979517.42653770687"/>
    <n v="426055.6546390467"/>
    <n v="107643.86862708177"/>
  </r>
  <r>
    <x v="3"/>
    <x v="25"/>
    <x v="1"/>
    <x v="1"/>
    <x v="3"/>
    <x v="1"/>
    <x v="1"/>
    <x v="25"/>
    <x v="1"/>
    <n v="1761.7919901578496"/>
    <n v="841.68894746310002"/>
    <n v="403.70953194109444"/>
  </r>
  <r>
    <x v="3"/>
    <x v="25"/>
    <x v="1"/>
    <x v="1"/>
    <x v="3"/>
    <x v="1"/>
    <x v="1"/>
    <x v="25"/>
    <x v="2"/>
    <n v="25050.544607690885"/>
    <n v="7996.8398362061007"/>
    <n v="2822.2970593324094"/>
  </r>
  <r>
    <x v="3"/>
    <x v="25"/>
    <x v="2"/>
    <x v="1"/>
    <x v="3"/>
    <x v="1"/>
    <x v="1"/>
    <x v="25"/>
    <x v="1"/>
    <n v="284256.89246713143"/>
    <n v="132030.33286565141"/>
    <n v="29363.337316463843"/>
  </r>
  <r>
    <x v="3"/>
    <x v="25"/>
    <x v="2"/>
    <x v="1"/>
    <x v="3"/>
    <x v="1"/>
    <x v="1"/>
    <x v="25"/>
    <x v="2"/>
    <n v="4067909.7217765902"/>
    <n v="1778749.8383711774"/>
    <n v="407897.85341172345"/>
  </r>
  <r>
    <x v="3"/>
    <x v="25"/>
    <x v="0"/>
    <x v="1"/>
    <x v="4"/>
    <x v="1"/>
    <x v="1"/>
    <x v="25"/>
    <x v="1"/>
    <n v="52695.048055824911"/>
    <n v="21550.764462905066"/>
    <n v="6078.4584949921391"/>
  </r>
  <r>
    <x v="3"/>
    <x v="25"/>
    <x v="0"/>
    <x v="1"/>
    <x v="4"/>
    <x v="1"/>
    <x v="1"/>
    <x v="25"/>
    <x v="2"/>
    <n v="641231.94388831139"/>
    <n v="248720.92239252295"/>
    <n v="80722.971816722697"/>
  </r>
  <r>
    <x v="3"/>
    <x v="25"/>
    <x v="1"/>
    <x v="1"/>
    <x v="4"/>
    <x v="1"/>
    <x v="1"/>
    <x v="25"/>
    <x v="1"/>
    <n v="7456.2967140285455"/>
    <n v="1738.3759221891016"/>
    <n v="1072.0265634606378"/>
  </r>
  <r>
    <x v="3"/>
    <x v="25"/>
    <x v="1"/>
    <x v="1"/>
    <x v="4"/>
    <x v="1"/>
    <x v="1"/>
    <x v="25"/>
    <x v="2"/>
    <n v="39417.461698996347"/>
    <n v="14360.670961615466"/>
    <n v="5022.3551358555096"/>
  </r>
  <r>
    <x v="3"/>
    <x v="25"/>
    <x v="2"/>
    <x v="1"/>
    <x v="4"/>
    <x v="1"/>
    <x v="1"/>
    <x v="25"/>
    <x v="1"/>
    <n v="282376.81962742464"/>
    <n v="116080.01255195394"/>
    <n v="33192.014519417273"/>
  </r>
  <r>
    <x v="3"/>
    <x v="25"/>
    <x v="2"/>
    <x v="1"/>
    <x v="4"/>
    <x v="1"/>
    <x v="1"/>
    <x v="25"/>
    <x v="2"/>
    <n v="3476182.6426290632"/>
    <n v="1350113.8030850308"/>
    <n v="397303.7282209702"/>
  </r>
  <r>
    <x v="3"/>
    <x v="25"/>
    <x v="0"/>
    <x v="1"/>
    <x v="5"/>
    <x v="1"/>
    <x v="1"/>
    <x v="25"/>
    <x v="1"/>
    <n v="50981.588891333311"/>
    <n v="18708.937063030276"/>
    <n v="6449.5596680147673"/>
  </r>
  <r>
    <x v="3"/>
    <x v="25"/>
    <x v="0"/>
    <x v="1"/>
    <x v="5"/>
    <x v="1"/>
    <x v="1"/>
    <x v="25"/>
    <x v="2"/>
    <n v="422438.88285756076"/>
    <n v="147810.03338219965"/>
    <n v="57474.439252339653"/>
  </r>
  <r>
    <x v="3"/>
    <x v="25"/>
    <x v="1"/>
    <x v="1"/>
    <x v="5"/>
    <x v="1"/>
    <x v="1"/>
    <x v="25"/>
    <x v="1"/>
    <n v="6936.5483713590493"/>
    <n v="1089.4510764786389"/>
    <n v="821.14481845769353"/>
  </r>
  <r>
    <x v="3"/>
    <x v="25"/>
    <x v="1"/>
    <x v="1"/>
    <x v="5"/>
    <x v="1"/>
    <x v="1"/>
    <x v="25"/>
    <x v="2"/>
    <n v="9881.6308918141094"/>
    <n v="3212.6110642340636"/>
    <n v="1375.4343599690485"/>
  </r>
  <r>
    <x v="3"/>
    <x v="25"/>
    <x v="2"/>
    <x v="1"/>
    <x v="5"/>
    <x v="1"/>
    <x v="1"/>
    <x v="25"/>
    <x v="1"/>
    <n v="376182.33062583924"/>
    <n v="138075.09747515619"/>
    <n v="48254.931072991487"/>
  </r>
  <r>
    <x v="3"/>
    <x v="25"/>
    <x v="2"/>
    <x v="1"/>
    <x v="5"/>
    <x v="1"/>
    <x v="1"/>
    <x v="25"/>
    <x v="2"/>
    <n v="2169527.8414590023"/>
    <n v="755720.17026976123"/>
    <n v="270933.1047005424"/>
  </r>
  <r>
    <x v="3"/>
    <x v="25"/>
    <x v="0"/>
    <x v="1"/>
    <x v="6"/>
    <x v="1"/>
    <x v="1"/>
    <x v="25"/>
    <x v="1"/>
    <n v="14670.982278230182"/>
    <n v="4882.2157816263925"/>
    <n v="1989.063226673253"/>
  </r>
  <r>
    <x v="3"/>
    <x v="25"/>
    <x v="0"/>
    <x v="1"/>
    <x v="6"/>
    <x v="1"/>
    <x v="1"/>
    <x v="25"/>
    <x v="2"/>
    <n v="786442.39977632905"/>
    <n v="250620.29368442594"/>
    <n v="119464.90763221712"/>
  </r>
  <r>
    <x v="3"/>
    <x v="25"/>
    <x v="1"/>
    <x v="1"/>
    <x v="6"/>
    <x v="1"/>
    <x v="1"/>
    <x v="25"/>
    <x v="1"/>
    <n v="2040.2050434427583"/>
    <n v="329.67217338642547"/>
    <n v="293.66012735783693"/>
  </r>
  <r>
    <x v="3"/>
    <x v="25"/>
    <x v="1"/>
    <x v="1"/>
    <x v="6"/>
    <x v="1"/>
    <x v="1"/>
    <x v="25"/>
    <x v="2"/>
    <n v="-1005.7387363005507"/>
    <n v="-9.2371702479344435"/>
    <n v="-137.63174289245396"/>
  </r>
  <r>
    <x v="3"/>
    <x v="25"/>
    <x v="2"/>
    <x v="1"/>
    <x v="6"/>
    <x v="1"/>
    <x v="1"/>
    <x v="25"/>
    <x v="1"/>
    <n v="110504.43003802223"/>
    <n v="36878.336469255737"/>
    <n v="15231.698362551893"/>
  </r>
  <r>
    <x v="3"/>
    <x v="25"/>
    <x v="2"/>
    <x v="1"/>
    <x v="6"/>
    <x v="1"/>
    <x v="1"/>
    <x v="25"/>
    <x v="2"/>
    <n v="2942128.3158157258"/>
    <n v="928532.07274950878"/>
    <n v="391727.15591149218"/>
  </r>
  <r>
    <x v="3"/>
    <x v="25"/>
    <x v="0"/>
    <x v="1"/>
    <x v="7"/>
    <x v="1"/>
    <x v="1"/>
    <x v="25"/>
    <x v="1"/>
    <n v="74841.287035583839"/>
    <n v="22782.854026782072"/>
    <n v="10709.955157092021"/>
  </r>
  <r>
    <x v="3"/>
    <x v="25"/>
    <x v="0"/>
    <x v="1"/>
    <x v="7"/>
    <x v="1"/>
    <x v="1"/>
    <x v="25"/>
    <x v="2"/>
    <n v="530439.31355827092"/>
    <n v="155190.77432783137"/>
    <n v="81446.831890154412"/>
  </r>
  <r>
    <x v="3"/>
    <x v="25"/>
    <x v="1"/>
    <x v="1"/>
    <x v="7"/>
    <x v="1"/>
    <x v="1"/>
    <x v="25"/>
    <x v="1"/>
    <n v="359.36051301391234"/>
    <n v="60.253978906138492"/>
    <n v="61.929322571606214"/>
  </r>
  <r>
    <x v="3"/>
    <x v="25"/>
    <x v="1"/>
    <x v="1"/>
    <x v="7"/>
    <x v="1"/>
    <x v="1"/>
    <x v="25"/>
    <x v="2"/>
    <n v="4868.0023369879127"/>
    <n v="1384.198853682886"/>
    <n v="777.69633636350773"/>
  </r>
  <r>
    <x v="3"/>
    <x v="25"/>
    <x v="2"/>
    <x v="1"/>
    <x v="7"/>
    <x v="1"/>
    <x v="1"/>
    <x v="25"/>
    <x v="1"/>
    <n v="398544.39904103015"/>
    <n v="121309.98612850241"/>
    <n v="57812.462461692274"/>
  </r>
  <r>
    <x v="3"/>
    <x v="25"/>
    <x v="2"/>
    <x v="1"/>
    <x v="7"/>
    <x v="1"/>
    <x v="1"/>
    <x v="25"/>
    <x v="2"/>
    <n v="2314219.7532964796"/>
    <n v="672254.57894731092"/>
    <n v="327139.05816250277"/>
  </r>
  <r>
    <x v="3"/>
    <x v="25"/>
    <x v="0"/>
    <x v="1"/>
    <x v="8"/>
    <x v="1"/>
    <x v="1"/>
    <x v="25"/>
    <x v="1"/>
    <n v="13985.306872199209"/>
    <n v="3922.9675901692376"/>
    <n v="2090.0270519482619"/>
  </r>
  <r>
    <x v="3"/>
    <x v="25"/>
    <x v="0"/>
    <x v="1"/>
    <x v="8"/>
    <x v="1"/>
    <x v="1"/>
    <x v="25"/>
    <x v="2"/>
    <n v="151643.79238957979"/>
    <n v="41007.187521231943"/>
    <n v="24978.873599438764"/>
  </r>
  <r>
    <x v="3"/>
    <x v="25"/>
    <x v="1"/>
    <x v="1"/>
    <x v="8"/>
    <x v="1"/>
    <x v="1"/>
    <x v="25"/>
    <x v="2"/>
    <n v="4490.6795953793944"/>
    <n v="1186.9208640034578"/>
    <n v="741.2004732204075"/>
  </r>
  <r>
    <x v="3"/>
    <x v="25"/>
    <x v="2"/>
    <x v="1"/>
    <x v="8"/>
    <x v="1"/>
    <x v="1"/>
    <x v="25"/>
    <x v="1"/>
    <n v="106894.40648036588"/>
    <n v="29986.065893390281"/>
    <n v="16195.787442695109"/>
  </r>
  <r>
    <x v="3"/>
    <x v="25"/>
    <x v="2"/>
    <x v="1"/>
    <x v="8"/>
    <x v="1"/>
    <x v="1"/>
    <x v="25"/>
    <x v="2"/>
    <n v="861728.27186958981"/>
    <n v="233340.73811491398"/>
    <n v="129712.25929011883"/>
  </r>
  <r>
    <x v="3"/>
    <x v="25"/>
    <x v="0"/>
    <x v="1"/>
    <x v="9"/>
    <x v="1"/>
    <x v="1"/>
    <x v="25"/>
    <x v="1"/>
    <n v="16450.55210368543"/>
    <n v="4256.3098280965432"/>
    <n v="2534.3996541151209"/>
  </r>
  <r>
    <x v="3"/>
    <x v="25"/>
    <x v="0"/>
    <x v="1"/>
    <x v="9"/>
    <x v="1"/>
    <x v="1"/>
    <x v="25"/>
    <x v="2"/>
    <n v="134255.76180857496"/>
    <n v="33580.905108776395"/>
    <n v="22612.257144338415"/>
  </r>
  <r>
    <x v="3"/>
    <x v="25"/>
    <x v="1"/>
    <x v="1"/>
    <x v="9"/>
    <x v="1"/>
    <x v="1"/>
    <x v="25"/>
    <x v="2"/>
    <n v="4670.2811508927462"/>
    <n v="1135.0832399576648"/>
    <n v="807.79585591313548"/>
  </r>
  <r>
    <x v="3"/>
    <x v="25"/>
    <x v="2"/>
    <x v="1"/>
    <x v="9"/>
    <x v="1"/>
    <x v="1"/>
    <x v="25"/>
    <x v="1"/>
    <n v="107399.64407650563"/>
    <n v="27794.03636353909"/>
    <n v="16777.9493230146"/>
  </r>
  <r>
    <x v="3"/>
    <x v="25"/>
    <x v="2"/>
    <x v="1"/>
    <x v="9"/>
    <x v="1"/>
    <x v="1"/>
    <x v="25"/>
    <x v="2"/>
    <n v="814513.46509423747"/>
    <n v="202932.085164266"/>
    <n v="126052.22257271552"/>
  </r>
  <r>
    <x v="3"/>
    <x v="25"/>
    <x v="0"/>
    <x v="1"/>
    <x v="10"/>
    <x v="1"/>
    <x v="1"/>
    <x v="25"/>
    <x v="1"/>
    <n v="26682.868039795074"/>
    <n v="6406.4841607745066"/>
    <n v="4216.2593498690367"/>
  </r>
  <r>
    <x v="3"/>
    <x v="25"/>
    <x v="0"/>
    <x v="1"/>
    <x v="10"/>
    <x v="1"/>
    <x v="1"/>
    <x v="25"/>
    <x v="2"/>
    <n v="204933.33822575363"/>
    <n v="47681.340594208319"/>
    <n v="35273.236198567698"/>
  </r>
  <r>
    <x v="3"/>
    <x v="25"/>
    <x v="1"/>
    <x v="1"/>
    <x v="10"/>
    <x v="1"/>
    <x v="1"/>
    <x v="25"/>
    <x v="2"/>
    <n v="6874.1099511026214"/>
    <n v="1553.9590904553152"/>
    <n v="1222.3038645109464"/>
  </r>
  <r>
    <x v="3"/>
    <x v="25"/>
    <x v="2"/>
    <x v="1"/>
    <x v="10"/>
    <x v="1"/>
    <x v="1"/>
    <x v="25"/>
    <x v="1"/>
    <n v="185490.15281659688"/>
    <n v="44529.847890588047"/>
    <n v="29710.103334951033"/>
  </r>
  <r>
    <x v="3"/>
    <x v="25"/>
    <x v="2"/>
    <x v="1"/>
    <x v="10"/>
    <x v="1"/>
    <x v="1"/>
    <x v="25"/>
    <x v="2"/>
    <n v="1300645.4172619646"/>
    <n v="301834.910862196"/>
    <n v="205552.80356136538"/>
  </r>
  <r>
    <x v="3"/>
    <x v="25"/>
    <x v="0"/>
    <x v="1"/>
    <x v="11"/>
    <x v="1"/>
    <x v="1"/>
    <x v="25"/>
    <x v="1"/>
    <n v="5975.641308904248"/>
    <n v="1338.3364666896696"/>
    <n v="964.67586577592863"/>
  </r>
  <r>
    <x v="3"/>
    <x v="25"/>
    <x v="0"/>
    <x v="1"/>
    <x v="11"/>
    <x v="1"/>
    <x v="1"/>
    <x v="25"/>
    <x v="2"/>
    <n v="74397.858253059501"/>
    <n v="16180.566418869917"/>
    <n v="13362.570729684621"/>
  </r>
  <r>
    <x v="3"/>
    <x v="25"/>
    <x v="2"/>
    <x v="1"/>
    <x v="11"/>
    <x v="1"/>
    <x v="1"/>
    <x v="25"/>
    <x v="1"/>
    <n v="43014.832611957252"/>
    <n v="9666.4142442386928"/>
    <n v="7063.6129554201825"/>
  </r>
  <r>
    <x v="3"/>
    <x v="25"/>
    <x v="2"/>
    <x v="1"/>
    <x v="11"/>
    <x v="1"/>
    <x v="1"/>
    <x v="25"/>
    <x v="2"/>
    <n v="465983.72336351697"/>
    <n v="100747.52535961471"/>
    <n v="75223.695212609033"/>
  </r>
  <r>
    <x v="3"/>
    <x v="25"/>
    <x v="0"/>
    <x v="1"/>
    <x v="12"/>
    <x v="1"/>
    <x v="1"/>
    <x v="25"/>
    <x v="1"/>
    <n v="4880.3988609842063"/>
    <n v="1024.2233350063357"/>
    <n v="802.45916335958759"/>
  </r>
  <r>
    <x v="3"/>
    <x v="25"/>
    <x v="0"/>
    <x v="1"/>
    <x v="12"/>
    <x v="1"/>
    <x v="1"/>
    <x v="25"/>
    <x v="2"/>
    <n v="55195.695024384135"/>
    <n v="11269.08564759629"/>
    <n v="10116.035434295713"/>
  </r>
  <r>
    <x v="3"/>
    <x v="25"/>
    <x v="1"/>
    <x v="1"/>
    <x v="12"/>
    <x v="1"/>
    <x v="1"/>
    <x v="25"/>
    <x v="2"/>
    <n v="2770.3064571431555"/>
    <n v="549.46064801490479"/>
    <n v="514.51366230144981"/>
  </r>
  <r>
    <x v="3"/>
    <x v="25"/>
    <x v="2"/>
    <x v="1"/>
    <x v="12"/>
    <x v="1"/>
    <x v="1"/>
    <x v="25"/>
    <x v="1"/>
    <n v="28474.462469542017"/>
    <n v="5974.7365212803097"/>
    <n v="4745.6141339307642"/>
  </r>
  <r>
    <x v="3"/>
    <x v="25"/>
    <x v="2"/>
    <x v="1"/>
    <x v="12"/>
    <x v="1"/>
    <x v="1"/>
    <x v="25"/>
    <x v="2"/>
    <n v="342100.03200643434"/>
    <n v="69555.75937320065"/>
    <n v="56804.4462855401"/>
  </r>
  <r>
    <x v="3"/>
    <x v="26"/>
    <x v="0"/>
    <x v="1"/>
    <x v="0"/>
    <x v="1"/>
    <x v="1"/>
    <x v="26"/>
    <x v="1"/>
    <n v="28897.94965895544"/>
    <n v="23778.649727760323"/>
    <n v="1162.5565767070664"/>
  </r>
  <r>
    <x v="3"/>
    <x v="26"/>
    <x v="0"/>
    <x v="1"/>
    <x v="0"/>
    <x v="1"/>
    <x v="1"/>
    <x v="26"/>
    <x v="2"/>
    <n v="391495.99691725563"/>
    <n v="293450.2190647705"/>
    <n v="15206.371020503409"/>
  </r>
  <r>
    <x v="3"/>
    <x v="26"/>
    <x v="1"/>
    <x v="1"/>
    <x v="0"/>
    <x v="1"/>
    <x v="1"/>
    <x v="26"/>
    <x v="2"/>
    <n v="9586.0641955484989"/>
    <n v="7196.4510979411416"/>
    <n v="400.9348631578423"/>
  </r>
  <r>
    <x v="3"/>
    <x v="26"/>
    <x v="2"/>
    <x v="1"/>
    <x v="0"/>
    <x v="1"/>
    <x v="1"/>
    <x v="26"/>
    <x v="1"/>
    <n v="101949.47003286383"/>
    <n v="84646.736930574611"/>
    <n v="4075.2035137261373"/>
  </r>
  <r>
    <x v="3"/>
    <x v="26"/>
    <x v="2"/>
    <x v="1"/>
    <x v="0"/>
    <x v="1"/>
    <x v="1"/>
    <x v="26"/>
    <x v="2"/>
    <n v="902399.52361787995"/>
    <n v="680165.74713762803"/>
    <n v="33373.662900116964"/>
  </r>
  <r>
    <x v="3"/>
    <x v="26"/>
    <x v="0"/>
    <x v="1"/>
    <x v="1"/>
    <x v="1"/>
    <x v="1"/>
    <x v="26"/>
    <x v="1"/>
    <n v="105053.11296689023"/>
    <n v="71377.242287301488"/>
    <n v="7170.5929765372084"/>
  </r>
  <r>
    <x v="3"/>
    <x v="26"/>
    <x v="0"/>
    <x v="1"/>
    <x v="1"/>
    <x v="1"/>
    <x v="1"/>
    <x v="26"/>
    <x v="2"/>
    <n v="1125210.7943638798"/>
    <n v="705189.32259597222"/>
    <n v="75279.981420811266"/>
  </r>
  <r>
    <x v="3"/>
    <x v="26"/>
    <x v="1"/>
    <x v="1"/>
    <x v="1"/>
    <x v="1"/>
    <x v="1"/>
    <x v="26"/>
    <x v="1"/>
    <n v="12757.254481368225"/>
    <n v="4882.7590050292283"/>
    <n v="1018.1727602328419"/>
  </r>
  <r>
    <x v="3"/>
    <x v="26"/>
    <x v="1"/>
    <x v="1"/>
    <x v="1"/>
    <x v="1"/>
    <x v="1"/>
    <x v="26"/>
    <x v="2"/>
    <n v="114875.04077740824"/>
    <n v="70159.141290611122"/>
    <n v="8132.9663187825827"/>
  </r>
  <r>
    <x v="3"/>
    <x v="26"/>
    <x v="2"/>
    <x v="1"/>
    <x v="1"/>
    <x v="1"/>
    <x v="1"/>
    <x v="26"/>
    <x v="1"/>
    <n v="260787.55405257762"/>
    <n v="177253.24559887723"/>
    <n v="17534.83469589418"/>
  </r>
  <r>
    <x v="3"/>
    <x v="26"/>
    <x v="2"/>
    <x v="1"/>
    <x v="1"/>
    <x v="1"/>
    <x v="1"/>
    <x v="26"/>
    <x v="2"/>
    <n v="2602719.7336988938"/>
    <n v="1626358.6775096077"/>
    <n v="164632.12485442197"/>
  </r>
  <r>
    <x v="3"/>
    <x v="26"/>
    <x v="0"/>
    <x v="1"/>
    <x v="2"/>
    <x v="1"/>
    <x v="1"/>
    <x v="26"/>
    <x v="1"/>
    <n v="123875.87175129171"/>
    <n v="71547.162054294909"/>
    <n v="11979.438666941636"/>
  </r>
  <r>
    <x v="3"/>
    <x v="26"/>
    <x v="0"/>
    <x v="1"/>
    <x v="2"/>
    <x v="1"/>
    <x v="1"/>
    <x v="26"/>
    <x v="2"/>
    <n v="1118439.8797070389"/>
    <n v="598568.66660085565"/>
    <n v="106589.8443255249"/>
  </r>
  <r>
    <x v="3"/>
    <x v="26"/>
    <x v="1"/>
    <x v="1"/>
    <x v="2"/>
    <x v="1"/>
    <x v="1"/>
    <x v="26"/>
    <x v="1"/>
    <n v="6094.5660398780819"/>
    <n v="1932.9374408889498"/>
    <n v="671.77329030581791"/>
  </r>
  <r>
    <x v="3"/>
    <x v="26"/>
    <x v="1"/>
    <x v="1"/>
    <x v="2"/>
    <x v="1"/>
    <x v="1"/>
    <x v="26"/>
    <x v="2"/>
    <n v="50321.67540484482"/>
    <n v="21826.561743199651"/>
    <n v="5156.0725599421858"/>
  </r>
  <r>
    <x v="3"/>
    <x v="26"/>
    <x v="2"/>
    <x v="1"/>
    <x v="2"/>
    <x v="1"/>
    <x v="1"/>
    <x v="26"/>
    <x v="1"/>
    <n v="257565.58764377367"/>
    <n v="147858.23068635707"/>
    <n v="24378.205551356059"/>
  </r>
  <r>
    <x v="3"/>
    <x v="26"/>
    <x v="2"/>
    <x v="1"/>
    <x v="2"/>
    <x v="1"/>
    <x v="1"/>
    <x v="26"/>
    <x v="2"/>
    <n v="2355936.8497488415"/>
    <n v="1259892.5957142715"/>
    <n v="213052.09107540391"/>
  </r>
  <r>
    <x v="3"/>
    <x v="26"/>
    <x v="0"/>
    <x v="1"/>
    <x v="3"/>
    <x v="1"/>
    <x v="1"/>
    <x v="26"/>
    <x v="1"/>
    <n v="120041.96413912473"/>
    <n v="59369.954889076864"/>
    <n v="13916.781574065686"/>
  </r>
  <r>
    <x v="3"/>
    <x v="26"/>
    <x v="0"/>
    <x v="1"/>
    <x v="3"/>
    <x v="1"/>
    <x v="1"/>
    <x v="26"/>
    <x v="2"/>
    <n v="1073067.2092298835"/>
    <n v="501231.26668387325"/>
    <n v="124567.74259117556"/>
  </r>
  <r>
    <x v="3"/>
    <x v="26"/>
    <x v="1"/>
    <x v="1"/>
    <x v="3"/>
    <x v="1"/>
    <x v="1"/>
    <x v="26"/>
    <x v="1"/>
    <n v="2087.2964399356865"/>
    <n v="1060.1665297222014"/>
    <n v="515.83054889891844"/>
  </r>
  <r>
    <x v="3"/>
    <x v="26"/>
    <x v="1"/>
    <x v="1"/>
    <x v="3"/>
    <x v="1"/>
    <x v="1"/>
    <x v="26"/>
    <x v="2"/>
    <n v="11697.750127646008"/>
    <n v="4285.8930110610618"/>
    <n v="1434.6774542174162"/>
  </r>
  <r>
    <x v="3"/>
    <x v="26"/>
    <x v="2"/>
    <x v="1"/>
    <x v="3"/>
    <x v="1"/>
    <x v="1"/>
    <x v="26"/>
    <x v="1"/>
    <n v="272468.58088311052"/>
    <n v="135747.19168261177"/>
    <n v="31333.948046686222"/>
  </r>
  <r>
    <x v="3"/>
    <x v="26"/>
    <x v="2"/>
    <x v="1"/>
    <x v="3"/>
    <x v="1"/>
    <x v="1"/>
    <x v="26"/>
    <x v="2"/>
    <n v="2575951.0471921791"/>
    <n v="1204832.600793517"/>
    <n v="284111.70782273298"/>
  </r>
  <r>
    <x v="3"/>
    <x v="26"/>
    <x v="0"/>
    <x v="1"/>
    <x v="4"/>
    <x v="1"/>
    <x v="1"/>
    <x v="26"/>
    <x v="1"/>
    <n v="82844.11617525162"/>
    <n v="35990.425300195995"/>
    <n v="10846.84764822101"/>
  </r>
  <r>
    <x v="3"/>
    <x v="26"/>
    <x v="0"/>
    <x v="1"/>
    <x v="4"/>
    <x v="1"/>
    <x v="1"/>
    <x v="26"/>
    <x v="2"/>
    <n v="1022432.3882329684"/>
    <n v="422346.98295754939"/>
    <n v="136415.71055536656"/>
  </r>
  <r>
    <x v="3"/>
    <x v="26"/>
    <x v="1"/>
    <x v="1"/>
    <x v="4"/>
    <x v="1"/>
    <x v="1"/>
    <x v="26"/>
    <x v="1"/>
    <n v="4475.8014648017606"/>
    <n v="1146.9115083241836"/>
    <n v="717.47595261437016"/>
  </r>
  <r>
    <x v="3"/>
    <x v="26"/>
    <x v="1"/>
    <x v="1"/>
    <x v="4"/>
    <x v="1"/>
    <x v="1"/>
    <x v="26"/>
    <x v="2"/>
    <n v="42246.882757483625"/>
    <n v="17818.434758372903"/>
    <n v="5972.5762963255193"/>
  </r>
  <r>
    <x v="3"/>
    <x v="26"/>
    <x v="2"/>
    <x v="1"/>
    <x v="4"/>
    <x v="1"/>
    <x v="1"/>
    <x v="26"/>
    <x v="1"/>
    <n v="194277.79112205308"/>
    <n v="85536.828609742763"/>
    <n v="25385.275372791893"/>
  </r>
  <r>
    <x v="3"/>
    <x v="26"/>
    <x v="2"/>
    <x v="1"/>
    <x v="4"/>
    <x v="1"/>
    <x v="1"/>
    <x v="26"/>
    <x v="2"/>
    <n v="2921713.1143963956"/>
    <n v="1203721.746138334"/>
    <n v="367412.62793525797"/>
  </r>
  <r>
    <x v="3"/>
    <x v="26"/>
    <x v="0"/>
    <x v="1"/>
    <x v="5"/>
    <x v="1"/>
    <x v="1"/>
    <x v="26"/>
    <x v="1"/>
    <n v="83954.569118585481"/>
    <n v="32515.641442011289"/>
    <n v="11977.303733802071"/>
  </r>
  <r>
    <x v="3"/>
    <x v="26"/>
    <x v="0"/>
    <x v="1"/>
    <x v="5"/>
    <x v="1"/>
    <x v="1"/>
    <x v="26"/>
    <x v="2"/>
    <n v="555134.05002618127"/>
    <n v="205531.082135303"/>
    <n v="79740.751154648271"/>
  </r>
  <r>
    <x v="3"/>
    <x v="26"/>
    <x v="1"/>
    <x v="1"/>
    <x v="5"/>
    <x v="1"/>
    <x v="1"/>
    <x v="26"/>
    <x v="1"/>
    <n v="8230.033862443559"/>
    <n v="1417.1864791394082"/>
    <n v="1083.5641178264098"/>
  </r>
  <r>
    <x v="3"/>
    <x v="26"/>
    <x v="1"/>
    <x v="1"/>
    <x v="5"/>
    <x v="1"/>
    <x v="1"/>
    <x v="26"/>
    <x v="2"/>
    <n v="2899.8881880458734"/>
    <n v="1037.3624619492032"/>
    <n v="439.25691364835257"/>
  </r>
  <r>
    <x v="3"/>
    <x v="26"/>
    <x v="2"/>
    <x v="1"/>
    <x v="5"/>
    <x v="1"/>
    <x v="1"/>
    <x v="26"/>
    <x v="1"/>
    <n v="255329.37621320243"/>
    <n v="98523.132386588317"/>
    <n v="35736.920128259917"/>
  </r>
  <r>
    <x v="3"/>
    <x v="26"/>
    <x v="2"/>
    <x v="1"/>
    <x v="5"/>
    <x v="1"/>
    <x v="1"/>
    <x v="26"/>
    <x v="2"/>
    <n v="1485106.4885680522"/>
    <n v="548694.37954213575"/>
    <n v="203136.72958376363"/>
  </r>
  <r>
    <x v="3"/>
    <x v="26"/>
    <x v="0"/>
    <x v="1"/>
    <x v="6"/>
    <x v="1"/>
    <x v="1"/>
    <x v="26"/>
    <x v="1"/>
    <n v="23267.463355142572"/>
    <n v="8129.8704124876595"/>
    <n v="3539.1667687244922"/>
  </r>
  <r>
    <x v="3"/>
    <x v="26"/>
    <x v="0"/>
    <x v="1"/>
    <x v="6"/>
    <x v="1"/>
    <x v="1"/>
    <x v="26"/>
    <x v="2"/>
    <n v="359440.89304194623"/>
    <n v="120578.46017011467"/>
    <n v="55874.249464291199"/>
  </r>
  <r>
    <x v="3"/>
    <x v="26"/>
    <x v="1"/>
    <x v="1"/>
    <x v="6"/>
    <x v="1"/>
    <x v="1"/>
    <x v="26"/>
    <x v="1"/>
    <n v="387.51979808297818"/>
    <n v="7.8300377076416856"/>
    <n v="7.075255626649386"/>
  </r>
  <r>
    <x v="3"/>
    <x v="26"/>
    <x v="1"/>
    <x v="1"/>
    <x v="6"/>
    <x v="1"/>
    <x v="1"/>
    <x v="26"/>
    <x v="2"/>
    <n v="-387.51979808297818"/>
    <n v="-7.8300377076416856"/>
    <n v="-7.075255626649386"/>
  </r>
  <r>
    <x v="3"/>
    <x v="26"/>
    <x v="2"/>
    <x v="1"/>
    <x v="6"/>
    <x v="1"/>
    <x v="1"/>
    <x v="26"/>
    <x v="1"/>
    <n v="80796.199242300456"/>
    <n v="28167.972766774878"/>
    <n v="12074.945235738407"/>
  </r>
  <r>
    <x v="3"/>
    <x v="26"/>
    <x v="2"/>
    <x v="1"/>
    <x v="6"/>
    <x v="1"/>
    <x v="1"/>
    <x v="26"/>
    <x v="2"/>
    <n v="899337.08779920742"/>
    <n v="301287.05495668069"/>
    <n v="132110.94480369551"/>
  </r>
  <r>
    <x v="3"/>
    <x v="26"/>
    <x v="0"/>
    <x v="1"/>
    <x v="7"/>
    <x v="1"/>
    <x v="1"/>
    <x v="26"/>
    <x v="1"/>
    <n v="52297.695984264399"/>
    <n v="16644.877456914212"/>
    <n v="8360.7630081489897"/>
  </r>
  <r>
    <x v="3"/>
    <x v="26"/>
    <x v="0"/>
    <x v="1"/>
    <x v="7"/>
    <x v="1"/>
    <x v="1"/>
    <x v="26"/>
    <x v="2"/>
    <n v="373685.41759941529"/>
    <n v="114593.39297108039"/>
    <n v="60773.736868927313"/>
  </r>
  <r>
    <x v="3"/>
    <x v="26"/>
    <x v="1"/>
    <x v="1"/>
    <x v="7"/>
    <x v="1"/>
    <x v="1"/>
    <x v="26"/>
    <x v="2"/>
    <n v="1158.5763579739616"/>
    <n v="362.3974470909003"/>
    <n v="201.66160748938032"/>
  </r>
  <r>
    <x v="3"/>
    <x v="26"/>
    <x v="2"/>
    <x v="1"/>
    <x v="7"/>
    <x v="1"/>
    <x v="1"/>
    <x v="26"/>
    <x v="1"/>
    <n v="155112.85404171326"/>
    <n v="49270.001957817432"/>
    <n v="24370.254459311931"/>
  </r>
  <r>
    <x v="3"/>
    <x v="26"/>
    <x v="2"/>
    <x v="1"/>
    <x v="7"/>
    <x v="1"/>
    <x v="1"/>
    <x v="26"/>
    <x v="2"/>
    <n v="1178686.5476460634"/>
    <n v="360455.92307337915"/>
    <n v="181900.51226562058"/>
  </r>
  <r>
    <x v="3"/>
    <x v="26"/>
    <x v="0"/>
    <x v="1"/>
    <x v="8"/>
    <x v="1"/>
    <x v="1"/>
    <x v="26"/>
    <x v="1"/>
    <n v="32014.224894229596"/>
    <n v="9355.5045211776196"/>
    <n v="5325.865400279009"/>
  </r>
  <r>
    <x v="3"/>
    <x v="26"/>
    <x v="0"/>
    <x v="1"/>
    <x v="8"/>
    <x v="1"/>
    <x v="1"/>
    <x v="26"/>
    <x v="2"/>
    <n v="249732.14225282241"/>
    <n v="70526.566721691139"/>
    <n v="42317.701564879368"/>
  </r>
  <r>
    <x v="3"/>
    <x v="26"/>
    <x v="1"/>
    <x v="1"/>
    <x v="8"/>
    <x v="1"/>
    <x v="1"/>
    <x v="26"/>
    <x v="2"/>
    <n v="382.28155789041693"/>
    <n v="112.42368047161897"/>
    <n v="67.664488323273972"/>
  </r>
  <r>
    <x v="3"/>
    <x v="26"/>
    <x v="2"/>
    <x v="1"/>
    <x v="8"/>
    <x v="1"/>
    <x v="1"/>
    <x v="26"/>
    <x v="1"/>
    <n v="79533.62000627564"/>
    <n v="23059.421673308836"/>
    <n v="12926.577601048199"/>
  </r>
  <r>
    <x v="3"/>
    <x v="26"/>
    <x v="2"/>
    <x v="1"/>
    <x v="8"/>
    <x v="1"/>
    <x v="1"/>
    <x v="26"/>
    <x v="2"/>
    <n v="821718.89287791448"/>
    <n v="231372.5124516369"/>
    <n v="131882.19000279446"/>
  </r>
  <r>
    <x v="3"/>
    <x v="26"/>
    <x v="0"/>
    <x v="1"/>
    <x v="9"/>
    <x v="1"/>
    <x v="1"/>
    <x v="26"/>
    <x v="1"/>
    <n v="13599.137802033823"/>
    <n v="3653.7534000889905"/>
    <n v="2324.6998387394278"/>
  </r>
  <r>
    <x v="3"/>
    <x v="26"/>
    <x v="0"/>
    <x v="1"/>
    <x v="9"/>
    <x v="1"/>
    <x v="1"/>
    <x v="26"/>
    <x v="2"/>
    <n v="113321.56027664067"/>
    <n v="29503.427017564638"/>
    <n v="19921.2284055204"/>
  </r>
  <r>
    <x v="3"/>
    <x v="26"/>
    <x v="1"/>
    <x v="1"/>
    <x v="9"/>
    <x v="1"/>
    <x v="1"/>
    <x v="26"/>
    <x v="2"/>
    <n v="415.86154764556773"/>
    <n v="110.42581490304428"/>
    <n v="77.834304645023991"/>
  </r>
  <r>
    <x v="3"/>
    <x v="26"/>
    <x v="2"/>
    <x v="1"/>
    <x v="9"/>
    <x v="1"/>
    <x v="1"/>
    <x v="26"/>
    <x v="1"/>
    <n v="40983.346842558378"/>
    <n v="10942.050076056266"/>
    <n v="6855.4903554745861"/>
  </r>
  <r>
    <x v="3"/>
    <x v="26"/>
    <x v="2"/>
    <x v="1"/>
    <x v="9"/>
    <x v="1"/>
    <x v="1"/>
    <x v="26"/>
    <x v="2"/>
    <n v="327882.54888622195"/>
    <n v="85163.714544198592"/>
    <n v="54575.058553067829"/>
  </r>
  <r>
    <x v="3"/>
    <x v="26"/>
    <x v="0"/>
    <x v="1"/>
    <x v="10"/>
    <x v="1"/>
    <x v="1"/>
    <x v="26"/>
    <x v="1"/>
    <n v="57486.64930800804"/>
    <n v="14293.189655559734"/>
    <n v="10051.306193752082"/>
  </r>
  <r>
    <x v="3"/>
    <x v="26"/>
    <x v="0"/>
    <x v="1"/>
    <x v="10"/>
    <x v="1"/>
    <x v="1"/>
    <x v="26"/>
    <x v="2"/>
    <n v="533924.67024327058"/>
    <n v="128937.42251752017"/>
    <n v="95935.687389231171"/>
  </r>
  <r>
    <x v="3"/>
    <x v="26"/>
    <x v="1"/>
    <x v="1"/>
    <x v="10"/>
    <x v="1"/>
    <x v="1"/>
    <x v="26"/>
    <x v="2"/>
    <n v="1805.9095187345242"/>
    <n v="444.71487274589703"/>
    <n v="346.45575890557808"/>
  </r>
  <r>
    <x v="3"/>
    <x v="26"/>
    <x v="2"/>
    <x v="1"/>
    <x v="10"/>
    <x v="1"/>
    <x v="1"/>
    <x v="26"/>
    <x v="1"/>
    <n v="219107.45680407039"/>
    <n v="54146.754349009148"/>
    <n v="37495.396405004067"/>
  </r>
  <r>
    <x v="3"/>
    <x v="26"/>
    <x v="2"/>
    <x v="1"/>
    <x v="10"/>
    <x v="1"/>
    <x v="1"/>
    <x v="26"/>
    <x v="2"/>
    <n v="1961628.3914281649"/>
    <n v="474184.95275481581"/>
    <n v="334675.36466354551"/>
  </r>
  <r>
    <x v="3"/>
    <x v="26"/>
    <x v="0"/>
    <x v="1"/>
    <x v="11"/>
    <x v="1"/>
    <x v="1"/>
    <x v="26"/>
    <x v="1"/>
    <n v="6728.1729089038145"/>
    <n v="1556.7418765834589"/>
    <n v="1198.9981036080767"/>
  </r>
  <r>
    <x v="3"/>
    <x v="26"/>
    <x v="0"/>
    <x v="1"/>
    <x v="11"/>
    <x v="1"/>
    <x v="1"/>
    <x v="26"/>
    <x v="2"/>
    <n v="49019.172637527052"/>
    <n v="11037.975616929041"/>
    <n v="8992.0007570819889"/>
  </r>
  <r>
    <x v="3"/>
    <x v="26"/>
    <x v="2"/>
    <x v="1"/>
    <x v="11"/>
    <x v="1"/>
    <x v="1"/>
    <x v="26"/>
    <x v="1"/>
    <n v="24762.393374895586"/>
    <n v="5696.0143182691345"/>
    <n v="4320.0137946761315"/>
  </r>
  <r>
    <x v="3"/>
    <x v="26"/>
    <x v="2"/>
    <x v="1"/>
    <x v="11"/>
    <x v="1"/>
    <x v="1"/>
    <x v="26"/>
    <x v="2"/>
    <n v="146733.66141000512"/>
    <n v="32938.162016372589"/>
    <n v="25487.458188993318"/>
  </r>
  <r>
    <x v="3"/>
    <x v="26"/>
    <x v="0"/>
    <x v="1"/>
    <x v="12"/>
    <x v="1"/>
    <x v="1"/>
    <x v="26"/>
    <x v="1"/>
    <n v="1834.8718684134858"/>
    <n v="396.99042108069318"/>
    <n v="332.34877975247491"/>
  </r>
  <r>
    <x v="3"/>
    <x v="26"/>
    <x v="0"/>
    <x v="1"/>
    <x v="12"/>
    <x v="1"/>
    <x v="1"/>
    <x v="26"/>
    <x v="2"/>
    <n v="37667.235314697347"/>
    <n v="7945.0752815121277"/>
    <n v="7150.6161778883134"/>
  </r>
  <r>
    <x v="3"/>
    <x v="26"/>
    <x v="1"/>
    <x v="1"/>
    <x v="12"/>
    <x v="1"/>
    <x v="1"/>
    <x v="26"/>
    <x v="2"/>
    <n v="2856.9075037222469"/>
    <n v="614.36907927875609"/>
    <n v="569.79179955448194"/>
  </r>
  <r>
    <x v="3"/>
    <x v="26"/>
    <x v="2"/>
    <x v="1"/>
    <x v="12"/>
    <x v="1"/>
    <x v="1"/>
    <x v="26"/>
    <x v="1"/>
    <n v="6747.0422856994328"/>
    <n v="1450.9489512244245"/>
    <n v="1196.1299554742095"/>
  </r>
  <r>
    <x v="3"/>
    <x v="26"/>
    <x v="2"/>
    <x v="1"/>
    <x v="12"/>
    <x v="1"/>
    <x v="1"/>
    <x v="26"/>
    <x v="2"/>
    <n v="132456.84018505612"/>
    <n v="27889.403380243853"/>
    <n v="23631.332235139118"/>
  </r>
  <r>
    <x v="3"/>
    <x v="27"/>
    <x v="2"/>
    <x v="0"/>
    <x v="0"/>
    <x v="0"/>
    <x v="0"/>
    <x v="27"/>
    <x v="2"/>
    <n v="-148643.43280567814"/>
    <n v="0"/>
    <n v="0"/>
  </r>
  <r>
    <x v="3"/>
    <x v="27"/>
    <x v="2"/>
    <x v="0"/>
    <x v="0"/>
    <x v="0"/>
    <x v="0"/>
    <x v="27"/>
    <x v="1"/>
    <n v="-16517.567194321869"/>
    <n v="0"/>
    <n v="0"/>
  </r>
  <r>
    <x v="3"/>
    <x v="28"/>
    <x v="2"/>
    <x v="0"/>
    <x v="0"/>
    <x v="0"/>
    <x v="0"/>
    <x v="28"/>
    <x v="2"/>
    <n v="-489.21548313002336"/>
    <n v="0"/>
    <n v="0"/>
  </r>
  <r>
    <x v="3"/>
    <x v="28"/>
    <x v="2"/>
    <x v="0"/>
    <x v="0"/>
    <x v="0"/>
    <x v="0"/>
    <x v="28"/>
    <x v="1"/>
    <n v="-68.78451686997667"/>
    <n v="0"/>
    <n v="0"/>
  </r>
  <r>
    <x v="3"/>
    <x v="29"/>
    <x v="2"/>
    <x v="0"/>
    <x v="0"/>
    <x v="0"/>
    <x v="0"/>
    <x v="29"/>
    <x v="2"/>
    <n v="3088121.9904896352"/>
    <n v="3970764.2584582334"/>
    <n v="82413.468737873438"/>
  </r>
  <r>
    <x v="3"/>
    <x v="29"/>
    <x v="2"/>
    <x v="0"/>
    <x v="0"/>
    <x v="0"/>
    <x v="0"/>
    <x v="29"/>
    <x v="1"/>
    <n v="407044.33403480635"/>
    <n v="558584.47270979721"/>
    <n v="11593.456821584507"/>
  </r>
  <r>
    <x v="3"/>
    <x v="29"/>
    <x v="2"/>
    <x v="0"/>
    <x v="1"/>
    <x v="0"/>
    <x v="0"/>
    <x v="29"/>
    <x v="2"/>
    <n v="288418.91111605015"/>
    <n v="270129.65225498559"/>
    <n v="23040.65090054039"/>
  </r>
  <r>
    <x v="3"/>
    <x v="29"/>
    <x v="2"/>
    <x v="0"/>
    <x v="1"/>
    <x v="0"/>
    <x v="0"/>
    <x v="29"/>
    <x v="1"/>
    <n v="36931.021268638375"/>
    <n v="36630.175589672115"/>
    <n v="3124.3629906664655"/>
  </r>
  <r>
    <x v="3"/>
    <x v="29"/>
    <x v="2"/>
    <x v="0"/>
    <x v="2"/>
    <x v="0"/>
    <x v="0"/>
    <x v="29"/>
    <x v="2"/>
    <n v="142679.28062281644"/>
    <n v="97507.757300597732"/>
    <n v="13861.505498705008"/>
  </r>
  <r>
    <x v="3"/>
    <x v="29"/>
    <x v="2"/>
    <x v="0"/>
    <x v="2"/>
    <x v="0"/>
    <x v="0"/>
    <x v="29"/>
    <x v="1"/>
    <n v="13118.502142322717"/>
    <n v="9769.9284995076359"/>
    <n v="1388.8732688250964"/>
  </r>
  <r>
    <x v="3"/>
    <x v="29"/>
    <x v="2"/>
    <x v="0"/>
    <x v="3"/>
    <x v="0"/>
    <x v="0"/>
    <x v="29"/>
    <x v="2"/>
    <n v="11724.951227064026"/>
    <n v="7118.7819916965209"/>
    <n v="1416.7883031593192"/>
  </r>
  <r>
    <x v="3"/>
    <x v="29"/>
    <x v="2"/>
    <x v="0"/>
    <x v="3"/>
    <x v="0"/>
    <x v="0"/>
    <x v="29"/>
    <x v="1"/>
    <n v="1758.0090985065883"/>
    <n v="1124.9731949494867"/>
    <n v="223.89347866408764"/>
  </r>
  <r>
    <x v="3"/>
    <x v="30"/>
    <x v="2"/>
    <x v="0"/>
    <x v="0"/>
    <x v="0"/>
    <x v="0"/>
    <x v="30"/>
    <x v="2"/>
    <n v="9111666.4451056458"/>
    <n v="11678718.906890517"/>
    <n v="241621.66569029342"/>
  </r>
  <r>
    <x v="3"/>
    <x v="30"/>
    <x v="2"/>
    <x v="0"/>
    <x v="0"/>
    <x v="0"/>
    <x v="0"/>
    <x v="30"/>
    <x v="1"/>
    <n v="1141166.6920847418"/>
    <n v="1562808.0513146715"/>
    <n v="32333.022784721379"/>
  </r>
  <r>
    <x v="3"/>
    <x v="30"/>
    <x v="2"/>
    <x v="0"/>
    <x v="1"/>
    <x v="0"/>
    <x v="0"/>
    <x v="30"/>
    <x v="2"/>
    <n v="1112740.2071793904"/>
    <n v="1039652.2904266493"/>
    <n v="88394.893645609773"/>
  </r>
  <r>
    <x v="3"/>
    <x v="30"/>
    <x v="2"/>
    <x v="0"/>
    <x v="1"/>
    <x v="0"/>
    <x v="0"/>
    <x v="30"/>
    <x v="1"/>
    <n v="160488.91571233017"/>
    <n v="158855.80220508741"/>
    <n v="13506.478916276643"/>
  </r>
  <r>
    <x v="3"/>
    <x v="30"/>
    <x v="2"/>
    <x v="0"/>
    <x v="2"/>
    <x v="0"/>
    <x v="0"/>
    <x v="30"/>
    <x v="2"/>
    <n v="215584.35859251436"/>
    <n v="158478.99800404333"/>
    <n v="22457.402830135394"/>
  </r>
  <r>
    <x v="3"/>
    <x v="30"/>
    <x v="2"/>
    <x v="0"/>
    <x v="2"/>
    <x v="0"/>
    <x v="0"/>
    <x v="30"/>
    <x v="1"/>
    <n v="30199.916782358032"/>
    <n v="23404.288819776302"/>
    <n v="3316.5248935074414"/>
  </r>
  <r>
    <x v="3"/>
    <x v="30"/>
    <x v="2"/>
    <x v="0"/>
    <x v="3"/>
    <x v="0"/>
    <x v="0"/>
    <x v="30"/>
    <x v="2"/>
    <n v="26544.537638622733"/>
    <n v="16083.377171083092"/>
    <n v="3190.7523291326575"/>
  </r>
  <r>
    <x v="3"/>
    <x v="30"/>
    <x v="2"/>
    <x v="0"/>
    <x v="3"/>
    <x v="0"/>
    <x v="0"/>
    <x v="30"/>
    <x v="1"/>
    <n v="3310.9269043209665"/>
    <n v="2108.2851677690505"/>
    <n v="418.25891030084591"/>
  </r>
  <r>
    <x v="3"/>
    <x v="31"/>
    <x v="2"/>
    <x v="0"/>
    <x v="0"/>
    <x v="0"/>
    <x v="0"/>
    <x v="31"/>
    <x v="2"/>
    <n v="4040365.0233842148"/>
    <n v="5322080.1205132976"/>
    <n v="147315.93992446209"/>
  </r>
  <r>
    <x v="3"/>
    <x v="31"/>
    <x v="2"/>
    <x v="0"/>
    <x v="0"/>
    <x v="0"/>
    <x v="0"/>
    <x v="31"/>
    <x v="1"/>
    <n v="515616.97661578335"/>
    <n v="726551.87948673731"/>
    <n v="20111.060075539186"/>
  </r>
  <r>
    <x v="3"/>
    <x v="32"/>
    <x v="2"/>
    <x v="0"/>
    <x v="0"/>
    <x v="0"/>
    <x v="0"/>
    <x v="32"/>
    <x v="2"/>
    <n v="2125486.9585955483"/>
    <n v="2802619.9341374314"/>
    <n v="77576.447571214929"/>
  </r>
  <r>
    <x v="3"/>
    <x v="32"/>
    <x v="2"/>
    <x v="0"/>
    <x v="0"/>
    <x v="0"/>
    <x v="0"/>
    <x v="32"/>
    <x v="1"/>
    <n v="281006.04140445322"/>
    <n v="395685.06586256495"/>
    <n v="10952.55242878559"/>
  </r>
  <r>
    <x v="3"/>
    <x v="33"/>
    <x v="2"/>
    <x v="0"/>
    <x v="0"/>
    <x v="0"/>
    <x v="0"/>
    <x v="33"/>
    <x v="2"/>
    <n v="12517.333361748122"/>
    <n v="0"/>
    <n v="0"/>
  </r>
  <r>
    <x v="3"/>
    <x v="33"/>
    <x v="2"/>
    <x v="0"/>
    <x v="0"/>
    <x v="0"/>
    <x v="0"/>
    <x v="33"/>
    <x v="1"/>
    <n v="1714.6666382519863"/>
    <n v="0"/>
    <n v="0"/>
  </r>
  <r>
    <x v="3"/>
    <x v="34"/>
    <x v="2"/>
    <x v="0"/>
    <x v="0"/>
    <x v="0"/>
    <x v="0"/>
    <x v="34"/>
    <x v="2"/>
    <n v="207129.56618074409"/>
    <n v="0"/>
    <n v="0"/>
  </r>
  <r>
    <x v="3"/>
    <x v="34"/>
    <x v="2"/>
    <x v="0"/>
    <x v="0"/>
    <x v="0"/>
    <x v="0"/>
    <x v="34"/>
    <x v="1"/>
    <n v="42564.433819256607"/>
    <n v="0"/>
    <n v="0"/>
  </r>
  <r>
    <x v="3"/>
    <x v="35"/>
    <x v="2"/>
    <x v="0"/>
    <x v="0"/>
    <x v="3"/>
    <x v="3"/>
    <x v="35"/>
    <x v="2"/>
    <n v="184109.23946019681"/>
    <n v="303568.79027823667"/>
    <n v="1897.782718260635"/>
  </r>
  <r>
    <x v="3"/>
    <x v="35"/>
    <x v="2"/>
    <x v="0"/>
    <x v="0"/>
    <x v="3"/>
    <x v="3"/>
    <x v="35"/>
    <x v="1"/>
    <n v="21178.760539804458"/>
    <n v="37945.209721759573"/>
    <n v="237.21728173941978"/>
  </r>
  <r>
    <x v="3"/>
    <x v="36"/>
    <x v="2"/>
    <x v="0"/>
    <x v="0"/>
    <x v="3"/>
    <x v="3"/>
    <x v="36"/>
    <x v="2"/>
    <n v="244605.61172608036"/>
    <n v="400801.11085215025"/>
    <n v="2505.7087312934996"/>
  </r>
  <r>
    <x v="3"/>
    <x v="36"/>
    <x v="2"/>
    <x v="0"/>
    <x v="0"/>
    <x v="3"/>
    <x v="3"/>
    <x v="36"/>
    <x v="1"/>
    <n v="35414.388273921453"/>
    <n v="63228.889147846327"/>
    <n v="395.29126870655392"/>
  </r>
  <r>
    <x v="3"/>
    <x v="37"/>
    <x v="2"/>
    <x v="0"/>
    <x v="0"/>
    <x v="3"/>
    <x v="3"/>
    <x v="37"/>
    <x v="2"/>
    <n v="297200.10077695991"/>
    <n v="507953.99536984152"/>
    <n v="3174.7454132178605"/>
  </r>
  <r>
    <x v="3"/>
    <x v="37"/>
    <x v="2"/>
    <x v="0"/>
    <x v="0"/>
    <x v="3"/>
    <x v="3"/>
    <x v="37"/>
    <x v="1"/>
    <n v="37743.89922303921"/>
    <n v="70280.004630157069"/>
    <n v="439.25458678214659"/>
  </r>
  <r>
    <x v="3"/>
    <x v="38"/>
    <x v="2"/>
    <x v="0"/>
    <x v="0"/>
    <x v="3"/>
    <x v="3"/>
    <x v="38"/>
    <x v="2"/>
    <n v="112588.13756515471"/>
    <n v="191332.96677104998"/>
    <n v="1195.0555322396929"/>
  </r>
  <r>
    <x v="3"/>
    <x v="38"/>
    <x v="2"/>
    <x v="0"/>
    <x v="0"/>
    <x v="3"/>
    <x v="3"/>
    <x v="38"/>
    <x v="1"/>
    <n v="14089.86243484531"/>
    <n v="26088.03322895"/>
    <n v="162.94446776030881"/>
  </r>
  <r>
    <x v="3"/>
    <x v="39"/>
    <x v="2"/>
    <x v="1"/>
    <x v="0"/>
    <x v="1"/>
    <x v="1"/>
    <x v="39"/>
    <x v="2"/>
    <n v="122411.33074974273"/>
    <n v="75002.113185747236"/>
    <n v="3249.3077827102261"/>
  </r>
  <r>
    <x v="3"/>
    <x v="39"/>
    <x v="2"/>
    <x v="1"/>
    <x v="0"/>
    <x v="1"/>
    <x v="1"/>
    <x v="39"/>
    <x v="1"/>
    <n v="13614.716542619291"/>
    <n v="9060.1852385325947"/>
    <n v="392.51334606332597"/>
  </r>
  <r>
    <x v="3"/>
    <x v="39"/>
    <x v="2"/>
    <x v="1"/>
    <x v="1"/>
    <x v="1"/>
    <x v="1"/>
    <x v="39"/>
    <x v="2"/>
    <n v="227344.73515374539"/>
    <n v="119517.16591425384"/>
    <n v="10639.373031776388"/>
  </r>
  <r>
    <x v="3"/>
    <x v="39"/>
    <x v="2"/>
    <x v="1"/>
    <x v="1"/>
    <x v="1"/>
    <x v="1"/>
    <x v="39"/>
    <x v="1"/>
    <n v="21796.405252337441"/>
    <n v="12292.228217893677"/>
    <n v="1094.249519736167"/>
  </r>
  <r>
    <x v="3"/>
    <x v="39"/>
    <x v="2"/>
    <x v="1"/>
    <x v="2"/>
    <x v="1"/>
    <x v="1"/>
    <x v="39"/>
    <x v="2"/>
    <n v="133420.75238302333"/>
    <n v="61396.741727482346"/>
    <n v="9109.1913196112619"/>
  </r>
  <r>
    <x v="3"/>
    <x v="39"/>
    <x v="2"/>
    <x v="1"/>
    <x v="2"/>
    <x v="1"/>
    <x v="1"/>
    <x v="39"/>
    <x v="1"/>
    <n v="17366.445243602771"/>
    <n v="8497.6970612403602"/>
    <n v="1260.7696455703065"/>
  </r>
  <r>
    <x v="3"/>
    <x v="39"/>
    <x v="2"/>
    <x v="1"/>
    <x v="3"/>
    <x v="1"/>
    <x v="1"/>
    <x v="39"/>
    <x v="2"/>
    <n v="101777.78054915274"/>
    <n v="41653.306080522496"/>
    <n v="8651.9103931006193"/>
  </r>
  <r>
    <x v="3"/>
    <x v="39"/>
    <x v="2"/>
    <x v="1"/>
    <x v="3"/>
    <x v="1"/>
    <x v="1"/>
    <x v="39"/>
    <x v="1"/>
    <n v="13182.038012406139"/>
    <n v="5696.3248151191992"/>
    <n v="1183.1976020133818"/>
  </r>
  <r>
    <x v="3"/>
    <x v="39"/>
    <x v="2"/>
    <x v="1"/>
    <x v="4"/>
    <x v="1"/>
    <x v="1"/>
    <x v="39"/>
    <x v="2"/>
    <n v="63939.215466614362"/>
    <n v="23470.548721541887"/>
    <n v="6268.0181846379201"/>
  </r>
  <r>
    <x v="3"/>
    <x v="39"/>
    <x v="2"/>
    <x v="1"/>
    <x v="4"/>
    <x v="1"/>
    <x v="1"/>
    <x v="39"/>
    <x v="1"/>
    <n v="8431.8079886813375"/>
    <n v="3250.1552999178539"/>
    <n v="867.98279684378224"/>
  </r>
  <r>
    <x v="3"/>
    <x v="39"/>
    <x v="2"/>
    <x v="1"/>
    <x v="5"/>
    <x v="1"/>
    <x v="1"/>
    <x v="39"/>
    <x v="2"/>
    <n v="43996.759390157538"/>
    <n v="14642.804930156344"/>
    <n v="4779.4888977083083"/>
  </r>
  <r>
    <x v="3"/>
    <x v="39"/>
    <x v="2"/>
    <x v="1"/>
    <x v="5"/>
    <x v="1"/>
    <x v="1"/>
    <x v="39"/>
    <x v="1"/>
    <n v="5632.9155961833376"/>
    <n v="1959.1493402291142"/>
    <n v="639.47669625054448"/>
  </r>
  <r>
    <x v="3"/>
    <x v="39"/>
    <x v="2"/>
    <x v="1"/>
    <x v="6"/>
    <x v="1"/>
    <x v="1"/>
    <x v="39"/>
    <x v="2"/>
    <n v="32948.366245802456"/>
    <n v="10029.194388322432"/>
    <n v="3868.7787743325871"/>
  </r>
  <r>
    <x v="3"/>
    <x v="39"/>
    <x v="2"/>
    <x v="1"/>
    <x v="6"/>
    <x v="1"/>
    <x v="1"/>
    <x v="39"/>
    <x v="1"/>
    <n v="4213.7316299759568"/>
    <n v="1335.2805210498364"/>
    <n v="515.08672956147825"/>
  </r>
  <r>
    <x v="3"/>
    <x v="39"/>
    <x v="2"/>
    <x v="1"/>
    <x v="7"/>
    <x v="1"/>
    <x v="1"/>
    <x v="39"/>
    <x v="2"/>
    <n v="25309.214195514629"/>
    <n v="7098.0171782107345"/>
    <n v="3159.3140603385009"/>
  </r>
  <r>
    <x v="3"/>
    <x v="39"/>
    <x v="2"/>
    <x v="1"/>
    <x v="7"/>
    <x v="1"/>
    <x v="1"/>
    <x v="39"/>
    <x v="1"/>
    <n v="3370.6425643594171"/>
    <n v="981.08403016095531"/>
    <n v="436.67865166289431"/>
  </r>
  <r>
    <x v="3"/>
    <x v="39"/>
    <x v="2"/>
    <x v="1"/>
    <x v="8"/>
    <x v="1"/>
    <x v="1"/>
    <x v="39"/>
    <x v="2"/>
    <n v="23667.662779095775"/>
    <n v="6153.1577891633815"/>
    <n v="3103.9267852045141"/>
  </r>
  <r>
    <x v="3"/>
    <x v="39"/>
    <x v="2"/>
    <x v="1"/>
    <x v="8"/>
    <x v="1"/>
    <x v="1"/>
    <x v="39"/>
    <x v="1"/>
    <n v="3440.7025751926285"/>
    <n v="925.74082845956843"/>
    <n v="466.98489654753212"/>
  </r>
  <r>
    <x v="3"/>
    <x v="39"/>
    <x v="2"/>
    <x v="1"/>
    <x v="9"/>
    <x v="1"/>
    <x v="1"/>
    <x v="39"/>
    <x v="2"/>
    <n v="15311.509521536715"/>
    <n v="3692.900913528968"/>
    <n v="2082.0240943899662"/>
  </r>
  <r>
    <x v="3"/>
    <x v="39"/>
    <x v="2"/>
    <x v="1"/>
    <x v="9"/>
    <x v="1"/>
    <x v="1"/>
    <x v="39"/>
    <x v="1"/>
    <n v="2336.4559986903619"/>
    <n v="581.60673788003339"/>
    <n v="327.90461214098497"/>
  </r>
  <r>
    <x v="3"/>
    <x v="39"/>
    <x v="2"/>
    <x v="1"/>
    <x v="10"/>
    <x v="1"/>
    <x v="1"/>
    <x v="39"/>
    <x v="2"/>
    <n v="13134.04438484092"/>
    <n v="2953.3144907922351"/>
    <n v="1840.3205945465124"/>
  </r>
  <r>
    <x v="3"/>
    <x v="39"/>
    <x v="2"/>
    <x v="1"/>
    <x v="10"/>
    <x v="1"/>
    <x v="1"/>
    <x v="39"/>
    <x v="1"/>
    <n v="1863.8886248990405"/>
    <n v="431.67697327081999"/>
    <n v="268.99404942434336"/>
  </r>
  <r>
    <x v="3"/>
    <x v="39"/>
    <x v="2"/>
    <x v="1"/>
    <x v="11"/>
    <x v="1"/>
    <x v="1"/>
    <x v="39"/>
    <x v="2"/>
    <n v="11613.560699372631"/>
    <n v="2446.1695152013353"/>
    <n v="1669.4710051574311"/>
  </r>
  <r>
    <x v="3"/>
    <x v="39"/>
    <x v="2"/>
    <x v="1"/>
    <x v="11"/>
    <x v="1"/>
    <x v="1"/>
    <x v="39"/>
    <x v="1"/>
    <n v="1682.2668673189207"/>
    <n v="364.25889119822085"/>
    <n v="248.60078316206886"/>
  </r>
  <r>
    <x v="3"/>
    <x v="39"/>
    <x v="2"/>
    <x v="1"/>
    <x v="12"/>
    <x v="1"/>
    <x v="1"/>
    <x v="39"/>
    <x v="2"/>
    <n v="13171.191311448312"/>
    <n v="2609.1804002126946"/>
    <n v="1935.5687927553683"/>
  </r>
  <r>
    <x v="3"/>
    <x v="39"/>
    <x v="2"/>
    <x v="1"/>
    <x v="12"/>
    <x v="1"/>
    <x v="1"/>
    <x v="39"/>
    <x v="1"/>
    <n v="1583.8602736852908"/>
    <n v="321.99680989898002"/>
    <n v="238.86695475577119"/>
  </r>
  <r>
    <x v="3"/>
    <x v="40"/>
    <x v="2"/>
    <x v="1"/>
    <x v="0"/>
    <x v="1"/>
    <x v="1"/>
    <x v="40"/>
    <x v="2"/>
    <n v="609545.99641477037"/>
    <n v="373663.68558220658"/>
    <n v="18190.267941384343"/>
  </r>
  <r>
    <x v="3"/>
    <x v="40"/>
    <x v="2"/>
    <x v="1"/>
    <x v="0"/>
    <x v="1"/>
    <x v="1"/>
    <x v="40"/>
    <x v="1"/>
    <n v="81493.63533919715"/>
    <n v="54286.720668856302"/>
    <n v="2642.7240128698186"/>
  </r>
  <r>
    <x v="3"/>
    <x v="40"/>
    <x v="2"/>
    <x v="1"/>
    <x v="1"/>
    <x v="1"/>
    <x v="1"/>
    <x v="40"/>
    <x v="2"/>
    <n v="748216.68295006745"/>
    <n v="393490.45498541073"/>
    <n v="39360.517892073105"/>
  </r>
  <r>
    <x v="3"/>
    <x v="40"/>
    <x v="2"/>
    <x v="1"/>
    <x v="1"/>
    <x v="1"/>
    <x v="1"/>
    <x v="40"/>
    <x v="1"/>
    <n v="108865.48206731257"/>
    <n v="61457.95552808982"/>
    <n v="6147.5873875091083"/>
  </r>
  <r>
    <x v="3"/>
    <x v="40"/>
    <x v="2"/>
    <x v="1"/>
    <x v="2"/>
    <x v="1"/>
    <x v="1"/>
    <x v="40"/>
    <x v="2"/>
    <n v="472279.43805359758"/>
    <n v="217466.76662621301"/>
    <n v="36255.028342173478"/>
  </r>
  <r>
    <x v="3"/>
    <x v="40"/>
    <x v="2"/>
    <x v="1"/>
    <x v="2"/>
    <x v="1"/>
    <x v="1"/>
    <x v="40"/>
    <x v="1"/>
    <n v="64383.097750884685"/>
    <n v="31535.729111654397"/>
    <n v="5257.4872495310074"/>
  </r>
  <r>
    <x v="3"/>
    <x v="40"/>
    <x v="2"/>
    <x v="1"/>
    <x v="3"/>
    <x v="1"/>
    <x v="1"/>
    <x v="40"/>
    <x v="2"/>
    <n v="268344.48096408404"/>
    <n v="109899.2496620813"/>
    <n v="25650.634634133276"/>
  </r>
  <r>
    <x v="3"/>
    <x v="40"/>
    <x v="2"/>
    <x v="1"/>
    <x v="3"/>
    <x v="1"/>
    <x v="1"/>
    <x v="40"/>
    <x v="1"/>
    <n v="43014.752908600436"/>
    <n v="18606.583138062841"/>
    <n v="4342.8018601724398"/>
  </r>
  <r>
    <x v="3"/>
    <x v="40"/>
    <x v="2"/>
    <x v="1"/>
    <x v="4"/>
    <x v="1"/>
    <x v="1"/>
    <x v="40"/>
    <x v="2"/>
    <n v="365429.59976381419"/>
    <n v="134244.63135140383"/>
    <n v="40285.131295631101"/>
  </r>
  <r>
    <x v="3"/>
    <x v="40"/>
    <x v="2"/>
    <x v="1"/>
    <x v="4"/>
    <x v="1"/>
    <x v="1"/>
    <x v="40"/>
    <x v="1"/>
    <n v="70584.317377565327"/>
    <n v="27231.37871711628"/>
    <n v="8171.7954449027075"/>
  </r>
  <r>
    <x v="3"/>
    <x v="40"/>
    <x v="2"/>
    <x v="1"/>
    <x v="5"/>
    <x v="1"/>
    <x v="1"/>
    <x v="40"/>
    <x v="2"/>
    <n v="104162.87029900188"/>
    <n v="34689.302022820295"/>
    <n v="12723.11914386514"/>
  </r>
  <r>
    <x v="3"/>
    <x v="40"/>
    <x v="2"/>
    <x v="1"/>
    <x v="5"/>
    <x v="1"/>
    <x v="1"/>
    <x v="40"/>
    <x v="1"/>
    <n v="13813.533857082255"/>
    <n v="4809.3244300739298"/>
    <n v="1763.9330905268575"/>
  </r>
  <r>
    <x v="3"/>
    <x v="40"/>
    <x v="2"/>
    <x v="1"/>
    <x v="6"/>
    <x v="1"/>
    <x v="1"/>
    <x v="40"/>
    <x v="2"/>
    <n v="82243.09027480222"/>
    <n v="25054.558372694912"/>
    <n v="10860.140695457105"/>
  </r>
  <r>
    <x v="3"/>
    <x v="40"/>
    <x v="2"/>
    <x v="1"/>
    <x v="6"/>
    <x v="1"/>
    <x v="1"/>
    <x v="40"/>
    <x v="1"/>
    <n v="10312.530517880219"/>
    <n v="3271.2660628739886"/>
    <n v="1417.961920007499"/>
  </r>
  <r>
    <x v="3"/>
    <x v="40"/>
    <x v="2"/>
    <x v="1"/>
    <x v="7"/>
    <x v="1"/>
    <x v="1"/>
    <x v="40"/>
    <x v="2"/>
    <n v="56517.877966224936"/>
    <n v="15863.427371317128"/>
    <n v="7934.0262129287885"/>
  </r>
  <r>
    <x v="3"/>
    <x v="40"/>
    <x v="2"/>
    <x v="1"/>
    <x v="7"/>
    <x v="1"/>
    <x v="1"/>
    <x v="40"/>
    <x v="1"/>
    <n v="7120.1138339865256"/>
    <n v="2074.2160583167843"/>
    <n v="1037.410402730434"/>
  </r>
  <r>
    <x v="3"/>
    <x v="40"/>
    <x v="2"/>
    <x v="1"/>
    <x v="8"/>
    <x v="1"/>
    <x v="1"/>
    <x v="40"/>
    <x v="2"/>
    <n v="46149.495206684187"/>
    <n v="12008.725171768139"/>
    <n v="6806.9282765122443"/>
  </r>
  <r>
    <x v="3"/>
    <x v="40"/>
    <x v="2"/>
    <x v="1"/>
    <x v="8"/>
    <x v="1"/>
    <x v="1"/>
    <x v="40"/>
    <x v="1"/>
    <n v="5598.6033350692278"/>
    <n v="1507.8806359926571"/>
    <n v="854.71481709601096"/>
  </r>
  <r>
    <x v="3"/>
    <x v="40"/>
    <x v="2"/>
    <x v="1"/>
    <x v="9"/>
    <x v="1"/>
    <x v="1"/>
    <x v="40"/>
    <x v="2"/>
    <n v="37884.964108847336"/>
    <n v="9143.8525558193542"/>
    <n v="5792.7950422105187"/>
  </r>
  <r>
    <x v="3"/>
    <x v="40"/>
    <x v="2"/>
    <x v="1"/>
    <x v="9"/>
    <x v="1"/>
    <x v="1"/>
    <x v="40"/>
    <x v="1"/>
    <n v="5296.4193520207355"/>
    <n v="1319.7727781336666"/>
    <n v="836.09979047087461"/>
  </r>
  <r>
    <x v="3"/>
    <x v="40"/>
    <x v="2"/>
    <x v="1"/>
    <x v="10"/>
    <x v="1"/>
    <x v="1"/>
    <x v="40"/>
    <x v="2"/>
    <n v="31632.704311795755"/>
    <n v="7118.9267918078604"/>
    <n v="4984.7016431487164"/>
  </r>
  <r>
    <x v="3"/>
    <x v="40"/>
    <x v="2"/>
    <x v="1"/>
    <x v="10"/>
    <x v="1"/>
    <x v="1"/>
    <x v="40"/>
    <x v="1"/>
    <n v="4121.971944538227"/>
    <n v="955.62815489861521"/>
    <n v="669.1347408494064"/>
  </r>
  <r>
    <x v="3"/>
    <x v="40"/>
    <x v="2"/>
    <x v="1"/>
    <x v="11"/>
    <x v="1"/>
    <x v="1"/>
    <x v="40"/>
    <x v="2"/>
    <n v="27771.892939207792"/>
    <n v="5854.4798542209555"/>
    <n v="4489.7431784512382"/>
  </r>
  <r>
    <x v="3"/>
    <x v="40"/>
    <x v="2"/>
    <x v="1"/>
    <x v="11"/>
    <x v="1"/>
    <x v="1"/>
    <x v="40"/>
    <x v="1"/>
    <n v="3355.3928807679222"/>
    <n v="727.28332209652513"/>
    <n v="557.74644639522614"/>
  </r>
  <r>
    <x v="3"/>
    <x v="40"/>
    <x v="2"/>
    <x v="1"/>
    <x v="12"/>
    <x v="1"/>
    <x v="1"/>
    <x v="40"/>
    <x v="2"/>
    <n v="42513.502194007146"/>
    <n v="8428.6403262057611"/>
    <n v="7025.9147789187"/>
  </r>
  <r>
    <x v="3"/>
    <x v="40"/>
    <x v="2"/>
    <x v="1"/>
    <x v="12"/>
    <x v="1"/>
    <x v="1"/>
    <x v="40"/>
    <x v="1"/>
    <n v="7142.5533881796209"/>
    <n v="1453.5607198194725"/>
    <n v="1211.6537600593886"/>
  </r>
  <r>
    <x v="3"/>
    <x v="41"/>
    <x v="2"/>
    <x v="1"/>
    <x v="7"/>
    <x v="1"/>
    <x v="1"/>
    <x v="41"/>
    <x v="2"/>
    <n v="894922.35238847241"/>
    <n v="488740"/>
    <n v="66488.465336669396"/>
  </r>
  <r>
    <x v="3"/>
    <x v="41"/>
    <x v="2"/>
    <x v="1"/>
    <x v="7"/>
    <x v="1"/>
    <x v="1"/>
    <x v="41"/>
    <x v="1"/>
    <n v="89173.647611527529"/>
    <n v="53216"/>
    <n v="7239.5346633306017"/>
  </r>
  <r>
    <x v="3"/>
    <x v="98"/>
    <x v="2"/>
    <x v="0"/>
    <x v="0"/>
    <x v="0"/>
    <x v="0"/>
    <x v="71"/>
    <x v="2"/>
    <n v="3113"/>
    <n v="2089"/>
    <n v="220.99999999999997"/>
  </r>
  <r>
    <x v="3"/>
    <x v="43"/>
    <x v="2"/>
    <x v="0"/>
    <x v="0"/>
    <x v="0"/>
    <x v="0"/>
    <x v="43"/>
    <x v="2"/>
    <n v="9929666.2588385157"/>
    <n v="13153022.324264787"/>
    <n v="1777097.9747620574"/>
  </r>
  <r>
    <x v="3"/>
    <x v="43"/>
    <x v="2"/>
    <x v="0"/>
    <x v="0"/>
    <x v="0"/>
    <x v="0"/>
    <x v="43"/>
    <x v="1"/>
    <n v="1097329.7411614968"/>
    <n v="1552089.6757352096"/>
    <n v="209702.0252379369"/>
  </r>
  <r>
    <x v="3"/>
    <x v="44"/>
    <x v="2"/>
    <x v="0"/>
    <x v="0"/>
    <x v="3"/>
    <x v="3"/>
    <x v="44"/>
    <x v="2"/>
    <n v="204754.49029527194"/>
    <n v="349983.83323423075"/>
    <n v="21481.474455827702"/>
  </r>
  <r>
    <x v="3"/>
    <x v="44"/>
    <x v="2"/>
    <x v="0"/>
    <x v="0"/>
    <x v="3"/>
    <x v="3"/>
    <x v="44"/>
    <x v="1"/>
    <n v="34110.509704727898"/>
    <n v="63516.166765769565"/>
    <n v="3898.5255441722588"/>
  </r>
  <r>
    <x v="3"/>
    <x v="45"/>
    <x v="3"/>
    <x v="0"/>
    <x v="0"/>
    <x v="0"/>
    <x v="0"/>
    <x v="45"/>
    <x v="1"/>
    <n v="537639.067255295"/>
    <n v="736498.8509763882"/>
    <n v="12758.471016332351"/>
  </r>
  <r>
    <x v="3"/>
    <x v="45"/>
    <x v="3"/>
    <x v="0"/>
    <x v="0"/>
    <x v="0"/>
    <x v="0"/>
    <x v="45"/>
    <x v="1"/>
    <n v="61559.201264680887"/>
    <n v="84328.471942930919"/>
    <n v="3794.393544251333"/>
  </r>
  <r>
    <x v="3"/>
    <x v="45"/>
    <x v="3"/>
    <x v="0"/>
    <x v="1"/>
    <x v="0"/>
    <x v="0"/>
    <x v="45"/>
    <x v="1"/>
    <n v="41902.386989912753"/>
    <n v="41487.904952049597"/>
    <n v="3202.4622275070842"/>
  </r>
  <r>
    <x v="3"/>
    <x v="45"/>
    <x v="3"/>
    <x v="0"/>
    <x v="1"/>
    <x v="0"/>
    <x v="0"/>
    <x v="45"/>
    <x v="1"/>
    <n v="33210.339971079789"/>
    <n v="32881.836265726342"/>
    <n v="3537.7150322368961"/>
  </r>
  <r>
    <x v="3"/>
    <x v="45"/>
    <x v="3"/>
    <x v="0"/>
    <x v="2"/>
    <x v="0"/>
    <x v="0"/>
    <x v="45"/>
    <x v="1"/>
    <n v="63003.195840625936"/>
    <n v="48840.149438503417"/>
    <n v="6583.4598816683038"/>
  </r>
  <r>
    <x v="3"/>
    <x v="45"/>
    <x v="3"/>
    <x v="0"/>
    <x v="2"/>
    <x v="0"/>
    <x v="0"/>
    <x v="45"/>
    <x v="1"/>
    <n v="16028.039845576721"/>
    <n v="12424.954810934831"/>
    <n v="2113.6562789046729"/>
  </r>
  <r>
    <x v="3"/>
    <x v="45"/>
    <x v="3"/>
    <x v="0"/>
    <x v="3"/>
    <x v="0"/>
    <x v="0"/>
    <x v="45"/>
    <x v="1"/>
    <n v="162997.84876820919"/>
    <n v="103821.2695034842"/>
    <n v="20652.848054075868"/>
  </r>
  <r>
    <x v="3"/>
    <x v="45"/>
    <x v="3"/>
    <x v="0"/>
    <x v="0"/>
    <x v="0"/>
    <x v="0"/>
    <x v="45"/>
    <x v="2"/>
    <n v="2558458.7153778188"/>
    <n v="3280106.353785065"/>
    <n v="58110.816446281533"/>
  </r>
  <r>
    <x v="3"/>
    <x v="45"/>
    <x v="3"/>
    <x v="0"/>
    <x v="0"/>
    <x v="0"/>
    <x v="0"/>
    <x v="45"/>
    <x v="2"/>
    <n v="1334557.5190106749"/>
    <n v="1710987.3891211511"/>
    <n v="77750.639726890891"/>
  </r>
  <r>
    <x v="3"/>
    <x v="45"/>
    <x v="3"/>
    <x v="0"/>
    <x v="1"/>
    <x v="0"/>
    <x v="0"/>
    <x v="45"/>
    <x v="2"/>
    <n v="3517.2310053377332"/>
    <n v="3287.1629252072398"/>
    <n v="253.23373377228549"/>
  </r>
  <r>
    <x v="3"/>
    <x v="45"/>
    <x v="3"/>
    <x v="0"/>
    <x v="1"/>
    <x v="0"/>
    <x v="0"/>
    <x v="45"/>
    <x v="2"/>
    <n v="1005279.548486023"/>
    <n v="939522.49830545892"/>
    <n v="103090.79794408671"/>
  </r>
  <r>
    <x v="3"/>
    <x v="45"/>
    <x v="3"/>
    <x v="0"/>
    <x v="2"/>
    <x v="0"/>
    <x v="0"/>
    <x v="45"/>
    <x v="2"/>
    <n v="2818.9553188200371"/>
    <n v="2072.7809025854499"/>
    <n v="295.08233715712407"/>
  </r>
  <r>
    <x v="3"/>
    <x v="45"/>
    <x v="3"/>
    <x v="0"/>
    <x v="2"/>
    <x v="0"/>
    <x v="0"/>
    <x v="45"/>
    <x v="2"/>
    <n v="593740.21598736267"/>
    <n v="436577.82462146709"/>
    <n v="75188.653494113038"/>
  </r>
  <r>
    <x v="3"/>
    <x v="45"/>
    <x v="3"/>
    <x v="0"/>
    <x v="3"/>
    <x v="0"/>
    <x v="0"/>
    <x v="45"/>
    <x v="2"/>
    <n v="18645.73487858232"/>
    <n v="11300.552449049181"/>
    <n v="2268.7702827219009"/>
  </r>
  <r>
    <x v="3"/>
    <x v="46"/>
    <x v="3"/>
    <x v="0"/>
    <x v="0"/>
    <x v="0"/>
    <x v="0"/>
    <x v="46"/>
    <x v="1"/>
    <n v="151.0080317285944"/>
    <n v="218.45285816441691"/>
    <n v="5.0352816825757918"/>
  </r>
  <r>
    <x v="3"/>
    <x v="46"/>
    <x v="3"/>
    <x v="0"/>
    <x v="0"/>
    <x v="0"/>
    <x v="0"/>
    <x v="46"/>
    <x v="1"/>
    <n v="-1.096708421557528E-13"/>
    <n v="-1.5865320971325681E-13"/>
    <n v="-7.2616134907296871E-15"/>
  </r>
  <r>
    <x v="3"/>
    <x v="46"/>
    <x v="3"/>
    <x v="0"/>
    <x v="1"/>
    <x v="0"/>
    <x v="0"/>
    <x v="46"/>
    <x v="1"/>
    <n v="114.1998327874864"/>
    <n v="117.5169493068161"/>
    <n v="9.2413798549645474"/>
  </r>
  <r>
    <x v="3"/>
    <x v="46"/>
    <x v="3"/>
    <x v="0"/>
    <x v="1"/>
    <x v="0"/>
    <x v="0"/>
    <x v="46"/>
    <x v="1"/>
    <n v="-1.6172263548911609E-14"/>
    <n v="-1.6642012770636631E-14"/>
    <n v="-1.8418037229277131E-15"/>
  </r>
  <r>
    <x v="3"/>
    <x v="46"/>
    <x v="3"/>
    <x v="0"/>
    <x v="2"/>
    <x v="0"/>
    <x v="0"/>
    <x v="46"/>
    <x v="1"/>
    <n v="2.3886353379027899E-14"/>
    <n v="1.9074212431535109E-14"/>
    <n v="2.702090183492617E-15"/>
  </r>
  <r>
    <x v="3"/>
    <x v="46"/>
    <x v="3"/>
    <x v="0"/>
    <x v="2"/>
    <x v="0"/>
    <x v="0"/>
    <x v="46"/>
    <x v="1"/>
    <n v="2.802395411241008E-14"/>
    <n v="2.2378252780142699E-14"/>
    <n v="3.8391086796304964E-15"/>
  </r>
  <r>
    <x v="3"/>
    <x v="46"/>
    <x v="3"/>
    <x v="0"/>
    <x v="3"/>
    <x v="0"/>
    <x v="0"/>
    <x v="46"/>
    <x v="1"/>
    <n v="-8.8689209030437607E-14"/>
    <n v="-5.7861025411928855E-14"/>
    <n v="-1.181187988530643E-14"/>
  </r>
  <r>
    <x v="3"/>
    <x v="46"/>
    <x v="3"/>
    <x v="0"/>
    <x v="0"/>
    <x v="0"/>
    <x v="0"/>
    <x v="46"/>
    <x v="2"/>
    <n v="1226.7022437990131"/>
    <n v="1654.680751914329"/>
    <n v="38.333333585832712"/>
  </r>
  <r>
    <x v="3"/>
    <x v="46"/>
    <x v="3"/>
    <x v="0"/>
    <x v="0"/>
    <x v="0"/>
    <x v="0"/>
    <x v="46"/>
    <x v="2"/>
    <n v="421.94695423730923"/>
    <n v="569.15808790168421"/>
    <n v="25.866772229300039"/>
  </r>
  <r>
    <x v="3"/>
    <x v="46"/>
    <x v="3"/>
    <x v="0"/>
    <x v="1"/>
    <x v="0"/>
    <x v="0"/>
    <x v="46"/>
    <x v="2"/>
    <n v="73.505969311254162"/>
    <n v="71.234791796959144"/>
    <n v="5.6461417222842076"/>
  </r>
  <r>
    <x v="3"/>
    <x v="46"/>
    <x v="3"/>
    <x v="0"/>
    <x v="1"/>
    <x v="0"/>
    <x v="0"/>
    <x v="46"/>
    <x v="2"/>
    <n v="98.81791995380803"/>
    <n v="95.764657206422797"/>
    <n v="10.635710471918699"/>
  </r>
  <r>
    <x v="3"/>
    <x v="46"/>
    <x v="3"/>
    <x v="0"/>
    <x v="2"/>
    <x v="0"/>
    <x v="0"/>
    <x v="46"/>
    <x v="2"/>
    <n v="0.90467004438778698"/>
    <n v="0.68410545580224591"/>
    <n v="9.7673217607806381E-2"/>
  </r>
  <r>
    <x v="3"/>
    <x v="46"/>
    <x v="3"/>
    <x v="0"/>
    <x v="2"/>
    <x v="0"/>
    <x v="0"/>
    <x v="46"/>
    <x v="2"/>
    <n v="93.563255064422819"/>
    <n v="70.751909659509082"/>
    <n v="12.339398636302811"/>
  </r>
  <r>
    <x v="3"/>
    <x v="46"/>
    <x v="3"/>
    <x v="0"/>
    <x v="3"/>
    <x v="0"/>
    <x v="0"/>
    <x v="46"/>
    <x v="2"/>
    <n v="117.35112307372449"/>
    <n v="72.755888594060764"/>
    <n v="14.8043085992134"/>
  </r>
  <r>
    <x v="3"/>
    <x v="47"/>
    <x v="3"/>
    <x v="0"/>
    <x v="0"/>
    <x v="0"/>
    <x v="0"/>
    <x v="47"/>
    <x v="1"/>
    <n v="29856.250541631161"/>
    <n v="25034.303026535661"/>
    <n v="591.42347938730404"/>
  </r>
  <r>
    <x v="3"/>
    <x v="47"/>
    <x v="3"/>
    <x v="0"/>
    <x v="0"/>
    <x v="0"/>
    <x v="0"/>
    <x v="47"/>
    <x v="1"/>
    <n v="-1.095084534569494E-11"/>
    <n v="-9.1822240169973114E-12"/>
    <n v="-4.3851055953937532E-13"/>
  </r>
  <r>
    <x v="3"/>
    <x v="47"/>
    <x v="3"/>
    <x v="0"/>
    <x v="1"/>
    <x v="0"/>
    <x v="0"/>
    <x v="47"/>
    <x v="1"/>
    <n v="1.1762574402516499E-10"/>
    <n v="7.9842154651141309E-11"/>
    <n v="6.3998597037201794E-12"/>
  </r>
  <r>
    <x v="3"/>
    <x v="47"/>
    <x v="3"/>
    <x v="0"/>
    <x v="1"/>
    <x v="0"/>
    <x v="0"/>
    <x v="47"/>
    <x v="1"/>
    <n v="-2.2684813060833449E-11"/>
    <n v="-1.5398026747000239E-11"/>
    <n v="-1.661879430509259E-12"/>
  </r>
  <r>
    <x v="3"/>
    <x v="47"/>
    <x v="3"/>
    <x v="0"/>
    <x v="2"/>
    <x v="0"/>
    <x v="0"/>
    <x v="47"/>
    <x v="1"/>
    <n v="51483.965510739232"/>
    <n v="29354.936261280978"/>
    <n v="3925.8948507086179"/>
  </r>
  <r>
    <x v="3"/>
    <x v="47"/>
    <x v="3"/>
    <x v="0"/>
    <x v="2"/>
    <x v="0"/>
    <x v="0"/>
    <x v="47"/>
    <x v="1"/>
    <n v="-2.7698794009219659E-11"/>
    <n v="-1.5793195504440849E-11"/>
    <n v="-2.4802899549786281E-12"/>
  </r>
  <r>
    <x v="3"/>
    <x v="47"/>
    <x v="3"/>
    <x v="0"/>
    <x v="3"/>
    <x v="0"/>
    <x v="0"/>
    <x v="47"/>
    <x v="1"/>
    <n v="-2.6569410269230349E-11"/>
    <n v="-1.30596962738915E-11"/>
    <n v="-2.653518065025272E-12"/>
  </r>
  <r>
    <x v="3"/>
    <x v="47"/>
    <x v="3"/>
    <x v="0"/>
    <x v="0"/>
    <x v="0"/>
    <x v="0"/>
    <x v="47"/>
    <x v="2"/>
    <n v="61629.670422790448"/>
    <n v="48420.952022200778"/>
    <n v="1260.2837050762921"/>
  </r>
  <r>
    <x v="3"/>
    <x v="47"/>
    <x v="3"/>
    <x v="0"/>
    <x v="0"/>
    <x v="0"/>
    <x v="0"/>
    <x v="47"/>
    <x v="2"/>
    <n v="184497.23802954811"/>
    <n v="144955.04924124529"/>
    <n v="6897.0502116130747"/>
  </r>
  <r>
    <x v="3"/>
    <x v="47"/>
    <x v="3"/>
    <x v="0"/>
    <x v="1"/>
    <x v="0"/>
    <x v="0"/>
    <x v="47"/>
    <x v="2"/>
    <n v="163565.26948146569"/>
    <n v="104619.7540860451"/>
    <n v="8134.8012974111934"/>
  </r>
  <r>
    <x v="3"/>
    <x v="47"/>
    <x v="3"/>
    <x v="0"/>
    <x v="1"/>
    <x v="0"/>
    <x v="0"/>
    <x v="47"/>
    <x v="2"/>
    <n v="51925.535524689498"/>
    <n v="33212.654340381152"/>
    <n v="3531.1793800510441"/>
  </r>
  <r>
    <x v="3"/>
    <x v="47"/>
    <x v="3"/>
    <x v="0"/>
    <x v="2"/>
    <x v="0"/>
    <x v="0"/>
    <x v="47"/>
    <x v="2"/>
    <n v="61418.153240304251"/>
    <n v="33126.246175881271"/>
    <n v="4475.1238804250288"/>
  </r>
  <r>
    <x v="3"/>
    <x v="47"/>
    <x v="3"/>
    <x v="0"/>
    <x v="2"/>
    <x v="0"/>
    <x v="0"/>
    <x v="47"/>
    <x v="2"/>
    <n v="18684.055610191219"/>
    <n v="10077.35649890706"/>
    <n v="1688.207182855675"/>
  </r>
  <r>
    <x v="3"/>
    <x v="47"/>
    <x v="3"/>
    <x v="0"/>
    <x v="3"/>
    <x v="0"/>
    <x v="0"/>
    <x v="47"/>
    <x v="2"/>
    <n v="92566.861638640388"/>
    <n v="43160.748347522756"/>
    <n v="8695.0360124717736"/>
  </r>
  <r>
    <x v="3"/>
    <x v="48"/>
    <x v="3"/>
    <x v="0"/>
    <x v="0"/>
    <x v="0"/>
    <x v="0"/>
    <x v="48"/>
    <x v="1"/>
    <n v="9.3955956564628702E-16"/>
    <n v="6.2982110727543629E-16"/>
    <n v="2.701126375386893E-18"/>
  </r>
  <r>
    <x v="3"/>
    <x v="48"/>
    <x v="3"/>
    <x v="0"/>
    <x v="0"/>
    <x v="0"/>
    <x v="0"/>
    <x v="48"/>
    <x v="1"/>
    <n v="1.5109063072010811E-15"/>
    <n v="1.012815704490492E-15"/>
    <n v="1.0466406636389001E-17"/>
  </r>
  <r>
    <x v="3"/>
    <x v="48"/>
    <x v="3"/>
    <x v="0"/>
    <x v="1"/>
    <x v="0"/>
    <x v="0"/>
    <x v="48"/>
    <x v="1"/>
    <n v="1.568396525568866E-15"/>
    <n v="8.4549407221117802E-16"/>
    <n v="1.3576810932035411E-17"/>
  </r>
  <r>
    <x v="3"/>
    <x v="48"/>
    <x v="3"/>
    <x v="0"/>
    <x v="1"/>
    <x v="0"/>
    <x v="0"/>
    <x v="48"/>
    <x v="1"/>
    <n v="1.5275132999160179E-15"/>
    <n v="8.2345466803064528E-16"/>
    <n v="1.8770173075258681E-17"/>
  </r>
  <r>
    <x v="3"/>
    <x v="48"/>
    <x v="3"/>
    <x v="0"/>
    <x v="2"/>
    <x v="0"/>
    <x v="0"/>
    <x v="48"/>
    <x v="1"/>
    <n v="-3.5998083690268288E-15"/>
    <n v="-1.6228336520436559E-15"/>
    <n v="-4.7064276749614042E-17"/>
  </r>
  <r>
    <x v="3"/>
    <x v="48"/>
    <x v="3"/>
    <x v="0"/>
    <x v="2"/>
    <x v="0"/>
    <x v="0"/>
    <x v="48"/>
    <x v="1"/>
    <n v="2.5169065173704902E-16"/>
    <n v="1.134649452615456E-16"/>
    <n v="4.2719845379489627E-18"/>
  </r>
  <r>
    <x v="3"/>
    <x v="48"/>
    <x v="3"/>
    <x v="0"/>
    <x v="3"/>
    <x v="0"/>
    <x v="0"/>
    <x v="48"/>
    <x v="1"/>
    <n v="6.8606210106146248"/>
    <n v="2.6576701929556741"/>
    <n v="0.1123193634691244"/>
  </r>
  <r>
    <x v="3"/>
    <x v="48"/>
    <x v="3"/>
    <x v="0"/>
    <x v="0"/>
    <x v="0"/>
    <x v="0"/>
    <x v="48"/>
    <x v="2"/>
    <n v="6.6908746073930798E-13"/>
    <n v="4.1934214513024782E-13"/>
    <n v="2.1763674807227839E-15"/>
  </r>
  <r>
    <x v="3"/>
    <x v="48"/>
    <x v="3"/>
    <x v="0"/>
    <x v="0"/>
    <x v="0"/>
    <x v="0"/>
    <x v="48"/>
    <x v="2"/>
    <n v="2.049386840677952E-13"/>
    <n v="1.2844274095676609E-13"/>
    <n v="1.3203688049031431E-15"/>
  </r>
  <r>
    <x v="3"/>
    <x v="48"/>
    <x v="3"/>
    <x v="0"/>
    <x v="1"/>
    <x v="0"/>
    <x v="0"/>
    <x v="48"/>
    <x v="2"/>
    <n v="-2.5082303824303848E-13"/>
    <n v="-1.2720804237935319E-13"/>
    <n v="-2.1077683663647801E-15"/>
  </r>
  <r>
    <x v="3"/>
    <x v="48"/>
    <x v="3"/>
    <x v="0"/>
    <x v="1"/>
    <x v="0"/>
    <x v="0"/>
    <x v="48"/>
    <x v="2"/>
    <n v="3.0460495026827168E-14"/>
    <n v="1.5448421203295321E-14"/>
    <n v="3.4928176367680431E-16"/>
  </r>
  <r>
    <x v="3"/>
    <x v="48"/>
    <x v="3"/>
    <x v="0"/>
    <x v="2"/>
    <x v="0"/>
    <x v="0"/>
    <x v="48"/>
    <x v="2"/>
    <n v="-6.536989165088637E-13"/>
    <n v="-2.784132649233615E-13"/>
    <n v="-8.2610113194130231E-15"/>
  </r>
  <r>
    <x v="3"/>
    <x v="48"/>
    <x v="3"/>
    <x v="0"/>
    <x v="2"/>
    <x v="0"/>
    <x v="0"/>
    <x v="48"/>
    <x v="2"/>
    <n v="-5.9182768069193287E-14"/>
    <n v="-2.5206203145240721E-14"/>
    <n v="-8.9186404916465342E-16"/>
  </r>
  <r>
    <x v="3"/>
    <x v="48"/>
    <x v="3"/>
    <x v="0"/>
    <x v="3"/>
    <x v="0"/>
    <x v="0"/>
    <x v="48"/>
    <x v="2"/>
    <n v="58.139378989385428"/>
    <n v="21.342329807044191"/>
    <n v="0.88768063653088292"/>
  </r>
  <r>
    <x v="3"/>
    <x v="96"/>
    <x v="3"/>
    <x v="1"/>
    <x v="5"/>
    <x v="1"/>
    <x v="1"/>
    <x v="70"/>
    <x v="1"/>
    <n v="1508.78"/>
    <n v="511.41999999999996"/>
    <n v="171.6"/>
  </r>
  <r>
    <x v="3"/>
    <x v="96"/>
    <x v="3"/>
    <x v="1"/>
    <x v="5"/>
    <x v="1"/>
    <x v="1"/>
    <x v="70"/>
    <x v="2"/>
    <n v="10097.219999999999"/>
    <n v="3422.58"/>
    <n v="1148.3999999999999"/>
  </r>
  <r>
    <x v="3"/>
    <x v="49"/>
    <x v="0"/>
    <x v="1"/>
    <x v="0"/>
    <x v="1"/>
    <x v="1"/>
    <x v="49"/>
    <x v="1"/>
    <n v="548263.17000000004"/>
    <n v="348716.03"/>
    <n v="16705.650000000001"/>
  </r>
  <r>
    <x v="3"/>
    <x v="50"/>
    <x v="3"/>
    <x v="1"/>
    <x v="0"/>
    <x v="1"/>
    <x v="1"/>
    <x v="49"/>
    <x v="1"/>
    <n v="135124.99"/>
    <n v="87578.790000000008"/>
    <n v="4487.08"/>
  </r>
  <r>
    <x v="3"/>
    <x v="51"/>
    <x v="0"/>
    <x v="1"/>
    <x v="1"/>
    <x v="1"/>
    <x v="1"/>
    <x v="50"/>
    <x v="1"/>
    <n v="2049437.1300000001"/>
    <n v="1117709.71"/>
    <n v="108924.53"/>
  </r>
  <r>
    <x v="3"/>
    <x v="52"/>
    <x v="3"/>
    <x v="1"/>
    <x v="1"/>
    <x v="1"/>
    <x v="1"/>
    <x v="50"/>
    <x v="1"/>
    <n v="516759.49"/>
    <n v="283809.37"/>
    <n v="27585.870000000003"/>
  </r>
  <r>
    <x v="3"/>
    <x v="53"/>
    <x v="0"/>
    <x v="1"/>
    <x v="2"/>
    <x v="1"/>
    <x v="1"/>
    <x v="51"/>
    <x v="1"/>
    <n v="1999154.04"/>
    <n v="953772.69000000006"/>
    <n v="149271.33000000002"/>
  </r>
  <r>
    <x v="3"/>
    <x v="54"/>
    <x v="3"/>
    <x v="1"/>
    <x v="2"/>
    <x v="1"/>
    <x v="1"/>
    <x v="51"/>
    <x v="1"/>
    <n v="517595.52"/>
    <n v="246918.36000000002"/>
    <n v="38919.53"/>
  </r>
  <r>
    <x v="3"/>
    <x v="55"/>
    <x v="0"/>
    <x v="1"/>
    <x v="3"/>
    <x v="1"/>
    <x v="1"/>
    <x v="52"/>
    <x v="1"/>
    <n v="1655690.9200000002"/>
    <n v="706662.58000000007"/>
    <n v="155373.53"/>
  </r>
  <r>
    <x v="3"/>
    <x v="56"/>
    <x v="3"/>
    <x v="1"/>
    <x v="3"/>
    <x v="1"/>
    <x v="1"/>
    <x v="52"/>
    <x v="1"/>
    <n v="412275.11"/>
    <n v="174722.34"/>
    <n v="38524.720000000001"/>
  </r>
  <r>
    <x v="3"/>
    <x v="57"/>
    <x v="0"/>
    <x v="1"/>
    <x v="4"/>
    <x v="1"/>
    <x v="1"/>
    <x v="53"/>
    <x v="1"/>
    <n v="1127819.81"/>
    <n v="413155.86"/>
    <n v="116500.54000000001"/>
  </r>
  <r>
    <x v="3"/>
    <x v="58"/>
    <x v="3"/>
    <x v="1"/>
    <x v="4"/>
    <x v="1"/>
    <x v="1"/>
    <x v="53"/>
    <x v="1"/>
    <n v="309925.85000000003"/>
    <n v="117430.95"/>
    <n v="33134.660000000003"/>
  </r>
  <r>
    <x v="3"/>
    <x v="59"/>
    <x v="0"/>
    <x v="1"/>
    <x v="5"/>
    <x v="1"/>
    <x v="1"/>
    <x v="54"/>
    <x v="1"/>
    <n v="749100.04"/>
    <n v="261991.47"/>
    <n v="90258.09"/>
  </r>
  <r>
    <x v="3"/>
    <x v="60"/>
    <x v="3"/>
    <x v="1"/>
    <x v="5"/>
    <x v="1"/>
    <x v="1"/>
    <x v="54"/>
    <x v="1"/>
    <n v="223564.12"/>
    <n v="76571.56"/>
    <n v="26425.88"/>
  </r>
  <r>
    <x v="3"/>
    <x v="61"/>
    <x v="0"/>
    <x v="1"/>
    <x v="6"/>
    <x v="1"/>
    <x v="1"/>
    <x v="55"/>
    <x v="1"/>
    <n v="523737.11000000004"/>
    <n v="163653.36000000002"/>
    <n v="66831.05"/>
  </r>
  <r>
    <x v="3"/>
    <x v="62"/>
    <x v="3"/>
    <x v="1"/>
    <x v="6"/>
    <x v="1"/>
    <x v="1"/>
    <x v="55"/>
    <x v="1"/>
    <n v="171896.66"/>
    <n v="53960.14"/>
    <n v="22002.89"/>
  </r>
  <r>
    <x v="3"/>
    <x v="63"/>
    <x v="0"/>
    <x v="1"/>
    <x v="7"/>
    <x v="1"/>
    <x v="1"/>
    <x v="56"/>
    <x v="1"/>
    <n v="409622.59"/>
    <n v="119764.71"/>
    <n v="56160.91"/>
  </r>
  <r>
    <x v="3"/>
    <x v="64"/>
    <x v="3"/>
    <x v="1"/>
    <x v="7"/>
    <x v="1"/>
    <x v="1"/>
    <x v="56"/>
    <x v="1"/>
    <n v="134476.29"/>
    <n v="38791.22"/>
    <n v="18248.23"/>
  </r>
  <r>
    <x v="3"/>
    <x v="65"/>
    <x v="0"/>
    <x v="1"/>
    <x v="8"/>
    <x v="1"/>
    <x v="1"/>
    <x v="57"/>
    <x v="1"/>
    <n v="346621.99"/>
    <n v="92634.75"/>
    <n v="49586.03"/>
  </r>
  <r>
    <x v="3"/>
    <x v="66"/>
    <x v="3"/>
    <x v="1"/>
    <x v="8"/>
    <x v="1"/>
    <x v="1"/>
    <x v="57"/>
    <x v="1"/>
    <n v="107511.17"/>
    <n v="28745.73"/>
    <n v="15321.02"/>
  </r>
  <r>
    <x v="3"/>
    <x v="67"/>
    <x v="0"/>
    <x v="1"/>
    <x v="9"/>
    <x v="1"/>
    <x v="1"/>
    <x v="58"/>
    <x v="1"/>
    <n v="220705.42"/>
    <n v="57375.11"/>
    <n v="34281.520000000004"/>
  </r>
  <r>
    <x v="3"/>
    <x v="68"/>
    <x v="3"/>
    <x v="1"/>
    <x v="9"/>
    <x v="1"/>
    <x v="1"/>
    <x v="58"/>
    <x v="1"/>
    <n v="87598.16"/>
    <n v="21742.11"/>
    <n v="12954.76"/>
  </r>
  <r>
    <x v="3"/>
    <x v="69"/>
    <x v="0"/>
    <x v="1"/>
    <x v="10"/>
    <x v="1"/>
    <x v="1"/>
    <x v="59"/>
    <x v="1"/>
    <n v="185104.66"/>
    <n v="42913.26"/>
    <n v="28294.89"/>
  </r>
  <r>
    <x v="3"/>
    <x v="70"/>
    <x v="3"/>
    <x v="1"/>
    <x v="10"/>
    <x v="1"/>
    <x v="1"/>
    <x v="59"/>
    <x v="1"/>
    <n v="74816.430000000008"/>
    <n v="17331.990000000002"/>
    <n v="11406.460000000001"/>
  </r>
  <r>
    <x v="3"/>
    <x v="71"/>
    <x v="0"/>
    <x v="1"/>
    <x v="11"/>
    <x v="1"/>
    <x v="1"/>
    <x v="60"/>
    <x v="1"/>
    <n v="170095.77000000002"/>
    <n v="38810.720000000001"/>
    <n v="27951.3"/>
  </r>
  <r>
    <x v="3"/>
    <x v="72"/>
    <x v="3"/>
    <x v="1"/>
    <x v="11"/>
    <x v="1"/>
    <x v="1"/>
    <x v="60"/>
    <x v="1"/>
    <n v="57594.29"/>
    <n v="12551.11"/>
    <n v="9041.24"/>
  </r>
  <r>
    <x v="3"/>
    <x v="73"/>
    <x v="0"/>
    <x v="1"/>
    <x v="12"/>
    <x v="1"/>
    <x v="1"/>
    <x v="61"/>
    <x v="1"/>
    <n v="103684.88"/>
    <n v="21880.82"/>
    <n v="17077.97"/>
  </r>
  <r>
    <x v="3"/>
    <x v="74"/>
    <x v="3"/>
    <x v="1"/>
    <x v="12"/>
    <x v="1"/>
    <x v="1"/>
    <x v="61"/>
    <x v="1"/>
    <n v="47766.16"/>
    <n v="9811.49"/>
    <n v="7685.47"/>
  </r>
  <r>
    <x v="3"/>
    <x v="75"/>
    <x v="4"/>
    <x v="1"/>
    <x v="0"/>
    <x v="1"/>
    <x v="1"/>
    <x v="49"/>
    <x v="1"/>
    <n v="773105.19000000006"/>
    <n v="480526.54000000004"/>
    <n v="26228.280000000002"/>
  </r>
  <r>
    <x v="3"/>
    <x v="76"/>
    <x v="4"/>
    <x v="1"/>
    <x v="1"/>
    <x v="1"/>
    <x v="1"/>
    <x v="50"/>
    <x v="1"/>
    <n v="2273878.36"/>
    <n v="1211162.94"/>
    <n v="118478.23000000001"/>
  </r>
  <r>
    <x v="3"/>
    <x v="77"/>
    <x v="4"/>
    <x v="1"/>
    <x v="2"/>
    <x v="1"/>
    <x v="1"/>
    <x v="51"/>
    <x v="1"/>
    <n v="2364876.02"/>
    <n v="1101487.1400000001"/>
    <n v="172016.26"/>
  </r>
  <r>
    <x v="3"/>
    <x v="78"/>
    <x v="4"/>
    <x v="1"/>
    <x v="3"/>
    <x v="1"/>
    <x v="1"/>
    <x v="52"/>
    <x v="1"/>
    <n v="2097632.5500000003"/>
    <n v="867968.01"/>
    <n v="191694.75"/>
  </r>
  <r>
    <x v="3"/>
    <x v="79"/>
    <x v="4"/>
    <x v="1"/>
    <x v="4"/>
    <x v="1"/>
    <x v="1"/>
    <x v="53"/>
    <x v="1"/>
    <n v="1464655.27"/>
    <n v="543175.23"/>
    <n v="152339.20000000001"/>
  </r>
  <r>
    <x v="3"/>
    <x v="80"/>
    <x v="4"/>
    <x v="1"/>
    <x v="5"/>
    <x v="1"/>
    <x v="1"/>
    <x v="54"/>
    <x v="1"/>
    <n v="1052747.02"/>
    <n v="353728.57"/>
    <n v="121542.72"/>
  </r>
  <r>
    <x v="3"/>
    <x v="81"/>
    <x v="4"/>
    <x v="1"/>
    <x v="6"/>
    <x v="1"/>
    <x v="1"/>
    <x v="55"/>
    <x v="1"/>
    <n v="829656.49"/>
    <n v="254841.60000000001"/>
    <n v="103449.84"/>
  </r>
  <r>
    <x v="3"/>
    <x v="82"/>
    <x v="4"/>
    <x v="1"/>
    <x v="7"/>
    <x v="1"/>
    <x v="1"/>
    <x v="56"/>
    <x v="1"/>
    <n v="590591.04"/>
    <n v="167080.16"/>
    <n v="78109.98"/>
  </r>
  <r>
    <x v="3"/>
    <x v="83"/>
    <x v="4"/>
    <x v="1"/>
    <x v="8"/>
    <x v="1"/>
    <x v="1"/>
    <x v="57"/>
    <x v="1"/>
    <n v="480833.34"/>
    <n v="126057.1"/>
    <n v="66826.89"/>
  </r>
  <r>
    <x v="3"/>
    <x v="84"/>
    <x v="4"/>
    <x v="1"/>
    <x v="9"/>
    <x v="1"/>
    <x v="1"/>
    <x v="58"/>
    <x v="1"/>
    <n v="393732.95"/>
    <n v="95717.96"/>
    <n v="56612.270000000004"/>
  </r>
  <r>
    <x v="3"/>
    <x v="85"/>
    <x v="4"/>
    <x v="1"/>
    <x v="10"/>
    <x v="1"/>
    <x v="1"/>
    <x v="59"/>
    <x v="1"/>
    <n v="315503.11"/>
    <n v="71508.58"/>
    <n v="46767.89"/>
  </r>
  <r>
    <x v="3"/>
    <x v="86"/>
    <x v="4"/>
    <x v="1"/>
    <x v="11"/>
    <x v="1"/>
    <x v="1"/>
    <x v="60"/>
    <x v="1"/>
    <n v="284122.15000000002"/>
    <n v="60302.32"/>
    <n v="43201.99"/>
  </r>
  <r>
    <x v="3"/>
    <x v="87"/>
    <x v="4"/>
    <x v="1"/>
    <x v="12"/>
    <x v="1"/>
    <x v="1"/>
    <x v="61"/>
    <x v="1"/>
    <n v="233618.19"/>
    <n v="46633.21"/>
    <n v="36303.67"/>
  </r>
  <r>
    <x v="3"/>
    <x v="49"/>
    <x v="0"/>
    <x v="1"/>
    <x v="0"/>
    <x v="1"/>
    <x v="1"/>
    <x v="49"/>
    <x v="2"/>
    <n v="3669145.83"/>
    <n v="2333714.9699999997"/>
    <n v="111799.35"/>
  </r>
  <r>
    <x v="3"/>
    <x v="50"/>
    <x v="3"/>
    <x v="1"/>
    <x v="0"/>
    <x v="1"/>
    <x v="1"/>
    <x v="49"/>
    <x v="2"/>
    <n v="904298.01"/>
    <n v="586104.21"/>
    <n v="30028.92"/>
  </r>
  <r>
    <x v="3"/>
    <x v="51"/>
    <x v="0"/>
    <x v="1"/>
    <x v="1"/>
    <x v="1"/>
    <x v="1"/>
    <x v="50"/>
    <x v="2"/>
    <n v="13715463.869999999"/>
    <n v="7480057.29"/>
    <n v="728956.47"/>
  </r>
  <r>
    <x v="3"/>
    <x v="52"/>
    <x v="3"/>
    <x v="1"/>
    <x v="1"/>
    <x v="1"/>
    <x v="1"/>
    <x v="50"/>
    <x v="2"/>
    <n v="3458313.51"/>
    <n v="1899339.63"/>
    <n v="184613.13"/>
  </r>
  <r>
    <x v="3"/>
    <x v="53"/>
    <x v="0"/>
    <x v="1"/>
    <x v="2"/>
    <x v="1"/>
    <x v="1"/>
    <x v="51"/>
    <x v="2"/>
    <n v="13378953.960000001"/>
    <n v="6382940.3099999996"/>
    <n v="998969.66999999993"/>
  </r>
  <r>
    <x v="3"/>
    <x v="54"/>
    <x v="3"/>
    <x v="1"/>
    <x v="2"/>
    <x v="1"/>
    <x v="1"/>
    <x v="51"/>
    <x v="2"/>
    <n v="3463908.48"/>
    <n v="1652453.64"/>
    <n v="260461.47"/>
  </r>
  <r>
    <x v="3"/>
    <x v="55"/>
    <x v="0"/>
    <x v="1"/>
    <x v="3"/>
    <x v="1"/>
    <x v="1"/>
    <x v="52"/>
    <x v="2"/>
    <n v="11080393.08"/>
    <n v="4729203.42"/>
    <n v="1039807.47"/>
  </r>
  <r>
    <x v="3"/>
    <x v="56"/>
    <x v="3"/>
    <x v="1"/>
    <x v="3"/>
    <x v="1"/>
    <x v="1"/>
    <x v="52"/>
    <x v="2"/>
    <n v="2759071.89"/>
    <n v="1169295.6599999999"/>
    <n v="257819.28"/>
  </r>
  <r>
    <x v="3"/>
    <x v="57"/>
    <x v="0"/>
    <x v="1"/>
    <x v="4"/>
    <x v="1"/>
    <x v="1"/>
    <x v="53"/>
    <x v="2"/>
    <n v="7547717.1899999995"/>
    <n v="2764966.14"/>
    <n v="779657.46"/>
  </r>
  <r>
    <x v="3"/>
    <x v="58"/>
    <x v="3"/>
    <x v="1"/>
    <x v="4"/>
    <x v="1"/>
    <x v="1"/>
    <x v="53"/>
    <x v="2"/>
    <n v="2074119.15"/>
    <n v="785884.05"/>
    <n v="221747.34"/>
  </r>
  <r>
    <x v="3"/>
    <x v="59"/>
    <x v="0"/>
    <x v="1"/>
    <x v="5"/>
    <x v="1"/>
    <x v="1"/>
    <x v="54"/>
    <x v="2"/>
    <n v="5013207.96"/>
    <n v="1753327.53"/>
    <n v="604034.91"/>
  </r>
  <r>
    <x v="3"/>
    <x v="60"/>
    <x v="3"/>
    <x v="1"/>
    <x v="5"/>
    <x v="1"/>
    <x v="1"/>
    <x v="54"/>
    <x v="2"/>
    <n v="1496159.88"/>
    <n v="512440.44"/>
    <n v="176850.12"/>
  </r>
  <r>
    <x v="3"/>
    <x v="61"/>
    <x v="0"/>
    <x v="1"/>
    <x v="6"/>
    <x v="1"/>
    <x v="1"/>
    <x v="55"/>
    <x v="2"/>
    <n v="3505009.89"/>
    <n v="1095218.6399999999"/>
    <n v="447253.95"/>
  </r>
  <r>
    <x v="3"/>
    <x v="62"/>
    <x v="3"/>
    <x v="1"/>
    <x v="6"/>
    <x v="1"/>
    <x v="1"/>
    <x v="55"/>
    <x v="2"/>
    <n v="1150385.3400000001"/>
    <n v="361117.86"/>
    <n v="147250.10999999999"/>
  </r>
  <r>
    <x v="3"/>
    <x v="63"/>
    <x v="0"/>
    <x v="1"/>
    <x v="7"/>
    <x v="1"/>
    <x v="1"/>
    <x v="56"/>
    <x v="2"/>
    <n v="2741320.41"/>
    <n v="801502.29"/>
    <n v="375846.08999999997"/>
  </r>
  <r>
    <x v="3"/>
    <x v="64"/>
    <x v="3"/>
    <x v="1"/>
    <x v="7"/>
    <x v="1"/>
    <x v="1"/>
    <x v="56"/>
    <x v="2"/>
    <n v="899956.71"/>
    <n v="259602.78"/>
    <n v="122122.77"/>
  </r>
  <r>
    <x v="3"/>
    <x v="65"/>
    <x v="0"/>
    <x v="1"/>
    <x v="8"/>
    <x v="1"/>
    <x v="1"/>
    <x v="57"/>
    <x v="2"/>
    <n v="2319701.0099999998"/>
    <n v="619940.25"/>
    <n v="331844.96999999997"/>
  </r>
  <r>
    <x v="3"/>
    <x v="66"/>
    <x v="3"/>
    <x v="1"/>
    <x v="8"/>
    <x v="1"/>
    <x v="1"/>
    <x v="57"/>
    <x v="2"/>
    <n v="719497.83"/>
    <n v="192375.27"/>
    <n v="102532.98"/>
  </r>
  <r>
    <x v="3"/>
    <x v="67"/>
    <x v="0"/>
    <x v="1"/>
    <x v="9"/>
    <x v="1"/>
    <x v="1"/>
    <x v="58"/>
    <x v="2"/>
    <n v="1477028.58"/>
    <n v="383971.89"/>
    <n v="229422.47999999998"/>
  </r>
  <r>
    <x v="3"/>
    <x v="68"/>
    <x v="3"/>
    <x v="1"/>
    <x v="9"/>
    <x v="1"/>
    <x v="1"/>
    <x v="58"/>
    <x v="2"/>
    <n v="586233.84"/>
    <n v="145504.89000000001"/>
    <n v="86697.24"/>
  </r>
  <r>
    <x v="3"/>
    <x v="69"/>
    <x v="0"/>
    <x v="1"/>
    <x v="10"/>
    <x v="1"/>
    <x v="1"/>
    <x v="59"/>
    <x v="2"/>
    <n v="1238777.3400000001"/>
    <n v="287188.74"/>
    <n v="189358.11"/>
  </r>
  <r>
    <x v="3"/>
    <x v="70"/>
    <x v="3"/>
    <x v="1"/>
    <x v="10"/>
    <x v="1"/>
    <x v="1"/>
    <x v="59"/>
    <x v="2"/>
    <n v="500694.57"/>
    <n v="115991.01"/>
    <n v="76335.539999999994"/>
  </r>
  <r>
    <x v="3"/>
    <x v="71"/>
    <x v="0"/>
    <x v="1"/>
    <x v="11"/>
    <x v="1"/>
    <x v="1"/>
    <x v="60"/>
    <x v="2"/>
    <n v="1138333.23"/>
    <n v="259733.28"/>
    <n v="187058.7"/>
  </r>
  <r>
    <x v="3"/>
    <x v="72"/>
    <x v="3"/>
    <x v="1"/>
    <x v="11"/>
    <x v="1"/>
    <x v="1"/>
    <x v="60"/>
    <x v="2"/>
    <n v="385438.71"/>
    <n v="83995.89"/>
    <n v="60506.76"/>
  </r>
  <r>
    <x v="3"/>
    <x v="73"/>
    <x v="0"/>
    <x v="1"/>
    <x v="12"/>
    <x v="1"/>
    <x v="1"/>
    <x v="61"/>
    <x v="2"/>
    <n v="693891.12"/>
    <n v="146433.18"/>
    <n v="114291.03"/>
  </r>
  <r>
    <x v="3"/>
    <x v="74"/>
    <x v="3"/>
    <x v="1"/>
    <x v="12"/>
    <x v="1"/>
    <x v="1"/>
    <x v="61"/>
    <x v="2"/>
    <n v="319665.83999999997"/>
    <n v="65661.509999999995"/>
    <n v="51433.53"/>
  </r>
  <r>
    <x v="3"/>
    <x v="75"/>
    <x v="4"/>
    <x v="1"/>
    <x v="0"/>
    <x v="1"/>
    <x v="1"/>
    <x v="49"/>
    <x v="2"/>
    <n v="5173857.8099999996"/>
    <n v="3215831.46"/>
    <n v="175527.72"/>
  </r>
  <r>
    <x v="3"/>
    <x v="76"/>
    <x v="4"/>
    <x v="1"/>
    <x v="1"/>
    <x v="1"/>
    <x v="1"/>
    <x v="50"/>
    <x v="2"/>
    <n v="15217493.640000001"/>
    <n v="8105475.0600000005"/>
    <n v="792892.77"/>
  </r>
  <r>
    <x v="3"/>
    <x v="77"/>
    <x v="4"/>
    <x v="1"/>
    <x v="2"/>
    <x v="1"/>
    <x v="1"/>
    <x v="51"/>
    <x v="2"/>
    <n v="15826477.98"/>
    <n v="7371490.8599999994"/>
    <n v="1151185.74"/>
  </r>
  <r>
    <x v="3"/>
    <x v="78"/>
    <x v="4"/>
    <x v="1"/>
    <x v="3"/>
    <x v="1"/>
    <x v="1"/>
    <x v="52"/>
    <x v="2"/>
    <n v="14038002.449999999"/>
    <n v="5808708.9900000002"/>
    <n v="1282880.25"/>
  </r>
  <r>
    <x v="3"/>
    <x v="79"/>
    <x v="4"/>
    <x v="1"/>
    <x v="4"/>
    <x v="1"/>
    <x v="1"/>
    <x v="53"/>
    <x v="2"/>
    <n v="9801923.7300000004"/>
    <n v="3635095.77"/>
    <n v="1019500.8"/>
  </r>
  <r>
    <x v="3"/>
    <x v="80"/>
    <x v="4"/>
    <x v="1"/>
    <x v="5"/>
    <x v="1"/>
    <x v="1"/>
    <x v="54"/>
    <x v="2"/>
    <n v="7045306.9800000004"/>
    <n v="2367260.4300000002"/>
    <n v="813401.28"/>
  </r>
  <r>
    <x v="3"/>
    <x v="81"/>
    <x v="4"/>
    <x v="1"/>
    <x v="6"/>
    <x v="1"/>
    <x v="1"/>
    <x v="55"/>
    <x v="2"/>
    <n v="5552316.5099999998"/>
    <n v="1705478.4"/>
    <n v="692318.16"/>
  </r>
  <r>
    <x v="3"/>
    <x v="82"/>
    <x v="4"/>
    <x v="1"/>
    <x v="7"/>
    <x v="1"/>
    <x v="1"/>
    <x v="56"/>
    <x v="2"/>
    <n v="3952416.96"/>
    <n v="1118151.8400000001"/>
    <n v="522736.02"/>
  </r>
  <r>
    <x v="3"/>
    <x v="83"/>
    <x v="4"/>
    <x v="1"/>
    <x v="8"/>
    <x v="1"/>
    <x v="1"/>
    <x v="57"/>
    <x v="2"/>
    <n v="3217884.66"/>
    <n v="843612.9"/>
    <n v="447226.11"/>
  </r>
  <r>
    <x v="3"/>
    <x v="84"/>
    <x v="4"/>
    <x v="1"/>
    <x v="9"/>
    <x v="1"/>
    <x v="1"/>
    <x v="58"/>
    <x v="2"/>
    <n v="2634982.0499999998"/>
    <n v="640574.04"/>
    <n v="378866.73"/>
  </r>
  <r>
    <x v="3"/>
    <x v="85"/>
    <x v="4"/>
    <x v="1"/>
    <x v="10"/>
    <x v="1"/>
    <x v="1"/>
    <x v="59"/>
    <x v="2"/>
    <n v="2111443.89"/>
    <n v="478557.42"/>
    <n v="312985.11"/>
  </r>
  <r>
    <x v="3"/>
    <x v="86"/>
    <x v="4"/>
    <x v="1"/>
    <x v="11"/>
    <x v="1"/>
    <x v="1"/>
    <x v="60"/>
    <x v="2"/>
    <n v="1901432.85"/>
    <n v="403561.68"/>
    <n v="289121.01"/>
  </r>
  <r>
    <x v="3"/>
    <x v="87"/>
    <x v="4"/>
    <x v="1"/>
    <x v="12"/>
    <x v="1"/>
    <x v="1"/>
    <x v="61"/>
    <x v="2"/>
    <n v="1563444.81"/>
    <n v="312083.78999999998"/>
    <n v="242955.33000000002"/>
  </r>
  <r>
    <x v="3"/>
    <x v="88"/>
    <x v="0"/>
    <x v="0"/>
    <x v="0"/>
    <x v="3"/>
    <x v="3"/>
    <x v="62"/>
    <x v="1"/>
    <n v="543778.09803807875"/>
    <n v="943193.86349441647"/>
    <n v="12122.822684458655"/>
  </r>
  <r>
    <x v="3"/>
    <x v="88"/>
    <x v="0"/>
    <x v="0"/>
    <x v="0"/>
    <x v="3"/>
    <x v="3"/>
    <x v="62"/>
    <x v="2"/>
    <n v="3208420.9745745091"/>
    <n v="5171156.9803439789"/>
    <n v="66464.617268188507"/>
  </r>
  <r>
    <x v="3"/>
    <x v="88"/>
    <x v="1"/>
    <x v="0"/>
    <x v="0"/>
    <x v="3"/>
    <x v="3"/>
    <x v="62"/>
    <x v="1"/>
    <n v="0"/>
    <n v="0"/>
    <n v="0"/>
  </r>
  <r>
    <x v="3"/>
    <x v="88"/>
    <x v="1"/>
    <x v="0"/>
    <x v="0"/>
    <x v="3"/>
    <x v="3"/>
    <x v="62"/>
    <x v="1"/>
    <n v="4094277.8865831359"/>
    <n v="7208286.5241569523"/>
    <n v="92647.681611191496"/>
  </r>
  <r>
    <x v="3"/>
    <x v="88"/>
    <x v="1"/>
    <x v="0"/>
    <x v="0"/>
    <x v="3"/>
    <x v="3"/>
    <x v="62"/>
    <x v="2"/>
    <n v="27995967.358664714"/>
    <n v="44510560.032875404"/>
    <n v="572091.47299530765"/>
  </r>
  <r>
    <x v="3"/>
    <x v="88"/>
    <x v="4"/>
    <x v="0"/>
    <x v="0"/>
    <x v="3"/>
    <x v="3"/>
    <x v="62"/>
    <x v="1"/>
    <n v="488.27841508523318"/>
    <n v="886.51833992967249"/>
    <n v="11.39437506719705"/>
  </r>
  <r>
    <x v="3"/>
    <x v="88"/>
    <x v="4"/>
    <x v="0"/>
    <x v="0"/>
    <x v="3"/>
    <x v="3"/>
    <x v="62"/>
    <x v="2"/>
    <n v="56853.403724480173"/>
    <n v="89241.080789311265"/>
    <n v="1147.0110657864921"/>
  </r>
  <r>
    <x v="3"/>
    <x v="45"/>
    <x v="1"/>
    <x v="0"/>
    <x v="0"/>
    <x v="0"/>
    <x v="0"/>
    <x v="45"/>
    <x v="1"/>
    <n v="93617775.091186449"/>
    <n v="141472341.14388409"/>
    <n v="2681703.0404550224"/>
  </r>
  <r>
    <x v="3"/>
    <x v="45"/>
    <x v="1"/>
    <x v="0"/>
    <x v="0"/>
    <x v="0"/>
    <x v="0"/>
    <x v="45"/>
    <x v="2"/>
    <n v="600858194.4938705"/>
    <n v="835731189.93655193"/>
    <n v="16201913.62444805"/>
  </r>
  <r>
    <x v="3"/>
    <x v="45"/>
    <x v="1"/>
    <x v="0"/>
    <x v="0"/>
    <x v="0"/>
    <x v="0"/>
    <x v="45"/>
    <x v="1"/>
    <n v="8709347.5476660337"/>
    <n v="12375556.237432281"/>
    <n v="609021.64774488902"/>
  </r>
  <r>
    <x v="3"/>
    <x v="45"/>
    <x v="1"/>
    <x v="0"/>
    <x v="0"/>
    <x v="0"/>
    <x v="0"/>
    <x v="45"/>
    <x v="2"/>
    <n v="65733202.057751484"/>
    <n v="86710587.715845376"/>
    <n v="4313699.0512583731"/>
  </r>
  <r>
    <x v="3"/>
    <x v="45"/>
    <x v="1"/>
    <x v="0"/>
    <x v="1"/>
    <x v="0"/>
    <x v="0"/>
    <x v="45"/>
    <x v="1"/>
    <n v="1587346.3742152338"/>
    <n v="1612223.0992466391"/>
    <n v="136200.24089985085"/>
  </r>
  <r>
    <x v="3"/>
    <x v="45"/>
    <x v="1"/>
    <x v="0"/>
    <x v="1"/>
    <x v="0"/>
    <x v="0"/>
    <x v="45"/>
    <x v="2"/>
    <n v="14779335.402350891"/>
    <n v="14152194.478713578"/>
    <n v="1197513.2352433861"/>
  </r>
  <r>
    <x v="3"/>
    <x v="45"/>
    <x v="1"/>
    <x v="0"/>
    <x v="1"/>
    <x v="0"/>
    <x v="0"/>
    <x v="45"/>
    <x v="1"/>
    <n v="1006820.4232284261"/>
    <n v="831679.00763898261"/>
    <n v="97929.322298423402"/>
  </r>
  <r>
    <x v="3"/>
    <x v="45"/>
    <x v="1"/>
    <x v="0"/>
    <x v="1"/>
    <x v="0"/>
    <x v="0"/>
    <x v="45"/>
    <x v="2"/>
    <n v="5802640.0194162456"/>
    <n v="4737306.4674433544"/>
    <n v="568979.64698774554"/>
  </r>
  <r>
    <x v="3"/>
    <x v="45"/>
    <x v="1"/>
    <x v="0"/>
    <x v="2"/>
    <x v="0"/>
    <x v="0"/>
    <x v="45"/>
    <x v="1"/>
    <n v="508549.6239749114"/>
    <n v="374326.98652937682"/>
    <n v="55222.818953652582"/>
  </r>
  <r>
    <x v="3"/>
    <x v="45"/>
    <x v="1"/>
    <x v="0"/>
    <x v="2"/>
    <x v="0"/>
    <x v="0"/>
    <x v="45"/>
    <x v="2"/>
    <n v="2753008.0254551829"/>
    <n v="1702445.4439855944"/>
    <n v="265412.62645758159"/>
  </r>
  <r>
    <x v="3"/>
    <x v="45"/>
    <x v="1"/>
    <x v="0"/>
    <x v="2"/>
    <x v="0"/>
    <x v="0"/>
    <x v="45"/>
    <x v="1"/>
    <n v="101733.72559773615"/>
    <n v="53911.900039882632"/>
    <n v="10037.24232433472"/>
  </r>
  <r>
    <x v="3"/>
    <x v="45"/>
    <x v="1"/>
    <x v="0"/>
    <x v="2"/>
    <x v="0"/>
    <x v="0"/>
    <x v="45"/>
    <x v="2"/>
    <n v="1084059.7002933112"/>
    <n v="769238.76020437246"/>
    <n v="144991.32511636216"/>
  </r>
  <r>
    <x v="3"/>
    <x v="45"/>
    <x v="1"/>
    <x v="0"/>
    <x v="3"/>
    <x v="0"/>
    <x v="0"/>
    <x v="45"/>
    <x v="1"/>
    <n v="198511.18920783847"/>
    <n v="108503.15022531955"/>
    <n v="23622.51792608036"/>
  </r>
  <r>
    <x v="3"/>
    <x v="45"/>
    <x v="1"/>
    <x v="0"/>
    <x v="3"/>
    <x v="0"/>
    <x v="0"/>
    <x v="45"/>
    <x v="2"/>
    <n v="406070.75251225039"/>
    <n v="288351.2308142329"/>
    <n v="63455.785325756391"/>
  </r>
  <r>
    <x v="3"/>
    <x v="45"/>
    <x v="4"/>
    <x v="0"/>
    <x v="0"/>
    <x v="0"/>
    <x v="0"/>
    <x v="45"/>
    <x v="1"/>
    <n v="75181.162750186559"/>
    <n v="106058.95928830912"/>
    <n v="2490.2284892018602"/>
  </r>
  <r>
    <x v="3"/>
    <x v="45"/>
    <x v="4"/>
    <x v="0"/>
    <x v="0"/>
    <x v="0"/>
    <x v="0"/>
    <x v="45"/>
    <x v="2"/>
    <n v="1028228.6410809279"/>
    <n v="1379413.8848069571"/>
    <n v="28968.358836091404"/>
  </r>
  <r>
    <x v="3"/>
    <x v="45"/>
    <x v="4"/>
    <x v="0"/>
    <x v="0"/>
    <x v="0"/>
    <x v="0"/>
    <x v="45"/>
    <x v="1"/>
    <n v="170789.35845144987"/>
    <n v="243456.15101570493"/>
    <n v="12396.215810710912"/>
  </r>
  <r>
    <x v="3"/>
    <x v="45"/>
    <x v="4"/>
    <x v="0"/>
    <x v="0"/>
    <x v="0"/>
    <x v="0"/>
    <x v="45"/>
    <x v="2"/>
    <n v="297192.29126864986"/>
    <n v="399424.62000509998"/>
    <n v="18570.423265714871"/>
  </r>
  <r>
    <x v="3"/>
    <x v="45"/>
    <x v="4"/>
    <x v="0"/>
    <x v="1"/>
    <x v="0"/>
    <x v="0"/>
    <x v="45"/>
    <x v="2"/>
    <n v="343006.17308586999"/>
    <n v="434456.01302948984"/>
    <n v="32319.731085390133"/>
  </r>
  <r>
    <x v="3"/>
    <x v="45"/>
    <x v="4"/>
    <x v="0"/>
    <x v="1"/>
    <x v="0"/>
    <x v="0"/>
    <x v="45"/>
    <x v="2"/>
    <n v="19814.277423915137"/>
    <n v="25040.274037246218"/>
    <n v="2925.4332797890211"/>
  </r>
  <r>
    <x v="3"/>
    <x v="45"/>
    <x v="4"/>
    <x v="0"/>
    <x v="2"/>
    <x v="0"/>
    <x v="0"/>
    <x v="45"/>
    <x v="2"/>
    <n v="14285.403784292055"/>
    <n v="16663.313939835545"/>
    <n v="2432.2810733676606"/>
  </r>
  <r>
    <x v="3"/>
    <x v="45"/>
    <x v="4"/>
    <x v="0"/>
    <x v="3"/>
    <x v="0"/>
    <x v="0"/>
    <x v="45"/>
    <x v="2"/>
    <n v="4618.2654283355787"/>
    <n v="6161.2253224322385"/>
    <n v="1256.202720232792"/>
  </r>
  <r>
    <x v="3"/>
    <x v="46"/>
    <x v="0"/>
    <x v="0"/>
    <x v="0"/>
    <x v="0"/>
    <x v="0"/>
    <x v="46"/>
    <x v="1"/>
    <n v="44040918.19045084"/>
    <n v="64170446.380804978"/>
    <n v="1784585.6642729698"/>
  </r>
  <r>
    <x v="3"/>
    <x v="46"/>
    <x v="0"/>
    <x v="0"/>
    <x v="0"/>
    <x v="0"/>
    <x v="0"/>
    <x v="46"/>
    <x v="2"/>
    <n v="352769028.9870984"/>
    <n v="477161276.72525793"/>
    <n v="13337175.486512655"/>
  </r>
  <r>
    <x v="3"/>
    <x v="46"/>
    <x v="0"/>
    <x v="0"/>
    <x v="0"/>
    <x v="0"/>
    <x v="0"/>
    <x v="46"/>
    <x v="1"/>
    <n v="14832594.294608464"/>
    <n v="20926631.892270278"/>
    <n v="1155632.9111866923"/>
  </r>
  <r>
    <x v="3"/>
    <x v="46"/>
    <x v="0"/>
    <x v="0"/>
    <x v="0"/>
    <x v="0"/>
    <x v="0"/>
    <x v="46"/>
    <x v="2"/>
    <n v="124334391.5414588"/>
    <n v="159290916.27420232"/>
    <n v="8734471.6134490501"/>
  </r>
  <r>
    <x v="3"/>
    <x v="46"/>
    <x v="0"/>
    <x v="0"/>
    <x v="1"/>
    <x v="0"/>
    <x v="0"/>
    <x v="46"/>
    <x v="1"/>
    <n v="4062110.33418833"/>
    <n v="4147320.4196226876"/>
    <n v="393495.8921871151"/>
  </r>
  <r>
    <x v="3"/>
    <x v="46"/>
    <x v="0"/>
    <x v="0"/>
    <x v="1"/>
    <x v="0"/>
    <x v="0"/>
    <x v="46"/>
    <x v="2"/>
    <n v="35244971.680811383"/>
    <n v="34017840.15354003"/>
    <n v="3253139.2378885541"/>
  </r>
  <r>
    <x v="3"/>
    <x v="46"/>
    <x v="0"/>
    <x v="0"/>
    <x v="1"/>
    <x v="0"/>
    <x v="0"/>
    <x v="46"/>
    <x v="1"/>
    <n v="1931009.022810414"/>
    <n v="1857390.2724191004"/>
    <n v="248014.43721413231"/>
  </r>
  <r>
    <x v="3"/>
    <x v="46"/>
    <x v="0"/>
    <x v="0"/>
    <x v="1"/>
    <x v="0"/>
    <x v="0"/>
    <x v="46"/>
    <x v="2"/>
    <n v="17021036.25255071"/>
    <n v="15753009.408478612"/>
    <n v="2110868.0203806497"/>
  </r>
  <r>
    <x v="3"/>
    <x v="46"/>
    <x v="0"/>
    <x v="0"/>
    <x v="2"/>
    <x v="0"/>
    <x v="0"/>
    <x v="46"/>
    <x v="1"/>
    <n v="1005941.3004718355"/>
    <n v="809472.04916245642"/>
    <n v="138353.8924086348"/>
  </r>
  <r>
    <x v="3"/>
    <x v="46"/>
    <x v="0"/>
    <x v="0"/>
    <x v="2"/>
    <x v="0"/>
    <x v="0"/>
    <x v="46"/>
    <x v="2"/>
    <n v="8697155.6863535047"/>
    <n v="6454892.4254729757"/>
    <n v="1111930.7733020233"/>
  </r>
  <r>
    <x v="3"/>
    <x v="46"/>
    <x v="0"/>
    <x v="0"/>
    <x v="2"/>
    <x v="0"/>
    <x v="0"/>
    <x v="46"/>
    <x v="1"/>
    <n v="368583.36930950987"/>
    <n v="308808.59311597783"/>
    <n v="63918.990621779056"/>
  </r>
  <r>
    <x v="3"/>
    <x v="46"/>
    <x v="0"/>
    <x v="0"/>
    <x v="2"/>
    <x v="0"/>
    <x v="0"/>
    <x v="46"/>
    <x v="2"/>
    <n v="4864873.0893735429"/>
    <n v="3172580.9113588152"/>
    <n v="667582.33364491933"/>
  </r>
  <r>
    <x v="3"/>
    <x v="46"/>
    <x v="0"/>
    <x v="0"/>
    <x v="3"/>
    <x v="0"/>
    <x v="0"/>
    <x v="46"/>
    <x v="1"/>
    <n v="293900.5882327038"/>
    <n v="178018.36293988791"/>
    <n v="43846.405812183984"/>
  </r>
  <r>
    <x v="3"/>
    <x v="46"/>
    <x v="0"/>
    <x v="0"/>
    <x v="3"/>
    <x v="0"/>
    <x v="0"/>
    <x v="46"/>
    <x v="2"/>
    <n v="2239362.6622815509"/>
    <n v="1331009.1313536847"/>
    <n v="326766.34111864161"/>
  </r>
  <r>
    <x v="3"/>
    <x v="46"/>
    <x v="1"/>
    <x v="0"/>
    <x v="0"/>
    <x v="0"/>
    <x v="0"/>
    <x v="46"/>
    <x v="1"/>
    <n v="0"/>
    <n v="0"/>
    <n v="0"/>
  </r>
  <r>
    <x v="3"/>
    <x v="47"/>
    <x v="1"/>
    <x v="0"/>
    <x v="0"/>
    <x v="0"/>
    <x v="0"/>
    <x v="47"/>
    <x v="1"/>
    <n v="139588.75892147454"/>
    <n v="194127.52329563274"/>
    <n v="3905.7267275579316"/>
  </r>
  <r>
    <x v="3"/>
    <x v="47"/>
    <x v="1"/>
    <x v="0"/>
    <x v="0"/>
    <x v="0"/>
    <x v="0"/>
    <x v="47"/>
    <x v="2"/>
    <n v="423090.26156710181"/>
    <n v="468371.40522823052"/>
    <n v="10438.884522179931"/>
  </r>
  <r>
    <x v="3"/>
    <x v="47"/>
    <x v="1"/>
    <x v="0"/>
    <x v="0"/>
    <x v="0"/>
    <x v="0"/>
    <x v="47"/>
    <x v="1"/>
    <n v="142803.5100690251"/>
    <n v="179593.74094971409"/>
    <n v="7318.7775522872225"/>
  </r>
  <r>
    <x v="3"/>
    <x v="47"/>
    <x v="1"/>
    <x v="0"/>
    <x v="0"/>
    <x v="0"/>
    <x v="0"/>
    <x v="47"/>
    <x v="2"/>
    <n v="2080121.3863888697"/>
    <n v="1974208.0173334712"/>
    <n v="79860.964668685934"/>
  </r>
  <r>
    <x v="3"/>
    <x v="47"/>
    <x v="1"/>
    <x v="0"/>
    <x v="1"/>
    <x v="0"/>
    <x v="0"/>
    <x v="47"/>
    <x v="1"/>
    <n v="110624.33935465536"/>
    <n v="136823.61389318484"/>
    <n v="9340.0875052227202"/>
  </r>
  <r>
    <x v="3"/>
    <x v="47"/>
    <x v="1"/>
    <x v="0"/>
    <x v="1"/>
    <x v="0"/>
    <x v="0"/>
    <x v="47"/>
    <x v="2"/>
    <n v="1295268.83248388"/>
    <n v="1148733.2546858855"/>
    <n v="76147.39958482582"/>
  </r>
  <r>
    <x v="3"/>
    <x v="47"/>
    <x v="1"/>
    <x v="0"/>
    <x v="1"/>
    <x v="0"/>
    <x v="0"/>
    <x v="47"/>
    <x v="1"/>
    <n v="29933.603502079332"/>
    <n v="33875.146120866528"/>
    <n v="3067.6547569816425"/>
  </r>
  <r>
    <x v="3"/>
    <x v="47"/>
    <x v="1"/>
    <x v="0"/>
    <x v="1"/>
    <x v="0"/>
    <x v="0"/>
    <x v="47"/>
    <x v="2"/>
    <n v="699383.53618953144"/>
    <n v="609729.20969176595"/>
    <n v="55202.965551243964"/>
  </r>
  <r>
    <x v="3"/>
    <x v="47"/>
    <x v="1"/>
    <x v="0"/>
    <x v="2"/>
    <x v="0"/>
    <x v="0"/>
    <x v="47"/>
    <x v="1"/>
    <n v="33935.477201465321"/>
    <n v="19859.681101573879"/>
    <n v="2261.9420538912564"/>
  </r>
  <r>
    <x v="3"/>
    <x v="47"/>
    <x v="1"/>
    <x v="0"/>
    <x v="2"/>
    <x v="0"/>
    <x v="0"/>
    <x v="47"/>
    <x v="2"/>
    <n v="462272.71148426406"/>
    <n v="307226.09235688101"/>
    <n v="35346.190748355206"/>
  </r>
  <r>
    <x v="3"/>
    <x v="47"/>
    <x v="1"/>
    <x v="0"/>
    <x v="2"/>
    <x v="0"/>
    <x v="0"/>
    <x v="47"/>
    <x v="1"/>
    <n v="33349.119267270406"/>
    <n v="32859.146714550225"/>
    <n v="4394.8130671725994"/>
  </r>
  <r>
    <x v="3"/>
    <x v="47"/>
    <x v="1"/>
    <x v="0"/>
    <x v="2"/>
    <x v="0"/>
    <x v="0"/>
    <x v="47"/>
    <x v="2"/>
    <n v="198362.59715129997"/>
    <n v="106495.5123854812"/>
    <n v="15193.649776474442"/>
  </r>
  <r>
    <x v="3"/>
    <x v="47"/>
    <x v="1"/>
    <x v="0"/>
    <x v="3"/>
    <x v="0"/>
    <x v="0"/>
    <x v="47"/>
    <x v="1"/>
    <n v="10174.728927794291"/>
    <n v="7798.1604651626803"/>
    <n v="1349.3755049417937"/>
  </r>
  <r>
    <x v="3"/>
    <x v="47"/>
    <x v="1"/>
    <x v="0"/>
    <x v="3"/>
    <x v="0"/>
    <x v="0"/>
    <x v="47"/>
    <x v="2"/>
    <n v="97401.238369692277"/>
    <n v="60034.616687741349"/>
    <n v="10299.967249324161"/>
  </r>
  <r>
    <x v="3"/>
    <x v="47"/>
    <x v="4"/>
    <x v="0"/>
    <x v="0"/>
    <x v="0"/>
    <x v="0"/>
    <x v="47"/>
    <x v="2"/>
    <n v="8081.9893564711401"/>
    <n v="8944.3053087938642"/>
    <n v="141.27970497330813"/>
  </r>
  <r>
    <x v="3"/>
    <x v="47"/>
    <x v="4"/>
    <x v="0"/>
    <x v="0"/>
    <x v="0"/>
    <x v="0"/>
    <x v="47"/>
    <x v="1"/>
    <n v="1777.7064692732108"/>
    <n v="3008.1744312016913"/>
    <n v="107.8079144042016"/>
  </r>
  <r>
    <x v="3"/>
    <x v="47"/>
    <x v="4"/>
    <x v="0"/>
    <x v="0"/>
    <x v="0"/>
    <x v="0"/>
    <x v="47"/>
    <x v="2"/>
    <n v="18666.296738432276"/>
    <n v="18156.003900250089"/>
    <n v="871.90934203657264"/>
  </r>
  <r>
    <x v="3"/>
    <x v="47"/>
    <x v="4"/>
    <x v="0"/>
    <x v="1"/>
    <x v="0"/>
    <x v="0"/>
    <x v="47"/>
    <x v="2"/>
    <n v="18845.312050506818"/>
    <n v="16524.904875422126"/>
    <n v="1015.2425310749956"/>
  </r>
  <r>
    <x v="3"/>
    <x v="47"/>
    <x v="4"/>
    <x v="0"/>
    <x v="1"/>
    <x v="0"/>
    <x v="0"/>
    <x v="47"/>
    <x v="1"/>
    <n v="7301.7466814641048"/>
    <n v="6738.3107258917889"/>
    <n v="665.32884318021559"/>
  </r>
  <r>
    <x v="3"/>
    <x v="47"/>
    <x v="4"/>
    <x v="0"/>
    <x v="1"/>
    <x v="0"/>
    <x v="0"/>
    <x v="47"/>
    <x v="2"/>
    <n v="694.84782544968391"/>
    <n v="802.17984829961506"/>
    <n v="78.032395186096267"/>
  </r>
  <r>
    <x v="3"/>
    <x v="48"/>
    <x v="0"/>
    <x v="0"/>
    <x v="0"/>
    <x v="0"/>
    <x v="0"/>
    <x v="48"/>
    <x v="1"/>
    <n v="23208.76634894891"/>
    <n v="29626.512901130358"/>
    <n v="594.28607549007995"/>
  </r>
  <r>
    <x v="3"/>
    <x v="48"/>
    <x v="0"/>
    <x v="0"/>
    <x v="0"/>
    <x v="0"/>
    <x v="0"/>
    <x v="48"/>
    <x v="2"/>
    <n v="281287.9695935031"/>
    <n v="318415.95466989937"/>
    <n v="7729.40139104639"/>
  </r>
  <r>
    <x v="3"/>
    <x v="48"/>
    <x v="0"/>
    <x v="0"/>
    <x v="0"/>
    <x v="0"/>
    <x v="0"/>
    <x v="48"/>
    <x v="1"/>
    <n v="41793.253686347547"/>
    <n v="35137.933399398447"/>
    <n v="1698.3637715963334"/>
  </r>
  <r>
    <x v="3"/>
    <x v="48"/>
    <x v="0"/>
    <x v="0"/>
    <x v="0"/>
    <x v="0"/>
    <x v="0"/>
    <x v="48"/>
    <x v="2"/>
    <n v="404771.44178826915"/>
    <n v="420183.48001207924"/>
    <n v="20202.819738138009"/>
  </r>
  <r>
    <x v="3"/>
    <x v="48"/>
    <x v="0"/>
    <x v="0"/>
    <x v="1"/>
    <x v="0"/>
    <x v="0"/>
    <x v="48"/>
    <x v="1"/>
    <n v="49262.034704276943"/>
    <n v="47458.81765234116"/>
    <n v="3564.4410969100977"/>
  </r>
  <r>
    <x v="3"/>
    <x v="48"/>
    <x v="0"/>
    <x v="0"/>
    <x v="1"/>
    <x v="0"/>
    <x v="0"/>
    <x v="48"/>
    <x v="2"/>
    <n v="399964.09397433291"/>
    <n v="329500.63487142482"/>
    <n v="25535.942608889858"/>
  </r>
  <r>
    <x v="3"/>
    <x v="48"/>
    <x v="0"/>
    <x v="0"/>
    <x v="1"/>
    <x v="0"/>
    <x v="0"/>
    <x v="48"/>
    <x v="1"/>
    <n v="45380.906289946746"/>
    <n v="36872.164063421944"/>
    <n v="3931.104001781252"/>
  </r>
  <r>
    <x v="3"/>
    <x v="48"/>
    <x v="0"/>
    <x v="0"/>
    <x v="1"/>
    <x v="0"/>
    <x v="0"/>
    <x v="48"/>
    <x v="2"/>
    <n v="262097.02677682688"/>
    <n v="206633.54650469194"/>
    <n v="21851.43505715318"/>
  </r>
  <r>
    <x v="3"/>
    <x v="48"/>
    <x v="0"/>
    <x v="0"/>
    <x v="2"/>
    <x v="0"/>
    <x v="0"/>
    <x v="48"/>
    <x v="1"/>
    <n v="25048.27878024687"/>
    <n v="17717.89183427034"/>
    <n v="2403.3485246550949"/>
  </r>
  <r>
    <x v="3"/>
    <x v="48"/>
    <x v="0"/>
    <x v="0"/>
    <x v="2"/>
    <x v="0"/>
    <x v="0"/>
    <x v="48"/>
    <x v="2"/>
    <n v="266916.75027775002"/>
    <n v="167795.52150749488"/>
    <n v="23286.862781339045"/>
  </r>
  <r>
    <x v="3"/>
    <x v="48"/>
    <x v="0"/>
    <x v="0"/>
    <x v="2"/>
    <x v="0"/>
    <x v="0"/>
    <x v="48"/>
    <x v="1"/>
    <n v="27439.437820248077"/>
    <n v="18925.845199934742"/>
    <n v="3332.8101297356961"/>
  </r>
  <r>
    <x v="3"/>
    <x v="48"/>
    <x v="0"/>
    <x v="0"/>
    <x v="2"/>
    <x v="0"/>
    <x v="0"/>
    <x v="48"/>
    <x v="2"/>
    <n v="152049.30780978987"/>
    <n v="95621.907559505707"/>
    <n v="15824.717067917945"/>
  </r>
  <r>
    <x v="3"/>
    <x v="48"/>
    <x v="0"/>
    <x v="0"/>
    <x v="3"/>
    <x v="0"/>
    <x v="0"/>
    <x v="48"/>
    <x v="1"/>
    <n v="28572.784169991759"/>
    <n v="13189.331408622087"/>
    <n v="2607.1358033204147"/>
  </r>
  <r>
    <x v="3"/>
    <x v="48"/>
    <x v="0"/>
    <x v="0"/>
    <x v="3"/>
    <x v="0"/>
    <x v="0"/>
    <x v="48"/>
    <x v="2"/>
    <n v="113573.94797952133"/>
    <n v="59337.458415785113"/>
    <n v="11543.331952026594"/>
  </r>
  <r>
    <x v="3"/>
    <x v="48"/>
    <x v="1"/>
    <x v="0"/>
    <x v="0"/>
    <x v="0"/>
    <x v="0"/>
    <x v="48"/>
    <x v="1"/>
    <n v="0"/>
    <n v="0"/>
    <n v="0"/>
  </r>
  <r>
    <x v="3"/>
    <x v="89"/>
    <x v="4"/>
    <x v="1"/>
    <x v="0"/>
    <x v="1"/>
    <x v="1"/>
    <x v="63"/>
    <x v="2"/>
    <n v="794.3713439401439"/>
    <n v="191.40838247853526"/>
    <n v="5.9798614070441243"/>
  </r>
  <r>
    <x v="3"/>
    <x v="89"/>
    <x v="4"/>
    <x v="1"/>
    <x v="0"/>
    <x v="1"/>
    <x v="1"/>
    <x v="63"/>
    <x v="2"/>
    <n v="19124.945716762308"/>
    <n v="4608.2665903896323"/>
    <n v="245.19852765377834"/>
  </r>
  <r>
    <x v="3"/>
    <x v="89"/>
    <x v="4"/>
    <x v="1"/>
    <x v="1"/>
    <x v="1"/>
    <x v="1"/>
    <x v="63"/>
    <x v="2"/>
    <n v="7156.8979421062568"/>
    <n v="1611.860062977139"/>
    <n v="110.78480080418588"/>
  </r>
  <r>
    <x v="3"/>
    <x v="89"/>
    <x v="4"/>
    <x v="1"/>
    <x v="2"/>
    <x v="1"/>
    <x v="1"/>
    <x v="63"/>
    <x v="2"/>
    <n v="127.07254979441863"/>
    <n v="26.864334383301209"/>
    <n v="3.5249709346786418"/>
  </r>
  <r>
    <x v="3"/>
    <x v="89"/>
    <x v="4"/>
    <x v="1"/>
    <x v="2"/>
    <x v="1"/>
    <x v="1"/>
    <x v="63"/>
    <x v="2"/>
    <n v="64807.000396932883"/>
    <n v="13700.810535305682"/>
    <n v="2412.0872538729564"/>
  </r>
  <r>
    <x v="3"/>
    <x v="89"/>
    <x v="4"/>
    <x v="1"/>
    <x v="3"/>
    <x v="1"/>
    <x v="1"/>
    <x v="63"/>
    <x v="2"/>
    <n v="12137.712050463988"/>
    <n v="2417.7900944657085"/>
    <n v="483.42458532735657"/>
  </r>
  <r>
    <x v="3"/>
    <x v="90"/>
    <x v="2"/>
    <x v="0"/>
    <x v="0"/>
    <x v="0"/>
    <x v="0"/>
    <x v="64"/>
    <x v="1"/>
    <n v="46190.43"/>
    <n v="56849.130000000005"/>
    <n v="2487.1600000000003"/>
  </r>
  <r>
    <x v="3"/>
    <x v="91"/>
    <x v="2"/>
    <x v="0"/>
    <x v="0"/>
    <x v="3"/>
    <x v="3"/>
    <x v="65"/>
    <x v="1"/>
    <n v="5825.04"/>
    <n v="9155.77"/>
    <n v="57.2"/>
  </r>
  <r>
    <x v="3"/>
    <x v="90"/>
    <x v="2"/>
    <x v="0"/>
    <x v="0"/>
    <x v="0"/>
    <x v="0"/>
    <x v="64"/>
    <x v="2"/>
    <n v="309120.57"/>
    <n v="380451.87"/>
    <n v="16644.84"/>
  </r>
  <r>
    <x v="3"/>
    <x v="91"/>
    <x v="2"/>
    <x v="0"/>
    <x v="0"/>
    <x v="3"/>
    <x v="3"/>
    <x v="65"/>
    <x v="2"/>
    <n v="38982.959999999999"/>
    <n v="61273.229999999996"/>
    <n v="38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8445B-8416-49C0-9082-BDF22D04DD18}" name="PivotTable4" cacheId="57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12:G21" firstHeaderRow="1" firstDataRow="2" firstDataCol="4" rowPageCount="4" colPageCount="1"/>
  <pivotFields count="12">
    <pivotField axis="axisPage" compact="0" outline="0" showAll="0">
      <items count="5">
        <item x="0"/>
        <item x="1"/>
        <item x="2"/>
        <item x="3"/>
        <item t="default"/>
      </items>
    </pivotField>
    <pivotField axis="axisRow" compact="0" outline="0" showAll="0" defaultSubtotal="0">
      <items count="99">
        <item x="88"/>
        <item x="89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98"/>
      </items>
    </pivotField>
    <pivotField axis="axisCol" compact="0" outline="0" showAll="0">
      <items count="7">
        <item x="0"/>
        <item h="1" x="4"/>
        <item h="1" x="2"/>
        <item x="3"/>
        <item h="1" x="1"/>
        <item h="1" m="1" x="5"/>
        <item t="default"/>
      </items>
    </pivotField>
    <pivotField axis="axisPage" compact="0" outline="0" showAll="0">
      <items count="9">
        <item m="1" x="4"/>
        <item m="1" x="5"/>
        <item x="1"/>
        <item m="1" x="2"/>
        <item x="0"/>
        <item m="1" x="3"/>
        <item m="1" x="6"/>
        <item m="1" x="7"/>
        <item t="default"/>
      </items>
    </pivotField>
    <pivotField axis="axisPage"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compact="0" outline="0" showAll="0" defaultSubtotal="0">
      <items count="7">
        <item x="0"/>
        <item h="1" x="3"/>
        <item h="1" x="2"/>
        <item h="1" x="4"/>
        <item h="1" x="1"/>
        <item h="1" m="1" x="5"/>
        <item h="1" m="1" x="6"/>
      </items>
    </pivotField>
    <pivotField axis="axisRow" compact="0" outline="0" showAll="0" defaultSubtotal="0">
      <items count="6">
        <item x="1"/>
        <item m="1" x="5"/>
        <item x="4"/>
        <item x="2"/>
        <item x="3"/>
        <item x="0"/>
      </items>
    </pivotField>
    <pivotField axis="axisRow" compact="0" outline="0" showAll="0">
      <items count="80">
        <item x="35"/>
        <item x="39"/>
        <item x="36"/>
        <item x="40"/>
        <item x="30"/>
        <item x="34"/>
        <item x="29"/>
        <item x="33"/>
        <item x="41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23"/>
        <item x="18"/>
        <item x="24"/>
        <item x="15"/>
        <item x="12"/>
        <item x="66"/>
        <item x="22"/>
        <item x="20"/>
        <item x="13"/>
        <item x="67"/>
        <item x="26"/>
        <item x="7"/>
        <item x="5"/>
        <item m="1" x="73"/>
        <item x="8"/>
        <item m="1" x="74"/>
        <item x="6"/>
        <item x="21"/>
        <item x="19"/>
        <item x="25"/>
        <item x="14"/>
        <item x="68"/>
        <item x="17"/>
        <item x="4"/>
        <item x="10"/>
        <item x="11"/>
        <item x="9"/>
        <item x="0"/>
        <item x="62"/>
        <item x="16"/>
        <item x="3"/>
        <item m="1" x="72"/>
        <item x="46"/>
        <item x="45"/>
        <item x="1"/>
        <item x="48"/>
        <item x="47"/>
        <item x="2"/>
        <item x="63"/>
        <item x="71"/>
        <item m="1" x="77"/>
        <item x="42"/>
        <item m="1" x="78"/>
        <item x="69"/>
        <item x="44"/>
        <item x="43"/>
        <item m="1" x="76"/>
        <item m="1" x="75"/>
        <item x="37"/>
        <item x="31"/>
        <item x="38"/>
        <item x="32"/>
        <item x="64"/>
        <item x="65"/>
        <item x="27"/>
        <item x="28"/>
        <item x="70"/>
        <item t="default"/>
      </items>
    </pivotField>
    <pivotField axis="axisPage" compact="0" outline="0" showAll="0">
      <items count="10">
        <item m="1" x="5"/>
        <item m="1" x="6"/>
        <item m="1" x="3"/>
        <item m="1" x="4"/>
        <item x="0"/>
        <item m="1" x="8"/>
        <item m="1" x="7"/>
        <item x="1"/>
        <item x="2"/>
        <item t="default"/>
      </items>
    </pivotField>
    <pivotField compact="0" numFmtId="3" outline="0" showAll="0"/>
    <pivotField dataField="1" compact="0" numFmtId="3" outline="0" showAll="0"/>
    <pivotField compact="0" numFmtId="3" outline="0" showAll="0"/>
  </pivotFields>
  <rowFields count="4">
    <field x="5"/>
    <field x="6"/>
    <field x="1"/>
    <field x="7"/>
  </rowFields>
  <rowItems count="8">
    <i>
      <x/>
      <x v="5"/>
      <x v="2"/>
      <x v="55"/>
    </i>
    <i r="2">
      <x v="3"/>
      <x v="54"/>
    </i>
    <i r="2">
      <x v="4"/>
      <x v="58"/>
    </i>
    <i r="2">
      <x v="5"/>
      <x v="57"/>
    </i>
    <i r="2">
      <x v="32"/>
      <x v="49"/>
    </i>
    <i r="2">
      <x v="33"/>
      <x v="56"/>
    </i>
    <i r="2">
      <x v="34"/>
      <x v="59"/>
    </i>
    <i t="grand">
      <x/>
    </i>
  </rowItems>
  <colFields count="1">
    <field x="2"/>
  </colFields>
  <colItems count="3">
    <i>
      <x/>
    </i>
    <i>
      <x v="3"/>
    </i>
    <i t="grand">
      <x/>
    </i>
  </colItems>
  <pageFields count="4">
    <pageField fld="0" hier="-1"/>
    <pageField fld="8" hier="-1"/>
    <pageField fld="4" hier="-1"/>
    <pageField fld="3" hier="-1"/>
  </pageFields>
  <dataFields count="1">
    <dataField name="Sum of Pieces" fld="10" baseField="0" baseItem="0" numFmtId="3"/>
  </dataFields>
  <formats count="5">
    <format dxfId="0">
      <pivotArea outline="0" collapsedLevelsAreSubtotals="1" fieldPosition="0"/>
    </format>
    <format dxfId="1">
      <pivotArea field="4" type="button" dataOnly="0" labelOnly="1" outline="0" axis="axisPage" fieldPosition="2"/>
    </format>
    <format dxfId="2">
      <pivotArea type="topRight" dataOnly="0" labelOnly="1" outline="0" fieldPosition="0"/>
    </format>
    <format dxfId="3">
      <pivotArea dataOnly="0" labelOnly="1" outline="0" fieldPosition="0">
        <references count="1">
          <reference field="4" count="0"/>
        </references>
      </pivotArea>
    </format>
    <format dxfId="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O73"/>
  <sheetViews>
    <sheetView zoomScale="90" zoomScaleNormal="90" workbookViewId="0">
      <selection activeCell="F18" sqref="F18"/>
    </sheetView>
  </sheetViews>
  <sheetFormatPr defaultColWidth="8.85546875" defaultRowHeight="12.6"/>
  <cols>
    <col min="1" max="1" width="45" customWidth="1"/>
    <col min="2" max="2" width="19.42578125" style="3" customWidth="1"/>
    <col min="3" max="3" width="17.85546875" bestFit="1" customWidth="1"/>
    <col min="4" max="4" width="26.42578125" customWidth="1"/>
    <col min="5" max="5" width="15.140625" customWidth="1"/>
    <col min="6" max="6" width="14.5703125" customWidth="1"/>
    <col min="7" max="10" width="19.42578125" bestFit="1" customWidth="1"/>
    <col min="11" max="11" width="20.7109375" customWidth="1"/>
    <col min="15" max="15" width="11.7109375" bestFit="1" customWidth="1"/>
  </cols>
  <sheetData>
    <row r="1" spans="1:13" ht="15.6">
      <c r="A1" s="7" t="s">
        <v>0</v>
      </c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</row>
    <row r="2" spans="1:13" ht="23.25" customHeight="1">
      <c r="A2" s="7" t="s">
        <v>1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</row>
    <row r="3" spans="1:13" ht="5.45" customHeight="1">
      <c r="A3" s="7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</row>
    <row r="4" spans="1:13" ht="15.6">
      <c r="A4" s="7"/>
      <c r="B4" s="4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555"/>
      <c r="M4" s="555"/>
    </row>
    <row r="5" spans="1:13" ht="12.95">
      <c r="A5" s="555"/>
      <c r="C5" s="555"/>
      <c r="D5" s="555"/>
      <c r="E5" s="555"/>
      <c r="F5" s="555"/>
      <c r="G5" s="555"/>
      <c r="H5" s="555"/>
      <c r="I5" s="2" t="s">
        <v>11</v>
      </c>
      <c r="J5" s="2" t="s">
        <v>12</v>
      </c>
      <c r="K5" s="555"/>
      <c r="L5" s="555"/>
      <c r="M5" s="555"/>
    </row>
    <row r="6" spans="1:13" ht="12.95">
      <c r="A6" s="369"/>
      <c r="B6" s="370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11</v>
      </c>
      <c r="H6" s="2" t="s">
        <v>12</v>
      </c>
      <c r="I6" s="2" t="s">
        <v>18</v>
      </c>
      <c r="J6" s="2" t="s">
        <v>18</v>
      </c>
      <c r="K6" s="555"/>
      <c r="L6" s="555"/>
      <c r="M6" s="555"/>
    </row>
    <row r="7" spans="1:13" ht="12.95">
      <c r="A7" s="371"/>
      <c r="B7" s="372" t="s">
        <v>19</v>
      </c>
      <c r="C7" s="2" t="s">
        <v>18</v>
      </c>
      <c r="D7" s="2" t="s">
        <v>18</v>
      </c>
      <c r="E7" s="2" t="s">
        <v>20</v>
      </c>
      <c r="F7" s="2" t="s">
        <v>18</v>
      </c>
      <c r="G7" s="2" t="s">
        <v>18</v>
      </c>
      <c r="H7" s="2" t="s">
        <v>18</v>
      </c>
      <c r="I7" s="2" t="s">
        <v>21</v>
      </c>
      <c r="J7" s="2" t="s">
        <v>21</v>
      </c>
      <c r="K7" s="2"/>
      <c r="L7" s="555"/>
      <c r="M7" s="555"/>
    </row>
    <row r="8" spans="1:13" ht="12.95">
      <c r="A8" s="371" t="s">
        <v>22</v>
      </c>
      <c r="B8" s="372" t="s">
        <v>23</v>
      </c>
      <c r="C8" s="2" t="s">
        <v>24</v>
      </c>
      <c r="D8" s="2" t="s">
        <v>24</v>
      </c>
      <c r="E8" s="2" t="s">
        <v>24</v>
      </c>
      <c r="F8" s="2" t="s">
        <v>24</v>
      </c>
      <c r="G8" s="2" t="s">
        <v>21</v>
      </c>
      <c r="H8" s="2" t="s">
        <v>21</v>
      </c>
      <c r="I8" s="2" t="s">
        <v>25</v>
      </c>
      <c r="J8" s="2" t="s">
        <v>25</v>
      </c>
      <c r="K8" s="2"/>
      <c r="L8" s="555"/>
      <c r="M8" s="555"/>
    </row>
    <row r="9" spans="1:13" ht="12.95">
      <c r="A9" s="373"/>
      <c r="B9" s="374" t="s">
        <v>26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27</v>
      </c>
      <c r="J9" s="2" t="s">
        <v>27</v>
      </c>
      <c r="K9" s="2"/>
      <c r="L9" s="555"/>
      <c r="M9" s="555"/>
    </row>
    <row r="10" spans="1:13" ht="12.95">
      <c r="A10" s="375" t="s">
        <v>28</v>
      </c>
      <c r="B10" s="370"/>
      <c r="C10" s="555"/>
      <c r="D10" s="555"/>
      <c r="E10" s="555"/>
      <c r="F10" s="18"/>
      <c r="G10" s="555"/>
      <c r="H10" s="555"/>
      <c r="I10" s="555"/>
      <c r="J10" s="555"/>
      <c r="K10" s="555"/>
      <c r="L10" s="555"/>
      <c r="M10" s="555"/>
    </row>
    <row r="11" spans="1:13">
      <c r="A11" s="376" t="s">
        <v>29</v>
      </c>
      <c r="B11" s="378">
        <f>'PRESORT LETTERS SUM'!I52</f>
        <v>20.114653102660856</v>
      </c>
      <c r="C11" s="229">
        <f>'PRESORT LETTERS SUM'!G52</f>
        <v>19.989927324922622</v>
      </c>
      <c r="D11" s="229">
        <f>B45</f>
        <v>7.2605038642061022</v>
      </c>
      <c r="E11" s="229">
        <f>'[1]1.Table 1'!$E$77</f>
        <v>1.4767608588927152</v>
      </c>
      <c r="F11" s="229">
        <f>C11+D11+E11</f>
        <v>28.72719204802144</v>
      </c>
      <c r="G11" s="229"/>
      <c r="H11" s="555"/>
      <c r="I11" s="555"/>
      <c r="J11" s="555"/>
      <c r="K11" s="377"/>
      <c r="L11" s="555"/>
      <c r="M11" s="555"/>
    </row>
    <row r="12" spans="1:13">
      <c r="A12" s="376" t="s">
        <v>30</v>
      </c>
      <c r="B12" s="378">
        <f>'PRESORT LETTERS SUM'!I53</f>
        <v>64.504312760948665</v>
      </c>
      <c r="C12" s="3">
        <f>'PRESORT LETTERS SUM'!G53</f>
        <v>64.37958698321043</v>
      </c>
      <c r="D12" s="3">
        <f>B41</f>
        <v>28.420198113507585</v>
      </c>
      <c r="E12" s="229">
        <f>E11</f>
        <v>1.4767608588927152</v>
      </c>
      <c r="F12" s="229">
        <f>C12+D12+E12</f>
        <v>94.276545955610729</v>
      </c>
      <c r="G12" s="3"/>
      <c r="H12" s="3"/>
      <c r="I12" s="151"/>
      <c r="J12" s="151"/>
      <c r="K12" s="555"/>
      <c r="L12" s="18"/>
      <c r="M12" s="555"/>
    </row>
    <row r="13" spans="1:13">
      <c r="A13" s="376" t="str">
        <f>'PRESORT LETTERS SUM'!A54</f>
        <v>Nonautomation Nonmachinable Mixed ADC Letters</v>
      </c>
      <c r="B13" s="378">
        <f>'PRESORT LETTERS SUM'!I54</f>
        <v>51.222549304118743</v>
      </c>
      <c r="C13" s="3">
        <f>'PRESORT LETTERS SUM'!G54</f>
        <v>51.187916036926488</v>
      </c>
      <c r="D13" s="3">
        <f t="shared" ref="D13:D23" si="0">B41</f>
        <v>28.420198113507585</v>
      </c>
      <c r="E13" s="3">
        <v>0</v>
      </c>
      <c r="F13" s="229">
        <f>C13+D13+E13</f>
        <v>79.608114150434076</v>
      </c>
      <c r="G13" s="3">
        <f>F12-F13</f>
        <v>14.668431805176652</v>
      </c>
      <c r="H13" s="3">
        <f>G13</f>
        <v>14.668431805176652</v>
      </c>
      <c r="I13" s="151">
        <f>ROUND(G13,1)</f>
        <v>14.7</v>
      </c>
      <c r="J13" s="151">
        <f>ROUND(H13,1)</f>
        <v>14.7</v>
      </c>
      <c r="K13" s="555"/>
      <c r="L13" s="18"/>
      <c r="M13" s="18"/>
    </row>
    <row r="14" spans="1:13">
      <c r="A14" s="376" t="str">
        <f>'PRESORT LETTERS SUM'!A55</f>
        <v>Nonautomation Nonmachinable ADC Letters</v>
      </c>
      <c r="B14" s="378">
        <f>'PRESORT LETTERS SUM'!I55</f>
        <v>34.621178390002761</v>
      </c>
      <c r="C14" s="3">
        <f>'PRESORT LETTERS SUM'!G55</f>
        <v>34.586545122810506</v>
      </c>
      <c r="D14" s="3">
        <f t="shared" si="0"/>
        <v>0</v>
      </c>
      <c r="E14" s="3">
        <v>0</v>
      </c>
      <c r="F14" s="229">
        <f t="shared" ref="F14:F22" si="1">C14+D14+E14</f>
        <v>34.586545122810506</v>
      </c>
      <c r="G14" s="3">
        <f>F13-F14</f>
        <v>45.02156902762357</v>
      </c>
      <c r="H14" s="555"/>
      <c r="I14" s="555"/>
      <c r="J14" s="555"/>
      <c r="K14" s="555"/>
      <c r="L14" s="555"/>
      <c r="M14" s="555"/>
    </row>
    <row r="15" spans="1:13">
      <c r="A15" s="376" t="str">
        <f>'PRESORT LETTERS SUM'!A56</f>
        <v>Nonautomation Nonmachinable 3-Digit Letters</v>
      </c>
      <c r="B15" s="378">
        <f>'PRESORT LETTERS SUM'!I56</f>
        <v>33.913492734706821</v>
      </c>
      <c r="C15" s="3">
        <f>'PRESORT LETTERS SUM'!G56</f>
        <v>33.878859467514566</v>
      </c>
      <c r="D15" s="3">
        <f t="shared" si="0"/>
        <v>28.420198113507578</v>
      </c>
      <c r="E15" s="3">
        <v>0</v>
      </c>
      <c r="F15" s="229">
        <f t="shared" si="1"/>
        <v>62.29905758102214</v>
      </c>
      <c r="G15" s="3">
        <f>F14-F15</f>
        <v>-27.712512458211634</v>
      </c>
      <c r="H15" s="555"/>
      <c r="I15" s="555"/>
      <c r="J15" s="555"/>
      <c r="K15" s="555"/>
      <c r="L15" s="555"/>
      <c r="M15" s="555"/>
    </row>
    <row r="16" spans="1:13">
      <c r="A16" s="376" t="str">
        <f>'PRESORT LETTERS SUM'!A57</f>
        <v>Nonautomation Nonmachinable 5-Digit Letters</v>
      </c>
      <c r="B16" s="378">
        <f>'PRESORT LETTERS SUM'!I57</f>
        <v>18.127845892264681</v>
      </c>
      <c r="C16" s="3">
        <f>'PRESORT LETTERS SUM'!G57</f>
        <v>18.093212625072429</v>
      </c>
      <c r="D16" s="3">
        <f t="shared" si="0"/>
        <v>28.420198113507578</v>
      </c>
      <c r="E16" s="3">
        <v>0</v>
      </c>
      <c r="F16" s="229">
        <f t="shared" si="1"/>
        <v>46.513410738580006</v>
      </c>
      <c r="G16" s="3">
        <f>F15-F16</f>
        <v>15.785646842442134</v>
      </c>
      <c r="H16" s="555"/>
      <c r="I16" s="555"/>
      <c r="J16" s="555"/>
      <c r="K16" s="555"/>
      <c r="L16" s="555"/>
      <c r="M16" s="555"/>
    </row>
    <row r="17" spans="1:13">
      <c r="A17" s="376" t="str">
        <f>'PRESORT LETTERS SUM'!A58</f>
        <v>Nonautomation Machinable Mixed AADC Letters</v>
      </c>
      <c r="B17" s="378">
        <f>'PRESORT LETTERS SUM'!I58</f>
        <v>15.498420608059027</v>
      </c>
      <c r="C17" s="3">
        <f>'PRESORT LETTERS SUM'!G58</f>
        <v>15.463787340866773</v>
      </c>
      <c r="D17" s="229">
        <f t="shared" si="0"/>
        <v>7.2605038642061022</v>
      </c>
      <c r="E17" s="3">
        <v>0</v>
      </c>
      <c r="F17" s="229">
        <f t="shared" si="1"/>
        <v>22.724291205072873</v>
      </c>
      <c r="G17" s="3">
        <f>F11-F17</f>
        <v>6.0029008429485664</v>
      </c>
      <c r="H17" s="3">
        <f>G17</f>
        <v>6.0029008429485664</v>
      </c>
      <c r="I17" s="151">
        <f>ROUND(G17,1)</f>
        <v>6</v>
      </c>
      <c r="J17" s="151">
        <f>ROUND(H17,1)</f>
        <v>6</v>
      </c>
      <c r="K17" s="555"/>
      <c r="L17" s="555"/>
      <c r="M17" s="555"/>
    </row>
    <row r="18" spans="1:13">
      <c r="A18" s="376" t="str">
        <f>'PRESORT LETTERS SUM'!A59</f>
        <v>Nonautomation Machinable AADC Letters</v>
      </c>
      <c r="B18" s="378">
        <f>'PRESORT LETTERS SUM'!I59</f>
        <v>11.225482007959769</v>
      </c>
      <c r="C18" s="3">
        <f>'PRESORT LETTERS SUM'!G59</f>
        <v>11.190848740767516</v>
      </c>
      <c r="D18" s="3">
        <f t="shared" si="0"/>
        <v>6.05941728412507</v>
      </c>
      <c r="E18" s="3">
        <v>0</v>
      </c>
      <c r="F18" s="229">
        <f t="shared" si="1"/>
        <v>17.250266024892586</v>
      </c>
      <c r="G18" s="3">
        <f>F17-F18</f>
        <v>5.4740251801802877</v>
      </c>
      <c r="H18" s="555"/>
      <c r="I18" s="555"/>
      <c r="J18" s="555"/>
      <c r="K18" s="555"/>
      <c r="L18" s="555"/>
      <c r="M18" s="555"/>
    </row>
    <row r="19" spans="1:13">
      <c r="A19" s="376" t="str">
        <f>'PRESORT LETTERS SUM'!A60</f>
        <v>Nonautomation Machinable 3-Digit Letters</v>
      </c>
      <c r="B19" s="378">
        <f>'PRESORT LETTERS SUM'!I60</f>
        <v>11.225482007959769</v>
      </c>
      <c r="C19" s="3">
        <f>'PRESORT LETTERS SUM'!G60</f>
        <v>11.190848740767516</v>
      </c>
      <c r="D19" s="3">
        <f t="shared" si="0"/>
        <v>0</v>
      </c>
      <c r="E19" s="3">
        <v>0</v>
      </c>
      <c r="F19" s="229">
        <f t="shared" si="1"/>
        <v>11.190848740767516</v>
      </c>
      <c r="G19" s="18"/>
      <c r="H19" s="555"/>
      <c r="I19" s="555"/>
      <c r="J19" s="555"/>
      <c r="K19" s="555"/>
      <c r="L19" s="555"/>
      <c r="M19" s="555"/>
    </row>
    <row r="20" spans="1:13">
      <c r="A20" s="376" t="str">
        <f>'PRESORT LETTERS SUM'!A61</f>
        <v>Nonautomation Machinable 5-Digit Letters</v>
      </c>
      <c r="B20" s="378">
        <f>'PRESORT LETTERS SUM'!I61</f>
        <v>11.225482007959769</v>
      </c>
      <c r="C20" s="3">
        <f>'PRESORT LETTERS SUM'!G61</f>
        <v>11.190848740767516</v>
      </c>
      <c r="D20" s="3">
        <f t="shared" si="0"/>
        <v>0</v>
      </c>
      <c r="E20" s="3">
        <v>0</v>
      </c>
      <c r="F20" s="229">
        <f t="shared" si="1"/>
        <v>11.190848740767516</v>
      </c>
      <c r="G20" s="18"/>
      <c r="H20" s="555"/>
      <c r="I20" s="555"/>
      <c r="J20" s="555"/>
      <c r="K20" s="377"/>
      <c r="L20" s="555"/>
      <c r="M20" s="18"/>
    </row>
    <row r="21" spans="1:13">
      <c r="A21" s="376" t="str">
        <f>'PRESORT LETTERS SUM'!A62</f>
        <v>Average Nonautomation Machinable Letters</v>
      </c>
      <c r="B21" s="378">
        <f>'PRESORT LETTERS SUM'!I62</f>
        <v>12.648778371756105</v>
      </c>
      <c r="C21" s="3">
        <f>'PRESORT LETTERS SUM'!G62</f>
        <v>12.614145104563853</v>
      </c>
      <c r="D21" s="3">
        <f t="shared" si="0"/>
        <v>6.4594937471929459</v>
      </c>
      <c r="E21" s="3">
        <v>0</v>
      </c>
      <c r="F21" s="229">
        <f t="shared" si="1"/>
        <v>19.073638851756797</v>
      </c>
      <c r="G21" s="3"/>
      <c r="H21" s="3"/>
      <c r="I21" s="151"/>
      <c r="J21" s="151"/>
      <c r="K21" s="151"/>
      <c r="L21" s="555"/>
      <c r="M21" s="18"/>
    </row>
    <row r="22" spans="1:13">
      <c r="A22" s="170" t="s">
        <v>31</v>
      </c>
      <c r="B22" s="378">
        <f>'PRESORT LETTERS SUM'!I63</f>
        <v>14.438736268562929</v>
      </c>
      <c r="C22" s="3">
        <f>'PRESORT LETTERS SUM'!G63</f>
        <v>14.404103001370675</v>
      </c>
      <c r="D22" s="3">
        <f t="shared" si="0"/>
        <v>6.9939800954025255</v>
      </c>
      <c r="E22" s="3">
        <v>0</v>
      </c>
      <c r="F22" s="229">
        <f t="shared" si="1"/>
        <v>21.398083096773199</v>
      </c>
      <c r="G22" s="3">
        <f>F17-F22</f>
        <v>1.3262081082996744</v>
      </c>
      <c r="H22" s="3">
        <f>F$11-F22</f>
        <v>7.3291089512482408</v>
      </c>
      <c r="I22" s="151">
        <f t="shared" ref="I22:J26" si="2">ROUND(G22,1)</f>
        <v>1.3</v>
      </c>
      <c r="J22" s="151">
        <f t="shared" si="2"/>
        <v>7.3</v>
      </c>
      <c r="K22" s="377"/>
      <c r="L22" s="379"/>
      <c r="M22" s="18"/>
    </row>
    <row r="23" spans="1:13">
      <c r="A23" s="170" t="s">
        <v>32</v>
      </c>
      <c r="B23" s="380">
        <f>'PRESORT LETTERS SUM'!I64</f>
        <v>11.303488338832619</v>
      </c>
      <c r="C23" s="3">
        <f>'PRESORT LETTERS SUM'!G64</f>
        <v>11.268855071640365</v>
      </c>
      <c r="D23" s="3">
        <f t="shared" si="0"/>
        <v>6.2344184161535576</v>
      </c>
      <c r="E23" s="3">
        <v>0</v>
      </c>
      <c r="F23" s="229">
        <f>C23+D23+E23</f>
        <v>17.503273487793923</v>
      </c>
      <c r="G23" s="3">
        <f>(F22-F23)</f>
        <v>3.8948096089792763</v>
      </c>
      <c r="H23" s="3">
        <f>F$11-F23</f>
        <v>11.223918560227517</v>
      </c>
      <c r="I23" s="151">
        <f t="shared" si="2"/>
        <v>3.9</v>
      </c>
      <c r="J23" s="151">
        <f t="shared" si="2"/>
        <v>11.2</v>
      </c>
      <c r="K23" s="377"/>
      <c r="L23" s="379"/>
      <c r="M23" s="18"/>
    </row>
    <row r="24" spans="1:13">
      <c r="A24" s="170" t="s">
        <v>33</v>
      </c>
      <c r="B24" s="380">
        <f>'PRESORT LETTERS SUM'!I65</f>
        <v>9.6582357544790884</v>
      </c>
      <c r="C24" s="3">
        <f>'PRESORT LETTERS SUM'!G65</f>
        <v>9.6236024872868349</v>
      </c>
      <c r="D24" s="3"/>
      <c r="E24" s="3">
        <v>0</v>
      </c>
      <c r="F24" s="229">
        <f>C24+D24+E24</f>
        <v>9.6236024872868349</v>
      </c>
      <c r="G24" s="3">
        <f>(F23-F24)</f>
        <v>7.8796710005070878</v>
      </c>
      <c r="H24" s="3">
        <f>F$11-F24</f>
        <v>19.103589560734605</v>
      </c>
      <c r="I24" s="151">
        <f t="shared" si="2"/>
        <v>7.9</v>
      </c>
      <c r="J24" s="151">
        <f t="shared" si="2"/>
        <v>19.100000000000001</v>
      </c>
      <c r="K24" s="151"/>
      <c r="L24" s="379"/>
      <c r="M24" s="18"/>
    </row>
    <row r="25" spans="1:13">
      <c r="A25" s="170" t="s">
        <v>34</v>
      </c>
      <c r="B25" s="380"/>
      <c r="C25" s="3"/>
      <c r="D25" s="3"/>
      <c r="E25" s="3">
        <v>0</v>
      </c>
      <c r="F25" s="229">
        <f>((F23*'PRESORT LETTERS SUM'!E25)+('PRESORT LETTERS SUM'!E26*SUMMARY!F24))/('PRESORT LETTERS SUM'!E25+'PRESORT LETTERS SUM'!E26)</f>
        <v>17.503273487793923</v>
      </c>
      <c r="G25" s="3"/>
      <c r="H25" s="3">
        <f>F$11-F25</f>
        <v>11.223918560227517</v>
      </c>
      <c r="I25" s="151"/>
      <c r="J25" s="151">
        <f t="shared" si="2"/>
        <v>11.2</v>
      </c>
      <c r="K25" s="151"/>
      <c r="L25" s="379"/>
      <c r="M25" s="555"/>
    </row>
    <row r="26" spans="1:13">
      <c r="A26" s="170" t="s">
        <v>35</v>
      </c>
      <c r="B26" s="380">
        <f>'PRESORT LETTERS SUM'!I66</f>
        <v>6.4645106884677315</v>
      </c>
      <c r="C26" s="3">
        <f>'PRESORT LETTERS SUM'!G66</f>
        <v>6.4298774212754779</v>
      </c>
      <c r="D26" s="3">
        <f>B53</f>
        <v>5.0866987893785547</v>
      </c>
      <c r="E26" s="3">
        <v>0</v>
      </c>
      <c r="F26" s="229">
        <f>C26+D26+E26</f>
        <v>11.516576210654033</v>
      </c>
      <c r="G26" s="3">
        <f>F23-F26</f>
        <v>5.9866972771398892</v>
      </c>
      <c r="H26" s="3">
        <f>F$11-F26</f>
        <v>17.210615837367406</v>
      </c>
      <c r="I26" s="151">
        <f t="shared" si="2"/>
        <v>6</v>
      </c>
      <c r="J26" s="151">
        <f t="shared" si="2"/>
        <v>17.2</v>
      </c>
      <c r="K26" s="377"/>
      <c r="L26" s="379"/>
      <c r="M26" s="555"/>
    </row>
    <row r="27" spans="1:13" ht="12.95">
      <c r="A27" s="375" t="s">
        <v>36</v>
      </c>
      <c r="B27" s="381"/>
      <c r="C27" s="555"/>
      <c r="D27" s="1"/>
      <c r="E27" s="555"/>
      <c r="F27" s="555"/>
      <c r="G27" s="18"/>
      <c r="H27" s="18"/>
      <c r="I27" s="379"/>
      <c r="J27" s="382"/>
      <c r="K27" s="377"/>
      <c r="L27" s="555"/>
      <c r="M27" s="555"/>
    </row>
    <row r="28" spans="1:13">
      <c r="A28" s="376" t="s">
        <v>37</v>
      </c>
      <c r="B28" s="380">
        <f>'PRESORT CARDS SUM'!J34</f>
        <v>5.1568723937786398</v>
      </c>
      <c r="C28" s="229">
        <f>'PRESORT CARDS SUM'!H34</f>
        <v>5.1558466455830079</v>
      </c>
      <c r="D28" s="229">
        <f>B55</f>
        <v>6.4762572003040173</v>
      </c>
      <c r="E28" s="229">
        <v>0</v>
      </c>
      <c r="F28" s="229">
        <f>C28+D28+E28</f>
        <v>11.632103845887025</v>
      </c>
      <c r="G28" s="229"/>
      <c r="H28" s="18"/>
      <c r="I28" s="379"/>
      <c r="J28" s="379"/>
      <c r="K28" s="377"/>
      <c r="L28" s="555"/>
      <c r="M28" s="555"/>
    </row>
    <row r="29" spans="1:13">
      <c r="A29" s="383" t="s">
        <v>38</v>
      </c>
      <c r="B29" s="380">
        <f>'PRESORT CARDS SUM'!J35</f>
        <v>6.1190808170426134</v>
      </c>
      <c r="C29" s="229">
        <f>'PRESORT CARDS SUM'!H35</f>
        <v>6.1180550688469815</v>
      </c>
      <c r="D29" s="229">
        <f>D28</f>
        <v>6.4762572003040173</v>
      </c>
      <c r="E29" s="229">
        <v>0</v>
      </c>
      <c r="F29" s="229">
        <f>C29+D29+E29</f>
        <v>12.594312269150999</v>
      </c>
      <c r="G29" s="229"/>
      <c r="H29" s="3"/>
      <c r="I29" s="379"/>
      <c r="J29" s="379"/>
      <c r="K29" s="377"/>
      <c r="L29" s="555"/>
      <c r="M29" s="555"/>
    </row>
    <row r="30" spans="1:13">
      <c r="A30" s="376" t="s">
        <v>39</v>
      </c>
      <c r="B30" s="380">
        <f>'PRESORT CARDS SUM'!J36</f>
        <v>5.6993843702599545</v>
      </c>
      <c r="C30" s="3">
        <f>'PRESORT CARDS SUM'!H36</f>
        <v>5.6983586220643225</v>
      </c>
      <c r="D30" s="3">
        <f>B56</f>
        <v>6.264368584601665</v>
      </c>
      <c r="E30" s="3">
        <v>0</v>
      </c>
      <c r="F30" s="229">
        <f>C30+D30+E30</f>
        <v>11.962727206665988</v>
      </c>
      <c r="G30" s="3">
        <f>(F29-F30)</f>
        <v>0.63158506248501034</v>
      </c>
      <c r="H30" s="3">
        <f>F$29-F30</f>
        <v>0.63158506248501034</v>
      </c>
      <c r="I30" s="151">
        <f>ROUND(G30,1)</f>
        <v>0.6</v>
      </c>
      <c r="J30" s="151">
        <f>ROUND(H30,1)</f>
        <v>0.6</v>
      </c>
      <c r="K30" s="151"/>
      <c r="L30" s="555"/>
      <c r="M30" s="555"/>
    </row>
    <row r="31" spans="1:13">
      <c r="A31" s="376" t="s">
        <v>40</v>
      </c>
      <c r="B31" s="380">
        <f>'PRESORT CARDS SUM'!J37</f>
        <v>4.4576443852034426</v>
      </c>
      <c r="C31" s="3">
        <f>'PRESORT CARDS SUM'!H37</f>
        <v>4.4566186370078107</v>
      </c>
      <c r="D31" s="3">
        <f>B57</f>
        <v>5.6605107242723998</v>
      </c>
      <c r="E31" s="3">
        <v>0</v>
      </c>
      <c r="F31" s="229">
        <f>C31+D31+E31</f>
        <v>10.11712936128021</v>
      </c>
      <c r="G31" s="3">
        <f>(F30-F31)</f>
        <v>1.8455978453857789</v>
      </c>
      <c r="H31" s="3">
        <f>F$28-F31</f>
        <v>1.5149744846068156</v>
      </c>
      <c r="I31" s="151">
        <f t="shared" ref="I31:J34" si="3">ROUND(G31,1)</f>
        <v>1.8</v>
      </c>
      <c r="J31" s="151">
        <f t="shared" si="3"/>
        <v>1.5</v>
      </c>
      <c r="K31" s="151"/>
      <c r="L31" s="555"/>
      <c r="M31" s="555"/>
    </row>
    <row r="32" spans="1:13">
      <c r="A32" s="376" t="s">
        <v>41</v>
      </c>
      <c r="B32" s="380">
        <f>'PRESORT CARDS SUM'!J38</f>
        <v>3.8060289578757938</v>
      </c>
      <c r="C32" s="3">
        <f>'PRESORT CARDS SUM'!H38</f>
        <v>3.8050032096801618</v>
      </c>
      <c r="D32" s="3">
        <f>B58</f>
        <v>0</v>
      </c>
      <c r="E32" s="3">
        <v>0</v>
      </c>
      <c r="F32" s="229">
        <f>C32+D32+E32</f>
        <v>3.8050032096801618</v>
      </c>
      <c r="G32" s="3">
        <f>(F31-F32)</f>
        <v>6.3121261516000473</v>
      </c>
      <c r="H32" s="3">
        <f>F$28-F32</f>
        <v>7.8271006362068629</v>
      </c>
      <c r="I32" s="151">
        <f t="shared" si="3"/>
        <v>6.3</v>
      </c>
      <c r="J32" s="151">
        <f t="shared" si="3"/>
        <v>7.8</v>
      </c>
      <c r="K32" s="151"/>
      <c r="L32" s="555"/>
      <c r="M32" s="555"/>
    </row>
    <row r="33" spans="1:15">
      <c r="A33" s="376" t="s">
        <v>42</v>
      </c>
      <c r="B33" s="380"/>
      <c r="C33" s="3"/>
      <c r="D33" s="3"/>
      <c r="E33" s="3"/>
      <c r="F33" s="229">
        <f>((F31*'MCS CARDS'!E34)+('MCS CARDS'!E35*SUMMARY!F32))/('MCS CARDS'!E34+'MCS CARDS'!E35)</f>
        <v>10.11712936128021</v>
      </c>
      <c r="G33" s="3"/>
      <c r="H33" s="3"/>
      <c r="I33" s="151"/>
      <c r="J33" s="151"/>
      <c r="K33" s="151"/>
      <c r="L33" s="555"/>
      <c r="M33" s="555"/>
      <c r="N33" s="555"/>
      <c r="O33" s="555"/>
    </row>
    <row r="34" spans="1:15">
      <c r="A34" s="376" t="s">
        <v>43</v>
      </c>
      <c r="B34" s="380">
        <f>'PRESORT CARDS SUM'!J39</f>
        <v>2.5411286359147556</v>
      </c>
      <c r="C34" s="3">
        <f>'PRESORT CARDS SUM'!H39</f>
        <v>2.5401028877191236</v>
      </c>
      <c r="D34" s="3">
        <f>B59</f>
        <v>4.7480640632355602</v>
      </c>
      <c r="E34" s="3">
        <v>0</v>
      </c>
      <c r="F34" s="229">
        <f>C34+D34+E34</f>
        <v>7.2881669509546843</v>
      </c>
      <c r="G34" s="3">
        <f>(F33-F34)</f>
        <v>2.8289624103255253</v>
      </c>
      <c r="H34" s="3">
        <f>F$28-F34</f>
        <v>4.3439368949323409</v>
      </c>
      <c r="I34" s="151">
        <f t="shared" si="3"/>
        <v>2.8</v>
      </c>
      <c r="J34" s="151">
        <f t="shared" si="3"/>
        <v>4.3</v>
      </c>
      <c r="K34" s="151"/>
      <c r="L34" s="555"/>
      <c r="M34" s="555"/>
      <c r="N34" s="555"/>
      <c r="O34" s="555"/>
    </row>
    <row r="35" spans="1:15">
      <c r="A35" s="171"/>
      <c r="B35" s="384"/>
      <c r="C35" s="3"/>
      <c r="D35" s="3"/>
      <c r="E35" s="3"/>
      <c r="F35" s="3"/>
      <c r="G35" s="3"/>
      <c r="H35" s="555"/>
      <c r="I35" s="151"/>
      <c r="J35" s="555"/>
      <c r="K35" s="555"/>
      <c r="L35" s="555"/>
      <c r="M35" s="555"/>
      <c r="N35" s="555"/>
      <c r="O35" s="555"/>
    </row>
    <row r="36" spans="1:15" ht="0.95" customHeight="1">
      <c r="A36" s="555"/>
      <c r="C36" s="3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5"/>
    </row>
    <row r="37" spans="1:15" s="11" customFormat="1" ht="12.95">
      <c r="A37" s="555" t="s">
        <v>44</v>
      </c>
      <c r="B37" s="229">
        <f>'PRESORT LETTERS SUM'!J62</f>
        <v>12.906481587933953</v>
      </c>
    </row>
    <row r="38" spans="1:15" ht="5.45" customHeight="1">
      <c r="A38" s="555"/>
      <c r="C38" s="555"/>
      <c r="D38" s="555"/>
      <c r="E38" s="555" t="s">
        <v>45</v>
      </c>
      <c r="F38" s="555"/>
      <c r="G38" s="555"/>
      <c r="H38" s="555"/>
      <c r="I38" s="555"/>
      <c r="J38" s="555"/>
      <c r="K38" s="555"/>
      <c r="L38" s="555"/>
      <c r="M38" s="555"/>
      <c r="N38" s="555"/>
      <c r="O38" s="555"/>
    </row>
    <row r="39" spans="1:15" ht="12.95">
      <c r="A39" s="555"/>
      <c r="B39" s="4" t="s">
        <v>46</v>
      </c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</row>
    <row r="40" spans="1:15" ht="12.95">
      <c r="A40" s="555"/>
      <c r="B40" s="4" t="s">
        <v>47</v>
      </c>
      <c r="C40" s="555"/>
      <c r="D40" s="555"/>
      <c r="E40" s="555"/>
      <c r="F40" s="555"/>
      <c r="G40" s="555"/>
      <c r="H40" s="555"/>
      <c r="I40" s="555"/>
      <c r="J40" s="555"/>
      <c r="K40" s="555"/>
      <c r="L40" s="555"/>
      <c r="M40" s="555"/>
      <c r="N40" s="555"/>
      <c r="O40" s="555"/>
    </row>
    <row r="41" spans="1:15">
      <c r="A41" s="17" t="s">
        <v>48</v>
      </c>
      <c r="B41" s="229">
        <f>'[1]1.Table 1'!$C$14</f>
        <v>28.420198113507585</v>
      </c>
      <c r="C41" s="229"/>
      <c r="D41" s="362"/>
      <c r="E41" s="385"/>
      <c r="F41" s="385"/>
      <c r="G41" s="385"/>
      <c r="H41" s="386"/>
      <c r="I41" s="555"/>
      <c r="J41" s="555"/>
      <c r="K41" s="555"/>
      <c r="L41" s="555"/>
      <c r="M41" s="555"/>
      <c r="N41" s="555"/>
      <c r="O41" s="555"/>
    </row>
    <row r="42" spans="1:15" ht="14.45">
      <c r="A42" s="17" t="s">
        <v>49</v>
      </c>
      <c r="B42" s="229">
        <f>'[1]1.Table 1'!$C$15</f>
        <v>0</v>
      </c>
      <c r="C42" s="229"/>
      <c r="D42" s="362"/>
      <c r="E42" s="387"/>
      <c r="F42" s="387"/>
      <c r="G42" s="387"/>
      <c r="H42" s="387"/>
      <c r="I42" s="555"/>
      <c r="J42" s="555"/>
      <c r="K42" s="555"/>
      <c r="L42" s="555"/>
      <c r="M42" s="555"/>
      <c r="N42" s="555"/>
      <c r="O42" s="555"/>
    </row>
    <row r="43" spans="1:15" ht="27" customHeight="1">
      <c r="A43" s="17" t="s">
        <v>50</v>
      </c>
      <c r="B43" s="229">
        <f>'[1]1.Table 1'!$C$18</f>
        <v>28.420198113507578</v>
      </c>
      <c r="C43" s="229"/>
      <c r="D43" s="362"/>
      <c r="E43" s="388"/>
      <c r="F43" s="388"/>
      <c r="G43" s="388"/>
      <c r="H43" s="388"/>
      <c r="I43" s="555"/>
      <c r="J43" s="555"/>
      <c r="K43" s="555"/>
      <c r="L43" s="555"/>
      <c r="M43" s="555"/>
      <c r="N43" s="555"/>
      <c r="O43" s="555"/>
    </row>
    <row r="44" spans="1:15" ht="24.6" customHeight="1">
      <c r="A44" s="17" t="s">
        <v>51</v>
      </c>
      <c r="B44" s="229">
        <f>'[1]1.Table 1'!$C$19</f>
        <v>28.420198113507578</v>
      </c>
      <c r="C44" s="229"/>
      <c r="D44" s="362"/>
      <c r="E44" s="388"/>
      <c r="F44" s="388"/>
      <c r="G44" s="388"/>
      <c r="H44" s="388"/>
      <c r="I44" s="18"/>
      <c r="J44" s="555"/>
      <c r="K44" s="555"/>
      <c r="L44" s="555"/>
      <c r="M44" s="18"/>
      <c r="N44" s="18"/>
      <c r="O44" s="18"/>
    </row>
    <row r="45" spans="1:15" ht="30" customHeight="1">
      <c r="A45" s="17" t="s">
        <v>52</v>
      </c>
      <c r="B45" s="229">
        <f>'[1]1.Table 1'!$C$16</f>
        <v>7.2605038642061022</v>
      </c>
      <c r="C45" s="229"/>
      <c r="D45" s="362"/>
      <c r="E45" s="388"/>
      <c r="F45" s="388"/>
      <c r="G45" s="388"/>
      <c r="H45" s="388"/>
      <c r="I45" s="18"/>
      <c r="J45" s="18"/>
      <c r="K45" s="11"/>
      <c r="L45" s="555"/>
      <c r="M45" s="555"/>
      <c r="N45" s="18"/>
      <c r="O45" s="18"/>
    </row>
    <row r="46" spans="1:15">
      <c r="A46" s="17" t="s">
        <v>53</v>
      </c>
      <c r="B46" s="229">
        <f>'[1]1.Table 1'!$C$17</f>
        <v>6.05941728412507</v>
      </c>
      <c r="C46" s="229"/>
      <c r="D46" s="362"/>
      <c r="E46" s="389"/>
      <c r="F46" s="389"/>
      <c r="G46" s="390"/>
      <c r="H46" s="18"/>
      <c r="I46" s="379"/>
      <c r="J46" s="555"/>
      <c r="K46" s="555"/>
      <c r="L46" s="391"/>
      <c r="M46" s="555"/>
      <c r="N46" s="555"/>
      <c r="O46" s="18"/>
    </row>
    <row r="47" spans="1:15" ht="14.45">
      <c r="A47" s="17" t="s">
        <v>54</v>
      </c>
      <c r="B47" s="229">
        <f>'[1]1.Table 1'!$C$20</f>
        <v>0</v>
      </c>
      <c r="C47" s="229"/>
      <c r="D47" s="362"/>
      <c r="E47" s="392"/>
      <c r="F47" s="392"/>
      <c r="G47" s="392"/>
      <c r="H47" s="18"/>
      <c r="I47" s="18"/>
      <c r="J47" s="555"/>
      <c r="K47" s="555"/>
      <c r="L47" s="555"/>
      <c r="M47" s="555"/>
      <c r="N47" s="555"/>
      <c r="O47" s="555"/>
    </row>
    <row r="48" spans="1:15" ht="12.95">
      <c r="A48" s="17" t="s">
        <v>55</v>
      </c>
      <c r="B48" s="229">
        <f>'[1]1.Table 1'!$C$21</f>
        <v>0</v>
      </c>
      <c r="C48" s="229"/>
      <c r="D48" s="362"/>
      <c r="E48" s="393"/>
      <c r="F48" s="393"/>
      <c r="G48" s="393"/>
      <c r="H48" s="555"/>
      <c r="I48" s="555"/>
      <c r="J48" s="555"/>
      <c r="K48" s="555"/>
      <c r="L48" s="555"/>
      <c r="M48" s="555"/>
      <c r="N48" s="555"/>
      <c r="O48" s="555"/>
    </row>
    <row r="49" spans="1:9">
      <c r="A49" s="17" t="s">
        <v>56</v>
      </c>
      <c r="B49" s="229">
        <f>SUMPRODUCT(B45:B48, 'PRESORT LETTERS SUM'!G19:G22)</f>
        <v>6.4594937471929459</v>
      </c>
      <c r="C49" s="229"/>
      <c r="D49" s="362"/>
      <c r="E49" s="389"/>
      <c r="F49" s="389"/>
      <c r="G49" s="390"/>
      <c r="H49" s="18"/>
      <c r="I49" s="18"/>
    </row>
    <row r="50" spans="1:9">
      <c r="A50" s="17" t="s">
        <v>57</v>
      </c>
      <c r="B50" s="229">
        <f>'[1]1.Table 1'!$C$22</f>
        <v>6.9939800954025255</v>
      </c>
      <c r="C50" s="229"/>
      <c r="D50" s="362"/>
      <c r="E50" s="394"/>
      <c r="F50" s="394"/>
      <c r="G50" s="395"/>
      <c r="H50" s="555"/>
      <c r="I50" s="555"/>
    </row>
    <row r="51" spans="1:9">
      <c r="A51" s="17" t="s">
        <v>58</v>
      </c>
      <c r="B51" s="229">
        <f>'[1]1.Table 1'!$C$23</f>
        <v>6.2344184161535576</v>
      </c>
      <c r="C51" s="229"/>
      <c r="D51" s="362"/>
      <c r="E51" s="394"/>
      <c r="F51" s="394"/>
      <c r="G51" s="395"/>
      <c r="H51" s="555"/>
      <c r="I51" s="555"/>
    </row>
    <row r="52" spans="1:9">
      <c r="A52" s="17"/>
      <c r="B52" s="229"/>
      <c r="C52" s="229"/>
      <c r="D52" s="362"/>
      <c r="E52" s="555"/>
      <c r="F52" s="555"/>
      <c r="G52" s="555"/>
      <c r="H52" s="555"/>
      <c r="I52" s="555"/>
    </row>
    <row r="53" spans="1:9">
      <c r="A53" s="17" t="s">
        <v>59</v>
      </c>
      <c r="B53" s="229">
        <f>'[1]1.Table 1'!$C$27</f>
        <v>5.0866987893785547</v>
      </c>
      <c r="C53" s="229"/>
      <c r="D53" s="362"/>
      <c r="E53" s="555"/>
      <c r="F53" s="555"/>
      <c r="G53" s="555"/>
      <c r="H53" s="555"/>
      <c r="I53" s="555"/>
    </row>
    <row r="54" spans="1:9">
      <c r="A54" s="555"/>
      <c r="B54" s="229"/>
      <c r="C54" s="229"/>
      <c r="D54" s="362"/>
      <c r="E54" s="555"/>
      <c r="F54" s="555"/>
      <c r="G54" s="555"/>
      <c r="H54" s="555"/>
      <c r="I54" s="555"/>
    </row>
    <row r="55" spans="1:9">
      <c r="A55" s="555" t="s">
        <v>60</v>
      </c>
      <c r="B55" s="229">
        <f>'[1]1.Table 1'!C33</f>
        <v>6.4762572003040173</v>
      </c>
      <c r="C55" s="229"/>
      <c r="D55" s="362"/>
      <c r="E55" s="555"/>
      <c r="F55" s="555"/>
      <c r="G55" s="555"/>
      <c r="H55" s="555"/>
      <c r="I55" s="555"/>
    </row>
    <row r="56" spans="1:9">
      <c r="A56" s="555" t="s">
        <v>61</v>
      </c>
      <c r="B56" s="229">
        <f>'[1]1.Table 1'!C34</f>
        <v>6.264368584601665</v>
      </c>
      <c r="C56" s="229"/>
      <c r="D56" s="362"/>
      <c r="E56" s="555"/>
      <c r="F56" s="555"/>
      <c r="G56" s="555"/>
      <c r="H56" s="555"/>
      <c r="I56" s="555"/>
    </row>
    <row r="57" spans="1:9">
      <c r="A57" s="555" t="s">
        <v>62</v>
      </c>
      <c r="B57" s="229">
        <f>'[1]1.Table 1'!C35</f>
        <v>5.6605107242723998</v>
      </c>
      <c r="C57" s="229"/>
      <c r="D57" s="362"/>
      <c r="E57" s="555"/>
      <c r="F57" s="555"/>
      <c r="G57" s="555"/>
      <c r="H57" s="555"/>
      <c r="I57" s="555"/>
    </row>
    <row r="58" spans="1:9">
      <c r="A58" s="555" t="s">
        <v>63</v>
      </c>
      <c r="B58" s="229">
        <f>'[1]1.Table 1'!C36</f>
        <v>0</v>
      </c>
      <c r="C58" s="229"/>
      <c r="D58" s="362"/>
      <c r="E58" s="555"/>
      <c r="F58" s="555"/>
      <c r="G58" s="555"/>
      <c r="H58" s="555"/>
      <c r="I58" s="555"/>
    </row>
    <row r="59" spans="1:9">
      <c r="A59" s="555" t="s">
        <v>64</v>
      </c>
      <c r="B59" s="229">
        <f>'[1]1.Table 1'!C37</f>
        <v>4.7480640632355602</v>
      </c>
      <c r="C59" s="229"/>
      <c r="D59" s="362"/>
      <c r="E59" s="555"/>
      <c r="F59" s="555"/>
      <c r="G59" s="555"/>
      <c r="H59" s="555"/>
      <c r="I59" s="555"/>
    </row>
    <row r="62" spans="1:9" ht="12.95">
      <c r="A62" s="9" t="s">
        <v>65</v>
      </c>
      <c r="C62" s="555"/>
      <c r="D62" s="555"/>
      <c r="E62" s="555"/>
      <c r="F62" s="555"/>
      <c r="G62" s="555"/>
      <c r="H62" s="555"/>
      <c r="I62" s="555"/>
    </row>
    <row r="63" spans="1:9" ht="12.95">
      <c r="A63" s="11" t="s">
        <v>66</v>
      </c>
      <c r="C63" s="555"/>
      <c r="D63" s="555"/>
      <c r="E63" s="555"/>
      <c r="F63" s="555"/>
      <c r="G63" s="18"/>
      <c r="H63" s="18"/>
      <c r="I63" s="555"/>
    </row>
    <row r="64" spans="1:9" ht="12.95">
      <c r="A64" s="11" t="s">
        <v>67</v>
      </c>
      <c r="C64" s="555"/>
      <c r="D64" s="555"/>
      <c r="E64" s="555"/>
      <c r="F64" s="555"/>
      <c r="G64" s="555"/>
      <c r="H64" s="555"/>
      <c r="I64" s="555"/>
    </row>
    <row r="65" spans="1:8" ht="12.95">
      <c r="A65" s="11" t="s">
        <v>68</v>
      </c>
      <c r="C65" s="555"/>
      <c r="D65" s="555"/>
      <c r="E65" s="555"/>
      <c r="F65" s="555"/>
      <c r="G65" s="18"/>
      <c r="H65" s="18"/>
    </row>
    <row r="66" spans="1:8" ht="12.95">
      <c r="A66" s="11" t="s">
        <v>69</v>
      </c>
      <c r="C66" s="555"/>
      <c r="D66" s="555"/>
      <c r="E66" s="555"/>
      <c r="F66" s="555"/>
      <c r="G66" s="555"/>
      <c r="H66" s="555"/>
    </row>
    <row r="67" spans="1:8" ht="12.95">
      <c r="A67" s="11" t="s">
        <v>70</v>
      </c>
      <c r="C67" s="555"/>
      <c r="D67" s="555"/>
      <c r="E67" s="555"/>
      <c r="F67" s="555"/>
      <c r="G67" s="555"/>
      <c r="H67" s="18"/>
    </row>
    <row r="68" spans="1:8" ht="12.95">
      <c r="A68" s="11" t="s">
        <v>71</v>
      </c>
      <c r="C68" s="555"/>
      <c r="D68" s="555"/>
      <c r="E68" s="555"/>
      <c r="F68" s="555"/>
      <c r="G68" s="555"/>
      <c r="H68" s="555"/>
    </row>
    <row r="69" spans="1:8" ht="12.95">
      <c r="A69" s="11" t="s">
        <v>72</v>
      </c>
      <c r="C69" s="555"/>
      <c r="D69" s="555"/>
      <c r="E69" s="555"/>
      <c r="F69" s="555"/>
      <c r="G69" s="555"/>
      <c r="H69" s="555"/>
    </row>
    <row r="70" spans="1:8" ht="12.95">
      <c r="A70" s="11" t="s">
        <v>73</v>
      </c>
      <c r="C70" s="555"/>
      <c r="D70" s="555"/>
      <c r="E70" s="555"/>
      <c r="F70" s="555"/>
      <c r="G70" s="555"/>
      <c r="H70" s="555"/>
    </row>
    <row r="71" spans="1:8" ht="12.95">
      <c r="A71" s="11" t="s">
        <v>74</v>
      </c>
      <c r="C71" s="555"/>
      <c r="D71" s="555"/>
      <c r="E71" s="555"/>
      <c r="F71" s="555"/>
      <c r="G71" s="555"/>
      <c r="H71" s="555"/>
    </row>
    <row r="72" spans="1:8" ht="12.95">
      <c r="A72" s="11" t="s">
        <v>75</v>
      </c>
      <c r="C72" s="555"/>
      <c r="D72" s="555"/>
      <c r="E72" s="555"/>
      <c r="F72" s="555"/>
      <c r="G72" s="555"/>
      <c r="H72" s="555"/>
    </row>
    <row r="73" spans="1:8" ht="12.95">
      <c r="A73" s="11"/>
      <c r="C73" s="555"/>
      <c r="D73" s="555"/>
      <c r="E73" s="555"/>
      <c r="F73" s="555"/>
      <c r="G73" s="555"/>
      <c r="H73" s="555"/>
    </row>
  </sheetData>
  <phoneticPr fontId="11" type="noConversion"/>
  <printOptions horizontalCentered="1"/>
  <pageMargins left="0.75" right="0.75" top="1" bottom="1" header="0.5" footer="0.5"/>
  <pageSetup scale="54" fitToHeight="2" orientation="landscape" horizontalDpi="300" verticalDpi="300" r:id="rId1"/>
  <headerFooter alignWithMargins="0">
    <oddHeader>&amp;RPage 1</oddHeader>
  </headerFooter>
  <cellWatches>
    <cellWatch r="H30"/>
    <cellWatch r="H31"/>
    <cellWatch r="H32"/>
    <cellWatch r="H34"/>
  </cellWatch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FFFF00"/>
    <pageSetUpPr fitToPage="1"/>
  </sheetPr>
  <dimension ref="A1:IQ260"/>
  <sheetViews>
    <sheetView zoomScaleNormal="100" workbookViewId="0"/>
  </sheetViews>
  <sheetFormatPr defaultColWidth="8.85546875" defaultRowHeight="11.45"/>
  <cols>
    <col min="1" max="1" width="5.7109375" style="464" customWidth="1"/>
    <col min="2" max="2" width="39.85546875" style="464" customWidth="1"/>
    <col min="3" max="3" width="3.42578125" style="464" customWidth="1"/>
    <col min="4" max="4" width="13.7109375" style="465" customWidth="1"/>
    <col min="5" max="5" width="16.42578125" style="466" customWidth="1"/>
    <col min="6" max="6" width="13.7109375" style="467" customWidth="1"/>
    <col min="7" max="7" width="15.42578125" style="467" bestFit="1" customWidth="1"/>
    <col min="8" max="8" width="17.85546875" style="467" bestFit="1" customWidth="1"/>
    <col min="9" max="9" width="19.140625" style="467" customWidth="1"/>
    <col min="10" max="10" width="22.42578125" style="464" customWidth="1"/>
    <col min="11" max="11" width="18.5703125" style="468" customWidth="1"/>
    <col min="12" max="12" width="11.7109375" style="468" bestFit="1" customWidth="1"/>
    <col min="13" max="13" width="9.140625" style="468" bestFit="1" customWidth="1"/>
    <col min="14" max="14" width="8.85546875" style="469"/>
    <col min="15" max="16384" width="8.85546875" style="464"/>
  </cols>
  <sheetData>
    <row r="1" spans="1:15" s="400" customFormat="1" ht="15.6">
      <c r="A1" s="72" t="s">
        <v>76</v>
      </c>
      <c r="B1" s="396"/>
      <c r="C1" s="396"/>
      <c r="D1" s="397"/>
      <c r="E1" s="398"/>
      <c r="F1" s="399"/>
      <c r="G1" s="399"/>
      <c r="H1" s="399"/>
      <c r="I1" s="399"/>
      <c r="K1" s="401"/>
      <c r="L1" s="401"/>
      <c r="M1" s="401"/>
      <c r="N1" s="402"/>
    </row>
    <row r="2" spans="1:15" s="400" customFormat="1" ht="14.1">
      <c r="A2" s="396"/>
      <c r="B2" s="396"/>
      <c r="C2" s="396"/>
      <c r="D2" s="397"/>
      <c r="E2" s="398"/>
      <c r="F2" s="399"/>
      <c r="G2" s="399"/>
      <c r="H2" s="399"/>
      <c r="I2" s="399"/>
      <c r="K2" s="401"/>
      <c r="L2" s="401"/>
      <c r="M2" s="401"/>
      <c r="N2" s="402"/>
    </row>
    <row r="3" spans="1:15" s="15" customFormat="1" ht="12.6">
      <c r="A3" s="17"/>
      <c r="B3" s="17"/>
      <c r="C3" s="17"/>
      <c r="D3" s="229"/>
      <c r="E3" s="17"/>
      <c r="F3" s="555"/>
      <c r="G3" s="555"/>
      <c r="H3" s="555"/>
      <c r="I3" s="555"/>
      <c r="J3" s="17"/>
      <c r="K3" s="403"/>
      <c r="L3" s="403"/>
      <c r="M3" s="403"/>
      <c r="N3" s="404"/>
      <c r="O3" s="555"/>
    </row>
    <row r="4" spans="1:15" s="15" customFormat="1" ht="12.6">
      <c r="A4" s="17"/>
      <c r="B4" s="17"/>
      <c r="C4" s="17"/>
      <c r="D4" s="229"/>
      <c r="E4" s="260"/>
      <c r="F4" s="555"/>
      <c r="G4" s="555"/>
      <c r="H4" s="555"/>
      <c r="I4" s="555"/>
      <c r="J4" s="17"/>
      <c r="K4" s="403"/>
      <c r="L4" s="403"/>
      <c r="M4" s="403"/>
      <c r="N4" s="404"/>
      <c r="O4" s="555"/>
    </row>
    <row r="5" spans="1:15" s="15" customFormat="1" ht="14.1" customHeight="1">
      <c r="A5" s="7" t="s">
        <v>77</v>
      </c>
      <c r="B5" s="11"/>
      <c r="C5" s="11"/>
      <c r="D5" s="229" t="s">
        <v>78</v>
      </c>
      <c r="E5" s="229" t="s">
        <v>79</v>
      </c>
      <c r="F5" s="203"/>
      <c r="G5" s="203"/>
      <c r="H5" s="203"/>
      <c r="I5" s="555"/>
      <c r="J5" s="17"/>
      <c r="K5" s="403"/>
      <c r="L5" s="403"/>
      <c r="M5" s="403"/>
      <c r="N5" s="404"/>
      <c r="O5" s="555"/>
    </row>
    <row r="6" spans="1:15" s="15" customFormat="1" ht="14.1" customHeight="1">
      <c r="A6" s="562" t="s">
        <v>80</v>
      </c>
      <c r="B6" s="563"/>
      <c r="C6" s="405" t="s">
        <v>81</v>
      </c>
      <c r="D6" s="564">
        <f>'CRA - PRESORT LETTERS'!E77</f>
        <v>7.1222227316980256</v>
      </c>
      <c r="E6" s="564">
        <f>'CRA-METERED LETTERS'!E77</f>
        <v>16.551904862883077</v>
      </c>
      <c r="F6" s="555"/>
      <c r="G6" s="555"/>
      <c r="H6" s="555"/>
      <c r="I6" s="555"/>
      <c r="J6" s="17"/>
      <c r="K6" s="403"/>
      <c r="L6" s="403"/>
      <c r="M6" s="403"/>
      <c r="N6" s="404"/>
      <c r="O6" s="555"/>
    </row>
    <row r="7" spans="1:15" s="15" customFormat="1" ht="14.1" customHeight="1">
      <c r="A7" s="565" t="s">
        <v>82</v>
      </c>
      <c r="B7" s="566"/>
      <c r="C7" s="34" t="s">
        <v>83</v>
      </c>
      <c r="D7" s="567">
        <f>'CRA - PRESORT LETTERS'!G77</f>
        <v>0.76638230355828374</v>
      </c>
      <c r="E7" s="567">
        <f>'CRA-METERED LETTERS'!G77</f>
        <v>3.5753142192949809</v>
      </c>
      <c r="F7" s="229"/>
      <c r="G7" s="229"/>
      <c r="H7" s="229"/>
      <c r="I7" s="406"/>
      <c r="J7" s="17"/>
      <c r="K7" s="403"/>
      <c r="L7" s="403"/>
      <c r="M7" s="403"/>
      <c r="N7" s="404"/>
      <c r="O7" s="17"/>
    </row>
    <row r="8" spans="1:15" s="15" customFormat="1" ht="14.1" customHeight="1">
      <c r="A8" s="565" t="s">
        <v>84</v>
      </c>
      <c r="B8" s="566"/>
      <c r="C8" s="34" t="s">
        <v>83</v>
      </c>
      <c r="D8" s="567">
        <f>'CRA - PRESORT LETTERS'!H77</f>
        <v>3.4633267192253417E-2</v>
      </c>
      <c r="E8" s="567">
        <f>'CRA-METERED LETTERS'!H77</f>
        <v>0.12472577773823358</v>
      </c>
      <c r="F8" s="229"/>
      <c r="G8" s="229"/>
      <c r="H8" s="229"/>
      <c r="I8" s="406"/>
      <c r="J8" s="17"/>
      <c r="K8" s="403"/>
      <c r="L8" s="302"/>
      <c r="M8" s="403"/>
      <c r="N8" s="300"/>
      <c r="O8" s="17"/>
    </row>
    <row r="9" spans="1:15" s="15" customFormat="1" ht="14.1" customHeight="1">
      <c r="A9" s="407" t="s">
        <v>17</v>
      </c>
      <c r="B9" s="408"/>
      <c r="C9" s="409" t="s">
        <v>85</v>
      </c>
      <c r="D9" s="568">
        <f>SUM(D6:D8)</f>
        <v>7.9232383024485626</v>
      </c>
      <c r="E9" s="568">
        <f>SUM(E6:E8)</f>
        <v>20.251944859916293</v>
      </c>
      <c r="F9" s="4"/>
      <c r="G9" s="4"/>
      <c r="H9" s="4"/>
      <c r="I9" s="406"/>
      <c r="J9" s="17"/>
      <c r="K9" s="403"/>
      <c r="L9" s="302"/>
      <c r="M9" s="403"/>
      <c r="N9" s="300"/>
      <c r="O9" s="17"/>
    </row>
    <row r="10" spans="1:15" s="15" customFormat="1" ht="14.1" customHeight="1">
      <c r="A10" s="11"/>
      <c r="B10" s="11"/>
      <c r="C10" s="11"/>
      <c r="D10" s="229"/>
      <c r="E10" s="17"/>
      <c r="F10" s="569"/>
      <c r="G10" s="569"/>
      <c r="H10" s="569"/>
      <c r="I10" s="569"/>
      <c r="J10" s="17"/>
      <c r="K10" s="403"/>
      <c r="L10" s="302"/>
      <c r="M10" s="403"/>
      <c r="N10" s="300"/>
      <c r="O10" s="17"/>
    </row>
    <row r="11" spans="1:15" s="15" customFormat="1" ht="14.1" customHeight="1" thickBot="1">
      <c r="A11" s="11"/>
      <c r="B11" s="11"/>
      <c r="C11" s="11"/>
      <c r="D11" s="229"/>
      <c r="E11" s="17"/>
      <c r="F11" s="569"/>
      <c r="G11" s="569"/>
      <c r="H11" s="569"/>
      <c r="I11" s="17"/>
      <c r="J11" s="17"/>
      <c r="K11" s="403"/>
      <c r="L11" s="302"/>
      <c r="M11" s="403"/>
      <c r="N11" s="300"/>
      <c r="O11" s="17"/>
    </row>
    <row r="12" spans="1:15" s="15" customFormat="1" ht="14.1" customHeight="1" thickBot="1">
      <c r="A12" s="7" t="s">
        <v>86</v>
      </c>
      <c r="B12" s="11"/>
      <c r="C12" s="11"/>
      <c r="D12" s="229"/>
      <c r="E12" s="17"/>
      <c r="F12" s="234"/>
      <c r="G12" s="410" t="s">
        <v>87</v>
      </c>
      <c r="H12" s="411" t="s">
        <v>87</v>
      </c>
      <c r="I12" s="17"/>
      <c r="J12" s="17"/>
      <c r="K12" s="403"/>
      <c r="L12" s="302"/>
      <c r="M12" s="403"/>
      <c r="N12" s="300"/>
      <c r="O12" s="17"/>
    </row>
    <row r="13" spans="1:15" s="15" customFormat="1" ht="14.1" customHeight="1" thickBot="1">
      <c r="A13" s="444"/>
      <c r="B13" s="412"/>
      <c r="C13" s="412"/>
      <c r="D13" s="413" t="s">
        <v>88</v>
      </c>
      <c r="E13" s="414" t="s">
        <v>89</v>
      </c>
      <c r="F13" s="415" t="s">
        <v>87</v>
      </c>
      <c r="G13" s="416" t="s">
        <v>90</v>
      </c>
      <c r="H13" s="417" t="s">
        <v>91</v>
      </c>
      <c r="I13" s="17"/>
      <c r="J13" s="17"/>
      <c r="K13" s="403"/>
      <c r="L13" s="302"/>
      <c r="M13" s="403"/>
      <c r="N13" s="300"/>
      <c r="O13" s="17"/>
    </row>
    <row r="14" spans="1:15" s="15" customFormat="1" ht="14.1" customHeight="1">
      <c r="A14" s="418" t="s">
        <v>92</v>
      </c>
      <c r="B14" s="419"/>
      <c r="C14" s="419"/>
      <c r="D14" s="420" t="s">
        <v>2</v>
      </c>
      <c r="E14" s="421" t="s">
        <v>3</v>
      </c>
      <c r="F14" s="422" t="s">
        <v>4</v>
      </c>
      <c r="G14" s="2" t="s">
        <v>93</v>
      </c>
      <c r="H14" s="417" t="s">
        <v>93</v>
      </c>
      <c r="I14" s="17"/>
      <c r="J14" s="17"/>
      <c r="K14" s="403"/>
      <c r="L14" s="302"/>
      <c r="M14" s="403"/>
      <c r="N14" s="300"/>
      <c r="O14" s="17"/>
    </row>
    <row r="15" spans="1:15" s="15" customFormat="1" ht="14.1" customHeight="1">
      <c r="A15" s="383" t="s">
        <v>94</v>
      </c>
      <c r="B15" s="17"/>
      <c r="C15" s="11"/>
      <c r="D15" s="229">
        <f>'NMACH MADC COST'!L44</f>
        <v>24.650502650903832</v>
      </c>
      <c r="E15" s="260">
        <f>SUM('MCS LETTERS'!E15:E19)</f>
        <v>2226152.0000000005</v>
      </c>
      <c r="F15" s="474">
        <f t="shared" ref="F15:F23" si="0">E15/$E$29</f>
        <v>7.6422701736328111E-5</v>
      </c>
      <c r="G15" s="279"/>
      <c r="H15" s="474">
        <f>$E15/H$23</f>
        <v>4.4425542194631174E-3</v>
      </c>
      <c r="I15" s="17"/>
      <c r="J15" s="17"/>
      <c r="K15" s="403"/>
      <c r="L15" s="302"/>
      <c r="M15" s="403"/>
      <c r="N15" s="300"/>
      <c r="O15" s="17"/>
    </row>
    <row r="16" spans="1:15" s="15" customFormat="1" ht="14.1" customHeight="1">
      <c r="A16" s="383" t="s">
        <v>95</v>
      </c>
      <c r="B16" s="17"/>
      <c r="C16" s="11"/>
      <c r="D16" s="229">
        <f>'NMACH ADC COST'!L44</f>
        <v>16.534285086180486</v>
      </c>
      <c r="E16" s="260">
        <v>0</v>
      </c>
      <c r="F16" s="474">
        <f t="shared" si="0"/>
        <v>0</v>
      </c>
      <c r="G16" s="279"/>
      <c r="H16" s="474">
        <f>$E16/H$23</f>
        <v>0</v>
      </c>
      <c r="I16" s="17"/>
      <c r="J16" s="17"/>
      <c r="K16" s="403"/>
      <c r="L16" s="302"/>
      <c r="M16" s="403"/>
      <c r="N16" s="300"/>
      <c r="O16" s="17"/>
    </row>
    <row r="17" spans="1:251" s="15" customFormat="1" ht="14.1" customHeight="1">
      <c r="A17" s="383" t="s">
        <v>96</v>
      </c>
      <c r="B17" s="17"/>
      <c r="C17" s="11"/>
      <c r="D17" s="229">
        <f>'NMACH 3-DIGIT COST'!L44</f>
        <v>16.188305782692254</v>
      </c>
      <c r="E17" s="260">
        <f>SUM('MCS LETTERS'!E24:E26)</f>
        <v>1700815.0000000005</v>
      </c>
      <c r="F17" s="474">
        <f t="shared" si="0"/>
        <v>5.8388141265139537E-5</v>
      </c>
      <c r="G17" s="279"/>
      <c r="H17" s="474">
        <f>$E17/H$23</f>
        <v>3.3941810149424488E-3</v>
      </c>
      <c r="I17" s="17"/>
      <c r="J17" s="17"/>
      <c r="K17" s="403"/>
      <c r="L17" s="302"/>
      <c r="M17" s="403"/>
      <c r="N17" s="300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</row>
    <row r="18" spans="1:251" s="15" customFormat="1" ht="14.1" customHeight="1">
      <c r="A18" s="383" t="s">
        <v>97</v>
      </c>
      <c r="B18" s="17"/>
      <c r="C18" s="11"/>
      <c r="D18" s="229">
        <f>'NMACH 5-DIGIT COST'!L44</f>
        <v>8.4708862493325352</v>
      </c>
      <c r="E18" s="260">
        <f>'MCS LETTERS'!E27</f>
        <v>1295104.9999999993</v>
      </c>
      <c r="F18" s="474">
        <f t="shared" si="0"/>
        <v>4.4460316785299095E-5</v>
      </c>
      <c r="G18" s="279"/>
      <c r="H18" s="474">
        <f>$E18/H$23</f>
        <v>2.5845378852826653E-3</v>
      </c>
      <c r="I18" s="17"/>
      <c r="J18" s="286"/>
      <c r="K18" s="403"/>
      <c r="L18" s="302"/>
      <c r="M18" s="403"/>
      <c r="N18" s="300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</row>
    <row r="19" spans="1:251" s="15" customFormat="1" ht="14.1" customHeight="1">
      <c r="A19" s="383" t="s">
        <v>98</v>
      </c>
      <c r="B19" s="17"/>
      <c r="C19" s="11"/>
      <c r="D19" s="229">
        <f>'MACH MAADC COST'!L44</f>
        <v>7.1853907449431</v>
      </c>
      <c r="E19" s="260">
        <f>'MCS LETTERS'!E6</f>
        <v>165173782.99999994</v>
      </c>
      <c r="F19" s="474">
        <f t="shared" si="0"/>
        <v>5.6703346190511593E-3</v>
      </c>
      <c r="G19" s="279">
        <f>$E19/G$23</f>
        <v>0.33309544016459158</v>
      </c>
      <c r="H19" s="474">
        <f>$E19/H$23</f>
        <v>0.32962416160771363</v>
      </c>
      <c r="I19" s="17"/>
      <c r="J19" s="17"/>
      <c r="K19" s="403"/>
      <c r="L19" s="302"/>
      <c r="M19" s="403"/>
      <c r="N19" s="300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</row>
    <row r="20" spans="1:251" s="15" customFormat="1" ht="14.1" customHeight="1">
      <c r="A20" s="383" t="s">
        <v>99</v>
      </c>
      <c r="B20" s="17"/>
      <c r="C20" s="11"/>
      <c r="D20" s="229">
        <f>'MACH INCOMING COST'!L44</f>
        <v>5.0964006549968639</v>
      </c>
      <c r="E20" s="260">
        <f>'MCS LETTERS'!E7</f>
        <v>330701462.00000077</v>
      </c>
      <c r="F20" s="474">
        <f t="shared" si="0"/>
        <v>1.1352818313481604E-2</v>
      </c>
      <c r="G20" s="279">
        <f t="shared" ref="G20:H22" si="1">$E20/G$23</f>
        <v>0.66690455983540842</v>
      </c>
      <c r="H20" s="474">
        <f t="shared" si="1"/>
        <v>0.6599545652725981</v>
      </c>
      <c r="I20" s="17"/>
      <c r="J20" s="17"/>
      <c r="K20" s="403"/>
      <c r="L20" s="302"/>
      <c r="M20" s="403"/>
      <c r="N20" s="30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</row>
    <row r="21" spans="1:251" s="15" customFormat="1" ht="14.1" customHeight="1">
      <c r="A21" s="383" t="s">
        <v>100</v>
      </c>
      <c r="B21" s="17"/>
      <c r="C21" s="11"/>
      <c r="D21" s="229">
        <f>'MACH INCOMING COST'!L44</f>
        <v>5.0964006549968639</v>
      </c>
      <c r="E21" s="260">
        <f>'MCS LETTERS'!E8</f>
        <v>0</v>
      </c>
      <c r="F21" s="474">
        <f t="shared" si="0"/>
        <v>0</v>
      </c>
      <c r="G21" s="279">
        <f t="shared" si="1"/>
        <v>0</v>
      </c>
      <c r="H21" s="474">
        <f t="shared" si="1"/>
        <v>0</v>
      </c>
      <c r="I21" s="17"/>
      <c r="J21" s="17"/>
      <c r="K21" s="403"/>
      <c r="L21" s="302"/>
      <c r="M21" s="403"/>
      <c r="N21" s="300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</row>
    <row r="22" spans="1:251" s="15" customFormat="1" ht="14.1" customHeight="1">
      <c r="A22" s="383" t="s">
        <v>101</v>
      </c>
      <c r="B22" s="17"/>
      <c r="C22" s="11"/>
      <c r="D22" s="229">
        <f>'MACH INCOMING COST'!L44</f>
        <v>5.0964006549968639</v>
      </c>
      <c r="E22" s="260">
        <f>'MCS LETTERS'!E9</f>
        <v>0</v>
      </c>
      <c r="F22" s="474">
        <f t="shared" si="0"/>
        <v>0</v>
      </c>
      <c r="G22" s="279">
        <f t="shared" si="1"/>
        <v>0</v>
      </c>
      <c r="H22" s="474">
        <f t="shared" si="1"/>
        <v>0</v>
      </c>
      <c r="I22" s="570"/>
      <c r="J22" s="286"/>
      <c r="K22" s="403"/>
      <c r="L22" s="302"/>
      <c r="M22" s="403"/>
      <c r="N22" s="30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</row>
    <row r="23" spans="1:251" s="15" customFormat="1" ht="13.5" customHeight="1" thickBot="1">
      <c r="A23" s="383" t="s">
        <v>57</v>
      </c>
      <c r="B23" s="17"/>
      <c r="C23" s="11"/>
      <c r="D23" s="229">
        <f>+'AUTO MAADC COST'!$L$43</f>
        <v>6.6673233700392931</v>
      </c>
      <c r="E23" s="260">
        <f>'MCS LETTERS'!E33</f>
        <v>1271821555.0000012</v>
      </c>
      <c r="F23" s="474">
        <f t="shared" si="0"/>
        <v>4.3661007586004053E-2</v>
      </c>
      <c r="G23" s="571">
        <f>SUM($E19:$E22)</f>
        <v>495875245.00000072</v>
      </c>
      <c r="H23" s="572">
        <f>SUM($E15:$E22)</f>
        <v>501097317.00000072</v>
      </c>
      <c r="I23" s="286"/>
      <c r="J23" s="164"/>
      <c r="K23" s="403"/>
      <c r="L23" s="302"/>
      <c r="M23" s="403"/>
      <c r="N23" s="300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</row>
    <row r="24" spans="1:251" s="15" customFormat="1" ht="13.5" customHeight="1">
      <c r="A24" s="383"/>
      <c r="B24" s="17"/>
      <c r="C24" s="11"/>
      <c r="D24" s="229"/>
      <c r="E24" s="260"/>
      <c r="F24" s="474"/>
      <c r="G24" s="573"/>
      <c r="H24" s="573"/>
      <c r="I24" s="574"/>
      <c r="J24" s="164"/>
      <c r="K24" s="403"/>
      <c r="L24" s="302"/>
      <c r="M24" s="403"/>
      <c r="N24" s="300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</row>
    <row r="25" spans="1:251" s="15" customFormat="1" ht="13.5" customHeight="1">
      <c r="A25" s="383" t="s">
        <v>58</v>
      </c>
      <c r="B25" s="17"/>
      <c r="C25" s="11"/>
      <c r="D25" s="229">
        <f>+'AUTO AADC COST'!$L$44</f>
        <v>5.1345370448206404</v>
      </c>
      <c r="E25" s="260">
        <f>'MCS LETTERS'!E34</f>
        <v>6018234188.9999781</v>
      </c>
      <c r="F25" s="474">
        <f>E25/$E$29</f>
        <v>0.20660301560958899</v>
      </c>
      <c r="G25" s="17"/>
      <c r="H25" s="279"/>
      <c r="I25" s="17"/>
      <c r="J25" s="17"/>
      <c r="K25" s="403"/>
      <c r="L25" s="302"/>
      <c r="M25" s="403"/>
      <c r="N25" s="300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</row>
    <row r="26" spans="1:251" s="15" customFormat="1" ht="13.5" customHeight="1">
      <c r="A26" s="383" t="s">
        <v>102</v>
      </c>
      <c r="B26" s="17"/>
      <c r="C26" s="11"/>
      <c r="D26" s="229">
        <f>+'AUTO 3-DIGIT COST'!$L$44</f>
        <v>4.3301921510996957</v>
      </c>
      <c r="E26" s="260">
        <f>'MCS LETTERS'!E35</f>
        <v>0</v>
      </c>
      <c r="F26" s="474">
        <f>E26/$E$29</f>
        <v>0</v>
      </c>
      <c r="G26" s="279"/>
      <c r="H26" s="279"/>
      <c r="I26" s="17"/>
      <c r="J26" s="286"/>
      <c r="K26" s="403"/>
      <c r="L26" s="302"/>
      <c r="M26" s="403"/>
      <c r="N26" s="300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</row>
    <row r="27" spans="1:251" s="15" customFormat="1" ht="13.5" customHeight="1">
      <c r="A27" s="383" t="s">
        <v>103</v>
      </c>
      <c r="B27" s="17"/>
      <c r="C27" s="11"/>
      <c r="D27" s="229">
        <f>'AUTO 5-DIGIT OTHER COST'!L44</f>
        <v>2.8174484210349942</v>
      </c>
      <c r="E27" s="423">
        <f>'MCS LETTERS'!E36*MISC!E18</f>
        <v>20587920737.485481</v>
      </c>
      <c r="F27" s="474">
        <f>E27/$E$29</f>
        <v>0.70677317896173175</v>
      </c>
      <c r="G27" s="279"/>
      <c r="H27" s="279"/>
      <c r="I27" s="301"/>
      <c r="J27" s="164"/>
      <c r="K27" s="403"/>
      <c r="L27" s="302"/>
      <c r="M27" s="403"/>
      <c r="N27" s="300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</row>
    <row r="28" spans="1:251" s="15" customFormat="1" ht="13.5" customHeight="1">
      <c r="A28" s="383" t="s">
        <v>104</v>
      </c>
      <c r="B28" s="17"/>
      <c r="C28" s="11"/>
      <c r="D28" s="229">
        <f>'Auto 5-digit Manual Cost'!L44</f>
        <v>1.4345444282128779</v>
      </c>
      <c r="E28" s="423">
        <f>'MCS LETTERS'!E36*(MISC!E15+MISC!E16+MISC!E17)</f>
        <v>750385765.5145117</v>
      </c>
      <c r="F28" s="474">
        <f>E28/$E$29</f>
        <v>2.5760373750355666E-2</v>
      </c>
      <c r="G28" s="279"/>
      <c r="H28" s="279"/>
      <c r="I28" s="301"/>
      <c r="J28" s="164"/>
      <c r="K28" s="403"/>
      <c r="L28" s="302"/>
      <c r="M28" s="403"/>
      <c r="N28" s="300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</row>
    <row r="29" spans="1:251" s="11" customFormat="1" ht="14.1" customHeight="1">
      <c r="A29" s="424" t="s">
        <v>105</v>
      </c>
      <c r="C29" s="11" t="s">
        <v>106</v>
      </c>
      <c r="D29" s="4">
        <f>SUMPRODUCT(D15:D28,F15:F28)</f>
        <v>3.4819720331486579</v>
      </c>
      <c r="E29" s="425">
        <f>SUM(E15:E28)</f>
        <v>29129459563.999973</v>
      </c>
      <c r="F29" s="426">
        <f>SUM(F15:F28)</f>
        <v>1</v>
      </c>
      <c r="G29" s="8"/>
      <c r="H29" s="8"/>
      <c r="K29" s="427"/>
      <c r="L29" s="302"/>
      <c r="M29" s="427"/>
      <c r="N29" s="300"/>
    </row>
    <row r="30" spans="1:251" s="11" customFormat="1" ht="14.1" customHeight="1">
      <c r="A30" s="424"/>
      <c r="D30" s="4"/>
      <c r="E30" s="425"/>
      <c r="F30" s="426"/>
      <c r="G30" s="8"/>
      <c r="H30" s="8"/>
      <c r="K30" s="427"/>
      <c r="L30" s="302"/>
      <c r="M30" s="427"/>
      <c r="N30" s="300"/>
    </row>
    <row r="31" spans="1:251" s="11" customFormat="1" ht="14.1" customHeight="1" thickBot="1">
      <c r="A31" s="428" t="s">
        <v>107</v>
      </c>
      <c r="B31" s="429"/>
      <c r="C31" s="430" t="s">
        <v>108</v>
      </c>
      <c r="D31" s="431">
        <f>+D6/D29</f>
        <v>2.045456615933122</v>
      </c>
      <c r="E31" s="101"/>
      <c r="F31" s="432"/>
      <c r="G31" s="4"/>
      <c r="H31" s="4"/>
      <c r="K31" s="427"/>
      <c r="L31" s="302"/>
      <c r="M31" s="427"/>
      <c r="N31" s="300"/>
    </row>
    <row r="32" spans="1:251" s="11" customFormat="1" ht="14.1" customHeight="1">
      <c r="A32" s="433"/>
      <c r="B32" s="433"/>
      <c r="C32" s="433"/>
      <c r="D32" s="4"/>
      <c r="F32" s="35"/>
      <c r="G32" s="35"/>
      <c r="H32" s="35"/>
      <c r="I32" s="434"/>
      <c r="K32" s="427"/>
      <c r="L32" s="427"/>
      <c r="M32" s="427"/>
      <c r="N32" s="300"/>
      <c r="IQ32" s="11" t="s">
        <v>109</v>
      </c>
    </row>
    <row r="33" spans="1:14" s="11" customFormat="1" ht="14.1" customHeight="1">
      <c r="A33" s="433"/>
      <c r="B33" s="433"/>
      <c r="C33" s="433"/>
      <c r="D33" s="4"/>
      <c r="F33" s="35"/>
      <c r="G33" s="35"/>
      <c r="H33" s="35"/>
      <c r="I33" s="434"/>
      <c r="K33" s="427"/>
      <c r="L33" s="427"/>
      <c r="M33" s="427"/>
      <c r="N33" s="300"/>
    </row>
    <row r="34" spans="1:14" s="11" customFormat="1" ht="14.1" customHeight="1">
      <c r="A34" s="433"/>
      <c r="B34" s="433"/>
      <c r="C34" s="433"/>
      <c r="D34" s="4"/>
      <c r="F34" s="35"/>
      <c r="G34" s="35"/>
      <c r="H34" s="35"/>
      <c r="I34" s="434"/>
      <c r="K34" s="427"/>
      <c r="L34" s="427"/>
      <c r="M34" s="427"/>
      <c r="N34" s="300"/>
    </row>
    <row r="35" spans="1:14" s="11" customFormat="1" ht="14.1" customHeight="1">
      <c r="D35" s="229"/>
      <c r="E35" s="17"/>
      <c r="F35" s="569"/>
      <c r="G35" s="555"/>
      <c r="H35" s="555"/>
      <c r="I35" s="434"/>
      <c r="K35" s="427"/>
      <c r="L35" s="427"/>
      <c r="M35" s="427"/>
      <c r="N35" s="300"/>
    </row>
    <row r="36" spans="1:14" s="11" customFormat="1" ht="14.1" customHeight="1">
      <c r="A36" s="7" t="s">
        <v>110</v>
      </c>
      <c r="D36" s="229"/>
      <c r="E36" s="17"/>
      <c r="F36" s="234"/>
      <c r="G36" s="555"/>
      <c r="H36" s="555"/>
      <c r="I36" s="434"/>
      <c r="K36" s="427"/>
      <c r="L36" s="427"/>
      <c r="M36" s="427"/>
      <c r="N36" s="300"/>
    </row>
    <row r="37" spans="1:14" s="11" customFormat="1" ht="14.1" customHeight="1">
      <c r="A37" s="575"/>
      <c r="B37" s="435"/>
      <c r="C37" s="435"/>
      <c r="D37" s="436" t="s">
        <v>88</v>
      </c>
      <c r="E37" s="437" t="s">
        <v>89</v>
      </c>
      <c r="F37" s="438" t="s">
        <v>87</v>
      </c>
      <c r="G37" s="555"/>
      <c r="H37" s="555"/>
      <c r="I37" s="434"/>
      <c r="K37" s="427"/>
      <c r="L37" s="427"/>
      <c r="M37" s="427"/>
      <c r="N37" s="300"/>
    </row>
    <row r="38" spans="1:14" s="11" customFormat="1" ht="14.1" customHeight="1">
      <c r="A38" s="439" t="s">
        <v>92</v>
      </c>
      <c r="B38" s="87"/>
      <c r="C38" s="87"/>
      <c r="D38" s="99" t="s">
        <v>2</v>
      </c>
      <c r="E38" s="88" t="s">
        <v>3</v>
      </c>
      <c r="F38" s="440" t="s">
        <v>4</v>
      </c>
      <c r="G38" s="555"/>
      <c r="H38" s="555"/>
      <c r="I38" s="434"/>
      <c r="K38" s="427"/>
      <c r="L38" s="427"/>
      <c r="M38" s="427"/>
      <c r="N38" s="300"/>
    </row>
    <row r="39" spans="1:14" s="11" customFormat="1" ht="14.1" customHeight="1">
      <c r="A39" s="376" t="s">
        <v>111</v>
      </c>
      <c r="B39" s="17"/>
      <c r="D39" s="229">
        <f>'METERED LETTERS COST'!L43</f>
        <v>7.1473715083396119</v>
      </c>
      <c r="E39" s="260">
        <f>BMM_Volume!G21-BMM_Volume!G16-BMM_Volume!G17-BMM_Volume!G20</f>
        <v>3340646787.3411698</v>
      </c>
      <c r="F39" s="576">
        <f>E39/$E$41</f>
        <v>0.99690712300314288</v>
      </c>
      <c r="G39" s="555"/>
      <c r="H39" s="555"/>
      <c r="I39" s="434"/>
      <c r="K39" s="427"/>
      <c r="L39" s="427"/>
      <c r="M39" s="427"/>
      <c r="N39" s="300"/>
    </row>
    <row r="40" spans="1:14" s="11" customFormat="1" ht="14.1" customHeight="1">
      <c r="A40" s="376" t="s">
        <v>112</v>
      </c>
      <c r="B40" s="17"/>
      <c r="D40" s="229">
        <f>'METERED LETTERS NONMACH_COST'!L43</f>
        <v>26.475843441544349</v>
      </c>
      <c r="E40" s="260">
        <f>BMM_Volume!G16+BMM_Volume!G17+BMM_Volume!G20</f>
        <v>10364265</v>
      </c>
      <c r="F40" s="576">
        <f>E40/$E$41</f>
        <v>3.0928769968571277E-3</v>
      </c>
      <c r="G40" s="555"/>
      <c r="H40" s="555"/>
      <c r="I40" s="434"/>
      <c r="K40" s="427"/>
      <c r="L40" s="427"/>
      <c r="M40" s="427"/>
      <c r="N40" s="300"/>
    </row>
    <row r="41" spans="1:14" s="11" customFormat="1" ht="14.1" customHeight="1">
      <c r="A41" s="441" t="s">
        <v>105</v>
      </c>
      <c r="C41" s="11" t="s">
        <v>106</v>
      </c>
      <c r="D41" s="4">
        <f>SUMPRODUCT(D39:D40,F39:F40)</f>
        <v>7.2071520945662195</v>
      </c>
      <c r="E41" s="425">
        <f>SUM(E39:E40)</f>
        <v>3351011052.3411698</v>
      </c>
      <c r="F41" s="442">
        <f>SUM(F39:F40)</f>
        <v>1</v>
      </c>
      <c r="G41" s="8"/>
      <c r="H41" s="8"/>
      <c r="I41" s="434"/>
      <c r="K41" s="427"/>
      <c r="L41" s="427"/>
      <c r="M41" s="427"/>
      <c r="N41" s="300"/>
    </row>
    <row r="42" spans="1:14" s="11" customFormat="1" ht="14.1" customHeight="1">
      <c r="A42" s="441"/>
      <c r="D42" s="4"/>
      <c r="E42" s="425"/>
      <c r="F42" s="442"/>
      <c r="G42" s="8"/>
      <c r="H42" s="8"/>
      <c r="I42" s="434"/>
      <c r="K42" s="427"/>
      <c r="L42" s="427"/>
      <c r="M42" s="427"/>
      <c r="N42" s="300"/>
    </row>
    <row r="43" spans="1:14" s="11" customFormat="1" ht="14.1" customHeight="1">
      <c r="A43" s="407" t="s">
        <v>107</v>
      </c>
      <c r="B43" s="408"/>
      <c r="C43" s="409" t="s">
        <v>108</v>
      </c>
      <c r="D43" s="99">
        <f>E6/D41</f>
        <v>2.2965943615040767</v>
      </c>
      <c r="E43" s="87"/>
      <c r="F43" s="443"/>
      <c r="G43" s="4"/>
      <c r="H43" s="4"/>
      <c r="I43" s="434"/>
    </row>
    <row r="44" spans="1:14" s="11" customFormat="1" ht="14.1" customHeight="1">
      <c r="A44" s="433"/>
      <c r="B44" s="433"/>
      <c r="C44" s="433"/>
      <c r="D44" s="4"/>
      <c r="F44" s="35"/>
      <c r="G44" s="35"/>
      <c r="H44" s="35"/>
      <c r="I44" s="434"/>
    </row>
    <row r="45" spans="1:14" s="11" customFormat="1" ht="14.1" customHeight="1">
      <c r="A45" s="433"/>
      <c r="B45" s="433"/>
      <c r="C45" s="433"/>
      <c r="D45" s="4"/>
      <c r="F45" s="35"/>
      <c r="G45" s="35"/>
      <c r="H45" s="35"/>
      <c r="I45" s="434"/>
    </row>
    <row r="46" spans="1:14" s="13" customFormat="1" ht="14.1" customHeight="1">
      <c r="A46" s="555"/>
      <c r="B46" s="555"/>
      <c r="C46" s="555"/>
      <c r="D46" s="555"/>
      <c r="E46" s="555"/>
      <c r="F46" s="555"/>
      <c r="G46" s="555"/>
      <c r="H46" s="555"/>
      <c r="I46" s="555"/>
    </row>
    <row r="47" spans="1:14" s="15" customFormat="1" ht="14.1" customHeight="1" thickBot="1">
      <c r="A47" s="7" t="s">
        <v>113</v>
      </c>
      <c r="B47" s="11"/>
      <c r="C47" s="1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s="15" customFormat="1" ht="14.1" customHeight="1">
      <c r="A48" s="444"/>
      <c r="B48" s="445"/>
      <c r="C48" s="445"/>
      <c r="D48" s="415"/>
      <c r="E48" s="415" t="s">
        <v>114</v>
      </c>
      <c r="F48" s="415" t="s">
        <v>18</v>
      </c>
      <c r="G48" s="415" t="s">
        <v>17</v>
      </c>
      <c r="H48" s="415" t="s">
        <v>115</v>
      </c>
      <c r="I48" s="446" t="s">
        <v>17</v>
      </c>
      <c r="J48" s="17"/>
      <c r="K48" s="17"/>
      <c r="L48" s="17"/>
      <c r="M48" s="17"/>
      <c r="N48" s="17"/>
    </row>
    <row r="49" spans="1:10" s="15" customFormat="1" ht="14.1" customHeight="1">
      <c r="A49" s="424"/>
      <c r="B49" s="17"/>
      <c r="C49" s="17"/>
      <c r="D49" s="2" t="s">
        <v>116</v>
      </c>
      <c r="E49" s="2" t="s">
        <v>117</v>
      </c>
      <c r="F49" s="2" t="s">
        <v>118</v>
      </c>
      <c r="G49" s="2" t="s">
        <v>18</v>
      </c>
      <c r="H49" s="2" t="s">
        <v>118</v>
      </c>
      <c r="I49" s="447" t="s">
        <v>119</v>
      </c>
      <c r="J49" s="17"/>
    </row>
    <row r="50" spans="1:10" s="15" customFormat="1" ht="14.1" customHeight="1">
      <c r="A50" s="383"/>
      <c r="B50" s="11"/>
      <c r="C50" s="11"/>
      <c r="D50" s="2" t="s">
        <v>24</v>
      </c>
      <c r="E50" s="2" t="s">
        <v>24</v>
      </c>
      <c r="F50" s="2" t="s">
        <v>24</v>
      </c>
      <c r="G50" s="2" t="s">
        <v>24</v>
      </c>
      <c r="H50" s="2" t="s">
        <v>24</v>
      </c>
      <c r="I50" s="447" t="s">
        <v>24</v>
      </c>
      <c r="J50" s="17"/>
    </row>
    <row r="51" spans="1:10" s="15" customFormat="1" ht="14.1" customHeight="1">
      <c r="A51" s="448" t="s">
        <v>120</v>
      </c>
      <c r="B51" s="87"/>
      <c r="C51" s="87"/>
      <c r="D51" s="88" t="s">
        <v>5</v>
      </c>
      <c r="E51" s="88" t="s">
        <v>6</v>
      </c>
      <c r="F51" s="88" t="s">
        <v>7</v>
      </c>
      <c r="G51" s="88" t="s">
        <v>8</v>
      </c>
      <c r="H51" s="88" t="s">
        <v>9</v>
      </c>
      <c r="I51" s="449" t="s">
        <v>10</v>
      </c>
      <c r="J51" s="17"/>
    </row>
    <row r="52" spans="1:10" s="15" customFormat="1" ht="14.1" customHeight="1">
      <c r="A52" s="383" t="s">
        <v>29</v>
      </c>
      <c r="B52" s="11"/>
      <c r="C52" s="11"/>
      <c r="D52" s="229">
        <f>'METERED LETTERS COST'!L43</f>
        <v>7.1473715083396119</v>
      </c>
      <c r="E52" s="229">
        <f>D39*D43</f>
        <v>16.414613105627641</v>
      </c>
      <c r="F52" s="229">
        <f>'CRA-METERED LETTERS'!G77</f>
        <v>3.5753142192949809</v>
      </c>
      <c r="G52" s="229">
        <f>E52+F52</f>
        <v>19.989927324922622</v>
      </c>
      <c r="H52" s="229">
        <f>'CRA-METERED LETTERS'!H77</f>
        <v>0.12472577773823358</v>
      </c>
      <c r="I52" s="450">
        <f t="shared" ref="I52:I61" si="2">+F52+E52+H52</f>
        <v>20.114653102660856</v>
      </c>
      <c r="J52" s="17"/>
    </row>
    <row r="53" spans="1:10" s="15" customFormat="1" ht="14.1" customHeight="1">
      <c r="A53" s="383" t="s">
        <v>30</v>
      </c>
      <c r="B53" s="11"/>
      <c r="C53" s="11"/>
      <c r="D53" s="229">
        <f>D40</f>
        <v>26.475843441544349</v>
      </c>
      <c r="E53" s="229">
        <f>D53*D43</f>
        <v>60.804272763915442</v>
      </c>
      <c r="F53" s="229">
        <f>E7</f>
        <v>3.5753142192949809</v>
      </c>
      <c r="G53" s="229">
        <f>E53+F53</f>
        <v>64.37958698321043</v>
      </c>
      <c r="H53" s="229">
        <f>E8</f>
        <v>0.12472577773823358</v>
      </c>
      <c r="I53" s="450">
        <f t="shared" si="2"/>
        <v>64.504312760948665</v>
      </c>
      <c r="J53" s="17"/>
    </row>
    <row r="54" spans="1:10" s="15" customFormat="1" ht="14.1" customHeight="1">
      <c r="A54" s="383" t="s">
        <v>121</v>
      </c>
      <c r="B54" s="17"/>
      <c r="C54" s="11"/>
      <c r="D54" s="229">
        <f t="shared" ref="D54:D61" si="3">D15</f>
        <v>24.650502650903832</v>
      </c>
      <c r="E54" s="229">
        <f>+D54*D$31</f>
        <v>50.421533733368207</v>
      </c>
      <c r="F54" s="229">
        <f>+$D$7</f>
        <v>0.76638230355828374</v>
      </c>
      <c r="G54" s="229">
        <f>E54+F54</f>
        <v>51.187916036926488</v>
      </c>
      <c r="H54" s="229">
        <f>D$8</f>
        <v>3.4633267192253417E-2</v>
      </c>
      <c r="I54" s="450">
        <f t="shared" si="2"/>
        <v>51.222549304118743</v>
      </c>
      <c r="J54" s="301"/>
    </row>
    <row r="55" spans="1:10" s="15" customFormat="1" ht="14.1" customHeight="1">
      <c r="A55" s="383" t="s">
        <v>122</v>
      </c>
      <c r="B55" s="17"/>
      <c r="C55" s="11"/>
      <c r="D55" s="229">
        <f t="shared" si="3"/>
        <v>16.534285086180486</v>
      </c>
      <c r="E55" s="229">
        <f t="shared" ref="E55:E67" si="4">+D55*D$31</f>
        <v>33.820162819252225</v>
      </c>
      <c r="F55" s="229">
        <f t="shared" ref="F55:F61" si="5">+$D$7</f>
        <v>0.76638230355828374</v>
      </c>
      <c r="G55" s="229">
        <f t="shared" ref="G55:G67" si="6">E55+F55</f>
        <v>34.586545122810506</v>
      </c>
      <c r="H55" s="229">
        <f t="shared" ref="H55:H67" si="7">D$8</f>
        <v>3.4633267192253417E-2</v>
      </c>
      <c r="I55" s="450">
        <f t="shared" si="2"/>
        <v>34.621178390002761</v>
      </c>
      <c r="J55" s="17"/>
    </row>
    <row r="56" spans="1:10" s="15" customFormat="1" ht="14.1" customHeight="1">
      <c r="A56" s="383" t="s">
        <v>123</v>
      </c>
      <c r="B56" s="17"/>
      <c r="C56" s="11"/>
      <c r="D56" s="229">
        <f t="shared" si="3"/>
        <v>16.188305782692254</v>
      </c>
      <c r="E56" s="229">
        <f t="shared" si="4"/>
        <v>33.112477163956285</v>
      </c>
      <c r="F56" s="229">
        <f t="shared" si="5"/>
        <v>0.76638230355828374</v>
      </c>
      <c r="G56" s="229">
        <f t="shared" si="6"/>
        <v>33.878859467514566</v>
      </c>
      <c r="H56" s="229">
        <f t="shared" si="7"/>
        <v>3.4633267192253417E-2</v>
      </c>
      <c r="I56" s="450">
        <f t="shared" si="2"/>
        <v>33.913492734706821</v>
      </c>
      <c r="J56" s="17"/>
    </row>
    <row r="57" spans="1:10" s="15" customFormat="1" ht="14.1" customHeight="1">
      <c r="A57" s="383" t="s">
        <v>124</v>
      </c>
      <c r="B57" s="17"/>
      <c r="C57" s="11"/>
      <c r="D57" s="229">
        <f t="shared" si="3"/>
        <v>8.4708862493325352</v>
      </c>
      <c r="E57" s="229">
        <f t="shared" si="4"/>
        <v>17.326830321514144</v>
      </c>
      <c r="F57" s="229">
        <f t="shared" si="5"/>
        <v>0.76638230355828374</v>
      </c>
      <c r="G57" s="229">
        <f t="shared" si="6"/>
        <v>18.093212625072429</v>
      </c>
      <c r="H57" s="229">
        <f t="shared" si="7"/>
        <v>3.4633267192253417E-2</v>
      </c>
      <c r="I57" s="450">
        <f t="shared" si="2"/>
        <v>18.127845892264681</v>
      </c>
      <c r="J57" s="17"/>
    </row>
    <row r="58" spans="1:10" s="15" customFormat="1" ht="14.1" customHeight="1">
      <c r="A58" s="383" t="s">
        <v>125</v>
      </c>
      <c r="B58" s="17"/>
      <c r="C58" s="11"/>
      <c r="D58" s="229">
        <f t="shared" si="3"/>
        <v>7.1853907449431</v>
      </c>
      <c r="E58" s="229">
        <f t="shared" si="4"/>
        <v>14.697405037308489</v>
      </c>
      <c r="F58" s="229">
        <f t="shared" si="5"/>
        <v>0.76638230355828374</v>
      </c>
      <c r="G58" s="229">
        <f t="shared" si="6"/>
        <v>15.463787340866773</v>
      </c>
      <c r="H58" s="229">
        <f t="shared" si="7"/>
        <v>3.4633267192253417E-2</v>
      </c>
      <c r="I58" s="450">
        <f t="shared" si="2"/>
        <v>15.498420608059027</v>
      </c>
      <c r="J58" s="17"/>
    </row>
    <row r="59" spans="1:10" s="15" customFormat="1" ht="14.1" customHeight="1">
      <c r="A59" s="383" t="s">
        <v>126</v>
      </c>
      <c r="B59" s="17"/>
      <c r="C59" s="11"/>
      <c r="D59" s="229">
        <f t="shared" si="3"/>
        <v>5.0964006549968639</v>
      </c>
      <c r="E59" s="229">
        <f t="shared" si="4"/>
        <v>10.424466437209231</v>
      </c>
      <c r="F59" s="229">
        <f t="shared" si="5"/>
        <v>0.76638230355828374</v>
      </c>
      <c r="G59" s="229">
        <f t="shared" si="6"/>
        <v>11.190848740767516</v>
      </c>
      <c r="H59" s="229">
        <f t="shared" si="7"/>
        <v>3.4633267192253417E-2</v>
      </c>
      <c r="I59" s="450">
        <f t="shared" si="2"/>
        <v>11.225482007959769</v>
      </c>
      <c r="J59" s="17"/>
    </row>
    <row r="60" spans="1:10" s="15" customFormat="1" ht="14.1" customHeight="1" thickBot="1">
      <c r="A60" s="383" t="s">
        <v>127</v>
      </c>
      <c r="B60" s="17"/>
      <c r="C60" s="11"/>
      <c r="D60" s="229">
        <f t="shared" si="3"/>
        <v>5.0964006549968639</v>
      </c>
      <c r="E60" s="229">
        <f>+D60*D$31</f>
        <v>10.424466437209231</v>
      </c>
      <c r="F60" s="229">
        <f t="shared" si="5"/>
        <v>0.76638230355828374</v>
      </c>
      <c r="G60" s="229">
        <f t="shared" si="6"/>
        <v>11.190848740767516</v>
      </c>
      <c r="H60" s="229">
        <f t="shared" si="7"/>
        <v>3.4633267192253417E-2</v>
      </c>
      <c r="I60" s="450">
        <f t="shared" si="2"/>
        <v>11.225482007959769</v>
      </c>
      <c r="J60" s="17"/>
    </row>
    <row r="61" spans="1:10" s="15" customFormat="1" ht="13.5" customHeight="1">
      <c r="A61" s="383" t="s">
        <v>128</v>
      </c>
      <c r="B61" s="17"/>
      <c r="C61" s="11"/>
      <c r="D61" s="229">
        <f t="shared" si="3"/>
        <v>5.0964006549968639</v>
      </c>
      <c r="E61" s="229">
        <f t="shared" si="4"/>
        <v>10.424466437209231</v>
      </c>
      <c r="F61" s="229">
        <f t="shared" si="5"/>
        <v>0.76638230355828374</v>
      </c>
      <c r="G61" s="229">
        <f t="shared" si="6"/>
        <v>11.190848740767516</v>
      </c>
      <c r="H61" s="229">
        <f t="shared" si="7"/>
        <v>3.4633267192253417E-2</v>
      </c>
      <c r="I61" s="450">
        <f t="shared" si="2"/>
        <v>11.225482007959769</v>
      </c>
      <c r="J61" s="444" t="s">
        <v>129</v>
      </c>
    </row>
    <row r="62" spans="1:10" s="15" customFormat="1" ht="13.5" customHeight="1" thickBot="1">
      <c r="A62" s="383" t="s">
        <v>130</v>
      </c>
      <c r="B62" s="17"/>
      <c r="C62" s="11"/>
      <c r="D62" s="17"/>
      <c r="E62" s="17"/>
      <c r="F62" s="229"/>
      <c r="G62" s="229">
        <f>SUMPRODUCT(G58:G61,G19:G22)</f>
        <v>12.614145104563853</v>
      </c>
      <c r="H62" s="229"/>
      <c r="I62" s="450">
        <f>SUMPRODUCT(I58:I61,G19:G22)</f>
        <v>12.648778371756105</v>
      </c>
      <c r="J62" s="551">
        <f>SUMPRODUCT(I54:I61,H15:H22)</f>
        <v>12.906481587933953</v>
      </c>
    </row>
    <row r="63" spans="1:10" s="11" customFormat="1" ht="14.1" customHeight="1">
      <c r="A63" s="383" t="s">
        <v>131</v>
      </c>
      <c r="B63" s="17"/>
      <c r="D63" s="229">
        <f>+D23</f>
        <v>6.6673233700392931</v>
      </c>
      <c r="E63" s="229">
        <f>+D63*D$31</f>
        <v>13.637720697812391</v>
      </c>
      <c r="F63" s="229">
        <f>+$D$7</f>
        <v>0.76638230355828374</v>
      </c>
      <c r="G63" s="229">
        <f t="shared" si="6"/>
        <v>14.404103001370675</v>
      </c>
      <c r="H63" s="229">
        <f t="shared" si="7"/>
        <v>3.4633267192253417E-2</v>
      </c>
      <c r="I63" s="450">
        <f>+F63+E63+H63</f>
        <v>14.438736268562929</v>
      </c>
      <c r="J63" s="103"/>
    </row>
    <row r="64" spans="1:10" s="11" customFormat="1" ht="14.1" customHeight="1">
      <c r="A64" s="383" t="s">
        <v>132</v>
      </c>
      <c r="B64" s="17"/>
      <c r="D64" s="229">
        <f>+D25</f>
        <v>5.1345370448206404</v>
      </c>
      <c r="E64" s="229">
        <f t="shared" si="4"/>
        <v>10.502472768082081</v>
      </c>
      <c r="F64" s="229">
        <f>+$D$7</f>
        <v>0.76638230355828374</v>
      </c>
      <c r="G64" s="229">
        <f t="shared" si="6"/>
        <v>11.268855071640365</v>
      </c>
      <c r="H64" s="229">
        <f t="shared" si="7"/>
        <v>3.4633267192253417E-2</v>
      </c>
      <c r="I64" s="450">
        <f>+F64+E64+H64</f>
        <v>11.303488338832619</v>
      </c>
      <c r="J64" s="103"/>
    </row>
    <row r="65" spans="1:14" s="11" customFormat="1" ht="14.1" customHeight="1">
      <c r="A65" s="451" t="s">
        <v>133</v>
      </c>
      <c r="B65" s="17"/>
      <c r="D65" s="229">
        <f>+D26</f>
        <v>4.3301921510996957</v>
      </c>
      <c r="E65" s="229">
        <f t="shared" si="4"/>
        <v>8.8572201837285505</v>
      </c>
      <c r="F65" s="229">
        <f>+$D$7</f>
        <v>0.76638230355828374</v>
      </c>
      <c r="G65" s="229">
        <f t="shared" si="6"/>
        <v>9.6236024872868349</v>
      </c>
      <c r="H65" s="229">
        <f t="shared" si="7"/>
        <v>3.4633267192253417E-2</v>
      </c>
      <c r="I65" s="450">
        <f>+F65+E65+H65</f>
        <v>9.6582357544790884</v>
      </c>
      <c r="J65" s="103"/>
    </row>
    <row r="66" spans="1:14" s="11" customFormat="1" ht="13.5" customHeight="1">
      <c r="A66" s="451" t="s">
        <v>134</v>
      </c>
      <c r="B66" s="17"/>
      <c r="D66" s="229">
        <f>((D27*E27)+(D28*E28))/(E27+E28)</f>
        <v>2.768817032637747</v>
      </c>
      <c r="E66" s="229">
        <f t="shared" si="4"/>
        <v>5.6634951177171944</v>
      </c>
      <c r="F66" s="229">
        <f>+$D$7</f>
        <v>0.76638230355828374</v>
      </c>
      <c r="G66" s="229">
        <f t="shared" si="6"/>
        <v>6.4298774212754779</v>
      </c>
      <c r="H66" s="229">
        <f t="shared" si="7"/>
        <v>3.4633267192253417E-2</v>
      </c>
      <c r="I66" s="450">
        <f>+F66+E66+H66</f>
        <v>6.4645106884677315</v>
      </c>
      <c r="J66" s="103"/>
    </row>
    <row r="67" spans="1:14" s="11" customFormat="1" ht="13.5" customHeight="1">
      <c r="A67" s="451" t="s">
        <v>135</v>
      </c>
      <c r="B67" s="17"/>
      <c r="D67" s="229">
        <f>D28</f>
        <v>1.4345444282128779</v>
      </c>
      <c r="E67" s="229">
        <f t="shared" si="4"/>
        <v>2.9342983915380287</v>
      </c>
      <c r="F67" s="229">
        <f>+$D$7</f>
        <v>0.76638230355828374</v>
      </c>
      <c r="G67" s="229">
        <f t="shared" si="6"/>
        <v>3.7006806950963123</v>
      </c>
      <c r="H67" s="229">
        <f t="shared" si="7"/>
        <v>3.4633267192253417E-2</v>
      </c>
      <c r="I67" s="450">
        <f>+F67+E67+H67</f>
        <v>3.7353139622885658</v>
      </c>
      <c r="J67" s="103"/>
    </row>
    <row r="68" spans="1:14" s="11" customFormat="1" ht="14.1" customHeight="1" thickBot="1">
      <c r="A68" s="451"/>
      <c r="B68" s="17"/>
      <c r="D68" s="229"/>
      <c r="E68" s="229"/>
      <c r="F68" s="229"/>
      <c r="G68" s="229"/>
      <c r="H68" s="229"/>
      <c r="I68" s="450"/>
      <c r="J68" s="103"/>
    </row>
    <row r="69" spans="1:14" s="15" customFormat="1" ht="14.1" customHeight="1">
      <c r="A69" s="577"/>
      <c r="B69" s="445"/>
      <c r="C69" s="445"/>
      <c r="D69" s="413"/>
      <c r="E69" s="413"/>
      <c r="F69" s="413"/>
      <c r="G69" s="413"/>
      <c r="H69" s="413"/>
      <c r="I69" s="413"/>
      <c r="J69" s="17"/>
      <c r="K69" s="17"/>
      <c r="L69" s="17"/>
      <c r="M69" s="17"/>
      <c r="N69" s="17"/>
    </row>
    <row r="70" spans="1:14" s="15" customFormat="1" ht="14.1" customHeight="1">
      <c r="A70" s="9" t="s">
        <v>136</v>
      </c>
      <c r="B70" s="17"/>
      <c r="C70" s="17"/>
      <c r="D70" s="4"/>
      <c r="E70" s="4"/>
      <c r="F70" s="4"/>
      <c r="G70" s="4"/>
      <c r="H70" s="4"/>
      <c r="I70" s="4"/>
      <c r="J70" s="17"/>
      <c r="K70" s="17"/>
      <c r="L70" s="17"/>
      <c r="M70" s="17"/>
      <c r="N70" s="17"/>
    </row>
    <row r="71" spans="1:14" s="216" customFormat="1" ht="14.1" customHeight="1">
      <c r="A71" s="217" t="s">
        <v>137</v>
      </c>
      <c r="F71" s="452"/>
      <c r="J71" s="11"/>
      <c r="K71" s="427"/>
      <c r="L71" s="427"/>
      <c r="M71" s="427"/>
      <c r="N71" s="453"/>
    </row>
    <row r="72" spans="1:14" s="456" customFormat="1" ht="14.1" customHeight="1">
      <c r="A72" s="217" t="s">
        <v>138</v>
      </c>
      <c r="B72" s="216"/>
      <c r="C72" s="216"/>
      <c r="D72" s="216"/>
      <c r="E72" s="216"/>
      <c r="F72" s="216"/>
      <c r="G72" s="216"/>
      <c r="H72" s="216"/>
      <c r="I72" s="452"/>
      <c r="J72" s="386"/>
      <c r="K72" s="454"/>
      <c r="L72" s="454"/>
      <c r="M72" s="454"/>
      <c r="N72" s="455"/>
    </row>
    <row r="73" spans="1:14" s="386" customFormat="1" ht="14.1" customHeight="1">
      <c r="A73" s="11" t="s">
        <v>139</v>
      </c>
      <c r="D73" s="457"/>
      <c r="E73" s="458"/>
      <c r="F73" s="385"/>
      <c r="G73" s="459"/>
      <c r="H73" s="385"/>
      <c r="I73" s="385"/>
      <c r="K73" s="454"/>
      <c r="L73" s="454"/>
      <c r="M73" s="454"/>
      <c r="N73" s="455"/>
    </row>
    <row r="74" spans="1:14" s="386" customFormat="1" ht="14.1" customHeight="1">
      <c r="A74" s="11" t="s">
        <v>140</v>
      </c>
      <c r="D74" s="457"/>
      <c r="E74" s="458"/>
      <c r="F74" s="385"/>
      <c r="G74" s="385"/>
      <c r="H74" s="385"/>
      <c r="I74" s="385"/>
      <c r="K74" s="454"/>
      <c r="L74" s="454"/>
      <c r="M74" s="454"/>
      <c r="N74" s="455"/>
    </row>
    <row r="75" spans="1:14" s="386" customFormat="1" ht="14.1" customHeight="1">
      <c r="A75" s="11" t="s">
        <v>141</v>
      </c>
      <c r="D75" s="457"/>
      <c r="E75" s="458"/>
      <c r="F75" s="385"/>
      <c r="G75" s="385"/>
      <c r="H75" s="385"/>
      <c r="I75" s="385"/>
      <c r="K75" s="454"/>
      <c r="L75" s="454"/>
      <c r="M75" s="454"/>
      <c r="N75" s="455"/>
    </row>
    <row r="76" spans="1:14" s="386" customFormat="1" ht="14.1" customHeight="1">
      <c r="A76" s="11" t="s">
        <v>142</v>
      </c>
      <c r="D76" s="457"/>
      <c r="E76" s="458"/>
      <c r="F76" s="385"/>
      <c r="G76" s="385"/>
      <c r="H76" s="385"/>
      <c r="I76" s="385"/>
      <c r="K76" s="454"/>
      <c r="L76" s="454"/>
      <c r="M76" s="454"/>
      <c r="N76" s="455"/>
    </row>
    <row r="77" spans="1:14" s="386" customFormat="1" ht="14.1" customHeight="1">
      <c r="A77" s="34" t="s">
        <v>143</v>
      </c>
      <c r="D77" s="457"/>
      <c r="E77" s="458"/>
      <c r="F77" s="385"/>
      <c r="G77" s="385"/>
      <c r="H77" s="385"/>
      <c r="I77" s="385"/>
      <c r="K77" s="454"/>
      <c r="L77" s="454"/>
      <c r="M77" s="454"/>
      <c r="N77" s="455"/>
    </row>
    <row r="78" spans="1:14" s="386" customFormat="1" ht="14.1" customHeight="1">
      <c r="A78" s="34" t="s">
        <v>144</v>
      </c>
      <c r="D78" s="457"/>
      <c r="E78" s="458"/>
      <c r="F78" s="385"/>
      <c r="G78" s="385"/>
      <c r="H78" s="385"/>
      <c r="I78" s="385"/>
      <c r="K78" s="454"/>
      <c r="L78" s="454"/>
      <c r="M78" s="454"/>
      <c r="N78" s="455"/>
    </row>
    <row r="79" spans="1:14" s="386" customFormat="1" ht="14.1" customHeight="1">
      <c r="A79" s="34" t="s">
        <v>145</v>
      </c>
      <c r="D79" s="457"/>
      <c r="E79" s="458"/>
      <c r="F79" s="385"/>
      <c r="G79" s="385"/>
      <c r="H79" s="385"/>
      <c r="I79" s="385"/>
      <c r="K79" s="454"/>
      <c r="L79" s="454"/>
      <c r="M79" s="454"/>
      <c r="N79" s="455"/>
    </row>
    <row r="80" spans="1:14" s="386" customFormat="1" ht="14.1" customHeight="1">
      <c r="A80" s="34"/>
      <c r="D80" s="457"/>
      <c r="E80" s="458"/>
      <c r="F80" s="385"/>
      <c r="G80" s="385"/>
      <c r="H80" s="385"/>
      <c r="I80" s="385"/>
      <c r="K80" s="454"/>
      <c r="L80" s="454"/>
      <c r="M80" s="454"/>
      <c r="N80" s="455"/>
    </row>
    <row r="81" spans="1:14" s="386" customFormat="1" ht="14.1" customHeight="1">
      <c r="A81" s="34" t="s">
        <v>146</v>
      </c>
      <c r="D81" s="457"/>
      <c r="E81" s="458"/>
      <c r="F81" s="385"/>
      <c r="G81" s="385"/>
      <c r="H81" s="385"/>
      <c r="I81" s="385"/>
      <c r="K81" s="454"/>
      <c r="L81" s="454"/>
      <c r="M81" s="454"/>
      <c r="N81" s="455"/>
    </row>
    <row r="82" spans="1:14" s="386" customFormat="1" ht="14.1" customHeight="1">
      <c r="A82" s="34" t="s">
        <v>147</v>
      </c>
      <c r="D82" s="457"/>
      <c r="E82" s="458"/>
      <c r="F82" s="385"/>
      <c r="G82" s="385"/>
      <c r="H82" s="385"/>
      <c r="I82" s="385"/>
      <c r="K82" s="454"/>
      <c r="L82" s="454"/>
      <c r="M82" s="454"/>
      <c r="N82" s="455"/>
    </row>
    <row r="83" spans="1:14" s="460" customFormat="1" ht="14.1" customHeight="1">
      <c r="A83" s="34" t="s">
        <v>148</v>
      </c>
      <c r="B83" s="386"/>
      <c r="D83" s="461"/>
      <c r="E83" s="462"/>
      <c r="F83" s="463"/>
      <c r="G83" s="463"/>
      <c r="H83" s="463"/>
      <c r="I83" s="463"/>
      <c r="J83" s="386"/>
      <c r="K83" s="454"/>
      <c r="L83" s="454"/>
      <c r="M83" s="454"/>
      <c r="N83" s="455"/>
    </row>
    <row r="84" spans="1:14" s="386" customFormat="1" ht="14.1" customHeight="1">
      <c r="A84" s="34" t="s">
        <v>149</v>
      </c>
      <c r="D84" s="457"/>
      <c r="E84" s="458"/>
      <c r="F84" s="385"/>
      <c r="G84" s="385"/>
      <c r="H84" s="385"/>
      <c r="I84" s="385"/>
      <c r="K84" s="454"/>
      <c r="L84" s="454"/>
      <c r="M84" s="454"/>
      <c r="N84" s="455"/>
    </row>
    <row r="85" spans="1:14" s="386" customFormat="1" ht="14.1" customHeight="1">
      <c r="A85" s="11" t="s">
        <v>150</v>
      </c>
      <c r="D85" s="457"/>
      <c r="E85" s="458"/>
      <c r="F85" s="385"/>
      <c r="G85" s="385"/>
      <c r="H85" s="385"/>
      <c r="I85" s="385"/>
      <c r="K85" s="454"/>
      <c r="L85" s="454"/>
      <c r="M85" s="454"/>
      <c r="N85" s="455"/>
    </row>
    <row r="86" spans="1:14" ht="14.1" customHeight="1"/>
    <row r="87" spans="1:14" ht="14.1" customHeight="1">
      <c r="A87" s="386"/>
    </row>
    <row r="88" spans="1:14" ht="14.1" customHeight="1"/>
    <row r="89" spans="1:14" ht="14.1" customHeight="1"/>
    <row r="90" spans="1:14" ht="14.1" customHeight="1"/>
    <row r="91" spans="1:14" ht="14.1" customHeight="1"/>
    <row r="92" spans="1:14" ht="14.1" customHeight="1"/>
    <row r="93" spans="1:14" ht="14.1" customHeight="1"/>
    <row r="94" spans="1:14" ht="14.1" customHeight="1"/>
    <row r="95" spans="1:14" ht="14.1" customHeight="1"/>
    <row r="96" spans="1:14" ht="14.1" customHeight="1"/>
    <row r="97" ht="14.1" customHeight="1"/>
    <row r="98" ht="14.1" customHeight="1"/>
    <row r="99" ht="14.1" customHeight="1"/>
    <row r="100" ht="14.1" customHeight="1"/>
    <row r="101" ht="14.1" customHeight="1"/>
    <row r="102" ht="14.1" customHeight="1"/>
    <row r="103" ht="14.1" customHeight="1"/>
    <row r="104" ht="14.1" customHeight="1"/>
    <row r="105" ht="14.1" customHeight="1"/>
    <row r="106" ht="14.1" customHeight="1"/>
    <row r="107" ht="14.1" customHeight="1"/>
    <row r="108" ht="14.1" customHeight="1"/>
    <row r="109" ht="14.1" customHeight="1"/>
    <row r="110" ht="14.1" customHeight="1"/>
    <row r="111" ht="14.1" customHeight="1"/>
    <row r="112" ht="14.1" customHeight="1"/>
    <row r="113" ht="14.1" customHeight="1"/>
    <row r="114" ht="14.1" customHeight="1"/>
    <row r="115" ht="14.1" customHeight="1"/>
    <row r="116" ht="14.1" customHeight="1"/>
    <row r="117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4.1" customHeight="1"/>
    <row r="124" ht="14.1" customHeight="1"/>
    <row r="125" ht="14.1" customHeight="1"/>
    <row r="126" ht="14.1" customHeight="1"/>
    <row r="127" ht="14.1" customHeight="1"/>
    <row r="128" ht="14.1" customHeight="1"/>
    <row r="129" ht="14.1" customHeight="1"/>
    <row r="130" ht="14.1" customHeight="1"/>
    <row r="131" ht="14.1" customHeight="1"/>
    <row r="132" ht="14.1" customHeight="1"/>
    <row r="133" ht="14.1" customHeight="1"/>
    <row r="134" ht="14.1" customHeight="1"/>
    <row r="135" ht="14.1" customHeight="1"/>
    <row r="136" ht="14.1" customHeight="1"/>
    <row r="137" ht="14.1" customHeight="1"/>
    <row r="138" ht="14.1" customHeight="1"/>
    <row r="139" ht="14.1" customHeight="1"/>
    <row r="140" ht="14.1" customHeight="1"/>
    <row r="141" ht="14.1" customHeight="1"/>
    <row r="142" ht="14.1" customHeight="1"/>
    <row r="143" ht="14.1" customHeight="1"/>
    <row r="144" ht="14.1" customHeight="1"/>
    <row r="145" ht="14.1" customHeight="1"/>
    <row r="146" ht="14.1" customHeight="1"/>
    <row r="147" ht="14.1" customHeight="1"/>
    <row r="148" ht="14.1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</sheetData>
  <phoneticPr fontId="11" type="noConversion"/>
  <printOptions horizontalCentered="1"/>
  <pageMargins left="0.75" right="0.75" top="1" bottom="1" header="0.5" footer="0.5"/>
  <pageSetup scale="53" orientation="portrait" r:id="rId1"/>
  <headerFooter alignWithMargins="0">
    <oddHeader>&amp;RPage 5</oddHeader>
  </headerFooter>
  <ignoredErrors>
    <ignoredError sqref="E15 E17" formulaRange="1"/>
    <ignoredError sqref="I6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>
    <tabColor rgb="FFFFFF00"/>
    <pageSetUpPr fitToPage="1"/>
  </sheetPr>
  <dimension ref="A1:IR234"/>
  <sheetViews>
    <sheetView zoomScale="115" zoomScaleNormal="115" workbookViewId="0"/>
  </sheetViews>
  <sheetFormatPr defaultColWidth="8.85546875" defaultRowHeight="11.45"/>
  <cols>
    <col min="1" max="2" width="5.7109375" style="464" customWidth="1"/>
    <col min="3" max="3" width="39.85546875" style="464" customWidth="1"/>
    <col min="4" max="4" width="3.42578125" style="464" customWidth="1"/>
    <col min="5" max="5" width="13.7109375" style="465" customWidth="1"/>
    <col min="6" max="6" width="17.7109375" style="466" customWidth="1"/>
    <col min="7" max="7" width="32.85546875" style="467" bestFit="1" customWidth="1"/>
    <col min="8" max="8" width="13.7109375" style="467" customWidth="1"/>
    <col min="9" max="9" width="17.85546875" style="467" bestFit="1" customWidth="1"/>
    <col min="10" max="10" width="13.7109375" style="467" customWidth="1"/>
    <col min="11" max="11" width="12.7109375" style="464" customWidth="1"/>
    <col min="12" max="12" width="8.85546875" style="464" customWidth="1"/>
    <col min="13" max="13" width="9.28515625" style="464" customWidth="1"/>
    <col min="14" max="16384" width="8.85546875" style="464"/>
  </cols>
  <sheetData>
    <row r="1" spans="1:14" s="400" customFormat="1" ht="15.6">
      <c r="A1" s="72" t="s">
        <v>151</v>
      </c>
      <c r="B1" s="396"/>
      <c r="C1" s="396"/>
      <c r="D1" s="396"/>
      <c r="E1" s="397"/>
      <c r="F1" s="398"/>
      <c r="G1" s="399"/>
      <c r="H1" s="399"/>
      <c r="I1" s="399"/>
      <c r="J1" s="399"/>
    </row>
    <row r="2" spans="1:14" s="400" customFormat="1" ht="15.6">
      <c r="A2" s="72"/>
      <c r="B2" s="396"/>
      <c r="C2" s="396"/>
      <c r="D2" s="396"/>
      <c r="E2" s="397"/>
      <c r="F2" s="398"/>
      <c r="G2" s="399"/>
      <c r="H2" s="399"/>
      <c r="I2" s="399"/>
      <c r="J2" s="399"/>
    </row>
    <row r="3" spans="1:14" s="15" customFormat="1" ht="12.6">
      <c r="A3" s="17"/>
      <c r="B3" s="17"/>
      <c r="C3" s="17"/>
      <c r="D3" s="17"/>
      <c r="E3" s="229"/>
      <c r="F3" s="17"/>
      <c r="G3" s="234"/>
      <c r="H3" s="234"/>
      <c r="I3" s="234"/>
      <c r="J3" s="569"/>
      <c r="K3" s="17"/>
      <c r="L3" s="17"/>
      <c r="M3" s="17"/>
      <c r="N3" s="17"/>
    </row>
    <row r="4" spans="1:14" s="15" customFormat="1" ht="12.6">
      <c r="A4" s="17"/>
      <c r="B4" s="17"/>
      <c r="C4" s="17"/>
      <c r="D4" s="17"/>
      <c r="E4" s="229"/>
      <c r="F4" s="260"/>
      <c r="G4" s="203"/>
      <c r="H4" s="203"/>
      <c r="I4" s="203"/>
      <c r="J4" s="555"/>
      <c r="K4" s="555"/>
      <c r="L4" s="555"/>
      <c r="M4" s="555"/>
      <c r="N4" s="555"/>
    </row>
    <row r="5" spans="1:14" s="13" customFormat="1" ht="14.1" customHeight="1">
      <c r="A5" s="7"/>
      <c r="B5" s="7"/>
      <c r="C5" s="7"/>
      <c r="D5" s="7"/>
      <c r="E5" s="470"/>
      <c r="F5" s="471"/>
      <c r="G5" s="55"/>
      <c r="H5" s="55"/>
      <c r="I5" s="55"/>
      <c r="J5" s="472"/>
      <c r="M5" s="234"/>
    </row>
    <row r="6" spans="1:14" s="15" customFormat="1" ht="14.1" customHeight="1">
      <c r="A6" s="11"/>
      <c r="B6" s="7" t="s">
        <v>77</v>
      </c>
      <c r="C6" s="11"/>
      <c r="D6" s="11"/>
      <c r="E6" s="229"/>
      <c r="F6" s="260"/>
      <c r="G6" s="203"/>
      <c r="H6" s="203"/>
      <c r="I6" s="203"/>
      <c r="J6" s="569"/>
      <c r="K6" s="17"/>
      <c r="L6" s="17"/>
      <c r="M6" s="234"/>
      <c r="N6" s="17"/>
    </row>
    <row r="7" spans="1:14" s="15" customFormat="1" ht="14.1" customHeight="1">
      <c r="A7" s="17"/>
      <c r="B7" s="562" t="s">
        <v>80</v>
      </c>
      <c r="C7" s="563"/>
      <c r="D7" s="405" t="s">
        <v>81</v>
      </c>
      <c r="E7" s="564">
        <f>'CRA - PRESORT CARDS'!E77</f>
        <v>3.2425786782750108</v>
      </c>
      <c r="F7" s="17"/>
      <c r="G7" s="229"/>
      <c r="H7" s="229"/>
      <c r="I7" s="229"/>
      <c r="J7" s="406"/>
      <c r="K7" s="17"/>
      <c r="L7" s="17"/>
      <c r="M7" s="234"/>
      <c r="N7" s="17"/>
    </row>
    <row r="8" spans="1:14" s="15" customFormat="1" ht="14.1" customHeight="1">
      <c r="A8" s="17"/>
      <c r="B8" s="565" t="s">
        <v>82</v>
      </c>
      <c r="C8" s="566"/>
      <c r="D8" s="34" t="s">
        <v>83</v>
      </c>
      <c r="E8" s="567">
        <f>'CRA - PRESORT CARDS'!G77</f>
        <v>0.29703040973276229</v>
      </c>
      <c r="F8" s="17"/>
      <c r="G8" s="229"/>
      <c r="H8" s="229"/>
      <c r="I8" s="229"/>
      <c r="J8" s="406"/>
      <c r="K8" s="17"/>
      <c r="L8" s="17"/>
      <c r="M8" s="234"/>
      <c r="N8" s="17"/>
    </row>
    <row r="9" spans="1:14" s="15" customFormat="1" ht="14.1" customHeight="1">
      <c r="A9" s="17"/>
      <c r="B9" s="565" t="s">
        <v>84</v>
      </c>
      <c r="C9" s="566"/>
      <c r="D9" s="34"/>
      <c r="E9" s="567">
        <f>'CRA - PRESORT CARDS'!H77</f>
        <v>1.025748195631939E-3</v>
      </c>
      <c r="F9" s="17"/>
      <c r="G9" s="229"/>
      <c r="H9" s="229"/>
      <c r="I9" s="229"/>
      <c r="J9" s="406"/>
      <c r="K9" s="17"/>
      <c r="L9" s="17"/>
      <c r="M9" s="234"/>
      <c r="N9" s="17"/>
    </row>
    <row r="10" spans="1:14" s="15" customFormat="1" ht="14.1" customHeight="1">
      <c r="A10" s="17"/>
      <c r="B10" s="407" t="s">
        <v>17</v>
      </c>
      <c r="C10" s="408"/>
      <c r="D10" s="409" t="s">
        <v>85</v>
      </c>
      <c r="E10" s="568">
        <f>SUM(E7:E8)</f>
        <v>3.5396090880077731</v>
      </c>
      <c r="F10" s="17"/>
      <c r="G10" s="4"/>
      <c r="H10" s="4"/>
      <c r="I10" s="4"/>
      <c r="J10" s="406"/>
      <c r="K10" s="17"/>
      <c r="L10" s="17"/>
      <c r="M10" s="234"/>
      <c r="N10" s="17"/>
    </row>
    <row r="11" spans="1:14" s="15" customFormat="1" ht="14.1" customHeight="1">
      <c r="A11" s="11"/>
      <c r="B11" s="11"/>
      <c r="C11" s="11"/>
      <c r="D11" s="11"/>
      <c r="E11" s="229"/>
      <c r="F11" s="17"/>
      <c r="G11" s="569"/>
      <c r="H11" s="569"/>
      <c r="I11" s="569"/>
      <c r="J11" s="569"/>
      <c r="K11" s="17"/>
      <c r="L11" s="17"/>
      <c r="M11" s="234"/>
      <c r="N11" s="17"/>
    </row>
    <row r="12" spans="1:14" s="15" customFormat="1" ht="14.1" customHeight="1">
      <c r="A12" s="11"/>
      <c r="B12" s="11"/>
      <c r="C12" s="11"/>
      <c r="D12" s="11"/>
      <c r="E12" s="229"/>
      <c r="F12" s="17"/>
      <c r="G12" s="569"/>
      <c r="H12" s="569"/>
      <c r="I12" s="569"/>
      <c r="J12" s="569"/>
      <c r="K12" s="17"/>
      <c r="L12" s="17"/>
      <c r="M12" s="234"/>
      <c r="N12" s="17"/>
    </row>
    <row r="13" spans="1:14" s="15" customFormat="1" ht="14.1" customHeight="1" thickBot="1">
      <c r="A13" s="17"/>
      <c r="B13" s="7" t="s">
        <v>86</v>
      </c>
      <c r="C13" s="11"/>
      <c r="D13" s="11"/>
      <c r="E13" s="229"/>
      <c r="F13" s="17"/>
      <c r="G13" s="234"/>
      <c r="H13" s="234"/>
      <c r="I13" s="234"/>
      <c r="J13" s="569"/>
      <c r="K13" s="17"/>
      <c r="L13" s="17"/>
      <c r="M13" s="234"/>
      <c r="N13" s="17"/>
    </row>
    <row r="14" spans="1:14" s="15" customFormat="1" ht="14.1" customHeight="1">
      <c r="A14" s="17"/>
      <c r="B14" s="444"/>
      <c r="C14" s="412"/>
      <c r="D14" s="412"/>
      <c r="E14" s="413" t="s">
        <v>88</v>
      </c>
      <c r="F14" s="414" t="s">
        <v>89</v>
      </c>
      <c r="G14" s="411" t="s">
        <v>87</v>
      </c>
      <c r="H14" s="2"/>
      <c r="I14" s="2"/>
      <c r="J14" s="555"/>
      <c r="K14" s="17"/>
      <c r="L14" s="17"/>
      <c r="M14" s="234"/>
      <c r="N14" s="17"/>
    </row>
    <row r="15" spans="1:14" s="15" customFormat="1" ht="14.1" customHeight="1">
      <c r="A15" s="17"/>
      <c r="B15" s="448" t="s">
        <v>92</v>
      </c>
      <c r="C15" s="87"/>
      <c r="D15" s="87"/>
      <c r="E15" s="99" t="s">
        <v>2</v>
      </c>
      <c r="F15" s="88" t="s">
        <v>3</v>
      </c>
      <c r="G15" s="449" t="s">
        <v>4</v>
      </c>
      <c r="H15" s="2"/>
      <c r="I15" s="2"/>
      <c r="J15" s="555"/>
      <c r="K15" s="17"/>
      <c r="L15" s="17"/>
      <c r="M15" s="234"/>
      <c r="N15" s="17"/>
    </row>
    <row r="16" spans="1:14" s="15" customFormat="1" ht="14.1" customHeight="1">
      <c r="A16" s="17"/>
      <c r="B16" s="473" t="s">
        <v>152</v>
      </c>
      <c r="C16" s="11"/>
      <c r="D16" s="11"/>
      <c r="E16" s="229">
        <f>SUMPRODUCT('PRESORT LETTERS SUM'!D15:D22,'CARD-LETTER COST RATIO'!K10:K17)*'CARD-LETTER COST RATIO'!$E$33</f>
        <v>2.3696892653388288</v>
      </c>
      <c r="F16" s="260">
        <f>'MCS CARDS'!E32</f>
        <v>80860526</v>
      </c>
      <c r="G16" s="474">
        <f>F16/F24</f>
        <v>3.4551359982633374E-2</v>
      </c>
      <c r="H16" s="279"/>
      <c r="I16" s="279"/>
      <c r="J16" s="555"/>
      <c r="K16" s="17"/>
      <c r="L16" s="17"/>
      <c r="M16" s="234"/>
      <c r="N16" s="17"/>
    </row>
    <row r="17" spans="1:252" s="15" customFormat="1" ht="14.1" customHeight="1">
      <c r="A17" s="17"/>
      <c r="B17" s="383" t="s">
        <v>38</v>
      </c>
      <c r="C17" s="11"/>
      <c r="D17" s="11"/>
      <c r="E17" s="229">
        <f>+'PRESORT LETTERS SUM'!D19*'CARD-LETTER COST RATIO'!$E$33</f>
        <v>2.8389671431073911</v>
      </c>
      <c r="F17" s="260" t="s">
        <v>153</v>
      </c>
      <c r="G17" s="474"/>
      <c r="H17" s="475" t="s">
        <v>154</v>
      </c>
      <c r="I17" s="17"/>
      <c r="J17" s="17"/>
      <c r="K17" s="17"/>
      <c r="L17" s="17"/>
      <c r="M17" s="234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</row>
    <row r="18" spans="1:252" s="15" customFormat="1" ht="13.5" customHeight="1">
      <c r="A18" s="17"/>
      <c r="B18" s="383" t="s">
        <v>57</v>
      </c>
      <c r="C18" s="17"/>
      <c r="D18" s="11"/>
      <c r="E18" s="229">
        <f>+'PRESORT LETTERS SUM'!D23*'CARD-LETTER COST RATIO'!$E$33</f>
        <v>2.6342773346508501</v>
      </c>
      <c r="F18" s="260">
        <f>'MCS CARDS'!E33</f>
        <v>191474636.99999979</v>
      </c>
      <c r="G18" s="474">
        <f>+F18/F$24</f>
        <v>8.1816300706862147E-2</v>
      </c>
      <c r="H18" s="279"/>
      <c r="I18" s="279"/>
      <c r="J18" s="555"/>
      <c r="K18" s="17"/>
      <c r="L18" s="17"/>
      <c r="M18" s="234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</row>
    <row r="19" spans="1:252" s="15" customFormat="1" ht="13.5" customHeight="1">
      <c r="A19" s="17"/>
      <c r="B19" s="383" t="s">
        <v>58</v>
      </c>
      <c r="C19" s="17"/>
      <c r="D19" s="11"/>
      <c r="E19" s="229">
        <f>+'PRESORT LETTERS SUM'!D25*'CARD-LETTER COST RATIO'!$E$33</f>
        <v>2.0286693490639043</v>
      </c>
      <c r="F19" s="260">
        <f>'MCS CARDS'!E34</f>
        <v>794622973.99999881</v>
      </c>
      <c r="G19" s="474">
        <f>+F19/F$24</f>
        <v>0.33953902829106852</v>
      </c>
      <c r="H19" s="279"/>
      <c r="I19" s="279"/>
      <c r="J19" s="555"/>
      <c r="K19" s="17"/>
      <c r="L19" s="17"/>
      <c r="M19" s="234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</row>
    <row r="20" spans="1:252" s="15" customFormat="1" ht="13.5" customHeight="1">
      <c r="A20" s="17"/>
      <c r="B20" s="383" t="s">
        <v>102</v>
      </c>
      <c r="C20" s="17"/>
      <c r="D20" s="11"/>
      <c r="E20" s="229">
        <f>+'PRESORT LETTERS SUM'!D26*'CARD-LETTER COST RATIO'!$E$33</f>
        <v>1.7108705255820991</v>
      </c>
      <c r="F20" s="260">
        <v>0</v>
      </c>
      <c r="G20" s="474">
        <f>+F20/F$24</f>
        <v>0</v>
      </c>
      <c r="H20" s="279"/>
      <c r="I20" s="279"/>
      <c r="J20" s="555"/>
      <c r="K20" s="17"/>
      <c r="L20" s="17"/>
      <c r="M20" s="234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</row>
    <row r="21" spans="1:252" s="15" customFormat="1" ht="13.5" customHeight="1">
      <c r="A21" s="17"/>
      <c r="B21" s="383" t="s">
        <v>103</v>
      </c>
      <c r="C21" s="17"/>
      <c r="D21" s="11"/>
      <c r="E21" s="229">
        <f>+'PRESORT LETTERS SUM'!D27*'CARD-LETTER COST RATIO'!$E$33</f>
        <v>1.1131814230628161</v>
      </c>
      <c r="F21" s="260">
        <f>'MCS CARDS'!E36*(MISC!E18)</f>
        <v>1228562743.3972008</v>
      </c>
      <c r="G21" s="474">
        <f>+F21/F$24</f>
        <v>0.5249596522333817</v>
      </c>
      <c r="H21" s="279"/>
      <c r="I21" s="279"/>
      <c r="J21" s="555"/>
      <c r="K21" s="17"/>
      <c r="L21" s="17"/>
      <c r="M21" s="234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</row>
    <row r="22" spans="1:252" s="15" customFormat="1" ht="13.5" customHeight="1">
      <c r="A22" s="17"/>
      <c r="B22" s="383" t="s">
        <v>104</v>
      </c>
      <c r="C22" s="17"/>
      <c r="D22" s="11"/>
      <c r="E22" s="229">
        <f>+'PRESORT LETTERS SUM'!D28*'CARD-LETTER COST RATIO'!$E$33</f>
        <v>0.56679234875157658</v>
      </c>
      <c r="F22" s="260">
        <f>'MCS CARDS'!E36*(MISC!E15+MISC!E16+MISC!E17)</f>
        <v>44778489.602797709</v>
      </c>
      <c r="G22" s="474">
        <f>+F22/F$24</f>
        <v>1.9133658786054265E-2</v>
      </c>
      <c r="H22" s="279"/>
      <c r="I22" s="279"/>
      <c r="J22" s="555"/>
      <c r="K22" s="17"/>
      <c r="L22" s="17"/>
      <c r="M22" s="234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</row>
    <row r="23" spans="1:252" s="15" customFormat="1" ht="13.5" customHeight="1">
      <c r="A23" s="17"/>
      <c r="B23" s="383"/>
      <c r="C23" s="17"/>
      <c r="D23" s="11"/>
      <c r="E23" s="229"/>
      <c r="F23" s="260"/>
      <c r="G23" s="474"/>
      <c r="H23" s="279"/>
      <c r="I23" s="279"/>
      <c r="J23" s="555"/>
      <c r="K23" s="17"/>
      <c r="L23" s="17"/>
      <c r="M23" s="234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</row>
    <row r="24" spans="1:252" s="11" customFormat="1" ht="14.1" customHeight="1">
      <c r="A24" s="476"/>
      <c r="B24" s="424" t="s">
        <v>105</v>
      </c>
      <c r="D24" s="11" t="s">
        <v>106</v>
      </c>
      <c r="E24" s="4">
        <f>SUMPRODUCT(E16:E23,G16:G23)</f>
        <v>1.5814353770430776</v>
      </c>
      <c r="F24" s="425">
        <f>SUM(F16:F23)</f>
        <v>2340299369.9999971</v>
      </c>
      <c r="G24" s="426">
        <f>SUM(G16:G23)</f>
        <v>1</v>
      </c>
      <c r="H24" s="8"/>
      <c r="I24" s="8"/>
      <c r="J24" s="555"/>
      <c r="M24" s="2"/>
    </row>
    <row r="25" spans="1:252" s="11" customFormat="1" ht="14.1" customHeight="1">
      <c r="A25" s="476"/>
      <c r="B25" s="424"/>
      <c r="E25" s="4"/>
      <c r="F25" s="425"/>
      <c r="G25" s="426"/>
      <c r="H25" s="8"/>
      <c r="I25" s="8"/>
      <c r="J25" s="555"/>
      <c r="M25" s="2"/>
    </row>
    <row r="26" spans="1:252" s="11" customFormat="1" ht="14.1" customHeight="1" thickBot="1">
      <c r="B26" s="428" t="s">
        <v>107</v>
      </c>
      <c r="C26" s="429"/>
      <c r="D26" s="430" t="s">
        <v>108</v>
      </c>
      <c r="E26" s="431">
        <f>+E7/E24</f>
        <v>2.0504022645161077</v>
      </c>
      <c r="F26" s="101"/>
      <c r="G26" s="432"/>
      <c r="H26" s="4"/>
      <c r="I26" s="4"/>
      <c r="J26" s="555"/>
      <c r="M26" s="2"/>
    </row>
    <row r="27" spans="1:252" s="11" customFormat="1" ht="14.1" customHeight="1">
      <c r="A27" s="433"/>
      <c r="B27" s="433"/>
      <c r="C27" s="433"/>
      <c r="D27" s="433"/>
      <c r="E27" s="4"/>
      <c r="G27" s="35"/>
      <c r="H27" s="35"/>
      <c r="I27" s="35"/>
      <c r="J27" s="434"/>
      <c r="M27" s="2"/>
      <c r="IR27" s="11" t="s">
        <v>109</v>
      </c>
    </row>
    <row r="28" spans="1:252" s="13" customFormat="1" ht="14.1" customHeight="1">
      <c r="A28" s="555"/>
      <c r="B28" s="555"/>
      <c r="C28" s="555"/>
      <c r="D28" s="555"/>
      <c r="E28" s="555"/>
      <c r="F28" s="555"/>
      <c r="G28" s="555"/>
      <c r="H28" s="555"/>
      <c r="I28" s="555"/>
      <c r="J28" s="555"/>
      <c r="M28" s="55"/>
    </row>
    <row r="29" spans="1:252" s="15" customFormat="1" ht="14.1" customHeight="1" thickBot="1">
      <c r="A29" s="17"/>
      <c r="B29" s="7" t="s">
        <v>155</v>
      </c>
      <c r="C29" s="11"/>
      <c r="D29" s="11"/>
      <c r="E29" s="17"/>
      <c r="F29" s="17"/>
      <c r="G29" s="17"/>
      <c r="H29" s="17"/>
      <c r="I29" s="17"/>
      <c r="J29" s="17"/>
      <c r="K29" s="17"/>
      <c r="L29" s="17"/>
      <c r="M29" s="234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</row>
    <row r="30" spans="1:252" s="15" customFormat="1" ht="14.1" customHeight="1">
      <c r="A30" s="17"/>
      <c r="B30" s="444"/>
      <c r="C30" s="445"/>
      <c r="D30" s="445"/>
      <c r="E30" s="413"/>
      <c r="F30" s="415" t="s">
        <v>114</v>
      </c>
      <c r="G30" s="415" t="s">
        <v>18</v>
      </c>
      <c r="H30" s="415" t="s">
        <v>17</v>
      </c>
      <c r="I30" s="415" t="s">
        <v>115</v>
      </c>
      <c r="J30" s="446" t="s">
        <v>17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  <c r="HW30" s="17"/>
      <c r="HX30" s="17"/>
      <c r="HY30" s="17"/>
      <c r="HZ30" s="17"/>
      <c r="IA30" s="17"/>
      <c r="IB30" s="17"/>
      <c r="IC30" s="17"/>
      <c r="ID30" s="17"/>
      <c r="IE30" s="17"/>
      <c r="IF30" s="17"/>
      <c r="IG30" s="17"/>
      <c r="IH30" s="17"/>
      <c r="II30" s="17"/>
      <c r="IJ30" s="17"/>
      <c r="IK30" s="17"/>
      <c r="IL30" s="17"/>
      <c r="IM30" s="17"/>
      <c r="IN30" s="17"/>
      <c r="IO30" s="17"/>
      <c r="IP30" s="17"/>
      <c r="IQ30" s="17"/>
      <c r="IR30" s="17"/>
    </row>
    <row r="31" spans="1:252" s="15" customFormat="1" ht="14.1" customHeight="1">
      <c r="A31" s="17"/>
      <c r="B31" s="424"/>
      <c r="C31" s="17"/>
      <c r="D31" s="17"/>
      <c r="E31" s="4" t="s">
        <v>116</v>
      </c>
      <c r="F31" s="2" t="s">
        <v>117</v>
      </c>
      <c r="G31" s="2" t="s">
        <v>118</v>
      </c>
      <c r="H31" s="2" t="s">
        <v>18</v>
      </c>
      <c r="I31" s="2" t="s">
        <v>118</v>
      </c>
      <c r="J31" s="447" t="s">
        <v>119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</row>
    <row r="32" spans="1:252" s="15" customFormat="1" ht="14.1" customHeight="1">
      <c r="A32" s="17"/>
      <c r="B32" s="383"/>
      <c r="C32" s="11"/>
      <c r="D32" s="11"/>
      <c r="E32" s="4" t="s">
        <v>24</v>
      </c>
      <c r="F32" s="2" t="s">
        <v>24</v>
      </c>
      <c r="G32" s="2" t="s">
        <v>24</v>
      </c>
      <c r="H32" s="2" t="s">
        <v>24</v>
      </c>
      <c r="I32" s="2" t="s">
        <v>24</v>
      </c>
      <c r="J32" s="447" t="s">
        <v>24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</row>
    <row r="33" spans="1:11" s="15" customFormat="1" ht="14.1" customHeight="1">
      <c r="A33" s="17"/>
      <c r="B33" s="448" t="s">
        <v>120</v>
      </c>
      <c r="C33" s="87"/>
      <c r="D33" s="87"/>
      <c r="E33" s="99" t="s">
        <v>5</v>
      </c>
      <c r="F33" s="88" t="s">
        <v>6</v>
      </c>
      <c r="G33" s="88" t="s">
        <v>7</v>
      </c>
      <c r="H33" s="88" t="s">
        <v>8</v>
      </c>
      <c r="I33" s="88" t="s">
        <v>9</v>
      </c>
      <c r="J33" s="449" t="s">
        <v>10</v>
      </c>
      <c r="K33" s="17"/>
    </row>
    <row r="34" spans="1:11" s="15" customFormat="1" ht="14.1" customHeight="1">
      <c r="A34" s="17"/>
      <c r="B34" s="383" t="s">
        <v>156</v>
      </c>
      <c r="C34" s="17"/>
      <c r="D34" s="17"/>
      <c r="E34" s="229">
        <f>E16</f>
        <v>2.3696892653388288</v>
      </c>
      <c r="F34" s="229">
        <f t="shared" ref="F34:F40" si="0">+E34*$E$26</f>
        <v>4.858816235850246</v>
      </c>
      <c r="G34" s="229">
        <f t="shared" ref="G34:G40" si="1">+$E$8</f>
        <v>0.29703040973276229</v>
      </c>
      <c r="H34" s="229">
        <f t="shared" ref="H34:H40" si="2">F34+G34</f>
        <v>5.1558466455830079</v>
      </c>
      <c r="I34" s="229">
        <f t="shared" ref="I34:I40" si="3">E$9</f>
        <v>1.025748195631939E-3</v>
      </c>
      <c r="J34" s="477">
        <f t="shared" ref="J34:J40" si="4">+G34+F34+I34</f>
        <v>5.1568723937786398</v>
      </c>
      <c r="K34" s="17"/>
    </row>
    <row r="35" spans="1:11" s="15" customFormat="1" ht="14.1" customHeight="1">
      <c r="A35" s="17"/>
      <c r="B35" s="383" t="str">
        <f>B17</f>
        <v>Nonautomation MAADC BC-Benchmark</v>
      </c>
      <c r="C35" s="17"/>
      <c r="D35" s="17"/>
      <c r="E35" s="229">
        <f>E17</f>
        <v>2.8389671431073911</v>
      </c>
      <c r="F35" s="229">
        <f t="shared" si="0"/>
        <v>5.8210246591142196</v>
      </c>
      <c r="G35" s="229">
        <f t="shared" si="1"/>
        <v>0.29703040973276229</v>
      </c>
      <c r="H35" s="229">
        <f t="shared" si="2"/>
        <v>6.1180550688469815</v>
      </c>
      <c r="I35" s="229">
        <f t="shared" si="3"/>
        <v>1.025748195631939E-3</v>
      </c>
      <c r="J35" s="477">
        <f t="shared" si="4"/>
        <v>6.1190808170426134</v>
      </c>
      <c r="K35" s="17"/>
    </row>
    <row r="36" spans="1:11" s="11" customFormat="1" ht="14.1" customHeight="1">
      <c r="A36" s="433"/>
      <c r="B36" s="383" t="str">
        <f>B18</f>
        <v>Automation Mixed AADC</v>
      </c>
      <c r="C36" s="17"/>
      <c r="E36" s="229">
        <f>+E18</f>
        <v>2.6342773346508501</v>
      </c>
      <c r="F36" s="229">
        <f t="shared" si="0"/>
        <v>5.4013282123315598</v>
      </c>
      <c r="G36" s="229">
        <f t="shared" si="1"/>
        <v>0.29703040973276229</v>
      </c>
      <c r="H36" s="229">
        <f t="shared" si="2"/>
        <v>5.6983586220643225</v>
      </c>
      <c r="I36" s="229">
        <f t="shared" si="3"/>
        <v>1.025748195631939E-3</v>
      </c>
      <c r="J36" s="477">
        <f t="shared" si="4"/>
        <v>5.6993843702599545</v>
      </c>
    </row>
    <row r="37" spans="1:11" s="11" customFormat="1" ht="14.1" customHeight="1">
      <c r="A37" s="433"/>
      <c r="B37" s="383" t="str">
        <f>B19</f>
        <v>Automation AADC</v>
      </c>
      <c r="C37" s="17"/>
      <c r="E37" s="229">
        <f>+E19</f>
        <v>2.0286693490639043</v>
      </c>
      <c r="F37" s="229">
        <f t="shared" si="0"/>
        <v>4.159588227275048</v>
      </c>
      <c r="G37" s="229">
        <f t="shared" si="1"/>
        <v>0.29703040973276229</v>
      </c>
      <c r="H37" s="229">
        <f t="shared" si="2"/>
        <v>4.4566186370078107</v>
      </c>
      <c r="I37" s="229">
        <f t="shared" si="3"/>
        <v>1.025748195631939E-3</v>
      </c>
      <c r="J37" s="477">
        <f t="shared" si="4"/>
        <v>4.4576443852034426</v>
      </c>
    </row>
    <row r="38" spans="1:11" s="11" customFormat="1" ht="14.1" customHeight="1">
      <c r="B38" s="451" t="str">
        <f>B20</f>
        <v>Automation 3-Digit</v>
      </c>
      <c r="C38" s="17"/>
      <c r="E38" s="229">
        <f>+E20</f>
        <v>1.7108705255820991</v>
      </c>
      <c r="F38" s="229">
        <f t="shared" si="0"/>
        <v>3.5079727999473995</v>
      </c>
      <c r="G38" s="229">
        <f t="shared" si="1"/>
        <v>0.29703040973276229</v>
      </c>
      <c r="H38" s="229">
        <f t="shared" si="2"/>
        <v>3.8050032096801618</v>
      </c>
      <c r="I38" s="229">
        <f t="shared" si="3"/>
        <v>1.025748195631939E-3</v>
      </c>
      <c r="J38" s="477">
        <f t="shared" si="4"/>
        <v>3.8060289578757938</v>
      </c>
    </row>
    <row r="39" spans="1:11" s="11" customFormat="1" ht="14.1" customHeight="1">
      <c r="B39" s="451" t="s">
        <v>157</v>
      </c>
      <c r="C39" s="17"/>
      <c r="E39" s="229">
        <f>((E21*F21)+(E22*F22))/(F21+F22)</f>
        <v>1.0939670311550906</v>
      </c>
      <c r="F39" s="229">
        <f t="shared" si="0"/>
        <v>2.2430724779863613</v>
      </c>
      <c r="G39" s="229">
        <f t="shared" si="1"/>
        <v>0.29703040973276229</v>
      </c>
      <c r="H39" s="229">
        <f t="shared" si="2"/>
        <v>2.5401028877191236</v>
      </c>
      <c r="I39" s="229">
        <f t="shared" si="3"/>
        <v>1.025748195631939E-3</v>
      </c>
      <c r="J39" s="477">
        <f t="shared" si="4"/>
        <v>2.5411286359147556</v>
      </c>
    </row>
    <row r="40" spans="1:11" s="11" customFormat="1" ht="14.1" customHeight="1">
      <c r="B40" s="451" t="s">
        <v>104</v>
      </c>
      <c r="C40" s="17"/>
      <c r="E40" s="229">
        <f>E22</f>
        <v>0.56679234875157658</v>
      </c>
      <c r="F40" s="229">
        <f t="shared" si="0"/>
        <v>1.1621523153906361</v>
      </c>
      <c r="G40" s="229">
        <f t="shared" si="1"/>
        <v>0.29703040973276229</v>
      </c>
      <c r="H40" s="229">
        <f t="shared" si="2"/>
        <v>1.4591827251233984</v>
      </c>
      <c r="I40" s="229">
        <f t="shared" si="3"/>
        <v>1.025748195631939E-3</v>
      </c>
      <c r="J40" s="477">
        <f t="shared" si="4"/>
        <v>1.4602084733190304</v>
      </c>
    </row>
    <row r="41" spans="1:11" s="11" customFormat="1" ht="14.1" customHeight="1" thickBot="1">
      <c r="B41" s="478"/>
      <c r="C41" s="578"/>
      <c r="D41" s="101"/>
      <c r="E41" s="579"/>
      <c r="F41" s="579"/>
      <c r="G41" s="579"/>
      <c r="H41" s="579"/>
      <c r="I41" s="579"/>
      <c r="J41" s="580"/>
    </row>
    <row r="42" spans="1:11" s="15" customFormat="1" ht="14.1" customHeight="1">
      <c r="A42" s="17"/>
      <c r="B42" s="17"/>
      <c r="C42" s="17"/>
      <c r="D42" s="4"/>
      <c r="E42" s="4"/>
      <c r="F42" s="4"/>
      <c r="G42" s="4"/>
      <c r="H42" s="4"/>
      <c r="I42" s="4"/>
      <c r="J42" s="17"/>
      <c r="K42" s="17"/>
    </row>
    <row r="43" spans="1:11" s="15" customFormat="1" ht="14.1" customHeight="1">
      <c r="A43" s="17"/>
      <c r="B43" s="9" t="s">
        <v>136</v>
      </c>
      <c r="C43" s="17"/>
      <c r="D43" s="4"/>
      <c r="E43" s="4"/>
      <c r="F43" s="4"/>
      <c r="G43" s="4"/>
      <c r="H43" s="4"/>
      <c r="I43" s="4"/>
      <c r="J43" s="17"/>
      <c r="K43" s="17"/>
    </row>
    <row r="44" spans="1:11" s="216" customFormat="1" ht="14.1" customHeight="1">
      <c r="B44" s="217" t="s">
        <v>158</v>
      </c>
    </row>
    <row r="45" spans="1:11" s="386" customFormat="1" ht="14.1" customHeight="1">
      <c r="A45" s="11"/>
      <c r="B45" s="217" t="s">
        <v>159</v>
      </c>
      <c r="C45" s="216"/>
      <c r="D45" s="44"/>
      <c r="E45" s="44"/>
      <c r="F45" s="11"/>
      <c r="G45" s="11"/>
      <c r="H45" s="11"/>
      <c r="I45" s="11"/>
      <c r="J45" s="11"/>
    </row>
    <row r="46" spans="1:11" s="386" customFormat="1" ht="14.1" customHeight="1">
      <c r="A46" s="479"/>
      <c r="B46" s="11" t="s">
        <v>139</v>
      </c>
      <c r="E46" s="457"/>
      <c r="F46" s="458"/>
      <c r="H46" s="385"/>
      <c r="I46" s="385"/>
      <c r="J46" s="385"/>
    </row>
    <row r="47" spans="1:11" s="386" customFormat="1" ht="14.1" customHeight="1">
      <c r="A47" s="479"/>
      <c r="B47" s="11" t="s">
        <v>140</v>
      </c>
      <c r="E47" s="457"/>
      <c r="F47" s="458"/>
      <c r="H47" s="385"/>
      <c r="I47" s="385"/>
      <c r="J47" s="385"/>
    </row>
    <row r="48" spans="1:11" s="386" customFormat="1" ht="14.1" customHeight="1">
      <c r="A48" s="479"/>
      <c r="B48" s="11" t="s">
        <v>141</v>
      </c>
      <c r="E48" s="457"/>
      <c r="F48" s="480"/>
      <c r="G48" s="385"/>
      <c r="H48" s="387"/>
      <c r="I48" s="387"/>
      <c r="J48" s="387"/>
      <c r="K48" s="387"/>
    </row>
    <row r="49" spans="1:11" s="386" customFormat="1" ht="14.1" customHeight="1">
      <c r="A49" s="479"/>
      <c r="B49" s="11" t="s">
        <v>142</v>
      </c>
      <c r="E49" s="457"/>
      <c r="F49" s="481"/>
      <c r="G49" s="387"/>
      <c r="H49" s="388"/>
      <c r="I49" s="388"/>
      <c r="J49" s="388"/>
      <c r="K49" s="482"/>
    </row>
    <row r="50" spans="1:11" s="386" customFormat="1" ht="14.1" customHeight="1">
      <c r="A50" s="479"/>
      <c r="B50" s="34" t="s">
        <v>143</v>
      </c>
      <c r="E50" s="457"/>
      <c r="F50" s="481"/>
      <c r="G50" s="387"/>
      <c r="H50" s="388"/>
      <c r="I50" s="388"/>
      <c r="J50" s="388"/>
      <c r="K50" s="388"/>
    </row>
    <row r="51" spans="1:11" s="386" customFormat="1" ht="14.1" customHeight="1">
      <c r="A51" s="479"/>
      <c r="B51" s="34" t="s">
        <v>160</v>
      </c>
      <c r="E51" s="457"/>
      <c r="F51" s="481"/>
      <c r="G51" s="387"/>
      <c r="H51" s="388"/>
      <c r="I51" s="388"/>
      <c r="J51" s="388"/>
      <c r="K51" s="388"/>
    </row>
    <row r="52" spans="1:11" s="386" customFormat="1" ht="14.1" customHeight="1">
      <c r="A52" s="479"/>
      <c r="B52" s="34" t="s">
        <v>145</v>
      </c>
      <c r="E52" s="457"/>
      <c r="F52" s="458"/>
      <c r="G52" s="385"/>
      <c r="H52" s="385"/>
      <c r="I52" s="385"/>
      <c r="J52" s="385"/>
    </row>
    <row r="53" spans="1:11" s="386" customFormat="1" ht="14.1" customHeight="1">
      <c r="A53" s="479"/>
      <c r="B53" s="34"/>
      <c r="E53" s="457"/>
      <c r="F53" s="458"/>
      <c r="G53" s="385"/>
      <c r="H53" s="385"/>
      <c r="I53" s="385"/>
      <c r="J53" s="385"/>
    </row>
    <row r="54" spans="1:11" s="386" customFormat="1" ht="14.1" customHeight="1">
      <c r="A54" s="479"/>
      <c r="B54" s="34" t="s">
        <v>161</v>
      </c>
      <c r="E54" s="457"/>
      <c r="F54" s="458"/>
      <c r="G54" s="385"/>
      <c r="H54" s="385"/>
      <c r="I54" s="385"/>
      <c r="J54" s="385"/>
    </row>
    <row r="55" spans="1:11" s="386" customFormat="1" ht="14.1" customHeight="1">
      <c r="A55" s="479"/>
      <c r="B55" s="34" t="s">
        <v>162</v>
      </c>
      <c r="E55" s="457"/>
      <c r="F55" s="458"/>
      <c r="G55" s="385"/>
      <c r="H55" s="385"/>
      <c r="I55" s="385"/>
      <c r="J55" s="385"/>
    </row>
    <row r="56" spans="1:11" s="386" customFormat="1" ht="14.1" customHeight="1">
      <c r="A56" s="479"/>
      <c r="B56" s="34" t="s">
        <v>148</v>
      </c>
      <c r="E56" s="457"/>
      <c r="F56" s="458"/>
      <c r="G56" s="385"/>
      <c r="H56" s="385"/>
      <c r="I56" s="385"/>
      <c r="J56" s="385"/>
    </row>
    <row r="57" spans="1:11" s="386" customFormat="1" ht="14.1" customHeight="1">
      <c r="A57" s="479"/>
      <c r="B57" s="34" t="s">
        <v>163</v>
      </c>
      <c r="E57" s="457"/>
      <c r="F57" s="458"/>
      <c r="G57" s="385"/>
      <c r="H57" s="385"/>
      <c r="I57" s="385"/>
      <c r="J57" s="385"/>
    </row>
    <row r="58" spans="1:11" s="456" customFormat="1" ht="14.1" customHeight="1">
      <c r="A58" s="483"/>
      <c r="B58" s="217" t="s">
        <v>150</v>
      </c>
      <c r="E58" s="484"/>
      <c r="F58" s="485"/>
      <c r="G58" s="486"/>
      <c r="H58" s="486"/>
      <c r="I58" s="486"/>
      <c r="J58" s="486"/>
    </row>
    <row r="59" spans="1:11" ht="14.1" customHeight="1">
      <c r="A59" s="479"/>
    </row>
    <row r="60" spans="1:11" ht="14.1" customHeight="1">
      <c r="A60" s="479"/>
      <c r="B60" s="386"/>
    </row>
    <row r="61" spans="1:11" ht="14.1" customHeight="1">
      <c r="A61" s="479"/>
      <c r="B61" s="386"/>
    </row>
    <row r="62" spans="1:11" ht="14.1" customHeight="1"/>
    <row r="63" spans="1:11" ht="14.1" customHeight="1"/>
    <row r="64" spans="1:11" ht="14.1" customHeight="1"/>
    <row r="65" ht="14.1" customHeight="1"/>
    <row r="66" ht="14.1" customHeight="1"/>
    <row r="67" ht="14.1" customHeight="1"/>
    <row r="68" ht="14.1" customHeight="1"/>
    <row r="69" ht="14.1" customHeight="1"/>
    <row r="70" ht="14.1" customHeight="1"/>
    <row r="71" ht="14.1" customHeight="1"/>
    <row r="72" ht="14.1" customHeight="1"/>
    <row r="73" ht="14.1" customHeight="1"/>
    <row r="74" ht="14.1" customHeight="1"/>
    <row r="75" ht="14.1" customHeight="1"/>
    <row r="76" ht="14.1" customHeight="1"/>
    <row r="77" ht="14.1" customHeight="1"/>
    <row r="78" ht="14.1" customHeight="1"/>
    <row r="79" ht="14.1" customHeight="1"/>
    <row r="80" ht="14.1" customHeight="1"/>
    <row r="81" ht="13.5" customHeight="1"/>
    <row r="82" ht="14.1" customHeight="1"/>
    <row r="83" ht="14.1" customHeight="1"/>
    <row r="84" ht="14.1" customHeight="1"/>
    <row r="85" ht="14.1" customHeight="1"/>
    <row r="86" ht="14.1" customHeight="1"/>
    <row r="87" ht="14.1" customHeight="1"/>
    <row r="88" ht="14.1" customHeight="1"/>
    <row r="89" ht="14.1" customHeight="1"/>
    <row r="90" ht="14.1" customHeight="1"/>
    <row r="91" ht="14.1" customHeight="1"/>
    <row r="92" ht="14.1" customHeight="1"/>
    <row r="93" ht="14.1" customHeight="1"/>
    <row r="94" ht="14.1" customHeight="1"/>
    <row r="95" ht="14.1" customHeight="1"/>
    <row r="96" ht="14.1" customHeight="1"/>
    <row r="97" ht="14.1" customHeight="1"/>
    <row r="98" ht="14.1" customHeight="1"/>
    <row r="99" ht="14.1" customHeight="1"/>
    <row r="100" ht="14.1" customHeight="1"/>
    <row r="101" ht="14.1" customHeight="1"/>
    <row r="102" ht="14.1" customHeight="1"/>
    <row r="103" ht="14.1" customHeight="1"/>
    <row r="104" ht="14.1" customHeight="1"/>
    <row r="105" ht="14.1" customHeight="1"/>
    <row r="106" ht="14.1" customHeight="1"/>
    <row r="107" ht="14.1" customHeight="1"/>
    <row r="108" ht="14.1" customHeight="1"/>
    <row r="109" ht="14.1" customHeight="1"/>
    <row r="110" ht="14.1" customHeight="1"/>
    <row r="111" ht="14.1" customHeight="1"/>
    <row r="112" ht="14.1" customHeight="1"/>
    <row r="113" ht="14.1" customHeight="1"/>
    <row r="114" ht="14.1" customHeight="1"/>
    <row r="115" ht="14.1" customHeight="1"/>
    <row r="116" ht="14.1" customHeight="1"/>
    <row r="117" ht="14.1" customHeight="1"/>
    <row r="118" ht="14.1" customHeight="1"/>
    <row r="119" ht="14.1" customHeight="1"/>
    <row r="120" ht="14.1" customHeight="1"/>
    <row r="121" ht="14.1" customHeight="1"/>
    <row r="122" ht="14.1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</sheetData>
  <phoneticPr fontId="11" type="noConversion"/>
  <printOptions horizontalCentered="1"/>
  <pageMargins left="0.75" right="0.75" top="1" bottom="1" header="0.5" footer="0.5"/>
  <pageSetup scale="62" orientation="portrait" r:id="rId1"/>
  <headerFooter alignWithMargins="0">
    <oddHeader>&amp;RPage 31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F3F5-8552-4296-8781-6F6A4ABD0031}">
  <sheetPr>
    <pageSetUpPr fitToPage="1"/>
  </sheetPr>
  <dimension ref="A1:Q29"/>
  <sheetViews>
    <sheetView tabSelected="1" topLeftCell="F1" zoomScale="75" zoomScaleNormal="75" workbookViewId="0"/>
  </sheetViews>
  <sheetFormatPr defaultColWidth="9.140625" defaultRowHeight="15.6"/>
  <cols>
    <col min="1" max="1" width="5.7109375" style="512" customWidth="1"/>
    <col min="2" max="2" width="25.7109375" style="512" customWidth="1"/>
    <col min="3" max="3" width="34.5703125" style="512" bestFit="1" customWidth="1"/>
    <col min="4" max="7" width="12.7109375" style="513" customWidth="1"/>
    <col min="8" max="8" width="14.85546875" style="525" customWidth="1"/>
    <col min="9" max="9" width="12.7109375" style="513" customWidth="1"/>
    <col min="10" max="14" width="12.7109375" style="515" customWidth="1"/>
    <col min="15" max="15" width="12.7109375" style="526" customWidth="1"/>
    <col min="16" max="16" width="12.7109375" style="527" customWidth="1"/>
    <col min="17" max="17" width="18.7109375" style="514" customWidth="1"/>
    <col min="18" max="30" width="9.7109375" style="512" customWidth="1"/>
    <col min="31" max="16384" width="9.140625" style="512"/>
  </cols>
  <sheetData>
    <row r="1" spans="1:17" ht="23.1">
      <c r="A1" s="511" t="s">
        <v>164</v>
      </c>
      <c r="H1" s="514"/>
      <c r="I1" s="515"/>
      <c r="O1" s="514"/>
      <c r="P1" s="512"/>
      <c r="Q1" s="512"/>
    </row>
    <row r="2" spans="1:17">
      <c r="A2" s="7"/>
      <c r="H2" s="514"/>
      <c r="I2" s="515"/>
      <c r="O2" s="514"/>
      <c r="P2" s="512"/>
      <c r="Q2" s="512"/>
    </row>
    <row r="3" spans="1:17" s="13" customFormat="1">
      <c r="A3" s="7"/>
      <c r="D3" s="516"/>
      <c r="E3" s="516"/>
      <c r="F3" s="516"/>
      <c r="G3" s="516"/>
      <c r="H3" s="517"/>
      <c r="I3" s="470"/>
      <c r="J3" s="470"/>
      <c r="K3" s="470"/>
      <c r="L3" s="470"/>
      <c r="M3" s="470"/>
      <c r="N3" s="470"/>
      <c r="O3" s="517"/>
    </row>
    <row r="4" spans="1:17" s="13" customFormat="1">
      <c r="A4" s="7"/>
      <c r="D4" s="518" t="s">
        <v>2</v>
      </c>
      <c r="E4" s="518" t="s">
        <v>3</v>
      </c>
      <c r="F4" s="519" t="s">
        <v>4</v>
      </c>
      <c r="G4" s="518" t="s">
        <v>5</v>
      </c>
      <c r="H4" s="519" t="s">
        <v>6</v>
      </c>
      <c r="I4" s="518" t="s">
        <v>7</v>
      </c>
      <c r="J4" s="518" t="s">
        <v>8</v>
      </c>
      <c r="K4" s="518" t="s">
        <v>9</v>
      </c>
      <c r="L4" s="518" t="s">
        <v>10</v>
      </c>
      <c r="M4" s="518" t="s">
        <v>46</v>
      </c>
      <c r="N4" s="518" t="s">
        <v>165</v>
      </c>
      <c r="O4" s="519"/>
    </row>
    <row r="5" spans="1:17" s="13" customFormat="1">
      <c r="A5" s="7"/>
      <c r="D5" s="516"/>
      <c r="E5" s="516"/>
      <c r="F5" s="516"/>
      <c r="G5" s="518" t="s">
        <v>166</v>
      </c>
      <c r="H5" s="517"/>
      <c r="I5" s="470"/>
      <c r="J5" s="470"/>
      <c r="K5" s="470"/>
      <c r="L5" s="470"/>
      <c r="M5" s="470"/>
      <c r="N5" s="518"/>
      <c r="O5" s="519"/>
    </row>
    <row r="6" spans="1:17">
      <c r="D6" s="520" t="s">
        <v>167</v>
      </c>
      <c r="E6" s="520" t="s">
        <v>168</v>
      </c>
      <c r="F6" s="520" t="s">
        <v>89</v>
      </c>
      <c r="G6" s="518" t="s">
        <v>168</v>
      </c>
      <c r="H6" s="514"/>
      <c r="I6" s="518" t="s">
        <v>169</v>
      </c>
      <c r="K6" s="518" t="s">
        <v>170</v>
      </c>
      <c r="L6" s="518" t="s">
        <v>170</v>
      </c>
      <c r="M6" s="518" t="s">
        <v>17</v>
      </c>
      <c r="N6" s="518" t="s">
        <v>17</v>
      </c>
      <c r="O6" s="519"/>
      <c r="P6" s="512"/>
      <c r="Q6" s="512"/>
    </row>
    <row r="7" spans="1:17">
      <c r="D7" s="518" t="s">
        <v>171</v>
      </c>
      <c r="E7" s="518" t="s">
        <v>171</v>
      </c>
      <c r="F7" s="518" t="s">
        <v>172</v>
      </c>
      <c r="G7" s="518" t="s">
        <v>171</v>
      </c>
      <c r="H7" s="519" t="s">
        <v>173</v>
      </c>
      <c r="I7" s="518" t="s">
        <v>174</v>
      </c>
      <c r="J7" s="518" t="s">
        <v>175</v>
      </c>
      <c r="K7" s="518" t="s">
        <v>176</v>
      </c>
      <c r="L7" s="518" t="s">
        <v>176</v>
      </c>
      <c r="M7" s="518" t="s">
        <v>174</v>
      </c>
      <c r="N7" s="518" t="s">
        <v>174</v>
      </c>
      <c r="O7" s="519"/>
      <c r="P7" s="512"/>
      <c r="Q7" s="512"/>
    </row>
    <row r="8" spans="1:17">
      <c r="A8" s="521" t="s">
        <v>177</v>
      </c>
      <c r="C8" s="522" t="s">
        <v>178</v>
      </c>
      <c r="D8" s="523" t="s">
        <v>179</v>
      </c>
      <c r="E8" s="523" t="s">
        <v>180</v>
      </c>
      <c r="F8" s="523" t="s">
        <v>181</v>
      </c>
      <c r="G8" s="523" t="s">
        <v>180</v>
      </c>
      <c r="H8" s="524" t="s">
        <v>182</v>
      </c>
      <c r="I8" s="523" t="s">
        <v>183</v>
      </c>
      <c r="J8" s="523" t="s">
        <v>181</v>
      </c>
      <c r="K8" s="523" t="s">
        <v>181</v>
      </c>
      <c r="L8" s="523" t="s">
        <v>184</v>
      </c>
      <c r="M8" s="523" t="s">
        <v>183</v>
      </c>
      <c r="N8" s="523" t="s">
        <v>185</v>
      </c>
      <c r="O8" s="524"/>
      <c r="P8" s="512"/>
      <c r="Q8" s="512"/>
    </row>
    <row r="9" spans="1:17">
      <c r="A9" s="521"/>
      <c r="D9" s="523"/>
      <c r="E9" s="523"/>
      <c r="F9" s="523"/>
      <c r="G9" s="523"/>
      <c r="H9" s="524"/>
      <c r="I9" s="523"/>
      <c r="J9" s="523"/>
      <c r="K9" s="523"/>
      <c r="L9" s="523"/>
      <c r="M9" s="523"/>
      <c r="O9" s="514"/>
      <c r="P9" s="512"/>
      <c r="Q9" s="512"/>
    </row>
    <row r="10" spans="1:17">
      <c r="A10" s="13" t="s">
        <v>186</v>
      </c>
      <c r="C10" s="512" t="s">
        <v>187</v>
      </c>
      <c r="D10" s="546">
        <f>SUM('[2]FCM PCS PER TRAY'!$B$18:$B$20)/SUM('[2]FCM PCS PER TRAY'!$C$18:$C$20)</f>
        <v>509.10861289035887</v>
      </c>
      <c r="E10" s="470">
        <f>PRODUCTIVITY!$D$6</f>
        <v>85.837148173784783</v>
      </c>
      <c r="F10" s="470">
        <f>PRODUCTIVITY!$G$6</f>
        <v>0.94969999999999999</v>
      </c>
      <c r="G10" s="470">
        <f>E10/F10</f>
        <v>90.383434951863521</v>
      </c>
      <c r="H10" s="517">
        <f>'WAGE RATES - PIGGYBACK FACTORS'!$D$5</f>
        <v>50.10717457546064</v>
      </c>
      <c r="I10" s="470">
        <f>H10*100/G10</f>
        <v>55.43844909429118</v>
      </c>
      <c r="J10" s="470">
        <f>'WAGE RATES - PIGGYBACK FACTORS'!$D$16</f>
        <v>1.5358044573278811</v>
      </c>
      <c r="K10" s="535">
        <f>'WAGE RATES - PIGGYBACK FACTORS'!D8</f>
        <v>1.0126974442214889</v>
      </c>
      <c r="L10" s="470">
        <f>I10*(K10-1)</f>
        <v>0.70392661510061327</v>
      </c>
      <c r="M10" s="470">
        <f>I10*J10+L10</f>
        <v>85.846543841457844</v>
      </c>
      <c r="N10" s="515">
        <f>M10/D10</f>
        <v>0.16862127582969347</v>
      </c>
      <c r="O10" s="514"/>
      <c r="P10" s="512"/>
      <c r="Q10" s="512"/>
    </row>
    <row r="11" spans="1:17">
      <c r="A11" s="13" t="s">
        <v>186</v>
      </c>
      <c r="C11" s="512" t="s">
        <v>188</v>
      </c>
      <c r="D11" s="546">
        <f>SUM('[2]FCM PCS PER TRAY'!$B$10:$B$12)/SUM('[2]FCM PCS PER TRAY'!$C$10:$C$12)</f>
        <v>247.34550393096612</v>
      </c>
      <c r="E11" s="470">
        <f>PRODUCTIVITY!$D$6</f>
        <v>85.837148173784783</v>
      </c>
      <c r="F11" s="470">
        <f>PRODUCTIVITY!$G$6</f>
        <v>0.94969999999999999</v>
      </c>
      <c r="G11" s="470">
        <f t="shared" ref="G11:G12" si="0">E11/F11</f>
        <v>90.383434951863521</v>
      </c>
      <c r="H11" s="517">
        <f>'WAGE RATES - PIGGYBACK FACTORS'!$D$5</f>
        <v>50.10717457546064</v>
      </c>
      <c r="I11" s="470">
        <f>H11*100/G11</f>
        <v>55.43844909429118</v>
      </c>
      <c r="J11" s="470">
        <f>'WAGE RATES - PIGGYBACK FACTORS'!$D$16</f>
        <v>1.5358044573278811</v>
      </c>
      <c r="K11" s="535">
        <f>'WAGE RATES - PIGGYBACK FACTORS'!D9</f>
        <v>1.0210631968009072</v>
      </c>
      <c r="L11" s="470">
        <f>I11*(K11-1)</f>
        <v>1.1677109636101295</v>
      </c>
      <c r="M11" s="470">
        <f>I11*J11+L11</f>
        <v>86.310328189967365</v>
      </c>
      <c r="N11" s="515">
        <f>M11/D11</f>
        <v>0.34894642036451362</v>
      </c>
      <c r="O11" s="514"/>
      <c r="P11" s="512"/>
      <c r="Q11" s="512"/>
    </row>
    <row r="12" spans="1:17">
      <c r="A12" s="13" t="s">
        <v>189</v>
      </c>
      <c r="C12" s="512" t="s">
        <v>190</v>
      </c>
      <c r="D12" s="546">
        <f>SUM('[2]FCM PCS PER TRAY'!$C$30:$C$38)/SUM('[2]FCM PCS PER TRAY'!$D$30:$D$38)</f>
        <v>51.222967677360742</v>
      </c>
      <c r="E12" s="470">
        <f>PRODUCTIVITY!$D$6</f>
        <v>85.837148173784783</v>
      </c>
      <c r="F12" s="470">
        <f>PRODUCTIVITY!$G$6</f>
        <v>0.94969999999999999</v>
      </c>
      <c r="G12" s="470">
        <f t="shared" si="0"/>
        <v>90.383434951863521</v>
      </c>
      <c r="H12" s="517">
        <f>'WAGE RATES - PIGGYBACK FACTORS'!$D$5</f>
        <v>50.10717457546064</v>
      </c>
      <c r="I12" s="470">
        <f>H12*100/G12</f>
        <v>55.43844909429118</v>
      </c>
      <c r="J12" s="470">
        <f>'WAGE RATES - PIGGYBACK FACTORS'!$D$16</f>
        <v>1.5358044573278811</v>
      </c>
      <c r="K12" s="535">
        <f>'WAGE RATES - PIGGYBACK FACTORS'!D10</f>
        <v>1.0289187345367075</v>
      </c>
      <c r="L12" s="470">
        <f>I12*(K12-1)</f>
        <v>1.6032097924845765</v>
      </c>
      <c r="M12" s="470">
        <f>I12*J12+L12</f>
        <v>86.745827018841808</v>
      </c>
      <c r="N12" s="515">
        <f>M12/D12</f>
        <v>1.6934947534713276</v>
      </c>
      <c r="O12" s="514"/>
      <c r="P12" s="512"/>
      <c r="Q12" s="512"/>
    </row>
    <row r="13" spans="1:17">
      <c r="A13" s="13"/>
      <c r="D13" s="470"/>
      <c r="E13" s="470"/>
      <c r="F13" s="470"/>
      <c r="G13" s="470"/>
      <c r="H13" s="517"/>
      <c r="I13" s="470"/>
      <c r="J13" s="470"/>
      <c r="K13" s="470"/>
      <c r="L13" s="470"/>
      <c r="M13" s="470"/>
      <c r="O13" s="514"/>
      <c r="P13" s="512"/>
      <c r="Q13" s="512"/>
    </row>
    <row r="14" spans="1:17">
      <c r="A14" s="7"/>
      <c r="D14" s="523"/>
      <c r="E14" s="523"/>
      <c r="F14" s="523"/>
      <c r="G14" s="470"/>
      <c r="H14" s="517"/>
      <c r="I14" s="470"/>
      <c r="J14" s="470"/>
      <c r="K14" s="470"/>
      <c r="L14" s="470"/>
      <c r="M14" s="470"/>
      <c r="N14" s="470"/>
      <c r="O14" s="519"/>
      <c r="P14" s="512"/>
      <c r="Q14" s="512"/>
    </row>
    <row r="15" spans="1:17">
      <c r="A15" s="522" t="s">
        <v>65</v>
      </c>
    </row>
    <row r="16" spans="1:17">
      <c r="A16" s="528" t="s">
        <v>2</v>
      </c>
      <c r="B16" s="7" t="s">
        <v>191</v>
      </c>
      <c r="C16" s="7"/>
      <c r="K16" s="529"/>
      <c r="L16" s="530"/>
      <c r="M16" s="531"/>
    </row>
    <row r="17" spans="1:13">
      <c r="A17" s="528" t="s">
        <v>3</v>
      </c>
      <c r="B17" s="7" t="s">
        <v>192</v>
      </c>
      <c r="C17" s="7"/>
      <c r="K17" s="529"/>
      <c r="L17" s="530"/>
      <c r="M17" s="531"/>
    </row>
    <row r="18" spans="1:13">
      <c r="A18" s="528" t="s">
        <v>4</v>
      </c>
      <c r="B18" s="7" t="s">
        <v>193</v>
      </c>
      <c r="C18" s="7"/>
      <c r="K18" s="529"/>
      <c r="L18" s="530"/>
      <c r="M18" s="531"/>
    </row>
    <row r="19" spans="1:13">
      <c r="A19" s="528" t="s">
        <v>5</v>
      </c>
      <c r="B19" s="7" t="s">
        <v>194</v>
      </c>
      <c r="C19" s="7"/>
      <c r="K19" s="529"/>
      <c r="L19" s="531"/>
      <c r="M19" s="531"/>
    </row>
    <row r="20" spans="1:13">
      <c r="A20" s="528" t="s">
        <v>6</v>
      </c>
      <c r="B20" s="532" t="s">
        <v>193</v>
      </c>
      <c r="C20" s="532"/>
      <c r="K20" s="529"/>
      <c r="L20" s="531"/>
      <c r="M20" s="531"/>
    </row>
    <row r="21" spans="1:13">
      <c r="A21" s="528" t="s">
        <v>7</v>
      </c>
      <c r="B21" s="7" t="s">
        <v>195</v>
      </c>
      <c r="C21" s="7"/>
      <c r="K21" s="529"/>
      <c r="L21" s="531"/>
      <c r="M21" s="531"/>
    </row>
    <row r="22" spans="1:13">
      <c r="A22" s="528" t="s">
        <v>8</v>
      </c>
      <c r="B22" s="532" t="s">
        <v>196</v>
      </c>
      <c r="C22" s="532"/>
      <c r="K22" s="529"/>
      <c r="L22" s="531"/>
      <c r="M22" s="531"/>
    </row>
    <row r="23" spans="1:13">
      <c r="A23" s="529" t="s">
        <v>9</v>
      </c>
      <c r="B23" s="532" t="s">
        <v>193</v>
      </c>
      <c r="C23" s="532"/>
    </row>
    <row r="24" spans="1:13">
      <c r="A24" s="533" t="s">
        <v>10</v>
      </c>
      <c r="B24" s="534" t="s">
        <v>197</v>
      </c>
      <c r="C24" s="534"/>
      <c r="D24" s="529"/>
      <c r="E24" s="529"/>
      <c r="F24" s="529"/>
      <c r="G24" s="531"/>
    </row>
    <row r="25" spans="1:13">
      <c r="A25" s="533" t="s">
        <v>46</v>
      </c>
      <c r="B25" s="534" t="s">
        <v>198</v>
      </c>
      <c r="C25" s="534"/>
    </row>
    <row r="26" spans="1:13">
      <c r="A26" s="533" t="s">
        <v>165</v>
      </c>
      <c r="B26" s="534" t="s">
        <v>199</v>
      </c>
      <c r="C26" s="534"/>
    </row>
    <row r="27" spans="1:13">
      <c r="A27" s="533"/>
      <c r="B27" s="534"/>
      <c r="C27" s="534"/>
    </row>
    <row r="28" spans="1:13">
      <c r="A28" s="533"/>
      <c r="B28" s="534"/>
      <c r="C28" s="534"/>
    </row>
    <row r="29" spans="1:13">
      <c r="A29" s="533"/>
      <c r="B29" s="534"/>
      <c r="C29" s="534"/>
    </row>
  </sheetData>
  <printOptions horizontalCentered="1"/>
  <pageMargins left="0.7" right="0.7" top="0.75" bottom="0.75" header="0.3" footer="0.3"/>
  <pageSetup scale="63" orientation="portrait" r:id="rId1"/>
  <headerFooter>
    <oddHeader>&amp;RPage 33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0B22-4712-4CD5-914A-88B515D3CDDF}">
  <dimension ref="A1:N58"/>
  <sheetViews>
    <sheetView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style="22" customWidth="1"/>
    <col min="15" max="30" width="9.7109375" customWidth="1"/>
  </cols>
  <sheetData>
    <row r="1" spans="1:14" s="13" customFormat="1" ht="15.6">
      <c r="A1" s="72" t="s">
        <v>200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  <c r="N1" s="487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4" ht="15.6">
      <c r="A3" s="107" t="s">
        <v>202</v>
      </c>
      <c r="B3" s="78"/>
      <c r="C3" s="108">
        <f>+'MACH INCOMING MODEL'!N4</f>
        <v>10000.000000000004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4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4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  <c r="N5" s="286"/>
    </row>
    <row r="6" spans="1:14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  <c r="N6" s="286"/>
    </row>
    <row r="7" spans="1:14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4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4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4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4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3"/>
    </row>
    <row r="12" spans="1:14" ht="12.95">
      <c r="A12" s="11" t="s">
        <v>208</v>
      </c>
      <c r="B12" s="555"/>
      <c r="H12" s="3"/>
      <c r="I12" s="3"/>
      <c r="K12" s="3"/>
      <c r="L12" s="3"/>
      <c r="M12" s="3"/>
    </row>
    <row r="13" spans="1:14">
      <c r="A13" s="17"/>
      <c r="B13" s="555" t="s">
        <v>209</v>
      </c>
      <c r="C13" s="22">
        <f>+AADC_BENCH_MODEL!G18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3"/>
    </row>
    <row r="14" spans="1:14">
      <c r="A14" s="17"/>
      <c r="B14" s="555" t="s">
        <v>210</v>
      </c>
      <c r="C14" s="22">
        <f>+AADC_BENCH_MODEL!G25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3"/>
    </row>
    <row r="15" spans="1:14">
      <c r="A15" s="17"/>
      <c r="B15" s="555" t="s">
        <v>212</v>
      </c>
      <c r="C15" s="22">
        <f>+AADC_BENCH_MODEL!G32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3"/>
    </row>
    <row r="16" spans="1:14">
      <c r="A16" s="17"/>
      <c r="B16" s="555" t="s">
        <v>213</v>
      </c>
      <c r="C16" s="22">
        <f>+AADC_BENCH_MODEL!G39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3"/>
    </row>
    <row r="17" spans="1:13">
      <c r="A17" s="17"/>
      <c r="B17" s="555" t="s">
        <v>214</v>
      </c>
      <c r="C17" s="22">
        <f>+AADC_BENCH_MODEL!C32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  <c r="M17" s="3"/>
    </row>
    <row r="18" spans="1:13" ht="12.95">
      <c r="A18" s="11" t="s">
        <v>215</v>
      </c>
      <c r="B18" s="555"/>
      <c r="H18" s="3"/>
      <c r="I18" s="3"/>
      <c r="K18" s="3"/>
      <c r="L18" s="3"/>
      <c r="M18" s="3"/>
    </row>
    <row r="19" spans="1:13">
      <c r="A19" s="17"/>
      <c r="B19" s="555" t="s">
        <v>216</v>
      </c>
      <c r="C19" s="22">
        <f>+AADC_BENCH_MODEL!S16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  <c r="M19" s="3"/>
    </row>
    <row r="20" spans="1:13">
      <c r="A20" s="17"/>
      <c r="B20" s="555" t="s">
        <v>217</v>
      </c>
      <c r="C20" s="22">
        <f>+AADC_BENCH_MODEL!AA16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  <c r="M20" s="3"/>
    </row>
    <row r="21" spans="1:13" ht="12.95">
      <c r="A21" s="11" t="s">
        <v>218</v>
      </c>
      <c r="B21" s="555"/>
      <c r="H21" s="3"/>
      <c r="I21" s="3"/>
      <c r="K21" s="3"/>
      <c r="L21" s="3"/>
      <c r="M21" s="3"/>
    </row>
    <row r="22" spans="1:13">
      <c r="A22" s="17"/>
      <c r="B22" s="555" t="s">
        <v>216</v>
      </c>
      <c r="C22" s="22">
        <f>+AADC_BENCH_MODEL!S24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  <c r="M22" s="3"/>
    </row>
    <row r="23" spans="1:13">
      <c r="A23" s="17"/>
      <c r="B23" s="555" t="s">
        <v>217</v>
      </c>
      <c r="C23" s="22">
        <f>+AADC_BENCH_MODEL!AA24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  <c r="M23" s="3"/>
    </row>
    <row r="24" spans="1:13" ht="12.95">
      <c r="A24" s="11" t="s">
        <v>219</v>
      </c>
      <c r="B24" s="555"/>
      <c r="H24" s="3"/>
      <c r="I24" s="3"/>
      <c r="K24" s="3"/>
      <c r="L24" s="3"/>
      <c r="M24" s="3"/>
    </row>
    <row r="25" spans="1:13">
      <c r="A25" s="17"/>
      <c r="B25" s="555" t="s">
        <v>209</v>
      </c>
      <c r="C25" s="22">
        <f>+AADC_BENCH_MODEL!G51</f>
        <v>10045.164726614701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1.4797231856800113</v>
      </c>
      <c r="M25" s="3"/>
    </row>
    <row r="26" spans="1:13">
      <c r="A26" s="17"/>
      <c r="B26" s="555" t="s">
        <v>210</v>
      </c>
      <c r="C26" s="22">
        <f>+AADC_BENCH_MODEL!G58</f>
        <v>663.7512997321893</v>
      </c>
      <c r="E26" s="163" t="s">
        <v>211</v>
      </c>
      <c r="F26" s="163"/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1.8511719116825594E-2</v>
      </c>
      <c r="M26" s="3"/>
    </row>
    <row r="27" spans="1:13">
      <c r="A27" s="17"/>
      <c r="B27" s="555" t="s">
        <v>212</v>
      </c>
      <c r="C27" s="22">
        <f>+AADC_BENCH_MODEL!G65</f>
        <v>13.407776254590221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1.0993509106638289E-2</v>
      </c>
      <c r="M27" s="3"/>
    </row>
    <row r="28" spans="1:13">
      <c r="A28" s="17"/>
      <c r="B28" s="555" t="s">
        <v>213</v>
      </c>
      <c r="C28" s="22">
        <f>+AADC_BENCH_MODEL!G72</f>
        <v>671.98310736251358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9.8987822640188308E-2</v>
      </c>
      <c r="M28" s="3"/>
    </row>
    <row r="29" spans="1:13">
      <c r="A29" s="17"/>
      <c r="B29" s="555" t="s">
        <v>214</v>
      </c>
      <c r="C29" s="22">
        <f>+AADC_BENCH_MODEL!C65</f>
        <v>1.3776554909938092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1.2045444888989052E-3</v>
      </c>
      <c r="M29" s="3"/>
    </row>
    <row r="30" spans="1:13" ht="12.95">
      <c r="A30" s="11" t="s">
        <v>220</v>
      </c>
      <c r="B30" s="555"/>
      <c r="H30" s="3"/>
      <c r="I30" s="3"/>
      <c r="K30" s="3"/>
      <c r="L30" s="3"/>
      <c r="M30" s="3"/>
    </row>
    <row r="31" spans="1:13">
      <c r="A31" s="17"/>
      <c r="B31" s="555" t="s">
        <v>58</v>
      </c>
      <c r="C31" s="22">
        <f>+AADC_BENCH_MODEL!S32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  <c r="M31" s="3"/>
    </row>
    <row r="32" spans="1:13">
      <c r="A32" s="17"/>
      <c r="B32" s="555" t="s">
        <v>221</v>
      </c>
      <c r="C32" s="22">
        <f>+AADC_BENCH_MODEL!AA32</f>
        <v>336.09032193343103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0.18308156473616116</v>
      </c>
      <c r="M32" s="3"/>
    </row>
    <row r="33" spans="1:14" ht="12.95">
      <c r="A33" s="11" t="s">
        <v>222</v>
      </c>
      <c r="B33" s="555"/>
      <c r="H33" s="3"/>
      <c r="I33" s="3"/>
      <c r="K33" s="3"/>
      <c r="L33" s="3"/>
      <c r="M33" s="3"/>
    </row>
    <row r="34" spans="1:14">
      <c r="A34" s="17"/>
      <c r="B34" s="555" t="s">
        <v>216</v>
      </c>
      <c r="C34" s="22">
        <f>+AADC_BENCH_MODEL!S40</f>
        <v>835.74916584658433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7.0363321081025665E-2</v>
      </c>
      <c r="M34" s="3"/>
    </row>
    <row r="35" spans="1:14">
      <c r="A35" s="17"/>
      <c r="B35" s="555" t="s">
        <v>217</v>
      </c>
      <c r="C35" s="22">
        <f>+AADC_BENCH_MODEL!AA40</f>
        <v>198.68896527269354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0.11868430718923237</v>
      </c>
      <c r="M35" s="3"/>
    </row>
    <row r="36" spans="1:14" ht="12.95">
      <c r="A36" s="11" t="s">
        <v>223</v>
      </c>
      <c r="B36" s="555"/>
      <c r="H36" s="3"/>
      <c r="I36" s="3"/>
      <c r="K36" s="3"/>
      <c r="L36" s="3"/>
      <c r="M36" s="3"/>
    </row>
    <row r="37" spans="1:14">
      <c r="A37" s="555"/>
      <c r="B37" s="555" t="s">
        <v>224</v>
      </c>
      <c r="C37" s="22">
        <f>+AADC_BENCH_MODEL!W49</f>
        <v>338.03129709907779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2.2116306204114831E-2</v>
      </c>
      <c r="M37" s="3"/>
    </row>
    <row r="38" spans="1:14">
      <c r="A38" s="555"/>
      <c r="B38" s="555" t="s">
        <v>225</v>
      </c>
      <c r="C38" s="22">
        <f>+AADC_BENCH_MODEL!W56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3"/>
    </row>
    <row r="39" spans="1:14">
      <c r="A39" s="555"/>
      <c r="B39" s="555" t="s">
        <v>226</v>
      </c>
      <c r="C39" s="22">
        <f>+AADC_BENCH_MODEL!W63</f>
        <v>18414.501807076893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2.2830501919975634</v>
      </c>
      <c r="M39" s="3"/>
    </row>
    <row r="40" spans="1:14">
      <c r="A40" s="555"/>
      <c r="B40" s="555" t="s">
        <v>227</v>
      </c>
      <c r="C40" s="22">
        <f>+AADC_BENCH_MODEL!AA74*(1-MISC!E9)</f>
        <v>630.96063585262914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0.51491720199081659</v>
      </c>
      <c r="M40" s="3"/>
    </row>
    <row r="41" spans="1:14">
      <c r="A41" s="555"/>
      <c r="B41" s="555" t="s">
        <v>228</v>
      </c>
      <c r="C41" s="22">
        <f>+MISC!E10*(AADC_BENCH_MODEL!AE64+AADC_BENCH_MODEL!AE57)</f>
        <v>414.82449265036746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0.14030114531367521</v>
      </c>
      <c r="M41" s="3"/>
    </row>
    <row r="42" spans="1:14">
      <c r="A42" s="552"/>
      <c r="B42" s="552" t="s">
        <v>229</v>
      </c>
      <c r="C42" s="71">
        <f>+MISC!E10*(AADC_BENCH_MODEL!AE75+AADC_BENCH_MODEL!AE50)</f>
        <v>43.520511947547973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2.9438848375931633E-2</v>
      </c>
      <c r="M42" s="3"/>
    </row>
    <row r="43" spans="1:14" ht="9" customHeight="1" thickBot="1">
      <c r="A43" s="555"/>
      <c r="B43" s="555"/>
      <c r="H43" s="3"/>
      <c r="I43" s="3"/>
      <c r="K43" s="3"/>
      <c r="L43" s="4"/>
      <c r="M43" s="555"/>
    </row>
    <row r="44" spans="1:14" ht="13.5" thickBot="1">
      <c r="A44" s="555"/>
      <c r="B44" s="555"/>
      <c r="H44" s="3"/>
      <c r="J44" s="490" t="s">
        <v>230</v>
      </c>
      <c r="K44" s="491"/>
      <c r="L44" s="492">
        <f>SUM(L11:L42)</f>
        <v>4.9713736679210827</v>
      </c>
      <c r="M44" s="555"/>
    </row>
    <row r="45" spans="1:14" ht="9" customHeight="1" thickBot="1">
      <c r="A45" s="555"/>
      <c r="B45" s="555"/>
      <c r="H45" s="3"/>
      <c r="J45" s="34"/>
      <c r="K45" s="1"/>
      <c r="L45" s="2"/>
      <c r="M45" s="555"/>
    </row>
    <row r="46" spans="1:14" ht="13.5" thickBot="1">
      <c r="A46" s="555"/>
      <c r="B46" s="555"/>
      <c r="J46" s="493" t="s">
        <v>231</v>
      </c>
      <c r="K46" s="494"/>
      <c r="L46" s="495">
        <f>+('MACH INCOMING MODEL'!AE57+'MACH INCOMING MODEL'!AE64)/C3</f>
        <v>0.90229116412190491</v>
      </c>
      <c r="M46" s="11"/>
    </row>
    <row r="47" spans="1:14" ht="12.95">
      <c r="A47" s="9" t="s">
        <v>65</v>
      </c>
      <c r="B47" s="555"/>
      <c r="G47" s="9"/>
      <c r="M47" s="555"/>
    </row>
    <row r="48" spans="1:14" s="11" customFormat="1" ht="12.95">
      <c r="A48" s="216" t="s">
        <v>232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  <c r="N48" s="23"/>
    </row>
    <row r="49" spans="1:14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  <c r="N49" s="23"/>
    </row>
    <row r="50" spans="1:14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  <c r="N50" s="23"/>
    </row>
    <row r="51" spans="1:14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  <c r="N51" s="23"/>
    </row>
    <row r="52" spans="1:14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  <c r="M52" s="35"/>
      <c r="N52" s="23"/>
    </row>
    <row r="53" spans="1:14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  <c r="N53" s="23"/>
    </row>
    <row r="54" spans="1:14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  <c r="M54" s="35"/>
      <c r="N54" s="23"/>
    </row>
    <row r="55" spans="1:14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  <c r="N55" s="23"/>
    </row>
    <row r="56" spans="1:14" s="11" customFormat="1" ht="12.95">
      <c r="C56" s="23"/>
      <c r="D56" s="23"/>
      <c r="E56" s="23"/>
      <c r="F56" s="23"/>
      <c r="H56" s="35"/>
      <c r="I56" s="2"/>
      <c r="J56" s="4"/>
      <c r="K56" s="35"/>
      <c r="L56" s="35"/>
      <c r="M56" s="35"/>
      <c r="N56" s="23"/>
    </row>
    <row r="57" spans="1:14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  <c r="N57" s="23"/>
    </row>
    <row r="58" spans="1:14" ht="12.95">
      <c r="A58" s="40" t="s">
        <v>241</v>
      </c>
      <c r="B58" s="11"/>
      <c r="G58" s="40"/>
      <c r="M58" s="555"/>
    </row>
  </sheetData>
  <pageMargins left="0.7" right="0.7" top="0.75" bottom="0.75" header="0.3" footer="0.3"/>
  <pageSetup orientation="portrait" horizontalDpi="300" verticalDpi="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3E982-542F-49D0-BA44-FE5EB8BDBEDC}">
  <dimension ref="A1:AI100"/>
  <sheetViews>
    <sheetView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9.425781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1.425781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242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10000.000000000002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f>E4</f>
        <v>10000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336.09032193343103</v>
      </c>
      <c r="AB32" s="140">
        <f>+Q7+N64+N72+V30+AD16+AD24</f>
        <v>336.09032193343103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147.18900577411472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188.90131615931631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51.499959498578818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835.74916584658433</v>
      </c>
      <c r="T40" s="140">
        <f>+K9+N18+N44+N49+N76+W18+W25+W33</f>
        <v>835.74916584658433</v>
      </c>
      <c r="U40" s="42"/>
      <c r="V40" s="42"/>
      <c r="W40" s="46"/>
      <c r="X40" s="42"/>
      <c r="AA40" s="125">
        <f>+AB40</f>
        <v>198.68896527269354</v>
      </c>
      <c r="AB40" s="140">
        <f>+Q8+V38+AD33+AD25+AD17</f>
        <v>198.68896527269354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784.24920634800549</v>
      </c>
      <c r="W41" s="44" t="s">
        <v>257</v>
      </c>
      <c r="X41" s="42"/>
      <c r="AA41" s="146"/>
      <c r="AB41" s="145"/>
      <c r="AC41" s="555"/>
      <c r="AD41" s="42">
        <f>+AB40</f>
        <v>198.68896527269354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19.477669439083087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9024.5715339016006</v>
      </c>
      <c r="J48" s="555"/>
      <c r="K48" s="119">
        <f>+I48+I49</f>
        <v>9041.0288814772794</v>
      </c>
      <c r="L48" s="119"/>
      <c r="M48" s="46"/>
      <c r="N48" s="42">
        <f>+K48*DENSITY!E13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338.03129709907779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16.457347575678344</v>
      </c>
      <c r="J49" s="555"/>
      <c r="K49" s="42"/>
      <c r="L49" s="42"/>
      <c r="M49" s="46"/>
      <c r="N49" s="42">
        <f>+K48*DENSITY!F13</f>
        <v>781.8815156394578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338.03129709907779</v>
      </c>
      <c r="X49" s="140">
        <f>+V48</f>
        <v>338.03129709907779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+K48*DENSITY!G13</f>
        <v>8259.1473658378236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318.55362765999473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+H51*(1+DENSITY!B13)+C53+E59</f>
        <v>10045.164726614701</v>
      </c>
      <c r="H51" s="125">
        <f>+K7</f>
        <v>10000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1.3776554909938092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1.7788063667607656</v>
      </c>
      <c r="H54" s="42">
        <f>ACCEPT!F6*'MACH INCOMING MODEL'!H51</f>
        <v>661.97249336542848</v>
      </c>
      <c r="I54" s="50"/>
      <c r="J54" s="42"/>
      <c r="M54" s="555"/>
      <c r="N54" s="555"/>
      <c r="O54" s="555"/>
      <c r="Q54" s="58"/>
      <c r="S54" s="292" t="s">
        <v>257</v>
      </c>
      <c r="T54" s="288"/>
      <c r="U54" s="555"/>
      <c r="V54" s="42"/>
      <c r="W54" s="292" t="s">
        <v>280</v>
      </c>
      <c r="X54" s="288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288"/>
      <c r="J56" s="555"/>
      <c r="M56" s="555"/>
      <c r="N56" s="555"/>
      <c r="O56" s="555"/>
      <c r="Q56" s="58"/>
      <c r="S56" s="125">
        <f>+T56</f>
        <v>9612.409718567993</v>
      </c>
      <c r="T56" s="140">
        <f>+K10+N19+N45+N50+N77+W19+W26+W34+V41</f>
        <v>9612.409718567993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663.7512997321893</v>
      </c>
      <c r="H58" s="125">
        <f>+H54</f>
        <v>661.97249336542848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16.8584984514453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3.5931888608567455E-2</v>
      </c>
      <c r="H61" s="91">
        <f>+J62</f>
        <v>13.371844365981653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292" t="s">
        <v>283</v>
      </c>
      <c r="X61" s="288"/>
      <c r="Z61" s="42">
        <f>+X63-AE64</f>
        <v>223.89268498153615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3.5931888608567455E-2</v>
      </c>
      <c r="J62" s="43">
        <f>+H58*((1-MISC!E6))</f>
        <v>13.371844365981653</v>
      </c>
      <c r="K62" s="48">
        <f>+G54*MISC!E6</f>
        <v>1.7428744781521981</v>
      </c>
      <c r="L62" s="553">
        <f>+H58*MISC!E6</f>
        <v>648.60064899944678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288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9274.3784214689149</v>
      </c>
      <c r="W63" s="125">
        <f>+X63+X63*ACCEPT!C20</f>
        <v>18414.501807076893</v>
      </c>
      <c r="X63" s="140">
        <f>+V63</f>
        <v>9274.3784214689149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1.1039155175546222</v>
      </c>
      <c r="N64" s="159">
        <f>+M64+M65</f>
        <v>1.106881882427291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9050.4857364873787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1.3776554909938092</v>
      </c>
      <c r="D65" s="142">
        <f>+D69</f>
        <v>1.3776554909938092</v>
      </c>
      <c r="E65" s="555"/>
      <c r="F65" s="555"/>
      <c r="G65" s="125">
        <f>+G61+H65</f>
        <v>13.407776254590221</v>
      </c>
      <c r="H65" s="125">
        <f>+H61</f>
        <v>13.371844365981653</v>
      </c>
      <c r="I65" s="50"/>
      <c r="J65" s="51"/>
      <c r="M65" s="143">
        <f>+I62*MISC!E5</f>
        <v>2.9663648726687701E-3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3.2965523735898686E-2</v>
      </c>
      <c r="H68" s="91">
        <f>+J68</f>
        <v>12.267928848427031</v>
      </c>
      <c r="I68" s="50">
        <f>+I62-M65</f>
        <v>3.2965523735898686E-2</v>
      </c>
      <c r="J68" s="42">
        <f>+J62-M64</f>
        <v>12.267928848427031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1.3776554909938092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288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671.98310736251358</v>
      </c>
      <c r="H72" s="125">
        <f>+J68+L62</f>
        <v>660.86857784787378</v>
      </c>
      <c r="I72" s="42"/>
      <c r="J72" s="555"/>
      <c r="K72" s="42">
        <f>+H72*ACCEPT!C13</f>
        <v>20.715320291796022</v>
      </c>
      <c r="L72" s="42"/>
      <c r="M72" s="555"/>
      <c r="N72" s="150">
        <f>+K72+K73+H51*ACCEPT!G6</f>
        <v>334.98344005100375</v>
      </c>
      <c r="O72" s="45" t="s">
        <v>270</v>
      </c>
      <c r="Q72" s="58"/>
      <c r="S72" s="555"/>
      <c r="T72" s="555"/>
      <c r="U72" s="555"/>
      <c r="X72" s="555"/>
      <c r="AA72" s="293" t="s">
        <v>255</v>
      </c>
      <c r="AB72" s="288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9.3386895127516567</v>
      </c>
      <c r="F73" s="555"/>
      <c r="G73" s="128"/>
      <c r="H73" s="127"/>
      <c r="J73" s="555"/>
      <c r="K73" s="162">
        <f>+(G72-H72)*(1-ACCEPT!C9)</f>
        <v>0.81214702623707291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630.96063585262914</v>
      </c>
      <c r="AB74" s="140">
        <f>+Q9+AD41+AD34+AD26+AD18+Z47+Z54+Z61+Z67</f>
        <v>630.96063585262914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612.5784141008869</v>
      </c>
      <c r="J75" s="555"/>
      <c r="K75" s="119">
        <f>+H75+H76</f>
        <v>622.88079658928962</v>
      </c>
      <c r="L75" s="119"/>
      <c r="M75" s="11"/>
      <c r="N75" s="42">
        <f>+K75*DENSITY!E13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630.96063585262914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10.302382488402726</v>
      </c>
      <c r="J76" s="555"/>
      <c r="M76" s="555"/>
      <c r="N76" s="42">
        <f>+K75*DENSITY!F13</f>
        <v>53.867650207126538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+K75*DENSITY!G13</f>
        <v>569.0131463821632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300" verticalDpi="0" copies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pageSetUpPr fitToPage="1"/>
  </sheetPr>
  <dimension ref="A1:BR82"/>
  <sheetViews>
    <sheetView zoomScale="115" zoomScaleNormal="115" workbookViewId="0"/>
  </sheetViews>
  <sheetFormatPr defaultColWidth="8.85546875" defaultRowHeight="12.6"/>
  <cols>
    <col min="1" max="1" width="13.42578125" customWidth="1"/>
    <col min="2" max="2" width="13.140625" customWidth="1"/>
    <col min="3" max="3" width="13.7109375" style="267" customWidth="1"/>
    <col min="4" max="4" width="1.7109375" customWidth="1"/>
    <col min="5" max="5" width="13.7109375" style="18" customWidth="1"/>
    <col min="6" max="6" width="1.85546875" style="18" customWidth="1"/>
    <col min="7" max="7" width="13.42578125" style="18" customWidth="1"/>
    <col min="8" max="8" width="12.7109375" style="18" customWidth="1"/>
    <col min="9" max="9" width="2.140625" customWidth="1"/>
    <col min="10" max="10" width="8.85546875" style="255"/>
    <col min="11" max="11" width="1.85546875" customWidth="1"/>
    <col min="12" max="12" width="19.28515625" customWidth="1"/>
    <col min="13" max="13" width="12.140625" customWidth="1"/>
    <col min="39" max="39" width="11.42578125" customWidth="1"/>
    <col min="61" max="61" width="9.7109375" bestFit="1" customWidth="1"/>
    <col min="68" max="68" width="6.7109375" bestFit="1" customWidth="1"/>
  </cols>
  <sheetData>
    <row r="1" spans="1:70" ht="15.6">
      <c r="A1" s="72" t="s">
        <v>288</v>
      </c>
      <c r="B1" s="78"/>
      <c r="C1" s="597"/>
      <c r="D1" s="78"/>
      <c r="E1" s="82"/>
      <c r="F1" s="82"/>
      <c r="G1" s="82"/>
      <c r="H1" s="82"/>
      <c r="I1" s="555"/>
      <c r="J1" s="17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55"/>
      <c r="AX1" s="555"/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555"/>
      <c r="BJ1" s="555"/>
      <c r="BK1" s="555"/>
      <c r="BL1" s="555"/>
      <c r="BM1" s="555"/>
      <c r="BN1" s="555"/>
      <c r="BO1" s="555"/>
      <c r="BP1" s="555"/>
      <c r="BQ1" s="555"/>
      <c r="BR1" s="555"/>
    </row>
    <row r="2" spans="1:70" ht="15.6">
      <c r="A2" s="72" t="s">
        <v>289</v>
      </c>
      <c r="B2" s="78"/>
      <c r="C2" s="597"/>
      <c r="D2" s="78"/>
      <c r="E2" s="82"/>
      <c r="F2" s="82"/>
      <c r="G2" s="82"/>
      <c r="H2" s="82"/>
      <c r="I2" s="555"/>
      <c r="J2" s="17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5"/>
      <c r="AR2" s="555"/>
      <c r="AS2" s="555"/>
      <c r="AT2" s="555"/>
      <c r="AU2" s="555"/>
      <c r="AV2" s="555"/>
      <c r="AW2" s="555"/>
      <c r="AX2" s="555"/>
      <c r="AY2" s="555"/>
      <c r="AZ2" s="555"/>
      <c r="BA2" s="555"/>
      <c r="BB2" s="555"/>
      <c r="BC2" s="555"/>
      <c r="BD2" s="555"/>
      <c r="BE2" s="555"/>
      <c r="BF2" s="555"/>
      <c r="BG2" s="555"/>
      <c r="BH2" s="555"/>
      <c r="BI2" s="555"/>
      <c r="BJ2" s="555"/>
      <c r="BK2" s="555"/>
      <c r="BL2" s="555"/>
      <c r="BM2" s="555"/>
      <c r="BN2" s="555"/>
      <c r="BO2" s="555"/>
      <c r="BP2" s="555"/>
      <c r="BQ2" s="555"/>
      <c r="BR2" s="555"/>
    </row>
    <row r="3" spans="1:70" s="174" customFormat="1" ht="12.95">
      <c r="A3" s="217" t="s">
        <v>290</v>
      </c>
      <c r="B3" s="222"/>
      <c r="C3" s="597"/>
      <c r="D3" s="222"/>
      <c r="E3" s="235"/>
      <c r="F3" s="235"/>
      <c r="G3" s="235"/>
      <c r="H3" s="235"/>
      <c r="J3" s="17"/>
      <c r="L3" s="538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555"/>
      <c r="AS3" s="555"/>
      <c r="AT3" s="555"/>
      <c r="AU3" s="555"/>
      <c r="AV3" s="555"/>
      <c r="AW3" s="555"/>
      <c r="AX3" s="555"/>
      <c r="AY3" s="555"/>
      <c r="AZ3" s="555"/>
      <c r="BA3" s="555"/>
      <c r="BB3" s="555"/>
      <c r="BC3" s="555"/>
      <c r="BD3" s="555"/>
      <c r="BE3" s="555"/>
      <c r="BF3" s="555"/>
      <c r="BG3" s="555"/>
      <c r="BH3" s="555"/>
      <c r="BI3" s="555"/>
      <c r="BJ3" s="555"/>
      <c r="BK3" s="555"/>
      <c r="BL3" s="555"/>
      <c r="BM3" s="555"/>
      <c r="BN3" s="555"/>
      <c r="BO3" s="555"/>
      <c r="BP3" s="555"/>
      <c r="BQ3" s="555"/>
      <c r="BR3" s="555"/>
    </row>
    <row r="4" spans="1:70" ht="12.95">
      <c r="A4" s="11" t="s">
        <v>291</v>
      </c>
      <c r="B4" s="555"/>
      <c r="C4" s="301"/>
      <c r="D4" s="555"/>
      <c r="G4" s="236"/>
      <c r="I4" s="555"/>
      <c r="J4" s="17"/>
      <c r="K4" s="203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5"/>
      <c r="AQ4" s="555"/>
      <c r="AR4" s="555"/>
      <c r="AS4" s="555"/>
      <c r="AT4" s="555"/>
      <c r="AU4" s="555"/>
      <c r="AV4" s="555"/>
      <c r="AW4" s="555"/>
      <c r="AX4" s="555"/>
      <c r="AY4" s="555"/>
      <c r="AZ4" s="555"/>
      <c r="BA4" s="555"/>
      <c r="BB4" s="555"/>
      <c r="BC4" s="555"/>
      <c r="BD4" s="555"/>
      <c r="BE4" s="555"/>
      <c r="BF4" s="555"/>
      <c r="BG4" s="555"/>
      <c r="BH4" s="555"/>
      <c r="BI4" s="555"/>
      <c r="BJ4" s="555"/>
      <c r="BK4" s="555"/>
      <c r="BL4" s="555"/>
      <c r="BM4" s="555"/>
      <c r="BN4" s="555"/>
      <c r="BO4" s="555"/>
      <c r="BP4" s="555"/>
      <c r="BQ4" s="555"/>
      <c r="BR4" s="555"/>
    </row>
    <row r="5" spans="1:70" ht="12.95">
      <c r="A5" s="555"/>
      <c r="B5" s="555"/>
      <c r="C5" s="301"/>
      <c r="D5" s="555"/>
      <c r="E5" s="83" t="s">
        <v>292</v>
      </c>
      <c r="F5" s="83"/>
      <c r="G5" s="223"/>
      <c r="H5" s="554"/>
      <c r="I5" s="555"/>
      <c r="J5" s="17"/>
      <c r="K5" s="555"/>
      <c r="L5" s="245"/>
      <c r="M5" s="245"/>
      <c r="N5" s="245"/>
      <c r="O5" s="55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</row>
    <row r="6" spans="1:70" ht="39.6" thickBot="1">
      <c r="A6" s="224" t="s">
        <v>293</v>
      </c>
      <c r="B6" s="225"/>
      <c r="C6" s="598" t="s">
        <v>294</v>
      </c>
      <c r="D6" s="226"/>
      <c r="E6" s="227" t="s">
        <v>295</v>
      </c>
      <c r="F6" s="226"/>
      <c r="G6" s="226" t="s">
        <v>296</v>
      </c>
      <c r="H6" s="226" t="s">
        <v>297</v>
      </c>
      <c r="I6" s="555"/>
      <c r="J6" s="17"/>
      <c r="K6" s="555"/>
      <c r="L6" s="2" t="s">
        <v>298</v>
      </c>
      <c r="M6" s="2" t="s">
        <v>299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555"/>
      <c r="BB6" s="555"/>
      <c r="BC6" s="555"/>
      <c r="BD6" s="555"/>
      <c r="BE6" s="555"/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  <c r="BQ6" s="555"/>
      <c r="BR6" s="555"/>
    </row>
    <row r="7" spans="1:70" ht="12.95" thickTop="1">
      <c r="A7" s="555" t="s">
        <v>300</v>
      </c>
      <c r="B7" s="303" t="s">
        <v>301</v>
      </c>
      <c r="C7" s="368">
        <f>'[3]LTTR Unit Costs  Final Adj.'!$O$6</f>
        <v>6.7974750131136883</v>
      </c>
      <c r="D7" s="234"/>
      <c r="E7" s="229">
        <f>+C7</f>
        <v>6.7974750131136883</v>
      </c>
      <c r="F7" s="1"/>
      <c r="G7" s="3"/>
      <c r="H7" s="1"/>
      <c r="I7" s="554"/>
      <c r="J7" s="599"/>
      <c r="K7" s="555"/>
      <c r="L7" s="242" t="s">
        <v>302</v>
      </c>
      <c r="M7" s="555" t="s">
        <v>303</v>
      </c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55"/>
      <c r="AC7" s="555"/>
      <c r="AD7" s="555"/>
      <c r="AE7" s="555"/>
      <c r="AF7" s="555"/>
      <c r="AG7" s="555"/>
      <c r="AH7" s="555"/>
      <c r="AI7" s="555"/>
      <c r="AJ7" s="555"/>
      <c r="AK7" s="555"/>
      <c r="AL7" s="555"/>
      <c r="AM7" s="555"/>
      <c r="AN7" s="555"/>
      <c r="AO7" s="555"/>
      <c r="AP7" s="555"/>
      <c r="AQ7" s="555"/>
      <c r="AR7" s="555"/>
      <c r="AS7" s="555"/>
      <c r="AT7" s="555"/>
      <c r="AU7" s="555"/>
      <c r="AV7" s="555"/>
      <c r="AW7" s="555"/>
      <c r="AX7" s="555"/>
      <c r="AY7" s="555"/>
      <c r="AZ7" s="555"/>
      <c r="BA7" s="555"/>
      <c r="BB7" s="555"/>
      <c r="BC7" s="555"/>
      <c r="BD7" s="555"/>
      <c r="BE7" s="555"/>
      <c r="BF7" s="555"/>
      <c r="BG7" s="555"/>
      <c r="BH7" s="555"/>
      <c r="BI7" s="555"/>
      <c r="BJ7" s="555"/>
      <c r="BK7" s="555"/>
      <c r="BL7" s="555"/>
      <c r="BM7" s="555"/>
      <c r="BN7" s="555"/>
      <c r="BO7" s="555"/>
      <c r="BP7" s="555"/>
      <c r="BQ7" s="555"/>
      <c r="BR7" s="555"/>
    </row>
    <row r="8" spans="1:70">
      <c r="A8" s="304" t="s">
        <v>304</v>
      </c>
      <c r="B8" s="305" t="s">
        <v>305</v>
      </c>
      <c r="C8" s="368">
        <f>'[3]LTTR Unit Costs  Final Adj.'!$O$7</f>
        <v>0.30217283066289491</v>
      </c>
      <c r="D8" s="234"/>
      <c r="E8" s="229">
        <f>+C8</f>
        <v>0.30217283066289491</v>
      </c>
      <c r="F8" s="1"/>
      <c r="G8" s="229"/>
      <c r="H8" s="229"/>
      <c r="I8" s="554"/>
      <c r="J8" s="599"/>
      <c r="K8" s="555"/>
      <c r="L8" s="244" t="s">
        <v>306</v>
      </c>
      <c r="M8" s="555" t="s">
        <v>307</v>
      </c>
      <c r="N8" s="555"/>
      <c r="O8" s="555"/>
      <c r="P8" s="555"/>
      <c r="Q8" s="555"/>
      <c r="R8" s="555"/>
      <c r="S8" s="555"/>
      <c r="T8" s="555"/>
      <c r="U8" s="555"/>
      <c r="V8" s="555"/>
      <c r="W8" s="555"/>
      <c r="X8" s="555"/>
      <c r="Y8" s="555"/>
      <c r="Z8" s="555"/>
      <c r="AA8" s="555"/>
      <c r="AB8" s="555"/>
      <c r="AC8" s="555"/>
      <c r="AD8" s="555"/>
      <c r="AE8" s="555"/>
      <c r="AF8" s="555"/>
      <c r="AG8" s="555"/>
      <c r="AH8" s="555"/>
      <c r="AI8" s="555"/>
      <c r="AJ8" s="555"/>
      <c r="AK8" s="555"/>
      <c r="AL8" s="555"/>
      <c r="AM8" s="555"/>
      <c r="AN8" s="555"/>
      <c r="AO8" s="555"/>
      <c r="AP8" s="555"/>
      <c r="AQ8" s="555"/>
      <c r="AR8" s="555"/>
      <c r="AS8" s="555"/>
      <c r="AT8" s="555"/>
      <c r="AU8" s="555"/>
      <c r="AV8" s="555"/>
      <c r="AW8" s="555"/>
      <c r="AX8" s="555"/>
      <c r="AY8" s="555"/>
      <c r="AZ8" s="555"/>
      <c r="BA8" s="555"/>
      <c r="BB8" s="555"/>
      <c r="BC8" s="555"/>
      <c r="BD8" s="555"/>
      <c r="BE8" s="555"/>
      <c r="BF8" s="555"/>
      <c r="BG8" s="555"/>
      <c r="BH8" s="555"/>
      <c r="BI8" s="555"/>
      <c r="BJ8" s="555"/>
      <c r="BK8" s="555"/>
      <c r="BL8" s="555"/>
      <c r="BM8" s="555"/>
      <c r="BN8" s="555"/>
      <c r="BO8" s="555"/>
      <c r="BP8" s="555"/>
      <c r="BQ8" s="555"/>
      <c r="BR8" s="555"/>
    </row>
    <row r="9" spans="1:70">
      <c r="A9" s="174"/>
      <c r="B9" s="174"/>
      <c r="C9" s="368"/>
      <c r="D9" s="234"/>
      <c r="E9" s="229"/>
      <c r="F9" s="1"/>
      <c r="G9" s="229"/>
      <c r="H9" s="229"/>
      <c r="I9" s="554"/>
      <c r="J9" s="599"/>
      <c r="K9" s="555"/>
      <c r="L9" s="243" t="s">
        <v>308</v>
      </c>
      <c r="M9" s="555" t="s">
        <v>309</v>
      </c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  <c r="BQ9" s="555"/>
      <c r="BR9" s="555"/>
    </row>
    <row r="10" spans="1:70">
      <c r="A10" s="304" t="s">
        <v>304</v>
      </c>
      <c r="B10" s="305" t="s">
        <v>310</v>
      </c>
      <c r="C10" s="368">
        <v>0</v>
      </c>
      <c r="D10" s="234"/>
      <c r="E10" s="229">
        <f>+C10</f>
        <v>0</v>
      </c>
      <c r="F10" s="1"/>
      <c r="G10" s="229"/>
      <c r="H10" s="229"/>
      <c r="I10" s="554"/>
      <c r="J10" s="599"/>
      <c r="K10" s="555"/>
      <c r="L10" s="241" t="s">
        <v>311</v>
      </c>
      <c r="M10" s="555" t="str">
        <f>IF(N10=1,"Piggybacked","Non WS")</f>
        <v>Piggybacked</v>
      </c>
      <c r="N10" s="17">
        <v>1</v>
      </c>
      <c r="O10" s="555"/>
      <c r="P10" s="555"/>
      <c r="Q10" s="555"/>
      <c r="R10" s="555"/>
      <c r="S10" s="555"/>
      <c r="T10" s="555"/>
      <c r="U10" s="555"/>
      <c r="V10" s="555"/>
      <c r="W10" s="555"/>
      <c r="X10" s="555"/>
      <c r="Y10" s="555"/>
      <c r="Z10" s="555"/>
      <c r="AA10" s="555"/>
      <c r="AB10" s="555"/>
      <c r="AC10" s="555"/>
      <c r="AD10" s="555"/>
      <c r="AE10" s="555"/>
      <c r="AF10" s="555"/>
      <c r="AG10" s="555"/>
      <c r="AH10" s="555"/>
      <c r="AI10" s="555"/>
      <c r="AJ10" s="555"/>
      <c r="AK10" s="555"/>
      <c r="AL10" s="555"/>
      <c r="AM10" s="555"/>
      <c r="AN10" s="555"/>
      <c r="AO10" s="555"/>
      <c r="AP10" s="555"/>
      <c r="AQ10" s="555"/>
      <c r="AR10" s="555"/>
      <c r="AS10" s="555"/>
      <c r="AT10" s="555"/>
      <c r="AU10" s="555"/>
      <c r="AV10" s="555"/>
      <c r="AW10" s="555"/>
      <c r="AX10" s="555"/>
      <c r="AY10" s="555"/>
      <c r="AZ10" s="555"/>
      <c r="BA10" s="555"/>
      <c r="BB10" s="555"/>
      <c r="BC10" s="555"/>
      <c r="BD10" s="555"/>
      <c r="BE10" s="555"/>
      <c r="BF10" s="555"/>
      <c r="BG10" s="555"/>
      <c r="BH10" s="555"/>
      <c r="BI10" s="555"/>
      <c r="BJ10" s="555"/>
      <c r="BK10" s="555"/>
      <c r="BL10" s="555"/>
      <c r="BM10" s="555"/>
      <c r="BN10" s="555"/>
      <c r="BO10" s="555"/>
      <c r="BP10" s="555"/>
      <c r="BQ10" s="555"/>
      <c r="BR10" s="555"/>
    </row>
    <row r="11" spans="1:70">
      <c r="A11" s="174"/>
      <c r="B11" s="174"/>
      <c r="C11" s="368"/>
      <c r="D11" s="234"/>
      <c r="E11" s="229"/>
      <c r="F11" s="1"/>
      <c r="G11" s="229"/>
      <c r="H11" s="229"/>
      <c r="I11" s="554"/>
      <c r="J11" s="599"/>
      <c r="K11" s="555"/>
      <c r="L11" s="555"/>
      <c r="M11" s="555"/>
      <c r="N11" s="555"/>
      <c r="O11" s="555"/>
      <c r="P11" s="555"/>
      <c r="Q11" s="555"/>
      <c r="R11" s="555"/>
      <c r="S11" s="55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/>
      <c r="BB11" s="555"/>
      <c r="BC11" s="555"/>
      <c r="BD11" s="555"/>
      <c r="BE11" s="555"/>
      <c r="BF11" s="555"/>
      <c r="BG11" s="555"/>
      <c r="BH11" s="555"/>
      <c r="BI11" s="555"/>
      <c r="BJ11" s="555"/>
      <c r="BK11" s="555"/>
      <c r="BL11" s="555"/>
      <c r="BM11" s="555"/>
      <c r="BN11" s="555"/>
      <c r="BO11" s="555"/>
      <c r="BP11" s="555"/>
      <c r="BQ11" s="555"/>
      <c r="BR11" s="555"/>
    </row>
    <row r="12" spans="1:70">
      <c r="A12" s="174" t="s">
        <v>312</v>
      </c>
      <c r="B12" s="276" t="s">
        <v>313</v>
      </c>
      <c r="C12" s="368">
        <f>'[3]LTTR Unit Costs  Final Adj.'!O9</f>
        <v>2.8966308375885028E-2</v>
      </c>
      <c r="D12" s="234"/>
      <c r="E12" s="229">
        <f>IF($N$10=1,$C12*E$80,0)</f>
        <v>2.3674150003021682E-2</v>
      </c>
      <c r="F12" s="1"/>
      <c r="G12" s="229">
        <f>IF($N$10=1,$C12*G$80,0)</f>
        <v>5.1137633907824649E-3</v>
      </c>
      <c r="H12" s="229">
        <f>IF($N$10=1,$C12*H$80,C12)</f>
        <v>1.7839498208088166E-4</v>
      </c>
      <c r="I12" s="554"/>
      <c r="J12" s="599"/>
      <c r="K12" s="555"/>
      <c r="L12" s="240" t="s">
        <v>314</v>
      </c>
      <c r="M12" s="555" t="s">
        <v>315</v>
      </c>
      <c r="N12" s="555"/>
      <c r="O12" s="555"/>
      <c r="P12" s="555"/>
      <c r="Q12" s="555"/>
      <c r="R12" s="555"/>
      <c r="S12" s="555"/>
      <c r="T12" s="555"/>
      <c r="U12" s="555"/>
      <c r="V12" s="555"/>
      <c r="W12" s="555"/>
      <c r="X12" s="555"/>
      <c r="Y12" s="555"/>
      <c r="Z12" s="555"/>
      <c r="AA12" s="555"/>
      <c r="AB12" s="555"/>
      <c r="AC12" s="555"/>
      <c r="AD12" s="555"/>
      <c r="AE12" s="555"/>
      <c r="AF12" s="555"/>
      <c r="AG12" s="555"/>
      <c r="AH12" s="555"/>
      <c r="AI12" s="555"/>
      <c r="AJ12" s="555"/>
      <c r="AK12" s="555"/>
      <c r="AL12" s="555"/>
      <c r="AM12" s="555"/>
      <c r="AN12" s="555"/>
      <c r="AO12" s="555"/>
      <c r="AP12" s="555"/>
      <c r="AQ12" s="555"/>
      <c r="AR12" s="555"/>
      <c r="AS12" s="555"/>
      <c r="AT12" s="555"/>
      <c r="AU12" s="555"/>
      <c r="AV12" s="555"/>
      <c r="AW12" s="555"/>
      <c r="AX12" s="555"/>
      <c r="AY12" s="555"/>
      <c r="AZ12" s="555"/>
      <c r="BA12" s="555"/>
      <c r="BB12" s="555"/>
      <c r="BC12" s="555"/>
      <c r="BD12" s="555"/>
      <c r="BE12" s="555"/>
      <c r="BF12" s="555"/>
      <c r="BG12" s="555"/>
      <c r="BH12" s="555"/>
      <c r="BI12" s="555"/>
      <c r="BJ12" s="555"/>
      <c r="BK12" s="555"/>
      <c r="BL12" s="555"/>
      <c r="BM12" s="555"/>
      <c r="BN12" s="555"/>
      <c r="BO12" s="555"/>
      <c r="BP12" s="555"/>
      <c r="BQ12" s="555"/>
      <c r="BR12" s="555"/>
    </row>
    <row r="13" spans="1:70">
      <c r="A13" s="174" t="s">
        <v>312</v>
      </c>
      <c r="B13" s="276" t="s">
        <v>316</v>
      </c>
      <c r="C13" s="368">
        <f>'[3]LTTR Unit Costs  Final Adj.'!O10</f>
        <v>0.17373523564277762</v>
      </c>
      <c r="D13" s="234"/>
      <c r="E13" s="229">
        <f>IF($N$10=1,$C13*E$80,0)</f>
        <v>0.14199372512520828</v>
      </c>
      <c r="F13" s="1"/>
      <c r="G13" s="229">
        <f>IF($N$10=1,$C13*G$80,0)</f>
        <v>3.0671526250084531E-2</v>
      </c>
      <c r="H13" s="229">
        <f>IF($N$10=1,$C13*H$80,C13)</f>
        <v>1.0699842674848311E-3</v>
      </c>
      <c r="I13" s="554"/>
      <c r="J13" s="599"/>
      <c r="K13" s="555"/>
      <c r="L13" s="555"/>
      <c r="M13" s="555"/>
      <c r="N13" s="555"/>
      <c r="O13" s="555"/>
      <c r="P13" s="555"/>
      <c r="Q13" s="555"/>
      <c r="R13" s="555"/>
      <c r="S13" s="555"/>
      <c r="T13" s="555"/>
      <c r="U13" s="555"/>
      <c r="V13" s="555"/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5"/>
      <c r="AH13" s="555"/>
      <c r="AI13" s="555"/>
      <c r="AJ13" s="555"/>
      <c r="AK13" s="555"/>
      <c r="AL13" s="555"/>
      <c r="AM13" s="555"/>
      <c r="AN13" s="555"/>
      <c r="AO13" s="555"/>
      <c r="AP13" s="555"/>
      <c r="AQ13" s="555"/>
      <c r="AR13" s="555"/>
      <c r="AS13" s="555"/>
      <c r="AT13" s="555"/>
      <c r="AU13" s="555"/>
      <c r="AV13" s="555"/>
      <c r="AW13" s="555"/>
      <c r="AX13" s="555"/>
      <c r="AY13" s="555"/>
      <c r="AZ13" s="555"/>
      <c r="BA13" s="555"/>
      <c r="BB13" s="555"/>
      <c r="BC13" s="555"/>
      <c r="BD13" s="555"/>
      <c r="BE13" s="555"/>
      <c r="BF13" s="555"/>
      <c r="BG13" s="555"/>
      <c r="BH13" s="555"/>
      <c r="BI13" s="555"/>
      <c r="BJ13" s="555"/>
      <c r="BK13" s="555"/>
      <c r="BL13" s="555"/>
      <c r="BM13" s="555"/>
      <c r="BN13" s="555"/>
      <c r="BO13" s="555"/>
      <c r="BP13" s="555"/>
      <c r="BQ13" s="555"/>
      <c r="BR13" s="555"/>
    </row>
    <row r="14" spans="1:70">
      <c r="A14" s="174" t="s">
        <v>317</v>
      </c>
      <c r="B14" s="273" t="s">
        <v>318</v>
      </c>
      <c r="C14" s="368">
        <f>'[3]LTTR Unit Costs  Final Adj.'!O11</f>
        <v>9.0960556664128279E-4</v>
      </c>
      <c r="D14" s="234"/>
      <c r="E14" s="229">
        <f>IF($N$10=1,$C14*E$80,0)</f>
        <v>7.4342019524230502E-4</v>
      </c>
      <c r="F14" s="1"/>
      <c r="G14" s="229">
        <f>IF($N$10=1,$C14*G$80,0)</f>
        <v>1.6058337798456206E-4</v>
      </c>
      <c r="H14" s="229">
        <f>IF($N$10=1,$C14*H$80,C14)</f>
        <v>5.6019934144156864E-6</v>
      </c>
      <c r="I14" s="554"/>
      <c r="J14" s="599"/>
      <c r="K14" s="555"/>
      <c r="L14" s="555" t="s">
        <v>319</v>
      </c>
      <c r="M14" s="555"/>
      <c r="N14" s="555"/>
      <c r="O14" s="555"/>
      <c r="P14" s="555"/>
      <c r="Q14" s="555"/>
      <c r="R14" s="555"/>
      <c r="S14" s="555"/>
      <c r="T14" s="555"/>
      <c r="U14" s="555"/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M14" s="555"/>
      <c r="AN14" s="555"/>
      <c r="AO14" s="555"/>
      <c r="AP14" s="555"/>
      <c r="AQ14" s="555"/>
      <c r="AR14" s="555"/>
      <c r="AS14" s="555"/>
      <c r="AT14" s="555"/>
      <c r="AU14" s="555"/>
      <c r="AV14" s="555"/>
      <c r="AW14" s="555"/>
      <c r="AX14" s="555"/>
      <c r="AY14" s="555"/>
      <c r="AZ14" s="555"/>
      <c r="BA14" s="555"/>
      <c r="BB14" s="555"/>
      <c r="BC14" s="555"/>
      <c r="BD14" s="555"/>
      <c r="BE14" s="555"/>
      <c r="BF14" s="555"/>
      <c r="BG14" s="555"/>
      <c r="BH14" s="555"/>
      <c r="BI14" s="555"/>
      <c r="BJ14" s="555"/>
      <c r="BK14" s="555"/>
      <c r="BL14" s="555"/>
      <c r="BM14" s="555"/>
      <c r="BN14" s="555"/>
      <c r="BO14" s="555"/>
      <c r="BP14" s="555"/>
      <c r="BQ14" s="555"/>
      <c r="BR14" s="555"/>
    </row>
    <row r="15" spans="1:70">
      <c r="A15" s="174" t="s">
        <v>317</v>
      </c>
      <c r="B15" s="273" t="s">
        <v>320</v>
      </c>
      <c r="C15" s="368">
        <f>'[3]LTTR Unit Costs  Final Adj.'!O12</f>
        <v>1.0911942979615021</v>
      </c>
      <c r="D15" s="234"/>
      <c r="E15" s="229">
        <f>IF($N$10=1,$C15*E$80,0)</f>
        <v>0.89183257863432319</v>
      </c>
      <c r="F15" s="1"/>
      <c r="G15" s="229">
        <f>IF($N$10=1,$C15*G$80,0)</f>
        <v>0.19264137427300346</v>
      </c>
      <c r="H15" s="229">
        <f>IF($N$10=1,$C15*H$80,C15)</f>
        <v>6.7203450541755382E-3</v>
      </c>
      <c r="I15" s="554"/>
      <c r="J15" s="599"/>
      <c r="K15" s="555"/>
      <c r="L15" s="555" t="s">
        <v>321</v>
      </c>
      <c r="M15" s="555"/>
      <c r="N15" s="555"/>
      <c r="O15" s="555"/>
      <c r="P15" s="555"/>
      <c r="Q15" s="555"/>
      <c r="R15" s="555"/>
      <c r="S15" s="555"/>
      <c r="T15" s="555"/>
      <c r="U15" s="555"/>
      <c r="V15" s="555"/>
      <c r="W15" s="555"/>
      <c r="X15" s="555"/>
      <c r="Y15" s="555"/>
      <c r="Z15" s="555"/>
      <c r="AA15" s="555"/>
      <c r="AB15" s="555"/>
      <c r="AC15" s="555"/>
      <c r="AD15" s="555"/>
      <c r="AE15" s="555"/>
      <c r="AF15" s="555"/>
      <c r="AG15" s="555"/>
      <c r="AH15" s="555"/>
      <c r="AI15" s="555"/>
      <c r="AJ15" s="555"/>
      <c r="AK15" s="555"/>
      <c r="AL15" s="555"/>
      <c r="AM15" s="555"/>
      <c r="AN15" s="555"/>
      <c r="AO15" s="555"/>
      <c r="AP15" s="555"/>
      <c r="AQ15" s="555"/>
      <c r="AR15" s="555"/>
      <c r="AS15" s="555"/>
      <c r="AT15" s="555"/>
      <c r="AU15" s="555"/>
      <c r="AV15" s="555"/>
      <c r="AW15" s="555"/>
      <c r="AX15" s="555"/>
      <c r="AY15" s="555"/>
      <c r="AZ15" s="555"/>
      <c r="BA15" s="555"/>
      <c r="BB15" s="555"/>
      <c r="BC15" s="555"/>
      <c r="BD15" s="555"/>
      <c r="BE15" s="555"/>
      <c r="BF15" s="555"/>
      <c r="BG15" s="555"/>
      <c r="BH15" s="555"/>
      <c r="BI15" s="555"/>
      <c r="BJ15" s="555"/>
      <c r="BK15" s="555"/>
      <c r="BL15" s="555"/>
      <c r="BM15" s="555"/>
      <c r="BN15" s="555"/>
      <c r="BO15" s="555"/>
      <c r="BP15" s="555"/>
      <c r="BQ15" s="555"/>
      <c r="BR15" s="555"/>
    </row>
    <row r="16" spans="1:70">
      <c r="A16" s="304" t="s">
        <v>322</v>
      </c>
      <c r="B16" s="305" t="s">
        <v>323</v>
      </c>
      <c r="C16" s="368">
        <f>'[3]LTTR Unit Costs  Final Adj.'!O13</f>
        <v>6.8643616489753465E-2</v>
      </c>
      <c r="D16" s="234"/>
      <c r="E16" s="229">
        <f>+C16</f>
        <v>6.8643616489753465E-2</v>
      </c>
      <c r="F16" s="1"/>
      <c r="G16" s="229"/>
      <c r="H16" s="229"/>
      <c r="I16" s="554"/>
      <c r="J16" s="599"/>
      <c r="K16" s="555"/>
      <c r="L16" s="555" t="s">
        <v>324</v>
      </c>
      <c r="M16" s="555"/>
      <c r="N16" s="555"/>
      <c r="O16" s="555"/>
      <c r="P16" s="555"/>
      <c r="Q16" s="555"/>
      <c r="R16" s="555"/>
      <c r="S16" s="55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5"/>
      <c r="BC16" s="555"/>
      <c r="BD16" s="555"/>
      <c r="BE16" s="555"/>
      <c r="BF16" s="555"/>
      <c r="BG16" s="555"/>
      <c r="BH16" s="555"/>
      <c r="BI16" s="555"/>
      <c r="BJ16" s="555"/>
      <c r="BK16" s="555"/>
      <c r="BL16" s="555"/>
      <c r="BM16" s="555"/>
      <c r="BN16" s="555"/>
      <c r="BO16" s="555"/>
      <c r="BP16" s="555"/>
      <c r="BQ16" s="555"/>
      <c r="BR16" s="555"/>
    </row>
    <row r="17" spans="1:15">
      <c r="A17" s="174" t="s">
        <v>322</v>
      </c>
      <c r="B17" s="305" t="s">
        <v>325</v>
      </c>
      <c r="C17" s="368">
        <f>'[3]LTTR Unit Costs  Final Adj.'!O14</f>
        <v>1.8518906599675196</v>
      </c>
      <c r="D17" s="234"/>
      <c r="E17" s="229">
        <f>+C17</f>
        <v>1.8518906599675196</v>
      </c>
      <c r="F17" s="1"/>
      <c r="G17" s="3"/>
      <c r="H17" s="1"/>
      <c r="I17" s="554"/>
      <c r="J17" s="599"/>
      <c r="K17" s="555"/>
      <c r="L17" s="555"/>
      <c r="M17" s="555"/>
      <c r="N17" s="555"/>
      <c r="O17" s="555"/>
    </row>
    <row r="18" spans="1:15">
      <c r="A18" s="174" t="s">
        <v>322</v>
      </c>
      <c r="B18" s="276" t="s">
        <v>326</v>
      </c>
      <c r="C18" s="368">
        <f>'[3]LTTR Unit Costs  Final Adj.'!O15</f>
        <v>1.480218691482106E-5</v>
      </c>
      <c r="D18" s="234"/>
      <c r="E18" s="229">
        <f>IF($N$10=1,$C18*E$80,0)</f>
        <v>1.2097820296837588E-5</v>
      </c>
      <c r="F18" s="1"/>
      <c r="G18" s="229">
        <f>IF($N$10=1,$C18*G$80,0)</f>
        <v>2.6132042981199678E-6</v>
      </c>
      <c r="H18" s="229">
        <f>IF($N$10=1,$C18*H$80,C18)</f>
        <v>9.1162319863505315E-8</v>
      </c>
      <c r="I18" s="554"/>
      <c r="J18" s="599"/>
      <c r="K18" s="555"/>
      <c r="L18" s="555"/>
      <c r="M18" s="555"/>
      <c r="N18" s="555"/>
      <c r="O18" s="555"/>
    </row>
    <row r="19" spans="1:15">
      <c r="A19" s="174" t="s">
        <v>322</v>
      </c>
      <c r="B19" s="276" t="s">
        <v>327</v>
      </c>
      <c r="C19" s="368">
        <f>'[3]LTTR Unit Costs  Final Adj.'!O16</f>
        <v>0.10663651368704608</v>
      </c>
      <c r="D19" s="234"/>
      <c r="E19" s="229">
        <f>IF($N$10=1,$C19*E$80,0)</f>
        <v>8.7153971713154824E-2</v>
      </c>
      <c r="F19" s="1"/>
      <c r="G19" s="229">
        <f>IF($N$10=1,$C19*G$80,0)</f>
        <v>1.882579901923136E-2</v>
      </c>
      <c r="H19" s="229">
        <f>IF($N$10=1,$C19*H$80,C19)</f>
        <v>6.5674295465989083E-4</v>
      </c>
      <c r="I19" s="554"/>
      <c r="J19" s="599"/>
      <c r="K19" s="555"/>
      <c r="L19" s="555"/>
      <c r="M19" s="555"/>
      <c r="N19" s="555"/>
      <c r="O19" s="555"/>
    </row>
    <row r="20" spans="1:15">
      <c r="A20" s="174" t="s">
        <v>328</v>
      </c>
      <c r="B20" s="305" t="s">
        <v>329</v>
      </c>
      <c r="C20" s="368">
        <f>'[3]LTTR Unit Costs  Final Adj.'!O17</f>
        <v>0.1308300421058026</v>
      </c>
      <c r="D20" s="234"/>
      <c r="E20" s="229">
        <f>+C20</f>
        <v>0.1308300421058026</v>
      </c>
      <c r="F20" s="1"/>
      <c r="G20" s="3"/>
      <c r="H20" s="1"/>
      <c r="I20" s="554"/>
      <c r="J20" s="599"/>
      <c r="K20" s="555"/>
      <c r="L20" s="555"/>
      <c r="M20" s="555"/>
      <c r="N20" s="555"/>
      <c r="O20" s="555"/>
    </row>
    <row r="21" spans="1:15">
      <c r="A21" s="174" t="s">
        <v>330</v>
      </c>
      <c r="B21" s="278" t="s">
        <v>331</v>
      </c>
      <c r="C21" s="368">
        <f>'[3]LTTR Unit Costs  Final Adj.'!O18</f>
        <v>1.5326428823152793</v>
      </c>
      <c r="D21" s="228"/>
      <c r="E21" s="228"/>
      <c r="F21" s="228"/>
      <c r="G21" s="179">
        <f>C21</f>
        <v>1.5326428823152793</v>
      </c>
      <c r="H21" s="3"/>
      <c r="I21" s="554"/>
      <c r="J21" s="599"/>
      <c r="K21" s="555"/>
      <c r="L21" s="555"/>
      <c r="M21" s="555"/>
      <c r="N21" s="555"/>
      <c r="O21" s="555"/>
    </row>
    <row r="22" spans="1:15">
      <c r="A22" s="174" t="s">
        <v>330</v>
      </c>
      <c r="B22" s="273" t="s">
        <v>332</v>
      </c>
      <c r="C22" s="368">
        <f>'[3]LTTR Unit Costs  Final Adj.'!O19</f>
        <v>0.1735608942788803</v>
      </c>
      <c r="D22" s="234"/>
      <c r="E22" s="229">
        <f>IF($N$10=1,$C22*E$80,0)</f>
        <v>0.14185123601175006</v>
      </c>
      <c r="F22" s="1"/>
      <c r="G22" s="229">
        <f>IF($N$10=1,$C22*G$80,0)</f>
        <v>3.0640747716878712E-2</v>
      </c>
      <c r="H22" s="229">
        <f>IF($N$10=1,$C22*H$80,C22)</f>
        <v>1.0689105502515259E-3</v>
      </c>
      <c r="I22" s="554"/>
      <c r="J22" s="599"/>
      <c r="K22" s="555"/>
      <c r="L22" s="555"/>
      <c r="M22" s="555"/>
      <c r="N22" s="555"/>
      <c r="O22" s="555"/>
    </row>
    <row r="23" spans="1:15" s="173" customFormat="1">
      <c r="A23" s="174"/>
      <c r="B23" s="174"/>
      <c r="C23" s="368"/>
      <c r="D23" s="234"/>
      <c r="E23" s="229"/>
      <c r="F23" s="1"/>
      <c r="G23" s="229"/>
      <c r="H23" s="229"/>
      <c r="I23" s="554"/>
      <c r="J23" s="599"/>
      <c r="K23" s="174"/>
      <c r="L23" s="174"/>
      <c r="M23" s="174"/>
      <c r="N23" s="174"/>
      <c r="O23" s="555"/>
    </row>
    <row r="24" spans="1:15">
      <c r="A24" s="174" t="s">
        <v>330</v>
      </c>
      <c r="B24" s="278" t="s">
        <v>333</v>
      </c>
      <c r="C24" s="368">
        <f>'[3]LTTR Unit Costs  Final Adj.'!O20</f>
        <v>2.9613213240230755E-2</v>
      </c>
      <c r="D24" s="228"/>
      <c r="E24" s="179"/>
      <c r="F24" s="228"/>
      <c r="G24" s="179">
        <f>C24</f>
        <v>2.9613213240230755E-2</v>
      </c>
      <c r="H24" s="3"/>
      <c r="I24" s="554"/>
      <c r="J24" s="599"/>
      <c r="K24" s="555"/>
      <c r="L24" s="555"/>
      <c r="M24" s="555"/>
      <c r="N24" s="555"/>
      <c r="O24" s="555"/>
    </row>
    <row r="25" spans="1:15">
      <c r="A25" s="304" t="s">
        <v>330</v>
      </c>
      <c r="B25" s="304" t="s">
        <v>334</v>
      </c>
      <c r="C25" s="368">
        <f>'[3]LTTR Unit Costs  Final Adj.'!O21</f>
        <v>4.1993343686731431E-2</v>
      </c>
      <c r="D25" s="234"/>
      <c r="E25" s="229">
        <f t="shared" ref="E25:E32" si="0">IF($N$10=1,$C25*E$80,0)</f>
        <v>3.43211397416378E-2</v>
      </c>
      <c r="F25" s="1"/>
      <c r="G25" s="229">
        <f t="shared" ref="G25:G32" si="1">IF($N$10=1,$C25*G$80,0)</f>
        <v>7.413579280283137E-3</v>
      </c>
      <c r="H25" s="229">
        <f t="shared" ref="H25:H32" si="2">IF($N$10=1,$C25*H$80,C25)</f>
        <v>2.5862466481049707E-4</v>
      </c>
      <c r="I25" s="554"/>
      <c r="J25" s="599"/>
      <c r="K25" s="555"/>
      <c r="L25" s="555"/>
      <c r="M25" s="555"/>
      <c r="N25" s="555"/>
      <c r="O25" s="555"/>
    </row>
    <row r="26" spans="1:15" s="173" customFormat="1">
      <c r="A26" s="304" t="s">
        <v>330</v>
      </c>
      <c r="B26" s="304" t="s">
        <v>335</v>
      </c>
      <c r="C26" s="368">
        <f>'[3]LTTR Unit Costs  Final Adj.'!O22</f>
        <v>0.28832888756266167</v>
      </c>
      <c r="D26" s="234"/>
      <c r="E26" s="229">
        <f t="shared" si="0"/>
        <v>0.23565106211620476</v>
      </c>
      <c r="F26" s="1"/>
      <c r="G26" s="229">
        <f t="shared" si="1"/>
        <v>5.0902092547991905E-2</v>
      </c>
      <c r="H26" s="229">
        <f t="shared" si="2"/>
        <v>1.7757328984650085E-3</v>
      </c>
      <c r="I26" s="554"/>
      <c r="J26" s="599"/>
      <c r="K26" s="174"/>
      <c r="L26" s="174"/>
      <c r="M26" s="174"/>
      <c r="N26" s="174"/>
      <c r="O26" s="555"/>
    </row>
    <row r="27" spans="1:15">
      <c r="A27" s="174" t="s">
        <v>330</v>
      </c>
      <c r="B27" s="273" t="s">
        <v>336</v>
      </c>
      <c r="C27" s="368">
        <f>'[3]LTTR Unit Costs  Final Adj.'!O23</f>
        <v>7.1737894953877862E-2</v>
      </c>
      <c r="D27" s="234"/>
      <c r="E27" s="229">
        <f t="shared" si="0"/>
        <v>5.8631347288044824E-2</v>
      </c>
      <c r="F27" s="1"/>
      <c r="G27" s="229">
        <f t="shared" si="1"/>
        <v>1.2664735049646453E-2</v>
      </c>
      <c r="H27" s="229">
        <f t="shared" si="2"/>
        <v>4.4181261618658703E-4</v>
      </c>
      <c r="I27" s="554"/>
      <c r="J27" s="599"/>
      <c r="K27" s="555"/>
      <c r="L27" s="555"/>
      <c r="M27" s="555"/>
      <c r="N27" s="555"/>
      <c r="O27" s="555"/>
    </row>
    <row r="28" spans="1:15">
      <c r="A28" s="174" t="s">
        <v>330</v>
      </c>
      <c r="B28" s="273" t="s">
        <v>337</v>
      </c>
      <c r="C28" s="368">
        <f>'[3]LTTR Unit Costs  Final Adj.'!O24</f>
        <v>2.4241710785277597</v>
      </c>
      <c r="D28" s="234"/>
      <c r="E28" s="229">
        <f t="shared" si="0"/>
        <v>1.9812738648405539</v>
      </c>
      <c r="F28" s="1"/>
      <c r="G28" s="229">
        <f t="shared" si="1"/>
        <v>0.42796745631173783</v>
      </c>
      <c r="H28" s="229">
        <f t="shared" si="2"/>
        <v>1.4929757375468044E-2</v>
      </c>
      <c r="I28" s="554"/>
      <c r="J28" s="599"/>
      <c r="K28" s="555"/>
      <c r="L28" s="555"/>
      <c r="M28" s="555"/>
      <c r="N28" s="555"/>
      <c r="O28" s="555"/>
    </row>
    <row r="29" spans="1:15">
      <c r="A29" s="304" t="s">
        <v>330</v>
      </c>
      <c r="B29" s="304" t="s">
        <v>338</v>
      </c>
      <c r="C29" s="368">
        <f>'[3]LTTR Unit Costs  Final Adj.'!O25</f>
        <v>1.239182796141446E-2</v>
      </c>
      <c r="D29" s="234"/>
      <c r="E29" s="229">
        <f t="shared" si="0"/>
        <v>1.0127835075262706E-2</v>
      </c>
      <c r="F29" s="1"/>
      <c r="G29" s="229">
        <f t="shared" si="1"/>
        <v>2.1876752588435291E-3</v>
      </c>
      <c r="H29" s="229">
        <f t="shared" si="2"/>
        <v>7.6317627308224688E-5</v>
      </c>
      <c r="I29" s="554"/>
      <c r="J29" s="599"/>
      <c r="K29" s="555"/>
      <c r="L29" s="555"/>
      <c r="M29" s="555"/>
      <c r="N29" s="555"/>
      <c r="O29" s="555"/>
    </row>
    <row r="30" spans="1:15">
      <c r="A30" s="174" t="s">
        <v>330</v>
      </c>
      <c r="B30" s="273" t="s">
        <v>339</v>
      </c>
      <c r="C30" s="368">
        <f>'[3]LTTR Unit Costs  Final Adj.'!O26</f>
        <v>7.5394889339859212E-3</v>
      </c>
      <c r="D30" s="234"/>
      <c r="E30" s="229">
        <f t="shared" si="0"/>
        <v>6.1620207053343975E-3</v>
      </c>
      <c r="F30" s="1"/>
      <c r="G30" s="229">
        <f t="shared" si="1"/>
        <v>1.3310347316444571E-3</v>
      </c>
      <c r="H30" s="229">
        <f t="shared" si="2"/>
        <v>4.6433497007066545E-5</v>
      </c>
      <c r="I30" s="554"/>
      <c r="J30" s="599"/>
      <c r="K30" s="555"/>
      <c r="L30" s="555"/>
      <c r="M30" s="555"/>
      <c r="N30" s="555"/>
      <c r="O30" s="555"/>
    </row>
    <row r="31" spans="1:15">
      <c r="A31" s="174" t="s">
        <v>330</v>
      </c>
      <c r="B31" s="273" t="s">
        <v>340</v>
      </c>
      <c r="C31" s="368">
        <f>'[3]LTTR Unit Costs  Final Adj.'!O27</f>
        <v>1.6650880700074144E-2</v>
      </c>
      <c r="D31" s="234"/>
      <c r="E31" s="229">
        <f t="shared" si="0"/>
        <v>1.3608756844698538E-2</v>
      </c>
      <c r="F31" s="1"/>
      <c r="G31" s="229">
        <f t="shared" si="1"/>
        <v>2.9395759736927075E-3</v>
      </c>
      <c r="H31" s="229">
        <f t="shared" si="2"/>
        <v>1.0254788168289905E-4</v>
      </c>
      <c r="I31" s="554"/>
      <c r="J31" s="599"/>
      <c r="K31" s="555"/>
      <c r="L31" s="555"/>
      <c r="M31" s="555"/>
      <c r="N31" s="555"/>
      <c r="O31" s="555"/>
    </row>
    <row r="32" spans="1:15">
      <c r="A32" s="174" t="s">
        <v>330</v>
      </c>
      <c r="B32" s="276" t="s">
        <v>341</v>
      </c>
      <c r="C32" s="368">
        <f>'[3]LTTR Unit Costs  Final Adj.'!O28</f>
        <v>5.5837770201737372E-2</v>
      </c>
      <c r="D32" s="234"/>
      <c r="E32" s="229">
        <f t="shared" si="0"/>
        <v>4.5636182921075991E-2</v>
      </c>
      <c r="F32" s="1"/>
      <c r="G32" s="229">
        <f t="shared" si="1"/>
        <v>9.8576988608699168E-3</v>
      </c>
      <c r="H32" s="229">
        <f t="shared" si="2"/>
        <v>3.4388841979146319E-4</v>
      </c>
      <c r="I32" s="554"/>
      <c r="J32" s="599"/>
      <c r="K32" s="555"/>
      <c r="L32" s="555"/>
      <c r="M32" s="555"/>
      <c r="N32" s="555"/>
      <c r="O32" s="555"/>
    </row>
    <row r="33" spans="1:10">
      <c r="A33" s="174" t="s">
        <v>342</v>
      </c>
      <c r="B33" s="275" t="s">
        <v>343</v>
      </c>
      <c r="C33" s="368">
        <f>'[3]LTTR Unit Costs  Final Adj.'!O29</f>
        <v>7.2868961842314679E-3</v>
      </c>
      <c r="D33" s="234"/>
      <c r="E33" s="234"/>
      <c r="F33" s="1"/>
      <c r="G33" s="3"/>
      <c r="H33" s="3">
        <f>+C33</f>
        <v>7.2868961842314679E-3</v>
      </c>
      <c r="I33" s="554"/>
      <c r="J33" s="599"/>
    </row>
    <row r="34" spans="1:10">
      <c r="A34" s="304" t="s">
        <v>342</v>
      </c>
      <c r="B34" s="306" t="s">
        <v>344</v>
      </c>
      <c r="C34" s="368">
        <f>'[3]LTTR Unit Costs  Final Adj.'!O30</f>
        <v>9.9795638003985342E-3</v>
      </c>
      <c r="D34" s="234"/>
      <c r="E34" s="229"/>
      <c r="F34" s="1"/>
      <c r="G34" s="229">
        <f>C34</f>
        <v>9.9795638003985342E-3</v>
      </c>
      <c r="H34" s="229"/>
      <c r="I34" s="554"/>
      <c r="J34" s="599"/>
    </row>
    <row r="35" spans="1:10">
      <c r="A35" s="174" t="s">
        <v>342</v>
      </c>
      <c r="B35" s="275" t="s">
        <v>345</v>
      </c>
      <c r="C35" s="368">
        <f>'[3]LTTR Unit Costs  Final Adj.'!O31</f>
        <v>3.7512332180465062E-2</v>
      </c>
      <c r="D35" s="234"/>
      <c r="E35" s="234"/>
      <c r="F35" s="1"/>
      <c r="G35" s="3"/>
      <c r="H35" s="3">
        <f>+C35</f>
        <v>3.7512332180465062E-2</v>
      </c>
      <c r="I35" s="554"/>
      <c r="J35" s="599"/>
    </row>
    <row r="36" spans="1:10">
      <c r="A36" s="304" t="s">
        <v>342</v>
      </c>
      <c r="B36" s="306" t="s">
        <v>346</v>
      </c>
      <c r="C36" s="368">
        <f>'[3]LTTR Unit Costs  Final Adj.'!O32</f>
        <v>1.5667246616821544E-2</v>
      </c>
      <c r="D36" s="234"/>
      <c r="E36" s="229"/>
      <c r="F36" s="1"/>
      <c r="G36" s="229">
        <f>C36</f>
        <v>1.5667246616821544E-2</v>
      </c>
      <c r="H36" s="229"/>
      <c r="I36" s="554"/>
      <c r="J36" s="599"/>
    </row>
    <row r="37" spans="1:10">
      <c r="A37" s="174" t="s">
        <v>342</v>
      </c>
      <c r="B37" s="273" t="s">
        <v>347</v>
      </c>
      <c r="C37" s="368">
        <f>'[3]LTTR Unit Costs  Final Adj.'!O33</f>
        <v>0.17963507105048857</v>
      </c>
      <c r="D37" s="234"/>
      <c r="E37" s="229">
        <f>IF($N$10=1,$C37*E$80,0)</f>
        <v>0.14681565778651931</v>
      </c>
      <c r="F37" s="1"/>
      <c r="G37" s="229">
        <f>IF($N$10=1,$C37*G$80,0)</f>
        <v>3.1713093643764276E-2</v>
      </c>
      <c r="H37" s="229">
        <f>IF($N$10=1,$C37*H$80,C37)</f>
        <v>1.1063196202049923E-3</v>
      </c>
      <c r="I37" s="554"/>
      <c r="J37" s="599"/>
    </row>
    <row r="38" spans="1:10">
      <c r="A38" s="304" t="s">
        <v>342</v>
      </c>
      <c r="B38" s="306" t="s">
        <v>348</v>
      </c>
      <c r="C38" s="368">
        <f>'[3]LTTR Unit Costs  Final Adj.'!O34</f>
        <v>0.10912528509169631</v>
      </c>
      <c r="D38" s="234"/>
      <c r="E38" s="229"/>
      <c r="F38" s="1"/>
      <c r="G38" s="229">
        <f>C38</f>
        <v>0.10912528509169631</v>
      </c>
      <c r="H38" s="229"/>
      <c r="I38" s="554"/>
      <c r="J38" s="599"/>
    </row>
    <row r="39" spans="1:10">
      <c r="A39" s="174" t="s">
        <v>342</v>
      </c>
      <c r="B39" s="273" t="s">
        <v>349</v>
      </c>
      <c r="C39" s="368">
        <f>'[3]LTTR Unit Costs  Final Adj.'!O35</f>
        <v>6.6518677536991769E-2</v>
      </c>
      <c r="D39" s="234"/>
      <c r="E39" s="229">
        <f>IF($N$10=1,$C39*E$80,0)</f>
        <v>5.4365683385612193E-2</v>
      </c>
      <c r="F39" s="1"/>
      <c r="G39" s="229">
        <f>IF($N$10=1,$C39*G$80,0)</f>
        <v>1.1743325161694487E-2</v>
      </c>
      <c r="H39" s="229">
        <f>IF($N$10=1,$C39*H$80,C39)</f>
        <v>4.0966898968509041E-4</v>
      </c>
      <c r="I39" s="554"/>
      <c r="J39" s="599"/>
    </row>
    <row r="40" spans="1:10">
      <c r="A40" s="174" t="s">
        <v>350</v>
      </c>
      <c r="B40" s="276" t="s">
        <v>351</v>
      </c>
      <c r="C40" s="368">
        <f>'[3]LTTR Unit Costs  Final Adj.'!O36</f>
        <v>2.6627927856394538E-2</v>
      </c>
      <c r="D40" s="234"/>
      <c r="E40" s="229">
        <f>IF($N$10=1,$C40*E$80,0)</f>
        <v>2.1762992721113813E-2</v>
      </c>
      <c r="F40" s="1"/>
      <c r="G40" s="229">
        <f>IF($N$10=1,$C40*G$80,0)</f>
        <v>4.7009415517301496E-3</v>
      </c>
      <c r="H40" s="229">
        <f>IF($N$10=1,$C40*H$80,C40)</f>
        <v>1.6399358355057817E-4</v>
      </c>
      <c r="I40" s="554"/>
      <c r="J40" s="599"/>
    </row>
    <row r="41" spans="1:10">
      <c r="A41" s="174"/>
      <c r="B41" s="174"/>
      <c r="C41" s="368"/>
      <c r="D41" s="234"/>
      <c r="E41" s="229"/>
      <c r="F41" s="1"/>
      <c r="G41" s="3"/>
      <c r="H41" s="3"/>
      <c r="I41" s="554"/>
      <c r="J41" s="599"/>
    </row>
    <row r="42" spans="1:10">
      <c r="A42" s="174"/>
      <c r="B42" s="174"/>
      <c r="C42" s="368"/>
      <c r="D42" s="234"/>
      <c r="E42" s="229"/>
      <c r="F42" s="1"/>
      <c r="G42" s="3"/>
      <c r="H42" s="3"/>
      <c r="I42" s="554"/>
      <c r="J42" s="599"/>
    </row>
    <row r="43" spans="1:10">
      <c r="A43" s="174"/>
      <c r="B43" s="174"/>
      <c r="C43" s="368"/>
      <c r="D43" s="234"/>
      <c r="E43" s="229"/>
      <c r="F43" s="1"/>
      <c r="G43" s="3"/>
      <c r="H43" s="3"/>
      <c r="I43" s="554"/>
      <c r="J43" s="599"/>
    </row>
    <row r="44" spans="1:10">
      <c r="A44" s="174"/>
      <c r="B44" s="174"/>
      <c r="C44" s="368"/>
      <c r="D44" s="234"/>
      <c r="E44" s="229"/>
      <c r="F44" s="1"/>
      <c r="G44" s="3"/>
      <c r="H44" s="3"/>
      <c r="I44" s="554"/>
      <c r="J44" s="599"/>
    </row>
    <row r="45" spans="1:10">
      <c r="A45" s="174"/>
      <c r="B45" s="174"/>
      <c r="C45" s="368"/>
      <c r="D45" s="234"/>
      <c r="E45" s="229"/>
      <c r="F45" s="1"/>
      <c r="G45" s="229"/>
      <c r="H45" s="229"/>
      <c r="I45" s="554"/>
      <c r="J45" s="599"/>
    </row>
    <row r="46" spans="1:10">
      <c r="A46" s="174"/>
      <c r="B46" s="174"/>
      <c r="C46" s="368"/>
      <c r="D46" s="234"/>
      <c r="E46" s="307"/>
      <c r="F46" s="1"/>
      <c r="G46" s="229"/>
      <c r="H46" s="3"/>
      <c r="I46" s="554"/>
      <c r="J46" s="599"/>
    </row>
    <row r="47" spans="1:10">
      <c r="A47" s="174"/>
      <c r="B47" s="174"/>
      <c r="C47" s="368"/>
      <c r="D47" s="234"/>
      <c r="E47" s="307"/>
      <c r="F47" s="1"/>
      <c r="G47" s="229"/>
      <c r="H47" s="3"/>
      <c r="I47" s="554"/>
      <c r="J47" s="599"/>
    </row>
    <row r="48" spans="1:10">
      <c r="A48" s="174"/>
      <c r="B48" s="174"/>
      <c r="C48" s="368"/>
      <c r="D48" s="234"/>
      <c r="E48" s="229"/>
      <c r="F48" s="1"/>
      <c r="G48" s="3"/>
      <c r="H48" s="3"/>
      <c r="I48" s="554"/>
      <c r="J48" s="599"/>
    </row>
    <row r="49" spans="1:15">
      <c r="A49" s="174"/>
      <c r="B49" s="174"/>
      <c r="C49" s="368"/>
      <c r="D49" s="234"/>
      <c r="E49" s="229"/>
      <c r="F49" s="1"/>
      <c r="G49" s="3"/>
      <c r="H49" s="3"/>
      <c r="I49" s="554"/>
      <c r="J49" s="599"/>
      <c r="K49" s="555"/>
      <c r="L49" s="555"/>
      <c r="M49" s="555"/>
      <c r="N49" s="555"/>
      <c r="O49" s="555"/>
    </row>
    <row r="50" spans="1:15">
      <c r="A50" s="174"/>
      <c r="B50" s="174"/>
      <c r="C50" s="368"/>
      <c r="D50" s="234"/>
      <c r="E50" s="229"/>
      <c r="F50" s="1"/>
      <c r="G50" s="3"/>
      <c r="H50" s="3"/>
      <c r="I50" s="554"/>
      <c r="J50" s="599"/>
      <c r="K50" s="555"/>
      <c r="L50" s="555"/>
      <c r="M50" s="555"/>
      <c r="N50" s="555"/>
      <c r="O50" s="555"/>
    </row>
    <row r="51" spans="1:15" ht="12.95">
      <c r="A51" s="308" t="s">
        <v>352</v>
      </c>
      <c r="B51" s="308"/>
      <c r="C51" s="99">
        <f t="shared" ref="C51" si="3">SUM(C7:C50)</f>
        <v>15.659290088440549</v>
      </c>
      <c r="D51" s="99"/>
      <c r="E51" s="99">
        <f>SUM(E7:E50)</f>
        <v>13.046629885268713</v>
      </c>
      <c r="F51" s="99"/>
      <c r="G51" s="99">
        <f>SUM(G7:G50)</f>
        <v>2.5385058066685886</v>
      </c>
      <c r="H51" s="99">
        <f>SUM(H7:H50)</f>
        <v>7.415439650324393E-2</v>
      </c>
      <c r="I51" s="237"/>
      <c r="J51" s="599"/>
      <c r="K51" s="555"/>
      <c r="L51" s="555"/>
      <c r="M51" s="555"/>
      <c r="N51" s="555"/>
      <c r="O51" s="555"/>
    </row>
    <row r="52" spans="1:15" ht="12.95">
      <c r="A52" s="309" t="s">
        <v>353</v>
      </c>
      <c r="B52" s="310" t="s">
        <v>310</v>
      </c>
      <c r="C52" s="368">
        <v>0</v>
      </c>
      <c r="D52" s="4"/>
      <c r="E52" s="229">
        <f>+C52</f>
        <v>0</v>
      </c>
      <c r="F52" s="4"/>
      <c r="G52" s="229"/>
      <c r="H52" s="229"/>
      <c r="I52" s="237"/>
      <c r="J52" s="599"/>
      <c r="K52" s="555"/>
      <c r="L52" s="555"/>
      <c r="M52" s="555"/>
      <c r="N52" s="555"/>
      <c r="O52" s="555"/>
    </row>
    <row r="53" spans="1:15" ht="12.95">
      <c r="A53" s="17" t="s">
        <v>353</v>
      </c>
      <c r="B53" s="311" t="s">
        <v>326</v>
      </c>
      <c r="C53" s="368">
        <f>'[3]LTTR Unit Costs  Final Adj.'!$O$38</f>
        <v>8.1967150305175627E-3</v>
      </c>
      <c r="D53" s="4"/>
      <c r="E53" s="229">
        <f t="shared" ref="E53:E60" si="4">IF($N$10=1,$C53*E$80,0)</f>
        <v>6.6991712801775447E-3</v>
      </c>
      <c r="F53" s="4"/>
      <c r="G53" s="229">
        <f t="shared" ref="G53:G60" si="5">IF($N$10=1,$C53*G$80,0)</f>
        <v>1.44706259091797E-3</v>
      </c>
      <c r="H53" s="229">
        <f t="shared" ref="H53:H60" si="6">IF($N$10=1,$C53*H$80,C53)</f>
        <v>5.0481159422048608E-5</v>
      </c>
      <c r="I53" s="237"/>
      <c r="J53" s="599"/>
      <c r="K53" s="555"/>
      <c r="L53" s="555"/>
      <c r="M53" s="555"/>
      <c r="N53" s="555"/>
      <c r="O53" s="555"/>
    </row>
    <row r="54" spans="1:15">
      <c r="A54" s="555"/>
      <c r="B54" s="555"/>
      <c r="C54" s="368"/>
      <c r="D54" s="234"/>
      <c r="E54" s="229"/>
      <c r="F54" s="1"/>
      <c r="G54" s="229"/>
      <c r="H54" s="229"/>
      <c r="I54" s="554"/>
      <c r="J54" s="599"/>
      <c r="K54" s="555"/>
      <c r="L54" s="555"/>
      <c r="M54" s="555"/>
      <c r="N54" s="555"/>
      <c r="O54" s="555"/>
    </row>
    <row r="55" spans="1:15">
      <c r="A55" s="555" t="s">
        <v>353</v>
      </c>
      <c r="B55" s="241" t="s">
        <v>354</v>
      </c>
      <c r="C55" s="368">
        <f>'[3]LTTR Unit Costs  Final Adj.'!O39</f>
        <v>1.6030971119295283E-2</v>
      </c>
      <c r="D55" s="234"/>
      <c r="E55" s="229">
        <f t="shared" si="4"/>
        <v>1.3102105040359987E-2</v>
      </c>
      <c r="F55" s="1"/>
      <c r="G55" s="229">
        <f t="shared" si="5"/>
        <v>2.8301360382116166E-3</v>
      </c>
      <c r="H55" s="229">
        <f t="shared" si="6"/>
        <v>9.8730040723680408E-5</v>
      </c>
      <c r="I55" s="554"/>
      <c r="J55" s="599"/>
      <c r="K55" s="555"/>
      <c r="L55" s="555"/>
      <c r="M55" s="555"/>
      <c r="N55" s="555"/>
      <c r="O55" s="555"/>
    </row>
    <row r="56" spans="1:15">
      <c r="A56" s="555" t="s">
        <v>353</v>
      </c>
      <c r="B56" s="241" t="s">
        <v>355</v>
      </c>
      <c r="C56" s="368">
        <f>'[3]LTTR Unit Costs  Final Adj.'!O40</f>
        <v>3.8826602404567916E-2</v>
      </c>
      <c r="D56" s="234"/>
      <c r="E56" s="229">
        <f t="shared" si="4"/>
        <v>3.1732963603973187E-2</v>
      </c>
      <c r="F56" s="1"/>
      <c r="G56" s="229">
        <f t="shared" si="5"/>
        <v>6.8545171648535762E-3</v>
      </c>
      <c r="H56" s="229">
        <f t="shared" si="6"/>
        <v>2.3912163574115719E-4</v>
      </c>
      <c r="I56" s="554"/>
      <c r="J56" s="599"/>
      <c r="K56" s="555"/>
      <c r="L56" s="555"/>
      <c r="M56" s="555"/>
      <c r="N56" s="555"/>
      <c r="O56" s="555"/>
    </row>
    <row r="57" spans="1:15">
      <c r="A57" s="555" t="s">
        <v>353</v>
      </c>
      <c r="B57" s="241" t="s">
        <v>356</v>
      </c>
      <c r="C57" s="368">
        <f>'[3]LTTR Unit Costs  Final Adj.'!O41</f>
        <v>0</v>
      </c>
      <c r="D57" s="234"/>
      <c r="E57" s="229">
        <f t="shared" si="4"/>
        <v>0</v>
      </c>
      <c r="F57" s="1"/>
      <c r="G57" s="229">
        <f t="shared" si="5"/>
        <v>0</v>
      </c>
      <c r="H57" s="229">
        <f t="shared" si="6"/>
        <v>0</v>
      </c>
      <c r="I57" s="554"/>
      <c r="J57" s="599"/>
      <c r="K57" s="555"/>
      <c r="L57" s="555"/>
      <c r="M57" s="555"/>
      <c r="N57" s="555"/>
      <c r="O57" s="555"/>
    </row>
    <row r="58" spans="1:15">
      <c r="A58" s="555" t="s">
        <v>353</v>
      </c>
      <c r="B58" s="241" t="s">
        <v>357</v>
      </c>
      <c r="C58" s="368">
        <f>'[3]LTTR Unit Costs  Final Adj.'!O42</f>
        <v>0</v>
      </c>
      <c r="D58" s="234"/>
      <c r="E58" s="229">
        <f t="shared" si="4"/>
        <v>0</v>
      </c>
      <c r="F58" s="1"/>
      <c r="G58" s="229">
        <f t="shared" si="5"/>
        <v>0</v>
      </c>
      <c r="H58" s="229">
        <f t="shared" si="6"/>
        <v>0</v>
      </c>
      <c r="I58" s="554"/>
      <c r="J58" s="599"/>
      <c r="K58" s="555"/>
      <c r="L58" s="555"/>
      <c r="M58" s="555"/>
      <c r="N58" s="555"/>
      <c r="O58" s="555"/>
    </row>
    <row r="59" spans="1:15">
      <c r="A59" s="555" t="s">
        <v>353</v>
      </c>
      <c r="B59" s="241" t="s">
        <v>358</v>
      </c>
      <c r="C59" s="368">
        <f>'[3]LTTR Unit Costs  Final Adj.'!O43</f>
        <v>0</v>
      </c>
      <c r="D59" s="234"/>
      <c r="E59" s="229">
        <f t="shared" si="4"/>
        <v>0</v>
      </c>
      <c r="F59" s="1"/>
      <c r="G59" s="229">
        <f t="shared" si="5"/>
        <v>0</v>
      </c>
      <c r="H59" s="229">
        <f t="shared" si="6"/>
        <v>0</v>
      </c>
      <c r="I59" s="554"/>
      <c r="J59" s="599"/>
      <c r="K59" s="555"/>
      <c r="L59" s="555"/>
      <c r="M59" s="555"/>
      <c r="N59" s="555"/>
      <c r="O59" s="555"/>
    </row>
    <row r="60" spans="1:15">
      <c r="A60" s="555" t="s">
        <v>353</v>
      </c>
      <c r="B60" s="241" t="s">
        <v>359</v>
      </c>
      <c r="C60" s="368">
        <f>'[3]LTTR Unit Costs  Final Adj.'!O44</f>
        <v>3.7956154957236796E-2</v>
      </c>
      <c r="D60" s="234"/>
      <c r="E60" s="229">
        <f t="shared" si="4"/>
        <v>3.1021547320943484E-2</v>
      </c>
      <c r="F60" s="1"/>
      <c r="G60" s="229">
        <f t="shared" si="5"/>
        <v>6.7008468306156204E-3</v>
      </c>
      <c r="H60" s="229">
        <f t="shared" si="6"/>
        <v>2.337608056776942E-4</v>
      </c>
      <c r="I60" s="554"/>
      <c r="J60" s="599"/>
      <c r="K60" s="555"/>
      <c r="L60" s="555"/>
      <c r="M60" s="555"/>
      <c r="N60" s="555"/>
      <c r="O60" s="555"/>
    </row>
    <row r="61" spans="1:15" ht="12.95">
      <c r="A61" s="87" t="s">
        <v>360</v>
      </c>
      <c r="B61" s="552"/>
      <c r="C61" s="99">
        <f t="shared" ref="C61" si="7">SUM(C52:C60)</f>
        <v>0.10101044351161756</v>
      </c>
      <c r="D61" s="99"/>
      <c r="E61" s="99">
        <f>SUM(E52:E60)</f>
        <v>8.2555787245454204E-2</v>
      </c>
      <c r="F61" s="99"/>
      <c r="G61" s="99">
        <f>SUM(G52:G60)</f>
        <v>1.7832562624598782E-2</v>
      </c>
      <c r="H61" s="99">
        <f>SUM(H52:H60)</f>
        <v>6.2209364156458043E-4</v>
      </c>
      <c r="I61" s="555"/>
      <c r="J61" s="599"/>
      <c r="K61" s="555"/>
      <c r="L61" s="555"/>
      <c r="M61" s="555"/>
      <c r="N61" s="555"/>
      <c r="O61" s="555"/>
    </row>
    <row r="62" spans="1:15">
      <c r="A62" s="555" t="s">
        <v>361</v>
      </c>
      <c r="B62" s="240" t="s">
        <v>362</v>
      </c>
      <c r="C62" s="368">
        <f>'[3]LTTR Unit Costs  Final Adj.'!O45</f>
        <v>0.86905939364971663</v>
      </c>
      <c r="D62" s="234"/>
      <c r="E62" s="229">
        <f>IF($N$10=1,$C62*E$80,0)</f>
        <v>0.71028182741874302</v>
      </c>
      <c r="F62" s="1"/>
      <c r="G62" s="229">
        <f>IF($N$10=1,$C62*G$80,0)</f>
        <v>0.15342528478228087</v>
      </c>
      <c r="H62" s="229">
        <f>IF($N$10=1,$C62*H$80,C62)</f>
        <v>5.3522814486927578E-3</v>
      </c>
      <c r="I62" s="554"/>
      <c r="J62" s="599"/>
      <c r="K62" s="555"/>
      <c r="L62" s="555"/>
      <c r="M62" s="555"/>
      <c r="N62" s="555"/>
      <c r="O62" s="17"/>
    </row>
    <row r="63" spans="1:15">
      <c r="A63" s="555" t="s">
        <v>361</v>
      </c>
      <c r="B63" s="303" t="s">
        <v>363</v>
      </c>
      <c r="C63" s="368">
        <f>'[3]LTTR Unit Costs  Final Adj.'!O46</f>
        <v>2.714623225979345E-2</v>
      </c>
      <c r="D63" s="234"/>
      <c r="E63" s="229">
        <f>+C63</f>
        <v>2.714623225979345E-2</v>
      </c>
      <c r="F63" s="1"/>
      <c r="G63" s="36"/>
      <c r="H63" s="1"/>
      <c r="I63" s="554"/>
      <c r="J63" s="599"/>
      <c r="K63" s="555"/>
      <c r="L63" s="555"/>
      <c r="M63" s="555"/>
      <c r="N63" s="555"/>
      <c r="O63" s="17"/>
    </row>
    <row r="64" spans="1:15">
      <c r="A64" s="555" t="s">
        <v>361</v>
      </c>
      <c r="B64" s="278" t="s">
        <v>364</v>
      </c>
      <c r="C64" s="368">
        <f>'[3]LTTR Unit Costs  Final Adj.'!O47</f>
        <v>2.6457857416464222E-2</v>
      </c>
      <c r="D64" s="234"/>
      <c r="E64" s="229"/>
      <c r="F64" s="1"/>
      <c r="G64" s="3">
        <f>C64</f>
        <v>2.6457857416464222E-2</v>
      </c>
      <c r="H64" s="1"/>
      <c r="I64" s="554"/>
      <c r="J64" s="599"/>
      <c r="K64" s="555"/>
      <c r="L64" s="555"/>
      <c r="M64" s="555"/>
      <c r="N64" s="555"/>
      <c r="O64" s="17"/>
    </row>
    <row r="65" spans="1:15">
      <c r="A65" s="312" t="s">
        <v>361</v>
      </c>
      <c r="B65" s="313" t="s">
        <v>343</v>
      </c>
      <c r="C65" s="368">
        <f>'[3]LTTR Unit Costs  Final Adj.'!O48</f>
        <v>3.0316846151580136E-4</v>
      </c>
      <c r="D65" s="234"/>
      <c r="E65" s="229"/>
      <c r="F65" s="1"/>
      <c r="G65" s="36"/>
      <c r="H65" s="314">
        <f>C65</f>
        <v>3.0316846151580136E-4</v>
      </c>
      <c r="I65" s="554"/>
      <c r="J65" s="599"/>
      <c r="K65" s="555"/>
      <c r="L65" s="555"/>
      <c r="M65" s="555"/>
      <c r="N65" s="555"/>
      <c r="O65" s="17"/>
    </row>
    <row r="66" spans="1:15">
      <c r="A66" s="555" t="s">
        <v>361</v>
      </c>
      <c r="B66" s="278" t="s">
        <v>365</v>
      </c>
      <c r="C66" s="368">
        <f>'[3]LTTR Unit Costs  Final Adj.'!O49</f>
        <v>0.24083389279443357</v>
      </c>
      <c r="D66" s="234"/>
      <c r="E66" s="229"/>
      <c r="F66" s="1"/>
      <c r="G66" s="3">
        <f>C66</f>
        <v>0.24083389279443357</v>
      </c>
      <c r="H66" s="1"/>
      <c r="I66" s="554"/>
      <c r="J66" s="599"/>
      <c r="K66" s="555"/>
      <c r="L66" s="555"/>
      <c r="M66" s="555"/>
      <c r="N66" s="555"/>
      <c r="O66" s="17"/>
    </row>
    <row r="67" spans="1:15">
      <c r="A67" s="555" t="s">
        <v>361</v>
      </c>
      <c r="B67" s="303" t="s">
        <v>366</v>
      </c>
      <c r="C67" s="368">
        <f>'[3]LTTR Unit Costs  Final Adj.'!O50</f>
        <v>1.1965322504646341</v>
      </c>
      <c r="D67" s="234"/>
      <c r="E67" s="229">
        <f>C67</f>
        <v>1.1965322504646341</v>
      </c>
      <c r="F67" s="1"/>
      <c r="G67" s="36"/>
      <c r="H67" s="1"/>
      <c r="I67" s="554"/>
      <c r="J67" s="599"/>
      <c r="K67" s="555"/>
      <c r="L67" s="555"/>
      <c r="M67" s="555"/>
      <c r="N67" s="555"/>
      <c r="O67" s="17"/>
    </row>
    <row r="68" spans="1:15">
      <c r="A68" s="312" t="s">
        <v>361</v>
      </c>
      <c r="B68" s="315" t="s">
        <v>344</v>
      </c>
      <c r="C68" s="368">
        <f>'[3]LTTR Unit Costs  Final Adj.'!O51</f>
        <v>0</v>
      </c>
      <c r="D68" s="234"/>
      <c r="E68" s="229"/>
      <c r="F68" s="1"/>
      <c r="G68" s="229">
        <f>C68</f>
        <v>0</v>
      </c>
      <c r="H68" s="229"/>
      <c r="I68" s="554"/>
      <c r="J68" s="599"/>
      <c r="K68" s="555"/>
      <c r="L68" s="17"/>
      <c r="M68" s="555"/>
      <c r="N68" s="555"/>
      <c r="O68" s="17"/>
    </row>
    <row r="69" spans="1:15">
      <c r="A69" s="312" t="s">
        <v>361</v>
      </c>
      <c r="B69" s="303" t="s">
        <v>323</v>
      </c>
      <c r="C69" s="368">
        <f>'[3]LTTR Unit Costs  Final Adj.'!O52</f>
        <v>7.4272737657697832E-2</v>
      </c>
      <c r="D69" s="234"/>
      <c r="E69" s="3">
        <f>+C69</f>
        <v>7.4272737657697832E-2</v>
      </c>
      <c r="F69" s="1"/>
      <c r="G69" s="229"/>
      <c r="H69" s="229"/>
      <c r="I69" s="554"/>
      <c r="J69" s="599"/>
      <c r="K69" s="555"/>
      <c r="L69" s="555"/>
      <c r="M69" s="555"/>
      <c r="N69" s="555"/>
      <c r="O69" s="17"/>
    </row>
    <row r="70" spans="1:15">
      <c r="A70" s="555" t="s">
        <v>361</v>
      </c>
      <c r="B70" s="303" t="s">
        <v>325</v>
      </c>
      <c r="C70" s="368">
        <f>'[3]LTTR Unit Costs  Final Adj.'!O53</f>
        <v>1.3715413828670102</v>
      </c>
      <c r="D70" s="234"/>
      <c r="E70" s="3">
        <f>+C70</f>
        <v>1.3715413828670102</v>
      </c>
      <c r="F70" s="1"/>
      <c r="G70" s="229"/>
      <c r="H70" s="1"/>
      <c r="I70" s="554"/>
      <c r="J70" s="599"/>
      <c r="K70" s="555"/>
      <c r="L70" s="555"/>
      <c r="M70" s="555"/>
      <c r="N70" s="555"/>
      <c r="O70" s="17"/>
    </row>
    <row r="71" spans="1:15">
      <c r="A71" s="555" t="s">
        <v>361</v>
      </c>
      <c r="B71" s="241" t="s">
        <v>326</v>
      </c>
      <c r="C71" s="368">
        <f>'[3]LTTR Unit Costs  Final Adj.'!O54</f>
        <v>5.2544701814831313E-2</v>
      </c>
      <c r="D71" s="234"/>
      <c r="E71" s="229">
        <f>IF($N$10=1,$C71*E$80,0)</f>
        <v>4.2944759701031621E-2</v>
      </c>
      <c r="F71" s="1"/>
      <c r="G71" s="229">
        <f>IF($N$10=1,$C71*G$80,0)</f>
        <v>9.2763347345968285E-3</v>
      </c>
      <c r="H71" s="229">
        <f>IF($N$10=1,$C71*H$80,C71)</f>
        <v>3.2360737920286334E-4</v>
      </c>
      <c r="I71" s="554"/>
      <c r="J71" s="599"/>
      <c r="K71" s="555"/>
      <c r="L71" s="555"/>
      <c r="M71" s="555"/>
      <c r="N71" s="555"/>
      <c r="O71" s="17"/>
    </row>
    <row r="72" spans="1:15">
      <c r="A72" s="312" t="s">
        <v>361</v>
      </c>
      <c r="B72" s="315" t="s">
        <v>367</v>
      </c>
      <c r="C72" s="368">
        <f>'[3]LTTR Unit Costs  Final Adj.'!O55</f>
        <v>0.58898248027401778</v>
      </c>
      <c r="D72" s="234"/>
      <c r="E72" s="229"/>
      <c r="F72" s="1"/>
      <c r="G72" s="229">
        <f>C72</f>
        <v>0.58898248027401778</v>
      </c>
      <c r="H72" s="229"/>
      <c r="I72" s="554"/>
      <c r="J72" s="599"/>
      <c r="K72" s="555"/>
      <c r="L72" s="555"/>
      <c r="M72" s="555"/>
      <c r="N72" s="555"/>
      <c r="O72" s="17"/>
    </row>
    <row r="73" spans="1:15">
      <c r="A73" s="555" t="s">
        <v>361</v>
      </c>
      <c r="B73" s="555" t="s">
        <v>368</v>
      </c>
      <c r="C73" s="368">
        <f>'[3]LTTR Unit Costs  Final Adj.'!O56</f>
        <v>4.0961437538836347E-2</v>
      </c>
      <c r="D73" s="234"/>
      <c r="E73" s="229"/>
      <c r="F73" s="1"/>
      <c r="G73" s="229"/>
      <c r="H73" s="3">
        <f>+C73</f>
        <v>4.0961437538836347E-2</v>
      </c>
      <c r="I73" s="554"/>
      <c r="J73" s="599"/>
      <c r="K73" s="555"/>
      <c r="L73" s="555"/>
      <c r="M73" s="555"/>
      <c r="N73" s="555"/>
      <c r="O73" s="17"/>
    </row>
    <row r="74" spans="1:15">
      <c r="A74" s="555" t="s">
        <v>361</v>
      </c>
      <c r="B74" s="243" t="s">
        <v>345</v>
      </c>
      <c r="C74" s="368">
        <f>'[3]LTTR Unit Costs  Final Adj.'!O57</f>
        <v>3.0087927651773006E-3</v>
      </c>
      <c r="D74" s="234"/>
      <c r="E74" s="234"/>
      <c r="F74" s="1"/>
      <c r="G74" s="36"/>
      <c r="H74" s="3">
        <f>+C74</f>
        <v>3.0087927651773006E-3</v>
      </c>
      <c r="I74" s="554"/>
      <c r="J74" s="599"/>
      <c r="K74" s="555"/>
      <c r="L74" s="555"/>
      <c r="M74" s="555"/>
      <c r="N74" s="555"/>
      <c r="O74" s="17"/>
    </row>
    <row r="75" spans="1:15" ht="13.5" thickBot="1">
      <c r="A75" s="316" t="s">
        <v>369</v>
      </c>
      <c r="B75" s="89"/>
      <c r="C75" s="100">
        <f>SUM(C62:C74)</f>
        <v>4.4916443279641287</v>
      </c>
      <c r="D75" s="100"/>
      <c r="E75" s="100">
        <f>SUM(E62:E74)</f>
        <v>3.4227191903689103</v>
      </c>
      <c r="F75" s="100"/>
      <c r="G75" s="100">
        <f>SUM(G62:G74)</f>
        <v>1.0189758500017934</v>
      </c>
      <c r="H75" s="100">
        <f>SUM(H62:H74)</f>
        <v>4.9949287593425068E-2</v>
      </c>
      <c r="I75" s="555"/>
      <c r="J75" s="599"/>
      <c r="K75" s="555"/>
      <c r="L75" s="555"/>
      <c r="M75" s="555"/>
      <c r="N75" s="555"/>
      <c r="O75" s="234"/>
    </row>
    <row r="76" spans="1:15" ht="12.95" thickTop="1">
      <c r="A76" s="555"/>
      <c r="B76" s="555"/>
      <c r="C76" s="317"/>
      <c r="D76" s="1"/>
      <c r="E76" s="1"/>
      <c r="F76" s="1"/>
      <c r="G76" s="1"/>
      <c r="H76" s="1"/>
      <c r="I76" s="555"/>
      <c r="J76" s="599"/>
      <c r="K76" s="555"/>
      <c r="L76" s="555"/>
      <c r="M76" s="555"/>
      <c r="N76" s="555"/>
      <c r="O76" s="234"/>
    </row>
    <row r="77" spans="1:15" ht="12.95">
      <c r="A77" s="11" t="s">
        <v>17</v>
      </c>
      <c r="B77" s="11"/>
      <c r="C77" s="318">
        <f>C61+C75+C51</f>
        <v>20.251944859916296</v>
      </c>
      <c r="D77" s="4"/>
      <c r="E77" s="4">
        <f>E61+E75+E51</f>
        <v>16.551904862883077</v>
      </c>
      <c r="F77" s="4"/>
      <c r="G77" s="4">
        <f>G61+G75+G51</f>
        <v>3.5753142192949809</v>
      </c>
      <c r="H77" s="4">
        <f>H61+H75+H51</f>
        <v>0.12472577773823358</v>
      </c>
      <c r="I77" s="18"/>
      <c r="J77" s="599"/>
      <c r="K77" s="555"/>
      <c r="L77" s="555"/>
      <c r="M77" s="555"/>
      <c r="N77" s="555"/>
      <c r="O77" s="18"/>
    </row>
    <row r="78" spans="1:15">
      <c r="A78" s="555"/>
      <c r="B78" s="555"/>
      <c r="C78" s="301"/>
      <c r="D78" s="555"/>
      <c r="E78" s="555"/>
      <c r="F78" s="555"/>
      <c r="G78" s="1"/>
      <c r="H78" s="1"/>
      <c r="I78" s="555"/>
      <c r="J78" s="17"/>
      <c r="K78" s="238"/>
      <c r="L78" s="555"/>
      <c r="M78" s="555"/>
      <c r="N78" s="555"/>
      <c r="O78" s="18"/>
    </row>
    <row r="79" spans="1:15">
      <c r="A79" s="555" t="s">
        <v>370</v>
      </c>
      <c r="B79" s="555"/>
      <c r="C79" s="229">
        <f>SUM(C7:C10,C16:C17,C20,C21,C24,C33:C36,C38,C52,C63:C70,C72:C74)</f>
        <v>14.46287981426836</v>
      </c>
      <c r="D79" s="1"/>
      <c r="E79" s="229">
        <f>SUM(E7:E10,E16:E17,E20,E52,E63,E67,E69:E70)</f>
        <v>11.820504765588792</v>
      </c>
      <c r="F79" s="1"/>
      <c r="G79" s="229">
        <f>SUM(G21,G24,G34,G36,G38,G64,G66,G68,G72)</f>
        <v>2.5533024215493421</v>
      </c>
      <c r="H79" s="229">
        <f>SUM(H33,H35,H65,H73,H74)</f>
        <v>8.9072627130225998E-2</v>
      </c>
      <c r="I79" s="18"/>
      <c r="J79" s="17"/>
      <c r="K79" s="555"/>
      <c r="L79" s="555"/>
      <c r="M79" s="555"/>
      <c r="N79" s="555"/>
      <c r="O79" s="555"/>
    </row>
    <row r="80" spans="1:15">
      <c r="A80" s="555" t="s">
        <v>371</v>
      </c>
      <c r="B80" s="555"/>
      <c r="C80" s="229"/>
      <c r="D80" s="1"/>
      <c r="E80" s="268">
        <f>E79/$C79</f>
        <v>0.81729952245936999</v>
      </c>
      <c r="F80" s="1"/>
      <c r="G80" s="268">
        <f>G79/$C79</f>
        <v>0.17654177137186611</v>
      </c>
      <c r="H80" s="268">
        <f>H79/$C79</f>
        <v>6.1587061687639385E-3</v>
      </c>
      <c r="I80" s="106"/>
      <c r="J80" s="17"/>
      <c r="K80" s="555"/>
      <c r="L80" s="555"/>
      <c r="M80" s="555"/>
      <c r="N80" s="555"/>
      <c r="O80" s="555"/>
    </row>
    <row r="81" spans="11:12">
      <c r="K81" s="18"/>
      <c r="L81" s="555"/>
    </row>
    <row r="82" spans="11:12">
      <c r="K82" s="239"/>
      <c r="L82" s="18"/>
    </row>
  </sheetData>
  <phoneticPr fontId="11" type="noConversion"/>
  <pageMargins left="0.75" right="0.75" top="1" bottom="1" header="0.5" footer="0.5"/>
  <pageSetup scale="66" orientation="portrait" r:id="rId1"/>
  <headerFooter alignWithMargins="0">
    <oddHeader xml:space="preserve">&amp;RPage 2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BP88"/>
  <sheetViews>
    <sheetView zoomScale="115" zoomScaleNormal="115" workbookViewId="0"/>
  </sheetViews>
  <sheetFormatPr defaultColWidth="9.140625" defaultRowHeight="12.6"/>
  <cols>
    <col min="1" max="1" width="13.42578125" customWidth="1"/>
    <col min="2" max="2" width="11" bestFit="1" customWidth="1"/>
    <col min="3" max="3" width="13.7109375" style="267" customWidth="1"/>
    <col min="4" max="4" width="1.7109375" customWidth="1"/>
    <col min="5" max="5" width="13.7109375" customWidth="1"/>
    <col min="6" max="6" width="1.85546875" customWidth="1"/>
    <col min="7" max="7" width="13.140625" style="1" bestFit="1" customWidth="1"/>
    <col min="8" max="8" width="12.7109375" style="1" customWidth="1"/>
    <col min="11" max="11" width="12.7109375" customWidth="1"/>
    <col min="12" max="12" width="19.28515625" customWidth="1"/>
    <col min="13" max="13" width="12.140625" customWidth="1"/>
  </cols>
  <sheetData>
    <row r="1" spans="1:68" ht="15.6">
      <c r="A1" s="72" t="s">
        <v>372</v>
      </c>
      <c r="B1" s="78"/>
      <c r="C1" s="597"/>
      <c r="D1" s="78"/>
      <c r="E1" s="78"/>
      <c r="F1" s="78"/>
      <c r="G1" s="78"/>
      <c r="H1" s="78"/>
      <c r="I1" s="555"/>
      <c r="J1" s="18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55"/>
      <c r="AX1" s="555"/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555"/>
      <c r="BJ1" s="555"/>
      <c r="BK1" s="555"/>
      <c r="BL1" s="555"/>
      <c r="BM1" s="555"/>
      <c r="BN1" s="555"/>
      <c r="BO1" s="555"/>
      <c r="BP1" s="555"/>
    </row>
    <row r="2" spans="1:68" ht="15.6">
      <c r="A2" s="72" t="s">
        <v>289</v>
      </c>
      <c r="B2" s="78"/>
      <c r="C2" s="597"/>
      <c r="D2" s="78"/>
      <c r="E2" s="78"/>
      <c r="F2" s="78"/>
      <c r="G2" s="78"/>
      <c r="H2" s="78"/>
      <c r="I2" s="555"/>
      <c r="J2" s="18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5"/>
      <c r="AR2" s="555"/>
      <c r="AS2" s="555"/>
      <c r="AT2" s="555"/>
      <c r="AU2" s="555"/>
      <c r="AV2" s="555"/>
      <c r="AW2" s="555"/>
      <c r="AX2" s="555"/>
      <c r="AY2" s="555"/>
      <c r="AZ2" s="555"/>
      <c r="BA2" s="555"/>
      <c r="BB2" s="555"/>
      <c r="BC2" s="555"/>
      <c r="BD2" s="555"/>
      <c r="BE2" s="555"/>
      <c r="BF2" s="555"/>
      <c r="BG2" s="555"/>
      <c r="BH2" s="555"/>
      <c r="BI2" s="555"/>
      <c r="BJ2" s="555"/>
      <c r="BK2" s="555"/>
      <c r="BL2" s="555"/>
      <c r="BM2" s="555"/>
      <c r="BN2" s="555"/>
      <c r="BO2" s="555"/>
      <c r="BP2" s="555"/>
    </row>
    <row r="3" spans="1:68" s="174" customFormat="1" ht="12.95">
      <c r="A3" s="217" t="s">
        <v>290</v>
      </c>
      <c r="B3" s="222"/>
      <c r="C3" s="597"/>
      <c r="D3" s="222"/>
      <c r="E3" s="222"/>
      <c r="F3" s="222"/>
      <c r="G3" s="222"/>
      <c r="H3" s="222"/>
      <c r="J3" s="18"/>
      <c r="L3" s="555"/>
      <c r="M3" s="555"/>
      <c r="N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555"/>
      <c r="AS3" s="555"/>
      <c r="AT3" s="555"/>
      <c r="AU3" s="555"/>
      <c r="AV3" s="555"/>
      <c r="AW3" s="555"/>
      <c r="AX3" s="555"/>
      <c r="AY3" s="555"/>
      <c r="AZ3" s="555"/>
      <c r="BA3" s="555"/>
      <c r="BB3" s="555"/>
      <c r="BC3" s="555"/>
      <c r="BD3" s="555"/>
      <c r="BE3" s="555"/>
      <c r="BF3" s="555"/>
      <c r="BG3" s="555"/>
      <c r="BH3" s="555"/>
      <c r="BI3" s="555"/>
      <c r="BJ3" s="555"/>
      <c r="BK3" s="555"/>
      <c r="BL3" s="555"/>
      <c r="BM3" s="555"/>
      <c r="BN3" s="555"/>
      <c r="BO3" s="555"/>
      <c r="BP3" s="555"/>
    </row>
    <row r="4" spans="1:68" ht="12.95">
      <c r="A4" s="11" t="s">
        <v>373</v>
      </c>
      <c r="B4" s="592"/>
      <c r="C4" s="597"/>
      <c r="D4" s="592"/>
      <c r="E4" s="592"/>
      <c r="F4" s="592"/>
      <c r="G4" s="592"/>
      <c r="H4" s="592"/>
      <c r="I4" s="555"/>
      <c r="J4" s="18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5"/>
      <c r="AQ4" s="555"/>
      <c r="AR4" s="555"/>
      <c r="AS4" s="555"/>
      <c r="AT4" s="555"/>
      <c r="AU4" s="555"/>
      <c r="AV4" s="555"/>
      <c r="AW4" s="555"/>
      <c r="AX4" s="555"/>
      <c r="AY4" s="555"/>
      <c r="AZ4" s="555"/>
      <c r="BA4" s="555"/>
      <c r="BB4" s="555"/>
      <c r="BC4" s="555"/>
      <c r="BD4" s="555"/>
      <c r="BE4" s="555"/>
      <c r="BF4" s="555"/>
      <c r="BG4" s="555"/>
      <c r="BH4" s="555"/>
      <c r="BI4" s="555"/>
      <c r="BJ4" s="555"/>
      <c r="BK4" s="555"/>
      <c r="BL4" s="555"/>
      <c r="BM4" s="555"/>
      <c r="BN4" s="555"/>
      <c r="BO4" s="555"/>
      <c r="BP4" s="555"/>
    </row>
    <row r="5" spans="1:68" ht="12.95">
      <c r="A5" s="554"/>
      <c r="B5" s="554"/>
      <c r="C5" s="600"/>
      <c r="D5" s="554"/>
      <c r="E5" s="83" t="s">
        <v>292</v>
      </c>
      <c r="F5" s="83"/>
      <c r="G5" s="223"/>
      <c r="H5" s="554"/>
      <c r="I5" s="554"/>
      <c r="J5" s="18"/>
      <c r="K5" s="555"/>
      <c r="L5" s="245"/>
      <c r="M5" s="245"/>
      <c r="N5" s="245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7"/>
      <c r="BO5" s="245"/>
      <c r="BP5" s="245"/>
    </row>
    <row r="6" spans="1:68" ht="39.6" thickBot="1">
      <c r="A6" s="224" t="s">
        <v>293</v>
      </c>
      <c r="B6" s="225"/>
      <c r="C6" s="598" t="s">
        <v>294</v>
      </c>
      <c r="D6" s="226"/>
      <c r="E6" s="227" t="s">
        <v>295</v>
      </c>
      <c r="F6" s="226"/>
      <c r="G6" s="226" t="s">
        <v>296</v>
      </c>
      <c r="H6" s="226" t="s">
        <v>297</v>
      </c>
      <c r="I6" s="555"/>
      <c r="J6" s="18"/>
      <c r="K6" s="555"/>
      <c r="L6" s="2" t="s">
        <v>298</v>
      </c>
      <c r="M6" s="2" t="s">
        <v>299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555"/>
      <c r="BB6" s="555"/>
      <c r="BC6" s="555"/>
      <c r="BD6" s="555"/>
      <c r="BE6" s="555"/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</row>
    <row r="7" spans="1:68" ht="12.95" thickTop="1">
      <c r="A7" s="555" t="s">
        <v>300</v>
      </c>
      <c r="B7" s="303" t="s">
        <v>301</v>
      </c>
      <c r="C7" s="496">
        <f>'[3]LTTR Unit Costs  Final Adj.'!$F$6</f>
        <v>3.5241512441823368</v>
      </c>
      <c r="D7" s="234"/>
      <c r="E7" s="229">
        <f>+C7</f>
        <v>3.5241512441823368</v>
      </c>
      <c r="F7" s="1"/>
      <c r="G7" s="3"/>
      <c r="I7" s="555"/>
      <c r="J7" s="555"/>
      <c r="K7" s="555"/>
      <c r="L7" s="242" t="s">
        <v>302</v>
      </c>
      <c r="M7" s="18" t="s">
        <v>303</v>
      </c>
      <c r="N7" s="555"/>
      <c r="O7" s="555"/>
      <c r="P7" s="555"/>
      <c r="Q7" s="555"/>
      <c r="R7" s="555"/>
      <c r="S7" s="555"/>
      <c r="T7" s="555"/>
      <c r="U7" s="555"/>
      <c r="V7" s="555"/>
      <c r="W7" s="555"/>
      <c r="X7" s="555"/>
      <c r="Y7" s="555"/>
      <c r="Z7" s="555"/>
      <c r="AA7" s="555"/>
      <c r="AB7" s="555"/>
      <c r="AC7" s="555"/>
      <c r="AD7" s="555"/>
      <c r="AE7" s="555"/>
      <c r="AF7" s="555"/>
      <c r="AG7" s="555"/>
      <c r="AH7" s="555"/>
      <c r="AI7" s="555"/>
      <c r="AJ7" s="555"/>
      <c r="AK7" s="555"/>
      <c r="AL7" s="555"/>
      <c r="AM7" s="555"/>
      <c r="AN7" s="555"/>
      <c r="AO7" s="555"/>
      <c r="AP7" s="555"/>
      <c r="AQ7" s="555"/>
      <c r="AR7" s="555"/>
      <c r="AS7" s="555"/>
      <c r="AT7" s="555"/>
      <c r="AU7" s="555"/>
      <c r="AV7" s="555"/>
      <c r="AW7" s="555"/>
      <c r="AX7" s="555"/>
      <c r="AY7" s="555"/>
      <c r="AZ7" s="555"/>
      <c r="BA7" s="555"/>
      <c r="BB7" s="555"/>
      <c r="BC7" s="555"/>
      <c r="BD7" s="555"/>
      <c r="BE7" s="555"/>
      <c r="BF7" s="555"/>
      <c r="BG7" s="555"/>
      <c r="BH7" s="555"/>
      <c r="BI7" s="555"/>
      <c r="BJ7" s="555"/>
      <c r="BK7" s="555"/>
      <c r="BL7" s="555"/>
      <c r="BM7" s="555"/>
      <c r="BN7" s="555"/>
      <c r="BO7" s="555"/>
      <c r="BP7" s="555"/>
    </row>
    <row r="8" spans="1:68">
      <c r="A8" s="174" t="s">
        <v>304</v>
      </c>
      <c r="B8" s="305" t="s">
        <v>305</v>
      </c>
      <c r="C8" s="496">
        <f>'[3]LTTR Unit Costs  Final Adj.'!$F$7</f>
        <v>4.91496519577466E-2</v>
      </c>
      <c r="D8" s="234"/>
      <c r="E8" s="229">
        <f>+C8</f>
        <v>4.91496519577466E-2</v>
      </c>
      <c r="F8" s="1"/>
      <c r="G8" s="229"/>
      <c r="H8" s="229"/>
      <c r="I8" s="555"/>
      <c r="J8" s="555"/>
      <c r="K8" s="555"/>
      <c r="L8" s="244" t="s">
        <v>306</v>
      </c>
      <c r="M8" s="18" t="s">
        <v>307</v>
      </c>
      <c r="N8" s="555"/>
      <c r="O8" s="555"/>
      <c r="P8" s="555"/>
      <c r="Q8" s="555"/>
      <c r="R8" s="555"/>
      <c r="S8" s="555"/>
      <c r="T8" s="555"/>
      <c r="U8" s="555"/>
      <c r="V8" s="555"/>
      <c r="W8" s="555"/>
      <c r="X8" s="555"/>
      <c r="Y8" s="555"/>
      <c r="Z8" s="555"/>
      <c r="AA8" s="555"/>
      <c r="AB8" s="555"/>
      <c r="AC8" s="555"/>
      <c r="AD8" s="555"/>
      <c r="AE8" s="555"/>
      <c r="AF8" s="555"/>
      <c r="AG8" s="555"/>
      <c r="AH8" s="555"/>
      <c r="AI8" s="555"/>
      <c r="AJ8" s="555"/>
      <c r="AK8" s="555"/>
      <c r="AL8" s="555"/>
      <c r="AM8" s="555"/>
      <c r="AN8" s="555"/>
      <c r="AO8" s="555"/>
      <c r="AP8" s="555"/>
      <c r="AQ8" s="555"/>
      <c r="AR8" s="555"/>
      <c r="AS8" s="555"/>
      <c r="AT8" s="555"/>
      <c r="AU8" s="555"/>
      <c r="AV8" s="555"/>
      <c r="AW8" s="555"/>
      <c r="AX8" s="555"/>
      <c r="AY8" s="555"/>
      <c r="AZ8" s="555"/>
      <c r="BA8" s="555"/>
      <c r="BB8" s="555"/>
      <c r="BC8" s="555"/>
      <c r="BD8" s="555"/>
      <c r="BE8" s="555"/>
      <c r="BF8" s="555"/>
      <c r="BG8" s="555"/>
      <c r="BH8" s="555"/>
      <c r="BI8" s="555"/>
      <c r="BJ8" s="555"/>
      <c r="BK8" s="555"/>
      <c r="BL8" s="555"/>
      <c r="BM8" s="555"/>
      <c r="BN8" s="555"/>
      <c r="BO8" s="555"/>
      <c r="BP8" s="555"/>
    </row>
    <row r="9" spans="1:68">
      <c r="A9" s="174"/>
      <c r="B9" s="174"/>
      <c r="C9" s="496"/>
      <c r="D9" s="234"/>
      <c r="E9" s="229"/>
      <c r="F9" s="1"/>
      <c r="G9" s="229"/>
      <c r="H9" s="229"/>
      <c r="I9" s="555"/>
      <c r="J9" s="555"/>
      <c r="K9" s="555"/>
      <c r="L9" s="243" t="s">
        <v>308</v>
      </c>
      <c r="M9" s="18" t="s">
        <v>309</v>
      </c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</row>
    <row r="10" spans="1:68">
      <c r="A10" s="174" t="s">
        <v>304</v>
      </c>
      <c r="B10" s="305" t="s">
        <v>310</v>
      </c>
      <c r="C10" s="496">
        <v>0</v>
      </c>
      <c r="D10" s="234"/>
      <c r="E10" s="229">
        <f>+C10</f>
        <v>0</v>
      </c>
      <c r="F10" s="1"/>
      <c r="G10" s="229"/>
      <c r="H10" s="229"/>
      <c r="I10" s="555"/>
      <c r="J10" s="555"/>
      <c r="K10" s="555"/>
      <c r="L10" s="241" t="s">
        <v>311</v>
      </c>
      <c r="M10" s="18" t="str">
        <f>IF(N10=1,"Piggybacked","Non WS")</f>
        <v>Piggybacked</v>
      </c>
      <c r="N10" s="17">
        <f>'CRA-METERED LETTERS'!N10</f>
        <v>1</v>
      </c>
      <c r="O10" s="555"/>
      <c r="P10" s="555"/>
      <c r="Q10" s="555"/>
      <c r="R10" s="555"/>
      <c r="S10" s="555"/>
      <c r="T10" s="555"/>
      <c r="U10" s="555"/>
      <c r="V10" s="555"/>
      <c r="W10" s="555"/>
      <c r="X10" s="555"/>
      <c r="Y10" s="555"/>
      <c r="Z10" s="555"/>
      <c r="AA10" s="555"/>
      <c r="AB10" s="555"/>
      <c r="AC10" s="555"/>
      <c r="AD10" s="555"/>
      <c r="AE10" s="555"/>
      <c r="AF10" s="555"/>
      <c r="AG10" s="555"/>
      <c r="AH10" s="555"/>
      <c r="AI10" s="555"/>
      <c r="AJ10" s="555"/>
      <c r="AK10" s="555"/>
      <c r="AL10" s="555"/>
      <c r="AM10" s="555"/>
      <c r="AN10" s="555"/>
      <c r="AO10" s="555"/>
      <c r="AP10" s="555"/>
      <c r="AQ10" s="555"/>
      <c r="AR10" s="555"/>
      <c r="AS10" s="555"/>
      <c r="AT10" s="555"/>
      <c r="AU10" s="555"/>
      <c r="AV10" s="555"/>
      <c r="AW10" s="555"/>
      <c r="AX10" s="555"/>
      <c r="AY10" s="555"/>
      <c r="AZ10" s="555"/>
      <c r="BA10" s="555"/>
      <c r="BB10" s="555"/>
      <c r="BC10" s="555"/>
      <c r="BD10" s="555"/>
      <c r="BE10" s="555"/>
      <c r="BF10" s="555"/>
      <c r="BG10" s="555"/>
      <c r="BH10" s="555"/>
      <c r="BI10" s="555"/>
      <c r="BJ10" s="555"/>
      <c r="BK10" s="555"/>
      <c r="BL10" s="555"/>
      <c r="BM10" s="555"/>
      <c r="BN10" s="555"/>
      <c r="BO10" s="555"/>
      <c r="BP10" s="555"/>
    </row>
    <row r="11" spans="1:68" ht="12.6" customHeight="1">
      <c r="A11" s="174"/>
      <c r="B11" s="174"/>
      <c r="C11" s="496"/>
      <c r="D11" s="234"/>
      <c r="E11" s="229"/>
      <c r="F11" s="1"/>
      <c r="G11" s="229"/>
      <c r="H11" s="229"/>
      <c r="I11" s="555"/>
      <c r="J11" s="555"/>
      <c r="K11" s="555"/>
      <c r="L11" s="555"/>
      <c r="M11" s="555"/>
      <c r="N11" s="555"/>
      <c r="O11" s="555"/>
      <c r="P11" s="555"/>
      <c r="Q11" s="555"/>
      <c r="R11" s="555"/>
      <c r="S11" s="55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/>
      <c r="BB11" s="555"/>
      <c r="BC11" s="555"/>
      <c r="BD11" s="555"/>
      <c r="BE11" s="555"/>
      <c r="BF11" s="555"/>
      <c r="BG11" s="555"/>
      <c r="BH11" s="555"/>
      <c r="BI11" s="555"/>
      <c r="BJ11" s="555"/>
      <c r="BK11" s="555"/>
      <c r="BL11" s="555"/>
      <c r="BM11" s="555"/>
      <c r="BN11" s="555"/>
      <c r="BO11" s="555"/>
      <c r="BP11" s="555"/>
    </row>
    <row r="12" spans="1:68">
      <c r="A12" s="174" t="s">
        <v>312</v>
      </c>
      <c r="B12" s="276" t="s">
        <v>313</v>
      </c>
      <c r="C12" s="496">
        <f>'[3]LTTR Unit Costs  Final Adj.'!F9</f>
        <v>7.3973996410113749E-3</v>
      </c>
      <c r="D12" s="234"/>
      <c r="E12" s="229">
        <f>IF($N$10=1,$C12*E$80,0)</f>
        <v>6.6495447779709223E-3</v>
      </c>
      <c r="F12" s="1"/>
      <c r="G12" s="229">
        <f>IF($N$10=1,$C12*G$80,0)</f>
        <v>7.1552008923769523E-4</v>
      </c>
      <c r="H12" s="229">
        <f>IF($N$10=1,$C12*H$80,C12)</f>
        <v>3.2334773802758502E-5</v>
      </c>
      <c r="I12" s="555"/>
      <c r="J12" s="555"/>
      <c r="K12" s="555"/>
      <c r="L12" s="240" t="s">
        <v>314</v>
      </c>
      <c r="M12" s="18" t="s">
        <v>315</v>
      </c>
      <c r="N12" s="555"/>
      <c r="O12" s="555"/>
      <c r="P12" s="555"/>
      <c r="Q12" s="555"/>
      <c r="R12" s="555"/>
      <c r="S12" s="555"/>
      <c r="T12" s="555"/>
      <c r="U12" s="555"/>
      <c r="V12" s="555"/>
      <c r="W12" s="555"/>
      <c r="X12" s="555"/>
      <c r="Y12" s="555"/>
      <c r="Z12" s="555"/>
      <c r="AA12" s="555"/>
      <c r="AB12" s="555"/>
      <c r="AC12" s="555"/>
      <c r="AD12" s="555"/>
      <c r="AE12" s="555"/>
      <c r="AF12" s="555"/>
      <c r="AG12" s="555"/>
      <c r="AH12" s="555"/>
      <c r="AI12" s="555"/>
      <c r="AJ12" s="555"/>
      <c r="AK12" s="555"/>
      <c r="AL12" s="555"/>
      <c r="AM12" s="555"/>
      <c r="AN12" s="555"/>
      <c r="AO12" s="555"/>
      <c r="AP12" s="555"/>
      <c r="AQ12" s="555"/>
      <c r="AR12" s="555"/>
      <c r="AS12" s="555"/>
      <c r="AT12" s="555"/>
      <c r="AU12" s="555"/>
      <c r="AV12" s="555"/>
      <c r="AW12" s="555"/>
      <c r="AX12" s="555"/>
      <c r="AY12" s="555"/>
      <c r="AZ12" s="555"/>
      <c r="BA12" s="555"/>
      <c r="BB12" s="555"/>
      <c r="BC12" s="555"/>
      <c r="BD12" s="555"/>
      <c r="BE12" s="555"/>
      <c r="BF12" s="555"/>
      <c r="BG12" s="555"/>
      <c r="BH12" s="555"/>
      <c r="BI12" s="555"/>
      <c r="BJ12" s="555"/>
      <c r="BK12" s="555"/>
      <c r="BL12" s="555"/>
      <c r="BM12" s="555"/>
      <c r="BN12" s="555"/>
      <c r="BO12" s="555"/>
      <c r="BP12" s="555"/>
    </row>
    <row r="13" spans="1:68">
      <c r="A13" s="174" t="s">
        <v>312</v>
      </c>
      <c r="B13" s="276" t="s">
        <v>316</v>
      </c>
      <c r="C13" s="496">
        <f>'[3]LTTR Unit Costs  Final Adj.'!F10</f>
        <v>4.5725941856787883E-2</v>
      </c>
      <c r="D13" s="234"/>
      <c r="E13" s="229">
        <f>IF($N$10=1,$C13*E$80,0)</f>
        <v>4.1103186612483078E-2</v>
      </c>
      <c r="F13" s="1"/>
      <c r="G13" s="229">
        <f>IF($N$10=1,$C13*G$80,0)</f>
        <v>4.42288257842094E-3</v>
      </c>
      <c r="H13" s="229">
        <f>IF($N$10=1,$C13*H$80,C13)</f>
        <v>1.9987266588386958E-4</v>
      </c>
      <c r="I13" s="555"/>
      <c r="J13" s="555"/>
      <c r="K13" s="555"/>
      <c r="L13" s="555"/>
      <c r="M13" s="18"/>
      <c r="N13" s="555"/>
      <c r="O13" s="555"/>
      <c r="P13" s="555"/>
      <c r="Q13" s="555"/>
      <c r="R13" s="555"/>
      <c r="S13" s="555"/>
      <c r="T13" s="555"/>
      <c r="U13" s="555"/>
      <c r="V13" s="555"/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5"/>
      <c r="AH13" s="555"/>
      <c r="AI13" s="555"/>
      <c r="AJ13" s="555"/>
      <c r="AK13" s="555"/>
      <c r="AL13" s="555"/>
      <c r="AM13" s="555"/>
      <c r="AN13" s="555"/>
      <c r="AO13" s="555"/>
      <c r="AP13" s="555"/>
      <c r="AQ13" s="555"/>
      <c r="AR13" s="555"/>
      <c r="AS13" s="555"/>
      <c r="AT13" s="555"/>
      <c r="AU13" s="555"/>
      <c r="AV13" s="555"/>
      <c r="AW13" s="555"/>
      <c r="AX13" s="555"/>
      <c r="AY13" s="555"/>
      <c r="AZ13" s="555"/>
      <c r="BA13" s="555"/>
      <c r="BB13" s="555"/>
      <c r="BC13" s="555"/>
      <c r="BD13" s="555"/>
      <c r="BE13" s="555"/>
      <c r="BF13" s="555"/>
      <c r="BG13" s="555"/>
      <c r="BH13" s="555"/>
      <c r="BI13" s="555"/>
      <c r="BJ13" s="555"/>
      <c r="BK13" s="555"/>
      <c r="BL13" s="555"/>
      <c r="BM13" s="555"/>
      <c r="BN13" s="555"/>
      <c r="BO13" s="555"/>
      <c r="BP13" s="555"/>
    </row>
    <row r="14" spans="1:68">
      <c r="A14" s="174" t="s">
        <v>317</v>
      </c>
      <c r="B14" s="273" t="s">
        <v>318</v>
      </c>
      <c r="C14" s="496">
        <f>'[3]LTTR Unit Costs  Final Adj.'!F11</f>
        <v>1.1005714249514936E-2</v>
      </c>
      <c r="D14" s="234"/>
      <c r="E14" s="229">
        <f>IF($N$10=1,$C14*E$80,0)</f>
        <v>9.8930696281398431E-3</v>
      </c>
      <c r="F14" s="1"/>
      <c r="G14" s="229">
        <f>IF($N$10=1,$C14*G$80,0)</f>
        <v>1.0645375434739732E-3</v>
      </c>
      <c r="H14" s="229">
        <f>IF($N$10=1,$C14*H$80,C14)</f>
        <v>4.8107077901121377E-5</v>
      </c>
      <c r="I14" s="555"/>
      <c r="J14" s="555"/>
      <c r="K14" s="555"/>
      <c r="L14" s="555" t="s">
        <v>319</v>
      </c>
      <c r="M14" s="18"/>
      <c r="N14" s="555"/>
      <c r="O14" s="555"/>
      <c r="P14" s="555"/>
      <c r="Q14" s="555"/>
      <c r="R14" s="555"/>
      <c r="S14" s="555"/>
      <c r="T14" s="555"/>
      <c r="U14" s="555"/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M14" s="555"/>
      <c r="AN14" s="555"/>
      <c r="AO14" s="555"/>
      <c r="AP14" s="555"/>
      <c r="AQ14" s="555"/>
      <c r="AR14" s="555"/>
      <c r="AS14" s="555"/>
      <c r="AT14" s="555"/>
      <c r="AU14" s="555"/>
      <c r="AV14" s="555"/>
      <c r="AW14" s="555"/>
      <c r="AX14" s="555"/>
      <c r="AY14" s="555"/>
      <c r="AZ14" s="555"/>
      <c r="BA14" s="555"/>
      <c r="BB14" s="555"/>
      <c r="BC14" s="555"/>
      <c r="BD14" s="555"/>
      <c r="BE14" s="555"/>
      <c r="BF14" s="555"/>
      <c r="BG14" s="555"/>
      <c r="BH14" s="555"/>
      <c r="BI14" s="555"/>
      <c r="BJ14" s="555"/>
      <c r="BK14" s="555"/>
      <c r="BL14" s="555"/>
      <c r="BM14" s="555"/>
      <c r="BN14" s="555"/>
      <c r="BO14" s="555"/>
      <c r="BP14" s="555"/>
    </row>
    <row r="15" spans="1:68">
      <c r="A15" s="174" t="s">
        <v>317</v>
      </c>
      <c r="B15" s="273" t="s">
        <v>320</v>
      </c>
      <c r="C15" s="496">
        <f>'[3]LTTR Unit Costs  Final Adj.'!F12</f>
        <v>0.55726082336709304</v>
      </c>
      <c r="D15" s="234"/>
      <c r="E15" s="229">
        <f>IF($N$10=1,$C15*E$80,0)</f>
        <v>0.50092342955825608</v>
      </c>
      <c r="F15" s="1"/>
      <c r="G15" s="229">
        <f>IF($N$10=1,$C15*G$80,0)</f>
        <v>5.3901551006345146E-2</v>
      </c>
      <c r="H15" s="229">
        <f>IF($N$10=1,$C15*H$80,C15)</f>
        <v>2.4358428024919259E-3</v>
      </c>
      <c r="I15" s="555"/>
      <c r="J15" s="555"/>
      <c r="K15" s="555"/>
      <c r="L15" s="555" t="s">
        <v>321</v>
      </c>
      <c r="M15" s="18"/>
      <c r="N15" s="555"/>
      <c r="O15" s="555"/>
      <c r="P15" s="555"/>
      <c r="Q15" s="555"/>
      <c r="R15" s="555"/>
      <c r="S15" s="555"/>
      <c r="T15" s="555"/>
      <c r="U15" s="555"/>
      <c r="V15" s="555"/>
      <c r="W15" s="555"/>
      <c r="X15" s="555"/>
      <c r="Y15" s="555"/>
      <c r="Z15" s="555"/>
      <c r="AA15" s="555"/>
      <c r="AB15" s="555"/>
      <c r="AC15" s="555"/>
      <c r="AD15" s="555"/>
      <c r="AE15" s="555"/>
      <c r="AF15" s="555"/>
      <c r="AG15" s="555"/>
      <c r="AH15" s="555"/>
      <c r="AI15" s="555"/>
      <c r="AJ15" s="555"/>
      <c r="AK15" s="555"/>
      <c r="AL15" s="555"/>
      <c r="AM15" s="555"/>
      <c r="AN15" s="555"/>
      <c r="AO15" s="555"/>
      <c r="AP15" s="555"/>
      <c r="AQ15" s="555"/>
      <c r="AR15" s="555"/>
      <c r="AS15" s="555"/>
      <c r="AT15" s="555"/>
      <c r="AU15" s="555"/>
      <c r="AV15" s="555"/>
      <c r="AW15" s="555"/>
      <c r="AX15" s="555"/>
      <c r="AY15" s="555"/>
      <c r="AZ15" s="555"/>
      <c r="BA15" s="555"/>
      <c r="BB15" s="555"/>
      <c r="BC15" s="555"/>
      <c r="BD15" s="555"/>
      <c r="BE15" s="555"/>
      <c r="BF15" s="555"/>
      <c r="BG15" s="555"/>
      <c r="BH15" s="555"/>
      <c r="BI15" s="555"/>
      <c r="BJ15" s="555"/>
      <c r="BK15" s="555"/>
      <c r="BL15" s="555"/>
      <c r="BM15" s="555"/>
      <c r="BN15" s="555"/>
      <c r="BO15" s="555"/>
      <c r="BP15" s="555"/>
    </row>
    <row r="16" spans="1:68">
      <c r="A16" s="174" t="s">
        <v>322</v>
      </c>
      <c r="B16" s="305" t="s">
        <v>323</v>
      </c>
      <c r="C16" s="496">
        <f>'[3]LTTR Unit Costs  Final Adj.'!F13</f>
        <v>1.2106278287172785E-2</v>
      </c>
      <c r="D16" s="234"/>
      <c r="E16" s="229">
        <f>+C16</f>
        <v>1.2106278287172785E-2</v>
      </c>
      <c r="F16" s="1"/>
      <c r="G16" s="229"/>
      <c r="H16" s="229"/>
      <c r="I16" s="555"/>
      <c r="J16" s="555"/>
      <c r="K16" s="555"/>
      <c r="L16" s="555" t="s">
        <v>324</v>
      </c>
      <c r="M16" s="18"/>
      <c r="N16" s="555"/>
      <c r="O16" s="555"/>
      <c r="P16" s="555"/>
      <c r="Q16" s="555"/>
      <c r="R16" s="555"/>
      <c r="S16" s="55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5"/>
      <c r="BC16" s="555"/>
      <c r="BD16" s="555"/>
      <c r="BE16" s="555"/>
      <c r="BF16" s="555"/>
      <c r="BG16" s="555"/>
      <c r="BH16" s="555"/>
      <c r="BI16" s="555"/>
      <c r="BJ16" s="555"/>
      <c r="BK16" s="555"/>
      <c r="BL16" s="555"/>
      <c r="BM16" s="555"/>
      <c r="BN16" s="555"/>
      <c r="BO16" s="555"/>
      <c r="BP16" s="555"/>
    </row>
    <row r="17" spans="1:15">
      <c r="A17" s="174" t="s">
        <v>322</v>
      </c>
      <c r="B17" s="305" t="s">
        <v>325</v>
      </c>
      <c r="C17" s="496">
        <f>'[3]LTTR Unit Costs  Final Adj.'!F14</f>
        <v>0.25835925421562445</v>
      </c>
      <c r="D17" s="234"/>
      <c r="E17" s="229">
        <f>+C17</f>
        <v>0.25835925421562445</v>
      </c>
      <c r="F17" s="1"/>
      <c r="G17" s="3"/>
      <c r="I17" s="555"/>
      <c r="J17" s="555"/>
      <c r="K17" s="555"/>
      <c r="L17" s="555"/>
      <c r="M17" s="601"/>
      <c r="N17" s="555"/>
      <c r="O17" s="555"/>
    </row>
    <row r="18" spans="1:15">
      <c r="A18" s="174" t="s">
        <v>322</v>
      </c>
      <c r="B18" s="276" t="s">
        <v>326</v>
      </c>
      <c r="C18" s="496">
        <f>'[3]LTTR Unit Costs  Final Adj.'!F15</f>
        <v>4.9084534550322168E-6</v>
      </c>
      <c r="D18" s="234"/>
      <c r="E18" s="229">
        <f>IF($N$10=1,$C18*E$80,0)</f>
        <v>4.4122235682484227E-6</v>
      </c>
      <c r="F18" s="1"/>
      <c r="G18" s="229">
        <f>IF($N$10=1,$C18*G$80,0)</f>
        <v>4.7477454573260693E-7</v>
      </c>
      <c r="H18" s="229">
        <f>IF($N$10=1,$C18*H$80,C18)</f>
        <v>2.1455341051188063E-8</v>
      </c>
      <c r="I18" s="555"/>
      <c r="J18" s="555"/>
      <c r="K18" s="555"/>
      <c r="L18" s="555"/>
      <c r="M18" s="18"/>
      <c r="N18" s="555"/>
      <c r="O18" s="555"/>
    </row>
    <row r="19" spans="1:15">
      <c r="A19" s="174" t="s">
        <v>322</v>
      </c>
      <c r="B19" s="276" t="s">
        <v>327</v>
      </c>
      <c r="C19" s="496">
        <f>'[3]LTTR Unit Costs  Final Adj.'!F16</f>
        <v>1.7230257271323084E-2</v>
      </c>
      <c r="D19" s="234"/>
      <c r="E19" s="229">
        <f>IF($N$10=1,$C19*E$80,0)</f>
        <v>1.5488330064854712E-2</v>
      </c>
      <c r="F19" s="1"/>
      <c r="G19" s="229">
        <f>IF($N$10=1,$C19*G$80,0)</f>
        <v>1.6666120283694676E-3</v>
      </c>
      <c r="H19" s="229">
        <f>IF($N$10=1,$C19*H$80,C19)</f>
        <v>7.5315178098907604E-5</v>
      </c>
      <c r="I19" s="555"/>
      <c r="J19" s="555"/>
      <c r="K19" s="555"/>
      <c r="L19" s="555"/>
      <c r="M19" s="18"/>
      <c r="N19" s="555"/>
      <c r="O19" s="555"/>
    </row>
    <row r="20" spans="1:15">
      <c r="A20" s="174" t="s">
        <v>328</v>
      </c>
      <c r="B20" s="305" t="s">
        <v>329</v>
      </c>
      <c r="C20" s="496">
        <f>'[3]LTTR Unit Costs  Final Adj.'!F17</f>
        <v>7.474383355513517E-2</v>
      </c>
      <c r="D20" s="234"/>
      <c r="E20" s="229">
        <f>+C20</f>
        <v>7.474383355513517E-2</v>
      </c>
      <c r="F20" s="1"/>
      <c r="G20" s="3"/>
      <c r="I20" s="555"/>
      <c r="J20" s="555"/>
      <c r="K20" s="555"/>
      <c r="L20" s="555"/>
      <c r="M20" s="601"/>
      <c r="N20" s="555"/>
      <c r="O20" s="555"/>
    </row>
    <row r="21" spans="1:15">
      <c r="A21" s="174" t="s">
        <v>330</v>
      </c>
      <c r="B21" s="278" t="s">
        <v>331</v>
      </c>
      <c r="C21" s="496">
        <f>'[3]LTTR Unit Costs  Final Adj.'!F18</f>
        <v>0.15578952710336508</v>
      </c>
      <c r="D21" s="228"/>
      <c r="E21" s="228"/>
      <c r="F21" s="228"/>
      <c r="G21" s="179">
        <f>C21</f>
        <v>0.15578952710336508</v>
      </c>
      <c r="H21" s="3"/>
      <c r="I21" s="555"/>
      <c r="J21" s="555"/>
      <c r="K21" s="555"/>
      <c r="L21" s="555"/>
      <c r="M21" s="18"/>
      <c r="N21" s="555"/>
      <c r="O21" s="555"/>
    </row>
    <row r="22" spans="1:15">
      <c r="A22" s="174" t="s">
        <v>330</v>
      </c>
      <c r="B22" s="273" t="s">
        <v>332</v>
      </c>
      <c r="C22" s="496">
        <f>'[3]LTTR Unit Costs  Final Adj.'!F19</f>
        <v>5.7662119593183229E-2</v>
      </c>
      <c r="D22" s="234"/>
      <c r="E22" s="229">
        <f>IF($N$10=1,$C22*E$80,0)</f>
        <v>5.1832652666466472E-2</v>
      </c>
      <c r="F22" s="1"/>
      <c r="G22" s="229">
        <f>IF($N$10=1,$C22*G$80,0)</f>
        <v>5.5774200339551014E-3</v>
      </c>
      <c r="H22" s="229">
        <f>IF($N$10=1,$C22*H$80,C22)</f>
        <v>2.5204689276166713E-4</v>
      </c>
      <c r="I22" s="174"/>
      <c r="J22" s="555"/>
      <c r="K22" s="555"/>
      <c r="L22" s="555"/>
      <c r="M22" s="18"/>
      <c r="N22" s="555"/>
      <c r="O22" s="555"/>
    </row>
    <row r="23" spans="1:15" s="173" customFormat="1">
      <c r="A23" s="174"/>
      <c r="B23" s="174"/>
      <c r="C23" s="496"/>
      <c r="D23" s="234"/>
      <c r="E23" s="229"/>
      <c r="F23" s="1"/>
      <c r="G23" s="229"/>
      <c r="H23" s="229"/>
      <c r="I23" s="555"/>
      <c r="J23" s="174"/>
      <c r="K23" s="555"/>
      <c r="L23" s="555"/>
      <c r="M23" s="18"/>
      <c r="N23" s="174"/>
      <c r="O23" s="555"/>
    </row>
    <row r="24" spans="1:15">
      <c r="A24" s="174" t="s">
        <v>330</v>
      </c>
      <c r="B24" s="278" t="s">
        <v>333</v>
      </c>
      <c r="C24" s="496">
        <f>'[3]LTTR Unit Costs  Final Adj.'!F20</f>
        <v>4.387389763798287E-3</v>
      </c>
      <c r="D24" s="228"/>
      <c r="E24" s="179"/>
      <c r="F24" s="228"/>
      <c r="G24" s="179">
        <f>C24</f>
        <v>4.387389763798287E-3</v>
      </c>
      <c r="H24" s="3"/>
      <c r="I24" s="555"/>
      <c r="J24" s="555"/>
      <c r="K24" s="555"/>
      <c r="L24" s="555"/>
      <c r="M24" s="18"/>
      <c r="N24" s="555"/>
      <c r="O24" s="555"/>
    </row>
    <row r="25" spans="1:15">
      <c r="A25" s="174" t="s">
        <v>330</v>
      </c>
      <c r="B25" s="304" t="s">
        <v>334</v>
      </c>
      <c r="C25" s="496">
        <f>'[3]LTTR Unit Costs  Final Adj.'!F21</f>
        <v>3.1929443104197285E-2</v>
      </c>
      <c r="D25" s="234"/>
      <c r="E25" s="229">
        <f t="shared" ref="E25:E32" si="0">IF($N$10=1,$C25*E$80,0)</f>
        <v>2.8701472403890128E-2</v>
      </c>
      <c r="F25" s="1"/>
      <c r="G25" s="229">
        <f t="shared" ref="G25:G32" si="1">IF($N$10=1,$C25*G$80,0)</f>
        <v>3.0884039105533059E-3</v>
      </c>
      <c r="H25" s="229">
        <f t="shared" ref="H25:H32" si="2">IF($N$10=1,$C25*H$80,C25)</f>
        <v>1.3956678975385358E-4</v>
      </c>
      <c r="I25" s="174"/>
      <c r="J25" s="555"/>
      <c r="K25" s="555"/>
      <c r="L25" s="555"/>
      <c r="M25" s="18"/>
      <c r="N25" s="555"/>
      <c r="O25" s="555"/>
    </row>
    <row r="26" spans="1:15" s="173" customFormat="1">
      <c r="A26" s="174" t="s">
        <v>330</v>
      </c>
      <c r="B26" s="304" t="s">
        <v>335</v>
      </c>
      <c r="C26" s="496">
        <f>'[3]LTTR Unit Costs  Final Adj.'!F22</f>
        <v>0.13747892494073005</v>
      </c>
      <c r="D26" s="234"/>
      <c r="E26" s="229">
        <f t="shared" si="0"/>
        <v>0.12358021896674247</v>
      </c>
      <c r="F26" s="1"/>
      <c r="G26" s="229">
        <f t="shared" si="1"/>
        <v>1.3297771840868737E-2</v>
      </c>
      <c r="H26" s="229">
        <f t="shared" si="2"/>
        <v>6.0093413311885786E-4</v>
      </c>
      <c r="I26" s="555"/>
      <c r="J26" s="174"/>
      <c r="K26" s="555"/>
      <c r="L26" s="555"/>
      <c r="M26" s="18"/>
      <c r="N26" s="174"/>
      <c r="O26" s="555"/>
    </row>
    <row r="27" spans="1:15">
      <c r="A27" s="174" t="s">
        <v>330</v>
      </c>
      <c r="B27" s="273" t="s">
        <v>336</v>
      </c>
      <c r="C27" s="496">
        <f>'[3]LTTR Unit Costs  Final Adj.'!F23</f>
        <v>1.1535496692753482E-2</v>
      </c>
      <c r="D27" s="234"/>
      <c r="E27" s="229">
        <f t="shared" si="0"/>
        <v>1.0369292659185373E-2</v>
      </c>
      <c r="F27" s="1"/>
      <c r="G27" s="229">
        <f t="shared" si="1"/>
        <v>1.1157812236127392E-3</v>
      </c>
      <c r="H27" s="229">
        <f t="shared" si="2"/>
        <v>5.0422809955371869E-5</v>
      </c>
      <c r="I27" s="555"/>
      <c r="J27" s="165"/>
      <c r="K27" s="165"/>
      <c r="L27" s="165"/>
      <c r="M27" s="18"/>
      <c r="N27" s="555"/>
      <c r="O27" s="555"/>
    </row>
    <row r="28" spans="1:15">
      <c r="A28" s="174" t="s">
        <v>330</v>
      </c>
      <c r="B28" s="273" t="s">
        <v>337</v>
      </c>
      <c r="C28" s="496">
        <f>'[3]LTTR Unit Costs  Final Adj.'!F24</f>
        <v>0.84964044459204935</v>
      </c>
      <c r="D28" s="234"/>
      <c r="E28" s="229">
        <f t="shared" si="0"/>
        <v>0.76374435013186914</v>
      </c>
      <c r="F28" s="1"/>
      <c r="G28" s="229">
        <f t="shared" si="1"/>
        <v>8.2182231086184915E-2</v>
      </c>
      <c r="H28" s="229">
        <f t="shared" si="2"/>
        <v>3.7138633739954297E-3</v>
      </c>
      <c r="I28" s="555"/>
      <c r="J28" s="165"/>
      <c r="K28" s="165"/>
      <c r="L28" s="165"/>
      <c r="M28" s="18"/>
      <c r="N28" s="555"/>
      <c r="O28" s="555"/>
    </row>
    <row r="29" spans="1:15">
      <c r="A29" s="174" t="s">
        <v>330</v>
      </c>
      <c r="B29" s="304" t="s">
        <v>338</v>
      </c>
      <c r="C29" s="496">
        <f>'[3]LTTR Unit Costs  Final Adj.'!F25</f>
        <v>3.3723760588002241E-3</v>
      </c>
      <c r="D29" s="234"/>
      <c r="E29" s="229">
        <f t="shared" si="0"/>
        <v>3.0314389784791007E-3</v>
      </c>
      <c r="F29" s="1"/>
      <c r="G29" s="229">
        <f t="shared" si="1"/>
        <v>3.2619608722476653E-4</v>
      </c>
      <c r="H29" s="229">
        <f t="shared" si="2"/>
        <v>1.4740993096357139E-5</v>
      </c>
      <c r="I29" s="555"/>
      <c r="J29" s="165"/>
      <c r="K29" s="165"/>
      <c r="L29" s="165"/>
      <c r="M29" s="18"/>
      <c r="N29" s="555"/>
      <c r="O29" s="555"/>
    </row>
    <row r="30" spans="1:15">
      <c r="A30" s="174" t="s">
        <v>330</v>
      </c>
      <c r="B30" s="273" t="s">
        <v>339</v>
      </c>
      <c r="C30" s="496">
        <f>'[3]LTTR Unit Costs  Final Adj.'!F26</f>
        <v>7.6336596806141962E-3</v>
      </c>
      <c r="D30" s="234"/>
      <c r="E30" s="229">
        <f t="shared" si="0"/>
        <v>6.8619196378979647E-3</v>
      </c>
      <c r="F30" s="1"/>
      <c r="G30" s="229">
        <f t="shared" si="1"/>
        <v>7.3837255264695885E-4</v>
      </c>
      <c r="H30" s="229">
        <f t="shared" si="2"/>
        <v>3.3367490069273954E-5</v>
      </c>
      <c r="I30" s="555"/>
      <c r="J30" s="165"/>
      <c r="K30" s="165"/>
      <c r="L30" s="165"/>
      <c r="M30" s="18"/>
      <c r="N30" s="555"/>
      <c r="O30" s="555"/>
    </row>
    <row r="31" spans="1:15">
      <c r="A31" s="174" t="s">
        <v>330</v>
      </c>
      <c r="B31" s="273" t="s">
        <v>340</v>
      </c>
      <c r="C31" s="496">
        <f>'[3]LTTR Unit Costs  Final Adj.'!F27</f>
        <v>4.5746013640035072E-3</v>
      </c>
      <c r="D31" s="234"/>
      <c r="E31" s="229">
        <f t="shared" si="0"/>
        <v>4.1121229198790837E-3</v>
      </c>
      <c r="F31" s="1"/>
      <c r="G31" s="229">
        <f t="shared" si="1"/>
        <v>4.4248240395879926E-4</v>
      </c>
      <c r="H31" s="229">
        <f t="shared" si="2"/>
        <v>1.9996040165625068E-5</v>
      </c>
      <c r="I31" s="555"/>
      <c r="J31" s="165"/>
      <c r="K31" s="165"/>
      <c r="L31" s="165"/>
      <c r="M31" s="18"/>
      <c r="N31" s="555"/>
      <c r="O31" s="555"/>
    </row>
    <row r="32" spans="1:15">
      <c r="A32" s="174" t="s">
        <v>330</v>
      </c>
      <c r="B32" s="276" t="s">
        <v>341</v>
      </c>
      <c r="C32" s="496">
        <f>'[3]LTTR Unit Costs  Final Adj.'!F28</f>
        <v>3.415482470251309E-2</v>
      </c>
      <c r="D32" s="234"/>
      <c r="E32" s="229">
        <f t="shared" si="0"/>
        <v>3.0701874613341434E-2</v>
      </c>
      <c r="F32" s="1"/>
      <c r="G32" s="229">
        <f t="shared" si="1"/>
        <v>3.3036559338436348E-3</v>
      </c>
      <c r="H32" s="229">
        <f t="shared" si="2"/>
        <v>1.4929415532802508E-4</v>
      </c>
      <c r="I32" s="555"/>
      <c r="J32" s="555"/>
      <c r="K32" s="555"/>
      <c r="L32" s="555"/>
      <c r="M32" s="18"/>
      <c r="N32" s="555"/>
      <c r="O32" s="555"/>
    </row>
    <row r="33" spans="1:14">
      <c r="A33" s="174" t="s">
        <v>342</v>
      </c>
      <c r="B33" s="275" t="s">
        <v>343</v>
      </c>
      <c r="C33" s="496">
        <f>'[3]LTTR Unit Costs  Final Adj.'!F29</f>
        <v>4.262149463165955E-3</v>
      </c>
      <c r="D33" s="234"/>
      <c r="E33" s="234"/>
      <c r="F33" s="1"/>
      <c r="G33" s="3"/>
      <c r="H33" s="3">
        <f>+C33</f>
        <v>4.262149463165955E-3</v>
      </c>
      <c r="I33" s="555"/>
      <c r="J33" s="165"/>
      <c r="K33" s="165"/>
      <c r="L33" s="165"/>
      <c r="M33" s="231"/>
      <c r="N33" s="165"/>
    </row>
    <row r="34" spans="1:14">
      <c r="A34" s="174" t="s">
        <v>342</v>
      </c>
      <c r="B34" s="306" t="s">
        <v>344</v>
      </c>
      <c r="C34" s="496">
        <f>'[3]LTTR Unit Costs  Final Adj.'!F30</f>
        <v>4.208868011068052E-3</v>
      </c>
      <c r="D34" s="234"/>
      <c r="E34" s="229"/>
      <c r="F34" s="1"/>
      <c r="G34" s="229">
        <f>C34</f>
        <v>4.208868011068052E-3</v>
      </c>
      <c r="H34" s="229"/>
      <c r="I34" s="555"/>
      <c r="J34" s="165"/>
      <c r="K34" s="165"/>
      <c r="L34" s="165"/>
      <c r="M34" s="231"/>
      <c r="N34" s="165"/>
    </row>
    <row r="35" spans="1:14">
      <c r="A35" s="174" t="s">
        <v>342</v>
      </c>
      <c r="B35" s="275" t="s">
        <v>345</v>
      </c>
      <c r="C35" s="496">
        <f>'[3]LTTR Unit Costs  Final Adj.'!F31</f>
        <v>4.8605358864676077E-3</v>
      </c>
      <c r="D35" s="234"/>
      <c r="E35" s="234"/>
      <c r="F35" s="1"/>
      <c r="G35" s="3"/>
      <c r="H35" s="3">
        <f>+C35</f>
        <v>4.8605358864676077E-3</v>
      </c>
      <c r="I35" s="555"/>
      <c r="J35" s="555"/>
      <c r="K35" s="555"/>
      <c r="L35" s="555"/>
      <c r="M35" s="232"/>
      <c r="N35" s="555"/>
    </row>
    <row r="36" spans="1:14">
      <c r="A36" s="174" t="s">
        <v>342</v>
      </c>
      <c r="B36" s="306" t="s">
        <v>346</v>
      </c>
      <c r="C36" s="496">
        <f>'[3]LTTR Unit Costs  Final Adj.'!F32</f>
        <v>4.9290546749819059E-3</v>
      </c>
      <c r="D36" s="234"/>
      <c r="E36" s="229"/>
      <c r="F36" s="1"/>
      <c r="G36" s="229">
        <f>C36</f>
        <v>4.9290546749819059E-3</v>
      </c>
      <c r="H36" s="229"/>
      <c r="I36" s="555"/>
      <c r="J36" s="555"/>
      <c r="K36" s="555"/>
      <c r="L36" s="555"/>
      <c r="M36" s="232"/>
      <c r="N36" s="555"/>
    </row>
    <row r="37" spans="1:14">
      <c r="A37" s="174" t="s">
        <v>342</v>
      </c>
      <c r="B37" s="273" t="s">
        <v>347</v>
      </c>
      <c r="C37" s="496">
        <f>'[3]LTTR Unit Costs  Final Adj.'!F33</f>
        <v>6.0033784982176909E-2</v>
      </c>
      <c r="D37" s="234"/>
      <c r="E37" s="229">
        <f>IF($N$10=1,$C37*E$80,0)</f>
        <v>5.396454981516792E-2</v>
      </c>
      <c r="F37" s="1"/>
      <c r="G37" s="229">
        <f>IF($N$10=1,$C37*G$80,0)</f>
        <v>5.8068214875911387E-3</v>
      </c>
      <c r="H37" s="229">
        <f>IF($N$10=1,$C37*H$80,C37)</f>
        <v>2.6241367941785718E-4</v>
      </c>
      <c r="I37" s="555"/>
      <c r="J37" s="555"/>
      <c r="K37" s="555"/>
      <c r="L37" s="555"/>
      <c r="M37" s="18"/>
      <c r="N37" s="555"/>
    </row>
    <row r="38" spans="1:14">
      <c r="A38" s="174" t="s">
        <v>342</v>
      </c>
      <c r="B38" s="306" t="s">
        <v>348</v>
      </c>
      <c r="C38" s="496">
        <f>'[3]LTTR Unit Costs  Final Adj.'!F34</f>
        <v>3.0776402420203533E-2</v>
      </c>
      <c r="D38" s="234"/>
      <c r="E38" s="229"/>
      <c r="F38" s="1"/>
      <c r="G38" s="229">
        <f>C38</f>
        <v>3.0776402420203533E-2</v>
      </c>
      <c r="H38" s="229"/>
      <c r="I38" s="555"/>
      <c r="J38" s="555"/>
      <c r="K38" s="555"/>
      <c r="L38" s="555"/>
      <c r="M38" s="18"/>
      <c r="N38" s="555"/>
    </row>
    <row r="39" spans="1:14">
      <c r="A39" s="174" t="s">
        <v>342</v>
      </c>
      <c r="B39" s="273" t="s">
        <v>349</v>
      </c>
      <c r="C39" s="496">
        <f>'[3]LTTR Unit Costs  Final Adj.'!F35</f>
        <v>2.2841584399931537E-2</v>
      </c>
      <c r="D39" s="234"/>
      <c r="E39" s="229">
        <f>IF($N$10=1,$C39*E$80,0)</f>
        <v>2.0532368891506978E-2</v>
      </c>
      <c r="F39" s="1"/>
      <c r="G39" s="229">
        <f>IF($N$10=1,$C39*G$80,0)</f>
        <v>2.2093726581378609E-3</v>
      </c>
      <c r="H39" s="229">
        <f>IF($N$10=1,$C39*H$80,C39)</f>
        <v>9.9842850286702237E-5</v>
      </c>
      <c r="I39" s="555"/>
      <c r="J39" s="555"/>
      <c r="K39" s="555"/>
      <c r="L39" s="555"/>
      <c r="M39" s="18"/>
      <c r="N39" s="555"/>
    </row>
    <row r="40" spans="1:14">
      <c r="A40" s="174" t="s">
        <v>350</v>
      </c>
      <c r="B40" s="276" t="s">
        <v>351</v>
      </c>
      <c r="C40" s="496">
        <f>'[3]LTTR Unit Costs  Final Adj.'!F36</f>
        <v>4.6988134291890216E-3</v>
      </c>
      <c r="D40" s="234"/>
      <c r="E40" s="229">
        <f>IF($N$10=1,$C40*E$80,0)</f>
        <v>4.2237775187243601E-3</v>
      </c>
      <c r="F40" s="1"/>
      <c r="G40" s="229">
        <f>IF($N$10=1,$C40*G$80,0)</f>
        <v>4.5449692693700977E-4</v>
      </c>
      <c r="H40" s="229">
        <f>IF($N$10=1,$C40*H$80,C40)</f>
        <v>2.0538983527651942E-5</v>
      </c>
      <c r="I40" s="555"/>
      <c r="J40" s="555"/>
      <c r="K40" s="555"/>
      <c r="L40" s="555"/>
      <c r="M40" s="232"/>
      <c r="N40" s="555"/>
    </row>
    <row r="41" spans="1:14">
      <c r="A41" s="174"/>
      <c r="B41" s="174"/>
      <c r="C41" s="496"/>
      <c r="D41" s="234"/>
      <c r="E41" s="229"/>
      <c r="F41" s="1"/>
      <c r="G41" s="3"/>
      <c r="H41" s="3"/>
      <c r="I41" s="555"/>
      <c r="J41" s="555"/>
      <c r="K41" s="555"/>
      <c r="L41" s="555"/>
      <c r="M41" s="232"/>
      <c r="N41" s="555"/>
    </row>
    <row r="42" spans="1:14">
      <c r="A42" s="174"/>
      <c r="B42" s="174"/>
      <c r="C42" s="496"/>
      <c r="D42" s="234"/>
      <c r="E42" s="229"/>
      <c r="F42" s="1"/>
      <c r="G42" s="3"/>
      <c r="H42" s="3"/>
      <c r="I42" s="555"/>
      <c r="J42" s="555"/>
      <c r="K42" s="555"/>
      <c r="L42" s="555"/>
      <c r="M42" s="232"/>
      <c r="N42" s="555"/>
    </row>
    <row r="43" spans="1:14">
      <c r="A43" s="174"/>
      <c r="B43" s="174"/>
      <c r="C43" s="496"/>
      <c r="D43" s="234"/>
      <c r="E43" s="229"/>
      <c r="F43" s="1"/>
      <c r="G43" s="3"/>
      <c r="H43" s="3"/>
      <c r="I43" s="555"/>
      <c r="J43" s="555"/>
      <c r="K43" s="555"/>
      <c r="L43" s="555"/>
      <c r="M43" s="232"/>
      <c r="N43" s="555"/>
    </row>
    <row r="44" spans="1:14">
      <c r="A44" s="174"/>
      <c r="B44" s="174"/>
      <c r="C44" s="496"/>
      <c r="D44" s="234"/>
      <c r="E44" s="229"/>
      <c r="F44" s="1"/>
      <c r="G44" s="3"/>
      <c r="H44" s="3"/>
      <c r="I44" s="555"/>
      <c r="J44" s="555"/>
      <c r="K44" s="555"/>
      <c r="L44" s="555"/>
      <c r="M44" s="232"/>
      <c r="N44" s="555"/>
    </row>
    <row r="45" spans="1:14">
      <c r="A45" s="174"/>
      <c r="B45" s="174"/>
      <c r="C45" s="496"/>
      <c r="D45" s="234"/>
      <c r="E45" s="229"/>
      <c r="F45" s="1"/>
      <c r="G45" s="229"/>
      <c r="H45" s="229"/>
      <c r="I45" s="555"/>
      <c r="J45" s="555"/>
      <c r="K45" s="555"/>
      <c r="L45" s="555"/>
      <c r="M45" s="232"/>
      <c r="N45" s="555"/>
    </row>
    <row r="46" spans="1:14">
      <c r="A46" s="174"/>
      <c r="B46" s="174"/>
      <c r="C46" s="496"/>
      <c r="D46" s="234"/>
      <c r="E46" s="307"/>
      <c r="F46" s="1"/>
      <c r="G46" s="229"/>
      <c r="H46" s="3"/>
      <c r="I46" s="555"/>
      <c r="J46" s="555"/>
      <c r="K46" s="555"/>
      <c r="L46" s="555"/>
      <c r="M46" s="232"/>
      <c r="N46" s="555"/>
    </row>
    <row r="47" spans="1:14">
      <c r="A47" s="174"/>
      <c r="B47" s="174"/>
      <c r="C47" s="496"/>
      <c r="D47" s="234"/>
      <c r="E47" s="307"/>
      <c r="F47" s="1"/>
      <c r="G47" s="229"/>
      <c r="H47" s="3"/>
      <c r="I47" s="555"/>
      <c r="J47" s="555"/>
      <c r="K47" s="555"/>
      <c r="L47" s="555"/>
      <c r="M47" s="18"/>
      <c r="N47" s="555"/>
    </row>
    <row r="48" spans="1:14">
      <c r="A48" s="174"/>
      <c r="B48" s="174"/>
      <c r="C48" s="496"/>
      <c r="D48" s="234"/>
      <c r="E48" s="229"/>
      <c r="F48" s="1"/>
      <c r="G48" s="3"/>
      <c r="H48" s="3"/>
      <c r="I48" s="555"/>
      <c r="J48" s="555"/>
      <c r="K48" s="555"/>
      <c r="L48" s="555"/>
      <c r="M48" s="18"/>
      <c r="N48" s="555"/>
    </row>
    <row r="49" spans="1:15">
      <c r="A49" s="174"/>
      <c r="B49" s="174"/>
      <c r="C49" s="496"/>
      <c r="D49" s="234"/>
      <c r="E49" s="229"/>
      <c r="F49" s="1"/>
      <c r="G49" s="3"/>
      <c r="H49" s="3"/>
      <c r="I49" s="555"/>
      <c r="J49" s="555"/>
      <c r="K49" s="555"/>
      <c r="L49" s="555"/>
      <c r="M49" s="18"/>
      <c r="N49" s="555"/>
      <c r="O49" s="555"/>
    </row>
    <row r="50" spans="1:15">
      <c r="A50" s="174"/>
      <c r="B50" s="174"/>
      <c r="C50" s="496"/>
      <c r="D50" s="234"/>
      <c r="E50" s="229"/>
      <c r="F50" s="1"/>
      <c r="G50" s="3"/>
      <c r="H50" s="3"/>
      <c r="I50" s="555"/>
      <c r="J50" s="555"/>
      <c r="K50" s="555"/>
      <c r="L50" s="555"/>
      <c r="M50" s="231"/>
      <c r="N50" s="555"/>
      <c r="O50" s="555"/>
    </row>
    <row r="51" spans="1:15" ht="12.95">
      <c r="A51" s="308" t="s">
        <v>352</v>
      </c>
      <c r="B51" s="308"/>
      <c r="C51" s="99">
        <f t="shared" ref="C51" si="3">SUM(C7:C50)</f>
        <v>5.9919053079003941</v>
      </c>
      <c r="D51" s="99"/>
      <c r="E51" s="99">
        <f>SUM(E7:E50)</f>
        <v>5.5942282742664391</v>
      </c>
      <c r="F51" s="99"/>
      <c r="G51" s="99">
        <f>SUM(G7:G50)</f>
        <v>0.38040582613932478</v>
      </c>
      <c r="H51" s="99">
        <f>SUM(H7:H50)</f>
        <v>1.7271207494629869E-2</v>
      </c>
      <c r="I51" s="555"/>
      <c r="J51" s="555"/>
      <c r="K51" s="555"/>
      <c r="L51" s="555"/>
      <c r="M51" s="231"/>
      <c r="N51" s="555"/>
      <c r="O51" s="555"/>
    </row>
    <row r="52" spans="1:15" ht="12.95">
      <c r="A52" s="17" t="s">
        <v>353</v>
      </c>
      <c r="B52" s="310" t="s">
        <v>310</v>
      </c>
      <c r="C52" s="496">
        <v>0</v>
      </c>
      <c r="D52" s="4"/>
      <c r="E52" s="229">
        <f>+C52</f>
        <v>0</v>
      </c>
      <c r="F52" s="4"/>
      <c r="G52" s="229"/>
      <c r="H52" s="229"/>
      <c r="I52" s="555"/>
      <c r="J52" s="555"/>
      <c r="K52" s="555"/>
      <c r="L52" s="555"/>
      <c r="M52" s="231"/>
      <c r="N52" s="555"/>
      <c r="O52" s="555"/>
    </row>
    <row r="53" spans="1:15" ht="12.95">
      <c r="A53" s="17" t="s">
        <v>353</v>
      </c>
      <c r="B53" s="311" t="s">
        <v>326</v>
      </c>
      <c r="C53" s="496">
        <f>'[3]LTTR Unit Costs  Final Adj.'!$F$38</f>
        <v>9.8832341104737272E-4</v>
      </c>
      <c r="D53" s="4"/>
      <c r="E53" s="229">
        <f t="shared" ref="E53:E60" si="4">IF($N$10=1,$C53*E$80,0)</f>
        <v>8.8840688563609279E-4</v>
      </c>
      <c r="F53" s="4"/>
      <c r="G53" s="229">
        <f t="shared" ref="G53:G60" si="5">IF($N$10=1,$C53*G$80,0)</f>
        <v>9.5596464918263566E-5</v>
      </c>
      <c r="H53" s="229">
        <f t="shared" ref="H53:H60" si="6">IF($N$10=1,$C53*H$80,C53)</f>
        <v>4.3200604930164774E-6</v>
      </c>
      <c r="I53" s="555"/>
      <c r="J53" s="555"/>
      <c r="K53" s="555"/>
      <c r="L53" s="555"/>
      <c r="M53" s="231"/>
      <c r="N53" s="555"/>
      <c r="O53" s="555"/>
    </row>
    <row r="54" spans="1:15">
      <c r="A54" s="555"/>
      <c r="B54" s="555"/>
      <c r="C54" s="496"/>
      <c r="D54" s="234"/>
      <c r="E54" s="229"/>
      <c r="F54" s="1"/>
      <c r="G54" s="229"/>
      <c r="H54" s="229"/>
      <c r="I54" s="555"/>
      <c r="J54" s="555"/>
      <c r="K54" s="555"/>
      <c r="L54" s="555"/>
      <c r="M54" s="231"/>
      <c r="N54" s="555"/>
      <c r="O54" s="555"/>
    </row>
    <row r="55" spans="1:15">
      <c r="A55" s="555" t="s">
        <v>353</v>
      </c>
      <c r="B55" s="241" t="s">
        <v>354</v>
      </c>
      <c r="C55" s="496">
        <f>'[3]LTTR Unit Costs  Final Adj.'!F39</f>
        <v>2.4044638630964748E-3</v>
      </c>
      <c r="D55" s="234"/>
      <c r="E55" s="229">
        <f t="shared" si="4"/>
        <v>2.161379795682769E-3</v>
      </c>
      <c r="F55" s="1"/>
      <c r="G55" s="229">
        <f t="shared" si="5"/>
        <v>2.3257391534633697E-4</v>
      </c>
      <c r="H55" s="229">
        <f t="shared" si="6"/>
        <v>1.0510152067369135E-5</v>
      </c>
      <c r="I55" s="555"/>
      <c r="J55" s="555"/>
      <c r="K55" s="555"/>
      <c r="L55" s="555"/>
      <c r="M55" s="231"/>
      <c r="N55" s="555"/>
      <c r="O55" s="555"/>
    </row>
    <row r="56" spans="1:15">
      <c r="A56" s="555" t="s">
        <v>353</v>
      </c>
      <c r="B56" s="241" t="s">
        <v>355</v>
      </c>
      <c r="C56" s="496">
        <f>'[3]LTTR Unit Costs  Final Adj.'!F40</f>
        <v>3.1936062717125159E-2</v>
      </c>
      <c r="D56" s="234"/>
      <c r="E56" s="229">
        <f t="shared" si="4"/>
        <v>2.8707422793853205E-2</v>
      </c>
      <c r="F56" s="1"/>
      <c r="G56" s="229">
        <f t="shared" si="5"/>
        <v>3.0890441985278278E-3</v>
      </c>
      <c r="H56" s="229">
        <f t="shared" si="6"/>
        <v>1.3959572474413017E-4</v>
      </c>
      <c r="I56" s="555"/>
      <c r="J56" s="555"/>
      <c r="K56" s="555"/>
      <c r="L56" s="555"/>
      <c r="M56" s="555"/>
      <c r="N56" s="555"/>
      <c r="O56" s="555"/>
    </row>
    <row r="57" spans="1:15">
      <c r="A57" s="555" t="s">
        <v>353</v>
      </c>
      <c r="B57" s="241" t="s">
        <v>356</v>
      </c>
      <c r="C57" s="496">
        <f>'[3]LTTR Unit Costs  Final Adj.'!F41</f>
        <v>0</v>
      </c>
      <c r="D57" s="234"/>
      <c r="E57" s="229">
        <f t="shared" si="4"/>
        <v>0</v>
      </c>
      <c r="F57" s="1"/>
      <c r="G57" s="229">
        <f t="shared" si="5"/>
        <v>0</v>
      </c>
      <c r="H57" s="229">
        <f t="shared" si="6"/>
        <v>0</v>
      </c>
      <c r="I57" s="555"/>
      <c r="J57" s="555"/>
      <c r="K57" s="555"/>
      <c r="L57" s="555"/>
      <c r="M57" s="555"/>
      <c r="N57" s="555"/>
      <c r="O57" s="555"/>
    </row>
    <row r="58" spans="1:15">
      <c r="A58" s="555" t="s">
        <v>353</v>
      </c>
      <c r="B58" s="241" t="s">
        <v>357</v>
      </c>
      <c r="C58" s="496">
        <f>'[3]LTTR Unit Costs  Final Adj.'!F42</f>
        <v>2.6962093457776866E-3</v>
      </c>
      <c r="D58" s="234"/>
      <c r="E58" s="229">
        <f t="shared" si="4"/>
        <v>2.4236306872128396E-3</v>
      </c>
      <c r="F58" s="1"/>
      <c r="G58" s="229">
        <f t="shared" si="5"/>
        <v>2.6079325780898303E-4</v>
      </c>
      <c r="H58" s="229">
        <f t="shared" si="6"/>
        <v>1.1785400755864195E-5</v>
      </c>
      <c r="I58" s="555"/>
      <c r="J58" s="555"/>
      <c r="K58" s="555"/>
      <c r="L58" s="555"/>
      <c r="M58" s="555"/>
      <c r="N58" s="555"/>
      <c r="O58" s="555"/>
    </row>
    <row r="59" spans="1:15">
      <c r="A59" s="555" t="s">
        <v>353</v>
      </c>
      <c r="B59" s="241" t="s">
        <v>358</v>
      </c>
      <c r="C59" s="496">
        <f>'[3]LTTR Unit Costs  Final Adj.'!F43</f>
        <v>0</v>
      </c>
      <c r="D59" s="234"/>
      <c r="E59" s="229">
        <f t="shared" si="4"/>
        <v>0</v>
      </c>
      <c r="F59" s="1"/>
      <c r="G59" s="229">
        <f t="shared" si="5"/>
        <v>0</v>
      </c>
      <c r="H59" s="229">
        <f t="shared" si="6"/>
        <v>0</v>
      </c>
      <c r="I59" s="555"/>
      <c r="J59" s="555"/>
      <c r="K59" s="555"/>
      <c r="L59" s="555"/>
      <c r="M59" s="18"/>
      <c r="N59" s="555"/>
      <c r="O59" s="555"/>
    </row>
    <row r="60" spans="1:15">
      <c r="A60" s="555" t="s">
        <v>353</v>
      </c>
      <c r="B60" s="241" t="s">
        <v>359</v>
      </c>
      <c r="C60" s="496">
        <f>'[3]LTTR Unit Costs  Final Adj.'!F44</f>
        <v>9.6387013069937598E-3</v>
      </c>
      <c r="D60" s="234"/>
      <c r="E60" s="229">
        <f t="shared" si="4"/>
        <v>8.6642575841122255E-3</v>
      </c>
      <c r="F60" s="1"/>
      <c r="G60" s="229">
        <f t="shared" si="5"/>
        <v>9.323119952963292E-4</v>
      </c>
      <c r="H60" s="229">
        <f t="shared" si="6"/>
        <v>4.2131727585206548E-5</v>
      </c>
      <c r="I60" s="555"/>
      <c r="J60" s="555"/>
      <c r="K60" s="555"/>
      <c r="L60" s="555"/>
      <c r="M60" s="18"/>
      <c r="N60" s="555"/>
      <c r="O60" s="555"/>
    </row>
    <row r="61" spans="1:15" ht="12.95">
      <c r="A61" s="87" t="s">
        <v>360</v>
      </c>
      <c r="B61" s="552"/>
      <c r="C61" s="99">
        <f t="shared" ref="C61" si="7">SUM(C52:C60)</f>
        <v>4.7663760644040459E-2</v>
      </c>
      <c r="D61" s="99"/>
      <c r="E61" s="99">
        <f>SUM(E52:E60)</f>
        <v>4.2845097746497134E-2</v>
      </c>
      <c r="F61" s="99"/>
      <c r="G61" s="99">
        <f>SUM(G52:G60)</f>
        <v>4.6103198318977407E-3</v>
      </c>
      <c r="H61" s="99">
        <f>SUM(H52:H60)</f>
        <v>2.0834306564558651E-4</v>
      </c>
      <c r="I61" s="555"/>
      <c r="J61" s="555"/>
      <c r="K61" s="555"/>
      <c r="L61" s="555"/>
      <c r="M61" s="555"/>
      <c r="N61" s="555"/>
      <c r="O61" s="555"/>
    </row>
    <row r="62" spans="1:15">
      <c r="A62" s="555" t="s">
        <v>361</v>
      </c>
      <c r="B62" s="240" t="s">
        <v>362</v>
      </c>
      <c r="C62" s="496">
        <f>'[3]LTTR Unit Costs  Final Adj.'!F45</f>
        <v>0.32649115672304757</v>
      </c>
      <c r="D62" s="234"/>
      <c r="E62" s="229">
        <f>IF($N$10=1,$C62*E$80,0)</f>
        <v>0.29348388239094847</v>
      </c>
      <c r="F62" s="1"/>
      <c r="G62" s="229">
        <f>IF($N$10=1,$C62*G$80,0)</f>
        <v>3.1580148826710404E-2</v>
      </c>
      <c r="H62" s="229">
        <f>IF($N$10=1,$C62*H$80,C62)</f>
        <v>1.4271255053887233E-3</v>
      </c>
      <c r="I62" s="555"/>
      <c r="J62" s="555"/>
      <c r="K62" s="555"/>
      <c r="L62" s="555"/>
      <c r="M62" s="555"/>
      <c r="N62" s="555"/>
      <c r="O62" s="234"/>
    </row>
    <row r="63" spans="1:15">
      <c r="A63" s="555" t="s">
        <v>361</v>
      </c>
      <c r="B63" s="303" t="s">
        <v>363</v>
      </c>
      <c r="C63" s="496">
        <f>'[3]LTTR Unit Costs  Final Adj.'!F46</f>
        <v>1.1278137261683661E-2</v>
      </c>
      <c r="D63" s="234"/>
      <c r="E63" s="229">
        <f>+C63</f>
        <v>1.1278137261683661E-2</v>
      </c>
      <c r="F63" s="1"/>
      <c r="G63" s="36"/>
      <c r="I63" s="555"/>
      <c r="J63" s="555"/>
      <c r="K63" s="555"/>
      <c r="L63" s="555"/>
      <c r="M63" s="555"/>
      <c r="N63" s="555"/>
      <c r="O63" s="234"/>
    </row>
    <row r="64" spans="1:15">
      <c r="A64" s="555" t="s">
        <v>361</v>
      </c>
      <c r="B64" s="278" t="s">
        <v>364</v>
      </c>
      <c r="C64" s="496">
        <f>'[3]LTTR Unit Costs  Final Adj.'!F47</f>
        <v>3.7405135105714027E-2</v>
      </c>
      <c r="D64" s="234"/>
      <c r="E64" s="229"/>
      <c r="F64" s="1"/>
      <c r="G64" s="3">
        <f>C64</f>
        <v>3.7405135105714027E-2</v>
      </c>
      <c r="I64" s="555"/>
      <c r="J64" s="555"/>
      <c r="K64" s="555"/>
      <c r="L64" s="555"/>
      <c r="M64" s="555"/>
      <c r="N64" s="555"/>
      <c r="O64" s="234"/>
    </row>
    <row r="65" spans="1:15">
      <c r="A65" s="555" t="s">
        <v>361</v>
      </c>
      <c r="B65" s="313" t="s">
        <v>343</v>
      </c>
      <c r="C65" s="496">
        <f>'[3]LTTR Unit Costs  Final Adj.'!F48</f>
        <v>1.0790213157850883E-2</v>
      </c>
      <c r="D65" s="234"/>
      <c r="E65" s="229"/>
      <c r="F65" s="1"/>
      <c r="G65" s="36"/>
      <c r="H65" s="314">
        <f>C65</f>
        <v>1.0790213157850883E-2</v>
      </c>
      <c r="I65" s="555"/>
      <c r="J65" s="555"/>
      <c r="K65" s="555"/>
      <c r="L65" s="555"/>
      <c r="M65" s="555"/>
      <c r="N65" s="555"/>
      <c r="O65" s="234"/>
    </row>
    <row r="66" spans="1:15">
      <c r="A66" s="555" t="s">
        <v>361</v>
      </c>
      <c r="B66" s="278" t="s">
        <v>365</v>
      </c>
      <c r="C66" s="496">
        <f>'[3]LTTR Unit Costs  Final Adj.'!F49</f>
        <v>9.1540745312893954E-2</v>
      </c>
      <c r="D66" s="234"/>
      <c r="E66" s="229"/>
      <c r="F66" s="1"/>
      <c r="G66" s="3">
        <f>C66</f>
        <v>9.1540745312893954E-2</v>
      </c>
      <c r="I66" s="555"/>
      <c r="J66" s="555"/>
      <c r="K66" s="555"/>
      <c r="L66" s="555"/>
      <c r="M66" s="555"/>
      <c r="N66" s="555"/>
      <c r="O66" s="234"/>
    </row>
    <row r="67" spans="1:15">
      <c r="A67" s="555" t="s">
        <v>361</v>
      </c>
      <c r="B67" s="303" t="s">
        <v>366</v>
      </c>
      <c r="C67" s="496">
        <f>'[3]LTTR Unit Costs  Final Adj.'!F50</f>
        <v>0.60179432380832665</v>
      </c>
      <c r="D67" s="234"/>
      <c r="E67" s="229">
        <f>C67</f>
        <v>0.60179432380832665</v>
      </c>
      <c r="F67" s="1"/>
      <c r="G67" s="36"/>
      <c r="I67" s="555"/>
      <c r="J67" s="555"/>
      <c r="K67" s="555"/>
      <c r="L67" s="555"/>
      <c r="M67" s="555"/>
      <c r="N67" s="555"/>
      <c r="O67" s="234"/>
    </row>
    <row r="68" spans="1:15">
      <c r="A68" s="555" t="s">
        <v>361</v>
      </c>
      <c r="B68" s="315" t="s">
        <v>344</v>
      </c>
      <c r="C68" s="496">
        <f>'[3]LTTR Unit Costs  Final Adj.'!F51</f>
        <v>0</v>
      </c>
      <c r="D68" s="234"/>
      <c r="E68" s="229"/>
      <c r="F68" s="1"/>
      <c r="G68" s="229">
        <f>C68</f>
        <v>0</v>
      </c>
      <c r="H68" s="229"/>
      <c r="I68" s="555"/>
      <c r="J68" s="555"/>
      <c r="K68" s="555"/>
      <c r="L68" s="555"/>
      <c r="M68" s="18"/>
      <c r="N68" s="555"/>
      <c r="O68" s="234"/>
    </row>
    <row r="69" spans="1:15">
      <c r="A69" s="555" t="s">
        <v>361</v>
      </c>
      <c r="B69" s="303" t="s">
        <v>323</v>
      </c>
      <c r="C69" s="496">
        <f>'[3]LTTR Unit Costs  Final Adj.'!F52</f>
        <v>1.8680566582577211E-2</v>
      </c>
      <c r="D69" s="234"/>
      <c r="E69" s="3">
        <f>+C69</f>
        <v>1.8680566582577211E-2</v>
      </c>
      <c r="F69" s="1"/>
      <c r="G69" s="229"/>
      <c r="H69" s="229"/>
      <c r="I69" s="555"/>
      <c r="J69" s="555"/>
      <c r="K69" s="555"/>
      <c r="L69" s="555"/>
      <c r="M69" s="18"/>
      <c r="N69" s="555"/>
      <c r="O69" s="234"/>
    </row>
    <row r="70" spans="1:15">
      <c r="A70" s="555" t="s">
        <v>361</v>
      </c>
      <c r="B70" s="303" t="s">
        <v>325</v>
      </c>
      <c r="C70" s="496">
        <f>'[3]LTTR Unit Costs  Final Adj.'!F53</f>
        <v>0.54829401314279502</v>
      </c>
      <c r="D70" s="234"/>
      <c r="E70" s="3">
        <f>+C70</f>
        <v>0.54829401314279502</v>
      </c>
      <c r="F70" s="1"/>
      <c r="G70" s="229"/>
      <c r="I70" s="555"/>
      <c r="J70" s="555"/>
      <c r="K70" s="555"/>
      <c r="L70" s="555"/>
      <c r="M70" s="231"/>
      <c r="N70" s="555"/>
      <c r="O70" s="234"/>
    </row>
    <row r="71" spans="1:15">
      <c r="A71" s="555" t="s">
        <v>361</v>
      </c>
      <c r="B71" s="241" t="s">
        <v>326</v>
      </c>
      <c r="C71" s="496">
        <f>'[3]LTTR Unit Costs  Final Adj.'!F54</f>
        <v>1.2925128088430077E-2</v>
      </c>
      <c r="D71" s="234"/>
      <c r="E71" s="229">
        <f>IF($N$10=1,$C71*E$80,0)</f>
        <v>1.1618436498757949E-2</v>
      </c>
      <c r="F71" s="1"/>
      <c r="G71" s="229">
        <f>IF($N$10=1,$C71*G$80,0)</f>
        <v>1.2501945618795464E-3</v>
      </c>
      <c r="H71" s="229">
        <f>IF($N$10=1,$C71*H$80,C71)</f>
        <v>5.6497027792583513E-5</v>
      </c>
      <c r="I71" s="555"/>
      <c r="J71" s="555"/>
      <c r="K71" s="555"/>
      <c r="L71" s="555"/>
      <c r="M71" s="18"/>
      <c r="N71" s="555"/>
      <c r="O71" s="234"/>
    </row>
    <row r="72" spans="1:15">
      <c r="A72" s="555" t="s">
        <v>361</v>
      </c>
      <c r="B72" s="315" t="s">
        <v>367</v>
      </c>
      <c r="C72" s="496">
        <f>'[3]LTTR Unit Costs  Final Adj.'!F55</f>
        <v>0.21958993377986327</v>
      </c>
      <c r="D72" s="234"/>
      <c r="E72" s="229"/>
      <c r="F72" s="1"/>
      <c r="G72" s="229">
        <f>C72</f>
        <v>0.21958993377986327</v>
      </c>
      <c r="H72" s="229"/>
      <c r="I72" s="555"/>
      <c r="J72" s="555"/>
      <c r="K72" s="555"/>
      <c r="L72" s="555"/>
      <c r="M72" s="18"/>
      <c r="N72" s="555"/>
      <c r="O72" s="234"/>
    </row>
    <row r="73" spans="1:15">
      <c r="A73" s="555" t="s">
        <v>361</v>
      </c>
      <c r="B73" s="555" t="s">
        <v>368</v>
      </c>
      <c r="C73" s="496">
        <f>'[3]LTTR Unit Costs  Final Adj.'!F56</f>
        <v>3.1507708090132169E-3</v>
      </c>
      <c r="D73" s="234"/>
      <c r="E73" s="229"/>
      <c r="F73" s="1"/>
      <c r="G73" s="229"/>
      <c r="H73" s="3">
        <f>+C73</f>
        <v>3.1507708090132169E-3</v>
      </c>
      <c r="I73" s="555"/>
      <c r="J73" s="555"/>
      <c r="K73" s="555"/>
      <c r="L73" s="555"/>
      <c r="M73" s="18"/>
      <c r="N73" s="555"/>
      <c r="O73" s="234"/>
    </row>
    <row r="74" spans="1:15">
      <c r="A74" s="555" t="s">
        <v>361</v>
      </c>
      <c r="B74" s="243" t="s">
        <v>345</v>
      </c>
      <c r="C74" s="496">
        <f>'[3]LTTR Unit Costs  Final Adj.'!F57</f>
        <v>1.7291101319325515E-3</v>
      </c>
      <c r="D74" s="234"/>
      <c r="E74" s="234"/>
      <c r="F74" s="1"/>
      <c r="G74" s="36"/>
      <c r="H74" s="3">
        <f>+C74</f>
        <v>1.7291101319325515E-3</v>
      </c>
      <c r="I74" s="555"/>
      <c r="J74" s="555"/>
      <c r="K74" s="555"/>
      <c r="L74" s="555"/>
      <c r="M74" s="18"/>
      <c r="N74" s="555"/>
      <c r="O74" s="234"/>
    </row>
    <row r="75" spans="1:15" ht="13.5" thickBot="1">
      <c r="A75" s="316" t="s">
        <v>369</v>
      </c>
      <c r="B75" s="89"/>
      <c r="C75" s="100">
        <f>SUM(C62:C74)</f>
        <v>1.8836692339041283</v>
      </c>
      <c r="D75" s="100"/>
      <c r="E75" s="100">
        <f>SUM(E62:E74)</f>
        <v>1.4851493596850889</v>
      </c>
      <c r="F75" s="100"/>
      <c r="G75" s="100">
        <f>SUM(G62:G74)</f>
        <v>0.38136615758706122</v>
      </c>
      <c r="H75" s="100">
        <f>SUM(H62:H74)</f>
        <v>1.7153716631977959E-2</v>
      </c>
      <c r="I75" s="555"/>
      <c r="J75" s="555"/>
      <c r="K75" s="555"/>
      <c r="L75" s="555"/>
      <c r="M75" s="18"/>
      <c r="N75" s="555"/>
      <c r="O75" s="555"/>
    </row>
    <row r="76" spans="1:15" ht="12.95" thickTop="1">
      <c r="A76" s="555"/>
      <c r="B76" s="555"/>
      <c r="C76" s="317"/>
      <c r="D76" s="1"/>
      <c r="E76" s="1"/>
      <c r="F76" s="1"/>
      <c r="I76" s="555"/>
      <c r="J76" s="555"/>
      <c r="K76" s="555"/>
      <c r="L76" s="555"/>
      <c r="M76" s="18"/>
      <c r="N76" s="555"/>
      <c r="O76" s="555"/>
    </row>
    <row r="77" spans="1:15" ht="12.95">
      <c r="A77" s="11" t="s">
        <v>17</v>
      </c>
      <c r="B77" s="11"/>
      <c r="C77" s="318">
        <f>C61+C75+C51</f>
        <v>7.9232383024485626</v>
      </c>
      <c r="D77" s="4"/>
      <c r="E77" s="4">
        <f>E61+E75+E51</f>
        <v>7.1222227316980256</v>
      </c>
      <c r="F77" s="4"/>
      <c r="G77" s="4">
        <f>G61+G75+G51</f>
        <v>0.76638230355828374</v>
      </c>
      <c r="H77" s="4">
        <f>H61+H75+H51</f>
        <v>3.4633267192253417E-2</v>
      </c>
      <c r="I77" s="18"/>
      <c r="J77" s="555"/>
      <c r="K77" s="555"/>
      <c r="L77" s="555"/>
      <c r="M77" s="18"/>
      <c r="N77" s="555"/>
      <c r="O77" s="555"/>
    </row>
    <row r="78" spans="1:15">
      <c r="A78" s="555"/>
      <c r="B78" s="555"/>
      <c r="C78" s="301"/>
      <c r="D78" s="555"/>
      <c r="E78" s="555"/>
      <c r="F78" s="555"/>
      <c r="I78" s="555"/>
      <c r="J78" s="555"/>
      <c r="K78" s="555"/>
      <c r="L78" s="555"/>
      <c r="M78" s="18"/>
      <c r="N78" s="555"/>
      <c r="O78" s="555"/>
    </row>
    <row r="79" spans="1:15">
      <c r="A79" s="555" t="s">
        <v>370</v>
      </c>
      <c r="B79" s="555"/>
      <c r="C79" s="229">
        <f>SUM(C7:C10,C16:C17,C20,C21,C24,C33:C36,C38,C52,C63:C70,C72:C74)</f>
        <v>5.6719771386137152</v>
      </c>
      <c r="D79" s="1"/>
      <c r="E79" s="229">
        <f>SUM(E7:E10,E16:E17,E20,E52,E63,E67,E69:E70)</f>
        <v>5.0985573029933979</v>
      </c>
      <c r="F79" s="1"/>
      <c r="G79" s="229">
        <f>SUM(G21,G24,G34,G36,G38,G64,G66,G68,G72)</f>
        <v>0.54862705617188812</v>
      </c>
      <c r="H79" s="229">
        <f>SUM(H33,H35,H65,H73,H74)</f>
        <v>2.4792779448430217E-2</v>
      </c>
      <c r="I79" s="18"/>
      <c r="J79" s="555"/>
      <c r="K79" s="555"/>
      <c r="L79" s="555"/>
      <c r="M79" s="18"/>
      <c r="N79" s="555"/>
      <c r="O79" s="555"/>
    </row>
    <row r="80" spans="1:15">
      <c r="A80" s="555" t="s">
        <v>371</v>
      </c>
      <c r="B80" s="555"/>
      <c r="C80" s="229"/>
      <c r="D80" s="1"/>
      <c r="E80" s="268">
        <f>E79/$C79</f>
        <v>0.89890300655187994</v>
      </c>
      <c r="F80" s="1"/>
      <c r="G80" s="268">
        <f>G79/$C79</f>
        <v>9.6725893416766795E-2</v>
      </c>
      <c r="H80" s="268">
        <f>H79/$C79</f>
        <v>4.371100031353407E-3</v>
      </c>
      <c r="I80" s="106"/>
      <c r="J80" s="555"/>
      <c r="K80" s="555"/>
      <c r="L80" s="555"/>
      <c r="M80" s="18"/>
      <c r="N80" s="555"/>
      <c r="O80" s="555"/>
    </row>
    <row r="81" spans="9:12">
      <c r="I81" s="18"/>
      <c r="J81" s="555"/>
      <c r="K81" s="555"/>
      <c r="L81" s="555"/>
    </row>
    <row r="88" spans="9:12">
      <c r="I88" s="555"/>
      <c r="J88" s="555"/>
      <c r="K88" s="555"/>
      <c r="L88" s="18"/>
    </row>
  </sheetData>
  <phoneticPr fontId="11" type="noConversion"/>
  <printOptions horizontalCentered="1"/>
  <pageMargins left="0.75" right="0.75" top="1" bottom="1" header="0.5" footer="0.5"/>
  <pageSetup scale="59" orientation="portrait" r:id="rId1"/>
  <headerFooter alignWithMargins="0">
    <oddHeader>&amp;RPage 6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>
    <pageSetUpPr fitToPage="1"/>
  </sheetPr>
  <dimension ref="A1:BY84"/>
  <sheetViews>
    <sheetView zoomScale="115" zoomScaleNormal="115" workbookViewId="0"/>
  </sheetViews>
  <sheetFormatPr defaultColWidth="9.140625" defaultRowHeight="12.6"/>
  <cols>
    <col min="1" max="1" width="13.42578125" customWidth="1"/>
    <col min="2" max="2" width="11" bestFit="1" customWidth="1"/>
    <col min="3" max="3" width="13.7109375" style="267" customWidth="1"/>
    <col min="4" max="4" width="1.7109375" customWidth="1"/>
    <col min="5" max="5" width="13.7109375" style="1" customWidth="1"/>
    <col min="6" max="6" width="1.85546875" style="1" customWidth="1"/>
    <col min="7" max="8" width="13.42578125" style="1" customWidth="1"/>
    <col min="12" max="12" width="19.28515625" customWidth="1"/>
    <col min="13" max="13" width="12.140625" customWidth="1"/>
    <col min="16" max="16" width="10.85546875" bestFit="1" customWidth="1"/>
    <col min="17" max="17" width="11.42578125" bestFit="1" customWidth="1"/>
    <col min="18" max="18" width="12.42578125" bestFit="1" customWidth="1"/>
  </cols>
  <sheetData>
    <row r="1" spans="1:77" ht="15.6">
      <c r="A1" s="72" t="s">
        <v>374</v>
      </c>
      <c r="B1" s="78"/>
      <c r="C1" s="597"/>
      <c r="D1" s="78"/>
      <c r="E1" s="78"/>
      <c r="F1" s="78"/>
      <c r="G1" s="78"/>
      <c r="H1" s="78"/>
      <c r="I1" s="555"/>
      <c r="J1" s="555"/>
      <c r="K1" s="555"/>
      <c r="L1" s="555"/>
      <c r="M1" s="555"/>
      <c r="N1" s="555"/>
      <c r="O1" s="555"/>
      <c r="P1" s="555"/>
      <c r="Q1" s="555"/>
      <c r="R1" s="555"/>
      <c r="S1" s="555"/>
      <c r="T1" s="555"/>
      <c r="U1" s="555"/>
      <c r="V1" s="555"/>
      <c r="W1" s="555"/>
      <c r="X1" s="555"/>
      <c r="Y1" s="555"/>
      <c r="Z1" s="555"/>
      <c r="AA1" s="555"/>
      <c r="AB1" s="555"/>
      <c r="AC1" s="555"/>
      <c r="AD1" s="555"/>
      <c r="AE1" s="555"/>
      <c r="AF1" s="555"/>
      <c r="AG1" s="555"/>
      <c r="AH1" s="555"/>
      <c r="AI1" s="555"/>
      <c r="AJ1" s="555"/>
      <c r="AK1" s="555"/>
      <c r="AL1" s="555"/>
      <c r="AM1" s="555"/>
      <c r="AN1" s="555"/>
      <c r="AO1" s="555"/>
      <c r="AP1" s="555"/>
      <c r="AQ1" s="555"/>
      <c r="AR1" s="555"/>
      <c r="AS1" s="555"/>
      <c r="AT1" s="555"/>
      <c r="AU1" s="555"/>
      <c r="AV1" s="555"/>
      <c r="AW1" s="555"/>
      <c r="AX1" s="555"/>
      <c r="AY1" s="555"/>
      <c r="AZ1" s="555"/>
      <c r="BA1" s="555"/>
      <c r="BB1" s="555"/>
      <c r="BC1" s="555"/>
      <c r="BD1" s="555"/>
      <c r="BE1" s="555"/>
      <c r="BF1" s="555"/>
      <c r="BG1" s="555"/>
      <c r="BH1" s="555"/>
      <c r="BI1" s="555"/>
      <c r="BJ1" s="555"/>
      <c r="BK1" s="555"/>
      <c r="BL1" s="555"/>
      <c r="BM1" s="555"/>
      <c r="BN1" s="555"/>
      <c r="BO1" s="555"/>
      <c r="BP1" s="555"/>
      <c r="BQ1" s="555"/>
      <c r="BR1" s="555"/>
      <c r="BS1" s="555"/>
      <c r="BT1" s="555"/>
      <c r="BU1" s="555"/>
      <c r="BV1" s="555"/>
      <c r="BW1" s="555"/>
      <c r="BX1" s="555"/>
      <c r="BY1" s="555"/>
    </row>
    <row r="2" spans="1:77" ht="15.6">
      <c r="A2" s="72" t="s">
        <v>289</v>
      </c>
      <c r="B2" s="78"/>
      <c r="C2" s="597"/>
      <c r="D2" s="78"/>
      <c r="E2" s="78"/>
      <c r="F2" s="78"/>
      <c r="G2" s="78"/>
      <c r="H2" s="78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  <c r="AM2" s="555"/>
      <c r="AN2" s="555"/>
      <c r="AO2" s="555"/>
      <c r="AP2" s="555"/>
      <c r="AQ2" s="555"/>
      <c r="AR2" s="555"/>
      <c r="AS2" s="555"/>
      <c r="AT2" s="555"/>
      <c r="AU2" s="555"/>
      <c r="AV2" s="555"/>
      <c r="AW2" s="555"/>
      <c r="AX2" s="555"/>
      <c r="AY2" s="555"/>
      <c r="AZ2" s="555"/>
      <c r="BA2" s="555"/>
      <c r="BB2" s="555"/>
      <c r="BC2" s="555"/>
      <c r="BD2" s="555"/>
      <c r="BE2" s="555"/>
      <c r="BF2" s="555"/>
      <c r="BG2" s="555"/>
      <c r="BH2" s="555"/>
      <c r="BI2" s="555"/>
      <c r="BJ2" s="555"/>
      <c r="BK2" s="555"/>
      <c r="BL2" s="555"/>
      <c r="BM2" s="555"/>
      <c r="BN2" s="555"/>
      <c r="BO2" s="555"/>
      <c r="BP2" s="555"/>
      <c r="BQ2" s="555"/>
      <c r="BR2" s="555"/>
      <c r="BS2" s="555"/>
      <c r="BT2" s="555"/>
      <c r="BU2" s="555"/>
      <c r="BV2" s="555"/>
      <c r="BW2" s="555"/>
      <c r="BX2" s="555"/>
      <c r="BY2" s="555"/>
    </row>
    <row r="3" spans="1:77" ht="12.95">
      <c r="A3" s="217" t="s">
        <v>290</v>
      </c>
      <c r="B3" s="592"/>
      <c r="C3" s="597"/>
      <c r="D3" s="222"/>
      <c r="E3" s="222"/>
      <c r="F3" s="222"/>
      <c r="G3" s="222"/>
      <c r="H3" s="592"/>
      <c r="I3" s="555"/>
      <c r="J3" s="555"/>
      <c r="K3" s="203"/>
      <c r="L3" s="555"/>
      <c r="M3" s="555"/>
      <c r="N3" s="555"/>
      <c r="O3" s="555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5"/>
      <c r="AA3" s="555"/>
      <c r="AB3" s="555"/>
      <c r="AC3" s="555"/>
      <c r="AD3" s="555"/>
      <c r="AE3" s="555"/>
      <c r="AF3" s="555"/>
      <c r="AG3" s="555"/>
      <c r="AH3" s="555"/>
      <c r="AI3" s="555"/>
      <c r="AJ3" s="555"/>
      <c r="AK3" s="555"/>
      <c r="AL3" s="555"/>
      <c r="AM3" s="555"/>
      <c r="AN3" s="555"/>
      <c r="AO3" s="555"/>
      <c r="AP3" s="555"/>
      <c r="AQ3" s="555"/>
      <c r="AR3" s="555"/>
      <c r="AS3" s="555"/>
      <c r="AT3" s="555"/>
      <c r="AU3" s="555"/>
      <c r="AV3" s="555"/>
      <c r="AW3" s="555"/>
      <c r="AX3" s="555"/>
      <c r="AY3" s="555"/>
      <c r="AZ3" s="555"/>
      <c r="BA3" s="555"/>
      <c r="BB3" s="555"/>
      <c r="BC3" s="555"/>
      <c r="BD3" s="555"/>
      <c r="BE3" s="555"/>
      <c r="BF3" s="555"/>
      <c r="BG3" s="555"/>
      <c r="BH3" s="555"/>
      <c r="BI3" s="555"/>
      <c r="BJ3" s="555"/>
      <c r="BK3" s="555"/>
      <c r="BL3" s="555"/>
      <c r="BM3" s="555"/>
      <c r="BN3" s="555"/>
      <c r="BO3" s="555"/>
      <c r="BP3" s="555"/>
      <c r="BQ3" s="555"/>
      <c r="BR3" s="555"/>
      <c r="BS3" s="555"/>
      <c r="BT3" s="555"/>
      <c r="BU3" s="555"/>
      <c r="BV3" s="555"/>
      <c r="BW3" s="555"/>
      <c r="BX3" s="555"/>
      <c r="BY3" s="555"/>
    </row>
    <row r="4" spans="1:77" ht="12.95">
      <c r="A4" s="11" t="s">
        <v>291</v>
      </c>
      <c r="B4" s="78"/>
      <c r="C4" s="597"/>
      <c r="D4" s="222"/>
      <c r="E4" s="228"/>
      <c r="F4" s="228"/>
      <c r="G4" s="228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5"/>
      <c r="AN4" s="555"/>
      <c r="AO4" s="555"/>
      <c r="AP4" s="555"/>
      <c r="AQ4" s="555"/>
      <c r="AR4" s="555"/>
      <c r="AS4" s="555"/>
      <c r="AT4" s="555"/>
      <c r="AU4" s="555"/>
      <c r="AV4" s="555"/>
      <c r="AW4" s="555"/>
      <c r="AX4" s="555"/>
      <c r="AY4" s="555"/>
      <c r="AZ4" s="555"/>
      <c r="BA4" s="555"/>
      <c r="BB4" s="555"/>
      <c r="BC4" s="555"/>
      <c r="BD4" s="555"/>
      <c r="BE4" s="555"/>
      <c r="BF4" s="555"/>
      <c r="BG4" s="555"/>
      <c r="BH4" s="555"/>
      <c r="BI4" s="555"/>
      <c r="BJ4" s="555"/>
      <c r="BK4" s="555"/>
      <c r="BL4" s="555"/>
      <c r="BM4" s="555"/>
      <c r="BN4" s="555"/>
      <c r="BO4" s="555"/>
      <c r="BP4" s="555"/>
      <c r="BQ4" s="555"/>
      <c r="BR4" s="555"/>
      <c r="BS4" s="555"/>
      <c r="BT4" s="555"/>
      <c r="BU4" s="555"/>
      <c r="BV4" s="555"/>
      <c r="BW4" s="555"/>
      <c r="BX4" s="555"/>
      <c r="BY4" s="555"/>
    </row>
    <row r="5" spans="1:77" ht="12.95">
      <c r="A5" s="555"/>
      <c r="B5" s="555"/>
      <c r="C5" s="301"/>
      <c r="D5" s="555"/>
      <c r="E5" s="83" t="s">
        <v>292</v>
      </c>
      <c r="F5" s="83"/>
      <c r="G5" s="223"/>
      <c r="H5" s="554"/>
      <c r="I5" s="555"/>
      <c r="J5" s="555"/>
      <c r="K5" s="555"/>
      <c r="L5" s="245"/>
      <c r="M5" s="245"/>
      <c r="N5" s="245"/>
      <c r="O5" s="555"/>
      <c r="P5" s="555"/>
      <c r="Q5" s="555"/>
      <c r="R5" s="55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245"/>
      <c r="BU5" s="245"/>
      <c r="BV5" s="245"/>
      <c r="BW5" s="246"/>
      <c r="BX5" s="245"/>
      <c r="BY5" s="245"/>
    </row>
    <row r="6" spans="1:77" ht="39.6" thickBot="1">
      <c r="A6" s="224" t="s">
        <v>293</v>
      </c>
      <c r="B6" s="225"/>
      <c r="C6" s="598" t="s">
        <v>294</v>
      </c>
      <c r="D6" s="226"/>
      <c r="E6" s="227" t="s">
        <v>295</v>
      </c>
      <c r="F6" s="226"/>
      <c r="G6" s="226" t="s">
        <v>296</v>
      </c>
      <c r="H6" s="226" t="s">
        <v>297</v>
      </c>
      <c r="I6" s="555"/>
      <c r="J6" s="555"/>
      <c r="K6" s="555"/>
      <c r="L6" s="2" t="s">
        <v>298</v>
      </c>
      <c r="M6" s="2" t="s">
        <v>299</v>
      </c>
      <c r="N6" s="555"/>
      <c r="O6" s="555"/>
      <c r="P6" s="555"/>
      <c r="Q6" s="555"/>
      <c r="R6" s="555"/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555"/>
      <c r="AF6" s="555"/>
      <c r="AG6" s="555"/>
      <c r="AH6" s="555"/>
      <c r="AI6" s="555"/>
      <c r="AJ6" s="555"/>
      <c r="AK6" s="555"/>
      <c r="AL6" s="555"/>
      <c r="AM6" s="555"/>
      <c r="AN6" s="555"/>
      <c r="AO6" s="555"/>
      <c r="AP6" s="555"/>
      <c r="AQ6" s="555"/>
      <c r="AR6" s="555"/>
      <c r="AS6" s="555"/>
      <c r="AT6" s="555"/>
      <c r="AU6" s="555"/>
      <c r="AV6" s="555"/>
      <c r="AW6" s="555"/>
      <c r="AX6" s="555"/>
      <c r="AY6" s="555"/>
      <c r="AZ6" s="555"/>
      <c r="BA6" s="555"/>
      <c r="BB6" s="555"/>
      <c r="BC6" s="555"/>
      <c r="BD6" s="555"/>
      <c r="BE6" s="555"/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  <c r="BQ6" s="555"/>
      <c r="BR6" s="555"/>
      <c r="BS6" s="555"/>
      <c r="BT6" s="555"/>
      <c r="BU6" s="555"/>
      <c r="BV6" s="555"/>
      <c r="BW6" s="555"/>
      <c r="BX6" s="555"/>
      <c r="BY6" s="555"/>
    </row>
    <row r="7" spans="1:77" ht="12.95" thickTop="1">
      <c r="A7" s="555" t="s">
        <v>300</v>
      </c>
      <c r="B7" s="303" t="s">
        <v>301</v>
      </c>
      <c r="C7" s="285">
        <f>'[3]LTTR Unit Costs  Final Adj.'!$G$6</f>
        <v>1.5496603072353266</v>
      </c>
      <c r="D7" s="234"/>
      <c r="E7" s="229">
        <f>+C7</f>
        <v>1.5496603072353266</v>
      </c>
      <c r="G7" s="3"/>
      <c r="I7" s="555"/>
      <c r="J7" s="18"/>
      <c r="K7" s="555"/>
      <c r="L7" s="242" t="s">
        <v>302</v>
      </c>
      <c r="M7" s="555" t="s">
        <v>303</v>
      </c>
      <c r="N7" s="555"/>
      <c r="O7" s="555"/>
      <c r="P7" s="555"/>
      <c r="Q7" s="285"/>
      <c r="R7" s="277"/>
      <c r="S7" s="245"/>
      <c r="T7" s="555"/>
      <c r="U7" s="555"/>
      <c r="V7" s="555"/>
      <c r="W7" s="555"/>
      <c r="X7" s="555"/>
      <c r="Y7" s="555"/>
      <c r="Z7" s="555"/>
      <c r="AA7" s="555"/>
      <c r="AB7" s="555"/>
      <c r="AC7" s="555"/>
      <c r="AD7" s="555"/>
      <c r="AE7" s="555"/>
      <c r="AF7" s="555"/>
      <c r="AG7" s="555"/>
      <c r="AH7" s="555"/>
      <c r="AI7" s="555"/>
      <c r="AJ7" s="555"/>
      <c r="AK7" s="555"/>
      <c r="AL7" s="555"/>
      <c r="AM7" s="555"/>
      <c r="AN7" s="555"/>
      <c r="AO7" s="555"/>
      <c r="AP7" s="555"/>
      <c r="AQ7" s="555"/>
      <c r="AR7" s="555"/>
      <c r="AS7" s="555"/>
      <c r="AT7" s="555"/>
      <c r="AU7" s="555"/>
      <c r="AV7" s="555"/>
      <c r="AW7" s="555"/>
      <c r="AX7" s="555"/>
      <c r="AY7" s="555"/>
      <c r="AZ7" s="555"/>
      <c r="BA7" s="555"/>
      <c r="BB7" s="555"/>
      <c r="BC7" s="555"/>
      <c r="BD7" s="555"/>
      <c r="BE7" s="555"/>
      <c r="BF7" s="555"/>
      <c r="BG7" s="555"/>
      <c r="BH7" s="555"/>
      <c r="BI7" s="555"/>
      <c r="BJ7" s="555"/>
      <c r="BK7" s="555"/>
      <c r="BL7" s="555"/>
      <c r="BM7" s="555"/>
      <c r="BN7" s="555"/>
      <c r="BO7" s="555"/>
      <c r="BP7" s="555"/>
      <c r="BQ7" s="555"/>
      <c r="BR7" s="555"/>
      <c r="BS7" s="555"/>
      <c r="BT7" s="555"/>
      <c r="BU7" s="555"/>
      <c r="BV7" s="555"/>
      <c r="BW7" s="555"/>
      <c r="BX7" s="555"/>
      <c r="BY7" s="555"/>
    </row>
    <row r="8" spans="1:77">
      <c r="A8" s="174" t="s">
        <v>304</v>
      </c>
      <c r="B8" s="305" t="s">
        <v>305</v>
      </c>
      <c r="C8" s="285">
        <f>'[3]LTTR Unit Costs  Final Adj.'!$G$7</f>
        <v>6.2576410447509759E-3</v>
      </c>
      <c r="D8" s="234"/>
      <c r="E8" s="229">
        <f>+C8</f>
        <v>6.2576410447509759E-3</v>
      </c>
      <c r="G8" s="229"/>
      <c r="H8" s="229"/>
      <c r="I8" s="555"/>
      <c r="J8" s="18"/>
      <c r="K8" s="555"/>
      <c r="L8" s="244" t="s">
        <v>306</v>
      </c>
      <c r="M8" s="555" t="s">
        <v>307</v>
      </c>
      <c r="N8" s="555"/>
      <c r="O8" s="555"/>
      <c r="P8" s="555"/>
      <c r="Q8" s="285"/>
      <c r="R8" s="277"/>
      <c r="S8" s="245"/>
      <c r="T8" s="555"/>
      <c r="U8" s="555"/>
      <c r="V8" s="555"/>
      <c r="W8" s="555"/>
      <c r="X8" s="555"/>
      <c r="Y8" s="555"/>
      <c r="Z8" s="555"/>
      <c r="AA8" s="555"/>
      <c r="AB8" s="555"/>
      <c r="AC8" s="555"/>
      <c r="AD8" s="555"/>
      <c r="AE8" s="555"/>
      <c r="AF8" s="555"/>
      <c r="AG8" s="555"/>
      <c r="AH8" s="555"/>
      <c r="AI8" s="555"/>
      <c r="AJ8" s="555"/>
      <c r="AK8" s="555"/>
      <c r="AL8" s="555"/>
      <c r="AM8" s="555"/>
      <c r="AN8" s="555"/>
      <c r="AO8" s="555"/>
      <c r="AP8" s="555"/>
      <c r="AQ8" s="555"/>
      <c r="AR8" s="555"/>
      <c r="AS8" s="555"/>
      <c r="AT8" s="555"/>
      <c r="AU8" s="555"/>
      <c r="AV8" s="555"/>
      <c r="AW8" s="555"/>
      <c r="AX8" s="555"/>
      <c r="AY8" s="555"/>
      <c r="AZ8" s="555"/>
      <c r="BA8" s="555"/>
      <c r="BB8" s="555"/>
      <c r="BC8" s="555"/>
      <c r="BD8" s="555"/>
      <c r="BE8" s="555"/>
      <c r="BF8" s="555"/>
      <c r="BG8" s="555"/>
      <c r="BH8" s="555"/>
      <c r="BI8" s="555"/>
      <c r="BJ8" s="555"/>
      <c r="BK8" s="555"/>
      <c r="BL8" s="555"/>
      <c r="BM8" s="555"/>
      <c r="BN8" s="555"/>
      <c r="BO8" s="555"/>
      <c r="BP8" s="555"/>
      <c r="BQ8" s="555"/>
      <c r="BR8" s="555"/>
      <c r="BS8" s="555"/>
      <c r="BT8" s="555"/>
      <c r="BU8" s="555"/>
      <c r="BV8" s="555"/>
      <c r="BW8" s="555"/>
      <c r="BX8" s="555"/>
      <c r="BY8" s="555"/>
    </row>
    <row r="9" spans="1:77">
      <c r="A9" s="174"/>
      <c r="B9" s="174"/>
      <c r="C9" s="285"/>
      <c r="D9" s="234"/>
      <c r="E9" s="229"/>
      <c r="G9" s="229"/>
      <c r="H9" s="229"/>
      <c r="I9" s="555"/>
      <c r="J9" s="18"/>
      <c r="K9" s="555"/>
      <c r="L9" s="243" t="s">
        <v>308</v>
      </c>
      <c r="M9" s="555" t="s">
        <v>309</v>
      </c>
      <c r="N9" s="555"/>
      <c r="O9" s="555"/>
      <c r="P9" s="555"/>
      <c r="Q9" s="285"/>
      <c r="R9" s="277"/>
      <c r="S9" s="24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  <c r="BQ9" s="555"/>
      <c r="BR9" s="555"/>
      <c r="BS9" s="555"/>
      <c r="BT9" s="555"/>
      <c r="BU9" s="555"/>
      <c r="BV9" s="555"/>
      <c r="BW9" s="555"/>
      <c r="BX9" s="555"/>
      <c r="BY9" s="555"/>
    </row>
    <row r="10" spans="1:77">
      <c r="A10" s="174" t="s">
        <v>304</v>
      </c>
      <c r="B10" s="305" t="s">
        <v>310</v>
      </c>
      <c r="C10" s="285">
        <f>'[3]LTTR Unit Costs  Final Adj.'!$G$8</f>
        <v>0</v>
      </c>
      <c r="D10" s="234"/>
      <c r="E10" s="229">
        <f>+C10</f>
        <v>0</v>
      </c>
      <c r="G10" s="229"/>
      <c r="H10" s="229"/>
      <c r="I10" s="555"/>
      <c r="J10" s="18"/>
      <c r="K10" s="555"/>
      <c r="L10" s="241" t="s">
        <v>311</v>
      </c>
      <c r="M10" s="555" t="str">
        <f>IF(N10=1,"Piggybacked","Non WS")</f>
        <v>Piggybacked</v>
      </c>
      <c r="N10" s="17">
        <v>1</v>
      </c>
      <c r="O10" s="555"/>
      <c r="P10" s="555"/>
      <c r="Q10" s="285"/>
      <c r="R10" s="277"/>
      <c r="S10" s="245"/>
      <c r="T10" s="555"/>
      <c r="U10" s="555"/>
      <c r="V10" s="555"/>
      <c r="W10" s="555"/>
      <c r="X10" s="555"/>
      <c r="Y10" s="555"/>
      <c r="Z10" s="555"/>
      <c r="AA10" s="555"/>
      <c r="AB10" s="555"/>
      <c r="AC10" s="555"/>
      <c r="AD10" s="555"/>
      <c r="AE10" s="555"/>
      <c r="AF10" s="555"/>
      <c r="AG10" s="555"/>
      <c r="AH10" s="555"/>
      <c r="AI10" s="555"/>
      <c r="AJ10" s="555"/>
      <c r="AK10" s="555"/>
      <c r="AL10" s="555"/>
      <c r="AM10" s="555"/>
      <c r="AN10" s="555"/>
      <c r="AO10" s="555"/>
      <c r="AP10" s="555"/>
      <c r="AQ10" s="555"/>
      <c r="AR10" s="555"/>
      <c r="AS10" s="555"/>
      <c r="AT10" s="555"/>
      <c r="AU10" s="555"/>
      <c r="AV10" s="555"/>
      <c r="AW10" s="555"/>
      <c r="AX10" s="555"/>
      <c r="AY10" s="555"/>
      <c r="AZ10" s="555"/>
      <c r="BA10" s="555"/>
      <c r="BB10" s="555"/>
      <c r="BC10" s="555"/>
      <c r="BD10" s="555"/>
      <c r="BE10" s="555"/>
      <c r="BF10" s="555"/>
      <c r="BG10" s="555"/>
      <c r="BH10" s="555"/>
      <c r="BI10" s="555"/>
      <c r="BJ10" s="555"/>
      <c r="BK10" s="555"/>
      <c r="BL10" s="555"/>
      <c r="BM10" s="555"/>
      <c r="BN10" s="555"/>
      <c r="BO10" s="555"/>
      <c r="BP10" s="555"/>
      <c r="BQ10" s="555"/>
      <c r="BR10" s="555"/>
      <c r="BS10" s="555"/>
      <c r="BT10" s="555"/>
      <c r="BU10" s="555"/>
      <c r="BV10" s="555"/>
      <c r="BW10" s="555"/>
      <c r="BX10" s="555"/>
      <c r="BY10" s="555"/>
    </row>
    <row r="11" spans="1:77">
      <c r="A11" s="174"/>
      <c r="B11" s="174"/>
      <c r="C11" s="285"/>
      <c r="D11" s="234"/>
      <c r="E11" s="229"/>
      <c r="G11" s="229"/>
      <c r="H11" s="229"/>
      <c r="I11" s="555"/>
      <c r="J11" s="18"/>
      <c r="K11" s="555"/>
      <c r="L11" s="555"/>
      <c r="M11" s="555"/>
      <c r="N11" s="555"/>
      <c r="O11" s="555"/>
      <c r="P11" s="555"/>
      <c r="Q11" s="285"/>
      <c r="R11" s="277"/>
      <c r="S11" s="24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/>
      <c r="BB11" s="555"/>
      <c r="BC11" s="555"/>
      <c r="BD11" s="555"/>
      <c r="BE11" s="555"/>
      <c r="BF11" s="555"/>
      <c r="BG11" s="555"/>
      <c r="BH11" s="555"/>
      <c r="BI11" s="555"/>
      <c r="BJ11" s="555"/>
      <c r="BK11" s="555"/>
      <c r="BL11" s="555"/>
      <c r="BM11" s="555"/>
      <c r="BN11" s="555"/>
      <c r="BO11" s="555"/>
      <c r="BP11" s="555"/>
      <c r="BQ11" s="555"/>
      <c r="BR11" s="555"/>
      <c r="BS11" s="555"/>
      <c r="BT11" s="555"/>
      <c r="BU11" s="555"/>
      <c r="BV11" s="555"/>
      <c r="BW11" s="555"/>
      <c r="BX11" s="555"/>
      <c r="BY11" s="555"/>
    </row>
    <row r="12" spans="1:77">
      <c r="A12" s="174" t="s">
        <v>312</v>
      </c>
      <c r="B12" s="276" t="s">
        <v>313</v>
      </c>
      <c r="C12" s="285">
        <f>'[3]LTTR Unit Costs  Final Adj.'!G9</f>
        <v>5.6705811080576642E-4</v>
      </c>
      <c r="D12" s="234"/>
      <c r="E12" s="229">
        <f>IF($N$10=1,$C12*E$80,0)</f>
        <v>5.193222753841917E-4</v>
      </c>
      <c r="G12" s="229">
        <f>IF($N$10=1,$C12*G$80,0)</f>
        <v>4.7571554477369627E-5</v>
      </c>
      <c r="H12" s="229">
        <f>IF($N$10=1,$C12*H$80,C12)</f>
        <v>1.6428094420524296E-7</v>
      </c>
      <c r="I12" s="555"/>
      <c r="J12" s="18"/>
      <c r="K12" s="555"/>
      <c r="L12" s="240" t="s">
        <v>314</v>
      </c>
      <c r="M12" s="555" t="s">
        <v>315</v>
      </c>
      <c r="N12" s="555"/>
      <c r="O12" s="555"/>
      <c r="P12" s="555"/>
      <c r="Q12" s="285"/>
      <c r="R12" s="277"/>
      <c r="S12" s="245"/>
      <c r="T12" s="555"/>
      <c r="U12" s="555"/>
      <c r="V12" s="555"/>
      <c r="W12" s="555"/>
      <c r="X12" s="555"/>
      <c r="Y12" s="555"/>
      <c r="Z12" s="555"/>
      <c r="AA12" s="555"/>
      <c r="AB12" s="555"/>
      <c r="AC12" s="555"/>
      <c r="AD12" s="555"/>
      <c r="AE12" s="555"/>
      <c r="AF12" s="555"/>
      <c r="AG12" s="555"/>
      <c r="AH12" s="555"/>
      <c r="AI12" s="555"/>
      <c r="AJ12" s="555"/>
      <c r="AK12" s="555"/>
      <c r="AL12" s="555"/>
      <c r="AM12" s="555"/>
      <c r="AN12" s="555"/>
      <c r="AO12" s="555"/>
      <c r="AP12" s="555"/>
      <c r="AQ12" s="555"/>
      <c r="AR12" s="555"/>
      <c r="AS12" s="555"/>
      <c r="AT12" s="555"/>
      <c r="AU12" s="555"/>
      <c r="AV12" s="555"/>
      <c r="AW12" s="555"/>
      <c r="AX12" s="555"/>
      <c r="AY12" s="555"/>
      <c r="AZ12" s="555"/>
      <c r="BA12" s="555"/>
      <c r="BB12" s="555"/>
      <c r="BC12" s="555"/>
      <c r="BD12" s="555"/>
      <c r="BE12" s="555"/>
      <c r="BF12" s="555"/>
      <c r="BG12" s="555"/>
      <c r="BH12" s="555"/>
      <c r="BI12" s="555"/>
      <c r="BJ12" s="555"/>
      <c r="BK12" s="555"/>
      <c r="BL12" s="555"/>
      <c r="BM12" s="555"/>
      <c r="BN12" s="555"/>
      <c r="BO12" s="555"/>
      <c r="BP12" s="555"/>
      <c r="BQ12" s="555"/>
      <c r="BR12" s="555"/>
      <c r="BS12" s="555"/>
      <c r="BT12" s="555"/>
      <c r="BU12" s="555"/>
      <c r="BV12" s="555"/>
      <c r="BW12" s="555"/>
      <c r="BX12" s="555"/>
      <c r="BY12" s="555"/>
    </row>
    <row r="13" spans="1:77">
      <c r="A13" s="174" t="s">
        <v>312</v>
      </c>
      <c r="B13" s="276" t="s">
        <v>316</v>
      </c>
      <c r="C13" s="285">
        <f>'[3]LTTR Unit Costs  Final Adj.'!G10</f>
        <v>4.1189701270536457E-2</v>
      </c>
      <c r="D13" s="234"/>
      <c r="E13" s="229">
        <f>IF($N$10=1,$C13*E$80,0)</f>
        <v>3.7722288031141589E-2</v>
      </c>
      <c r="G13" s="229">
        <f>IF($N$10=1,$C13*G$80,0)</f>
        <v>3.4554802771687653E-3</v>
      </c>
      <c r="H13" s="229">
        <f>IF($N$10=1,$C13*H$80,C13)</f>
        <v>1.1932962226111966E-5</v>
      </c>
      <c r="I13" s="555"/>
      <c r="J13" s="18"/>
      <c r="K13" s="555"/>
      <c r="L13" s="555"/>
      <c r="M13" s="555"/>
      <c r="N13" s="555"/>
      <c r="O13" s="555"/>
      <c r="P13" s="555"/>
      <c r="Q13" s="285"/>
      <c r="R13" s="277"/>
      <c r="S13" s="245"/>
      <c r="T13" s="555"/>
      <c r="U13" s="555"/>
      <c r="V13" s="555"/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5"/>
      <c r="AH13" s="555"/>
      <c r="AI13" s="555"/>
      <c r="AJ13" s="555"/>
      <c r="AK13" s="555"/>
      <c r="AL13" s="555"/>
      <c r="AM13" s="555"/>
      <c r="AN13" s="555"/>
      <c r="AO13" s="555"/>
      <c r="AP13" s="555"/>
      <c r="AQ13" s="555"/>
      <c r="AR13" s="555"/>
      <c r="AS13" s="555"/>
      <c r="AT13" s="555"/>
      <c r="AU13" s="555"/>
      <c r="AV13" s="555"/>
      <c r="AW13" s="555"/>
      <c r="AX13" s="555"/>
      <c r="AY13" s="555"/>
      <c r="AZ13" s="555"/>
      <c r="BA13" s="555"/>
      <c r="BB13" s="555"/>
      <c r="BC13" s="555"/>
      <c r="BD13" s="555"/>
      <c r="BE13" s="555"/>
      <c r="BF13" s="555"/>
      <c r="BG13" s="555"/>
      <c r="BH13" s="555"/>
      <c r="BI13" s="555"/>
      <c r="BJ13" s="555"/>
      <c r="BK13" s="555"/>
      <c r="BL13" s="555"/>
      <c r="BM13" s="555"/>
      <c r="BN13" s="555"/>
      <c r="BO13" s="555"/>
      <c r="BP13" s="555"/>
      <c r="BQ13" s="555"/>
      <c r="BR13" s="555"/>
      <c r="BS13" s="555"/>
      <c r="BT13" s="555"/>
      <c r="BU13" s="555"/>
      <c r="BV13" s="555"/>
      <c r="BW13" s="555"/>
      <c r="BX13" s="555"/>
      <c r="BY13" s="555"/>
    </row>
    <row r="14" spans="1:77">
      <c r="A14" s="174" t="s">
        <v>317</v>
      </c>
      <c r="B14" s="273" t="s">
        <v>318</v>
      </c>
      <c r="C14" s="285">
        <f>'[3]LTTR Unit Costs  Final Adj.'!G11</f>
        <v>5.4875268912157352E-5</v>
      </c>
      <c r="D14" s="234"/>
      <c r="E14" s="229">
        <f>IF($N$10=1,$C14*E$80,0)</f>
        <v>5.0255783262294812E-5</v>
      </c>
      <c r="G14" s="229">
        <f>IF($N$10=1,$C14*G$80,0)</f>
        <v>4.6035878770970846E-6</v>
      </c>
      <c r="H14" s="229">
        <f>IF($N$10=1,$C14*H$80,C14)</f>
        <v>1.5897772765468311E-8</v>
      </c>
      <c r="I14" s="555"/>
      <c r="J14" s="18"/>
      <c r="K14" s="555"/>
      <c r="L14" s="555" t="s">
        <v>319</v>
      </c>
      <c r="M14" s="555"/>
      <c r="N14" s="555"/>
      <c r="O14" s="555"/>
      <c r="P14" s="555"/>
      <c r="Q14" s="285"/>
      <c r="R14" s="277"/>
      <c r="S14" s="245"/>
      <c r="T14" s="555"/>
      <c r="U14" s="555"/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M14" s="555"/>
      <c r="AN14" s="555"/>
      <c r="AO14" s="555"/>
      <c r="AP14" s="555"/>
      <c r="AQ14" s="555"/>
      <c r="AR14" s="555"/>
      <c r="AS14" s="555"/>
      <c r="AT14" s="555"/>
      <c r="AU14" s="555"/>
      <c r="AV14" s="555"/>
      <c r="AW14" s="555"/>
      <c r="AX14" s="555"/>
      <c r="AY14" s="555"/>
      <c r="AZ14" s="555"/>
      <c r="BA14" s="555"/>
      <c r="BB14" s="555"/>
      <c r="BC14" s="555"/>
      <c r="BD14" s="555"/>
      <c r="BE14" s="555"/>
      <c r="BF14" s="555"/>
      <c r="BG14" s="555"/>
      <c r="BH14" s="555"/>
      <c r="BI14" s="555"/>
      <c r="BJ14" s="555"/>
      <c r="BK14" s="555"/>
      <c r="BL14" s="555"/>
      <c r="BM14" s="555"/>
      <c r="BN14" s="555"/>
      <c r="BO14" s="555"/>
      <c r="BP14" s="555"/>
      <c r="BQ14" s="555"/>
      <c r="BR14" s="555"/>
      <c r="BS14" s="555"/>
      <c r="BT14" s="555"/>
      <c r="BU14" s="555"/>
      <c r="BV14" s="555"/>
      <c r="BW14" s="555"/>
      <c r="BX14" s="555"/>
      <c r="BY14" s="555"/>
    </row>
    <row r="15" spans="1:77">
      <c r="A15" s="174" t="s">
        <v>317</v>
      </c>
      <c r="B15" s="273" t="s">
        <v>320</v>
      </c>
      <c r="C15" s="285">
        <f>'[3]LTTR Unit Costs  Final Adj.'!G12</f>
        <v>0.19321075481780822</v>
      </c>
      <c r="D15" s="234"/>
      <c r="E15" s="229">
        <f>IF($N$10=1,$C15*E$80,0)</f>
        <v>0.1769459723944416</v>
      </c>
      <c r="G15" s="229">
        <f>IF($N$10=1,$C15*G$80,0)</f>
        <v>1.620880783341333E-2</v>
      </c>
      <c r="H15" s="229">
        <f>IF($N$10=1,$C15*H$80,C15)</f>
        <v>5.5974589953355546E-5</v>
      </c>
      <c r="I15" s="555"/>
      <c r="J15" s="18"/>
      <c r="K15" s="555"/>
      <c r="L15" s="555" t="s">
        <v>321</v>
      </c>
      <c r="M15" s="555"/>
      <c r="N15" s="555"/>
      <c r="O15" s="555"/>
      <c r="P15" s="555"/>
      <c r="Q15" s="285"/>
      <c r="R15" s="277"/>
      <c r="S15" s="245"/>
      <c r="T15" s="555"/>
      <c r="U15" s="555"/>
      <c r="V15" s="555"/>
      <c r="W15" s="555"/>
      <c r="X15" s="555"/>
      <c r="Y15" s="555"/>
      <c r="Z15" s="555"/>
      <c r="AA15" s="555"/>
      <c r="AB15" s="555"/>
      <c r="AC15" s="555"/>
      <c r="AD15" s="555"/>
      <c r="AE15" s="555"/>
      <c r="AF15" s="555"/>
      <c r="AG15" s="555"/>
      <c r="AH15" s="555"/>
      <c r="AI15" s="555"/>
      <c r="AJ15" s="555"/>
      <c r="AK15" s="555"/>
      <c r="AL15" s="555"/>
      <c r="AM15" s="555"/>
      <c r="AN15" s="555"/>
      <c r="AO15" s="555"/>
      <c r="AP15" s="555"/>
      <c r="AQ15" s="555"/>
      <c r="AR15" s="555"/>
      <c r="AS15" s="555"/>
      <c r="AT15" s="555"/>
      <c r="AU15" s="555"/>
      <c r="AV15" s="555"/>
      <c r="AW15" s="555"/>
      <c r="AX15" s="555"/>
      <c r="AY15" s="555"/>
      <c r="AZ15" s="555"/>
      <c r="BA15" s="555"/>
      <c r="BB15" s="555"/>
      <c r="BC15" s="555"/>
      <c r="BD15" s="555"/>
      <c r="BE15" s="555"/>
      <c r="BF15" s="555"/>
      <c r="BG15" s="555"/>
      <c r="BH15" s="555"/>
      <c r="BI15" s="555"/>
      <c r="BJ15" s="555"/>
      <c r="BK15" s="555"/>
      <c r="BL15" s="555"/>
      <c r="BM15" s="555"/>
      <c r="BN15" s="555"/>
      <c r="BO15" s="555"/>
      <c r="BP15" s="555"/>
      <c r="BQ15" s="555"/>
      <c r="BR15" s="555"/>
      <c r="BS15" s="555"/>
      <c r="BT15" s="555"/>
      <c r="BU15" s="555"/>
      <c r="BV15" s="555"/>
      <c r="BW15" s="555"/>
      <c r="BX15" s="555"/>
      <c r="BY15" s="555"/>
    </row>
    <row r="16" spans="1:77">
      <c r="A16" s="174" t="s">
        <v>322</v>
      </c>
      <c r="B16" s="305" t="s">
        <v>323</v>
      </c>
      <c r="C16" s="285">
        <f>'[3]LTTR Unit Costs  Final Adj.'!G13</f>
        <v>6.7115203188876989E-5</v>
      </c>
      <c r="D16" s="234"/>
      <c r="E16" s="229">
        <f>+C16</f>
        <v>6.7115203188876989E-5</v>
      </c>
      <c r="G16" s="229"/>
      <c r="H16" s="229"/>
      <c r="I16" s="555"/>
      <c r="J16" s="18"/>
      <c r="K16" s="555"/>
      <c r="L16" s="555" t="s">
        <v>324</v>
      </c>
      <c r="M16" s="555"/>
      <c r="N16" s="555"/>
      <c r="O16" s="555"/>
      <c r="P16" s="555"/>
      <c r="Q16" s="285"/>
      <c r="R16" s="277"/>
      <c r="S16" s="24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5"/>
      <c r="BC16" s="555"/>
      <c r="BD16" s="555"/>
      <c r="BE16" s="555"/>
      <c r="BF16" s="555"/>
      <c r="BG16" s="555"/>
      <c r="BH16" s="555"/>
      <c r="BI16" s="555"/>
      <c r="BJ16" s="555"/>
      <c r="BK16" s="555"/>
      <c r="BL16" s="555"/>
      <c r="BM16" s="555"/>
      <c r="BN16" s="555"/>
      <c r="BO16" s="555"/>
      <c r="BP16" s="555"/>
      <c r="BQ16" s="555"/>
      <c r="BR16" s="555"/>
      <c r="BS16" s="555"/>
      <c r="BT16" s="555"/>
      <c r="BU16" s="555"/>
      <c r="BV16" s="555"/>
      <c r="BW16" s="555"/>
      <c r="BX16" s="555"/>
      <c r="BY16" s="555"/>
    </row>
    <row r="17" spans="1:19">
      <c r="A17" s="174" t="s">
        <v>322</v>
      </c>
      <c r="B17" s="305" t="s">
        <v>325</v>
      </c>
      <c r="C17" s="285">
        <f>'[3]LTTR Unit Costs  Final Adj.'!G14</f>
        <v>0.22018164869417925</v>
      </c>
      <c r="D17" s="234"/>
      <c r="E17" s="229">
        <f>+C17</f>
        <v>0.22018164869417925</v>
      </c>
      <c r="G17" s="3"/>
      <c r="I17" s="555"/>
      <c r="J17" s="18"/>
      <c r="K17" s="555"/>
      <c r="L17" s="555"/>
      <c r="M17" s="555"/>
      <c r="N17" s="555"/>
      <c r="O17" s="555"/>
      <c r="P17" s="555"/>
      <c r="Q17" s="285"/>
      <c r="R17" s="277"/>
      <c r="S17" s="245"/>
    </row>
    <row r="18" spans="1:19">
      <c r="A18" s="174" t="s">
        <v>322</v>
      </c>
      <c r="B18" s="276" t="s">
        <v>326</v>
      </c>
      <c r="C18" s="285">
        <f>'[3]LTTR Unit Costs  Final Adj.'!G15</f>
        <v>2.825546843975126E-6</v>
      </c>
      <c r="D18" s="234"/>
      <c r="E18" s="229">
        <f>IF($N$10=1,$C18*E$80,0)</f>
        <v>2.5876879075633219E-6</v>
      </c>
      <c r="G18" s="229">
        <f>IF($N$10=1,$C18*G$80,0)</f>
        <v>2.3704035451591262E-7</v>
      </c>
      <c r="H18" s="229">
        <f>IF($N$10=1,$C18*H$80,C18)</f>
        <v>8.1858189589210214E-10</v>
      </c>
      <c r="I18" s="555"/>
      <c r="J18" s="18"/>
      <c r="K18" s="555"/>
      <c r="L18" s="555"/>
      <c r="M18" s="555"/>
      <c r="N18" s="555"/>
      <c r="O18" s="555"/>
      <c r="P18" s="555"/>
      <c r="Q18" s="285"/>
      <c r="R18" s="277"/>
      <c r="S18" s="245"/>
    </row>
    <row r="19" spans="1:19">
      <c r="A19" s="174" t="s">
        <v>322</v>
      </c>
      <c r="B19" s="276" t="s">
        <v>327</v>
      </c>
      <c r="C19" s="285">
        <f>'[3]LTTR Unit Costs  Final Adj.'!G16</f>
        <v>1.9030003106327235E-2</v>
      </c>
      <c r="D19" s="234"/>
      <c r="E19" s="229">
        <f>IF($N$10=1,$C19*E$80,0)</f>
        <v>1.7428027790138079E-2</v>
      </c>
      <c r="G19" s="229">
        <f>IF($N$10=1,$C19*G$80,0)</f>
        <v>1.596462183021743E-3</v>
      </c>
      <c r="H19" s="229">
        <f>IF($N$10=1,$C19*H$80,C19)</f>
        <v>5.513133167417087E-6</v>
      </c>
      <c r="I19" s="555"/>
      <c r="J19" s="18"/>
      <c r="K19" s="555"/>
      <c r="L19" s="555"/>
      <c r="M19" s="555"/>
      <c r="N19" s="555"/>
      <c r="O19" s="555"/>
      <c r="P19" s="555"/>
      <c r="Q19" s="285"/>
      <c r="R19" s="277"/>
      <c r="S19" s="245"/>
    </row>
    <row r="20" spans="1:19">
      <c r="A20" s="174" t="s">
        <v>328</v>
      </c>
      <c r="B20" s="305" t="s">
        <v>329</v>
      </c>
      <c r="C20" s="285">
        <f>'[3]LTTR Unit Costs  Final Adj.'!G17</f>
        <v>7.2981538968705767E-2</v>
      </c>
      <c r="D20" s="234"/>
      <c r="E20" s="229">
        <f>+C20</f>
        <v>7.2981538968705767E-2</v>
      </c>
      <c r="G20" s="3"/>
      <c r="I20" s="555"/>
      <c r="J20" s="18"/>
      <c r="K20" s="555"/>
      <c r="L20" s="555"/>
      <c r="M20" s="555"/>
      <c r="N20" s="555"/>
      <c r="O20" s="555"/>
      <c r="P20" s="555"/>
      <c r="Q20" s="285"/>
      <c r="R20" s="277"/>
      <c r="S20" s="245"/>
    </row>
    <row r="21" spans="1:19">
      <c r="A21" s="174" t="s">
        <v>330</v>
      </c>
      <c r="B21" s="278" t="s">
        <v>331</v>
      </c>
      <c r="C21" s="285">
        <f>'[3]LTTR Unit Costs  Final Adj.'!G18</f>
        <v>7.8156684578478353E-2</v>
      </c>
      <c r="D21" s="228"/>
      <c r="E21" s="228"/>
      <c r="F21" s="228"/>
      <c r="G21" s="179">
        <f>C21</f>
        <v>7.8156684578478353E-2</v>
      </c>
      <c r="H21" s="3"/>
      <c r="I21" s="555"/>
      <c r="J21" s="18"/>
      <c r="K21" s="555"/>
      <c r="L21" s="555"/>
      <c r="M21" s="555"/>
      <c r="N21" s="555"/>
      <c r="O21" s="555"/>
      <c r="P21" s="555"/>
      <c r="Q21" s="285"/>
      <c r="R21" s="277"/>
      <c r="S21" s="245"/>
    </row>
    <row r="22" spans="1:19">
      <c r="A22" s="174" t="s">
        <v>330</v>
      </c>
      <c r="B22" s="273" t="s">
        <v>332</v>
      </c>
      <c r="C22" s="285">
        <f>'[3]LTTR Unit Costs  Final Adj.'!G19</f>
        <v>6.4904020294414999E-2</v>
      </c>
      <c r="D22" s="234"/>
      <c r="E22" s="229">
        <f>IF($N$10=1,$C22*E$80,0)</f>
        <v>5.9440298725261784E-2</v>
      </c>
      <c r="G22" s="229">
        <f>IF($N$10=1,$C22*G$80,0)</f>
        <v>5.4449183926647922E-3</v>
      </c>
      <c r="H22" s="229">
        <f>IF($N$10=1,$C22*H$80,C22)</f>
        <v>1.8803176488440981E-5</v>
      </c>
      <c r="I22" s="555"/>
      <c r="J22" s="18"/>
      <c r="K22" s="555"/>
      <c r="L22" s="555"/>
      <c r="M22" s="555"/>
      <c r="N22" s="555"/>
      <c r="O22" s="555"/>
      <c r="P22" s="555"/>
      <c r="Q22" s="285"/>
      <c r="R22" s="277"/>
      <c r="S22" s="245"/>
    </row>
    <row r="23" spans="1:19" s="173" customFormat="1">
      <c r="A23" s="174"/>
      <c r="B23" s="174"/>
      <c r="C23" s="285"/>
      <c r="D23" s="234"/>
      <c r="E23" s="229"/>
      <c r="F23" s="1"/>
      <c r="G23" s="229"/>
      <c r="H23" s="229"/>
      <c r="I23" s="174"/>
      <c r="J23" s="601"/>
      <c r="K23" s="174"/>
      <c r="L23" s="174"/>
      <c r="M23" s="174"/>
      <c r="N23" s="174"/>
      <c r="O23" s="555"/>
      <c r="P23" s="555"/>
      <c r="Q23" s="285"/>
      <c r="R23" s="277"/>
      <c r="S23" s="538"/>
    </row>
    <row r="24" spans="1:19">
      <c r="A24" s="174" t="s">
        <v>330</v>
      </c>
      <c r="B24" s="278" t="s">
        <v>333</v>
      </c>
      <c r="C24" s="285">
        <f>'[3]LTTR Unit Costs  Final Adj.'!$G$20</f>
        <v>0</v>
      </c>
      <c r="D24" s="228"/>
      <c r="E24" s="179"/>
      <c r="F24" s="228"/>
      <c r="G24" s="179">
        <f>C24</f>
        <v>0</v>
      </c>
      <c r="H24" s="3"/>
      <c r="I24" s="555"/>
      <c r="J24" s="18"/>
      <c r="K24" s="555"/>
      <c r="L24" s="555"/>
      <c r="M24" s="555"/>
      <c r="N24" s="555"/>
      <c r="O24" s="555"/>
      <c r="P24" s="555"/>
      <c r="Q24" s="285"/>
      <c r="R24" s="277"/>
      <c r="S24" s="245"/>
    </row>
    <row r="25" spans="1:19">
      <c r="A25" s="174" t="s">
        <v>330</v>
      </c>
      <c r="B25" s="304" t="s">
        <v>334</v>
      </c>
      <c r="C25" s="285">
        <f>'[3]LTTR Unit Costs  Final Adj.'!G21</f>
        <v>3.1431898350001925E-3</v>
      </c>
      <c r="D25" s="234"/>
      <c r="E25" s="229">
        <f t="shared" ref="E25:E32" si="0">IF($N$10=1,$C25*E$80,0)</f>
        <v>2.8785912166167413E-3</v>
      </c>
      <c r="G25" s="229">
        <f t="shared" ref="G25:G32" si="1">IF($N$10=1,$C25*G$80,0)</f>
        <v>2.6368801295506588E-4</v>
      </c>
      <c r="H25" s="229">
        <f t="shared" ref="H25:H32" si="2">IF($N$10=1,$C25*H$80,C25)</f>
        <v>9.1060542838619865E-7</v>
      </c>
      <c r="I25" s="555"/>
      <c r="J25" s="18"/>
      <c r="K25" s="555"/>
      <c r="L25" s="555"/>
      <c r="M25" s="555"/>
      <c r="N25" s="555"/>
      <c r="O25" s="555"/>
      <c r="P25" s="555"/>
      <c r="Q25" s="285"/>
      <c r="R25" s="277"/>
      <c r="S25" s="245"/>
    </row>
    <row r="26" spans="1:19" s="173" customFormat="1">
      <c r="A26" s="174" t="s">
        <v>330</v>
      </c>
      <c r="B26" s="304" t="s">
        <v>335</v>
      </c>
      <c r="C26" s="285">
        <f>'[3]LTTR Unit Costs  Final Adj.'!G22</f>
        <v>5.6512806597726853E-2</v>
      </c>
      <c r="D26" s="234"/>
      <c r="E26" s="229">
        <f t="shared" si="0"/>
        <v>5.1755470473697045E-2</v>
      </c>
      <c r="F26" s="1"/>
      <c r="G26" s="229">
        <f t="shared" si="1"/>
        <v>4.740963944440733E-3</v>
      </c>
      <c r="H26" s="229">
        <f t="shared" si="2"/>
        <v>1.6372179589091318E-5</v>
      </c>
      <c r="I26" s="174"/>
      <c r="J26" s="601"/>
      <c r="K26" s="174"/>
      <c r="L26" s="174"/>
      <c r="M26" s="174"/>
      <c r="N26" s="174"/>
      <c r="O26" s="555"/>
      <c r="P26" s="555"/>
      <c r="Q26" s="285"/>
      <c r="R26" s="277"/>
      <c r="S26" s="538"/>
    </row>
    <row r="27" spans="1:19">
      <c r="A27" s="174" t="s">
        <v>330</v>
      </c>
      <c r="B27" s="273" t="s">
        <v>336</v>
      </c>
      <c r="C27" s="285">
        <f>'[3]LTTR Unit Costs  Final Adj.'!G23</f>
        <v>3.4838671821828481E-3</v>
      </c>
      <c r="D27" s="234"/>
      <c r="E27" s="229">
        <f t="shared" si="0"/>
        <v>3.1905898138316702E-3</v>
      </c>
      <c r="G27" s="229">
        <f t="shared" si="1"/>
        <v>2.9226806616632604E-4</v>
      </c>
      <c r="H27" s="229">
        <f t="shared" si="2"/>
        <v>1.0093021848526171E-6</v>
      </c>
      <c r="I27" s="165"/>
      <c r="J27" s="231"/>
      <c r="K27" s="165"/>
      <c r="L27" s="555"/>
      <c r="M27" s="555"/>
      <c r="N27" s="555"/>
      <c r="O27" s="555"/>
      <c r="P27" s="555"/>
      <c r="Q27" s="285"/>
      <c r="R27" s="277"/>
      <c r="S27" s="245"/>
    </row>
    <row r="28" spans="1:19">
      <c r="A28" s="174" t="s">
        <v>330</v>
      </c>
      <c r="B28" s="273" t="s">
        <v>337</v>
      </c>
      <c r="C28" s="285">
        <f>'[3]LTTR Unit Costs  Final Adj.'!G24</f>
        <v>0.42175528144740088</v>
      </c>
      <c r="D28" s="234"/>
      <c r="E28" s="229">
        <f t="shared" si="0"/>
        <v>0.38625126462848064</v>
      </c>
      <c r="G28" s="229">
        <f t="shared" si="1"/>
        <v>3.5381831183022669E-2</v>
      </c>
      <c r="H28" s="229">
        <f t="shared" si="2"/>
        <v>1.2218563589765769E-4</v>
      </c>
      <c r="I28" s="165"/>
      <c r="J28" s="231"/>
      <c r="K28" s="165"/>
      <c r="L28" s="555"/>
      <c r="M28" s="555"/>
      <c r="N28" s="555"/>
      <c r="O28" s="555"/>
      <c r="P28" s="555"/>
      <c r="Q28" s="285"/>
      <c r="R28" s="277"/>
      <c r="S28" s="245"/>
    </row>
    <row r="29" spans="1:19">
      <c r="A29" s="174" t="s">
        <v>330</v>
      </c>
      <c r="B29" s="304" t="s">
        <v>338</v>
      </c>
      <c r="C29" s="285">
        <f>'[3]LTTR Unit Costs  Final Adj.'!G25</f>
        <v>5.8451866863077392E-4</v>
      </c>
      <c r="D29" s="234"/>
      <c r="E29" s="229">
        <f t="shared" si="0"/>
        <v>5.3531297624247827E-4</v>
      </c>
      <c r="G29" s="229">
        <f t="shared" si="1"/>
        <v>4.9036352990871751E-5</v>
      </c>
      <c r="H29" s="229">
        <f t="shared" si="2"/>
        <v>1.6933939742402603E-7</v>
      </c>
      <c r="I29" s="165"/>
      <c r="J29" s="231"/>
      <c r="K29" s="165"/>
      <c r="L29" s="555"/>
      <c r="M29" s="555"/>
      <c r="N29" s="555"/>
      <c r="O29" s="555"/>
      <c r="P29" s="555"/>
      <c r="Q29" s="285"/>
      <c r="R29" s="277"/>
      <c r="S29" s="245"/>
    </row>
    <row r="30" spans="1:19">
      <c r="A30" s="174" t="s">
        <v>330</v>
      </c>
      <c r="B30" s="273" t="s">
        <v>339</v>
      </c>
      <c r="C30" s="285">
        <f>'[3]LTTR Unit Costs  Final Adj.'!G26</f>
        <v>1.3024636342253352E-3</v>
      </c>
      <c r="D30" s="234"/>
      <c r="E30" s="229">
        <f t="shared" si="0"/>
        <v>1.1928202158504183E-3</v>
      </c>
      <c r="G30" s="229">
        <f t="shared" si="1"/>
        <v>1.092660849913608E-4</v>
      </c>
      <c r="H30" s="229">
        <f t="shared" si="2"/>
        <v>3.7733338355655951E-7</v>
      </c>
      <c r="I30" s="165"/>
      <c r="J30" s="231"/>
      <c r="K30" s="165"/>
      <c r="L30" s="555"/>
      <c r="M30" s="555"/>
      <c r="N30" s="555"/>
      <c r="O30" s="555"/>
      <c r="P30" s="555"/>
      <c r="Q30" s="285"/>
      <c r="R30" s="277"/>
      <c r="S30" s="245"/>
    </row>
    <row r="31" spans="1:19">
      <c r="A31" s="174" t="s">
        <v>330</v>
      </c>
      <c r="B31" s="273" t="s">
        <v>340</v>
      </c>
      <c r="C31" s="285">
        <f>'[3]LTTR Unit Costs  Final Adj.'!G27</f>
        <v>1.5793367815545552E-3</v>
      </c>
      <c r="D31" s="234"/>
      <c r="E31" s="229">
        <f t="shared" si="0"/>
        <v>1.446385750182479E-3</v>
      </c>
      <c r="G31" s="229">
        <f t="shared" si="1"/>
        <v>1.3249348578239599E-4</v>
      </c>
      <c r="H31" s="229">
        <f t="shared" si="2"/>
        <v>4.575455896807066E-7</v>
      </c>
      <c r="I31" s="165"/>
      <c r="J31" s="231"/>
      <c r="K31" s="165"/>
      <c r="L31" s="555"/>
      <c r="M31" s="555"/>
      <c r="N31" s="555"/>
      <c r="O31" s="555"/>
      <c r="P31" s="555"/>
      <c r="Q31" s="285"/>
      <c r="R31" s="277"/>
      <c r="S31" s="245"/>
    </row>
    <row r="32" spans="1:19">
      <c r="A32" s="174" t="s">
        <v>330</v>
      </c>
      <c r="B32" s="276" t="s">
        <v>341</v>
      </c>
      <c r="C32" s="285">
        <f>'[3]LTTR Unit Costs  Final Adj.'!G28</f>
        <v>2.5995889211927185E-2</v>
      </c>
      <c r="D32" s="234"/>
      <c r="E32" s="229">
        <f t="shared" si="0"/>
        <v>2.380751474833874E-2</v>
      </c>
      <c r="G32" s="229">
        <f t="shared" si="1"/>
        <v>2.1808432615056141E-3</v>
      </c>
      <c r="H32" s="229">
        <f t="shared" si="2"/>
        <v>7.5312020828375018E-6</v>
      </c>
      <c r="I32" s="165"/>
      <c r="J32" s="231"/>
      <c r="K32" s="165"/>
      <c r="L32" s="555"/>
      <c r="M32" s="555"/>
      <c r="N32" s="555"/>
      <c r="O32" s="555"/>
      <c r="P32" s="555"/>
      <c r="Q32" s="285"/>
      <c r="R32" s="277"/>
      <c r="S32" s="245"/>
    </row>
    <row r="33" spans="1:19">
      <c r="A33" s="174" t="s">
        <v>342</v>
      </c>
      <c r="B33" s="275" t="s">
        <v>343</v>
      </c>
      <c r="C33" s="285">
        <f>'[3]LTTR Unit Costs  Final Adj.'!$G$29</f>
        <v>0</v>
      </c>
      <c r="D33" s="234"/>
      <c r="E33" s="234"/>
      <c r="G33" s="3"/>
      <c r="H33" s="3">
        <f>+C33</f>
        <v>0</v>
      </c>
      <c r="I33" s="555"/>
      <c r="J33" s="18"/>
      <c r="K33" s="555"/>
      <c r="L33" s="555"/>
      <c r="M33" s="555"/>
      <c r="N33" s="555"/>
      <c r="O33" s="555"/>
      <c r="P33" s="555"/>
      <c r="Q33" s="285"/>
      <c r="R33" s="277"/>
      <c r="S33" s="245"/>
    </row>
    <row r="34" spans="1:19">
      <c r="A34" s="174" t="s">
        <v>342</v>
      </c>
      <c r="B34" s="306" t="s">
        <v>344</v>
      </c>
      <c r="C34" s="285">
        <f>'[3]LTTR Unit Costs  Final Adj.'!$G$30</f>
        <v>2.1010163383818837E-4</v>
      </c>
      <c r="D34" s="234"/>
      <c r="E34" s="229"/>
      <c r="G34" s="229">
        <f>C34</f>
        <v>2.1010163383818837E-4</v>
      </c>
      <c r="H34" s="229"/>
      <c r="I34" s="555"/>
      <c r="J34" s="18"/>
      <c r="K34" s="555"/>
      <c r="L34" s="555"/>
      <c r="M34" s="555"/>
      <c r="N34" s="555"/>
      <c r="O34" s="555"/>
      <c r="P34" s="555"/>
      <c r="Q34" s="285"/>
      <c r="R34" s="277"/>
      <c r="S34" s="245"/>
    </row>
    <row r="35" spans="1:19">
      <c r="A35" s="174" t="s">
        <v>342</v>
      </c>
      <c r="B35" s="275" t="s">
        <v>345</v>
      </c>
      <c r="C35" s="285">
        <f>'[3]LTTR Unit Costs  Final Adj.'!G31</f>
        <v>1.6359639909665068E-4</v>
      </c>
      <c r="D35" s="234"/>
      <c r="E35" s="234"/>
      <c r="G35" s="3"/>
      <c r="H35" s="3">
        <f>+C35</f>
        <v>1.6359639909665068E-4</v>
      </c>
      <c r="I35" s="555"/>
      <c r="J35" s="18"/>
      <c r="K35" s="555"/>
      <c r="L35" s="555"/>
      <c r="M35" s="555"/>
      <c r="N35" s="555"/>
      <c r="O35" s="555"/>
      <c r="P35" s="555"/>
      <c r="Q35" s="285"/>
      <c r="R35" s="277"/>
      <c r="S35" s="245"/>
    </row>
    <row r="36" spans="1:19">
      <c r="A36" s="174" t="s">
        <v>342</v>
      </c>
      <c r="B36" s="306" t="s">
        <v>346</v>
      </c>
      <c r="C36" s="285">
        <f>'[3]LTTR Unit Costs  Final Adj.'!G32</f>
        <v>3.2738107920735526E-4</v>
      </c>
      <c r="D36" s="234"/>
      <c r="E36" s="229"/>
      <c r="G36" s="229">
        <f>C36</f>
        <v>3.2738107920735526E-4</v>
      </c>
      <c r="H36" s="229"/>
      <c r="I36" s="555"/>
      <c r="J36" s="18"/>
      <c r="K36" s="555"/>
      <c r="L36" s="555"/>
      <c r="M36" s="555"/>
      <c r="N36" s="555"/>
      <c r="O36" s="555"/>
      <c r="P36" s="555"/>
      <c r="Q36" s="285"/>
      <c r="R36" s="277"/>
      <c r="S36" s="245"/>
    </row>
    <row r="37" spans="1:19">
      <c r="A37" s="174" t="s">
        <v>342</v>
      </c>
      <c r="B37" s="273" t="s">
        <v>347</v>
      </c>
      <c r="C37" s="285">
        <f>'[3]LTTR Unit Costs  Final Adj.'!G33</f>
        <v>1.7471678427629013E-2</v>
      </c>
      <c r="D37" s="234"/>
      <c r="E37" s="229">
        <f>IF($N$10=1,$C37*E$80,0)</f>
        <v>1.6000885311250056E-2</v>
      </c>
      <c r="G37" s="229">
        <f>IF($N$10=1,$C37*G$80,0)</f>
        <v>1.4657314414390445E-3</v>
      </c>
      <c r="H37" s="229">
        <f>IF($N$10=1,$C37*H$80,C37)</f>
        <v>5.0616749399153131E-6</v>
      </c>
      <c r="I37" s="555"/>
      <c r="J37" s="18"/>
      <c r="K37" s="555"/>
      <c r="L37" s="555"/>
      <c r="M37" s="555"/>
      <c r="N37" s="555"/>
      <c r="O37" s="555"/>
      <c r="P37" s="555"/>
      <c r="Q37" s="285"/>
      <c r="R37" s="277"/>
      <c r="S37" s="245"/>
    </row>
    <row r="38" spans="1:19">
      <c r="A38" s="174" t="s">
        <v>342</v>
      </c>
      <c r="B38" s="306" t="s">
        <v>348</v>
      </c>
      <c r="C38" s="285">
        <f>'[3]LTTR Unit Costs  Final Adj.'!G34</f>
        <v>6.8145061055447367E-3</v>
      </c>
      <c r="D38" s="234"/>
      <c r="E38" s="229"/>
      <c r="G38" s="229">
        <f>C38</f>
        <v>6.8145061055447367E-3</v>
      </c>
      <c r="H38" s="229"/>
      <c r="I38" s="555"/>
      <c r="J38" s="18"/>
      <c r="K38" s="555"/>
      <c r="L38" s="555"/>
      <c r="M38" s="555"/>
      <c r="N38" s="555"/>
      <c r="O38" s="555"/>
      <c r="P38" s="555"/>
      <c r="Q38" s="285"/>
      <c r="R38" s="277"/>
      <c r="S38" s="245"/>
    </row>
    <row r="39" spans="1:19">
      <c r="A39" s="174" t="s">
        <v>342</v>
      </c>
      <c r="B39" s="273" t="s">
        <v>349</v>
      </c>
      <c r="C39" s="285">
        <f>'[3]LTTR Unit Costs  Final Adj.'!G35</f>
        <v>1.0507040534406143E-2</v>
      </c>
      <c r="D39" s="234"/>
      <c r="E39" s="229">
        <f>IF($N$10=1,$C39*E$80,0)</f>
        <v>9.6225414889634688E-3</v>
      </c>
      <c r="G39" s="229">
        <f>IF($N$10=1,$C39*G$80,0)</f>
        <v>8.8145507780178971E-4</v>
      </c>
      <c r="H39" s="229">
        <f>IF($N$10=1,$C39*H$80,C39)</f>
        <v>3.0439676408865309E-6</v>
      </c>
      <c r="I39" s="555"/>
      <c r="J39" s="18"/>
      <c r="K39" s="555"/>
      <c r="L39" s="555"/>
      <c r="M39" s="555"/>
      <c r="N39" s="555"/>
      <c r="O39" s="555"/>
      <c r="P39" s="555"/>
      <c r="Q39" s="285"/>
      <c r="R39" s="277"/>
      <c r="S39" s="245"/>
    </row>
    <row r="40" spans="1:19">
      <c r="A40" s="174" t="s">
        <v>350</v>
      </c>
      <c r="B40" s="276" t="s">
        <v>351</v>
      </c>
      <c r="C40" s="285">
        <f>'[3]LTTR Unit Costs  Final Adj.'!$G$36</f>
        <v>0</v>
      </c>
      <c r="D40" s="234"/>
      <c r="E40" s="229">
        <f>IF($N$10=1,$C40*E$80,0)</f>
        <v>0</v>
      </c>
      <c r="G40" s="229">
        <f>IF($N$10=1,$C40*G$80,0)</f>
        <v>0</v>
      </c>
      <c r="H40" s="229">
        <f>IF($N$10=1,$C40*H$80,C40)</f>
        <v>0</v>
      </c>
      <c r="I40" s="555"/>
      <c r="J40" s="18"/>
      <c r="K40" s="555"/>
      <c r="L40" s="555"/>
      <c r="M40" s="555"/>
      <c r="N40" s="555"/>
      <c r="O40" s="555"/>
      <c r="P40" s="555"/>
      <c r="Q40" s="285"/>
      <c r="R40" s="277"/>
      <c r="S40" s="245"/>
    </row>
    <row r="41" spans="1:19">
      <c r="A41" s="174"/>
      <c r="B41" s="174"/>
      <c r="C41" s="285"/>
      <c r="D41" s="234"/>
      <c r="E41" s="229"/>
      <c r="G41" s="3"/>
      <c r="H41" s="3"/>
      <c r="I41" s="555"/>
      <c r="J41" s="18"/>
      <c r="K41" s="555"/>
      <c r="L41" s="555"/>
      <c r="M41" s="555"/>
      <c r="N41" s="555"/>
      <c r="O41" s="555"/>
      <c r="P41" s="555"/>
      <c r="Q41" s="285"/>
      <c r="R41" s="277"/>
      <c r="S41" s="245"/>
    </row>
    <row r="42" spans="1:19">
      <c r="A42" s="174"/>
      <c r="B42" s="174"/>
      <c r="C42" s="285"/>
      <c r="D42" s="234"/>
      <c r="E42" s="229"/>
      <c r="G42" s="3"/>
      <c r="H42" s="3"/>
      <c r="I42" s="555"/>
      <c r="J42" s="18"/>
      <c r="K42" s="555"/>
      <c r="L42" s="555"/>
      <c r="M42" s="555"/>
      <c r="N42" s="555"/>
      <c r="O42" s="555"/>
      <c r="P42" s="555"/>
      <c r="Q42" s="285"/>
      <c r="R42" s="277"/>
      <c r="S42" s="245"/>
    </row>
    <row r="43" spans="1:19">
      <c r="A43" s="174"/>
      <c r="B43" s="174"/>
      <c r="C43" s="285"/>
      <c r="D43" s="234"/>
      <c r="E43" s="229"/>
      <c r="G43" s="3"/>
      <c r="H43" s="3"/>
      <c r="I43" s="555"/>
      <c r="J43" s="18"/>
      <c r="K43" s="555"/>
      <c r="L43" s="555"/>
      <c r="M43" s="555"/>
      <c r="N43" s="555"/>
      <c r="O43" s="555"/>
      <c r="P43" s="555"/>
      <c r="Q43" s="285"/>
      <c r="R43" s="277"/>
      <c r="S43" s="245"/>
    </row>
    <row r="44" spans="1:19">
      <c r="A44" s="174"/>
      <c r="B44" s="174"/>
      <c r="C44" s="285"/>
      <c r="D44" s="234"/>
      <c r="E44" s="229"/>
      <c r="G44" s="3"/>
      <c r="H44" s="3"/>
      <c r="I44" s="555"/>
      <c r="J44" s="18"/>
      <c r="K44" s="555"/>
      <c r="L44" s="555"/>
      <c r="M44" s="555"/>
      <c r="N44" s="555"/>
      <c r="O44" s="555"/>
      <c r="P44" s="555"/>
      <c r="Q44" s="285"/>
      <c r="R44" s="277"/>
      <c r="S44" s="245"/>
    </row>
    <row r="45" spans="1:19">
      <c r="A45" s="174"/>
      <c r="B45" s="174"/>
      <c r="C45" s="285"/>
      <c r="D45" s="234"/>
      <c r="E45" s="229"/>
      <c r="G45" s="229"/>
      <c r="H45" s="229"/>
      <c r="I45" s="555"/>
      <c r="J45" s="18"/>
      <c r="K45" s="555"/>
      <c r="L45" s="555"/>
      <c r="M45" s="555"/>
      <c r="N45" s="555"/>
      <c r="O45" s="555"/>
      <c r="P45" s="555"/>
      <c r="Q45" s="285"/>
      <c r="R45" s="277"/>
      <c r="S45" s="245"/>
    </row>
    <row r="46" spans="1:19">
      <c r="A46" s="174"/>
      <c r="B46" s="174"/>
      <c r="C46" s="285"/>
      <c r="D46" s="234"/>
      <c r="E46" s="307"/>
      <c r="G46" s="229"/>
      <c r="H46" s="3"/>
      <c r="I46" s="555"/>
      <c r="J46" s="18"/>
      <c r="K46" s="555"/>
      <c r="L46" s="555"/>
      <c r="M46" s="555"/>
      <c r="N46" s="555"/>
      <c r="O46" s="555"/>
      <c r="P46" s="555"/>
      <c r="Q46" s="285"/>
      <c r="R46" s="277"/>
      <c r="S46" s="245"/>
    </row>
    <row r="47" spans="1:19">
      <c r="A47" s="174"/>
      <c r="B47" s="174"/>
      <c r="C47" s="285"/>
      <c r="D47" s="234"/>
      <c r="E47" s="307"/>
      <c r="G47" s="229"/>
      <c r="H47" s="3"/>
      <c r="I47" s="555"/>
      <c r="J47" s="18"/>
      <c r="K47" s="555"/>
      <c r="L47" s="555"/>
      <c r="M47" s="555"/>
      <c r="N47" s="555"/>
      <c r="O47" s="555"/>
      <c r="P47" s="555"/>
      <c r="Q47" s="285"/>
      <c r="R47" s="277"/>
      <c r="S47" s="245"/>
    </row>
    <row r="48" spans="1:19">
      <c r="A48" s="174"/>
      <c r="B48" s="174"/>
      <c r="C48" s="285"/>
      <c r="D48" s="234"/>
      <c r="E48" s="229"/>
      <c r="G48" s="3"/>
      <c r="H48" s="3"/>
      <c r="I48" s="555"/>
      <c r="J48" s="18"/>
      <c r="K48" s="555"/>
      <c r="L48" s="555"/>
      <c r="M48" s="555"/>
      <c r="N48" s="555"/>
      <c r="O48" s="555"/>
      <c r="P48" s="555"/>
      <c r="Q48" s="285"/>
      <c r="R48" s="277"/>
      <c r="S48" s="245"/>
    </row>
    <row r="49" spans="1:19">
      <c r="A49" s="174"/>
      <c r="B49" s="174"/>
      <c r="C49" s="285"/>
      <c r="D49" s="234"/>
      <c r="E49" s="229"/>
      <c r="G49" s="3"/>
      <c r="H49" s="3"/>
      <c r="I49" s="555"/>
      <c r="J49" s="18"/>
      <c r="K49" s="555"/>
      <c r="L49" s="555"/>
      <c r="M49" s="555"/>
      <c r="N49" s="555"/>
      <c r="O49" s="555"/>
      <c r="P49" s="555"/>
      <c r="Q49" s="285"/>
      <c r="R49" s="277"/>
      <c r="S49" s="245"/>
    </row>
    <row r="50" spans="1:19">
      <c r="A50" s="174"/>
      <c r="B50" s="174"/>
      <c r="C50" s="285"/>
      <c r="D50" s="234"/>
      <c r="E50" s="229"/>
      <c r="G50" s="3"/>
      <c r="H50" s="3"/>
      <c r="I50" s="165"/>
      <c r="J50" s="18"/>
      <c r="K50" s="555"/>
      <c r="L50" s="555"/>
      <c r="M50" s="555"/>
      <c r="N50" s="555"/>
      <c r="O50" s="555"/>
      <c r="P50" s="555"/>
      <c r="Q50" s="285"/>
      <c r="R50" s="277"/>
      <c r="S50" s="245"/>
    </row>
    <row r="51" spans="1:19" ht="12.95">
      <c r="A51" s="308" t="s">
        <v>352</v>
      </c>
      <c r="B51" s="99"/>
      <c r="C51" s="99">
        <f>SUM(C7:C50)</f>
        <v>2.796115831678649</v>
      </c>
      <c r="D51" s="99"/>
      <c r="E51" s="99">
        <f>SUM(E7:E50)</f>
        <v>2.6379383804571419</v>
      </c>
      <c r="F51" s="99"/>
      <c r="G51" s="99">
        <f>SUM(G7:G50)</f>
        <v>0.15776433117714211</v>
      </c>
      <c r="H51" s="99">
        <f>SUM(H7:H50)</f>
        <v>4.1312004436513125E-4</v>
      </c>
      <c r="I51" s="165"/>
      <c r="J51" s="18"/>
      <c r="K51" s="555"/>
      <c r="L51" s="555"/>
      <c r="M51" s="555"/>
      <c r="N51" s="555"/>
      <c r="O51" s="555"/>
      <c r="P51" s="555"/>
      <c r="Q51" s="285"/>
      <c r="R51" s="277"/>
      <c r="S51" s="555"/>
    </row>
    <row r="52" spans="1:19" ht="12.95">
      <c r="A52" s="17" t="s">
        <v>353</v>
      </c>
      <c r="B52" s="310" t="s">
        <v>310</v>
      </c>
      <c r="C52" s="285">
        <f>'[3]LTTR Unit Costs  Final Adj.'!$G$37</f>
        <v>0</v>
      </c>
      <c r="D52" s="4"/>
      <c r="E52" s="229">
        <f>+C52</f>
        <v>0</v>
      </c>
      <c r="F52" s="4"/>
      <c r="G52" s="229"/>
      <c r="H52" s="229"/>
      <c r="I52" s="165"/>
      <c r="J52" s="18"/>
      <c r="K52" s="555"/>
      <c r="L52" s="555"/>
      <c r="M52" s="555"/>
      <c r="N52" s="555"/>
      <c r="O52" s="555"/>
      <c r="P52" s="555"/>
      <c r="Q52" s="285"/>
      <c r="R52" s="277"/>
      <c r="S52" s="245"/>
    </row>
    <row r="53" spans="1:19" ht="12.95">
      <c r="A53" s="17" t="s">
        <v>353</v>
      </c>
      <c r="B53" s="311" t="s">
        <v>326</v>
      </c>
      <c r="C53" s="285">
        <f>'[3]LTTR Unit Costs  Final Adj.'!$G$38</f>
        <v>1.0882769744357592E-5</v>
      </c>
      <c r="D53" s="4"/>
      <c r="E53" s="229">
        <f t="shared" ref="E53:E60" si="3">IF($N$10=1,$C53*E$80,0)</f>
        <v>9.9666412285175469E-6</v>
      </c>
      <c r="F53" s="4"/>
      <c r="G53" s="229">
        <f t="shared" ref="G53:G60" si="4">IF($N$10=1,$C53*G$80,0)</f>
        <v>9.1297569665784699E-7</v>
      </c>
      <c r="H53" s="229">
        <f t="shared" ref="H53:H60" si="5">IF($N$10=1,$C53*H$80,C53)</f>
        <v>3.152819182201415E-9</v>
      </c>
      <c r="I53" s="555"/>
      <c r="J53" s="18"/>
      <c r="K53" s="555"/>
      <c r="L53" s="555"/>
      <c r="M53" s="555"/>
      <c r="N53" s="555"/>
      <c r="O53" s="555"/>
      <c r="P53" s="555"/>
      <c r="Q53" s="285"/>
      <c r="R53" s="277"/>
      <c r="S53" s="245"/>
    </row>
    <row r="54" spans="1:19">
      <c r="A54" s="555"/>
      <c r="B54" s="555"/>
      <c r="C54" s="285"/>
      <c r="D54" s="234"/>
      <c r="E54" s="229"/>
      <c r="G54" s="229"/>
      <c r="H54" s="229"/>
      <c r="I54" s="555"/>
      <c r="J54" s="18"/>
      <c r="K54" s="555"/>
      <c r="L54" s="555"/>
      <c r="M54" s="555"/>
      <c r="N54" s="555"/>
      <c r="O54" s="555"/>
      <c r="P54" s="555"/>
      <c r="Q54" s="285"/>
      <c r="R54" s="277"/>
      <c r="S54" s="245"/>
    </row>
    <row r="55" spans="1:19">
      <c r="A55" s="555" t="s">
        <v>353</v>
      </c>
      <c r="B55" s="241" t="s">
        <v>354</v>
      </c>
      <c r="C55" s="285">
        <f>'[3]LTTR Unit Costs  Final Adj.'!G39</f>
        <v>1.2277943363339485E-3</v>
      </c>
      <c r="D55" s="234"/>
      <c r="E55" s="229">
        <f t="shared" si="3"/>
        <v>1.1244366958136553E-3</v>
      </c>
      <c r="G55" s="229">
        <f t="shared" si="4"/>
        <v>1.0300193938663678E-4</v>
      </c>
      <c r="H55" s="229">
        <f t="shared" si="5"/>
        <v>3.5570113365661705E-7</v>
      </c>
      <c r="I55" s="555"/>
      <c r="J55" s="18"/>
      <c r="K55" s="555"/>
      <c r="L55" s="555"/>
      <c r="M55" s="555"/>
      <c r="N55" s="555"/>
      <c r="O55" s="555"/>
      <c r="P55" s="555"/>
      <c r="Q55" s="285"/>
      <c r="R55" s="277"/>
      <c r="S55" s="245"/>
    </row>
    <row r="56" spans="1:19">
      <c r="A56" s="555" t="s">
        <v>353</v>
      </c>
      <c r="B56" s="241" t="s">
        <v>355</v>
      </c>
      <c r="C56" s="285">
        <f>'[3]LTTR Unit Costs  Final Adj.'!G40</f>
        <v>3.2706400485178498E-2</v>
      </c>
      <c r="D56" s="234"/>
      <c r="E56" s="229">
        <f t="shared" si="3"/>
        <v>2.9953124725531757E-2</v>
      </c>
      <c r="G56" s="229">
        <f t="shared" si="4"/>
        <v>2.7438004726331755E-3</v>
      </c>
      <c r="H56" s="229">
        <f t="shared" si="5"/>
        <v>9.4752870135744501E-6</v>
      </c>
      <c r="I56" s="555"/>
      <c r="J56" s="18"/>
      <c r="K56" s="555"/>
      <c r="L56" s="555"/>
      <c r="M56" s="555"/>
      <c r="N56" s="555"/>
      <c r="O56" s="555"/>
      <c r="P56" s="555"/>
      <c r="Q56" s="285"/>
      <c r="R56" s="277"/>
      <c r="S56" s="245"/>
    </row>
    <row r="57" spans="1:19">
      <c r="A57" s="555" t="s">
        <v>353</v>
      </c>
      <c r="B57" s="241" t="s">
        <v>356</v>
      </c>
      <c r="C57" s="285">
        <f>'[3]LTTR Unit Costs  Final Adj.'!G41</f>
        <v>0</v>
      </c>
      <c r="D57" s="234"/>
      <c r="E57" s="229">
        <f t="shared" si="3"/>
        <v>0</v>
      </c>
      <c r="G57" s="229">
        <f t="shared" si="4"/>
        <v>0</v>
      </c>
      <c r="H57" s="229">
        <f t="shared" si="5"/>
        <v>0</v>
      </c>
      <c r="I57" s="555"/>
      <c r="J57" s="18"/>
      <c r="K57" s="555"/>
      <c r="L57" s="555"/>
      <c r="M57" s="555"/>
      <c r="N57" s="555"/>
      <c r="O57" s="555"/>
      <c r="P57" s="555"/>
      <c r="Q57" s="285"/>
      <c r="R57" s="277"/>
      <c r="S57" s="245"/>
    </row>
    <row r="58" spans="1:19">
      <c r="A58" s="555" t="s">
        <v>353</v>
      </c>
      <c r="B58" s="241" t="s">
        <v>357</v>
      </c>
      <c r="C58" s="285">
        <f>'[3]LTTR Unit Costs  Final Adj.'!G42</f>
        <v>2.7861175802557359E-2</v>
      </c>
      <c r="D58" s="234"/>
      <c r="E58" s="229">
        <f t="shared" si="3"/>
        <v>2.5515778607069588E-2</v>
      </c>
      <c r="G58" s="229">
        <f t="shared" si="4"/>
        <v>2.3373256060328479E-3</v>
      </c>
      <c r="H58" s="229">
        <f t="shared" si="5"/>
        <v>8.0715894549300684E-6</v>
      </c>
      <c r="I58" s="555"/>
      <c r="J58" s="18"/>
      <c r="K58" s="555"/>
      <c r="L58" s="555"/>
      <c r="M58" s="555"/>
      <c r="N58" s="555"/>
      <c r="O58" s="555"/>
      <c r="P58" s="555"/>
      <c r="Q58" s="285"/>
      <c r="R58" s="277"/>
      <c r="S58" s="245"/>
    </row>
    <row r="59" spans="1:19">
      <c r="A59" s="555" t="s">
        <v>353</v>
      </c>
      <c r="B59" s="241" t="s">
        <v>358</v>
      </c>
      <c r="C59" s="285">
        <f>'[3]LTTR Unit Costs  Final Adj.'!G43</f>
        <v>0</v>
      </c>
      <c r="D59" s="234"/>
      <c r="E59" s="229">
        <f t="shared" si="3"/>
        <v>0</v>
      </c>
      <c r="G59" s="229">
        <f t="shared" si="4"/>
        <v>0</v>
      </c>
      <c r="H59" s="229">
        <f t="shared" si="5"/>
        <v>0</v>
      </c>
      <c r="I59" s="555"/>
      <c r="J59" s="18"/>
      <c r="K59" s="555"/>
      <c r="L59" s="555"/>
      <c r="M59" s="555"/>
      <c r="N59" s="555"/>
      <c r="O59" s="555"/>
      <c r="P59" s="555"/>
      <c r="Q59" s="285"/>
      <c r="R59" s="277"/>
      <c r="S59" s="245"/>
    </row>
    <row r="60" spans="1:19">
      <c r="A60" s="555" t="s">
        <v>353</v>
      </c>
      <c r="B60" s="241" t="s">
        <v>359</v>
      </c>
      <c r="C60" s="285">
        <f>'[3]LTTR Unit Costs  Final Adj.'!G44</f>
        <v>0</v>
      </c>
      <c r="D60" s="234"/>
      <c r="E60" s="229">
        <f t="shared" si="3"/>
        <v>0</v>
      </c>
      <c r="G60" s="229">
        <f t="shared" si="4"/>
        <v>0</v>
      </c>
      <c r="H60" s="229">
        <f t="shared" si="5"/>
        <v>0</v>
      </c>
      <c r="I60" s="555"/>
      <c r="J60" s="18"/>
      <c r="K60" s="555"/>
      <c r="L60" s="555"/>
      <c r="M60" s="555"/>
      <c r="N60" s="555"/>
      <c r="O60" s="555"/>
      <c r="P60" s="17"/>
      <c r="Q60" s="285"/>
      <c r="R60" s="277"/>
      <c r="S60" s="245"/>
    </row>
    <row r="61" spans="1:19" ht="12.95">
      <c r="A61" s="87" t="s">
        <v>360</v>
      </c>
      <c r="B61" s="99">
        <f t="shared" ref="B61:C61" si="6">SUM(B52:B60)</f>
        <v>0</v>
      </c>
      <c r="C61" s="99">
        <f t="shared" si="6"/>
        <v>6.1806253393814167E-2</v>
      </c>
      <c r="D61" s="99"/>
      <c r="E61" s="99">
        <f>SUM(E52:E60)</f>
        <v>5.6603306669643513E-2</v>
      </c>
      <c r="F61" s="99"/>
      <c r="G61" s="99">
        <f>SUM(G52:G60)</f>
        <v>5.1850409937493182E-3</v>
      </c>
      <c r="H61" s="99">
        <f>SUM(H52:H60)</f>
        <v>1.7905730421343335E-5</v>
      </c>
      <c r="I61" s="555"/>
      <c r="J61" s="18"/>
      <c r="K61" s="555"/>
      <c r="L61" s="555"/>
      <c r="M61" s="555"/>
      <c r="N61" s="555"/>
      <c r="O61" s="555"/>
      <c r="P61" s="555"/>
      <c r="Q61" s="555"/>
      <c r="R61" s="277"/>
      <c r="S61" s="555"/>
    </row>
    <row r="62" spans="1:19">
      <c r="A62" s="555" t="s">
        <v>361</v>
      </c>
      <c r="B62" s="240" t="s">
        <v>362</v>
      </c>
      <c r="C62" s="285">
        <f>'[3]LTTR Unit Costs  Final Adj.'!G45</f>
        <v>0.12645879085118003</v>
      </c>
      <c r="D62" s="234"/>
      <c r="E62" s="229">
        <f>IF($N$10=1,$C62*E$80,0)</f>
        <v>0.11581329277496791</v>
      </c>
      <c r="G62" s="229">
        <f>IF($N$10=1,$C62*G$80,0)</f>
        <v>1.0608862025747129E-2</v>
      </c>
      <c r="H62" s="229">
        <f>IF($N$10=1,$C62*H$80,C62)</f>
        <v>3.6636050465030991E-5</v>
      </c>
      <c r="I62" s="555"/>
      <c r="J62" s="18"/>
      <c r="K62" s="555"/>
      <c r="L62" s="555"/>
      <c r="M62" s="555"/>
      <c r="N62" s="555"/>
      <c r="O62" s="234"/>
      <c r="P62" s="555"/>
      <c r="Q62" s="285"/>
      <c r="R62" s="277"/>
      <c r="S62" s="245"/>
    </row>
    <row r="63" spans="1:19">
      <c r="A63" s="555" t="s">
        <v>361</v>
      </c>
      <c r="B63" s="303" t="s">
        <v>363</v>
      </c>
      <c r="C63" s="285">
        <f>'[3]LTTR Unit Costs  Final Adj.'!G46</f>
        <v>7.2952125235180142E-3</v>
      </c>
      <c r="D63" s="234"/>
      <c r="E63" s="229">
        <f>+C63</f>
        <v>7.2952125235180142E-3</v>
      </c>
      <c r="G63" s="36"/>
      <c r="I63" s="555"/>
      <c r="J63" s="18"/>
      <c r="K63" s="555"/>
      <c r="L63" s="555"/>
      <c r="M63" s="555"/>
      <c r="N63" s="555"/>
      <c r="O63" s="234"/>
      <c r="P63" s="555"/>
      <c r="Q63" s="285"/>
      <c r="R63" s="277"/>
      <c r="S63" s="245"/>
    </row>
    <row r="64" spans="1:19">
      <c r="A64" s="555" t="s">
        <v>361</v>
      </c>
      <c r="B64" s="278" t="s">
        <v>364</v>
      </c>
      <c r="C64" s="285">
        <f>'[3]LTTR Unit Costs  Final Adj.'!G47</f>
        <v>4.8518092153226704E-6</v>
      </c>
      <c r="D64" s="234"/>
      <c r="E64" s="229"/>
      <c r="G64" s="3">
        <f>C64</f>
        <v>4.8518092153226704E-6</v>
      </c>
      <c r="I64" s="555"/>
      <c r="J64" s="18"/>
      <c r="K64" s="555"/>
      <c r="L64" s="555"/>
      <c r="M64" s="555"/>
      <c r="N64" s="555"/>
      <c r="O64" s="234"/>
      <c r="P64" s="234"/>
      <c r="Q64" s="285"/>
      <c r="R64" s="277"/>
      <c r="S64" s="245"/>
    </row>
    <row r="65" spans="1:19">
      <c r="A65" s="555" t="s">
        <v>361</v>
      </c>
      <c r="B65" s="313" t="s">
        <v>343</v>
      </c>
      <c r="C65" s="285">
        <f>'[3]LTTR Unit Costs  Final Adj.'!G48</f>
        <v>4.4862341748489661E-5</v>
      </c>
      <c r="D65" s="234"/>
      <c r="E65" s="229"/>
      <c r="G65" s="36"/>
      <c r="H65" s="314">
        <f>C65</f>
        <v>4.4862341748489661E-5</v>
      </c>
      <c r="I65" s="555"/>
      <c r="J65" s="18"/>
      <c r="K65" s="555"/>
      <c r="L65" s="555"/>
      <c r="M65" s="555"/>
      <c r="N65" s="555"/>
      <c r="O65" s="234"/>
      <c r="P65" s="234"/>
      <c r="Q65" s="285"/>
      <c r="R65" s="277"/>
      <c r="S65" s="245"/>
    </row>
    <row r="66" spans="1:19">
      <c r="A66" s="555" t="s">
        <v>361</v>
      </c>
      <c r="B66" s="278" t="s">
        <v>365</v>
      </c>
      <c r="C66" s="285">
        <f>'[3]LTTR Unit Costs  Final Adj.'!G49</f>
        <v>5.5106511462981463E-2</v>
      </c>
      <c r="D66" s="234"/>
      <c r="E66" s="229"/>
      <c r="G66" s="3">
        <f>C66</f>
        <v>5.5106511462981463E-2</v>
      </c>
      <c r="I66" s="555"/>
      <c r="J66" s="18"/>
      <c r="K66" s="555"/>
      <c r="L66" s="555"/>
      <c r="M66" s="555"/>
      <c r="N66" s="555"/>
      <c r="O66" s="234"/>
      <c r="P66" s="234"/>
      <c r="Q66" s="285"/>
      <c r="R66" s="277"/>
      <c r="S66" s="245"/>
    </row>
    <row r="67" spans="1:19">
      <c r="A67" s="555" t="s">
        <v>361</v>
      </c>
      <c r="B67" s="303" t="s">
        <v>366</v>
      </c>
      <c r="C67" s="285">
        <f>'[3]LTTR Unit Costs  Final Adj.'!G50</f>
        <v>0.15450030977311277</v>
      </c>
      <c r="D67" s="234"/>
      <c r="E67" s="229">
        <f>C67</f>
        <v>0.15450030977311277</v>
      </c>
      <c r="G67" s="36"/>
      <c r="I67" s="555"/>
      <c r="J67" s="18"/>
      <c r="K67" s="555"/>
      <c r="L67" s="555"/>
      <c r="M67" s="555"/>
      <c r="N67" s="555"/>
      <c r="O67" s="234"/>
      <c r="P67" s="234"/>
      <c r="Q67" s="285"/>
      <c r="R67" s="277"/>
      <c r="S67" s="245"/>
    </row>
    <row r="68" spans="1:19">
      <c r="A68" s="555" t="s">
        <v>361</v>
      </c>
      <c r="B68" s="315" t="s">
        <v>344</v>
      </c>
      <c r="C68" s="285">
        <f>'[3]LTTR Unit Costs  Final Adj.'!G51</f>
        <v>0</v>
      </c>
      <c r="D68" s="234"/>
      <c r="E68" s="229"/>
      <c r="G68" s="229">
        <f>C68</f>
        <v>0</v>
      </c>
      <c r="H68" s="229"/>
      <c r="I68" s="555"/>
      <c r="J68" s="18"/>
      <c r="K68" s="555"/>
      <c r="L68" s="555"/>
      <c r="M68" s="555"/>
      <c r="N68" s="555"/>
      <c r="O68" s="234"/>
      <c r="P68" s="555"/>
      <c r="Q68" s="285"/>
      <c r="R68" s="277"/>
      <c r="S68" s="245"/>
    </row>
    <row r="69" spans="1:19">
      <c r="A69" s="555" t="s">
        <v>361</v>
      </c>
      <c r="B69" s="303" t="s">
        <v>323</v>
      </c>
      <c r="C69" s="285">
        <f>'[3]LTTR Unit Costs  Final Adj.'!G52</f>
        <v>1.661038674984144E-2</v>
      </c>
      <c r="D69" s="234"/>
      <c r="E69" s="3">
        <f>+C69</f>
        <v>1.661038674984144E-2</v>
      </c>
      <c r="G69" s="229"/>
      <c r="H69" s="229"/>
      <c r="I69" s="555"/>
      <c r="J69" s="18"/>
      <c r="K69" s="555"/>
      <c r="L69" s="555"/>
      <c r="M69" s="555"/>
      <c r="N69" s="555"/>
      <c r="O69" s="234"/>
      <c r="P69" s="555"/>
      <c r="Q69" s="285"/>
      <c r="R69" s="277"/>
      <c r="S69" s="245"/>
    </row>
    <row r="70" spans="1:19">
      <c r="A70" s="555" t="s">
        <v>361</v>
      </c>
      <c r="B70" s="303" t="s">
        <v>325</v>
      </c>
      <c r="C70" s="285">
        <f>'[3]LTTR Unit Costs  Final Adj.'!G53</f>
        <v>0.23017958669144009</v>
      </c>
      <c r="D70" s="234"/>
      <c r="E70" s="3">
        <f>+C70</f>
        <v>0.23017958669144009</v>
      </c>
      <c r="G70" s="229"/>
      <c r="I70" s="555"/>
      <c r="J70" s="18"/>
      <c r="K70" s="555"/>
      <c r="L70" s="18"/>
      <c r="M70" s="555"/>
      <c r="N70" s="555"/>
      <c r="O70" s="234"/>
      <c r="P70" s="555"/>
      <c r="Q70" s="285"/>
      <c r="R70" s="277"/>
      <c r="S70" s="245"/>
    </row>
    <row r="71" spans="1:19">
      <c r="A71" s="555" t="s">
        <v>361</v>
      </c>
      <c r="B71" s="241" t="s">
        <v>326</v>
      </c>
      <c r="C71" s="285">
        <f>'[3]LTTR Unit Costs  Final Adj.'!G54</f>
        <v>2.5811014016924923E-2</v>
      </c>
      <c r="D71" s="234"/>
      <c r="E71" s="229">
        <f>IF($N$10=1,$C71*E$80,0)</f>
        <v>2.3638202635345162E-2</v>
      </c>
      <c r="G71" s="229">
        <f>IF($N$10=1,$C71*G$80,0)</f>
        <v>2.1653337392133266E-3</v>
      </c>
      <c r="H71" s="229">
        <f>IF($N$10=1,$C71*H$80,C71)</f>
        <v>7.4776423664409882E-6</v>
      </c>
      <c r="I71" s="555"/>
      <c r="J71" s="18"/>
      <c r="K71" s="555"/>
      <c r="L71" s="555"/>
      <c r="M71" s="555"/>
      <c r="N71" s="555"/>
      <c r="O71" s="234"/>
      <c r="P71" s="555"/>
      <c r="Q71" s="285"/>
      <c r="R71" s="277"/>
      <c r="S71" s="245"/>
    </row>
    <row r="72" spans="1:19">
      <c r="A72" s="555" t="s">
        <v>361</v>
      </c>
      <c r="B72" s="315" t="s">
        <v>367</v>
      </c>
      <c r="C72" s="285">
        <f>'[3]LTTR Unit Costs  Final Adj.'!G55</f>
        <v>6.6195478524713622E-2</v>
      </c>
      <c r="D72" s="234"/>
      <c r="E72" s="229"/>
      <c r="G72" s="229">
        <f>C72</f>
        <v>6.6195478524713622E-2</v>
      </c>
      <c r="H72" s="229"/>
      <c r="I72" s="555"/>
      <c r="J72" s="18"/>
      <c r="K72" s="555"/>
      <c r="L72" s="555"/>
      <c r="M72" s="555"/>
      <c r="N72" s="555"/>
      <c r="O72" s="234"/>
      <c r="P72" s="555"/>
      <c r="Q72" s="285"/>
      <c r="R72" s="277"/>
      <c r="S72" s="245"/>
    </row>
    <row r="73" spans="1:19">
      <c r="A73" s="555" t="s">
        <v>361</v>
      </c>
      <c r="B73" s="555" t="s">
        <v>368</v>
      </c>
      <c r="C73" s="285">
        <f>'[3]LTTR Unit Costs  Final Adj.'!G56</f>
        <v>1.8043113865807154E-5</v>
      </c>
      <c r="D73" s="234"/>
      <c r="E73" s="229"/>
      <c r="G73" s="229"/>
      <c r="H73" s="3">
        <f>+C73</f>
        <v>1.8043113865807154E-5</v>
      </c>
      <c r="I73" s="555"/>
      <c r="J73" s="18"/>
      <c r="K73" s="555"/>
      <c r="L73" s="555"/>
      <c r="M73" s="555"/>
      <c r="N73" s="555"/>
      <c r="O73" s="234"/>
      <c r="P73" s="234"/>
      <c r="Q73" s="285"/>
      <c r="R73" s="277"/>
      <c r="S73" s="245"/>
    </row>
    <row r="74" spans="1:19">
      <c r="A74" s="555" t="s">
        <v>361</v>
      </c>
      <c r="B74" s="243" t="s">
        <v>345</v>
      </c>
      <c r="C74" s="285">
        <f>'[3]LTTR Unit Costs  Final Adj.'!G57</f>
        <v>4.8770327239969544E-4</v>
      </c>
      <c r="D74" s="234"/>
      <c r="E74" s="234"/>
      <c r="G74" s="36"/>
      <c r="H74" s="3">
        <f>+C74</f>
        <v>4.8770327239969544E-4</v>
      </c>
      <c r="I74" s="555"/>
      <c r="J74" s="18"/>
      <c r="K74" s="555"/>
      <c r="L74" s="555"/>
      <c r="M74" s="555"/>
      <c r="N74" s="555"/>
      <c r="O74" s="234"/>
      <c r="P74" s="555"/>
      <c r="Q74" s="285"/>
      <c r="R74" s="277"/>
      <c r="S74" s="245"/>
    </row>
    <row r="75" spans="1:19" ht="13.5" thickBot="1">
      <c r="A75" s="316" t="s">
        <v>369</v>
      </c>
      <c r="B75" s="89"/>
      <c r="C75" s="100">
        <f>SUM(C62:C74)</f>
        <v>0.68271275113094154</v>
      </c>
      <c r="D75" s="100"/>
      <c r="E75" s="100">
        <f>SUM(E62:E74)</f>
        <v>0.54803699114822546</v>
      </c>
      <c r="F75" s="100"/>
      <c r="G75" s="100">
        <f>SUM(G62:G74)</f>
        <v>0.13408103756187084</v>
      </c>
      <c r="H75" s="100">
        <f>SUM(H62:H74)</f>
        <v>5.9472242084546427E-4</v>
      </c>
      <c r="I75" s="555"/>
      <c r="J75" s="18"/>
      <c r="K75" s="555"/>
      <c r="L75" s="555"/>
      <c r="M75" s="555"/>
      <c r="N75" s="555"/>
      <c r="O75" s="555"/>
      <c r="P75" s="555"/>
      <c r="Q75" s="18"/>
      <c r="R75" s="277"/>
      <c r="S75" s="555"/>
    </row>
    <row r="76" spans="1:19" ht="12.95" thickTop="1">
      <c r="A76" s="555"/>
      <c r="B76" s="555"/>
      <c r="C76" s="317"/>
      <c r="D76" s="1"/>
      <c r="I76" s="555"/>
      <c r="J76" s="18"/>
      <c r="K76" s="555"/>
      <c r="L76" s="555"/>
      <c r="M76" s="555"/>
      <c r="N76" s="555"/>
      <c r="O76" s="555"/>
      <c r="P76" s="555"/>
      <c r="Q76" s="18"/>
      <c r="R76" s="277"/>
      <c r="S76" s="555"/>
    </row>
    <row r="77" spans="1:19" ht="12.95">
      <c r="A77" s="11" t="s">
        <v>17</v>
      </c>
      <c r="B77" s="11"/>
      <c r="C77" s="4">
        <f>C61+C75+C51</f>
        <v>3.5406348362034046</v>
      </c>
      <c r="D77" s="4"/>
      <c r="E77" s="4">
        <f>E61+E75+E51</f>
        <v>3.2425786782750108</v>
      </c>
      <c r="F77" s="4"/>
      <c r="G77" s="4">
        <f>G61+G75+G51</f>
        <v>0.29703040973276229</v>
      </c>
      <c r="H77" s="4">
        <f>H61+H75+H51</f>
        <v>1.025748195631939E-3</v>
      </c>
      <c r="I77" s="555"/>
      <c r="J77" s="18"/>
      <c r="K77" s="555"/>
      <c r="L77" s="555"/>
      <c r="M77" s="555"/>
      <c r="N77" s="555"/>
      <c r="O77" s="555"/>
      <c r="P77" s="555"/>
      <c r="Q77" s="555"/>
      <c r="R77" s="277"/>
      <c r="S77" s="555"/>
    </row>
    <row r="78" spans="1:19">
      <c r="A78" s="555"/>
      <c r="B78" s="555"/>
      <c r="C78" s="301"/>
      <c r="D78" s="555"/>
      <c r="E78" s="555"/>
      <c r="F78" s="555"/>
      <c r="I78" s="555"/>
      <c r="J78" s="18"/>
      <c r="K78" s="555"/>
      <c r="L78" s="555"/>
      <c r="M78" s="555"/>
      <c r="N78" s="555"/>
      <c r="O78" s="555"/>
      <c r="P78" s="555"/>
      <c r="Q78" s="555"/>
      <c r="R78" s="277"/>
      <c r="S78" s="555"/>
    </row>
    <row r="79" spans="1:19">
      <c r="A79" s="555" t="s">
        <v>370</v>
      </c>
      <c r="B79" s="555"/>
      <c r="C79" s="229">
        <f>SUM(C7:C10,C16:C17,C20,C21,C24,C33:C36,C38,C52,C63:C70,C72:C74)</f>
        <v>2.4652634672051525</v>
      </c>
      <c r="D79" s="1"/>
      <c r="E79" s="229">
        <f>SUM(E7:E10,E16:E17,E20,E52,E63,E67,E69:E70)</f>
        <v>2.2577337468840635</v>
      </c>
      <c r="G79" s="229">
        <f>SUM(G21,G24,G34,G36,G38,G64,G66,G68,G72)</f>
        <v>0.20681551519397906</v>
      </c>
      <c r="H79" s="229">
        <f>SUM(H33,H35,H65,H73,H74)</f>
        <v>7.1420512711064296E-4</v>
      </c>
      <c r="I79" s="555"/>
      <c r="J79" s="18"/>
      <c r="K79" s="555"/>
      <c r="L79" s="555"/>
      <c r="M79" s="555"/>
      <c r="N79" s="555"/>
      <c r="O79" s="555"/>
      <c r="P79" s="555"/>
      <c r="Q79" s="555"/>
      <c r="R79" s="277"/>
      <c r="S79" s="555"/>
    </row>
    <row r="80" spans="1:19">
      <c r="A80" s="555" t="s">
        <v>371</v>
      </c>
      <c r="B80" s="555"/>
      <c r="C80" s="229"/>
      <c r="D80" s="1"/>
      <c r="E80" s="268">
        <f>E79/$C79</f>
        <v>0.91581844168714199</v>
      </c>
      <c r="G80" s="268">
        <f>G79/$C79</f>
        <v>8.3891850889448338E-2</v>
      </c>
      <c r="H80" s="268">
        <f>H79/$C79</f>
        <v>2.8970742340993314E-4</v>
      </c>
      <c r="I80" s="555"/>
      <c r="J80" s="18"/>
      <c r="K80" s="555"/>
      <c r="L80" s="555"/>
      <c r="M80" s="555"/>
      <c r="N80" s="555"/>
      <c r="O80" s="555"/>
      <c r="P80" s="555"/>
      <c r="Q80" s="555"/>
      <c r="R80" s="555"/>
      <c r="S80" s="555"/>
    </row>
    <row r="81" spans="9:12">
      <c r="I81" s="555"/>
      <c r="J81" s="18"/>
      <c r="K81" s="555"/>
      <c r="L81" s="555"/>
    </row>
    <row r="82" spans="9:12">
      <c r="I82" s="18"/>
      <c r="J82" s="18"/>
      <c r="K82" s="555"/>
      <c r="L82" s="555"/>
    </row>
    <row r="84" spans="9:12">
      <c r="I84" s="555"/>
      <c r="J84" s="555"/>
      <c r="K84" s="555"/>
      <c r="L84" s="233"/>
    </row>
  </sheetData>
  <phoneticPr fontId="11" type="noConversion"/>
  <printOptions horizontalCentered="1"/>
  <pageMargins left="0.75" right="0.75" top="1" bottom="1" header="0.5" footer="0.5"/>
  <pageSetup scale="64" orientation="portrait" r:id="rId1"/>
  <headerFooter alignWithMargins="0">
    <oddHeader>&amp;RPage 33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D142-AF7F-4AD4-B463-2ECA62DEE411}">
  <dimension ref="A2:R78"/>
  <sheetViews>
    <sheetView workbookViewId="0"/>
  </sheetViews>
  <sheetFormatPr defaultRowHeight="12.6"/>
  <cols>
    <col min="1" max="1" width="12.7109375" customWidth="1"/>
    <col min="2" max="2" width="24.7109375" customWidth="1"/>
    <col min="3" max="3" width="23.5703125" style="105" customWidth="1"/>
    <col min="4" max="4" width="54.5703125" bestFit="1" customWidth="1"/>
    <col min="5" max="10" width="13.7109375" bestFit="1" customWidth="1"/>
    <col min="11" max="13" width="14.7109375" bestFit="1" customWidth="1"/>
    <col min="14" max="14" width="61" bestFit="1" customWidth="1"/>
    <col min="15" max="17" width="12.7109375" bestFit="1" customWidth="1"/>
    <col min="18" max="19" width="14.140625" bestFit="1" customWidth="1"/>
    <col min="20" max="20" width="13.85546875" bestFit="1" customWidth="1"/>
    <col min="21" max="29" width="14.28515625" bestFit="1" customWidth="1"/>
    <col min="30" max="30" width="15.28515625" bestFit="1" customWidth="1"/>
    <col min="31" max="31" width="18.42578125" bestFit="1" customWidth="1"/>
    <col min="32" max="42" width="15.5703125" bestFit="1" customWidth="1"/>
    <col min="43" max="43" width="20.5703125" bestFit="1" customWidth="1"/>
    <col min="44" max="44" width="18.42578125" bestFit="1" customWidth="1"/>
    <col min="45" max="45" width="19.28515625" bestFit="1" customWidth="1"/>
  </cols>
  <sheetData>
    <row r="2" spans="1:18" ht="12.95">
      <c r="A2" s="11" t="s">
        <v>375</v>
      </c>
      <c r="B2" s="555"/>
      <c r="D2" s="404"/>
      <c r="E2" s="404"/>
      <c r="F2" s="404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</row>
    <row r="3" spans="1:18" ht="12.95">
      <c r="A3" s="23" t="s">
        <v>376</v>
      </c>
      <c r="B3" s="555"/>
      <c r="D3" s="404"/>
      <c r="E3" s="404"/>
      <c r="F3" s="404"/>
      <c r="G3" s="555"/>
      <c r="H3" s="555"/>
      <c r="I3" s="555"/>
      <c r="J3" s="555"/>
      <c r="K3" s="555"/>
      <c r="L3" s="555"/>
      <c r="M3" s="555"/>
      <c r="N3" s="555"/>
      <c r="O3" s="555"/>
      <c r="P3" s="555"/>
      <c r="Q3" s="555"/>
      <c r="R3" s="555"/>
    </row>
    <row r="4" spans="1:18" ht="12.95">
      <c r="A4" s="23" t="s">
        <v>377</v>
      </c>
      <c r="B4" s="555"/>
      <c r="D4" s="404"/>
      <c r="E4" s="404"/>
      <c r="F4" s="404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</row>
    <row r="5" spans="1:18" ht="12.95">
      <c r="A5" s="545" t="s">
        <v>378</v>
      </c>
      <c r="B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</row>
    <row r="7" spans="1:18" ht="12.95">
      <c r="A7" s="555" t="s">
        <v>379</v>
      </c>
      <c r="B7" s="555" t="s">
        <v>380</v>
      </c>
      <c r="C7" s="555"/>
      <c r="D7" s="23"/>
      <c r="E7" s="22"/>
      <c r="F7" s="22"/>
      <c r="G7" s="22"/>
      <c r="H7" s="555"/>
      <c r="I7" s="555"/>
      <c r="J7" s="555"/>
      <c r="K7" s="555"/>
      <c r="L7" s="555"/>
      <c r="M7" s="555"/>
      <c r="N7" s="555"/>
      <c r="O7" s="555"/>
      <c r="P7" s="555"/>
      <c r="Q7" s="555"/>
      <c r="R7" s="555"/>
    </row>
    <row r="8" spans="1:18" ht="12.95">
      <c r="A8" s="555" t="s">
        <v>381</v>
      </c>
      <c r="B8" s="555" t="s">
        <v>380</v>
      </c>
      <c r="C8" s="555"/>
      <c r="D8" s="23"/>
      <c r="E8" s="22"/>
      <c r="F8" s="22"/>
      <c r="G8" s="22"/>
      <c r="H8" s="555"/>
      <c r="I8" s="555"/>
      <c r="J8" s="555"/>
      <c r="K8" s="555"/>
      <c r="L8" s="555"/>
      <c r="M8" s="555"/>
      <c r="N8" s="23"/>
      <c r="O8" s="22"/>
      <c r="P8" s="22"/>
      <c r="Q8" s="22"/>
      <c r="R8" s="22"/>
    </row>
    <row r="9" spans="1:18" ht="12.95">
      <c r="A9" s="22" t="s">
        <v>382</v>
      </c>
      <c r="B9" s="22" t="s">
        <v>380</v>
      </c>
      <c r="C9" s="555"/>
      <c r="D9" s="555"/>
      <c r="E9" s="22"/>
      <c r="F9" s="22"/>
      <c r="G9" s="22"/>
      <c r="H9" s="555"/>
      <c r="I9" s="555"/>
      <c r="J9" s="555"/>
      <c r="K9" s="555"/>
      <c r="L9" s="555"/>
      <c r="M9" s="555"/>
      <c r="N9" s="23"/>
      <c r="O9" s="22"/>
      <c r="P9" s="22"/>
      <c r="Q9" s="22"/>
      <c r="R9" s="22"/>
    </row>
    <row r="10" spans="1:18">
      <c r="A10" s="555" t="s">
        <v>383</v>
      </c>
      <c r="B10" s="555" t="s">
        <v>380</v>
      </c>
      <c r="C10" s="555"/>
      <c r="D10" s="555"/>
      <c r="E10" s="22"/>
      <c r="F10" s="22"/>
      <c r="G10" s="22"/>
      <c r="H10" s="555"/>
      <c r="I10" s="555"/>
      <c r="J10" s="555"/>
      <c r="K10" s="22"/>
      <c r="L10" s="22"/>
      <c r="M10" s="555"/>
      <c r="N10" s="555"/>
      <c r="O10" s="22"/>
      <c r="P10" s="22"/>
      <c r="Q10" s="22"/>
      <c r="R10" s="22"/>
    </row>
    <row r="11" spans="1:18">
      <c r="A11" s="555"/>
      <c r="B11" s="555"/>
      <c r="C11" s="555"/>
      <c r="D11" s="555"/>
      <c r="E11" s="22"/>
      <c r="F11" s="22"/>
      <c r="G11" s="22"/>
      <c r="H11" s="555"/>
      <c r="I11" s="555"/>
      <c r="J11" s="555"/>
      <c r="K11" s="555"/>
      <c r="L11" s="555"/>
      <c r="M11" s="555"/>
      <c r="N11" s="555"/>
      <c r="O11" s="22"/>
      <c r="P11" s="22"/>
      <c r="Q11" s="22"/>
      <c r="R11" s="22"/>
    </row>
    <row r="12" spans="1:18">
      <c r="A12" s="555" t="s">
        <v>384</v>
      </c>
      <c r="B12" s="555"/>
      <c r="C12" s="555"/>
      <c r="D12" s="555"/>
      <c r="E12" s="555" t="s">
        <v>385</v>
      </c>
      <c r="F12" s="22"/>
      <c r="G12" s="22"/>
      <c r="H12" s="555"/>
      <c r="I12" s="555"/>
      <c r="J12" s="555"/>
      <c r="K12" s="555"/>
      <c r="L12" s="555"/>
      <c r="M12" s="555"/>
      <c r="N12" s="555"/>
      <c r="O12" s="22"/>
      <c r="P12" s="22"/>
      <c r="Q12" s="22"/>
      <c r="R12" s="22"/>
    </row>
    <row r="13" spans="1:18">
      <c r="A13" s="555" t="s">
        <v>386</v>
      </c>
      <c r="B13" s="555" t="s">
        <v>387</v>
      </c>
      <c r="C13" s="555" t="s">
        <v>388</v>
      </c>
      <c r="D13" s="555" t="s">
        <v>389</v>
      </c>
      <c r="E13" s="555" t="s">
        <v>79</v>
      </c>
      <c r="F13" s="555" t="s">
        <v>390</v>
      </c>
      <c r="G13" s="22" t="s">
        <v>391</v>
      </c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/>
    </row>
    <row r="14" spans="1:18">
      <c r="A14" s="555">
        <v>50</v>
      </c>
      <c r="B14" s="555" t="s">
        <v>392</v>
      </c>
      <c r="C14" s="555" t="s">
        <v>393</v>
      </c>
      <c r="D14" s="555" t="s">
        <v>394</v>
      </c>
      <c r="E14" s="22"/>
      <c r="F14" s="22">
        <v>34098516.999999993</v>
      </c>
      <c r="G14" s="22">
        <v>34098516.999999993</v>
      </c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/>
    </row>
    <row r="15" spans="1:18">
      <c r="A15" s="555"/>
      <c r="B15" s="555"/>
      <c r="C15" s="555" t="s">
        <v>395</v>
      </c>
      <c r="D15" s="555" t="s">
        <v>396</v>
      </c>
      <c r="E15" s="22">
        <v>3300289064.9999995</v>
      </c>
      <c r="F15" s="22">
        <v>-26849.000000000007</v>
      </c>
      <c r="G15" s="22">
        <v>3300262215.9999995</v>
      </c>
      <c r="H15" s="555"/>
      <c r="I15" s="555"/>
      <c r="J15" s="555"/>
      <c r="K15" s="555"/>
      <c r="L15" s="555"/>
      <c r="M15" s="555"/>
      <c r="N15" s="555"/>
      <c r="O15" s="555"/>
      <c r="P15" s="555"/>
      <c r="Q15" s="555"/>
      <c r="R15" s="555"/>
    </row>
    <row r="16" spans="1:18">
      <c r="A16" s="555"/>
      <c r="B16" s="555"/>
      <c r="C16" s="555" t="s">
        <v>397</v>
      </c>
      <c r="D16" s="555" t="s">
        <v>398</v>
      </c>
      <c r="E16" s="22"/>
      <c r="F16" s="22">
        <v>2393799</v>
      </c>
      <c r="G16" s="22">
        <v>2393799</v>
      </c>
      <c r="H16" s="537"/>
      <c r="I16" s="537"/>
      <c r="J16" s="555"/>
      <c r="K16" s="555"/>
      <c r="L16" s="555"/>
      <c r="M16" s="555"/>
      <c r="N16" s="555"/>
      <c r="O16" s="555"/>
      <c r="P16" s="555"/>
      <c r="Q16" s="555"/>
      <c r="R16" s="555"/>
    </row>
    <row r="17" spans="1:9">
      <c r="A17" s="555"/>
      <c r="B17" s="555"/>
      <c r="C17" s="555" t="s">
        <v>399</v>
      </c>
      <c r="D17" s="555" t="s">
        <v>400</v>
      </c>
      <c r="E17" s="22">
        <v>7970348</v>
      </c>
      <c r="F17" s="22">
        <v>118.00000000000001</v>
      </c>
      <c r="G17" s="22">
        <v>7970466</v>
      </c>
      <c r="H17" s="537"/>
      <c r="I17" s="537"/>
    </row>
    <row r="18" spans="1:9">
      <c r="A18" s="555"/>
      <c r="B18" s="555"/>
      <c r="C18" s="555">
        <v>101101</v>
      </c>
      <c r="D18" s="555" t="s">
        <v>401</v>
      </c>
      <c r="E18" s="22">
        <v>6286054.3411702719</v>
      </c>
      <c r="F18" s="22"/>
      <c r="G18" s="22">
        <v>6286054.3411702719</v>
      </c>
      <c r="H18" s="555"/>
      <c r="I18" s="555"/>
    </row>
    <row r="19" spans="1:9">
      <c r="A19" s="555"/>
      <c r="B19" s="555"/>
      <c r="C19" s="555">
        <v>101105</v>
      </c>
      <c r="D19" s="555" t="s">
        <v>402</v>
      </c>
      <c r="E19" s="22">
        <v>0</v>
      </c>
      <c r="F19" s="22"/>
      <c r="G19" s="22">
        <v>0</v>
      </c>
      <c r="H19" s="555"/>
      <c r="I19" s="555"/>
    </row>
    <row r="20" spans="1:9">
      <c r="A20" s="555"/>
      <c r="B20" s="555"/>
      <c r="C20" s="555">
        <v>101106</v>
      </c>
      <c r="D20" s="555" t="s">
        <v>403</v>
      </c>
      <c r="E20" s="22">
        <v>0</v>
      </c>
      <c r="F20" s="22"/>
      <c r="G20" s="22">
        <v>0</v>
      </c>
      <c r="H20" s="537"/>
      <c r="I20" s="537"/>
    </row>
    <row r="21" spans="1:9">
      <c r="A21" s="555" t="s">
        <v>391</v>
      </c>
      <c r="B21" s="555"/>
      <c r="C21" s="555"/>
      <c r="D21" s="555"/>
      <c r="E21" s="22">
        <v>3314545467.3411698</v>
      </c>
      <c r="F21" s="22">
        <v>36465584.999999993</v>
      </c>
      <c r="G21" s="22">
        <v>3351011052.3411698</v>
      </c>
      <c r="H21" s="555"/>
      <c r="I21" s="555"/>
    </row>
    <row r="22" spans="1:9">
      <c r="A22" s="555"/>
      <c r="B22" s="555"/>
      <c r="C22" s="555"/>
      <c r="D22" s="555"/>
      <c r="E22" s="555"/>
      <c r="F22" s="555"/>
      <c r="G22" s="555"/>
      <c r="H22" s="555"/>
      <c r="I22" s="555"/>
    </row>
    <row r="23" spans="1:9">
      <c r="A23" s="555"/>
      <c r="B23" s="555"/>
      <c r="C23" s="555"/>
      <c r="D23" s="555"/>
      <c r="E23" s="555"/>
      <c r="F23" s="555"/>
      <c r="G23" s="555"/>
      <c r="H23" s="555"/>
      <c r="I23" s="555"/>
    </row>
    <row r="24" spans="1:9">
      <c r="A24" s="555"/>
      <c r="B24" s="555"/>
      <c r="C24" s="555"/>
      <c r="D24" s="555"/>
      <c r="E24" s="555"/>
      <c r="F24" s="555"/>
      <c r="G24" s="555"/>
      <c r="H24" s="555"/>
      <c r="I24" s="555"/>
    </row>
    <row r="25" spans="1:9">
      <c r="A25" s="555"/>
      <c r="B25" s="555"/>
      <c r="C25" s="555"/>
      <c r="D25" s="555"/>
      <c r="E25" s="555"/>
      <c r="F25" s="555"/>
      <c r="G25" s="555"/>
      <c r="H25" s="555"/>
      <c r="I25" s="555"/>
    </row>
    <row r="26" spans="1:9">
      <c r="A26" s="555"/>
      <c r="B26" s="555"/>
      <c r="C26" s="555"/>
      <c r="D26" s="555"/>
      <c r="E26" s="555"/>
      <c r="F26" s="555"/>
      <c r="G26" s="555"/>
      <c r="H26" s="555"/>
      <c r="I26" s="555"/>
    </row>
    <row r="27" spans="1:9">
      <c r="A27" s="555"/>
      <c r="B27" s="555"/>
      <c r="C27" s="555"/>
      <c r="D27" s="555"/>
      <c r="E27" s="555"/>
      <c r="F27" s="555"/>
      <c r="G27" s="555"/>
      <c r="H27" s="555"/>
      <c r="I27" s="555"/>
    </row>
    <row r="28" spans="1:9">
      <c r="A28" s="555"/>
      <c r="B28" s="555"/>
      <c r="C28" s="555"/>
      <c r="D28" s="555"/>
      <c r="E28" s="555"/>
      <c r="F28" s="555"/>
      <c r="G28" s="555"/>
      <c r="H28" s="555"/>
      <c r="I28" s="555"/>
    </row>
    <row r="29" spans="1:9">
      <c r="A29" s="555"/>
      <c r="B29" s="555"/>
      <c r="C29" s="555"/>
      <c r="D29" s="555"/>
      <c r="E29" s="555"/>
      <c r="F29" s="555"/>
      <c r="G29" s="555"/>
      <c r="H29" s="555"/>
      <c r="I29" s="555"/>
    </row>
    <row r="30" spans="1:9" ht="12.95">
      <c r="A30" s="555"/>
      <c r="B30" s="555"/>
      <c r="C30" s="555"/>
      <c r="D30" s="23"/>
      <c r="E30" s="22"/>
      <c r="F30" s="22"/>
      <c r="G30" s="22"/>
      <c r="H30" s="555"/>
      <c r="I30" s="555"/>
    </row>
    <row r="31" spans="1:9" ht="12.95">
      <c r="A31" s="555"/>
      <c r="B31" s="555"/>
      <c r="C31" s="555"/>
      <c r="D31" s="23"/>
      <c r="E31" s="22"/>
      <c r="F31" s="22"/>
      <c r="G31" s="22"/>
      <c r="H31" s="555"/>
      <c r="I31" s="555"/>
    </row>
    <row r="32" spans="1:9">
      <c r="A32" s="22"/>
      <c r="B32" s="22"/>
      <c r="C32" s="555"/>
      <c r="D32" s="555"/>
      <c r="E32" s="22"/>
      <c r="F32" s="22"/>
      <c r="G32" s="22"/>
      <c r="H32" s="555"/>
      <c r="I32" s="555"/>
    </row>
    <row r="33" spans="3:7">
      <c r="C33" s="555"/>
      <c r="D33" s="555"/>
      <c r="E33" s="22"/>
      <c r="F33" s="22"/>
      <c r="G33" s="22"/>
    </row>
    <row r="34" spans="3:7">
      <c r="C34" s="555"/>
      <c r="D34" s="555"/>
      <c r="E34" s="22"/>
      <c r="F34" s="22"/>
      <c r="G34" s="22"/>
    </row>
    <row r="35" spans="3:7">
      <c r="C35" s="555"/>
      <c r="D35" s="555"/>
      <c r="E35" s="555"/>
      <c r="F35" s="555"/>
      <c r="G35" s="555"/>
    </row>
    <row r="36" spans="3:7">
      <c r="C36" s="555"/>
      <c r="D36" s="555"/>
      <c r="E36" s="555"/>
      <c r="F36" s="555"/>
      <c r="G36" s="555"/>
    </row>
    <row r="37" spans="3:7">
      <c r="C37" s="555"/>
      <c r="D37" s="555"/>
      <c r="E37" s="555"/>
      <c r="F37" s="555"/>
      <c r="G37" s="555"/>
    </row>
    <row r="38" spans="3:7">
      <c r="C38" s="555"/>
      <c r="D38" s="555"/>
      <c r="E38" s="555"/>
      <c r="F38" s="555"/>
      <c r="G38" s="555"/>
    </row>
    <row r="39" spans="3:7">
      <c r="C39" s="555"/>
      <c r="D39" s="555"/>
      <c r="E39" s="555"/>
      <c r="F39" s="555"/>
      <c r="G39" s="555"/>
    </row>
    <row r="40" spans="3:7">
      <c r="C40" s="555"/>
      <c r="D40" s="555"/>
      <c r="E40" s="555"/>
      <c r="F40" s="555"/>
      <c r="G40" s="555"/>
    </row>
    <row r="41" spans="3:7">
      <c r="C41" s="555"/>
      <c r="D41" s="555"/>
      <c r="E41" s="555"/>
      <c r="F41" s="555"/>
      <c r="G41" s="555"/>
    </row>
    <row r="42" spans="3:7">
      <c r="C42" s="555"/>
      <c r="D42" s="555"/>
      <c r="E42" s="555"/>
      <c r="F42" s="555"/>
      <c r="G42" s="555"/>
    </row>
    <row r="43" spans="3:7">
      <c r="C43" s="555"/>
      <c r="D43" s="555"/>
      <c r="E43" s="555"/>
      <c r="F43" s="555"/>
      <c r="G43" s="555"/>
    </row>
    <row r="44" spans="3:7">
      <c r="C44" s="555"/>
      <c r="D44" s="555"/>
      <c r="E44" s="555"/>
      <c r="F44" s="555"/>
      <c r="G44" s="555"/>
    </row>
    <row r="45" spans="3:7">
      <c r="C45" s="555"/>
      <c r="D45" s="555"/>
      <c r="E45" s="555"/>
      <c r="F45" s="555"/>
      <c r="G45" s="555"/>
    </row>
    <row r="46" spans="3:7">
      <c r="C46" s="555"/>
      <c r="D46" s="555"/>
      <c r="E46" s="555"/>
      <c r="F46" s="555"/>
      <c r="G46" s="555"/>
    </row>
    <row r="47" spans="3:7">
      <c r="C47" s="555"/>
      <c r="D47" s="555"/>
      <c r="E47" s="555"/>
      <c r="F47" s="555"/>
      <c r="G47" s="555"/>
    </row>
    <row r="48" spans="3:7">
      <c r="C48" s="555"/>
      <c r="D48" s="555"/>
      <c r="E48" s="555"/>
      <c r="F48" s="555"/>
      <c r="G48" s="555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N57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404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+'AUTO MAADC MODEL'!N4</f>
        <v>10000</v>
      </c>
      <c r="D3" s="79"/>
      <c r="E3" s="79"/>
      <c r="F3" s="79"/>
      <c r="G3" s="80"/>
      <c r="H3" s="81"/>
      <c r="I3" s="78"/>
      <c r="J3" s="82"/>
      <c r="K3" s="203"/>
      <c r="L3" s="555"/>
      <c r="M3" s="555"/>
      <c r="N3" s="555"/>
    </row>
    <row r="4" spans="1:14" s="15" customFormat="1" ht="12.75" customHeight="1">
      <c r="A4" s="1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17"/>
    </row>
    <row r="5" spans="1:14" ht="12.95">
      <c r="A5" s="555"/>
      <c r="B5" s="555"/>
      <c r="H5" s="35" t="s">
        <v>169</v>
      </c>
      <c r="I5" s="2" t="s">
        <v>170</v>
      </c>
      <c r="K5" s="35" t="s">
        <v>17</v>
      </c>
      <c r="L5" s="35" t="s">
        <v>203</v>
      </c>
      <c r="M5" s="555"/>
      <c r="N5" s="555"/>
    </row>
    <row r="6" spans="1:14" ht="12.95">
      <c r="A6" s="555"/>
      <c r="B6" s="555"/>
      <c r="E6" s="21" t="s">
        <v>167</v>
      </c>
      <c r="F6" s="21"/>
      <c r="G6" s="38" t="s">
        <v>173</v>
      </c>
      <c r="H6" s="35" t="s">
        <v>174</v>
      </c>
      <c r="I6" s="2" t="s">
        <v>176</v>
      </c>
      <c r="J6" s="4" t="s">
        <v>175</v>
      </c>
      <c r="K6" s="35" t="s">
        <v>174</v>
      </c>
      <c r="L6" s="35" t="s">
        <v>174</v>
      </c>
      <c r="M6" s="555"/>
      <c r="N6" s="555"/>
    </row>
    <row r="7" spans="1:14" ht="12.95">
      <c r="A7" s="17"/>
      <c r="B7" s="17"/>
      <c r="C7" s="21" t="s">
        <v>204</v>
      </c>
      <c r="D7" s="21"/>
      <c r="E7" s="21" t="s">
        <v>205</v>
      </c>
      <c r="F7" s="21"/>
      <c r="G7" s="38" t="s">
        <v>182</v>
      </c>
      <c r="H7" s="35" t="s">
        <v>185</v>
      </c>
      <c r="I7" s="2" t="s">
        <v>184</v>
      </c>
      <c r="J7" s="4" t="s">
        <v>181</v>
      </c>
      <c r="K7" s="35" t="s">
        <v>185</v>
      </c>
      <c r="L7" s="35" t="s">
        <v>185</v>
      </c>
      <c r="M7" s="555"/>
      <c r="N7" s="555"/>
    </row>
    <row r="8" spans="1:14" ht="12.95">
      <c r="A8" s="70"/>
      <c r="B8" s="70"/>
      <c r="C8" s="168" t="s">
        <v>2</v>
      </c>
      <c r="D8" s="168"/>
      <c r="E8" s="168" t="s">
        <v>3</v>
      </c>
      <c r="F8" s="168"/>
      <c r="G8" s="169" t="s">
        <v>4</v>
      </c>
      <c r="H8" s="168" t="s">
        <v>5</v>
      </c>
      <c r="I8" s="99" t="s">
        <v>6</v>
      </c>
      <c r="J8" s="88" t="s">
        <v>7</v>
      </c>
      <c r="K8" s="168" t="s">
        <v>8</v>
      </c>
      <c r="L8" s="168" t="s">
        <v>9</v>
      </c>
      <c r="M8" s="555"/>
      <c r="N8" s="555"/>
    </row>
    <row r="9" spans="1:14" ht="12.95">
      <c r="A9" s="11" t="s">
        <v>206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</row>
    <row r="10" spans="1:14" ht="12.95">
      <c r="A10" s="11"/>
      <c r="B10" s="555" t="s">
        <v>207</v>
      </c>
      <c r="C10" s="98"/>
      <c r="D10" s="98"/>
      <c r="E10" s="19"/>
      <c r="F10" s="19"/>
      <c r="H10" s="3"/>
      <c r="I10" s="3"/>
      <c r="K10" s="3"/>
      <c r="L10" s="3"/>
      <c r="M10" s="555"/>
      <c r="N10" s="555"/>
    </row>
    <row r="11" spans="1:14" ht="12.95">
      <c r="A11" s="11" t="s">
        <v>208</v>
      </c>
      <c r="B11" s="555"/>
      <c r="H11" s="3"/>
      <c r="I11" s="3"/>
      <c r="K11" s="3"/>
      <c r="L11" s="3"/>
      <c r="M11" s="555"/>
      <c r="N11" s="555"/>
    </row>
    <row r="12" spans="1:14">
      <c r="A12" s="17"/>
      <c r="B12" s="555" t="s">
        <v>209</v>
      </c>
      <c r="C12" s="22">
        <f>+'AUTO MAADC MODEL'!G18</f>
        <v>0</v>
      </c>
      <c r="E12" s="22">
        <f>+PRODUCTIVITY!I7</f>
        <v>6833.2327250865728</v>
      </c>
      <c r="G12" s="37">
        <f>+'WAGE RATES - PIGGYBACK FACTORS'!$D$5</f>
        <v>50.10717457546064</v>
      </c>
      <c r="H12" s="3">
        <f>+G12/E12*100</f>
        <v>0.73328652178791132</v>
      </c>
      <c r="I12" s="3">
        <f>+H12*('WAGE RATES - PIGGYBACK FACTORS'!$D$6-1)</f>
        <v>1.5342424998582738E-2</v>
      </c>
      <c r="J12" s="3">
        <f>+'WAGE RATES - PIGGYBACK FACTORS'!D22</f>
        <v>1.6888485071959758</v>
      </c>
      <c r="K12" s="3">
        <f>+H12*J12+I12</f>
        <v>1.253752272667026</v>
      </c>
      <c r="L12" s="3">
        <f>+(K12*C12/10000)</f>
        <v>0</v>
      </c>
      <c r="M12" s="555"/>
      <c r="N12" s="22"/>
    </row>
    <row r="13" spans="1:14">
      <c r="A13" s="17"/>
      <c r="B13" s="555" t="s">
        <v>210</v>
      </c>
      <c r="C13" s="22">
        <f>+'AUTO MAADC MODEL'!G25</f>
        <v>0</v>
      </c>
      <c r="E13" s="163" t="s">
        <v>211</v>
      </c>
      <c r="F13" s="163" t="s">
        <v>211</v>
      </c>
      <c r="G13" s="163" t="s">
        <v>211</v>
      </c>
      <c r="H13" s="163" t="s">
        <v>211</v>
      </c>
      <c r="I13" s="163" t="s">
        <v>211</v>
      </c>
      <c r="J13" s="163" t="s">
        <v>211</v>
      </c>
      <c r="K13" s="3">
        <f>+MISC!$E$7</f>
        <v>0.27889541043904115</v>
      </c>
      <c r="L13" s="3">
        <f>+(K13*C13/10000)</f>
        <v>0</v>
      </c>
      <c r="M13" s="555"/>
      <c r="N13" s="22"/>
    </row>
    <row r="14" spans="1:14">
      <c r="A14" s="17"/>
      <c r="B14" s="555" t="s">
        <v>212</v>
      </c>
      <c r="C14" s="22">
        <f>+'AUTO MAADC MODEL'!G32</f>
        <v>0</v>
      </c>
      <c r="E14" s="22">
        <f>+PRODUCTIVITY!I9</f>
        <v>846.86662945459375</v>
      </c>
      <c r="G14" s="37">
        <f>+'WAGE RATES - PIGGYBACK FACTORS'!$D$4</f>
        <v>54.142360316355024</v>
      </c>
      <c r="H14" s="3">
        <f>+G14/E14*100</f>
        <v>6.3932570292944773</v>
      </c>
      <c r="I14" s="3">
        <f>+H14*('WAGE RATES - PIGGYBACK FACTORS'!$D$6-1)</f>
        <v>0.13376499301998959</v>
      </c>
      <c r="J14" s="3">
        <f>+'WAGE RATES - PIGGYBACK FACTORS'!D23</f>
        <v>1.2615773174013249</v>
      </c>
      <c r="K14" s="3">
        <f>+H14*J14+I14</f>
        <v>8.1993530454944796</v>
      </c>
      <c r="L14" s="3">
        <f t="shared" ref="L14:L41" si="0">+(K14*C14/10000)</f>
        <v>0</v>
      </c>
      <c r="M14" s="555"/>
      <c r="N14" s="22"/>
    </row>
    <row r="15" spans="1:14">
      <c r="A15" s="17"/>
      <c r="B15" s="555" t="s">
        <v>213</v>
      </c>
      <c r="C15" s="22">
        <f>+'AUTO MAADC MODEL'!G39</f>
        <v>0</v>
      </c>
      <c r="E15" s="22">
        <f>+PRODUCTIVITY!I11</f>
        <v>6833.2327250865728</v>
      </c>
      <c r="G15" s="37">
        <f>+'WAGE RATES - PIGGYBACK FACTORS'!$D$5</f>
        <v>50.10717457546064</v>
      </c>
      <c r="H15" s="3">
        <f>+G15/E15*100</f>
        <v>0.73328652178791132</v>
      </c>
      <c r="I15" s="3">
        <f>+H15*('WAGE RATES - PIGGYBACK FACTORS'!$D$6-1)</f>
        <v>1.5342424998582738E-2</v>
      </c>
      <c r="J15" s="3">
        <f>+'WAGE RATES - PIGGYBACK FACTORS'!D24</f>
        <v>1.6888485071959758</v>
      </c>
      <c r="K15" s="3">
        <f>+H15*J15+I15</f>
        <v>1.253752272667026</v>
      </c>
      <c r="L15" s="3">
        <f t="shared" si="0"/>
        <v>0</v>
      </c>
      <c r="M15" s="555"/>
      <c r="N15" s="22"/>
    </row>
    <row r="16" spans="1:14">
      <c r="A16" s="17"/>
      <c r="B16" s="555" t="s">
        <v>214</v>
      </c>
      <c r="C16" s="22">
        <f>+'AUTO MAADC MODEL'!C32</f>
        <v>0</v>
      </c>
      <c r="E16" s="22">
        <f>+PRODUCTIVITY!I10</f>
        <v>1983.215429441294</v>
      </c>
      <c r="G16" s="37">
        <f>+'WAGE RATES - PIGGYBACK FACTORS'!$D$5</f>
        <v>50.10717457546064</v>
      </c>
      <c r="H16" s="3">
        <f>+G16/E16*100</f>
        <v>2.5265623608816261</v>
      </c>
      <c r="I16" s="3">
        <f>+H16*('WAGE RATES - PIGGYBACK FACTORS'!$D$6-1)</f>
        <v>5.2862820158693827E-2</v>
      </c>
      <c r="J16" s="3">
        <f>+'WAGE RATES - PIGGYBACK FACTORS'!D25</f>
        <v>3.4396834863913082</v>
      </c>
      <c r="K16" s="3">
        <f>+H16*J16+I16</f>
        <v>8.7434376502210611</v>
      </c>
      <c r="L16" s="3">
        <f t="shared" si="0"/>
        <v>0</v>
      </c>
      <c r="M16" s="555"/>
      <c r="N16" s="22"/>
    </row>
    <row r="17" spans="1:14" ht="12.95">
      <c r="A17" s="11" t="s">
        <v>215</v>
      </c>
      <c r="B17" s="555"/>
      <c r="H17" s="3"/>
      <c r="I17" s="3"/>
      <c r="K17" s="3"/>
      <c r="L17" s="3"/>
      <c r="M17" s="555"/>
      <c r="N17" s="22"/>
    </row>
    <row r="18" spans="1:14">
      <c r="A18" s="17"/>
      <c r="B18" s="555" t="s">
        <v>216</v>
      </c>
      <c r="C18" s="22">
        <f>+'AUTO MAADC MODEL'!S16</f>
        <v>10038.938924847316</v>
      </c>
      <c r="E18" s="22">
        <f>+PRODUCTIVITY!I13</f>
        <v>6833.2327250865728</v>
      </c>
      <c r="G18" s="37">
        <f>+'WAGE RATES - PIGGYBACK FACTORS'!$D$5</f>
        <v>50.10717457546064</v>
      </c>
      <c r="H18" s="3">
        <f>+G18/E18*100</f>
        <v>0.73328652178791132</v>
      </c>
      <c r="I18" s="3">
        <f>+H18*('WAGE RATES - PIGGYBACK FACTORS'!$D$6-1)</f>
        <v>1.5342424998582738E-2</v>
      </c>
      <c r="J18" s="3">
        <f>+'WAGE RATES - PIGGYBACK FACTORS'!D26</f>
        <v>1.6888485071959758</v>
      </c>
      <c r="K18" s="3">
        <f>+H18*J18+I18</f>
        <v>1.253752272667026</v>
      </c>
      <c r="L18" s="3">
        <f t="shared" si="0"/>
        <v>1.2586342492192795</v>
      </c>
      <c r="M18" s="555"/>
      <c r="N18" s="22"/>
    </row>
    <row r="19" spans="1:14">
      <c r="A19" s="17"/>
      <c r="B19" s="555" t="s">
        <v>217</v>
      </c>
      <c r="C19" s="22">
        <f>+'AUTO MAADC MODEL'!AA16</f>
        <v>274.90987384710894</v>
      </c>
      <c r="E19" s="22">
        <f>+PRODUCTIVITY!I20</f>
        <v>631.32213496808799</v>
      </c>
      <c r="G19" s="37">
        <f>+'WAGE RATES - PIGGYBACK FACTORS'!$D$5</f>
        <v>50.10717457546064</v>
      </c>
      <c r="H19" s="3">
        <f>+G19/E19*100</f>
        <v>7.9368632588802628</v>
      </c>
      <c r="I19" s="3">
        <f>+H19*('WAGE RATES - PIGGYBACK FACTORS'!$D$6-1)</f>
        <v>0.16606159482718158</v>
      </c>
      <c r="J19" s="3">
        <f>+'WAGE RATES - PIGGYBACK FACTORS'!D27</f>
        <v>1.2988119246888874</v>
      </c>
      <c r="K19" s="3">
        <f>+H19*J19+I19</f>
        <v>10.474554240085972</v>
      </c>
      <c r="L19" s="3">
        <f t="shared" si="0"/>
        <v>0.28795583847467349</v>
      </c>
      <c r="M19" s="555"/>
      <c r="N19" s="22"/>
    </row>
    <row r="20" spans="1:14" ht="12.95">
      <c r="A20" s="11" t="s">
        <v>218</v>
      </c>
      <c r="B20" s="555"/>
      <c r="H20" s="3"/>
      <c r="I20" s="3"/>
      <c r="K20" s="3"/>
      <c r="L20" s="3"/>
      <c r="M20" s="555"/>
      <c r="N20" s="22"/>
    </row>
    <row r="21" spans="1:14">
      <c r="A21" s="17"/>
      <c r="B21" s="555" t="s">
        <v>216</v>
      </c>
      <c r="C21" s="22">
        <f>+'AUTO MAADC MODEL'!S24</f>
        <v>274.71974664604801</v>
      </c>
      <c r="E21" s="22">
        <f>+PRODUCTIVITY!I14</f>
        <v>5441.4416043491601</v>
      </c>
      <c r="G21" s="37">
        <f>+'WAGE RATES - PIGGYBACK FACTORS'!$D$5</f>
        <v>50.10717457546064</v>
      </c>
      <c r="H21" s="3">
        <f>+G21/E21*100</f>
        <v>0.92084374360301269</v>
      </c>
      <c r="I21" s="3">
        <f>+H21*('WAGE RATES - PIGGYBACK FACTORS'!$D$6-1)</f>
        <v>1.9266651781893261E-2</v>
      </c>
      <c r="J21" s="3">
        <f>+'WAGE RATES - PIGGYBACK FACTORS'!D28</f>
        <v>1.6888485071959758</v>
      </c>
      <c r="K21" s="3">
        <f>+H21*J21+I21</f>
        <v>1.5744322335265952</v>
      </c>
      <c r="L21" s="3">
        <f t="shared" si="0"/>
        <v>4.3252762430579773E-2</v>
      </c>
      <c r="M21" s="555"/>
      <c r="N21" s="22"/>
    </row>
    <row r="22" spans="1:14">
      <c r="A22" s="17"/>
      <c r="B22" s="555" t="s">
        <v>217</v>
      </c>
      <c r="C22" s="22">
        <f>+'AUTO MAADC MODEL'!AA24</f>
        <v>54.793094798474087</v>
      </c>
      <c r="E22" s="22">
        <f>+PRODUCTIVITY!I21</f>
        <v>1087.9987358115229</v>
      </c>
      <c r="G22" s="37">
        <f>+'WAGE RATES - PIGGYBACK FACTORS'!$D$5</f>
        <v>50.10717457546064</v>
      </c>
      <c r="H22" s="3">
        <f>+G22/E22*100</f>
        <v>4.6054441908966375</v>
      </c>
      <c r="I22" s="3">
        <f>+H22*('WAGE RATES - PIGGYBACK FACTORS'!$D$6-1)</f>
        <v>9.6358899263154399E-2</v>
      </c>
      <c r="J22" s="3">
        <f>+'WAGE RATES - PIGGYBACK FACTORS'!D29</f>
        <v>1.2988119246888874</v>
      </c>
      <c r="K22" s="3">
        <f>+H22*J22+I22</f>
        <v>6.077964732888872</v>
      </c>
      <c r="L22" s="3">
        <f t="shared" si="0"/>
        <v>3.3303049779096219E-2</v>
      </c>
      <c r="M22" s="555"/>
      <c r="N22" s="22"/>
    </row>
    <row r="23" spans="1:14" ht="12.95">
      <c r="A23" s="11" t="s">
        <v>219</v>
      </c>
      <c r="B23" s="555"/>
      <c r="H23" s="3"/>
      <c r="I23" s="3"/>
      <c r="K23" s="3"/>
      <c r="L23" s="3"/>
      <c r="M23" s="555"/>
      <c r="N23" s="22"/>
    </row>
    <row r="24" spans="1:14">
      <c r="A24" s="17"/>
      <c r="B24" s="555" t="s">
        <v>209</v>
      </c>
      <c r="C24" s="22">
        <f>+'AUTO MAADC MODEL'!G51</f>
        <v>0</v>
      </c>
      <c r="E24" s="22">
        <f>+PRODUCTIVITY!I8</f>
        <v>5815.8678468113585</v>
      </c>
      <c r="G24" s="37">
        <f>+'WAGE RATES - PIGGYBACK FACTORS'!$D$5</f>
        <v>50.10717457546064</v>
      </c>
      <c r="H24" s="3">
        <f>+G24/E24*100</f>
        <v>0.86155971723003799</v>
      </c>
      <c r="I24" s="3">
        <f>+H24*('WAGE RATES - PIGGYBACK FACTORS'!$D$6-1)</f>
        <v>1.8026262519011873E-2</v>
      </c>
      <c r="J24" s="3">
        <f>+'WAGE RATES - PIGGYBACK FACTORS'!D30</f>
        <v>1.6888485071959758</v>
      </c>
      <c r="K24" s="3">
        <f>+H24*J24+I24</f>
        <v>1.4730701048231487</v>
      </c>
      <c r="L24" s="3">
        <f t="shared" si="0"/>
        <v>0</v>
      </c>
      <c r="M24" s="555"/>
      <c r="N24" s="22"/>
    </row>
    <row r="25" spans="1:14">
      <c r="A25" s="17"/>
      <c r="B25" s="555" t="s">
        <v>210</v>
      </c>
      <c r="C25" s="22">
        <f>+'AUTO MAADC MODEL'!G58</f>
        <v>0</v>
      </c>
      <c r="E25" s="163" t="s">
        <v>211</v>
      </c>
      <c r="F25" s="163" t="s">
        <v>211</v>
      </c>
      <c r="G25" s="163" t="s">
        <v>211</v>
      </c>
      <c r="H25" s="163" t="s">
        <v>211</v>
      </c>
      <c r="I25" s="163" t="s">
        <v>211</v>
      </c>
      <c r="J25" s="163" t="s">
        <v>211</v>
      </c>
      <c r="K25" s="3">
        <f>+MISC!$E$7</f>
        <v>0.27889541043904115</v>
      </c>
      <c r="L25" s="3">
        <f>+(K25*C25/10000)</f>
        <v>0</v>
      </c>
      <c r="M25" s="555"/>
      <c r="N25" s="22"/>
    </row>
    <row r="26" spans="1:14">
      <c r="A26" s="17"/>
      <c r="B26" s="555" t="s">
        <v>212</v>
      </c>
      <c r="C26" s="22">
        <f>+'AUTO MAADC MODEL'!G65</f>
        <v>0</v>
      </c>
      <c r="E26" s="22">
        <f>+PRODUCTIVITY!I9</f>
        <v>846.86662945459375</v>
      </c>
      <c r="G26" s="37">
        <f>+'WAGE RATES - PIGGYBACK FACTORS'!$D$4</f>
        <v>54.142360316355024</v>
      </c>
      <c r="H26" s="3">
        <f>+G26/E26*100</f>
        <v>6.3932570292944773</v>
      </c>
      <c r="I26" s="3">
        <f>+H26*('WAGE RATES - PIGGYBACK FACTORS'!$D$6-1)</f>
        <v>0.13376499301998959</v>
      </c>
      <c r="J26" s="3">
        <f>+'WAGE RATES - PIGGYBACK FACTORS'!D31</f>
        <v>1.2615773174013249</v>
      </c>
      <c r="K26" s="3">
        <f>+H26*J26+I26</f>
        <v>8.1993530454944796</v>
      </c>
      <c r="L26" s="3">
        <f t="shared" si="0"/>
        <v>0</v>
      </c>
      <c r="M26" s="555"/>
      <c r="N26" s="22"/>
    </row>
    <row r="27" spans="1:14">
      <c r="A27" s="17"/>
      <c r="B27" s="555" t="s">
        <v>213</v>
      </c>
      <c r="C27" s="22">
        <f>+'AUTO MAADC MODEL'!G72</f>
        <v>0</v>
      </c>
      <c r="E27" s="22">
        <f>+PRODUCTIVITY!I12</f>
        <v>5815.8678468113585</v>
      </c>
      <c r="G27" s="37">
        <f>+'WAGE RATES - PIGGYBACK FACTORS'!$D$5</f>
        <v>50.10717457546064</v>
      </c>
      <c r="H27" s="3">
        <f>+G27/E27*100</f>
        <v>0.86155971723003799</v>
      </c>
      <c r="I27" s="3">
        <f>+H27*('WAGE RATES - PIGGYBACK FACTORS'!$D$6-1)</f>
        <v>1.8026262519011873E-2</v>
      </c>
      <c r="J27" s="3">
        <f>+'WAGE RATES - PIGGYBACK FACTORS'!D32</f>
        <v>1.6888485071959758</v>
      </c>
      <c r="K27" s="3">
        <f>+H27*J27+I27</f>
        <v>1.4730701048231487</v>
      </c>
      <c r="L27" s="3">
        <f t="shared" si="0"/>
        <v>0</v>
      </c>
      <c r="M27" s="555"/>
      <c r="N27" s="22"/>
    </row>
    <row r="28" spans="1:14">
      <c r="A28" s="17"/>
      <c r="B28" s="555" t="s">
        <v>214</v>
      </c>
      <c r="C28" s="22">
        <f>+'AUTO MAADC MODEL'!C65</f>
        <v>0</v>
      </c>
      <c r="E28" s="22">
        <f>+PRODUCTIVITY!I10</f>
        <v>1983.215429441294</v>
      </c>
      <c r="G28" s="37">
        <f>+'WAGE RATES - PIGGYBACK FACTORS'!$D$5</f>
        <v>50.10717457546064</v>
      </c>
      <c r="H28" s="3">
        <f>+G28/E28*100</f>
        <v>2.5265623608816261</v>
      </c>
      <c r="I28" s="3">
        <f>+H28*('WAGE RATES - PIGGYBACK FACTORS'!$D$6-1)</f>
        <v>5.2862820158693827E-2</v>
      </c>
      <c r="J28" s="3">
        <f>+'WAGE RATES - PIGGYBACK FACTORS'!D33</f>
        <v>3.4396834863913082</v>
      </c>
      <c r="K28" s="3">
        <f>+H28*J28+I28</f>
        <v>8.7434376502210611</v>
      </c>
      <c r="L28" s="3">
        <f t="shared" si="0"/>
        <v>0</v>
      </c>
      <c r="M28" s="555"/>
      <c r="N28" s="22"/>
    </row>
    <row r="29" spans="1:14" ht="12.95">
      <c r="A29" s="11" t="s">
        <v>220</v>
      </c>
      <c r="B29" s="555"/>
      <c r="H29" s="3"/>
      <c r="I29" s="3"/>
      <c r="K29" s="3"/>
      <c r="L29" s="3"/>
      <c r="M29" s="555"/>
      <c r="N29" s="22"/>
    </row>
    <row r="30" spans="1:14">
      <c r="A30" s="17"/>
      <c r="B30" s="555" t="s">
        <v>58</v>
      </c>
      <c r="C30" s="22">
        <f>+'AUTO MAADC MODEL'!S32</f>
        <v>5103.8053973465576</v>
      </c>
      <c r="E30" s="22">
        <f>+PRODUCTIVITY!I15</f>
        <v>5271.1401686095996</v>
      </c>
      <c r="G30" s="37">
        <f>+'WAGE RATES - PIGGYBACK FACTORS'!$D$5</f>
        <v>50.10717457546064</v>
      </c>
      <c r="H30" s="3">
        <f>+G30/E30*100</f>
        <v>0.95059461468803463</v>
      </c>
      <c r="I30" s="3">
        <f>+H30*('WAGE RATES - PIGGYBACK FACTORS'!$D$6-1)</f>
        <v>1.9889124028010002E-2</v>
      </c>
      <c r="J30" s="3">
        <f>+'WAGE RATES - PIGGYBACK FACTORS'!D34</f>
        <v>1.6888485071959758</v>
      </c>
      <c r="K30" s="3">
        <f>+H30*J30+I30</f>
        <v>1.6252994199924311</v>
      </c>
      <c r="L30" s="3">
        <f t="shared" si="0"/>
        <v>0.82952119520615997</v>
      </c>
      <c r="M30" s="555"/>
      <c r="N30" s="22"/>
    </row>
    <row r="31" spans="1:14">
      <c r="A31" s="17"/>
      <c r="B31" s="555" t="s">
        <v>221</v>
      </c>
      <c r="C31" s="22">
        <f>+'AUTO MAADC MODEL'!AA32</f>
        <v>317.77601576175016</v>
      </c>
      <c r="E31" s="22">
        <f>+PRODUCTIVITY!I22</f>
        <v>1213.9420566221461</v>
      </c>
      <c r="G31" s="37">
        <f>+'WAGE RATES - PIGGYBACK FACTORS'!$D$5</f>
        <v>50.10717457546064</v>
      </c>
      <c r="H31" s="3">
        <f>+G31/E31*100</f>
        <v>4.1276413731711656</v>
      </c>
      <c r="I31" s="3">
        <f>+H31*('WAGE RATES - PIGGYBACK FACTORS'!$D$6-1)</f>
        <v>8.6361914895855749E-2</v>
      </c>
      <c r="J31" s="3">
        <f>+'WAGE RATES - PIGGYBACK FACTORS'!D35</f>
        <v>1.2988119246888874</v>
      </c>
      <c r="K31" s="3">
        <f>+H31*J31+I31</f>
        <v>5.4473917512097803</v>
      </c>
      <c r="L31" s="3">
        <f t="shared" si="0"/>
        <v>0.1731050446992867</v>
      </c>
      <c r="M31" s="555"/>
      <c r="N31" s="22"/>
    </row>
    <row r="32" spans="1:14" ht="12.95">
      <c r="A32" s="11" t="s">
        <v>222</v>
      </c>
      <c r="B32" s="555"/>
      <c r="H32" s="3"/>
      <c r="I32" s="3"/>
      <c r="K32" s="3"/>
      <c r="L32" s="3"/>
      <c r="M32" s="555"/>
      <c r="N32" s="22"/>
    </row>
    <row r="33" spans="1:14">
      <c r="A33" s="17"/>
      <c r="B33" s="555" t="s">
        <v>216</v>
      </c>
      <c r="C33" s="22">
        <f>+'AUTO MAADC MODEL'!S40</f>
        <v>5048.8472511129175</v>
      </c>
      <c r="E33" s="22">
        <f>+PRODUCTIVITY!I16</f>
        <v>10175.776688046904</v>
      </c>
      <c r="G33" s="37">
        <f>+'WAGE RATES - PIGGYBACK FACTORS'!$D$5</f>
        <v>50.10717457546064</v>
      </c>
      <c r="H33" s="3">
        <f>+G33/E33*100</f>
        <v>0.49241621658540935</v>
      </c>
      <c r="I33" s="3">
        <f>+H33*('WAGE RATES - PIGGYBACK FACTORS'!$D$6-1)</f>
        <v>1.030273794290823E-2</v>
      </c>
      <c r="J33" s="3">
        <f>+'WAGE RATES - PIGGYBACK FACTORS'!D36</f>
        <v>1.6888485071959758</v>
      </c>
      <c r="K33" s="3">
        <f>+H33*J33+I33</f>
        <v>0.84191913024226717</v>
      </c>
      <c r="L33" s="3">
        <f t="shared" si="0"/>
        <v>0.42507210863830486</v>
      </c>
      <c r="M33" s="555"/>
      <c r="N33" s="22"/>
    </row>
    <row r="34" spans="1:14">
      <c r="A34" s="17"/>
      <c r="B34" s="555" t="s">
        <v>217</v>
      </c>
      <c r="C34" s="22">
        <f>+'AUTO MAADC MODEL'!AA40</f>
        <v>638.7927941372111</v>
      </c>
      <c r="E34" s="22">
        <f>+PRODUCTIVITY!I23</f>
        <v>1107.0494375224957</v>
      </c>
      <c r="G34" s="37">
        <f>+'WAGE RATES - PIGGYBACK FACTORS'!$D$5</f>
        <v>50.10717457546064</v>
      </c>
      <c r="H34" s="3">
        <f>+G34/E34*100</f>
        <v>4.5261912320372275</v>
      </c>
      <c r="I34" s="3">
        <f>+H34*('WAGE RATES - PIGGYBACK FACTORS'!$D$6-1)</f>
        <v>9.4700703535989583E-2</v>
      </c>
      <c r="J34" s="3">
        <f>+'WAGE RATES - PIGGYBACK FACTORS'!D37</f>
        <v>1.2988119246888874</v>
      </c>
      <c r="K34" s="3">
        <f>+H34*J34+I34</f>
        <v>5.9733718491282275</v>
      </c>
      <c r="L34" s="3">
        <f t="shared" si="0"/>
        <v>0.38157468939251799</v>
      </c>
      <c r="M34" s="555"/>
      <c r="N34" s="22"/>
    </row>
    <row r="35" spans="1:14" ht="12.95">
      <c r="A35" s="11" t="s">
        <v>223</v>
      </c>
      <c r="B35" s="555"/>
      <c r="H35" s="3"/>
      <c r="I35" s="3"/>
      <c r="K35" s="3"/>
      <c r="L35" s="3"/>
      <c r="M35" s="555"/>
      <c r="N35" s="22"/>
    </row>
    <row r="36" spans="1:14">
      <c r="A36" s="555"/>
      <c r="B36" s="555" t="s">
        <v>224</v>
      </c>
      <c r="C36" s="22">
        <f>+'AUTO MAADC MODEL'!W49</f>
        <v>322.91653439945986</v>
      </c>
      <c r="E36" s="22">
        <f>+PRODUCTIVITY!I17</f>
        <v>13094.29928777944</v>
      </c>
      <c r="G36" s="37">
        <f>+'WAGE RATES - PIGGYBACK FACTORS'!$D$5</f>
        <v>50.10717457546064</v>
      </c>
      <c r="H36" s="3">
        <f t="shared" ref="H36:H41" si="1">+G36/E36*100</f>
        <v>0.38266403932148035</v>
      </c>
      <c r="I36" s="3">
        <f>+H36*('WAGE RATES - PIGGYBACK FACTORS'!$D$6-1)</f>
        <v>8.0064124302050062E-3</v>
      </c>
      <c r="J36" s="3">
        <f>+'WAGE RATES - PIGGYBACK FACTORS'!D38</f>
        <v>1.6888485071959758</v>
      </c>
      <c r="K36" s="3">
        <f t="shared" ref="K36:K41" si="2">+H36*J36+I36</f>
        <v>0.65426800399586937</v>
      </c>
      <c r="L36" s="3">
        <f t="shared" si="0"/>
        <v>2.112739564187981E-2</v>
      </c>
      <c r="M36" s="555"/>
      <c r="N36" s="22"/>
    </row>
    <row r="37" spans="1:14">
      <c r="A37" s="555"/>
      <c r="B37" s="555" t="s">
        <v>225</v>
      </c>
      <c r="C37" s="22">
        <f>+'AUTO MAADC MODEL'!W56</f>
        <v>0</v>
      </c>
      <c r="E37" s="22">
        <f>+PRODUCTIVITY!I19</f>
        <v>0</v>
      </c>
      <c r="G37" s="37">
        <f>+'WAGE RATES - PIGGYBACK FACTORS'!$D$5</f>
        <v>50.10717457546064</v>
      </c>
      <c r="H37" s="3">
        <v>0</v>
      </c>
      <c r="I37" s="3">
        <f>+H37*('WAGE RATES - PIGGYBACK FACTORS'!$D$6-1)</f>
        <v>0</v>
      </c>
      <c r="J37" s="3">
        <f>+'WAGE RATES - PIGGYBACK FACTORS'!D39</f>
        <v>0</v>
      </c>
      <c r="K37" s="3">
        <f t="shared" si="2"/>
        <v>0</v>
      </c>
      <c r="L37" s="3">
        <f t="shared" si="0"/>
        <v>0</v>
      </c>
      <c r="M37" s="555"/>
      <c r="N37" s="22"/>
    </row>
    <row r="38" spans="1:14">
      <c r="A38" s="555"/>
      <c r="B38" s="555" t="s">
        <v>226</v>
      </c>
      <c r="C38" s="22">
        <f>+'AUTO MAADC MODEL'!W63</f>
        <v>17591.114069212865</v>
      </c>
      <c r="E38" s="22">
        <f>+PRODUCTIVITY!I18</f>
        <v>6910.0702052322977</v>
      </c>
      <c r="G38" s="37">
        <f>+'WAGE RATES - PIGGYBACK FACTORS'!$D$5</f>
        <v>50.10717457546064</v>
      </c>
      <c r="H38" s="3">
        <f t="shared" si="1"/>
        <v>0.72513264101889352</v>
      </c>
      <c r="I38" s="3">
        <f>+H38*('WAGE RATES - PIGGYBACK FACTORS'!$D$6-1)</f>
        <v>1.5171822784538191E-2</v>
      </c>
      <c r="J38" s="3">
        <f>+'WAGE RATES - PIGGYBACK FACTORS'!D40</f>
        <v>1.6888485071959758</v>
      </c>
      <c r="K38" s="3">
        <f t="shared" si="2"/>
        <v>1.2398110010883718</v>
      </c>
      <c r="L38" s="3">
        <f t="shared" si="0"/>
        <v>2.1809656744410546</v>
      </c>
      <c r="M38" s="555"/>
      <c r="N38" s="22"/>
    </row>
    <row r="39" spans="1:14">
      <c r="A39" s="555"/>
      <c r="B39" s="555" t="s">
        <v>227</v>
      </c>
      <c r="C39" s="22">
        <f>+'AUTO MAADC MODEL'!AA74*(1-MISC!E9)</f>
        <v>1049.8887289840759</v>
      </c>
      <c r="E39" s="22">
        <f>+PRODUCTIVITY!I24</f>
        <v>810.31043431031583</v>
      </c>
      <c r="G39" s="37">
        <f>+'WAGE RATES - PIGGYBACK FACTORS'!$D$5</f>
        <v>50.10717457546064</v>
      </c>
      <c r="H39" s="3">
        <f t="shared" si="1"/>
        <v>6.1837010180065928</v>
      </c>
      <c r="I39" s="3">
        <f>+H39*('WAGE RATES - PIGGYBACK FACTORS'!$D$6-1)</f>
        <v>0.12938048943147765</v>
      </c>
      <c r="J39" s="3">
        <f>+'WAGE RATES - PIGGYBACK FACTORS'!D42</f>
        <v>1.2988119246888874</v>
      </c>
      <c r="K39" s="3">
        <f t="shared" si="2"/>
        <v>8.1608451103292534</v>
      </c>
      <c r="L39" s="3">
        <f t="shared" si="0"/>
        <v>0.85679793003194904</v>
      </c>
      <c r="M39" s="555"/>
      <c r="N39" s="22"/>
    </row>
    <row r="40" spans="1:14">
      <c r="A40" s="555"/>
      <c r="B40" s="555" t="s">
        <v>228</v>
      </c>
      <c r="C40" s="22">
        <f>+MISC!E10*('AUTO MAADC MODEL'!AE64+'AUTO MAADC MODEL'!AE57)</f>
        <v>396.2759918984919</v>
      </c>
      <c r="E40" s="22">
        <f>+PRODUCTIVITY!I25</f>
        <v>1955.193482688391</v>
      </c>
      <c r="G40" s="37">
        <f>+'WAGE RATES - PIGGYBACK FACTORS'!$D$5</f>
        <v>50.10717457546064</v>
      </c>
      <c r="H40" s="3">
        <f t="shared" si="1"/>
        <v>2.5627731996407475</v>
      </c>
      <c r="I40" s="3">
        <f>+H40*('WAGE RATES - PIGGYBACK FACTORS'!$D$6-1)</f>
        <v>5.3620453172925443E-2</v>
      </c>
      <c r="J40" s="3">
        <f>+'WAGE RATES - PIGGYBACK FACTORS'!D43</f>
        <v>1.2988119246888874</v>
      </c>
      <c r="K40" s="3">
        <f t="shared" si="2"/>
        <v>3.3821808451394229</v>
      </c>
      <c r="L40" s="3">
        <f t="shared" si="0"/>
        <v>0.13402770691877045</v>
      </c>
      <c r="M40" s="555"/>
      <c r="N40" s="22"/>
    </row>
    <row r="41" spans="1:14">
      <c r="A41" s="552"/>
      <c r="B41" s="552" t="s">
        <v>229</v>
      </c>
      <c r="C41" s="71">
        <f>+MISC!E10*('AUTO MAADC MODEL'!AE75+'AUTO MAADC MODEL'!AE50)</f>
        <v>62.069012699423425</v>
      </c>
      <c r="D41" s="71"/>
      <c r="E41" s="71">
        <f>+PRODUCTIVITY!I26</f>
        <v>977.59674134419549</v>
      </c>
      <c r="F41" s="71"/>
      <c r="G41" s="488">
        <f>+'WAGE RATES - PIGGYBACK FACTORS'!$D$5</f>
        <v>50.10717457546064</v>
      </c>
      <c r="H41" s="489">
        <f t="shared" si="1"/>
        <v>5.1255463992814949</v>
      </c>
      <c r="I41" s="489">
        <f>+H41*('WAGE RATES - PIGGYBACK FACTORS'!$D$6-1)</f>
        <v>0.10724090634585089</v>
      </c>
      <c r="J41" s="489">
        <f>+'WAGE RATES - PIGGYBACK FACTORS'!D44</f>
        <v>1.2988119246888874</v>
      </c>
      <c r="K41" s="489">
        <f t="shared" si="2"/>
        <v>6.7643616902788457</v>
      </c>
      <c r="L41" s="489">
        <f t="shared" si="0"/>
        <v>4.1985725165741096E-2</v>
      </c>
      <c r="M41" s="555"/>
      <c r="N41" s="22"/>
    </row>
    <row r="42" spans="1:14" ht="9" customHeight="1" thickBot="1">
      <c r="A42" s="555"/>
      <c r="B42" s="555"/>
      <c r="H42" s="3"/>
      <c r="I42" s="3"/>
      <c r="K42" s="3"/>
      <c r="L42" s="4"/>
      <c r="M42" s="555"/>
      <c r="N42" s="555"/>
    </row>
    <row r="43" spans="1:14" ht="13.5" thickBot="1">
      <c r="A43" s="555"/>
      <c r="B43" s="555"/>
      <c r="H43" s="3"/>
      <c r="J43" s="490" t="s">
        <v>230</v>
      </c>
      <c r="K43" s="491"/>
      <c r="L43" s="492">
        <f>SUM(L10:L41)</f>
        <v>6.6673233700392931</v>
      </c>
      <c r="M43" s="555"/>
      <c r="N43" s="555"/>
    </row>
    <row r="44" spans="1:14" ht="9" customHeight="1" thickBot="1">
      <c r="A44" s="555"/>
      <c r="B44" s="555"/>
      <c r="H44" s="3"/>
      <c r="J44" s="34"/>
      <c r="K44" s="1"/>
      <c r="L44" s="2"/>
      <c r="M44" s="555"/>
      <c r="N44" s="555"/>
    </row>
    <row r="45" spans="1:14" ht="13.5" thickBot="1">
      <c r="A45" s="555"/>
      <c r="B45" s="555"/>
      <c r="J45" s="493" t="s">
        <v>231</v>
      </c>
      <c r="K45" s="494"/>
      <c r="L45" s="495">
        <f>+('AUTO MAADC MODEL'!AE57+'AUTO MAADC MODEL'!AE64)/C3</f>
        <v>0.86458014797418015</v>
      </c>
      <c r="M45" s="11"/>
      <c r="N45" s="555"/>
    </row>
    <row r="46" spans="1:14" ht="12.95">
      <c r="A46" s="9" t="s">
        <v>65</v>
      </c>
      <c r="B46" s="555"/>
      <c r="M46" s="555"/>
      <c r="N46" s="555"/>
    </row>
    <row r="47" spans="1:14" s="11" customFormat="1" ht="12.95">
      <c r="A47" s="216" t="s">
        <v>405</v>
      </c>
      <c r="B47" s="216"/>
      <c r="C47" s="218"/>
      <c r="D47" s="218"/>
      <c r="E47" s="218"/>
      <c r="F47" s="218"/>
      <c r="G47" s="219"/>
      <c r="H47" s="35"/>
      <c r="I47" s="2"/>
      <c r="J47" s="4"/>
      <c r="K47" s="35"/>
      <c r="L47" s="35"/>
    </row>
    <row r="48" spans="1:14" s="11" customFormat="1" ht="12.95">
      <c r="A48" s="216" t="s">
        <v>233</v>
      </c>
      <c r="B48" s="216"/>
      <c r="C48" s="218"/>
      <c r="D48" s="218"/>
      <c r="E48" s="218"/>
      <c r="F48" s="218"/>
      <c r="G48" s="219"/>
      <c r="H48" s="35"/>
      <c r="I48" s="2"/>
      <c r="J48" s="4"/>
      <c r="K48" s="35"/>
      <c r="L48" s="35"/>
    </row>
    <row r="49" spans="1:12" s="11" customFormat="1" ht="12.95">
      <c r="A49" s="216" t="s">
        <v>234</v>
      </c>
      <c r="B49" s="216"/>
      <c r="C49" s="218"/>
      <c r="D49" s="218"/>
      <c r="E49" s="218"/>
      <c r="F49" s="218"/>
      <c r="G49" s="219"/>
      <c r="H49" s="35"/>
      <c r="I49" s="2"/>
      <c r="J49" s="40"/>
      <c r="K49" s="35"/>
      <c r="L49" s="35"/>
    </row>
    <row r="50" spans="1:12" s="11" customFormat="1" ht="12.95">
      <c r="A50" s="11" t="s">
        <v>235</v>
      </c>
      <c r="C50" s="23"/>
      <c r="D50" s="23"/>
      <c r="E50" s="23"/>
      <c r="F50" s="23"/>
      <c r="G50" s="38"/>
      <c r="H50" s="35"/>
      <c r="I50" s="2"/>
      <c r="J50" s="40"/>
      <c r="K50" s="35"/>
      <c r="L50" s="35"/>
    </row>
    <row r="51" spans="1:12" s="11" customFormat="1" ht="12.95">
      <c r="A51" s="216" t="s">
        <v>236</v>
      </c>
      <c r="B51" s="216"/>
      <c r="C51" s="218"/>
      <c r="D51" s="218"/>
      <c r="E51" s="218"/>
      <c r="F51" s="218"/>
      <c r="G51" s="219"/>
      <c r="H51" s="35"/>
      <c r="I51" s="2"/>
      <c r="J51" s="40"/>
      <c r="K51" s="35"/>
      <c r="L51" s="35"/>
    </row>
    <row r="52" spans="1:12" s="11" customFormat="1" ht="12.95">
      <c r="A52" s="216" t="s">
        <v>237</v>
      </c>
      <c r="B52" s="216"/>
      <c r="C52" s="218"/>
      <c r="D52" s="218"/>
      <c r="E52" s="218"/>
      <c r="F52" s="218"/>
      <c r="G52" s="219"/>
      <c r="H52" s="39"/>
      <c r="I52" s="2"/>
      <c r="J52" s="4"/>
      <c r="K52" s="35"/>
      <c r="L52" s="35"/>
    </row>
    <row r="53" spans="1:12" s="11" customFormat="1" ht="12.95">
      <c r="A53" s="220" t="s">
        <v>238</v>
      </c>
      <c r="C53" s="23"/>
      <c r="D53" s="23"/>
      <c r="E53" s="23"/>
      <c r="F53" s="23"/>
      <c r="G53" s="38"/>
      <c r="H53" s="39"/>
      <c r="I53" s="2"/>
      <c r="J53" s="4"/>
      <c r="K53" s="35"/>
      <c r="L53" s="35"/>
    </row>
    <row r="54" spans="1:12" s="11" customFormat="1" ht="12.95">
      <c r="A54" s="40" t="s">
        <v>239</v>
      </c>
      <c r="C54" s="23"/>
      <c r="D54" s="23"/>
      <c r="E54" s="23"/>
      <c r="F54" s="23"/>
      <c r="G54" s="38"/>
      <c r="H54" s="39"/>
      <c r="I54" s="2"/>
      <c r="J54" s="4"/>
      <c r="K54" s="35"/>
      <c r="L54" s="35"/>
    </row>
    <row r="55" spans="1:12" s="11" customFormat="1" ht="7.7" customHeight="1">
      <c r="C55" s="23"/>
      <c r="D55" s="23"/>
      <c r="E55" s="23"/>
      <c r="F55" s="23"/>
      <c r="G55" s="38"/>
      <c r="H55" s="35"/>
      <c r="I55" s="2"/>
      <c r="J55" s="40"/>
      <c r="K55" s="35"/>
      <c r="L55" s="35"/>
    </row>
    <row r="56" spans="1:12" s="11" customFormat="1" ht="12.95">
      <c r="A56" s="40" t="s">
        <v>240</v>
      </c>
      <c r="C56" s="23"/>
      <c r="D56" s="23"/>
      <c r="E56" s="23"/>
      <c r="F56" s="23"/>
      <c r="G56" s="38"/>
      <c r="H56" s="35"/>
      <c r="I56" s="2"/>
      <c r="J56" s="4"/>
      <c r="K56" s="35"/>
      <c r="L56" s="35"/>
    </row>
    <row r="57" spans="1:12" ht="12.95">
      <c r="A57" s="40" t="s">
        <v>406</v>
      </c>
      <c r="B57" s="555"/>
    </row>
  </sheetData>
  <phoneticPr fontId="11" type="noConversion"/>
  <printOptions horizontalCentered="1"/>
  <pageMargins left="0.75" right="0.75" top="1" bottom="1" header="0.5" footer="0.5"/>
  <pageSetup scale="79" firstPageNumber="7" orientation="portrait" useFirstPageNumber="1" horizontalDpi="4294967292" r:id="rId1"/>
  <headerFooter alignWithMargins="0">
    <oddHeader>&amp;RPage 7</oddHeader>
  </headerFooter>
  <ignoredErrors>
    <ignoredError sqref="K13 K25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AI100"/>
  <sheetViews>
    <sheetView zoomScaleNormal="100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71093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1.425781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404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10000</v>
      </c>
      <c r="F9" s="560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274.90987384710894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47.859411262838236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10038.938924847316</v>
      </c>
      <c r="T16" s="125">
        <f>+E9+N15+N41</f>
        <v>10000</v>
      </c>
      <c r="U16" s="20"/>
      <c r="V16" s="42"/>
      <c r="W16" s="42">
        <f>+V17*DENSITY!D9</f>
        <v>269.11986433964597</v>
      </c>
      <c r="X16" s="44" t="s">
        <v>256</v>
      </c>
      <c r="Y16" s="42"/>
      <c r="Z16" s="42"/>
      <c r="AA16" s="124">
        <f>+AB16</f>
        <v>274.90987384710894</v>
      </c>
      <c r="AB16" s="125">
        <f>+E11+N31+N39+V14</f>
        <v>274.90987384710894</v>
      </c>
      <c r="AC16" s="42"/>
      <c r="AD16" s="42">
        <f>+AB16*DENSITY!E14</f>
        <v>48.980716645242005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9725.0901261528907</v>
      </c>
      <c r="W17" s="42">
        <f>+V17*DENSITY!E9</f>
        <v>4947.0210890595263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178.06974593902871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4508.9491727537179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6.9336835356358471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274.71974664604801</v>
      </c>
      <c r="T24" s="125">
        <f>+E10+N16+N42+W16</f>
        <v>269.11986433964597</v>
      </c>
      <c r="U24" s="20"/>
      <c r="V24" s="42"/>
      <c r="W24" s="42">
        <f>+V25*DENSITY!E10</f>
        <v>143.07739958099953</v>
      </c>
      <c r="X24" s="44" t="s">
        <v>251</v>
      </c>
      <c r="Y24" s="42"/>
      <c r="Z24" s="42"/>
      <c r="AA24" s="124">
        <f>+AB24</f>
        <v>54.793094798474087</v>
      </c>
      <c r="AB24" s="125">
        <f>+E12+V22+AD15</f>
        <v>54.793094798474087</v>
      </c>
      <c r="AC24" s="42"/>
      <c r="AD24" s="42">
        <f>+AB24*DENSITY!E15</f>
        <v>44.354985440539892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262.18618080401012</v>
      </c>
      <c r="W25" s="42">
        <f>+V25*DENSITY!F10</f>
        <v>119.10878122301057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10.438109357934195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224.44031367596827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5103.8053973465576</v>
      </c>
      <c r="T32" s="140">
        <f>+K8+N17+N43+N48+N75+W17+W24</f>
        <v>5090.0984886405258</v>
      </c>
      <c r="U32" s="42"/>
      <c r="X32" s="555"/>
      <c r="AA32" s="125">
        <f>+AB32</f>
        <v>317.77601576175016</v>
      </c>
      <c r="AB32" s="140">
        <f>+Q7+N64+N72+V30+AD16+AD24</f>
        <v>317.77601576175016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4865.6581749645575</v>
      </c>
      <c r="W33" s="42">
        <f>+V33*DENSITY!$F$13</f>
        <v>420.78929713618868</v>
      </c>
      <c r="X33" s="44" t="s">
        <v>254</v>
      </c>
      <c r="AA33" s="146"/>
      <c r="AB33" s="145"/>
      <c r="AC33" s="42"/>
      <c r="AD33" s="42">
        <f>+AB32*DENSITY!F16</f>
        <v>139.16835078665463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4444.8688778283704</v>
      </c>
      <c r="X34" s="44" t="s">
        <v>257</v>
      </c>
      <c r="AA34" s="555"/>
      <c r="AB34" s="555"/>
      <c r="AC34" s="42"/>
      <c r="AD34" s="42">
        <f>+AB32*DENSITY!G16</f>
        <v>178.60766497509553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311.1165880535936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5048.8472511129175</v>
      </c>
      <c r="T40" s="140">
        <f>+K9+N18+N44+N49+N76+W18+W25+W33</f>
        <v>5048.8472511129175</v>
      </c>
      <c r="U40" s="42"/>
      <c r="V40" s="42"/>
      <c r="W40" s="46"/>
      <c r="X40" s="42"/>
      <c r="AA40" s="125">
        <f>+AB40</f>
        <v>638.7927941372111</v>
      </c>
      <c r="AB40" s="140">
        <f>+Q8+V38+AD33+AD25+AD17</f>
        <v>638.7927941372111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4737.7306630593239</v>
      </c>
      <c r="W41" s="44" t="s">
        <v>257</v>
      </c>
      <c r="X41" s="42"/>
      <c r="AA41" s="146"/>
      <c r="AB41" s="145"/>
      <c r="AC41" s="555"/>
      <c r="AD41" s="42">
        <f>+AB40</f>
        <v>638.7927941372111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18.606743125336902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322.91653439945986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322.91653439945986</v>
      </c>
      <c r="X49" s="140">
        <f>+V48</f>
        <v>322.91653439945986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304.30979127412297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9182.5995408876952</v>
      </c>
      <c r="T56" s="140">
        <f>+K10+N19+N45+N50+N77+W19+W26+W34+V41</f>
        <v>9182.5995408876952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213.88152674643243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8859.6830064882342</v>
      </c>
      <c r="W63" s="125">
        <f>+X63+X63*ACCEPT!C20</f>
        <v>17591.114069212865</v>
      </c>
      <c r="X63" s="140">
        <f>+V63</f>
        <v>8859.6830064882342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8645.8014797418018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1049.8887289840759</v>
      </c>
      <c r="AB74" s="140">
        <f>+Q9+AD41+AD34+AD26+AD18+Z47+Z54+Z61+Z67</f>
        <v>1049.8887289840759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1049.8887289840759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2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</row>
    <row r="82" spans="7:32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</row>
    <row r="83" spans="7:32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</row>
    <row r="84" spans="7:32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72"/>
      <c r="AA84" s="555"/>
      <c r="AD84" s="555"/>
    </row>
    <row r="85" spans="7:32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72"/>
      <c r="AA85" s="555"/>
      <c r="AD85" s="555"/>
    </row>
    <row r="86" spans="7:32">
      <c r="J86" s="555"/>
      <c r="K86" s="555"/>
      <c r="L86" s="555"/>
      <c r="M86" s="20"/>
      <c r="N86" s="20"/>
      <c r="O86" s="20"/>
      <c r="Q86" s="555"/>
      <c r="R86" s="555"/>
      <c r="S86" s="172"/>
      <c r="T86" s="172"/>
      <c r="U86" s="172"/>
      <c r="W86" s="555"/>
      <c r="X86" s="20"/>
      <c r="Z86" s="555"/>
      <c r="AA86" s="20"/>
      <c r="AC86" s="555"/>
      <c r="AD86" s="20"/>
      <c r="AF86" s="555"/>
    </row>
    <row r="87" spans="7:32">
      <c r="G87" s="91"/>
      <c r="H87" s="596"/>
      <c r="J87" s="555"/>
      <c r="K87" s="555"/>
      <c r="L87" s="555"/>
      <c r="M87" s="20"/>
      <c r="N87" s="20"/>
      <c r="O87" s="20"/>
      <c r="P87" s="555"/>
      <c r="Q87" s="555"/>
      <c r="R87" s="555"/>
      <c r="S87" s="20"/>
      <c r="T87" s="20"/>
      <c r="U87" s="555"/>
      <c r="X87" s="555"/>
      <c r="AA87" s="555"/>
      <c r="AD87" s="555"/>
      <c r="AE87" s="555"/>
      <c r="AF87" s="555"/>
    </row>
    <row r="88" spans="7:32">
      <c r="G88" s="91"/>
      <c r="H88" s="596"/>
      <c r="J88" s="555"/>
      <c r="K88" s="555"/>
      <c r="L88" s="555"/>
      <c r="M88" s="20"/>
      <c r="N88" s="20"/>
      <c r="O88" s="20"/>
      <c r="P88" s="555"/>
      <c r="Q88" s="555"/>
      <c r="R88" s="555"/>
      <c r="S88" s="20"/>
      <c r="T88" s="20"/>
      <c r="U88" s="555"/>
      <c r="X88" s="555"/>
      <c r="AA88" s="555"/>
      <c r="AD88" s="555"/>
      <c r="AE88" s="555"/>
      <c r="AF88" s="555"/>
    </row>
    <row r="89" spans="7:32">
      <c r="G89" s="91"/>
      <c r="H89" s="596"/>
      <c r="J89" s="555"/>
      <c r="K89" s="555"/>
      <c r="L89" s="555"/>
      <c r="M89" s="20"/>
      <c r="N89" s="20"/>
      <c r="O89" s="20"/>
      <c r="P89" s="555"/>
      <c r="Q89" s="555"/>
      <c r="R89" s="555"/>
      <c r="S89" s="20"/>
      <c r="T89" s="20"/>
      <c r="U89" s="555"/>
      <c r="X89" s="555"/>
      <c r="AA89" s="555"/>
      <c r="AD89" s="555"/>
      <c r="AE89" s="555"/>
      <c r="AF89" s="555"/>
    </row>
    <row r="90" spans="7:32">
      <c r="J90" s="555"/>
      <c r="K90" s="555"/>
      <c r="L90" s="555"/>
      <c r="M90" s="20"/>
      <c r="N90" s="20"/>
      <c r="O90" s="20"/>
      <c r="P90" s="555"/>
      <c r="Q90" s="555"/>
      <c r="R90" s="555"/>
      <c r="S90" s="20"/>
      <c r="T90" s="20"/>
      <c r="U90" s="555"/>
      <c r="X90" s="555"/>
      <c r="AA90" s="555"/>
      <c r="AD90" s="555"/>
      <c r="AE90" s="555"/>
      <c r="AF90" s="555"/>
    </row>
    <row r="92" spans="7:32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</row>
    <row r="93" spans="7:32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</row>
    <row r="94" spans="7:32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</row>
    <row r="95" spans="7:32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8" orientation="portrait" useFirstPageNumber="1" horizontalDpi="4294967292" r:id="rId1"/>
  <headerFooter alignWithMargins="0">
    <oddHeader>&amp;RPage 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5335-D729-4644-A24A-CE6A48A57703}">
  <dimension ref="A1:N57"/>
  <sheetViews>
    <sheetView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404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+'AUTO MAADC MODEL'!N4</f>
        <v>10000</v>
      </c>
      <c r="D3" s="79"/>
      <c r="E3" s="79"/>
      <c r="F3" s="79"/>
      <c r="G3" s="80"/>
      <c r="H3" s="81"/>
      <c r="I3" s="78"/>
      <c r="J3" s="82"/>
      <c r="K3" s="203"/>
      <c r="L3" s="555"/>
      <c r="M3" s="555"/>
      <c r="N3" s="555"/>
    </row>
    <row r="4" spans="1:14" s="15" customFormat="1" ht="12.75" customHeight="1">
      <c r="A4" s="1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17"/>
    </row>
    <row r="5" spans="1:14" ht="12.95">
      <c r="A5" s="555"/>
      <c r="B5" s="555"/>
      <c r="H5" s="35" t="s">
        <v>169</v>
      </c>
      <c r="I5" s="2" t="s">
        <v>170</v>
      </c>
      <c r="K5" s="35" t="s">
        <v>17</v>
      </c>
      <c r="L5" s="35" t="s">
        <v>203</v>
      </c>
      <c r="M5" s="555"/>
      <c r="N5" s="555"/>
    </row>
    <row r="6" spans="1:14" ht="12.95">
      <c r="A6" s="555"/>
      <c r="B6" s="555"/>
      <c r="E6" s="21" t="s">
        <v>167</v>
      </c>
      <c r="F6" s="21"/>
      <c r="G6" s="38" t="s">
        <v>173</v>
      </c>
      <c r="H6" s="35" t="s">
        <v>174</v>
      </c>
      <c r="I6" s="2" t="s">
        <v>176</v>
      </c>
      <c r="J6" s="4" t="s">
        <v>175</v>
      </c>
      <c r="K6" s="35" t="s">
        <v>174</v>
      </c>
      <c r="L6" s="35" t="s">
        <v>174</v>
      </c>
      <c r="M6" s="555"/>
      <c r="N6" s="555"/>
    </row>
    <row r="7" spans="1:14" ht="12.95">
      <c r="A7" s="17"/>
      <c r="B7" s="17"/>
      <c r="C7" s="21" t="s">
        <v>204</v>
      </c>
      <c r="D7" s="21"/>
      <c r="E7" s="21" t="s">
        <v>205</v>
      </c>
      <c r="F7" s="21"/>
      <c r="G7" s="38" t="s">
        <v>182</v>
      </c>
      <c r="H7" s="35" t="s">
        <v>185</v>
      </c>
      <c r="I7" s="2" t="s">
        <v>184</v>
      </c>
      <c r="J7" s="4" t="s">
        <v>181</v>
      </c>
      <c r="K7" s="35" t="s">
        <v>185</v>
      </c>
      <c r="L7" s="35" t="s">
        <v>185</v>
      </c>
      <c r="M7" s="555"/>
      <c r="N7" s="555"/>
    </row>
    <row r="8" spans="1:14" ht="12.95">
      <c r="A8" s="70"/>
      <c r="B8" s="70"/>
      <c r="C8" s="168" t="s">
        <v>2</v>
      </c>
      <c r="D8" s="168"/>
      <c r="E8" s="168" t="s">
        <v>3</v>
      </c>
      <c r="F8" s="168"/>
      <c r="G8" s="169" t="s">
        <v>4</v>
      </c>
      <c r="H8" s="168" t="s">
        <v>5</v>
      </c>
      <c r="I8" s="99" t="s">
        <v>6</v>
      </c>
      <c r="J8" s="88" t="s">
        <v>7</v>
      </c>
      <c r="K8" s="168" t="s">
        <v>8</v>
      </c>
      <c r="L8" s="168" t="s">
        <v>9</v>
      </c>
      <c r="M8" s="555"/>
      <c r="N8" s="555"/>
    </row>
    <row r="9" spans="1:14" ht="12.95">
      <c r="A9" s="11" t="s">
        <v>206</v>
      </c>
      <c r="B9" s="555"/>
      <c r="C9" s="555"/>
      <c r="D9" s="555"/>
      <c r="E9" s="555"/>
      <c r="F9" s="555"/>
      <c r="G9" s="555"/>
      <c r="H9" s="555"/>
      <c r="I9" s="555"/>
      <c r="J9" s="555"/>
      <c r="K9" s="555"/>
      <c r="L9" s="555"/>
      <c r="M9" s="555"/>
      <c r="N9" s="555"/>
    </row>
    <row r="10" spans="1:14" ht="12.95">
      <c r="A10" s="11"/>
      <c r="B10" s="555" t="s">
        <v>207</v>
      </c>
      <c r="C10" s="98"/>
      <c r="D10" s="98"/>
      <c r="E10" s="19"/>
      <c r="F10" s="19"/>
      <c r="H10" s="3"/>
      <c r="I10" s="3"/>
      <c r="K10" s="3"/>
      <c r="L10" s="3"/>
      <c r="M10" s="555"/>
      <c r="N10" s="555"/>
    </row>
    <row r="11" spans="1:14" ht="12.95">
      <c r="A11" s="11" t="s">
        <v>208</v>
      </c>
      <c r="B11" s="555"/>
      <c r="H11" s="3"/>
      <c r="I11" s="3"/>
      <c r="K11" s="3"/>
      <c r="L11" s="3"/>
      <c r="M11" s="555"/>
      <c r="N11" s="555"/>
    </row>
    <row r="12" spans="1:14">
      <c r="A12" s="17"/>
      <c r="B12" s="555" t="s">
        <v>209</v>
      </c>
      <c r="C12" s="22">
        <f>+MAADC_BENCH_MODEL!G18</f>
        <v>10113.242066018694</v>
      </c>
      <c r="E12" s="22">
        <f>+PRODUCTIVITY!I7</f>
        <v>6833.2327250865728</v>
      </c>
      <c r="G12" s="37">
        <f>+'WAGE RATES - PIGGYBACK FACTORS'!$D$5</f>
        <v>50.10717457546064</v>
      </c>
      <c r="H12" s="3">
        <f>+G12/E12*100</f>
        <v>0.73328652178791132</v>
      </c>
      <c r="I12" s="3">
        <f>+H12*('WAGE RATES - PIGGYBACK FACTORS'!$D$6-1)</f>
        <v>1.5342424998582738E-2</v>
      </c>
      <c r="J12" s="3">
        <f>+'WAGE RATES - PIGGYBACK FACTORS'!D22</f>
        <v>1.6888485071959758</v>
      </c>
      <c r="K12" s="3">
        <f>+H12*J12+I12</f>
        <v>1.253752272667026</v>
      </c>
      <c r="L12" s="3">
        <f>+(K12*C12/10000)</f>
        <v>1.2679500224302709</v>
      </c>
      <c r="M12" s="555"/>
      <c r="N12" s="22"/>
    </row>
    <row r="13" spans="1:14">
      <c r="A13" s="17"/>
      <c r="B13" s="555" t="s">
        <v>210</v>
      </c>
      <c r="C13" s="22">
        <f>MAADC_BENCH_MODEL!G25</f>
        <v>663.7512997321893</v>
      </c>
      <c r="E13" s="163" t="s">
        <v>211</v>
      </c>
      <c r="F13" s="163" t="s">
        <v>211</v>
      </c>
      <c r="G13" s="163" t="s">
        <v>211</v>
      </c>
      <c r="H13" s="163" t="s">
        <v>211</v>
      </c>
      <c r="I13" s="163" t="s">
        <v>211</v>
      </c>
      <c r="J13" s="163" t="s">
        <v>211</v>
      </c>
      <c r="K13" s="3">
        <f>+MISC!$E$7</f>
        <v>0.27889541043904115</v>
      </c>
      <c r="L13" s="3">
        <f>+(K13*C13/10000)</f>
        <v>1.8511719116825594E-2</v>
      </c>
      <c r="M13" s="555"/>
      <c r="N13" s="22"/>
    </row>
    <row r="14" spans="1:14">
      <c r="A14" s="17"/>
      <c r="B14" s="555" t="s">
        <v>212</v>
      </c>
      <c r="C14" s="22">
        <f>+MAADC_BENCH_MODEL!G32</f>
        <v>13.407776254590269</v>
      </c>
      <c r="E14" s="22">
        <f>+PRODUCTIVITY!I9</f>
        <v>846.86662945459375</v>
      </c>
      <c r="G14" s="37">
        <f>+'WAGE RATES - PIGGYBACK FACTORS'!$D$4</f>
        <v>54.142360316355024</v>
      </c>
      <c r="H14" s="3">
        <f>+G14/E14*100</f>
        <v>6.3932570292944773</v>
      </c>
      <c r="I14" s="3">
        <f>+H14*('WAGE RATES - PIGGYBACK FACTORS'!$D$6-1)</f>
        <v>0.13376499301998959</v>
      </c>
      <c r="J14" s="3">
        <f>+'WAGE RATES - PIGGYBACK FACTORS'!D23</f>
        <v>1.2615773174013249</v>
      </c>
      <c r="K14" s="3">
        <f>+H14*J14+I14</f>
        <v>8.1993530454944796</v>
      </c>
      <c r="L14" s="3">
        <f t="shared" ref="L14:L41" si="0">+(K14*C14/10000)</f>
        <v>1.0993509106638329E-2</v>
      </c>
      <c r="M14" s="555"/>
      <c r="N14" s="22"/>
    </row>
    <row r="15" spans="1:14">
      <c r="A15" s="17"/>
      <c r="B15" s="555" t="s">
        <v>213</v>
      </c>
      <c r="C15" s="22">
        <f>+MAADC_BENCH_MODEL!G39</f>
        <v>671.98310736251369</v>
      </c>
      <c r="E15" s="22">
        <f>+PRODUCTIVITY!I11</f>
        <v>6833.2327250865728</v>
      </c>
      <c r="G15" s="37">
        <f>+'WAGE RATES - PIGGYBACK FACTORS'!$D$5</f>
        <v>50.10717457546064</v>
      </c>
      <c r="H15" s="3">
        <f>+G15/E15*100</f>
        <v>0.73328652178791132</v>
      </c>
      <c r="I15" s="3">
        <f>+H15*('WAGE RATES - PIGGYBACK FACTORS'!$D$6-1)</f>
        <v>1.5342424998582738E-2</v>
      </c>
      <c r="J15" s="3">
        <f>+'WAGE RATES - PIGGYBACK FACTORS'!D24</f>
        <v>1.6888485071959758</v>
      </c>
      <c r="K15" s="3">
        <f>+H15*J15+I15</f>
        <v>1.253752272667026</v>
      </c>
      <c r="L15" s="3">
        <f t="shared" si="0"/>
        <v>8.4250034804960169E-2</v>
      </c>
      <c r="M15" s="555"/>
      <c r="N15" s="22"/>
    </row>
    <row r="16" spans="1:14">
      <c r="A16" s="17"/>
      <c r="B16" s="555" t="s">
        <v>214</v>
      </c>
      <c r="C16" s="22">
        <f>+MAADC_BENCH_MODEL!C32</f>
        <v>1.3776554909938095</v>
      </c>
      <c r="E16" s="22">
        <f>+PRODUCTIVITY!I10</f>
        <v>1983.215429441294</v>
      </c>
      <c r="G16" s="37">
        <f>+'WAGE RATES - PIGGYBACK FACTORS'!$D$5</f>
        <v>50.10717457546064</v>
      </c>
      <c r="H16" s="3">
        <f>+G16/E16*100</f>
        <v>2.5265623608816261</v>
      </c>
      <c r="I16" s="3">
        <f>+H16*('WAGE RATES - PIGGYBACK FACTORS'!$D$6-1)</f>
        <v>5.2862820158693827E-2</v>
      </c>
      <c r="J16" s="3">
        <f>+'WAGE RATES - PIGGYBACK FACTORS'!D25</f>
        <v>3.4396834863913082</v>
      </c>
      <c r="K16" s="3">
        <f>+H16*J16+I16</f>
        <v>8.7434376502210611</v>
      </c>
      <c r="L16" s="3">
        <f t="shared" si="0"/>
        <v>1.2045444888989056E-3</v>
      </c>
      <c r="M16" s="555"/>
      <c r="N16" s="22"/>
    </row>
    <row r="17" spans="1:14" ht="12.95">
      <c r="A17" s="11" t="s">
        <v>215</v>
      </c>
      <c r="B17" s="555"/>
      <c r="H17" s="3"/>
      <c r="I17" s="3"/>
      <c r="K17" s="3"/>
      <c r="L17" s="3"/>
      <c r="M17" s="555"/>
      <c r="N17" s="22"/>
    </row>
    <row r="18" spans="1:14">
      <c r="A18" s="17"/>
      <c r="B18" s="555" t="s">
        <v>216</v>
      </c>
      <c r="C18" s="22">
        <f>+MAADC_BENCH_MODEL!S16</f>
        <v>0</v>
      </c>
      <c r="E18" s="22">
        <f>+PRODUCTIVITY!I13</f>
        <v>6833.2327250865728</v>
      </c>
      <c r="G18" s="37">
        <f>+'WAGE RATES - PIGGYBACK FACTORS'!$D$5</f>
        <v>50.10717457546064</v>
      </c>
      <c r="H18" s="3">
        <f>+G18/E18*100</f>
        <v>0.73328652178791132</v>
      </c>
      <c r="I18" s="3">
        <f>+H18*('WAGE RATES - PIGGYBACK FACTORS'!$D$6-1)</f>
        <v>1.5342424998582738E-2</v>
      </c>
      <c r="J18" s="3">
        <f>+'WAGE RATES - PIGGYBACK FACTORS'!D26</f>
        <v>1.6888485071959758</v>
      </c>
      <c r="K18" s="3">
        <f>+H18*J18+I18</f>
        <v>1.253752272667026</v>
      </c>
      <c r="L18" s="3">
        <f t="shared" si="0"/>
        <v>0</v>
      </c>
      <c r="M18" s="555"/>
      <c r="N18" s="22"/>
    </row>
    <row r="19" spans="1:14">
      <c r="A19" s="17"/>
      <c r="B19" s="555" t="s">
        <v>217</v>
      </c>
      <c r="C19" s="22">
        <f>+MAADC_BENCH_MODEL!AA16</f>
        <v>336.09032193343103</v>
      </c>
      <c r="E19" s="22">
        <f>+PRODUCTIVITY!I20</f>
        <v>631.32213496808799</v>
      </c>
      <c r="G19" s="37">
        <f>+'WAGE RATES - PIGGYBACK FACTORS'!$D$5</f>
        <v>50.10717457546064</v>
      </c>
      <c r="H19" s="3">
        <f>+G19/E19*100</f>
        <v>7.9368632588802628</v>
      </c>
      <c r="I19" s="3">
        <f>+H19*('WAGE RATES - PIGGYBACK FACTORS'!$D$6-1)</f>
        <v>0.16606159482718158</v>
      </c>
      <c r="J19" s="3">
        <f>+'WAGE RATES - PIGGYBACK FACTORS'!D27</f>
        <v>1.2988119246888874</v>
      </c>
      <c r="K19" s="3">
        <f>+H19*J19+I19</f>
        <v>10.474554240085972</v>
      </c>
      <c r="L19" s="3">
        <f t="shared" si="0"/>
        <v>0.35203963066596794</v>
      </c>
      <c r="M19" s="555"/>
      <c r="N19" s="22"/>
    </row>
    <row r="20" spans="1:14" ht="12.95">
      <c r="A20" s="11" t="s">
        <v>218</v>
      </c>
      <c r="B20" s="555"/>
      <c r="H20" s="3"/>
      <c r="I20" s="3"/>
      <c r="K20" s="3"/>
      <c r="L20" s="3"/>
      <c r="M20" s="555"/>
      <c r="N20" s="22"/>
    </row>
    <row r="21" spans="1:14">
      <c r="A21" s="17"/>
      <c r="B21" s="555" t="s">
        <v>216</v>
      </c>
      <c r="C21" s="22">
        <f>+MAADC_BENCH_MODEL!S24</f>
        <v>272.99148737236101</v>
      </c>
      <c r="E21" s="22">
        <f>+PRODUCTIVITY!I14</f>
        <v>5441.4416043491601</v>
      </c>
      <c r="G21" s="37">
        <f>+'WAGE RATES - PIGGYBACK FACTORS'!$D$5</f>
        <v>50.10717457546064</v>
      </c>
      <c r="H21" s="3">
        <f>+G21/E21*100</f>
        <v>0.92084374360301269</v>
      </c>
      <c r="I21" s="3">
        <f>+H21*('WAGE RATES - PIGGYBACK FACTORS'!$D$6-1)</f>
        <v>1.9266651781893261E-2</v>
      </c>
      <c r="J21" s="3">
        <f>+'WAGE RATES - PIGGYBACK FACTORS'!D28</f>
        <v>1.6888485071959758</v>
      </c>
      <c r="K21" s="3">
        <f>+H21*J21+I21</f>
        <v>1.5744322335265952</v>
      </c>
      <c r="L21" s="3">
        <f t="shared" si="0"/>
        <v>4.2980659719741368E-2</v>
      </c>
      <c r="M21" s="555"/>
      <c r="N21" s="22"/>
    </row>
    <row r="22" spans="1:14">
      <c r="A22" s="17"/>
      <c r="B22" s="555" t="s">
        <v>217</v>
      </c>
      <c r="C22" s="22">
        <f>+MAADC_BENCH_MODEL!AA24</f>
        <v>65.400457456026942</v>
      </c>
      <c r="E22" s="22">
        <f>+PRODUCTIVITY!I21</f>
        <v>1087.9987358115229</v>
      </c>
      <c r="G22" s="37">
        <f>+'WAGE RATES - PIGGYBACK FACTORS'!$D$5</f>
        <v>50.10717457546064</v>
      </c>
      <c r="H22" s="3">
        <f>+G22/E22*100</f>
        <v>4.6054441908966375</v>
      </c>
      <c r="I22" s="3">
        <f>+H22*('WAGE RATES - PIGGYBACK FACTORS'!$D$6-1)</f>
        <v>9.6358899263154399E-2</v>
      </c>
      <c r="J22" s="3">
        <f>+'WAGE RATES - PIGGYBACK FACTORS'!D29</f>
        <v>1.2988119246888874</v>
      </c>
      <c r="K22" s="3">
        <f>+H22*J22+I22</f>
        <v>6.077964732888872</v>
      </c>
      <c r="L22" s="3">
        <f t="shared" si="0"/>
        <v>3.9750167393253079E-2</v>
      </c>
      <c r="M22" s="555"/>
      <c r="N22" s="22"/>
    </row>
    <row r="23" spans="1:14" ht="12.95">
      <c r="A23" s="11" t="s">
        <v>219</v>
      </c>
      <c r="B23" s="555"/>
      <c r="H23" s="3"/>
      <c r="I23" s="3"/>
      <c r="K23" s="3"/>
      <c r="L23" s="3"/>
      <c r="M23" s="555"/>
      <c r="N23" s="22"/>
    </row>
    <row r="24" spans="1:14">
      <c r="A24" s="17"/>
      <c r="B24" s="555" t="s">
        <v>209</v>
      </c>
      <c r="C24" s="22">
        <f>+MAADC_BENCH_MODEL!G51</f>
        <v>0</v>
      </c>
      <c r="E24" s="22">
        <f>+PRODUCTIVITY!I8</f>
        <v>5815.8678468113585</v>
      </c>
      <c r="G24" s="37">
        <f>+'WAGE RATES - PIGGYBACK FACTORS'!$D$5</f>
        <v>50.10717457546064</v>
      </c>
      <c r="H24" s="3">
        <f>+G24/E24*100</f>
        <v>0.86155971723003799</v>
      </c>
      <c r="I24" s="3">
        <f>+H24*('WAGE RATES - PIGGYBACK FACTORS'!$D$6-1)</f>
        <v>1.8026262519011873E-2</v>
      </c>
      <c r="J24" s="3">
        <f>+'WAGE RATES - PIGGYBACK FACTORS'!D30</f>
        <v>1.6888485071959758</v>
      </c>
      <c r="K24" s="3">
        <f>+H24*J24+I24</f>
        <v>1.4730701048231487</v>
      </c>
      <c r="L24" s="3">
        <f t="shared" si="0"/>
        <v>0</v>
      </c>
      <c r="M24" s="555"/>
      <c r="N24" s="22"/>
    </row>
    <row r="25" spans="1:14">
      <c r="A25" s="17"/>
      <c r="B25" s="555" t="s">
        <v>210</v>
      </c>
      <c r="C25" s="22">
        <f>+MAADC_BENCH_MODEL!G58</f>
        <v>0</v>
      </c>
      <c r="E25" s="163" t="s">
        <v>211</v>
      </c>
      <c r="F25" s="163" t="s">
        <v>211</v>
      </c>
      <c r="G25" s="163" t="s">
        <v>211</v>
      </c>
      <c r="H25" s="163" t="s">
        <v>211</v>
      </c>
      <c r="I25" s="163" t="s">
        <v>211</v>
      </c>
      <c r="J25" s="163" t="s">
        <v>211</v>
      </c>
      <c r="K25" s="3">
        <f>+MISC!$E$7</f>
        <v>0.27889541043904115</v>
      </c>
      <c r="L25" s="3">
        <f>+(K25*C25/10000)</f>
        <v>0</v>
      </c>
      <c r="M25" s="555"/>
      <c r="N25" s="22"/>
    </row>
    <row r="26" spans="1:14">
      <c r="A26" s="17"/>
      <c r="B26" s="555" t="s">
        <v>212</v>
      </c>
      <c r="C26" s="22">
        <f>+MAADC_BENCH_MODEL!G65</f>
        <v>0</v>
      </c>
      <c r="E26" s="22">
        <f>+PRODUCTIVITY!I9</f>
        <v>846.86662945459375</v>
      </c>
      <c r="G26" s="37">
        <f>+'WAGE RATES - PIGGYBACK FACTORS'!$D$4</f>
        <v>54.142360316355024</v>
      </c>
      <c r="H26" s="3">
        <f>+G26/E26*100</f>
        <v>6.3932570292944773</v>
      </c>
      <c r="I26" s="3">
        <f>+H26*('WAGE RATES - PIGGYBACK FACTORS'!$D$6-1)</f>
        <v>0.13376499301998959</v>
      </c>
      <c r="J26" s="3">
        <f>+'WAGE RATES - PIGGYBACK FACTORS'!D31</f>
        <v>1.2615773174013249</v>
      </c>
      <c r="K26" s="3">
        <f>+H26*J26+I26</f>
        <v>8.1993530454944796</v>
      </c>
      <c r="L26" s="3">
        <f t="shared" si="0"/>
        <v>0</v>
      </c>
      <c r="M26" s="555"/>
      <c r="N26" s="22"/>
    </row>
    <row r="27" spans="1:14">
      <c r="A27" s="17"/>
      <c r="B27" s="555" t="s">
        <v>213</v>
      </c>
      <c r="C27" s="22">
        <f>+MAADC_BENCH_MODEL!G72</f>
        <v>0</v>
      </c>
      <c r="E27" s="22">
        <f>+PRODUCTIVITY!I12</f>
        <v>5815.8678468113585</v>
      </c>
      <c r="G27" s="37">
        <f>+'WAGE RATES - PIGGYBACK FACTORS'!$D$5</f>
        <v>50.10717457546064</v>
      </c>
      <c r="H27" s="3">
        <f>+G27/E27*100</f>
        <v>0.86155971723003799</v>
      </c>
      <c r="I27" s="3">
        <f>+H27*('WAGE RATES - PIGGYBACK FACTORS'!$D$6-1)</f>
        <v>1.8026262519011873E-2</v>
      </c>
      <c r="J27" s="3">
        <f>+'WAGE RATES - PIGGYBACK FACTORS'!D32</f>
        <v>1.6888485071959758</v>
      </c>
      <c r="K27" s="3">
        <f>+H27*J27+I27</f>
        <v>1.4730701048231487</v>
      </c>
      <c r="L27" s="3">
        <f t="shared" si="0"/>
        <v>0</v>
      </c>
      <c r="M27" s="555"/>
      <c r="N27" s="22"/>
    </row>
    <row r="28" spans="1:14">
      <c r="A28" s="17"/>
      <c r="B28" s="555" t="s">
        <v>214</v>
      </c>
      <c r="C28" s="22">
        <f>+MAADC_BENCH_MODEL!C65</f>
        <v>0</v>
      </c>
      <c r="E28" s="22">
        <f>+PRODUCTIVITY!I10</f>
        <v>1983.215429441294</v>
      </c>
      <c r="G28" s="37">
        <f>+'WAGE RATES - PIGGYBACK FACTORS'!$D$5</f>
        <v>50.10717457546064</v>
      </c>
      <c r="H28" s="3">
        <f>+G28/E28*100</f>
        <v>2.5265623608816261</v>
      </c>
      <c r="I28" s="3">
        <f>+H28*('WAGE RATES - PIGGYBACK FACTORS'!$D$6-1)</f>
        <v>5.2862820158693827E-2</v>
      </c>
      <c r="J28" s="3">
        <f>+'WAGE RATES - PIGGYBACK FACTORS'!D33</f>
        <v>3.4396834863913082</v>
      </c>
      <c r="K28" s="3">
        <f>+H28*J28+I28</f>
        <v>8.7434376502210611</v>
      </c>
      <c r="L28" s="3">
        <f t="shared" si="0"/>
        <v>0</v>
      </c>
      <c r="M28" s="555"/>
      <c r="N28" s="22"/>
    </row>
    <row r="29" spans="1:14" ht="12.95">
      <c r="A29" s="11" t="s">
        <v>220</v>
      </c>
      <c r="B29" s="555"/>
      <c r="H29" s="3"/>
      <c r="I29" s="3"/>
      <c r="K29" s="3"/>
      <c r="L29" s="3"/>
      <c r="M29" s="555"/>
      <c r="N29" s="22"/>
    </row>
    <row r="30" spans="1:14">
      <c r="A30" s="17"/>
      <c r="B30" s="555" t="s">
        <v>58</v>
      </c>
      <c r="C30" s="22">
        <f>+MAADC_BENCH_MODEL!S32</f>
        <v>5071.697406869911</v>
      </c>
      <c r="E30" s="22">
        <f>+PRODUCTIVITY!I15</f>
        <v>5271.1401686095996</v>
      </c>
      <c r="G30" s="37">
        <f>+'WAGE RATES - PIGGYBACK FACTORS'!$D$5</f>
        <v>50.10717457546064</v>
      </c>
      <c r="H30" s="3">
        <f>+G30/E30*100</f>
        <v>0.95059461468803463</v>
      </c>
      <c r="I30" s="3">
        <f>+H30*('WAGE RATES - PIGGYBACK FACTORS'!$D$6-1)</f>
        <v>1.9889124028010002E-2</v>
      </c>
      <c r="J30" s="3">
        <f>+'WAGE RATES - PIGGYBACK FACTORS'!D34</f>
        <v>1.6888485071959758</v>
      </c>
      <c r="K30" s="3">
        <f>+H30*J30+I30</f>
        <v>1.6252994199924311</v>
      </c>
      <c r="L30" s="3">
        <f t="shared" si="0"/>
        <v>0.82430268537627838</v>
      </c>
      <c r="M30" s="555"/>
      <c r="N30" s="22"/>
    </row>
    <row r="31" spans="1:14">
      <c r="A31" s="17"/>
      <c r="B31" s="555" t="s">
        <v>221</v>
      </c>
      <c r="C31" s="22">
        <f>+MAADC_BENCH_MODEL!AA32</f>
        <v>335.85124505648946</v>
      </c>
      <c r="E31" s="22">
        <f>+PRODUCTIVITY!I22</f>
        <v>1213.9420566221461</v>
      </c>
      <c r="G31" s="37">
        <f>+'WAGE RATES - PIGGYBACK FACTORS'!$D$5</f>
        <v>50.10717457546064</v>
      </c>
      <c r="H31" s="3">
        <f>+G31/E31*100</f>
        <v>4.1276413731711656</v>
      </c>
      <c r="I31" s="3">
        <f>+H31*('WAGE RATES - PIGGYBACK FACTORS'!$D$6-1)</f>
        <v>8.6361914895855749E-2</v>
      </c>
      <c r="J31" s="3">
        <f>+'WAGE RATES - PIGGYBACK FACTORS'!D35</f>
        <v>1.2988119246888874</v>
      </c>
      <c r="K31" s="3">
        <f>+H31*J31+I31</f>
        <v>5.4473917512097803</v>
      </c>
      <c r="L31" s="3">
        <f t="shared" si="0"/>
        <v>0.18295133019542553</v>
      </c>
      <c r="M31" s="555"/>
      <c r="N31" s="22"/>
    </row>
    <row r="32" spans="1:14" ht="12.95">
      <c r="A32" s="11" t="s">
        <v>222</v>
      </c>
      <c r="B32" s="555"/>
      <c r="H32" s="3"/>
      <c r="I32" s="3"/>
      <c r="K32" s="3"/>
      <c r="L32" s="3"/>
      <c r="M32" s="555"/>
      <c r="N32" s="22"/>
    </row>
    <row r="33" spans="1:14">
      <c r="A33" s="17"/>
      <c r="B33" s="555" t="s">
        <v>216</v>
      </c>
      <c r="C33" s="22">
        <f>+MAADC_BENCH_MODEL!S40</f>
        <v>5017.0850018035972</v>
      </c>
      <c r="E33" s="22">
        <f>+PRODUCTIVITY!I16</f>
        <v>10175.776688046904</v>
      </c>
      <c r="G33" s="37">
        <f>+'WAGE RATES - PIGGYBACK FACTORS'!$D$5</f>
        <v>50.10717457546064</v>
      </c>
      <c r="H33" s="3">
        <f>+G33/E33*100</f>
        <v>0.49241621658540935</v>
      </c>
      <c r="I33" s="3">
        <f>+H33*('WAGE RATES - PIGGYBACK FACTORS'!$D$6-1)</f>
        <v>1.030273794290823E-2</v>
      </c>
      <c r="J33" s="3">
        <f>+'WAGE RATES - PIGGYBACK FACTORS'!D36</f>
        <v>1.6888485071959758</v>
      </c>
      <c r="K33" s="3">
        <f>+H33*J33+I33</f>
        <v>0.84191913024226717</v>
      </c>
      <c r="L33" s="3">
        <f t="shared" si="0"/>
        <v>0.4223979841070008</v>
      </c>
      <c r="M33" s="555"/>
      <c r="N33" s="22"/>
    </row>
    <row r="34" spans="1:14">
      <c r="A34" s="17"/>
      <c r="B34" s="555" t="s">
        <v>217</v>
      </c>
      <c r="C34" s="22">
        <f>+MAADC_BENCH_MODEL!AA40</f>
        <v>686.40116240929501</v>
      </c>
      <c r="E34" s="22">
        <f>+PRODUCTIVITY!I23</f>
        <v>1107.0494375224957</v>
      </c>
      <c r="G34" s="37">
        <f>+'WAGE RATES - PIGGYBACK FACTORS'!$D$5</f>
        <v>50.10717457546064</v>
      </c>
      <c r="H34" s="3">
        <f>+G34/E34*100</f>
        <v>4.5261912320372275</v>
      </c>
      <c r="I34" s="3">
        <f>+H34*('WAGE RATES - PIGGYBACK FACTORS'!$D$6-1)</f>
        <v>9.4700703535989583E-2</v>
      </c>
      <c r="J34" s="3">
        <f>+'WAGE RATES - PIGGYBACK FACTORS'!D37</f>
        <v>1.2988119246888874</v>
      </c>
      <c r="K34" s="3">
        <f>+H34*J34+I34</f>
        <v>5.9733718491282275</v>
      </c>
      <c r="L34" s="3">
        <f t="shared" si="0"/>
        <v>0.41001293807445754</v>
      </c>
      <c r="M34" s="555"/>
      <c r="N34" s="22"/>
    </row>
    <row r="35" spans="1:14" ht="12.95">
      <c r="A35" s="11" t="s">
        <v>223</v>
      </c>
      <c r="B35" s="555"/>
      <c r="H35" s="3"/>
      <c r="I35" s="3"/>
      <c r="K35" s="3"/>
      <c r="L35" s="3"/>
      <c r="M35" s="555"/>
      <c r="N35" s="22"/>
    </row>
    <row r="36" spans="1:14">
      <c r="A36" s="555"/>
      <c r="B36" s="555" t="s">
        <v>224</v>
      </c>
      <c r="C36" s="22">
        <f>+MAADC_BENCH_MODEL!W49</f>
        <v>320.88506959936382</v>
      </c>
      <c r="E36" s="22">
        <f>+PRODUCTIVITY!I17</f>
        <v>13094.29928777944</v>
      </c>
      <c r="G36" s="37">
        <f>+'WAGE RATES - PIGGYBACK FACTORS'!$D$5</f>
        <v>50.10717457546064</v>
      </c>
      <c r="H36" s="3">
        <f t="shared" ref="H36:H41" si="1">+G36/E36*100</f>
        <v>0.38266403932148035</v>
      </c>
      <c r="I36" s="3">
        <f>+H36*('WAGE RATES - PIGGYBACK FACTORS'!$D$6-1)</f>
        <v>8.0064124302050062E-3</v>
      </c>
      <c r="J36" s="3">
        <f>+'WAGE RATES - PIGGYBACK FACTORS'!D38</f>
        <v>1.6888485071959758</v>
      </c>
      <c r="K36" s="3">
        <f t="shared" ref="K36:K41" si="2">+H36*J36+I36</f>
        <v>0.65426800399586937</v>
      </c>
      <c r="L36" s="3">
        <f t="shared" si="0"/>
        <v>2.0994483399885137E-2</v>
      </c>
      <c r="M36" s="555"/>
      <c r="N36" s="22"/>
    </row>
    <row r="37" spans="1:14">
      <c r="A37" s="555"/>
      <c r="B37" s="555" t="s">
        <v>225</v>
      </c>
      <c r="C37" s="22">
        <f>+MAADC_BENCH_MODEL!W56</f>
        <v>0</v>
      </c>
      <c r="E37" s="22">
        <f>+PRODUCTIVITY!I19</f>
        <v>0</v>
      </c>
      <c r="G37" s="37">
        <f>+'WAGE RATES - PIGGYBACK FACTORS'!$D$5</f>
        <v>50.10717457546064</v>
      </c>
      <c r="H37" s="3">
        <v>0</v>
      </c>
      <c r="I37" s="3">
        <f>+H37*('WAGE RATES - PIGGYBACK FACTORS'!$D$6-1)</f>
        <v>0</v>
      </c>
      <c r="J37" s="3">
        <f>+'WAGE RATES - PIGGYBACK FACTORS'!D39</f>
        <v>0</v>
      </c>
      <c r="K37" s="3">
        <f t="shared" si="2"/>
        <v>0</v>
      </c>
      <c r="L37" s="3">
        <f t="shared" si="0"/>
        <v>0</v>
      </c>
      <c r="M37" s="555"/>
      <c r="N37" s="22"/>
    </row>
    <row r="38" spans="1:14">
      <c r="A38" s="555"/>
      <c r="B38" s="555" t="s">
        <v>226</v>
      </c>
      <c r="C38" s="22">
        <f>+MAADC_BENCH_MODEL!W63</f>
        <v>17480.448540448477</v>
      </c>
      <c r="E38" s="22">
        <f>+PRODUCTIVITY!I18</f>
        <v>6910.0702052322977</v>
      </c>
      <c r="G38" s="37">
        <f>+'WAGE RATES - PIGGYBACK FACTORS'!$D$5</f>
        <v>50.10717457546064</v>
      </c>
      <c r="H38" s="3">
        <f t="shared" si="1"/>
        <v>0.72513264101889352</v>
      </c>
      <c r="I38" s="3">
        <f>+H38*('WAGE RATES - PIGGYBACK FACTORS'!$D$6-1)</f>
        <v>1.5171822784538191E-2</v>
      </c>
      <c r="J38" s="3">
        <f>+'WAGE RATES - PIGGYBACK FACTORS'!D40</f>
        <v>1.6888485071959758</v>
      </c>
      <c r="K38" s="3">
        <f t="shared" si="2"/>
        <v>1.2398110010883718</v>
      </c>
      <c r="L38" s="3">
        <f t="shared" si="0"/>
        <v>2.1672452404407196</v>
      </c>
      <c r="M38" s="555"/>
      <c r="N38" s="22"/>
    </row>
    <row r="39" spans="1:14">
      <c r="A39" s="555"/>
      <c r="B39" s="555" t="s">
        <v>227</v>
      </c>
      <c r="C39" s="22">
        <f>+MAADC_BENCH_MODEL!AA74*(1-MISC!E9)</f>
        <v>1106.1937925752763</v>
      </c>
      <c r="E39" s="22">
        <f>+PRODUCTIVITY!I24</f>
        <v>810.31043431031583</v>
      </c>
      <c r="G39" s="37">
        <f>+'WAGE RATES - PIGGYBACK FACTORS'!$D$5</f>
        <v>50.10717457546064</v>
      </c>
      <c r="H39" s="3">
        <f t="shared" si="1"/>
        <v>6.1837010180065928</v>
      </c>
      <c r="I39" s="3">
        <f>+H39*('WAGE RATES - PIGGYBACK FACTORS'!$D$6-1)</f>
        <v>0.12938048943147765</v>
      </c>
      <c r="J39" s="3">
        <f>+'WAGE RATES - PIGGYBACK FACTORS'!D42</f>
        <v>1.2988119246888874</v>
      </c>
      <c r="K39" s="3">
        <f t="shared" si="2"/>
        <v>8.1608451103292534</v>
      </c>
      <c r="L39" s="3">
        <f t="shared" si="0"/>
        <v>0.90274762032145173</v>
      </c>
      <c r="M39" s="555"/>
      <c r="N39" s="22"/>
    </row>
    <row r="40" spans="1:14">
      <c r="A40" s="555"/>
      <c r="B40" s="555" t="s">
        <v>228</v>
      </c>
      <c r="C40" s="22">
        <f>+MISC!E10*(MAADC_BENCH_MODEL!AE64+MAADC_BENCH_MODEL!AE57)</f>
        <v>393.78302345956683</v>
      </c>
      <c r="E40" s="22">
        <f>+PRODUCTIVITY!I25</f>
        <v>1955.193482688391</v>
      </c>
      <c r="G40" s="37">
        <f>+'WAGE RATES - PIGGYBACK FACTORS'!$D$5</f>
        <v>50.10717457546064</v>
      </c>
      <c r="H40" s="3">
        <f t="shared" si="1"/>
        <v>2.5627731996407475</v>
      </c>
      <c r="I40" s="3">
        <f>+H40*('WAGE RATES - PIGGYBACK FACTORS'!$D$6-1)</f>
        <v>5.3620453172925443E-2</v>
      </c>
      <c r="J40" s="3">
        <f>+'WAGE RATES - PIGGYBACK FACTORS'!D43</f>
        <v>1.2988119246888874</v>
      </c>
      <c r="K40" s="3">
        <f t="shared" si="2"/>
        <v>3.3821808451394229</v>
      </c>
      <c r="L40" s="3">
        <f t="shared" si="0"/>
        <v>0.13318453990860349</v>
      </c>
      <c r="M40" s="555"/>
      <c r="N40" s="22"/>
    </row>
    <row r="41" spans="1:14">
      <c r="A41" s="552"/>
      <c r="B41" s="552" t="s">
        <v>229</v>
      </c>
      <c r="C41" s="71">
        <f>+MISC!E10*(MAADC_BENCH_MODEL!AE75+MAADC_BENCH_MODEL!AE50)</f>
        <v>64.561981138348543</v>
      </c>
      <c r="D41" s="71"/>
      <c r="E41" s="71">
        <f>+PRODUCTIVITY!I26</f>
        <v>977.59674134419549</v>
      </c>
      <c r="F41" s="71"/>
      <c r="G41" s="488">
        <f>+'WAGE RATES - PIGGYBACK FACTORS'!$D$5</f>
        <v>50.10717457546064</v>
      </c>
      <c r="H41" s="489">
        <f t="shared" si="1"/>
        <v>5.1255463992814949</v>
      </c>
      <c r="I41" s="489">
        <f>+H41*('WAGE RATES - PIGGYBACK FACTORS'!$D$6-1)</f>
        <v>0.10724090634585089</v>
      </c>
      <c r="J41" s="489">
        <f>+'WAGE RATES - PIGGYBACK FACTORS'!D44</f>
        <v>1.2988119246888874</v>
      </c>
      <c r="K41" s="489">
        <f t="shared" si="2"/>
        <v>6.7643616902788457</v>
      </c>
      <c r="L41" s="489">
        <f t="shared" si="0"/>
        <v>4.367205918607503E-2</v>
      </c>
      <c r="M41" s="555"/>
      <c r="N41" s="22"/>
    </row>
    <row r="42" spans="1:14" ht="9" customHeight="1" thickBot="1">
      <c r="A42" s="555"/>
      <c r="B42" s="555"/>
      <c r="H42" s="3"/>
      <c r="I42" s="3"/>
      <c r="K42" s="3"/>
      <c r="L42" s="4"/>
      <c r="M42" s="555"/>
      <c r="N42" s="555"/>
    </row>
    <row r="43" spans="1:14" ht="13.5" thickBot="1">
      <c r="A43" s="555"/>
      <c r="B43" s="555"/>
      <c r="H43" s="3"/>
      <c r="J43" s="490" t="s">
        <v>230</v>
      </c>
      <c r="K43" s="491"/>
      <c r="L43" s="492">
        <f>SUM(L10:L41)</f>
        <v>6.9251891687364528</v>
      </c>
      <c r="M43" s="555"/>
      <c r="N43" s="555"/>
    </row>
    <row r="44" spans="1:14" ht="9" customHeight="1" thickBot="1">
      <c r="A44" s="555"/>
      <c r="B44" s="555"/>
      <c r="H44" s="3"/>
      <c r="J44" s="34"/>
      <c r="K44" s="1"/>
      <c r="L44" s="2"/>
      <c r="M44" s="555"/>
      <c r="N44" s="555"/>
    </row>
    <row r="45" spans="1:14" ht="13.5" thickBot="1">
      <c r="A45" s="555"/>
      <c r="B45" s="555"/>
      <c r="J45" s="493" t="s">
        <v>231</v>
      </c>
      <c r="K45" s="494"/>
      <c r="L45" s="495">
        <f>+('AUTO MAADC MODEL'!AE57+'AUTO MAADC MODEL'!AE64)/C3</f>
        <v>0.86458014797418015</v>
      </c>
      <c r="M45" s="11"/>
      <c r="N45" s="555"/>
    </row>
    <row r="46" spans="1:14" ht="12.95">
      <c r="A46" s="9" t="s">
        <v>65</v>
      </c>
      <c r="B46" s="555"/>
      <c r="M46" s="555"/>
      <c r="N46" s="555"/>
    </row>
    <row r="47" spans="1:14" s="11" customFormat="1" ht="12.95">
      <c r="A47" s="216" t="s">
        <v>405</v>
      </c>
      <c r="B47" s="216"/>
      <c r="C47" s="218"/>
      <c r="D47" s="218"/>
      <c r="E47" s="218"/>
      <c r="F47" s="218"/>
      <c r="G47" s="219"/>
      <c r="H47" s="35"/>
      <c r="I47" s="2"/>
      <c r="J47" s="4"/>
      <c r="K47" s="35"/>
      <c r="L47" s="35"/>
    </row>
    <row r="48" spans="1:14" s="11" customFormat="1" ht="12.95">
      <c r="A48" s="216" t="s">
        <v>233</v>
      </c>
      <c r="B48" s="216"/>
      <c r="C48" s="218"/>
      <c r="D48" s="218"/>
      <c r="E48" s="218"/>
      <c r="F48" s="218"/>
      <c r="G48" s="219"/>
      <c r="H48" s="35"/>
      <c r="I48" s="2"/>
      <c r="J48" s="4"/>
      <c r="K48" s="35"/>
      <c r="L48" s="35"/>
    </row>
    <row r="49" spans="1:12" s="11" customFormat="1" ht="12.95">
      <c r="A49" s="216" t="s">
        <v>234</v>
      </c>
      <c r="B49" s="216"/>
      <c r="C49" s="218"/>
      <c r="D49" s="218"/>
      <c r="E49" s="218"/>
      <c r="F49" s="218"/>
      <c r="G49" s="219"/>
      <c r="H49" s="35"/>
      <c r="I49" s="2"/>
      <c r="J49" s="40"/>
      <c r="K49" s="35"/>
      <c r="L49" s="35"/>
    </row>
    <row r="50" spans="1:12" s="11" customFormat="1" ht="12.95">
      <c r="A50" s="11" t="s">
        <v>235</v>
      </c>
      <c r="C50" s="23"/>
      <c r="D50" s="23"/>
      <c r="E50" s="23"/>
      <c r="F50" s="23"/>
      <c r="G50" s="38"/>
      <c r="H50" s="35"/>
      <c r="I50" s="2"/>
      <c r="J50" s="40"/>
      <c r="K50" s="35"/>
      <c r="L50" s="35"/>
    </row>
    <row r="51" spans="1:12" s="11" customFormat="1" ht="12.95">
      <c r="A51" s="216" t="s">
        <v>236</v>
      </c>
      <c r="B51" s="216"/>
      <c r="C51" s="218"/>
      <c r="D51" s="218"/>
      <c r="E51" s="218"/>
      <c r="F51" s="218"/>
      <c r="G51" s="219"/>
      <c r="H51" s="35"/>
      <c r="I51" s="2"/>
      <c r="J51" s="40"/>
      <c r="K51" s="35"/>
      <c r="L51" s="35"/>
    </row>
    <row r="52" spans="1:12" s="11" customFormat="1" ht="12.95">
      <c r="A52" s="216" t="s">
        <v>237</v>
      </c>
      <c r="B52" s="216"/>
      <c r="C52" s="218"/>
      <c r="D52" s="218"/>
      <c r="E52" s="218"/>
      <c r="F52" s="218"/>
      <c r="G52" s="219"/>
      <c r="H52" s="39"/>
      <c r="I52" s="2"/>
      <c r="J52" s="4"/>
      <c r="K52" s="35"/>
      <c r="L52" s="35"/>
    </row>
    <row r="53" spans="1:12" s="11" customFormat="1" ht="12.95">
      <c r="A53" s="220" t="s">
        <v>238</v>
      </c>
      <c r="C53" s="23"/>
      <c r="D53" s="23"/>
      <c r="E53" s="23"/>
      <c r="F53" s="23"/>
      <c r="G53" s="38"/>
      <c r="H53" s="39"/>
      <c r="I53" s="2"/>
      <c r="J53" s="4"/>
      <c r="K53" s="35"/>
      <c r="L53" s="35"/>
    </row>
    <row r="54" spans="1:12" s="11" customFormat="1" ht="12.95">
      <c r="A54" s="40" t="s">
        <v>239</v>
      </c>
      <c r="C54" s="23"/>
      <c r="D54" s="23"/>
      <c r="E54" s="23"/>
      <c r="F54" s="23"/>
      <c r="G54" s="38"/>
      <c r="H54" s="39"/>
      <c r="I54" s="2"/>
      <c r="J54" s="4"/>
      <c r="K54" s="35"/>
      <c r="L54" s="35"/>
    </row>
    <row r="55" spans="1:12" s="11" customFormat="1" ht="7.7" customHeight="1">
      <c r="C55" s="23"/>
      <c r="D55" s="23"/>
      <c r="E55" s="23"/>
      <c r="F55" s="23"/>
      <c r="G55" s="38"/>
      <c r="H55" s="35"/>
      <c r="I55" s="2"/>
      <c r="J55" s="40"/>
      <c r="K55" s="35"/>
      <c r="L55" s="35"/>
    </row>
    <row r="56" spans="1:12" s="11" customFormat="1" ht="12.95">
      <c r="A56" s="40" t="s">
        <v>240</v>
      </c>
      <c r="C56" s="23"/>
      <c r="D56" s="23"/>
      <c r="E56" s="23"/>
      <c r="F56" s="23"/>
      <c r="G56" s="38"/>
      <c r="H56" s="35"/>
      <c r="I56" s="2"/>
      <c r="J56" s="4"/>
      <c r="K56" s="35"/>
      <c r="L56" s="35"/>
    </row>
    <row r="57" spans="1:12" ht="12.95">
      <c r="A57" s="40" t="s">
        <v>406</v>
      </c>
      <c r="B57" s="555"/>
    </row>
  </sheetData>
  <pageMargins left="0.7" right="0.7" top="0.75" bottom="0.75" header="0.3" footer="0.3"/>
  <pageSetup orientation="portrait" horizontalDpi="300" verticalDpi="0" copies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CCC3-D6EA-4896-BED8-5ABFF59A7426}">
  <dimension ref="A1:AI100"/>
  <sheetViews>
    <sheetView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425781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407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f>+E4</f>
        <v>10000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9024.5715339016006</v>
      </c>
      <c r="J15" s="555"/>
      <c r="K15" s="119">
        <f>+I15+I16</f>
        <v>9041.0288814772794</v>
      </c>
      <c r="L15" s="119"/>
      <c r="M15" s="555"/>
      <c r="N15" s="42">
        <f>+(K15)*DENSITY!C9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58.510393656567949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16.457347575678348</v>
      </c>
      <c r="J16" s="555"/>
      <c r="K16" s="42"/>
      <c r="L16" s="42"/>
      <c r="M16" s="555"/>
      <c r="N16" s="42">
        <f>+(K15)*DENSITY!D9</f>
        <v>250.19001721442092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336.09032193343103</v>
      </c>
      <c r="AB16" s="125">
        <f>+E11+N31+N39+V14</f>
        <v>336.09032193343103</v>
      </c>
      <c r="AC16" s="42"/>
      <c r="AD16" s="42">
        <f>+AB16*DENSITY!E14</f>
        <v>59.881242515810307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+(K15)*DENSITY!E9</f>
        <v>4599.0484369071246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217.69868576105279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10113.242066018694</v>
      </c>
      <c r="H18" s="125">
        <f>+E7</f>
        <v>10000</v>
      </c>
      <c r="J18" s="555"/>
      <c r="M18" s="555"/>
      <c r="N18" s="42">
        <f>+(K15)*DENSITY!F9</f>
        <v>4191.7904273557342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+(K15)*DENSITY!G9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1.3776554909938095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1.7788063667607659</v>
      </c>
      <c r="H21" s="129">
        <f>H18*ACCEPT!F6</f>
        <v>661.97249336542848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6.8900637994589902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288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272.99148737236101</v>
      </c>
      <c r="T24" s="125">
        <f>+E10+N16+N42+W16</f>
        <v>267.42683387148077</v>
      </c>
      <c r="U24" s="20"/>
      <c r="V24" s="42"/>
      <c r="W24" s="42">
        <f>+V25*DENSITY!E10</f>
        <v>142.17730104167075</v>
      </c>
      <c r="X24" s="44" t="s">
        <v>251</v>
      </c>
      <c r="Y24" s="42"/>
      <c r="Z24" s="42"/>
      <c r="AA24" s="124">
        <f>+AB24</f>
        <v>65.400457456026942</v>
      </c>
      <c r="AB24" s="125">
        <f>+E12+V22+AD15</f>
        <v>65.400457456026942</v>
      </c>
      <c r="AC24" s="42"/>
      <c r="AD24" s="42">
        <f>+AB24*DENSITY!E15</f>
        <v>52.941640711039156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663.7512997321893</v>
      </c>
      <c r="H25" s="125">
        <f>+H21+E8</f>
        <v>661.97249336542848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260.5367700720218</v>
      </c>
      <c r="W25" s="42">
        <f>+V25*DENSITY!F10</f>
        <v>118.35946903035104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12.458816744987786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 t="s">
        <v>45</v>
      </c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16.858498451445303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3.5931888608567553E-2</v>
      </c>
      <c r="H28" s="91">
        <f>+J28</f>
        <v>13.371844365981701</v>
      </c>
      <c r="I28" s="50">
        <f>+G21-K29</f>
        <v>3.5931888608567553E-2</v>
      </c>
      <c r="J28" s="591">
        <f>+H25-L29</f>
        <v>13.371844365981701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1.7428744781521983</v>
      </c>
      <c r="L29" s="593">
        <f>+H25*(MISC!E6)</f>
        <v>648.60064899944678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289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223.02836182964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1.1039155175546262</v>
      </c>
      <c r="N31" s="138">
        <f>+M31+M32</f>
        <v>1.106881882427295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1.3776554909938095</v>
      </c>
      <c r="D32" s="142">
        <f>+D36</f>
        <v>1.3776554909938095</v>
      </c>
      <c r="E32" s="555"/>
      <c r="F32" s="555"/>
      <c r="G32" s="125">
        <f>+I28+H32</f>
        <v>13.407776254590269</v>
      </c>
      <c r="H32" s="125">
        <f>+J28</f>
        <v>13.371844365981701</v>
      </c>
      <c r="I32" s="50"/>
      <c r="J32" s="594"/>
      <c r="K32" s="42"/>
      <c r="L32" s="42"/>
      <c r="M32" s="143">
        <f>+I28*MISC!E5</f>
        <v>2.9663648726687779E-3</v>
      </c>
      <c r="N32" s="17"/>
      <c r="O32" s="17"/>
      <c r="P32" s="41"/>
      <c r="Q32" s="93"/>
      <c r="R32" s="42"/>
      <c r="S32" s="125">
        <f>+T32*(1+DENSITY!B13)</f>
        <v>5071.697406869911</v>
      </c>
      <c r="T32" s="140">
        <f>+K8+N17+N43+N48+N75+W17+W24</f>
        <v>5058.0767281942062</v>
      </c>
      <c r="U32" s="42"/>
      <c r="X32" s="555"/>
      <c r="AA32" s="125">
        <f>+AB32</f>
        <v>335.85124505648946</v>
      </c>
      <c r="AB32" s="140">
        <f>+Q7+N64+N72+V30+AD16+AD24</f>
        <v>335.85124505648946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4835.0483663645664</v>
      </c>
      <c r="W33" s="42">
        <f>+V33*DENSITY!$F$13</f>
        <v>418.14211573069315</v>
      </c>
      <c r="X33" s="44" t="s">
        <v>254</v>
      </c>
      <c r="AA33" s="146"/>
      <c r="AB33" s="145"/>
      <c r="AC33" s="42"/>
      <c r="AD33" s="42">
        <f>+AB32*DENSITY!F16</f>
        <v>147.08430330122536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4416.9062506338742</v>
      </c>
      <c r="X34" s="44" t="s">
        <v>257</v>
      </c>
      <c r="AA34" s="555"/>
      <c r="AB34" s="555"/>
      <c r="AC34" s="42"/>
      <c r="AD34" s="42">
        <f>+AB32*DENSITY!G16</f>
        <v>188.7669417552641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3.2965523735898776E-2</v>
      </c>
      <c r="H35" s="91">
        <f>+J35</f>
        <v>12.267928848427076</v>
      </c>
      <c r="I35" s="50">
        <f>+I28-M32</f>
        <v>3.2965523735898776E-2</v>
      </c>
      <c r="J35" s="42">
        <f>+J28-M31</f>
        <v>12.267928848427076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1.3776554909938095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288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309.15935660202905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671.98310736251369</v>
      </c>
      <c r="H39" s="125">
        <f>+J35+L29</f>
        <v>660.86857784787389</v>
      </c>
      <c r="J39" s="555"/>
      <c r="K39" s="42"/>
      <c r="L39" s="148">
        <f>+H39*ACCEPT!C13</f>
        <v>20.715320291796026</v>
      </c>
      <c r="M39" s="555"/>
      <c r="N39" s="149">
        <f>+L39+L40+'MACH MAADC MODEL'!H18*ACCEPT!G6</f>
        <v>334.98344005100375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9.3386895127516585</v>
      </c>
      <c r="F40" s="555"/>
      <c r="G40" s="128"/>
      <c r="H40" s="127"/>
      <c r="J40" s="555"/>
      <c r="L40" s="148">
        <f>+(G39-H39)*(1-ACCEPT!C9)</f>
        <v>0.81214702623707291</v>
      </c>
      <c r="M40" s="555"/>
      <c r="N40" s="42"/>
      <c r="O40" s="46"/>
      <c r="P40" s="46"/>
      <c r="Q40" s="139"/>
      <c r="R40" s="42"/>
      <c r="S40" s="125">
        <f>+T40</f>
        <v>5017.0850018035972</v>
      </c>
      <c r="T40" s="140">
        <f>+K9+N18+N44+N49+N76+W18+W25+W33</f>
        <v>5017.0850018035972</v>
      </c>
      <c r="U40" s="42"/>
      <c r="V40" s="42"/>
      <c r="W40" s="46"/>
      <c r="X40" s="42"/>
      <c r="AA40" s="125">
        <f>+AB40</f>
        <v>686.40116240929501</v>
      </c>
      <c r="AB40" s="140">
        <f>+Q8+V38+AD33+AD25+AD17</f>
        <v>686.40116240929501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+J42*DENSITY!C9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4707.9256452015679</v>
      </c>
      <c r="W41" s="44" t="s">
        <v>257</v>
      </c>
      <c r="X41" s="42"/>
      <c r="AA41" s="146"/>
      <c r="AB41" s="145"/>
      <c r="AC41" s="555"/>
      <c r="AD41" s="42">
        <f>+AB40</f>
        <v>686.40116240929501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612.57841410088702</v>
      </c>
      <c r="J42" s="150">
        <f>+H42+H43</f>
        <v>622.88079658928973</v>
      </c>
      <c r="M42" s="555"/>
      <c r="N42" s="42">
        <f>+J42*DENSITY!D9</f>
        <v>17.236816657059833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10.302382488402726</v>
      </c>
      <c r="J43" s="555"/>
      <c r="M43" s="555"/>
      <c r="N43" s="42">
        <f>+J42*DENSITY!E9</f>
        <v>316.85099024541108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+J42*DENSITY!F9</f>
        <v>288.79298968681877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+J42*DENSITY!G9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18.489688283986499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320.88506959936382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320.88506959936382</v>
      </c>
      <c r="X49" s="140">
        <f>+V48</f>
        <v>320.88506959936382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302.39538131537734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9124.831895835443</v>
      </c>
      <c r="T56" s="140">
        <f>+K10+N19+N45+N50+N77+W19+W26+W34+V41</f>
        <v>9124.831895835443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212.53600012673087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8803.9468262360788</v>
      </c>
      <c r="W63" s="125">
        <f>+X63+X63*ACCEPT!C20</f>
        <v>17480.448540448477</v>
      </c>
      <c r="X63" s="140">
        <f>+V63</f>
        <v>8803.9468262360788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8591.4108261093479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1106.1937925752763</v>
      </c>
      <c r="AB74" s="140">
        <f>+Q9+AD41+AD34+AD26+AD18+Z47+Z54+Z61+Z67</f>
        <v>1106.1937925752763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1106.1937925752763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300" verticalDpi="0" copies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pageSetUpPr fitToPage="1"/>
  </sheetPr>
  <dimension ref="A1:N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407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+'MACH MAADC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  <c r="N3" s="555"/>
    </row>
    <row r="4" spans="1:14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  <c r="N4" s="555"/>
    </row>
    <row r="5" spans="1:14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  <c r="N5" s="17"/>
    </row>
    <row r="6" spans="1:14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  <c r="N6" s="17"/>
    </row>
    <row r="7" spans="1:14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  <c r="N7" s="555"/>
    </row>
    <row r="8" spans="1:14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  <c r="N8" s="555"/>
    </row>
    <row r="9" spans="1:14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  <c r="N9" s="555"/>
    </row>
    <row r="10" spans="1:14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  <c r="N10" s="555"/>
    </row>
    <row r="11" spans="1:14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3"/>
      <c r="N11" s="555"/>
    </row>
    <row r="12" spans="1:14" ht="12.95">
      <c r="A12" s="11" t="s">
        <v>208</v>
      </c>
      <c r="B12" s="555"/>
      <c r="H12" s="3"/>
      <c r="I12" s="3"/>
      <c r="K12" s="3"/>
      <c r="L12" s="3"/>
      <c r="M12" s="3"/>
      <c r="N12" s="555"/>
    </row>
    <row r="13" spans="1:14">
      <c r="A13" s="17"/>
      <c r="B13" s="555" t="s">
        <v>209</v>
      </c>
      <c r="C13" s="22">
        <f>+'MACH MAADC MODEL'!G18</f>
        <v>10113.242066018694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1.2679500224302709</v>
      </c>
      <c r="M13" s="3"/>
      <c r="N13" s="18"/>
    </row>
    <row r="14" spans="1:14">
      <c r="A14" s="17"/>
      <c r="B14" s="555" t="s">
        <v>210</v>
      </c>
      <c r="C14" s="22">
        <f>+'MACH MAADC MODEL'!G25</f>
        <v>663.7512997321893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1.8511719116825594E-2</v>
      </c>
      <c r="M14" s="555"/>
      <c r="N14" s="555"/>
    </row>
    <row r="15" spans="1:14">
      <c r="A15" s="17"/>
      <c r="B15" s="555" t="s">
        <v>212</v>
      </c>
      <c r="C15" s="22">
        <f>+'MACH MAADC MODEL'!G32</f>
        <v>13.407776254590269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1.0993509106638329E-2</v>
      </c>
      <c r="M15" s="3"/>
      <c r="N15" s="555"/>
    </row>
    <row r="16" spans="1:14">
      <c r="A16" s="17"/>
      <c r="B16" s="555" t="s">
        <v>213</v>
      </c>
      <c r="C16" s="22">
        <f>+'MACH MAADC MODEL'!G39</f>
        <v>671.98310736251369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8.4250034804960169E-2</v>
      </c>
      <c r="M16" s="3"/>
      <c r="N16" s="555"/>
    </row>
    <row r="17" spans="1:13">
      <c r="A17" s="17"/>
      <c r="B17" s="555" t="s">
        <v>214</v>
      </c>
      <c r="C17" s="22">
        <f>+'MACH MAADC MODEL'!C32</f>
        <v>1.3776554909938095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1.2045444888989056E-3</v>
      </c>
      <c r="M17" s="3"/>
    </row>
    <row r="18" spans="1:13" ht="12.95">
      <c r="A18" s="11" t="s">
        <v>215</v>
      </c>
      <c r="B18" s="555"/>
      <c r="H18" s="3"/>
      <c r="I18" s="3"/>
      <c r="K18" s="3"/>
      <c r="L18" s="3"/>
      <c r="M18" s="555"/>
    </row>
    <row r="19" spans="1:13">
      <c r="A19" s="17"/>
      <c r="B19" s="555" t="s">
        <v>216</v>
      </c>
      <c r="C19" s="22">
        <f>+'MACH MAADC MODEL'!S16</f>
        <v>149.74514166615191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1.8774331168478372E-2</v>
      </c>
      <c r="M19" s="3"/>
    </row>
    <row r="20" spans="1:13">
      <c r="A20" s="17"/>
      <c r="B20" s="555" t="s">
        <v>217</v>
      </c>
      <c r="C20" s="22">
        <f>+'MACH MAADC MODEL'!AA16</f>
        <v>340.19099614938511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0.35633490411556124</v>
      </c>
      <c r="M20" s="3"/>
    </row>
    <row r="21" spans="1:13" ht="12.95">
      <c r="A21" s="11" t="s">
        <v>218</v>
      </c>
      <c r="B21" s="555"/>
      <c r="H21" s="3"/>
      <c r="I21" s="3"/>
      <c r="K21" s="3"/>
      <c r="L21" s="3"/>
      <c r="M21" s="3"/>
    </row>
    <row r="22" spans="1:13">
      <c r="A22" s="17"/>
      <c r="B22" s="555" t="s">
        <v>216</v>
      </c>
      <c r="C22" s="22">
        <f>+'MACH MAADC MODEL'!S24</f>
        <v>1882.3604094487564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0.29636489037504421</v>
      </c>
      <c r="M22" s="3"/>
    </row>
    <row r="23" spans="1:13">
      <c r="A23" s="17"/>
      <c r="B23" s="555" t="s">
        <v>217</v>
      </c>
      <c r="C23" s="22">
        <f>+'MACH MAADC MODEL'!AA24</f>
        <v>106.73339787962408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6.4872182813375104E-2</v>
      </c>
      <c r="M23" s="3"/>
    </row>
    <row r="24" spans="1:13" ht="12.95">
      <c r="A24" s="11" t="s">
        <v>219</v>
      </c>
      <c r="B24" s="555"/>
      <c r="H24" s="3"/>
      <c r="I24" s="3"/>
      <c r="K24" s="3"/>
      <c r="L24" s="3"/>
      <c r="M24" s="555"/>
    </row>
    <row r="25" spans="1:13">
      <c r="A25" s="17"/>
      <c r="B25" s="555" t="s">
        <v>209</v>
      </c>
      <c r="C25" s="22">
        <f>+'MACH MAADC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  <c r="M25" s="3"/>
    </row>
    <row r="26" spans="1:13">
      <c r="A26" s="17"/>
      <c r="B26" s="555" t="s">
        <v>210</v>
      </c>
      <c r="C26" s="22">
        <f>+'MACH MAADC MODEL'!G58</f>
        <v>0</v>
      </c>
      <c r="E26" s="163" t="s">
        <v>211</v>
      </c>
      <c r="F26" s="163"/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  <c r="M26" s="555"/>
    </row>
    <row r="27" spans="1:13">
      <c r="A27" s="17"/>
      <c r="B27" s="555" t="s">
        <v>212</v>
      </c>
      <c r="C27" s="22">
        <f>+'MACH MAADC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  <c r="M27" s="3"/>
    </row>
    <row r="28" spans="1:13">
      <c r="A28" s="17"/>
      <c r="B28" s="555" t="s">
        <v>213</v>
      </c>
      <c r="C28" s="22">
        <f>+'MACH MAADC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  <c r="M28" s="3"/>
    </row>
    <row r="29" spans="1:13">
      <c r="A29" s="17"/>
      <c r="B29" s="555" t="s">
        <v>214</v>
      </c>
      <c r="C29" s="22">
        <f>+'MACH MAADC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  <c r="M29" s="3"/>
    </row>
    <row r="30" spans="1:13" ht="12.95">
      <c r="A30" s="11" t="s">
        <v>220</v>
      </c>
      <c r="B30" s="555"/>
      <c r="H30" s="3"/>
      <c r="I30" s="3"/>
      <c r="K30" s="3"/>
      <c r="L30" s="3"/>
      <c r="M30" s="555"/>
    </row>
    <row r="31" spans="1:13">
      <c r="A31" s="17"/>
      <c r="B31" s="555" t="s">
        <v>58</v>
      </c>
      <c r="C31" s="22">
        <f>+'MACH MAADC MODEL'!S32</f>
        <v>3903.0162292890664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0.63435700136845652</v>
      </c>
      <c r="M31" s="3"/>
    </row>
    <row r="32" spans="1:13">
      <c r="A32" s="17"/>
      <c r="B32" s="555" t="s">
        <v>221</v>
      </c>
      <c r="C32" s="22">
        <f>+'MACH MAADC MODEL'!AA32</f>
        <v>318.64799640203131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0.17358004671399493</v>
      </c>
      <c r="M32" s="3"/>
    </row>
    <row r="33" spans="1:13" ht="12.95">
      <c r="A33" s="11" t="s">
        <v>222</v>
      </c>
      <c r="B33" s="555"/>
      <c r="H33" s="3"/>
      <c r="I33" s="3"/>
      <c r="K33" s="3"/>
      <c r="L33" s="3"/>
      <c r="M33" s="3"/>
    </row>
    <row r="34" spans="1:13">
      <c r="A34" s="17"/>
      <c r="B34" s="555" t="s">
        <v>216</v>
      </c>
      <c r="C34" s="22">
        <f>+'MACH MAADC MODEL'!S40</f>
        <v>6041.554509083986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0.50865003175992374</v>
      </c>
      <c r="M34" s="3"/>
    </row>
    <row r="35" spans="1:13">
      <c r="A35" s="17"/>
      <c r="B35" s="555" t="s">
        <v>217</v>
      </c>
      <c r="C35" s="22">
        <f>+'MACH MAADC MODEL'!AA40</f>
        <v>752.52635264583284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0.44951197306217588</v>
      </c>
      <c r="M35" s="3"/>
    </row>
    <row r="36" spans="1:13" ht="12.95">
      <c r="A36" s="11" t="s">
        <v>223</v>
      </c>
      <c r="B36" s="555"/>
      <c r="H36" s="3"/>
      <c r="I36" s="3"/>
      <c r="K36" s="3"/>
      <c r="L36" s="3"/>
      <c r="M36" s="3"/>
    </row>
    <row r="37" spans="1:13">
      <c r="A37" s="555"/>
      <c r="B37" s="555" t="s">
        <v>224</v>
      </c>
      <c r="C37" s="22">
        <f>+'MACH MAADC MODEL'!W49</f>
        <v>318.89972976859082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2.0864588967051803E-2</v>
      </c>
      <c r="M37" s="3"/>
    </row>
    <row r="38" spans="1:13">
      <c r="A38" s="555"/>
      <c r="B38" s="555" t="s">
        <v>225</v>
      </c>
      <c r="C38" s="22">
        <f>+'MACH MAADC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3"/>
    </row>
    <row r="39" spans="1:13">
      <c r="A39" s="555"/>
      <c r="B39" s="555" t="s">
        <v>226</v>
      </c>
      <c r="C39" s="22">
        <f>+'MACH MAADC MODEL'!W63</f>
        <v>17372.295703077576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2.153836332683583</v>
      </c>
      <c r="M39" s="3"/>
    </row>
    <row r="40" spans="1:13">
      <c r="A40" s="555"/>
      <c r="B40" s="555" t="s">
        <v>227</v>
      </c>
      <c r="C40" s="22">
        <f>+'MACH MAADC MODEL'!AA74*(1-MISC!E9)</f>
        <v>1161.2204341476686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0.94765401020284135</v>
      </c>
      <c r="M40" s="3"/>
    </row>
    <row r="41" spans="1:13">
      <c r="A41" s="555"/>
      <c r="B41" s="555" t="s">
        <v>228</v>
      </c>
      <c r="C41" s="22">
        <f>+MISC!E10*('MACH MAADC MODEL'!AE64+'MACH MAADC MODEL'!AE57)</f>
        <v>391.34665855753946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0.13236051723826278</v>
      </c>
      <c r="M41" s="3"/>
    </row>
    <row r="42" spans="1:13">
      <c r="A42" s="552"/>
      <c r="B42" s="552" t="s">
        <v>229</v>
      </c>
      <c r="C42" s="71">
        <f>+MISC!E10*('MACH MAADC MODEL'!AE75+'MACH MAADC MODEL'!AE50)</f>
        <v>66.998346040375878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4.5320104526756395E-2</v>
      </c>
      <c r="M42" s="489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7.1853907449431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+('MACH MAADC MODEL'!AE57+'MACH MAADC MODEL'!AE64)/C3</f>
        <v>0.85382551272888774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408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409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73" firstPageNumber="21" orientation="portrait" useFirstPageNumber="1" horizontalDpi="4294967292" r:id="rId1"/>
  <headerFooter alignWithMargins="0">
    <oddHeader>&amp;RPage 19</oddHeader>
  </headerFooter>
  <ignoredErrors>
    <ignoredError sqref="K14 K2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0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8.85546875" customWidth="1"/>
    <col min="14" max="14" width="8.425781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407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f>+E4</f>
        <v>10000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4.1006742159540917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9024.5715339016006</v>
      </c>
      <c r="J15" s="555"/>
      <c r="K15" s="119">
        <f>+I15+I16</f>
        <v>9041.0288814772794</v>
      </c>
      <c r="L15" s="119"/>
      <c r="M15" s="555"/>
      <c r="N15" s="42">
        <f>+(K15)*DENSITY!C7</f>
        <v>134.54379239645118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59.224285271335525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16.457347575678348</v>
      </c>
      <c r="J16" s="555"/>
      <c r="K16" s="42"/>
      <c r="L16" s="42"/>
      <c r="M16" s="555"/>
      <c r="N16" s="42">
        <f>+(K15)*DENSITY!D7</f>
        <v>1787.7061728758399</v>
      </c>
      <c r="O16" s="44" t="s">
        <v>256</v>
      </c>
      <c r="P16" s="17"/>
      <c r="Q16" s="139"/>
      <c r="S16" s="124">
        <f>+T16*(1+DENSITY!B9)</f>
        <v>149.74514166615191</v>
      </c>
      <c r="T16" s="125">
        <f>+E9+N15+N41</f>
        <v>149.16431187315885</v>
      </c>
      <c r="U16" s="20"/>
      <c r="V16" s="42"/>
      <c r="W16" s="42">
        <f>+V17*DENSITY!D9</f>
        <v>4.0143079375621156</v>
      </c>
      <c r="X16" s="44" t="s">
        <v>256</v>
      </c>
      <c r="Y16" s="42"/>
      <c r="Z16" s="42"/>
      <c r="AA16" s="124">
        <f>+AB16</f>
        <v>340.19099614938511</v>
      </c>
      <c r="AB16" s="125">
        <f>+E11+N31+N39+V14</f>
        <v>340.19099614938511</v>
      </c>
      <c r="AC16" s="42"/>
      <c r="AD16" s="42">
        <f>+AB16*DENSITY!E14</f>
        <v>60.611860005154476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2616.8622636854102</v>
      </c>
      <c r="O17" s="44" t="s">
        <v>251</v>
      </c>
      <c r="P17" s="17"/>
      <c r="Q17" s="139"/>
      <c r="S17" s="126"/>
      <c r="T17" s="127"/>
      <c r="U17" s="20"/>
      <c r="V17" s="42">
        <f>+T16*ACCEPT!C15</f>
        <v>145.06363765720477</v>
      </c>
      <c r="W17" s="42">
        <f>+V17*DENSITY!E9</f>
        <v>73.791899657156918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220.35485087289513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10113.242066018694</v>
      </c>
      <c r="H18" s="125">
        <f>+E7</f>
        <v>10000</v>
      </c>
      <c r="J18" s="555"/>
      <c r="M18" s="555"/>
      <c r="N18" s="42">
        <f>+(K15)*DENSITY!F7</f>
        <v>4501.9166525195778</v>
      </c>
      <c r="O18" s="44" t="s">
        <v>254</v>
      </c>
      <c r="Q18" s="58"/>
      <c r="S18" s="555"/>
      <c r="T18" s="555"/>
      <c r="U18" s="555"/>
      <c r="W18" s="42">
        <f>+V17*DENSITY!F9</f>
        <v>67.257430062485724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1.3776554909938095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1.7788063667607659</v>
      </c>
      <c r="H21" s="129">
        <f>H18*ACCEPT!F6</f>
        <v>661.97249336542848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47.509112608288547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288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1882.3604094487564</v>
      </c>
      <c r="T24" s="125">
        <f>+E10+N16+N42+W16</f>
        <v>1843.9904091854521</v>
      </c>
      <c r="U24" s="20"/>
      <c r="V24" s="42"/>
      <c r="W24" s="42">
        <f>+V25*DENSITY!E10</f>
        <v>980.35629308130024</v>
      </c>
      <c r="X24" s="44" t="s">
        <v>251</v>
      </c>
      <c r="Y24" s="42"/>
      <c r="Z24" s="42"/>
      <c r="AA24" s="124">
        <f>+AB24</f>
        <v>106.73339787962408</v>
      </c>
      <c r="AB24" s="125">
        <f>+E12+V22+AD15</f>
        <v>106.73339787962408</v>
      </c>
      <c r="AC24" s="42"/>
      <c r="AD24" s="42">
        <f>+AB24*DENSITY!E15</f>
        <v>86.400637277051871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663.7512997321893</v>
      </c>
      <c r="H25" s="125">
        <f>+H21+E8</f>
        <v>661.97249336542848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1796.4812965771634</v>
      </c>
      <c r="W25" s="42">
        <f>+V25*DENSITY!F10</f>
        <v>816.12500349586298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20.332760602572204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 t="s">
        <v>45</v>
      </c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16.858498451445303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3.5931888608567553E-2</v>
      </c>
      <c r="H28" s="91">
        <f>+J28</f>
        <v>13.371844365981701</v>
      </c>
      <c r="I28" s="50">
        <f>+G21-K29</f>
        <v>3.5931888608567553E-2</v>
      </c>
      <c r="J28" s="591">
        <f>+H25-L29</f>
        <v>13.371844365981701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1.7428744781521983</v>
      </c>
      <c r="L29" s="593">
        <f>+H25*(MISC!E6)</f>
        <v>648.60064899944678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289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171.63549911982494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43">
        <f>+J28*MISC!E5</f>
        <v>1.1039155175546262</v>
      </c>
      <c r="N31" s="353">
        <f>+M31+M32</f>
        <v>1.106881882427295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1.3776554909938095</v>
      </c>
      <c r="D32" s="142">
        <f>+D36</f>
        <v>1.3776554909938095</v>
      </c>
      <c r="E32" s="555"/>
      <c r="F32" s="555"/>
      <c r="G32" s="125">
        <f>+I28+H32</f>
        <v>13.407776254590269</v>
      </c>
      <c r="H32" s="125">
        <f>+J28</f>
        <v>13.371844365981701</v>
      </c>
      <c r="I32" s="50"/>
      <c r="J32" s="594"/>
      <c r="K32" s="42"/>
      <c r="L32" s="42"/>
      <c r="M32" s="143">
        <f>+I28*MISC!E5</f>
        <v>2.9663648726687779E-3</v>
      </c>
      <c r="N32" s="17"/>
      <c r="O32" s="17"/>
      <c r="P32" s="41"/>
      <c r="Q32" s="93"/>
      <c r="R32" s="42"/>
      <c r="S32" s="125">
        <f>+T32*(1+DENSITY!B13)</f>
        <v>3903.0162292890664</v>
      </c>
      <c r="T32" s="140">
        <f>+K8+N17+N43+N48+N75+W17+W24</f>
        <v>3892.5341903067729</v>
      </c>
      <c r="U32" s="42"/>
      <c r="X32" s="555"/>
      <c r="AA32" s="125">
        <f>+AB32</f>
        <v>318.64799640203131</v>
      </c>
      <c r="AB32" s="140">
        <f>+Q7+N64+N72+V30+AD16+AD24</f>
        <v>318.64799640203131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3720.8986911869479</v>
      </c>
      <c r="W33" s="42">
        <f>+V33*DENSITY!$F$13</f>
        <v>321.78880814843205</v>
      </c>
      <c r="X33" s="44" t="s">
        <v>254</v>
      </c>
      <c r="AA33" s="146"/>
      <c r="AB33" s="145"/>
      <c r="AC33" s="42"/>
      <c r="AD33" s="42">
        <f>+AB32*DENSITY!F16</f>
        <v>139.55023016586117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3399.1098830385167</v>
      </c>
      <c r="X34" s="44" t="s">
        <v>257</v>
      </c>
      <c r="AA34" s="555"/>
      <c r="AB34" s="555"/>
      <c r="AC34" s="42"/>
      <c r="AD34" s="42">
        <f>+AB32*DENSITY!G16</f>
        <v>179.09776623617014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3.2965523735898776E-2</v>
      </c>
      <c r="H35" s="91">
        <f>+J35</f>
        <v>12.267928848427076</v>
      </c>
      <c r="I35" s="50">
        <f>+I28-M32</f>
        <v>3.2965523735898776E-2</v>
      </c>
      <c r="J35" s="42">
        <f>+J28-M31</f>
        <v>12.267928848427076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1.3776554909938095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288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372.28851100450441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671.98310736251369</v>
      </c>
      <c r="H39" s="125">
        <f>+J35+L29</f>
        <v>660.86857784787389</v>
      </c>
      <c r="J39" s="555"/>
      <c r="K39" s="42"/>
      <c r="L39" s="148">
        <f>+H39*ACCEPT!C13</f>
        <v>20.715320291796026</v>
      </c>
      <c r="M39" s="555"/>
      <c r="N39" s="149">
        <f>+L39+L40+'MACH MAADC MODEL'!H18*ACCEPT!G6</f>
        <v>334.98344005100375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9.3386895127516585</v>
      </c>
      <c r="F40" s="555"/>
      <c r="G40" s="128"/>
      <c r="H40" s="127"/>
      <c r="J40" s="555"/>
      <c r="L40" s="148">
        <f>+(G39-H39)*(1-ACCEPT!C9)</f>
        <v>0.81214702623707291</v>
      </c>
      <c r="M40" s="555"/>
      <c r="N40" s="42"/>
      <c r="O40" s="46"/>
      <c r="P40" s="46"/>
      <c r="Q40" s="139"/>
      <c r="R40" s="42"/>
      <c r="S40" s="125">
        <f>+T40</f>
        <v>6041.554509083986</v>
      </c>
      <c r="T40" s="140">
        <f>+K9+N18+N44+N49+N76+W18+W25+W33</f>
        <v>6041.554509083986</v>
      </c>
      <c r="U40" s="42"/>
      <c r="V40" s="42"/>
      <c r="W40" s="46"/>
      <c r="X40" s="42"/>
      <c r="AA40" s="125">
        <f>+AB40</f>
        <v>752.52635264583284</v>
      </c>
      <c r="AB40" s="140">
        <f>+Q8+V38+AD33+AD25+AD17</f>
        <v>752.52635264583284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14.620519476707662</v>
      </c>
      <c r="O41" s="44" t="s">
        <v>253</v>
      </c>
      <c r="P41" s="46"/>
      <c r="Q41" s="58"/>
      <c r="S41" s="127"/>
      <c r="T41" s="145"/>
      <c r="U41" s="42"/>
      <c r="V41" s="42">
        <f>+T40*(ACCEPT!C18)</f>
        <v>5669.2659980794815</v>
      </c>
      <c r="W41" s="44" t="s">
        <v>257</v>
      </c>
      <c r="X41" s="42"/>
      <c r="AA41" s="146"/>
      <c r="AB41" s="145"/>
      <c r="AC41" s="555"/>
      <c r="AD41" s="42">
        <f>+AB40</f>
        <v>752.52635264583284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612.57841410088702</v>
      </c>
      <c r="J42" s="150">
        <f>+H42+H43</f>
        <v>622.88079658928973</v>
      </c>
      <c r="M42" s="555"/>
      <c r="N42" s="42">
        <f>+J42*DENSITY!D8</f>
        <v>52.269928372050131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10.302382488402726</v>
      </c>
      <c r="J43" s="555"/>
      <c r="M43" s="555"/>
      <c r="N43" s="42">
        <f>+J42*DENSITY!E8</f>
        <v>221.52373388290511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334.46661485762689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18.375291205136406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318.89972976859082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318.89972976859082</v>
      </c>
      <c r="X49" s="140">
        <f>+V48</f>
        <v>318.89972976859082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300.5244385634544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9068.3758811179978</v>
      </c>
      <c r="T56" s="140">
        <f>+K10+N19+N45+N50+N77+W19+W26+W34+V41</f>
        <v>9068.3758811179978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211.22102406052909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8749.4761513494068</v>
      </c>
      <c r="W63" s="125">
        <f>+X63+X63*ACCEPT!C20</f>
        <v>17372.295703077576</v>
      </c>
      <c r="X63" s="140">
        <f>+V63</f>
        <v>8749.4761513494068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8538.2551272888777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1161.2204341476686</v>
      </c>
      <c r="AB74" s="140">
        <f>+Q9+AD41+AD34+AD26+AD18+Z47+Z54+Z61+Z67</f>
        <v>1161.2204341476686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1161.2204341476686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22" orientation="portrait" useFirstPageNumber="1" horizontalDpi="4294967292" r:id="rId1"/>
  <headerFooter alignWithMargins="0">
    <oddHeader>&amp;RPage 20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9">
    <pageSetUpPr fitToPage="1"/>
  </sheetPr>
  <dimension ref="A1:L30"/>
  <sheetViews>
    <sheetView zoomScale="140" zoomScaleNormal="140" workbookViewId="0"/>
  </sheetViews>
  <sheetFormatPr defaultColWidth="9.140625" defaultRowHeight="12.95"/>
  <cols>
    <col min="1" max="1" width="8.7109375" customWidth="1"/>
    <col min="2" max="2" width="32.28515625" customWidth="1"/>
    <col min="3" max="3" width="10.7109375" customWidth="1"/>
    <col min="4" max="4" width="12.85546875" style="8" customWidth="1"/>
    <col min="5" max="5" width="14.140625" style="6" bestFit="1" customWidth="1"/>
    <col min="6" max="6" width="10.7109375" customWidth="1"/>
    <col min="7" max="11" width="10.7109375" style="6" customWidth="1"/>
    <col min="12" max="12" width="8.7109375" style="6" customWidth="1"/>
  </cols>
  <sheetData>
    <row r="1" spans="1:12" ht="18">
      <c r="A1" s="86" t="s">
        <v>410</v>
      </c>
      <c r="B1" s="78"/>
      <c r="C1" s="78"/>
      <c r="F1" s="1"/>
    </row>
    <row r="2" spans="1:12" ht="18">
      <c r="A2" s="86"/>
      <c r="B2" s="78"/>
      <c r="C2" s="78"/>
      <c r="F2" s="1"/>
    </row>
    <row r="3" spans="1:12" ht="18">
      <c r="A3" s="86"/>
      <c r="B3" s="78"/>
      <c r="C3" s="78"/>
      <c r="E3" s="8"/>
      <c r="F3" s="1"/>
    </row>
    <row r="4" spans="1:12" s="213" customFormat="1">
      <c r="A4" s="9" t="s">
        <v>177</v>
      </c>
      <c r="B4" s="212"/>
      <c r="C4" s="10" t="s">
        <v>411</v>
      </c>
      <c r="D4" s="14"/>
      <c r="E4" s="10"/>
      <c r="F4" s="10"/>
      <c r="G4" s="14"/>
      <c r="H4" s="10"/>
      <c r="I4" s="10"/>
      <c r="J4" s="10"/>
      <c r="K4" s="10"/>
      <c r="L4" s="10"/>
    </row>
    <row r="5" spans="1:12" s="213" customFormat="1">
      <c r="A5" s="9"/>
      <c r="B5" s="212"/>
      <c r="C5" s="10"/>
      <c r="D5" s="166"/>
      <c r="E5" s="290" t="s">
        <v>412</v>
      </c>
      <c r="F5" s="290" t="s">
        <v>413</v>
      </c>
      <c r="G5" s="291" t="s">
        <v>414</v>
      </c>
      <c r="H5" s="10"/>
      <c r="I5" s="10"/>
      <c r="J5" s="10"/>
      <c r="K5" s="10"/>
      <c r="L5" s="10"/>
    </row>
    <row r="6" spans="1:12" s="15" customFormat="1">
      <c r="A6" s="17" t="s">
        <v>415</v>
      </c>
      <c r="B6" s="259"/>
      <c r="C6" s="279">
        <f>[4]Letters!C6</f>
        <v>0.90245715339016008</v>
      </c>
      <c r="D6" s="34" t="s">
        <v>83</v>
      </c>
      <c r="E6" s="544">
        <f>1-C6</f>
        <v>9.7542846609839917E-2</v>
      </c>
      <c r="F6" s="544">
        <f>E6-C13</f>
        <v>6.6197249336542849E-2</v>
      </c>
      <c r="G6" s="544">
        <f>C13</f>
        <v>3.1345597273297068E-2</v>
      </c>
      <c r="H6" s="279"/>
      <c r="I6" s="279"/>
      <c r="J6" s="279"/>
      <c r="K6" s="279"/>
      <c r="L6" s="279"/>
    </row>
    <row r="7" spans="1:12" s="15" customFormat="1">
      <c r="A7" s="17"/>
      <c r="B7" s="259"/>
      <c r="C7" s="279"/>
      <c r="D7" s="34"/>
      <c r="E7" s="602"/>
      <c r="F7" s="279"/>
      <c r="G7" s="602"/>
      <c r="H7" s="279"/>
      <c r="I7" s="279"/>
      <c r="J7" s="279"/>
      <c r="K7" s="279"/>
      <c r="L7" s="279"/>
    </row>
    <row r="8" spans="1:12" s="15" customFormat="1">
      <c r="A8" s="17" t="s">
        <v>416</v>
      </c>
      <c r="B8" s="17"/>
      <c r="C8" s="279"/>
      <c r="D8" s="215"/>
      <c r="E8" s="602"/>
      <c r="F8" s="279"/>
      <c r="G8" s="279"/>
      <c r="H8" s="6"/>
      <c r="I8" s="6"/>
      <c r="J8" s="6"/>
      <c r="K8" s="6"/>
      <c r="L8" s="6"/>
    </row>
    <row r="9" spans="1:12" s="15" customFormat="1">
      <c r="A9" s="17"/>
      <c r="B9" s="17" t="s">
        <v>279</v>
      </c>
      <c r="C9" s="279">
        <f>[4]Letters!C9</f>
        <v>0.92692924831704915</v>
      </c>
      <c r="D9" s="34" t="s">
        <v>81</v>
      </c>
      <c r="E9" s="602"/>
      <c r="F9" s="279"/>
      <c r="G9" s="234"/>
      <c r="H9" s="6"/>
      <c r="I9" s="6"/>
      <c r="J9" s="6"/>
      <c r="K9" s="6"/>
      <c r="L9" s="6"/>
    </row>
    <row r="10" spans="1:12" s="15" customFormat="1">
      <c r="A10" s="17"/>
      <c r="B10" s="17" t="s">
        <v>417</v>
      </c>
      <c r="C10" s="279">
        <f>[4]Letters!C10</f>
        <v>2.5509608137740784E-2</v>
      </c>
      <c r="D10" s="34" t="s">
        <v>81</v>
      </c>
      <c r="E10" s="602"/>
      <c r="F10" s="279"/>
      <c r="G10" s="279"/>
      <c r="H10" s="6"/>
      <c r="I10" s="6"/>
      <c r="J10" s="6"/>
      <c r="K10" s="6"/>
      <c r="L10" s="6"/>
    </row>
    <row r="11" spans="1:12" s="15" customFormat="1">
      <c r="A11" s="17"/>
      <c r="B11" s="259" t="s">
        <v>275</v>
      </c>
      <c r="C11" s="279">
        <f>[4]Letters!C11</f>
        <v>1.4130932874979785E-2</v>
      </c>
      <c r="D11" s="34" t="s">
        <v>81</v>
      </c>
      <c r="E11" s="602"/>
      <c r="F11" s="279"/>
      <c r="G11" s="279"/>
      <c r="H11" s="6"/>
      <c r="I11" s="6"/>
      <c r="J11" s="6"/>
      <c r="K11" s="6"/>
      <c r="L11" s="6"/>
    </row>
    <row r="12" spans="1:12" s="15" customFormat="1">
      <c r="A12" s="17"/>
      <c r="B12" s="259" t="s">
        <v>214</v>
      </c>
      <c r="C12" s="279">
        <f>[4]Letters!C12</f>
        <v>2.0846133969331096E-3</v>
      </c>
      <c r="D12" s="34" t="s">
        <v>81</v>
      </c>
      <c r="E12" s="602"/>
      <c r="F12" s="279"/>
      <c r="G12" s="279"/>
      <c r="H12" s="6"/>
      <c r="I12" s="6"/>
      <c r="J12" s="6"/>
      <c r="K12" s="6"/>
      <c r="L12" s="6"/>
    </row>
    <row r="13" spans="1:12" s="15" customFormat="1">
      <c r="A13" s="17"/>
      <c r="B13" s="259" t="s">
        <v>217</v>
      </c>
      <c r="C13" s="279">
        <f>[4]Letters!C13</f>
        <v>3.1345597273297068E-2</v>
      </c>
      <c r="D13" s="34" t="s">
        <v>81</v>
      </c>
      <c r="E13" s="602"/>
      <c r="F13" s="279"/>
      <c r="G13" s="279"/>
      <c r="H13" s="6"/>
      <c r="I13" s="6"/>
      <c r="J13" s="6"/>
      <c r="K13" s="6"/>
      <c r="L13" s="6"/>
    </row>
    <row r="14" spans="1:12" s="15" customFormat="1">
      <c r="A14" s="17"/>
      <c r="B14" s="259"/>
      <c r="C14" s="279"/>
      <c r="D14" s="34"/>
      <c r="E14" s="17"/>
      <c r="F14" s="17"/>
      <c r="G14" s="6"/>
      <c r="H14" s="6"/>
      <c r="I14" s="6"/>
      <c r="J14" s="6"/>
      <c r="K14" s="6"/>
      <c r="L14" s="17"/>
    </row>
    <row r="15" spans="1:12">
      <c r="A15" s="259" t="s">
        <v>253</v>
      </c>
      <c r="B15" s="259"/>
      <c r="C15" s="279">
        <f>[4]Letters!C15</f>
        <v>0.9725090126152891</v>
      </c>
      <c r="D15" s="34" t="s">
        <v>83</v>
      </c>
      <c r="E15" s="279"/>
      <c r="F15" s="279"/>
      <c r="L15" s="555"/>
    </row>
    <row r="16" spans="1:12">
      <c r="A16" s="259" t="s">
        <v>256</v>
      </c>
      <c r="B16" s="259"/>
      <c r="C16" s="279">
        <f>[4]Letters!C16</f>
        <v>0.97423570514703772</v>
      </c>
      <c r="D16" s="34" t="s">
        <v>83</v>
      </c>
      <c r="E16" s="279"/>
      <c r="F16" s="279"/>
      <c r="L16" s="555"/>
    </row>
    <row r="17" spans="1:12">
      <c r="A17" s="259" t="s">
        <v>251</v>
      </c>
      <c r="B17" s="259"/>
      <c r="C17" s="279">
        <f>[4]Letters!C17</f>
        <v>0.95590648900471231</v>
      </c>
      <c r="D17" s="34" t="s">
        <v>83</v>
      </c>
      <c r="E17" s="279"/>
      <c r="F17" s="279"/>
      <c r="L17" s="555"/>
    </row>
    <row r="18" spans="1:12">
      <c r="A18" s="259" t="s">
        <v>254</v>
      </c>
      <c r="B18" s="259"/>
      <c r="C18" s="279">
        <f>[4]Letters!C18</f>
        <v>0.93837868872245755</v>
      </c>
      <c r="D18" s="34" t="s">
        <v>83</v>
      </c>
      <c r="E18" s="279"/>
      <c r="F18" s="279"/>
      <c r="L18" s="555"/>
    </row>
    <row r="19" spans="1:12">
      <c r="A19" s="259" t="s">
        <v>277</v>
      </c>
      <c r="B19" s="259"/>
      <c r="C19" s="279">
        <f>[4]Letters!C19</f>
        <v>0.94237909446185353</v>
      </c>
      <c r="D19" s="34" t="s">
        <v>83</v>
      </c>
      <c r="E19" s="279"/>
      <c r="F19" s="279"/>
      <c r="L19" s="555"/>
    </row>
    <row r="20" spans="1:12">
      <c r="A20" s="259" t="s">
        <v>418</v>
      </c>
      <c r="B20" s="259"/>
      <c r="C20" s="279">
        <f>[4]Letters!C20</f>
        <v>0.98552409339367097</v>
      </c>
      <c r="D20" s="34" t="s">
        <v>83</v>
      </c>
      <c r="E20" s="279"/>
      <c r="F20" s="279"/>
      <c r="L20" s="555"/>
    </row>
    <row r="21" spans="1:12">
      <c r="A21" s="259" t="s">
        <v>419</v>
      </c>
      <c r="B21" s="259"/>
      <c r="C21" s="279">
        <f>[4]Letters!C21</f>
        <v>0.99019294977333217</v>
      </c>
      <c r="D21" s="34" t="s">
        <v>83</v>
      </c>
      <c r="E21" s="279"/>
      <c r="F21" s="279"/>
      <c r="G21" s="555"/>
      <c r="L21" s="555"/>
    </row>
    <row r="22" spans="1:12">
      <c r="A22" s="259"/>
      <c r="B22" s="259"/>
      <c r="C22" s="279"/>
      <c r="D22" s="34"/>
      <c r="E22" s="279"/>
      <c r="F22" s="279"/>
      <c r="L22" s="555"/>
    </row>
    <row r="23" spans="1:12">
      <c r="A23" s="259"/>
      <c r="B23" s="259"/>
      <c r="C23" s="279"/>
      <c r="D23" s="34"/>
      <c r="E23" s="17"/>
      <c r="F23" s="279"/>
      <c r="L23" s="555"/>
    </row>
    <row r="24" spans="1:12">
      <c r="A24" s="17"/>
      <c r="B24" s="17"/>
      <c r="C24" s="17"/>
      <c r="E24" s="17"/>
      <c r="F24" s="279"/>
      <c r="L24" s="555"/>
    </row>
    <row r="25" spans="1:12">
      <c r="A25" s="17"/>
      <c r="B25" s="17"/>
      <c r="C25" s="17"/>
      <c r="E25" s="279"/>
      <c r="F25" s="17"/>
      <c r="G25" s="279"/>
    </row>
    <row r="26" spans="1:12">
      <c r="A26" s="9" t="s">
        <v>65</v>
      </c>
      <c r="B26" s="17"/>
      <c r="C26" s="17"/>
      <c r="E26" s="279"/>
      <c r="F26" s="17"/>
      <c r="G26" s="279"/>
    </row>
    <row r="27" spans="1:12" s="174" customFormat="1">
      <c r="A27" s="34" t="s">
        <v>420</v>
      </c>
      <c r="B27" s="17"/>
      <c r="C27" s="17"/>
      <c r="D27" s="8"/>
      <c r="E27" s="279"/>
      <c r="F27" s="17"/>
      <c r="G27" s="279"/>
      <c r="H27" s="175"/>
      <c r="I27" s="175"/>
      <c r="J27" s="175"/>
      <c r="K27" s="175"/>
      <c r="L27" s="175"/>
    </row>
    <row r="28" spans="1:12" s="174" customFormat="1">
      <c r="A28" s="11" t="s">
        <v>421</v>
      </c>
      <c r="B28" s="17"/>
      <c r="C28" s="17"/>
      <c r="D28" s="8"/>
      <c r="E28" s="279"/>
      <c r="F28" s="17"/>
      <c r="G28" s="279"/>
      <c r="H28" s="175"/>
      <c r="I28" s="175"/>
      <c r="J28" s="175"/>
      <c r="K28" s="175"/>
      <c r="L28" s="175"/>
    </row>
    <row r="29" spans="1:12">
      <c r="A29" s="11"/>
      <c r="B29" s="17"/>
      <c r="C29" s="17"/>
      <c r="E29" s="279"/>
      <c r="F29" s="17"/>
      <c r="G29" s="279"/>
    </row>
    <row r="30" spans="1:12">
      <c r="A30" s="274"/>
      <c r="B30" s="17"/>
      <c r="C30" s="17"/>
      <c r="F30" s="555"/>
    </row>
  </sheetData>
  <phoneticPr fontId="11" type="noConversion"/>
  <printOptions horizontalCentered="1"/>
  <pageMargins left="1.54" right="0.75" top="1" bottom="1" header="0.5" footer="0.5"/>
  <pageSetup scale="79" firstPageNumber="48" orientation="portrait" useFirstPageNumber="1" horizontalDpi="4294967292" r:id="rId1"/>
  <headerFooter alignWithMargins="0">
    <oddHeader>&amp;RPage 39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">
    <pageSetUpPr fitToPage="1"/>
  </sheetPr>
  <dimension ref="A1:N57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1" width="11.85546875" style="36" customWidth="1"/>
    <col min="12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422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'METERED LETTERS MODEL'!N4</f>
        <v>10000</v>
      </c>
      <c r="D3" s="79"/>
      <c r="E3" s="79"/>
      <c r="F3" s="79"/>
      <c r="G3" s="80"/>
      <c r="H3" s="81"/>
      <c r="I3" s="78"/>
      <c r="J3" s="82"/>
      <c r="K3" s="203"/>
      <c r="L3" s="555"/>
      <c r="M3" s="555"/>
      <c r="N3" s="555"/>
    </row>
    <row r="4" spans="1:14" s="15" customFormat="1" ht="12.75" customHeight="1">
      <c r="A4" s="1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17"/>
    </row>
    <row r="5" spans="1:14" ht="12.95">
      <c r="A5" s="555"/>
      <c r="B5" s="555"/>
      <c r="H5" s="35" t="s">
        <v>169</v>
      </c>
      <c r="I5" s="2" t="s">
        <v>170</v>
      </c>
      <c r="K5" s="35" t="s">
        <v>17</v>
      </c>
      <c r="L5" s="35" t="s">
        <v>203</v>
      </c>
      <c r="M5" s="555"/>
      <c r="N5" s="555"/>
    </row>
    <row r="6" spans="1:14" ht="12.95">
      <c r="A6" s="555"/>
      <c r="B6" s="555"/>
      <c r="E6" s="21" t="s">
        <v>167</v>
      </c>
      <c r="F6" s="21"/>
      <c r="G6" s="38" t="s">
        <v>173</v>
      </c>
      <c r="H6" s="35" t="s">
        <v>174</v>
      </c>
      <c r="I6" s="2" t="s">
        <v>176</v>
      </c>
      <c r="J6" s="4" t="s">
        <v>175</v>
      </c>
      <c r="K6" s="35" t="s">
        <v>174</v>
      </c>
      <c r="L6" s="35" t="s">
        <v>174</v>
      </c>
      <c r="M6" s="555"/>
      <c r="N6" s="555"/>
    </row>
    <row r="7" spans="1:14" ht="12.95">
      <c r="A7" s="17"/>
      <c r="B7" s="17"/>
      <c r="C7" s="21" t="s">
        <v>204</v>
      </c>
      <c r="D7" s="21"/>
      <c r="E7" s="21" t="s">
        <v>205</v>
      </c>
      <c r="F7" s="21"/>
      <c r="G7" s="38" t="s">
        <v>182</v>
      </c>
      <c r="H7" s="35" t="s">
        <v>185</v>
      </c>
      <c r="I7" s="2" t="s">
        <v>184</v>
      </c>
      <c r="J7" s="4" t="s">
        <v>181</v>
      </c>
      <c r="K7" s="35" t="s">
        <v>185</v>
      </c>
      <c r="L7" s="35" t="s">
        <v>185</v>
      </c>
      <c r="M7" s="555"/>
      <c r="N7" s="555"/>
    </row>
    <row r="8" spans="1:14" ht="12.95">
      <c r="A8" s="70"/>
      <c r="B8" s="70"/>
      <c r="C8" s="168" t="s">
        <v>2</v>
      </c>
      <c r="D8" s="168"/>
      <c r="E8" s="168" t="s">
        <v>3</v>
      </c>
      <c r="F8" s="168"/>
      <c r="G8" s="169" t="s">
        <v>4</v>
      </c>
      <c r="H8" s="168" t="s">
        <v>5</v>
      </c>
      <c r="I8" s="99" t="s">
        <v>6</v>
      </c>
      <c r="J8" s="88" t="s">
        <v>7</v>
      </c>
      <c r="K8" s="168" t="s">
        <v>8</v>
      </c>
      <c r="L8" s="168" t="s">
        <v>9</v>
      </c>
      <c r="M8" s="555"/>
      <c r="N8" s="555"/>
    </row>
    <row r="9" spans="1:14" ht="12.95">
      <c r="A9" s="11" t="s">
        <v>206</v>
      </c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555"/>
      <c r="N9" s="555"/>
    </row>
    <row r="10" spans="1:14" ht="12.95">
      <c r="A10" s="11"/>
      <c r="B10" s="555" t="s">
        <v>207</v>
      </c>
      <c r="C10" s="98"/>
      <c r="D10" s="98"/>
      <c r="E10" s="19"/>
      <c r="F10" s="19"/>
      <c r="H10" s="3"/>
      <c r="I10" s="3"/>
      <c r="K10" s="3"/>
      <c r="L10" s="3"/>
      <c r="M10" s="555"/>
      <c r="N10" s="555"/>
    </row>
    <row r="11" spans="1:14" ht="12.95">
      <c r="A11" s="11" t="s">
        <v>208</v>
      </c>
      <c r="B11" s="555"/>
      <c r="H11" s="3"/>
      <c r="I11" s="3"/>
      <c r="K11" s="3"/>
      <c r="L11" s="3"/>
      <c r="M11" s="555"/>
      <c r="N11" s="555"/>
    </row>
    <row r="12" spans="1:14">
      <c r="A12" s="17"/>
      <c r="B12" s="555" t="s">
        <v>209</v>
      </c>
      <c r="C12" s="22">
        <f>+'METERED LETTERS MODEL'!G18</f>
        <v>10113.242066018694</v>
      </c>
      <c r="E12" s="22">
        <f>+PRODUCTIVITY!I7</f>
        <v>6833.2327250865728</v>
      </c>
      <c r="G12" s="37">
        <f>+'WAGE RATES - PIGGYBACK FACTORS'!$D$5</f>
        <v>50.10717457546064</v>
      </c>
      <c r="H12" s="3">
        <f>+G12/E12*100</f>
        <v>0.73328652178791132</v>
      </c>
      <c r="I12" s="3">
        <f>+H12*('WAGE RATES - PIGGYBACK FACTORS'!$D$7-1)</f>
        <v>9.2400317917214272E-3</v>
      </c>
      <c r="J12" s="3">
        <f>+'WAGE RATES - PIGGYBACK FACTORS'!D22</f>
        <v>1.6888485071959758</v>
      </c>
      <c r="K12" s="3">
        <f>+H12*J12+I12</f>
        <v>1.2476498794601647</v>
      </c>
      <c r="L12" s="3">
        <f>+(K12*C12/10000)</f>
        <v>1.261778524461969</v>
      </c>
      <c r="M12" s="555"/>
      <c r="N12" s="22"/>
    </row>
    <row r="13" spans="1:14">
      <c r="A13" s="17"/>
      <c r="B13" s="555" t="s">
        <v>210</v>
      </c>
      <c r="C13" s="22">
        <f>+'METERED LETTERS MODEL'!G25</f>
        <v>663.7512997321893</v>
      </c>
      <c r="E13" s="163" t="s">
        <v>211</v>
      </c>
      <c r="F13" s="163"/>
      <c r="G13" s="163" t="s">
        <v>211</v>
      </c>
      <c r="H13" s="163" t="s">
        <v>211</v>
      </c>
      <c r="I13" s="163" t="s">
        <v>211</v>
      </c>
      <c r="J13" s="163" t="s">
        <v>211</v>
      </c>
      <c r="K13" s="3">
        <f>MISC!E7</f>
        <v>0.27889541043904115</v>
      </c>
      <c r="L13" s="3">
        <f>+(K13*C13/10000)</f>
        <v>1.8511719116825594E-2</v>
      </c>
      <c r="M13" s="555"/>
      <c r="N13" s="22"/>
    </row>
    <row r="14" spans="1:14">
      <c r="A14" s="17"/>
      <c r="B14" s="555" t="s">
        <v>212</v>
      </c>
      <c r="C14" s="22">
        <f>+'METERED LETTERS MODEL'!G32</f>
        <v>13.407776254590269</v>
      </c>
      <c r="E14" s="22">
        <f>+PRODUCTIVITY!I9</f>
        <v>846.86662945459375</v>
      </c>
      <c r="G14" s="37">
        <f>+'WAGE RATES - PIGGYBACK FACTORS'!$D$4</f>
        <v>54.142360316355024</v>
      </c>
      <c r="H14" s="3">
        <f>+G14/E14*100</f>
        <v>6.3932570292944773</v>
      </c>
      <c r="I14" s="3">
        <f>+H14*('WAGE RATES - PIGGYBACK FACTORS'!$D$7-1)</f>
        <v>8.0560458222104642E-2</v>
      </c>
      <c r="J14" s="3">
        <f>+'WAGE RATES - PIGGYBACK FACTORS'!D23</f>
        <v>1.2615773174013249</v>
      </c>
      <c r="K14" s="3">
        <f>+H14*J14+I14</f>
        <v>8.1461485106965945</v>
      </c>
      <c r="L14" s="3">
        <f>+(K14*C14/10000)</f>
        <v>1.0922173656808368E-2</v>
      </c>
      <c r="M14" s="555"/>
      <c r="N14" s="22"/>
    </row>
    <row r="15" spans="1:14">
      <c r="A15" s="17"/>
      <c r="B15" s="555" t="s">
        <v>213</v>
      </c>
      <c r="C15" s="22">
        <f>+'METERED LETTERS MODEL'!G39</f>
        <v>671.98310736251369</v>
      </c>
      <c r="E15" s="22">
        <f>+PRODUCTIVITY!I11</f>
        <v>6833.2327250865728</v>
      </c>
      <c r="G15" s="37">
        <f>+'WAGE RATES - PIGGYBACK FACTORS'!$D$5</f>
        <v>50.10717457546064</v>
      </c>
      <c r="H15" s="3">
        <f>+G15/E15*100</f>
        <v>0.73328652178791132</v>
      </c>
      <c r="I15" s="3">
        <f>+H15*('WAGE RATES - PIGGYBACK FACTORS'!$D$7-1)</f>
        <v>9.2400317917214272E-3</v>
      </c>
      <c r="J15" s="3">
        <f>+'WAGE RATES - PIGGYBACK FACTORS'!D24</f>
        <v>1.6888485071959758</v>
      </c>
      <c r="K15" s="3">
        <f>+H15*J15+I15</f>
        <v>1.2476498794601647</v>
      </c>
      <c r="L15" s="3">
        <f>+(K15*C15/10000)</f>
        <v>8.3839964290010713E-2</v>
      </c>
      <c r="M15" s="555"/>
      <c r="N15" s="22"/>
    </row>
    <row r="16" spans="1:14">
      <c r="A16" s="17"/>
      <c r="B16" s="555" t="s">
        <v>214</v>
      </c>
      <c r="C16" s="22">
        <f>+'METERED LETTERS MODEL'!C32</f>
        <v>1.3776554909938095</v>
      </c>
      <c r="E16" s="22">
        <f>+PRODUCTIVITY!I10</f>
        <v>1983.215429441294</v>
      </c>
      <c r="G16" s="37">
        <f>+'WAGE RATES - PIGGYBACK FACTORS'!$D$5</f>
        <v>50.10717457546064</v>
      </c>
      <c r="H16" s="3">
        <f>+G16/E16*100</f>
        <v>2.5265623608816261</v>
      </c>
      <c r="I16" s="3">
        <f>+H16*('WAGE RATES - PIGGYBACK FACTORS'!$D$7-1)</f>
        <v>3.1836827549198018E-2</v>
      </c>
      <c r="J16" s="3">
        <f>+'WAGE RATES - PIGGYBACK FACTORS'!D25</f>
        <v>3.4396834863913082</v>
      </c>
      <c r="K16" s="3">
        <f>+H16*J16+I16</f>
        <v>8.7224116576115645</v>
      </c>
      <c r="L16" s="3">
        <f>+(K16*C16/10000)</f>
        <v>1.2016478314816987E-3</v>
      </c>
      <c r="M16" s="555"/>
      <c r="N16" s="22"/>
    </row>
    <row r="17" spans="1:14" ht="12.95">
      <c r="A17" s="11" t="s">
        <v>215</v>
      </c>
      <c r="B17" s="555"/>
      <c r="H17" s="3"/>
      <c r="I17" s="3"/>
      <c r="K17" s="3"/>
      <c r="L17" s="3"/>
      <c r="M17" s="555"/>
      <c r="N17" s="22"/>
    </row>
    <row r="18" spans="1:14">
      <c r="A18" s="17"/>
      <c r="B18" s="555" t="s">
        <v>216</v>
      </c>
      <c r="C18" s="22">
        <f>+'METERED LETTERS MODEL'!S16</f>
        <v>149.74514166615191</v>
      </c>
      <c r="E18" s="22">
        <f>+PRODUCTIVITY!I13</f>
        <v>6833.2327250865728</v>
      </c>
      <c r="G18" s="37">
        <f>+'WAGE RATES - PIGGYBACK FACTORS'!$D$5</f>
        <v>50.10717457546064</v>
      </c>
      <c r="H18" s="3">
        <f>+G18/E18*100</f>
        <v>0.73328652178791132</v>
      </c>
      <c r="I18" s="3">
        <f>+H18*('WAGE RATES - PIGGYBACK FACTORS'!$D$7-1)</f>
        <v>9.2400317917214272E-3</v>
      </c>
      <c r="J18" s="3">
        <f>+'WAGE RATES - PIGGYBACK FACTORS'!D26</f>
        <v>1.6888485071959758</v>
      </c>
      <c r="K18" s="3">
        <f>+H18*J18+I18</f>
        <v>1.2476498794601647</v>
      </c>
      <c r="L18" s="3">
        <f>+(K18*C18/10000)</f>
        <v>1.8682950794951973E-2</v>
      </c>
      <c r="M18" s="555"/>
      <c r="N18" s="22"/>
    </row>
    <row r="19" spans="1:14">
      <c r="A19" s="17"/>
      <c r="B19" s="555" t="s">
        <v>217</v>
      </c>
      <c r="C19" s="22">
        <f>+'METERED LETTERS MODEL'!AA16</f>
        <v>340.19099614938511</v>
      </c>
      <c r="E19" s="22">
        <f>+PRODUCTIVITY!I20</f>
        <v>631.32213496808799</v>
      </c>
      <c r="G19" s="37">
        <f>+'WAGE RATES - PIGGYBACK FACTORS'!$D$5</f>
        <v>50.10717457546064</v>
      </c>
      <c r="H19" s="3">
        <f>+G19/E19*100</f>
        <v>7.9368632588802628</v>
      </c>
      <c r="I19" s="3">
        <f>+H19*('WAGE RATES - PIGGYBACK FACTORS'!$D$7-1)</f>
        <v>0.1000112052513773</v>
      </c>
      <c r="J19" s="3">
        <f>+'WAGE RATES - PIGGYBACK FACTORS'!D27</f>
        <v>1.2988119246888874</v>
      </c>
      <c r="K19" s="3">
        <f>+H19*J19+I19</f>
        <v>10.408503850510167</v>
      </c>
      <c r="L19" s="3">
        <f>+(K19*C19/10000)</f>
        <v>0.35408792933297639</v>
      </c>
      <c r="M19" s="555"/>
      <c r="N19" s="22"/>
    </row>
    <row r="20" spans="1:14" ht="12.95">
      <c r="A20" s="11" t="s">
        <v>218</v>
      </c>
      <c r="B20" s="555"/>
      <c r="H20" s="3"/>
      <c r="I20" s="3"/>
      <c r="K20" s="3"/>
      <c r="L20" s="3"/>
      <c r="M20" s="555"/>
      <c r="N20" s="22"/>
    </row>
    <row r="21" spans="1:14">
      <c r="A21" s="17"/>
      <c r="B21" s="555" t="s">
        <v>216</v>
      </c>
      <c r="C21" s="22">
        <f>+'METERED LETTERS MODEL'!S24</f>
        <v>1882.3604094487564</v>
      </c>
      <c r="E21" s="22">
        <f>+PRODUCTIVITY!I14</f>
        <v>5441.4416043491601</v>
      </c>
      <c r="G21" s="37">
        <f>+'WAGE RATES - PIGGYBACK FACTORS'!$D$5</f>
        <v>50.10717457546064</v>
      </c>
      <c r="H21" s="3">
        <f>+G21/E21*100</f>
        <v>0.92084374360301269</v>
      </c>
      <c r="I21" s="3">
        <f>+H21*('WAGE RATES - PIGGYBACK FACTORS'!$D$7-1)</f>
        <v>1.1603411781459913E-2</v>
      </c>
      <c r="J21" s="3">
        <f>+'WAGE RATES - PIGGYBACK FACTORS'!D28</f>
        <v>1.6888485071959758</v>
      </c>
      <c r="K21" s="3">
        <f>+H21*J21+I21</f>
        <v>1.5667689935261617</v>
      </c>
      <c r="L21" s="3">
        <f>+(K21*C21/10000)</f>
        <v>0.29492239241655216</v>
      </c>
      <c r="M21" s="555"/>
      <c r="N21" s="22"/>
    </row>
    <row r="22" spans="1:14">
      <c r="A22" s="17"/>
      <c r="B22" s="555" t="s">
        <v>217</v>
      </c>
      <c r="C22" s="22">
        <f>+'METERED LETTERS MODEL'!AA24</f>
        <v>106.73339787962408</v>
      </c>
      <c r="E22" s="22">
        <f>+PRODUCTIVITY!I21</f>
        <v>1087.9987358115229</v>
      </c>
      <c r="G22" s="37">
        <f>+'WAGE RATES - PIGGYBACK FACTORS'!$D$5</f>
        <v>50.10717457546064</v>
      </c>
      <c r="H22" s="3">
        <f>+G22/E22*100</f>
        <v>4.6054441908966375</v>
      </c>
      <c r="I22" s="3">
        <f>+H22*('WAGE RATES - PIGGYBACK FACTORS'!$D$7-1)</f>
        <v>5.8032500904457822E-2</v>
      </c>
      <c r="J22" s="3">
        <f>+'WAGE RATES - PIGGYBACK FACTORS'!D29</f>
        <v>1.2988119246888874</v>
      </c>
      <c r="K22" s="3">
        <f>+H22*J22+I22</f>
        <v>6.0396383345301761</v>
      </c>
      <c r="L22" s="3">
        <f>+(K22*C22/10000)</f>
        <v>6.4463112140843937E-2</v>
      </c>
      <c r="M22" s="555"/>
      <c r="N22" s="22"/>
    </row>
    <row r="23" spans="1:14" ht="12.95">
      <c r="A23" s="11" t="s">
        <v>219</v>
      </c>
      <c r="B23" s="555"/>
      <c r="H23" s="3"/>
      <c r="I23" s="3"/>
      <c r="K23" s="3"/>
      <c r="L23" s="3"/>
      <c r="M23" s="555"/>
      <c r="N23" s="22"/>
    </row>
    <row r="24" spans="1:14">
      <c r="A24" s="17"/>
      <c r="B24" s="555" t="s">
        <v>209</v>
      </c>
      <c r="C24" s="22">
        <f>+'METERED LETTERS MODEL'!G51</f>
        <v>0</v>
      </c>
      <c r="E24" s="22">
        <f>+PRODUCTIVITY!I8</f>
        <v>5815.8678468113585</v>
      </c>
      <c r="G24" s="37">
        <f>+'WAGE RATES - PIGGYBACK FACTORS'!$D$5</f>
        <v>50.10717457546064</v>
      </c>
      <c r="H24" s="3">
        <f>+G24/E24*100</f>
        <v>0.86155971723003799</v>
      </c>
      <c r="I24" s="3">
        <f>+H24*('WAGE RATES - PIGGYBACK FACTORS'!$D$7-1)</f>
        <v>1.085638279326589E-2</v>
      </c>
      <c r="J24" s="3">
        <f>+'WAGE RATES - PIGGYBACK FACTORS'!D30</f>
        <v>1.6888485071959758</v>
      </c>
      <c r="K24" s="3">
        <f>+H24*J24+I24</f>
        <v>1.4659002250974027</v>
      </c>
      <c r="L24" s="3">
        <f>+(K24*C24/10000)</f>
        <v>0</v>
      </c>
      <c r="M24" s="555"/>
      <c r="N24" s="22"/>
    </row>
    <row r="25" spans="1:14">
      <c r="A25" s="17"/>
      <c r="B25" s="555" t="s">
        <v>210</v>
      </c>
      <c r="C25" s="22">
        <f>+'METERED LETTERS MODEL'!G58</f>
        <v>0</v>
      </c>
      <c r="E25" s="163" t="s">
        <v>211</v>
      </c>
      <c r="F25" s="163"/>
      <c r="G25" s="163" t="s">
        <v>211</v>
      </c>
      <c r="H25" s="163" t="s">
        <v>211</v>
      </c>
      <c r="I25" s="163" t="s">
        <v>211</v>
      </c>
      <c r="J25" s="163" t="s">
        <v>211</v>
      </c>
      <c r="K25" s="3">
        <f>MISC!E7</f>
        <v>0.27889541043904115</v>
      </c>
      <c r="L25" s="3">
        <f>+(K25*C25/10000)</f>
        <v>0</v>
      </c>
      <c r="M25" s="555"/>
      <c r="N25" s="22"/>
    </row>
    <row r="26" spans="1:14">
      <c r="A26" s="17"/>
      <c r="B26" s="555" t="s">
        <v>212</v>
      </c>
      <c r="C26" s="22">
        <f>+'METERED LETTERS MODEL'!G65</f>
        <v>0</v>
      </c>
      <c r="E26" s="22">
        <f>+PRODUCTIVITY!I9</f>
        <v>846.86662945459375</v>
      </c>
      <c r="G26" s="37">
        <f>+'WAGE RATES - PIGGYBACK FACTORS'!$D$4</f>
        <v>54.142360316355024</v>
      </c>
      <c r="H26" s="3">
        <f>+G26/E26*100</f>
        <v>6.3932570292944773</v>
      </c>
      <c r="I26" s="3">
        <f>+H26*('WAGE RATES - PIGGYBACK FACTORS'!$D$7-1)</f>
        <v>8.0560458222104642E-2</v>
      </c>
      <c r="J26" s="3">
        <f>+'WAGE RATES - PIGGYBACK FACTORS'!D31</f>
        <v>1.2615773174013249</v>
      </c>
      <c r="K26" s="3">
        <f>+H26*J26+I26</f>
        <v>8.1461485106965945</v>
      </c>
      <c r="L26" s="3">
        <f>+(K26*C26/10000)</f>
        <v>0</v>
      </c>
      <c r="M26" s="555"/>
      <c r="N26" s="22"/>
    </row>
    <row r="27" spans="1:14">
      <c r="A27" s="17"/>
      <c r="B27" s="555" t="s">
        <v>213</v>
      </c>
      <c r="C27" s="22">
        <f>+'METERED LETTERS MODEL'!G72</f>
        <v>0</v>
      </c>
      <c r="E27" s="22">
        <f>+PRODUCTIVITY!I12</f>
        <v>5815.8678468113585</v>
      </c>
      <c r="G27" s="37">
        <f>+'WAGE RATES - PIGGYBACK FACTORS'!$D$5</f>
        <v>50.10717457546064</v>
      </c>
      <c r="H27" s="3">
        <f>+G27/E27*100</f>
        <v>0.86155971723003799</v>
      </c>
      <c r="I27" s="3">
        <f>+H27*('WAGE RATES - PIGGYBACK FACTORS'!$D$7-1)</f>
        <v>1.085638279326589E-2</v>
      </c>
      <c r="J27" s="3">
        <f>+'WAGE RATES - PIGGYBACK FACTORS'!D32</f>
        <v>1.6888485071959758</v>
      </c>
      <c r="K27" s="3">
        <f>+H27*J27+I27</f>
        <v>1.4659002250974027</v>
      </c>
      <c r="L27" s="3">
        <f>+(K27*C27/10000)</f>
        <v>0</v>
      </c>
      <c r="M27" s="555"/>
      <c r="N27" s="22"/>
    </row>
    <row r="28" spans="1:14">
      <c r="A28" s="17"/>
      <c r="B28" s="555" t="s">
        <v>214</v>
      </c>
      <c r="C28" s="22">
        <f>+'METERED LETTERS MODEL'!C65</f>
        <v>0</v>
      </c>
      <c r="E28" s="22">
        <f>+PRODUCTIVITY!I10</f>
        <v>1983.215429441294</v>
      </c>
      <c r="G28" s="37">
        <f>+'WAGE RATES - PIGGYBACK FACTORS'!$D$5</f>
        <v>50.10717457546064</v>
      </c>
      <c r="H28" s="3">
        <f>+G28/E28*100</f>
        <v>2.5265623608816261</v>
      </c>
      <c r="I28" s="3">
        <f>+H28*('WAGE RATES - PIGGYBACK FACTORS'!$D$7-1)</f>
        <v>3.1836827549198018E-2</v>
      </c>
      <c r="J28" s="3">
        <f>+'WAGE RATES - PIGGYBACK FACTORS'!D33</f>
        <v>3.4396834863913082</v>
      </c>
      <c r="K28" s="3">
        <f>+H28*J28+I28</f>
        <v>8.7224116576115645</v>
      </c>
      <c r="L28" s="3">
        <f>+(K28*C28/10000)</f>
        <v>0</v>
      </c>
      <c r="M28" s="555"/>
      <c r="N28" s="22"/>
    </row>
    <row r="29" spans="1:14" ht="12.95">
      <c r="A29" s="11" t="s">
        <v>220</v>
      </c>
      <c r="B29" s="555"/>
      <c r="H29" s="3"/>
      <c r="I29" s="3"/>
      <c r="K29" s="3"/>
      <c r="L29" s="3"/>
      <c r="M29" s="555"/>
      <c r="N29" s="22"/>
    </row>
    <row r="30" spans="1:14">
      <c r="A30" s="17"/>
      <c r="B30" s="555" t="s">
        <v>58</v>
      </c>
      <c r="C30" s="22">
        <f>+'METERED LETTERS MODEL'!S32</f>
        <v>3903.0162292890664</v>
      </c>
      <c r="E30" s="22">
        <f>+PRODUCTIVITY!I15</f>
        <v>5271.1401686095996</v>
      </c>
      <c r="G30" s="37">
        <f>+'WAGE RATES - PIGGYBACK FACTORS'!$D$5</f>
        <v>50.10717457546064</v>
      </c>
      <c r="H30" s="3">
        <f>+G30/E30*100</f>
        <v>0.95059461468803463</v>
      </c>
      <c r="I30" s="3">
        <f>+H30*('WAGE RATES - PIGGYBACK FACTORS'!$D$7-1)</f>
        <v>1.1978297977358816E-2</v>
      </c>
      <c r="J30" s="3">
        <f>+'WAGE RATES - PIGGYBACK FACTORS'!D34</f>
        <v>1.6888485071959758</v>
      </c>
      <c r="K30" s="3">
        <f>+H30*J30+I30</f>
        <v>1.61738859394178</v>
      </c>
      <c r="L30" s="3">
        <f>+(K30*C30/10000)</f>
        <v>0.63126939312217911</v>
      </c>
      <c r="M30" s="555"/>
      <c r="N30" s="22"/>
    </row>
    <row r="31" spans="1:14">
      <c r="A31" s="17"/>
      <c r="B31" s="555" t="s">
        <v>221</v>
      </c>
      <c r="C31" s="22">
        <f>+'METERED LETTERS MODEL'!AA32</f>
        <v>318.64799640203131</v>
      </c>
      <c r="E31" s="22">
        <f>+PRODUCTIVITY!I22</f>
        <v>1213.9420566221461</v>
      </c>
      <c r="G31" s="37">
        <f>+'WAGE RATES - PIGGYBACK FACTORS'!$D$5</f>
        <v>50.10717457546064</v>
      </c>
      <c r="H31" s="3">
        <f>+G31/E31*100</f>
        <v>4.1276413731711656</v>
      </c>
      <c r="I31" s="3">
        <f>+H31*('WAGE RATES - PIGGYBACK FACTORS'!$D$7-1)</f>
        <v>5.2011780361016051E-2</v>
      </c>
      <c r="J31" s="3">
        <f>+'WAGE RATES - PIGGYBACK FACTORS'!D35</f>
        <v>1.2988119246888874</v>
      </c>
      <c r="K31" s="3">
        <f>+H31*J31+I31</f>
        <v>5.4130416166749402</v>
      </c>
      <c r="L31" s="3">
        <f>+(K31*C31/10000)</f>
        <v>0.17248548655942819</v>
      </c>
      <c r="M31" s="555"/>
      <c r="N31" s="22"/>
    </row>
    <row r="32" spans="1:14" ht="12.95">
      <c r="A32" s="11" t="s">
        <v>222</v>
      </c>
      <c r="B32" s="555"/>
      <c r="H32" s="3"/>
      <c r="I32" s="3"/>
      <c r="K32" s="3"/>
      <c r="L32" s="3"/>
      <c r="M32" s="555"/>
      <c r="N32" s="22"/>
    </row>
    <row r="33" spans="1:14">
      <c r="A33" s="17"/>
      <c r="B33" s="555" t="s">
        <v>216</v>
      </c>
      <c r="C33" s="22">
        <f>+'METERED LETTERS MODEL'!S40</f>
        <v>6041.554509083986</v>
      </c>
      <c r="E33" s="22">
        <f>+PRODUCTIVITY!I16</f>
        <v>10175.776688046904</v>
      </c>
      <c r="G33" s="37">
        <f>+'WAGE RATES - PIGGYBACK FACTORS'!$D$5</f>
        <v>50.10717457546064</v>
      </c>
      <c r="H33" s="3">
        <f>+G33/E33*100</f>
        <v>0.49241621658540935</v>
      </c>
      <c r="I33" s="3">
        <f>+H33*('WAGE RATES - PIGGYBACK FACTORS'!$D$7-1)</f>
        <v>6.2048617570586509E-3</v>
      </c>
      <c r="J33" s="3">
        <f>+'WAGE RATES - PIGGYBACK FACTORS'!D36</f>
        <v>1.6888485071959758</v>
      </c>
      <c r="K33" s="3">
        <f>+H33*J33+I33</f>
        <v>0.83782125405641761</v>
      </c>
      <c r="L33" s="3">
        <f>+(K33*C33/10000)</f>
        <v>0.50617427752509492</v>
      </c>
      <c r="M33" s="555"/>
      <c r="N33" s="22"/>
    </row>
    <row r="34" spans="1:14">
      <c r="A34" s="17"/>
      <c r="B34" s="555" t="s">
        <v>217</v>
      </c>
      <c r="C34" s="22">
        <f>+'METERED LETTERS MODEL'!AA40</f>
        <v>752.52635264583284</v>
      </c>
      <c r="E34" s="22">
        <f>+PRODUCTIVITY!I23</f>
        <v>1107.0494375224957</v>
      </c>
      <c r="G34" s="37">
        <f>+'WAGE RATES - PIGGYBACK FACTORS'!$D$5</f>
        <v>50.10717457546064</v>
      </c>
      <c r="H34" s="3">
        <f>+G34/E34*100</f>
        <v>4.5261912320372275</v>
      </c>
      <c r="I34" s="3">
        <f>+H34*('WAGE RATES - PIGGYBACK FACTORS'!$D$7-1)</f>
        <v>5.7033846438992626E-2</v>
      </c>
      <c r="J34" s="3">
        <f>+'WAGE RATES - PIGGYBACK FACTORS'!D37</f>
        <v>1.2988119246888874</v>
      </c>
      <c r="K34" s="3">
        <f>+H34*J34+I34</f>
        <v>5.9357049920312299</v>
      </c>
      <c r="L34" s="3">
        <f>+(K34*C34/10000)</f>
        <v>0.44667744280349236</v>
      </c>
      <c r="M34" s="555"/>
      <c r="N34" s="22"/>
    </row>
    <row r="35" spans="1:14" ht="12.95">
      <c r="A35" s="11" t="s">
        <v>223</v>
      </c>
      <c r="B35" s="555"/>
      <c r="H35" s="3"/>
      <c r="I35" s="3"/>
      <c r="K35" s="3"/>
      <c r="L35" s="3"/>
      <c r="M35" s="555"/>
      <c r="N35" s="22"/>
    </row>
    <row r="36" spans="1:14">
      <c r="A36" s="555"/>
      <c r="B36" s="555" t="s">
        <v>224</v>
      </c>
      <c r="C36" s="22">
        <f>+'METERED LETTERS MODEL'!W49</f>
        <v>318.89972976859082</v>
      </c>
      <c r="E36" s="22">
        <f>+PRODUCTIVITY!I17</f>
        <v>13094.29928777944</v>
      </c>
      <c r="G36" s="37">
        <f>+'WAGE RATES - PIGGYBACK FACTORS'!$D$5</f>
        <v>50.10717457546064</v>
      </c>
      <c r="H36" s="3">
        <f t="shared" ref="H36:H41" si="0">+G36/E36*100</f>
        <v>0.38266403932148035</v>
      </c>
      <c r="I36" s="3">
        <f>+H36*('WAGE RATES - PIGGYBACK FACTORS'!$D$7-1)</f>
        <v>4.8218912850844474E-3</v>
      </c>
      <c r="J36" s="3">
        <f>+'WAGE RATES - PIGGYBACK FACTORS'!D38</f>
        <v>1.6888485071959758</v>
      </c>
      <c r="K36" s="3">
        <f t="shared" ref="K36:K41" si="1">+H36*J36+I36</f>
        <v>0.6510834828507488</v>
      </c>
      <c r="L36" s="3">
        <f t="shared" ref="L36:L41" si="2">+(K36*C36/10000)</f>
        <v>2.0763034673789673E-2</v>
      </c>
      <c r="M36" s="555"/>
      <c r="N36" s="22"/>
    </row>
    <row r="37" spans="1:14">
      <c r="A37" s="555"/>
      <c r="B37" s="555" t="s">
        <v>225</v>
      </c>
      <c r="C37" s="22">
        <f>+'METERED LETTERS MODEL'!W56</f>
        <v>0</v>
      </c>
      <c r="E37" s="22">
        <f>+PRODUCTIVITY!I19</f>
        <v>0</v>
      </c>
      <c r="G37" s="37">
        <f>+'WAGE RATES - PIGGYBACK FACTORS'!$D$5</f>
        <v>50.10717457546064</v>
      </c>
      <c r="H37" s="3">
        <v>0</v>
      </c>
      <c r="I37" s="3">
        <f>+H37*('WAGE RATES - PIGGYBACK FACTORS'!$D$7-1)</f>
        <v>0</v>
      </c>
      <c r="J37" s="3">
        <f>+'WAGE RATES - PIGGYBACK FACTORS'!D39</f>
        <v>0</v>
      </c>
      <c r="K37" s="3">
        <f t="shared" si="1"/>
        <v>0</v>
      </c>
      <c r="L37" s="3">
        <f t="shared" si="2"/>
        <v>0</v>
      </c>
      <c r="M37" s="555"/>
      <c r="N37" s="22"/>
    </row>
    <row r="38" spans="1:14">
      <c r="A38" s="555"/>
      <c r="B38" s="555" t="s">
        <v>226</v>
      </c>
      <c r="C38" s="22">
        <f>+'METERED LETTERS MODEL'!W63</f>
        <v>17372.295703077576</v>
      </c>
      <c r="E38" s="22">
        <f>+PRODUCTIVITY!I18</f>
        <v>6910.0702052322977</v>
      </c>
      <c r="G38" s="37">
        <f>+'WAGE RATES - PIGGYBACK FACTORS'!$D$5</f>
        <v>50.10717457546064</v>
      </c>
      <c r="H38" s="3">
        <f t="shared" si="0"/>
        <v>0.72513264101889352</v>
      </c>
      <c r="I38" s="3">
        <f>+H38*('WAGE RATES - PIGGYBACK FACTORS'!$D$7-1)</f>
        <v>9.1372859818735514E-3</v>
      </c>
      <c r="J38" s="3">
        <f>+'WAGE RATES - PIGGYBACK FACTORS'!D40</f>
        <v>1.6888485071959758</v>
      </c>
      <c r="K38" s="3">
        <f t="shared" si="1"/>
        <v>1.2337764642857072</v>
      </c>
      <c r="L38" s="3">
        <f t="shared" si="2"/>
        <v>2.1433529569068837</v>
      </c>
      <c r="M38" s="555"/>
      <c r="N38" s="22"/>
    </row>
    <row r="39" spans="1:14">
      <c r="A39" s="555"/>
      <c r="B39" s="555" t="s">
        <v>227</v>
      </c>
      <c r="C39" s="22">
        <f>+'METERED LETTERS MODEL'!AA74*(1-MISC!E9)</f>
        <v>1161.2204341476686</v>
      </c>
      <c r="E39" s="22">
        <f>+PRODUCTIVITY!I24</f>
        <v>810.31043431031583</v>
      </c>
      <c r="G39" s="37">
        <f>+'WAGE RATES - PIGGYBACK FACTORS'!$D$5</f>
        <v>50.10717457546064</v>
      </c>
      <c r="H39" s="3">
        <f t="shared" si="0"/>
        <v>6.1837010180065928</v>
      </c>
      <c r="I39" s="3">
        <f>+H39*('WAGE RATES - PIGGYBACK FACTORS'!$D$7-1)</f>
        <v>7.7919874836328964E-2</v>
      </c>
      <c r="J39" s="3">
        <f>+'WAGE RATES - PIGGYBACK FACTORS'!D42</f>
        <v>1.2988119246888874</v>
      </c>
      <c r="K39" s="3">
        <f t="shared" si="1"/>
        <v>8.1093844957341048</v>
      </c>
      <c r="L39" s="3">
        <f t="shared" si="2"/>
        <v>0.94167829848067308</v>
      </c>
      <c r="M39" s="555"/>
      <c r="N39" s="22"/>
    </row>
    <row r="40" spans="1:14">
      <c r="A40" s="555"/>
      <c r="B40" s="555" t="s">
        <v>228</v>
      </c>
      <c r="C40" s="22">
        <f>+MISC!E10*('METERED LETTERS MODEL'!AE64+'METERED LETTERS MODEL'!AE57)</f>
        <v>391.34665855753946</v>
      </c>
      <c r="E40" s="22">
        <f>+PRODUCTIVITY!I25</f>
        <v>1955.193482688391</v>
      </c>
      <c r="G40" s="37">
        <f>+'WAGE RATES - PIGGYBACK FACTORS'!$D$5</f>
        <v>50.10717457546064</v>
      </c>
      <c r="H40" s="3">
        <f t="shared" si="0"/>
        <v>2.5627731996407475</v>
      </c>
      <c r="I40" s="3">
        <f>+H40*('WAGE RATES - PIGGYBACK FACTORS'!$D$7-1)</f>
        <v>3.2293114813995112E-2</v>
      </c>
      <c r="J40" s="3">
        <f>+'WAGE RATES - PIGGYBACK FACTORS'!D43</f>
        <v>1.2988119246888874</v>
      </c>
      <c r="K40" s="3">
        <f t="shared" si="1"/>
        <v>3.3608535067804928</v>
      </c>
      <c r="L40" s="3">
        <f t="shared" si="2"/>
        <v>0.13152587897799348</v>
      </c>
      <c r="M40" s="555"/>
      <c r="N40" s="22"/>
    </row>
    <row r="41" spans="1:14" ht="12.95" thickBot="1">
      <c r="A41" s="552"/>
      <c r="B41" s="92" t="s">
        <v>229</v>
      </c>
      <c r="C41" s="498">
        <f>MISC!E10*('METERED LETTERS MODEL'!AE75+'METERED LETTERS MODEL'!AE50)</f>
        <v>66.998346040375878</v>
      </c>
      <c r="D41" s="498"/>
      <c r="E41" s="498">
        <f>+PRODUCTIVITY!I26</f>
        <v>977.59674134419549</v>
      </c>
      <c r="F41" s="498"/>
      <c r="G41" s="499">
        <f>+'WAGE RATES - PIGGYBACK FACTORS'!$D$5</f>
        <v>50.10717457546064</v>
      </c>
      <c r="H41" s="500">
        <f t="shared" si="0"/>
        <v>5.1255463992814949</v>
      </c>
      <c r="I41" s="500">
        <f>+H41*('WAGE RATES - PIGGYBACK FACTORS'!$D$7-1)</f>
        <v>6.4586229627990224E-2</v>
      </c>
      <c r="J41" s="500">
        <f>+'WAGE RATES - PIGGYBACK FACTORS'!D44</f>
        <v>1.2988119246888874</v>
      </c>
      <c r="K41" s="500">
        <f t="shared" si="1"/>
        <v>6.7217070135609855</v>
      </c>
      <c r="L41" s="500">
        <f t="shared" si="2"/>
        <v>4.503432524765804E-2</v>
      </c>
      <c r="M41" s="555"/>
      <c r="N41" s="22"/>
    </row>
    <row r="42" spans="1:14" ht="9" customHeight="1" thickBot="1">
      <c r="A42" s="555"/>
      <c r="B42" s="555"/>
      <c r="H42" s="3"/>
      <c r="I42" s="3"/>
      <c r="K42" s="3"/>
      <c r="L42" s="4"/>
      <c r="M42" s="555"/>
      <c r="N42" s="555"/>
    </row>
    <row r="43" spans="1:14" ht="13.5" thickBot="1">
      <c r="A43" s="555"/>
      <c r="B43" s="555"/>
      <c r="H43" s="3"/>
      <c r="J43" s="490" t="s">
        <v>230</v>
      </c>
      <c r="K43" s="491"/>
      <c r="L43" s="492">
        <f>SUM(L10:L41)</f>
        <v>7.1473715083396119</v>
      </c>
      <c r="M43" s="555"/>
      <c r="N43" s="555"/>
    </row>
    <row r="44" spans="1:14" ht="9" customHeight="1">
      <c r="A44" s="555"/>
      <c r="B44" s="555"/>
      <c r="H44" s="3"/>
      <c r="J44" s="34"/>
      <c r="K44" s="1"/>
      <c r="L44" s="2"/>
      <c r="M44" s="555"/>
      <c r="N44" s="555"/>
    </row>
    <row r="45" spans="1:14" ht="12.95">
      <c r="A45" s="555"/>
      <c r="B45" s="555"/>
      <c r="J45" s="555"/>
      <c r="K45" s="555"/>
      <c r="L45" s="555"/>
      <c r="M45" s="11"/>
      <c r="N45" s="555"/>
    </row>
    <row r="46" spans="1:14" ht="12.95">
      <c r="A46" s="9" t="s">
        <v>65</v>
      </c>
      <c r="B46" s="555"/>
      <c r="J46" s="555"/>
      <c r="K46" s="555"/>
      <c r="L46" s="555"/>
      <c r="M46" s="555"/>
      <c r="N46" s="555"/>
    </row>
    <row r="47" spans="1:14" s="11" customFormat="1" ht="13.5" thickBot="1">
      <c r="A47" s="216" t="s">
        <v>423</v>
      </c>
      <c r="B47" s="216"/>
      <c r="C47" s="218"/>
      <c r="D47" s="218"/>
      <c r="E47" s="218"/>
      <c r="F47" s="218"/>
      <c r="G47" s="219"/>
      <c r="H47" s="35"/>
      <c r="I47" s="2"/>
      <c r="J47" s="4"/>
      <c r="K47" s="35"/>
      <c r="L47" s="35"/>
    </row>
    <row r="48" spans="1:14" s="11" customFormat="1" ht="13.5" thickBot="1">
      <c r="A48" s="216" t="s">
        <v>233</v>
      </c>
      <c r="B48" s="216"/>
      <c r="C48" s="218"/>
      <c r="D48" s="218"/>
      <c r="E48" s="218"/>
      <c r="F48" s="218"/>
      <c r="G48" s="219"/>
      <c r="H48" s="35"/>
      <c r="I48" s="2"/>
      <c r="J48" s="493" t="s">
        <v>231</v>
      </c>
      <c r="K48" s="494"/>
      <c r="L48" s="495">
        <f>+('METERED LETTERS MODEL'!AE57+'METERED LETTERS MODEL'!AE64)/C3</f>
        <v>0.85382551272888774</v>
      </c>
    </row>
    <row r="49" spans="1:12" s="11" customFormat="1" ht="12.95">
      <c r="A49" s="216" t="s">
        <v>234</v>
      </c>
      <c r="B49" s="216"/>
      <c r="C49" s="218"/>
      <c r="D49" s="218"/>
      <c r="E49" s="218"/>
      <c r="F49" s="218"/>
      <c r="G49" s="219"/>
      <c r="H49" s="35"/>
      <c r="I49" s="2"/>
      <c r="J49" s="40"/>
      <c r="K49" s="35"/>
      <c r="L49" s="35"/>
    </row>
    <row r="50" spans="1:12" s="11" customFormat="1" ht="12.95">
      <c r="A50" s="11" t="s">
        <v>424</v>
      </c>
      <c r="C50" s="23"/>
      <c r="D50" s="23"/>
      <c r="E50" s="23"/>
      <c r="F50" s="23"/>
      <c r="G50" s="38"/>
      <c r="H50" s="35"/>
      <c r="I50" s="2"/>
      <c r="J50" s="40"/>
      <c r="K50" s="35"/>
      <c r="L50" s="35"/>
    </row>
    <row r="51" spans="1:12" s="11" customFormat="1" ht="12.95">
      <c r="A51" s="216" t="s">
        <v>425</v>
      </c>
      <c r="B51" s="216"/>
      <c r="C51" s="218"/>
      <c r="D51" s="218"/>
      <c r="E51" s="218"/>
      <c r="F51" s="218"/>
      <c r="G51" s="219"/>
      <c r="H51" s="35"/>
      <c r="I51" s="2"/>
      <c r="J51" s="40"/>
      <c r="K51" s="35"/>
      <c r="L51" s="35"/>
    </row>
    <row r="52" spans="1:12" s="11" customFormat="1" ht="12.95">
      <c r="A52" s="216" t="s">
        <v>237</v>
      </c>
      <c r="B52" s="216"/>
      <c r="C52" s="218"/>
      <c r="D52" s="218"/>
      <c r="E52" s="218"/>
      <c r="F52" s="218"/>
      <c r="G52" s="219"/>
      <c r="H52" s="39"/>
      <c r="I52" s="2"/>
      <c r="J52" s="4"/>
      <c r="K52" s="35"/>
      <c r="L52" s="35"/>
    </row>
    <row r="53" spans="1:12" s="11" customFormat="1" ht="12.95">
      <c r="A53" s="220" t="s">
        <v>238</v>
      </c>
      <c r="C53" s="23"/>
      <c r="D53" s="23"/>
      <c r="E53" s="23"/>
      <c r="F53" s="23"/>
      <c r="G53" s="38"/>
      <c r="H53" s="39"/>
      <c r="I53" s="2"/>
      <c r="J53" s="4"/>
      <c r="K53" s="35"/>
      <c r="L53" s="35"/>
    </row>
    <row r="54" spans="1:12" s="11" customFormat="1" ht="12.95">
      <c r="A54" s="40" t="s">
        <v>239</v>
      </c>
      <c r="C54" s="23"/>
      <c r="D54" s="23"/>
      <c r="E54" s="23"/>
      <c r="F54" s="23"/>
      <c r="G54" s="38"/>
      <c r="H54" s="39"/>
      <c r="I54" s="2"/>
      <c r="J54" s="4"/>
      <c r="K54" s="35"/>
      <c r="L54" s="35"/>
    </row>
    <row r="55" spans="1:12" s="11" customFormat="1" ht="7.7" customHeight="1">
      <c r="C55" s="23"/>
      <c r="D55" s="23"/>
      <c r="E55" s="23"/>
      <c r="F55" s="23"/>
      <c r="G55" s="38"/>
      <c r="H55" s="35"/>
      <c r="I55" s="2"/>
      <c r="J55" s="40"/>
      <c r="K55" s="35"/>
      <c r="L55" s="35"/>
    </row>
    <row r="56" spans="1:12" s="11" customFormat="1" ht="12.95">
      <c r="A56" s="40" t="s">
        <v>240</v>
      </c>
      <c r="C56" s="23"/>
      <c r="D56" s="23"/>
      <c r="E56" s="23"/>
      <c r="F56" s="23"/>
      <c r="G56" s="38"/>
      <c r="H56" s="35"/>
      <c r="I56" s="2"/>
      <c r="J56" s="4"/>
      <c r="K56" s="35"/>
      <c r="L56" s="35"/>
    </row>
    <row r="57" spans="1:12" s="11" customFormat="1" ht="12.95">
      <c r="A57" s="40" t="s">
        <v>426</v>
      </c>
      <c r="C57" s="23"/>
      <c r="D57" s="23"/>
      <c r="E57" s="23"/>
      <c r="F57" s="23"/>
      <c r="G57" s="38"/>
      <c r="H57" s="35"/>
      <c r="I57" s="2"/>
      <c r="J57" s="4"/>
      <c r="K57" s="35"/>
      <c r="L57" s="35"/>
    </row>
  </sheetData>
  <phoneticPr fontId="11" type="noConversion"/>
  <pageMargins left="0.75" right="0.75" top="1" bottom="1" header="0.5" footer="0.5"/>
  <pageSetup scale="79" orientation="portrait" r:id="rId1"/>
  <headerFooter alignWithMargins="0">
    <oddHeader xml:space="preserve">&amp;RPage 3
</oddHeader>
  </headerFooter>
  <ignoredErrors>
    <ignoredError sqref="K13 K25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AI100"/>
  <sheetViews>
    <sheetView zoomScale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12.71093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1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422</v>
      </c>
      <c r="C1" s="555"/>
      <c r="D1" s="555"/>
      <c r="E1" s="1"/>
      <c r="F1" s="20"/>
      <c r="G1" s="555"/>
      <c r="H1" s="555"/>
      <c r="J1" s="555"/>
      <c r="M1" s="555"/>
      <c r="N1" s="555"/>
      <c r="O1" s="203"/>
      <c r="P1" s="203"/>
      <c r="Q1" s="203"/>
      <c r="R1" s="203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61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f>+E4</f>
        <v>10000</v>
      </c>
      <c r="F7" s="584"/>
      <c r="G7" s="41"/>
      <c r="H7" s="31" t="s">
        <v>427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4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60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60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60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56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4.1006742159540917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9024.5715339016006</v>
      </c>
      <c r="J15" s="555"/>
      <c r="K15" s="119">
        <f>+I15+I16</f>
        <v>9041.0288814772794</v>
      </c>
      <c r="L15" s="119"/>
      <c r="M15" s="555"/>
      <c r="N15" s="42">
        <f>+(K15)*DENSITY!C7</f>
        <v>134.54379239645118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59.224285271335525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16.457347575678348</v>
      </c>
      <c r="J16" s="555"/>
      <c r="K16" s="42"/>
      <c r="L16" s="42"/>
      <c r="M16" s="555"/>
      <c r="N16" s="42">
        <f>+(K15)*DENSITY!D7</f>
        <v>1787.7061728758399</v>
      </c>
      <c r="O16" s="44" t="s">
        <v>256</v>
      </c>
      <c r="P16" s="17"/>
      <c r="Q16" s="139"/>
      <c r="S16" s="124">
        <f>+T16*(1+DENSITY!B9)</f>
        <v>149.74514166615191</v>
      </c>
      <c r="T16" s="125">
        <f>+E9+N15+N41</f>
        <v>149.16431187315885</v>
      </c>
      <c r="U16" s="20"/>
      <c r="V16" s="42"/>
      <c r="W16" s="42">
        <f>+V17*DENSITY!D9</f>
        <v>4.0143079375621156</v>
      </c>
      <c r="X16" s="44" t="s">
        <v>256</v>
      </c>
      <c r="Y16" s="42"/>
      <c r="Z16" s="42"/>
      <c r="AA16" s="124">
        <f>+AB16</f>
        <v>340.19099614938511</v>
      </c>
      <c r="AB16" s="125">
        <f>+E11+N31+N39+V14</f>
        <v>340.19099614938511</v>
      </c>
      <c r="AC16" s="42"/>
      <c r="AD16" s="42">
        <f>+AB16*DENSITY!E14</f>
        <v>60.611860005154476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2616.8622636854102</v>
      </c>
      <c r="O17" s="44" t="s">
        <v>251</v>
      </c>
      <c r="P17" s="17"/>
      <c r="Q17" s="139"/>
      <c r="S17" s="126"/>
      <c r="T17" s="127"/>
      <c r="U17" s="20"/>
      <c r="V17" s="42">
        <f>+T16*ACCEPT!C15</f>
        <v>145.06363765720477</v>
      </c>
      <c r="W17" s="42">
        <f>+V17*DENSITY!E9</f>
        <v>73.791899657156918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220.35485087289513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10113.242066018694</v>
      </c>
      <c r="H18" s="125">
        <f>+E7</f>
        <v>10000</v>
      </c>
      <c r="J18" s="555"/>
      <c r="M18" s="555"/>
      <c r="N18" s="42">
        <f>+(K15)*DENSITY!F7</f>
        <v>4501.9166525195778</v>
      </c>
      <c r="O18" s="44" t="s">
        <v>254</v>
      </c>
      <c r="Q18" s="58"/>
      <c r="S18" s="555"/>
      <c r="T18" s="555"/>
      <c r="U18" s="555"/>
      <c r="W18" s="42">
        <f>+V17*DENSITY!F9</f>
        <v>67.257430062485724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1.3776554909938095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1.7788063667607659</v>
      </c>
      <c r="H21" s="129">
        <f>+H18*(ACCEPT!F6)</f>
        <v>661.97249336542848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47.509112608288547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1882.3604094487564</v>
      </c>
      <c r="T24" s="125">
        <f>+E10+N16+N42+W16</f>
        <v>1843.9904091854521</v>
      </c>
      <c r="U24" s="20"/>
      <c r="V24" s="42"/>
      <c r="W24" s="42">
        <f>+V25*DENSITY!E10</f>
        <v>980.35629308130024</v>
      </c>
      <c r="X24" s="44" t="s">
        <v>251</v>
      </c>
      <c r="Y24" s="42"/>
      <c r="Z24" s="42"/>
      <c r="AA24" s="124">
        <f>+AB24</f>
        <v>106.73339787962408</v>
      </c>
      <c r="AB24" s="125">
        <f>+E12+V22+AD15</f>
        <v>106.73339787962408</v>
      </c>
      <c r="AC24" s="42"/>
      <c r="AD24" s="42">
        <f>+AB24*DENSITY!E15</f>
        <v>86.400637277051871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663.7512997321893</v>
      </c>
      <c r="H25" s="125">
        <f>+H21+E8</f>
        <v>661.97249336542848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1796.4812965771634</v>
      </c>
      <c r="W25" s="42">
        <f>+V25*DENSITY!F10</f>
        <v>816.12500349586298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20.332760602572204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16.858498451445303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3.5931888608567553E-2</v>
      </c>
      <c r="H28" s="91">
        <f>+J28</f>
        <v>13.371844365981701</v>
      </c>
      <c r="I28" s="50">
        <f>+G21-K29</f>
        <v>3.5931888608567553E-2</v>
      </c>
      <c r="J28" s="591">
        <f>+H25-L29</f>
        <v>13.371844365981701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G21*MISC!E6</f>
        <v>1.7428744781521983</v>
      </c>
      <c r="L29" s="593">
        <f>+H25*(MISC!E6)</f>
        <v>648.60064899944678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7"/>
      <c r="O30" s="17"/>
      <c r="P30" s="17"/>
      <c r="Q30" s="94"/>
      <c r="S30" s="122" t="s">
        <v>251</v>
      </c>
      <c r="T30" s="116"/>
      <c r="U30" s="555"/>
      <c r="V30" s="42">
        <f>+T32*(1-ACCEPT!C17)</f>
        <v>171.63549911982494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1.1039155175546262</v>
      </c>
      <c r="N31" s="138">
        <f>+M31+M32</f>
        <v>1.106881882427295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1.3776554909938095</v>
      </c>
      <c r="D32" s="142">
        <f>+D36</f>
        <v>1.3776554909938095</v>
      </c>
      <c r="E32" s="555"/>
      <c r="F32" s="555"/>
      <c r="G32" s="125">
        <f>+I28+H32</f>
        <v>13.407776254590269</v>
      </c>
      <c r="H32" s="125">
        <f>+J28</f>
        <v>13.371844365981701</v>
      </c>
      <c r="I32" s="50"/>
      <c r="J32" s="594"/>
      <c r="K32" s="42"/>
      <c r="L32" s="42"/>
      <c r="M32" s="143">
        <f>+I28*MISC!E5</f>
        <v>2.9663648726687779E-3</v>
      </c>
      <c r="N32" s="17"/>
      <c r="O32" s="17"/>
      <c r="P32" s="41"/>
      <c r="Q32" s="93"/>
      <c r="R32" s="42"/>
      <c r="S32" s="125">
        <f>+T32*(1+DENSITY!B13)</f>
        <v>3903.0162292890664</v>
      </c>
      <c r="T32" s="140">
        <f>+K8+N17+N43+N48+N75+W17+W24</f>
        <v>3892.5341903067729</v>
      </c>
      <c r="U32" s="42"/>
      <c r="X32" s="555"/>
      <c r="AA32" s="125">
        <f>+AB32</f>
        <v>318.64799640203131</v>
      </c>
      <c r="AB32" s="140">
        <f>+Q7+N64+N72+V30+AD16+AD24</f>
        <v>318.64799640203131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3720.8986911869479</v>
      </c>
      <c r="W33" s="42">
        <f>+V33*DENSITY!$F$13</f>
        <v>321.78880814843205</v>
      </c>
      <c r="X33" s="44" t="s">
        <v>254</v>
      </c>
      <c r="AA33" s="146"/>
      <c r="AB33" s="145"/>
      <c r="AC33" s="42"/>
      <c r="AD33" s="42">
        <f>+AB32*DENSITY!F16</f>
        <v>139.55023016586117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3399.1098830385167</v>
      </c>
      <c r="X34" s="44" t="s">
        <v>257</v>
      </c>
      <c r="AA34" s="555"/>
      <c r="AB34" s="555"/>
      <c r="AC34" s="42"/>
      <c r="AD34" s="42">
        <f>+AB32*DENSITY!G16</f>
        <v>179.09776623617014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3.2965523735898776E-2</v>
      </c>
      <c r="H35" s="91">
        <f>+J35</f>
        <v>12.267928848427076</v>
      </c>
      <c r="I35" s="50">
        <f>+I28-M32</f>
        <v>3.2965523735898776E-2</v>
      </c>
      <c r="J35" s="42">
        <f>+J28-M31</f>
        <v>12.267928848427076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1.3776554909938095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372.28851100450441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671.98310736251369</v>
      </c>
      <c r="H39" s="125">
        <f>+J35+L29</f>
        <v>660.86857784787389</v>
      </c>
      <c r="J39" s="555"/>
      <c r="K39" s="42"/>
      <c r="L39" s="148">
        <f>+H39*ACCEPT!C13</f>
        <v>20.715320291796026</v>
      </c>
      <c r="M39" s="555"/>
      <c r="N39" s="149">
        <f>+L39+L40+H18*ACCEPT!G6</f>
        <v>334.98344005100375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9.3386895127516585</v>
      </c>
      <c r="F40" s="555"/>
      <c r="G40" s="128"/>
      <c r="H40" s="127"/>
      <c r="J40" s="555"/>
      <c r="L40" s="148">
        <f>+(G39-H39)*(1-ACCEPT!C9)</f>
        <v>0.81214702623707291</v>
      </c>
      <c r="M40" s="555"/>
      <c r="N40" s="42"/>
      <c r="O40" s="46"/>
      <c r="P40" s="46"/>
      <c r="Q40" s="139"/>
      <c r="R40" s="42"/>
      <c r="S40" s="125">
        <f>+T40</f>
        <v>6041.554509083986</v>
      </c>
      <c r="T40" s="140">
        <f>+K9+N18+N44+N49+N76+W18+W25+W33</f>
        <v>6041.554509083986</v>
      </c>
      <c r="U40" s="42"/>
      <c r="V40" s="42"/>
      <c r="W40" s="46"/>
      <c r="X40" s="42"/>
      <c r="AA40" s="125">
        <f>+AB40</f>
        <v>752.52635264583284</v>
      </c>
      <c r="AB40" s="140">
        <f>+Q8+V38+AD33+AD25+AD17</f>
        <v>752.52635264583284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14.620519476707662</v>
      </c>
      <c r="O41" s="44" t="s">
        <v>253</v>
      </c>
      <c r="P41" s="46"/>
      <c r="Q41" s="58"/>
      <c r="S41" s="127"/>
      <c r="T41" s="145"/>
      <c r="U41" s="42"/>
      <c r="V41" s="42">
        <f>+T40*(ACCEPT!C18)</f>
        <v>5669.2659980794815</v>
      </c>
      <c r="W41" s="44" t="s">
        <v>257</v>
      </c>
      <c r="X41" s="42"/>
      <c r="AA41" s="146"/>
      <c r="AB41" s="145"/>
      <c r="AC41" s="555"/>
      <c r="AD41" s="42">
        <f>+AB40</f>
        <v>752.52635264583284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612.57841410088702</v>
      </c>
      <c r="J42" s="150">
        <f>+H42+H43</f>
        <v>622.88079658928973</v>
      </c>
      <c r="M42" s="555"/>
      <c r="N42" s="42">
        <f>+J42*DENSITY!D8</f>
        <v>52.269928372050131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10.302382488402726</v>
      </c>
      <c r="J43" s="555"/>
      <c r="M43" s="555"/>
      <c r="N43" s="42">
        <f>+J42*DENSITY!E8</f>
        <v>221.52373388290511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334.46661485762689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18.375291205136406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318.89972976859082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318.89972976859082</v>
      </c>
      <c r="X49" s="140">
        <f>+V48</f>
        <v>318.89972976859082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300.5244385634544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9068.3758811179978</v>
      </c>
      <c r="T56" s="140">
        <f>+K10+N19+N45+N50+N77+W19+W26+W34+V41</f>
        <v>9068.3758811179978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211.22102406052909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8749.4761513494068</v>
      </c>
      <c r="W63" s="125">
        <f>+X63+X63*ACCEPT!C20</f>
        <v>17372.295703077576</v>
      </c>
      <c r="X63" s="140">
        <f>+V63</f>
        <v>8749.4761513494068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+J62*MISC!E6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8538.2551272888777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+I62*MISC!E6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1161.2204341476686</v>
      </c>
      <c r="AB74" s="140">
        <f>+Q9+AD41+AD34+AD26+AD18+Z47+Z54+Z61+Z67</f>
        <v>1161.2204341476686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1161.2204341476686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0:F10"/>
    <mergeCell ref="E11:F11"/>
    <mergeCell ref="E12:F12"/>
    <mergeCell ref="M30:N30"/>
    <mergeCell ref="E4:F4"/>
    <mergeCell ref="E7:F7"/>
    <mergeCell ref="E8:F8"/>
    <mergeCell ref="E9:F9"/>
  </mergeCells>
  <phoneticPr fontId="11" type="noConversion"/>
  <pageMargins left="0.75" right="0.75" top="1" bottom="1" header="0.5" footer="0.5"/>
  <pageSetup scale="37" orientation="portrait" r:id="rId1"/>
  <headerFooter alignWithMargins="0">
    <oddHeader>&amp;RPage 4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16A6-3994-4CE7-BAFC-6CF7052EEDAD}">
  <dimension ref="A1:AI100"/>
  <sheetViews>
    <sheetView zoomScaleNormal="100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12.71093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1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428</v>
      </c>
      <c r="C1" s="555"/>
      <c r="D1" s="555"/>
      <c r="E1" s="1"/>
      <c r="F1" s="20"/>
      <c r="G1" s="555"/>
      <c r="H1" s="555"/>
      <c r="J1" s="555"/>
      <c r="M1" s="555"/>
      <c r="N1" s="555"/>
      <c r="O1" s="203"/>
      <c r="P1" s="203"/>
      <c r="Q1" s="203"/>
      <c r="R1" s="203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61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4"/>
      <c r="G7" s="41"/>
      <c r="H7" s="31" t="s">
        <v>427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4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60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60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10000</v>
      </c>
      <c r="F11" s="560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56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1740.912779635381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10000</v>
      </c>
      <c r="AB16" s="125">
        <f>+E11+N31+N39+V14</f>
        <v>10000</v>
      </c>
      <c r="AC16" s="42"/>
      <c r="AD16" s="42">
        <f>+AB16*DENSITY!E14</f>
        <v>1781.7008883603291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6477.3863320042901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1740.912779635381</v>
      </c>
      <c r="AB24" s="125">
        <f>+E12+V22+AD15</f>
        <v>1740.912779635381</v>
      </c>
      <c r="AC24" s="42"/>
      <c r="AD24" s="42">
        <f>+AB24*DENSITY!E15</f>
        <v>1409.2681071945508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331.64467244083033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7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3190.9689955548802</v>
      </c>
      <c r="AB32" s="140">
        <f>+Q7+N64+N72+V30+AD16+AD24</f>
        <v>3190.9689955548802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1397.4682496355142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1793.500745919366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8206.4992540806343</v>
      </c>
      <c r="AB40" s="140">
        <f>+Q8+V38+AD33+AD25+AD17</f>
        <v>8206.4992540806343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8206.4992540806343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0</v>
      </c>
      <c r="T56" s="140">
        <f>+K10+N19+N45+N50+N77+W19+W26+W34+V41</f>
        <v>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+J62*MISC!E6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+I62*MISC!E6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10000</v>
      </c>
      <c r="AB74" s="140">
        <f>+Q9+AD41+AD34+AD26+AD18+Z47+Z54+Z61+Z67</f>
        <v>10000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10000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ageMargins left="0.7" right="0.7" top="0.75" bottom="0.75" header="0.3" footer="0.3"/>
  <pageSetup orientation="portrait" horizontalDpi="300" verticalDpi="0" copies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F982-AB57-4854-A949-55A4766CE790}">
  <dimension ref="A1:N57"/>
  <sheetViews>
    <sheetView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1" width="11.85546875" style="36" customWidth="1"/>
    <col min="12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428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'METERED LETTERS MODEL'!N4</f>
        <v>10000</v>
      </c>
      <c r="D3" s="79"/>
      <c r="E3" s="79"/>
      <c r="F3" s="79"/>
      <c r="G3" s="80"/>
      <c r="H3" s="81"/>
      <c r="I3" s="78"/>
      <c r="J3" s="82"/>
      <c r="K3" s="203"/>
      <c r="L3" s="555"/>
      <c r="M3" s="555"/>
      <c r="N3" s="555"/>
    </row>
    <row r="4" spans="1:14" s="15" customFormat="1" ht="12.75" customHeight="1">
      <c r="A4" s="11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21"/>
      <c r="N4" s="17"/>
    </row>
    <row r="5" spans="1:14" ht="12.95">
      <c r="A5" s="555"/>
      <c r="B5" s="555"/>
      <c r="H5" s="35" t="s">
        <v>169</v>
      </c>
      <c r="I5" s="2" t="s">
        <v>170</v>
      </c>
      <c r="K5" s="35" t="s">
        <v>17</v>
      </c>
      <c r="L5" s="35" t="s">
        <v>203</v>
      </c>
      <c r="M5" s="555"/>
      <c r="N5" s="555"/>
    </row>
    <row r="6" spans="1:14" ht="12.95">
      <c r="A6" s="555"/>
      <c r="B6" s="555"/>
      <c r="E6" s="21" t="s">
        <v>167</v>
      </c>
      <c r="F6" s="21"/>
      <c r="G6" s="38" t="s">
        <v>173</v>
      </c>
      <c r="H6" s="35" t="s">
        <v>174</v>
      </c>
      <c r="I6" s="2" t="s">
        <v>176</v>
      </c>
      <c r="J6" s="4" t="s">
        <v>175</v>
      </c>
      <c r="K6" s="35" t="s">
        <v>174</v>
      </c>
      <c r="L6" s="35" t="s">
        <v>174</v>
      </c>
      <c r="M6" s="555"/>
      <c r="N6" s="555"/>
    </row>
    <row r="7" spans="1:14" ht="12.95">
      <c r="A7" s="17"/>
      <c r="B7" s="17"/>
      <c r="C7" s="21" t="s">
        <v>204</v>
      </c>
      <c r="D7" s="21"/>
      <c r="E7" s="21" t="s">
        <v>205</v>
      </c>
      <c r="F7" s="21"/>
      <c r="G7" s="38" t="s">
        <v>182</v>
      </c>
      <c r="H7" s="35" t="s">
        <v>185</v>
      </c>
      <c r="I7" s="2" t="s">
        <v>184</v>
      </c>
      <c r="J7" s="4" t="s">
        <v>181</v>
      </c>
      <c r="K7" s="35" t="s">
        <v>185</v>
      </c>
      <c r="L7" s="35" t="s">
        <v>185</v>
      </c>
      <c r="M7" s="555"/>
      <c r="N7" s="555"/>
    </row>
    <row r="8" spans="1:14" ht="12.95">
      <c r="A8" s="70"/>
      <c r="B8" s="70"/>
      <c r="C8" s="168" t="s">
        <v>2</v>
      </c>
      <c r="D8" s="168"/>
      <c r="E8" s="168" t="s">
        <v>3</v>
      </c>
      <c r="F8" s="168"/>
      <c r="G8" s="169" t="s">
        <v>4</v>
      </c>
      <c r="H8" s="168" t="s">
        <v>5</v>
      </c>
      <c r="I8" s="99" t="s">
        <v>6</v>
      </c>
      <c r="J8" s="88" t="s">
        <v>7</v>
      </c>
      <c r="K8" s="168" t="s">
        <v>8</v>
      </c>
      <c r="L8" s="168" t="s">
        <v>9</v>
      </c>
      <c r="M8" s="555"/>
      <c r="N8" s="555"/>
    </row>
    <row r="9" spans="1:14" ht="12.95">
      <c r="A9" s="11" t="s">
        <v>206</v>
      </c>
      <c r="B9" s="497"/>
      <c r="C9" s="497"/>
      <c r="D9" s="497"/>
      <c r="E9" s="497"/>
      <c r="F9" s="497"/>
      <c r="G9" s="497"/>
      <c r="H9" s="497"/>
      <c r="I9" s="497"/>
      <c r="J9" s="497"/>
      <c r="K9" s="497"/>
      <c r="L9" s="497"/>
      <c r="M9" s="555"/>
      <c r="N9" s="555"/>
    </row>
    <row r="10" spans="1:14" ht="12.95">
      <c r="A10" s="11"/>
      <c r="B10" s="555" t="s">
        <v>207</v>
      </c>
      <c r="C10" s="98"/>
      <c r="D10" s="98"/>
      <c r="E10" s="19"/>
      <c r="F10" s="19"/>
      <c r="H10" s="3"/>
      <c r="I10" s="3"/>
      <c r="K10" s="3"/>
      <c r="L10" s="3"/>
      <c r="M10" s="18"/>
      <c r="N10" s="555"/>
    </row>
    <row r="11" spans="1:14" ht="12.95">
      <c r="A11" s="11" t="s">
        <v>208</v>
      </c>
      <c r="B11" s="555"/>
      <c r="H11" s="3"/>
      <c r="I11" s="3"/>
      <c r="K11" s="3"/>
      <c r="L11" s="3"/>
      <c r="M11" s="18"/>
      <c r="N11" s="555"/>
    </row>
    <row r="12" spans="1:14">
      <c r="A12" s="17"/>
      <c r="B12" s="555" t="s">
        <v>209</v>
      </c>
      <c r="C12" s="22">
        <f>+'METERED LETTERS NONMACH_MODEL'!G18</f>
        <v>0</v>
      </c>
      <c r="E12" s="22">
        <f>+PRODUCTIVITY!I7</f>
        <v>6833.2327250865728</v>
      </c>
      <c r="G12" s="37">
        <f>+'WAGE RATES - PIGGYBACK FACTORS'!$D$5</f>
        <v>50.10717457546064</v>
      </c>
      <c r="H12" s="3">
        <f>+G12/E12*100</f>
        <v>0.73328652178791132</v>
      </c>
      <c r="I12" s="3">
        <f>+H12*('WAGE RATES - PIGGYBACK FACTORS'!$D$7-1)</f>
        <v>9.2400317917214272E-3</v>
      </c>
      <c r="J12" s="3">
        <f>+'WAGE RATES - PIGGYBACK FACTORS'!D22</f>
        <v>1.6888485071959758</v>
      </c>
      <c r="K12" s="3">
        <f>+H12*J12+I12</f>
        <v>1.2476498794601647</v>
      </c>
      <c r="L12" s="3">
        <f>+(K12*C12/10000)</f>
        <v>0</v>
      </c>
      <c r="M12" s="18"/>
      <c r="N12" s="22"/>
    </row>
    <row r="13" spans="1:14">
      <c r="A13" s="17"/>
      <c r="B13" s="555" t="s">
        <v>210</v>
      </c>
      <c r="C13" s="22">
        <f>+'METERED LETTERS NONMACH_MODEL'!G25</f>
        <v>0</v>
      </c>
      <c r="E13" s="163" t="s">
        <v>211</v>
      </c>
      <c r="F13" s="163"/>
      <c r="G13" s="163" t="s">
        <v>211</v>
      </c>
      <c r="H13" s="163" t="s">
        <v>211</v>
      </c>
      <c r="I13" s="163" t="s">
        <v>211</v>
      </c>
      <c r="J13" s="163" t="s">
        <v>211</v>
      </c>
      <c r="K13" s="3">
        <f>MISC!E7</f>
        <v>0.27889541043904115</v>
      </c>
      <c r="L13" s="3">
        <f>+(K13*C13/10000)</f>
        <v>0</v>
      </c>
      <c r="M13" s="18"/>
      <c r="N13" s="22"/>
    </row>
    <row r="14" spans="1:14">
      <c r="A14" s="17"/>
      <c r="B14" s="555" t="s">
        <v>212</v>
      </c>
      <c r="C14" s="22">
        <f>+'METERED LETTERS NONMACH_MODEL'!G32</f>
        <v>0</v>
      </c>
      <c r="E14" s="22">
        <f>+PRODUCTIVITY!I9</f>
        <v>846.86662945459375</v>
      </c>
      <c r="G14" s="37">
        <f>+'WAGE RATES - PIGGYBACK FACTORS'!$D$4</f>
        <v>54.142360316355024</v>
      </c>
      <c r="H14" s="3">
        <f>+G14/E14*100</f>
        <v>6.3932570292944773</v>
      </c>
      <c r="I14" s="3">
        <f>+H14*('WAGE RATES - PIGGYBACK FACTORS'!$D$7-1)</f>
        <v>8.0560458222104642E-2</v>
      </c>
      <c r="J14" s="3">
        <f>+'WAGE RATES - PIGGYBACK FACTORS'!D23</f>
        <v>1.2615773174013249</v>
      </c>
      <c r="K14" s="3">
        <f>+H14*J14+I14</f>
        <v>8.1461485106965945</v>
      </c>
      <c r="L14" s="3">
        <f>+(K14*C14/10000)</f>
        <v>0</v>
      </c>
      <c r="M14" s="18"/>
      <c r="N14" s="22"/>
    </row>
    <row r="15" spans="1:14">
      <c r="A15" s="17"/>
      <c r="B15" s="555" t="s">
        <v>213</v>
      </c>
      <c r="C15" s="22">
        <f>+'METERED LETTERS NONMACH_MODEL'!G39</f>
        <v>0</v>
      </c>
      <c r="E15" s="22">
        <f>+PRODUCTIVITY!I11</f>
        <v>6833.2327250865728</v>
      </c>
      <c r="G15" s="37">
        <f>+'WAGE RATES - PIGGYBACK FACTORS'!$D$5</f>
        <v>50.10717457546064</v>
      </c>
      <c r="H15" s="3">
        <f>+G15/E15*100</f>
        <v>0.73328652178791132</v>
      </c>
      <c r="I15" s="3">
        <f>+H15*('WAGE RATES - PIGGYBACK FACTORS'!$D$7-1)</f>
        <v>9.2400317917214272E-3</v>
      </c>
      <c r="J15" s="3">
        <f>+'WAGE RATES - PIGGYBACK FACTORS'!D24</f>
        <v>1.6888485071959758</v>
      </c>
      <c r="K15" s="3">
        <f>+H15*J15+I15</f>
        <v>1.2476498794601647</v>
      </c>
      <c r="L15" s="3">
        <f>+(K15*C15/10000)</f>
        <v>0</v>
      </c>
      <c r="M15" s="18"/>
      <c r="N15" s="22"/>
    </row>
    <row r="16" spans="1:14">
      <c r="A16" s="17"/>
      <c r="B16" s="555" t="s">
        <v>214</v>
      </c>
      <c r="C16" s="22">
        <f>+'METERED LETTERS NONMACH_MODEL'!C32</f>
        <v>0</v>
      </c>
      <c r="E16" s="22">
        <f>+PRODUCTIVITY!I10</f>
        <v>1983.215429441294</v>
      </c>
      <c r="G16" s="37">
        <f>+'WAGE RATES - PIGGYBACK FACTORS'!$D$5</f>
        <v>50.10717457546064</v>
      </c>
      <c r="H16" s="3">
        <f>+G16/E16*100</f>
        <v>2.5265623608816261</v>
      </c>
      <c r="I16" s="3">
        <f>+H16*('WAGE RATES - PIGGYBACK FACTORS'!$D$7-1)</f>
        <v>3.1836827549198018E-2</v>
      </c>
      <c r="J16" s="3">
        <f>+'WAGE RATES - PIGGYBACK FACTORS'!D25</f>
        <v>3.4396834863913082</v>
      </c>
      <c r="K16" s="3">
        <f>+H16*J16+I16</f>
        <v>8.7224116576115645</v>
      </c>
      <c r="L16" s="3">
        <f>+(K16*C16/10000)</f>
        <v>0</v>
      </c>
      <c r="M16" s="18"/>
      <c r="N16" s="22"/>
    </row>
    <row r="17" spans="1:14" ht="12.95">
      <c r="A17" s="11" t="s">
        <v>215</v>
      </c>
      <c r="B17" s="555"/>
      <c r="H17" s="3"/>
      <c r="I17" s="3"/>
      <c r="K17" s="3"/>
      <c r="L17" s="3"/>
      <c r="M17" s="18"/>
      <c r="N17" s="22"/>
    </row>
    <row r="18" spans="1:14">
      <c r="A18" s="17"/>
      <c r="B18" s="555" t="s">
        <v>216</v>
      </c>
      <c r="C18" s="22">
        <f>+'METERED LETTERS NONMACH_MODEL'!S16</f>
        <v>0</v>
      </c>
      <c r="E18" s="22">
        <f>+PRODUCTIVITY!I13</f>
        <v>6833.2327250865728</v>
      </c>
      <c r="G18" s="37">
        <f>+'WAGE RATES - PIGGYBACK FACTORS'!$D$5</f>
        <v>50.10717457546064</v>
      </c>
      <c r="H18" s="3">
        <f>+G18/E18*100</f>
        <v>0.73328652178791132</v>
      </c>
      <c r="I18" s="3">
        <f>+H18*('WAGE RATES - PIGGYBACK FACTORS'!$D$7-1)</f>
        <v>9.2400317917214272E-3</v>
      </c>
      <c r="J18" s="3">
        <f>+'WAGE RATES - PIGGYBACK FACTORS'!D26</f>
        <v>1.6888485071959758</v>
      </c>
      <c r="K18" s="3">
        <f>+H18*J18+I18</f>
        <v>1.2476498794601647</v>
      </c>
      <c r="L18" s="3">
        <f>+(K18*C18/10000)</f>
        <v>0</v>
      </c>
      <c r="M18" s="18"/>
      <c r="N18" s="22"/>
    </row>
    <row r="19" spans="1:14">
      <c r="A19" s="17"/>
      <c r="B19" s="555" t="s">
        <v>217</v>
      </c>
      <c r="C19" s="22">
        <f>+'METERED LETTERS NONMACH_MODEL'!AA16</f>
        <v>10000</v>
      </c>
      <c r="E19" s="22">
        <f>+PRODUCTIVITY!I20</f>
        <v>631.32213496808799</v>
      </c>
      <c r="G19" s="37">
        <f>+'WAGE RATES - PIGGYBACK FACTORS'!$D$5</f>
        <v>50.10717457546064</v>
      </c>
      <c r="H19" s="3">
        <f>+G19/E19*100</f>
        <v>7.9368632588802628</v>
      </c>
      <c r="I19" s="3">
        <f>+H19*('WAGE RATES - PIGGYBACK FACTORS'!$D$7-1)</f>
        <v>0.1000112052513773</v>
      </c>
      <c r="J19" s="3">
        <f>+'WAGE RATES - PIGGYBACK FACTORS'!D27</f>
        <v>1.2988119246888874</v>
      </c>
      <c r="K19" s="3">
        <f>+H19*J19+I19</f>
        <v>10.408503850510167</v>
      </c>
      <c r="L19" s="3">
        <f>+(K19*C19/10000)</f>
        <v>10.408503850510167</v>
      </c>
      <c r="M19" s="18"/>
      <c r="N19" s="22"/>
    </row>
    <row r="20" spans="1:14" ht="12.95">
      <c r="A20" s="11" t="s">
        <v>218</v>
      </c>
      <c r="B20" s="555"/>
      <c r="H20" s="3"/>
      <c r="I20" s="3"/>
      <c r="K20" s="3"/>
      <c r="L20" s="3"/>
      <c r="M20" s="18"/>
      <c r="N20" s="22"/>
    </row>
    <row r="21" spans="1:14">
      <c r="A21" s="17"/>
      <c r="B21" s="555" t="s">
        <v>216</v>
      </c>
      <c r="C21" s="22">
        <f>+'METERED LETTERS NONMACH_MODEL'!S24</f>
        <v>0</v>
      </c>
      <c r="E21" s="22">
        <f>+PRODUCTIVITY!I14</f>
        <v>5441.4416043491601</v>
      </c>
      <c r="G21" s="37">
        <f>+'WAGE RATES - PIGGYBACK FACTORS'!$D$5</f>
        <v>50.10717457546064</v>
      </c>
      <c r="H21" s="3">
        <f>+G21/E21*100</f>
        <v>0.92084374360301269</v>
      </c>
      <c r="I21" s="3">
        <f>+H21*('WAGE RATES - PIGGYBACK FACTORS'!$D$7-1)</f>
        <v>1.1603411781459913E-2</v>
      </c>
      <c r="J21" s="3">
        <f>+'WAGE RATES - PIGGYBACK FACTORS'!D28</f>
        <v>1.6888485071959758</v>
      </c>
      <c r="K21" s="3">
        <f>+H21*J21+I21</f>
        <v>1.5667689935261617</v>
      </c>
      <c r="L21" s="3">
        <f>+(K21*C21/10000)</f>
        <v>0</v>
      </c>
      <c r="M21" s="18"/>
      <c r="N21" s="22"/>
    </row>
    <row r="22" spans="1:14">
      <c r="A22" s="17"/>
      <c r="B22" s="555" t="s">
        <v>217</v>
      </c>
      <c r="C22" s="22">
        <f>+'METERED LETTERS NONMACH_MODEL'!AA24</f>
        <v>1740.912779635381</v>
      </c>
      <c r="E22" s="22">
        <f>+PRODUCTIVITY!I21</f>
        <v>1087.9987358115229</v>
      </c>
      <c r="G22" s="37">
        <f>+'WAGE RATES - PIGGYBACK FACTORS'!$D$5</f>
        <v>50.10717457546064</v>
      </c>
      <c r="H22" s="3">
        <f>+G22/E22*100</f>
        <v>4.6054441908966375</v>
      </c>
      <c r="I22" s="3">
        <f>+H22*('WAGE RATES - PIGGYBACK FACTORS'!$D$7-1)</f>
        <v>5.8032500904457822E-2</v>
      </c>
      <c r="J22" s="3">
        <f>+'WAGE RATES - PIGGYBACK FACTORS'!D29</f>
        <v>1.2988119246888874</v>
      </c>
      <c r="K22" s="3">
        <f>+H22*J22+I22</f>
        <v>6.0396383345301761</v>
      </c>
      <c r="L22" s="3">
        <f>+(K22*C22/10000)</f>
        <v>1.0514483560959331</v>
      </c>
      <c r="M22" s="18"/>
      <c r="N22" s="22"/>
    </row>
    <row r="23" spans="1:14" ht="12.95">
      <c r="A23" s="11" t="s">
        <v>219</v>
      </c>
      <c r="B23" s="555"/>
      <c r="H23" s="3"/>
      <c r="I23" s="3"/>
      <c r="K23" s="3"/>
      <c r="L23" s="3"/>
      <c r="M23" s="18"/>
      <c r="N23" s="22"/>
    </row>
    <row r="24" spans="1:14">
      <c r="A24" s="17"/>
      <c r="B24" s="555" t="s">
        <v>209</v>
      </c>
      <c r="C24" s="22">
        <f>+'METERED LETTERS NONMACH_MODEL'!G51</f>
        <v>0</v>
      </c>
      <c r="E24" s="22">
        <f>+PRODUCTIVITY!I8</f>
        <v>5815.8678468113585</v>
      </c>
      <c r="G24" s="37">
        <f>+'WAGE RATES - PIGGYBACK FACTORS'!$D$5</f>
        <v>50.10717457546064</v>
      </c>
      <c r="H24" s="3">
        <f>+G24/E24*100</f>
        <v>0.86155971723003799</v>
      </c>
      <c r="I24" s="3">
        <f>+H24*('WAGE RATES - PIGGYBACK FACTORS'!$D$7-1)</f>
        <v>1.085638279326589E-2</v>
      </c>
      <c r="J24" s="3">
        <f>+'WAGE RATES - PIGGYBACK FACTORS'!D30</f>
        <v>1.6888485071959758</v>
      </c>
      <c r="K24" s="3">
        <f>+H24*J24+I24</f>
        <v>1.4659002250974027</v>
      </c>
      <c r="L24" s="3">
        <f>+(K24*C24/10000)</f>
        <v>0</v>
      </c>
      <c r="M24" s="18"/>
      <c r="N24" s="22"/>
    </row>
    <row r="25" spans="1:14">
      <c r="A25" s="17"/>
      <c r="B25" s="555" t="s">
        <v>210</v>
      </c>
      <c r="C25" s="22">
        <f>+'METERED LETTERS NONMACH_MODEL'!G58</f>
        <v>0</v>
      </c>
      <c r="E25" s="163" t="s">
        <v>211</v>
      </c>
      <c r="F25" s="163"/>
      <c r="G25" s="163" t="s">
        <v>211</v>
      </c>
      <c r="H25" s="163" t="s">
        <v>211</v>
      </c>
      <c r="I25" s="163" t="s">
        <v>211</v>
      </c>
      <c r="J25" s="163" t="s">
        <v>211</v>
      </c>
      <c r="K25" s="3">
        <f>MISC!E7</f>
        <v>0.27889541043904115</v>
      </c>
      <c r="L25" s="3">
        <f>+(K25*C25/10000)</f>
        <v>0</v>
      </c>
      <c r="M25" s="18"/>
      <c r="N25" s="22"/>
    </row>
    <row r="26" spans="1:14">
      <c r="A26" s="17"/>
      <c r="B26" s="555" t="s">
        <v>212</v>
      </c>
      <c r="C26" s="22">
        <f>+'METERED LETTERS NONMACH_MODEL'!G65</f>
        <v>0</v>
      </c>
      <c r="E26" s="22">
        <f>+PRODUCTIVITY!I9</f>
        <v>846.86662945459375</v>
      </c>
      <c r="G26" s="37">
        <f>+'WAGE RATES - PIGGYBACK FACTORS'!$D$4</f>
        <v>54.142360316355024</v>
      </c>
      <c r="H26" s="3">
        <f>+G26/E26*100</f>
        <v>6.3932570292944773</v>
      </c>
      <c r="I26" s="3">
        <f>+H26*('WAGE RATES - PIGGYBACK FACTORS'!$D$7-1)</f>
        <v>8.0560458222104642E-2</v>
      </c>
      <c r="J26" s="3">
        <f>+'WAGE RATES - PIGGYBACK FACTORS'!D31</f>
        <v>1.2615773174013249</v>
      </c>
      <c r="K26" s="3">
        <f>+H26*J26+I26</f>
        <v>8.1461485106965945</v>
      </c>
      <c r="L26" s="3">
        <f>+(K26*C26/10000)</f>
        <v>0</v>
      </c>
      <c r="M26" s="18"/>
      <c r="N26" s="22"/>
    </row>
    <row r="27" spans="1:14">
      <c r="A27" s="17"/>
      <c r="B27" s="555" t="s">
        <v>213</v>
      </c>
      <c r="C27" s="22">
        <f>+'METERED LETTERS NONMACH_MODEL'!G72</f>
        <v>0</v>
      </c>
      <c r="E27" s="22">
        <f>+PRODUCTIVITY!I12</f>
        <v>5815.8678468113585</v>
      </c>
      <c r="G27" s="37">
        <f>+'WAGE RATES - PIGGYBACK FACTORS'!$D$5</f>
        <v>50.10717457546064</v>
      </c>
      <c r="H27" s="3">
        <f>+G27/E27*100</f>
        <v>0.86155971723003799</v>
      </c>
      <c r="I27" s="3">
        <f>+H27*('WAGE RATES - PIGGYBACK FACTORS'!$D$7-1)</f>
        <v>1.085638279326589E-2</v>
      </c>
      <c r="J27" s="3">
        <f>+'WAGE RATES - PIGGYBACK FACTORS'!D32</f>
        <v>1.6888485071959758</v>
      </c>
      <c r="K27" s="3">
        <f>+H27*J27+I27</f>
        <v>1.4659002250974027</v>
      </c>
      <c r="L27" s="3">
        <f>+(K27*C27/10000)</f>
        <v>0</v>
      </c>
      <c r="M27" s="18"/>
      <c r="N27" s="22"/>
    </row>
    <row r="28" spans="1:14">
      <c r="A28" s="17"/>
      <c r="B28" s="555" t="s">
        <v>214</v>
      </c>
      <c r="C28" s="22">
        <f>+'METERED LETTERS NONMACH_MODEL'!C65</f>
        <v>0</v>
      </c>
      <c r="E28" s="22">
        <f>+PRODUCTIVITY!I10</f>
        <v>1983.215429441294</v>
      </c>
      <c r="G28" s="37">
        <f>+'WAGE RATES - PIGGYBACK FACTORS'!$D$5</f>
        <v>50.10717457546064</v>
      </c>
      <c r="H28" s="3">
        <f>+G28/E28*100</f>
        <v>2.5265623608816261</v>
      </c>
      <c r="I28" s="3">
        <f>+H28*('WAGE RATES - PIGGYBACK FACTORS'!$D$7-1)</f>
        <v>3.1836827549198018E-2</v>
      </c>
      <c r="J28" s="3">
        <f>+'WAGE RATES - PIGGYBACK FACTORS'!D33</f>
        <v>3.4396834863913082</v>
      </c>
      <c r="K28" s="3">
        <f>+H28*J28+I28</f>
        <v>8.7224116576115645</v>
      </c>
      <c r="L28" s="3">
        <f>+(K28*C28/10000)</f>
        <v>0</v>
      </c>
      <c r="M28" s="18"/>
      <c r="N28" s="22"/>
    </row>
    <row r="29" spans="1:14" ht="12.95">
      <c r="A29" s="11" t="s">
        <v>220</v>
      </c>
      <c r="B29" s="555"/>
      <c r="H29" s="3"/>
      <c r="I29" s="3"/>
      <c r="K29" s="3"/>
      <c r="L29" s="3"/>
      <c r="M29" s="18"/>
      <c r="N29" s="22"/>
    </row>
    <row r="30" spans="1:14">
      <c r="A30" s="17"/>
      <c r="B30" s="555" t="s">
        <v>58</v>
      </c>
      <c r="C30" s="22">
        <f>+'METERED LETTERS NONMACH_MODEL'!S32</f>
        <v>0</v>
      </c>
      <c r="E30" s="22">
        <f>+PRODUCTIVITY!I15</f>
        <v>5271.1401686095996</v>
      </c>
      <c r="G30" s="37">
        <f>+'WAGE RATES - PIGGYBACK FACTORS'!$D$5</f>
        <v>50.10717457546064</v>
      </c>
      <c r="H30" s="3">
        <f>+G30/E30*100</f>
        <v>0.95059461468803463</v>
      </c>
      <c r="I30" s="3">
        <f>+H30*('WAGE RATES - PIGGYBACK FACTORS'!$D$7-1)</f>
        <v>1.1978297977358816E-2</v>
      </c>
      <c r="J30" s="3">
        <f>+'WAGE RATES - PIGGYBACK FACTORS'!D34</f>
        <v>1.6888485071959758</v>
      </c>
      <c r="K30" s="3">
        <f>+H30*J30+I30</f>
        <v>1.61738859394178</v>
      </c>
      <c r="L30" s="3">
        <f>+(K30*C30/10000)</f>
        <v>0</v>
      </c>
      <c r="M30" s="18"/>
      <c r="N30" s="22"/>
    </row>
    <row r="31" spans="1:14">
      <c r="A31" s="17"/>
      <c r="B31" s="555" t="s">
        <v>221</v>
      </c>
      <c r="C31" s="22">
        <f>+'METERED LETTERS NONMACH_MODEL'!AA32</f>
        <v>3190.9689955548802</v>
      </c>
      <c r="E31" s="22">
        <f>+PRODUCTIVITY!I22</f>
        <v>1213.9420566221461</v>
      </c>
      <c r="G31" s="37">
        <f>+'WAGE RATES - PIGGYBACK FACTORS'!$D$5</f>
        <v>50.10717457546064</v>
      </c>
      <c r="H31" s="3">
        <f>+G31/E31*100</f>
        <v>4.1276413731711656</v>
      </c>
      <c r="I31" s="3">
        <f>+H31*('WAGE RATES - PIGGYBACK FACTORS'!$D$7-1)</f>
        <v>5.2011780361016051E-2</v>
      </c>
      <c r="J31" s="3">
        <f>+'WAGE RATES - PIGGYBACK FACTORS'!D35</f>
        <v>1.2988119246888874</v>
      </c>
      <c r="K31" s="3">
        <f>+H31*J31+I31</f>
        <v>5.4130416166749402</v>
      </c>
      <c r="L31" s="3">
        <f>+(K31*C31/10000)</f>
        <v>1.7272847970457998</v>
      </c>
      <c r="M31" s="18"/>
      <c r="N31" s="22"/>
    </row>
    <row r="32" spans="1:14" ht="12.95">
      <c r="A32" s="11" t="s">
        <v>222</v>
      </c>
      <c r="B32" s="555"/>
      <c r="H32" s="3"/>
      <c r="I32" s="3"/>
      <c r="K32" s="3"/>
      <c r="L32" s="3"/>
      <c r="M32" s="18"/>
      <c r="N32" s="22"/>
    </row>
    <row r="33" spans="1:14">
      <c r="A33" s="17"/>
      <c r="B33" s="555" t="s">
        <v>216</v>
      </c>
      <c r="C33" s="22">
        <f>+'METERED LETTERS NONMACH_MODEL'!S40</f>
        <v>0</v>
      </c>
      <c r="E33" s="22">
        <f>+PRODUCTIVITY!I16</f>
        <v>10175.776688046904</v>
      </c>
      <c r="G33" s="37">
        <f>+'WAGE RATES - PIGGYBACK FACTORS'!$D$5</f>
        <v>50.10717457546064</v>
      </c>
      <c r="H33" s="3">
        <f>+G33/E33*100</f>
        <v>0.49241621658540935</v>
      </c>
      <c r="I33" s="3">
        <f>+H33*('WAGE RATES - PIGGYBACK FACTORS'!$D$7-1)</f>
        <v>6.2048617570586509E-3</v>
      </c>
      <c r="J33" s="3">
        <f>+'WAGE RATES - PIGGYBACK FACTORS'!D36</f>
        <v>1.6888485071959758</v>
      </c>
      <c r="K33" s="3">
        <f>+H33*J33+I33</f>
        <v>0.83782125405641761</v>
      </c>
      <c r="L33" s="3">
        <f>+(K33*C33/10000)</f>
        <v>0</v>
      </c>
      <c r="M33" s="18"/>
      <c r="N33" s="22"/>
    </row>
    <row r="34" spans="1:14">
      <c r="A34" s="17"/>
      <c r="B34" s="555" t="s">
        <v>217</v>
      </c>
      <c r="C34" s="22">
        <f>+'METERED LETTERS NONMACH_MODEL'!AA40</f>
        <v>8206.4992540806343</v>
      </c>
      <c r="E34" s="22">
        <f>+PRODUCTIVITY!I23</f>
        <v>1107.0494375224957</v>
      </c>
      <c r="G34" s="37">
        <f>+'WAGE RATES - PIGGYBACK FACTORS'!$D$5</f>
        <v>50.10717457546064</v>
      </c>
      <c r="H34" s="3">
        <f>+G34/E34*100</f>
        <v>4.5261912320372275</v>
      </c>
      <c r="I34" s="3">
        <f>+H34*('WAGE RATES - PIGGYBACK FACTORS'!$D$7-1)</f>
        <v>5.7033846438992626E-2</v>
      </c>
      <c r="J34" s="3">
        <f>+'WAGE RATES - PIGGYBACK FACTORS'!D37</f>
        <v>1.2988119246888874</v>
      </c>
      <c r="K34" s="3">
        <f>+H34*J34+I34</f>
        <v>5.9357049920312299</v>
      </c>
      <c r="L34" s="3">
        <f>+(K34*C34/10000)</f>
        <v>4.8711358589546991</v>
      </c>
      <c r="M34" s="18"/>
      <c r="N34" s="22"/>
    </row>
    <row r="35" spans="1:14" ht="12.95">
      <c r="A35" s="11" t="s">
        <v>223</v>
      </c>
      <c r="B35" s="555"/>
      <c r="H35" s="3"/>
      <c r="I35" s="3"/>
      <c r="K35" s="3"/>
      <c r="L35" s="3"/>
      <c r="M35" s="18"/>
      <c r="N35" s="22"/>
    </row>
    <row r="36" spans="1:14">
      <c r="A36" s="555"/>
      <c r="B36" s="555" t="s">
        <v>224</v>
      </c>
      <c r="C36" s="22">
        <f>+'METERED LETTERS NONMACH_MODEL'!W49</f>
        <v>0</v>
      </c>
      <c r="E36" s="22">
        <f>+PRODUCTIVITY!I17</f>
        <v>13094.29928777944</v>
      </c>
      <c r="G36" s="37">
        <f>+'WAGE RATES - PIGGYBACK FACTORS'!$D$5</f>
        <v>50.10717457546064</v>
      </c>
      <c r="H36" s="3">
        <f t="shared" ref="H36:H41" si="0">+G36/E36*100</f>
        <v>0.38266403932148035</v>
      </c>
      <c r="I36" s="3">
        <f>+H36*('WAGE RATES - PIGGYBACK FACTORS'!$D$7-1)</f>
        <v>4.8218912850844474E-3</v>
      </c>
      <c r="J36" s="3">
        <f>+'WAGE RATES - PIGGYBACK FACTORS'!D38</f>
        <v>1.6888485071959758</v>
      </c>
      <c r="K36" s="3">
        <f t="shared" ref="K36:K41" si="1">+H36*J36+I36</f>
        <v>0.6510834828507488</v>
      </c>
      <c r="L36" s="3">
        <f t="shared" ref="L36:L41" si="2">+(K36*C36/10000)</f>
        <v>0</v>
      </c>
      <c r="M36" s="18"/>
      <c r="N36" s="22"/>
    </row>
    <row r="37" spans="1:14">
      <c r="A37" s="555"/>
      <c r="B37" s="555" t="s">
        <v>225</v>
      </c>
      <c r="C37" s="22">
        <f>+'METERED LETTERS NONMACH_MODEL'!W56</f>
        <v>0</v>
      </c>
      <c r="E37" s="22">
        <f>+PRODUCTIVITY!I19</f>
        <v>0</v>
      </c>
      <c r="G37" s="37">
        <f>+'WAGE RATES - PIGGYBACK FACTORS'!$D$5</f>
        <v>50.10717457546064</v>
      </c>
      <c r="H37" s="3">
        <v>0</v>
      </c>
      <c r="I37" s="3">
        <f>+H37*('WAGE RATES - PIGGYBACK FACTORS'!$D$7-1)</f>
        <v>0</v>
      </c>
      <c r="J37" s="3">
        <f>+'WAGE RATES - PIGGYBACK FACTORS'!D39</f>
        <v>0</v>
      </c>
      <c r="K37" s="3">
        <f t="shared" si="1"/>
        <v>0</v>
      </c>
      <c r="L37" s="3">
        <f t="shared" si="2"/>
        <v>0</v>
      </c>
      <c r="M37" s="18"/>
      <c r="N37" s="22"/>
    </row>
    <row r="38" spans="1:14">
      <c r="A38" s="555"/>
      <c r="B38" s="555" t="s">
        <v>226</v>
      </c>
      <c r="C38" s="22">
        <f>+'METERED LETTERS NONMACH_MODEL'!W63</f>
        <v>0</v>
      </c>
      <c r="E38" s="22">
        <f>+PRODUCTIVITY!I18</f>
        <v>6910.0702052322977</v>
      </c>
      <c r="G38" s="37">
        <f>+'WAGE RATES - PIGGYBACK FACTORS'!$D$5</f>
        <v>50.10717457546064</v>
      </c>
      <c r="H38" s="3">
        <f t="shared" si="0"/>
        <v>0.72513264101889352</v>
      </c>
      <c r="I38" s="3">
        <f>+H38*('WAGE RATES - PIGGYBACK FACTORS'!$D$7-1)</f>
        <v>9.1372859818735514E-3</v>
      </c>
      <c r="J38" s="3">
        <f>+'WAGE RATES - PIGGYBACK FACTORS'!D40</f>
        <v>1.6888485071959758</v>
      </c>
      <c r="K38" s="3">
        <f t="shared" si="1"/>
        <v>1.2337764642857072</v>
      </c>
      <c r="L38" s="3">
        <f t="shared" si="2"/>
        <v>0</v>
      </c>
      <c r="M38" s="18"/>
      <c r="N38" s="22"/>
    </row>
    <row r="39" spans="1:14">
      <c r="A39" s="555"/>
      <c r="B39" s="555" t="s">
        <v>227</v>
      </c>
      <c r="C39" s="22">
        <f>+'METERED LETTERS NONMACH_MODEL'!AA74*(1-MISC!E9)</f>
        <v>10000</v>
      </c>
      <c r="E39" s="22">
        <f>+PRODUCTIVITY!I24</f>
        <v>810.31043431031583</v>
      </c>
      <c r="G39" s="37">
        <f>+'WAGE RATES - PIGGYBACK FACTORS'!$D$5</f>
        <v>50.10717457546064</v>
      </c>
      <c r="H39" s="3">
        <f t="shared" si="0"/>
        <v>6.1837010180065928</v>
      </c>
      <c r="I39" s="3">
        <f>+H39*('WAGE RATES - PIGGYBACK FACTORS'!$D$7-1)</f>
        <v>7.7919874836328964E-2</v>
      </c>
      <c r="J39" s="3">
        <f>+'WAGE RATES - PIGGYBACK FACTORS'!D42</f>
        <v>1.2988119246888874</v>
      </c>
      <c r="K39" s="3">
        <f t="shared" si="1"/>
        <v>8.1093844957341048</v>
      </c>
      <c r="L39" s="3">
        <f t="shared" si="2"/>
        <v>8.1093844957341048</v>
      </c>
      <c r="M39" s="18"/>
      <c r="N39" s="22"/>
    </row>
    <row r="40" spans="1:14">
      <c r="A40" s="555"/>
      <c r="B40" s="555" t="s">
        <v>228</v>
      </c>
      <c r="C40" s="22">
        <f>+MISC!E10*('METERED LETTERS NONMACH_MODEL'!AE64+'METERED LETTERS NONMACH_MODEL'!AE57)</f>
        <v>0</v>
      </c>
      <c r="E40" s="22">
        <f>+PRODUCTIVITY!I25</f>
        <v>1955.193482688391</v>
      </c>
      <c r="G40" s="37">
        <f>+'WAGE RATES - PIGGYBACK FACTORS'!$D$5</f>
        <v>50.10717457546064</v>
      </c>
      <c r="H40" s="3">
        <f t="shared" si="0"/>
        <v>2.5627731996407475</v>
      </c>
      <c r="I40" s="3">
        <f>+H40*('WAGE RATES - PIGGYBACK FACTORS'!$D$7-1)</f>
        <v>3.2293114813995112E-2</v>
      </c>
      <c r="J40" s="3">
        <f>+'WAGE RATES - PIGGYBACK FACTORS'!D43</f>
        <v>1.2988119246888874</v>
      </c>
      <c r="K40" s="3">
        <f t="shared" si="1"/>
        <v>3.3608535067804928</v>
      </c>
      <c r="L40" s="3">
        <f t="shared" si="2"/>
        <v>0</v>
      </c>
      <c r="M40" s="18"/>
      <c r="N40" s="22"/>
    </row>
    <row r="41" spans="1:14" ht="12.95" thickBot="1">
      <c r="A41" s="552"/>
      <c r="B41" s="92" t="s">
        <v>229</v>
      </c>
      <c r="C41" s="498">
        <f>MISC!E10*('METERED LETTERS NONMACH_MODEL'!AE75+'METERED LETTERS NONMACH_MODEL'!AE50)</f>
        <v>458.34500459791531</v>
      </c>
      <c r="D41" s="498"/>
      <c r="E41" s="498">
        <f>+PRODUCTIVITY!I26</f>
        <v>977.59674134419549</v>
      </c>
      <c r="F41" s="498"/>
      <c r="G41" s="499">
        <f>+'WAGE RATES - PIGGYBACK FACTORS'!$D$5</f>
        <v>50.10717457546064</v>
      </c>
      <c r="H41" s="500">
        <f t="shared" si="0"/>
        <v>5.1255463992814949</v>
      </c>
      <c r="I41" s="500">
        <f>+H41*('WAGE RATES - PIGGYBACK FACTORS'!$D$7-1)</f>
        <v>6.4586229627990224E-2</v>
      </c>
      <c r="J41" s="500">
        <f>+'WAGE RATES - PIGGYBACK FACTORS'!D44</f>
        <v>1.2988119246888874</v>
      </c>
      <c r="K41" s="500">
        <f t="shared" si="1"/>
        <v>6.7217070135609855</v>
      </c>
      <c r="L41" s="500">
        <f t="shared" si="2"/>
        <v>0.30808608320364494</v>
      </c>
      <c r="M41" s="18"/>
      <c r="N41" s="22"/>
    </row>
    <row r="42" spans="1:14" ht="9" customHeight="1" thickBot="1">
      <c r="A42" s="555"/>
      <c r="B42" s="555"/>
      <c r="H42" s="3"/>
      <c r="I42" s="3"/>
      <c r="K42" s="3"/>
      <c r="L42" s="4"/>
      <c r="M42" s="555"/>
      <c r="N42" s="555"/>
    </row>
    <row r="43" spans="1:14" ht="13.5" thickBot="1">
      <c r="A43" s="555"/>
      <c r="B43" s="555"/>
      <c r="H43" s="3"/>
      <c r="J43" s="490" t="s">
        <v>230</v>
      </c>
      <c r="K43" s="491"/>
      <c r="L43" s="492">
        <f>SUM(L10:L41)</f>
        <v>26.475843441544349</v>
      </c>
      <c r="M43" s="555"/>
      <c r="N43" s="555"/>
    </row>
    <row r="44" spans="1:14" ht="9" customHeight="1">
      <c r="A44" s="555"/>
      <c r="B44" s="555"/>
      <c r="H44" s="3"/>
      <c r="J44" s="34"/>
      <c r="K44" s="1"/>
      <c r="L44" s="2"/>
      <c r="M44" s="555"/>
      <c r="N44" s="555"/>
    </row>
    <row r="45" spans="1:14" ht="12.95">
      <c r="A45" s="555"/>
      <c r="B45" s="555"/>
      <c r="J45" s="555"/>
      <c r="K45" s="555"/>
      <c r="L45" s="555"/>
      <c r="M45" s="11"/>
      <c r="N45" s="555"/>
    </row>
    <row r="46" spans="1:14" ht="12.95">
      <c r="A46" s="9" t="s">
        <v>65</v>
      </c>
      <c r="B46" s="555"/>
      <c r="J46" s="555"/>
      <c r="K46" s="555"/>
      <c r="L46" s="555"/>
      <c r="M46" s="555"/>
      <c r="N46" s="555"/>
    </row>
    <row r="47" spans="1:14" s="11" customFormat="1" ht="13.5" thickBot="1">
      <c r="A47" s="216" t="s">
        <v>429</v>
      </c>
      <c r="B47" s="216"/>
      <c r="C47" s="218"/>
      <c r="D47" s="218"/>
      <c r="E47" s="218"/>
      <c r="F47" s="218"/>
      <c r="G47" s="219"/>
      <c r="H47" s="35"/>
      <c r="I47" s="2"/>
      <c r="J47" s="4"/>
      <c r="K47" s="35"/>
      <c r="L47" s="35"/>
    </row>
    <row r="48" spans="1:14" s="11" customFormat="1" ht="13.5" thickBot="1">
      <c r="A48" s="216" t="s">
        <v>233</v>
      </c>
      <c r="B48" s="216"/>
      <c r="C48" s="218"/>
      <c r="D48" s="218"/>
      <c r="E48" s="218"/>
      <c r="F48" s="218"/>
      <c r="G48" s="219"/>
      <c r="H48" s="35"/>
      <c r="I48" s="2"/>
      <c r="J48" s="493" t="s">
        <v>231</v>
      </c>
      <c r="K48" s="494"/>
      <c r="L48" s="495">
        <f>+('METERED LETTERS NONMACH_MODEL'!AE57+'METERED LETTERS NONMACH_MODEL'!AE64)/C3</f>
        <v>0</v>
      </c>
    </row>
    <row r="49" spans="1:12" s="11" customFormat="1" ht="12.95">
      <c r="A49" s="216" t="s">
        <v>234</v>
      </c>
      <c r="B49" s="216"/>
      <c r="C49" s="218"/>
      <c r="D49" s="218"/>
      <c r="E49" s="218"/>
      <c r="F49" s="218"/>
      <c r="G49" s="219"/>
      <c r="H49" s="35"/>
      <c r="I49" s="2"/>
      <c r="J49" s="40"/>
      <c r="K49" s="35"/>
      <c r="L49" s="35"/>
    </row>
    <row r="50" spans="1:12" s="11" customFormat="1" ht="12.95">
      <c r="A50" s="11" t="s">
        <v>424</v>
      </c>
      <c r="C50" s="23"/>
      <c r="D50" s="23"/>
      <c r="E50" s="23"/>
      <c r="F50" s="23"/>
      <c r="G50" s="38"/>
      <c r="H50" s="35"/>
      <c r="I50" s="2"/>
      <c r="J50" s="40"/>
      <c r="K50" s="35"/>
      <c r="L50" s="35"/>
    </row>
    <row r="51" spans="1:12" s="11" customFormat="1" ht="12.95">
      <c r="A51" s="216" t="s">
        <v>425</v>
      </c>
      <c r="B51" s="216"/>
      <c r="C51" s="218"/>
      <c r="D51" s="218"/>
      <c r="E51" s="218"/>
      <c r="F51" s="218"/>
      <c r="G51" s="219"/>
      <c r="H51" s="35"/>
      <c r="I51" s="2"/>
      <c r="J51" s="40"/>
      <c r="K51" s="35"/>
      <c r="L51" s="35"/>
    </row>
    <row r="52" spans="1:12" s="11" customFormat="1" ht="12.95">
      <c r="A52" s="216" t="s">
        <v>237</v>
      </c>
      <c r="B52" s="216"/>
      <c r="C52" s="218"/>
      <c r="D52" s="218"/>
      <c r="E52" s="218"/>
      <c r="F52" s="218"/>
      <c r="G52" s="219"/>
      <c r="H52" s="39"/>
      <c r="I52" s="2"/>
      <c r="J52" s="4"/>
      <c r="K52" s="35"/>
      <c r="L52" s="35"/>
    </row>
    <row r="53" spans="1:12" s="11" customFormat="1" ht="12.95">
      <c r="A53" s="220" t="s">
        <v>238</v>
      </c>
      <c r="C53" s="23"/>
      <c r="D53" s="23"/>
      <c r="E53" s="23"/>
      <c r="F53" s="23"/>
      <c r="G53" s="38"/>
      <c r="H53" s="39"/>
      <c r="I53" s="2"/>
      <c r="J53" s="4"/>
      <c r="K53" s="35"/>
      <c r="L53" s="35"/>
    </row>
    <row r="54" spans="1:12" s="11" customFormat="1" ht="12.95">
      <c r="A54" s="40" t="s">
        <v>239</v>
      </c>
      <c r="C54" s="23"/>
      <c r="D54" s="23"/>
      <c r="E54" s="23"/>
      <c r="F54" s="23"/>
      <c r="G54" s="38"/>
      <c r="H54" s="39"/>
      <c r="I54" s="2"/>
      <c r="J54" s="4"/>
      <c r="K54" s="35"/>
      <c r="L54" s="35"/>
    </row>
    <row r="55" spans="1:12" s="11" customFormat="1" ht="7.7" customHeight="1">
      <c r="C55" s="23"/>
      <c r="D55" s="23"/>
      <c r="E55" s="23"/>
      <c r="F55" s="23"/>
      <c r="G55" s="38"/>
      <c r="H55" s="35"/>
      <c r="I55" s="2"/>
      <c r="J55" s="40"/>
      <c r="K55" s="35"/>
      <c r="L55" s="35"/>
    </row>
    <row r="56" spans="1:12" s="11" customFormat="1" ht="12.95">
      <c r="A56" s="40" t="s">
        <v>240</v>
      </c>
      <c r="C56" s="23"/>
      <c r="D56" s="23"/>
      <c r="E56" s="23"/>
      <c r="F56" s="23"/>
      <c r="G56" s="38"/>
      <c r="H56" s="35"/>
      <c r="I56" s="2"/>
      <c r="J56" s="4"/>
      <c r="K56" s="35"/>
      <c r="L56" s="35"/>
    </row>
    <row r="57" spans="1:12" s="11" customFormat="1" ht="12.95">
      <c r="A57" s="40" t="s">
        <v>430</v>
      </c>
      <c r="C57" s="23"/>
      <c r="D57" s="23"/>
      <c r="E57" s="23"/>
      <c r="F57" s="23"/>
      <c r="G57" s="38"/>
      <c r="H57" s="35"/>
      <c r="I57" s="2"/>
      <c r="J57" s="4"/>
      <c r="K57" s="35"/>
      <c r="L57" s="35"/>
    </row>
  </sheetData>
  <pageMargins left="0.7" right="0.7" top="0.75" bottom="0.75" header="0.3" footer="0.3"/>
  <pageSetup orientation="portrait" horizontalDpi="300" verticalDpi="0" copies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431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+'AUTO AADC MODEL'!N4</f>
        <v>10000.000000000002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+'AUTO AADC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+'AUTO AADC MODEL'!G25</f>
        <v>0</v>
      </c>
      <c r="E14" s="163" t="s">
        <v>211</v>
      </c>
      <c r="F14" s="163"/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+'AUTO AADC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</row>
    <row r="16" spans="1:13">
      <c r="A16" s="17"/>
      <c r="B16" s="555" t="s">
        <v>213</v>
      </c>
      <c r="C16" s="22">
        <f>+'AUTO AADC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</row>
    <row r="17" spans="1:12">
      <c r="A17" s="17"/>
      <c r="B17" s="555" t="s">
        <v>214</v>
      </c>
      <c r="C17" s="22">
        <f>+'AUTO AADC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+'AUTO AADC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</row>
    <row r="20" spans="1:12">
      <c r="A20" s="17"/>
      <c r="B20" s="555" t="s">
        <v>217</v>
      </c>
      <c r="C20" s="22">
        <f>+'AUTO AADC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+'AUTO AADC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+'AUTO AADC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+'AUTO AADC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+'AUTO AADC MODEL'!G58</f>
        <v>0</v>
      </c>
      <c r="E26" s="163" t="s">
        <v>211</v>
      </c>
      <c r="F26" s="163"/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+'AUTO AADC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+'AUTO AADC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+'AUTO AADC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+'AUTO AADC MODEL'!S32</f>
        <v>10026.928572672261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1.6296761193469762</v>
      </c>
    </row>
    <row r="32" spans="1:12">
      <c r="A32" s="17"/>
      <c r="B32" s="555" t="s">
        <v>221</v>
      </c>
      <c r="C32" s="22">
        <f>+'AUTO AADC MODEL'!AA32</f>
        <v>440.93510995287687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0.24019462807760789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+'AUTO AADC MODEL'!S40</f>
        <v>826.68203390416897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6.959994189715063E-2</v>
      </c>
      <c r="M34" s="555"/>
    </row>
    <row r="35" spans="1:13">
      <c r="A35" s="17"/>
      <c r="B35" s="555" t="s">
        <v>217</v>
      </c>
      <c r="C35" s="22">
        <f>+'AUTO AADC MODEL'!AA40</f>
        <v>244.0464654825829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0.14577802867929043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+'AUTO AADC MODEL'!W49</f>
        <v>334.3639594615243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2.1876364036504729E-2</v>
      </c>
      <c r="M37" s="555"/>
    </row>
    <row r="38" spans="1:13">
      <c r="A38" s="555"/>
      <c r="B38" s="555" t="s">
        <v>225</v>
      </c>
      <c r="C38" s="22">
        <f>+'AUTO AADC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+'AUTO AADC MODEL'!W63</f>
        <v>18214.720910652686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2.2582811366781605</v>
      </c>
      <c r="M39" s="555"/>
    </row>
    <row r="40" spans="1:13">
      <c r="A40" s="555"/>
      <c r="B40" s="555" t="s">
        <v>227</v>
      </c>
      <c r="C40" s="22">
        <f>+'AUTO AADC MODEL'!AA74*(1-MISC!E9)</f>
        <v>732.60634434981318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0.59786869030833623</v>
      </c>
      <c r="M40" s="555"/>
    </row>
    <row r="41" spans="1:13">
      <c r="A41" s="555"/>
      <c r="B41" s="555" t="s">
        <v>228</v>
      </c>
      <c r="C41" s="22">
        <f>+MISC!E10*('AUTO AADC MODEL'!AE64+'AUTO AADC MODEL'!AE57)</f>
        <v>410.32401743422253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0.13877900320666819</v>
      </c>
      <c r="M41" s="555"/>
    </row>
    <row r="42" spans="1:13">
      <c r="A42" s="552"/>
      <c r="B42" s="552" t="s">
        <v>229</v>
      </c>
      <c r="C42" s="71">
        <f>+MISC!E10*('AUTO AADC MODEL'!AE75+'AUTO AADC MODEL'!AE50)</f>
        <v>48.020987163692908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3.2483132589945646E-2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5.1345370448206404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+('AUTO AADC MODEL'!AE57+'AUTO AADC MODEL'!AE64)/C3</f>
        <v>0.89522960503121563</v>
      </c>
      <c r="M46" s="11"/>
    </row>
    <row r="47" spans="1:13" ht="12.95">
      <c r="A47" s="9" t="s">
        <v>65</v>
      </c>
      <c r="B47" s="555"/>
      <c r="H47" s="9"/>
      <c r="M47" s="555"/>
    </row>
    <row r="48" spans="1:13" s="11" customFormat="1" ht="12.95">
      <c r="A48" s="216" t="s">
        <v>432</v>
      </c>
      <c r="B48" s="216"/>
      <c r="C48" s="218"/>
      <c r="D48" s="218"/>
      <c r="E48" s="218"/>
      <c r="F48" s="218"/>
      <c r="G48" s="219"/>
      <c r="H48" s="216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9"/>
      <c r="H49" s="216"/>
      <c r="I49" s="2"/>
      <c r="J49" s="4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9"/>
      <c r="H50" s="216"/>
      <c r="I50" s="2"/>
      <c r="J50" s="40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G51" s="38"/>
      <c r="I51" s="2"/>
      <c r="J51" s="40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9"/>
      <c r="H52" s="216"/>
      <c r="I52" s="2"/>
      <c r="J52" s="4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9"/>
      <c r="H53" s="216"/>
      <c r="I53" s="2"/>
      <c r="J53" s="4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38"/>
      <c r="H54" s="220"/>
      <c r="I54" s="2"/>
      <c r="J54" s="4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38"/>
      <c r="H55" s="40"/>
      <c r="I55" s="2"/>
      <c r="J55" s="40"/>
      <c r="L55" s="35"/>
    </row>
    <row r="56" spans="1:12" s="11" customFormat="1" ht="12.95">
      <c r="C56" s="23"/>
      <c r="D56" s="23"/>
      <c r="E56" s="23"/>
      <c r="F56" s="23"/>
      <c r="G56" s="38"/>
      <c r="I56" s="2"/>
      <c r="J56" s="4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38"/>
      <c r="H57" s="40"/>
      <c r="I57" s="2"/>
      <c r="J57" s="4"/>
      <c r="L57" s="35"/>
    </row>
    <row r="58" spans="1:12" ht="12.95">
      <c r="A58" s="40" t="s">
        <v>433</v>
      </c>
      <c r="B58" s="555"/>
      <c r="H58" s="40"/>
    </row>
  </sheetData>
  <phoneticPr fontId="11" type="noConversion"/>
  <printOptions horizontalCentered="1"/>
  <pageMargins left="0.75" right="0.75" top="1" bottom="1" header="0.5" footer="0.5"/>
  <pageSetup scale="79" firstPageNumber="9" orientation="portrait" useFirstPageNumber="1" horizontalDpi="4294967292" r:id="rId1"/>
  <headerFooter alignWithMargins="0">
    <oddHeader>&amp;RPage 9</oddHeader>
  </headerFooter>
  <ignoredErrors>
    <ignoredError sqref="K14 K26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9.71093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431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10000.000000000002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f>+E4</f>
        <v>10000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440.93510995287687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10026.928572672261</v>
      </c>
      <c r="T32" s="140">
        <f>+K8+N17+N43+N48+N75+W17+W24</f>
        <v>10000</v>
      </c>
      <c r="U32" s="42"/>
      <c r="X32" s="555"/>
      <c r="AA32" s="125">
        <f>+AB32</f>
        <v>440.93510995287687</v>
      </c>
      <c r="AB32" s="140">
        <f>+Q7+N64+N72+V30+AD16+AD24</f>
        <v>440.93510995287687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9559.0648900471224</v>
      </c>
      <c r="W33" s="42">
        <f>+V33*DENSITY!$F$13</f>
        <v>826.68203390416897</v>
      </c>
      <c r="X33" s="44" t="s">
        <v>254</v>
      </c>
      <c r="AA33" s="146"/>
      <c r="AB33" s="145"/>
      <c r="AC33" s="42"/>
      <c r="AD33" s="42">
        <f>+AB32*DENSITY!F16</f>
        <v>193.10523454382221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8732.3828561429564</v>
      </c>
      <c r="X34" s="44" t="s">
        <v>257</v>
      </c>
      <c r="AA34" s="555"/>
      <c r="AB34" s="555"/>
      <c r="AC34" s="42"/>
      <c r="AD34" s="42">
        <f>+AB32*DENSITY!G16</f>
        <v>247.82987540905467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50.941230938760697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826.68203390416897</v>
      </c>
      <c r="T40" s="140">
        <f>+K9+N18+N44+N49+N76+W18+W25+W33</f>
        <v>826.68203390416897</v>
      </c>
      <c r="U40" s="42"/>
      <c r="V40" s="42"/>
      <c r="W40" s="46"/>
      <c r="X40" s="42"/>
      <c r="AA40" s="125">
        <f>+AB40</f>
        <v>244.0464654825829</v>
      </c>
      <c r="AB40" s="140">
        <f>+Q8+V38+AD33+AD25+AD17</f>
        <v>244.0464654825829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775.74080296540831</v>
      </c>
      <c r="W41" s="44" t="s">
        <v>257</v>
      </c>
      <c r="X41" s="42"/>
      <c r="AA41" s="146"/>
      <c r="AB41" s="145"/>
      <c r="AC41" s="555"/>
      <c r="AD41" s="42">
        <f>+AB40</f>
        <v>244.0464654825829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19.266354123493127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334.3639594615243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334.3639594615243</v>
      </c>
      <c r="X49" s="140">
        <f>+V48</f>
        <v>334.3639594615243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315.0976053380312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9508.1236591083652</v>
      </c>
      <c r="T56" s="140">
        <f>+K10+N19+N45+N50+N77+W19+W26+W34+V41</f>
        <v>9508.1236591083652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221.46364933468249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9173.7596996468401</v>
      </c>
      <c r="W63" s="125">
        <f>+X63+X63*ACCEPT!C20</f>
        <v>18214.720910652686</v>
      </c>
      <c r="X63" s="140">
        <f>+V63</f>
        <v>9173.7596996468401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8952.2960503121576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732.60634434981318</v>
      </c>
      <c r="AB74" s="140">
        <f>+Q9+AD41+AD34+AD26+AD18+Z47+Z54+Z61+Z67</f>
        <v>732.60634434981318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732.60634434981318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1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1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1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196"/>
    </row>
    <row r="98" spans="7:9" ht="12.95">
      <c r="G98" s="195"/>
      <c r="H98" s="172"/>
      <c r="I98" s="196"/>
    </row>
    <row r="99" spans="7:9">
      <c r="G99" s="197"/>
      <c r="H99" s="172"/>
      <c r="I99" s="198"/>
    </row>
    <row r="100" spans="7:9">
      <c r="G100" s="181"/>
      <c r="H100" s="172"/>
      <c r="I100" s="199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10" orientation="portrait" useFirstPageNumber="1" horizontalDpi="4294967292" r:id="rId1"/>
  <headerFooter alignWithMargins="0">
    <oddHeader>&amp;RPage 10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434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+'AUTO 3-DIGIT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+'AUTO 3-DIGIT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+'AUTO 3-DIGIT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+'AUTO 3-DIGIT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</row>
    <row r="16" spans="1:13">
      <c r="A16" s="17"/>
      <c r="B16" s="555" t="s">
        <v>213</v>
      </c>
      <c r="C16" s="22">
        <f>+'AUTO 3-DIGIT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</row>
    <row r="17" spans="1:12">
      <c r="A17" s="17"/>
      <c r="B17" s="555" t="s">
        <v>214</v>
      </c>
      <c r="C17" s="22">
        <f>+'AUTO 3-DIGIT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+'AUTO 3-DIGIT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</row>
    <row r="20" spans="1:12">
      <c r="A20" s="17"/>
      <c r="B20" s="555" t="s">
        <v>217</v>
      </c>
      <c r="C20" s="22">
        <f>+'AUTO 3-DIGIT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+'AUTO 3-DIGIT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+'AUTO 3-DIGIT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+'AUTO 3-DIGIT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+'AUTO 3-DIGIT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+'AUTO 3-DIGIT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+'AUTO 3-DIGIT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+'AUTO 3-DIGIT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+'AUTO 3-DIGIT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</row>
    <row r="32" spans="1:12">
      <c r="A32" s="17"/>
      <c r="B32" s="555" t="s">
        <v>221</v>
      </c>
      <c r="C32" s="22">
        <f>+'AUTO 3-DIGIT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+'AUTO 3-DIGIT MODEL'!S40</f>
        <v>10000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0.84191913024226728</v>
      </c>
      <c r="M34" s="555"/>
    </row>
    <row r="35" spans="1:13">
      <c r="A35" s="17"/>
      <c r="B35" s="555" t="s">
        <v>217</v>
      </c>
      <c r="C35" s="22">
        <f>+'AUTO 3-DIGIT MODEL'!AA40</f>
        <v>616.21311277542441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0.3680870060916398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+'AUTO 3-DIGIT MODEL'!W49</f>
        <v>329.99151576555886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2.1590289035550363E-2</v>
      </c>
      <c r="M37" s="555"/>
    </row>
    <row r="38" spans="1:13">
      <c r="A38" s="555"/>
      <c r="B38" s="555" t="s">
        <v>225</v>
      </c>
      <c r="C38" s="22">
        <f>+'AUTO 3-DIGIT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+'AUTO 3-DIGIT MODEL'!W63</f>
        <v>17976.528846687979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2.2287498225506215</v>
      </c>
      <c r="M39" s="555"/>
    </row>
    <row r="40" spans="1:13">
      <c r="A40" s="555"/>
      <c r="B40" s="555" t="s">
        <v>227</v>
      </c>
      <c r="C40" s="22">
        <f>+'AUTO 3-DIGIT MODEL'!AA74*(1-MISC!E9)</f>
        <v>853.79511431453659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0.69676896838767921</v>
      </c>
      <c r="M40" s="555"/>
    </row>
    <row r="41" spans="1:13">
      <c r="A41" s="555"/>
      <c r="B41" s="555" t="s">
        <v>228</v>
      </c>
      <c r="C41" s="22">
        <f>+MISC!E10*('AUTO 3-DIGIT MODEL'!AE64+'AUTO 3-DIGIT MODEL'!AE57)</f>
        <v>404.95825173919127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0.13696420421134409</v>
      </c>
      <c r="M41" s="555"/>
    </row>
    <row r="42" spans="1:13">
      <c r="A42" s="552"/>
      <c r="B42" s="552" t="s">
        <v>229</v>
      </c>
      <c r="C42" s="71">
        <f>+MISC!E10*('AUTO 3-DIGIT MODEL'!AE75+'AUTO 3-DIGIT MODEL'!AE50)</f>
        <v>53.386752858724059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3.611273058059377E-2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4.3301921510996957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+('AUTO 3-DIGIT MODEL'!AE57+'AUTO 3-DIGIT MODEL'!AE64)/C3</f>
        <v>0.88352277798782219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435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436</v>
      </c>
      <c r="B58" s="555"/>
      <c r="G58" s="40"/>
    </row>
  </sheetData>
  <phoneticPr fontId="11" type="noConversion"/>
  <printOptions horizontalCentered="1"/>
  <pageMargins left="0.75" right="0.75" top="1" bottom="1" header="0.5" footer="0.5"/>
  <pageSetup scale="79" firstPageNumber="11" orientation="portrait" useFirstPageNumber="1" horizontalDpi="4294967292" r:id="rId1"/>
  <headerFooter alignWithMargins="0">
    <oddHeader>&amp;RPage 11</oddHeader>
  </headerFooter>
  <ignoredErrors>
    <ignoredError sqref="K14 K26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285156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285156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434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f>+E4</f>
        <v>10000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616.21311277542441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10000</v>
      </c>
      <c r="T40" s="140">
        <f>+K9+N18+N44+N49+N76+W18+W25+W33</f>
        <v>10000</v>
      </c>
      <c r="U40" s="42"/>
      <c r="V40" s="42"/>
      <c r="W40" s="46"/>
      <c r="X40" s="42"/>
      <c r="AA40" s="125">
        <f>+AB40</f>
        <v>616.21311277542441</v>
      </c>
      <c r="AB40" s="140">
        <f>+Q8+V38+AD33+AD25+AD17</f>
        <v>616.21311277542441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9383.7868872245763</v>
      </c>
      <c r="W41" s="44" t="s">
        <v>257</v>
      </c>
      <c r="X41" s="42"/>
      <c r="AA41" s="146"/>
      <c r="AB41" s="145"/>
      <c r="AC41" s="555"/>
      <c r="AD41" s="42">
        <f>+AB40</f>
        <v>616.21311277542441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19.014409958317039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329.99151576555886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329.99151576555886</v>
      </c>
      <c r="X49" s="140">
        <f>+V48</f>
        <v>329.99151576555886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310.9771058072418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9383.7868872245763</v>
      </c>
      <c r="T56" s="140">
        <f>+K10+N19+N45+N50+N77+W19+W26+W34+V41</f>
        <v>9383.7868872245763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218.56759158079512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9053.7953714590167</v>
      </c>
      <c r="W63" s="125">
        <f>+X63+X63*ACCEPT!C20</f>
        <v>17976.528846687979</v>
      </c>
      <c r="X63" s="140">
        <f>+V63</f>
        <v>9053.7953714590167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8835.2277798782216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853.79511431453659</v>
      </c>
      <c r="AB74" s="140">
        <f>+Q9+AD41+AD34+AD26+AD18+Z47+Z54+Z61+Z67</f>
        <v>853.79511431453659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853.79511431453659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12" orientation="portrait" useFirstPageNumber="1" horizontalDpi="4294967292" r:id="rId1"/>
  <headerFooter alignWithMargins="0">
    <oddHeader>&amp;RPage 12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437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+'AUTO 5-DIGIT OTHER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+'AUTO 5-DIGIT OTHER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+'AUTO 5-DIGIT OTHER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+'AUTO 5-DIGIT OTHER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>+(K15*C15/10000)</f>
        <v>0</v>
      </c>
      <c r="M15" s="555"/>
    </row>
    <row r="16" spans="1:13">
      <c r="A16" s="17"/>
      <c r="B16" s="555" t="s">
        <v>213</v>
      </c>
      <c r="C16" s="22">
        <f>+'AUTO 5-DIGIT OTHER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>+(K16*C16/10000)</f>
        <v>0</v>
      </c>
      <c r="M16" s="555"/>
    </row>
    <row r="17" spans="1:12">
      <c r="A17" s="17"/>
      <c r="B17" s="555" t="s">
        <v>214</v>
      </c>
      <c r="C17" s="22">
        <f>+'AUTO 5-DIGIT OTHER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>+(K17*C17/10000)</f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+'AUTO 5-DIGIT OTHER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>+(K19*C19/10000)</f>
        <v>0</v>
      </c>
    </row>
    <row r="20" spans="1:12">
      <c r="A20" s="17"/>
      <c r="B20" s="555" t="s">
        <v>217</v>
      </c>
      <c r="C20" s="22">
        <f>+'AUTO 5-DIGIT OTHER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>+(K20*C20/10000)</f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+'AUTO 5-DIGIT OTHER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>+(K22*C22/10000)</f>
        <v>0</v>
      </c>
    </row>
    <row r="23" spans="1:12">
      <c r="A23" s="17"/>
      <c r="B23" s="555" t="s">
        <v>217</v>
      </c>
      <c r="C23" s="22">
        <f>+'AUTO 5-DIGIT OTHER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>+(K23*C23/10000)</f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+'AUTO 5-DIGIT OTHER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>+(K25*C25/10000)</f>
        <v>0</v>
      </c>
    </row>
    <row r="26" spans="1:12">
      <c r="A26" s="17"/>
      <c r="B26" s="555" t="s">
        <v>210</v>
      </c>
      <c r="C26" s="22">
        <f>+'AUTO 5-DIGIT OTHER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+'AUTO 5-DIGIT OTHER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>+(K27*C27/10000)</f>
        <v>0</v>
      </c>
    </row>
    <row r="28" spans="1:12">
      <c r="A28" s="17"/>
      <c r="B28" s="555" t="s">
        <v>213</v>
      </c>
      <c r="C28" s="22">
        <f>+'AUTO 5-DIGIT OTHER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>+(K28*C28/10000)</f>
        <v>0</v>
      </c>
    </row>
    <row r="29" spans="1:12">
      <c r="A29" s="17"/>
      <c r="B29" s="555" t="s">
        <v>214</v>
      </c>
      <c r="C29" s="22">
        <f>+'AUTO 5-DIGIT OTHER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>+(K29*C29/10000)</f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+'AUTO 5-DIGIT OTHER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>+(K31*C31/10000)</f>
        <v>0</v>
      </c>
    </row>
    <row r="32" spans="1:12">
      <c r="A32" s="17"/>
      <c r="B32" s="555" t="s">
        <v>221</v>
      </c>
      <c r="C32" s="22">
        <f>+'AUTO 5-DIGIT OTHER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>+(K32*C32/10000)</f>
        <v>0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+'AUTO 5-DIGIT OTHER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>+(K34*C34/10000)</f>
        <v>0</v>
      </c>
      <c r="M34" s="555"/>
    </row>
    <row r="35" spans="1:13">
      <c r="A35" s="17"/>
      <c r="B35" s="555" t="s">
        <v>217</v>
      </c>
      <c r="C35" s="22">
        <f>+'AUTO 5-DIGIT OTHER MODEL'!AA40</f>
        <v>0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>+(K35*C35/10000)</f>
        <v>0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+'AUTO 5-DIGIT OTHER MODEL'!W49</f>
        <v>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0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1">+H37*J37+I37</f>
        <v>0.65426800399586937</v>
      </c>
      <c r="L37" s="3">
        <f t="shared" ref="L37:L42" si="2">+(K37*C37/10000)</f>
        <v>0</v>
      </c>
      <c r="M37" s="555"/>
    </row>
    <row r="38" spans="1:13">
      <c r="A38" s="555"/>
      <c r="B38" s="555" t="s">
        <v>225</v>
      </c>
      <c r="C38" s="22">
        <f>+'AUTO 5-DIGIT OTHER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1"/>
        <v>0</v>
      </c>
      <c r="L38" s="3">
        <f t="shared" si="2"/>
        <v>0</v>
      </c>
      <c r="M38" s="555"/>
    </row>
    <row r="39" spans="1:13">
      <c r="A39" s="555"/>
      <c r="B39" s="555" t="s">
        <v>226</v>
      </c>
      <c r="C39" s="22">
        <f>+'AUTO 5-DIGIT OTHER MODEL'!W63</f>
        <v>19855.240933936708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0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1"/>
        <v>1.2398110010883718</v>
      </c>
      <c r="L39" s="3">
        <f t="shared" si="2"/>
        <v>2.461674613915489</v>
      </c>
      <c r="M39" s="555"/>
    </row>
    <row r="40" spans="1:13">
      <c r="A40" s="555"/>
      <c r="B40" s="555" t="s">
        <v>227</v>
      </c>
      <c r="C40" s="22">
        <f>+'AUTO 5-DIGIT OTHER MODEL'!AA74*(1-MISC!E9)</f>
        <v>241.40990889832028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0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1"/>
        <v>8.1608451103292534</v>
      </c>
      <c r="L40" s="3">
        <f t="shared" si="2"/>
        <v>0.19701088746178874</v>
      </c>
      <c r="M40" s="555"/>
    </row>
    <row r="41" spans="1:13">
      <c r="A41" s="555"/>
      <c r="B41" s="555" t="s">
        <v>228</v>
      </c>
      <c r="C41" s="22">
        <f>+MISC!E10*('AUTO 5-DIGIT OTHER MODEL'!AE64+'AUTO 5-DIGIT OTHER MODEL'!AE57)</f>
        <v>447.28010201751704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0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1"/>
        <v>3.3821808451394229</v>
      </c>
      <c r="L41" s="3">
        <f t="shared" si="2"/>
        <v>0.15127821934556529</v>
      </c>
      <c r="M41" s="555"/>
    </row>
    <row r="42" spans="1:13">
      <c r="A42" s="552"/>
      <c r="B42" s="552" t="s">
        <v>229</v>
      </c>
      <c r="C42" s="71">
        <f>+MISC!E10*('AUTO 5-DIGIT OTHER MODEL'!AE75+'AUTO 5-DIGIT OTHER MODEL'!AE50)</f>
        <v>11.064902580398293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0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1"/>
        <v>6.7643616902788457</v>
      </c>
      <c r="L42" s="489">
        <f t="shared" si="2"/>
        <v>7.4847003121513763E-3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2.8174484210349942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+('AUTO 5-DIGIT OTHER MODEL'!AE57+'AUTO 5-DIGIT OTHER MODEL'!AE64)/C3</f>
        <v>0.97585900911016799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438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5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9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439</v>
      </c>
      <c r="B58" s="11"/>
      <c r="C58" s="23"/>
      <c r="D58" s="23"/>
      <c r="E58" s="23"/>
      <c r="F58" s="23"/>
      <c r="G58" s="40"/>
      <c r="H58" s="35"/>
    </row>
  </sheetData>
  <phoneticPr fontId="11" type="noConversion"/>
  <printOptions horizontalCentered="1"/>
  <pageMargins left="0.75" right="0.75" top="1" bottom="1" header="0.5" footer="0.5"/>
  <pageSetup scale="80" orientation="portrait" horizontalDpi="4294967294" r:id="rId1"/>
  <headerFooter alignWithMargins="0">
    <oddHeader>&amp;RPage 13</oddHeader>
  </headerFooter>
  <ignoredErrors>
    <ignoredError sqref="K14 K26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285156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285156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437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10000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0</v>
      </c>
      <c r="AB40" s="140">
        <f>+Q8+V38+AD33+AD25+AD17</f>
        <v>0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0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10000</v>
      </c>
      <c r="T56" s="140">
        <f>+K10+N19+N45+N50+N77+W19+W26+W34+V41</f>
        <v>10000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241.40990889832028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T56</f>
        <v>10000</v>
      </c>
      <c r="W63" s="125">
        <f>+X63+X63*ACCEPT!C20</f>
        <v>19855.240933936708</v>
      </c>
      <c r="X63" s="140">
        <f>+V63</f>
        <v>10000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9758.5900911016797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241.40990889832028</v>
      </c>
      <c r="AB74" s="140">
        <f>+Q9+AD41+AD34+AD26+AD18+Z47+Z54+Z61+Z67</f>
        <v>241.40990889832028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241.40990889832028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honeticPr fontId="11" type="noConversion"/>
  <printOptions horizontalCentered="1"/>
  <pageMargins left="0.75" right="0.75" top="1" bottom="1" header="0.5" footer="0.5"/>
  <pageSetup scale="38" orientation="portrait" horizontalDpi="4294967294" r:id="rId1"/>
  <headerFooter alignWithMargins="0">
    <oddHeader>&amp;RPage 14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>
    <pageSetUpPr fitToPage="1"/>
  </sheetPr>
  <dimension ref="A1:M59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440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'Auto 5-digit Manual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441</v>
      </c>
      <c r="C11" s="98"/>
      <c r="D11" s="98"/>
      <c r="E11" s="19"/>
      <c r="F11" s="19"/>
      <c r="H11" s="3"/>
      <c r="I11" s="3"/>
      <c r="K11" s="3"/>
      <c r="L11" s="3"/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'Auto 5-digit Manual Model'!$G$18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'Auto 5-digit Manual Model'!$G$25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'Auto 5-digit Manual Model'!$G$32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>+(K15*C15/10000)</f>
        <v>0</v>
      </c>
      <c r="M15" s="555"/>
    </row>
    <row r="16" spans="1:13">
      <c r="A16" s="17"/>
      <c r="B16" s="555" t="s">
        <v>213</v>
      </c>
      <c r="C16" s="22">
        <f>'Auto 5-digit Manual Model'!$G$39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>+(K16*C16/10000)</f>
        <v>0</v>
      </c>
      <c r="M16" s="555"/>
    </row>
    <row r="17" spans="1:12">
      <c r="A17" s="17"/>
      <c r="B17" s="555" t="s">
        <v>214</v>
      </c>
      <c r="C17" s="22">
        <f>'Auto 5-digit Manual Model'!$G$32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>+(K17*C17/10000)</f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'Auto 5-digit Manual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>+(K19*C19/10000)</f>
        <v>0</v>
      </c>
    </row>
    <row r="20" spans="1:12">
      <c r="A20" s="17"/>
      <c r="B20" s="555" t="s">
        <v>217</v>
      </c>
      <c r="C20" s="22">
        <f>'Auto 5-digit Manual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>+(K20*C20/10000)</f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'Auto 5-digit Manual Model'!AA24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>+(K22*C22/10000)</f>
        <v>0</v>
      </c>
    </row>
    <row r="23" spans="1:12">
      <c r="A23" s="17"/>
      <c r="B23" s="555" t="s">
        <v>217</v>
      </c>
      <c r="C23" s="22">
        <f>'Auto 5-digit Manual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>+(K23*C23/10000)</f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'Auto 5-digit Manual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>+(K25*C25/10000)</f>
        <v>0</v>
      </c>
    </row>
    <row r="26" spans="1:12">
      <c r="A26" s="17"/>
      <c r="B26" s="555" t="s">
        <v>210</v>
      </c>
      <c r="C26" s="22">
        <f>'Auto 5-digit Manual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'Auto 5-digit Manual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>+(K27*C27/10000)</f>
        <v>0</v>
      </c>
    </row>
    <row r="28" spans="1:12">
      <c r="A28" s="17"/>
      <c r="B28" s="555" t="s">
        <v>213</v>
      </c>
      <c r="C28" s="22">
        <f>'Auto 5-digit Manual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>+(K28*C28/10000)</f>
        <v>0</v>
      </c>
    </row>
    <row r="29" spans="1:12">
      <c r="A29" s="17"/>
      <c r="B29" s="555" t="s">
        <v>214</v>
      </c>
      <c r="C29" s="22">
        <f>'Auto 5-digit Manual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>+(K29*C29/10000)</f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'Auto 5-digit Manual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>+(K31*C31/10000)</f>
        <v>0</v>
      </c>
    </row>
    <row r="32" spans="1:12">
      <c r="A32" s="17"/>
      <c r="B32" s="555" t="s">
        <v>221</v>
      </c>
      <c r="C32" s="22">
        <f>'Auto 5-digit Manual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>+(K32*C32/10000)</f>
        <v>0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'Auto 5-digit Manual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>+(K34*C34/10000)</f>
        <v>0</v>
      </c>
      <c r="M34" s="555"/>
    </row>
    <row r="35" spans="1:13">
      <c r="A35" s="17"/>
      <c r="B35" s="555" t="s">
        <v>217</v>
      </c>
      <c r="C35" s="22">
        <f>'Auto 5-digit Manual Model'!AA40</f>
        <v>0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>+(K35*C35/10000)</f>
        <v>0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'Auto 5-digit Manual Model'!$W$49</f>
        <v>10000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0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1">+H37*J37+I37</f>
        <v>0.65426800399586937</v>
      </c>
      <c r="L37" s="3">
        <f t="shared" ref="L37:L42" si="2">+(K37*C37/10000)</f>
        <v>0.65426800399586937</v>
      </c>
      <c r="M37" s="555"/>
    </row>
    <row r="38" spans="1:13">
      <c r="A38" s="555"/>
      <c r="B38" s="555" t="s">
        <v>225</v>
      </c>
      <c r="C38" s="22">
        <f>'Auto 5-digit Manual Model'!$W$56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1"/>
        <v>0</v>
      </c>
      <c r="L38" s="3">
        <f t="shared" si="2"/>
        <v>0</v>
      </c>
      <c r="M38" s="555"/>
    </row>
    <row r="39" spans="1:13">
      <c r="A39" s="555"/>
      <c r="B39" s="555" t="s">
        <v>226</v>
      </c>
      <c r="C39" s="22">
        <f>'Auto 5-digit Manual Model'!$W$63</f>
        <v>0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0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1"/>
        <v>1.2398110010883718</v>
      </c>
      <c r="L39" s="3">
        <f t="shared" si="2"/>
        <v>0</v>
      </c>
      <c r="M39" s="555"/>
    </row>
    <row r="40" spans="1:13">
      <c r="A40" s="555"/>
      <c r="B40" s="555" t="s">
        <v>227</v>
      </c>
      <c r="C40" s="22">
        <f>'Auto 5-digit Manual Model'!$AA$74*(1-MISC!E9)</f>
        <v>576.20905538146474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0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1"/>
        <v>8.1608451103292534</v>
      </c>
      <c r="L40" s="3">
        <f t="shared" si="2"/>
        <v>0.47023528521372648</v>
      </c>
      <c r="M40" s="555"/>
    </row>
    <row r="41" spans="1:13">
      <c r="A41" s="555"/>
      <c r="B41" s="555" t="s">
        <v>228</v>
      </c>
      <c r="C41" s="22">
        <f>MISC!E10*('Auto 5-digit Manual Model'!$AE$57+'Auto 5-digit Manual Model'!$AE$64)</f>
        <v>0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0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1"/>
        <v>3.3821808451394229</v>
      </c>
      <c r="L41" s="3">
        <f t="shared" si="2"/>
        <v>0</v>
      </c>
      <c r="M41" s="555"/>
    </row>
    <row r="42" spans="1:13">
      <c r="A42" s="552"/>
      <c r="B42" s="552" t="s">
        <v>229</v>
      </c>
      <c r="C42" s="71">
        <f>MISC!E10*('Auto 5-digit Manual Model'!$AE$75+'Auto 5-digit Manual Model'!$AE$50)</f>
        <v>458.34500459791531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0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1"/>
        <v>6.7643616902788457</v>
      </c>
      <c r="L42" s="489">
        <f t="shared" si="2"/>
        <v>0.31004113900328195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1.4345444282128779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('Auto 5-digit Manual Model'!AE57+'Auto 5-digit Manual Model'!AE64)/C3</f>
        <v>0</v>
      </c>
      <c r="M46" s="555"/>
    </row>
    <row r="47" spans="1:13" ht="12.95">
      <c r="A47" s="555"/>
      <c r="B47" s="555"/>
      <c r="M47" s="11"/>
    </row>
    <row r="48" spans="1:13" ht="12.95">
      <c r="A48" s="9" t="s">
        <v>65</v>
      </c>
      <c r="B48" s="555"/>
      <c r="G48" s="9"/>
      <c r="M48" s="555"/>
    </row>
    <row r="49" spans="1:10" ht="12.95">
      <c r="A49" s="216" t="s">
        <v>442</v>
      </c>
      <c r="B49" s="216"/>
      <c r="C49" s="218"/>
      <c r="D49" s="218"/>
      <c r="E49" s="218"/>
      <c r="F49" s="218"/>
      <c r="G49" s="216"/>
      <c r="H49" s="35"/>
    </row>
    <row r="50" spans="1:10" ht="12.95">
      <c r="A50" s="216" t="s">
        <v>233</v>
      </c>
      <c r="B50" s="216"/>
      <c r="C50" s="218"/>
      <c r="D50" s="218"/>
      <c r="E50" s="218"/>
      <c r="F50" s="218"/>
      <c r="G50" s="216"/>
      <c r="H50" s="35"/>
    </row>
    <row r="51" spans="1:10" ht="12.95">
      <c r="A51" s="216" t="s">
        <v>234</v>
      </c>
      <c r="B51" s="216"/>
      <c r="C51" s="218"/>
      <c r="D51" s="218"/>
      <c r="E51" s="218"/>
      <c r="F51" s="218"/>
      <c r="G51" s="216"/>
      <c r="H51" s="35"/>
      <c r="J51" s="40"/>
    </row>
    <row r="52" spans="1:10" ht="12.95">
      <c r="A52" s="11" t="s">
        <v>235</v>
      </c>
      <c r="B52" s="11"/>
      <c r="C52" s="23"/>
      <c r="D52" s="23"/>
      <c r="E52" s="23"/>
      <c r="F52" s="23"/>
      <c r="G52" s="11"/>
      <c r="H52" s="35"/>
      <c r="J52" s="40"/>
    </row>
    <row r="53" spans="1:10" ht="12.95">
      <c r="A53" s="216" t="s">
        <v>236</v>
      </c>
      <c r="B53" s="216"/>
      <c r="C53" s="218"/>
      <c r="D53" s="218"/>
      <c r="E53" s="218"/>
      <c r="F53" s="218"/>
      <c r="G53" s="216"/>
      <c r="H53" s="35"/>
    </row>
    <row r="54" spans="1:10" ht="12.95">
      <c r="A54" s="216" t="s">
        <v>237</v>
      </c>
      <c r="B54" s="216"/>
      <c r="C54" s="218"/>
      <c r="D54" s="218"/>
      <c r="E54" s="218"/>
      <c r="F54" s="218"/>
      <c r="G54" s="216"/>
      <c r="H54" s="39"/>
    </row>
    <row r="55" spans="1:10" ht="12.95">
      <c r="A55" s="220" t="s">
        <v>238</v>
      </c>
      <c r="B55" s="11"/>
      <c r="C55" s="23"/>
      <c r="D55" s="23"/>
      <c r="E55" s="23"/>
      <c r="F55" s="23"/>
      <c r="G55" s="220"/>
      <c r="H55" s="39"/>
    </row>
    <row r="56" spans="1:10" ht="12.95">
      <c r="A56" s="40" t="s">
        <v>239</v>
      </c>
      <c r="B56" s="11"/>
      <c r="C56" s="23"/>
      <c r="D56" s="23"/>
      <c r="E56" s="23"/>
      <c r="F56" s="23"/>
      <c r="G56" s="40"/>
      <c r="H56" s="39"/>
      <c r="J56" s="40"/>
    </row>
    <row r="57" spans="1:10" ht="12.95">
      <c r="A57" s="11"/>
      <c r="B57" s="11"/>
      <c r="C57" s="23"/>
      <c r="D57" s="23"/>
      <c r="E57" s="23"/>
      <c r="F57" s="23"/>
      <c r="G57" s="11"/>
      <c r="H57" s="35"/>
    </row>
    <row r="58" spans="1:10" ht="12.95">
      <c r="A58" s="40" t="s">
        <v>240</v>
      </c>
      <c r="B58" s="11"/>
      <c r="C58" s="23"/>
      <c r="D58" s="23"/>
      <c r="E58" s="23"/>
      <c r="F58" s="23"/>
      <c r="G58" s="40"/>
      <c r="H58" s="35"/>
    </row>
    <row r="59" spans="1:10" ht="12.95">
      <c r="A59" s="40" t="s">
        <v>443</v>
      </c>
      <c r="B59" s="11"/>
      <c r="C59" s="23"/>
      <c r="D59" s="23"/>
      <c r="E59" s="23"/>
      <c r="F59" s="23"/>
      <c r="G59" s="40"/>
      <c r="H59" s="35"/>
    </row>
  </sheetData>
  <phoneticPr fontId="11" type="noConversion"/>
  <pageMargins left="0.75" right="0.75" top="1" bottom="1" header="0.5" footer="0.5"/>
  <pageSetup scale="80" orientation="portrait" r:id="rId1"/>
  <headerFooter alignWithMargins="0">
    <oddHeader xml:space="preserve">&amp;RPage 15  </oddHeader>
  </headerFooter>
  <ignoredErrors>
    <ignoredError sqref="K14 C16 K26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855468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440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 t="s">
        <v>444</v>
      </c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f>+E4</f>
        <v>10000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+(C20+E23)*(1-ACCEPT!C6)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0</v>
      </c>
      <c r="AB40" s="140">
        <f>+Q8+V38+AD33+AD25+AD17</f>
        <v>0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0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576.20905538146474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</f>
        <v>10000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10000</v>
      </c>
      <c r="X49" s="140">
        <f>+V48</f>
        <v>10000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+T56*(1-MISC!E8)*ACCEPT!C19</f>
        <v>9423.7909446185349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10000</v>
      </c>
      <c r="T56" s="140">
        <f>+K10+N19+N45+N50+N77+W19+W26+W34+V41</f>
        <v>10000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576.20905538146474</v>
      </c>
      <c r="AB74" s="140">
        <f>+Q9+AD41+AD34+AD26+AD18+Z47+Z54+Z61+Z67</f>
        <v>576.20905538146474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576.20905538146474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2:F12"/>
    <mergeCell ref="M30:N30"/>
    <mergeCell ref="E4:F4"/>
    <mergeCell ref="E7:F7"/>
    <mergeCell ref="E8:F8"/>
    <mergeCell ref="E9:F9"/>
    <mergeCell ref="E10:F10"/>
    <mergeCell ref="E11:F11"/>
  </mergeCells>
  <phoneticPr fontId="11" type="noConversion"/>
  <pageMargins left="0.75" right="0.75" top="1" bottom="1" header="0.5" footer="0.5"/>
  <pageSetup scale="38" orientation="portrait" r:id="rId1"/>
  <headerFooter alignWithMargins="0">
    <oddHeader xml:space="preserve">&amp;RPage 16
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>
    <pageSetUpPr fitToPage="1"/>
  </sheetPr>
  <dimension ref="A1:N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437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+'AUTO 5-DIGIT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  <c r="N3" s="555"/>
    </row>
    <row r="4" spans="1:14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  <c r="N4" s="555"/>
    </row>
    <row r="5" spans="1:14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  <c r="N5" s="17"/>
    </row>
    <row r="6" spans="1:14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  <c r="N6" s="17"/>
    </row>
    <row r="7" spans="1:14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  <c r="N7" s="555"/>
    </row>
    <row r="8" spans="1:14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  <c r="N8" s="555"/>
    </row>
    <row r="9" spans="1:14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  <c r="N9" s="555"/>
    </row>
    <row r="10" spans="1:14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  <c r="N10" s="555"/>
    </row>
    <row r="11" spans="1:14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555"/>
      <c r="N11" s="555"/>
    </row>
    <row r="12" spans="1:14" ht="12.95">
      <c r="A12" s="11" t="s">
        <v>208</v>
      </c>
      <c r="B12" s="555"/>
      <c r="H12" s="3"/>
      <c r="I12" s="3"/>
      <c r="K12" s="3"/>
      <c r="L12" s="3"/>
      <c r="M12" s="555"/>
      <c r="N12" s="555"/>
    </row>
    <row r="13" spans="1:14">
      <c r="A13" s="17"/>
      <c r="B13" s="555" t="s">
        <v>209</v>
      </c>
      <c r="C13" s="22">
        <f>+'AUTO 5-DIGIT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  <c r="N13" s="3"/>
    </row>
    <row r="14" spans="1:14">
      <c r="A14" s="17"/>
      <c r="B14" s="555" t="s">
        <v>210</v>
      </c>
      <c r="C14" s="22">
        <f>+'AUTO 5-DIGIT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  <c r="N14" s="3"/>
    </row>
    <row r="15" spans="1:14">
      <c r="A15" s="17"/>
      <c r="B15" s="555" t="s">
        <v>212</v>
      </c>
      <c r="C15" s="22">
        <f>+'AUTO 5-DIGIT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  <c r="N15" s="3"/>
    </row>
    <row r="16" spans="1:14">
      <c r="A16" s="17"/>
      <c r="B16" s="555" t="s">
        <v>213</v>
      </c>
      <c r="C16" s="22">
        <f>+'AUTO 5-DIGIT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  <c r="N16" s="3"/>
    </row>
    <row r="17" spans="1:14">
      <c r="A17" s="17"/>
      <c r="B17" s="555" t="s">
        <v>214</v>
      </c>
      <c r="C17" s="22">
        <f>+'AUTO 5-DIGIT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  <c r="M17" s="555"/>
      <c r="N17" s="3"/>
    </row>
    <row r="18" spans="1:14" ht="12.95">
      <c r="A18" s="11" t="s">
        <v>215</v>
      </c>
      <c r="B18" s="555"/>
      <c r="H18" s="3"/>
      <c r="I18" s="3"/>
      <c r="K18" s="3"/>
      <c r="L18" s="3"/>
      <c r="M18" s="555"/>
      <c r="N18" s="3"/>
    </row>
    <row r="19" spans="1:14">
      <c r="A19" s="17"/>
      <c r="B19" s="555" t="s">
        <v>216</v>
      </c>
      <c r="C19" s="22">
        <f>+'AUTO 5-DIGIT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  <c r="M19" s="555"/>
      <c r="N19" s="3"/>
    </row>
    <row r="20" spans="1:14">
      <c r="A20" s="17"/>
      <c r="B20" s="555" t="s">
        <v>217</v>
      </c>
      <c r="C20" s="22">
        <f>+'AUTO 5-DIGIT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  <c r="M20" s="555"/>
      <c r="N20" s="3"/>
    </row>
    <row r="21" spans="1:14" ht="12.95">
      <c r="A21" s="11" t="s">
        <v>218</v>
      </c>
      <c r="B21" s="555"/>
      <c r="H21" s="3"/>
      <c r="I21" s="3"/>
      <c r="K21" s="3"/>
      <c r="L21" s="3"/>
      <c r="M21" s="555"/>
      <c r="N21" s="3"/>
    </row>
    <row r="22" spans="1:14">
      <c r="A22" s="17"/>
      <c r="B22" s="555" t="s">
        <v>216</v>
      </c>
      <c r="C22" s="22">
        <f>+'AUTO 5-DIGIT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  <c r="M22" s="555"/>
      <c r="N22" s="3"/>
    </row>
    <row r="23" spans="1:14">
      <c r="A23" s="17"/>
      <c r="B23" s="555" t="s">
        <v>217</v>
      </c>
      <c r="C23" s="22">
        <f>+'AUTO 5-DIGIT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  <c r="M23" s="555"/>
      <c r="N23" s="3"/>
    </row>
    <row r="24" spans="1:14" ht="12.95">
      <c r="A24" s="11" t="s">
        <v>219</v>
      </c>
      <c r="B24" s="555"/>
      <c r="H24" s="3"/>
      <c r="I24" s="3"/>
      <c r="K24" s="3"/>
      <c r="L24" s="3"/>
      <c r="M24" s="555"/>
      <c r="N24" s="3"/>
    </row>
    <row r="25" spans="1:14">
      <c r="A25" s="17"/>
      <c r="B25" s="555" t="s">
        <v>209</v>
      </c>
      <c r="C25" s="22">
        <f>+'AUTO 5-DIGIT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  <c r="M25" s="555"/>
      <c r="N25" s="3"/>
    </row>
    <row r="26" spans="1:14">
      <c r="A26" s="17"/>
      <c r="B26" s="555" t="s">
        <v>210</v>
      </c>
      <c r="C26" s="22">
        <f>+'AUTO 5-DIGIT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  <c r="M26" s="555"/>
      <c r="N26" s="3"/>
    </row>
    <row r="27" spans="1:14">
      <c r="A27" s="17"/>
      <c r="B27" s="555" t="s">
        <v>212</v>
      </c>
      <c r="C27" s="22">
        <f>+'AUTO 5-DIGIT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  <c r="M27" s="555"/>
      <c r="N27" s="3"/>
    </row>
    <row r="28" spans="1:14">
      <c r="A28" s="17"/>
      <c r="B28" s="555" t="s">
        <v>213</v>
      </c>
      <c r="C28" s="22">
        <f>+'AUTO 5-DIGIT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  <c r="M28" s="555"/>
      <c r="N28" s="3"/>
    </row>
    <row r="29" spans="1:14">
      <c r="A29" s="17"/>
      <c r="B29" s="555" t="s">
        <v>214</v>
      </c>
      <c r="C29" s="22">
        <f>+'AUTO 5-DIGIT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  <c r="M29" s="555"/>
      <c r="N29" s="3"/>
    </row>
    <row r="30" spans="1:14" ht="12.95">
      <c r="A30" s="11" t="s">
        <v>220</v>
      </c>
      <c r="B30" s="555"/>
      <c r="H30" s="3"/>
      <c r="I30" s="3"/>
      <c r="K30" s="3"/>
      <c r="L30" s="3"/>
      <c r="M30" s="555"/>
      <c r="N30" s="3"/>
    </row>
    <row r="31" spans="1:14">
      <c r="A31" s="17"/>
      <c r="B31" s="555" t="s">
        <v>58</v>
      </c>
      <c r="C31" s="22">
        <f>+'AUTO 5-DIGIT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  <c r="M31" s="555"/>
      <c r="N31" s="3"/>
    </row>
    <row r="32" spans="1:14">
      <c r="A32" s="17"/>
      <c r="B32" s="555" t="s">
        <v>221</v>
      </c>
      <c r="C32" s="22">
        <f>+'AUTO 5-DIGIT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</v>
      </c>
      <c r="M32" s="555"/>
      <c r="N32" s="3"/>
    </row>
    <row r="33" spans="1:14" ht="12.95">
      <c r="A33" s="11" t="s">
        <v>222</v>
      </c>
      <c r="B33" s="555"/>
      <c r="H33" s="3"/>
      <c r="I33" s="3"/>
      <c r="K33" s="3"/>
      <c r="L33" s="3"/>
      <c r="M33" s="555"/>
      <c r="N33" s="3"/>
    </row>
    <row r="34" spans="1:14">
      <c r="A34" s="17"/>
      <c r="B34" s="555" t="s">
        <v>216</v>
      </c>
      <c r="C34" s="22">
        <f>+'AUTO 5-DIGIT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</v>
      </c>
      <c r="M34" s="555"/>
      <c r="N34" s="3"/>
    </row>
    <row r="35" spans="1:14">
      <c r="A35" s="17"/>
      <c r="B35" s="555" t="s">
        <v>217</v>
      </c>
      <c r="C35" s="22">
        <f>+'AUTO 5-DIGIT MODEL'!AA40</f>
        <v>0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</v>
      </c>
      <c r="M35" s="555"/>
      <c r="N35" s="3"/>
    </row>
    <row r="36" spans="1:14" ht="12.95">
      <c r="A36" s="11" t="s">
        <v>223</v>
      </c>
      <c r="B36" s="555"/>
      <c r="H36" s="3"/>
      <c r="I36" s="3"/>
      <c r="K36" s="3"/>
      <c r="L36" s="3"/>
      <c r="M36" s="555"/>
      <c r="N36" s="3"/>
    </row>
    <row r="37" spans="1:14">
      <c r="A37" s="555"/>
      <c r="B37" s="555" t="s">
        <v>224</v>
      </c>
      <c r="C37" s="22">
        <f>+'AUTO 5-DIGIT MODEL'!W49</f>
        <v>351.66134923078988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2.3008076904372326E-2</v>
      </c>
      <c r="M37" s="555"/>
      <c r="N37" s="3"/>
    </row>
    <row r="38" spans="1:14">
      <c r="A38" s="555"/>
      <c r="B38" s="555" t="s">
        <v>225</v>
      </c>
      <c r="C38" s="22">
        <f>+'AUTO 5-DIGIT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  <c r="N38" s="3"/>
    </row>
    <row r="39" spans="1:14">
      <c r="A39" s="555"/>
      <c r="B39" s="555" t="s">
        <v>226</v>
      </c>
      <c r="C39" s="22">
        <f>+'AUTO 5-DIGIT MODEL'!W63</f>
        <v>19253.492238831343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2.3870691487072682</v>
      </c>
      <c r="M39" s="555"/>
      <c r="N39" s="3"/>
    </row>
    <row r="40" spans="1:14">
      <c r="A40" s="555"/>
      <c r="B40" s="555" t="s">
        <v>227</v>
      </c>
      <c r="C40" s="22">
        <f>+'AUTO 5-DIGIT MODEL'!AA74*(1-MISC!E9)</f>
        <v>253.1835008556782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0.2066191334974104</v>
      </c>
      <c r="M40" s="555"/>
      <c r="N40" s="3"/>
    </row>
    <row r="41" spans="1:14">
      <c r="A41" s="555"/>
      <c r="B41" s="555" t="s">
        <v>228</v>
      </c>
      <c r="C41" s="22">
        <f>+MISC!E10*('AUTO 5-DIGIT MODEL'!AE64+'AUTO 5-DIGIT MODEL'!AE57)</f>
        <v>431.55098960156039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0.14595834907313596</v>
      </c>
      <c r="M41" s="555"/>
      <c r="N41" s="3"/>
    </row>
    <row r="42" spans="1:14">
      <c r="A42" s="552"/>
      <c r="B42" s="552" t="s">
        <v>229</v>
      </c>
      <c r="C42" s="71">
        <f>+MISC!E10*('AUTO 5-DIGIT MODEL'!AE75+'AUTO 5-DIGIT MODEL'!AE50)</f>
        <v>26.794014996354832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1.8124440857009951E-2</v>
      </c>
      <c r="M42" s="555"/>
      <c r="N42" s="489"/>
    </row>
    <row r="43" spans="1:14" ht="9" customHeight="1" thickBot="1">
      <c r="A43" s="555"/>
      <c r="B43" s="555"/>
      <c r="H43" s="3"/>
      <c r="I43" s="3"/>
      <c r="K43" s="3"/>
      <c r="L43" s="4"/>
      <c r="M43" s="555"/>
      <c r="N43" s="555"/>
    </row>
    <row r="44" spans="1:14" ht="13.5" thickBot="1">
      <c r="A44" s="555"/>
      <c r="B44" s="555"/>
      <c r="H44" s="3"/>
      <c r="J44" s="490" t="s">
        <v>230</v>
      </c>
      <c r="K44" s="491"/>
      <c r="L44" s="492">
        <f>SUM(L11:L42)</f>
        <v>2.7807791490391964</v>
      </c>
      <c r="M44" s="555"/>
      <c r="N44" s="18"/>
    </row>
    <row r="45" spans="1:14" ht="9" customHeight="1" thickBot="1">
      <c r="A45" s="555"/>
      <c r="B45" s="555"/>
      <c r="H45" s="3"/>
      <c r="J45" s="34"/>
      <c r="K45" s="1"/>
      <c r="L45" s="2"/>
      <c r="M45" s="555"/>
      <c r="N45" s="555"/>
    </row>
    <row r="46" spans="1:14" ht="13.5" thickBot="1">
      <c r="A46" s="555"/>
      <c r="B46" s="555"/>
      <c r="J46" s="493" t="s">
        <v>231</v>
      </c>
      <c r="K46" s="494"/>
      <c r="L46" s="495">
        <f>+('AUTO 5-DIGIT MODEL'!AE57+'AUTO 5-DIGIT MODEL'!AE64)/C3</f>
        <v>0.94154181952989746</v>
      </c>
      <c r="M46" s="11"/>
      <c r="N46" s="555"/>
    </row>
    <row r="47" spans="1:14" ht="12.95">
      <c r="A47" s="9" t="s">
        <v>65</v>
      </c>
      <c r="B47" s="555"/>
      <c r="G47" s="9"/>
      <c r="M47" s="555"/>
      <c r="N47" s="555"/>
    </row>
    <row r="48" spans="1:14" s="11" customFormat="1" ht="12.95">
      <c r="A48" s="216" t="s">
        <v>445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446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80" orientation="portrait" horizontalDpi="4294967294" r:id="rId1"/>
  <headerFooter alignWithMargins="0">
    <oddHeader>&amp;RPage 17</oddHeader>
  </headerFooter>
  <ignoredErrors>
    <ignoredError sqref="K14 K26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285156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285156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 t="s">
        <v>45</v>
      </c>
      <c r="B1" s="53" t="s">
        <v>437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10000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0</v>
      </c>
      <c r="AB40" s="140">
        <f>+Q8+V38+AD33+AD25+AD17</f>
        <v>0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0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20.263045385444482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351.66134923078988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351.66134923078988</v>
      </c>
      <c r="X49" s="140">
        <f>+V48</f>
        <v>351.66134923078988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331.39830384534542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10000</v>
      </c>
      <c r="T56" s="140">
        <f>+K10+N19+N45+N50+N77+W19+W26+W34+V41</f>
        <v>10000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232.92045547023372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9648.3386507692085</v>
      </c>
      <c r="W63" s="125">
        <f>+X63*(1.01)+X63*ACCEPT!C20</f>
        <v>19253.492238831343</v>
      </c>
      <c r="X63" s="140">
        <f>+V63</f>
        <v>9648.3386507692085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9415.4181952989748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253.1835008556782</v>
      </c>
      <c r="AB74" s="140">
        <f>+Q9+AD41+AD34+AD26+AD18+Z47+Z54+Z61+Z67</f>
        <v>253.1835008556782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253.1835008556782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10:F10"/>
    <mergeCell ref="E11:F11"/>
    <mergeCell ref="E12:F12"/>
    <mergeCell ref="M30:N30"/>
    <mergeCell ref="E4:F4"/>
    <mergeCell ref="E7:F7"/>
    <mergeCell ref="E8:F8"/>
    <mergeCell ref="E9:F9"/>
  </mergeCells>
  <phoneticPr fontId="11" type="noConversion"/>
  <printOptions horizontalCentered="1"/>
  <pageMargins left="0.75" right="0.75" top="1" bottom="1" header="0.5" footer="0.5"/>
  <pageSetup scale="38" orientation="portrait" horizontalDpi="4294967294" r:id="rId1"/>
  <headerFooter alignWithMargins="0">
    <oddHeader>&amp;RPage 18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pageSetUpPr fitToPage="1"/>
  </sheetPr>
  <dimension ref="A1:N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4" s="13" customFormat="1" ht="15.6">
      <c r="A1" s="72" t="s">
        <v>447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4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  <c r="N2" s="555"/>
    </row>
    <row r="3" spans="1:14" ht="15.6">
      <c r="A3" s="107" t="s">
        <v>202</v>
      </c>
      <c r="B3" s="78"/>
      <c r="C3" s="108">
        <f>+'MACH INCOMING MODEL'!N4</f>
        <v>10000.000000000004</v>
      </c>
      <c r="D3" s="79"/>
      <c r="E3" s="79"/>
      <c r="F3" s="79"/>
      <c r="G3" s="80"/>
      <c r="H3" s="81"/>
      <c r="I3" s="78"/>
      <c r="J3" s="82"/>
      <c r="K3" s="81"/>
      <c r="L3" s="81"/>
      <c r="M3" s="555"/>
      <c r="N3" s="555"/>
    </row>
    <row r="4" spans="1:14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  <c r="N4" s="555"/>
    </row>
    <row r="5" spans="1:14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  <c r="N5" s="17"/>
    </row>
    <row r="6" spans="1:14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  <c r="N6" s="17"/>
    </row>
    <row r="7" spans="1:14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  <c r="N7" s="555"/>
    </row>
    <row r="8" spans="1:14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  <c r="N8" s="555"/>
    </row>
    <row r="9" spans="1:14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  <c r="N9" s="555"/>
    </row>
    <row r="10" spans="1:14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  <c r="N10" s="555"/>
    </row>
    <row r="11" spans="1:14" ht="12.95">
      <c r="A11" s="11"/>
      <c r="B11" s="555" t="s">
        <v>207</v>
      </c>
      <c r="C11" s="98"/>
      <c r="D11" s="98"/>
      <c r="E11" s="19"/>
      <c r="F11" s="19"/>
      <c r="H11" s="3"/>
      <c r="I11" s="3"/>
      <c r="K11" s="3"/>
      <c r="L11" s="3"/>
      <c r="M11" s="3"/>
      <c r="N11" s="555"/>
    </row>
    <row r="12" spans="1:14" ht="12.95">
      <c r="A12" s="11" t="s">
        <v>208</v>
      </c>
      <c r="B12" s="555"/>
      <c r="H12" s="3"/>
      <c r="I12" s="3"/>
      <c r="K12" s="3"/>
      <c r="L12" s="3"/>
      <c r="M12" s="3"/>
      <c r="N12" s="555"/>
    </row>
    <row r="13" spans="1:14">
      <c r="A13" s="17"/>
      <c r="B13" s="555" t="s">
        <v>209</v>
      </c>
      <c r="C13" s="22">
        <f>+'MACH INCOMING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3"/>
      <c r="N13" s="18"/>
    </row>
    <row r="14" spans="1:14">
      <c r="A14" s="17"/>
      <c r="B14" s="555" t="s">
        <v>210</v>
      </c>
      <c r="C14" s="22">
        <f>+'MACH INCOMING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  <c r="N14" s="555"/>
    </row>
    <row r="15" spans="1:14">
      <c r="A15" s="17"/>
      <c r="B15" s="555" t="s">
        <v>212</v>
      </c>
      <c r="C15" s="22">
        <f>+'MACH INCOMING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3"/>
      <c r="N15" s="555"/>
    </row>
    <row r="16" spans="1:14">
      <c r="A16" s="17"/>
      <c r="B16" s="555" t="s">
        <v>213</v>
      </c>
      <c r="C16" s="22">
        <f>+'MACH INCOMING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3"/>
      <c r="N16" s="555"/>
    </row>
    <row r="17" spans="1:13">
      <c r="A17" s="17"/>
      <c r="B17" s="555" t="s">
        <v>214</v>
      </c>
      <c r="C17" s="22">
        <f>+'MACH INCOMING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  <c r="M17" s="3"/>
    </row>
    <row r="18" spans="1:13" ht="12.95">
      <c r="A18" s="11" t="s">
        <v>215</v>
      </c>
      <c r="B18" s="555"/>
      <c r="H18" s="3"/>
      <c r="I18" s="3"/>
      <c r="K18" s="3"/>
      <c r="L18" s="3"/>
      <c r="M18" s="555"/>
    </row>
    <row r="19" spans="1:13">
      <c r="A19" s="17"/>
      <c r="B19" s="555" t="s">
        <v>216</v>
      </c>
      <c r="C19" s="22">
        <f>+'MACH INCOMING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  <c r="M19" s="3"/>
    </row>
    <row r="20" spans="1:13">
      <c r="A20" s="17"/>
      <c r="B20" s="555" t="s">
        <v>217</v>
      </c>
      <c r="C20" s="22">
        <f>+'MACH INCOMING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  <c r="M20" s="3"/>
    </row>
    <row r="21" spans="1:13" ht="12.95">
      <c r="A21" s="11" t="s">
        <v>218</v>
      </c>
      <c r="B21" s="555"/>
      <c r="H21" s="3"/>
      <c r="I21" s="3"/>
      <c r="K21" s="3"/>
      <c r="L21" s="3"/>
      <c r="M21" s="3"/>
    </row>
    <row r="22" spans="1:13">
      <c r="A22" s="17"/>
      <c r="B22" s="555" t="s">
        <v>216</v>
      </c>
      <c r="C22" s="22">
        <f>+'MACH INCOMING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  <c r="M22" s="3"/>
    </row>
    <row r="23" spans="1:13">
      <c r="A23" s="17"/>
      <c r="B23" s="555" t="s">
        <v>217</v>
      </c>
      <c r="C23" s="22">
        <f>+'MACH INCOMING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  <c r="M23" s="3"/>
    </row>
    <row r="24" spans="1:13" ht="12.95">
      <c r="A24" s="11" t="s">
        <v>219</v>
      </c>
      <c r="B24" s="555"/>
      <c r="H24" s="3"/>
      <c r="I24" s="3"/>
      <c r="K24" s="3"/>
      <c r="L24" s="3"/>
      <c r="M24" s="555"/>
    </row>
    <row r="25" spans="1:13">
      <c r="A25" s="17"/>
      <c r="B25" s="555" t="s">
        <v>209</v>
      </c>
      <c r="C25" s="22">
        <f>+'MACH INCOMING MODEL'!G51</f>
        <v>10276.357391420619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1.5137794859780109</v>
      </c>
      <c r="M25" s="3"/>
    </row>
    <row r="26" spans="1:13">
      <c r="A26" s="17"/>
      <c r="B26" s="555" t="s">
        <v>210</v>
      </c>
      <c r="C26" s="22">
        <f>+'MACH INCOMING MODEL'!G58</f>
        <v>663.7512997321893</v>
      </c>
      <c r="E26" s="163" t="s">
        <v>211</v>
      </c>
      <c r="F26" s="163"/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1.8511719116825594E-2</v>
      </c>
      <c r="M26" s="555"/>
    </row>
    <row r="27" spans="1:13">
      <c r="A27" s="17"/>
      <c r="B27" s="555" t="s">
        <v>212</v>
      </c>
      <c r="C27" s="22">
        <f>+'MACH INCOMING MODEL'!G65</f>
        <v>13.407776254590221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1.0993509106638289E-2</v>
      </c>
      <c r="M27" s="3"/>
    </row>
    <row r="28" spans="1:13">
      <c r="A28" s="17"/>
      <c r="B28" s="555" t="s">
        <v>213</v>
      </c>
      <c r="C28" s="22">
        <f>+'MACH INCOMING MODEL'!G72</f>
        <v>671.98310736251358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9.8987822640188308E-2</v>
      </c>
      <c r="M28" s="3"/>
    </row>
    <row r="29" spans="1:13">
      <c r="A29" s="17"/>
      <c r="B29" s="555" t="s">
        <v>214</v>
      </c>
      <c r="C29" s="22">
        <f>+'MACH INCOMING MODEL'!C65</f>
        <v>1.3776554909938092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1.2045444888989052E-3</v>
      </c>
      <c r="M29" s="3"/>
    </row>
    <row r="30" spans="1:13" ht="12.95">
      <c r="A30" s="11" t="s">
        <v>220</v>
      </c>
      <c r="B30" s="555"/>
      <c r="H30" s="3"/>
      <c r="I30" s="3"/>
      <c r="K30" s="3"/>
      <c r="L30" s="3"/>
      <c r="M30" s="555"/>
    </row>
    <row r="31" spans="1:13">
      <c r="A31" s="17"/>
      <c r="B31" s="555" t="s">
        <v>58</v>
      </c>
      <c r="C31" s="22">
        <f>+'MACH INCOMING MODEL'!S32</f>
        <v>150.17086437693561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2.4407261877159546E-2</v>
      </c>
      <c r="M31" s="3"/>
    </row>
    <row r="32" spans="1:13">
      <c r="A32" s="17"/>
      <c r="B32" s="555" t="s">
        <v>221</v>
      </c>
      <c r="C32" s="22">
        <f>+'MACH INCOMING MODEL'!AA32</f>
        <v>342.69409956242788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0.18667890111446328</v>
      </c>
      <c r="M32" s="3"/>
    </row>
    <row r="33" spans="1:13" ht="12.95">
      <c r="A33" s="11" t="s">
        <v>222</v>
      </c>
      <c r="B33" s="555"/>
      <c r="H33" s="3"/>
      <c r="I33" s="3"/>
      <c r="K33" s="3"/>
      <c r="L33" s="3"/>
      <c r="M33" s="3"/>
    </row>
    <row r="34" spans="1:13">
      <c r="A34" s="17"/>
      <c r="B34" s="555" t="s">
        <v>216</v>
      </c>
      <c r="C34" s="22">
        <f>+'MACH INCOMING MODEL'!S40</f>
        <v>1203.8414661694596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0.10135371601469671</v>
      </c>
      <c r="M34" s="3"/>
    </row>
    <row r="35" spans="1:13">
      <c r="A35" s="17"/>
      <c r="B35" s="555" t="s">
        <v>217</v>
      </c>
      <c r="C35" s="22">
        <f>+'MACH INCOMING MODEL'!AA40</f>
        <v>224.26338550286249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0.133960859375299</v>
      </c>
      <c r="M35" s="3"/>
    </row>
    <row r="36" spans="1:13" ht="12.95">
      <c r="A36" s="11" t="s">
        <v>223</v>
      </c>
      <c r="B36" s="555"/>
      <c r="H36" s="3"/>
      <c r="I36" s="3"/>
      <c r="K36" s="3"/>
      <c r="L36" s="3"/>
      <c r="M36" s="3"/>
    </row>
    <row r="37" spans="1:13">
      <c r="A37" s="555"/>
      <c r="B37" s="555" t="s">
        <v>224</v>
      </c>
      <c r="C37" s="22">
        <f>+'MACH INCOMING MODEL'!W49</f>
        <v>337.00141787919142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2.2048924501959645E-2</v>
      </c>
      <c r="M37" s="3"/>
    </row>
    <row r="38" spans="1:13">
      <c r="A38" s="555"/>
      <c r="B38" s="555" t="s">
        <v>225</v>
      </c>
      <c r="C38" s="22">
        <f>+'MACH INCOMING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3"/>
    </row>
    <row r="39" spans="1:13">
      <c r="A39" s="555"/>
      <c r="B39" s="555" t="s">
        <v>226</v>
      </c>
      <c r="C39" s="22">
        <f>+'MACH INCOMING MODEL'!W63</f>
        <v>18358.398384351189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2.2760944279281596</v>
      </c>
      <c r="M39" s="3"/>
    </row>
    <row r="40" spans="1:13">
      <c r="A40" s="555"/>
      <c r="B40" s="555" t="s">
        <v>227</v>
      </c>
      <c r="C40" s="22">
        <f>+'MACH INCOMING MODEL'!AA74*(1-MISC!E9)</f>
        <v>659.50526776759739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0.53821203396975825</v>
      </c>
      <c r="M40" s="3"/>
    </row>
    <row r="41" spans="1:13">
      <c r="A41" s="555"/>
      <c r="B41" s="555" t="s">
        <v>228</v>
      </c>
      <c r="C41" s="22">
        <f>+MISC!E10*('MACH INCOMING MODEL'!AE64+'MACH INCOMING MODEL'!AE57)</f>
        <v>413.56064776811303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0.13987369011847636</v>
      </c>
      <c r="M41" s="3"/>
    </row>
    <row r="42" spans="1:13">
      <c r="A42" s="552"/>
      <c r="B42" s="552" t="s">
        <v>229</v>
      </c>
      <c r="C42" s="71">
        <f>+MISC!E10*('MACH INCOMING MODEL'!AE75+'MACH INCOMING MODEL'!AE50)</f>
        <v>44.784356829802434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3.0293758766329337E-2</v>
      </c>
      <c r="M42" s="489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5.0964006549968639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+('MACH INCOMING MODEL'!AE57+'MACH INCOMING MODEL'!AE64)/C3</f>
        <v>0.90229116412190491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232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241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74" orientation="portrait" horizontalDpi="4294967294" r:id="rId1"/>
  <headerFooter alignWithMargins="0">
    <oddHeader>&amp;RPage 21</oddHeader>
  </headerFooter>
  <ignoredErrors>
    <ignoredError sqref="K14 K26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9.425781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1.4257812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447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10000.000000000004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f>E4</f>
        <v>10000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6.6037776289968777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150.17086437693561</v>
      </c>
      <c r="T32" s="140">
        <f>+K8+N17+N43+N48+N75+W17+W24</f>
        <v>149.76756170999013</v>
      </c>
      <c r="U32" s="42"/>
      <c r="X32" s="555"/>
      <c r="AA32" s="125">
        <f>+AB32</f>
        <v>342.69409956242788</v>
      </c>
      <c r="AB32" s="140">
        <f>+Q7+N64+N72+V30+AD16+AD24</f>
        <v>342.69409956242788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143.16378408099325</v>
      </c>
      <c r="W33" s="42">
        <f>+V33*DENSITY!$F$13</f>
        <v>12.381015252728279</v>
      </c>
      <c r="X33" s="44" t="s">
        <v>254</v>
      </c>
      <c r="AA33" s="146"/>
      <c r="AB33" s="145"/>
      <c r="AC33" s="42"/>
      <c r="AD33" s="42">
        <f>+AB32*DENSITY!F16</f>
        <v>150.08109578722113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130.78276882826501</v>
      </c>
      <c r="X34" s="44" t="s">
        <v>257</v>
      </c>
      <c r="AA34" s="555"/>
      <c r="AB34" s="555"/>
      <c r="AC34" s="42"/>
      <c r="AD34" s="42">
        <f>+AB32*DENSITY!G16</f>
        <v>192.61300377520675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74.18228971564136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1203.8414661694596</v>
      </c>
      <c r="T40" s="140">
        <f>+K9+N18+N44+N49+N76+W18+W25+W33</f>
        <v>1203.8414661694596</v>
      </c>
      <c r="U40" s="42"/>
      <c r="V40" s="42"/>
      <c r="W40" s="46"/>
      <c r="X40" s="42"/>
      <c r="AA40" s="125">
        <f>+AB40</f>
        <v>224.26338550286249</v>
      </c>
      <c r="AB40" s="140">
        <f>+Q8+V38+AD33+AD25+AD17</f>
        <v>224.26338550286249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1129.6591764538182</v>
      </c>
      <c r="W41" s="44" t="s">
        <v>257</v>
      </c>
      <c r="X41" s="42"/>
      <c r="AA41" s="146"/>
      <c r="AB41" s="145"/>
      <c r="AC41" s="555"/>
      <c r="AD41" s="42">
        <f>+AB40</f>
        <v>224.26338550286249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19.418326865838313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9024.5715339016006</v>
      </c>
      <c r="J48" s="555"/>
      <c r="K48" s="119">
        <f>+I48+I49</f>
        <v>9041.0288814772794</v>
      </c>
      <c r="L48" s="119"/>
      <c r="M48" s="46"/>
      <c r="N48" s="42">
        <f>+K48*DENSITY!E11</f>
        <v>145.64066594420257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337.00141787919142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16.457347575678344</v>
      </c>
      <c r="J49" s="555"/>
      <c r="K49" s="42"/>
      <c r="L49" s="42"/>
      <c r="M49" s="46"/>
      <c r="N49" s="42">
        <f>+K48*DENSITY!F11</f>
        <v>1071.1427920841072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337.00141787919142</v>
      </c>
      <c r="X49" s="140">
        <f>+V48</f>
        <v>337.00141787919142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7824.2454234489715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317.58309101335311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10276.357391420619</v>
      </c>
      <c r="H51" s="125">
        <f>+K7</f>
        <v>10000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1.3776554909938092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1.7788063667607656</v>
      </c>
      <c r="H54" s="42">
        <f>ACCEPT!F6*'MACH INCOMING MODEL'!H51</f>
        <v>661.97249336542848</v>
      </c>
      <c r="I54" s="50"/>
      <c r="J54" s="42"/>
      <c r="M54" s="555"/>
      <c r="N54" s="555"/>
      <c r="O54" s="555"/>
      <c r="Q54" s="58"/>
      <c r="S54" s="292" t="s">
        <v>257</v>
      </c>
      <c r="T54" s="288"/>
      <c r="U54" s="555"/>
      <c r="V54" s="42"/>
      <c r="W54" s="292" t="s">
        <v>280</v>
      </c>
      <c r="X54" s="288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288"/>
      <c r="J56" s="555"/>
      <c r="M56" s="555"/>
      <c r="N56" s="555"/>
      <c r="O56" s="555"/>
      <c r="Q56" s="58"/>
      <c r="S56" s="125">
        <f>+T56</f>
        <v>9583.1236107219338</v>
      </c>
      <c r="T56" s="140">
        <f>+K10+N19+N45+N50+N77+W19+W26+W34+V41</f>
        <v>9583.1236107219338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663.7512997321893</v>
      </c>
      <c r="H58" s="125">
        <f>+H54</f>
        <v>661.97249336542848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16.8584984514453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3.5931888608567455E-2</v>
      </c>
      <c r="H61" s="91">
        <f>+J62</f>
        <v>13.371844365981653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292" t="s">
        <v>283</v>
      </c>
      <c r="X61" s="288"/>
      <c r="Z61" s="42">
        <f>+X63-AE64</f>
        <v>223.21055162368975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3.5931888608567455E-2</v>
      </c>
      <c r="J62" s="43">
        <f>+H58*((1-MISC!E6))</f>
        <v>13.371844365981653</v>
      </c>
      <c r="K62" s="48">
        <f>+G54*MISC!E6</f>
        <v>1.7428744781521981</v>
      </c>
      <c r="L62" s="553">
        <f>+H58*MISC!E6</f>
        <v>648.60064899944678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288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9246.1221928427422</v>
      </c>
      <c r="W63" s="125">
        <f>+X63+X63*ACCEPT!C20</f>
        <v>18358.398384351189</v>
      </c>
      <c r="X63" s="140">
        <f>+V63</f>
        <v>9246.1221928427422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1.1039155175546222</v>
      </c>
      <c r="N64" s="159">
        <f>+M64+M65</f>
        <v>1.106881882427291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9022.9116412190524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1.3776554909938092</v>
      </c>
      <c r="D65" s="142">
        <f>+D69</f>
        <v>1.3776554909938092</v>
      </c>
      <c r="E65" s="555"/>
      <c r="F65" s="555"/>
      <c r="G65" s="125">
        <f>+G61+H65</f>
        <v>13.407776254590221</v>
      </c>
      <c r="H65" s="125">
        <f>+H61</f>
        <v>13.371844365981653</v>
      </c>
      <c r="I65" s="50"/>
      <c r="J65" s="51"/>
      <c r="M65" s="143">
        <f>+I62*MISC!E5</f>
        <v>2.9663648726687701E-3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3.2965523735898686E-2</v>
      </c>
      <c r="H68" s="91">
        <f>+J68</f>
        <v>12.267928848427031</v>
      </c>
      <c r="I68" s="50">
        <f>+I62-M65</f>
        <v>3.2965523735898686E-2</v>
      </c>
      <c r="J68" s="42">
        <f>+J62-M64</f>
        <v>12.267928848427031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1.3776554909938092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288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671.98310736251358</v>
      </c>
      <c r="H72" s="125">
        <f>+J68+L62</f>
        <v>660.86857784787378</v>
      </c>
      <c r="I72" s="42"/>
      <c r="J72" s="555"/>
      <c r="K72" s="42">
        <f>+H72*ACCEPT!C13</f>
        <v>20.715320291796022</v>
      </c>
      <c r="L72" s="42"/>
      <c r="M72" s="555"/>
      <c r="N72" s="150">
        <f>+K72+K73+H51*ACCEPT!G6</f>
        <v>334.98344005100375</v>
      </c>
      <c r="O72" s="45" t="s">
        <v>270</v>
      </c>
      <c r="Q72" s="58"/>
      <c r="S72" s="555"/>
      <c r="T72" s="555"/>
      <c r="U72" s="555"/>
      <c r="X72" s="555"/>
      <c r="AA72" s="293" t="s">
        <v>255</v>
      </c>
      <c r="AB72" s="288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9.3386895127516567</v>
      </c>
      <c r="F73" s="555"/>
      <c r="G73" s="128"/>
      <c r="H73" s="127"/>
      <c r="J73" s="555"/>
      <c r="K73" s="162">
        <f>+(G72-H72)*(1-ACCEPT!C9)</f>
        <v>0.81214702623707291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659.50526776759739</v>
      </c>
      <c r="AB74" s="140">
        <f>+Q9+AD41+AD34+AD26+AD18+Z47+Z54+Z61+Z67</f>
        <v>659.50526776759739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612.5784141008869</v>
      </c>
      <c r="J75" s="555"/>
      <c r="K75" s="119">
        <f>+H75+H76</f>
        <v>622.88079658928962</v>
      </c>
      <c r="L75" s="119"/>
      <c r="M75" s="11"/>
      <c r="N75" s="42">
        <f>+K75*DENSITY!E12</f>
        <v>4.1268957657875713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659.50526776759739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10.302382488402726</v>
      </c>
      <c r="J76" s="555"/>
      <c r="M76" s="555"/>
      <c r="N76" s="42">
        <f>+K75*DENSITY!F12</f>
        <v>120.31765883262415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498.43624199087787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24" orientation="portrait" useFirstPageNumber="1" horizontalDpi="4294967292" r:id="rId1"/>
  <headerFooter alignWithMargins="0">
    <oddHeader>&amp;RPage 22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A1:M59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448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+'NMACH MADC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>
        <f>'BUNDLE SORT'!M31</f>
        <v>2.4364039189210902</v>
      </c>
      <c r="L11" s="3">
        <f>+K11</f>
        <v>2.4364039189210902</v>
      </c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+'NMACH MADC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+'NMACH MADC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+'NMACH MADC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</row>
    <row r="16" spans="1:13">
      <c r="A16" s="17"/>
      <c r="B16" s="555" t="s">
        <v>213</v>
      </c>
      <c r="C16" s="22">
        <f>+'NMACH MADC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</row>
    <row r="17" spans="1:12">
      <c r="A17" s="17"/>
      <c r="B17" s="555" t="s">
        <v>214</v>
      </c>
      <c r="C17" s="22">
        <f>+'NMACH MADC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+'NMACH MADC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</row>
    <row r="20" spans="1:12">
      <c r="A20" s="17"/>
      <c r="B20" s="555" t="s">
        <v>217</v>
      </c>
      <c r="C20" s="22">
        <f>+'NMACH MADC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+'NMACH MADC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+'NMACH MADC MODEL'!AA24</f>
        <v>10000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6.077964732888872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+'NMACH MADC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+'NMACH MADC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+'NMACH MADC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+'NMACH MADC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+'NMACH MADC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+'NMACH MADC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</row>
    <row r="32" spans="1:12">
      <c r="A32" s="17"/>
      <c r="B32" s="555" t="s">
        <v>221</v>
      </c>
      <c r="C32" s="22">
        <f>+'NMACH MADC MODEL'!AA32</f>
        <v>8094.9954740966959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4.4096611571674842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+'NMACH MADC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</v>
      </c>
      <c r="M34" s="555"/>
    </row>
    <row r="35" spans="1:13">
      <c r="A35" s="17"/>
      <c r="B35" s="555" t="s">
        <v>217</v>
      </c>
      <c r="C35" s="22">
        <f>+'NMACH MADC MODEL'!AA40</f>
        <v>5450.1656264191624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3.2555865925938536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+'NMACH MADC MODEL'!W49</f>
        <v>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0</v>
      </c>
      <c r="M37" s="555"/>
    </row>
    <row r="38" spans="1:13">
      <c r="A38" s="555"/>
      <c r="B38" s="555" t="s">
        <v>225</v>
      </c>
      <c r="C38" s="22">
        <f>+'NMACH MADC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+'NMACH MADC MODEL'!W63</f>
        <v>0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0</v>
      </c>
      <c r="M39" s="555"/>
    </row>
    <row r="40" spans="1:13">
      <c r="A40" s="555"/>
      <c r="B40" s="555" t="s">
        <v>227</v>
      </c>
      <c r="C40" s="22">
        <f>+'NMACH MADC MODEL'!AA74*(1-MISC!E9)</f>
        <v>10000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8.1608451103292534</v>
      </c>
      <c r="M40" s="555"/>
    </row>
    <row r="41" spans="1:13">
      <c r="A41" s="555"/>
      <c r="B41" s="555" t="s">
        <v>228</v>
      </c>
      <c r="C41" s="22">
        <f>+MISC!E10*('NMACH MADC MODEL'!AE64+'NMACH MADC MODEL'!AE57)</f>
        <v>0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</v>
      </c>
      <c r="M41" s="555"/>
    </row>
    <row r="42" spans="1:13">
      <c r="A42" s="552"/>
      <c r="B42" s="552" t="s">
        <v>229</v>
      </c>
      <c r="C42" s="71">
        <f>+MISC!E10*('NMACH MADC MODEL'!AE75+'NMACH MADC MODEL'!AE50)</f>
        <v>458.34500459791531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0.31004113900328195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24.650502650903832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+('NMACH MADC MODEL'!AE57+'NMACH MADC MODEL'!AE64)/C3</f>
        <v>0</v>
      </c>
      <c r="M46" s="555"/>
    </row>
    <row r="47" spans="1:13" ht="12.95">
      <c r="A47" s="555"/>
      <c r="B47" s="555"/>
      <c r="M47" s="11"/>
    </row>
    <row r="48" spans="1:13" ht="12.95">
      <c r="A48" s="9" t="s">
        <v>65</v>
      </c>
      <c r="B48" s="555"/>
      <c r="G48" s="9"/>
      <c r="M48" s="555"/>
    </row>
    <row r="49" spans="1:12" s="11" customFormat="1" ht="12.95">
      <c r="A49" s="216" t="s">
        <v>449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233</v>
      </c>
      <c r="B50" s="216"/>
      <c r="C50" s="218"/>
      <c r="D50" s="218"/>
      <c r="E50" s="218"/>
      <c r="F50" s="218"/>
      <c r="G50" s="216"/>
      <c r="H50" s="35"/>
      <c r="I50" s="2"/>
      <c r="J50" s="4"/>
      <c r="K50" s="35"/>
      <c r="L50" s="35"/>
    </row>
    <row r="51" spans="1:12" s="11" customFormat="1" ht="12.95">
      <c r="A51" s="216" t="s">
        <v>234</v>
      </c>
      <c r="B51" s="216"/>
      <c r="C51" s="218"/>
      <c r="D51" s="218"/>
      <c r="E51" s="218"/>
      <c r="F51" s="218"/>
      <c r="G51" s="216"/>
      <c r="H51" s="35"/>
      <c r="I51" s="2"/>
      <c r="J51" s="40"/>
      <c r="K51" s="35"/>
      <c r="L51" s="35"/>
    </row>
    <row r="52" spans="1:12" s="11" customFormat="1" ht="12.95">
      <c r="A52" s="11" t="s">
        <v>235</v>
      </c>
      <c r="C52" s="23"/>
      <c r="D52" s="23"/>
      <c r="E52" s="23"/>
      <c r="F52" s="23"/>
      <c r="H52" s="35"/>
      <c r="I52" s="2"/>
      <c r="J52" s="40"/>
      <c r="K52" s="35"/>
      <c r="L52" s="35"/>
    </row>
    <row r="53" spans="1:12" s="11" customFormat="1" ht="12.95">
      <c r="A53" s="216" t="s">
        <v>236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16" t="s">
        <v>237</v>
      </c>
      <c r="B54" s="216"/>
      <c r="C54" s="218"/>
      <c r="D54" s="218"/>
      <c r="E54" s="218"/>
      <c r="F54" s="218"/>
      <c r="G54" s="216"/>
      <c r="H54" s="39"/>
      <c r="I54" s="2"/>
      <c r="J54" s="4"/>
      <c r="K54" s="35"/>
      <c r="L54" s="35"/>
    </row>
    <row r="55" spans="1:12" s="11" customFormat="1" ht="12.95">
      <c r="A55" s="220" t="s">
        <v>238</v>
      </c>
      <c r="C55" s="23"/>
      <c r="D55" s="23"/>
      <c r="E55" s="23"/>
      <c r="F55" s="23"/>
      <c r="G55" s="220"/>
      <c r="H55" s="39"/>
      <c r="I55" s="2"/>
      <c r="J55" s="4"/>
      <c r="K55" s="35"/>
      <c r="L55" s="35"/>
    </row>
    <row r="56" spans="1:12" s="11" customFormat="1" ht="12.95">
      <c r="A56" s="40" t="s">
        <v>239</v>
      </c>
      <c r="C56" s="23"/>
      <c r="D56" s="23"/>
      <c r="E56" s="23"/>
      <c r="F56" s="23"/>
      <c r="G56" s="40"/>
      <c r="H56" s="35"/>
      <c r="I56" s="2"/>
      <c r="J56" s="40"/>
      <c r="K56" s="35"/>
      <c r="L56" s="35"/>
    </row>
    <row r="57" spans="1:12" s="11" customFormat="1" ht="12.95">
      <c r="C57" s="23"/>
      <c r="D57" s="23"/>
      <c r="E57" s="23"/>
      <c r="F57" s="23"/>
      <c r="H57" s="35"/>
      <c r="I57" s="2"/>
      <c r="J57" s="4"/>
      <c r="K57" s="35"/>
      <c r="L57" s="35"/>
    </row>
    <row r="58" spans="1:12" s="11" customFormat="1" ht="12.95">
      <c r="A58" s="40" t="s">
        <v>240</v>
      </c>
      <c r="C58" s="23"/>
      <c r="D58" s="23"/>
      <c r="E58" s="23"/>
      <c r="F58" s="23"/>
      <c r="G58" s="40"/>
      <c r="H58" s="35"/>
      <c r="I58" s="2"/>
      <c r="J58" s="4"/>
      <c r="K58" s="35"/>
      <c r="L58" s="35"/>
    </row>
    <row r="59" spans="1:12" ht="12.95">
      <c r="A59" s="40" t="s">
        <v>450</v>
      </c>
      <c r="B59" s="11"/>
      <c r="G59" s="40"/>
    </row>
  </sheetData>
  <phoneticPr fontId="11" type="noConversion"/>
  <printOptions horizontalCentered="1"/>
  <pageMargins left="0.75" right="0.75" top="1" bottom="1" header="0.5" footer="0.5"/>
  <pageSetup scale="79" firstPageNumber="25" orientation="portrait" useFirstPageNumber="1" horizontalDpi="4294967292" r:id="rId1"/>
  <headerFooter alignWithMargins="0">
    <oddHeader>&amp;RPage 23</oddHeader>
  </headerFooter>
  <ignoredErrors>
    <ignoredError sqref="K14 K26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9.4257812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448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603">
        <v>0</v>
      </c>
      <c r="R7" s="41"/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603">
        <v>0</v>
      </c>
      <c r="R8" s="41"/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603">
        <v>0</v>
      </c>
      <c r="R9" s="41"/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603"/>
      <c r="R10" s="41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10000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10000</v>
      </c>
      <c r="AB24" s="125">
        <f>+E12+V22+AD15</f>
        <v>10000</v>
      </c>
      <c r="AC24" s="42"/>
      <c r="AD24" s="42">
        <f>+AB24*DENSITY!E15</f>
        <v>8094.9954740966959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1905.0045259033047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8094.9954740966959</v>
      </c>
      <c r="AB32" s="140">
        <f>+Q7+N64+N72+V30+AD16+AD24</f>
        <v>8094.9954740966959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3545.1611005158575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4549.8343735808385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5450.1656264191624</v>
      </c>
      <c r="AB40" s="140">
        <f>+Q8+V38+AD33+AD25+AD17</f>
        <v>5450.1656264191624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5450.1656264191624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0</v>
      </c>
      <c r="T56" s="140">
        <f>+K10+N19+N45+N50+N77+W19+W26+W34+V41</f>
        <v>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10000</v>
      </c>
      <c r="AB74" s="140">
        <f>+Q9+AD41+AD34+AD26+AD18+Z47+Z54+Z61+Z67</f>
        <v>10000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10000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26" orientation="portrait" useFirstPageNumber="1" horizontalDpi="4294967292" r:id="rId1"/>
  <headerFooter alignWithMargins="0">
    <oddHeader>&amp;RPage 24</oddHead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451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+'NMACH ADC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>
        <f>'BUNDLE SORT'!M36</f>
        <v>0</v>
      </c>
      <c r="L11" s="3">
        <f>+K11</f>
        <v>0</v>
      </c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+'NMACH ADC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+'NMACH ADC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+'NMACH ADC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>+(K15*C15/10000)</f>
        <v>0</v>
      </c>
      <c r="M15" s="555"/>
    </row>
    <row r="16" spans="1:13">
      <c r="A16" s="17"/>
      <c r="B16" s="555" t="s">
        <v>213</v>
      </c>
      <c r="C16" s="22">
        <f>+'NMACH ADC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>+(K16*C16/10000)</f>
        <v>0</v>
      </c>
      <c r="M16" s="555"/>
    </row>
    <row r="17" spans="1:12">
      <c r="A17" s="17"/>
      <c r="B17" s="555" t="s">
        <v>214</v>
      </c>
      <c r="C17" s="22">
        <f>+'NMACH ADC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>+(K17*C17/10000)</f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+'NMACH ADC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>+(K19*C19/10000)</f>
        <v>0</v>
      </c>
    </row>
    <row r="20" spans="1:12">
      <c r="A20" s="17"/>
      <c r="B20" s="555" t="s">
        <v>217</v>
      </c>
      <c r="C20" s="22">
        <f>+'NMACH ADC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ref="L20:L42" si="0">+(K20*C20/10000)</f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+'NMACH ADC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+'NMACH ADC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+'NMACH ADC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+'NMACH ADC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+'NMACH ADC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+'NMACH ADC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+'NMACH ADC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+'NMACH ADC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</row>
    <row r="32" spans="1:12">
      <c r="A32" s="17"/>
      <c r="B32" s="555" t="s">
        <v>221</v>
      </c>
      <c r="C32" s="22">
        <f>+'NMACH ADC MODEL'!AA32</f>
        <v>10000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5.4473917512097803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+'NMACH ADC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</v>
      </c>
      <c r="M34" s="555"/>
    </row>
    <row r="35" spans="1:13">
      <c r="A35" s="17"/>
      <c r="B35" s="555" t="s">
        <v>217</v>
      </c>
      <c r="C35" s="22">
        <f>+'NMACH ADC MODEL'!AA40</f>
        <v>4379.4479093411164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2.6160070856381696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+'NMACH ADC MODEL'!W49</f>
        <v>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0</v>
      </c>
      <c r="M37" s="555"/>
    </row>
    <row r="38" spans="1:13">
      <c r="A38" s="555"/>
      <c r="B38" s="555" t="s">
        <v>225</v>
      </c>
      <c r="C38" s="22">
        <f>+'NMACH ADC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+'NMACH ADC MODEL'!W63</f>
        <v>0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0</v>
      </c>
      <c r="M39" s="555"/>
    </row>
    <row r="40" spans="1:13">
      <c r="A40" s="555"/>
      <c r="B40" s="555" t="s">
        <v>227</v>
      </c>
      <c r="C40" s="22">
        <f>+'NMACH ADC MODEL'!AA74*(1-MISC!E9)</f>
        <v>10000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8.1608451103292534</v>
      </c>
      <c r="M40" s="555"/>
    </row>
    <row r="41" spans="1:13">
      <c r="A41" s="555"/>
      <c r="B41" s="555" t="s">
        <v>228</v>
      </c>
      <c r="C41" s="22">
        <f>+MISC!E10*('NMACH ADC MODEL'!AE64+'NMACH ADC MODEL'!AE57)</f>
        <v>0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</v>
      </c>
      <c r="M41" s="555"/>
    </row>
    <row r="42" spans="1:13">
      <c r="A42" s="552"/>
      <c r="B42" s="552" t="s">
        <v>229</v>
      </c>
      <c r="C42" s="71">
        <f>+MISC!E10*('NMACH ADC MODEL'!AE75+'NMACH ADC MODEL'!AE50)</f>
        <v>458.34500459791531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0.31004113900328195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16.534285086180486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+('NMACH ADC MODEL'!AE57+'NMACH ADC MODEL'!AE64)/C3</f>
        <v>0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452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453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79" firstPageNumber="27" orientation="portrait" useFirstPageNumber="1" horizontalDpi="4294967292" r:id="rId1"/>
  <headerFooter alignWithMargins="0">
    <oddHeader>&amp;RPage 25</oddHeader>
  </headerFooter>
  <ignoredErrors>
    <ignoredError sqref="K14 K26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855468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451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354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10000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10000</v>
      </c>
      <c r="AB32" s="140">
        <f>+Q7+N64+N72+V30+AD16+AD24</f>
        <v>10000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4379.4479093411164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5620.5520906588836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4379.4479093411164</v>
      </c>
      <c r="AB40" s="140">
        <f>+Q8+V38+AD33+AD25+AD17</f>
        <v>4379.4479093411164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4379.4479093411164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0</v>
      </c>
      <c r="T56" s="140">
        <f>+K10+N19+N45+N50+N77+W19+W26+W34+V41</f>
        <v>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10000</v>
      </c>
      <c r="AB74" s="140">
        <f>+Q9+AD41+AD34+AD26+AD18+Z47+Z54+Z61+Z67</f>
        <v>10000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10000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28" orientation="portrait" useFirstPageNumber="1" horizontalDpi="4294967292" r:id="rId1"/>
  <headerFooter alignWithMargins="0">
    <oddHeader>&amp;RPage 26</oddHead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A1:M58"/>
  <sheetViews>
    <sheetView zoomScale="85" zoomScaleNormal="85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454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+'NMACH 3-DIGIT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>
        <f>'BUNDLE SORT'!M41</f>
        <v>1.7440476842314898</v>
      </c>
      <c r="L11" s="3">
        <f>+K11</f>
        <v>1.7440476842314898</v>
      </c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+'NMACH 3-DIGIT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+'NMACH 3-DIGIT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+'NMACH 3-DIGIT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</row>
    <row r="16" spans="1:13">
      <c r="A16" s="17"/>
      <c r="B16" s="555" t="s">
        <v>213</v>
      </c>
      <c r="C16" s="22">
        <f>+'NMACH 3-DIGIT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</row>
    <row r="17" spans="1:12">
      <c r="A17" s="17"/>
      <c r="B17" s="555" t="s">
        <v>214</v>
      </c>
      <c r="C17" s="22">
        <f>+'NMACH 3-DIGIT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+'NMACH 3-DIGIT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</row>
    <row r="20" spans="1:12">
      <c r="A20" s="17"/>
      <c r="B20" s="555" t="s">
        <v>217</v>
      </c>
      <c r="C20" s="22">
        <f>+'NMACH 3-DIGIT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+'NMACH 3-DIGIT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+'NMACH 3-DIGIT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+'NMACH 3-DIGIT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+'NMACH 3-DIGIT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+'NMACH 3-DIGIT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+'NMACH 3-DIGIT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+'NMACH 3-DIGIT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+'NMACH 3-DIGIT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</row>
    <row r="32" spans="1:12">
      <c r="A32" s="17"/>
      <c r="B32" s="555" t="s">
        <v>221</v>
      </c>
      <c r="C32" s="22">
        <f>+'NMACH 3-DIGIT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+'NMACH 3-DIGIT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</v>
      </c>
      <c r="M34" s="555"/>
    </row>
    <row r="35" spans="1:13">
      <c r="A35" s="17"/>
      <c r="B35" s="555" t="s">
        <v>217</v>
      </c>
      <c r="C35" s="22">
        <f>+'NMACH 3-DIGIT MODEL'!AA40</f>
        <v>10000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5.9733718491282275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+'NMACH 3-DIGIT MODEL'!W49</f>
        <v>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0</v>
      </c>
      <c r="M37" s="555"/>
    </row>
    <row r="38" spans="1:13">
      <c r="A38" s="555"/>
      <c r="B38" s="555" t="s">
        <v>225</v>
      </c>
      <c r="C38" s="22">
        <f>+'NMACH 3-DIGIT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+'NMACH 3-DIGIT MODEL'!W63</f>
        <v>0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0</v>
      </c>
      <c r="M39" s="555"/>
    </row>
    <row r="40" spans="1:13">
      <c r="A40" s="555"/>
      <c r="B40" s="555" t="s">
        <v>227</v>
      </c>
      <c r="C40" s="22">
        <f>+'NMACH 3-DIGIT MODEL'!AA74*(1-MISC!E9)</f>
        <v>10000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8.1608451103292534</v>
      </c>
      <c r="M40" s="555"/>
    </row>
    <row r="41" spans="1:13">
      <c r="A41" s="555"/>
      <c r="B41" s="555" t="s">
        <v>228</v>
      </c>
      <c r="C41" s="22">
        <f>+MISC!E10*('NMACH 3-DIGIT MODEL'!AE64+'NMACH 3-DIGIT MODEL'!AE57)</f>
        <v>0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</v>
      </c>
      <c r="M41" s="555"/>
    </row>
    <row r="42" spans="1:13">
      <c r="A42" s="552"/>
      <c r="B42" s="552" t="s">
        <v>229</v>
      </c>
      <c r="C42" s="71">
        <f>+MISC!E10*('NMACH 3-DIGIT MODEL'!AE75+'NMACH 3-DIGIT MODEL'!AE50)</f>
        <v>458.34500459791531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0.31004113900328195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16.188305782692254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+('NMACH 3-DIGIT MODEL'!AE57+'NMACH 3-DIGIT MODEL'!AE64)/C3</f>
        <v>0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455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456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79" firstPageNumber="29" orientation="portrait" useFirstPageNumber="1" horizontalDpi="4294967292" r:id="rId1"/>
  <headerFooter alignWithMargins="0">
    <oddHeader>&amp;RPage 27</oddHeader>
  </headerFooter>
  <ignoredErrors>
    <ignoredError sqref="K14 K26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pageSetUpPr fitToPage="1"/>
  </sheetPr>
  <dimension ref="A1:AI100"/>
  <sheetViews>
    <sheetView zoomScale="75" zoomScaleNormal="7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855468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9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454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354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10000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10000</v>
      </c>
      <c r="AB40" s="140">
        <f>+Q8+V38+AD33+AD25+AD17</f>
        <v>10000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10000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0</v>
      </c>
      <c r="T56" s="140">
        <f>+K10+N19+N45+N50+N77+W19+W26+W34+V41</f>
        <v>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10000</v>
      </c>
      <c r="AB74" s="140">
        <f>+Q9+AD41+AD34+AD26+AD18+Z47+Z54+Z61+Z67</f>
        <v>10000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10000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30" orientation="portrait" useFirstPageNumber="1" horizontalDpi="4294967292" r:id="rId1"/>
  <headerFooter alignWithMargins="0">
    <oddHeader>&amp;RPage 28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>
    <pageSetUpPr fitToPage="1"/>
  </sheetPr>
  <dimension ref="A1:M58"/>
  <sheetViews>
    <sheetView zoomScaleNormal="10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457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+'NMACH 5-DIGIT MODEL'!N4</f>
        <v>10000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207</v>
      </c>
      <c r="C11" s="98"/>
      <c r="D11" s="98"/>
      <c r="E11" s="19"/>
      <c r="F11" s="19"/>
      <c r="H11" s="3"/>
      <c r="I11" s="3"/>
      <c r="K11" s="3">
        <f>'BUNDLE SORT'!M44</f>
        <v>0</v>
      </c>
      <c r="L11" s="3">
        <f>+K11</f>
        <v>0</v>
      </c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+'NMACH 5-DIGIT MODEL'!G18</f>
        <v>0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FACTORS'!$D$6-1)</f>
        <v>1.5342424998582738E-2</v>
      </c>
      <c r="J13" s="3">
        <f>+'WAGE RATES - PIGGYBACK FACTORS'!D22</f>
        <v>1.6888485071959758</v>
      </c>
      <c r="K13" s="3">
        <f>+H13*J13+I13</f>
        <v>1.253752272667026</v>
      </c>
      <c r="L13" s="3">
        <f>+(K13*C13/10000)</f>
        <v>0</v>
      </c>
      <c r="M13" s="555"/>
    </row>
    <row r="14" spans="1:13">
      <c r="A14" s="17"/>
      <c r="B14" s="555" t="s">
        <v>210</v>
      </c>
      <c r="C14" s="22">
        <f>+'NMACH 5-DIGIT MODEL'!G25</f>
        <v>0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0</v>
      </c>
      <c r="M14" s="555"/>
    </row>
    <row r="15" spans="1:13">
      <c r="A15" s="17"/>
      <c r="B15" s="555" t="s">
        <v>212</v>
      </c>
      <c r="C15" s="22">
        <f>+'NMACH 5-DIGIT MODEL'!G32</f>
        <v>0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FACTORS'!$D$6-1)</f>
        <v>0.13376499301998959</v>
      </c>
      <c r="J15" s="3">
        <f>+'WAGE RATES - PIGGYBACK FACTORS'!D23</f>
        <v>1.2615773174013249</v>
      </c>
      <c r="K15" s="3">
        <f>+H15*J15+I15</f>
        <v>8.1993530454944796</v>
      </c>
      <c r="L15" s="3">
        <f t="shared" ref="L15:L42" si="0">+(K15*C15/10000)</f>
        <v>0</v>
      </c>
      <c r="M15" s="555"/>
    </row>
    <row r="16" spans="1:13">
      <c r="A16" s="17"/>
      <c r="B16" s="555" t="s">
        <v>213</v>
      </c>
      <c r="C16" s="22">
        <f>+'NMACH 5-DIGIT MODEL'!G39</f>
        <v>0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FACTORS'!$D$6-1)</f>
        <v>1.5342424998582738E-2</v>
      </c>
      <c r="J16" s="3">
        <f>+'WAGE RATES - PIGGYBACK FACTORS'!D24</f>
        <v>1.6888485071959758</v>
      </c>
      <c r="K16" s="3">
        <f>+H16*J16+I16</f>
        <v>1.253752272667026</v>
      </c>
      <c r="L16" s="3">
        <f t="shared" si="0"/>
        <v>0</v>
      </c>
      <c r="M16" s="555"/>
    </row>
    <row r="17" spans="1:12">
      <c r="A17" s="17"/>
      <c r="B17" s="555" t="s">
        <v>214</v>
      </c>
      <c r="C17" s="22">
        <f>+'NMACH 5-DIGIT MODEL'!C32</f>
        <v>0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FACTORS'!$D$6-1)</f>
        <v>5.2862820158693827E-2</v>
      </c>
      <c r="J17" s="3">
        <f>+'WAGE RATES - PIGGYBACK FACTORS'!D25</f>
        <v>3.4396834863913082</v>
      </c>
      <c r="K17" s="3">
        <f>+H17*J17+I17</f>
        <v>8.7434376502210611</v>
      </c>
      <c r="L17" s="3">
        <f t="shared" si="0"/>
        <v>0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+'NMACH 5-DIGIT MODEL'!S16</f>
        <v>0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FACTORS'!$D$6-1)</f>
        <v>1.5342424998582738E-2</v>
      </c>
      <c r="J19" s="3">
        <f>+'WAGE RATES - PIGGYBACK FACTORS'!D26</f>
        <v>1.6888485071959758</v>
      </c>
      <c r="K19" s="3">
        <f>+H19*J19+I19</f>
        <v>1.253752272667026</v>
      </c>
      <c r="L19" s="3">
        <f t="shared" si="0"/>
        <v>0</v>
      </c>
    </row>
    <row r="20" spans="1:12">
      <c r="A20" s="17"/>
      <c r="B20" s="555" t="s">
        <v>217</v>
      </c>
      <c r="C20" s="22">
        <f>+'NMACH 5-DIGIT MODEL'!AA16</f>
        <v>0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FACTORS'!$D$6-1)</f>
        <v>0.16606159482718158</v>
      </c>
      <c r="J20" s="3">
        <f>+'WAGE RATES - PIGGYBACK FACTORS'!D27</f>
        <v>1.2988119246888874</v>
      </c>
      <c r="K20" s="3">
        <f>+H20*J20+I20</f>
        <v>10.474554240085972</v>
      </c>
      <c r="L20" s="3">
        <f t="shared" si="0"/>
        <v>0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+'NMACH 5-DIGIT MODEL'!S24</f>
        <v>0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FACTORS'!$D$6-1)</f>
        <v>1.9266651781893261E-2</v>
      </c>
      <c r="J22" s="3">
        <f>+'WAGE RATES - PIGGYBACK FACTORS'!D28</f>
        <v>1.6888485071959758</v>
      </c>
      <c r="K22" s="3">
        <f>+H22*J22+I22</f>
        <v>1.5744322335265952</v>
      </c>
      <c r="L22" s="3">
        <f t="shared" si="0"/>
        <v>0</v>
      </c>
    </row>
    <row r="23" spans="1:12">
      <c r="A23" s="17"/>
      <c r="B23" s="555" t="s">
        <v>217</v>
      </c>
      <c r="C23" s="22">
        <f>+'NMACH 5-DIGIT MODEL'!AA24</f>
        <v>0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FACTORS'!$D$6-1)</f>
        <v>9.6358899263154399E-2</v>
      </c>
      <c r="J23" s="3">
        <f>+'WAGE RATES - PIGGYBACK FACTORS'!D29</f>
        <v>1.2988119246888874</v>
      </c>
      <c r="K23" s="3">
        <f>+H23*J23+I23</f>
        <v>6.077964732888872</v>
      </c>
      <c r="L23" s="3">
        <f t="shared" si="0"/>
        <v>0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+'NMACH 5-DIGIT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FACTORS'!$D$6-1)</f>
        <v>1.8026262519011873E-2</v>
      </c>
      <c r="J25" s="3">
        <f>+'WAGE RATES - PIGGYBACK FACTORS'!D30</f>
        <v>1.6888485071959758</v>
      </c>
      <c r="K25" s="3">
        <f>+H25*J25+I25</f>
        <v>1.4730701048231487</v>
      </c>
      <c r="L25" s="3">
        <f t="shared" si="0"/>
        <v>0</v>
      </c>
    </row>
    <row r="26" spans="1:12">
      <c r="A26" s="17"/>
      <c r="B26" s="555" t="s">
        <v>210</v>
      </c>
      <c r="C26" s="22">
        <f>+'NMACH 5-DIGIT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+'NMACH 5-DIGIT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FACTORS'!$D$6-1)</f>
        <v>0.13376499301998959</v>
      </c>
      <c r="J27" s="3">
        <f>+'WAGE RATES - PIGGYBACK FACTORS'!D31</f>
        <v>1.2615773174013249</v>
      </c>
      <c r="K27" s="3">
        <f>+H27*J27+I27</f>
        <v>8.1993530454944796</v>
      </c>
      <c r="L27" s="3">
        <f t="shared" si="0"/>
        <v>0</v>
      </c>
    </row>
    <row r="28" spans="1:12">
      <c r="A28" s="17"/>
      <c r="B28" s="555" t="s">
        <v>213</v>
      </c>
      <c r="C28" s="22">
        <f>+'NMACH 5-DIGIT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FACTORS'!$D$6-1)</f>
        <v>1.8026262519011873E-2</v>
      </c>
      <c r="J28" s="3">
        <f>+'WAGE RATES - PIGGYBACK FACTORS'!D32</f>
        <v>1.6888485071959758</v>
      </c>
      <c r="K28" s="3">
        <f>+H28*J28+I28</f>
        <v>1.4730701048231487</v>
      </c>
      <c r="L28" s="3">
        <f t="shared" si="0"/>
        <v>0</v>
      </c>
    </row>
    <row r="29" spans="1:12">
      <c r="A29" s="17"/>
      <c r="B29" s="555" t="s">
        <v>214</v>
      </c>
      <c r="C29" s="22">
        <f>+'NMACH 5-DIGIT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FACTORS'!$D$6-1)</f>
        <v>5.2862820158693827E-2</v>
      </c>
      <c r="J29" s="3">
        <f>+'WAGE RATES - PIGGYBACK FACTORS'!D33</f>
        <v>3.4396834863913082</v>
      </c>
      <c r="K29" s="3">
        <f>+H29*J29+I29</f>
        <v>8.7434376502210611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+'NMACH 5-DIGIT MODEL'!S32</f>
        <v>0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FACTORS'!$D$6-1)</f>
        <v>1.9889124028010002E-2</v>
      </c>
      <c r="J31" s="3">
        <f>+'WAGE RATES - PIGGYBACK FACTORS'!D34</f>
        <v>1.6888485071959758</v>
      </c>
      <c r="K31" s="3">
        <f>+H31*J31+I31</f>
        <v>1.6252994199924311</v>
      </c>
      <c r="L31" s="3">
        <f t="shared" si="0"/>
        <v>0</v>
      </c>
    </row>
    <row r="32" spans="1:12">
      <c r="A32" s="17"/>
      <c r="B32" s="555" t="s">
        <v>221</v>
      </c>
      <c r="C32" s="22">
        <f>+'NMACH 5-DIGIT MODEL'!AA32</f>
        <v>0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FACTORS'!$D$6-1)</f>
        <v>8.6361914895855749E-2</v>
      </c>
      <c r="J32" s="3">
        <f>+'WAGE RATES - PIGGYBACK FACTORS'!D35</f>
        <v>1.2988119246888874</v>
      </c>
      <c r="K32" s="3">
        <f>+H32*J32+I32</f>
        <v>5.4473917512097803</v>
      </c>
      <c r="L32" s="3">
        <f t="shared" si="0"/>
        <v>0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+'NMACH 5-DIGIT MODEL'!S40</f>
        <v>0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FACTORS'!$D$6-1)</f>
        <v>1.030273794290823E-2</v>
      </c>
      <c r="J34" s="3">
        <f>+'WAGE RATES - PIGGYBACK FACTORS'!D36</f>
        <v>1.6888485071959758</v>
      </c>
      <c r="K34" s="3">
        <f>+H34*J34+I34</f>
        <v>0.84191913024226717</v>
      </c>
      <c r="L34" s="3">
        <f t="shared" si="0"/>
        <v>0</v>
      </c>
      <c r="M34" s="555"/>
    </row>
    <row r="35" spans="1:13">
      <c r="A35" s="17"/>
      <c r="B35" s="555" t="s">
        <v>217</v>
      </c>
      <c r="C35" s="22">
        <f>+'NMACH 5-DIGIT MODEL'!AA40</f>
        <v>0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FACTORS'!$D$6-1)</f>
        <v>9.4700703535989583E-2</v>
      </c>
      <c r="J35" s="3">
        <f>+'WAGE RATES - PIGGYBACK FACTORS'!D37</f>
        <v>1.2988119246888874</v>
      </c>
      <c r="K35" s="3">
        <f>+H35*J35+I35</f>
        <v>5.9733718491282275</v>
      </c>
      <c r="L35" s="3">
        <f t="shared" si="0"/>
        <v>0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+'NMACH 5-DIGIT MODEL'!W49</f>
        <v>0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FACTORS'!$D$6-1)</f>
        <v>8.0064124302050062E-3</v>
      </c>
      <c r="J37" s="3">
        <f>+'WAGE RATES - PIGGYBACK FACTORS'!D38</f>
        <v>1.6888485071959758</v>
      </c>
      <c r="K37" s="3">
        <f t="shared" ref="K37:K42" si="2">+H37*J37+I37</f>
        <v>0.65426800399586937</v>
      </c>
      <c r="L37" s="3">
        <f t="shared" si="0"/>
        <v>0</v>
      </c>
      <c r="M37" s="555"/>
    </row>
    <row r="38" spans="1:13">
      <c r="A38" s="555"/>
      <c r="B38" s="555" t="s">
        <v>225</v>
      </c>
      <c r="C38" s="22">
        <f>+'NMACH 5-DIGIT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FACTORS'!$D$6-1)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+'NMACH 5-DIGIT MODEL'!W63</f>
        <v>0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FACTORS'!$D$6-1)</f>
        <v>1.5171822784538191E-2</v>
      </c>
      <c r="J39" s="3">
        <f>+'WAGE RATES - PIGGYBACK FACTORS'!D40</f>
        <v>1.6888485071959758</v>
      </c>
      <c r="K39" s="3">
        <f t="shared" si="2"/>
        <v>1.2398110010883718</v>
      </c>
      <c r="L39" s="3">
        <f t="shared" si="0"/>
        <v>0</v>
      </c>
      <c r="M39" s="555"/>
    </row>
    <row r="40" spans="1:13">
      <c r="A40" s="555"/>
      <c r="B40" s="555" t="s">
        <v>227</v>
      </c>
      <c r="C40" s="22">
        <f>+'NMACH 5-DIGIT MODEL'!AA74*(1-MISC!E9)</f>
        <v>10000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FACTORS'!$D$6-1)</f>
        <v>0.12938048943147765</v>
      </c>
      <c r="J40" s="3">
        <f>+'WAGE RATES - PIGGYBACK FACTORS'!D42</f>
        <v>1.2988119246888874</v>
      </c>
      <c r="K40" s="3">
        <f t="shared" si="2"/>
        <v>8.1608451103292534</v>
      </c>
      <c r="L40" s="3">
        <f t="shared" si="0"/>
        <v>8.1608451103292534</v>
      </c>
      <c r="M40" s="555"/>
    </row>
    <row r="41" spans="1:13">
      <c r="A41" s="555"/>
      <c r="B41" s="555" t="s">
        <v>228</v>
      </c>
      <c r="C41" s="22">
        <f>+MISC!E10*('NMACH 5-DIGIT MODEL'!AE64+'NMACH 5-DIGIT MODEL'!AE57)</f>
        <v>0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FACTORS'!$D$6-1)</f>
        <v>5.3620453172925443E-2</v>
      </c>
      <c r="J41" s="3">
        <f>+'WAGE RATES - PIGGYBACK FACTORS'!D43</f>
        <v>1.2988119246888874</v>
      </c>
      <c r="K41" s="3">
        <f t="shared" si="2"/>
        <v>3.3821808451394229</v>
      </c>
      <c r="L41" s="3">
        <f t="shared" si="0"/>
        <v>0</v>
      </c>
      <c r="M41" s="555"/>
    </row>
    <row r="42" spans="1:13">
      <c r="A42" s="552"/>
      <c r="B42" s="552" t="s">
        <v>229</v>
      </c>
      <c r="C42" s="71">
        <f>+MISC!E10*('NMACH 5-DIGIT MODEL'!AE75+'NMACH 5-DIGIT MODEL'!AE50)</f>
        <v>458.34500459791531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FACTORS'!$D$6-1)</f>
        <v>0.10724090634585089</v>
      </c>
      <c r="J42" s="489">
        <f>+'WAGE RATES - PIGGYBACK FACTORS'!D44</f>
        <v>1.2988119246888874</v>
      </c>
      <c r="K42" s="489">
        <f t="shared" si="2"/>
        <v>6.7643616902788457</v>
      </c>
      <c r="L42" s="489">
        <f t="shared" si="0"/>
        <v>0.31004113900328195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230</v>
      </c>
      <c r="K44" s="491"/>
      <c r="L44" s="492">
        <f>SUM(L11:L42)</f>
        <v>8.4708862493325352</v>
      </c>
      <c r="M44" s="555"/>
    </row>
    <row r="45" spans="1:13" ht="9" customHeight="1" thickBot="1">
      <c r="A45" s="555"/>
      <c r="B45" s="555"/>
      <c r="H45" s="3"/>
      <c r="J45" s="34"/>
      <c r="K45" s="1"/>
      <c r="L45" s="2"/>
      <c r="M45" s="555"/>
    </row>
    <row r="46" spans="1:13" ht="13.5" thickBot="1">
      <c r="A46" s="555"/>
      <c r="B46" s="555"/>
      <c r="J46" s="493" t="s">
        <v>231</v>
      </c>
      <c r="K46" s="494"/>
      <c r="L46" s="495">
        <f>+('NMACH 5-DIGIT MODEL'!AE57+'NMACH 5-DIGIT MODEL'!AE64)/C3</f>
        <v>0</v>
      </c>
      <c r="M46" s="11"/>
    </row>
    <row r="47" spans="1:13" ht="12.95">
      <c r="A47" s="9" t="s">
        <v>65</v>
      </c>
      <c r="B47" s="555"/>
      <c r="G47" s="9"/>
      <c r="M47" s="555"/>
    </row>
    <row r="48" spans="1:13" s="11" customFormat="1" ht="12.95">
      <c r="A48" s="216" t="s">
        <v>458</v>
      </c>
      <c r="B48" s="216"/>
      <c r="C48" s="218"/>
      <c r="D48" s="218"/>
      <c r="E48" s="218"/>
      <c r="F48" s="218"/>
      <c r="G48" s="216"/>
      <c r="H48" s="35"/>
      <c r="I48" s="2"/>
      <c r="J48" s="4"/>
      <c r="K48" s="35"/>
      <c r="L48" s="35"/>
    </row>
    <row r="49" spans="1:12" s="11" customFormat="1" ht="12.95">
      <c r="A49" s="216" t="s">
        <v>233</v>
      </c>
      <c r="B49" s="216"/>
      <c r="C49" s="218"/>
      <c r="D49" s="218"/>
      <c r="E49" s="218"/>
      <c r="F49" s="218"/>
      <c r="G49" s="216"/>
      <c r="H49" s="35"/>
      <c r="I49" s="2"/>
      <c r="J49" s="4"/>
      <c r="K49" s="35"/>
      <c r="L49" s="35"/>
    </row>
    <row r="50" spans="1:12" s="11" customFormat="1" ht="12.95">
      <c r="A50" s="216" t="s">
        <v>234</v>
      </c>
      <c r="B50" s="216"/>
      <c r="C50" s="218"/>
      <c r="D50" s="218"/>
      <c r="E50" s="218"/>
      <c r="F50" s="218"/>
      <c r="G50" s="216"/>
      <c r="H50" s="35"/>
      <c r="I50" s="2"/>
      <c r="J50" s="40"/>
      <c r="K50" s="35"/>
      <c r="L50" s="35"/>
    </row>
    <row r="51" spans="1:12" s="11" customFormat="1" ht="12.95">
      <c r="A51" s="11" t="s">
        <v>235</v>
      </c>
      <c r="C51" s="23"/>
      <c r="D51" s="23"/>
      <c r="E51" s="23"/>
      <c r="F51" s="23"/>
      <c r="H51" s="35"/>
      <c r="I51" s="2"/>
      <c r="J51" s="40"/>
      <c r="K51" s="35"/>
      <c r="L51" s="35"/>
    </row>
    <row r="52" spans="1:12" s="11" customFormat="1" ht="12.95">
      <c r="A52" s="216" t="s">
        <v>236</v>
      </c>
      <c r="B52" s="216"/>
      <c r="C52" s="218"/>
      <c r="D52" s="218"/>
      <c r="E52" s="218"/>
      <c r="F52" s="218"/>
      <c r="G52" s="216"/>
      <c r="H52" s="39"/>
      <c r="I52" s="2"/>
      <c r="J52" s="4"/>
      <c r="K52" s="35"/>
      <c r="L52" s="35"/>
    </row>
    <row r="53" spans="1:12" s="11" customFormat="1" ht="12.95">
      <c r="A53" s="216" t="s">
        <v>237</v>
      </c>
      <c r="B53" s="216"/>
      <c r="C53" s="218"/>
      <c r="D53" s="218"/>
      <c r="E53" s="218"/>
      <c r="F53" s="218"/>
      <c r="G53" s="216"/>
      <c r="H53" s="39"/>
      <c r="I53" s="2"/>
      <c r="J53" s="4"/>
      <c r="K53" s="35"/>
      <c r="L53" s="35"/>
    </row>
    <row r="54" spans="1:12" s="11" customFormat="1" ht="12.95">
      <c r="A54" s="220" t="s">
        <v>238</v>
      </c>
      <c r="C54" s="23"/>
      <c r="D54" s="23"/>
      <c r="E54" s="23"/>
      <c r="F54" s="23"/>
      <c r="G54" s="220"/>
      <c r="H54" s="39"/>
      <c r="I54" s="2"/>
      <c r="J54" s="4"/>
      <c r="K54" s="35"/>
      <c r="L54" s="35"/>
    </row>
    <row r="55" spans="1:12" s="11" customFormat="1" ht="12.95">
      <c r="A55" s="40" t="s">
        <v>239</v>
      </c>
      <c r="C55" s="23"/>
      <c r="D55" s="23"/>
      <c r="E55" s="23"/>
      <c r="F55" s="23"/>
      <c r="G55" s="40"/>
      <c r="H55" s="35"/>
      <c r="I55" s="2"/>
      <c r="J55" s="40"/>
      <c r="K55" s="35"/>
      <c r="L55" s="35"/>
    </row>
    <row r="56" spans="1:12" s="11" customFormat="1" ht="12.95">
      <c r="C56" s="23"/>
      <c r="D56" s="23"/>
      <c r="E56" s="23"/>
      <c r="F56" s="23"/>
      <c r="H56" s="35"/>
      <c r="I56" s="2"/>
      <c r="J56" s="4"/>
      <c r="K56" s="35"/>
      <c r="L56" s="35"/>
    </row>
    <row r="57" spans="1:12" s="11" customFormat="1" ht="12.95">
      <c r="A57" s="40" t="s">
        <v>240</v>
      </c>
      <c r="C57" s="23"/>
      <c r="D57" s="23"/>
      <c r="E57" s="23"/>
      <c r="F57" s="23"/>
      <c r="G57" s="40"/>
      <c r="H57" s="35"/>
      <c r="I57" s="2"/>
      <c r="J57" s="4"/>
      <c r="K57" s="35"/>
      <c r="L57" s="35"/>
    </row>
    <row r="58" spans="1:12" ht="12.95">
      <c r="A58" s="40" t="s">
        <v>459</v>
      </c>
      <c r="B58" s="11"/>
      <c r="G58" s="40"/>
    </row>
  </sheetData>
  <phoneticPr fontId="11" type="noConversion"/>
  <printOptions horizontalCentered="1"/>
  <pageMargins left="0.75" right="0.75" top="1" bottom="1" header="0.5" footer="0.5"/>
  <pageSetup scale="79" firstPageNumber="31" orientation="portrait" useFirstPageNumber="1" horizontalDpi="4294967292" r:id="rId1"/>
  <headerFooter alignWithMargins="0">
    <oddHeader>&amp;RPage 29</oddHeader>
  </headerFooter>
  <ignoredErrors>
    <ignoredError sqref="K14 K26" formula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>
    <pageSetUpPr fitToPage="1"/>
  </sheetPr>
  <dimension ref="A1:AI100"/>
  <sheetViews>
    <sheetView zoomScale="85" zoomScaleNormal="85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8.85546875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/>
      <c r="B1" s="53" t="s">
        <v>457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66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84">
        <v>0</v>
      </c>
      <c r="F7" s="585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84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f>+E4</f>
        <v>10000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v>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</f>
        <v>0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0</v>
      </c>
      <c r="J15" s="555"/>
      <c r="K15" s="119">
        <f>+I15+I16</f>
        <v>0</v>
      </c>
      <c r="L15" s="119"/>
      <c r="M15" s="555"/>
      <c r="N15" s="42">
        <f>+(K15)*DENSITY!C7</f>
        <v>0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0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0</v>
      </c>
      <c r="J16" s="555"/>
      <c r="K16" s="42"/>
      <c r="L16" s="42"/>
      <c r="M16" s="555"/>
      <c r="N16" s="42">
        <f>+(K15)*DENSITY!D7</f>
        <v>0</v>
      </c>
      <c r="O16" s="44" t="s">
        <v>256</v>
      </c>
      <c r="P16" s="17"/>
      <c r="Q16" s="139"/>
      <c r="S16" s="124">
        <f>+T16*(1+DENSITY!B9)</f>
        <v>0</v>
      </c>
      <c r="T16" s="125">
        <f>+E9+N15+N41</f>
        <v>0</v>
      </c>
      <c r="U16" s="20"/>
      <c r="V16" s="42"/>
      <c r="W16" s="42">
        <f>+V17*DENSITY!D9</f>
        <v>0</v>
      </c>
      <c r="X16" s="44" t="s">
        <v>256</v>
      </c>
      <c r="Y16" s="42"/>
      <c r="Z16" s="42"/>
      <c r="AA16" s="124">
        <f>+AB16</f>
        <v>0</v>
      </c>
      <c r="AB16" s="125">
        <f>+E11+N31+N39+V14</f>
        <v>0</v>
      </c>
      <c r="AC16" s="42"/>
      <c r="AD16" s="42">
        <f>+AB16*DENSITY!E14</f>
        <v>0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0</v>
      </c>
      <c r="O17" s="44" t="s">
        <v>251</v>
      </c>
      <c r="P17" s="17"/>
      <c r="Q17" s="139"/>
      <c r="S17" s="126"/>
      <c r="T17" s="127"/>
      <c r="U17" s="20"/>
      <c r="V17" s="42">
        <f>+T16*ACCEPT!C15</f>
        <v>0</v>
      </c>
      <c r="W17" s="42">
        <f>+V17*DENSITY!E9</f>
        <v>0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0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+H18*(1+DENSITY!B7)+C20+E27</f>
        <v>0</v>
      </c>
      <c r="H18" s="125">
        <f>+E7</f>
        <v>0</v>
      </c>
      <c r="J18" s="555"/>
      <c r="M18" s="555"/>
      <c r="N18" s="42">
        <f>+(K15)*DENSITY!F7</f>
        <v>0</v>
      </c>
      <c r="O18" s="44" t="s">
        <v>254</v>
      </c>
      <c r="Q18" s="58"/>
      <c r="S18" s="555"/>
      <c r="T18" s="555"/>
      <c r="U18" s="555"/>
      <c r="W18" s="42">
        <f>+V17*DENSITY!F9</f>
        <v>0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0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0</v>
      </c>
      <c r="H21" s="129">
        <f>+H18*(1-ACCEPT!C6)</f>
        <v>0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</f>
        <v>0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0</v>
      </c>
      <c r="T24" s="125">
        <f>+E10+N16+N42+W16</f>
        <v>0</v>
      </c>
      <c r="U24" s="20"/>
      <c r="V24" s="42"/>
      <c r="W24" s="42">
        <f>+V25*DENSITY!E10</f>
        <v>0</v>
      </c>
      <c r="X24" s="44" t="s">
        <v>251</v>
      </c>
      <c r="Y24" s="42"/>
      <c r="Z24" s="42"/>
      <c r="AA24" s="124">
        <f>+AB24</f>
        <v>0</v>
      </c>
      <c r="AB24" s="125">
        <f>+E12+V22+AD15</f>
        <v>0</v>
      </c>
      <c r="AC24" s="42"/>
      <c r="AD24" s="42">
        <f>+AB24*DENSITY!E15</f>
        <v>0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0</v>
      </c>
      <c r="H25" s="125">
        <f>+H21+E8</f>
        <v>0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</f>
        <v>0</v>
      </c>
      <c r="W25" s="42">
        <f>+V25*DENSITY!F10</f>
        <v>0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0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0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0</v>
      </c>
      <c r="H28" s="91">
        <f>+J28</f>
        <v>0</v>
      </c>
      <c r="I28" s="50">
        <f>+G21-K29</f>
        <v>0</v>
      </c>
      <c r="J28" s="591">
        <f>+H25-L29</f>
        <v>0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0</v>
      </c>
      <c r="L29" s="593">
        <f>+H25*(MISC!E6)</f>
        <v>0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</f>
        <v>0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0</v>
      </c>
      <c r="N31" s="138">
        <f>+M31+M32</f>
        <v>0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0</v>
      </c>
      <c r="D32" s="142">
        <f>+D36</f>
        <v>0</v>
      </c>
      <c r="E32" s="555"/>
      <c r="F32" s="555"/>
      <c r="G32" s="125">
        <f>+I28+H32</f>
        <v>0</v>
      </c>
      <c r="H32" s="125">
        <f>+J28</f>
        <v>0</v>
      </c>
      <c r="I32" s="50"/>
      <c r="J32" s="594"/>
      <c r="K32" s="42"/>
      <c r="L32" s="42"/>
      <c r="M32" s="143">
        <f>+I28*MISC!E5</f>
        <v>0</v>
      </c>
      <c r="N32" s="17"/>
      <c r="O32" s="17"/>
      <c r="P32" s="41"/>
      <c r="Q32" s="93"/>
      <c r="R32" s="42"/>
      <c r="S32" s="125">
        <f>+T32*(1+DENSITY!B13)</f>
        <v>0</v>
      </c>
      <c r="T32" s="140">
        <f>+K8+N17+N43+N48+N75+W17+W24</f>
        <v>0</v>
      </c>
      <c r="U32" s="42"/>
      <c r="X32" s="555"/>
      <c r="AA32" s="125">
        <f>+AB32</f>
        <v>0</v>
      </c>
      <c r="AB32" s="140">
        <f>+Q7+N64+N72+V30+AD16+AD24</f>
        <v>0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</f>
        <v>0</v>
      </c>
      <c r="W33" s="42">
        <f>+V33*DENSITY!$F$13</f>
        <v>0</v>
      </c>
      <c r="X33" s="44" t="s">
        <v>254</v>
      </c>
      <c r="AA33" s="146"/>
      <c r="AB33" s="145"/>
      <c r="AC33" s="42"/>
      <c r="AD33" s="42">
        <f>+AB32*DENSITY!F16</f>
        <v>0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0</v>
      </c>
      <c r="X34" s="44" t="s">
        <v>257</v>
      </c>
      <c r="AA34" s="555"/>
      <c r="AB34" s="555"/>
      <c r="AC34" s="42"/>
      <c r="AD34" s="42">
        <f>+AB32*DENSITY!G16</f>
        <v>0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0</v>
      </c>
      <c r="H35" s="91">
        <f>+J35</f>
        <v>0</v>
      </c>
      <c r="I35" s="50">
        <f>+I28-M32</f>
        <v>0</v>
      </c>
      <c r="J35" s="42">
        <f>+J28-M31</f>
        <v>0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0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</f>
        <v>0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0</v>
      </c>
      <c r="H39" s="125">
        <f>+J35+L29</f>
        <v>0</v>
      </c>
      <c r="J39" s="555"/>
      <c r="K39" s="42"/>
      <c r="L39" s="148">
        <f>+H39*ACCEPT!C13</f>
        <v>0</v>
      </c>
      <c r="M39" s="555"/>
      <c r="N39" s="149">
        <f>+L39+L40</f>
        <v>0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0</v>
      </c>
      <c r="F40" s="555"/>
      <c r="G40" s="128"/>
      <c r="H40" s="127"/>
      <c r="J40" s="555"/>
      <c r="L40" s="148">
        <f>+(G39-H39)*(1-ACCEPT!C9)</f>
        <v>0</v>
      </c>
      <c r="M40" s="555"/>
      <c r="N40" s="42"/>
      <c r="O40" s="46"/>
      <c r="P40" s="46"/>
      <c r="Q40" s="139"/>
      <c r="R40" s="42"/>
      <c r="S40" s="125">
        <f>+T40</f>
        <v>0</v>
      </c>
      <c r="T40" s="140">
        <f>+K9+N18+N44+N49+N76+W18+W25+W33</f>
        <v>0</v>
      </c>
      <c r="U40" s="42"/>
      <c r="V40" s="42"/>
      <c r="W40" s="46"/>
      <c r="X40" s="42"/>
      <c r="AA40" s="125">
        <f>+AB40</f>
        <v>0</v>
      </c>
      <c r="AB40" s="140">
        <f>+Q8+V38+AD33+AD25+AD17</f>
        <v>0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0</v>
      </c>
      <c r="O41" s="44" t="s">
        <v>253</v>
      </c>
      <c r="P41" s="46"/>
      <c r="Q41" s="58"/>
      <c r="S41" s="127"/>
      <c r="T41" s="145"/>
      <c r="U41" s="42"/>
      <c r="V41" s="42">
        <f>+T40*(ACCEPT!C18)</f>
        <v>0</v>
      </c>
      <c r="W41" s="44" t="s">
        <v>257</v>
      </c>
      <c r="X41" s="42"/>
      <c r="AA41" s="146"/>
      <c r="AB41" s="145"/>
      <c r="AC41" s="555"/>
      <c r="AD41" s="42">
        <f>+AB40</f>
        <v>0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0</v>
      </c>
      <c r="J42" s="150">
        <f>+H42+H43</f>
        <v>0</v>
      </c>
      <c r="M42" s="555"/>
      <c r="N42" s="42">
        <f>+J42*DENSITY!D8</f>
        <v>0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0</v>
      </c>
      <c r="J43" s="555"/>
      <c r="M43" s="555"/>
      <c r="N43" s="42">
        <f>+J42*DENSITY!E8</f>
        <v>0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0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+X49*(1-ACCEPT!$C$19)</f>
        <v>0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0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0</v>
      </c>
      <c r="X49" s="140">
        <f>+V48</f>
        <v>0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</f>
        <v>0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+H51*(1+DENSITY!B11)+C53+E59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2">
        <f>+(X56*(1-ACCEPT!C22))+(X56*(ACCEPT!C22)*(1-ACCEPT!C23))+(X56*ACCEPT!C22*ACCEPT!C23*(1-ACCEPT!C23))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0</v>
      </c>
      <c r="T56" s="140">
        <f>+K10+N19+N45+N50+N77+W19+W26+W34+V41</f>
        <v>0</v>
      </c>
      <c r="U56" s="555"/>
      <c r="V56" s="42"/>
      <c r="W56" s="125">
        <f>+X56+X56*(ACCEPT!C22)+X56*(ACCEPT!C22*ACCEPT!C23)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+X63-AE64</f>
        <v>0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0</v>
      </c>
      <c r="W63" s="125">
        <f>+X63+X63*ACCEPT!C20</f>
        <v>0</v>
      </c>
      <c r="X63" s="140">
        <f>+V63</f>
        <v>0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+X63*ACCEPT!C20*ACCEPT!C21</f>
        <v>0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10000</v>
      </c>
      <c r="AB74" s="140">
        <f>+Q9+AD41+AD34+AD26+AD18+Z47+Z54+Z61+Z67</f>
        <v>10000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10000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40" firstPageNumber="32" orientation="portrait" useFirstPageNumber="1" horizontalDpi="4294967292" r:id="rId1"/>
  <headerFooter alignWithMargins="0">
    <oddHeader>&amp;RPage 30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A1:N49"/>
  <sheetViews>
    <sheetView zoomScale="85" zoomScaleNormal="85" workbookViewId="0"/>
  </sheetViews>
  <sheetFormatPr defaultColWidth="8.85546875" defaultRowHeight="12.6"/>
  <cols>
    <col min="1" max="1" width="4.85546875" customWidth="1"/>
    <col min="2" max="2" width="35.7109375" customWidth="1"/>
    <col min="3" max="3" width="12.7109375" customWidth="1"/>
    <col min="4" max="4" width="21" customWidth="1"/>
    <col min="5" max="5" width="9.28515625" bestFit="1" customWidth="1"/>
    <col min="6" max="6" width="10" bestFit="1" customWidth="1"/>
    <col min="7" max="7" width="3.42578125" customWidth="1"/>
    <col min="8" max="8" width="16.42578125" customWidth="1"/>
    <col min="9" max="9" width="10.28515625" customWidth="1"/>
    <col min="10" max="10" width="12.140625" customWidth="1"/>
    <col min="11" max="11" width="10.42578125" customWidth="1"/>
    <col min="12" max="12" width="8.85546875" customWidth="1"/>
    <col min="13" max="13" width="12.28515625" customWidth="1"/>
  </cols>
  <sheetData>
    <row r="1" spans="1:13" ht="15.6">
      <c r="A1" s="72" t="s">
        <v>460</v>
      </c>
      <c r="B1" s="78"/>
      <c r="C1" s="78"/>
      <c r="D1" s="78"/>
      <c r="E1" s="78"/>
      <c r="F1" s="78"/>
      <c r="G1" s="78"/>
      <c r="H1" s="78"/>
      <c r="I1" s="78"/>
      <c r="J1" s="78"/>
      <c r="K1" s="555"/>
      <c r="L1" s="555"/>
      <c r="M1" s="555"/>
    </row>
    <row r="4" spans="1:13">
      <c r="A4" s="555"/>
      <c r="B4" s="555"/>
      <c r="C4" s="16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3">
      <c r="A5" s="555"/>
      <c r="B5" s="165"/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</row>
    <row r="6" spans="1:13" ht="12.95">
      <c r="A6" s="555"/>
      <c r="B6" s="555"/>
      <c r="C6" s="85" t="s">
        <v>461</v>
      </c>
      <c r="D6" s="85"/>
      <c r="E6" s="85"/>
      <c r="F6" s="85"/>
      <c r="G6" s="11"/>
      <c r="H6" s="85" t="s">
        <v>462</v>
      </c>
      <c r="I6" s="85"/>
      <c r="J6" s="85"/>
      <c r="K6" s="552"/>
      <c r="L6" s="555"/>
      <c r="M6" s="555"/>
    </row>
    <row r="7" spans="1:13" ht="12.95">
      <c r="A7" s="555"/>
      <c r="B7" s="555"/>
      <c r="C7" s="2" t="s">
        <v>463</v>
      </c>
      <c r="D7" s="2"/>
      <c r="E7" s="2" t="s">
        <v>464</v>
      </c>
      <c r="F7" s="2" t="s">
        <v>203</v>
      </c>
      <c r="G7" s="11"/>
      <c r="H7" s="2"/>
      <c r="I7" s="2" t="s">
        <v>464</v>
      </c>
      <c r="J7" s="2" t="s">
        <v>203</v>
      </c>
      <c r="K7" s="2" t="s">
        <v>93</v>
      </c>
      <c r="L7" s="555"/>
      <c r="M7" s="555"/>
    </row>
    <row r="8" spans="1:13" ht="12.95">
      <c r="A8" s="555"/>
      <c r="B8" s="555"/>
      <c r="C8" s="2" t="s">
        <v>465</v>
      </c>
      <c r="D8" s="2" t="s">
        <v>89</v>
      </c>
      <c r="E8" s="2" t="s">
        <v>466</v>
      </c>
      <c r="F8" s="2" t="s">
        <v>465</v>
      </c>
      <c r="G8" s="11"/>
      <c r="H8" s="2" t="s">
        <v>89</v>
      </c>
      <c r="I8" s="2" t="s">
        <v>466</v>
      </c>
      <c r="J8" s="2" t="s">
        <v>465</v>
      </c>
      <c r="K8" s="2" t="s">
        <v>411</v>
      </c>
      <c r="L8" s="555"/>
      <c r="M8" s="2"/>
    </row>
    <row r="9" spans="1:13" ht="13.5" thickBot="1">
      <c r="A9" s="555"/>
      <c r="B9" s="101" t="s">
        <v>120</v>
      </c>
      <c r="C9" s="102" t="s">
        <v>467</v>
      </c>
      <c r="D9" s="102" t="s">
        <v>468</v>
      </c>
      <c r="E9" s="102" t="s">
        <v>469</v>
      </c>
      <c r="F9" s="102" t="s">
        <v>470</v>
      </c>
      <c r="G9" s="101"/>
      <c r="H9" s="104" t="s">
        <v>471</v>
      </c>
      <c r="I9" s="104" t="s">
        <v>472</v>
      </c>
      <c r="J9" s="104" t="s">
        <v>473</v>
      </c>
      <c r="K9" s="104" t="s">
        <v>474</v>
      </c>
      <c r="L9" s="555"/>
      <c r="M9" s="22"/>
    </row>
    <row r="10" spans="1:13" s="15" customFormat="1">
      <c r="A10" s="17"/>
      <c r="B10" s="17" t="s">
        <v>94</v>
      </c>
      <c r="C10" s="229">
        <f>'NMACH MADC COST'!$L$44</f>
        <v>24.650502650903832</v>
      </c>
      <c r="D10" s="260">
        <f>SUM('MCS LETTERS'!E15:E19)</f>
        <v>2226152.0000000005</v>
      </c>
      <c r="E10" s="106">
        <f>+D10/D$24</f>
        <v>7.6422701736328111E-5</v>
      </c>
      <c r="F10" s="18">
        <f>+E10*C10</f>
        <v>1.8838580117405889E-3</v>
      </c>
      <c r="G10" s="17"/>
      <c r="H10" s="358">
        <f>SUM('MCS CARDS'!E15:E19)</f>
        <v>0</v>
      </c>
      <c r="I10" s="106">
        <f>+H10/$H$24</f>
        <v>0</v>
      </c>
      <c r="J10" s="18">
        <f t="shared" ref="J10:J17" si="0">+I10*C10</f>
        <v>0</v>
      </c>
      <c r="K10" s="164">
        <f>H10/SUM($H$10:$H$17)</f>
        <v>0</v>
      </c>
      <c r="L10" s="17"/>
      <c r="M10" s="286"/>
    </row>
    <row r="11" spans="1:13" s="15" customFormat="1">
      <c r="A11" s="17"/>
      <c r="B11" s="17" t="s">
        <v>95</v>
      </c>
      <c r="C11" s="229">
        <f>'NMACH ADC COST'!$L$44</f>
        <v>16.534285086180486</v>
      </c>
      <c r="D11" s="260">
        <v>0</v>
      </c>
      <c r="E11" s="106">
        <f>+D11/D$24</f>
        <v>0</v>
      </c>
      <c r="F11" s="18">
        <f t="shared" ref="F11:F17" si="1">+E11*C11</f>
        <v>0</v>
      </c>
      <c r="G11" s="17"/>
      <c r="H11" s="358">
        <f>SUM('MCS CARDS'!E20:E23)</f>
        <v>0</v>
      </c>
      <c r="I11" s="106">
        <f t="shared" ref="I11:I17" si="2">+H11/$H$24</f>
        <v>0</v>
      </c>
      <c r="J11" s="18">
        <f>+I11*C11</f>
        <v>0</v>
      </c>
      <c r="K11" s="164">
        <f t="shared" ref="K11:K17" si="3">H11/SUM($H$10:$H$17)</f>
        <v>0</v>
      </c>
      <c r="L11" s="17"/>
      <c r="M11" s="286"/>
    </row>
    <row r="12" spans="1:13" s="15" customFormat="1">
      <c r="A12" s="17"/>
      <c r="B12" s="17" t="s">
        <v>96</v>
      </c>
      <c r="C12" s="229">
        <f>'NMACH 3-DIGIT COST'!$L$44</f>
        <v>16.188305782692254</v>
      </c>
      <c r="D12" s="260">
        <f>SUM('MCS LETTERS'!E24:E26)</f>
        <v>1700815.0000000005</v>
      </c>
      <c r="E12" s="106">
        <f t="shared" ref="E12:E17" si="4">+D12/D$24</f>
        <v>5.8388141265139537E-5</v>
      </c>
      <c r="F12" s="18">
        <f t="shared" si="1"/>
        <v>9.4520508488311059E-4</v>
      </c>
      <c r="G12" s="17"/>
      <c r="H12" s="358">
        <f>SUM('MCS CARDS'!E24:E26)</f>
        <v>0</v>
      </c>
      <c r="I12" s="106">
        <f t="shared" si="2"/>
        <v>0</v>
      </c>
      <c r="J12" s="18">
        <f t="shared" si="0"/>
        <v>0</v>
      </c>
      <c r="K12" s="164">
        <f t="shared" si="3"/>
        <v>0</v>
      </c>
      <c r="L12" s="17"/>
      <c r="M12" s="286"/>
    </row>
    <row r="13" spans="1:13" s="15" customFormat="1">
      <c r="A13" s="17"/>
      <c r="B13" s="17" t="s">
        <v>97</v>
      </c>
      <c r="C13" s="229">
        <f>'NMACH 5-DIGIT COST'!$L$44</f>
        <v>8.4708862493325352</v>
      </c>
      <c r="D13" s="260">
        <f>'MCS LETTERS'!E27</f>
        <v>1295104.9999999993</v>
      </c>
      <c r="E13" s="106">
        <f t="shared" si="4"/>
        <v>4.4460316785299095E-5</v>
      </c>
      <c r="F13" s="18">
        <f t="shared" si="1"/>
        <v>3.7661828609755863E-4</v>
      </c>
      <c r="G13" s="17"/>
      <c r="H13" s="358">
        <f>'MCS CARDS'!E27</f>
        <v>0</v>
      </c>
      <c r="I13" s="106">
        <f t="shared" si="2"/>
        <v>0</v>
      </c>
      <c r="J13" s="18">
        <f t="shared" si="0"/>
        <v>0</v>
      </c>
      <c r="K13" s="164">
        <f t="shared" si="3"/>
        <v>0</v>
      </c>
      <c r="L13" s="17"/>
      <c r="M13" s="286"/>
    </row>
    <row r="14" spans="1:13" s="15" customFormat="1">
      <c r="A14" s="17"/>
      <c r="B14" s="17" t="s">
        <v>98</v>
      </c>
      <c r="C14" s="229">
        <f>'MACH MAADC COST'!$L$44</f>
        <v>7.1853907449431</v>
      </c>
      <c r="D14" s="260">
        <f>'MCS LETTERS'!E6</f>
        <v>165173782.99999994</v>
      </c>
      <c r="E14" s="106">
        <f t="shared" si="4"/>
        <v>5.6703346190511593E-3</v>
      </c>
      <c r="F14" s="18">
        <f t="shared" si="1"/>
        <v>4.0743569892460661E-2</v>
      </c>
      <c r="G14" s="17"/>
      <c r="H14" s="604">
        <f>'MCS CARDS'!E6</f>
        <v>34885679.486573234</v>
      </c>
      <c r="I14" s="106">
        <f t="shared" si="2"/>
        <v>1.4906502960163288E-2</v>
      </c>
      <c r="J14" s="18">
        <f t="shared" si="0"/>
        <v>0.10710904840942422</v>
      </c>
      <c r="K14" s="164">
        <f t="shared" si="3"/>
        <v>0.43143028140298312</v>
      </c>
      <c r="L14" s="17"/>
      <c r="M14" s="286"/>
    </row>
    <row r="15" spans="1:13" s="15" customFormat="1">
      <c r="A15" s="17"/>
      <c r="B15" s="17" t="s">
        <v>99</v>
      </c>
      <c r="C15" s="229">
        <f>'MACH MAADC COST'!$L$44</f>
        <v>7.1853907449431</v>
      </c>
      <c r="D15" s="260">
        <f>'MCS LETTERS'!E7</f>
        <v>330701462.00000077</v>
      </c>
      <c r="E15" s="106">
        <f t="shared" si="4"/>
        <v>1.1352818313481604E-2</v>
      </c>
      <c r="F15" s="18">
        <f t="shared" si="1"/>
        <v>8.1574435638711251E-2</v>
      </c>
      <c r="G15" s="17"/>
      <c r="H15" s="604">
        <f>'MCS CARDS'!E7</f>
        <v>41457413.543495506</v>
      </c>
      <c r="I15" s="106">
        <f t="shared" si="2"/>
        <v>1.7714577064341798E-2</v>
      </c>
      <c r="J15" s="18">
        <f t="shared" si="0"/>
        <v>0.12728615808870286</v>
      </c>
      <c r="K15" s="164">
        <f t="shared" si="3"/>
        <v>0.51270274377754488</v>
      </c>
      <c r="L15" s="17"/>
      <c r="M15" s="286"/>
    </row>
    <row r="16" spans="1:13" s="15" customFormat="1">
      <c r="A16" s="17"/>
      <c r="B16" s="17" t="s">
        <v>100</v>
      </c>
      <c r="C16" s="229">
        <f>'PRESORT LETTERS SUM'!D21</f>
        <v>5.0964006549968639</v>
      </c>
      <c r="D16" s="260">
        <f>'MCS LETTERS'!E8</f>
        <v>0</v>
      </c>
      <c r="E16" s="106">
        <f t="shared" si="4"/>
        <v>0</v>
      </c>
      <c r="F16" s="18">
        <f t="shared" si="1"/>
        <v>0</v>
      </c>
      <c r="G16" s="17"/>
      <c r="H16" s="604">
        <f>'MCS CARDS'!E8</f>
        <v>4517432.9699312523</v>
      </c>
      <c r="I16" s="106">
        <f t="shared" si="2"/>
        <v>1.9302799581282877E-3</v>
      </c>
      <c r="J16" s="18">
        <f t="shared" si="0"/>
        <v>9.8374800429323235E-3</v>
      </c>
      <c r="K16" s="164">
        <f t="shared" si="3"/>
        <v>5.5866974819471893E-2</v>
      </c>
      <c r="L16" s="17"/>
      <c r="M16" s="286"/>
    </row>
    <row r="17" spans="2:14" s="15" customFormat="1">
      <c r="B17" s="17" t="s">
        <v>101</v>
      </c>
      <c r="C17" s="229">
        <f>'PRESORT LETTERS SUM'!D22</f>
        <v>5.0964006549968639</v>
      </c>
      <c r="D17" s="260">
        <f>'MCS LETTERS'!E9</f>
        <v>0</v>
      </c>
      <c r="E17" s="106">
        <f t="shared" si="4"/>
        <v>0</v>
      </c>
      <c r="F17" s="18">
        <f t="shared" si="1"/>
        <v>0</v>
      </c>
      <c r="G17" s="17"/>
      <c r="H17" s="604">
        <f>'MCS CARDS'!E9</f>
        <v>0</v>
      </c>
      <c r="I17" s="106">
        <f t="shared" si="2"/>
        <v>0</v>
      </c>
      <c r="J17" s="18">
        <f t="shared" si="0"/>
        <v>0</v>
      </c>
      <c r="K17" s="164">
        <f t="shared" si="3"/>
        <v>0</v>
      </c>
      <c r="L17" s="17"/>
      <c r="M17" s="286"/>
      <c r="N17" s="17"/>
    </row>
    <row r="18" spans="2:14">
      <c r="B18" s="555" t="s">
        <v>57</v>
      </c>
      <c r="C18" s="229">
        <f>+'AUTO MAADC COST'!$L$43</f>
        <v>6.6673233700392931</v>
      </c>
      <c r="D18" s="260">
        <f>'MCS LETTERS'!E33</f>
        <v>1271821555.0000012</v>
      </c>
      <c r="E18" s="106">
        <f>+D18/D$24</f>
        <v>4.3661007586004053E-2</v>
      </c>
      <c r="F18" s="18">
        <f>+E18*C18</f>
        <v>0.29110205623762769</v>
      </c>
      <c r="G18" s="555"/>
      <c r="H18" s="604">
        <f>'MCS CARDS'!E33</f>
        <v>191474636.99999979</v>
      </c>
      <c r="I18" s="106">
        <f>+H18/$H$24</f>
        <v>8.1816300706862147E-2</v>
      </c>
      <c r="J18" s="18">
        <f>+I18*C18</f>
        <v>0.54549573375302429</v>
      </c>
      <c r="K18" s="12"/>
      <c r="L18" s="555"/>
      <c r="M18" s="22"/>
      <c r="N18" s="555"/>
    </row>
    <row r="19" spans="2:14">
      <c r="B19" s="555" t="s">
        <v>58</v>
      </c>
      <c r="C19" s="229">
        <f>+'AUTO AADC COST'!$L$44</f>
        <v>5.1345370448206404</v>
      </c>
      <c r="D19" s="260">
        <f>'MCS LETTERS'!E34</f>
        <v>6018234188.9999781</v>
      </c>
      <c r="E19" s="106">
        <f>+D19/D$24</f>
        <v>0.20660301560958899</v>
      </c>
      <c r="F19" s="18">
        <f>+E19*C19</f>
        <v>1.0608108372190916</v>
      </c>
      <c r="G19" s="555"/>
      <c r="H19" s="604">
        <f>'MCS CARDS'!E34</f>
        <v>794622973.99999881</v>
      </c>
      <c r="I19" s="106">
        <f>+H19/$H$24</f>
        <v>0.33953902829106852</v>
      </c>
      <c r="J19" s="18">
        <f>+I19*C19</f>
        <v>1.7433757189228949</v>
      </c>
      <c r="K19" s="555"/>
      <c r="L19" s="555"/>
      <c r="M19" s="105"/>
      <c r="N19" s="22"/>
    </row>
    <row r="20" spans="2:14">
      <c r="B20" s="555" t="s">
        <v>102</v>
      </c>
      <c r="C20" s="229">
        <f>+'AUTO 3-DIGIT COST'!$L$44</f>
        <v>4.3301921510996957</v>
      </c>
      <c r="D20" s="260">
        <f>'MCS LETTERS'!E35</f>
        <v>0</v>
      </c>
      <c r="E20" s="106">
        <f>+D20/D$24</f>
        <v>0</v>
      </c>
      <c r="F20" s="18">
        <f>+E20*C20</f>
        <v>0</v>
      </c>
      <c r="G20" s="555"/>
      <c r="H20" s="604">
        <f>'MCS CARDS'!E35</f>
        <v>0</v>
      </c>
      <c r="I20" s="106">
        <f>+H20/$H$24</f>
        <v>0</v>
      </c>
      <c r="J20" s="18">
        <f>+I20*C20</f>
        <v>0</v>
      </c>
      <c r="K20" s="555"/>
      <c r="L20" s="555"/>
      <c r="M20" s="167"/>
      <c r="N20" s="105"/>
    </row>
    <row r="21" spans="2:14">
      <c r="B21" s="17" t="s">
        <v>103</v>
      </c>
      <c r="C21" s="179">
        <f>'AUTO 5-DIGIT OTHER COST'!L44</f>
        <v>2.8174484210349942</v>
      </c>
      <c r="D21" s="260">
        <f>'MCS LETTERS'!E36*MISC!E18</f>
        <v>20587920737.485481</v>
      </c>
      <c r="E21" s="106">
        <f>+D21/D$24</f>
        <v>0.70677317896173175</v>
      </c>
      <c r="F21" s="18">
        <f>+E21*C21</f>
        <v>1.9912969770956144</v>
      </c>
      <c r="G21" s="555"/>
      <c r="H21" s="604">
        <f>'MCS CARDS'!E36*MISC!E18</f>
        <v>1228562743.3972008</v>
      </c>
      <c r="I21" s="106">
        <f>+H21/$H$24</f>
        <v>0.5249596522333817</v>
      </c>
      <c r="J21" s="18">
        <f>+I21*C21</f>
        <v>1.4790467432920209</v>
      </c>
      <c r="K21" s="555"/>
      <c r="L21" s="555"/>
      <c r="M21" s="555"/>
      <c r="N21" s="555"/>
    </row>
    <row r="22" spans="2:14">
      <c r="B22" s="17" t="s">
        <v>104</v>
      </c>
      <c r="C22" s="179">
        <f>'Auto 5-digit Manual Cost'!L44</f>
        <v>1.4345444282128779</v>
      </c>
      <c r="D22" s="260">
        <f>'MCS LETTERS'!E36*(MISC!E15+MISC!E16+MISC!E17)</f>
        <v>750385765.5145117</v>
      </c>
      <c r="E22" s="106">
        <f>+D22/D$24</f>
        <v>2.5760373750355666E-2</v>
      </c>
      <c r="F22" s="18">
        <f>+E22*C22</f>
        <v>3.6954400632253998E-2</v>
      </c>
      <c r="G22" s="555"/>
      <c r="H22" s="604">
        <f>'MCS CARDS'!E36*(MISC!E15+MISC!E16+MISC!E17)</f>
        <v>44778489.602797709</v>
      </c>
      <c r="I22" s="106">
        <f>+H22/$H$24</f>
        <v>1.9133658786054265E-2</v>
      </c>
      <c r="J22" s="18">
        <f>+I22*C22</f>
        <v>2.7448083602860524E-2</v>
      </c>
      <c r="K22" s="555"/>
      <c r="L22" s="555"/>
      <c r="M22" s="555"/>
      <c r="N22" s="555"/>
    </row>
    <row r="23" spans="2:14" s="15" customFormat="1">
      <c r="B23" s="17"/>
      <c r="C23" s="179"/>
      <c r="D23" s="260"/>
      <c r="E23" s="106"/>
      <c r="F23" s="18"/>
      <c r="G23" s="17"/>
      <c r="H23" s="604"/>
      <c r="I23" s="106"/>
      <c r="J23" s="18"/>
      <c r="K23" s="17"/>
      <c r="L23" s="17"/>
      <c r="M23" s="17"/>
      <c r="N23" s="17"/>
    </row>
    <row r="24" spans="2:14" s="11" customFormat="1" ht="13.5" thickBot="1">
      <c r="B24" s="101" t="s">
        <v>17</v>
      </c>
      <c r="C24" s="207"/>
      <c r="D24" s="501">
        <f>SUM(D10:D22)</f>
        <v>29129459563.999973</v>
      </c>
      <c r="E24" s="208">
        <f>SUM(E10:E22)</f>
        <v>1</v>
      </c>
      <c r="F24" s="207">
        <f>SUM(F10:F22)</f>
        <v>3.505687958098481</v>
      </c>
      <c r="G24" s="101"/>
      <c r="H24" s="209">
        <f>SUM(H10:H22)</f>
        <v>2340299369.9999971</v>
      </c>
      <c r="I24" s="208">
        <f>SUM(I10:I22)</f>
        <v>1</v>
      </c>
      <c r="J24" s="207">
        <f>SUM(J10:J22)</f>
        <v>4.0395989661118596</v>
      </c>
      <c r="K24" s="210">
        <f>SUM(K10:K17)</f>
        <v>0.99999999999999989</v>
      </c>
    </row>
    <row r="25" spans="2:14"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22"/>
      <c r="N25" s="555"/>
    </row>
    <row r="26" spans="2:14" ht="12.95">
      <c r="B26" s="555" t="s">
        <v>475</v>
      </c>
      <c r="C26" s="555"/>
      <c r="D26" s="476" t="s">
        <v>81</v>
      </c>
      <c r="E26" s="18">
        <f>+J24/F24</f>
        <v>1.1522984972977963</v>
      </c>
      <c r="F26" s="555"/>
      <c r="G26" s="555"/>
      <c r="H26" s="555"/>
      <c r="I26" s="555"/>
      <c r="J26" s="555"/>
      <c r="K26" s="555"/>
      <c r="L26" s="555"/>
      <c r="M26" s="22"/>
      <c r="N26" s="555"/>
    </row>
    <row r="27" spans="2:14" ht="12.95">
      <c r="B27" s="555"/>
      <c r="C27" s="555"/>
      <c r="D27" s="11"/>
      <c r="E27" s="555"/>
      <c r="F27" s="555"/>
      <c r="G27" s="555"/>
      <c r="H27" s="555"/>
      <c r="I27" s="555"/>
      <c r="J27" s="555"/>
      <c r="K27" s="555"/>
      <c r="L27" s="555"/>
      <c r="M27" s="105"/>
      <c r="N27" s="555"/>
    </row>
    <row r="28" spans="2:14" ht="12.95">
      <c r="B28" s="555"/>
      <c r="C28" s="555"/>
      <c r="D28" s="11"/>
      <c r="E28" s="555"/>
      <c r="F28" s="555"/>
      <c r="G28" s="555"/>
      <c r="H28" s="555"/>
      <c r="I28" s="555"/>
      <c r="J28" s="555"/>
      <c r="K28" s="555"/>
      <c r="L28" s="555"/>
      <c r="M28" s="555"/>
      <c r="N28" s="555"/>
    </row>
    <row r="29" spans="2:14" ht="13.5" thickBot="1">
      <c r="B29" s="101" t="s">
        <v>476</v>
      </c>
      <c r="C29" s="92"/>
      <c r="D29" s="101"/>
      <c r="E29" s="92"/>
      <c r="F29" s="92"/>
      <c r="G29" s="555"/>
      <c r="H29" s="555"/>
      <c r="I29" s="555"/>
      <c r="J29" s="555"/>
      <c r="K29" s="555"/>
      <c r="L29" s="555"/>
      <c r="M29" s="555"/>
      <c r="N29" s="555"/>
    </row>
    <row r="30" spans="2:14" ht="12.95">
      <c r="B30" s="555" t="s">
        <v>477</v>
      </c>
      <c r="C30" s="555"/>
      <c r="D30" s="476" t="s">
        <v>83</v>
      </c>
      <c r="E30" s="18">
        <f>'CRA - PRESORT CARDS'!E77</f>
        <v>3.2425786782750108</v>
      </c>
      <c r="F30" s="555"/>
      <c r="G30" s="555"/>
      <c r="H30" s="555"/>
      <c r="I30" s="555"/>
      <c r="J30" s="555"/>
      <c r="K30" s="555"/>
      <c r="L30" s="555"/>
      <c r="M30" s="555"/>
      <c r="N30" s="555"/>
    </row>
    <row r="31" spans="2:14" ht="12.95">
      <c r="B31" s="555" t="s">
        <v>478</v>
      </c>
      <c r="C31" s="555"/>
      <c r="D31" s="476" t="s">
        <v>85</v>
      </c>
      <c r="E31" s="18">
        <f>'CRA - PRESORT LETTERS'!E77</f>
        <v>7.1222227316980256</v>
      </c>
      <c r="F31" s="555"/>
      <c r="G31" s="555"/>
      <c r="H31" s="555"/>
      <c r="I31" s="555"/>
      <c r="J31" s="555"/>
      <c r="K31" s="555"/>
      <c r="L31" s="555"/>
      <c r="M31" s="555"/>
      <c r="N31" s="555"/>
    </row>
    <row r="32" spans="2:14" ht="12.95">
      <c r="B32" s="552" t="s">
        <v>479</v>
      </c>
      <c r="C32" s="552"/>
      <c r="D32" s="502" t="s">
        <v>106</v>
      </c>
      <c r="E32" s="503">
        <f>+E30/E31</f>
        <v>0.4552762249127163</v>
      </c>
      <c r="F32" s="552"/>
      <c r="G32" s="555"/>
      <c r="H32" s="555"/>
      <c r="I32" s="555"/>
      <c r="J32" s="555"/>
      <c r="K32" s="555"/>
      <c r="L32" s="555"/>
      <c r="M32" s="555"/>
      <c r="N32" s="555"/>
    </row>
    <row r="33" spans="2:8" ht="13.5" thickBot="1">
      <c r="B33" s="92" t="s">
        <v>480</v>
      </c>
      <c r="C33" s="92"/>
      <c r="D33" s="504" t="s">
        <v>108</v>
      </c>
      <c r="E33" s="505">
        <f>E32/E26</f>
        <v>0.39510268040821384</v>
      </c>
      <c r="F33" s="92"/>
      <c r="G33" s="555"/>
      <c r="H33" s="555"/>
    </row>
    <row r="35" spans="2:8" ht="12.95">
      <c r="B35" s="9" t="s">
        <v>136</v>
      </c>
      <c r="C35" s="555"/>
      <c r="D35" s="555"/>
      <c r="E35" s="555"/>
      <c r="F35" s="555"/>
      <c r="G35" s="555"/>
      <c r="H35" s="555"/>
    </row>
    <row r="36" spans="2:8" s="11" customFormat="1" ht="12.95">
      <c r="B36" s="217" t="s">
        <v>481</v>
      </c>
      <c r="C36" s="216"/>
      <c r="D36" s="216"/>
      <c r="E36" s="216"/>
    </row>
    <row r="37" spans="2:8" s="11" customFormat="1" ht="12.95">
      <c r="B37" s="217" t="s">
        <v>482</v>
      </c>
      <c r="C37" s="216"/>
      <c r="D37" s="44"/>
      <c r="E37" s="44"/>
    </row>
    <row r="38" spans="2:8" s="11" customFormat="1" ht="12.95">
      <c r="B38" s="11" t="s">
        <v>483</v>
      </c>
    </row>
    <row r="39" spans="2:8" s="11" customFormat="1" ht="12.95">
      <c r="B39" s="11" t="s">
        <v>484</v>
      </c>
    </row>
    <row r="40" spans="2:8" s="11" customFormat="1" ht="12.95">
      <c r="B40" s="217" t="s">
        <v>485</v>
      </c>
      <c r="H40" s="103"/>
    </row>
    <row r="41" spans="2:8" s="11" customFormat="1" ht="12.95">
      <c r="B41" s="11" t="s">
        <v>486</v>
      </c>
    </row>
    <row r="42" spans="2:8" s="11" customFormat="1" ht="12.95">
      <c r="B42" s="11" t="s">
        <v>487</v>
      </c>
    </row>
    <row r="43" spans="2:8" s="11" customFormat="1" ht="12.95">
      <c r="B43" s="11" t="s">
        <v>488</v>
      </c>
    </row>
    <row r="44" spans="2:8" s="11" customFormat="1" ht="12.95"/>
    <row r="45" spans="2:8" s="11" customFormat="1" ht="12.95">
      <c r="B45" s="11" t="s">
        <v>489</v>
      </c>
    </row>
    <row r="46" spans="2:8" s="216" customFormat="1" ht="12.95">
      <c r="B46" s="216" t="s">
        <v>490</v>
      </c>
    </row>
    <row r="47" spans="2:8" s="216" customFormat="1" ht="12.95">
      <c r="B47" s="216" t="s">
        <v>491</v>
      </c>
    </row>
    <row r="48" spans="2:8" s="11" customFormat="1" ht="12.95">
      <c r="B48" s="11" t="s">
        <v>492</v>
      </c>
    </row>
    <row r="49" spans="2:2" s="11" customFormat="1" ht="12.95">
      <c r="B49" s="11" t="s">
        <v>493</v>
      </c>
    </row>
  </sheetData>
  <phoneticPr fontId="11" type="noConversion"/>
  <printOptions horizontalCentered="1"/>
  <pageMargins left="0.75" right="0.75" top="1" bottom="1" header="0.5" footer="0.5"/>
  <pageSetup scale="62" orientation="portrait" r:id="rId1"/>
  <headerFooter alignWithMargins="0">
    <oddHeader>&amp;RPage 32</oddHeader>
  </headerFooter>
  <ignoredErrors>
    <ignoredError sqref="C9:F9 H9:K9" numberStoredAsText="1"/>
    <ignoredError sqref="D10 H10 D12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A1:F48"/>
  <sheetViews>
    <sheetView zoomScale="115" zoomScaleNormal="115" workbookViewId="0"/>
  </sheetViews>
  <sheetFormatPr defaultColWidth="8.85546875" defaultRowHeight="12.6"/>
  <cols>
    <col min="1" max="1" width="18.7109375" customWidth="1"/>
    <col min="2" max="2" width="17.7109375" style="3" customWidth="1"/>
    <col min="3" max="3" width="20.7109375" style="22" customWidth="1"/>
    <col min="4" max="4" width="12" style="6" customWidth="1"/>
    <col min="5" max="5" width="17.7109375" style="3" customWidth="1"/>
  </cols>
  <sheetData>
    <row r="1" spans="1:6" ht="15.6">
      <c r="A1" s="7" t="s">
        <v>494</v>
      </c>
      <c r="F1" s="555"/>
    </row>
    <row r="2" spans="1:6" ht="15.6">
      <c r="A2" s="7" t="s">
        <v>495</v>
      </c>
      <c r="F2" s="555"/>
    </row>
    <row r="4" spans="1:6" s="11" customFormat="1" ht="12.95">
      <c r="B4" s="4" t="s">
        <v>2</v>
      </c>
      <c r="C4" s="21" t="s">
        <v>3</v>
      </c>
      <c r="D4" s="8" t="s">
        <v>4</v>
      </c>
      <c r="E4" s="4" t="s">
        <v>5</v>
      </c>
    </row>
    <row r="6" spans="1:6" ht="12.95">
      <c r="A6" s="555"/>
      <c r="B6" s="4" t="s">
        <v>216</v>
      </c>
      <c r="C6" s="21" t="s">
        <v>216</v>
      </c>
      <c r="E6" s="4" t="s">
        <v>496</v>
      </c>
      <c r="F6" s="555"/>
    </row>
    <row r="7" spans="1:6" ht="12.95">
      <c r="A7" s="555"/>
      <c r="B7" s="4"/>
      <c r="E7" s="4" t="s">
        <v>497</v>
      </c>
      <c r="F7" s="555"/>
    </row>
    <row r="8" spans="1:6" ht="12.95">
      <c r="A8" s="11" t="s">
        <v>498</v>
      </c>
      <c r="B8" s="4" t="s">
        <v>14</v>
      </c>
      <c r="C8" s="21"/>
      <c r="D8" s="8" t="s">
        <v>89</v>
      </c>
      <c r="E8" s="4" t="s">
        <v>14</v>
      </c>
      <c r="F8" s="555"/>
    </row>
    <row r="9" spans="1:6" ht="12.95">
      <c r="A9" s="9" t="s">
        <v>499</v>
      </c>
      <c r="B9" s="16" t="s">
        <v>500</v>
      </c>
      <c r="C9" s="202" t="s">
        <v>89</v>
      </c>
      <c r="D9" s="10" t="s">
        <v>411</v>
      </c>
      <c r="E9" s="16" t="s">
        <v>500</v>
      </c>
      <c r="F9" s="555"/>
    </row>
    <row r="10" spans="1:6">
      <c r="A10" s="555" t="s">
        <v>501</v>
      </c>
      <c r="B10" s="3">
        <f>'PRESORT CARDS SUM'!J36</f>
        <v>5.6993843702599545</v>
      </c>
      <c r="C10" s="22">
        <f>'MCS CARDS'!E33</f>
        <v>191474636.99999979</v>
      </c>
      <c r="D10" s="6">
        <f>C10/$C$14</f>
        <v>8.4744332650766821E-2</v>
      </c>
      <c r="E10" s="3">
        <f>'PRESORT LETTERS SUM'!$D$19*'CARD-LETTER COST RATIO'!$E$33*'PRESORT CARDS SUM'!$E$26+'PRESORT CARDS SUM'!$E$8</f>
        <v>6.1180550688469815</v>
      </c>
      <c r="F10" s="555"/>
    </row>
    <row r="11" spans="1:6">
      <c r="A11" s="555" t="s">
        <v>502</v>
      </c>
      <c r="B11" s="3">
        <f>'PRESORT CARDS SUM'!J37</f>
        <v>4.4576443852034426</v>
      </c>
      <c r="C11" s="22">
        <f>'MCS CARDS'!E34</f>
        <v>794622973.99999881</v>
      </c>
      <c r="D11" s="6">
        <f>C11/$C$14</f>
        <v>0.35169041025834458</v>
      </c>
      <c r="E11" s="3">
        <f>'PRESORT LETTERS SUM'!$D$20*'CARD-LETTER COST RATIO'!$E$33*'PRESORT CARDS SUM'!$E$26+'PRESORT CARDS SUM'!$E$8</f>
        <v>4.4257236065976642</v>
      </c>
      <c r="F11" s="555"/>
    </row>
    <row r="12" spans="1:6">
      <c r="A12" s="555" t="s">
        <v>503</v>
      </c>
      <c r="B12" s="3">
        <f>'PRESORT CARDS SUM'!J38</f>
        <v>3.8060289578757938</v>
      </c>
      <c r="C12" s="22">
        <f>'MCS CARDS'!E35</f>
        <v>0</v>
      </c>
      <c r="D12" s="6">
        <f>C12/$C$14</f>
        <v>0</v>
      </c>
      <c r="E12" s="3">
        <f>'PRESORT LETTERS SUM'!$D$21*'CARD-LETTER COST RATIO'!$E$33*'PRESORT CARDS SUM'!$E$26+'PRESORT CARDS SUM'!$E$8</f>
        <v>4.4257236065976642</v>
      </c>
      <c r="F12" s="555"/>
    </row>
    <row r="13" spans="1:6">
      <c r="A13" s="555" t="s">
        <v>504</v>
      </c>
      <c r="B13" s="3">
        <f>'PRESORT CARDS SUM'!J39</f>
        <v>2.5411286359147556</v>
      </c>
      <c r="C13" s="287">
        <f>'MCS CARDS'!E36</f>
        <v>1273341232.9999986</v>
      </c>
      <c r="D13" s="605">
        <f>C13/$C$14</f>
        <v>0.56356525709088867</v>
      </c>
      <c r="E13" s="3">
        <f>'PRESORT LETTERS SUM'!$D$22*'CARD-LETTER COST RATIO'!$E$33*'PRESORT CARDS SUM'!$E$26+'PRESORT CARDS SUM'!$E$8</f>
        <v>4.4257236065976642</v>
      </c>
      <c r="F13" s="555"/>
    </row>
    <row r="14" spans="1:6" ht="12.95">
      <c r="A14" s="11" t="s">
        <v>505</v>
      </c>
      <c r="B14" s="4">
        <f>SUMPRODUCT(B10:B13,D10:D13)</f>
        <v>3.4827931205962139</v>
      </c>
      <c r="C14" s="23">
        <f>SUM(C10:C13)</f>
        <v>2259438843.9999971</v>
      </c>
      <c r="D14" s="8">
        <f>SUM(D10:D13)</f>
        <v>1</v>
      </c>
      <c r="E14" s="4">
        <f>SUMPRODUCT(E10:E13,D10:D13)</f>
        <v>4.5691391069898799</v>
      </c>
      <c r="F14" s="11" t="s">
        <v>81</v>
      </c>
    </row>
    <row r="17" spans="1:6" ht="12.95">
      <c r="A17" s="11" t="s">
        <v>498</v>
      </c>
      <c r="F17" s="555"/>
    </row>
    <row r="18" spans="1:6" ht="12.95">
      <c r="A18" s="11" t="s">
        <v>506</v>
      </c>
      <c r="B18" s="506">
        <f>E14-B14</f>
        <v>1.086345986393666</v>
      </c>
      <c r="C18" s="23" t="s">
        <v>83</v>
      </c>
      <c r="F18" s="555"/>
    </row>
    <row r="20" spans="1:6" ht="12.95">
      <c r="A20" s="555"/>
      <c r="B20" s="4" t="s">
        <v>6</v>
      </c>
      <c r="C20" s="21" t="s">
        <v>7</v>
      </c>
      <c r="D20" s="8" t="s">
        <v>8</v>
      </c>
      <c r="E20" s="4" t="s">
        <v>9</v>
      </c>
      <c r="F20" s="555"/>
    </row>
    <row r="21" spans="1:6" ht="12.95">
      <c r="A21" s="555"/>
      <c r="B21" s="4" t="s">
        <v>216</v>
      </c>
      <c r="C21" s="21" t="s">
        <v>216</v>
      </c>
      <c r="E21" s="4" t="s">
        <v>496</v>
      </c>
      <c r="F21" s="555"/>
    </row>
    <row r="22" spans="1:6" ht="12.95">
      <c r="A22" s="555"/>
      <c r="B22" s="4"/>
      <c r="E22" s="4" t="s">
        <v>497</v>
      </c>
      <c r="F22" s="555"/>
    </row>
    <row r="23" spans="1:6" ht="12.95">
      <c r="A23" s="11" t="s">
        <v>507</v>
      </c>
      <c r="B23" s="4" t="s">
        <v>14</v>
      </c>
      <c r="C23" s="21"/>
      <c r="D23" s="8" t="s">
        <v>89</v>
      </c>
      <c r="E23" s="4" t="s">
        <v>14</v>
      </c>
      <c r="F23" s="555"/>
    </row>
    <row r="24" spans="1:6" ht="12.95">
      <c r="A24" s="9" t="s">
        <v>499</v>
      </c>
      <c r="B24" s="16" t="s">
        <v>500</v>
      </c>
      <c r="C24" s="202" t="s">
        <v>89</v>
      </c>
      <c r="D24" s="10" t="s">
        <v>411</v>
      </c>
      <c r="E24" s="16" t="s">
        <v>500</v>
      </c>
      <c r="F24" s="555"/>
    </row>
    <row r="25" spans="1:6">
      <c r="A25" s="555" t="s">
        <v>501</v>
      </c>
      <c r="B25" s="3">
        <f>'PRESORT LETTERS SUM'!I63</f>
        <v>14.438736268562929</v>
      </c>
      <c r="C25" s="22">
        <f>'MCS LETTERS'!E33</f>
        <v>1271821555.0000012</v>
      </c>
      <c r="D25" s="6">
        <f>C25/$C$29</f>
        <v>4.4425229219435279E-2</v>
      </c>
      <c r="E25" s="3">
        <f>'PRESORT LETTERS SUM'!I58</f>
        <v>15.498420608059027</v>
      </c>
      <c r="F25" s="555"/>
    </row>
    <row r="26" spans="1:6">
      <c r="A26" s="555" t="s">
        <v>502</v>
      </c>
      <c r="B26" s="3">
        <f>'PRESORT LETTERS SUM'!I64</f>
        <v>11.303488338832619</v>
      </c>
      <c r="C26" s="22">
        <f>'MCS LETTERS'!E34</f>
        <v>6018234188.9999781</v>
      </c>
      <c r="D26" s="6">
        <f>C26/$C$29</f>
        <v>0.21021929711087964</v>
      </c>
      <c r="E26" s="3">
        <f>'PRESORT LETTERS SUM'!I59</f>
        <v>11.225482007959769</v>
      </c>
      <c r="F26" s="555"/>
    </row>
    <row r="27" spans="1:6">
      <c r="A27" s="555" t="s">
        <v>503</v>
      </c>
      <c r="B27" s="3">
        <f>'PRESORT LETTERS SUM'!I65</f>
        <v>9.6582357544790884</v>
      </c>
      <c r="C27" s="22">
        <f>'MCS LETTERS'!E35</f>
        <v>0</v>
      </c>
      <c r="D27" s="6">
        <f>C27/$C$29</f>
        <v>0</v>
      </c>
      <c r="E27" s="3">
        <f>'PRESORT LETTERS SUM'!I60</f>
        <v>11.225482007959769</v>
      </c>
      <c r="F27" s="555"/>
    </row>
    <row r="28" spans="1:6">
      <c r="A28" s="555" t="s">
        <v>504</v>
      </c>
      <c r="B28" s="3">
        <f>'PRESORT LETTERS SUM'!I66</f>
        <v>6.4645106884677315</v>
      </c>
      <c r="C28" s="287">
        <f>'MCS LETTERS'!E36</f>
        <v>21338306502.999996</v>
      </c>
      <c r="D28" s="605">
        <f>C28/$C$29</f>
        <v>0.74535547366968502</v>
      </c>
      <c r="E28" s="3">
        <f>'PRESORT LETTERS SUM'!I61</f>
        <v>11.225482007959769</v>
      </c>
      <c r="F28" s="555"/>
    </row>
    <row r="29" spans="1:6" s="11" customFormat="1" ht="12.95">
      <c r="A29" s="11" t="s">
        <v>505</v>
      </c>
      <c r="B29" s="4">
        <f>SUMPRODUCT(B25:B28,D25:D28)</f>
        <v>7.8360139681059069</v>
      </c>
      <c r="C29" s="23">
        <f>SUM(C25:C28)</f>
        <v>28628362246.999977</v>
      </c>
      <c r="D29" s="8">
        <f>SUM(D25:D28)</f>
        <v>1</v>
      </c>
      <c r="E29" s="4">
        <f>SUMPRODUCT(E25:E28,D25:D28)</f>
        <v>11.415308284709752</v>
      </c>
      <c r="F29" s="11" t="s">
        <v>85</v>
      </c>
    </row>
    <row r="32" spans="1:6" ht="12.95">
      <c r="A32" s="11" t="s">
        <v>507</v>
      </c>
      <c r="F32" s="555"/>
    </row>
    <row r="33" spans="1:3" ht="12.95">
      <c r="A33" s="11" t="s">
        <v>506</v>
      </c>
      <c r="B33" s="506">
        <f>E29-B29</f>
        <v>3.5792943166038453</v>
      </c>
      <c r="C33" s="23" t="s">
        <v>106</v>
      </c>
    </row>
    <row r="36" spans="1:3" ht="12.95">
      <c r="A36" s="11" t="s">
        <v>508</v>
      </c>
    </row>
    <row r="37" spans="1:3" ht="12.95">
      <c r="A37" s="11" t="s">
        <v>509</v>
      </c>
    </row>
    <row r="38" spans="1:3" ht="12.95">
      <c r="A38" s="11" t="s">
        <v>510</v>
      </c>
    </row>
    <row r="39" spans="1:3" ht="12.95">
      <c r="A39" s="298" t="s">
        <v>511</v>
      </c>
    </row>
    <row r="40" spans="1:3" ht="12.95">
      <c r="A40" s="11" t="s">
        <v>512</v>
      </c>
    </row>
    <row r="41" spans="1:3" ht="12.95">
      <c r="A41" s="11" t="s">
        <v>513</v>
      </c>
    </row>
    <row r="42" spans="1:3" ht="12.95">
      <c r="A42" s="11" t="s">
        <v>514</v>
      </c>
    </row>
    <row r="43" spans="1:3" ht="12.95">
      <c r="A43" s="11" t="s">
        <v>515</v>
      </c>
    </row>
    <row r="44" spans="1:3" ht="12.95">
      <c r="A44" s="11"/>
    </row>
    <row r="45" spans="1:3" ht="12.95">
      <c r="A45" s="11" t="s">
        <v>516</v>
      </c>
    </row>
    <row r="46" spans="1:3" ht="12.95">
      <c r="A46" s="11" t="s">
        <v>517</v>
      </c>
    </row>
    <row r="47" spans="1:3" ht="12.95">
      <c r="A47" s="11" t="s">
        <v>518</v>
      </c>
    </row>
    <row r="48" spans="1:3" ht="12.95">
      <c r="A48" s="11" t="s">
        <v>519</v>
      </c>
    </row>
  </sheetData>
  <phoneticPr fontId="11" type="noConversion"/>
  <printOptions horizontalCentered="1"/>
  <pageMargins left="0.75" right="0.75" top="1" bottom="1" header="0.5" footer="0.5"/>
  <pageSetup scale="95" orientation="portrait" horizontalDpi="4294967294" r:id="rId1"/>
  <headerFooter alignWithMargins="0">
    <oddHeader>&amp;RPage 34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>
    <pageSetUpPr fitToPage="1"/>
  </sheetPr>
  <dimension ref="A1:I31"/>
  <sheetViews>
    <sheetView zoomScale="115" zoomScaleNormal="115" workbookViewId="0"/>
  </sheetViews>
  <sheetFormatPr defaultColWidth="8.85546875" defaultRowHeight="12.6"/>
  <cols>
    <col min="1" max="1" width="48.42578125" customWidth="1"/>
    <col min="2" max="3" width="20.7109375" style="3" customWidth="1"/>
    <col min="4" max="4" width="7.7109375" customWidth="1"/>
  </cols>
  <sheetData>
    <row r="1" spans="1:9" ht="15.6">
      <c r="A1" s="72" t="s">
        <v>494</v>
      </c>
      <c r="B1" s="82"/>
      <c r="C1" s="82"/>
      <c r="D1" s="78"/>
      <c r="E1" s="555"/>
      <c r="F1" s="555"/>
      <c r="G1" s="555"/>
      <c r="H1" s="555"/>
      <c r="I1" s="555"/>
    </row>
    <row r="2" spans="1:9" ht="15.6">
      <c r="A2" s="72" t="s">
        <v>520</v>
      </c>
      <c r="B2" s="82"/>
      <c r="C2" s="82"/>
      <c r="D2" s="78"/>
      <c r="E2" s="555"/>
      <c r="F2" s="555"/>
      <c r="G2" s="555"/>
      <c r="H2" s="555"/>
      <c r="I2" s="555"/>
    </row>
    <row r="5" spans="1:9" ht="12.95">
      <c r="A5" s="555"/>
      <c r="B5" s="4" t="s">
        <v>521</v>
      </c>
      <c r="C5" s="4" t="s">
        <v>522</v>
      </c>
      <c r="D5" s="555"/>
      <c r="E5" s="555"/>
      <c r="F5" s="555"/>
      <c r="G5" s="555"/>
      <c r="H5" s="555"/>
      <c r="I5" s="555"/>
    </row>
    <row r="6" spans="1:9" ht="12.95">
      <c r="A6" s="555"/>
      <c r="B6" s="4" t="s">
        <v>523</v>
      </c>
      <c r="C6" s="4" t="s">
        <v>523</v>
      </c>
      <c r="D6" s="555"/>
      <c r="E6" s="555"/>
      <c r="F6" s="555"/>
      <c r="G6" s="555"/>
      <c r="H6" s="555"/>
      <c r="I6" s="555"/>
    </row>
    <row r="7" spans="1:9" ht="12.95">
      <c r="A7" s="555"/>
      <c r="B7" s="4" t="s">
        <v>23</v>
      </c>
      <c r="C7" s="4" t="s">
        <v>23</v>
      </c>
      <c r="D7" s="555"/>
      <c r="E7" s="555"/>
      <c r="F7" s="555"/>
      <c r="G7" s="555"/>
      <c r="H7" s="555"/>
      <c r="I7" s="555"/>
    </row>
    <row r="8" spans="1:9" ht="13.5" thickBot="1">
      <c r="A8" s="84" t="s">
        <v>524</v>
      </c>
      <c r="B8" s="100" t="s">
        <v>26</v>
      </c>
      <c r="C8" s="100" t="s">
        <v>26</v>
      </c>
      <c r="D8" s="89"/>
      <c r="E8" s="17"/>
      <c r="F8" s="174"/>
      <c r="G8" s="174"/>
      <c r="H8" s="174"/>
      <c r="I8" s="174"/>
    </row>
    <row r="9" spans="1:9" s="15" customFormat="1" ht="15" customHeight="1" thickTop="1">
      <c r="A9" s="17" t="s">
        <v>525</v>
      </c>
      <c r="B9" s="229">
        <v>0</v>
      </c>
      <c r="C9" s="229">
        <f>SUMPRODUCT('PRESORT LETTERS SUM'!I54:I57,'PRESORT LETTERS SUM'!F15:F18)/SUM('PRESORT LETTERS SUM'!F15:F18)</f>
        <v>37.377351667756471</v>
      </c>
      <c r="D9" s="11" t="s">
        <v>81</v>
      </c>
      <c r="E9" s="17"/>
      <c r="F9" s="165"/>
      <c r="G9" s="165"/>
      <c r="H9" s="165"/>
      <c r="I9" s="165"/>
    </row>
    <row r="10" spans="1:9" s="15" customFormat="1" ht="15" customHeight="1">
      <c r="A10" s="17" t="s">
        <v>526</v>
      </c>
      <c r="B10" s="229">
        <f>'CARD-LETTER COST RATIO'!E33*('PRESORT LETTERS SUM'!I58*'MCS CARDS'!G6+'PRESORT LETTERS SUM'!I59*'MCS CARDS'!G7+'PRESORT LETTERS SUM'!I60*'MCS CARDS'!G8+'PRESORT LETTERS SUM'!I61*'MCS CARDS'!G9)/SUM('MCS CARDS'!G6:G9)</f>
        <v>5.1635799845452608</v>
      </c>
      <c r="C10" s="229">
        <f>SUMPRODUCT('PRESORT LETTERS SUM'!I58:I61,'PRESORT LETTERS SUM'!F19:F22)/SUM('PRESORT LETTERS SUM'!F19:F22)</f>
        <v>12.648778371756107</v>
      </c>
      <c r="D10" s="11" t="s">
        <v>83</v>
      </c>
      <c r="E10" s="17"/>
      <c r="F10" s="165"/>
      <c r="G10" s="165"/>
      <c r="H10" s="165"/>
      <c r="I10" s="165"/>
    </row>
    <row r="11" spans="1:9" s="15" customFormat="1" ht="15" customHeight="1">
      <c r="A11" s="87" t="s">
        <v>506</v>
      </c>
      <c r="B11" s="99">
        <f>B9-B10</f>
        <v>-5.1635799845452608</v>
      </c>
      <c r="C11" s="99">
        <f>C9-C10</f>
        <v>24.728573296000363</v>
      </c>
      <c r="D11" s="87" t="s">
        <v>85</v>
      </c>
      <c r="E11" s="555"/>
      <c r="F11" s="165"/>
      <c r="G11" s="165"/>
      <c r="H11" s="165"/>
      <c r="I11" s="165"/>
    </row>
    <row r="12" spans="1:9" ht="15" customHeight="1">
      <c r="A12" s="555" t="s">
        <v>527</v>
      </c>
      <c r="B12" s="229">
        <f>'CARD-LETTER COST RATIO'!E33*'PRESORT LETTERS SUM'!I54</f>
        <v>20.238166527399205</v>
      </c>
      <c r="C12" s="229">
        <f>'PRESORT LETTERS SUM'!I54</f>
        <v>51.222549304118743</v>
      </c>
      <c r="D12" s="11" t="s">
        <v>106</v>
      </c>
      <c r="E12" s="555"/>
      <c r="F12" s="165"/>
      <c r="G12" s="165"/>
      <c r="H12" s="165"/>
      <c r="I12" s="165"/>
    </row>
    <row r="13" spans="1:9" ht="15" customHeight="1">
      <c r="A13" s="555" t="s">
        <v>528</v>
      </c>
      <c r="B13" s="229">
        <f>'CARD-LETTER COST RATIO'!E33*'PRESORT LETTERS SUM'!I58</f>
        <v>6.1234675243380208</v>
      </c>
      <c r="C13" s="229">
        <f>'PRESORT LETTERS SUM'!I58</f>
        <v>15.498420608059027</v>
      </c>
      <c r="D13" s="11" t="s">
        <v>108</v>
      </c>
      <c r="E13" s="555"/>
      <c r="F13" s="555"/>
      <c r="G13" s="555"/>
      <c r="H13" s="555"/>
      <c r="I13" s="555"/>
    </row>
    <row r="14" spans="1:9" ht="15" customHeight="1">
      <c r="A14" s="87" t="s">
        <v>506</v>
      </c>
      <c r="B14" s="99">
        <f>B12-B13</f>
        <v>14.114699003061183</v>
      </c>
      <c r="C14" s="99">
        <f>C12-C13</f>
        <v>35.724128696059715</v>
      </c>
      <c r="D14" s="87" t="s">
        <v>529</v>
      </c>
      <c r="E14" s="555"/>
      <c r="F14" s="555"/>
      <c r="G14" s="555"/>
      <c r="H14" s="555"/>
      <c r="I14" s="555"/>
    </row>
    <row r="15" spans="1:9" ht="15" customHeight="1">
      <c r="A15" s="555" t="s">
        <v>95</v>
      </c>
      <c r="B15" s="229">
        <f>'CARD-LETTER COST RATIO'!E33*'PRESORT LETTERS SUM'!I55</f>
        <v>13.678920380781021</v>
      </c>
      <c r="C15" s="229">
        <f>'PRESORT LETTERS SUM'!I55</f>
        <v>34.621178390002761</v>
      </c>
      <c r="D15" s="11" t="s">
        <v>106</v>
      </c>
      <c r="E15" s="555"/>
      <c r="F15" s="555"/>
      <c r="G15" s="555"/>
      <c r="H15" s="555"/>
      <c r="I15" s="555"/>
    </row>
    <row r="16" spans="1:9" ht="15" customHeight="1">
      <c r="A16" s="555" t="s">
        <v>99</v>
      </c>
      <c r="B16" s="229">
        <f>'CARD-LETTER COST RATIO'!E33*'PRESORT LETTERS SUM'!I59</f>
        <v>4.4352180302190831</v>
      </c>
      <c r="C16" s="229">
        <f>'PRESORT LETTERS SUM'!I59</f>
        <v>11.225482007959769</v>
      </c>
      <c r="D16" s="11" t="s">
        <v>108</v>
      </c>
      <c r="E16" s="555"/>
      <c r="F16" s="555"/>
      <c r="G16" s="555"/>
      <c r="H16" s="555"/>
      <c r="I16" s="555"/>
    </row>
    <row r="17" spans="1:4" ht="15" customHeight="1">
      <c r="A17" s="87" t="s">
        <v>506</v>
      </c>
      <c r="B17" s="99">
        <f>B15-B16</f>
        <v>9.2437023505619376</v>
      </c>
      <c r="C17" s="99">
        <f>C15-C16</f>
        <v>23.395696382042992</v>
      </c>
      <c r="D17" s="87" t="s">
        <v>529</v>
      </c>
    </row>
    <row r="18" spans="1:4" ht="15" customHeight="1">
      <c r="A18" s="555" t="s">
        <v>96</v>
      </c>
      <c r="B18" s="229">
        <f>'CARD-LETTER COST RATIO'!E33*'PRESORT LETTERS SUM'!I56</f>
        <v>13.399311881487151</v>
      </c>
      <c r="C18" s="229">
        <f>'PRESORT LETTERS SUM'!I56</f>
        <v>33.913492734706821</v>
      </c>
      <c r="D18" s="11" t="s">
        <v>106</v>
      </c>
    </row>
    <row r="19" spans="1:4" ht="15" customHeight="1">
      <c r="A19" s="555" t="s">
        <v>100</v>
      </c>
      <c r="B19" s="229">
        <f>'CARD-LETTER COST RATIO'!E33*'PRESORT LETTERS SUM'!I60</f>
        <v>4.4352180302190831</v>
      </c>
      <c r="C19" s="229">
        <f>'PRESORT LETTERS SUM'!I60</f>
        <v>11.225482007959769</v>
      </c>
      <c r="D19" s="11" t="s">
        <v>108</v>
      </c>
    </row>
    <row r="20" spans="1:4" ht="15" customHeight="1">
      <c r="A20" s="87" t="s">
        <v>506</v>
      </c>
      <c r="B20" s="99">
        <f>B18-B19</f>
        <v>8.9640938512680677</v>
      </c>
      <c r="C20" s="99">
        <f>C18-C19</f>
        <v>22.688010726747052</v>
      </c>
      <c r="D20" s="87" t="s">
        <v>529</v>
      </c>
    </row>
    <row r="21" spans="1:4" ht="15" customHeight="1">
      <c r="A21" s="555" t="s">
        <v>97</v>
      </c>
      <c r="B21" s="229">
        <f>'CARD-LETTER COST RATIO'!E33*'PRESORT LETTERS SUM'!I57</f>
        <v>7.1623605020608041</v>
      </c>
      <c r="C21" s="229">
        <f>'PRESORT LETTERS SUM'!I57</f>
        <v>18.127845892264681</v>
      </c>
      <c r="D21" s="11" t="s">
        <v>106</v>
      </c>
    </row>
    <row r="22" spans="1:4" ht="15" customHeight="1">
      <c r="A22" s="555" t="s">
        <v>101</v>
      </c>
      <c r="B22" s="229">
        <f>'CARD-LETTER COST RATIO'!E33*'PRESORT LETTERS SUM'!I61</f>
        <v>4.4352180302190831</v>
      </c>
      <c r="C22" s="229">
        <f>'PRESORT LETTERS SUM'!I61</f>
        <v>11.225482007959769</v>
      </c>
      <c r="D22" s="11" t="s">
        <v>108</v>
      </c>
    </row>
    <row r="23" spans="1:4" ht="15" customHeight="1" thickBot="1">
      <c r="A23" s="84" t="s">
        <v>506</v>
      </c>
      <c r="B23" s="100">
        <f>B21-B22</f>
        <v>2.727142471841721</v>
      </c>
      <c r="C23" s="100">
        <f>C21-C22</f>
        <v>6.9023638843049113</v>
      </c>
      <c r="D23" s="84" t="s">
        <v>529</v>
      </c>
    </row>
    <row r="24" spans="1:4" ht="12.95" thickTop="1">
      <c r="A24" s="555"/>
      <c r="D24" s="555"/>
    </row>
    <row r="25" spans="1:4" ht="12.95">
      <c r="A25" s="9" t="s">
        <v>136</v>
      </c>
      <c r="D25" s="555"/>
    </row>
    <row r="26" spans="1:4" s="11" customFormat="1" ht="12.95">
      <c r="A26" s="11" t="s">
        <v>530</v>
      </c>
    </row>
    <row r="27" spans="1:4" s="11" customFormat="1" ht="12.95">
      <c r="A27" s="11" t="s">
        <v>531</v>
      </c>
    </row>
    <row r="28" spans="1:4" s="11" customFormat="1" ht="12.95">
      <c r="A28" s="11" t="s">
        <v>532</v>
      </c>
    </row>
    <row r="29" spans="1:4" s="216" customFormat="1" ht="12.95">
      <c r="A29" s="216" t="s">
        <v>533</v>
      </c>
    </row>
    <row r="30" spans="1:4" s="11" customFormat="1" ht="12.95">
      <c r="A30" s="216" t="s">
        <v>534</v>
      </c>
    </row>
    <row r="31" spans="1:4" s="11" customFormat="1" ht="12" customHeight="1">
      <c r="A31" s="11" t="s">
        <v>535</v>
      </c>
    </row>
  </sheetData>
  <phoneticPr fontId="11" type="noConversion"/>
  <printOptions horizontalCentered="1"/>
  <pageMargins left="0.75" right="0.75" top="1" bottom="1" header="0.5" footer="0.5"/>
  <pageSetup scale="93" orientation="portrait" r:id="rId1"/>
  <headerFooter alignWithMargins="0">
    <oddHeader>&amp;RPage 35</oddHeader>
  </headerFooter>
  <ignoredErrors>
    <ignoredError sqref="B20" formula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pageSetUpPr fitToPage="1"/>
  </sheetPr>
  <dimension ref="A1:G22"/>
  <sheetViews>
    <sheetView zoomScale="130" zoomScaleNormal="130" workbookViewId="0"/>
  </sheetViews>
  <sheetFormatPr defaultColWidth="8.85546875" defaultRowHeight="12.6"/>
  <cols>
    <col min="1" max="1" width="50.7109375" customWidth="1"/>
    <col min="2" max="3" width="20.7109375" style="3" customWidth="1"/>
    <col min="4" max="5" width="8.85546875" customWidth="1"/>
    <col min="6" max="6" width="15" bestFit="1" customWidth="1"/>
    <col min="7" max="7" width="16.42578125" bestFit="1" customWidth="1"/>
  </cols>
  <sheetData>
    <row r="1" spans="1:7" ht="15.6">
      <c r="A1" s="7" t="s">
        <v>536</v>
      </c>
      <c r="D1" s="555"/>
      <c r="E1" s="555"/>
      <c r="F1" s="555"/>
      <c r="G1" s="555"/>
    </row>
    <row r="2" spans="1:7" ht="15.6">
      <c r="A2" s="7" t="s">
        <v>520</v>
      </c>
      <c r="D2" s="555"/>
      <c r="E2" s="555"/>
      <c r="F2" s="555"/>
      <c r="G2" s="555"/>
    </row>
    <row r="3" spans="1:7">
      <c r="A3" s="555"/>
      <c r="D3" s="555"/>
      <c r="E3" s="555"/>
      <c r="F3" s="18"/>
      <c r="G3" s="555"/>
    </row>
    <row r="5" spans="1:7" ht="12.95">
      <c r="A5" s="555"/>
      <c r="B5" s="4" t="s">
        <v>521</v>
      </c>
      <c r="C5" s="4" t="s">
        <v>522</v>
      </c>
      <c r="D5" s="555"/>
      <c r="E5" s="555"/>
      <c r="F5" s="18"/>
      <c r="G5" s="555"/>
    </row>
    <row r="6" spans="1:7" ht="12.95">
      <c r="A6" s="555"/>
      <c r="B6" s="4" t="s">
        <v>523</v>
      </c>
      <c r="C6" s="4" t="s">
        <v>523</v>
      </c>
      <c r="D6" s="555"/>
      <c r="E6" s="555"/>
      <c r="F6" s="555"/>
      <c r="G6" s="555"/>
    </row>
    <row r="7" spans="1:7" ht="12.95">
      <c r="A7" s="9" t="s">
        <v>537</v>
      </c>
      <c r="B7" s="16" t="s">
        <v>538</v>
      </c>
      <c r="C7" s="16" t="s">
        <v>538</v>
      </c>
      <c r="D7" s="555"/>
      <c r="E7" s="1"/>
      <c r="F7" s="234"/>
      <c r="G7" s="1"/>
    </row>
    <row r="8" spans="1:7" ht="12.95">
      <c r="A8" s="555" t="s">
        <v>539</v>
      </c>
      <c r="B8" s="229">
        <f>'SP NMACH COST'!L48*'CARD-LETTER COST RATIO'!E33</f>
        <v>1.4618957204454226</v>
      </c>
      <c r="C8" s="229">
        <f>'SP NMACH COST'!L48</f>
        <v>3.7000399970332145</v>
      </c>
      <c r="D8" s="11" t="s">
        <v>81</v>
      </c>
      <c r="E8" s="270"/>
      <c r="F8" s="606"/>
      <c r="G8" s="269"/>
    </row>
    <row r="9" spans="1:7" ht="12.95">
      <c r="A9" s="17" t="s">
        <v>540</v>
      </c>
      <c r="B9" s="607">
        <f>-'[3]LTTR Unit Costs  Final Adj.'!$E$59</f>
        <v>-20.272835322846376</v>
      </c>
      <c r="C9" s="607">
        <f>-'[3]LTTR Unit Costs  Final Adj.'!$D$59</f>
        <v>-22.499009902081827</v>
      </c>
      <c r="D9" s="11" t="s">
        <v>83</v>
      </c>
      <c r="E9" s="555"/>
      <c r="F9" s="606"/>
      <c r="G9" s="269"/>
    </row>
    <row r="10" spans="1:7" ht="12.95">
      <c r="A10" s="17" t="s">
        <v>541</v>
      </c>
      <c r="B10" s="4">
        <f>SUM(B8:B9)</f>
        <v>-18.810939602400953</v>
      </c>
      <c r="C10" s="4">
        <f>SUM(C8:C9)</f>
        <v>-18.798969905048612</v>
      </c>
      <c r="D10" s="11" t="s">
        <v>85</v>
      </c>
      <c r="E10" s="555"/>
      <c r="F10" s="17"/>
      <c r="G10" s="269"/>
    </row>
    <row r="11" spans="1:7">
      <c r="A11" s="17"/>
      <c r="B11" s="229"/>
      <c r="C11" s="229"/>
      <c r="D11" s="555"/>
      <c r="E11" s="271"/>
      <c r="F11" s="606"/>
      <c r="G11" s="269"/>
    </row>
    <row r="12" spans="1:7" s="11" customFormat="1" ht="12.95">
      <c r="A12" s="11" t="s">
        <v>542</v>
      </c>
      <c r="B12" s="4"/>
      <c r="C12" s="4"/>
      <c r="G12" s="272"/>
    </row>
    <row r="13" spans="1:7" s="11" customFormat="1" ht="12.95">
      <c r="A13" s="11" t="s">
        <v>543</v>
      </c>
      <c r="B13" s="4"/>
      <c r="C13" s="4"/>
    </row>
    <row r="14" spans="1:7" s="11" customFormat="1" ht="12.95">
      <c r="A14" s="11" t="s">
        <v>148</v>
      </c>
      <c r="B14" s="4"/>
      <c r="C14" s="4"/>
      <c r="F14" s="103"/>
    </row>
    <row r="15" spans="1:7" s="11" customFormat="1" ht="12.95">
      <c r="A15" s="555"/>
      <c r="B15" s="4"/>
      <c r="C15" s="4"/>
    </row>
    <row r="17" spans="3:6">
      <c r="D17" s="555"/>
      <c r="E17" s="555"/>
      <c r="F17" s="18"/>
    </row>
    <row r="22" spans="3:6">
      <c r="C22" s="263"/>
      <c r="D22" s="555"/>
      <c r="E22" s="555"/>
      <c r="F22" s="555"/>
    </row>
  </sheetData>
  <phoneticPr fontId="11" type="noConversion"/>
  <printOptions horizontalCentered="1"/>
  <pageMargins left="0.75" right="0.75" top="1" bottom="1" header="0.5" footer="0.5"/>
  <pageSetup scale="90" orientation="portrait" r:id="rId1"/>
  <headerFooter alignWithMargins="0">
    <oddHeader>&amp;RPage 36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7">
    <pageSetUpPr fitToPage="1"/>
  </sheetPr>
  <dimension ref="A1:M62"/>
  <sheetViews>
    <sheetView zoomScale="130" zoomScaleNormal="130" workbookViewId="0"/>
  </sheetViews>
  <sheetFormatPr defaultColWidth="8.85546875" defaultRowHeight="12.6"/>
  <cols>
    <col min="1" max="1" width="3.42578125" customWidth="1"/>
    <col min="2" max="2" width="23.42578125" customWidth="1"/>
    <col min="3" max="3" width="8.42578125" style="22" bestFit="1" customWidth="1"/>
    <col min="4" max="4" width="2.42578125" style="22" customWidth="1"/>
    <col min="5" max="5" width="9.42578125" style="22" customWidth="1"/>
    <col min="6" max="6" width="1.42578125" style="22" customWidth="1"/>
    <col min="7" max="7" width="10.7109375" style="37" customWidth="1"/>
    <col min="8" max="8" width="10.7109375" style="36" customWidth="1"/>
    <col min="9" max="9" width="10.7109375" style="1" customWidth="1"/>
    <col min="10" max="10" width="10.7109375" style="3" customWidth="1"/>
    <col min="11" max="12" width="10.7109375" style="36" customWidth="1"/>
    <col min="13" max="13" width="9.7109375" customWidth="1"/>
    <col min="14" max="14" width="9.28515625" customWidth="1"/>
    <col min="15" max="30" width="9.7109375" customWidth="1"/>
  </cols>
  <sheetData>
    <row r="1" spans="1:13" s="13" customFormat="1" ht="15.6">
      <c r="A1" s="72" t="s">
        <v>544</v>
      </c>
      <c r="B1" s="73"/>
      <c r="C1" s="74"/>
      <c r="D1" s="74"/>
      <c r="E1" s="74"/>
      <c r="F1" s="74"/>
      <c r="G1" s="75"/>
      <c r="H1" s="76"/>
      <c r="I1" s="73"/>
      <c r="J1" s="77"/>
      <c r="K1" s="76"/>
      <c r="L1" s="76"/>
      <c r="M1" s="555"/>
    </row>
    <row r="2" spans="1:13" ht="15.6">
      <c r="A2" s="72" t="s">
        <v>201</v>
      </c>
      <c r="B2" s="78"/>
      <c r="C2" s="79"/>
      <c r="D2" s="79"/>
      <c r="E2" s="79"/>
      <c r="F2" s="79"/>
      <c r="G2" s="80"/>
      <c r="H2" s="81"/>
      <c r="I2" s="78"/>
      <c r="J2" s="82"/>
      <c r="K2" s="81"/>
      <c r="L2" s="81"/>
      <c r="M2" s="555"/>
    </row>
    <row r="3" spans="1:13" ht="15.6">
      <c r="A3" s="107" t="s">
        <v>202</v>
      </c>
      <c r="B3" s="78"/>
      <c r="C3" s="108">
        <f>+'SP NMACH MODEL'!N4</f>
        <v>10000.000000000002</v>
      </c>
      <c r="D3" s="79"/>
      <c r="E3" s="79"/>
      <c r="F3" s="79"/>
      <c r="G3" s="80"/>
      <c r="H3" s="81"/>
      <c r="I3" s="78"/>
      <c r="J3" s="82"/>
      <c r="K3" s="81"/>
      <c r="L3" s="81"/>
      <c r="M3" s="555"/>
    </row>
    <row r="4" spans="1:13" ht="15.6">
      <c r="A4" s="72"/>
      <c r="B4" s="78"/>
      <c r="C4" s="79"/>
      <c r="D4" s="79"/>
      <c r="E4" s="79"/>
      <c r="F4" s="79"/>
      <c r="G4" s="80"/>
      <c r="H4" s="81"/>
      <c r="I4" s="78"/>
      <c r="J4" s="82"/>
      <c r="K4" s="81"/>
      <c r="L4" s="81"/>
      <c r="M4" s="555"/>
    </row>
    <row r="5" spans="1:13" s="15" customFormat="1" ht="12.75" customHeight="1">
      <c r="A5" s="11"/>
      <c r="B5" s="17"/>
      <c r="C5" s="286"/>
      <c r="D5" s="286"/>
      <c r="E5" s="286"/>
      <c r="F5" s="286"/>
      <c r="G5" s="581"/>
      <c r="H5" s="582"/>
      <c r="I5" s="234"/>
      <c r="J5" s="229"/>
      <c r="K5" s="582"/>
      <c r="L5" s="582"/>
      <c r="M5" s="17"/>
    </row>
    <row r="6" spans="1:13" s="15" customFormat="1" ht="12.75" customHeight="1">
      <c r="A6" s="11"/>
      <c r="B6" s="17"/>
      <c r="C6" s="22"/>
      <c r="D6" s="22"/>
      <c r="E6" s="22"/>
      <c r="F6" s="22"/>
      <c r="G6" s="37"/>
      <c r="H6" s="35" t="s">
        <v>169</v>
      </c>
      <c r="I6" s="2" t="s">
        <v>170</v>
      </c>
      <c r="J6" s="3"/>
      <c r="K6" s="35" t="s">
        <v>17</v>
      </c>
      <c r="L6" s="35" t="s">
        <v>203</v>
      </c>
      <c r="M6" s="21"/>
    </row>
    <row r="7" spans="1:13" ht="12.95">
      <c r="A7" s="555"/>
      <c r="B7" s="555"/>
      <c r="E7" s="21" t="s">
        <v>167</v>
      </c>
      <c r="F7" s="21"/>
      <c r="G7" s="38" t="s">
        <v>173</v>
      </c>
      <c r="H7" s="35" t="s">
        <v>174</v>
      </c>
      <c r="I7" s="2" t="s">
        <v>176</v>
      </c>
      <c r="J7" s="4" t="s">
        <v>175</v>
      </c>
      <c r="K7" s="35" t="s">
        <v>174</v>
      </c>
      <c r="L7" s="35" t="s">
        <v>174</v>
      </c>
      <c r="M7" s="555"/>
    </row>
    <row r="8" spans="1:13" ht="12.95">
      <c r="A8" s="555"/>
      <c r="B8" s="555"/>
      <c r="C8" s="21" t="s">
        <v>204</v>
      </c>
      <c r="D8" s="21"/>
      <c r="E8" s="21" t="s">
        <v>205</v>
      </c>
      <c r="F8" s="21"/>
      <c r="G8" s="38" t="s">
        <v>182</v>
      </c>
      <c r="H8" s="35" t="s">
        <v>185</v>
      </c>
      <c r="I8" s="2" t="s">
        <v>184</v>
      </c>
      <c r="J8" s="4" t="s">
        <v>181</v>
      </c>
      <c r="K8" s="35" t="s">
        <v>185</v>
      </c>
      <c r="L8" s="35" t="s">
        <v>185</v>
      </c>
      <c r="M8" s="555"/>
    </row>
    <row r="9" spans="1:13" ht="12.95">
      <c r="A9" s="70"/>
      <c r="B9" s="70"/>
      <c r="C9" s="168" t="s">
        <v>2</v>
      </c>
      <c r="D9" s="168"/>
      <c r="E9" s="168" t="s">
        <v>3</v>
      </c>
      <c r="F9" s="168"/>
      <c r="G9" s="169" t="s">
        <v>4</v>
      </c>
      <c r="H9" s="168" t="s">
        <v>5</v>
      </c>
      <c r="I9" s="99" t="s">
        <v>6</v>
      </c>
      <c r="J9" s="88" t="s">
        <v>7</v>
      </c>
      <c r="K9" s="168" t="s">
        <v>8</v>
      </c>
      <c r="L9" s="168" t="s">
        <v>9</v>
      </c>
      <c r="M9" s="555"/>
    </row>
    <row r="10" spans="1:13" ht="12.95">
      <c r="A10" s="11" t="s">
        <v>206</v>
      </c>
      <c r="B10" s="555"/>
      <c r="C10" s="555"/>
      <c r="D10" s="555"/>
      <c r="E10" s="555"/>
      <c r="F10" s="555"/>
      <c r="G10" s="555"/>
      <c r="H10" s="555"/>
      <c r="I10" s="555"/>
      <c r="J10" s="555"/>
      <c r="K10" s="555"/>
      <c r="L10" s="555"/>
      <c r="M10" s="555"/>
    </row>
    <row r="11" spans="1:13" ht="12.95">
      <c r="A11" s="11"/>
      <c r="B11" s="555" t="s">
        <v>441</v>
      </c>
      <c r="C11" s="98"/>
      <c r="D11" s="98"/>
      <c r="E11" s="19"/>
      <c r="F11" s="19"/>
      <c r="H11" s="3"/>
      <c r="I11" s="3"/>
      <c r="K11" s="3"/>
      <c r="L11" s="3"/>
      <c r="M11" s="555"/>
    </row>
    <row r="12" spans="1:13" ht="12.95">
      <c r="A12" s="11" t="s">
        <v>208</v>
      </c>
      <c r="B12" s="555"/>
      <c r="H12" s="3"/>
      <c r="I12" s="3"/>
      <c r="K12" s="3"/>
      <c r="L12" s="3"/>
      <c r="M12" s="555"/>
    </row>
    <row r="13" spans="1:13">
      <c r="A13" s="17"/>
      <c r="B13" s="555" t="s">
        <v>209</v>
      </c>
      <c r="C13" s="22">
        <f>+'SP NMACH MODEL'!G18</f>
        <v>7520.1534775000709</v>
      </c>
      <c r="E13" s="22">
        <f>+PRODUCTIVITY!I7</f>
        <v>6833.2327250865728</v>
      </c>
      <c r="G13" s="37">
        <f>+'WAGE RATES - PIGGYBACK FACTORS'!$D$5</f>
        <v>50.10717457546064</v>
      </c>
      <c r="H13" s="3">
        <f>+G13/E13*100</f>
        <v>0.73328652178791132</v>
      </c>
      <c r="I13" s="3">
        <f>+H13*('WAGE RATES - PIGGYBACK FACTORS'!$D$7-1)</f>
        <v>9.2400317917214272E-3</v>
      </c>
      <c r="J13" s="3">
        <f>+'WAGE RATES - PIGGYBACK FACTORS'!D22</f>
        <v>1.6888485071959758</v>
      </c>
      <c r="K13" s="3">
        <f>+H13*J13+I13</f>
        <v>1.2476498794601647</v>
      </c>
      <c r="L13" s="3">
        <f>+(K13*C13/10000)</f>
        <v>0.93825185797249011</v>
      </c>
      <c r="M13" s="555"/>
    </row>
    <row r="14" spans="1:13">
      <c r="A14" s="17"/>
      <c r="B14" s="555" t="s">
        <v>210</v>
      </c>
      <c r="C14" s="22">
        <f>+'SP NMACH MODEL'!G25</f>
        <v>733.53717713824358</v>
      </c>
      <c r="E14" s="163" t="s">
        <v>211</v>
      </c>
      <c r="F14" s="163" t="s">
        <v>211</v>
      </c>
      <c r="G14" s="163" t="s">
        <v>211</v>
      </c>
      <c r="H14" s="163" t="s">
        <v>211</v>
      </c>
      <c r="I14" s="163" t="s">
        <v>211</v>
      </c>
      <c r="J14" s="163" t="s">
        <v>211</v>
      </c>
      <c r="K14" s="3">
        <f>+MISC!$E$7</f>
        <v>0.27889541043904115</v>
      </c>
      <c r="L14" s="3">
        <f>+(K14*C14/10000)</f>
        <v>2.0458015209026608E-2</v>
      </c>
      <c r="M14" s="555"/>
    </row>
    <row r="15" spans="1:13">
      <c r="A15" s="17"/>
      <c r="B15" s="555" t="s">
        <v>212</v>
      </c>
      <c r="C15" s="22">
        <f>+'SP NMACH MODEL'!G32</f>
        <v>14.817450978192475</v>
      </c>
      <c r="E15" s="22">
        <f>+PRODUCTIVITY!I9</f>
        <v>846.86662945459375</v>
      </c>
      <c r="G15" s="37">
        <f>+'WAGE RATES - PIGGYBACK FACTORS'!$D$4</f>
        <v>54.142360316355024</v>
      </c>
      <c r="H15" s="3">
        <f>+G15/E15*100</f>
        <v>6.3932570292944773</v>
      </c>
      <c r="I15" s="3">
        <f>+H15*('WAGE RATES - PIGGYBACK FACTORS'!$D$7-1)</f>
        <v>8.0560458222104642E-2</v>
      </c>
      <c r="J15" s="3">
        <f>+'WAGE RATES - PIGGYBACK FACTORS'!D23</f>
        <v>1.2615773174013249</v>
      </c>
      <c r="K15" s="3">
        <f>+H15*J15+I15</f>
        <v>8.1461485106965945</v>
      </c>
      <c r="L15" s="3">
        <f>+(K15*C15/10000)</f>
        <v>1.2070515621832242E-2</v>
      </c>
      <c r="M15" s="555"/>
    </row>
    <row r="16" spans="1:13">
      <c r="A16" s="17"/>
      <c r="B16" s="555" t="s">
        <v>213</v>
      </c>
      <c r="C16" s="22">
        <f>+'SP NMACH MODEL'!G39</f>
        <v>742.63446543632983</v>
      </c>
      <c r="E16" s="22">
        <f>+PRODUCTIVITY!I11</f>
        <v>6833.2327250865728</v>
      </c>
      <c r="G16" s="37">
        <f>+'WAGE RATES - PIGGYBACK FACTORS'!$D$5</f>
        <v>50.10717457546064</v>
      </c>
      <c r="H16" s="3">
        <f>+G16/E16*100</f>
        <v>0.73328652178791132</v>
      </c>
      <c r="I16" s="3">
        <f>+H16*('WAGE RATES - PIGGYBACK FACTORS'!$D$7-1)</f>
        <v>9.2400317917214272E-3</v>
      </c>
      <c r="J16" s="3">
        <f>+'WAGE RATES - PIGGYBACK FACTORS'!D24</f>
        <v>1.6888485071959758</v>
      </c>
      <c r="K16" s="3">
        <f>+H16*J16+I16</f>
        <v>1.2476498794601647</v>
      </c>
      <c r="L16" s="3">
        <f>+(K16*C16/10000)</f>
        <v>9.2654780128460068E-2</v>
      </c>
      <c r="M16" s="555"/>
    </row>
    <row r="17" spans="1:12">
      <c r="A17" s="17"/>
      <c r="B17" s="555" t="s">
        <v>214</v>
      </c>
      <c r="C17" s="22">
        <f>+'SP NMACH MODEL'!C32</f>
        <v>1.5225002502297802</v>
      </c>
      <c r="E17" s="22">
        <f>+PRODUCTIVITY!I10</f>
        <v>1983.215429441294</v>
      </c>
      <c r="G17" s="37">
        <f>+'WAGE RATES - PIGGYBACK FACTORS'!$D$5</f>
        <v>50.10717457546064</v>
      </c>
      <c r="H17" s="3">
        <f>+G17/E17*100</f>
        <v>2.5265623608816261</v>
      </c>
      <c r="I17" s="3">
        <f>+H17*('WAGE RATES - PIGGYBACK FACTORS'!$D$7-1)</f>
        <v>3.1836827549198018E-2</v>
      </c>
      <c r="J17" s="3">
        <f>+'WAGE RATES - PIGGYBACK FACTORS'!D25</f>
        <v>3.4396834863913082</v>
      </c>
      <c r="K17" s="3">
        <f>+H17*J17+I17</f>
        <v>8.7224116576115645</v>
      </c>
      <c r="L17" s="3">
        <f>+(K17*C17/10000)</f>
        <v>1.327987393132076E-3</v>
      </c>
    </row>
    <row r="18" spans="1:12" ht="12.95">
      <c r="A18" s="11" t="s">
        <v>215</v>
      </c>
      <c r="B18" s="555"/>
      <c r="H18" s="3"/>
      <c r="I18" s="3"/>
      <c r="K18" s="3"/>
      <c r="L18" s="3"/>
    </row>
    <row r="19" spans="1:12">
      <c r="A19" s="17"/>
      <c r="B19" s="555" t="s">
        <v>216</v>
      </c>
      <c r="C19" s="22">
        <f>+'SP NMACH MODEL'!S16</f>
        <v>117.60870075458118</v>
      </c>
      <c r="E19" s="22">
        <f>+PRODUCTIVITY!I13</f>
        <v>6833.2327250865728</v>
      </c>
      <c r="G19" s="37">
        <f>+'WAGE RATES - PIGGYBACK FACTORS'!$D$5</f>
        <v>50.10717457546064</v>
      </c>
      <c r="H19" s="3">
        <f>+G19/E19*100</f>
        <v>0.73328652178791132</v>
      </c>
      <c r="I19" s="3">
        <f>+H19*('WAGE RATES - PIGGYBACK FACTORS'!$D$7-1)</f>
        <v>9.2400317917214272E-3</v>
      </c>
      <c r="J19" s="3">
        <f>+'WAGE RATES - PIGGYBACK FACTORS'!D26</f>
        <v>1.6888485071959758</v>
      </c>
      <c r="K19" s="3">
        <f>+H19*J19+I19</f>
        <v>1.2476498794601647</v>
      </c>
      <c r="L19" s="3">
        <f>+(K19*C19/10000)</f>
        <v>1.4673448131991979E-2</v>
      </c>
    </row>
    <row r="20" spans="1:12">
      <c r="A20" s="17"/>
      <c r="B20" s="555" t="s">
        <v>217</v>
      </c>
      <c r="C20" s="22">
        <f>+'SP NMACH MODEL'!AA16</f>
        <v>2556.7177020414715</v>
      </c>
      <c r="E20" s="22">
        <f>+PRODUCTIVITY!I20</f>
        <v>631.32213496808799</v>
      </c>
      <c r="G20" s="37">
        <f>+'WAGE RATES - PIGGYBACK FACTORS'!$D$5</f>
        <v>50.10717457546064</v>
      </c>
      <c r="H20" s="3">
        <f>+G20/E20*100</f>
        <v>7.9368632588802628</v>
      </c>
      <c r="I20" s="3">
        <f>+H20*('WAGE RATES - PIGGYBACK FACTORS'!$D$7-1)</f>
        <v>0.1000112052513773</v>
      </c>
      <c r="J20" s="3">
        <f>+'WAGE RATES - PIGGYBACK FACTORS'!D27</f>
        <v>1.2988119246888874</v>
      </c>
      <c r="K20" s="3">
        <f>+H20*J20+I20</f>
        <v>10.408503850510167</v>
      </c>
      <c r="L20" s="3">
        <f t="shared" ref="L20:L42" si="0">+(K20*C20/10000)</f>
        <v>2.6611606046366165</v>
      </c>
    </row>
    <row r="21" spans="1:12" ht="12.95">
      <c r="A21" s="11" t="s">
        <v>218</v>
      </c>
      <c r="B21" s="555"/>
      <c r="H21" s="3"/>
      <c r="I21" s="3"/>
      <c r="K21" s="3"/>
      <c r="L21" s="3"/>
    </row>
    <row r="22" spans="1:12">
      <c r="A22" s="17"/>
      <c r="B22" s="555" t="s">
        <v>216</v>
      </c>
      <c r="C22" s="22">
        <f>+'SP NMACH MODEL'!S24</f>
        <v>1431.2397915736974</v>
      </c>
      <c r="E22" s="22">
        <f>+PRODUCTIVITY!I14</f>
        <v>5441.4416043491601</v>
      </c>
      <c r="G22" s="37">
        <f>+'WAGE RATES - PIGGYBACK FACTORS'!$D$5</f>
        <v>50.10717457546064</v>
      </c>
      <c r="H22" s="3">
        <f>+G22/E22*100</f>
        <v>0.92084374360301269</v>
      </c>
      <c r="I22" s="3">
        <f>+H22*('WAGE RATES - PIGGYBACK FACTORS'!$D$7-1)</f>
        <v>1.1603411781459913E-2</v>
      </c>
      <c r="J22" s="3">
        <f>+'WAGE RATES - PIGGYBACK FACTORS'!D28</f>
        <v>1.6888485071959758</v>
      </c>
      <c r="K22" s="3">
        <f>+H22*J22+I22</f>
        <v>1.5667689935261617</v>
      </c>
      <c r="L22" s="3">
        <f t="shared" si="0"/>
        <v>0.22424221277385153</v>
      </c>
    </row>
    <row r="23" spans="1:12">
      <c r="A23" s="17"/>
      <c r="B23" s="555" t="s">
        <v>217</v>
      </c>
      <c r="C23" s="22">
        <f>+'SP NMACH MODEL'!AA24</f>
        <v>822.71102885456776</v>
      </c>
      <c r="E23" s="22">
        <f>+PRODUCTIVITY!I21</f>
        <v>1087.9987358115229</v>
      </c>
      <c r="G23" s="37">
        <f>+'WAGE RATES - PIGGYBACK FACTORS'!$D$5</f>
        <v>50.10717457546064</v>
      </c>
      <c r="H23" s="3">
        <f>+G23/E23*100</f>
        <v>4.6054441908966375</v>
      </c>
      <c r="I23" s="3">
        <f>+H23*('WAGE RATES - PIGGYBACK FACTORS'!$D$7-1)</f>
        <v>5.8032500904457822E-2</v>
      </c>
      <c r="J23" s="3">
        <f>+'WAGE RATES - PIGGYBACK FACTORS'!D29</f>
        <v>1.2988119246888874</v>
      </c>
      <c r="K23" s="3">
        <f>+H23*J23+I23</f>
        <v>6.0396383345301761</v>
      </c>
      <c r="L23" s="3">
        <f t="shared" si="0"/>
        <v>0.49688770681108091</v>
      </c>
    </row>
    <row r="24" spans="1:12" ht="12.95">
      <c r="A24" s="11" t="s">
        <v>219</v>
      </c>
      <c r="B24" s="555"/>
      <c r="H24" s="3"/>
      <c r="I24" s="3"/>
      <c r="K24" s="3"/>
      <c r="L24" s="3"/>
    </row>
    <row r="25" spans="1:12">
      <c r="A25" s="17"/>
      <c r="B25" s="555" t="s">
        <v>209</v>
      </c>
      <c r="C25" s="22">
        <f>+'SP NMACH MODEL'!G51</f>
        <v>0</v>
      </c>
      <c r="E25" s="22">
        <f>+PRODUCTIVITY!I8</f>
        <v>5815.8678468113585</v>
      </c>
      <c r="G25" s="37">
        <f>+'WAGE RATES - PIGGYBACK FACTORS'!$D$5</f>
        <v>50.10717457546064</v>
      </c>
      <c r="H25" s="3">
        <f>+G25/E25*100</f>
        <v>0.86155971723003799</v>
      </c>
      <c r="I25" s="3">
        <f>+H25*('WAGE RATES - PIGGYBACK FACTORS'!$D$7-1)</f>
        <v>1.085638279326589E-2</v>
      </c>
      <c r="J25" s="3">
        <f>+'WAGE RATES - PIGGYBACK FACTORS'!D30</f>
        <v>1.6888485071959758</v>
      </c>
      <c r="K25" s="3">
        <f>+H25*J25+I25</f>
        <v>1.4659002250974027</v>
      </c>
      <c r="L25" s="3">
        <f t="shared" si="0"/>
        <v>0</v>
      </c>
    </row>
    <row r="26" spans="1:12">
      <c r="A26" s="17"/>
      <c r="B26" s="555" t="s">
        <v>210</v>
      </c>
      <c r="C26" s="22">
        <f>+'SP NMACH MODEL'!G58</f>
        <v>0</v>
      </c>
      <c r="E26" s="163" t="s">
        <v>211</v>
      </c>
      <c r="F26" s="163" t="s">
        <v>211</v>
      </c>
      <c r="G26" s="163" t="s">
        <v>211</v>
      </c>
      <c r="H26" s="163" t="s">
        <v>211</v>
      </c>
      <c r="I26" s="163" t="s">
        <v>211</v>
      </c>
      <c r="J26" s="163" t="s">
        <v>211</v>
      </c>
      <c r="K26" s="3">
        <f>+MISC!$E$7</f>
        <v>0.27889541043904115</v>
      </c>
      <c r="L26" s="3">
        <f>+(K26*C26/10000)</f>
        <v>0</v>
      </c>
    </row>
    <row r="27" spans="1:12">
      <c r="A27" s="17"/>
      <c r="B27" s="555" t="s">
        <v>212</v>
      </c>
      <c r="C27" s="22">
        <f>+'SP NMACH MODEL'!G65</f>
        <v>0</v>
      </c>
      <c r="E27" s="22">
        <f>+PRODUCTIVITY!I9</f>
        <v>846.86662945459375</v>
      </c>
      <c r="G27" s="37">
        <f>+'WAGE RATES - PIGGYBACK FACTORS'!$D$4</f>
        <v>54.142360316355024</v>
      </c>
      <c r="H27" s="3">
        <f>+G27/E27*100</f>
        <v>6.3932570292944773</v>
      </c>
      <c r="I27" s="3">
        <f>+H27*('WAGE RATES - PIGGYBACK FACTORS'!$D$7-1)</f>
        <v>8.0560458222104642E-2</v>
      </c>
      <c r="J27" s="3">
        <f>+'WAGE RATES - PIGGYBACK FACTORS'!D31</f>
        <v>1.2615773174013249</v>
      </c>
      <c r="K27" s="3">
        <f>+H27*J27+I27</f>
        <v>8.1461485106965945</v>
      </c>
      <c r="L27" s="3">
        <f t="shared" si="0"/>
        <v>0</v>
      </c>
    </row>
    <row r="28" spans="1:12">
      <c r="A28" s="17"/>
      <c r="B28" s="555" t="s">
        <v>213</v>
      </c>
      <c r="C28" s="22">
        <f>+'SP NMACH MODEL'!G72</f>
        <v>0</v>
      </c>
      <c r="E28" s="22">
        <f>+PRODUCTIVITY!I12</f>
        <v>5815.8678468113585</v>
      </c>
      <c r="G28" s="37">
        <f>+'WAGE RATES - PIGGYBACK FACTORS'!$D$5</f>
        <v>50.10717457546064</v>
      </c>
      <c r="H28" s="3">
        <f>+G28/E28*100</f>
        <v>0.86155971723003799</v>
      </c>
      <c r="I28" s="3">
        <f>+H28*('WAGE RATES - PIGGYBACK FACTORS'!$D$7-1)</f>
        <v>1.085638279326589E-2</v>
      </c>
      <c r="J28" s="3">
        <f>+'WAGE RATES - PIGGYBACK FACTORS'!D32</f>
        <v>1.6888485071959758</v>
      </c>
      <c r="K28" s="3">
        <f>+H28*J28+I28</f>
        <v>1.4659002250974027</v>
      </c>
      <c r="L28" s="3">
        <f t="shared" si="0"/>
        <v>0</v>
      </c>
    </row>
    <row r="29" spans="1:12">
      <c r="A29" s="17"/>
      <c r="B29" s="555" t="s">
        <v>214</v>
      </c>
      <c r="C29" s="22">
        <f>+'SP NMACH MODEL'!C65</f>
        <v>0</v>
      </c>
      <c r="E29" s="22">
        <f>+PRODUCTIVITY!I10</f>
        <v>1983.215429441294</v>
      </c>
      <c r="G29" s="37">
        <f>+'WAGE RATES - PIGGYBACK FACTORS'!$D$5</f>
        <v>50.10717457546064</v>
      </c>
      <c r="H29" s="3">
        <f>+G29/E29*100</f>
        <v>2.5265623608816261</v>
      </c>
      <c r="I29" s="3">
        <f>+H29*('WAGE RATES - PIGGYBACK FACTORS'!$D$7-1)</f>
        <v>3.1836827549198018E-2</v>
      </c>
      <c r="J29" s="3">
        <f>+'WAGE RATES - PIGGYBACK FACTORS'!D33</f>
        <v>3.4396834863913082</v>
      </c>
      <c r="K29" s="3">
        <f>+H29*J29+I29</f>
        <v>8.7224116576115645</v>
      </c>
      <c r="L29" s="3">
        <f t="shared" si="0"/>
        <v>0</v>
      </c>
    </row>
    <row r="30" spans="1:12" ht="12.95">
      <c r="A30" s="11" t="s">
        <v>220</v>
      </c>
      <c r="B30" s="555"/>
      <c r="H30" s="3"/>
      <c r="I30" s="3"/>
      <c r="K30" s="3"/>
      <c r="L30" s="3"/>
    </row>
    <row r="31" spans="1:12">
      <c r="A31" s="17"/>
      <c r="B31" s="555" t="s">
        <v>58</v>
      </c>
      <c r="C31" s="22">
        <f>+'SP NMACH MODEL'!S32</f>
        <v>2819.2463275517616</v>
      </c>
      <c r="E31" s="22">
        <f>+PRODUCTIVITY!I15</f>
        <v>5271.1401686095996</v>
      </c>
      <c r="G31" s="37">
        <f>+'WAGE RATES - PIGGYBACK FACTORS'!$D$5</f>
        <v>50.10717457546064</v>
      </c>
      <c r="H31" s="3">
        <f>+G31/E31*100</f>
        <v>0.95059461468803463</v>
      </c>
      <c r="I31" s="3">
        <f>+H31*('WAGE RATES - PIGGYBACK FACTORS'!$D$7-1)</f>
        <v>1.1978297977358816E-2</v>
      </c>
      <c r="J31" s="3">
        <f>+'WAGE RATES - PIGGYBACK FACTORS'!D34</f>
        <v>1.6888485071959758</v>
      </c>
      <c r="K31" s="3">
        <f>+H31*J31+I31</f>
        <v>1.61738859394178</v>
      </c>
      <c r="L31" s="3">
        <f t="shared" si="0"/>
        <v>0.45598168536944705</v>
      </c>
    </row>
    <row r="32" spans="1:12">
      <c r="A32" s="17"/>
      <c r="B32" s="555" t="s">
        <v>221</v>
      </c>
      <c r="C32" s="22">
        <f>+'SP NMACH MODEL'!AA32</f>
        <v>1917.4160109119503</v>
      </c>
      <c r="E32" s="22">
        <f>+PRODUCTIVITY!I22</f>
        <v>1213.9420566221461</v>
      </c>
      <c r="G32" s="37">
        <f>+'WAGE RATES - PIGGYBACK FACTORS'!$D$5</f>
        <v>50.10717457546064</v>
      </c>
      <c r="H32" s="3">
        <f>+G32/E32*100</f>
        <v>4.1276413731711656</v>
      </c>
      <c r="I32" s="3">
        <f>+H32*('WAGE RATES - PIGGYBACK FACTORS'!$D$7-1)</f>
        <v>5.2011780361016051E-2</v>
      </c>
      <c r="J32" s="3">
        <f>+'WAGE RATES - PIGGYBACK FACTORS'!D35</f>
        <v>1.2988119246888874</v>
      </c>
      <c r="K32" s="3">
        <f>+H32*J32+I32</f>
        <v>5.4130416166749402</v>
      </c>
      <c r="L32" s="3">
        <f t="shared" si="0"/>
        <v>1.0379052663545238</v>
      </c>
    </row>
    <row r="33" spans="1:13" ht="12.95">
      <c r="A33" s="11" t="s">
        <v>222</v>
      </c>
      <c r="B33" s="555"/>
      <c r="H33" s="3"/>
      <c r="I33" s="3"/>
      <c r="K33" s="3"/>
      <c r="L33" s="3"/>
      <c r="M33" s="555"/>
    </row>
    <row r="34" spans="1:13">
      <c r="A34" s="17"/>
      <c r="B34" s="555" t="s">
        <v>216</v>
      </c>
      <c r="C34" s="22">
        <f>+'SP NMACH MODEL'!S40</f>
        <v>4428.3257165050954</v>
      </c>
      <c r="E34" s="22">
        <f>+PRODUCTIVITY!I16</f>
        <v>10175.776688046904</v>
      </c>
      <c r="G34" s="37">
        <f>+'WAGE RATES - PIGGYBACK FACTORS'!$D$5</f>
        <v>50.10717457546064</v>
      </c>
      <c r="H34" s="3">
        <f>+G34/E34*100</f>
        <v>0.49241621658540935</v>
      </c>
      <c r="I34" s="3">
        <f>+H34*('WAGE RATES - PIGGYBACK FACTORS'!$D$7-1)</f>
        <v>6.2048617570586509E-3</v>
      </c>
      <c r="J34" s="3">
        <f>+'WAGE RATES - PIGGYBACK FACTORS'!D36</f>
        <v>1.6888485071959758</v>
      </c>
      <c r="K34" s="3">
        <f>+H34*J34+I34</f>
        <v>0.83782125405641761</v>
      </c>
      <c r="L34" s="3">
        <f t="shared" si="0"/>
        <v>0.3710145405172583</v>
      </c>
      <c r="M34" s="555"/>
    </row>
    <row r="35" spans="1:13">
      <c r="A35" s="17"/>
      <c r="B35" s="555" t="s">
        <v>217</v>
      </c>
      <c r="C35" s="22">
        <f>+'SP NMACH MODEL'!AA40</f>
        <v>3964.2748643676923</v>
      </c>
      <c r="E35" s="22">
        <f>+PRODUCTIVITY!I23</f>
        <v>1107.0494375224957</v>
      </c>
      <c r="G35" s="37">
        <f>+'WAGE RATES - PIGGYBACK FACTORS'!$D$5</f>
        <v>50.10717457546064</v>
      </c>
      <c r="H35" s="3">
        <f>+G35/E35*100</f>
        <v>4.5261912320372275</v>
      </c>
      <c r="I35" s="3">
        <f>+H35*('WAGE RATES - PIGGYBACK FACTORS'!$D$7-1)</f>
        <v>5.7033846438992626E-2</v>
      </c>
      <c r="J35" s="3">
        <f>+'WAGE RATES - PIGGYBACK FACTORS'!D37</f>
        <v>1.2988119246888874</v>
      </c>
      <c r="K35" s="3">
        <f>+H35*J35+I35</f>
        <v>5.9357049920312299</v>
      </c>
      <c r="L35" s="3">
        <f t="shared" si="0"/>
        <v>2.3530766102211236</v>
      </c>
      <c r="M35" s="555"/>
    </row>
    <row r="36" spans="1:13" ht="12.95">
      <c r="A36" s="11" t="s">
        <v>223</v>
      </c>
      <c r="B36" s="555"/>
      <c r="H36" s="3"/>
      <c r="I36" s="3"/>
      <c r="K36" s="3"/>
      <c r="L36" s="3"/>
      <c r="M36" s="555"/>
    </row>
    <row r="37" spans="1:13">
      <c r="A37" s="555"/>
      <c r="B37" s="555" t="s">
        <v>224</v>
      </c>
      <c r="C37" s="22">
        <f>+'SP NMACH MODEL'!W49</f>
        <v>174.35480393469771</v>
      </c>
      <c r="E37" s="22">
        <f>+PRODUCTIVITY!I17</f>
        <v>13094.29928777944</v>
      </c>
      <c r="G37" s="37">
        <f>+'WAGE RATES - PIGGYBACK FACTORS'!$D$5</f>
        <v>50.10717457546064</v>
      </c>
      <c r="H37" s="3">
        <f t="shared" ref="H37:H42" si="1">+G37/E37*100</f>
        <v>0.38266403932148035</v>
      </c>
      <c r="I37" s="3">
        <f>+H37*('WAGE RATES - PIGGYBACK FACTORS'!$D$7-1)</f>
        <v>4.8218912850844474E-3</v>
      </c>
      <c r="J37" s="3">
        <f>+'WAGE RATES - PIGGYBACK FACTORS'!D38</f>
        <v>1.6888485071959758</v>
      </c>
      <c r="K37" s="3">
        <f t="shared" ref="K37:K42" si="2">+H37*J37+I37</f>
        <v>0.6510834828507488</v>
      </c>
      <c r="L37" s="3">
        <f t="shared" si="0"/>
        <v>1.1351953299756242E-2</v>
      </c>
      <c r="M37" s="555"/>
    </row>
    <row r="38" spans="1:13">
      <c r="A38" s="555"/>
      <c r="B38" s="555" t="s">
        <v>225</v>
      </c>
      <c r="C38" s="22">
        <f>+'SP NMACH MODEL'!W56</f>
        <v>0</v>
      </c>
      <c r="E38" s="22">
        <f>+PRODUCTIVITY!I19</f>
        <v>0</v>
      </c>
      <c r="G38" s="37">
        <f>+'WAGE RATES - PIGGYBACK FACTORS'!$D$5</f>
        <v>50.10717457546064</v>
      </c>
      <c r="H38" s="3">
        <v>0</v>
      </c>
      <c r="I38" s="3">
        <f>+H38*('WAGE RATES - PIGGYBACK FACTORS'!$D$7-1)</f>
        <v>0</v>
      </c>
      <c r="J38" s="3">
        <f>+'WAGE RATES - PIGGYBACK FACTORS'!D39</f>
        <v>0</v>
      </c>
      <c r="K38" s="3">
        <f t="shared" si="2"/>
        <v>0</v>
      </c>
      <c r="L38" s="3">
        <f t="shared" si="0"/>
        <v>0</v>
      </c>
      <c r="M38" s="555"/>
    </row>
    <row r="39" spans="1:13">
      <c r="A39" s="555"/>
      <c r="B39" s="555" t="s">
        <v>226</v>
      </c>
      <c r="C39" s="22">
        <f>+'SP NMACH MODEL'!W63</f>
        <v>8319.4981383472168</v>
      </c>
      <c r="E39" s="22">
        <f>+PRODUCTIVITY!I18</f>
        <v>6910.0702052322977</v>
      </c>
      <c r="G39" s="37">
        <f>+'WAGE RATES - PIGGYBACK FACTORS'!$D$5</f>
        <v>50.10717457546064</v>
      </c>
      <c r="H39" s="3">
        <f t="shared" si="1"/>
        <v>0.72513264101889352</v>
      </c>
      <c r="I39" s="3">
        <f>+H39*('WAGE RATES - PIGGYBACK FACTORS'!$D$7-1)</f>
        <v>9.1372859818735514E-3</v>
      </c>
      <c r="J39" s="3">
        <f>+'WAGE RATES - PIGGYBACK FACTORS'!D40</f>
        <v>1.6888485071959758</v>
      </c>
      <c r="K39" s="3">
        <f t="shared" si="2"/>
        <v>1.2337764642857072</v>
      </c>
      <c r="L39" s="3">
        <f t="shared" si="0"/>
        <v>1.0264400997761554</v>
      </c>
      <c r="M39" s="555"/>
    </row>
    <row r="40" spans="1:13">
      <c r="A40" s="555"/>
      <c r="B40" s="555" t="s">
        <v>227</v>
      </c>
      <c r="C40" s="22">
        <f>+'SP NMACH MODEL'!AA74*(1-MISC!E9)</f>
        <v>7250.9096446819785</v>
      </c>
      <c r="E40" s="22">
        <f>+PRODUCTIVITY!I24</f>
        <v>810.31043431031583</v>
      </c>
      <c r="G40" s="37">
        <f>+'WAGE RATES - PIGGYBACK FACTORS'!$D$5</f>
        <v>50.10717457546064</v>
      </c>
      <c r="H40" s="3">
        <f t="shared" si="1"/>
        <v>6.1837010180065928</v>
      </c>
      <c r="I40" s="3">
        <f>+H40*('WAGE RATES - PIGGYBACK FACTORS'!$D$7-1)</f>
        <v>7.7919874836328964E-2</v>
      </c>
      <c r="J40" s="3">
        <f>+'WAGE RATES - PIGGYBACK FACTORS'!D42</f>
        <v>1.2988119246888874</v>
      </c>
      <c r="K40" s="3">
        <f t="shared" si="2"/>
        <v>8.1093844957341048</v>
      </c>
      <c r="L40" s="3">
        <f t="shared" si="0"/>
        <v>5.8800414252552926</v>
      </c>
      <c r="M40" s="555"/>
    </row>
    <row r="41" spans="1:13">
      <c r="A41" s="555"/>
      <c r="B41" s="555" t="s">
        <v>228</v>
      </c>
      <c r="C41" s="22">
        <f>+MISC!E10*('SP NMACH MODEL'!AE64+'SP NMACH MODEL'!AE57)</f>
        <v>120.35494075114727</v>
      </c>
      <c r="E41" s="22">
        <f>+PRODUCTIVITY!I25</f>
        <v>1955.193482688391</v>
      </c>
      <c r="G41" s="37">
        <f>+'WAGE RATES - PIGGYBACK FACTORS'!$D$5</f>
        <v>50.10717457546064</v>
      </c>
      <c r="H41" s="3">
        <f t="shared" si="1"/>
        <v>2.5627731996407475</v>
      </c>
      <c r="I41" s="3">
        <f>+H41*('WAGE RATES - PIGGYBACK FACTORS'!$D$7-1)</f>
        <v>3.2293114813995112E-2</v>
      </c>
      <c r="J41" s="3">
        <f>+'WAGE RATES - PIGGYBACK FACTORS'!D43</f>
        <v>1.2988119246888874</v>
      </c>
      <c r="K41" s="3">
        <f t="shared" si="2"/>
        <v>3.3608535067804928</v>
      </c>
      <c r="L41" s="3">
        <f t="shared" si="0"/>
        <v>4.0449532468185175E-2</v>
      </c>
      <c r="M41" s="555"/>
    </row>
    <row r="42" spans="1:13">
      <c r="A42" s="552"/>
      <c r="B42" s="552" t="s">
        <v>229</v>
      </c>
      <c r="C42" s="71">
        <f>+MISC!E10*('SP NMACH MODEL'!AE75+'SP NMACH MODEL'!AE50)</f>
        <v>337.99006384676812</v>
      </c>
      <c r="D42" s="71"/>
      <c r="E42" s="71">
        <f>+PRODUCTIVITY!I26</f>
        <v>977.59674134419549</v>
      </c>
      <c r="F42" s="71"/>
      <c r="G42" s="488">
        <f>+'WAGE RATES - PIGGYBACK FACTORS'!$D$5</f>
        <v>50.10717457546064</v>
      </c>
      <c r="H42" s="489">
        <f t="shared" si="1"/>
        <v>5.1255463992814949</v>
      </c>
      <c r="I42" s="489">
        <f>+H42*('WAGE RATES - PIGGYBACK FACTORS'!$D$7-1)</f>
        <v>6.4586229627990224E-2</v>
      </c>
      <c r="J42" s="489">
        <f>+'WAGE RATES - PIGGYBACK FACTORS'!D44</f>
        <v>1.2988119246888874</v>
      </c>
      <c r="K42" s="489">
        <f t="shared" si="2"/>
        <v>6.7217070135609855</v>
      </c>
      <c r="L42" s="489">
        <f t="shared" si="0"/>
        <v>0.22718701826727467</v>
      </c>
      <c r="M42" s="555"/>
    </row>
    <row r="43" spans="1:13" ht="9" customHeight="1" thickBot="1">
      <c r="A43" s="555"/>
      <c r="B43" s="555"/>
      <c r="H43" s="3"/>
      <c r="I43" s="3"/>
      <c r="K43" s="3"/>
      <c r="L43" s="4"/>
      <c r="M43" s="555"/>
    </row>
    <row r="44" spans="1:13" ht="13.5" thickBot="1">
      <c r="A44" s="555"/>
      <c r="B44" s="555"/>
      <c r="H44" s="3"/>
      <c r="J44" s="490" t="s">
        <v>545</v>
      </c>
      <c r="K44" s="491"/>
      <c r="L44" s="492">
        <f>SUM(L11:L42)</f>
        <v>15.865175260207501</v>
      </c>
      <c r="M44" s="11" t="s">
        <v>81</v>
      </c>
    </row>
    <row r="45" spans="1:13" ht="9" customHeight="1">
      <c r="A45" s="555"/>
      <c r="B45" s="555"/>
      <c r="H45" s="3"/>
      <c r="J45" s="34"/>
      <c r="K45" s="1"/>
      <c r="L45" s="2"/>
      <c r="M45" s="11"/>
    </row>
    <row r="46" spans="1:13" ht="12.95">
      <c r="A46" s="555"/>
      <c r="B46" s="555"/>
      <c r="J46" s="34"/>
      <c r="K46" s="507" t="s">
        <v>546</v>
      </c>
      <c r="L46" s="4">
        <f>'METERED LETTERS COST'!L46</f>
        <v>0</v>
      </c>
      <c r="M46" s="11" t="s">
        <v>83</v>
      </c>
    </row>
    <row r="47" spans="1:13" ht="12.95">
      <c r="A47" s="555"/>
      <c r="B47" s="555"/>
      <c r="K47" s="507" t="s">
        <v>547</v>
      </c>
      <c r="L47" s="4">
        <f>'CRA-METERED LETTERS'!G77+'CRA-METERED LETTERS'!H77</f>
        <v>3.7000399970332145</v>
      </c>
      <c r="M47" s="11" t="s">
        <v>85</v>
      </c>
    </row>
    <row r="48" spans="1:13" ht="12.95">
      <c r="A48" s="555"/>
      <c r="B48" s="555"/>
      <c r="C48" s="508"/>
      <c r="D48" s="508"/>
      <c r="E48" s="508"/>
      <c r="F48" s="508"/>
      <c r="G48" s="509"/>
      <c r="K48" s="507" t="s">
        <v>548</v>
      </c>
      <c r="L48" s="4">
        <f>+L44*L46+L47</f>
        <v>3.7000399970332145</v>
      </c>
      <c r="M48" s="11" t="s">
        <v>106</v>
      </c>
    </row>
    <row r="49" spans="1:12" ht="12.95">
      <c r="A49" s="9" t="s">
        <v>65</v>
      </c>
      <c r="B49" s="555"/>
      <c r="C49" s="508"/>
      <c r="D49" s="508"/>
      <c r="E49" s="508"/>
      <c r="F49" s="508"/>
      <c r="G49" s="509"/>
    </row>
    <row r="50" spans="1:12" s="11" customFormat="1" ht="12.95">
      <c r="A50" s="216" t="s">
        <v>549</v>
      </c>
      <c r="B50" s="216"/>
      <c r="C50" s="218"/>
      <c r="D50" s="218"/>
      <c r="E50" s="218"/>
      <c r="F50" s="218"/>
      <c r="G50" s="219"/>
      <c r="H50" s="35"/>
      <c r="I50" s="2"/>
      <c r="J50" s="40"/>
      <c r="K50" s="35"/>
      <c r="L50" s="35"/>
    </row>
    <row r="51" spans="1:12" s="11" customFormat="1" ht="12.95">
      <c r="A51" s="216" t="s">
        <v>233</v>
      </c>
      <c r="B51" s="216"/>
      <c r="C51" s="23"/>
      <c r="D51" s="23"/>
      <c r="E51" s="23"/>
      <c r="F51" s="23"/>
      <c r="G51" s="38"/>
      <c r="H51" s="35"/>
      <c r="I51" s="2"/>
      <c r="J51" s="40"/>
      <c r="K51" s="35"/>
      <c r="L51" s="35"/>
    </row>
    <row r="52" spans="1:12" s="11" customFormat="1" ht="12.95">
      <c r="A52" s="216" t="s">
        <v>234</v>
      </c>
      <c r="B52" s="216"/>
      <c r="C52" s="218"/>
      <c r="D52" s="218"/>
      <c r="E52" s="218"/>
      <c r="F52" s="218"/>
      <c r="G52" s="219"/>
      <c r="H52" s="39"/>
      <c r="I52" s="2"/>
      <c r="J52" s="4"/>
      <c r="K52" s="35"/>
      <c r="L52" s="35"/>
    </row>
    <row r="53" spans="1:12" s="11" customFormat="1" ht="12.95">
      <c r="A53" s="11" t="s">
        <v>424</v>
      </c>
      <c r="C53" s="218"/>
      <c r="D53" s="218"/>
      <c r="E53" s="218"/>
      <c r="F53" s="218"/>
      <c r="G53" s="219"/>
      <c r="H53" s="39"/>
      <c r="I53" s="2"/>
      <c r="J53" s="4"/>
      <c r="K53" s="35"/>
      <c r="L53" s="35"/>
    </row>
    <row r="54" spans="1:12" s="11" customFormat="1" ht="12.95">
      <c r="A54" s="216" t="s">
        <v>550</v>
      </c>
      <c r="B54" s="216"/>
      <c r="C54" s="23"/>
      <c r="D54" s="23"/>
      <c r="E54" s="23"/>
      <c r="F54" s="23"/>
      <c r="G54" s="38"/>
      <c r="H54" s="39"/>
      <c r="I54" s="2"/>
      <c r="J54" s="4"/>
      <c r="K54" s="35"/>
      <c r="L54" s="35"/>
    </row>
    <row r="55" spans="1:12" s="11" customFormat="1" ht="12.95">
      <c r="A55" s="216" t="s">
        <v>551</v>
      </c>
      <c r="B55" s="216"/>
      <c r="C55" s="23"/>
      <c r="D55" s="23"/>
      <c r="E55" s="23"/>
      <c r="F55" s="23"/>
      <c r="G55" s="38"/>
      <c r="H55" s="35"/>
      <c r="I55" s="2"/>
      <c r="J55" s="40"/>
      <c r="K55" s="35"/>
      <c r="L55" s="35"/>
    </row>
    <row r="56" spans="1:12" s="11" customFormat="1" ht="12.95">
      <c r="A56" s="220" t="s">
        <v>238</v>
      </c>
      <c r="C56" s="23"/>
      <c r="D56" s="23"/>
      <c r="E56" s="23"/>
      <c r="F56" s="23"/>
      <c r="G56" s="38"/>
      <c r="H56" s="35"/>
      <c r="I56" s="2"/>
      <c r="J56" s="4"/>
      <c r="K56" s="35"/>
      <c r="L56" s="35"/>
    </row>
    <row r="57" spans="1:12" s="11" customFormat="1" ht="12.95">
      <c r="A57" s="40" t="s">
        <v>239</v>
      </c>
      <c r="C57" s="23"/>
      <c r="D57" s="23"/>
      <c r="E57" s="23"/>
      <c r="F57" s="23"/>
      <c r="G57" s="38"/>
      <c r="H57" s="35"/>
      <c r="I57" s="2"/>
      <c r="J57" s="4"/>
      <c r="K57" s="35"/>
      <c r="L57" s="35"/>
    </row>
    <row r="58" spans="1:12" s="11" customFormat="1" ht="12.95">
      <c r="C58" s="23"/>
      <c r="D58" s="23"/>
      <c r="E58" s="23"/>
      <c r="F58" s="23"/>
      <c r="G58" s="38"/>
      <c r="H58" s="35"/>
      <c r="I58" s="2"/>
      <c r="J58" s="4"/>
      <c r="K58" s="35"/>
      <c r="L58" s="35"/>
    </row>
    <row r="59" spans="1:12" s="11" customFormat="1" ht="12.95">
      <c r="A59" s="40" t="s">
        <v>240</v>
      </c>
      <c r="C59" s="23"/>
      <c r="D59" s="23"/>
      <c r="E59" s="23"/>
      <c r="F59" s="23"/>
      <c r="G59" s="38"/>
      <c r="H59" s="35"/>
      <c r="I59" s="2"/>
      <c r="J59" s="4"/>
      <c r="K59" s="35"/>
      <c r="L59" s="35"/>
    </row>
    <row r="60" spans="1:12" s="11" customFormat="1" ht="12.95">
      <c r="A60" s="40" t="s">
        <v>552</v>
      </c>
      <c r="C60" s="23"/>
      <c r="D60" s="23"/>
      <c r="E60" s="23"/>
      <c r="F60" s="23"/>
      <c r="G60" s="38"/>
      <c r="H60" s="35"/>
      <c r="I60" s="2"/>
      <c r="J60" s="4"/>
      <c r="K60" s="35"/>
      <c r="L60" s="35"/>
    </row>
    <row r="61" spans="1:12" s="11" customFormat="1" ht="12.95">
      <c r="A61" s="40" t="s">
        <v>553</v>
      </c>
      <c r="C61" s="23"/>
      <c r="D61" s="23"/>
      <c r="E61" s="23"/>
      <c r="F61" s="23"/>
      <c r="G61" s="38"/>
      <c r="H61" s="35"/>
      <c r="I61" s="2"/>
      <c r="J61" s="4"/>
      <c r="K61" s="35"/>
      <c r="L61" s="35"/>
    </row>
    <row r="62" spans="1:12" s="11" customFormat="1" ht="12.95">
      <c r="A62" s="40" t="s">
        <v>554</v>
      </c>
      <c r="C62" s="23"/>
      <c r="D62" s="23"/>
      <c r="E62" s="23"/>
      <c r="F62" s="23"/>
      <c r="G62" s="38"/>
      <c r="H62" s="35"/>
      <c r="I62" s="2"/>
      <c r="J62" s="4"/>
      <c r="K62" s="35"/>
      <c r="L62" s="35"/>
    </row>
  </sheetData>
  <phoneticPr fontId="11" type="noConversion"/>
  <printOptions horizontalCentered="1"/>
  <pageMargins left="0.75" right="0.75" top="1" bottom="1" header="0.5" footer="0.5"/>
  <pageSetup scale="73" firstPageNumber="40" orientation="portrait" useFirstPageNumber="1" horizontalDpi="4294967292" r:id="rId1"/>
  <headerFooter alignWithMargins="0">
    <oddHeader>&amp;RPage 37</oddHeader>
  </headerFooter>
  <ignoredErrors>
    <ignoredError sqref="K14 K26" formula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8">
    <pageSetUpPr fitToPage="1"/>
  </sheetPr>
  <dimension ref="A1:AI100"/>
  <sheetViews>
    <sheetView zoomScale="70" zoomScaleNormal="70" workbookViewId="0"/>
  </sheetViews>
  <sheetFormatPr defaultColWidth="8.85546875" defaultRowHeight="12.6"/>
  <cols>
    <col min="1" max="1" width="1.7109375" customWidth="1"/>
    <col min="2" max="2" width="3.42578125" customWidth="1"/>
    <col min="3" max="3" width="6.28515625" style="1" customWidth="1"/>
    <col min="4" max="4" width="6.42578125" style="20" customWidth="1"/>
    <col min="5" max="5" width="4.7109375" customWidth="1"/>
    <col min="6" max="6" width="5.140625" customWidth="1"/>
    <col min="7" max="7" width="9.140625" style="20" customWidth="1"/>
    <col min="8" max="8" width="9" style="20" customWidth="1"/>
    <col min="9" max="9" width="8" style="20" customWidth="1"/>
    <col min="10" max="10" width="6.28515625" customWidth="1"/>
    <col min="11" max="11" width="6.7109375" style="20" customWidth="1"/>
    <col min="12" max="12" width="4.42578125" style="20" customWidth="1"/>
    <col min="13" max="13" width="4.140625" customWidth="1"/>
    <col min="14" max="14" width="12" customWidth="1"/>
    <col min="15" max="15" width="10.7109375" customWidth="1"/>
    <col min="16" max="16" width="8.7109375" style="20" customWidth="1"/>
    <col min="17" max="17" width="10.140625" style="20" customWidth="1"/>
    <col min="18" max="18" width="12" style="20" customWidth="1"/>
    <col min="19" max="19" width="10.42578125" customWidth="1"/>
    <col min="20" max="20" width="8.7109375" customWidth="1"/>
    <col min="21" max="21" width="1.7109375" customWidth="1"/>
    <col min="22" max="22" width="9.7109375" style="20" customWidth="1"/>
    <col min="23" max="23" width="10" style="20" customWidth="1"/>
    <col min="24" max="24" width="10.7109375" customWidth="1"/>
    <col min="25" max="25" width="5.7109375" style="20" customWidth="1"/>
    <col min="26" max="26" width="7.28515625" style="20" customWidth="1"/>
    <col min="27" max="27" width="9.42578125" customWidth="1"/>
    <col min="28" max="28" width="9.7109375" style="20" customWidth="1"/>
    <col min="29" max="29" width="6.28515625" style="20" customWidth="1"/>
    <col min="30" max="30" width="7.85546875" customWidth="1"/>
    <col min="31" max="31" width="6.42578125" style="20" customWidth="1"/>
    <col min="32" max="32" width="9.7109375" style="20" customWidth="1"/>
    <col min="33" max="33" width="7" customWidth="1"/>
  </cols>
  <sheetData>
    <row r="1" spans="1:32" ht="20.100000000000001">
      <c r="A1" s="53" t="s">
        <v>45</v>
      </c>
      <c r="B1" s="53" t="s">
        <v>544</v>
      </c>
      <c r="C1" s="555"/>
      <c r="D1" s="555"/>
      <c r="E1" s="1"/>
      <c r="F1" s="20"/>
      <c r="G1" s="555"/>
      <c r="H1" s="555"/>
      <c r="J1" s="555"/>
      <c r="M1" s="555"/>
      <c r="N1" s="555"/>
      <c r="O1" s="555"/>
      <c r="S1" s="555"/>
      <c r="T1" s="555"/>
      <c r="U1" s="555"/>
      <c r="W1" s="555"/>
      <c r="X1" s="555"/>
      <c r="AA1" s="555"/>
      <c r="AD1" s="555"/>
    </row>
    <row r="2" spans="1:32" ht="18">
      <c r="A2" s="5"/>
      <c r="B2" s="5" t="s">
        <v>243</v>
      </c>
      <c r="C2" s="555"/>
      <c r="D2" s="555"/>
      <c r="E2" s="1"/>
      <c r="F2" s="20"/>
      <c r="G2" s="555"/>
      <c r="H2" s="555"/>
      <c r="J2" s="555"/>
      <c r="M2" s="555"/>
      <c r="N2" s="555"/>
      <c r="O2" s="555"/>
      <c r="S2" s="555"/>
      <c r="T2" s="555"/>
      <c r="U2" s="555"/>
      <c r="X2" s="555"/>
      <c r="AA2" s="555"/>
      <c r="AD2" s="555"/>
    </row>
    <row r="3" spans="1:32" ht="6.6" customHeight="1">
      <c r="A3" s="555"/>
      <c r="B3" s="555"/>
      <c r="C3" s="555"/>
      <c r="D3" s="555"/>
      <c r="E3" s="1"/>
      <c r="F3" s="20"/>
      <c r="G3" s="555"/>
      <c r="H3" s="555"/>
      <c r="J3" s="555"/>
      <c r="M3" s="555"/>
      <c r="N3" s="555"/>
      <c r="O3" s="555"/>
      <c r="S3" s="555"/>
      <c r="T3" s="555"/>
      <c r="U3" s="555"/>
      <c r="X3" s="555"/>
      <c r="AA3" s="555"/>
      <c r="AD3" s="555"/>
    </row>
    <row r="4" spans="1:32" s="13" customFormat="1" ht="15.6">
      <c r="A4" s="54"/>
      <c r="B4" s="54" t="s">
        <v>244</v>
      </c>
      <c r="C4" s="55"/>
      <c r="D4" s="56"/>
      <c r="E4" s="559">
        <v>10000</v>
      </c>
      <c r="F4" s="583"/>
      <c r="G4" s="56"/>
      <c r="I4" s="56"/>
      <c r="K4" s="54" t="s">
        <v>245</v>
      </c>
      <c r="N4" s="109">
        <f>AE50+AE57+AE64+AE75</f>
        <v>10000.000000000002</v>
      </c>
      <c r="O4" s="56"/>
      <c r="P4" s="110"/>
      <c r="Q4" s="56"/>
      <c r="R4" s="56"/>
      <c r="V4" s="56"/>
      <c r="W4" s="56"/>
      <c r="Y4" s="56"/>
      <c r="Z4" s="56"/>
      <c r="AB4" s="56"/>
      <c r="AC4" s="56"/>
      <c r="AE4" s="56"/>
      <c r="AF4" s="56"/>
    </row>
    <row r="5" spans="1:32" ht="7.7" customHeight="1">
      <c r="A5" s="24"/>
      <c r="B5" s="24"/>
      <c r="C5" s="24"/>
      <c r="D5" s="24"/>
      <c r="E5" s="20"/>
      <c r="F5" s="20"/>
      <c r="G5" s="24"/>
      <c r="H5" s="214"/>
      <c r="J5" s="555"/>
      <c r="M5" s="555"/>
      <c r="N5" s="555"/>
      <c r="O5" s="555"/>
      <c r="S5" s="555"/>
      <c r="T5" s="555"/>
      <c r="U5" s="555"/>
      <c r="X5" s="555"/>
      <c r="AA5" s="555"/>
      <c r="AD5" s="555"/>
    </row>
    <row r="6" spans="1:32" s="13" customFormat="1" ht="15.6">
      <c r="B6" s="65" t="s">
        <v>246</v>
      </c>
      <c r="C6" s="66"/>
      <c r="D6" s="66"/>
      <c r="E6" s="67"/>
      <c r="F6" s="67"/>
      <c r="G6" s="66"/>
      <c r="H6" s="110"/>
      <c r="I6" s="67"/>
      <c r="J6" s="68"/>
      <c r="K6" s="67"/>
      <c r="L6" s="67"/>
      <c r="M6" s="68"/>
      <c r="N6" s="68"/>
      <c r="O6" s="68"/>
      <c r="P6" s="67"/>
      <c r="Q6" s="69"/>
      <c r="R6" s="56"/>
    </row>
    <row r="7" spans="1:32" ht="12.95">
      <c r="A7" s="555"/>
      <c r="B7" s="52" t="s">
        <v>247</v>
      </c>
      <c r="C7" s="25"/>
      <c r="D7" s="25"/>
      <c r="E7" s="560">
        <f>+E4*MISC!E11</f>
        <v>7500</v>
      </c>
      <c r="F7" s="586"/>
      <c r="G7" s="41"/>
      <c r="H7" s="31" t="s">
        <v>248</v>
      </c>
      <c r="I7" s="41"/>
      <c r="J7" s="17"/>
      <c r="K7" s="41">
        <v>0</v>
      </c>
      <c r="M7" s="555"/>
      <c r="N7" s="31" t="s">
        <v>249</v>
      </c>
      <c r="O7" s="20"/>
      <c r="P7" s="555"/>
      <c r="Q7" s="27">
        <v>0</v>
      </c>
      <c r="S7" s="555"/>
      <c r="T7" s="555"/>
      <c r="U7" s="555"/>
      <c r="X7" s="555"/>
      <c r="AA7" s="555"/>
      <c r="AD7" s="555"/>
    </row>
    <row r="8" spans="1:32" ht="12.95">
      <c r="A8" s="555"/>
      <c r="B8" s="52" t="s">
        <v>250</v>
      </c>
      <c r="C8" s="25"/>
      <c r="D8" s="25"/>
      <c r="E8" s="560">
        <v>0</v>
      </c>
      <c r="F8" s="586"/>
      <c r="G8" s="41"/>
      <c r="H8" s="31" t="s">
        <v>251</v>
      </c>
      <c r="J8" s="555"/>
      <c r="K8" s="20">
        <v>0</v>
      </c>
      <c r="M8" s="555"/>
      <c r="N8" s="31" t="s">
        <v>252</v>
      </c>
      <c r="O8" s="555"/>
      <c r="Q8" s="27">
        <v>0</v>
      </c>
      <c r="S8" s="555"/>
      <c r="T8" s="555"/>
      <c r="U8" s="555"/>
      <c r="X8" s="555"/>
      <c r="AA8" s="555"/>
      <c r="AD8" s="555"/>
    </row>
    <row r="9" spans="1:32" ht="12.95">
      <c r="A9" s="555"/>
      <c r="B9" s="52" t="s">
        <v>253</v>
      </c>
      <c r="C9" s="25"/>
      <c r="D9" s="25"/>
      <c r="E9" s="560">
        <v>0</v>
      </c>
      <c r="F9" s="586"/>
      <c r="H9" s="31" t="s">
        <v>254</v>
      </c>
      <c r="J9" s="555"/>
      <c r="K9" s="20">
        <v>0</v>
      </c>
      <c r="M9" s="555"/>
      <c r="N9" s="31" t="s">
        <v>255</v>
      </c>
      <c r="O9" s="555"/>
      <c r="Q9" s="27">
        <v>0</v>
      </c>
      <c r="S9" s="555"/>
      <c r="T9" s="555"/>
      <c r="U9" s="555"/>
      <c r="X9" s="555"/>
      <c r="AA9" s="555"/>
      <c r="AD9" s="555"/>
    </row>
    <row r="10" spans="1:32" ht="12.95">
      <c r="A10" s="555"/>
      <c r="B10" s="52" t="s">
        <v>256</v>
      </c>
      <c r="C10" s="25"/>
      <c r="D10" s="25"/>
      <c r="E10" s="560">
        <v>0</v>
      </c>
      <c r="F10" s="586"/>
      <c r="H10" s="31" t="s">
        <v>257</v>
      </c>
      <c r="J10" s="555"/>
      <c r="K10" s="20">
        <v>0</v>
      </c>
      <c r="M10" s="555"/>
      <c r="N10" s="555"/>
      <c r="O10" s="555"/>
      <c r="Q10" s="27"/>
      <c r="S10" s="555"/>
      <c r="T10" s="555"/>
      <c r="U10" s="555"/>
      <c r="X10" s="555"/>
      <c r="AA10" s="555"/>
      <c r="AD10" s="555"/>
    </row>
    <row r="11" spans="1:32" ht="12.95">
      <c r="A11" s="555"/>
      <c r="B11" s="52" t="s">
        <v>258</v>
      </c>
      <c r="C11" s="25"/>
      <c r="D11" s="25"/>
      <c r="E11" s="560">
        <f>+E4*(1-MISC!E11)</f>
        <v>2500</v>
      </c>
      <c r="F11" s="586"/>
      <c r="J11" s="555"/>
      <c r="M11" s="555"/>
      <c r="N11" s="555"/>
      <c r="O11" s="555"/>
      <c r="Q11" s="27"/>
      <c r="S11" s="555"/>
      <c r="T11" s="555"/>
      <c r="U11" s="555"/>
      <c r="X11" s="555"/>
      <c r="AA11" s="555"/>
      <c r="AD11" s="555"/>
    </row>
    <row r="12" spans="1:32" ht="12.95">
      <c r="A12" s="555"/>
      <c r="B12" s="30" t="s">
        <v>259</v>
      </c>
      <c r="C12" s="26"/>
      <c r="D12" s="26"/>
      <c r="E12" s="556">
        <v>0</v>
      </c>
      <c r="F12" s="587"/>
      <c r="G12" s="29"/>
      <c r="H12" s="29"/>
      <c r="I12" s="29"/>
      <c r="J12" s="552"/>
      <c r="K12" s="29"/>
      <c r="L12" s="29"/>
      <c r="M12" s="552"/>
      <c r="N12" s="552"/>
      <c r="O12" s="552"/>
      <c r="P12" s="29"/>
      <c r="Q12" s="28"/>
      <c r="S12" s="555"/>
      <c r="T12" s="555"/>
      <c r="U12" s="555"/>
      <c r="X12" s="555"/>
      <c r="AA12" s="555"/>
      <c r="AD12" s="555"/>
    </row>
    <row r="13" spans="1:32" ht="12.95" thickBot="1">
      <c r="A13" s="555"/>
      <c r="B13" s="555"/>
      <c r="E13" s="555"/>
      <c r="F13" s="555"/>
      <c r="J13" s="555"/>
      <c r="M13" s="555"/>
      <c r="N13" s="555"/>
      <c r="O13" s="555"/>
      <c r="S13" s="555"/>
      <c r="T13" s="555"/>
      <c r="U13" s="555"/>
      <c r="X13" s="555"/>
      <c r="AA13" s="555"/>
      <c r="AD13" s="555"/>
    </row>
    <row r="14" spans="1:32" ht="13.5" thickBot="1">
      <c r="A14" s="111"/>
      <c r="B14" s="112" t="s">
        <v>260</v>
      </c>
      <c r="C14" s="96"/>
      <c r="D14" s="113"/>
      <c r="E14" s="114"/>
      <c r="F14" s="114"/>
      <c r="G14" s="113"/>
      <c r="H14" s="113"/>
      <c r="I14" s="113"/>
      <c r="J14" s="114"/>
      <c r="K14" s="113"/>
      <c r="L14" s="113"/>
      <c r="M14" s="114"/>
      <c r="N14" s="114"/>
      <c r="O14" s="114"/>
      <c r="P14" s="588"/>
      <c r="Q14" s="589"/>
      <c r="S14" s="115" t="s">
        <v>253</v>
      </c>
      <c r="T14" s="116"/>
      <c r="U14" s="117"/>
      <c r="V14" s="42">
        <f>+T16*(1-ACCEPT!C15)+T16*(ACCEPT!C15)*(1-MISC!E11)</f>
        <v>31.703609224529359</v>
      </c>
      <c r="W14" s="45" t="s">
        <v>261</v>
      </c>
      <c r="X14" s="46"/>
      <c r="Y14" s="42"/>
      <c r="Z14" s="42"/>
      <c r="AA14" s="115" t="s">
        <v>258</v>
      </c>
      <c r="AB14" s="116"/>
      <c r="AD14" s="31"/>
      <c r="AE14" s="555"/>
    </row>
    <row r="15" spans="1:32" ht="13.5" thickBot="1">
      <c r="A15" s="59"/>
      <c r="B15" s="555"/>
      <c r="E15" s="555"/>
      <c r="F15" s="555"/>
      <c r="I15" s="118">
        <f>+H18*ACCEPT!$C$6</f>
        <v>6768.4286504262009</v>
      </c>
      <c r="J15" s="555"/>
      <c r="K15" s="119">
        <f>+I15+I16</f>
        <v>6786.6163003618276</v>
      </c>
      <c r="L15" s="119"/>
      <c r="M15" s="555"/>
      <c r="N15" s="42">
        <f>+(K15)*DENSITY!C7</f>
        <v>100.99482111609578</v>
      </c>
      <c r="O15" s="44" t="s">
        <v>253</v>
      </c>
      <c r="P15" s="17"/>
      <c r="Q15" s="139"/>
      <c r="S15" s="120"/>
      <c r="T15" s="121"/>
      <c r="U15" s="20"/>
      <c r="V15" s="42"/>
      <c r="W15" s="42"/>
      <c r="X15" s="46"/>
      <c r="Y15" s="42"/>
      <c r="Z15" s="42"/>
      <c r="AA15" s="120"/>
      <c r="AB15" s="121"/>
      <c r="AC15" s="42"/>
      <c r="AD15" s="42">
        <f>+AB16*DENSITY!D14</f>
        <v>445.1022521404002</v>
      </c>
      <c r="AE15" s="44" t="s">
        <v>259</v>
      </c>
    </row>
    <row r="16" spans="1:32" ht="13.5" thickBot="1">
      <c r="A16" s="59"/>
      <c r="B16" s="555"/>
      <c r="E16" s="555"/>
      <c r="F16" s="555"/>
      <c r="G16" s="122" t="s">
        <v>247</v>
      </c>
      <c r="H16" s="116"/>
      <c r="I16" s="123">
        <f>+(C20+E27)*(ACCEPT!$C$6)</f>
        <v>18.187649935626276</v>
      </c>
      <c r="J16" s="555"/>
      <c r="K16" s="42"/>
      <c r="L16" s="42"/>
      <c r="M16" s="555"/>
      <c r="N16" s="42">
        <f>+(K15)*DENSITY!D7</f>
        <v>1341.9353053890723</v>
      </c>
      <c r="O16" s="44" t="s">
        <v>256</v>
      </c>
      <c r="P16" s="17"/>
      <c r="Q16" s="139"/>
      <c r="S16" s="124">
        <f>+T16*(1+DENSITY!B9)</f>
        <v>117.60870075458118</v>
      </c>
      <c r="T16" s="125">
        <f>+E9+N15+N41</f>
        <v>117.1525214318105</v>
      </c>
      <c r="U16" s="20"/>
      <c r="V16" s="42"/>
      <c r="W16" s="42">
        <f>+V17*DENSITY!D9</f>
        <v>2.3646053006082237</v>
      </c>
      <c r="X16" s="44" t="s">
        <v>256</v>
      </c>
      <c r="Y16" s="42"/>
      <c r="Z16" s="42"/>
      <c r="AA16" s="124">
        <f>+AB16</f>
        <v>2556.7177020414715</v>
      </c>
      <c r="AB16" s="125">
        <f>+E11+N31+N39+V14</f>
        <v>2556.7177020414715</v>
      </c>
      <c r="AC16" s="42"/>
      <c r="AD16" s="42">
        <f>+AB16*DENSITY!E14</f>
        <v>455.53062010138689</v>
      </c>
      <c r="AE16" s="44" t="s">
        <v>249</v>
      </c>
      <c r="AF16" s="42"/>
    </row>
    <row r="17" spans="1:32" ht="13.5" thickBot="1">
      <c r="A17" s="59"/>
      <c r="B17" s="555"/>
      <c r="E17" s="555"/>
      <c r="F17" s="555"/>
      <c r="G17" s="124"/>
      <c r="H17" s="125"/>
      <c r="J17" s="555"/>
      <c r="M17" s="555"/>
      <c r="N17" s="42">
        <f>+(K15)*DENSITY!E7</f>
        <v>1964.3383875162754</v>
      </c>
      <c r="O17" s="44" t="s">
        <v>251</v>
      </c>
      <c r="P17" s="17"/>
      <c r="Q17" s="139"/>
      <c r="S17" s="126"/>
      <c r="T17" s="127"/>
      <c r="U17" s="20"/>
      <c r="V17" s="42">
        <f>+T16*ACCEPT!C15*MISC!E11</f>
        <v>85.448912207281154</v>
      </c>
      <c r="W17" s="42">
        <f>+V17*DENSITY!E9</f>
        <v>43.466699561974856</v>
      </c>
      <c r="X17" s="44" t="s">
        <v>251</v>
      </c>
      <c r="Y17" s="42"/>
      <c r="Z17" s="42"/>
      <c r="AA17" s="126"/>
      <c r="AB17" s="127"/>
      <c r="AC17" s="42"/>
      <c r="AD17" s="42">
        <f>+AB16*DENSITY!F14</f>
        <v>1656.0848297996845</v>
      </c>
      <c r="AE17" s="44" t="s">
        <v>262</v>
      </c>
      <c r="AF17" s="42"/>
    </row>
    <row r="18" spans="1:32" ht="12.95">
      <c r="A18" s="59"/>
      <c r="B18" s="555"/>
      <c r="E18" s="555"/>
      <c r="F18" s="555"/>
      <c r="G18" s="124">
        <f>+H18+C20+E27</f>
        <v>7520.1534775000709</v>
      </c>
      <c r="H18" s="125">
        <f>+E7</f>
        <v>7500</v>
      </c>
      <c r="J18" s="555"/>
      <c r="M18" s="555"/>
      <c r="N18" s="42">
        <f>+(K15)*DENSITY!F7</f>
        <v>3379.3477863403837</v>
      </c>
      <c r="O18" s="44" t="s">
        <v>254</v>
      </c>
      <c r="Q18" s="58"/>
      <c r="S18" s="555"/>
      <c r="T18" s="555"/>
      <c r="U18" s="555"/>
      <c r="W18" s="42">
        <f>+V17*DENSITY!F9</f>
        <v>39.617607344698072</v>
      </c>
      <c r="X18" s="44" t="s">
        <v>254</v>
      </c>
      <c r="Y18" s="42"/>
      <c r="Z18" s="42"/>
      <c r="AA18" s="555"/>
      <c r="AB18" s="555"/>
      <c r="AC18" s="42"/>
      <c r="AD18" s="42">
        <f>+AB16*DENSITY!G14</f>
        <v>0</v>
      </c>
      <c r="AE18" s="44" t="s">
        <v>255</v>
      </c>
      <c r="AF18" s="42"/>
    </row>
    <row r="19" spans="1:32" ht="13.5" thickBot="1">
      <c r="A19" s="59"/>
      <c r="B19" s="555"/>
      <c r="C19" s="20"/>
      <c r="E19" s="555"/>
      <c r="F19" s="555"/>
      <c r="G19" s="128"/>
      <c r="H19" s="127"/>
      <c r="J19" s="46"/>
      <c r="M19" s="17"/>
      <c r="N19" s="42">
        <f>+(K15)*DENSITY!G7</f>
        <v>0</v>
      </c>
      <c r="O19" s="44" t="s">
        <v>257</v>
      </c>
      <c r="P19" s="41"/>
      <c r="Q19" s="93"/>
      <c r="S19" s="555"/>
      <c r="T19" s="555"/>
      <c r="U19" s="555"/>
      <c r="V19" s="42"/>
      <c r="W19" s="42">
        <f>+V17*DENSITY!G9</f>
        <v>0</v>
      </c>
      <c r="X19" s="44" t="s">
        <v>257</v>
      </c>
      <c r="Y19" s="42"/>
      <c r="Z19" s="42"/>
      <c r="AA19" s="555"/>
      <c r="AB19" s="555"/>
      <c r="AD19" s="555"/>
      <c r="AF19" s="42"/>
    </row>
    <row r="20" spans="1:32">
      <c r="A20" s="59"/>
      <c r="B20" s="555"/>
      <c r="C20" s="42">
        <f>+C32</f>
        <v>1.5225002502297802</v>
      </c>
      <c r="E20" s="555"/>
      <c r="F20" s="555"/>
      <c r="G20" s="90"/>
      <c r="H20" s="90"/>
      <c r="J20" s="555"/>
      <c r="K20" s="42"/>
      <c r="L20" s="42"/>
      <c r="M20" s="555"/>
      <c r="N20" s="555"/>
      <c r="O20" s="555"/>
      <c r="Q20" s="58"/>
      <c r="S20" s="555"/>
      <c r="T20" s="24"/>
      <c r="U20" s="24"/>
      <c r="V20" s="42"/>
      <c r="W20" s="42"/>
      <c r="X20" s="46"/>
      <c r="Y20" s="42"/>
      <c r="Z20" s="42"/>
      <c r="AA20" s="555"/>
      <c r="AD20" s="555"/>
    </row>
    <row r="21" spans="1:32" ht="12.95" thickBot="1">
      <c r="A21" s="59"/>
      <c r="B21" s="555"/>
      <c r="C21" s="42"/>
      <c r="E21" s="555"/>
      <c r="F21" s="555"/>
      <c r="G21" s="129">
        <f>+(C20+E27)*(1-ACCEPT!C6)</f>
        <v>1.9658275644442382</v>
      </c>
      <c r="H21" s="129">
        <f>+H18*(1-ACCEPT!C6)</f>
        <v>731.57134957379935</v>
      </c>
      <c r="J21" s="555"/>
      <c r="K21" s="42"/>
      <c r="L21" s="42"/>
      <c r="M21" s="555"/>
      <c r="N21" s="555"/>
      <c r="O21" s="555"/>
      <c r="Q21" s="58"/>
      <c r="S21" s="555"/>
      <c r="T21" s="555"/>
      <c r="U21" s="555"/>
      <c r="X21" s="555"/>
      <c r="AA21" s="555"/>
      <c r="AD21" s="555"/>
    </row>
    <row r="22" spans="1:32" ht="13.5" thickBot="1">
      <c r="A22" s="59"/>
      <c r="B22" s="555"/>
      <c r="C22" s="42"/>
      <c r="E22" s="555"/>
      <c r="F22" s="555"/>
      <c r="G22" s="90"/>
      <c r="H22" s="90"/>
      <c r="I22" s="590"/>
      <c r="J22" s="51"/>
      <c r="K22" s="42"/>
      <c r="L22" s="42"/>
      <c r="M22" s="555"/>
      <c r="N22" s="555"/>
      <c r="O22" s="555"/>
      <c r="Q22" s="58"/>
      <c r="S22" s="122" t="s">
        <v>256</v>
      </c>
      <c r="T22" s="116"/>
      <c r="U22" s="555"/>
      <c r="V22" s="42">
        <f>+T24*(1-ACCEPT!C16)+T24*(ACCEPT!C16)*(1-MISC!E11)</f>
        <v>377.60877671416756</v>
      </c>
      <c r="W22" s="45" t="s">
        <v>263</v>
      </c>
      <c r="X22" s="46"/>
      <c r="Y22" s="42"/>
      <c r="Z22" s="42"/>
      <c r="AA22" s="115" t="s">
        <v>259</v>
      </c>
      <c r="AB22" s="116"/>
      <c r="AD22" s="31"/>
      <c r="AE22" s="555"/>
    </row>
    <row r="23" spans="1:32" ht="13.5" thickBot="1">
      <c r="A23" s="59"/>
      <c r="B23" s="555"/>
      <c r="C23" s="42"/>
      <c r="E23" s="555"/>
      <c r="F23" s="555"/>
      <c r="G23" s="122" t="s">
        <v>250</v>
      </c>
      <c r="H23" s="116"/>
      <c r="I23" s="590"/>
      <c r="J23" s="51"/>
      <c r="K23" s="42"/>
      <c r="L23" s="42"/>
      <c r="M23" s="555"/>
      <c r="N23" s="555"/>
      <c r="O23" s="555"/>
      <c r="Q23" s="58"/>
      <c r="S23" s="124"/>
      <c r="T23" s="121"/>
      <c r="U23" s="20"/>
      <c r="V23" s="42"/>
      <c r="W23" s="42"/>
      <c r="X23" s="46"/>
      <c r="Y23" s="42"/>
      <c r="Z23" s="42"/>
      <c r="AA23" s="120"/>
      <c r="AB23" s="121"/>
      <c r="AD23" s="20"/>
      <c r="AE23" s="555"/>
    </row>
    <row r="24" spans="1:32" ht="12.95">
      <c r="A24" s="59"/>
      <c r="B24" s="555"/>
      <c r="C24" s="42"/>
      <c r="E24" s="555"/>
      <c r="F24" s="555"/>
      <c r="G24" s="121"/>
      <c r="H24" s="121"/>
      <c r="I24" s="42"/>
      <c r="J24" s="51"/>
      <c r="K24" s="42"/>
      <c r="L24" s="42"/>
      <c r="M24" s="555"/>
      <c r="N24" s="555"/>
      <c r="O24" s="555"/>
      <c r="Q24" s="58"/>
      <c r="S24" s="124">
        <f>+T24*(1+DENSITY!B10)</f>
        <v>1431.2397915736974</v>
      </c>
      <c r="T24" s="125">
        <f>+E10+N16+N42+W16</f>
        <v>1402.0654257594394</v>
      </c>
      <c r="U24" s="20"/>
      <c r="V24" s="42"/>
      <c r="W24" s="42">
        <f>+V25*DENSITY!E10</f>
        <v>559.05537385447235</v>
      </c>
      <c r="X24" s="44" t="s">
        <v>251</v>
      </c>
      <c r="Y24" s="42"/>
      <c r="Z24" s="42"/>
      <c r="AA24" s="124">
        <f>+AB24</f>
        <v>822.71102885456776</v>
      </c>
      <c r="AB24" s="125">
        <f>+E12+V22+AD15</f>
        <v>822.71102885456776</v>
      </c>
      <c r="AC24" s="42"/>
      <c r="AD24" s="42">
        <f>+AB24*DENSITY!E15</f>
        <v>665.98420550671619</v>
      </c>
      <c r="AE24" s="44" t="s">
        <v>249</v>
      </c>
      <c r="AF24" s="42"/>
    </row>
    <row r="25" spans="1:32" ht="13.5" thickBot="1">
      <c r="A25" s="59"/>
      <c r="B25" s="555"/>
      <c r="C25" s="42"/>
      <c r="E25" s="555"/>
      <c r="F25" s="555"/>
      <c r="G25" s="124">
        <f>+H25+G21</f>
        <v>733.53717713824358</v>
      </c>
      <c r="H25" s="125">
        <f>+H21+E8</f>
        <v>731.57134957379935</v>
      </c>
      <c r="I25" s="60" t="s">
        <v>264</v>
      </c>
      <c r="J25" s="57"/>
      <c r="K25" s="42"/>
      <c r="L25" s="42"/>
      <c r="M25" s="555"/>
      <c r="N25" s="555"/>
      <c r="O25" s="555"/>
      <c r="Q25" s="58"/>
      <c r="R25" s="130"/>
      <c r="S25" s="128"/>
      <c r="T25" s="127"/>
      <c r="U25" s="20"/>
      <c r="V25" s="42">
        <f>+T24*ACCEPT!C16*MISC!E11</f>
        <v>1024.4566490452719</v>
      </c>
      <c r="W25" s="42">
        <f>+V25*DENSITY!F10</f>
        <v>465.40127519079942</v>
      </c>
      <c r="X25" s="44" t="s">
        <v>254</v>
      </c>
      <c r="Y25" s="42"/>
      <c r="Z25" s="42"/>
      <c r="AA25" s="126"/>
      <c r="AB25" s="127"/>
      <c r="AC25" s="42"/>
      <c r="AD25" s="42">
        <f>+AB24*DENSITY!F15</f>
        <v>156.72682334785159</v>
      </c>
      <c r="AE25" s="44" t="s">
        <v>262</v>
      </c>
      <c r="AF25" s="42"/>
    </row>
    <row r="26" spans="1:32" ht="13.5" thickBot="1">
      <c r="A26" s="59"/>
      <c r="B26" s="555"/>
      <c r="C26" s="42"/>
      <c r="E26" s="555"/>
      <c r="F26" s="555"/>
      <c r="G26" s="127"/>
      <c r="H26" s="127"/>
      <c r="I26" s="590"/>
      <c r="J26" s="51"/>
      <c r="K26" s="42"/>
      <c r="L26" s="42"/>
      <c r="M26" s="555"/>
      <c r="N26" s="555"/>
      <c r="O26" s="555"/>
      <c r="Q26" s="59"/>
      <c r="S26" s="20"/>
      <c r="T26" s="555"/>
      <c r="U26" s="555"/>
      <c r="V26" s="42"/>
      <c r="W26" s="42">
        <f>+V25*DENSITY!G10</f>
        <v>0</v>
      </c>
      <c r="X26" s="44" t="s">
        <v>257</v>
      </c>
      <c r="Y26" s="42"/>
      <c r="Z26" s="42"/>
      <c r="AA26" s="555"/>
      <c r="AB26" s="555"/>
      <c r="AC26" s="42"/>
      <c r="AD26" s="42">
        <f>+AB24*DENSITY!G15</f>
        <v>0</v>
      </c>
      <c r="AE26" s="44" t="s">
        <v>255</v>
      </c>
      <c r="AF26" s="42"/>
    </row>
    <row r="27" spans="1:32">
      <c r="A27" s="59"/>
      <c r="B27" s="555"/>
      <c r="C27" s="42"/>
      <c r="E27" s="46">
        <f>+H39*ACCEPT!C10</f>
        <v>18.630977249840736</v>
      </c>
      <c r="F27" s="555"/>
      <c r="G27" s="90" t="s">
        <v>265</v>
      </c>
      <c r="H27" s="90"/>
      <c r="I27" s="590" t="s">
        <v>266</v>
      </c>
      <c r="J27" s="51" t="s">
        <v>267</v>
      </c>
      <c r="K27" s="42"/>
      <c r="L27" s="42"/>
      <c r="M27" s="555"/>
      <c r="N27" s="555"/>
      <c r="O27" s="555"/>
      <c r="Q27" s="59"/>
      <c r="S27" s="555"/>
      <c r="T27" s="555"/>
      <c r="U27" s="555"/>
      <c r="X27" s="555"/>
      <c r="AA27" s="555"/>
      <c r="AD27" s="555"/>
    </row>
    <row r="28" spans="1:32">
      <c r="A28" s="59"/>
      <c r="B28" s="555"/>
      <c r="E28" s="555"/>
      <c r="F28" s="555"/>
      <c r="G28" s="91">
        <f>+I28</f>
        <v>3.9709716801773709E-2</v>
      </c>
      <c r="H28" s="91">
        <f>+J28</f>
        <v>14.777741261390702</v>
      </c>
      <c r="I28" s="50">
        <f>+G21-K29</f>
        <v>3.9709716801773709E-2</v>
      </c>
      <c r="J28" s="591">
        <f>+H25-L29</f>
        <v>14.777741261390702</v>
      </c>
      <c r="K28" s="42"/>
      <c r="L28" s="42"/>
      <c r="M28" s="555"/>
      <c r="N28" s="555"/>
      <c r="O28" s="555"/>
      <c r="Q28" s="59"/>
      <c r="S28" s="555"/>
      <c r="T28" s="555"/>
      <c r="U28" s="555"/>
      <c r="X28" s="555"/>
      <c r="AA28" s="555"/>
      <c r="AD28" s="555"/>
    </row>
    <row r="29" spans="1:32" ht="12.95" thickBot="1">
      <c r="A29" s="59"/>
      <c r="B29" s="555"/>
      <c r="E29" s="555"/>
      <c r="F29" s="555"/>
      <c r="I29" s="592"/>
      <c r="J29" s="592"/>
      <c r="K29" s="48">
        <f>+G21*MISC!E6</f>
        <v>1.9261178476424645</v>
      </c>
      <c r="L29" s="593">
        <f>+H25*(MISC!E6)</f>
        <v>716.79360831240865</v>
      </c>
      <c r="M29" s="555"/>
      <c r="N29" s="555"/>
      <c r="O29" s="555"/>
      <c r="P29" s="555"/>
      <c r="Q29" s="59"/>
      <c r="S29" s="555"/>
      <c r="T29" s="555"/>
      <c r="U29" s="555"/>
      <c r="X29" s="555"/>
      <c r="AA29" s="555"/>
      <c r="AD29" s="555"/>
    </row>
    <row r="30" spans="1:32" ht="13.5" thickBot="1">
      <c r="A30" s="59"/>
      <c r="B30" s="555"/>
      <c r="C30" s="131" t="s">
        <v>268</v>
      </c>
      <c r="D30" s="132"/>
      <c r="E30" s="555"/>
      <c r="F30" s="555"/>
      <c r="G30" s="133" t="s">
        <v>269</v>
      </c>
      <c r="H30" s="134"/>
      <c r="I30" s="50"/>
      <c r="J30" s="555"/>
      <c r="K30" s="48"/>
      <c r="L30" s="48"/>
      <c r="M30" s="557"/>
      <c r="N30" s="558"/>
      <c r="O30" s="17"/>
      <c r="P30" s="17"/>
      <c r="Q30" s="94"/>
      <c r="S30" s="122" t="s">
        <v>251</v>
      </c>
      <c r="T30" s="116"/>
      <c r="U30" s="555"/>
      <c r="V30" s="42">
        <f>+T32*(1-ACCEPT!C17)+T32*(ACCEPT!C17)*(1-MISC!E11)</f>
        <v>795.90118530384723</v>
      </c>
      <c r="W30" s="45" t="s">
        <v>270</v>
      </c>
      <c r="X30" s="555"/>
      <c r="AA30" s="115" t="s">
        <v>249</v>
      </c>
      <c r="AB30" s="116"/>
      <c r="AD30" s="31"/>
      <c r="AE30" s="555"/>
    </row>
    <row r="31" spans="1:32" ht="12.95">
      <c r="A31" s="59"/>
      <c r="B31" s="555"/>
      <c r="C31" s="135"/>
      <c r="D31" s="121"/>
      <c r="E31" s="555"/>
      <c r="F31" s="555"/>
      <c r="G31" s="125"/>
      <c r="H31" s="136"/>
      <c r="I31" s="50"/>
      <c r="J31" s="594"/>
      <c r="M31" s="137">
        <f>+J28*MISC!E5</f>
        <v>1.2199796412795607</v>
      </c>
      <c r="N31" s="138">
        <f>+M31+M32</f>
        <v>1.2232578855797036</v>
      </c>
      <c r="O31" s="45" t="s">
        <v>271</v>
      </c>
      <c r="P31" s="46"/>
      <c r="Q31" s="139"/>
      <c r="S31" s="121"/>
      <c r="T31" s="140"/>
      <c r="U31" s="42"/>
      <c r="V31" s="42"/>
      <c r="W31" s="46"/>
      <c r="X31" s="42"/>
      <c r="AA31" s="141"/>
      <c r="AB31" s="140"/>
      <c r="AD31" s="20"/>
      <c r="AE31" s="555"/>
    </row>
    <row r="32" spans="1:32" ht="12.95">
      <c r="A32" s="59"/>
      <c r="B32" s="555"/>
      <c r="C32" s="142">
        <f>+D36+C36</f>
        <v>1.5225002502297802</v>
      </c>
      <c r="D32" s="142">
        <f>+D36</f>
        <v>1.5225002502297802</v>
      </c>
      <c r="E32" s="555"/>
      <c r="F32" s="555"/>
      <c r="G32" s="125">
        <f>+I28+H32</f>
        <v>14.817450978192475</v>
      </c>
      <c r="H32" s="125">
        <f>+J28</f>
        <v>14.777741261390702</v>
      </c>
      <c r="I32" s="50"/>
      <c r="J32" s="594"/>
      <c r="K32" s="42"/>
      <c r="L32" s="42"/>
      <c r="M32" s="143">
        <f>+I28*MISC!E5</f>
        <v>3.2782443001429149E-3</v>
      </c>
      <c r="N32" s="17"/>
      <c r="O32" s="17"/>
      <c r="P32" s="41"/>
      <c r="Q32" s="93"/>
      <c r="R32" s="42"/>
      <c r="S32" s="125">
        <f>+T32*(1+DENSITY!B13)</f>
        <v>2819.2463275517616</v>
      </c>
      <c r="T32" s="140">
        <f>+K8+N17+N43+N48+N75+W17+W24</f>
        <v>2811.6748883954692</v>
      </c>
      <c r="U32" s="42"/>
      <c r="X32" s="555"/>
      <c r="AA32" s="125">
        <f>+AB32</f>
        <v>1917.4160109119503</v>
      </c>
      <c r="AB32" s="140">
        <f>+Q7+N64+N72+V30+AD16+AD24</f>
        <v>1917.4160109119503</v>
      </c>
      <c r="AD32" s="20"/>
      <c r="AE32" s="11"/>
    </row>
    <row r="33" spans="1:35" ht="13.5" thickBot="1">
      <c r="A33" s="59"/>
      <c r="B33" s="555"/>
      <c r="C33" s="144"/>
      <c r="D33" s="127"/>
      <c r="E33" s="555"/>
      <c r="F33" s="555"/>
      <c r="G33" s="127"/>
      <c r="H33" s="127"/>
      <c r="I33" s="50"/>
      <c r="J33" s="555"/>
      <c r="M33" s="555"/>
      <c r="N33" s="555"/>
      <c r="O33" s="555"/>
      <c r="Q33" s="58"/>
      <c r="S33" s="127"/>
      <c r="T33" s="145"/>
      <c r="U33" s="42"/>
      <c r="V33" s="42">
        <f>+T32*ACCEPT!C17*MISC!E11</f>
        <v>2015.7737030916219</v>
      </c>
      <c r="W33" s="42">
        <f>+V33*DENSITY!$F$13</f>
        <v>174.32708365620329</v>
      </c>
      <c r="X33" s="44" t="s">
        <v>254</v>
      </c>
      <c r="AA33" s="146"/>
      <c r="AB33" s="145"/>
      <c r="AC33" s="42"/>
      <c r="AD33" s="42">
        <f>+AB32*DENSITY!F16</f>
        <v>839.7223540325524</v>
      </c>
      <c r="AE33" s="44" t="s">
        <v>262</v>
      </c>
      <c r="AF33" s="42"/>
      <c r="AG33" s="555"/>
      <c r="AH33" s="555"/>
      <c r="AI33" s="555"/>
    </row>
    <row r="34" spans="1:35" ht="12.95">
      <c r="A34" s="59"/>
      <c r="B34" s="555"/>
      <c r="E34" s="555"/>
      <c r="F34" s="555"/>
      <c r="G34" s="90" t="s">
        <v>265</v>
      </c>
      <c r="H34" s="90"/>
      <c r="I34" s="590" t="s">
        <v>266</v>
      </c>
      <c r="J34" s="51" t="s">
        <v>267</v>
      </c>
      <c r="K34" s="42"/>
      <c r="L34" s="42"/>
      <c r="M34" s="555"/>
      <c r="N34" s="555"/>
      <c r="O34" s="555"/>
      <c r="Q34" s="58"/>
      <c r="S34" s="20"/>
      <c r="T34" s="555"/>
      <c r="U34" s="555"/>
      <c r="W34" s="42">
        <f>+V33*DENSITY!$G$13</f>
        <v>1841.4466194354191</v>
      </c>
      <c r="X34" s="44" t="s">
        <v>257</v>
      </c>
      <c r="AA34" s="555"/>
      <c r="AB34" s="555"/>
      <c r="AC34" s="42"/>
      <c r="AD34" s="42">
        <f>+AB32*DENSITY!G16</f>
        <v>1077.6936568793978</v>
      </c>
      <c r="AE34" s="44" t="s">
        <v>255</v>
      </c>
      <c r="AF34" s="42"/>
      <c r="AG34" s="555"/>
      <c r="AH34" s="555"/>
      <c r="AI34" s="555"/>
    </row>
    <row r="35" spans="1:35">
      <c r="A35" s="59"/>
      <c r="B35" s="555"/>
      <c r="D35" s="42"/>
      <c r="E35" s="555"/>
      <c r="F35" s="555"/>
      <c r="G35" s="91">
        <f>+I35</f>
        <v>3.6431472501630792E-2</v>
      </c>
      <c r="H35" s="91">
        <f>+J35</f>
        <v>13.55776162011114</v>
      </c>
      <c r="I35" s="50">
        <f>+I28-M32</f>
        <v>3.6431472501630792E-2</v>
      </c>
      <c r="J35" s="42">
        <f>+J28-M31</f>
        <v>13.55776162011114</v>
      </c>
      <c r="K35" s="42"/>
      <c r="L35" s="42"/>
      <c r="M35" s="555"/>
      <c r="N35" s="555"/>
      <c r="O35" s="555"/>
      <c r="Q35" s="58"/>
      <c r="S35" s="555"/>
      <c r="T35" s="555"/>
      <c r="U35" s="555"/>
      <c r="X35" s="555"/>
      <c r="AA35" s="555"/>
      <c r="AD35" s="555"/>
      <c r="AG35" s="555"/>
      <c r="AH35" s="555"/>
      <c r="AI35" s="555"/>
    </row>
    <row r="36" spans="1:35" ht="12.95" thickBot="1">
      <c r="A36" s="59"/>
      <c r="B36" s="555"/>
      <c r="C36" s="147"/>
      <c r="D36" s="42">
        <f>+H39*ACCEPT!C12</f>
        <v>1.5225002502297802</v>
      </c>
      <c r="E36" s="555"/>
      <c r="F36" s="555"/>
      <c r="I36" s="42"/>
      <c r="J36" s="46"/>
      <c r="K36" s="42"/>
      <c r="L36" s="42"/>
      <c r="M36" s="555"/>
      <c r="N36" s="555"/>
      <c r="O36" s="555"/>
      <c r="Q36" s="58"/>
      <c r="S36" s="555"/>
      <c r="T36" s="555"/>
      <c r="U36" s="555"/>
      <c r="X36" s="555"/>
      <c r="AA36" s="555"/>
      <c r="AD36" s="555"/>
      <c r="AG36" s="555"/>
      <c r="AH36" s="555"/>
      <c r="AI36" s="555"/>
    </row>
    <row r="37" spans="1:35" ht="13.5" thickBot="1">
      <c r="A37" s="59"/>
      <c r="B37" s="555"/>
      <c r="E37" s="555"/>
      <c r="F37" s="555"/>
      <c r="G37" s="122" t="s">
        <v>272</v>
      </c>
      <c r="H37" s="116"/>
      <c r="I37" s="42"/>
      <c r="J37" s="46"/>
      <c r="K37" s="42"/>
      <c r="L37" s="42"/>
      <c r="M37" s="555"/>
      <c r="N37" s="555"/>
      <c r="O37" s="555"/>
      <c r="Q37" s="58"/>
      <c r="S37" s="555"/>
      <c r="T37" s="555"/>
      <c r="U37" s="555"/>
      <c r="X37" s="555"/>
      <c r="AA37" s="555"/>
      <c r="AD37" s="555"/>
      <c r="AG37" s="555"/>
      <c r="AH37" s="555"/>
      <c r="AI37" s="555"/>
    </row>
    <row r="38" spans="1:35" ht="13.5" thickBot="1">
      <c r="A38" s="59"/>
      <c r="B38" s="555"/>
      <c r="D38" s="45" t="s">
        <v>273</v>
      </c>
      <c r="E38" s="46"/>
      <c r="F38" s="555"/>
      <c r="G38" s="124"/>
      <c r="H38" s="121"/>
      <c r="J38" s="555"/>
      <c r="M38" s="555"/>
      <c r="N38" s="41"/>
      <c r="O38" s="555"/>
      <c r="Q38" s="58"/>
      <c r="S38" s="122" t="s">
        <v>254</v>
      </c>
      <c r="T38" s="116"/>
      <c r="U38" s="20"/>
      <c r="V38" s="42">
        <f>+T40*(1-ACCEPT!C18)+T40*(ACCEPT!C18)*(1-MISC!E11)</f>
        <v>1311.740857187604</v>
      </c>
      <c r="W38" s="45" t="s">
        <v>274</v>
      </c>
      <c r="X38" s="42"/>
      <c r="AA38" s="115" t="s">
        <v>262</v>
      </c>
      <c r="AB38" s="116"/>
      <c r="AD38" s="31"/>
      <c r="AE38" s="555"/>
      <c r="AG38" s="555"/>
      <c r="AH38" s="555"/>
      <c r="AI38" s="555"/>
    </row>
    <row r="39" spans="1:35" ht="12.95">
      <c r="A39" s="59"/>
      <c r="B39" s="555"/>
      <c r="E39" s="555"/>
      <c r="F39" s="555"/>
      <c r="G39" s="124">
        <f>+H39+E40+I35+K29</f>
        <v>742.63446543632983</v>
      </c>
      <c r="H39" s="125">
        <f>+J35+L29</f>
        <v>730.35136993251979</v>
      </c>
      <c r="J39" s="555"/>
      <c r="K39" s="42"/>
      <c r="L39" s="148">
        <f>+H39*ACCEPT!C13</f>
        <v>22.893299909905572</v>
      </c>
      <c r="M39" s="555"/>
      <c r="N39" s="149">
        <f>+L39+L40</f>
        <v>23.790834931362447</v>
      </c>
      <c r="O39" s="45" t="s">
        <v>261</v>
      </c>
      <c r="P39" s="46"/>
      <c r="Q39" s="139"/>
      <c r="S39" s="121"/>
      <c r="T39" s="140"/>
      <c r="U39" s="42"/>
      <c r="V39" s="42"/>
      <c r="W39" s="46"/>
      <c r="X39" s="42"/>
      <c r="AA39" s="141"/>
      <c r="AB39" s="140"/>
      <c r="AD39" s="20"/>
      <c r="AE39" s="555"/>
      <c r="AG39" s="20"/>
      <c r="AH39" s="555"/>
      <c r="AI39" s="555"/>
    </row>
    <row r="40" spans="1:35" ht="13.5" thickBot="1">
      <c r="A40" s="59"/>
      <c r="B40" s="555"/>
      <c r="E40" s="42">
        <f>+H39*ACCEPT!C11</f>
        <v>10.320546183665966</v>
      </c>
      <c r="F40" s="555"/>
      <c r="G40" s="128"/>
      <c r="H40" s="127"/>
      <c r="J40" s="555"/>
      <c r="L40" s="148">
        <f>+(G39-H39)*(1-ACCEPT!C9)</f>
        <v>0.89753502145687392</v>
      </c>
      <c r="M40" s="555"/>
      <c r="N40" s="42"/>
      <c r="O40" s="46"/>
      <c r="P40" s="46"/>
      <c r="Q40" s="139"/>
      <c r="R40" s="42"/>
      <c r="S40" s="125">
        <f>+T40</f>
        <v>4428.3257165050954</v>
      </c>
      <c r="T40" s="140">
        <f>+K9+N18+N44+N49+N76+W18+W25+W33</f>
        <v>4428.3257165050954</v>
      </c>
      <c r="U40" s="42"/>
      <c r="V40" s="42"/>
      <c r="W40" s="46"/>
      <c r="X40" s="42"/>
      <c r="AA40" s="125">
        <f>+AB40</f>
        <v>3964.2748643676923</v>
      </c>
      <c r="AB40" s="140">
        <f>+Q8+V38+AD33+AD25+AD17</f>
        <v>3964.2748643676923</v>
      </c>
      <c r="AD40" s="20"/>
      <c r="AE40" s="11"/>
      <c r="AG40" s="20"/>
      <c r="AH40" s="555"/>
      <c r="AI40" s="555"/>
    </row>
    <row r="41" spans="1:35" ht="13.5" thickBot="1">
      <c r="A41" s="59"/>
      <c r="B41" s="555"/>
      <c r="D41" s="42"/>
      <c r="E41" s="44"/>
      <c r="F41" s="47" t="s">
        <v>275</v>
      </c>
      <c r="J41" s="555"/>
      <c r="M41" s="555"/>
      <c r="N41" s="42">
        <f>+J42*DENSITY!C8</f>
        <v>16.157700315714717</v>
      </c>
      <c r="O41" s="44" t="s">
        <v>253</v>
      </c>
      <c r="P41" s="46"/>
      <c r="Q41" s="58"/>
      <c r="S41" s="127"/>
      <c r="T41" s="145"/>
      <c r="U41" s="42"/>
      <c r="V41" s="42">
        <f>+T40*(ACCEPT!C18)*MISC!E11</f>
        <v>3116.5848593174919</v>
      </c>
      <c r="W41" s="44" t="s">
        <v>257</v>
      </c>
      <c r="X41" s="42"/>
      <c r="AA41" s="146"/>
      <c r="AB41" s="145"/>
      <c r="AC41" s="555"/>
      <c r="AD41" s="42">
        <f>+AB40</f>
        <v>3964.2748643676923</v>
      </c>
      <c r="AE41" s="44" t="s">
        <v>255</v>
      </c>
      <c r="AG41" s="555"/>
      <c r="AH41" s="555"/>
      <c r="AI41" s="555"/>
    </row>
    <row r="42" spans="1:35" ht="12.95">
      <c r="A42" s="59"/>
      <c r="B42" s="555"/>
      <c r="E42" s="555"/>
      <c r="F42" s="555"/>
      <c r="H42" s="123">
        <f>+H39*ACCEPT!C9</f>
        <v>676.98404633887765</v>
      </c>
      <c r="J42" s="150">
        <f>+H42+H43</f>
        <v>688.36960682123083</v>
      </c>
      <c r="M42" s="555"/>
      <c r="N42" s="42">
        <f>+J42*DENSITY!D8</f>
        <v>57.765515069758905</v>
      </c>
      <c r="O42" s="44" t="s">
        <v>256</v>
      </c>
      <c r="P42" s="46"/>
      <c r="Q42" s="139"/>
      <c r="R42" s="41"/>
      <c r="S42" s="555"/>
      <c r="T42" s="555"/>
      <c r="U42" s="555"/>
      <c r="X42" s="555"/>
      <c r="AA42" s="555"/>
      <c r="AD42" s="555"/>
      <c r="AG42" s="20"/>
      <c r="AH42" s="555"/>
      <c r="AI42" s="555"/>
    </row>
    <row r="43" spans="1:35" ht="12.95">
      <c r="A43" s="59"/>
      <c r="B43" s="555"/>
      <c r="C43" s="151"/>
      <c r="E43" s="555"/>
      <c r="F43" s="555"/>
      <c r="G43" s="555"/>
      <c r="H43" s="123">
        <f>+(G39-H39)*ACCEPT!C9</f>
        <v>11.385560482353172</v>
      </c>
      <c r="J43" s="555"/>
      <c r="M43" s="555"/>
      <c r="N43" s="42">
        <f>+J42*DENSITY!E8</f>
        <v>244.81442746274638</v>
      </c>
      <c r="O43" s="44" t="s">
        <v>251</v>
      </c>
      <c r="P43" s="46"/>
      <c r="Q43" s="139"/>
      <c r="R43" s="41"/>
      <c r="S43" s="555"/>
      <c r="T43" s="555"/>
      <c r="U43" s="555"/>
      <c r="X43" s="555"/>
      <c r="AA43" s="555"/>
      <c r="AD43" s="555"/>
      <c r="AG43" s="20"/>
      <c r="AH43" s="555"/>
      <c r="AI43" s="555"/>
    </row>
    <row r="44" spans="1:35" ht="12.95">
      <c r="A44" s="59"/>
      <c r="B44" s="555"/>
      <c r="D44" s="41"/>
      <c r="E44" s="555"/>
      <c r="F44" s="555"/>
      <c r="G44" s="555"/>
      <c r="H44" s="24"/>
      <c r="I44" s="555"/>
      <c r="J44" s="24"/>
      <c r="M44" s="555"/>
      <c r="N44" s="42">
        <f>+J42*DENSITY!F8</f>
        <v>369.63196397301084</v>
      </c>
      <c r="O44" s="44" t="s">
        <v>254</v>
      </c>
      <c r="P44" s="46"/>
      <c r="Q44" s="139"/>
      <c r="R44" s="41"/>
      <c r="S44" s="555"/>
      <c r="T44" s="555"/>
      <c r="U44" s="555"/>
      <c r="X44" s="555"/>
      <c r="AA44" s="555"/>
      <c r="AD44" s="555"/>
      <c r="AG44" s="20"/>
      <c r="AH44" s="555"/>
      <c r="AI44" s="555"/>
    </row>
    <row r="45" spans="1:35" ht="12.95">
      <c r="A45" s="59"/>
      <c r="B45" s="555"/>
      <c r="C45" s="555"/>
      <c r="D45" s="555"/>
      <c r="E45" s="555"/>
      <c r="F45" s="555"/>
      <c r="G45" s="555"/>
      <c r="H45" s="24"/>
      <c r="I45" s="555"/>
      <c r="J45" s="24"/>
      <c r="M45" s="555"/>
      <c r="N45" s="42">
        <f>+J42*DENSITY!G8</f>
        <v>0</v>
      </c>
      <c r="O45" s="44" t="s">
        <v>257</v>
      </c>
      <c r="P45" s="46"/>
      <c r="Q45" s="139"/>
      <c r="R45" s="41"/>
      <c r="S45" s="555"/>
      <c r="T45" s="555"/>
      <c r="U45" s="555"/>
      <c r="X45" s="555"/>
      <c r="AA45" s="555"/>
      <c r="AD45" s="555"/>
      <c r="AG45" s="20"/>
      <c r="AH45" s="555"/>
      <c r="AI45" s="555"/>
    </row>
    <row r="46" spans="1:35" ht="12.95" thickBot="1">
      <c r="A46" s="59"/>
      <c r="B46" s="555"/>
      <c r="C46" s="555"/>
      <c r="D46" s="555"/>
      <c r="E46" s="555"/>
      <c r="F46" s="555"/>
      <c r="G46" s="555"/>
      <c r="J46" s="555"/>
      <c r="M46" s="555"/>
      <c r="N46" s="555"/>
      <c r="O46" s="555"/>
      <c r="Q46" s="139"/>
      <c r="R46" s="41"/>
      <c r="S46" s="555"/>
      <c r="T46" s="555"/>
      <c r="U46" s="555"/>
      <c r="X46" s="555"/>
      <c r="AA46" s="555"/>
      <c r="AD46" s="555"/>
      <c r="AG46" s="20"/>
      <c r="AH46" s="555"/>
      <c r="AI46" s="555"/>
    </row>
    <row r="47" spans="1:35" ht="13.5" thickBot="1">
      <c r="A47" s="111"/>
      <c r="B47" s="95" t="s">
        <v>276</v>
      </c>
      <c r="C47" s="96"/>
      <c r="D47" s="113"/>
      <c r="E47" s="114"/>
      <c r="F47" s="114"/>
      <c r="G47" s="113"/>
      <c r="H47" s="113"/>
      <c r="I47" s="113"/>
      <c r="J47" s="114"/>
      <c r="K47" s="113"/>
      <c r="L47" s="113"/>
      <c r="M47" s="114"/>
      <c r="N47" s="114"/>
      <c r="O47" s="114"/>
      <c r="P47" s="113"/>
      <c r="Q47" s="152"/>
      <c r="S47" s="20"/>
      <c r="T47" s="20"/>
      <c r="U47" s="20"/>
      <c r="W47" s="122" t="s">
        <v>277</v>
      </c>
      <c r="X47" s="116"/>
      <c r="Z47" s="42">
        <f>+X49*(1-ACCEPT!$C$19*MISC!E11)</f>
        <v>51.123562249406866</v>
      </c>
      <c r="AA47" s="45" t="s">
        <v>278</v>
      </c>
      <c r="AB47" s="42"/>
      <c r="AD47" s="555"/>
      <c r="AG47" s="20"/>
      <c r="AH47" s="11"/>
      <c r="AI47" s="20"/>
    </row>
    <row r="48" spans="1:35" ht="13.5" thickBot="1">
      <c r="A48" s="59"/>
      <c r="B48" s="555"/>
      <c r="E48" s="555"/>
      <c r="F48" s="555"/>
      <c r="I48" s="123">
        <f>+H51*ACCEPT!C6</f>
        <v>0</v>
      </c>
      <c r="J48" s="555"/>
      <c r="K48" s="119">
        <f>+I48+I49</f>
        <v>0</v>
      </c>
      <c r="L48" s="119"/>
      <c r="M48" s="46"/>
      <c r="N48" s="42">
        <f>+K48*DENSITY!E11</f>
        <v>0</v>
      </c>
      <c r="O48" s="44" t="s">
        <v>251</v>
      </c>
      <c r="P48" s="555"/>
      <c r="Q48" s="59"/>
      <c r="R48" s="555"/>
      <c r="S48" s="20"/>
      <c r="T48" s="555"/>
      <c r="U48" s="555"/>
      <c r="V48" s="42">
        <f>+T56*(MISC!E16+MISC!E17)</f>
        <v>174.35480393469771</v>
      </c>
      <c r="W48" s="121"/>
      <c r="X48" s="140"/>
      <c r="Y48" s="42"/>
      <c r="Z48" s="42"/>
      <c r="AA48" s="46"/>
      <c r="AB48" s="42"/>
      <c r="AD48" s="555"/>
      <c r="AG48" s="555"/>
      <c r="AH48" s="555"/>
      <c r="AI48" s="20"/>
    </row>
    <row r="49" spans="1:35" ht="13.5" thickBot="1">
      <c r="A49" s="59"/>
      <c r="B49" s="555"/>
      <c r="E49" s="555"/>
      <c r="F49" s="555"/>
      <c r="G49" s="153" t="s">
        <v>248</v>
      </c>
      <c r="H49" s="132"/>
      <c r="I49" s="123">
        <f>(C53+E59)*ACCEPT!C6</f>
        <v>0</v>
      </c>
      <c r="J49" s="555"/>
      <c r="K49" s="42"/>
      <c r="L49" s="42"/>
      <c r="M49" s="46"/>
      <c r="N49" s="42">
        <f>+K48*DENSITY!F11</f>
        <v>0</v>
      </c>
      <c r="O49" s="44" t="s">
        <v>254</v>
      </c>
      <c r="P49" s="555"/>
      <c r="Q49" s="59"/>
      <c r="R49" s="555"/>
      <c r="S49" s="20"/>
      <c r="T49" s="555"/>
      <c r="U49" s="555"/>
      <c r="V49" s="42"/>
      <c r="W49" s="125">
        <f>+X49</f>
        <v>174.35480393469771</v>
      </c>
      <c r="X49" s="140">
        <f>+V48</f>
        <v>174.35480393469771</v>
      </c>
      <c r="Y49" s="42"/>
      <c r="Z49" s="42"/>
      <c r="AA49" s="97"/>
      <c r="AB49" s="42"/>
      <c r="AD49" s="555"/>
      <c r="AG49" s="555"/>
      <c r="AH49" s="555"/>
      <c r="AI49" s="20"/>
    </row>
    <row r="50" spans="1:35" ht="13.5" thickBot="1">
      <c r="A50" s="59"/>
      <c r="B50" s="555"/>
      <c r="E50" s="555"/>
      <c r="F50" s="555"/>
      <c r="G50" s="125"/>
      <c r="H50" s="125"/>
      <c r="J50" s="555"/>
      <c r="K50" s="42"/>
      <c r="L50" s="42"/>
      <c r="M50" s="46"/>
      <c r="N50" s="42">
        <f>+K48*DENSITY!G11</f>
        <v>0</v>
      </c>
      <c r="O50" s="44" t="s">
        <v>257</v>
      </c>
      <c r="P50" s="555"/>
      <c r="Q50" s="59"/>
      <c r="R50" s="555"/>
      <c r="S50" s="20"/>
      <c r="T50" s="555"/>
      <c r="U50" s="555"/>
      <c r="V50" s="42"/>
      <c r="W50" s="127"/>
      <c r="X50" s="145"/>
      <c r="Y50" s="42"/>
      <c r="AA50" s="555"/>
      <c r="AB50" s="42"/>
      <c r="AD50" s="555"/>
      <c r="AE50" s="48">
        <f>+T56*MISC!E16*ACCEPT!C19*MISC!E11</f>
        <v>123.23124168529083</v>
      </c>
      <c r="AF50" s="595" t="s">
        <v>279</v>
      </c>
      <c r="AG50" s="555"/>
      <c r="AH50" s="555"/>
      <c r="AI50" s="20"/>
    </row>
    <row r="51" spans="1:35">
      <c r="A51" s="59"/>
      <c r="B51" s="555"/>
      <c r="E51" s="555"/>
      <c r="F51" s="555"/>
      <c r="G51" s="154">
        <f>+H51+C53+E59</f>
        <v>0</v>
      </c>
      <c r="H51" s="125">
        <f>+K7</f>
        <v>0</v>
      </c>
      <c r="J51" s="555"/>
      <c r="K51" s="48"/>
      <c r="L51" s="48"/>
      <c r="M51" s="555"/>
      <c r="N51" s="555"/>
      <c r="O51" s="555"/>
      <c r="Q51" s="58"/>
      <c r="S51" s="20"/>
      <c r="T51" s="555"/>
      <c r="U51" s="555"/>
      <c r="V51" s="42"/>
      <c r="W51" s="555"/>
      <c r="X51" s="555"/>
      <c r="AA51" s="555"/>
      <c r="AB51" s="42"/>
      <c r="AD51" s="555"/>
      <c r="AG51" s="555"/>
      <c r="AH51" s="555"/>
      <c r="AI51" s="20"/>
    </row>
    <row r="52" spans="1:35" ht="12.95" thickBot="1">
      <c r="A52" s="59"/>
      <c r="B52" s="555"/>
      <c r="E52" s="555"/>
      <c r="F52" s="555"/>
      <c r="G52" s="127"/>
      <c r="H52" s="127"/>
      <c r="I52" s="48"/>
      <c r="J52" s="49"/>
      <c r="K52" s="48"/>
      <c r="L52" s="48"/>
      <c r="M52" s="555"/>
      <c r="N52" s="555"/>
      <c r="O52" s="555"/>
      <c r="Q52" s="58"/>
      <c r="S52" s="20"/>
      <c r="T52" s="555"/>
      <c r="U52" s="555"/>
      <c r="V52" s="42"/>
      <c r="W52" s="555"/>
      <c r="X52" s="42">
        <f>+X49-Z47-AE50</f>
        <v>0</v>
      </c>
      <c r="Y52" s="42"/>
      <c r="Z52" s="42"/>
      <c r="AA52" s="46"/>
      <c r="AB52" s="42"/>
      <c r="AD52" s="555"/>
      <c r="AE52" s="555"/>
      <c r="AG52" s="555"/>
      <c r="AH52" s="555"/>
      <c r="AI52" s="20"/>
    </row>
    <row r="53" spans="1:35" ht="13.5" thickBot="1">
      <c r="A53" s="59"/>
      <c r="B53" s="555"/>
      <c r="C53" s="50">
        <f>+C65</f>
        <v>0</v>
      </c>
      <c r="D53" s="42"/>
      <c r="E53" s="555"/>
      <c r="F53" s="555"/>
      <c r="J53" s="555"/>
      <c r="M53" s="555"/>
      <c r="N53" s="555"/>
      <c r="O53" s="555"/>
      <c r="Q53" s="58"/>
      <c r="S53" s="20"/>
      <c r="T53" s="555"/>
      <c r="U53" s="555"/>
      <c r="V53" s="42"/>
      <c r="W53" s="555"/>
      <c r="X53" s="555"/>
      <c r="Y53" s="42"/>
      <c r="Z53" s="42"/>
      <c r="AA53" s="46"/>
      <c r="AB53" s="42"/>
      <c r="AD53" s="555"/>
      <c r="AG53" s="555"/>
      <c r="AH53" s="11"/>
      <c r="AI53" s="20"/>
    </row>
    <row r="54" spans="1:35" ht="13.5" thickBot="1">
      <c r="A54" s="59"/>
      <c r="B54" s="555"/>
      <c r="E54" s="555"/>
      <c r="F54" s="555"/>
      <c r="G54" s="42">
        <f>+(C53+E59)*(1-ACCEPT!C6)</f>
        <v>0</v>
      </c>
      <c r="H54" s="42">
        <f>+H51*(1-ACCEPT!C6)</f>
        <v>0</v>
      </c>
      <c r="I54" s="50"/>
      <c r="J54" s="42"/>
      <c r="M54" s="555"/>
      <c r="N54" s="555"/>
      <c r="O54" s="555"/>
      <c r="Q54" s="58"/>
      <c r="S54" s="122" t="s">
        <v>257</v>
      </c>
      <c r="T54" s="116"/>
      <c r="U54" s="555"/>
      <c r="V54" s="42"/>
      <c r="W54" s="122" t="s">
        <v>280</v>
      </c>
      <c r="X54" s="116"/>
      <c r="Z54" s="41">
        <f>++(X56*(1-ACCEPT!C22*MISC!E11))+((X56*(ACCEPT!C22*MISC!E11)*(1-ACCEPT!C23*MISC!E11)))+((X56*ACCEPT!C22*MISC!E11*(ACCEPT!C23*MISC!E11))*(1-ACCEPT!C23*MISC!E11))</f>
        <v>0</v>
      </c>
      <c r="AA54" s="45" t="s">
        <v>278</v>
      </c>
      <c r="AB54" s="42"/>
      <c r="AD54" s="555"/>
      <c r="AG54" s="555"/>
      <c r="AH54" s="20"/>
      <c r="AI54" s="20"/>
    </row>
    <row r="55" spans="1:35" ht="12.95" thickBot="1">
      <c r="A55" s="59"/>
      <c r="B55" s="555"/>
      <c r="E55" s="555"/>
      <c r="F55" s="555"/>
      <c r="G55" s="91"/>
      <c r="H55" s="91"/>
      <c r="J55" s="555"/>
      <c r="M55" s="555"/>
      <c r="N55" s="555"/>
      <c r="O55" s="555"/>
      <c r="Q55" s="58"/>
      <c r="S55" s="121"/>
      <c r="T55" s="140"/>
      <c r="U55" s="555"/>
      <c r="V55" s="42"/>
      <c r="W55" s="121"/>
      <c r="X55" s="140"/>
      <c r="Y55" s="42"/>
      <c r="Z55" s="42"/>
      <c r="AA55" s="46"/>
      <c r="AB55" s="42"/>
      <c r="AD55" s="555"/>
      <c r="AG55" s="20"/>
      <c r="AH55" s="20"/>
      <c r="AI55" s="20"/>
    </row>
    <row r="56" spans="1:35" ht="13.5" thickBot="1">
      <c r="A56" s="59"/>
      <c r="B56" s="555"/>
      <c r="E56" s="555"/>
      <c r="F56" s="555"/>
      <c r="G56" s="122" t="s">
        <v>281</v>
      </c>
      <c r="H56" s="116"/>
      <c r="J56" s="555"/>
      <c r="M56" s="555"/>
      <c r="N56" s="555"/>
      <c r="O56" s="555"/>
      <c r="Q56" s="58"/>
      <c r="S56" s="125">
        <f>+T56</f>
        <v>4958.0314787529114</v>
      </c>
      <c r="T56" s="140">
        <f>+K10+N19+N45+N50+N77+W19+W26+W34+V41</f>
        <v>4958.0314787529114</v>
      </c>
      <c r="U56" s="555"/>
      <c r="V56" s="42"/>
      <c r="W56" s="125">
        <f>+X56+X56*(ACCEPT!C22*MISC!E11)+(X56*ACCEPT!C22*MISC!E11)*ACCEPT!C23</f>
        <v>0</v>
      </c>
      <c r="X56" s="140">
        <f>+X52</f>
        <v>0</v>
      </c>
      <c r="Y56" s="42"/>
      <c r="Z56" s="42"/>
      <c r="AA56" s="46"/>
      <c r="AB56" s="42"/>
      <c r="AD56" s="24"/>
      <c r="AG56" s="555"/>
      <c r="AH56" s="20"/>
      <c r="AI56" s="20"/>
    </row>
    <row r="57" spans="1:35" ht="13.5" thickBot="1">
      <c r="A57" s="59"/>
      <c r="B57" s="555"/>
      <c r="E57" s="555"/>
      <c r="F57" s="555"/>
      <c r="G57" s="155"/>
      <c r="H57" s="121"/>
      <c r="J57" s="555"/>
      <c r="M57" s="555"/>
      <c r="N57" s="555"/>
      <c r="O57" s="555"/>
      <c r="Q57" s="58"/>
      <c r="S57" s="127"/>
      <c r="T57" s="156"/>
      <c r="U57" s="555"/>
      <c r="V57" s="42"/>
      <c r="W57" s="127"/>
      <c r="X57" s="145"/>
      <c r="Y57" s="42"/>
      <c r="AA57" s="555"/>
      <c r="AB57" s="42"/>
      <c r="AD57" s="555"/>
      <c r="AE57" s="48">
        <f>+X56-Z54</f>
        <v>0</v>
      </c>
      <c r="AF57" s="595" t="s">
        <v>279</v>
      </c>
      <c r="AG57" s="555"/>
      <c r="AH57" s="20"/>
      <c r="AI57" s="20"/>
    </row>
    <row r="58" spans="1:35" ht="12.95">
      <c r="A58" s="59"/>
      <c r="B58" s="555"/>
      <c r="E58" s="555"/>
      <c r="F58" s="555"/>
      <c r="G58" s="124">
        <f>+H58+G54</f>
        <v>0</v>
      </c>
      <c r="H58" s="125">
        <f>+H54</f>
        <v>0</v>
      </c>
      <c r="I58" s="60" t="s">
        <v>282</v>
      </c>
      <c r="J58" s="49"/>
      <c r="M58" s="555"/>
      <c r="N58" s="555"/>
      <c r="O58" s="555"/>
      <c r="Q58" s="58"/>
      <c r="S58" s="20"/>
      <c r="T58" s="555"/>
      <c r="U58" s="555"/>
      <c r="V58" s="42"/>
      <c r="W58" s="555"/>
      <c r="X58" s="555"/>
      <c r="AA58" s="555"/>
      <c r="AB58" s="42"/>
      <c r="AD58" s="555"/>
      <c r="AG58" s="555"/>
      <c r="AH58" s="20"/>
      <c r="AI58" s="20"/>
    </row>
    <row r="59" spans="1:35" ht="12.95" thickBot="1">
      <c r="A59" s="59"/>
      <c r="B59" s="555"/>
      <c r="E59" s="46">
        <f>+H72*ACCEPT!C10</f>
        <v>0</v>
      </c>
      <c r="F59" s="555"/>
      <c r="G59" s="128"/>
      <c r="H59" s="127"/>
      <c r="J59" s="555"/>
      <c r="M59" s="555"/>
      <c r="N59" s="555"/>
      <c r="O59" s="555"/>
      <c r="Q59" s="58"/>
      <c r="S59" s="20"/>
      <c r="T59" s="555"/>
      <c r="U59" s="555"/>
      <c r="V59" s="42"/>
      <c r="W59" s="555"/>
      <c r="X59" s="555"/>
      <c r="Y59" s="42"/>
      <c r="Z59" s="42"/>
      <c r="AA59" s="46"/>
      <c r="AB59" s="42"/>
      <c r="AD59" s="555"/>
      <c r="AG59" s="555"/>
      <c r="AH59" s="20"/>
      <c r="AI59" s="20"/>
    </row>
    <row r="60" spans="1:35" ht="12.95" thickBot="1">
      <c r="A60" s="59"/>
      <c r="B60" s="555"/>
      <c r="E60" s="555"/>
      <c r="F60" s="555"/>
      <c r="G60" s="90" t="s">
        <v>265</v>
      </c>
      <c r="H60" s="90"/>
      <c r="J60" s="555"/>
      <c r="M60" s="555"/>
      <c r="N60" s="555"/>
      <c r="O60" s="555"/>
      <c r="Q60" s="58"/>
      <c r="S60" s="20"/>
      <c r="T60" s="555"/>
      <c r="U60" s="555"/>
      <c r="V60" s="42"/>
      <c r="W60" s="555"/>
      <c r="X60" s="555"/>
      <c r="Y60" s="42"/>
      <c r="Z60" s="42"/>
      <c r="AA60" s="46"/>
      <c r="AB60" s="42"/>
      <c r="AD60" s="555"/>
      <c r="AG60" s="555"/>
      <c r="AH60" s="20"/>
      <c r="AI60" s="20"/>
    </row>
    <row r="61" spans="1:35" ht="13.5" thickBot="1">
      <c r="A61" s="59"/>
      <c r="B61" s="555"/>
      <c r="E61" s="555"/>
      <c r="F61" s="555"/>
      <c r="G61" s="91">
        <f>+I62</f>
        <v>0</v>
      </c>
      <c r="H61" s="91">
        <f>+J62</f>
        <v>0</v>
      </c>
      <c r="I61" s="590" t="s">
        <v>266</v>
      </c>
      <c r="J61" s="51" t="s">
        <v>267</v>
      </c>
      <c r="M61" s="555"/>
      <c r="N61" s="555"/>
      <c r="O61" s="555"/>
      <c r="Q61" s="58"/>
      <c r="S61" s="20"/>
      <c r="T61" s="555"/>
      <c r="U61" s="555"/>
      <c r="V61" s="42"/>
      <c r="W61" s="122" t="s">
        <v>283</v>
      </c>
      <c r="X61" s="116"/>
      <c r="Z61" s="42">
        <f>++X63*(1-ACCEPT!C20*MISC!E11)+(X63*ACCEPT!C20*MISC!E11)*(1-ACCEPT!C21*MISC!E11)</f>
        <v>2157.8175611854808</v>
      </c>
      <c r="AA61" s="45" t="s">
        <v>278</v>
      </c>
      <c r="AB61" s="42"/>
      <c r="AD61" s="555"/>
      <c r="AG61" s="555"/>
      <c r="AH61" s="20"/>
      <c r="AI61" s="20"/>
    </row>
    <row r="62" spans="1:35" ht="12.95" thickBot="1">
      <c r="A62" s="59"/>
      <c r="B62" s="555"/>
      <c r="E62" s="555"/>
      <c r="F62" s="555"/>
      <c r="I62" s="50">
        <f>+G54*(1-MISC!E6)</f>
        <v>0</v>
      </c>
      <c r="J62" s="43">
        <f>+H58*((1-MISC!E6))</f>
        <v>0</v>
      </c>
      <c r="K62" s="48">
        <f>+G54*MISC!E6</f>
        <v>0</v>
      </c>
      <c r="L62" s="553">
        <f>+H58*MISC!E6</f>
        <v>0</v>
      </c>
      <c r="M62" s="555"/>
      <c r="N62" s="555"/>
      <c r="O62" s="555"/>
      <c r="Q62" s="58"/>
      <c r="S62" s="20"/>
      <c r="T62" s="555"/>
      <c r="U62" s="555"/>
      <c r="V62" s="42"/>
      <c r="W62" s="121"/>
      <c r="X62" s="140"/>
      <c r="Y62" s="42"/>
      <c r="Z62" s="42"/>
      <c r="AA62" s="46"/>
      <c r="AB62" s="42"/>
      <c r="AD62" s="555"/>
      <c r="AG62" s="555"/>
      <c r="AH62" s="20"/>
      <c r="AI62" s="20"/>
    </row>
    <row r="63" spans="1:35" ht="13.5" thickBot="1">
      <c r="A63" s="59"/>
      <c r="B63" s="555"/>
      <c r="C63" s="131" t="s">
        <v>284</v>
      </c>
      <c r="D63" s="132"/>
      <c r="E63" s="555"/>
      <c r="F63" s="555"/>
      <c r="G63" s="122" t="s">
        <v>285</v>
      </c>
      <c r="H63" s="116"/>
      <c r="I63" s="50"/>
      <c r="J63" s="51"/>
      <c r="M63" s="555"/>
      <c r="N63" s="555"/>
      <c r="O63" s="555"/>
      <c r="Q63" s="58"/>
      <c r="S63" s="20"/>
      <c r="T63" s="555"/>
      <c r="U63" s="555"/>
      <c r="V63" s="42">
        <f>+T56*MISC!E18</f>
        <v>4783.6766748182135</v>
      </c>
      <c r="W63" s="125">
        <f>+X63+X63*(ACCEPT!C20*MISC!E11)</f>
        <v>8319.4981383472168</v>
      </c>
      <c r="X63" s="140">
        <f>+V63</f>
        <v>4783.6766748182135</v>
      </c>
      <c r="Y63" s="42"/>
      <c r="Z63" s="42"/>
      <c r="AA63" s="46"/>
      <c r="AB63" s="42"/>
      <c r="AD63" s="555"/>
      <c r="AG63" s="555"/>
      <c r="AH63" s="20"/>
      <c r="AI63" s="20"/>
    </row>
    <row r="64" spans="1:35" ht="13.5" thickBot="1">
      <c r="A64" s="59"/>
      <c r="B64" s="555"/>
      <c r="C64" s="157"/>
      <c r="D64" s="121"/>
      <c r="E64" s="555"/>
      <c r="F64" s="555"/>
      <c r="G64" s="121"/>
      <c r="H64" s="125"/>
      <c r="I64" s="50"/>
      <c r="J64" s="51"/>
      <c r="M64" s="158">
        <f>+J62*MISC!E5</f>
        <v>0</v>
      </c>
      <c r="N64" s="159">
        <f>+M64+M65</f>
        <v>0</v>
      </c>
      <c r="O64" s="45" t="s">
        <v>286</v>
      </c>
      <c r="Q64" s="58"/>
      <c r="S64" s="20"/>
      <c r="T64" s="555"/>
      <c r="U64" s="555"/>
      <c r="V64" s="42"/>
      <c r="W64" s="127"/>
      <c r="X64" s="145"/>
      <c r="Y64" s="42"/>
      <c r="AA64" s="555"/>
      <c r="AB64" s="42"/>
      <c r="AD64" s="555"/>
      <c r="AE64" s="48">
        <f>+X63*(ACCEPT!C20*MISC!E11)*(ACCEPT!C21*MISC!E11)</f>
        <v>2625.8591136327327</v>
      </c>
      <c r="AF64" s="595" t="s">
        <v>279</v>
      </c>
      <c r="AG64" s="555"/>
      <c r="AH64" s="20"/>
      <c r="AI64" s="20"/>
    </row>
    <row r="65" spans="1:35">
      <c r="A65" s="59"/>
      <c r="B65" s="555"/>
      <c r="C65" s="160">
        <f>+D65</f>
        <v>0</v>
      </c>
      <c r="D65" s="142">
        <f>+D69</f>
        <v>0</v>
      </c>
      <c r="E65" s="555"/>
      <c r="F65" s="555"/>
      <c r="G65" s="125">
        <f>+G61+H65</f>
        <v>0</v>
      </c>
      <c r="H65" s="125">
        <f>+H61</f>
        <v>0</v>
      </c>
      <c r="I65" s="50"/>
      <c r="J65" s="51"/>
      <c r="M65" s="143">
        <f>+I62*MISC!E5</f>
        <v>0</v>
      </c>
      <c r="N65" s="555"/>
      <c r="O65" s="555"/>
      <c r="Q65" s="58"/>
      <c r="S65" s="20"/>
      <c r="T65" s="555"/>
      <c r="U65" s="555"/>
      <c r="V65" s="42"/>
      <c r="W65" s="555"/>
      <c r="X65" s="555"/>
      <c r="AA65" s="555"/>
      <c r="AB65" s="42"/>
      <c r="AD65" s="555"/>
      <c r="AG65" s="555"/>
      <c r="AH65" s="20"/>
      <c r="AI65" s="20"/>
    </row>
    <row r="66" spans="1:35" ht="12.95" thickBot="1">
      <c r="A66" s="59"/>
      <c r="B66" s="555"/>
      <c r="C66" s="161"/>
      <c r="D66" s="127"/>
      <c r="E66" s="555"/>
      <c r="F66" s="555"/>
      <c r="G66" s="127"/>
      <c r="H66" s="127"/>
      <c r="I66" s="50"/>
      <c r="J66" s="555"/>
      <c r="M66" s="555"/>
      <c r="N66" s="555"/>
      <c r="O66" s="555"/>
      <c r="Q66" s="58"/>
      <c r="S66" s="20"/>
      <c r="T66" s="555"/>
      <c r="U66" s="555"/>
      <c r="V66" s="42"/>
      <c r="W66" s="555"/>
      <c r="X66" s="555"/>
      <c r="Y66" s="42"/>
      <c r="Z66" s="42"/>
      <c r="AA66" s="555"/>
      <c r="AB66" s="42"/>
      <c r="AD66" s="555"/>
      <c r="AG66" s="555"/>
      <c r="AH66" s="20"/>
      <c r="AI66" s="20"/>
    </row>
    <row r="67" spans="1:35" ht="12.95">
      <c r="A67" s="59"/>
      <c r="B67" s="555"/>
      <c r="E67" s="555"/>
      <c r="F67" s="555"/>
      <c r="G67" s="90" t="s">
        <v>265</v>
      </c>
      <c r="H67" s="90"/>
      <c r="I67" s="590" t="s">
        <v>266</v>
      </c>
      <c r="J67" s="51" t="s">
        <v>267</v>
      </c>
      <c r="M67" s="555"/>
      <c r="N67" s="555"/>
      <c r="O67" s="555"/>
      <c r="Q67" s="58"/>
      <c r="S67" s="20"/>
      <c r="T67" s="555"/>
      <c r="U67" s="555"/>
      <c r="W67" s="555"/>
      <c r="X67" s="555"/>
      <c r="Z67" s="42">
        <f>+T56*MISC!E15</f>
        <v>0</v>
      </c>
      <c r="AA67" s="45" t="s">
        <v>278</v>
      </c>
      <c r="AD67" s="555"/>
      <c r="AG67" s="555"/>
      <c r="AH67" s="20"/>
      <c r="AI67" s="20"/>
    </row>
    <row r="68" spans="1:35">
      <c r="A68" s="59"/>
      <c r="B68" s="555"/>
      <c r="E68" s="555"/>
      <c r="F68" s="555"/>
      <c r="G68" s="91">
        <f>+I68</f>
        <v>0</v>
      </c>
      <c r="H68" s="91">
        <f>+J68</f>
        <v>0</v>
      </c>
      <c r="I68" s="50">
        <f>+I62-M65</f>
        <v>0</v>
      </c>
      <c r="J68" s="42">
        <f>+J62-M64</f>
        <v>0</v>
      </c>
      <c r="M68" s="555"/>
      <c r="N68" s="555"/>
      <c r="O68" s="555"/>
      <c r="Q68" s="58"/>
      <c r="S68" s="20"/>
      <c r="T68" s="555"/>
      <c r="U68" s="555"/>
      <c r="X68" s="555"/>
      <c r="AA68" s="555"/>
      <c r="AD68" s="555"/>
      <c r="AG68" s="555"/>
      <c r="AH68" s="20"/>
      <c r="AI68" s="20"/>
    </row>
    <row r="69" spans="1:35" ht="12.95" thickBot="1">
      <c r="A69" s="59"/>
      <c r="B69" s="555"/>
      <c r="D69" s="42">
        <f>+H72*ACCEPT!C12</f>
        <v>0</v>
      </c>
      <c r="E69" s="555"/>
      <c r="F69" s="555"/>
      <c r="G69" s="91"/>
      <c r="H69" s="91"/>
      <c r="J69" s="51"/>
      <c r="M69" s="555"/>
      <c r="N69" s="555"/>
      <c r="O69" s="555"/>
      <c r="Q69" s="58"/>
      <c r="S69" s="555"/>
      <c r="T69" s="555"/>
      <c r="U69" s="555"/>
      <c r="X69" s="555"/>
      <c r="AA69" s="555"/>
      <c r="AD69" s="555"/>
      <c r="AG69" s="555"/>
      <c r="AH69" s="20"/>
      <c r="AI69" s="20"/>
    </row>
    <row r="70" spans="1:35" ht="13.5" thickBot="1">
      <c r="A70" s="59"/>
      <c r="B70" s="555"/>
      <c r="E70" s="555"/>
      <c r="F70" s="555"/>
      <c r="G70" s="122" t="s">
        <v>287</v>
      </c>
      <c r="H70" s="116"/>
      <c r="J70" s="555"/>
      <c r="M70" s="555"/>
      <c r="N70" s="555"/>
      <c r="O70" s="555"/>
      <c r="Q70" s="58"/>
      <c r="S70" s="555"/>
      <c r="T70" s="555"/>
      <c r="U70" s="555"/>
      <c r="V70" s="42"/>
      <c r="X70" s="555"/>
      <c r="AA70" s="555"/>
      <c r="AD70" s="555"/>
      <c r="AG70" s="555"/>
      <c r="AH70" s="20"/>
      <c r="AI70" s="20"/>
    </row>
    <row r="71" spans="1:35" ht="13.5" thickBot="1">
      <c r="A71" s="59"/>
      <c r="B71" s="555"/>
      <c r="D71" s="45" t="s">
        <v>273</v>
      </c>
      <c r="E71" s="555"/>
      <c r="F71" s="555"/>
      <c r="G71" s="124"/>
      <c r="H71" s="121"/>
      <c r="J71" s="555"/>
      <c r="M71" s="555"/>
      <c r="N71" s="555"/>
      <c r="O71" s="555"/>
      <c r="Q71" s="58"/>
      <c r="S71" s="555"/>
      <c r="T71" s="555"/>
      <c r="U71" s="555"/>
      <c r="X71" s="555"/>
      <c r="AA71" s="555"/>
      <c r="AD71" s="555"/>
      <c r="AG71" s="555"/>
      <c r="AH71" s="20"/>
      <c r="AI71" s="20"/>
    </row>
    <row r="72" spans="1:35" ht="13.5" thickBot="1">
      <c r="A72" s="59"/>
      <c r="B72" s="555"/>
      <c r="E72" s="555"/>
      <c r="F72" s="555"/>
      <c r="G72" s="124">
        <f>+H72+E73+I68+K62</f>
        <v>0</v>
      </c>
      <c r="H72" s="125">
        <f>+J68+L62</f>
        <v>0</v>
      </c>
      <c r="I72" s="42"/>
      <c r="J72" s="555"/>
      <c r="K72" s="42">
        <f>+H72*ACCEPT!C13</f>
        <v>0</v>
      </c>
      <c r="L72" s="42"/>
      <c r="M72" s="555"/>
      <c r="N72" s="150">
        <f>+K72+K73</f>
        <v>0</v>
      </c>
      <c r="O72" s="45" t="s">
        <v>270</v>
      </c>
      <c r="Q72" s="58"/>
      <c r="S72" s="555"/>
      <c r="T72" s="555"/>
      <c r="U72" s="555"/>
      <c r="X72" s="555"/>
      <c r="AA72" s="115" t="s">
        <v>255</v>
      </c>
      <c r="AB72" s="116"/>
      <c r="AD72" s="31"/>
      <c r="AE72" s="555"/>
      <c r="AF72" s="555"/>
      <c r="AG72" s="555"/>
      <c r="AH72" s="555"/>
      <c r="AI72" s="555"/>
    </row>
    <row r="73" spans="1:35" ht="12.95" thickBot="1">
      <c r="A73" s="59"/>
      <c r="B73" s="555"/>
      <c r="E73" s="42">
        <f>+H72*ACCEPT!C11</f>
        <v>0</v>
      </c>
      <c r="F73" s="555"/>
      <c r="G73" s="128"/>
      <c r="H73" s="127"/>
      <c r="J73" s="555"/>
      <c r="K73" s="162">
        <f>+(G72-H72)*(1-ACCEPT!C9)</f>
        <v>0</v>
      </c>
      <c r="M73" s="555"/>
      <c r="N73" s="555"/>
      <c r="O73" s="555"/>
      <c r="Q73" s="58"/>
      <c r="R73" s="555"/>
      <c r="S73" s="555"/>
      <c r="T73" s="555"/>
      <c r="U73" s="555"/>
      <c r="X73" s="555"/>
      <c r="AA73" s="141"/>
      <c r="AB73" s="140"/>
      <c r="AD73" s="20"/>
      <c r="AE73" s="555"/>
      <c r="AF73" s="555"/>
      <c r="AG73" s="555"/>
      <c r="AH73" s="555"/>
      <c r="AI73" s="555"/>
    </row>
    <row r="74" spans="1:35" ht="12.95" customHeight="1">
      <c r="A74" s="59"/>
      <c r="B74" s="555"/>
      <c r="D74" s="42"/>
      <c r="E74" s="11"/>
      <c r="F74" s="47" t="s">
        <v>275</v>
      </c>
      <c r="J74" s="555"/>
      <c r="M74" s="555"/>
      <c r="N74" s="555"/>
      <c r="O74" s="555"/>
      <c r="Q74" s="58"/>
      <c r="R74" s="555"/>
      <c r="S74" s="555"/>
      <c r="T74" s="555"/>
      <c r="U74" s="555"/>
      <c r="X74" s="555"/>
      <c r="AA74" s="125">
        <f>+AB74</f>
        <v>7250.9096446819785</v>
      </c>
      <c r="AB74" s="140">
        <f>+Q9+AD41+AD34+AD26+AD18+Z47+Z54+Z61+Z67</f>
        <v>7250.9096446819785</v>
      </c>
      <c r="AD74" s="20"/>
      <c r="AE74" s="11"/>
      <c r="AF74" s="555"/>
      <c r="AG74" s="555"/>
      <c r="AH74" s="555"/>
      <c r="AI74" s="555"/>
    </row>
    <row r="75" spans="1:35" ht="13.5" thickBot="1">
      <c r="A75" s="59"/>
      <c r="B75" s="555"/>
      <c r="E75" s="555"/>
      <c r="F75" s="555"/>
      <c r="H75" s="123">
        <f>+H72*ACCEPT!C9</f>
        <v>0</v>
      </c>
      <c r="J75" s="555"/>
      <c r="K75" s="119">
        <f>+H75+H76</f>
        <v>0</v>
      </c>
      <c r="L75" s="119"/>
      <c r="M75" s="11"/>
      <c r="N75" s="42">
        <f>+K75*DENSITY!E12</f>
        <v>0</v>
      </c>
      <c r="O75" s="44" t="s">
        <v>251</v>
      </c>
      <c r="Q75" s="58"/>
      <c r="R75" s="555"/>
      <c r="S75" s="555"/>
      <c r="T75" s="555"/>
      <c r="U75" s="555"/>
      <c r="X75" s="555"/>
      <c r="AA75" s="146"/>
      <c r="AB75" s="145"/>
      <c r="AD75" s="555"/>
      <c r="AE75" s="48">
        <f>+AB74</f>
        <v>7250.9096446819785</v>
      </c>
      <c r="AF75" s="595" t="s">
        <v>279</v>
      </c>
      <c r="AG75" s="555"/>
      <c r="AH75" s="555"/>
      <c r="AI75" s="555"/>
    </row>
    <row r="76" spans="1:35" ht="12.95">
      <c r="A76" s="59"/>
      <c r="B76" s="555"/>
      <c r="D76" s="555"/>
      <c r="E76" s="555"/>
      <c r="F76" s="555"/>
      <c r="G76" s="555"/>
      <c r="H76" s="123">
        <f>+(G72-H72)*ACCEPT!C9</f>
        <v>0</v>
      </c>
      <c r="J76" s="555"/>
      <c r="M76" s="555"/>
      <c r="N76" s="42">
        <f>+K75*DENSITY!F12</f>
        <v>0</v>
      </c>
      <c r="O76" s="44" t="s">
        <v>254</v>
      </c>
      <c r="Q76" s="58"/>
      <c r="R76" s="555"/>
      <c r="S76" s="555"/>
      <c r="T76" s="555"/>
      <c r="U76" s="555"/>
      <c r="X76" s="555"/>
      <c r="AA76" s="555"/>
      <c r="AD76" s="555"/>
      <c r="AG76" s="555"/>
      <c r="AH76" s="555"/>
      <c r="AI76" s="555"/>
    </row>
    <row r="77" spans="1:35" ht="12.95">
      <c r="A77" s="59"/>
      <c r="B77" s="555"/>
      <c r="D77" s="555"/>
      <c r="E77" s="555"/>
      <c r="F77" s="555"/>
      <c r="G77" s="555"/>
      <c r="I77" s="32"/>
      <c r="J77" s="555"/>
      <c r="M77" s="555"/>
      <c r="N77" s="42">
        <f>+K75*DENSITY!G12</f>
        <v>0</v>
      </c>
      <c r="O77" s="44" t="s">
        <v>257</v>
      </c>
      <c r="Q77" s="58"/>
      <c r="S77" s="555"/>
      <c r="T77" s="555"/>
      <c r="U77" s="555"/>
      <c r="X77" s="555"/>
      <c r="AA77" s="555"/>
      <c r="AD77" s="555"/>
      <c r="AG77" s="555"/>
      <c r="AH77" s="555"/>
      <c r="AI77" s="555"/>
    </row>
    <row r="78" spans="1:35">
      <c r="A78" s="59"/>
      <c r="B78" s="63"/>
      <c r="C78" s="61"/>
      <c r="D78" s="63"/>
      <c r="E78" s="63"/>
      <c r="F78" s="63"/>
      <c r="G78" s="63"/>
      <c r="H78" s="62"/>
      <c r="I78" s="62"/>
      <c r="J78" s="63"/>
      <c r="K78" s="62"/>
      <c r="L78" s="62"/>
      <c r="M78" s="63"/>
      <c r="N78" s="63"/>
      <c r="O78" s="63"/>
      <c r="P78" s="62"/>
      <c r="Q78" s="64"/>
      <c r="S78" s="555"/>
      <c r="T78" s="555"/>
      <c r="U78" s="555"/>
      <c r="X78" s="555"/>
      <c r="AA78" s="555"/>
      <c r="AD78" s="24"/>
      <c r="AG78" s="555"/>
      <c r="AH78" s="555"/>
      <c r="AI78" s="555"/>
    </row>
    <row r="79" spans="1:35">
      <c r="A79" s="555"/>
      <c r="B79" s="555"/>
      <c r="D79" s="555"/>
      <c r="E79" s="555"/>
      <c r="F79" s="555"/>
      <c r="G79" s="555"/>
      <c r="J79" s="555"/>
      <c r="M79" s="555"/>
      <c r="N79" s="555"/>
      <c r="O79" s="555"/>
      <c r="Q79" s="113"/>
      <c r="S79" s="555"/>
      <c r="T79" s="555"/>
      <c r="U79" s="555"/>
      <c r="X79" s="555"/>
      <c r="AA79" s="555"/>
      <c r="AD79" s="555"/>
      <c r="AG79" s="555"/>
      <c r="AH79" s="555"/>
      <c r="AI79" s="555"/>
    </row>
    <row r="80" spans="1:35">
      <c r="A80" s="555"/>
      <c r="B80" s="555"/>
      <c r="D80" s="555"/>
      <c r="E80" s="555"/>
      <c r="F80" s="555"/>
      <c r="G80" s="182"/>
      <c r="H80" s="183"/>
      <c r="I80" s="184"/>
      <c r="J80" s="555"/>
      <c r="M80" s="555"/>
      <c r="N80" s="555"/>
      <c r="O80" s="555"/>
      <c r="S80" s="555"/>
      <c r="T80" s="555"/>
      <c r="U80" s="555"/>
      <c r="X80" s="555"/>
      <c r="AA80" s="555"/>
      <c r="AD80" s="555"/>
      <c r="AG80" s="555"/>
      <c r="AH80" s="555"/>
      <c r="AI80" s="555"/>
    </row>
    <row r="81" spans="7:34">
      <c r="G81" s="181"/>
      <c r="H81" s="183"/>
      <c r="I81" s="185"/>
      <c r="J81" s="555"/>
      <c r="M81" s="555"/>
      <c r="N81" s="555"/>
      <c r="O81" s="555"/>
      <c r="S81" s="555"/>
      <c r="T81" s="555"/>
      <c r="U81" s="555"/>
      <c r="X81" s="555"/>
      <c r="AA81" s="555"/>
      <c r="AD81" s="555"/>
      <c r="AG81" s="555"/>
      <c r="AH81" s="555"/>
    </row>
    <row r="82" spans="7:34">
      <c r="G82" s="182"/>
      <c r="H82" s="183"/>
      <c r="I82" s="184"/>
      <c r="J82" s="555"/>
      <c r="M82" s="555"/>
      <c r="N82" s="555"/>
      <c r="O82" s="555"/>
      <c r="S82" s="555"/>
      <c r="T82" s="555"/>
      <c r="U82" s="555"/>
      <c r="X82" s="555"/>
      <c r="AA82" s="555"/>
      <c r="AD82" s="555"/>
      <c r="AG82" s="555"/>
      <c r="AH82" s="555"/>
    </row>
    <row r="83" spans="7:34">
      <c r="G83" s="186"/>
      <c r="H83" s="183"/>
      <c r="I83" s="187"/>
      <c r="J83" s="555"/>
      <c r="M83" s="555"/>
      <c r="N83" s="555"/>
      <c r="O83" s="555"/>
      <c r="S83" s="555"/>
      <c r="T83" s="180"/>
      <c r="U83" s="180"/>
      <c r="V83" s="172"/>
      <c r="W83" s="172"/>
      <c r="X83" s="172"/>
      <c r="AA83" s="555"/>
      <c r="AD83" s="555"/>
      <c r="AG83" s="555"/>
      <c r="AH83" s="555"/>
    </row>
    <row r="84" spans="7:34">
      <c r="G84" s="186"/>
      <c r="H84" s="183"/>
      <c r="I84" s="188"/>
      <c r="J84" s="555"/>
      <c r="M84" s="555"/>
      <c r="N84" s="555"/>
      <c r="O84" s="555"/>
      <c r="S84" s="555"/>
      <c r="T84" s="555"/>
      <c r="U84" s="555"/>
      <c r="V84" s="172"/>
      <c r="W84" s="172"/>
      <c r="X84" s="181"/>
      <c r="AA84" s="555"/>
      <c r="AD84" s="555"/>
      <c r="AG84" s="555"/>
      <c r="AH84" s="555"/>
    </row>
    <row r="85" spans="7:34">
      <c r="G85" s="189"/>
      <c r="H85" s="183"/>
      <c r="I85" s="190"/>
      <c r="J85" s="555"/>
      <c r="M85" s="555"/>
      <c r="N85" s="555"/>
      <c r="O85" s="555"/>
      <c r="S85" s="555"/>
      <c r="T85" s="555"/>
      <c r="U85" s="555"/>
      <c r="V85" s="172"/>
      <c r="W85" s="172"/>
      <c r="X85" s="181"/>
      <c r="AA85" s="555"/>
      <c r="AD85" s="555"/>
      <c r="AG85" s="555"/>
      <c r="AH85" s="555"/>
    </row>
    <row r="86" spans="7:34">
      <c r="J86" s="555"/>
      <c r="M86" s="555"/>
      <c r="N86" s="555"/>
      <c r="O86" s="555"/>
      <c r="S86" s="20"/>
      <c r="T86" s="555"/>
      <c r="U86" s="555"/>
      <c r="V86" s="172"/>
      <c r="W86" s="172"/>
      <c r="X86" s="181"/>
      <c r="Z86" s="555"/>
      <c r="AA86" s="20"/>
      <c r="AC86" s="555"/>
      <c r="AD86" s="20"/>
      <c r="AF86" s="555"/>
      <c r="AG86" s="20"/>
      <c r="AH86" s="20"/>
    </row>
    <row r="87" spans="7:34">
      <c r="G87" s="91"/>
      <c r="H87" s="596"/>
      <c r="I87" s="91"/>
      <c r="J87" s="555"/>
      <c r="M87" s="555"/>
      <c r="N87" s="555"/>
      <c r="O87" s="555"/>
      <c r="S87" s="555"/>
      <c r="T87" s="555"/>
      <c r="U87" s="555"/>
      <c r="X87" s="555"/>
      <c r="AA87" s="555"/>
      <c r="AD87" s="555"/>
      <c r="AG87" s="555"/>
      <c r="AH87" s="555"/>
    </row>
    <row r="88" spans="7:34">
      <c r="G88" s="91"/>
      <c r="H88" s="596"/>
      <c r="I88" s="91"/>
      <c r="J88" s="555"/>
      <c r="M88" s="555"/>
      <c r="N88" s="555"/>
      <c r="O88" s="555"/>
      <c r="S88" s="555"/>
      <c r="T88" s="555"/>
      <c r="U88" s="555"/>
      <c r="X88" s="555"/>
      <c r="AA88" s="555"/>
      <c r="AD88" s="555"/>
      <c r="AG88" s="555"/>
      <c r="AH88" s="555"/>
    </row>
    <row r="89" spans="7:34">
      <c r="G89" s="91"/>
      <c r="H89" s="596"/>
      <c r="I89" s="91"/>
      <c r="J89" s="555"/>
      <c r="M89" s="555"/>
      <c r="N89" s="555"/>
      <c r="O89" s="555"/>
      <c r="S89" s="555"/>
      <c r="T89" s="555"/>
      <c r="U89" s="555"/>
      <c r="X89" s="555"/>
      <c r="AA89" s="555"/>
      <c r="AD89" s="555"/>
      <c r="AG89" s="555"/>
      <c r="AH89" s="555"/>
    </row>
    <row r="92" spans="7:34">
      <c r="G92" s="181"/>
      <c r="H92" s="172"/>
      <c r="I92" s="172"/>
      <c r="J92" s="555"/>
      <c r="M92" s="555"/>
      <c r="N92" s="555"/>
      <c r="O92" s="555"/>
      <c r="S92" s="555"/>
      <c r="T92" s="555"/>
      <c r="U92" s="555"/>
      <c r="X92" s="555"/>
      <c r="AA92" s="555"/>
      <c r="AD92" s="555"/>
      <c r="AG92" s="555"/>
      <c r="AH92" s="555"/>
    </row>
    <row r="93" spans="7:34">
      <c r="G93" s="192"/>
      <c r="H93" s="172"/>
      <c r="I93" s="193"/>
      <c r="J93" s="555"/>
      <c r="M93" s="555"/>
      <c r="N93" s="555"/>
      <c r="O93" s="555"/>
      <c r="S93" s="555"/>
      <c r="T93" s="555"/>
      <c r="U93" s="555"/>
      <c r="X93" s="555"/>
      <c r="AA93" s="555"/>
      <c r="AD93" s="555"/>
      <c r="AG93" s="555"/>
      <c r="AH93" s="555"/>
    </row>
    <row r="94" spans="7:34">
      <c r="G94" s="194"/>
      <c r="H94" s="172"/>
      <c r="I94" s="193"/>
      <c r="J94" s="555"/>
      <c r="M94" s="555"/>
      <c r="N94" s="555"/>
      <c r="O94" s="555"/>
      <c r="S94" s="555"/>
      <c r="T94" s="555"/>
      <c r="U94" s="555"/>
      <c r="X94" s="555"/>
      <c r="AA94" s="555"/>
      <c r="AD94" s="555"/>
      <c r="AG94" s="555"/>
      <c r="AH94" s="555"/>
    </row>
    <row r="95" spans="7:34">
      <c r="G95" s="181"/>
      <c r="H95" s="172"/>
      <c r="I95" s="193"/>
      <c r="J95" s="555"/>
      <c r="M95" s="555"/>
      <c r="N95" s="555"/>
      <c r="O95" s="555"/>
      <c r="S95" s="555"/>
      <c r="T95" s="555"/>
      <c r="U95" s="555"/>
      <c r="X95" s="555"/>
      <c r="AA95" s="555"/>
      <c r="AD95" s="555"/>
      <c r="AG95" s="555"/>
      <c r="AH95" s="555"/>
    </row>
    <row r="97" spans="7:9" ht="12.95">
      <c r="G97" s="195"/>
      <c r="H97" s="172"/>
      <c r="I97" s="200"/>
    </row>
    <row r="98" spans="7:9" ht="12.95">
      <c r="G98" s="195"/>
      <c r="H98" s="172"/>
      <c r="I98" s="200"/>
    </row>
    <row r="99" spans="7:9">
      <c r="G99" s="197"/>
      <c r="H99" s="172"/>
      <c r="I99" s="201"/>
    </row>
    <row r="100" spans="7:9">
      <c r="G100" s="181"/>
      <c r="H100" s="172"/>
      <c r="I100" s="172"/>
    </row>
  </sheetData>
  <mergeCells count="8">
    <mergeCell ref="E4:F4"/>
    <mergeCell ref="E7:F7"/>
    <mergeCell ref="E9:F9"/>
    <mergeCell ref="M30:N30"/>
    <mergeCell ref="E10:F10"/>
    <mergeCell ref="E11:F11"/>
    <mergeCell ref="E12:F12"/>
    <mergeCell ref="E8:F8"/>
  </mergeCells>
  <phoneticPr fontId="11" type="noConversion"/>
  <printOptions horizontalCentered="1"/>
  <pageMargins left="0.5" right="0.5" top="1" bottom="0.49" header="0.5" footer="0.5"/>
  <pageSetup scale="39" firstPageNumber="41" orientation="portrait" useFirstPageNumber="1" horizontalDpi="4294967292" r:id="rId1"/>
  <headerFooter alignWithMargins="0">
    <oddHeader xml:space="preserve">&amp;RPage 38
</oddHead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FFFF00"/>
    <pageSetUpPr fitToPage="1"/>
  </sheetPr>
  <dimension ref="A1:K42"/>
  <sheetViews>
    <sheetView zoomScale="175" zoomScaleNormal="175" workbookViewId="0">
      <pane xSplit="3" ySplit="5" topLeftCell="D6" activePane="bottomRight" state="frozen"/>
      <selection pane="bottomRight" activeCell="D6" sqref="D6"/>
      <selection pane="bottomLeft"/>
      <selection pane="topRight"/>
    </sheetView>
  </sheetViews>
  <sheetFormatPr defaultColWidth="9.140625" defaultRowHeight="12.6"/>
  <cols>
    <col min="1" max="1" width="4.7109375" style="211" customWidth="1"/>
    <col min="2" max="2" width="15.7109375" style="211" customWidth="1"/>
    <col min="3" max="3" width="22.7109375" style="211" customWidth="1"/>
    <col min="4" max="4" width="8.5703125" style="322" customWidth="1"/>
    <col min="5" max="5" width="7.7109375" style="323" customWidth="1"/>
    <col min="6" max="6" width="2.7109375" style="323" customWidth="1"/>
    <col min="7" max="7" width="12.7109375" style="326" customWidth="1"/>
    <col min="8" max="8" width="2.7109375" style="326" customWidth="1"/>
    <col min="9" max="9" width="12.7109375" style="327" customWidth="1"/>
    <col min="10" max="10" width="9.140625" style="211"/>
    <col min="11" max="11" width="26.85546875" style="211" bestFit="1" customWidth="1"/>
    <col min="12" max="12" width="9.140625" style="211"/>
    <col min="13" max="13" width="26.85546875" style="211" bestFit="1" customWidth="1"/>
    <col min="14" max="14" width="15.7109375" style="211" bestFit="1" customWidth="1"/>
    <col min="15" max="16384" width="9.140625" style="211"/>
  </cols>
  <sheetData>
    <row r="1" spans="1:11" ht="18">
      <c r="A1" s="261" t="s">
        <v>555</v>
      </c>
      <c r="B1" s="608"/>
      <c r="C1" s="319"/>
      <c r="D1" s="320"/>
      <c r="E1" s="608"/>
      <c r="F1" s="608"/>
      <c r="G1" s="321"/>
      <c r="H1" s="321"/>
      <c r="I1" s="609"/>
      <c r="J1" s="17"/>
      <c r="K1" s="17"/>
    </row>
    <row r="2" spans="1:11">
      <c r="A2" s="17"/>
      <c r="B2" s="17"/>
      <c r="C2" s="17"/>
      <c r="D2" s="264"/>
      <c r="E2" s="234"/>
      <c r="F2" s="234"/>
      <c r="G2" s="363"/>
      <c r="H2" s="363"/>
      <c r="I2" s="264"/>
      <c r="J2" s="17"/>
      <c r="K2" s="17"/>
    </row>
    <row r="3" spans="1:11" ht="12.95">
      <c r="A3" s="17"/>
      <c r="B3" s="17"/>
      <c r="C3" s="17"/>
      <c r="D3" s="320" t="s">
        <v>2</v>
      </c>
      <c r="E3" s="608"/>
      <c r="F3" s="234"/>
      <c r="G3" s="221" t="s">
        <v>3</v>
      </c>
      <c r="H3" s="221"/>
      <c r="I3" s="320" t="s">
        <v>4</v>
      </c>
      <c r="J3" s="17"/>
      <c r="K3" s="17"/>
    </row>
    <row r="4" spans="1:11" ht="12.95">
      <c r="A4" s="17"/>
      <c r="B4" s="17"/>
      <c r="C4" s="17"/>
      <c r="D4" s="320" t="s">
        <v>556</v>
      </c>
      <c r="E4" s="83"/>
      <c r="F4" s="2"/>
      <c r="G4" s="221" t="s">
        <v>172</v>
      </c>
      <c r="H4" s="221"/>
      <c r="I4" s="320" t="s">
        <v>166</v>
      </c>
      <c r="J4" s="17"/>
      <c r="K4" s="17"/>
    </row>
    <row r="5" spans="1:11" ht="12.95">
      <c r="A5" s="9" t="s">
        <v>557</v>
      </c>
      <c r="B5" s="17"/>
      <c r="C5" s="17"/>
      <c r="D5" s="610" t="s">
        <v>558</v>
      </c>
      <c r="E5" s="611"/>
      <c r="F5" s="14"/>
      <c r="G5" s="612" t="s">
        <v>181</v>
      </c>
      <c r="H5" s="221"/>
      <c r="I5" s="610" t="s">
        <v>558</v>
      </c>
      <c r="J5" s="17"/>
      <c r="K5" s="17"/>
    </row>
    <row r="6" spans="1:11">
      <c r="A6" s="17" t="s">
        <v>559</v>
      </c>
      <c r="B6" s="17"/>
      <c r="C6" s="17"/>
      <c r="D6" s="613">
        <f>'[5]FY25 Table'!$I$11</f>
        <v>85.837148173784783</v>
      </c>
      <c r="E6" s="234" t="s">
        <v>560</v>
      </c>
      <c r="F6" s="234"/>
      <c r="G6" s="540">
        <f>'[6]volume-variability factors'!$G$31</f>
        <v>0.94969999999999999</v>
      </c>
      <c r="H6" s="363"/>
      <c r="I6" s="260">
        <f t="shared" ref="I6:I27" si="0">D6/G6</f>
        <v>90.383434951863521</v>
      </c>
      <c r="J6" s="17"/>
      <c r="K6" s="17"/>
    </row>
    <row r="7" spans="1:11">
      <c r="A7" s="17" t="s">
        <v>561</v>
      </c>
      <c r="B7" s="17"/>
      <c r="C7" s="17"/>
      <c r="D7" s="548">
        <f>D13</f>
        <v>6758.7504883831289</v>
      </c>
      <c r="E7" s="234" t="s">
        <v>562</v>
      </c>
      <c r="F7" s="234"/>
      <c r="G7" s="540">
        <f>'[6]volume-variability factors'!$G$11</f>
        <v>0.98909999999999998</v>
      </c>
      <c r="H7" s="363"/>
      <c r="I7" s="260">
        <f t="shared" si="0"/>
        <v>6833.2327250865728</v>
      </c>
      <c r="J7" s="17"/>
      <c r="K7" s="17"/>
    </row>
    <row r="8" spans="1:11">
      <c r="A8" s="17" t="s">
        <v>563</v>
      </c>
      <c r="B8" s="17"/>
      <c r="C8" s="17"/>
      <c r="D8" s="547">
        <f>[7]Sheet1!$E$9</f>
        <v>5752.4748872811142</v>
      </c>
      <c r="E8" s="234" t="s">
        <v>562</v>
      </c>
      <c r="F8" s="234"/>
      <c r="G8" s="541">
        <f>G7</f>
        <v>0.98909999999999998</v>
      </c>
      <c r="H8" s="363"/>
      <c r="I8" s="260">
        <f t="shared" si="0"/>
        <v>5815.8678468113585</v>
      </c>
      <c r="J8" s="17"/>
      <c r="K8" s="17"/>
    </row>
    <row r="9" spans="1:11">
      <c r="A9" s="17" t="s">
        <v>212</v>
      </c>
      <c r="B9" s="17"/>
      <c r="C9" s="17"/>
      <c r="D9" s="548">
        <f>'[8]Prod Calc'!$E$13</f>
        <v>739.31456751386031</v>
      </c>
      <c r="E9" s="234" t="s">
        <v>560</v>
      </c>
      <c r="F9" s="234"/>
      <c r="G9" s="542">
        <f>'[6]volume-variability factors'!$G$27</f>
        <v>0.873</v>
      </c>
      <c r="H9" s="363"/>
      <c r="I9" s="260">
        <f t="shared" si="0"/>
        <v>846.86662945459375</v>
      </c>
      <c r="J9" s="17"/>
      <c r="K9" s="17"/>
    </row>
    <row r="10" spans="1:11" ht="12" customHeight="1">
      <c r="A10" s="17" t="s">
        <v>214</v>
      </c>
      <c r="B10" s="17"/>
      <c r="C10" s="17"/>
      <c r="D10" s="549">
        <f>'[5]FY25 Table'!$I$10</f>
        <v>1731.3470699022496</v>
      </c>
      <c r="E10" s="234" t="s">
        <v>560</v>
      </c>
      <c r="F10" s="234"/>
      <c r="G10" s="542">
        <f>G9</f>
        <v>0.873</v>
      </c>
      <c r="H10" s="363"/>
      <c r="I10" s="260">
        <f t="shared" si="0"/>
        <v>1983.215429441294</v>
      </c>
      <c r="J10" s="17"/>
      <c r="K10" s="17"/>
    </row>
    <row r="11" spans="1:11">
      <c r="A11" s="17" t="s">
        <v>564</v>
      </c>
      <c r="B11" s="17"/>
      <c r="C11" s="17"/>
      <c r="D11" s="548">
        <f>D13</f>
        <v>6758.7504883831289</v>
      </c>
      <c r="E11" s="234" t="s">
        <v>565</v>
      </c>
      <c r="F11" s="234"/>
      <c r="G11" s="541">
        <f>G7</f>
        <v>0.98909999999999998</v>
      </c>
      <c r="H11" s="363"/>
      <c r="I11" s="260">
        <f t="shared" si="0"/>
        <v>6833.2327250865728</v>
      </c>
      <c r="J11" s="17"/>
      <c r="K11" s="286"/>
    </row>
    <row r="12" spans="1:11">
      <c r="A12" s="17" t="s">
        <v>566</v>
      </c>
      <c r="B12" s="17"/>
      <c r="C12" s="17"/>
      <c r="D12" s="547">
        <f>D8</f>
        <v>5752.4748872811142</v>
      </c>
      <c r="E12" s="234" t="s">
        <v>565</v>
      </c>
      <c r="F12" s="234"/>
      <c r="G12" s="541">
        <f>G7</f>
        <v>0.98909999999999998</v>
      </c>
      <c r="H12" s="363"/>
      <c r="I12" s="260">
        <f t="shared" si="0"/>
        <v>5815.8678468113585</v>
      </c>
      <c r="J12" s="17"/>
      <c r="K12" s="17"/>
    </row>
    <row r="13" spans="1:11">
      <c r="A13" s="17" t="s">
        <v>567</v>
      </c>
      <c r="B13" s="17"/>
      <c r="C13" s="17"/>
      <c r="D13" s="548">
        <f>'[5]FY25 Table'!$I$13</f>
        <v>6758.7504883831289</v>
      </c>
      <c r="E13" s="234" t="s">
        <v>560</v>
      </c>
      <c r="F13" s="234"/>
      <c r="G13" s="541">
        <f>G7</f>
        <v>0.98909999999999998</v>
      </c>
      <c r="H13" s="363"/>
      <c r="I13" s="260">
        <f t="shared" si="0"/>
        <v>6833.2327250865728</v>
      </c>
      <c r="J13" s="17"/>
      <c r="K13" s="17"/>
    </row>
    <row r="14" spans="1:11">
      <c r="A14" s="17" t="s">
        <v>568</v>
      </c>
      <c r="B14" s="17"/>
      <c r="C14" s="17"/>
      <c r="D14" s="548">
        <f>'[5]FY25 Table'!$I$14</f>
        <v>5382.1298908617546</v>
      </c>
      <c r="E14" s="234" t="s">
        <v>560</v>
      </c>
      <c r="F14" s="234"/>
      <c r="G14" s="541">
        <f>G7</f>
        <v>0.98909999999999998</v>
      </c>
      <c r="H14" s="363"/>
      <c r="I14" s="260">
        <f t="shared" si="0"/>
        <v>5441.4416043491601</v>
      </c>
      <c r="J14" s="17"/>
      <c r="K14" s="17"/>
    </row>
    <row r="15" spans="1:11">
      <c r="A15" s="17" t="s">
        <v>569</v>
      </c>
      <c r="B15" s="17"/>
      <c r="C15" s="17"/>
      <c r="D15" s="548">
        <f>'[5]FY25 Table'!$I$15</f>
        <v>5213.6847407717551</v>
      </c>
      <c r="E15" s="234" t="s">
        <v>560</v>
      </c>
      <c r="F15" s="234"/>
      <c r="G15" s="541">
        <f>G7</f>
        <v>0.98909999999999998</v>
      </c>
      <c r="H15" s="363"/>
      <c r="I15" s="260">
        <f t="shared" si="0"/>
        <v>5271.1401686095996</v>
      </c>
      <c r="J15" s="17"/>
      <c r="K15" s="17"/>
    </row>
    <row r="16" spans="1:11">
      <c r="A16" s="17" t="s">
        <v>570</v>
      </c>
      <c r="B16" s="17"/>
      <c r="C16" s="17"/>
      <c r="D16" s="548">
        <f>'[5]FY25 Table'!$I$16</f>
        <v>10064.860722147192</v>
      </c>
      <c r="E16" s="234" t="s">
        <v>560</v>
      </c>
      <c r="F16" s="234"/>
      <c r="G16" s="541">
        <f>G7</f>
        <v>0.98909999999999998</v>
      </c>
      <c r="H16" s="363"/>
      <c r="I16" s="260">
        <f t="shared" si="0"/>
        <v>10175.776688046904</v>
      </c>
      <c r="J16" s="17"/>
      <c r="K16" s="17"/>
    </row>
    <row r="17" spans="1:9">
      <c r="A17" s="17" t="s">
        <v>571</v>
      </c>
      <c r="B17" s="17"/>
      <c r="C17" s="17"/>
      <c r="D17" s="548">
        <f>'[5]FY25 Table'!$I$17</f>
        <v>12951.571425542645</v>
      </c>
      <c r="E17" s="234" t="s">
        <v>560</v>
      </c>
      <c r="F17" s="234"/>
      <c r="G17" s="541">
        <f>G7</f>
        <v>0.98909999999999998</v>
      </c>
      <c r="H17" s="363"/>
      <c r="I17" s="260">
        <f t="shared" si="0"/>
        <v>13094.29928777944</v>
      </c>
    </row>
    <row r="18" spans="1:9">
      <c r="A18" s="17" t="s">
        <v>572</v>
      </c>
      <c r="B18" s="17"/>
      <c r="C18" s="17"/>
      <c r="D18" s="548">
        <f>'[5]FY25 Table'!$I$18</f>
        <v>6834.7504399952659</v>
      </c>
      <c r="E18" s="234" t="s">
        <v>560</v>
      </c>
      <c r="F18" s="234"/>
      <c r="G18" s="541">
        <f>G7</f>
        <v>0.98909999999999998</v>
      </c>
      <c r="H18" s="363"/>
      <c r="I18" s="260">
        <f t="shared" si="0"/>
        <v>6910.0702052322977</v>
      </c>
    </row>
    <row r="19" spans="1:9" ht="12.95">
      <c r="A19" s="17" t="s">
        <v>573</v>
      </c>
      <c r="B19" s="17"/>
      <c r="C19" s="17"/>
      <c r="D19" s="280"/>
      <c r="E19" s="234" t="s">
        <v>574</v>
      </c>
      <c r="F19" s="259" t="s">
        <v>575</v>
      </c>
      <c r="G19" s="541"/>
      <c r="H19" s="363"/>
      <c r="I19" s="260"/>
    </row>
    <row r="20" spans="1:9" ht="12.95">
      <c r="A20" s="324" t="s">
        <v>576</v>
      </c>
      <c r="B20" s="17"/>
      <c r="C20" s="17"/>
      <c r="D20" s="550">
        <f>[9]Table!$I$19</f>
        <v>613.89764404296875</v>
      </c>
      <c r="E20" s="234" t="s">
        <v>577</v>
      </c>
      <c r="F20" s="234"/>
      <c r="G20" s="542">
        <f>'[6]volume-variability factors'!$G$23</f>
        <v>0.97240000000000004</v>
      </c>
      <c r="H20" s="363"/>
      <c r="I20" s="260">
        <f t="shared" si="0"/>
        <v>631.32213496808799</v>
      </c>
    </row>
    <row r="21" spans="1:9" ht="12.95">
      <c r="A21" s="324" t="s">
        <v>578</v>
      </c>
      <c r="B21" s="17"/>
      <c r="C21" s="17"/>
      <c r="D21" s="550">
        <f>[9]Table!$I$20</f>
        <v>1057.969970703125</v>
      </c>
      <c r="E21" s="234" t="s">
        <v>577</v>
      </c>
      <c r="F21" s="234"/>
      <c r="G21" s="541">
        <f>G20</f>
        <v>0.97240000000000004</v>
      </c>
      <c r="H21" s="363"/>
      <c r="I21" s="260">
        <f t="shared" si="0"/>
        <v>1087.9987358115229</v>
      </c>
    </row>
    <row r="22" spans="1:9" ht="12.95">
      <c r="A22" s="324" t="s">
        <v>579</v>
      </c>
      <c r="B22" s="17"/>
      <c r="C22" s="17"/>
      <c r="D22" s="550">
        <f>[9]Table!$I$21</f>
        <v>1180.437255859375</v>
      </c>
      <c r="E22" s="234" t="s">
        <v>577</v>
      </c>
      <c r="F22" s="234"/>
      <c r="G22" s="541">
        <f>G20</f>
        <v>0.97240000000000004</v>
      </c>
      <c r="H22" s="363"/>
      <c r="I22" s="260">
        <f t="shared" si="0"/>
        <v>1213.9420566221461</v>
      </c>
    </row>
    <row r="23" spans="1:9" ht="12.95">
      <c r="A23" s="324" t="s">
        <v>580</v>
      </c>
      <c r="B23" s="17"/>
      <c r="C23" s="17"/>
      <c r="D23" s="550">
        <f>[9]Table!$I$22</f>
        <v>1076.494873046875</v>
      </c>
      <c r="E23" s="234" t="s">
        <v>577</v>
      </c>
      <c r="F23" s="234"/>
      <c r="G23" s="541">
        <f>G20</f>
        <v>0.97240000000000004</v>
      </c>
      <c r="H23" s="363"/>
      <c r="I23" s="260">
        <f t="shared" si="0"/>
        <v>1107.0494375224957</v>
      </c>
    </row>
    <row r="24" spans="1:9">
      <c r="A24" s="17" t="s">
        <v>581</v>
      </c>
      <c r="B24" s="17"/>
      <c r="C24" s="17"/>
      <c r="D24" s="543">
        <f>'[10]FY25 F4 Manual Productivity'!$D$5</f>
        <v>787.9458663233512</v>
      </c>
      <c r="E24" s="234" t="s">
        <v>582</v>
      </c>
      <c r="F24" s="234"/>
      <c r="G24" s="541">
        <f>G20</f>
        <v>0.97240000000000004</v>
      </c>
      <c r="H24" s="363"/>
      <c r="I24" s="260">
        <f t="shared" si="0"/>
        <v>810.31043431031583</v>
      </c>
    </row>
    <row r="25" spans="1:9">
      <c r="A25" s="17" t="s">
        <v>583</v>
      </c>
      <c r="B25" s="17"/>
      <c r="C25" s="17"/>
      <c r="D25" s="543">
        <v>1920</v>
      </c>
      <c r="E25" s="234" t="s">
        <v>584</v>
      </c>
      <c r="F25" s="234"/>
      <c r="G25" s="542">
        <f>'[6]volume-variability factors'!$G$86</f>
        <v>0.98199999999999998</v>
      </c>
      <c r="H25" s="363"/>
      <c r="I25" s="260">
        <f t="shared" si="0"/>
        <v>1955.193482688391</v>
      </c>
    </row>
    <row r="26" spans="1:9">
      <c r="A26" s="17" t="s">
        <v>585</v>
      </c>
      <c r="B26" s="17"/>
      <c r="C26" s="17"/>
      <c r="D26" s="543">
        <v>960</v>
      </c>
      <c r="E26" s="234" t="s">
        <v>584</v>
      </c>
      <c r="F26" s="234"/>
      <c r="G26" s="541">
        <f>G25</f>
        <v>0.98199999999999998</v>
      </c>
      <c r="H26" s="363"/>
      <c r="I26" s="260">
        <f t="shared" si="0"/>
        <v>977.59674134419549</v>
      </c>
    </row>
    <row r="27" spans="1:9">
      <c r="A27" s="17" t="s">
        <v>586</v>
      </c>
      <c r="B27" s="17"/>
      <c r="C27" s="17"/>
      <c r="D27" s="543">
        <v>119</v>
      </c>
      <c r="E27" s="234" t="s">
        <v>587</v>
      </c>
      <c r="F27" s="234"/>
      <c r="G27" s="542">
        <f>'[6]volume-variability factors'!$G$18</f>
        <v>0.96399999999999997</v>
      </c>
      <c r="H27" s="363"/>
      <c r="I27" s="260">
        <f t="shared" si="0"/>
        <v>123.44398340248964</v>
      </c>
    </row>
    <row r="28" spans="1:9">
      <c r="A28" s="17"/>
      <c r="B28" s="17"/>
      <c r="C28" s="17"/>
      <c r="D28" s="264"/>
      <c r="E28" s="325"/>
      <c r="F28" s="325"/>
      <c r="G28" s="363"/>
      <c r="H28" s="363"/>
      <c r="I28" s="264"/>
    </row>
    <row r="29" spans="1:9">
      <c r="A29" s="17"/>
      <c r="B29" s="17"/>
      <c r="C29" s="17"/>
      <c r="D29" s="264"/>
      <c r="E29" s="234"/>
      <c r="F29" s="234"/>
      <c r="G29" s="17"/>
      <c r="H29" s="17"/>
      <c r="I29" s="17"/>
    </row>
    <row r="30" spans="1:9">
      <c r="A30" s="17"/>
      <c r="B30" s="17"/>
      <c r="C30" s="17"/>
      <c r="D30" s="264"/>
      <c r="E30" s="234"/>
      <c r="F30" s="234"/>
      <c r="G30" s="17"/>
      <c r="H30" s="17"/>
      <c r="I30" s="17"/>
    </row>
    <row r="31" spans="1:9" ht="12.95">
      <c r="A31" s="9" t="s">
        <v>65</v>
      </c>
      <c r="B31" s="17"/>
      <c r="C31" s="17"/>
      <c r="D31" s="264"/>
      <c r="E31" s="234"/>
      <c r="F31" s="234"/>
      <c r="G31" s="17"/>
      <c r="H31" s="17"/>
      <c r="I31" s="17"/>
    </row>
    <row r="32" spans="1:9" ht="12.95">
      <c r="A32" s="34" t="s">
        <v>588</v>
      </c>
      <c r="B32" s="11"/>
      <c r="C32" s="17"/>
      <c r="D32" s="264"/>
      <c r="E32" s="234"/>
      <c r="F32" s="234"/>
      <c r="G32" s="17"/>
      <c r="H32" s="17"/>
      <c r="I32" s="17"/>
    </row>
    <row r="33" spans="1:9" ht="12.95">
      <c r="A33" s="34"/>
      <c r="B33" s="34" t="s">
        <v>589</v>
      </c>
      <c r="C33" s="17"/>
      <c r="D33" s="264"/>
      <c r="E33" s="234"/>
      <c r="F33" s="234"/>
      <c r="G33" s="17"/>
      <c r="H33" s="17"/>
      <c r="I33" s="17"/>
    </row>
    <row r="34" spans="1:9" ht="12.95">
      <c r="A34" s="34"/>
      <c r="B34" s="34" t="s">
        <v>590</v>
      </c>
      <c r="C34" s="17"/>
      <c r="D34" s="264"/>
      <c r="E34" s="234"/>
      <c r="F34" s="234"/>
      <c r="G34" s="17"/>
      <c r="H34" s="17"/>
      <c r="I34" s="17"/>
    </row>
    <row r="35" spans="1:9" ht="12.95">
      <c r="A35" s="34"/>
      <c r="B35" s="34" t="s">
        <v>591</v>
      </c>
      <c r="C35" s="17"/>
      <c r="D35" s="264"/>
      <c r="E35" s="234"/>
      <c r="F35" s="234"/>
      <c r="G35" s="17"/>
      <c r="H35" s="17"/>
      <c r="I35" s="17"/>
    </row>
    <row r="36" spans="1:9" ht="12.95">
      <c r="A36" s="34"/>
      <c r="B36" s="34" t="s">
        <v>592</v>
      </c>
      <c r="C36" s="17"/>
      <c r="D36" s="264"/>
      <c r="E36" s="234"/>
      <c r="F36" s="234"/>
      <c r="G36" s="17"/>
      <c r="H36" s="17"/>
      <c r="I36" s="17"/>
    </row>
    <row r="37" spans="1:9" ht="12.95">
      <c r="A37" s="17"/>
      <c r="B37" s="34" t="s">
        <v>593</v>
      </c>
      <c r="C37" s="17"/>
      <c r="D37" s="264"/>
      <c r="E37" s="234"/>
      <c r="F37" s="234"/>
      <c r="G37" s="17"/>
      <c r="H37" s="17"/>
      <c r="I37" s="17"/>
    </row>
    <row r="38" spans="1:9" ht="12.95">
      <c r="A38" s="17"/>
      <c r="B38" s="34" t="s">
        <v>594</v>
      </c>
      <c r="C38" s="17"/>
      <c r="D38" s="264"/>
      <c r="E38" s="234"/>
      <c r="F38" s="234"/>
      <c r="G38" s="599"/>
      <c r="H38" s="599"/>
      <c r="I38" s="286"/>
    </row>
    <row r="39" spans="1:9" ht="12.95">
      <c r="A39" s="17"/>
      <c r="B39" s="34" t="s">
        <v>595</v>
      </c>
      <c r="C39" s="17"/>
      <c r="D39" s="264"/>
      <c r="E39" s="234"/>
      <c r="F39" s="234"/>
      <c r="G39" s="599"/>
      <c r="H39" s="599"/>
      <c r="I39" s="286"/>
    </row>
    <row r="40" spans="1:9" ht="12.95">
      <c r="A40" s="17"/>
      <c r="B40" s="34" t="s">
        <v>596</v>
      </c>
      <c r="C40" s="17"/>
      <c r="D40" s="264"/>
      <c r="E40" s="234"/>
      <c r="F40" s="234"/>
      <c r="G40" s="599"/>
      <c r="H40" s="599"/>
      <c r="I40" s="286"/>
    </row>
    <row r="41" spans="1:9" ht="12.95">
      <c r="A41" s="11" t="s">
        <v>597</v>
      </c>
      <c r="B41" s="11"/>
      <c r="C41" s="17"/>
      <c r="D41" s="264"/>
      <c r="E41" s="234"/>
      <c r="F41" s="234"/>
      <c r="G41" s="599"/>
      <c r="H41" s="599"/>
      <c r="I41" s="286"/>
    </row>
    <row r="42" spans="1:9" ht="12.95">
      <c r="A42" s="11" t="s">
        <v>598</v>
      </c>
      <c r="B42" s="17"/>
      <c r="C42" s="17"/>
      <c r="D42" s="264"/>
      <c r="E42" s="234"/>
      <c r="F42" s="234"/>
      <c r="G42" s="599"/>
      <c r="H42" s="599"/>
      <c r="I42" s="286"/>
    </row>
  </sheetData>
  <phoneticPr fontId="11" type="noConversion"/>
  <printOptions horizontalCentered="1"/>
  <pageMargins left="0.75" right="0.75" top="1" bottom="1" header="0.5" footer="0.5"/>
  <pageSetup scale="71" firstPageNumber="50" orientation="portrait" useFirstPageNumber="1" horizontalDpi="4294967292" r:id="rId1"/>
  <headerFooter alignWithMargins="0">
    <oddHeader>&amp;RPage 40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1:Q47"/>
  <sheetViews>
    <sheetView zoomScale="130" zoomScaleNormal="130" workbookViewId="0"/>
  </sheetViews>
  <sheetFormatPr defaultColWidth="8.85546875" defaultRowHeight="12.6"/>
  <cols>
    <col min="1" max="1" width="5.7109375" customWidth="1"/>
    <col min="2" max="3" width="12.7109375" customWidth="1"/>
    <col min="4" max="4" width="20.7109375" customWidth="1"/>
    <col min="5" max="5" width="17.42578125" style="12" bestFit="1" customWidth="1"/>
    <col min="6" max="6" width="6.7109375" style="332" customWidth="1"/>
    <col min="7" max="7" width="2.5703125" customWidth="1"/>
    <col min="8" max="8" width="18.5703125" bestFit="1" customWidth="1"/>
    <col min="9" max="9" width="19" customWidth="1"/>
    <col min="10" max="10" width="13.85546875" bestFit="1" customWidth="1"/>
  </cols>
  <sheetData>
    <row r="1" spans="1:10" ht="18">
      <c r="A1" s="86" t="s">
        <v>599</v>
      </c>
      <c r="B1" s="78"/>
      <c r="C1" s="78"/>
      <c r="D1" s="328"/>
      <c r="E1" s="329"/>
      <c r="F1" s="17"/>
      <c r="G1" s="555"/>
      <c r="H1" s="555"/>
      <c r="I1" s="555"/>
      <c r="J1" s="555"/>
    </row>
    <row r="2" spans="1:10" s="13" customFormat="1" ht="15.6">
      <c r="A2" s="7"/>
      <c r="D2" s="330" t="s">
        <v>45</v>
      </c>
      <c r="E2" s="331"/>
    </row>
    <row r="3" spans="1:10" ht="12.95">
      <c r="A3" s="9" t="s">
        <v>557</v>
      </c>
      <c r="B3" s="555"/>
      <c r="C3" s="555"/>
      <c r="D3" s="9"/>
      <c r="E3" s="10" t="s">
        <v>600</v>
      </c>
      <c r="F3" s="17"/>
      <c r="G3" s="555"/>
      <c r="H3" s="555"/>
      <c r="I3" s="555"/>
      <c r="J3" s="555"/>
    </row>
    <row r="5" spans="1:10" ht="14.45">
      <c r="A5" s="11" t="s">
        <v>601</v>
      </c>
      <c r="B5" s="555"/>
      <c r="C5" s="555"/>
      <c r="D5" s="555"/>
      <c r="E5" s="164">
        <v>8.2555217316394605E-2</v>
      </c>
      <c r="F5" s="11" t="s">
        <v>602</v>
      </c>
      <c r="G5" s="165"/>
      <c r="H5" s="333"/>
      <c r="I5" s="555"/>
      <c r="J5" s="106"/>
    </row>
    <row r="6" spans="1:10" ht="12.95">
      <c r="A6" s="11" t="s">
        <v>603</v>
      </c>
      <c r="B6" s="555"/>
      <c r="C6" s="555"/>
      <c r="D6" s="555"/>
      <c r="E6" s="164">
        <v>0.9798</v>
      </c>
      <c r="F6" s="11" t="s">
        <v>604</v>
      </c>
      <c r="G6" s="165"/>
      <c r="H6" s="334"/>
      <c r="I6" s="555"/>
      <c r="J6" s="335"/>
    </row>
    <row r="7" spans="1:10" ht="12.95">
      <c r="A7" s="11" t="s">
        <v>605</v>
      </c>
      <c r="B7" s="555"/>
      <c r="C7" s="555"/>
      <c r="D7" s="555"/>
      <c r="E7" s="301">
        <f>1000*100
*'[11]MP Piggybacks'!$B$75
/SUM([12]RBCS!$S$5,[12]RBCS!$S$8)</f>
        <v>0.27889541043904115</v>
      </c>
      <c r="F7" s="11" t="s">
        <v>83</v>
      </c>
      <c r="G7" s="336"/>
      <c r="H7" s="301"/>
      <c r="I7" s="555"/>
      <c r="J7" s="555"/>
    </row>
    <row r="8" spans="1:10" ht="12.95">
      <c r="A8" s="11" t="s">
        <v>606</v>
      </c>
      <c r="B8" s="555"/>
      <c r="C8" s="555"/>
      <c r="D8" s="555"/>
      <c r="E8" s="164">
        <f>E17/(E15+E16+E17)</f>
        <v>0</v>
      </c>
      <c r="F8" s="11" t="s">
        <v>85</v>
      </c>
      <c r="G8" s="165"/>
      <c r="H8" s="555"/>
      <c r="I8" s="555"/>
      <c r="J8" s="555"/>
    </row>
    <row r="9" spans="1:10" ht="12.95">
      <c r="A9" s="11" t="s">
        <v>607</v>
      </c>
      <c r="B9" s="555"/>
      <c r="C9" s="555"/>
      <c r="D9" s="555"/>
      <c r="E9" s="164">
        <v>0</v>
      </c>
      <c r="F9" s="11" t="s">
        <v>106</v>
      </c>
      <c r="G9" s="165"/>
      <c r="H9" s="17"/>
      <c r="I9" s="555"/>
      <c r="J9" s="555"/>
    </row>
    <row r="10" spans="1:10" ht="12.95">
      <c r="A10" s="11" t="s">
        <v>608</v>
      </c>
      <c r="B10" s="555"/>
      <c r="C10" s="555"/>
      <c r="D10" s="555"/>
      <c r="E10" s="164">
        <f>[13]Table!$F$25</f>
        <v>4.5834500459791531E-2</v>
      </c>
      <c r="F10" s="11" t="s">
        <v>108</v>
      </c>
      <c r="G10" s="614"/>
      <c r="H10" s="299"/>
      <c r="I10" s="555"/>
      <c r="J10" s="555"/>
    </row>
    <row r="11" spans="1:10" ht="12.95">
      <c r="A11" s="11" t="s">
        <v>609</v>
      </c>
      <c r="B11" s="555"/>
      <c r="C11" s="555"/>
      <c r="D11" s="555"/>
      <c r="E11" s="164">
        <v>0.75</v>
      </c>
      <c r="F11" s="11" t="s">
        <v>529</v>
      </c>
      <c r="G11" s="165"/>
      <c r="H11" s="555"/>
      <c r="I11" s="555"/>
      <c r="J11" s="555"/>
    </row>
    <row r="13" spans="1:10" ht="12.95">
      <c r="A13" s="11"/>
      <c r="B13" s="555"/>
      <c r="C13" s="555"/>
      <c r="D13" s="555"/>
      <c r="F13" s="17"/>
      <c r="G13" s="555"/>
      <c r="H13" s="555"/>
      <c r="I13" s="555"/>
      <c r="J13" s="555"/>
    </row>
    <row r="14" spans="1:10" ht="12.95">
      <c r="A14" s="337" t="s">
        <v>610</v>
      </c>
      <c r="B14" s="338"/>
      <c r="C14" s="338"/>
      <c r="D14" s="338"/>
      <c r="E14" s="364" t="s">
        <v>411</v>
      </c>
      <c r="F14" s="11" t="s">
        <v>611</v>
      </c>
      <c r="G14" s="555"/>
      <c r="H14" s="555"/>
      <c r="I14" s="555"/>
      <c r="J14" s="555"/>
    </row>
    <row r="15" spans="1:10" ht="12.95">
      <c r="A15" s="170"/>
      <c r="B15" s="34" t="s">
        <v>612</v>
      </c>
      <c r="C15" s="555"/>
      <c r="D15" s="17"/>
      <c r="E15" s="164">
        <v>0</v>
      </c>
      <c r="F15" s="17"/>
      <c r="G15" s="165"/>
      <c r="H15" s="22"/>
      <c r="I15" s="555"/>
      <c r="J15" s="555"/>
    </row>
    <row r="16" spans="1:10" ht="12.95">
      <c r="A16" s="170"/>
      <c r="B16" s="11" t="s">
        <v>613</v>
      </c>
      <c r="C16" s="555"/>
      <c r="D16" s="17"/>
      <c r="E16" s="365">
        <f>[14]Table!$C$5</f>
        <v>3.516613492307899E-2</v>
      </c>
      <c r="F16" s="17"/>
      <c r="G16" s="165"/>
      <c r="H16" s="12"/>
      <c r="I16" s="12"/>
      <c r="J16" s="555"/>
    </row>
    <row r="17" spans="1:17" ht="14.1" customHeight="1">
      <c r="A17" s="170"/>
      <c r="B17" s="11"/>
      <c r="C17" s="555"/>
      <c r="D17" s="17"/>
      <c r="E17" s="365"/>
      <c r="F17" s="339"/>
      <c r="G17" s="165"/>
      <c r="H17" s="340"/>
      <c r="I17" s="341"/>
      <c r="J17" s="342"/>
      <c r="K17" s="555"/>
      <c r="L17" s="555"/>
      <c r="M17" s="555"/>
      <c r="N17" s="555"/>
      <c r="O17" s="555"/>
      <c r="P17" s="555"/>
      <c r="Q17" s="555"/>
    </row>
    <row r="18" spans="1:17" ht="12.95">
      <c r="A18" s="170"/>
      <c r="B18" s="11" t="s">
        <v>614</v>
      </c>
      <c r="C18" s="555"/>
      <c r="D18" s="17"/>
      <c r="E18" s="365">
        <f>[14]Table!$C$7</f>
        <v>0.96483386507692093</v>
      </c>
      <c r="F18" s="17"/>
      <c r="G18" s="165"/>
      <c r="H18" s="343"/>
      <c r="I18" s="18"/>
      <c r="J18" s="555"/>
      <c r="K18" s="555"/>
      <c r="L18" s="555"/>
      <c r="M18" s="555"/>
      <c r="N18" s="555"/>
      <c r="O18" s="555"/>
      <c r="P18" s="555"/>
      <c r="Q18" s="555"/>
    </row>
    <row r="19" spans="1:17" ht="12.95">
      <c r="A19" s="171"/>
      <c r="B19" s="87" t="s">
        <v>17</v>
      </c>
      <c r="C19" s="552"/>
      <c r="D19" s="552"/>
      <c r="E19" s="366">
        <f>SUM(E15:E18)</f>
        <v>0.99999999999999989</v>
      </c>
      <c r="F19" s="17"/>
      <c r="G19" s="165"/>
      <c r="H19" s="555"/>
      <c r="I19" s="555"/>
      <c r="J19" s="555"/>
      <c r="K19" s="555"/>
      <c r="L19" s="555"/>
      <c r="M19" s="555"/>
      <c r="N19" s="555"/>
      <c r="O19" s="555"/>
      <c r="P19" s="555"/>
      <c r="Q19" s="555"/>
    </row>
    <row r="22" spans="1:17" ht="12.95">
      <c r="A22" s="9" t="s">
        <v>65</v>
      </c>
      <c r="B22" s="555"/>
      <c r="C22" s="555"/>
      <c r="D22" s="555"/>
      <c r="F22" s="17"/>
      <c r="G22" s="555"/>
      <c r="H22" s="555"/>
      <c r="I22" s="555"/>
      <c r="J22" s="555"/>
      <c r="K22" s="555"/>
      <c r="L22" s="555"/>
      <c r="M22" s="555"/>
      <c r="N22" s="555"/>
      <c r="O22" s="555"/>
      <c r="P22" s="555"/>
      <c r="Q22" s="555"/>
    </row>
    <row r="23" spans="1:17" ht="12.95">
      <c r="A23" s="11" t="s">
        <v>615</v>
      </c>
      <c r="B23" s="17"/>
      <c r="C23" s="17"/>
      <c r="D23" s="17"/>
      <c r="E23" s="164"/>
      <c r="F23" s="17"/>
      <c r="G23" s="555"/>
      <c r="H23" s="555"/>
      <c r="I23" s="555"/>
      <c r="J23" s="555"/>
      <c r="K23" s="555"/>
      <c r="L23" s="555"/>
      <c r="M23" s="555"/>
      <c r="N23" s="555"/>
      <c r="O23" s="555"/>
      <c r="P23" s="555"/>
      <c r="Q23" s="555"/>
    </row>
    <row r="24" spans="1:17" s="173" customFormat="1" ht="12.95">
      <c r="A24" s="11" t="s">
        <v>616</v>
      </c>
      <c r="B24" s="11"/>
      <c r="C24" s="17"/>
      <c r="D24" s="17"/>
      <c r="E24" s="164"/>
      <c r="F24" s="17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</row>
    <row r="25" spans="1:17" s="173" customFormat="1" ht="12.95">
      <c r="A25" s="11" t="s">
        <v>617</v>
      </c>
      <c r="B25" s="11"/>
      <c r="C25" s="17"/>
      <c r="D25" s="17"/>
      <c r="E25" s="164"/>
      <c r="F25" s="17"/>
      <c r="G25" s="174"/>
      <c r="H25" s="174"/>
      <c r="I25" s="174"/>
      <c r="J25" s="508"/>
      <c r="K25" s="174"/>
      <c r="L25" s="174"/>
      <c r="M25" s="174"/>
      <c r="N25" s="174"/>
      <c r="O25" s="174"/>
      <c r="P25" s="174"/>
      <c r="Q25" s="174"/>
    </row>
    <row r="26" spans="1:17" ht="12.95">
      <c r="A26" s="11" t="s">
        <v>618</v>
      </c>
      <c r="B26" s="11"/>
      <c r="C26" s="17"/>
      <c r="D26" s="17"/>
      <c r="E26" s="164"/>
      <c r="F26" s="17"/>
      <c r="G26" s="555"/>
      <c r="H26" s="555"/>
      <c r="I26" s="555"/>
      <c r="J26" s="555"/>
      <c r="K26" s="555"/>
      <c r="L26" s="555" t="s">
        <v>45</v>
      </c>
      <c r="M26" s="555"/>
      <c r="N26" s="555"/>
      <c r="O26" s="555"/>
      <c r="P26" s="555"/>
      <c r="Q26" s="555"/>
    </row>
    <row r="27" spans="1:17" ht="12.95">
      <c r="A27" s="11" t="s">
        <v>619</v>
      </c>
      <c r="B27" s="11"/>
      <c r="C27" s="17"/>
      <c r="D27" s="17"/>
      <c r="E27" s="164"/>
      <c r="F27" s="17"/>
      <c r="G27" s="555"/>
      <c r="H27" s="555"/>
      <c r="I27" s="555"/>
      <c r="J27" s="555"/>
      <c r="K27" s="555"/>
      <c r="L27" s="555"/>
      <c r="M27" s="555"/>
      <c r="N27" s="555"/>
      <c r="O27" s="555"/>
      <c r="P27" s="12"/>
      <c r="Q27" s="555" t="s">
        <v>620</v>
      </c>
    </row>
    <row r="28" spans="1:17" ht="12.95">
      <c r="A28" s="11" t="s">
        <v>621</v>
      </c>
      <c r="B28" s="11"/>
      <c r="C28" s="17"/>
      <c r="D28" s="17"/>
      <c r="E28" s="164"/>
      <c r="F28" s="17"/>
      <c r="G28" s="555"/>
      <c r="H28" s="555"/>
      <c r="I28" s="555"/>
      <c r="J28" s="555"/>
      <c r="K28" s="555"/>
      <c r="L28" s="555"/>
      <c r="M28" s="555"/>
      <c r="N28" s="555"/>
      <c r="O28" s="555"/>
      <c r="P28" s="12"/>
      <c r="Q28" s="555" t="s">
        <v>620</v>
      </c>
    </row>
    <row r="29" spans="1:17" ht="12.95">
      <c r="A29" s="11" t="s">
        <v>622</v>
      </c>
      <c r="B29" s="11"/>
      <c r="C29" s="17"/>
      <c r="D29" s="17"/>
      <c r="E29" s="164"/>
      <c r="F29" s="615"/>
      <c r="G29" s="555"/>
      <c r="H29" s="555"/>
      <c r="I29" s="555"/>
      <c r="J29" s="555"/>
      <c r="K29" s="555"/>
      <c r="L29" s="555"/>
      <c r="M29" s="555"/>
      <c r="N29" s="555"/>
      <c r="O29" s="555"/>
      <c r="P29" s="12"/>
      <c r="Q29" s="555" t="s">
        <v>620</v>
      </c>
    </row>
    <row r="30" spans="1:17" ht="12.95">
      <c r="A30" s="11" t="s">
        <v>623</v>
      </c>
      <c r="B30" s="17"/>
      <c r="C30" s="17"/>
      <c r="D30" s="17"/>
      <c r="E30" s="164"/>
      <c r="F30" s="615"/>
      <c r="G30" s="555"/>
      <c r="H30" s="555"/>
      <c r="I30" s="555"/>
      <c r="J30" s="555"/>
      <c r="K30" s="555"/>
      <c r="L30" s="555"/>
      <c r="M30" s="555"/>
      <c r="N30" s="555"/>
      <c r="O30" s="555"/>
      <c r="P30" s="12"/>
      <c r="Q30" s="555" t="s">
        <v>45</v>
      </c>
    </row>
    <row r="31" spans="1:17" ht="12.95">
      <c r="A31" s="274"/>
      <c r="B31" s="555"/>
      <c r="C31" s="555"/>
      <c r="D31" s="555"/>
      <c r="F31" s="615"/>
      <c r="G31" s="555"/>
      <c r="H31" s="555"/>
      <c r="I31" s="555"/>
      <c r="J31" s="555"/>
      <c r="K31" s="555"/>
      <c r="L31" s="555"/>
      <c r="M31" s="555"/>
      <c r="N31" s="555"/>
      <c r="O31" s="555"/>
      <c r="P31" s="555"/>
      <c r="Q31" s="555"/>
    </row>
    <row r="32" spans="1:17">
      <c r="A32" s="555"/>
      <c r="B32" s="555"/>
      <c r="C32" s="555"/>
      <c r="D32" s="555"/>
      <c r="F32" s="615"/>
      <c r="G32" s="555"/>
      <c r="H32" s="555"/>
      <c r="I32" s="555"/>
      <c r="J32" s="555"/>
      <c r="K32" s="555"/>
      <c r="L32" s="555"/>
      <c r="M32" s="555"/>
      <c r="N32" s="555"/>
      <c r="O32" s="555"/>
      <c r="P32" s="555"/>
      <c r="Q32" s="555"/>
    </row>
    <row r="33" spans="2:6">
      <c r="B33" s="555"/>
      <c r="C33" s="555"/>
      <c r="D33" s="555"/>
      <c r="F33" s="615"/>
    </row>
    <row r="34" spans="2:6">
      <c r="B34" s="555"/>
      <c r="C34" s="555"/>
      <c r="D34" s="555"/>
      <c r="F34" s="615"/>
    </row>
    <row r="35" spans="2:6">
      <c r="B35" s="555"/>
      <c r="C35" s="555"/>
      <c r="D35" s="555"/>
      <c r="F35" s="615"/>
    </row>
    <row r="36" spans="2:6">
      <c r="B36" s="555"/>
      <c r="C36" s="555"/>
      <c r="D36" s="555"/>
      <c r="F36" s="615"/>
    </row>
    <row r="41" spans="2:6">
      <c r="B41" s="17"/>
      <c r="C41" s="555"/>
      <c r="D41" s="555"/>
      <c r="E41" s="22"/>
      <c r="F41" s="17"/>
    </row>
    <row r="42" spans="2:6">
      <c r="B42" s="17"/>
      <c r="C42" s="555"/>
      <c r="D42" s="555"/>
      <c r="E42" s="22"/>
      <c r="F42" s="17"/>
    </row>
    <row r="43" spans="2:6">
      <c r="B43" s="555"/>
      <c r="C43" s="555"/>
      <c r="D43" s="555"/>
      <c r="E43" s="22"/>
      <c r="F43" s="17"/>
    </row>
    <row r="44" spans="2:6">
      <c r="B44" s="17"/>
      <c r="C44" s="555"/>
      <c r="D44" s="555"/>
      <c r="E44" s="22"/>
      <c r="F44" s="17"/>
    </row>
    <row r="45" spans="2:6">
      <c r="B45" s="17"/>
      <c r="C45" s="555"/>
      <c r="D45" s="555"/>
      <c r="E45" s="22"/>
      <c r="F45" s="17"/>
    </row>
    <row r="46" spans="2:6">
      <c r="B46" s="17"/>
      <c r="C46" s="555"/>
      <c r="D46" s="555"/>
      <c r="E46" s="22"/>
      <c r="F46" s="17"/>
    </row>
    <row r="47" spans="2:6">
      <c r="B47" s="17"/>
      <c r="C47" s="555"/>
      <c r="D47" s="555"/>
      <c r="E47" s="22"/>
      <c r="F47" s="17"/>
    </row>
  </sheetData>
  <phoneticPr fontId="11" type="noConversion"/>
  <printOptions horizontalCentered="1"/>
  <pageMargins left="0.75" right="0.75" top="1" bottom="1" header="0.5" footer="0.5"/>
  <pageSetup scale="47" firstPageNumber="51" orientation="portrait" useFirstPageNumber="1" horizontalDpi="4294967292" r:id="rId1"/>
  <headerFooter alignWithMargins="0">
    <oddHeader>&amp;RPage 41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pageSetUpPr fitToPage="1"/>
  </sheetPr>
  <dimension ref="A1:H25"/>
  <sheetViews>
    <sheetView zoomScale="130" zoomScaleNormal="130" workbookViewId="0"/>
  </sheetViews>
  <sheetFormatPr defaultColWidth="8.85546875" defaultRowHeight="12.6"/>
  <cols>
    <col min="1" max="1" width="20.7109375" customWidth="1"/>
    <col min="2" max="8" width="12.7109375" style="6" customWidth="1"/>
  </cols>
  <sheetData>
    <row r="1" spans="1:8" ht="18">
      <c r="A1" s="86" t="s">
        <v>624</v>
      </c>
      <c r="B1" s="616"/>
      <c r="C1" s="616"/>
      <c r="D1" s="616"/>
      <c r="E1" s="616"/>
      <c r="F1" s="616"/>
      <c r="G1" s="616"/>
      <c r="H1" s="266"/>
    </row>
    <row r="2" spans="1:8" ht="12.95">
      <c r="A2" s="17"/>
      <c r="B2" s="8"/>
      <c r="C2" s="279"/>
      <c r="D2" s="279"/>
      <c r="E2" s="279"/>
      <c r="F2" s="279"/>
      <c r="G2" s="279"/>
      <c r="H2" s="279"/>
    </row>
    <row r="3" spans="1:8" ht="12.95">
      <c r="A3" s="17"/>
      <c r="B3" s="215"/>
      <c r="C3" s="215"/>
      <c r="D3" s="279"/>
      <c r="E3" s="215"/>
      <c r="F3" s="279"/>
      <c r="G3" s="279"/>
      <c r="H3" s="279"/>
    </row>
    <row r="4" spans="1:8" ht="12.95">
      <c r="A4" s="17"/>
      <c r="B4" s="215"/>
      <c r="C4" s="265" t="s">
        <v>625</v>
      </c>
      <c r="D4" s="617"/>
      <c r="E4" s="265" t="s">
        <v>626</v>
      </c>
      <c r="F4" s="617"/>
      <c r="G4" s="617"/>
      <c r="H4" s="279"/>
    </row>
    <row r="5" spans="1:8" ht="12.95">
      <c r="A5" s="17"/>
      <c r="B5" s="279"/>
      <c r="C5" s="279"/>
      <c r="D5" s="279"/>
      <c r="E5" s="8" t="s">
        <v>627</v>
      </c>
      <c r="F5" s="8" t="s">
        <v>628</v>
      </c>
      <c r="G5" s="279"/>
      <c r="H5" s="279"/>
    </row>
    <row r="6" spans="1:8" ht="12.95">
      <c r="A6" s="87" t="s">
        <v>629</v>
      </c>
      <c r="B6" s="262" t="s">
        <v>630</v>
      </c>
      <c r="C6" s="262" t="s">
        <v>631</v>
      </c>
      <c r="D6" s="262" t="s">
        <v>632</v>
      </c>
      <c r="E6" s="262" t="s">
        <v>633</v>
      </c>
      <c r="F6" s="262" t="s">
        <v>631</v>
      </c>
      <c r="G6" s="262" t="s">
        <v>634</v>
      </c>
      <c r="H6" s="262" t="s">
        <v>17</v>
      </c>
    </row>
    <row r="7" spans="1:8" ht="15" customHeight="1">
      <c r="A7" s="11" t="s">
        <v>635</v>
      </c>
      <c r="B7" s="279">
        <v>9.5005912076253553E-3</v>
      </c>
      <c r="C7" s="279">
        <v>1.4881469151381263E-2</v>
      </c>
      <c r="D7" s="279">
        <v>0.19773260281674199</v>
      </c>
      <c r="E7" s="279">
        <v>0.28944297136874336</v>
      </c>
      <c r="F7" s="279">
        <v>0.49794295666313332</v>
      </c>
      <c r="G7" s="279">
        <v>0</v>
      </c>
      <c r="H7" s="279">
        <f t="shared" ref="H7:H16" si="0">SUM(C7:G7)</f>
        <v>1</v>
      </c>
    </row>
    <row r="8" spans="1:8" ht="15" customHeight="1">
      <c r="A8" s="11" t="s">
        <v>636</v>
      </c>
      <c r="B8" s="279"/>
      <c r="C8" s="279">
        <v>2.3472419693728375E-2</v>
      </c>
      <c r="D8" s="279">
        <v>8.3916422946837876E-2</v>
      </c>
      <c r="E8" s="279">
        <v>0.35564386491910377</v>
      </c>
      <c r="F8" s="279">
        <v>0.53696729244033004</v>
      </c>
      <c r="G8" s="279">
        <v>0</v>
      </c>
      <c r="H8" s="279">
        <f t="shared" si="0"/>
        <v>1</v>
      </c>
    </row>
    <row r="9" spans="1:8" ht="15" customHeight="1">
      <c r="A9" s="11" t="s">
        <v>253</v>
      </c>
      <c r="B9" s="279">
        <v>3.8938924847315825E-3</v>
      </c>
      <c r="C9" s="279"/>
      <c r="D9" s="279">
        <v>2.7672737306148342E-2</v>
      </c>
      <c r="E9" s="279">
        <v>0.50868640031992163</v>
      </c>
      <c r="F9" s="279">
        <v>0.46364086237393004</v>
      </c>
      <c r="G9" s="279">
        <v>0</v>
      </c>
      <c r="H9" s="279">
        <f t="shared" si="0"/>
        <v>1</v>
      </c>
    </row>
    <row r="10" spans="1:8" ht="15" customHeight="1">
      <c r="A10" s="11" t="s">
        <v>256</v>
      </c>
      <c r="B10" s="279">
        <v>2.0808134398190153E-2</v>
      </c>
      <c r="C10" s="279"/>
      <c r="D10" s="279"/>
      <c r="E10" s="279">
        <v>0.54570915653236884</v>
      </c>
      <c r="F10" s="279">
        <v>0.45429084346763104</v>
      </c>
      <c r="G10" s="279">
        <v>0</v>
      </c>
      <c r="H10" s="279">
        <f t="shared" si="0"/>
        <v>0.99999999999999989</v>
      </c>
    </row>
    <row r="11" spans="1:8" ht="15" customHeight="1">
      <c r="A11" s="11" t="s">
        <v>637</v>
      </c>
      <c r="B11" s="279">
        <v>2.5812123747817974E-2</v>
      </c>
      <c r="C11" s="279"/>
      <c r="D11" s="279"/>
      <c r="E11" s="279">
        <v>1.6108859716462413E-2</v>
      </c>
      <c r="F11" s="279">
        <v>0.1184757626732728</v>
      </c>
      <c r="G11" s="279">
        <v>0.86541537761026499</v>
      </c>
      <c r="H11" s="279">
        <f t="shared" si="0"/>
        <v>1.0000000000000002</v>
      </c>
    </row>
    <row r="12" spans="1:8" ht="15" customHeight="1">
      <c r="A12" s="11" t="s">
        <v>638</v>
      </c>
      <c r="B12" s="279"/>
      <c r="C12" s="279"/>
      <c r="D12" s="279"/>
      <c r="E12" s="279">
        <v>6.6254984715939675E-3</v>
      </c>
      <c r="F12" s="279">
        <v>0.1931632175714004</v>
      </c>
      <c r="G12" s="279">
        <v>0.80021128395700558</v>
      </c>
      <c r="H12" s="279">
        <f t="shared" si="0"/>
        <v>1</v>
      </c>
    </row>
    <row r="13" spans="1:8" ht="15" customHeight="1">
      <c r="A13" s="11" t="s">
        <v>251</v>
      </c>
      <c r="B13" s="279">
        <v>2.6928572672259661E-3</v>
      </c>
      <c r="C13" s="279"/>
      <c r="D13" s="279"/>
      <c r="E13" s="279"/>
      <c r="F13" s="279">
        <v>8.6481475271175168E-2</v>
      </c>
      <c r="G13" s="279">
        <v>0.91351852472882511</v>
      </c>
      <c r="H13" s="279">
        <f t="shared" si="0"/>
        <v>1.0000000000000002</v>
      </c>
    </row>
    <row r="14" spans="1:8" ht="15" customHeight="1">
      <c r="A14" s="11" t="s">
        <v>258</v>
      </c>
      <c r="B14" s="279"/>
      <c r="C14" s="279"/>
      <c r="D14" s="279">
        <v>0.1740912779635381</v>
      </c>
      <c r="E14" s="279">
        <v>0.17817008883603291</v>
      </c>
      <c r="F14" s="279">
        <v>0.64773863320042901</v>
      </c>
      <c r="G14" s="279">
        <v>0</v>
      </c>
      <c r="H14" s="279">
        <f t="shared" si="0"/>
        <v>1</v>
      </c>
    </row>
    <row r="15" spans="1:8" ht="15" customHeight="1">
      <c r="A15" s="11" t="s">
        <v>259</v>
      </c>
      <c r="B15" s="279"/>
      <c r="C15" s="279"/>
      <c r="D15" s="279"/>
      <c r="E15" s="279">
        <v>0.80949954740966956</v>
      </c>
      <c r="F15" s="279">
        <v>0.19050045259033047</v>
      </c>
      <c r="G15" s="279">
        <v>0</v>
      </c>
      <c r="H15" s="279">
        <f t="shared" si="0"/>
        <v>1</v>
      </c>
    </row>
    <row r="16" spans="1:8" ht="15" customHeight="1">
      <c r="A16" s="87" t="s">
        <v>249</v>
      </c>
      <c r="B16" s="618"/>
      <c r="C16" s="618"/>
      <c r="D16" s="618"/>
      <c r="E16" s="618"/>
      <c r="F16" s="618">
        <v>0.43794479093411165</v>
      </c>
      <c r="G16" s="618">
        <v>0.56205520906588835</v>
      </c>
      <c r="H16" s="618">
        <f t="shared" si="0"/>
        <v>1</v>
      </c>
    </row>
    <row r="17" spans="1:8">
      <c r="A17" s="17"/>
      <c r="B17" s="279"/>
      <c r="C17" s="279"/>
      <c r="D17" s="279"/>
      <c r="E17" s="279"/>
      <c r="F17" s="279"/>
      <c r="G17" s="279"/>
      <c r="H17" s="279"/>
    </row>
    <row r="18" spans="1:8">
      <c r="A18" s="17"/>
      <c r="B18" s="279"/>
      <c r="C18" s="279"/>
      <c r="D18" s="279"/>
      <c r="E18" s="279"/>
      <c r="F18" s="279"/>
      <c r="G18" s="279"/>
      <c r="H18" s="279"/>
    </row>
    <row r="19" spans="1:8" ht="12.95">
      <c r="A19" s="9" t="s">
        <v>639</v>
      </c>
      <c r="B19" s="279"/>
      <c r="C19" s="279"/>
      <c r="D19" s="279"/>
      <c r="E19" s="279"/>
      <c r="F19" s="279"/>
      <c r="G19" s="279"/>
      <c r="H19" s="279"/>
    </row>
    <row r="20" spans="1:8" ht="12.95">
      <c r="A20" s="11" t="s">
        <v>640</v>
      </c>
      <c r="B20" s="279"/>
      <c r="C20" s="279"/>
      <c r="D20" s="279"/>
      <c r="E20" s="279"/>
      <c r="F20" s="279"/>
      <c r="G20" s="279"/>
      <c r="H20" s="279"/>
    </row>
    <row r="21" spans="1:8" ht="12.95">
      <c r="A21" s="11"/>
      <c r="B21" s="279"/>
      <c r="C21" s="279"/>
      <c r="D21" s="279"/>
      <c r="E21" s="279"/>
      <c r="F21" s="279"/>
      <c r="G21" s="279"/>
      <c r="H21" s="279"/>
    </row>
    <row r="25" spans="1:8">
      <c r="A25" s="555"/>
      <c r="D25" s="6" t="s">
        <v>45</v>
      </c>
    </row>
  </sheetData>
  <phoneticPr fontId="11" type="noConversion"/>
  <printOptions horizontalCentered="1"/>
  <pageMargins left="0.75" right="0.75" top="1" bottom="1" header="0.5" footer="0.5"/>
  <pageSetup scale="82" firstPageNumber="55" orientation="portrait" useFirstPageNumber="1" horizontalDpi="4294967292" r:id="rId1"/>
  <headerFooter alignWithMargins="0">
    <oddHeader>&amp;RPage 42</oddHeader>
  </headerFooter>
  <ignoredErrors>
    <ignoredError sqref="H9:H11 H13 H7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>
    <pageSetUpPr fitToPage="1"/>
  </sheetPr>
  <dimension ref="A1:K52"/>
  <sheetViews>
    <sheetView zoomScale="160" zoomScaleNormal="160" workbookViewId="0"/>
  </sheetViews>
  <sheetFormatPr defaultColWidth="8.85546875" defaultRowHeight="12.95"/>
  <cols>
    <col min="1" max="1" width="14" customWidth="1"/>
    <col min="2" max="2" width="22.7109375" customWidth="1"/>
    <col min="3" max="3" width="15.7109375" customWidth="1"/>
    <col min="4" max="4" width="14.42578125" style="3" customWidth="1"/>
    <col min="5" max="5" width="9.140625" style="2" bestFit="1" customWidth="1"/>
    <col min="6" max="6" width="8.85546875" customWidth="1"/>
    <col min="7" max="7" width="33.5703125" bestFit="1" customWidth="1"/>
    <col min="8" max="8" width="8.85546875" customWidth="1"/>
    <col min="9" max="9" width="10.140625" customWidth="1"/>
    <col min="10" max="10" width="8.85546875" customWidth="1"/>
    <col min="11" max="11" width="15" customWidth="1"/>
  </cols>
  <sheetData>
    <row r="1" spans="1:11" ht="18">
      <c r="A1" s="261" t="s">
        <v>641</v>
      </c>
      <c r="B1" s="78"/>
      <c r="C1" s="78"/>
      <c r="D1" s="82"/>
      <c r="E1" s="83"/>
      <c r="F1" s="555"/>
      <c r="G1" s="555"/>
      <c r="H1" s="555"/>
      <c r="I1" s="555"/>
      <c r="J1" s="555"/>
      <c r="K1" s="555"/>
    </row>
    <row r="3" spans="1:11">
      <c r="A3" s="9" t="s">
        <v>642</v>
      </c>
      <c r="B3" s="555"/>
      <c r="C3" s="555"/>
      <c r="D3" s="16" t="s">
        <v>643</v>
      </c>
      <c r="E3" s="4"/>
      <c r="F3" s="213"/>
      <c r="G3" s="165"/>
      <c r="H3" s="555"/>
      <c r="I3" s="555"/>
      <c r="J3" s="555"/>
      <c r="K3" s="555"/>
    </row>
    <row r="4" spans="1:11">
      <c r="A4" s="555" t="s">
        <v>644</v>
      </c>
      <c r="B4" s="555"/>
      <c r="C4" s="555"/>
      <c r="D4" s="619">
        <f>'[6]Disaggregated wage rates'!$C$6</f>
        <v>54.142360316355024</v>
      </c>
      <c r="E4" s="2" t="s">
        <v>81</v>
      </c>
      <c r="F4" s="536" t="s">
        <v>645</v>
      </c>
      <c r="G4" s="3"/>
      <c r="H4" s="555"/>
      <c r="I4" s="555"/>
      <c r="J4" s="555"/>
      <c r="K4" s="555"/>
    </row>
    <row r="5" spans="1:11">
      <c r="A5" s="555" t="s">
        <v>646</v>
      </c>
      <c r="B5" s="555"/>
      <c r="C5" s="555"/>
      <c r="D5" s="619">
        <f>'[6]Disaggregated wage rates'!$C$8</f>
        <v>50.10717457546064</v>
      </c>
      <c r="E5" s="2" t="s">
        <v>81</v>
      </c>
      <c r="F5" s="536" t="s">
        <v>645</v>
      </c>
      <c r="G5" s="3"/>
      <c r="H5" s="555"/>
      <c r="I5" s="555"/>
      <c r="J5" s="555"/>
      <c r="K5" s="555"/>
    </row>
    <row r="6" spans="1:11">
      <c r="A6" s="17" t="s">
        <v>647</v>
      </c>
      <c r="B6" s="555"/>
      <c r="C6" s="555"/>
      <c r="D6" s="3">
        <f>'[6]Premium Pay Fctrs'!$D$9</f>
        <v>1.0209228242204351</v>
      </c>
      <c r="E6" s="2" t="s">
        <v>83</v>
      </c>
      <c r="F6" s="536" t="s">
        <v>645</v>
      </c>
      <c r="G6" s="555"/>
      <c r="H6" s="555"/>
      <c r="I6" s="555"/>
      <c r="J6" s="555"/>
      <c r="K6" s="555"/>
    </row>
    <row r="7" spans="1:11">
      <c r="A7" s="17" t="s">
        <v>648</v>
      </c>
      <c r="B7" s="555"/>
      <c r="C7" s="555"/>
      <c r="D7" s="3">
        <f>'[6]Premium Pay Fctrs'!$D$7</f>
        <v>1.0126008477139226</v>
      </c>
      <c r="E7" s="2" t="s">
        <v>83</v>
      </c>
      <c r="F7" s="536" t="s">
        <v>645</v>
      </c>
      <c r="G7" s="555"/>
      <c r="H7" s="555"/>
      <c r="I7" s="555"/>
      <c r="J7" s="555"/>
      <c r="K7" s="555"/>
    </row>
    <row r="8" spans="1:11">
      <c r="A8" s="17" t="s">
        <v>649</v>
      </c>
      <c r="B8" s="555"/>
      <c r="C8" s="555"/>
      <c r="D8" s="3">
        <f>'[6]Premium Pay Fctrs'!$C$10</f>
        <v>1.0126974442214889</v>
      </c>
      <c r="E8" s="2" t="s">
        <v>83</v>
      </c>
      <c r="F8" s="2" t="s">
        <v>650</v>
      </c>
      <c r="G8" s="345"/>
      <c r="H8" s="555"/>
      <c r="I8" s="555"/>
      <c r="J8" s="555"/>
      <c r="K8" s="555"/>
    </row>
    <row r="9" spans="1:11">
      <c r="A9" s="17" t="s">
        <v>651</v>
      </c>
      <c r="B9" s="555"/>
      <c r="C9" s="555"/>
      <c r="D9" s="3">
        <f>'[6]Premium Pay Fctrs'!$C$9</f>
        <v>1.0210631968009072</v>
      </c>
      <c r="E9" s="2" t="s">
        <v>83</v>
      </c>
      <c r="F9" s="2" t="s">
        <v>650</v>
      </c>
      <c r="G9" s="345"/>
      <c r="H9" s="555"/>
      <c r="I9" s="555"/>
      <c r="J9" s="555"/>
      <c r="K9" s="555"/>
    </row>
    <row r="10" spans="1:11">
      <c r="A10" s="17" t="s">
        <v>652</v>
      </c>
      <c r="B10" s="555"/>
      <c r="C10" s="555"/>
      <c r="D10" s="3">
        <f>'[6]Premium Pay Fctrs'!$C$12</f>
        <v>1.0289187345367075</v>
      </c>
      <c r="E10" s="2" t="s">
        <v>83</v>
      </c>
      <c r="F10" s="2" t="s">
        <v>650</v>
      </c>
      <c r="G10" s="555"/>
      <c r="H10" s="555"/>
      <c r="I10" s="555"/>
      <c r="J10" s="555"/>
      <c r="K10" s="555"/>
    </row>
    <row r="11" spans="1:11">
      <c r="A11" s="539" t="s">
        <v>653</v>
      </c>
      <c r="B11" s="555"/>
      <c r="C11" s="14"/>
      <c r="D11" s="16" t="s">
        <v>643</v>
      </c>
      <c r="F11" s="555"/>
      <c r="G11" s="555"/>
      <c r="H11" s="555"/>
      <c r="I11" s="555"/>
      <c r="J11" s="555"/>
      <c r="K11" s="555"/>
    </row>
    <row r="12" spans="1:11" ht="12.75" customHeight="1">
      <c r="A12" s="555" t="s">
        <v>209</v>
      </c>
      <c r="B12" s="555"/>
      <c r="C12" s="346"/>
      <c r="D12" s="229">
        <f>'[15]MP Piggybacks'!$J$68</f>
        <v>1.6888485071959758</v>
      </c>
      <c r="E12" s="2" t="s">
        <v>85</v>
      </c>
      <c r="F12" s="344"/>
      <c r="G12" s="347"/>
      <c r="H12" s="18"/>
      <c r="I12" s="18"/>
      <c r="J12" s="555"/>
      <c r="K12" s="555"/>
    </row>
    <row r="13" spans="1:11" ht="12.75" customHeight="1">
      <c r="A13" s="555" t="s">
        <v>212</v>
      </c>
      <c r="B13" s="555"/>
      <c r="C13" s="555"/>
      <c r="D13" s="229">
        <f>'[15]MP Piggybacks'!$J$77</f>
        <v>1.2615773174013249</v>
      </c>
      <c r="E13" s="2" t="s">
        <v>85</v>
      </c>
      <c r="F13" s="344"/>
      <c r="G13" s="620"/>
      <c r="H13" s="230"/>
      <c r="I13" s="18"/>
      <c r="J13" s="555"/>
      <c r="K13" s="555"/>
    </row>
    <row r="14" spans="1:11" ht="12.75" customHeight="1">
      <c r="A14" s="555" t="s">
        <v>654</v>
      </c>
      <c r="B14" s="555"/>
      <c r="C14" s="346"/>
      <c r="D14" s="229">
        <f>'[15]MP Piggybacks'!$J$71</f>
        <v>3.4396834863913082</v>
      </c>
      <c r="E14" s="2" t="s">
        <v>85</v>
      </c>
      <c r="F14" s="344"/>
      <c r="G14" s="620"/>
      <c r="H14" s="555"/>
      <c r="I14" s="18"/>
      <c r="J14" s="555"/>
      <c r="K14" s="555"/>
    </row>
    <row r="15" spans="1:11" ht="12.75" customHeight="1">
      <c r="A15" s="555" t="s">
        <v>655</v>
      </c>
      <c r="B15" s="555"/>
      <c r="C15" s="346"/>
      <c r="D15" s="229">
        <f>D12</f>
        <v>1.6888485071959758</v>
      </c>
      <c r="E15" s="2" t="s">
        <v>85</v>
      </c>
      <c r="F15" s="344"/>
      <c r="G15" s="620"/>
      <c r="H15" s="555"/>
      <c r="I15" s="18"/>
      <c r="J15" s="555"/>
      <c r="K15" s="348"/>
    </row>
    <row r="16" spans="1:11" ht="12.75" customHeight="1">
      <c r="A16" s="555" t="str">
        <f>'[16]MP Piggybacks'!$A$13</f>
        <v>Mechanized Tray Sorter &amp; Robotics</v>
      </c>
      <c r="B16" s="555"/>
      <c r="C16" s="346"/>
      <c r="D16" s="229">
        <f>'[15]MP Piggybacks'!$J$13</f>
        <v>1.5358044573278811</v>
      </c>
      <c r="E16" s="2" t="s">
        <v>85</v>
      </c>
      <c r="F16" s="344"/>
      <c r="G16" s="620"/>
      <c r="H16" s="555"/>
      <c r="I16" s="18"/>
      <c r="J16" s="555"/>
      <c r="K16" s="349"/>
    </row>
    <row r="17" spans="1:11" ht="12.75" customHeight="1">
      <c r="A17" s="555" t="s">
        <v>217</v>
      </c>
      <c r="B17" s="555"/>
      <c r="C17" s="346"/>
      <c r="D17" s="229">
        <f>'[15]MP Piggybacks'!$J$15</f>
        <v>1.2988119246888874</v>
      </c>
      <c r="E17" s="2" t="s">
        <v>85</v>
      </c>
      <c r="F17" s="344"/>
      <c r="G17" s="620"/>
      <c r="H17" s="555"/>
      <c r="I17" s="350"/>
      <c r="J17" s="555"/>
      <c r="K17" s="176"/>
    </row>
    <row r="18" spans="1:11" ht="12.75" customHeight="1">
      <c r="A18" s="555" t="s">
        <v>656</v>
      </c>
      <c r="B18" s="555"/>
      <c r="C18" s="346"/>
      <c r="D18" s="229">
        <f>D17</f>
        <v>1.2988119246888874</v>
      </c>
      <c r="E18" s="2" t="s">
        <v>85</v>
      </c>
      <c r="F18" s="344"/>
      <c r="G18" s="620"/>
      <c r="H18" s="555"/>
      <c r="I18" s="350"/>
      <c r="J18" s="555"/>
      <c r="K18" s="177"/>
    </row>
    <row r="19" spans="1:11" ht="12.75" customHeight="1">
      <c r="A19" s="17" t="s">
        <v>657</v>
      </c>
      <c r="B19" s="555"/>
      <c r="C19" s="346"/>
      <c r="D19" s="229">
        <f>'[15]MP Piggybacks'!$J$23</f>
        <v>1.329782450145587</v>
      </c>
      <c r="E19" s="2" t="s">
        <v>85</v>
      </c>
      <c r="F19" s="344"/>
      <c r="G19" s="620"/>
      <c r="H19" s="555"/>
      <c r="I19" s="18"/>
      <c r="J19" s="555"/>
      <c r="K19" s="178"/>
    </row>
    <row r="20" spans="1:11" ht="15.6">
      <c r="A20" s="555"/>
      <c r="B20" s="555"/>
      <c r="C20" s="555"/>
      <c r="D20" s="229"/>
      <c r="F20" s="555"/>
      <c r="G20" s="555"/>
      <c r="H20" s="555"/>
      <c r="I20" s="555"/>
      <c r="J20" s="555"/>
      <c r="K20" s="351"/>
    </row>
    <row r="21" spans="1:11">
      <c r="A21" s="9" t="s">
        <v>658</v>
      </c>
      <c r="B21" s="555"/>
      <c r="C21" s="555"/>
      <c r="D21" s="16" t="s">
        <v>643</v>
      </c>
      <c r="F21" s="555"/>
      <c r="G21" s="555"/>
      <c r="H21" s="555"/>
      <c r="I21" s="555"/>
      <c r="J21" s="555"/>
      <c r="K21" s="555"/>
    </row>
    <row r="22" spans="1:11" ht="15.6">
      <c r="A22" s="555" t="s">
        <v>561</v>
      </c>
      <c r="B22" s="555"/>
      <c r="C22" s="555"/>
      <c r="D22" s="3">
        <f>D12</f>
        <v>1.6888485071959758</v>
      </c>
      <c r="E22" s="2" t="s">
        <v>106</v>
      </c>
      <c r="F22" s="555"/>
      <c r="G22" s="555"/>
      <c r="H22" s="555"/>
      <c r="I22" s="555"/>
      <c r="J22" s="555"/>
      <c r="K22" s="351"/>
    </row>
    <row r="23" spans="1:11">
      <c r="A23" s="555" t="s">
        <v>659</v>
      </c>
      <c r="B23" s="555"/>
      <c r="C23" s="555"/>
      <c r="D23" s="3">
        <f>D13</f>
        <v>1.2615773174013249</v>
      </c>
      <c r="E23" s="2" t="s">
        <v>106</v>
      </c>
      <c r="F23" s="555"/>
      <c r="G23" s="555"/>
      <c r="H23" s="555"/>
      <c r="I23" s="555"/>
      <c r="J23" s="555"/>
      <c r="K23" s="555"/>
    </row>
    <row r="24" spans="1:11">
      <c r="A24" s="555" t="s">
        <v>564</v>
      </c>
      <c r="B24" s="555"/>
      <c r="C24" s="555"/>
      <c r="D24" s="3">
        <f>D15</f>
        <v>1.6888485071959758</v>
      </c>
      <c r="E24" s="2" t="s">
        <v>106</v>
      </c>
      <c r="F24" s="555"/>
      <c r="G24" s="555"/>
      <c r="H24" s="555"/>
      <c r="I24" s="555"/>
      <c r="J24" s="555"/>
      <c r="K24" s="555"/>
    </row>
    <row r="25" spans="1:11">
      <c r="A25" s="555" t="s">
        <v>660</v>
      </c>
      <c r="B25" s="555"/>
      <c r="C25" s="555"/>
      <c r="D25" s="3">
        <f>D14</f>
        <v>3.4396834863913082</v>
      </c>
      <c r="E25" s="2" t="s">
        <v>106</v>
      </c>
      <c r="F25" s="555"/>
      <c r="G25" s="555"/>
      <c r="H25" s="555"/>
      <c r="I25" s="555"/>
      <c r="J25" s="555"/>
      <c r="K25" s="555"/>
    </row>
    <row r="26" spans="1:11">
      <c r="A26" s="555" t="s">
        <v>661</v>
      </c>
      <c r="B26" s="555"/>
      <c r="C26" s="555"/>
      <c r="D26" s="3">
        <f>D15</f>
        <v>1.6888485071959758</v>
      </c>
      <c r="E26" s="2" t="s">
        <v>106</v>
      </c>
      <c r="F26" s="555"/>
      <c r="G26" s="555"/>
      <c r="H26" s="555"/>
      <c r="I26" s="555"/>
      <c r="J26" s="555"/>
      <c r="K26" s="555"/>
    </row>
    <row r="27" spans="1:11">
      <c r="A27" s="555" t="s">
        <v>662</v>
      </c>
      <c r="B27" s="555"/>
      <c r="C27" s="555"/>
      <c r="D27" s="3">
        <f>D17</f>
        <v>1.2988119246888874</v>
      </c>
      <c r="E27" s="2" t="s">
        <v>106</v>
      </c>
      <c r="F27" s="555"/>
      <c r="G27" s="555"/>
      <c r="H27" s="555"/>
      <c r="I27" s="555"/>
      <c r="J27" s="555"/>
      <c r="K27" s="555"/>
    </row>
    <row r="28" spans="1:11">
      <c r="A28" s="555" t="s">
        <v>663</v>
      </c>
      <c r="B28" s="555"/>
      <c r="C28" s="555"/>
      <c r="D28" s="3">
        <f>D15</f>
        <v>1.6888485071959758</v>
      </c>
      <c r="E28" s="2" t="s">
        <v>106</v>
      </c>
      <c r="F28" s="555"/>
      <c r="G28" s="555"/>
      <c r="H28" s="555"/>
      <c r="I28" s="555"/>
      <c r="J28" s="555"/>
      <c r="K28" s="555"/>
    </row>
    <row r="29" spans="1:11">
      <c r="A29" s="555" t="s">
        <v>664</v>
      </c>
      <c r="B29" s="555"/>
      <c r="C29" s="555"/>
      <c r="D29" s="3">
        <f>D17</f>
        <v>1.2988119246888874</v>
      </c>
      <c r="E29" s="2" t="s">
        <v>106</v>
      </c>
      <c r="F29" s="555"/>
      <c r="G29" s="555"/>
      <c r="H29" s="555"/>
      <c r="I29" s="555"/>
      <c r="J29" s="555"/>
      <c r="K29" s="555"/>
    </row>
    <row r="30" spans="1:11">
      <c r="A30" s="555" t="s">
        <v>563</v>
      </c>
      <c r="B30" s="555"/>
      <c r="C30" s="555"/>
      <c r="D30" s="3">
        <f>D12</f>
        <v>1.6888485071959758</v>
      </c>
      <c r="E30" s="2" t="s">
        <v>106</v>
      </c>
      <c r="F30" s="555"/>
      <c r="G30" s="555"/>
      <c r="H30" s="555"/>
      <c r="I30" s="555"/>
      <c r="J30" s="555"/>
      <c r="K30" s="555"/>
    </row>
    <row r="31" spans="1:11">
      <c r="A31" s="555" t="s">
        <v>665</v>
      </c>
      <c r="B31" s="555"/>
      <c r="C31" s="555"/>
      <c r="D31" s="3">
        <f>D13</f>
        <v>1.2615773174013249</v>
      </c>
      <c r="E31" s="2" t="s">
        <v>106</v>
      </c>
      <c r="F31" s="555"/>
      <c r="G31" s="555"/>
      <c r="H31" s="555"/>
      <c r="I31" s="555"/>
      <c r="J31" s="555"/>
      <c r="K31" s="555"/>
    </row>
    <row r="32" spans="1:11">
      <c r="A32" s="555" t="s">
        <v>566</v>
      </c>
      <c r="B32" s="555"/>
      <c r="C32" s="555"/>
      <c r="D32" s="3">
        <f>D15</f>
        <v>1.6888485071959758</v>
      </c>
      <c r="E32" s="2" t="s">
        <v>106</v>
      </c>
      <c r="F32" s="555"/>
      <c r="G32" s="555"/>
      <c r="H32" s="555"/>
      <c r="I32" s="555"/>
      <c r="J32" s="555"/>
      <c r="K32" s="555"/>
    </row>
    <row r="33" spans="1:5">
      <c r="A33" s="555" t="s">
        <v>666</v>
      </c>
      <c r="B33" s="555"/>
      <c r="C33" s="555"/>
      <c r="D33" s="3">
        <f>D14</f>
        <v>3.4396834863913082</v>
      </c>
      <c r="E33" s="2" t="s">
        <v>106</v>
      </c>
    </row>
    <row r="34" spans="1:5">
      <c r="A34" s="555" t="s">
        <v>667</v>
      </c>
      <c r="B34" s="555"/>
      <c r="C34" s="555"/>
      <c r="D34" s="3">
        <f>D15</f>
        <v>1.6888485071959758</v>
      </c>
      <c r="E34" s="2" t="s">
        <v>106</v>
      </c>
    </row>
    <row r="35" spans="1:5">
      <c r="A35" s="555" t="s">
        <v>668</v>
      </c>
      <c r="B35" s="555"/>
      <c r="C35" s="555"/>
      <c r="D35" s="3">
        <f>D18</f>
        <v>1.2988119246888874</v>
      </c>
      <c r="E35" s="2" t="s">
        <v>106</v>
      </c>
    </row>
    <row r="36" spans="1:5">
      <c r="A36" s="555" t="s">
        <v>669</v>
      </c>
      <c r="B36" s="555"/>
      <c r="C36" s="555"/>
      <c r="D36" s="3">
        <f>D15</f>
        <v>1.6888485071959758</v>
      </c>
      <c r="E36" s="2" t="s">
        <v>106</v>
      </c>
    </row>
    <row r="37" spans="1:5">
      <c r="A37" s="555" t="s">
        <v>670</v>
      </c>
      <c r="B37" s="555"/>
      <c r="C37" s="555"/>
      <c r="D37" s="3">
        <f>D17</f>
        <v>1.2988119246888874</v>
      </c>
      <c r="E37" s="2" t="s">
        <v>106</v>
      </c>
    </row>
    <row r="38" spans="1:5">
      <c r="A38" s="555" t="s">
        <v>671</v>
      </c>
      <c r="B38" s="555"/>
      <c r="C38" s="555"/>
      <c r="D38" s="3">
        <f>D15</f>
        <v>1.6888485071959758</v>
      </c>
      <c r="E38" s="2" t="s">
        <v>106</v>
      </c>
    </row>
    <row r="39" spans="1:5">
      <c r="A39" s="555" t="s">
        <v>672</v>
      </c>
      <c r="B39" s="555"/>
      <c r="C39" s="555"/>
      <c r="E39" s="2" t="s">
        <v>108</v>
      </c>
    </row>
    <row r="40" spans="1:5">
      <c r="A40" s="555" t="s">
        <v>673</v>
      </c>
      <c r="B40" s="555"/>
      <c r="C40" s="555"/>
      <c r="D40" s="3">
        <f>D15</f>
        <v>1.6888485071959758</v>
      </c>
      <c r="E40" s="2" t="s">
        <v>106</v>
      </c>
    </row>
    <row r="41" spans="1:5">
      <c r="A41" s="555" t="s">
        <v>674</v>
      </c>
      <c r="B41" s="555"/>
      <c r="C41" s="555"/>
      <c r="D41" s="3">
        <f>D17</f>
        <v>1.2988119246888874</v>
      </c>
      <c r="E41" s="2" t="s">
        <v>106</v>
      </c>
    </row>
    <row r="42" spans="1:5">
      <c r="A42" s="555" t="s">
        <v>227</v>
      </c>
      <c r="B42" s="555"/>
      <c r="C42" s="555"/>
      <c r="D42" s="3">
        <f>D17</f>
        <v>1.2988119246888874</v>
      </c>
      <c r="E42" s="2" t="s">
        <v>106</v>
      </c>
    </row>
    <row r="43" spans="1:5">
      <c r="A43" s="555" t="s">
        <v>228</v>
      </c>
      <c r="B43" s="555"/>
      <c r="C43" s="555"/>
      <c r="D43" s="3">
        <f>D18</f>
        <v>1.2988119246888874</v>
      </c>
      <c r="E43" s="2" t="s">
        <v>106</v>
      </c>
    </row>
    <row r="44" spans="1:5">
      <c r="A44" s="555" t="s">
        <v>229</v>
      </c>
      <c r="B44" s="555"/>
      <c r="C44" s="555"/>
      <c r="D44" s="3">
        <f>D18</f>
        <v>1.2988119246888874</v>
      </c>
      <c r="E44" s="2" t="s">
        <v>106</v>
      </c>
    </row>
    <row r="45" spans="1:5">
      <c r="A45" s="555" t="s">
        <v>675</v>
      </c>
      <c r="B45" s="555"/>
      <c r="C45" s="1"/>
      <c r="D45" s="3">
        <f>D19</f>
        <v>1.329782450145587</v>
      </c>
      <c r="E45" s="2" t="s">
        <v>106</v>
      </c>
    </row>
    <row r="47" spans="1:5">
      <c r="A47" s="9" t="s">
        <v>65</v>
      </c>
      <c r="B47" s="555"/>
      <c r="C47" s="555"/>
    </row>
    <row r="48" spans="1:5" s="11" customFormat="1">
      <c r="A48" s="34" t="s">
        <v>676</v>
      </c>
      <c r="C48" s="44"/>
      <c r="D48" s="367"/>
      <c r="E48" s="352"/>
    </row>
    <row r="49" spans="1:5" s="11" customFormat="1">
      <c r="A49" s="34" t="s">
        <v>677</v>
      </c>
      <c r="C49" s="44"/>
      <c r="D49" s="367"/>
      <c r="E49" s="352"/>
    </row>
    <row r="50" spans="1:5" s="11" customFormat="1">
      <c r="A50" s="34" t="s">
        <v>678</v>
      </c>
      <c r="C50" s="44"/>
      <c r="D50" s="367"/>
      <c r="E50" s="352"/>
    </row>
    <row r="51" spans="1:5" s="11" customFormat="1">
      <c r="A51" s="11" t="s">
        <v>679</v>
      </c>
      <c r="D51" s="4"/>
      <c r="E51" s="2"/>
    </row>
    <row r="52" spans="1:5">
      <c r="A52" s="34"/>
      <c r="B52" s="555"/>
      <c r="C52" s="555"/>
    </row>
  </sheetData>
  <phoneticPr fontId="11" type="noConversion"/>
  <printOptions horizontalCentered="1"/>
  <pageMargins left="0.75" right="0.75" top="1" bottom="1" header="0.5" footer="0.5"/>
  <pageSetup firstPageNumber="54" orientation="portrait" useFirstPageNumber="1" horizontalDpi="4294967292" r:id="rId1"/>
  <headerFooter alignWithMargins="0">
    <oddHeader>&amp;RPage 43</oddHeader>
  </headerFooter>
  <ignoredErrors>
    <ignoredError sqref="D41" formula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pageSetUpPr fitToPage="1"/>
  </sheetPr>
  <dimension ref="A1:P38"/>
  <sheetViews>
    <sheetView zoomScale="130" zoomScaleNormal="130" workbookViewId="0">
      <pane xSplit="1" topLeftCell="B1" activePane="topRight" state="frozen"/>
      <selection pane="topRight" activeCell="B1" sqref="B1"/>
    </sheetView>
  </sheetViews>
  <sheetFormatPr defaultColWidth="8.85546875" defaultRowHeight="12.6"/>
  <cols>
    <col min="1" max="1" width="30.7109375" customWidth="1"/>
    <col min="2" max="2" width="28.7109375" style="1" customWidth="1"/>
    <col min="3" max="3" width="20.7109375" customWidth="1"/>
    <col min="4" max="4" width="25.7109375" customWidth="1"/>
    <col min="5" max="5" width="18.85546875" style="256" bestFit="1" customWidth="1"/>
    <col min="6" max="6" width="12.7109375" style="257" customWidth="1"/>
    <col min="7" max="7" width="10.7109375" style="204" customWidth="1"/>
    <col min="9" max="9" width="13.5703125" bestFit="1" customWidth="1"/>
  </cols>
  <sheetData>
    <row r="1" spans="1:11" ht="18">
      <c r="A1" s="5" t="str">
        <f>'[17]FCM PRESORT LETTERS'!$A$2</f>
        <v>FIRST-CLASS MAIL PRESORT LETTERS MAIL CHARACTERISTICS DATA</v>
      </c>
      <c r="C1" s="555"/>
      <c r="D1" s="555"/>
      <c r="E1" s="17"/>
      <c r="F1" s="264"/>
      <c r="G1" s="164"/>
      <c r="H1" s="555"/>
      <c r="I1" s="555"/>
      <c r="J1" s="555"/>
      <c r="K1" s="555"/>
    </row>
    <row r="2" spans="1:11" ht="15.6">
      <c r="A2" s="297" t="str">
        <f>'[17]FCM PRESORT LETTERS'!$A$3</f>
        <v>USPS-FY25-14</v>
      </c>
      <c r="C2" s="555"/>
      <c r="D2" s="17"/>
      <c r="E2" s="621"/>
      <c r="F2" s="621"/>
      <c r="G2" s="164"/>
      <c r="H2" s="555"/>
      <c r="I2" s="555"/>
      <c r="J2" s="555"/>
      <c r="K2" s="555"/>
    </row>
    <row r="3" spans="1:11" ht="14.1" customHeight="1">
      <c r="A3" s="555" t="str">
        <f>'[17]FCM PRESORT LETTERS'!$A$1</f>
        <v>Table MCS - 1</v>
      </c>
      <c r="C3" s="555"/>
      <c r="D3" s="555"/>
      <c r="E3" s="17"/>
      <c r="F3" s="21" t="s">
        <v>680</v>
      </c>
      <c r="G3" s="164"/>
      <c r="H3" s="555"/>
      <c r="I3" s="555"/>
      <c r="J3" s="555"/>
      <c r="K3" s="555"/>
    </row>
    <row r="4" spans="1:11" ht="12.95">
      <c r="A4" s="555"/>
      <c r="C4" s="555"/>
      <c r="D4" s="555"/>
      <c r="E4" s="17"/>
      <c r="F4" s="21" t="s">
        <v>681</v>
      </c>
      <c r="G4" s="8" t="s">
        <v>682</v>
      </c>
      <c r="H4" s="555"/>
      <c r="I4" s="555"/>
      <c r="J4" s="555"/>
      <c r="K4" s="555"/>
    </row>
    <row r="5" spans="1:11" ht="12.95">
      <c r="A5" s="9" t="s">
        <v>22</v>
      </c>
      <c r="B5" s="166" t="s">
        <v>683</v>
      </c>
      <c r="C5" s="166" t="s">
        <v>684</v>
      </c>
      <c r="D5" s="166" t="s">
        <v>685</v>
      </c>
      <c r="E5" s="202" t="s">
        <v>686</v>
      </c>
      <c r="F5" s="202" t="s">
        <v>687</v>
      </c>
      <c r="G5" s="10" t="s">
        <v>688</v>
      </c>
      <c r="H5" s="555"/>
      <c r="I5" s="555"/>
      <c r="J5" s="555"/>
      <c r="K5" s="555"/>
    </row>
    <row r="6" spans="1:11">
      <c r="A6" s="555" t="s">
        <v>689</v>
      </c>
      <c r="B6" s="554" t="s">
        <v>690</v>
      </c>
      <c r="C6" s="554" t="s">
        <v>691</v>
      </c>
      <c r="D6" s="554" t="s">
        <v>692</v>
      </c>
      <c r="E6" s="22">
        <f>'[17]FCM PRESORT LETTERS'!E7</f>
        <v>165173782.99999994</v>
      </c>
      <c r="F6" s="359" t="str">
        <f>'[18]FCM PRESORT LETTERS PROP'!F7</f>
        <v>N/A</v>
      </c>
      <c r="G6" s="164">
        <f>E6/($E$10+$E$28)</f>
        <v>0.32962416160771363</v>
      </c>
      <c r="H6" s="555"/>
      <c r="I6" s="22"/>
      <c r="J6" s="19"/>
      <c r="K6" s="555"/>
    </row>
    <row r="7" spans="1:11">
      <c r="A7" s="555" t="s">
        <v>689</v>
      </c>
      <c r="B7" s="554" t="s">
        <v>690</v>
      </c>
      <c r="C7" s="554" t="s">
        <v>502</v>
      </c>
      <c r="D7" s="554" t="s">
        <v>692</v>
      </c>
      <c r="E7" s="22">
        <f>'[17]FCM PRESORT LETTERS'!E8</f>
        <v>330701462.00000077</v>
      </c>
      <c r="F7" s="359" t="str">
        <f>'[18]FCM PRESORT LETTERS PROP'!F8</f>
        <v>N/A</v>
      </c>
      <c r="G7" s="164">
        <f>E7/($E$10+$E$28)</f>
        <v>0.6599545652725981</v>
      </c>
      <c r="H7" s="555"/>
      <c r="I7" s="22"/>
      <c r="J7" s="19"/>
      <c r="K7" s="555"/>
    </row>
    <row r="8" spans="1:11">
      <c r="A8" s="555" t="s">
        <v>689</v>
      </c>
      <c r="B8" s="554" t="s">
        <v>690</v>
      </c>
      <c r="C8" s="554" t="s">
        <v>503</v>
      </c>
      <c r="D8" s="554" t="s">
        <v>692</v>
      </c>
      <c r="E8" s="22">
        <f>'[17]FCM PRESORT LETTERS'!E9</f>
        <v>0</v>
      </c>
      <c r="F8" s="359" t="str">
        <f>'[18]FCM PRESORT LETTERS PROP'!F9</f>
        <v>N/A</v>
      </c>
      <c r="G8" s="164">
        <f>E8/($E$10+$E$28)</f>
        <v>0</v>
      </c>
      <c r="H8" s="555"/>
      <c r="I8" s="22"/>
      <c r="J8" s="19"/>
      <c r="K8" s="555"/>
    </row>
    <row r="9" spans="1:11">
      <c r="A9" s="555" t="s">
        <v>689</v>
      </c>
      <c r="B9" s="554" t="s">
        <v>690</v>
      </c>
      <c r="C9" s="554" t="s">
        <v>504</v>
      </c>
      <c r="D9" s="554" t="s">
        <v>692</v>
      </c>
      <c r="E9" s="22">
        <f>'[17]FCM PRESORT LETTERS'!E10</f>
        <v>0</v>
      </c>
      <c r="F9" s="359" t="str">
        <f>'[18]FCM PRESORT LETTERS PROP'!F10</f>
        <v>N/A</v>
      </c>
      <c r="G9" s="164">
        <f>E9/($E$10+$E$28)</f>
        <v>0</v>
      </c>
      <c r="H9" s="555"/>
      <c r="I9" s="22"/>
      <c r="J9" s="19"/>
      <c r="K9" s="555"/>
    </row>
    <row r="10" spans="1:11" ht="12.95">
      <c r="A10" s="11" t="s">
        <v>693</v>
      </c>
      <c r="C10" s="555"/>
      <c r="D10" s="555"/>
      <c r="E10" s="23">
        <f>SUM(E6:E9)</f>
        <v>495875245.00000072</v>
      </c>
      <c r="F10" s="294"/>
      <c r="G10" s="164"/>
      <c r="H10" s="555"/>
      <c r="I10" s="23"/>
      <c r="J10" s="19"/>
      <c r="K10" s="555"/>
    </row>
    <row r="11" spans="1:11" ht="12.95">
      <c r="A11" s="11"/>
      <c r="C11" s="555"/>
      <c r="D11" s="555"/>
      <c r="E11" s="22"/>
      <c r="F11" s="294"/>
      <c r="G11" s="164"/>
      <c r="H11" s="555"/>
      <c r="I11" s="11"/>
      <c r="J11" s="19"/>
      <c r="K11" s="555"/>
    </row>
    <row r="12" spans="1:11" ht="12.95">
      <c r="A12" s="11"/>
      <c r="C12" s="555"/>
      <c r="D12" s="555"/>
      <c r="E12" s="22"/>
      <c r="F12" s="360" t="s">
        <v>680</v>
      </c>
      <c r="G12" s="164"/>
      <c r="H12" s="555"/>
      <c r="I12" s="11"/>
      <c r="J12" s="21"/>
      <c r="K12" s="555"/>
    </row>
    <row r="13" spans="1:11" ht="12.95">
      <c r="A13" s="555"/>
      <c r="C13" s="555"/>
      <c r="D13" s="555"/>
      <c r="E13" s="22"/>
      <c r="F13" s="360" t="s">
        <v>681</v>
      </c>
      <c r="G13" s="164"/>
      <c r="H13" s="555"/>
      <c r="I13" s="555"/>
      <c r="J13" s="21"/>
      <c r="K13" s="555"/>
    </row>
    <row r="14" spans="1:11" ht="12.95">
      <c r="A14" s="9" t="s">
        <v>22</v>
      </c>
      <c r="B14" s="166" t="s">
        <v>683</v>
      </c>
      <c r="C14" s="166" t="s">
        <v>684</v>
      </c>
      <c r="D14" s="166" t="s">
        <v>685</v>
      </c>
      <c r="E14" s="202" t="s">
        <v>686</v>
      </c>
      <c r="F14" s="361" t="s">
        <v>694</v>
      </c>
      <c r="G14" s="164"/>
      <c r="H14" s="355"/>
      <c r="I14" s="202"/>
      <c r="J14" s="202"/>
      <c r="K14" s="555"/>
    </row>
    <row r="15" spans="1:11">
      <c r="A15" s="555" t="s">
        <v>689</v>
      </c>
      <c r="B15" s="554" t="s">
        <v>695</v>
      </c>
      <c r="C15" s="554" t="s">
        <v>696</v>
      </c>
      <c r="D15" s="554" t="s">
        <v>696</v>
      </c>
      <c r="E15" s="22">
        <f>'[17]FCM PRESORT LETTERS'!E16</f>
        <v>1053828.9655094033</v>
      </c>
      <c r="F15" s="294">
        <f>'[17]FCM PRESORT LETTERS'!F16</f>
        <v>59.724117858215628</v>
      </c>
      <c r="G15" s="164"/>
      <c r="H15" s="355"/>
      <c r="I15" s="355"/>
      <c r="J15" s="294"/>
      <c r="K15" s="355"/>
    </row>
    <row r="16" spans="1:11">
      <c r="A16" s="555" t="s">
        <v>689</v>
      </c>
      <c r="B16" s="554" t="s">
        <v>695</v>
      </c>
      <c r="C16" s="554" t="s">
        <v>696</v>
      </c>
      <c r="D16" s="554" t="s">
        <v>697</v>
      </c>
      <c r="E16" s="22">
        <f>'[17]FCM PRESORT LETTERS'!E17</f>
        <v>219195.91001437433</v>
      </c>
      <c r="F16" s="294">
        <f>'[17]FCM PRESORT LETTERS'!F17</f>
        <v>15.420156760066224</v>
      </c>
      <c r="G16" s="164"/>
      <c r="H16" s="355"/>
      <c r="I16" s="355"/>
      <c r="J16" s="294"/>
      <c r="K16" s="355"/>
    </row>
    <row r="17" spans="1:16">
      <c r="A17" s="555" t="s">
        <v>689</v>
      </c>
      <c r="B17" s="554" t="s">
        <v>695</v>
      </c>
      <c r="C17" s="554" t="s">
        <v>696</v>
      </c>
      <c r="D17" s="554" t="s">
        <v>503</v>
      </c>
      <c r="E17" s="22">
        <f>'[17]FCM PRESORT LETTERS'!E18</f>
        <v>846502.53908307641</v>
      </c>
      <c r="F17" s="294">
        <f>'[17]FCM PRESORT LETTERS'!F18</f>
        <v>18.411634490555045</v>
      </c>
      <c r="G17" s="164"/>
      <c r="H17" s="355"/>
      <c r="I17" s="355"/>
      <c r="J17" s="294"/>
      <c r="K17" s="355"/>
      <c r="L17" s="555"/>
      <c r="M17" s="555"/>
      <c r="N17" s="555"/>
      <c r="O17" s="555"/>
      <c r="P17" s="555"/>
    </row>
    <row r="18" spans="1:16">
      <c r="A18" s="555" t="s">
        <v>689</v>
      </c>
      <c r="B18" s="554" t="s">
        <v>695</v>
      </c>
      <c r="C18" s="554" t="s">
        <v>696</v>
      </c>
      <c r="D18" s="554" t="s">
        <v>504</v>
      </c>
      <c r="E18" s="22">
        <f>'[17]FCM PRESORT LETTERS'!E19</f>
        <v>105101.11722150625</v>
      </c>
      <c r="F18" s="294">
        <f>'[17]FCM PRESORT LETTERS'!F19</f>
        <v>15.287967440537521</v>
      </c>
      <c r="G18" s="164"/>
      <c r="H18" s="355"/>
      <c r="I18" s="355"/>
      <c r="J18" s="294"/>
      <c r="K18" s="355"/>
      <c r="L18" s="555"/>
      <c r="M18" s="555"/>
      <c r="N18" s="555"/>
      <c r="O18" s="555"/>
      <c r="P18" s="555"/>
    </row>
    <row r="19" spans="1:16">
      <c r="A19" s="555" t="s">
        <v>689</v>
      </c>
      <c r="B19" s="554" t="s">
        <v>695</v>
      </c>
      <c r="C19" s="554" t="s">
        <v>696</v>
      </c>
      <c r="D19" s="554" t="s">
        <v>692</v>
      </c>
      <c r="E19" s="22">
        <f>'[17]FCM PRESORT LETTERS'!E20</f>
        <v>1523.4681716396935</v>
      </c>
      <c r="F19" s="294" t="str">
        <f>'[17]FCM PRESORT LETTERS'!F20</f>
        <v>N/A</v>
      </c>
      <c r="G19" s="164">
        <f>SUM(E15:E19)/(E10+E28)</f>
        <v>4.4425542194631174E-3</v>
      </c>
      <c r="H19" s="355"/>
      <c r="I19" s="355"/>
      <c r="J19" s="294"/>
      <c r="K19" s="355"/>
      <c r="L19" s="555"/>
      <c r="M19" s="555"/>
      <c r="N19" s="555"/>
      <c r="O19" s="555"/>
      <c r="P19" s="555"/>
    </row>
    <row r="20" spans="1:16">
      <c r="A20" s="555" t="s">
        <v>689</v>
      </c>
      <c r="B20" s="554" t="s">
        <v>695</v>
      </c>
      <c r="C20" s="554" t="s">
        <v>697</v>
      </c>
      <c r="D20" s="554" t="s">
        <v>697</v>
      </c>
      <c r="E20" s="22">
        <f>'[17]FCM PRESORT LETTERS'!E21</f>
        <v>0</v>
      </c>
      <c r="F20" s="294" t="str">
        <f>'[17]FCM PRESORT LETTERS'!F21</f>
        <v>N/A</v>
      </c>
      <c r="G20" s="164"/>
      <c r="H20" s="355"/>
      <c r="I20" s="355"/>
      <c r="J20" s="294"/>
      <c r="K20" s="355"/>
      <c r="L20" s="555"/>
      <c r="M20" s="555"/>
      <c r="N20" s="555"/>
      <c r="O20" s="555"/>
      <c r="P20" s="555"/>
    </row>
    <row r="21" spans="1:16">
      <c r="A21" s="555" t="s">
        <v>689</v>
      </c>
      <c r="B21" s="554" t="s">
        <v>695</v>
      </c>
      <c r="C21" s="554" t="s">
        <v>697</v>
      </c>
      <c r="D21" s="554" t="s">
        <v>503</v>
      </c>
      <c r="E21" s="22">
        <f>'[17]FCM PRESORT LETTERS'!E22</f>
        <v>0</v>
      </c>
      <c r="F21" s="294" t="str">
        <f>'[17]FCM PRESORT LETTERS'!F22</f>
        <v>N/A</v>
      </c>
      <c r="G21" s="164"/>
      <c r="H21" s="355"/>
      <c r="I21" s="355"/>
      <c r="J21" s="294"/>
      <c r="K21" s="355"/>
      <c r="L21" s="555"/>
      <c r="M21" s="555"/>
      <c r="N21" s="555"/>
      <c r="O21" s="555"/>
      <c r="P21" s="555"/>
    </row>
    <row r="22" spans="1:16">
      <c r="A22" s="555" t="s">
        <v>689</v>
      </c>
      <c r="B22" s="554" t="s">
        <v>695</v>
      </c>
      <c r="C22" s="554" t="s">
        <v>697</v>
      </c>
      <c r="D22" s="554" t="s">
        <v>504</v>
      </c>
      <c r="E22" s="22">
        <f>'[17]FCM PRESORT LETTERS'!E23</f>
        <v>0</v>
      </c>
      <c r="F22" s="294" t="str">
        <f>'[17]FCM PRESORT LETTERS'!F23</f>
        <v>N/A</v>
      </c>
      <c r="G22" s="164"/>
      <c r="H22" s="355"/>
      <c r="I22" s="355"/>
      <c r="J22" s="294"/>
      <c r="K22" s="355"/>
      <c r="L22" s="555"/>
      <c r="M22" s="555"/>
      <c r="N22" s="555"/>
      <c r="O22" s="555"/>
      <c r="P22" s="555"/>
    </row>
    <row r="23" spans="1:16">
      <c r="A23" s="555" t="s">
        <v>689</v>
      </c>
      <c r="B23" s="554" t="s">
        <v>695</v>
      </c>
      <c r="C23" s="554" t="s">
        <v>697</v>
      </c>
      <c r="D23" s="554" t="s">
        <v>692</v>
      </c>
      <c r="E23" s="22">
        <f>'[17]FCM PRESORT LETTERS'!E24</f>
        <v>0</v>
      </c>
      <c r="F23" s="294" t="str">
        <f>'[17]FCM PRESORT LETTERS'!F24</f>
        <v>N/A</v>
      </c>
      <c r="G23" s="164"/>
      <c r="H23" s="355"/>
      <c r="I23" s="355"/>
      <c r="J23" s="294"/>
      <c r="K23" s="355"/>
      <c r="L23" s="555"/>
      <c r="M23" s="555"/>
      <c r="N23" s="555"/>
      <c r="O23" s="555"/>
      <c r="P23" s="555"/>
    </row>
    <row r="24" spans="1:16">
      <c r="A24" s="555" t="s">
        <v>689</v>
      </c>
      <c r="B24" s="554" t="s">
        <v>695</v>
      </c>
      <c r="C24" s="554" t="s">
        <v>503</v>
      </c>
      <c r="D24" s="554" t="s">
        <v>503</v>
      </c>
      <c r="E24" s="22">
        <f>'[17]FCM PRESORT LETTERS'!E25</f>
        <v>451201.973766868</v>
      </c>
      <c r="F24" s="294">
        <f>'[17]FCM PRESORT LETTERS'!F25</f>
        <v>29.951115785442664</v>
      </c>
      <c r="G24" s="164"/>
      <c r="H24" s="355"/>
      <c r="I24" s="355"/>
      <c r="J24" s="294"/>
      <c r="K24" s="355"/>
      <c r="L24" s="555"/>
      <c r="M24" s="555"/>
      <c r="N24" s="555"/>
      <c r="O24" s="555"/>
      <c r="P24" s="555"/>
    </row>
    <row r="25" spans="1:16">
      <c r="A25" s="555" t="s">
        <v>689</v>
      </c>
      <c r="B25" s="554" t="s">
        <v>695</v>
      </c>
      <c r="C25" s="554" t="s">
        <v>503</v>
      </c>
      <c r="D25" s="554" t="s">
        <v>504</v>
      </c>
      <c r="E25" s="22">
        <f>'[17]FCM PRESORT LETTERS'!E26</f>
        <v>1246303.4098061696</v>
      </c>
      <c r="F25" s="294">
        <f>'[17]FCM PRESORT LETTERS'!F26</f>
        <v>22.50738241901556</v>
      </c>
      <c r="G25" s="164"/>
      <c r="H25" s="355"/>
      <c r="I25" s="355"/>
      <c r="J25" s="294"/>
      <c r="K25" s="355"/>
      <c r="L25" s="555"/>
      <c r="M25" s="555"/>
      <c r="N25" s="555"/>
      <c r="O25" s="555"/>
      <c r="P25" s="555"/>
    </row>
    <row r="26" spans="1:16">
      <c r="A26" s="555" t="s">
        <v>689</v>
      </c>
      <c r="B26" s="554" t="s">
        <v>695</v>
      </c>
      <c r="C26" s="554" t="s">
        <v>503</v>
      </c>
      <c r="D26" s="554" t="s">
        <v>692</v>
      </c>
      <c r="E26" s="22">
        <f>'[17]FCM PRESORT LETTERS'!E27</f>
        <v>3309.6164269628548</v>
      </c>
      <c r="F26" s="294" t="str">
        <f>'[17]FCM PRESORT LETTERS'!F27</f>
        <v>N/A</v>
      </c>
      <c r="G26" s="164">
        <f>SUM(E24:E26)/(E10+E28)</f>
        <v>3.3941810149424488E-3</v>
      </c>
      <c r="H26" s="355"/>
      <c r="I26" s="355"/>
      <c r="J26" s="19"/>
      <c r="K26" s="355"/>
      <c r="L26" s="555"/>
      <c r="M26" s="555"/>
      <c r="N26" s="555"/>
      <c r="O26" s="555"/>
      <c r="P26" s="555"/>
    </row>
    <row r="27" spans="1:16" s="11" customFormat="1" ht="12.95">
      <c r="A27" s="555" t="s">
        <v>689</v>
      </c>
      <c r="B27" s="554" t="s">
        <v>695</v>
      </c>
      <c r="C27" s="554" t="s">
        <v>504</v>
      </c>
      <c r="D27" s="554" t="s">
        <v>692</v>
      </c>
      <c r="E27" s="22">
        <f>'[17]FCM PRESORT LETTERS'!E28</f>
        <v>1295104.9999999993</v>
      </c>
      <c r="F27" s="294" t="str">
        <f>'[17]FCM PRESORT LETTERS'!F28</f>
        <v>N/A</v>
      </c>
      <c r="G27" s="206">
        <f>E27/(E10+E28)</f>
        <v>2.5845378852826653E-3</v>
      </c>
      <c r="H27" s="355"/>
      <c r="I27" s="355"/>
      <c r="J27" s="19"/>
      <c r="K27" s="355"/>
      <c r="L27" s="555"/>
      <c r="M27" s="555"/>
      <c r="N27" s="555"/>
      <c r="O27" s="555"/>
      <c r="P27" s="555"/>
    </row>
    <row r="28" spans="1:16" ht="12.95">
      <c r="A28" s="11" t="s">
        <v>693</v>
      </c>
      <c r="C28" s="555"/>
      <c r="D28" s="555"/>
      <c r="E28" s="23">
        <f>SUM(E15:E27)</f>
        <v>5222072</v>
      </c>
      <c r="F28" s="294"/>
      <c r="G28" s="33">
        <f>SUM(G6:G27)</f>
        <v>1</v>
      </c>
      <c r="H28" s="555"/>
      <c r="I28" s="23"/>
      <c r="J28" s="19"/>
      <c r="K28" s="555"/>
      <c r="L28" s="555"/>
      <c r="M28" s="555"/>
      <c r="N28" s="555"/>
      <c r="O28" s="555"/>
      <c r="P28" s="555"/>
    </row>
    <row r="29" spans="1:16">
      <c r="A29" s="555"/>
      <c r="C29" s="555"/>
      <c r="D29" s="555"/>
      <c r="E29" s="555"/>
      <c r="F29" s="19"/>
      <c r="G29" s="164"/>
      <c r="H29" s="555"/>
      <c r="I29" s="555"/>
      <c r="J29" s="19"/>
      <c r="K29" s="555"/>
      <c r="L29" s="555"/>
      <c r="M29" s="555"/>
      <c r="N29" s="555"/>
      <c r="O29" s="555"/>
      <c r="P29" s="555"/>
    </row>
    <row r="30" spans="1:16" ht="12.95">
      <c r="A30" s="11"/>
      <c r="C30" s="555"/>
      <c r="D30" s="555"/>
      <c r="E30" s="555"/>
      <c r="F30" s="19"/>
      <c r="G30" s="164"/>
      <c r="H30" s="356"/>
      <c r="I30" s="555"/>
      <c r="J30" s="19"/>
      <c r="K30" s="555"/>
      <c r="L30" s="555"/>
      <c r="M30" s="555"/>
      <c r="N30" s="555"/>
      <c r="O30" s="555"/>
      <c r="P30" s="555"/>
    </row>
    <row r="31" spans="1:16" ht="12.95">
      <c r="A31" s="9" t="s">
        <v>22</v>
      </c>
      <c r="C31" s="555"/>
      <c r="D31" s="12"/>
      <c r="E31" s="14" t="s">
        <v>686</v>
      </c>
      <c r="F31" s="19"/>
      <c r="G31" s="164"/>
      <c r="H31" s="555"/>
      <c r="I31" s="14"/>
      <c r="J31" s="19"/>
      <c r="K31" s="555"/>
      <c r="L31" s="555"/>
      <c r="M31" s="555"/>
      <c r="N31" s="555"/>
      <c r="O31" s="555"/>
      <c r="P31" s="555"/>
    </row>
    <row r="32" spans="1:16" ht="12.95">
      <c r="A32" s="17" t="s">
        <v>689</v>
      </c>
      <c r="C32" s="555"/>
      <c r="D32" s="12"/>
      <c r="E32" s="22">
        <f>'[17]FCM PRESORT LETTERS'!E33</f>
        <v>501097317.00000072</v>
      </c>
      <c r="F32" s="19"/>
      <c r="G32" s="164"/>
      <c r="H32" s="555"/>
      <c r="I32" s="23"/>
      <c r="J32" s="19"/>
      <c r="K32" s="555"/>
      <c r="L32" s="555"/>
      <c r="M32" s="555"/>
      <c r="N32" s="555"/>
      <c r="O32" s="555"/>
      <c r="P32" s="555" t="str">
        <f t="shared" ref="P32:P37" si="0">IF(H32=J31, "","n")</f>
        <v/>
      </c>
    </row>
    <row r="33" spans="1:16" ht="12.95">
      <c r="A33" s="555" t="s">
        <v>698</v>
      </c>
      <c r="C33" s="555"/>
      <c r="D33" s="12"/>
      <c r="E33" s="22">
        <f>'[17]FCM PRESORT LETTERS'!E34</f>
        <v>1271821555.0000012</v>
      </c>
      <c r="F33" s="19"/>
      <c r="G33" s="164"/>
      <c r="H33" s="555"/>
      <c r="I33" s="23"/>
      <c r="J33" s="19"/>
      <c r="K33" s="555"/>
      <c r="L33" s="555"/>
      <c r="M33" s="555"/>
      <c r="N33" s="555"/>
      <c r="O33" s="555"/>
      <c r="P33" s="555" t="str">
        <f t="shared" si="0"/>
        <v/>
      </c>
    </row>
    <row r="34" spans="1:16" s="15" customFormat="1" ht="12.95">
      <c r="A34" s="17" t="s">
        <v>699</v>
      </c>
      <c r="B34" s="259"/>
      <c r="C34" s="259"/>
      <c r="D34" s="12"/>
      <c r="E34" s="22">
        <f>'[17]FCM PRESORT LETTERS'!E35</f>
        <v>6018234188.9999781</v>
      </c>
      <c r="F34" s="19"/>
      <c r="G34" s="164"/>
      <c r="H34" s="17"/>
      <c r="I34" s="23"/>
      <c r="J34" s="19"/>
      <c r="K34" s="555"/>
      <c r="L34" s="555"/>
      <c r="M34" s="555"/>
      <c r="N34" s="555"/>
      <c r="O34" s="555"/>
      <c r="P34" s="555" t="str">
        <f t="shared" si="0"/>
        <v/>
      </c>
    </row>
    <row r="35" spans="1:16" s="11" customFormat="1" ht="12.95">
      <c r="A35" s="555" t="s">
        <v>700</v>
      </c>
      <c r="B35" s="554"/>
      <c r="C35" s="555"/>
      <c r="D35" s="12"/>
      <c r="E35" s="22">
        <f>'[17]FCM PRESORT LETTERS'!E36</f>
        <v>0</v>
      </c>
      <c r="F35" s="19"/>
      <c r="G35" s="164"/>
      <c r="I35" s="23"/>
      <c r="J35" s="19"/>
      <c r="K35" s="555"/>
      <c r="L35" s="555"/>
      <c r="M35" s="555"/>
      <c r="N35" s="555"/>
      <c r="O35" s="555"/>
      <c r="P35" s="555" t="str">
        <f t="shared" si="0"/>
        <v/>
      </c>
    </row>
    <row r="36" spans="1:16" ht="12.95">
      <c r="A36" s="555" t="s">
        <v>701</v>
      </c>
      <c r="B36" s="554"/>
      <c r="C36" s="555"/>
      <c r="D36" s="555"/>
      <c r="E36" s="22">
        <f>'[17]FCM PRESORT LETTERS'!E37</f>
        <v>21338306502.999996</v>
      </c>
      <c r="F36" s="19"/>
      <c r="G36" s="164"/>
      <c r="H36" s="555"/>
      <c r="I36" s="23"/>
      <c r="J36" s="19"/>
      <c r="K36" s="555"/>
      <c r="L36" s="555"/>
      <c r="M36" s="555"/>
      <c r="N36" s="555"/>
      <c r="O36" s="555"/>
      <c r="P36" s="555" t="str">
        <f t="shared" si="0"/>
        <v/>
      </c>
    </row>
    <row r="37" spans="1:16" ht="12.95">
      <c r="A37" s="11" t="s">
        <v>702</v>
      </c>
      <c r="B37" s="554"/>
      <c r="C37" s="555"/>
      <c r="D37" s="555"/>
      <c r="E37" s="23">
        <f>SUM(E32:E36)</f>
        <v>29129459563.999977</v>
      </c>
      <c r="F37" s="19"/>
      <c r="G37" s="164"/>
      <c r="H37" s="555"/>
      <c r="I37" s="23"/>
      <c r="J37" s="19"/>
      <c r="K37" s="555"/>
      <c r="L37" s="555"/>
      <c r="M37" s="555"/>
      <c r="N37" s="555"/>
      <c r="O37" s="555"/>
      <c r="P37" s="555" t="str">
        <f t="shared" si="0"/>
        <v/>
      </c>
    </row>
    <row r="38" spans="1:16">
      <c r="A38" s="555"/>
      <c r="B38" s="554"/>
      <c r="C38" s="555"/>
      <c r="D38" s="555"/>
      <c r="E38" s="286"/>
      <c r="F38" s="264"/>
      <c r="G38" s="164"/>
      <c r="H38" s="555"/>
      <c r="I38" s="555"/>
      <c r="J38" s="555"/>
      <c r="K38" s="555"/>
      <c r="L38" s="555"/>
      <c r="M38" s="555"/>
      <c r="N38" s="555"/>
      <c r="O38" s="555"/>
      <c r="P38" s="555"/>
    </row>
  </sheetData>
  <phoneticPr fontId="11" type="noConversion"/>
  <printOptions horizontalCentered="1"/>
  <pageMargins left="0.75" right="0.75" top="1" bottom="1" header="0.5" footer="0.5"/>
  <pageSetup scale="39" orientation="portrait" horizontalDpi="4294967294" r:id="rId1"/>
  <headerFooter alignWithMargins="0">
    <oddHeader xml:space="preserve">&amp;RPage 44 </oddHeader>
  </headerFooter>
  <ignoredErrors>
    <ignoredError sqref="G19 G26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pageSetUpPr fitToPage="1"/>
  </sheetPr>
  <dimension ref="A1:K44"/>
  <sheetViews>
    <sheetView zoomScale="130" zoomScaleNormal="130" workbookViewId="0">
      <pane xSplit="1" topLeftCell="B1" activePane="topRight" state="frozen"/>
      <selection pane="topRight" activeCell="B1" sqref="B1"/>
    </sheetView>
  </sheetViews>
  <sheetFormatPr defaultColWidth="8.85546875" defaultRowHeight="12.6"/>
  <cols>
    <col min="1" max="1" width="22.28515625" customWidth="1"/>
    <col min="2" max="2" width="27.140625" style="1" customWidth="1"/>
    <col min="3" max="3" width="20.7109375" customWidth="1"/>
    <col min="4" max="4" width="21.28515625" customWidth="1"/>
    <col min="5" max="5" width="16.28515625" style="256" bestFit="1" customWidth="1"/>
    <col min="6" max="6" width="12.7109375" style="257" customWidth="1"/>
    <col min="7" max="7" width="11.7109375" style="12" customWidth="1"/>
    <col min="9" max="9" width="12.5703125" bestFit="1" customWidth="1"/>
    <col min="10" max="10" width="11.42578125" bestFit="1" customWidth="1"/>
  </cols>
  <sheetData>
    <row r="1" spans="1:11" ht="18">
      <c r="A1" s="5" t="str">
        <f>'[17]FCM PRESORT CARDS'!$A$2</f>
        <v>FIRST-CLASS MAIL PRESORT CARDS MAIL CHARACTERISTICS DATA</v>
      </c>
      <c r="C1" s="555"/>
      <c r="D1" s="555"/>
      <c r="E1" s="17"/>
      <c r="F1" s="17"/>
      <c r="H1" s="555"/>
      <c r="I1" s="555"/>
      <c r="J1" s="555"/>
      <c r="K1" s="555"/>
    </row>
    <row r="2" spans="1:11" ht="15.6">
      <c r="A2" s="297" t="str">
        <f>'[17]FCM PRESORT CARDS'!$A$3</f>
        <v>USPS-FY25-14</v>
      </c>
      <c r="C2" s="555"/>
      <c r="D2" s="165"/>
      <c r="E2" s="621"/>
      <c r="F2" s="621"/>
      <c r="H2" s="555"/>
      <c r="I2" s="555"/>
      <c r="J2" s="555"/>
      <c r="K2" s="555"/>
    </row>
    <row r="3" spans="1:11" ht="12.95">
      <c r="A3" s="12" t="str">
        <f>'[17]FCM PRESORT CARDS'!$A$3</f>
        <v>USPS-FY25-14</v>
      </c>
      <c r="C3" s="555"/>
      <c r="D3" s="555"/>
      <c r="E3" s="17"/>
      <c r="F3" s="21" t="s">
        <v>680</v>
      </c>
      <c r="H3" s="555"/>
      <c r="I3" s="555"/>
      <c r="J3" s="555"/>
      <c r="K3" s="555"/>
    </row>
    <row r="4" spans="1:11" ht="12.95">
      <c r="A4" s="555"/>
      <c r="C4" s="555"/>
      <c r="D4" s="555"/>
      <c r="E4" s="17"/>
      <c r="F4" s="21" t="s">
        <v>681</v>
      </c>
      <c r="G4" s="33" t="s">
        <v>682</v>
      </c>
      <c r="H4" s="555"/>
      <c r="I4" s="555"/>
      <c r="J4" s="555"/>
      <c r="K4" s="555"/>
    </row>
    <row r="5" spans="1:11" ht="12.95">
      <c r="A5" s="9" t="s">
        <v>22</v>
      </c>
      <c r="B5" s="166" t="s">
        <v>683</v>
      </c>
      <c r="C5" s="166" t="s">
        <v>684</v>
      </c>
      <c r="D5" s="166" t="s">
        <v>685</v>
      </c>
      <c r="E5" s="202" t="s">
        <v>686</v>
      </c>
      <c r="F5" s="202" t="s">
        <v>687</v>
      </c>
      <c r="G5" s="205" t="s">
        <v>688</v>
      </c>
      <c r="H5" s="555"/>
      <c r="I5" s="555"/>
      <c r="J5" s="555"/>
      <c r="K5" s="555"/>
    </row>
    <row r="6" spans="1:11">
      <c r="A6" s="555" t="s">
        <v>703</v>
      </c>
      <c r="B6" s="554" t="s">
        <v>690</v>
      </c>
      <c r="C6" s="554" t="s">
        <v>691</v>
      </c>
      <c r="D6" s="554" t="s">
        <v>692</v>
      </c>
      <c r="E6" s="286">
        <f>'[17]FCM PRESORT CARDS'!E7</f>
        <v>34885679.486573234</v>
      </c>
      <c r="F6" s="286" t="str">
        <f>'[17]FCM PRESORT CARDS'!F7</f>
        <v>N/A</v>
      </c>
      <c r="G6" s="510">
        <f>'[17]FCM PRESORT CARDS'!G7</f>
        <v>0.43143028140298312</v>
      </c>
      <c r="H6" s="12"/>
      <c r="I6" s="286"/>
      <c r="J6" s="264"/>
      <c r="K6" s="12"/>
    </row>
    <row r="7" spans="1:11">
      <c r="A7" s="555" t="s">
        <v>703</v>
      </c>
      <c r="B7" s="554" t="s">
        <v>690</v>
      </c>
      <c r="C7" s="554" t="s">
        <v>502</v>
      </c>
      <c r="D7" s="554" t="s">
        <v>692</v>
      </c>
      <c r="E7" s="286">
        <f>'[17]FCM PRESORT CARDS'!E8</f>
        <v>41457413.543495506</v>
      </c>
      <c r="F7" s="286" t="str">
        <f>'[17]FCM PRESORT CARDS'!F8</f>
        <v>N/A</v>
      </c>
      <c r="G7" s="510">
        <f>'[17]FCM PRESORT CARDS'!G8</f>
        <v>0.51270274377754488</v>
      </c>
      <c r="H7" s="12"/>
      <c r="I7" s="286"/>
      <c r="J7" s="264"/>
      <c r="K7" s="12"/>
    </row>
    <row r="8" spans="1:11">
      <c r="A8" s="555" t="s">
        <v>703</v>
      </c>
      <c r="B8" s="554" t="s">
        <v>690</v>
      </c>
      <c r="C8" s="554" t="s">
        <v>503</v>
      </c>
      <c r="D8" s="554" t="s">
        <v>692</v>
      </c>
      <c r="E8" s="286">
        <f>'[17]FCM PRESORT CARDS'!E9</f>
        <v>4517432.9699312523</v>
      </c>
      <c r="F8" s="286" t="str">
        <f>'[17]FCM PRESORT CARDS'!F9</f>
        <v>N/A</v>
      </c>
      <c r="G8" s="510">
        <f>'[17]FCM PRESORT CARDS'!G9</f>
        <v>5.5866974819471893E-2</v>
      </c>
      <c r="H8" s="12"/>
      <c r="I8" s="286"/>
      <c r="J8" s="264"/>
      <c r="K8" s="12"/>
    </row>
    <row r="9" spans="1:11">
      <c r="A9" s="555" t="s">
        <v>703</v>
      </c>
      <c r="B9" s="554" t="s">
        <v>690</v>
      </c>
      <c r="C9" s="554" t="s">
        <v>504</v>
      </c>
      <c r="D9" s="554" t="s">
        <v>692</v>
      </c>
      <c r="E9" s="286">
        <f>'[17]FCM PRESORT CARDS'!E10</f>
        <v>0</v>
      </c>
      <c r="F9" s="286" t="str">
        <f>'[17]FCM PRESORT CARDS'!F10</f>
        <v>N/A</v>
      </c>
      <c r="G9" s="510">
        <f>'[17]FCM PRESORT CARDS'!G10</f>
        <v>0</v>
      </c>
      <c r="H9" s="12"/>
      <c r="I9" s="287"/>
      <c r="J9" s="264"/>
      <c r="K9" s="12"/>
    </row>
    <row r="10" spans="1:11" s="11" customFormat="1" ht="12.95">
      <c r="A10" s="11" t="s">
        <v>693</v>
      </c>
      <c r="B10" s="1"/>
      <c r="C10" s="555"/>
      <c r="D10" s="555"/>
      <c r="E10" s="23">
        <f>SUM(E6:E9)</f>
        <v>80860526</v>
      </c>
      <c r="F10" s="264"/>
      <c r="G10" s="33"/>
      <c r="H10" s="12"/>
      <c r="I10" s="23"/>
      <c r="J10" s="264"/>
      <c r="K10" s="33"/>
    </row>
    <row r="11" spans="1:11" ht="12.95">
      <c r="A11" s="11"/>
      <c r="C11" s="555"/>
      <c r="D11" s="555"/>
      <c r="E11" s="286"/>
      <c r="F11" s="264"/>
      <c r="H11" s="12"/>
      <c r="I11" s="11"/>
      <c r="J11" s="264"/>
      <c r="K11" s="12"/>
    </row>
    <row r="12" spans="1:11" ht="12.95">
      <c r="A12" s="11"/>
      <c r="C12" s="555"/>
      <c r="D12" s="555"/>
      <c r="E12" s="286"/>
      <c r="F12" s="21" t="s">
        <v>680</v>
      </c>
      <c r="H12" s="12"/>
      <c r="I12" s="11"/>
      <c r="J12" s="21"/>
      <c r="K12" s="12"/>
    </row>
    <row r="13" spans="1:11" ht="12.95">
      <c r="A13" s="555"/>
      <c r="C13" s="555"/>
      <c r="D13" s="555"/>
      <c r="E13" s="286"/>
      <c r="F13" s="21" t="s">
        <v>681</v>
      </c>
      <c r="H13" s="12"/>
      <c r="I13" s="17"/>
      <c r="J13" s="21"/>
      <c r="K13" s="12"/>
    </row>
    <row r="14" spans="1:11" ht="12.95">
      <c r="A14" s="9" t="s">
        <v>22</v>
      </c>
      <c r="B14" s="166" t="s">
        <v>683</v>
      </c>
      <c r="C14" s="166" t="s">
        <v>684</v>
      </c>
      <c r="D14" s="166" t="s">
        <v>685</v>
      </c>
      <c r="E14" s="202" t="s">
        <v>686</v>
      </c>
      <c r="F14" s="202" t="s">
        <v>694</v>
      </c>
      <c r="G14" s="295"/>
      <c r="H14" s="12"/>
      <c r="I14" s="202"/>
      <c r="J14" s="202"/>
      <c r="K14" s="295"/>
    </row>
    <row r="15" spans="1:11">
      <c r="A15" s="555" t="s">
        <v>703</v>
      </c>
      <c r="B15" s="554" t="s">
        <v>695</v>
      </c>
      <c r="C15" s="554" t="s">
        <v>696</v>
      </c>
      <c r="D15" s="554" t="s">
        <v>696</v>
      </c>
      <c r="E15" s="286">
        <f>'[19]FCM PRESORT CARDS'!E16</f>
        <v>0</v>
      </c>
      <c r="F15" s="286" t="s">
        <v>153</v>
      </c>
      <c r="G15" s="12">
        <v>0</v>
      </c>
      <c r="H15" s="12"/>
      <c r="I15" s="286"/>
      <c r="J15" s="296"/>
      <c r="K15" s="12"/>
    </row>
    <row r="16" spans="1:11">
      <c r="A16" s="555" t="s">
        <v>703</v>
      </c>
      <c r="B16" s="554" t="s">
        <v>695</v>
      </c>
      <c r="C16" s="554" t="s">
        <v>696</v>
      </c>
      <c r="D16" s="554" t="s">
        <v>697</v>
      </c>
      <c r="E16" s="286">
        <f>'[19]FCM PRESORT CARDS'!E17</f>
        <v>0</v>
      </c>
      <c r="F16" s="286" t="s">
        <v>153</v>
      </c>
      <c r="G16" s="12">
        <v>0</v>
      </c>
      <c r="H16" s="12"/>
      <c r="I16" s="286"/>
      <c r="J16" s="296"/>
      <c r="K16" s="12"/>
    </row>
    <row r="17" spans="1:11">
      <c r="A17" s="555" t="s">
        <v>703</v>
      </c>
      <c r="B17" s="554" t="s">
        <v>695</v>
      </c>
      <c r="C17" s="554" t="s">
        <v>696</v>
      </c>
      <c r="D17" s="554" t="s">
        <v>503</v>
      </c>
      <c r="E17" s="286">
        <f>'[19]FCM PRESORT CARDS'!E18</f>
        <v>0</v>
      </c>
      <c r="F17" s="286" t="s">
        <v>153</v>
      </c>
      <c r="G17" s="12">
        <v>0</v>
      </c>
      <c r="H17" s="12"/>
      <c r="I17" s="286"/>
      <c r="J17" s="296"/>
      <c r="K17" s="12"/>
    </row>
    <row r="18" spans="1:11">
      <c r="A18" s="555" t="s">
        <v>703</v>
      </c>
      <c r="B18" s="554" t="s">
        <v>695</v>
      </c>
      <c r="C18" s="554" t="s">
        <v>696</v>
      </c>
      <c r="D18" s="554" t="s">
        <v>504</v>
      </c>
      <c r="E18" s="286">
        <f>'[19]FCM PRESORT CARDS'!E19</f>
        <v>0</v>
      </c>
      <c r="F18" s="286" t="s">
        <v>153</v>
      </c>
      <c r="G18" s="12">
        <v>0</v>
      </c>
      <c r="H18" s="12"/>
      <c r="I18" s="286"/>
      <c r="J18" s="296"/>
      <c r="K18" s="12"/>
    </row>
    <row r="19" spans="1:11">
      <c r="A19" s="555" t="s">
        <v>703</v>
      </c>
      <c r="B19" s="554" t="s">
        <v>695</v>
      </c>
      <c r="C19" s="554" t="s">
        <v>696</v>
      </c>
      <c r="D19" s="554" t="s">
        <v>692</v>
      </c>
      <c r="E19" s="286">
        <f>'[19]FCM PRESORT CARDS'!E20</f>
        <v>0</v>
      </c>
      <c r="F19" s="286" t="s">
        <v>153</v>
      </c>
      <c r="G19" s="284">
        <v>0</v>
      </c>
      <c r="H19" s="12"/>
      <c r="I19" s="286"/>
      <c r="J19" s="296"/>
      <c r="K19" s="284"/>
    </row>
    <row r="20" spans="1:11">
      <c r="A20" s="555" t="s">
        <v>703</v>
      </c>
      <c r="B20" s="554" t="s">
        <v>695</v>
      </c>
      <c r="C20" s="554" t="s">
        <v>697</v>
      </c>
      <c r="D20" s="554" t="s">
        <v>697</v>
      </c>
      <c r="E20" s="286">
        <f>'[19]FCM PRESORT CARDS'!E21</f>
        <v>0</v>
      </c>
      <c r="F20" s="286" t="s">
        <v>153</v>
      </c>
      <c r="G20" s="12">
        <v>0</v>
      </c>
      <c r="H20" s="12"/>
      <c r="I20" s="286"/>
      <c r="J20" s="296"/>
      <c r="K20" s="12"/>
    </row>
    <row r="21" spans="1:11">
      <c r="A21" s="555" t="s">
        <v>703</v>
      </c>
      <c r="B21" s="554" t="s">
        <v>695</v>
      </c>
      <c r="C21" s="554" t="s">
        <v>697</v>
      </c>
      <c r="D21" s="554" t="s">
        <v>503</v>
      </c>
      <c r="E21" s="286">
        <f>'[19]FCM PRESORT CARDS'!E22</f>
        <v>0</v>
      </c>
      <c r="F21" s="286" t="s">
        <v>153</v>
      </c>
      <c r="G21" s="206">
        <v>0</v>
      </c>
      <c r="H21" s="12"/>
      <c r="I21" s="286"/>
      <c r="J21" s="296"/>
      <c r="K21" s="206"/>
    </row>
    <row r="22" spans="1:11">
      <c r="A22" s="555" t="s">
        <v>703</v>
      </c>
      <c r="B22" s="554" t="s">
        <v>695</v>
      </c>
      <c r="C22" s="554" t="s">
        <v>697</v>
      </c>
      <c r="D22" s="554" t="s">
        <v>504</v>
      </c>
      <c r="E22" s="286">
        <f>'[19]FCM PRESORT CARDS'!E23</f>
        <v>0</v>
      </c>
      <c r="F22" s="286" t="s">
        <v>153</v>
      </c>
      <c r="G22" s="12">
        <v>0</v>
      </c>
      <c r="H22" s="12"/>
      <c r="I22" s="286"/>
      <c r="J22" s="296"/>
      <c r="K22" s="12"/>
    </row>
    <row r="23" spans="1:11">
      <c r="A23" s="555" t="s">
        <v>703</v>
      </c>
      <c r="B23" s="554" t="s">
        <v>695</v>
      </c>
      <c r="C23" s="554" t="s">
        <v>697</v>
      </c>
      <c r="D23" s="554" t="s">
        <v>692</v>
      </c>
      <c r="E23" s="286">
        <f>'[19]FCM PRESORT CARDS'!E24</f>
        <v>0</v>
      </c>
      <c r="F23" s="286" t="s">
        <v>153</v>
      </c>
      <c r="G23" s="12">
        <v>0</v>
      </c>
      <c r="H23" s="12"/>
      <c r="I23" s="286"/>
      <c r="J23" s="296"/>
      <c r="K23" s="12"/>
    </row>
    <row r="24" spans="1:11">
      <c r="A24" s="555" t="s">
        <v>703</v>
      </c>
      <c r="B24" s="554" t="s">
        <v>695</v>
      </c>
      <c r="C24" s="554" t="s">
        <v>503</v>
      </c>
      <c r="D24" s="554" t="s">
        <v>503</v>
      </c>
      <c r="E24" s="286">
        <f>'[19]FCM PRESORT CARDS'!E25</f>
        <v>0</v>
      </c>
      <c r="F24" s="286" t="s">
        <v>153</v>
      </c>
      <c r="G24" s="206">
        <v>0</v>
      </c>
      <c r="H24" s="12"/>
      <c r="I24" s="286"/>
      <c r="J24" s="296"/>
      <c r="K24" s="206"/>
    </row>
    <row r="25" spans="1:11" s="11" customFormat="1" ht="12.95">
      <c r="A25" s="555" t="s">
        <v>703</v>
      </c>
      <c r="B25" s="554" t="s">
        <v>695</v>
      </c>
      <c r="C25" s="554" t="s">
        <v>503</v>
      </c>
      <c r="D25" s="554" t="s">
        <v>504</v>
      </c>
      <c r="E25" s="286">
        <f>'[19]FCM PRESORT CARDS'!E26</f>
        <v>0</v>
      </c>
      <c r="F25" s="286" t="s">
        <v>153</v>
      </c>
      <c r="G25" s="33">
        <v>0</v>
      </c>
      <c r="H25" s="12"/>
      <c r="I25" s="286"/>
      <c r="J25" s="296"/>
      <c r="K25" s="33"/>
    </row>
    <row r="26" spans="1:11">
      <c r="A26" s="555" t="s">
        <v>703</v>
      </c>
      <c r="B26" s="554" t="s">
        <v>695</v>
      </c>
      <c r="C26" s="554" t="s">
        <v>503</v>
      </c>
      <c r="D26" s="554" t="s">
        <v>692</v>
      </c>
      <c r="E26" s="286">
        <f>'[19]FCM PRESORT CARDS'!E27</f>
        <v>0</v>
      </c>
      <c r="F26" s="286" t="s">
        <v>153</v>
      </c>
      <c r="G26" s="12">
        <v>0</v>
      </c>
      <c r="H26" s="12"/>
      <c r="I26" s="286"/>
      <c r="J26" s="264"/>
      <c r="K26" s="12"/>
    </row>
    <row r="27" spans="1:11" s="11" customFormat="1" ht="12.95">
      <c r="A27" s="555" t="s">
        <v>703</v>
      </c>
      <c r="B27" s="554" t="s">
        <v>695</v>
      </c>
      <c r="C27" s="554" t="s">
        <v>504</v>
      </c>
      <c r="D27" s="554" t="s">
        <v>692</v>
      </c>
      <c r="E27" s="286">
        <f>'[19]FCM PRESORT CARDS'!E28</f>
        <v>0</v>
      </c>
      <c r="F27" s="286" t="s">
        <v>153</v>
      </c>
      <c r="G27" s="33">
        <v>0</v>
      </c>
      <c r="H27" s="12"/>
      <c r="I27" s="287"/>
      <c r="J27" s="264"/>
      <c r="K27" s="206"/>
    </row>
    <row r="28" spans="1:11" ht="12.95">
      <c r="A28" s="11" t="s">
        <v>693</v>
      </c>
      <c r="C28" s="555"/>
      <c r="D28" s="555"/>
      <c r="E28" s="23">
        <f>SUM(E15:E27)</f>
        <v>0</v>
      </c>
      <c r="F28" s="286"/>
      <c r="G28" s="357">
        <f>'[18]FCM PRESORT CARDS PROP '!$G$29</f>
        <v>1</v>
      </c>
      <c r="H28" s="555"/>
      <c r="I28" s="23"/>
      <c r="J28" s="264"/>
      <c r="K28" s="33"/>
    </row>
    <row r="29" spans="1:11" ht="12.95">
      <c r="A29" s="555"/>
      <c r="C29" s="555"/>
      <c r="D29" s="555"/>
      <c r="E29" s="286"/>
      <c r="F29" s="264"/>
      <c r="G29" s="33"/>
      <c r="H29" s="555"/>
      <c r="I29" s="23"/>
      <c r="J29" s="264"/>
      <c r="K29" s="33"/>
    </row>
    <row r="30" spans="1:11">
      <c r="A30" s="555"/>
      <c r="C30" s="555"/>
      <c r="D30" s="555"/>
      <c r="E30" s="286"/>
      <c r="F30" s="264"/>
      <c r="G30" s="164"/>
      <c r="H30" s="555"/>
      <c r="I30" s="17"/>
      <c r="J30" s="264"/>
      <c r="K30" s="164"/>
    </row>
    <row r="31" spans="1:11" ht="12.95">
      <c r="A31" s="9" t="s">
        <v>22</v>
      </c>
      <c r="C31" s="555"/>
      <c r="D31" s="12"/>
      <c r="E31" s="286"/>
      <c r="F31" s="264"/>
      <c r="G31" s="164"/>
      <c r="H31" s="555"/>
      <c r="I31" s="17"/>
      <c r="J31" s="264"/>
      <c r="K31" s="164"/>
    </row>
    <row r="32" spans="1:11" ht="12.95">
      <c r="A32" s="555" t="s">
        <v>703</v>
      </c>
      <c r="B32" s="554"/>
      <c r="C32" s="555"/>
      <c r="D32" s="555"/>
      <c r="E32" s="286">
        <f>'[17]FCM PRESORT CARDS'!E33</f>
        <v>80860526</v>
      </c>
      <c r="F32" s="264"/>
      <c r="G32" s="165"/>
      <c r="H32" s="555"/>
      <c r="I32" s="23"/>
      <c r="J32" s="264"/>
      <c r="K32" s="165"/>
    </row>
    <row r="33" spans="1:11" ht="12.95">
      <c r="A33" s="555" t="s">
        <v>704</v>
      </c>
      <c r="C33" s="555"/>
      <c r="D33" s="555"/>
      <c r="E33" s="286">
        <f>'[17]FCM PRESORT CARDS'!E34</f>
        <v>191474636.99999979</v>
      </c>
      <c r="F33" s="264"/>
      <c r="G33" s="165"/>
      <c r="H33" s="555"/>
      <c r="I33" s="23"/>
      <c r="J33" s="264"/>
      <c r="K33" s="165"/>
    </row>
    <row r="34" spans="1:11" ht="12.95">
      <c r="A34" s="555" t="s">
        <v>705</v>
      </c>
      <c r="C34" s="555"/>
      <c r="D34" s="555"/>
      <c r="E34" s="286">
        <f>'[17]FCM PRESORT CARDS'!E35</f>
        <v>794622973.99999881</v>
      </c>
      <c r="F34" s="264"/>
      <c r="G34" s="165"/>
      <c r="H34" s="555"/>
      <c r="I34" s="23"/>
      <c r="J34" s="264"/>
      <c r="K34" s="165"/>
    </row>
    <row r="35" spans="1:11" ht="12.95">
      <c r="A35" s="555" t="s">
        <v>63</v>
      </c>
      <c r="C35" s="555"/>
      <c r="D35" s="555"/>
      <c r="E35" s="286">
        <f>'[17]FCM PRESORT CARDS'!E36</f>
        <v>0</v>
      </c>
      <c r="F35" s="264"/>
      <c r="G35" s="165"/>
      <c r="H35" s="555"/>
      <c r="I35" s="23"/>
      <c r="J35" s="264"/>
      <c r="K35" s="165"/>
    </row>
    <row r="36" spans="1:11" ht="12.95">
      <c r="A36" s="555" t="s">
        <v>64</v>
      </c>
      <c r="C36" s="555"/>
      <c r="D36" s="555"/>
      <c r="E36" s="286">
        <f>'[17]FCM PRESORT CARDS'!E37</f>
        <v>1273341232.9999986</v>
      </c>
      <c r="F36" s="264"/>
      <c r="G36" s="165"/>
      <c r="H36" s="555"/>
      <c r="I36" s="23"/>
      <c r="J36" s="264"/>
      <c r="K36" s="165"/>
    </row>
    <row r="37" spans="1:11" ht="12.95">
      <c r="A37" s="11" t="s">
        <v>706</v>
      </c>
      <c r="B37" s="554"/>
      <c r="C37" s="555"/>
      <c r="D37" s="555"/>
      <c r="E37" s="23">
        <f>SUM(E32:E36)</f>
        <v>2340299369.9999971</v>
      </c>
      <c r="F37" s="296"/>
      <c r="G37" s="165"/>
      <c r="H37" s="555"/>
      <c r="I37" s="23"/>
      <c r="J37" s="296"/>
      <c r="K37" s="165"/>
    </row>
    <row r="38" spans="1:11" ht="12.95">
      <c r="A38" s="555"/>
      <c r="C38" s="555"/>
      <c r="D38" s="555"/>
      <c r="E38" s="281"/>
      <c r="F38" s="283"/>
      <c r="G38" s="282"/>
      <c r="H38" s="555"/>
      <c r="I38" s="555"/>
      <c r="J38" s="555"/>
      <c r="K38" s="555"/>
    </row>
    <row r="39" spans="1:11">
      <c r="A39" s="555"/>
      <c r="C39" s="555"/>
      <c r="D39" s="555"/>
      <c r="E39" s="17"/>
      <c r="F39" s="17"/>
      <c r="H39" s="555"/>
      <c r="I39" s="555"/>
      <c r="J39" s="555"/>
      <c r="K39" s="555"/>
    </row>
    <row r="40" spans="1:11">
      <c r="A40" s="555"/>
      <c r="C40" s="555"/>
      <c r="D40" s="555"/>
      <c r="E40" s="17"/>
      <c r="F40" s="17"/>
      <c r="H40" s="555"/>
      <c r="I40" s="555"/>
      <c r="J40" s="555"/>
      <c r="K40" s="555"/>
    </row>
    <row r="41" spans="1:11">
      <c r="A41" s="555"/>
      <c r="C41" s="555"/>
      <c r="D41" s="555"/>
      <c r="E41" s="17"/>
      <c r="F41" s="17"/>
      <c r="H41" s="555"/>
      <c r="I41" s="555"/>
      <c r="J41" s="555"/>
      <c r="K41" s="555"/>
    </row>
    <row r="42" spans="1:11">
      <c r="A42" s="555"/>
      <c r="C42" s="555"/>
      <c r="D42" s="555"/>
      <c r="E42" s="17"/>
      <c r="F42" s="17"/>
      <c r="H42" s="555"/>
      <c r="I42" s="555"/>
      <c r="J42" s="555"/>
      <c r="K42" s="555"/>
    </row>
    <row r="43" spans="1:11">
      <c r="A43" s="555"/>
      <c r="C43" s="555"/>
      <c r="D43" s="555"/>
      <c r="E43" s="17"/>
      <c r="F43" s="17"/>
      <c r="H43" s="555"/>
      <c r="I43" s="555"/>
      <c r="J43" s="555"/>
      <c r="K43" s="555"/>
    </row>
    <row r="44" spans="1:11">
      <c r="A44" s="555"/>
      <c r="C44" s="555"/>
      <c r="D44" s="555"/>
      <c r="E44" s="17"/>
      <c r="F44" s="17"/>
      <c r="H44" s="555"/>
      <c r="I44" s="555"/>
      <c r="J44" s="555"/>
      <c r="K44" s="555"/>
    </row>
  </sheetData>
  <phoneticPr fontId="11" type="noConversion"/>
  <printOptions horizontalCentered="1"/>
  <pageMargins left="0.75" right="0.75" top="1" bottom="1" header="0.5" footer="0.5"/>
  <pageSetup scale="69" orientation="portrait" horizontalDpi="4294967294" r:id="rId1"/>
  <headerFooter alignWithMargins="0">
    <oddHeader>&amp;RPage 45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>
    <pageSetUpPr fitToPage="1"/>
  </sheetPr>
  <dimension ref="A1:T60"/>
  <sheetViews>
    <sheetView zoomScaleNormal="100" workbookViewId="0">
      <selection activeCell="S36" sqref="S36"/>
    </sheetView>
  </sheetViews>
  <sheetFormatPr defaultRowHeight="12.6"/>
  <cols>
    <col min="1" max="1" width="20.7109375" customWidth="1"/>
    <col min="2" max="11" width="10.7109375" style="3" customWidth="1"/>
    <col min="12" max="12" width="10.7109375" style="1" customWidth="1"/>
    <col min="13" max="13" width="10.7109375" style="3" customWidth="1"/>
    <col min="14" max="14" width="10.7109375" style="37" customWidth="1"/>
    <col min="15" max="15" width="12.7109375" style="249" customWidth="1"/>
    <col min="16" max="18" width="12.7109375" style="3" customWidth="1"/>
    <col min="19" max="20" width="12.7109375" style="18" customWidth="1"/>
  </cols>
  <sheetData>
    <row r="1" spans="1:20" ht="18">
      <c r="A1" s="261" t="s">
        <v>707</v>
      </c>
      <c r="K1" s="229"/>
    </row>
    <row r="3" spans="1:20" ht="12.95">
      <c r="A3" s="555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46</v>
      </c>
      <c r="L3" s="2" t="s">
        <v>165</v>
      </c>
    </row>
    <row r="4" spans="1:20" ht="12.95">
      <c r="A4" s="555"/>
      <c r="B4" s="4"/>
      <c r="C4" s="4"/>
      <c r="D4" s="4"/>
      <c r="E4" s="4"/>
      <c r="F4" s="4"/>
      <c r="G4" s="4"/>
      <c r="H4" s="4"/>
      <c r="I4" s="4"/>
      <c r="J4" s="4"/>
      <c r="K4" s="4"/>
      <c r="L4" s="2"/>
    </row>
    <row r="5" spans="1:20" s="11" customFormat="1" ht="12.95">
      <c r="A5" s="11" t="s">
        <v>708</v>
      </c>
      <c r="B5" s="4" t="s">
        <v>709</v>
      </c>
      <c r="C5" s="4" t="s">
        <v>709</v>
      </c>
      <c r="D5" s="4" t="s">
        <v>709</v>
      </c>
      <c r="E5" s="4" t="s">
        <v>709</v>
      </c>
      <c r="F5" s="4" t="s">
        <v>710</v>
      </c>
      <c r="G5" s="4" t="s">
        <v>710</v>
      </c>
      <c r="H5" s="4" t="s">
        <v>710</v>
      </c>
      <c r="I5" s="4" t="s">
        <v>711</v>
      </c>
      <c r="J5" s="4" t="s">
        <v>711</v>
      </c>
      <c r="K5" s="4" t="s">
        <v>712</v>
      </c>
      <c r="L5" s="2" t="s">
        <v>713</v>
      </c>
      <c r="M5" s="103"/>
      <c r="S5" s="103"/>
      <c r="T5" s="103"/>
    </row>
    <row r="6" spans="1:20" s="9" customFormat="1" ht="12.95">
      <c r="A6" s="9" t="s">
        <v>714</v>
      </c>
      <c r="B6" s="16" t="s">
        <v>715</v>
      </c>
      <c r="C6" s="16" t="s">
        <v>716</v>
      </c>
      <c r="D6" s="16" t="s">
        <v>717</v>
      </c>
      <c r="E6" s="16" t="s">
        <v>718</v>
      </c>
      <c r="F6" s="16" t="s">
        <v>716</v>
      </c>
      <c r="G6" s="16" t="s">
        <v>717</v>
      </c>
      <c r="H6" s="16" t="s">
        <v>718</v>
      </c>
      <c r="I6" s="16" t="s">
        <v>717</v>
      </c>
      <c r="J6" s="16" t="s">
        <v>718</v>
      </c>
      <c r="K6" s="16" t="s">
        <v>718</v>
      </c>
      <c r="L6" s="14" t="s">
        <v>719</v>
      </c>
      <c r="M6" s="16" t="s">
        <v>279</v>
      </c>
      <c r="S6" s="236"/>
      <c r="T6" s="236"/>
    </row>
    <row r="7" spans="1:20">
      <c r="A7" s="555" t="s">
        <v>720</v>
      </c>
      <c r="L7" s="3">
        <f>SUM(B7:K7)</f>
        <v>0</v>
      </c>
    </row>
    <row r="8" spans="1:20">
      <c r="A8" s="555" t="s">
        <v>721</v>
      </c>
      <c r="B8" s="3">
        <f>DENSITY!$D$14</f>
        <v>0.1740912779635381</v>
      </c>
      <c r="C8" s="3">
        <f>DENSITY!$E$14</f>
        <v>0.17817008883603291</v>
      </c>
      <c r="D8" s="3">
        <f>DENSITY!$F$14</f>
        <v>0.64773863320042901</v>
      </c>
      <c r="F8" s="3">
        <f>B8*DENSITY!$E$15</f>
        <v>0.14092681071945506</v>
      </c>
      <c r="G8" s="3">
        <f>B8*DENSITY!$F$15</f>
        <v>3.3164467244083035E-2</v>
      </c>
      <c r="L8" s="3">
        <f>SUM(B8:K8)</f>
        <v>1.174091277963538</v>
      </c>
      <c r="M8" s="3">
        <f>C8+D8+F8+G8</f>
        <v>1</v>
      </c>
    </row>
    <row r="9" spans="1:20">
      <c r="A9" s="555" t="s">
        <v>722</v>
      </c>
      <c r="B9" s="3">
        <f>DENSITY!$D$14</f>
        <v>0.1740912779635381</v>
      </c>
      <c r="C9" s="3">
        <f>DENSITY!$E$14</f>
        <v>0.17817008883603291</v>
      </c>
      <c r="D9" s="3">
        <f>DENSITY!$F$14</f>
        <v>0.64773863320042901</v>
      </c>
      <c r="F9" s="3">
        <f>B9*DENSITY!$E$15</f>
        <v>0.14092681071945506</v>
      </c>
      <c r="G9" s="3">
        <f>B9*DENSITY!$F$15</f>
        <v>3.3164467244083035E-2</v>
      </c>
      <c r="I9" s="3">
        <f>C9+F9</f>
        <v>0.31909689955548798</v>
      </c>
      <c r="L9" s="3">
        <f t="shared" ref="L9:L22" si="0">SUM(B9:K9)</f>
        <v>1.4931881775190259</v>
      </c>
      <c r="M9" s="3">
        <f>D9+G9+I9</f>
        <v>1</v>
      </c>
    </row>
    <row r="10" spans="1:20">
      <c r="A10" s="555" t="s">
        <v>723</v>
      </c>
      <c r="B10" s="3">
        <f>DENSITY!$D$14</f>
        <v>0.1740912779635381</v>
      </c>
      <c r="C10" s="3">
        <f>DENSITY!$E$14</f>
        <v>0.17817008883603291</v>
      </c>
      <c r="D10" s="3">
        <f>DENSITY!$F$14</f>
        <v>0.64773863320042901</v>
      </c>
      <c r="E10" s="3">
        <f>DENSITY!$G$14</f>
        <v>0</v>
      </c>
      <c r="F10" s="3">
        <f>B10*DENSITY!$E$15</f>
        <v>0.14092681071945506</v>
      </c>
      <c r="G10" s="3">
        <f>B10*DENSITY!$F$15</f>
        <v>3.3164467244083035E-2</v>
      </c>
      <c r="H10" s="3">
        <f>B10*DENSITY!$G$15</f>
        <v>0</v>
      </c>
      <c r="I10" s="3">
        <f>(C10+F10)*DENSITY!$F$16</f>
        <v>0.1397468249635514</v>
      </c>
      <c r="J10" s="3">
        <f>(C10+F10)*DENSITY!$G$16</f>
        <v>0.17935007459193658</v>
      </c>
      <c r="K10" s="3">
        <f>D10+G10+I10</f>
        <v>0.82064992540806347</v>
      </c>
      <c r="L10" s="3">
        <f t="shared" si="0"/>
        <v>2.3138381029270896</v>
      </c>
      <c r="M10" s="3">
        <f>J10+K10</f>
        <v>1</v>
      </c>
    </row>
    <row r="11" spans="1:20">
      <c r="A11" s="555" t="s">
        <v>724</v>
      </c>
      <c r="L11" s="3">
        <f t="shared" si="0"/>
        <v>0</v>
      </c>
    </row>
    <row r="12" spans="1:20">
      <c r="A12" s="555"/>
      <c r="L12" s="3"/>
    </row>
    <row r="13" spans="1:20">
      <c r="A13" s="555" t="s">
        <v>725</v>
      </c>
      <c r="L13" s="3">
        <f t="shared" si="0"/>
        <v>0</v>
      </c>
    </row>
    <row r="14" spans="1:20">
      <c r="A14" s="555" t="s">
        <v>726</v>
      </c>
      <c r="I14" s="3">
        <f>DENSITY!$F$15</f>
        <v>0.19050045259033047</v>
      </c>
      <c r="J14" s="3">
        <f>DENSITY!$E$15</f>
        <v>0.80949954740966956</v>
      </c>
      <c r="L14" s="3">
        <f t="shared" si="0"/>
        <v>1</v>
      </c>
      <c r="M14" s="3">
        <f>I14+J14</f>
        <v>1</v>
      </c>
    </row>
    <row r="15" spans="1:20">
      <c r="A15" s="555" t="s">
        <v>727</v>
      </c>
      <c r="I15" s="3">
        <f>DENSITY!$F$15</f>
        <v>0.19050045259033047</v>
      </c>
      <c r="J15" s="3">
        <f>DENSITY!$E$15</f>
        <v>0.80949954740966956</v>
      </c>
      <c r="K15" s="3">
        <f>I15</f>
        <v>0.19050045259033047</v>
      </c>
      <c r="L15" s="3">
        <f t="shared" si="0"/>
        <v>1.1905004525903304</v>
      </c>
      <c r="M15" s="3">
        <f>I15+J15</f>
        <v>1</v>
      </c>
    </row>
    <row r="16" spans="1:20">
      <c r="A16" s="555" t="s">
        <v>728</v>
      </c>
      <c r="L16" s="3">
        <f t="shared" si="0"/>
        <v>0</v>
      </c>
    </row>
    <row r="18" spans="1:14">
      <c r="A18" s="555" t="s">
        <v>729</v>
      </c>
      <c r="L18" s="3">
        <f t="shared" si="0"/>
        <v>0</v>
      </c>
    </row>
    <row r="19" spans="1:14">
      <c r="A19" s="555" t="s">
        <v>730</v>
      </c>
      <c r="K19" s="3">
        <v>1</v>
      </c>
      <c r="L19" s="3">
        <f t="shared" si="0"/>
        <v>1</v>
      </c>
      <c r="M19" s="3">
        <f>K19</f>
        <v>1</v>
      </c>
    </row>
    <row r="20" spans="1:14">
      <c r="A20" s="555" t="s">
        <v>731</v>
      </c>
      <c r="L20" s="3">
        <f t="shared" si="0"/>
        <v>0</v>
      </c>
    </row>
    <row r="22" spans="1:14">
      <c r="A22" s="555" t="s">
        <v>732</v>
      </c>
      <c r="L22" s="3">
        <f t="shared" si="0"/>
        <v>0</v>
      </c>
    </row>
    <row r="25" spans="1:14" ht="12.95">
      <c r="A25" s="555"/>
      <c r="B25" s="4" t="s">
        <v>733</v>
      </c>
      <c r="C25" s="4" t="s">
        <v>734</v>
      </c>
      <c r="D25" s="4" t="s">
        <v>735</v>
      </c>
      <c r="E25" s="4" t="s">
        <v>736</v>
      </c>
      <c r="F25" s="4" t="s">
        <v>737</v>
      </c>
      <c r="G25" s="4" t="s">
        <v>738</v>
      </c>
      <c r="H25" s="4" t="s">
        <v>739</v>
      </c>
      <c r="I25" s="4" t="s">
        <v>740</v>
      </c>
      <c r="J25" s="4" t="s">
        <v>741</v>
      </c>
      <c r="K25" s="4" t="s">
        <v>742</v>
      </c>
      <c r="L25" s="2"/>
      <c r="M25" s="4" t="s">
        <v>743</v>
      </c>
    </row>
    <row r="26" spans="1:14" ht="12.95">
      <c r="A26" s="555"/>
      <c r="B26" s="1"/>
      <c r="C26" s="37"/>
      <c r="D26" s="221" t="s">
        <v>169</v>
      </c>
      <c r="E26" s="4" t="s">
        <v>170</v>
      </c>
      <c r="G26" s="4"/>
      <c r="H26" s="4" t="s">
        <v>17</v>
      </c>
      <c r="I26" s="4" t="s">
        <v>167</v>
      </c>
      <c r="J26" s="4" t="s">
        <v>17</v>
      </c>
    </row>
    <row r="27" spans="1:14" ht="12.95">
      <c r="A27" s="11" t="s">
        <v>708</v>
      </c>
      <c r="B27" s="2" t="s">
        <v>744</v>
      </c>
      <c r="C27" s="38" t="s">
        <v>173</v>
      </c>
      <c r="D27" s="221" t="s">
        <v>174</v>
      </c>
      <c r="E27" s="4" t="s">
        <v>745</v>
      </c>
      <c r="F27" s="4" t="s">
        <v>175</v>
      </c>
      <c r="G27" s="4" t="s">
        <v>174</v>
      </c>
      <c r="H27" s="4" t="s">
        <v>174</v>
      </c>
      <c r="I27" s="4" t="s">
        <v>171</v>
      </c>
      <c r="J27" s="4" t="s">
        <v>174</v>
      </c>
    </row>
    <row r="28" spans="1:14" ht="12.95">
      <c r="A28" s="9" t="s">
        <v>714</v>
      </c>
      <c r="B28" s="14" t="s">
        <v>205</v>
      </c>
      <c r="C28" s="248" t="s">
        <v>182</v>
      </c>
      <c r="D28" s="250" t="s">
        <v>746</v>
      </c>
      <c r="E28" s="16" t="s">
        <v>184</v>
      </c>
      <c r="F28" s="16" t="s">
        <v>181</v>
      </c>
      <c r="G28" s="16" t="s">
        <v>746</v>
      </c>
      <c r="H28" s="16" t="s">
        <v>746</v>
      </c>
      <c r="I28" s="16" t="s">
        <v>747</v>
      </c>
      <c r="J28" s="16" t="s">
        <v>185</v>
      </c>
      <c r="K28" s="16" t="s">
        <v>89</v>
      </c>
    </row>
    <row r="29" spans="1:14">
      <c r="A29" s="555" t="s">
        <v>720</v>
      </c>
      <c r="B29" s="1"/>
      <c r="C29" s="37"/>
      <c r="D29" s="249"/>
      <c r="H29" s="3">
        <f>G29*L7</f>
        <v>0</v>
      </c>
      <c r="I29" s="3">
        <f>'MCS LETTERS'!F15</f>
        <v>59.724117858215628</v>
      </c>
      <c r="J29" s="3">
        <f>H29/I29</f>
        <v>0</v>
      </c>
      <c r="K29" s="98">
        <f>'MCS LETTERS'!E15</f>
        <v>1053828.9655094033</v>
      </c>
      <c r="L29" s="251"/>
    </row>
    <row r="30" spans="1:14">
      <c r="A30" s="555" t="s">
        <v>721</v>
      </c>
      <c r="B30" s="19">
        <f>PRODUCTIVITY!$I$27</f>
        <v>123.44398340248964</v>
      </c>
      <c r="C30" s="37">
        <f>'WAGE RATES - PIGGYBACK FACTORS'!$D$5</f>
        <v>50.10717457546064</v>
      </c>
      <c r="D30" s="249">
        <f>(C30/B30)*100</f>
        <v>40.591022093062229</v>
      </c>
      <c r="E30" s="3">
        <f>D30*('WAGE RATES - PIGGYBACK FACTORS'!$D$6-1)</f>
        <v>0.84927882018093948</v>
      </c>
      <c r="F30" s="3">
        <f>'WAGE RATES - PIGGYBACK FACTORS'!$D$17</f>
        <v>1.2988119246888874</v>
      </c>
      <c r="G30" s="3">
        <f>D30*F30+E30</f>
        <v>53.569382349960243</v>
      </c>
      <c r="H30" s="3">
        <f>G30*L8</f>
        <v>62.895344582982219</v>
      </c>
      <c r="I30" s="3">
        <f>'MCS LETTERS'!F16</f>
        <v>15.420156760066224</v>
      </c>
      <c r="J30" s="3">
        <f>H30/I30</f>
        <v>4.0787746559012357</v>
      </c>
      <c r="K30" s="98">
        <f>'MCS LETTERS'!E16</f>
        <v>219195.91001437433</v>
      </c>
      <c r="L30" s="252"/>
    </row>
    <row r="31" spans="1:14" ht="12.95">
      <c r="A31" s="555" t="s">
        <v>722</v>
      </c>
      <c r="B31" s="19">
        <f>PRODUCTIVITY!$I$27</f>
        <v>123.44398340248964</v>
      </c>
      <c r="C31" s="37">
        <f>'WAGE RATES - PIGGYBACK FACTORS'!$D$5</f>
        <v>50.10717457546064</v>
      </c>
      <c r="D31" s="249">
        <f>(C31/B31)*100</f>
        <v>40.591022093062229</v>
      </c>
      <c r="E31" s="3">
        <f>D31*('WAGE RATES - PIGGYBACK FACTORS'!$D$6-1)</f>
        <v>0.84927882018093948</v>
      </c>
      <c r="F31" s="3">
        <f>'WAGE RATES - PIGGYBACK FACTORS'!$D$17</f>
        <v>1.2988119246888874</v>
      </c>
      <c r="G31" s="3">
        <f>D31*F31+E31</f>
        <v>53.569382349960243</v>
      </c>
      <c r="H31" s="3">
        <f>G31*L9</f>
        <v>79.989168401957002</v>
      </c>
      <c r="I31" s="3">
        <f>'MCS LETTERS'!F17</f>
        <v>18.411634490555045</v>
      </c>
      <c r="J31" s="3">
        <f>H31/I31</f>
        <v>4.3444903516301343</v>
      </c>
      <c r="K31" s="98">
        <f>'MCS LETTERS'!E17</f>
        <v>846502.53908307641</v>
      </c>
      <c r="L31" s="252"/>
      <c r="M31" s="4">
        <f>SUMPRODUCT(J29:J33,K29:K33)/SUM(K29:K33)</f>
        <v>2.4364039189210902</v>
      </c>
      <c r="N31" s="38" t="s">
        <v>501</v>
      </c>
    </row>
    <row r="32" spans="1:14" ht="12.95">
      <c r="A32" s="555" t="s">
        <v>723</v>
      </c>
      <c r="B32" s="19">
        <f>PRODUCTIVITY!$I$27</f>
        <v>123.44398340248964</v>
      </c>
      <c r="C32" s="37">
        <f>'WAGE RATES - PIGGYBACK FACTORS'!$D$5</f>
        <v>50.10717457546064</v>
      </c>
      <c r="D32" s="249">
        <f>(C32/B32)*100</f>
        <v>40.591022093062229</v>
      </c>
      <c r="E32" s="3">
        <f>D32*('WAGE RATES - PIGGYBACK FACTORS'!$D$6-1)</f>
        <v>0.84927882018093948</v>
      </c>
      <c r="F32" s="3">
        <f>'WAGE RATES - PIGGYBACK FACTORS'!$D$17</f>
        <v>1.2988119246888874</v>
      </c>
      <c r="G32" s="3">
        <f>D32*F32+E32</f>
        <v>53.569382349960243</v>
      </c>
      <c r="H32" s="3">
        <f>G32*L10</f>
        <v>123.95087803160793</v>
      </c>
      <c r="I32" s="3">
        <f>'MCS LETTERS'!F18</f>
        <v>15.287967440537521</v>
      </c>
      <c r="J32" s="3">
        <f>H32/I32</f>
        <v>8.1077408434910847</v>
      </c>
      <c r="K32" s="98">
        <f>'MCS LETTERS'!E18</f>
        <v>105101.11722150625</v>
      </c>
      <c r="L32" s="252"/>
      <c r="M32" s="4"/>
      <c r="N32" s="38"/>
    </row>
    <row r="33" spans="1:20" ht="12.95">
      <c r="A33" s="555" t="s">
        <v>724</v>
      </c>
      <c r="B33" s="19"/>
      <c r="C33" s="37"/>
      <c r="D33" s="249"/>
      <c r="H33" s="3">
        <f>G33*L11</f>
        <v>0</v>
      </c>
      <c r="I33" s="3" t="s">
        <v>748</v>
      </c>
      <c r="J33" s="3">
        <f>H33</f>
        <v>0</v>
      </c>
      <c r="K33" s="98">
        <f>'MCS LETTERS'!E19</f>
        <v>1523.4681716396935</v>
      </c>
      <c r="L33" s="253"/>
      <c r="M33" s="4"/>
      <c r="N33" s="38"/>
    </row>
    <row r="34" spans="1:20" ht="12.95">
      <c r="A34" s="555"/>
      <c r="B34" s="19"/>
      <c r="C34" s="37"/>
      <c r="D34" s="249"/>
      <c r="K34" s="98"/>
      <c r="M34" s="4"/>
      <c r="N34" s="38"/>
    </row>
    <row r="35" spans="1:20" ht="12.95">
      <c r="A35" s="555" t="s">
        <v>725</v>
      </c>
      <c r="B35" s="19"/>
      <c r="C35" s="37"/>
      <c r="D35" s="249"/>
      <c r="H35" s="3">
        <f>G35*L13</f>
        <v>0</v>
      </c>
      <c r="I35" s="3" t="str">
        <f>'MCS LETTERS'!F20</f>
        <v>N/A</v>
      </c>
      <c r="J35" s="3">
        <v>0</v>
      </c>
      <c r="K35" s="98">
        <f>'MCS LETTERS'!E20</f>
        <v>0</v>
      </c>
      <c r="L35" s="251"/>
      <c r="M35" s="4"/>
      <c r="N35" s="38"/>
    </row>
    <row r="36" spans="1:20" ht="12.95">
      <c r="A36" s="555" t="s">
        <v>726</v>
      </c>
      <c r="B36" s="19">
        <f>PRODUCTIVITY!$I$27</f>
        <v>123.44398340248964</v>
      </c>
      <c r="C36" s="37">
        <f>'WAGE RATES - PIGGYBACK FACTORS'!$D$5</f>
        <v>50.10717457546064</v>
      </c>
      <c r="D36" s="249">
        <f>(C36/B36)*100</f>
        <v>40.591022093062229</v>
      </c>
      <c r="E36" s="3">
        <f>D36*('WAGE RATES - PIGGYBACK FACTORS'!$D$6-1)</f>
        <v>0.84927882018093948</v>
      </c>
      <c r="F36" s="3">
        <f>'WAGE RATES - PIGGYBACK FACTORS'!$D$17</f>
        <v>1.2988119246888874</v>
      </c>
      <c r="G36" s="3">
        <f>D36*F36+E36</f>
        <v>53.569382349960243</v>
      </c>
      <c r="H36" s="3">
        <f>G36*L14</f>
        <v>53.569382349960243</v>
      </c>
      <c r="I36" s="3" t="str">
        <f>'MCS LETTERS'!F21</f>
        <v>N/A</v>
      </c>
      <c r="J36" s="3">
        <v>0</v>
      </c>
      <c r="K36" s="98">
        <f>'MCS LETTERS'!E21</f>
        <v>0</v>
      </c>
      <c r="L36" s="252"/>
      <c r="M36" s="4">
        <v>0</v>
      </c>
      <c r="N36" s="38" t="s">
        <v>697</v>
      </c>
    </row>
    <row r="37" spans="1:20" ht="12.95">
      <c r="A37" s="555" t="s">
        <v>727</v>
      </c>
      <c r="B37" s="19">
        <f>PRODUCTIVITY!$I$27</f>
        <v>123.44398340248964</v>
      </c>
      <c r="C37" s="37">
        <f>'WAGE RATES - PIGGYBACK FACTORS'!$D$5</f>
        <v>50.10717457546064</v>
      </c>
      <c r="D37" s="249">
        <f>(C37/B37)*100</f>
        <v>40.591022093062229</v>
      </c>
      <c r="E37" s="3">
        <f>D37*('WAGE RATES - PIGGYBACK FACTORS'!$D$6-1)</f>
        <v>0.84927882018093948</v>
      </c>
      <c r="F37" s="3">
        <f>'WAGE RATES - PIGGYBACK FACTORS'!$D$17</f>
        <v>1.2988119246888874</v>
      </c>
      <c r="G37" s="3">
        <f>D37*F37+E37</f>
        <v>53.569382349960243</v>
      </c>
      <c r="H37" s="3">
        <f>G37*L15</f>
        <v>63.774373932612129</v>
      </c>
      <c r="I37" s="3" t="str">
        <f>'MCS LETTERS'!F22</f>
        <v>N/A</v>
      </c>
      <c r="J37" s="3">
        <v>0</v>
      </c>
      <c r="K37" s="98">
        <f>'MCS LETTERS'!E22</f>
        <v>0</v>
      </c>
      <c r="L37" s="252"/>
      <c r="M37" s="4"/>
      <c r="N37" s="38"/>
    </row>
    <row r="38" spans="1:20" ht="12.95">
      <c r="A38" s="555" t="s">
        <v>728</v>
      </c>
      <c r="B38" s="19"/>
      <c r="C38" s="37"/>
      <c r="D38" s="249"/>
      <c r="H38" s="3">
        <v>0</v>
      </c>
      <c r="I38" s="3" t="s">
        <v>748</v>
      </c>
      <c r="J38" s="3">
        <f>H38</f>
        <v>0</v>
      </c>
      <c r="K38" s="98">
        <f>'MCS LETTERS'!E23</f>
        <v>0</v>
      </c>
      <c r="L38" s="253"/>
      <c r="M38" s="4"/>
      <c r="N38" s="38"/>
    </row>
    <row r="39" spans="1:20" ht="12.95">
      <c r="A39" s="555"/>
      <c r="B39" s="19"/>
      <c r="C39" s="37"/>
      <c r="D39" s="249"/>
      <c r="K39" s="98"/>
      <c r="M39" s="4"/>
      <c r="N39" s="38"/>
    </row>
    <row r="40" spans="1:20" ht="12.95">
      <c r="A40" s="555" t="s">
        <v>729</v>
      </c>
      <c r="B40" s="19"/>
      <c r="C40" s="37"/>
      <c r="D40" s="249"/>
      <c r="H40" s="3">
        <f>G40*L18</f>
        <v>0</v>
      </c>
      <c r="I40" s="3">
        <f>'MCS LETTERS'!F24</f>
        <v>29.951115785442664</v>
      </c>
      <c r="J40" s="3">
        <f>H40/I40</f>
        <v>0</v>
      </c>
      <c r="K40" s="98">
        <f>'MCS LETTERS'!E24</f>
        <v>451201.973766868</v>
      </c>
      <c r="L40" s="251"/>
      <c r="M40" s="4"/>
      <c r="N40" s="38"/>
    </row>
    <row r="41" spans="1:20" ht="12.95">
      <c r="A41" s="555" t="s">
        <v>730</v>
      </c>
      <c r="B41" s="19">
        <f>PRODUCTIVITY!$I$27</f>
        <v>123.44398340248964</v>
      </c>
      <c r="C41" s="37">
        <f>'WAGE RATES - PIGGYBACK FACTORS'!$D$5</f>
        <v>50.10717457546064</v>
      </c>
      <c r="D41" s="249">
        <f>(C41/B41)*100</f>
        <v>40.591022093062229</v>
      </c>
      <c r="E41" s="3">
        <f>D41*('WAGE RATES - PIGGYBACK FACTORS'!$D$6-1)</f>
        <v>0.84927882018093948</v>
      </c>
      <c r="F41" s="3">
        <f>'WAGE RATES - PIGGYBACK FACTORS'!$D$17</f>
        <v>1.2988119246888874</v>
      </c>
      <c r="G41" s="3">
        <f>D41*F41+E41</f>
        <v>53.569382349960243</v>
      </c>
      <c r="H41" s="3">
        <f>G41*L19</f>
        <v>53.569382349960243</v>
      </c>
      <c r="I41" s="3">
        <f>'MCS LETTERS'!F25</f>
        <v>22.50738241901556</v>
      </c>
      <c r="J41" s="3">
        <f>H41/I41</f>
        <v>2.3800805154801865</v>
      </c>
      <c r="K41" s="98">
        <f>'MCS LETTERS'!E25</f>
        <v>1246303.4098061696</v>
      </c>
      <c r="L41" s="252"/>
      <c r="M41" s="4">
        <f>SUMPRODUCT(J40:J42,K40:K42)/SUM(K40:K42)</f>
        <v>1.7440476842314898</v>
      </c>
      <c r="N41" s="38" t="s">
        <v>503</v>
      </c>
    </row>
    <row r="42" spans="1:20" ht="12.95">
      <c r="A42" s="555" t="s">
        <v>731</v>
      </c>
      <c r="B42" s="19"/>
      <c r="C42" s="37"/>
      <c r="D42" s="249"/>
      <c r="H42" s="3">
        <f>G42*L20</f>
        <v>0</v>
      </c>
      <c r="I42" s="3" t="s">
        <v>748</v>
      </c>
      <c r="J42" s="3">
        <f>H42</f>
        <v>0</v>
      </c>
      <c r="K42" s="98">
        <f>'MCS LETTERS'!E26</f>
        <v>3309.6164269628548</v>
      </c>
      <c r="L42" s="253"/>
      <c r="M42" s="4"/>
      <c r="N42" s="38"/>
    </row>
    <row r="43" spans="1:20" ht="12.95">
      <c r="A43" s="555"/>
      <c r="B43" s="19"/>
      <c r="K43" s="98"/>
      <c r="M43" s="4"/>
      <c r="N43" s="38"/>
    </row>
    <row r="44" spans="1:20" ht="12.95">
      <c r="A44" s="555" t="s">
        <v>732</v>
      </c>
      <c r="B44" s="19">
        <f>PRODUCTIVITY!$I$27</f>
        <v>123.44398340248964</v>
      </c>
      <c r="C44" s="37">
        <f>'WAGE RATES - PIGGYBACK FACTORS'!$D$5</f>
        <v>50.10717457546064</v>
      </c>
      <c r="D44" s="249">
        <f>(C44/B44)*100</f>
        <v>40.591022093062229</v>
      </c>
      <c r="E44" s="3">
        <f>D44*('WAGE RATES - PIGGYBACK FACTORS'!$D$6-1)</f>
        <v>0.84927882018093948</v>
      </c>
      <c r="F44" s="3">
        <f>'WAGE RATES - PIGGYBACK FACTORS'!$D$17</f>
        <v>1.2988119246888874</v>
      </c>
      <c r="G44" s="3">
        <f>D44*F44+E44</f>
        <v>53.569382349960243</v>
      </c>
      <c r="H44" s="3">
        <f>G44*L22</f>
        <v>0</v>
      </c>
      <c r="I44" s="3" t="s">
        <v>748</v>
      </c>
      <c r="J44" s="3">
        <f>H44</f>
        <v>0</v>
      </c>
      <c r="K44" s="98">
        <f>'MCS LETTERS'!E27</f>
        <v>1295104.9999999993</v>
      </c>
      <c r="L44" s="254"/>
      <c r="M44" s="4">
        <f>(J44*K44)/K44</f>
        <v>0</v>
      </c>
      <c r="N44" s="38" t="s">
        <v>504</v>
      </c>
    </row>
    <row r="45" spans="1:20">
      <c r="A45" s="555"/>
      <c r="K45" s="98"/>
    </row>
    <row r="46" spans="1:20">
      <c r="A46" s="555"/>
      <c r="K46" s="98"/>
    </row>
    <row r="47" spans="1:20" s="9" customFormat="1" ht="12.95">
      <c r="A47" s="9" t="s">
        <v>65</v>
      </c>
      <c r="B47" s="16"/>
      <c r="C47" s="16"/>
      <c r="D47" s="16"/>
      <c r="E47" s="16"/>
      <c r="F47" s="16"/>
      <c r="G47" s="16"/>
      <c r="H47" s="16"/>
      <c r="I47" s="16"/>
      <c r="J47" s="16"/>
      <c r="K47" s="258"/>
      <c r="L47" s="14"/>
      <c r="M47" s="16"/>
      <c r="N47" s="248"/>
      <c r="O47" s="250"/>
      <c r="P47" s="16"/>
      <c r="Q47" s="16"/>
      <c r="R47" s="16"/>
      <c r="S47" s="236"/>
      <c r="T47" s="236"/>
    </row>
    <row r="48" spans="1:20" ht="12.95">
      <c r="A48" s="11" t="s">
        <v>749</v>
      </c>
    </row>
    <row r="49" spans="1:1" ht="12.95">
      <c r="A49" s="11" t="s">
        <v>750</v>
      </c>
    </row>
    <row r="50" spans="1:1" ht="12.95">
      <c r="A50" s="11" t="s">
        <v>751</v>
      </c>
    </row>
    <row r="51" spans="1:1" ht="12.95">
      <c r="A51" s="11" t="s">
        <v>752</v>
      </c>
    </row>
    <row r="52" spans="1:1" ht="12.95">
      <c r="A52" s="11" t="s">
        <v>753</v>
      </c>
    </row>
    <row r="53" spans="1:1" ht="12.95">
      <c r="A53" s="11" t="s">
        <v>754</v>
      </c>
    </row>
    <row r="54" spans="1:1" ht="12.95">
      <c r="A54" s="11" t="s">
        <v>755</v>
      </c>
    </row>
    <row r="55" spans="1:1" ht="12.95">
      <c r="A55" s="11" t="s">
        <v>756</v>
      </c>
    </row>
    <row r="56" spans="1:1" ht="12.95">
      <c r="A56" s="11" t="s">
        <v>757</v>
      </c>
    </row>
    <row r="57" spans="1:1" ht="12.95">
      <c r="A57" s="11" t="s">
        <v>758</v>
      </c>
    </row>
    <row r="58" spans="1:1" ht="12.95">
      <c r="A58" s="11" t="s">
        <v>759</v>
      </c>
    </row>
    <row r="59" spans="1:1" ht="12.95">
      <c r="A59" s="11" t="s">
        <v>760</v>
      </c>
    </row>
    <row r="60" spans="1:1" ht="12.95">
      <c r="A60" s="11" t="s">
        <v>761</v>
      </c>
    </row>
  </sheetData>
  <phoneticPr fontId="46" type="noConversion"/>
  <printOptions horizontalCentered="1"/>
  <pageMargins left="0.75" right="0.75" top="1" bottom="1" header="0.5" footer="0.5"/>
  <pageSetup scale="56" orientation="portrait" r:id="rId1"/>
  <headerFooter alignWithMargins="0">
    <oddHeader>&amp;RPage 46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EB0E29CC5B443B20AD0ADCD173D34" ma:contentTypeVersion="4" ma:contentTypeDescription="Create a new document." ma:contentTypeScope="" ma:versionID="fefafd6d308eb8b5a8cc413f7e344640">
  <xsd:schema xmlns:xsd="http://www.w3.org/2001/XMLSchema" xmlns:xs="http://www.w3.org/2001/XMLSchema" xmlns:p="http://schemas.microsoft.com/office/2006/metadata/properties" xmlns:ns2="fd280014-f047-445d-a75d-a0f18d80e10d" targetNamespace="http://schemas.microsoft.com/office/2006/metadata/properties" ma:root="true" ma:fieldsID="d0167217136ba33b7f2a5da369f8bb0e" ns2:_="">
    <xsd:import namespace="fd280014-f047-445d-a75d-a0f18d80e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80014-f047-445d-a75d-a0f18d80e1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9262B3-6754-42C7-A810-ED10A61B7DF2}"/>
</file>

<file path=customXml/itemProps2.xml><?xml version="1.0" encoding="utf-8"?>
<ds:datastoreItem xmlns:ds="http://schemas.openxmlformats.org/officeDocument/2006/customXml" ds:itemID="{D4151436-B29A-4533-B5E1-5B39C5D697D6}"/>
</file>

<file path=customXml/itemProps3.xml><?xml version="1.0" encoding="utf-8"?>
<ds:datastoreItem xmlns:ds="http://schemas.openxmlformats.org/officeDocument/2006/customXml" ds:itemID="{954D7900-1242-4B8C-BD0D-D9E8A55B6102}"/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U.S. Postal Service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Walia, Kam - Washington DC</dc:creator>
  <cp:keywords/>
  <dc:description/>
  <cp:lastModifiedBy>Depew, Bonnie Y - Washington, DC</cp:lastModifiedBy>
  <cp:revision/>
  <dcterms:created xsi:type="dcterms:W3CDTF">2001-04-05T13:23:05Z</dcterms:created>
  <dcterms:modified xsi:type="dcterms:W3CDTF">2026-02-04T17:06:16Z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0x0101000B6EB0E29CC5B443B20AD0ADCD173D34</vt:lpwstr>
  </property>
  <property fmtid="{D5CDD505-2E9C-101B-9397-08002B2CF9AE}" pid="3" name="Order">
    <vt:r8>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